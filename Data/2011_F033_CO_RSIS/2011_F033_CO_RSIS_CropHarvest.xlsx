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1_F033_CO_RSIS\"/>
    </mc:Choice>
  </mc:AlternateContent>
  <xr:revisionPtr revIDLastSave="0" documentId="13_ncr:1_{6A950633-D39E-4273-B384-E81BD6336C12}" xr6:coauthVersionLast="47" xr6:coauthVersionMax="47" xr10:uidLastSave="{00000000-0000-0000-0000-000000000000}"/>
  <bookViews>
    <workbookView xWindow="16680" yWindow="-24330" windowWidth="17715" windowHeight="17625" xr2:uid="{5485CBB2-C13A-4C0B-BAC8-38661C175E52}"/>
  </bookViews>
  <sheets>
    <sheet name="Raw Scale" sheetId="1" r:id="rId1"/>
    <sheet name="Zone Scale" sheetId="4" r:id="rId2"/>
    <sheet name="Plot Scale" sheetId="2" r:id="rId3"/>
    <sheet name="Compare" sheetId="3" r:id="rId4"/>
    <sheet name="2011 Cotton harvest" sheetId="5" r:id="rId5"/>
    <sheet name="Field Harvest" sheetId="6" r:id="rId6"/>
    <sheet name="Subsample weights" sheetId="7" r:id="rId7"/>
    <sheet name="Ginning" sheetId="8" r:id="rId8"/>
  </sheets>
  <definedNames>
    <definedName name="_xlnm.Print_Area" localSheetId="4">'2011 Cotton harvest'!$A$12:$H$27</definedName>
    <definedName name="_xlnm.Print_Area" localSheetId="7">Ginning!$B$11:$BU$36,Ginning!$B$38:$BU$62</definedName>
    <definedName name="_xlnm.Print_Area" localSheetId="6">'Subsample weights'!$B$1:$AY$49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8" l="1"/>
  <c r="G16" i="8"/>
  <c r="H16" i="8"/>
  <c r="O16" i="8"/>
  <c r="P16" i="8"/>
  <c r="Q16" i="8"/>
  <c r="X16" i="8"/>
  <c r="Y16" i="8"/>
  <c r="Z16" i="8"/>
  <c r="AG16" i="8"/>
  <c r="AH16" i="8"/>
  <c r="AI16" i="8"/>
  <c r="AP16" i="8"/>
  <c r="AQ16" i="8"/>
  <c r="AR16" i="8"/>
  <c r="AY16" i="8"/>
  <c r="AZ16" i="8"/>
  <c r="BA16" i="8"/>
  <c r="BH16" i="8"/>
  <c r="BI16" i="8"/>
  <c r="BJ16" i="8"/>
  <c r="BQ16" i="8"/>
  <c r="BR16" i="8"/>
  <c r="BS16" i="8"/>
  <c r="F17" i="8"/>
  <c r="G17" i="8"/>
  <c r="H17" i="8"/>
  <c r="O17" i="8"/>
  <c r="P17" i="8"/>
  <c r="Q17" i="8"/>
  <c r="X17" i="8"/>
  <c r="Y17" i="8"/>
  <c r="Z17" i="8"/>
  <c r="AG17" i="8"/>
  <c r="AH17" i="8"/>
  <c r="AI17" i="8"/>
  <c r="AP17" i="8"/>
  <c r="AQ17" i="8"/>
  <c r="AR17" i="8"/>
  <c r="AY17" i="8"/>
  <c r="AZ17" i="8"/>
  <c r="BA17" i="8"/>
  <c r="BH17" i="8"/>
  <c r="BI17" i="8"/>
  <c r="BJ17" i="8"/>
  <c r="BQ17" i="8"/>
  <c r="BR17" i="8"/>
  <c r="BS17" i="8"/>
  <c r="F18" i="8"/>
  <c r="G18" i="8"/>
  <c r="H18" i="8"/>
  <c r="O18" i="8"/>
  <c r="P18" i="8"/>
  <c r="Q18" i="8"/>
  <c r="X18" i="8"/>
  <c r="Y18" i="8"/>
  <c r="Z18" i="8"/>
  <c r="AG18" i="8"/>
  <c r="AH18" i="8"/>
  <c r="AI18" i="8"/>
  <c r="AP18" i="8"/>
  <c r="AQ18" i="8"/>
  <c r="AR18" i="8"/>
  <c r="AY18" i="8"/>
  <c r="AZ18" i="8"/>
  <c r="BA18" i="8"/>
  <c r="BH18" i="8"/>
  <c r="BI18" i="8"/>
  <c r="BJ18" i="8"/>
  <c r="BQ18" i="8"/>
  <c r="BR18" i="8"/>
  <c r="BS18" i="8"/>
  <c r="F19" i="8"/>
  <c r="G19" i="8"/>
  <c r="H19" i="8"/>
  <c r="O19" i="8"/>
  <c r="P19" i="8"/>
  <c r="Q19" i="8"/>
  <c r="X19" i="8"/>
  <c r="Y19" i="8"/>
  <c r="Z19" i="8"/>
  <c r="AG19" i="8"/>
  <c r="AH19" i="8"/>
  <c r="AI19" i="8"/>
  <c r="AP19" i="8"/>
  <c r="AQ19" i="8"/>
  <c r="AR19" i="8"/>
  <c r="AY19" i="8"/>
  <c r="AZ19" i="8"/>
  <c r="BA19" i="8"/>
  <c r="BH19" i="8"/>
  <c r="BI19" i="8"/>
  <c r="BJ19" i="8"/>
  <c r="BQ19" i="8"/>
  <c r="BR19" i="8"/>
  <c r="BS19" i="8"/>
  <c r="F20" i="8"/>
  <c r="G20" i="8"/>
  <c r="H20" i="8"/>
  <c r="O20" i="8"/>
  <c r="P20" i="8"/>
  <c r="Q20" i="8"/>
  <c r="X20" i="8"/>
  <c r="Y20" i="8"/>
  <c r="Z20" i="8"/>
  <c r="AG20" i="8"/>
  <c r="AH20" i="8"/>
  <c r="AI20" i="8"/>
  <c r="AP20" i="8"/>
  <c r="AQ20" i="8"/>
  <c r="AR20" i="8"/>
  <c r="AY20" i="8"/>
  <c r="AZ20" i="8"/>
  <c r="BA20" i="8"/>
  <c r="BH20" i="8"/>
  <c r="BI20" i="8"/>
  <c r="BJ20" i="8"/>
  <c r="BQ20" i="8"/>
  <c r="BR20" i="8"/>
  <c r="BS20" i="8"/>
  <c r="F21" i="8"/>
  <c r="G21" i="8"/>
  <c r="H21" i="8"/>
  <c r="O21" i="8"/>
  <c r="P21" i="8"/>
  <c r="Q21" i="8"/>
  <c r="X21" i="8"/>
  <c r="Y21" i="8"/>
  <c r="Z21" i="8"/>
  <c r="AG21" i="8"/>
  <c r="AH21" i="8"/>
  <c r="AI21" i="8"/>
  <c r="AP21" i="8"/>
  <c r="AQ21" i="8"/>
  <c r="AR21" i="8"/>
  <c r="AY21" i="8"/>
  <c r="AZ21" i="8"/>
  <c r="BA21" i="8"/>
  <c r="BH21" i="8"/>
  <c r="BI21" i="8"/>
  <c r="BJ21" i="8"/>
  <c r="BQ21" i="8"/>
  <c r="BR21" i="8"/>
  <c r="BS21" i="8"/>
  <c r="F22" i="8"/>
  <c r="G22" i="8"/>
  <c r="H22" i="8"/>
  <c r="O22" i="8"/>
  <c r="P22" i="8"/>
  <c r="Q22" i="8"/>
  <c r="X22" i="8"/>
  <c r="Y22" i="8"/>
  <c r="Z22" i="8"/>
  <c r="AG22" i="8"/>
  <c r="AH22" i="8"/>
  <c r="AI22" i="8"/>
  <c r="AP22" i="8"/>
  <c r="AQ22" i="8"/>
  <c r="AR22" i="8"/>
  <c r="AY22" i="8"/>
  <c r="AZ22" i="8"/>
  <c r="BA22" i="8"/>
  <c r="BH22" i="8"/>
  <c r="BI22" i="8"/>
  <c r="BJ22" i="8"/>
  <c r="BQ22" i="8"/>
  <c r="BR22" i="8"/>
  <c r="BS22" i="8"/>
  <c r="F23" i="8"/>
  <c r="G23" i="8"/>
  <c r="H23" i="8"/>
  <c r="O23" i="8"/>
  <c r="P23" i="8"/>
  <c r="Q23" i="8"/>
  <c r="X23" i="8"/>
  <c r="Y23" i="8"/>
  <c r="Z23" i="8"/>
  <c r="AG23" i="8"/>
  <c r="AH23" i="8"/>
  <c r="AI23" i="8"/>
  <c r="AP23" i="8"/>
  <c r="AQ23" i="8"/>
  <c r="AR23" i="8"/>
  <c r="AY23" i="8"/>
  <c r="AZ23" i="8"/>
  <c r="BA23" i="8"/>
  <c r="BH23" i="8"/>
  <c r="BI23" i="8"/>
  <c r="BJ23" i="8"/>
  <c r="BQ23" i="8"/>
  <c r="BR23" i="8"/>
  <c r="BS23" i="8"/>
  <c r="F24" i="8"/>
  <c r="G24" i="8"/>
  <c r="H24" i="8"/>
  <c r="O24" i="8"/>
  <c r="P24" i="8"/>
  <c r="Q24" i="8"/>
  <c r="X24" i="8"/>
  <c r="Y24" i="8"/>
  <c r="Z24" i="8"/>
  <c r="AG24" i="8"/>
  <c r="AH24" i="8"/>
  <c r="AI24" i="8"/>
  <c r="AP24" i="8"/>
  <c r="AQ24" i="8"/>
  <c r="AR24" i="8"/>
  <c r="AY24" i="8"/>
  <c r="AZ24" i="8"/>
  <c r="BA24" i="8"/>
  <c r="BH24" i="8"/>
  <c r="BI24" i="8"/>
  <c r="BJ24" i="8"/>
  <c r="BQ24" i="8"/>
  <c r="BR24" i="8"/>
  <c r="BS24" i="8"/>
  <c r="F25" i="8"/>
  <c r="G25" i="8"/>
  <c r="H25" i="8"/>
  <c r="O25" i="8"/>
  <c r="P25" i="8"/>
  <c r="Q25" i="8"/>
  <c r="X25" i="8"/>
  <c r="Y25" i="8"/>
  <c r="Z25" i="8"/>
  <c r="AG25" i="8"/>
  <c r="AH25" i="8"/>
  <c r="AI25" i="8"/>
  <c r="AP25" i="8"/>
  <c r="AQ25" i="8"/>
  <c r="AR25" i="8"/>
  <c r="AY25" i="8"/>
  <c r="AZ25" i="8"/>
  <c r="BA25" i="8"/>
  <c r="BH25" i="8"/>
  <c r="BI25" i="8"/>
  <c r="BJ25" i="8"/>
  <c r="BQ25" i="8"/>
  <c r="BR25" i="8"/>
  <c r="BS25" i="8"/>
  <c r="F26" i="8"/>
  <c r="G26" i="8"/>
  <c r="H26" i="8"/>
  <c r="O26" i="8"/>
  <c r="P26" i="8"/>
  <c r="Q26" i="8"/>
  <c r="X26" i="8"/>
  <c r="Y26" i="8"/>
  <c r="Z26" i="8"/>
  <c r="AG26" i="8"/>
  <c r="AH26" i="8"/>
  <c r="AI26" i="8"/>
  <c r="AP26" i="8"/>
  <c r="AQ26" i="8"/>
  <c r="AR26" i="8"/>
  <c r="AY26" i="8"/>
  <c r="AZ26" i="8"/>
  <c r="BA26" i="8"/>
  <c r="BH26" i="8"/>
  <c r="BI26" i="8"/>
  <c r="BJ26" i="8"/>
  <c r="BQ26" i="8"/>
  <c r="BR26" i="8"/>
  <c r="BS26" i="8"/>
  <c r="F27" i="8"/>
  <c r="G27" i="8"/>
  <c r="H27" i="8"/>
  <c r="O27" i="8"/>
  <c r="P27" i="8"/>
  <c r="Q27" i="8"/>
  <c r="X27" i="8"/>
  <c r="Y27" i="8"/>
  <c r="Z27" i="8"/>
  <c r="AG27" i="8"/>
  <c r="AH27" i="8"/>
  <c r="AI27" i="8"/>
  <c r="AP27" i="8"/>
  <c r="AQ27" i="8"/>
  <c r="AR27" i="8"/>
  <c r="AY27" i="8"/>
  <c r="AZ27" i="8"/>
  <c r="BA27" i="8"/>
  <c r="BH27" i="8"/>
  <c r="BI27" i="8"/>
  <c r="BJ27" i="8"/>
  <c r="BQ27" i="8"/>
  <c r="BR27" i="8"/>
  <c r="BS27" i="8"/>
  <c r="F28" i="8"/>
  <c r="G28" i="8"/>
  <c r="H28" i="8"/>
  <c r="O28" i="8"/>
  <c r="P28" i="8"/>
  <c r="Q28" i="8"/>
  <c r="X28" i="8"/>
  <c r="Y28" i="8"/>
  <c r="Z28" i="8"/>
  <c r="AG28" i="8"/>
  <c r="AH28" i="8"/>
  <c r="AI28" i="8"/>
  <c r="AP28" i="8"/>
  <c r="AQ28" i="8"/>
  <c r="AR28" i="8"/>
  <c r="AY28" i="8"/>
  <c r="AZ28" i="8"/>
  <c r="BA28" i="8"/>
  <c r="BH28" i="8"/>
  <c r="BI28" i="8"/>
  <c r="BJ28" i="8"/>
  <c r="BQ28" i="8"/>
  <c r="BR28" i="8"/>
  <c r="BS28" i="8"/>
  <c r="F29" i="8"/>
  <c r="G29" i="8"/>
  <c r="H29" i="8"/>
  <c r="O29" i="8"/>
  <c r="P29" i="8"/>
  <c r="Q29" i="8"/>
  <c r="X29" i="8"/>
  <c r="Y29" i="8"/>
  <c r="Z29" i="8"/>
  <c r="AG29" i="8"/>
  <c r="AH29" i="8"/>
  <c r="AI29" i="8"/>
  <c r="AP29" i="8"/>
  <c r="AQ29" i="8"/>
  <c r="AR29" i="8"/>
  <c r="AY29" i="8"/>
  <c r="AZ29" i="8"/>
  <c r="BA29" i="8"/>
  <c r="BH29" i="8"/>
  <c r="BI29" i="8"/>
  <c r="BJ29" i="8"/>
  <c r="BQ29" i="8"/>
  <c r="BR29" i="8"/>
  <c r="BS29" i="8"/>
  <c r="F30" i="8"/>
  <c r="G30" i="8"/>
  <c r="H30" i="8"/>
  <c r="O30" i="8"/>
  <c r="P30" i="8"/>
  <c r="Q30" i="8"/>
  <c r="X30" i="8"/>
  <c r="Y30" i="8"/>
  <c r="Z30" i="8"/>
  <c r="AG30" i="8"/>
  <c r="AH30" i="8"/>
  <c r="AI30" i="8"/>
  <c r="AP30" i="8"/>
  <c r="AQ30" i="8"/>
  <c r="AR30" i="8"/>
  <c r="AY30" i="8"/>
  <c r="AZ30" i="8"/>
  <c r="BA30" i="8"/>
  <c r="BH30" i="8"/>
  <c r="BI30" i="8"/>
  <c r="BJ30" i="8"/>
  <c r="BQ30" i="8"/>
  <c r="BR30" i="8"/>
  <c r="BS30" i="8"/>
  <c r="F31" i="8"/>
  <c r="G31" i="8"/>
  <c r="H31" i="8"/>
  <c r="O31" i="8"/>
  <c r="P31" i="8"/>
  <c r="Q31" i="8"/>
  <c r="X31" i="8"/>
  <c r="Y31" i="8"/>
  <c r="Z31" i="8"/>
  <c r="AG31" i="8"/>
  <c r="AH31" i="8"/>
  <c r="AI31" i="8"/>
  <c r="AP31" i="8"/>
  <c r="AQ31" i="8"/>
  <c r="AR31" i="8"/>
  <c r="AY31" i="8"/>
  <c r="AZ31" i="8"/>
  <c r="BA31" i="8"/>
  <c r="BH31" i="8"/>
  <c r="BI31" i="8"/>
  <c r="BJ31" i="8"/>
  <c r="BQ31" i="8"/>
  <c r="BR31" i="8"/>
  <c r="BS31" i="8"/>
  <c r="F32" i="8"/>
  <c r="G32" i="8"/>
  <c r="H32" i="8"/>
  <c r="O32" i="8"/>
  <c r="P32" i="8"/>
  <c r="Q32" i="8"/>
  <c r="X32" i="8"/>
  <c r="Y32" i="8"/>
  <c r="Z32" i="8"/>
  <c r="AG32" i="8"/>
  <c r="AH32" i="8"/>
  <c r="AI32" i="8"/>
  <c r="AP32" i="8"/>
  <c r="AQ32" i="8"/>
  <c r="AR32" i="8"/>
  <c r="AY32" i="8"/>
  <c r="AZ32" i="8"/>
  <c r="BA32" i="8"/>
  <c r="BH32" i="8"/>
  <c r="BI32" i="8"/>
  <c r="BJ32" i="8"/>
  <c r="BQ32" i="8"/>
  <c r="BR32" i="8"/>
  <c r="BS32" i="8"/>
  <c r="F33" i="8"/>
  <c r="G33" i="8"/>
  <c r="H33" i="8"/>
  <c r="O33" i="8"/>
  <c r="P33" i="8"/>
  <c r="Q33" i="8"/>
  <c r="X33" i="8"/>
  <c r="Y33" i="8"/>
  <c r="Z33" i="8"/>
  <c r="AG33" i="8"/>
  <c r="AH33" i="8"/>
  <c r="AI33" i="8"/>
  <c r="AP33" i="8"/>
  <c r="AQ33" i="8"/>
  <c r="AR33" i="8"/>
  <c r="AY33" i="8"/>
  <c r="AZ33" i="8"/>
  <c r="BA33" i="8"/>
  <c r="BH33" i="8"/>
  <c r="BI33" i="8"/>
  <c r="BJ33" i="8"/>
  <c r="BQ33" i="8"/>
  <c r="BR33" i="8"/>
  <c r="BS33" i="8"/>
  <c r="F34" i="8"/>
  <c r="G34" i="8"/>
  <c r="H34" i="8"/>
  <c r="O34" i="8"/>
  <c r="P34" i="8"/>
  <c r="Q34" i="8"/>
  <c r="X34" i="8"/>
  <c r="Y34" i="8"/>
  <c r="Z34" i="8"/>
  <c r="AG34" i="8"/>
  <c r="AH34" i="8"/>
  <c r="AI34" i="8"/>
  <c r="AP34" i="8"/>
  <c r="AQ34" i="8"/>
  <c r="AR34" i="8"/>
  <c r="AY34" i="8"/>
  <c r="AZ34" i="8"/>
  <c r="BA34" i="8"/>
  <c r="BH34" i="8"/>
  <c r="BI34" i="8"/>
  <c r="BJ34" i="8"/>
  <c r="BQ34" i="8"/>
  <c r="BR34" i="8"/>
  <c r="BS34" i="8"/>
  <c r="F35" i="8"/>
  <c r="G35" i="8"/>
  <c r="H35" i="8"/>
  <c r="O35" i="8"/>
  <c r="P35" i="8"/>
  <c r="Q35" i="8"/>
  <c r="X35" i="8"/>
  <c r="Y35" i="8"/>
  <c r="Z35" i="8"/>
  <c r="AG35" i="8"/>
  <c r="AH35" i="8"/>
  <c r="AI35" i="8"/>
  <c r="AP35" i="8"/>
  <c r="AQ35" i="8"/>
  <c r="AR35" i="8"/>
  <c r="AY35" i="8"/>
  <c r="AZ35" i="8"/>
  <c r="BA35" i="8"/>
  <c r="BH35" i="8"/>
  <c r="BI35" i="8"/>
  <c r="BJ35" i="8"/>
  <c r="BQ35" i="8"/>
  <c r="BR35" i="8"/>
  <c r="BS35" i="8"/>
  <c r="F43" i="8"/>
  <c r="G43" i="8"/>
  <c r="H43" i="8"/>
  <c r="O43" i="8"/>
  <c r="P43" i="8"/>
  <c r="Q43" i="8"/>
  <c r="X43" i="8"/>
  <c r="Y43" i="8"/>
  <c r="Z43" i="8"/>
  <c r="AG43" i="8"/>
  <c r="AH43" i="8"/>
  <c r="AI43" i="8"/>
  <c r="AP43" i="8"/>
  <c r="AQ43" i="8"/>
  <c r="AR43" i="8"/>
  <c r="AY43" i="8"/>
  <c r="AZ43" i="8"/>
  <c r="BA43" i="8"/>
  <c r="BH43" i="8"/>
  <c r="BI43" i="8"/>
  <c r="BJ43" i="8"/>
  <c r="BQ43" i="8"/>
  <c r="BR43" i="8"/>
  <c r="BS43" i="8"/>
  <c r="BZ43" i="8"/>
  <c r="CA43" i="8"/>
  <c r="CB43" i="8"/>
  <c r="F44" i="8"/>
  <c r="G44" i="8"/>
  <c r="H44" i="8"/>
  <c r="O44" i="8"/>
  <c r="P44" i="8"/>
  <c r="Q44" i="8"/>
  <c r="X44" i="8"/>
  <c r="Y44" i="8"/>
  <c r="Z44" i="8"/>
  <c r="AG44" i="8"/>
  <c r="AH44" i="8"/>
  <c r="AI44" i="8"/>
  <c r="AP44" i="8"/>
  <c r="AQ44" i="8"/>
  <c r="AR44" i="8"/>
  <c r="AY44" i="8"/>
  <c r="AZ44" i="8"/>
  <c r="BA44" i="8"/>
  <c r="BH44" i="8"/>
  <c r="BI44" i="8"/>
  <c r="BJ44" i="8"/>
  <c r="BQ44" i="8"/>
  <c r="BR44" i="8"/>
  <c r="BS44" i="8"/>
  <c r="BZ44" i="8"/>
  <c r="CA44" i="8"/>
  <c r="CB44" i="8"/>
  <c r="F45" i="8"/>
  <c r="G45" i="8"/>
  <c r="H45" i="8"/>
  <c r="O45" i="8"/>
  <c r="P45" i="8"/>
  <c r="Q45" i="8"/>
  <c r="X45" i="8"/>
  <c r="Y45" i="8"/>
  <c r="Z45" i="8"/>
  <c r="AG45" i="8"/>
  <c r="AH45" i="8"/>
  <c r="AI45" i="8"/>
  <c r="AP45" i="8"/>
  <c r="AQ45" i="8"/>
  <c r="AR45" i="8"/>
  <c r="AY45" i="8"/>
  <c r="AZ45" i="8"/>
  <c r="BA45" i="8"/>
  <c r="BH45" i="8"/>
  <c r="BI45" i="8"/>
  <c r="BJ45" i="8"/>
  <c r="BQ45" i="8"/>
  <c r="BR45" i="8"/>
  <c r="BS45" i="8"/>
  <c r="BZ45" i="8"/>
  <c r="CA45" i="8"/>
  <c r="CB45" i="8"/>
  <c r="F46" i="8"/>
  <c r="G46" i="8"/>
  <c r="H46" i="8"/>
  <c r="O46" i="8"/>
  <c r="P46" i="8"/>
  <c r="Q46" i="8"/>
  <c r="X46" i="8"/>
  <c r="Y46" i="8"/>
  <c r="Z46" i="8"/>
  <c r="AG46" i="8"/>
  <c r="AH46" i="8"/>
  <c r="AI46" i="8"/>
  <c r="AP46" i="8"/>
  <c r="AQ46" i="8"/>
  <c r="AR46" i="8"/>
  <c r="AY46" i="8"/>
  <c r="AZ46" i="8"/>
  <c r="BA46" i="8"/>
  <c r="BH46" i="8"/>
  <c r="BI46" i="8"/>
  <c r="BJ46" i="8"/>
  <c r="BQ46" i="8"/>
  <c r="BR46" i="8"/>
  <c r="BS46" i="8"/>
  <c r="BZ46" i="8"/>
  <c r="CA46" i="8"/>
  <c r="CB46" i="8"/>
  <c r="F47" i="8"/>
  <c r="G47" i="8"/>
  <c r="H47" i="8"/>
  <c r="O47" i="8"/>
  <c r="P47" i="8"/>
  <c r="Q47" i="8"/>
  <c r="X47" i="8"/>
  <c r="Y47" i="8"/>
  <c r="Z47" i="8"/>
  <c r="AG47" i="8"/>
  <c r="AH47" i="8"/>
  <c r="AI47" i="8"/>
  <c r="AP47" i="8"/>
  <c r="AQ47" i="8"/>
  <c r="AR47" i="8"/>
  <c r="AY47" i="8"/>
  <c r="AZ47" i="8"/>
  <c r="BA47" i="8"/>
  <c r="BH47" i="8"/>
  <c r="BI47" i="8"/>
  <c r="BJ47" i="8"/>
  <c r="BQ47" i="8"/>
  <c r="BR47" i="8"/>
  <c r="BS47" i="8"/>
  <c r="BZ47" i="8"/>
  <c r="CA47" i="8"/>
  <c r="CB47" i="8"/>
  <c r="F48" i="8"/>
  <c r="G48" i="8"/>
  <c r="H48" i="8"/>
  <c r="O48" i="8"/>
  <c r="P48" i="8"/>
  <c r="Q48" i="8"/>
  <c r="X48" i="8"/>
  <c r="Y48" i="8"/>
  <c r="Z48" i="8"/>
  <c r="AG48" i="8"/>
  <c r="AH48" i="8"/>
  <c r="AI48" i="8"/>
  <c r="AP48" i="8"/>
  <c r="AQ48" i="8"/>
  <c r="AR48" i="8"/>
  <c r="AY48" i="8"/>
  <c r="AZ48" i="8"/>
  <c r="BA48" i="8"/>
  <c r="BH48" i="8"/>
  <c r="BI48" i="8"/>
  <c r="BJ48" i="8"/>
  <c r="BQ48" i="8"/>
  <c r="BR48" i="8"/>
  <c r="BS48" i="8"/>
  <c r="BZ48" i="8"/>
  <c r="CA48" i="8"/>
  <c r="CB48" i="8"/>
  <c r="F49" i="8"/>
  <c r="G49" i="8"/>
  <c r="H49" i="8"/>
  <c r="O49" i="8"/>
  <c r="P49" i="8"/>
  <c r="Q49" i="8"/>
  <c r="X49" i="8"/>
  <c r="Y49" i="8"/>
  <c r="Z49" i="8"/>
  <c r="AG49" i="8"/>
  <c r="AH49" i="8"/>
  <c r="AI49" i="8"/>
  <c r="AP49" i="8"/>
  <c r="AQ49" i="8"/>
  <c r="AR49" i="8"/>
  <c r="AY49" i="8"/>
  <c r="AZ49" i="8"/>
  <c r="BA49" i="8"/>
  <c r="BH49" i="8"/>
  <c r="BI49" i="8"/>
  <c r="BJ49" i="8"/>
  <c r="BQ49" i="8"/>
  <c r="BR49" i="8"/>
  <c r="BS49" i="8"/>
  <c r="BZ49" i="8"/>
  <c r="CA49" i="8"/>
  <c r="CB49" i="8"/>
  <c r="F50" i="8"/>
  <c r="G50" i="8"/>
  <c r="H50" i="8"/>
  <c r="O50" i="8"/>
  <c r="P50" i="8"/>
  <c r="Q50" i="8"/>
  <c r="X50" i="8"/>
  <c r="Y50" i="8"/>
  <c r="Z50" i="8"/>
  <c r="AG50" i="8"/>
  <c r="AH50" i="8"/>
  <c r="AI50" i="8"/>
  <c r="AP50" i="8"/>
  <c r="AQ50" i="8"/>
  <c r="AR50" i="8"/>
  <c r="AY50" i="8"/>
  <c r="AZ50" i="8"/>
  <c r="BA50" i="8"/>
  <c r="BH50" i="8"/>
  <c r="BI50" i="8"/>
  <c r="BJ50" i="8"/>
  <c r="BQ50" i="8"/>
  <c r="BR50" i="8"/>
  <c r="BS50" i="8"/>
  <c r="BZ50" i="8"/>
  <c r="CA50" i="8"/>
  <c r="CB50" i="8"/>
  <c r="F51" i="8"/>
  <c r="G51" i="8"/>
  <c r="H51" i="8"/>
  <c r="O51" i="8"/>
  <c r="P51" i="8"/>
  <c r="Q51" i="8"/>
  <c r="X51" i="8"/>
  <c r="Y51" i="8"/>
  <c r="Z51" i="8"/>
  <c r="AG51" i="8"/>
  <c r="AH51" i="8"/>
  <c r="AI51" i="8"/>
  <c r="AP51" i="8"/>
  <c r="AQ51" i="8"/>
  <c r="AR51" i="8"/>
  <c r="AY51" i="8"/>
  <c r="AZ51" i="8"/>
  <c r="BA51" i="8"/>
  <c r="BH51" i="8"/>
  <c r="BI51" i="8"/>
  <c r="BJ51" i="8"/>
  <c r="BQ51" i="8"/>
  <c r="BR51" i="8"/>
  <c r="BS51" i="8"/>
  <c r="BZ51" i="8"/>
  <c r="CA51" i="8"/>
  <c r="CB51" i="8"/>
  <c r="F52" i="8"/>
  <c r="G52" i="8"/>
  <c r="H52" i="8"/>
  <c r="O52" i="8"/>
  <c r="P52" i="8"/>
  <c r="Q52" i="8"/>
  <c r="X52" i="8"/>
  <c r="Y52" i="8"/>
  <c r="Z52" i="8"/>
  <c r="AG52" i="8"/>
  <c r="AH52" i="8"/>
  <c r="AI52" i="8"/>
  <c r="AP52" i="8"/>
  <c r="AQ52" i="8"/>
  <c r="AR52" i="8"/>
  <c r="AY52" i="8"/>
  <c r="AZ52" i="8"/>
  <c r="BA52" i="8"/>
  <c r="BH52" i="8"/>
  <c r="BI52" i="8"/>
  <c r="BJ52" i="8"/>
  <c r="BQ52" i="8"/>
  <c r="BR52" i="8"/>
  <c r="BS52" i="8"/>
  <c r="BZ52" i="8"/>
  <c r="CA52" i="8"/>
  <c r="CB52" i="8"/>
  <c r="F53" i="8"/>
  <c r="G53" i="8"/>
  <c r="H53" i="8"/>
  <c r="O53" i="8"/>
  <c r="P53" i="8"/>
  <c r="Q53" i="8"/>
  <c r="X53" i="8"/>
  <c r="Y53" i="8"/>
  <c r="Z53" i="8"/>
  <c r="AG53" i="8"/>
  <c r="AH53" i="8"/>
  <c r="AI53" i="8"/>
  <c r="AP53" i="8"/>
  <c r="AQ53" i="8"/>
  <c r="AR53" i="8"/>
  <c r="AY53" i="8"/>
  <c r="AZ53" i="8"/>
  <c r="BA53" i="8"/>
  <c r="BH53" i="8"/>
  <c r="BI53" i="8"/>
  <c r="BJ53" i="8"/>
  <c r="BQ53" i="8"/>
  <c r="BR53" i="8"/>
  <c r="BS53" i="8"/>
  <c r="BZ53" i="8"/>
  <c r="CA53" i="8"/>
  <c r="CB53" i="8"/>
  <c r="F54" i="8"/>
  <c r="G54" i="8"/>
  <c r="H54" i="8"/>
  <c r="O54" i="8"/>
  <c r="P54" i="8"/>
  <c r="Q54" i="8"/>
  <c r="X54" i="8"/>
  <c r="Y54" i="8"/>
  <c r="Z54" i="8"/>
  <c r="AG54" i="8"/>
  <c r="AH54" i="8"/>
  <c r="AI54" i="8"/>
  <c r="AP54" i="8"/>
  <c r="AQ54" i="8"/>
  <c r="AR54" i="8"/>
  <c r="AY54" i="8"/>
  <c r="AZ54" i="8"/>
  <c r="BA54" i="8"/>
  <c r="BH54" i="8"/>
  <c r="BI54" i="8"/>
  <c r="BJ54" i="8"/>
  <c r="BQ54" i="8"/>
  <c r="BR54" i="8"/>
  <c r="BS54" i="8"/>
  <c r="BZ54" i="8"/>
  <c r="CA54" i="8"/>
  <c r="CB54" i="8"/>
  <c r="F55" i="8"/>
  <c r="G55" i="8"/>
  <c r="H55" i="8"/>
  <c r="O55" i="8"/>
  <c r="P55" i="8"/>
  <c r="Q55" i="8"/>
  <c r="X55" i="8"/>
  <c r="Y55" i="8"/>
  <c r="Z55" i="8"/>
  <c r="AG55" i="8"/>
  <c r="AH55" i="8"/>
  <c r="AI55" i="8"/>
  <c r="AP55" i="8"/>
  <c r="AQ55" i="8"/>
  <c r="AR55" i="8"/>
  <c r="AY55" i="8"/>
  <c r="AZ55" i="8"/>
  <c r="BA55" i="8"/>
  <c r="BH55" i="8"/>
  <c r="BI55" i="8"/>
  <c r="BJ55" i="8"/>
  <c r="BQ55" i="8"/>
  <c r="BR55" i="8"/>
  <c r="BS55" i="8"/>
  <c r="BZ55" i="8"/>
  <c r="CA55" i="8"/>
  <c r="CB55" i="8"/>
  <c r="F56" i="8"/>
  <c r="G56" i="8"/>
  <c r="H56" i="8"/>
  <c r="O56" i="8"/>
  <c r="P56" i="8"/>
  <c r="Q56" i="8"/>
  <c r="X56" i="8"/>
  <c r="Y56" i="8"/>
  <c r="Z56" i="8"/>
  <c r="AG56" i="8"/>
  <c r="AH56" i="8"/>
  <c r="AI56" i="8"/>
  <c r="AP56" i="8"/>
  <c r="AQ56" i="8"/>
  <c r="AR56" i="8"/>
  <c r="AY56" i="8"/>
  <c r="AZ56" i="8"/>
  <c r="BA56" i="8"/>
  <c r="BH56" i="8"/>
  <c r="BI56" i="8"/>
  <c r="BJ56" i="8"/>
  <c r="BQ56" i="8"/>
  <c r="BR56" i="8"/>
  <c r="BS56" i="8"/>
  <c r="BZ56" i="8"/>
  <c r="CA56" i="8"/>
  <c r="CB56" i="8"/>
  <c r="F57" i="8"/>
  <c r="G57" i="8"/>
  <c r="H57" i="8"/>
  <c r="O57" i="8"/>
  <c r="P57" i="8"/>
  <c r="Q57" i="8"/>
  <c r="X57" i="8"/>
  <c r="Y57" i="8"/>
  <c r="Z57" i="8"/>
  <c r="AG57" i="8"/>
  <c r="AH57" i="8"/>
  <c r="AI57" i="8"/>
  <c r="AP57" i="8"/>
  <c r="AQ57" i="8"/>
  <c r="AR57" i="8"/>
  <c r="AY57" i="8"/>
  <c r="AZ57" i="8"/>
  <c r="BA57" i="8"/>
  <c r="BH57" i="8"/>
  <c r="BI57" i="8"/>
  <c r="BJ57" i="8"/>
  <c r="BQ57" i="8"/>
  <c r="BR57" i="8"/>
  <c r="BS57" i="8"/>
  <c r="BZ57" i="8"/>
  <c r="CA57" i="8"/>
  <c r="CB57" i="8"/>
  <c r="F58" i="8"/>
  <c r="G58" i="8"/>
  <c r="H58" i="8"/>
  <c r="O58" i="8"/>
  <c r="P58" i="8"/>
  <c r="Q58" i="8"/>
  <c r="X58" i="8"/>
  <c r="Y58" i="8"/>
  <c r="Z58" i="8"/>
  <c r="AG58" i="8"/>
  <c r="AH58" i="8"/>
  <c r="AI58" i="8"/>
  <c r="AP58" i="8"/>
  <c r="AQ58" i="8"/>
  <c r="AR58" i="8"/>
  <c r="AY58" i="8"/>
  <c r="AZ58" i="8"/>
  <c r="BA58" i="8"/>
  <c r="BH58" i="8"/>
  <c r="BI58" i="8"/>
  <c r="BJ58" i="8"/>
  <c r="BQ58" i="8"/>
  <c r="BR58" i="8"/>
  <c r="BS58" i="8"/>
  <c r="BZ58" i="8"/>
  <c r="CA58" i="8"/>
  <c r="CB58" i="8"/>
  <c r="F59" i="8"/>
  <c r="G59" i="8"/>
  <c r="H59" i="8"/>
  <c r="O59" i="8"/>
  <c r="P59" i="8"/>
  <c r="Q59" i="8"/>
  <c r="X59" i="8"/>
  <c r="Y59" i="8"/>
  <c r="Z59" i="8"/>
  <c r="AG59" i="8"/>
  <c r="AH59" i="8"/>
  <c r="AI59" i="8"/>
  <c r="AP59" i="8"/>
  <c r="AQ59" i="8"/>
  <c r="AR59" i="8"/>
  <c r="AY59" i="8"/>
  <c r="AZ59" i="8"/>
  <c r="BA59" i="8"/>
  <c r="BH59" i="8"/>
  <c r="BI59" i="8"/>
  <c r="BJ59" i="8"/>
  <c r="BQ59" i="8"/>
  <c r="BR59" i="8"/>
  <c r="BS59" i="8"/>
  <c r="BZ59" i="8"/>
  <c r="CA59" i="8"/>
  <c r="CB59" i="8"/>
  <c r="F60" i="8"/>
  <c r="G60" i="8"/>
  <c r="H60" i="8"/>
  <c r="O60" i="8"/>
  <c r="P60" i="8"/>
  <c r="Q60" i="8"/>
  <c r="X60" i="8"/>
  <c r="Y60" i="8"/>
  <c r="Z60" i="8"/>
  <c r="AG60" i="8"/>
  <c r="AH60" i="8"/>
  <c r="AI60" i="8"/>
  <c r="AP60" i="8"/>
  <c r="AQ60" i="8"/>
  <c r="AR60" i="8"/>
  <c r="AY60" i="8"/>
  <c r="AZ60" i="8"/>
  <c r="BA60" i="8"/>
  <c r="BH60" i="8"/>
  <c r="BI60" i="8"/>
  <c r="BJ60" i="8"/>
  <c r="BQ60" i="8"/>
  <c r="BR60" i="8"/>
  <c r="BS60" i="8"/>
  <c r="BZ60" i="8"/>
  <c r="CA60" i="8"/>
  <c r="CB60" i="8"/>
  <c r="F61" i="8"/>
  <c r="G61" i="8"/>
  <c r="H61" i="8"/>
  <c r="O61" i="8"/>
  <c r="P61" i="8"/>
  <c r="Q61" i="8"/>
  <c r="X61" i="8"/>
  <c r="Y61" i="8"/>
  <c r="Z61" i="8"/>
  <c r="AG61" i="8"/>
  <c r="AH61" i="8"/>
  <c r="AI61" i="8"/>
  <c r="AP61" i="8"/>
  <c r="AQ61" i="8"/>
  <c r="AR61" i="8"/>
  <c r="AY61" i="8"/>
  <c r="AZ61" i="8"/>
  <c r="BA61" i="8"/>
  <c r="BH61" i="8"/>
  <c r="BI61" i="8"/>
  <c r="BJ61" i="8"/>
  <c r="BQ61" i="8"/>
  <c r="BR61" i="8"/>
  <c r="BS61" i="8"/>
  <c r="BZ61" i="8"/>
  <c r="CA61" i="8"/>
  <c r="CB61" i="8"/>
  <c r="F62" i="8"/>
  <c r="G62" i="8"/>
  <c r="H62" i="8"/>
  <c r="O62" i="8"/>
  <c r="P62" i="8"/>
  <c r="Q62" i="8"/>
  <c r="X62" i="8"/>
  <c r="Y62" i="8"/>
  <c r="Z62" i="8"/>
  <c r="AG62" i="8"/>
  <c r="AH62" i="8"/>
  <c r="AI62" i="8"/>
  <c r="AP62" i="8"/>
  <c r="AQ62" i="8"/>
  <c r="AR62" i="8"/>
  <c r="AY62" i="8"/>
  <c r="AZ62" i="8"/>
  <c r="BA62" i="8"/>
  <c r="BH62" i="8"/>
  <c r="BI62" i="8"/>
  <c r="BJ62" i="8"/>
  <c r="BQ62" i="8"/>
  <c r="BR62" i="8"/>
  <c r="BS62" i="8"/>
  <c r="BZ62" i="8"/>
  <c r="CA62" i="8"/>
  <c r="CB62" i="8"/>
  <c r="C52" i="7"/>
  <c r="F52" i="7"/>
  <c r="I52" i="7"/>
  <c r="L52" i="7"/>
  <c r="O52" i="7"/>
  <c r="R52" i="7"/>
  <c r="U52" i="7"/>
  <c r="X52" i="7"/>
  <c r="AA52" i="7"/>
  <c r="AD52" i="7"/>
  <c r="AG52" i="7"/>
  <c r="AJ52" i="7"/>
  <c r="AM52" i="7"/>
  <c r="AP52" i="7"/>
  <c r="AS52" i="7"/>
  <c r="AV52" i="7"/>
  <c r="AY52" i="7"/>
  <c r="C53" i="7"/>
  <c r="F53" i="7"/>
  <c r="I53" i="7"/>
  <c r="L53" i="7"/>
  <c r="O53" i="7"/>
  <c r="R53" i="7"/>
  <c r="U53" i="7"/>
  <c r="X53" i="7"/>
  <c r="AA53" i="7"/>
  <c r="AD53" i="7"/>
  <c r="AG53" i="7"/>
  <c r="AJ53" i="7"/>
  <c r="AM53" i="7"/>
  <c r="AP53" i="7"/>
  <c r="AS53" i="7"/>
  <c r="AV53" i="7"/>
  <c r="AY53" i="7"/>
  <c r="C54" i="7"/>
  <c r="F54" i="7"/>
  <c r="I54" i="7"/>
  <c r="L54" i="7"/>
  <c r="O54" i="7"/>
  <c r="R54" i="7"/>
  <c r="U54" i="7"/>
  <c r="X54" i="7"/>
  <c r="AA54" i="7"/>
  <c r="AD54" i="7"/>
  <c r="AG54" i="7"/>
  <c r="AJ54" i="7"/>
  <c r="AM54" i="7"/>
  <c r="AP54" i="7"/>
  <c r="AS54" i="7"/>
  <c r="AV54" i="7"/>
  <c r="AY54" i="7"/>
  <c r="C55" i="7"/>
  <c r="F55" i="7"/>
  <c r="I55" i="7"/>
  <c r="L55" i="7"/>
  <c r="O55" i="7"/>
  <c r="R55" i="7"/>
  <c r="U55" i="7"/>
  <c r="X55" i="7"/>
  <c r="AA55" i="7"/>
  <c r="AD55" i="7"/>
  <c r="AG55" i="7"/>
  <c r="AJ55" i="7"/>
  <c r="AM55" i="7"/>
  <c r="AP55" i="7"/>
  <c r="AS55" i="7"/>
  <c r="AV55" i="7"/>
  <c r="AY55" i="7"/>
  <c r="C56" i="7"/>
  <c r="F56" i="7"/>
  <c r="I56" i="7"/>
  <c r="L56" i="7"/>
  <c r="O56" i="7"/>
  <c r="R56" i="7"/>
  <c r="U56" i="7"/>
  <c r="X56" i="7"/>
  <c r="AA56" i="7"/>
  <c r="AD56" i="7"/>
  <c r="AG56" i="7"/>
  <c r="AJ56" i="7"/>
  <c r="AM56" i="7"/>
  <c r="AP56" i="7"/>
  <c r="AS56" i="7"/>
  <c r="AV56" i="7"/>
  <c r="AY56" i="7"/>
  <c r="C57" i="7"/>
  <c r="F57" i="7"/>
  <c r="I57" i="7"/>
  <c r="L57" i="7"/>
  <c r="O57" i="7"/>
  <c r="R57" i="7"/>
  <c r="U57" i="7"/>
  <c r="X57" i="7"/>
  <c r="AA57" i="7"/>
  <c r="AD57" i="7"/>
  <c r="AG57" i="7"/>
  <c r="AJ57" i="7"/>
  <c r="AM57" i="7"/>
  <c r="AP57" i="7"/>
  <c r="AS57" i="7"/>
  <c r="AV57" i="7"/>
  <c r="AY57" i="7"/>
  <c r="C58" i="7"/>
  <c r="F58" i="7"/>
  <c r="I58" i="7"/>
  <c r="L58" i="7"/>
  <c r="O58" i="7"/>
  <c r="R58" i="7"/>
  <c r="U58" i="7"/>
  <c r="X58" i="7"/>
  <c r="AA58" i="7"/>
  <c r="AD58" i="7"/>
  <c r="AG58" i="7"/>
  <c r="AJ58" i="7"/>
  <c r="AM58" i="7"/>
  <c r="AP58" i="7"/>
  <c r="AS58" i="7"/>
  <c r="AV58" i="7"/>
  <c r="AY58" i="7"/>
  <c r="C59" i="7"/>
  <c r="F59" i="7"/>
  <c r="I59" i="7"/>
  <c r="L59" i="7"/>
  <c r="O59" i="7"/>
  <c r="R59" i="7"/>
  <c r="U59" i="7"/>
  <c r="X59" i="7"/>
  <c r="AA59" i="7"/>
  <c r="AD59" i="7"/>
  <c r="AG59" i="7"/>
  <c r="AJ59" i="7"/>
  <c r="AM59" i="7"/>
  <c r="AP59" i="7"/>
  <c r="AS59" i="7"/>
  <c r="AV59" i="7"/>
  <c r="AY59" i="7"/>
  <c r="C60" i="7"/>
  <c r="F60" i="7"/>
  <c r="I60" i="7"/>
  <c r="L60" i="7"/>
  <c r="O60" i="7"/>
  <c r="R60" i="7"/>
  <c r="U60" i="7"/>
  <c r="X60" i="7"/>
  <c r="AA60" i="7"/>
  <c r="AD60" i="7"/>
  <c r="AG60" i="7"/>
  <c r="AJ60" i="7"/>
  <c r="AM60" i="7"/>
  <c r="AP60" i="7"/>
  <c r="AS60" i="7"/>
  <c r="AV60" i="7"/>
  <c r="AY60" i="7"/>
  <c r="C61" i="7"/>
  <c r="F61" i="7"/>
  <c r="I61" i="7"/>
  <c r="L61" i="7"/>
  <c r="O61" i="7"/>
  <c r="R61" i="7"/>
  <c r="U61" i="7"/>
  <c r="X61" i="7"/>
  <c r="AA61" i="7"/>
  <c r="AD61" i="7"/>
  <c r="AG61" i="7"/>
  <c r="AJ61" i="7"/>
  <c r="AM61" i="7"/>
  <c r="AP61" i="7"/>
  <c r="AS61" i="7"/>
  <c r="AV61" i="7"/>
  <c r="AY61" i="7"/>
  <c r="C62" i="7"/>
  <c r="F62" i="7"/>
  <c r="I62" i="7"/>
  <c r="L62" i="7"/>
  <c r="O62" i="7"/>
  <c r="R62" i="7"/>
  <c r="U62" i="7"/>
  <c r="X62" i="7"/>
  <c r="AA62" i="7"/>
  <c r="AD62" i="7"/>
  <c r="AG62" i="7"/>
  <c r="AJ62" i="7"/>
  <c r="AM62" i="7"/>
  <c r="AP62" i="7"/>
  <c r="AS62" i="7"/>
  <c r="AV62" i="7"/>
  <c r="AY62" i="7"/>
  <c r="C63" i="7"/>
  <c r="F63" i="7"/>
  <c r="I63" i="7"/>
  <c r="L63" i="7"/>
  <c r="O63" i="7"/>
  <c r="R63" i="7"/>
  <c r="U63" i="7"/>
  <c r="X63" i="7"/>
  <c r="AA63" i="7"/>
  <c r="AD63" i="7"/>
  <c r="AG63" i="7"/>
  <c r="AJ63" i="7"/>
  <c r="AM63" i="7"/>
  <c r="AP63" i="7"/>
  <c r="AS63" i="7"/>
  <c r="AV63" i="7"/>
  <c r="AY63" i="7"/>
  <c r="C64" i="7"/>
  <c r="F64" i="7"/>
  <c r="I64" i="7"/>
  <c r="L64" i="7"/>
  <c r="O64" i="7"/>
  <c r="R64" i="7"/>
  <c r="U64" i="7"/>
  <c r="X64" i="7"/>
  <c r="AA64" i="7"/>
  <c r="AD64" i="7"/>
  <c r="AG64" i="7"/>
  <c r="AJ64" i="7"/>
  <c r="AM64" i="7"/>
  <c r="AP64" i="7"/>
  <c r="AS64" i="7"/>
  <c r="AV64" i="7"/>
  <c r="AY64" i="7"/>
  <c r="C65" i="7"/>
  <c r="F65" i="7"/>
  <c r="I65" i="7"/>
  <c r="L65" i="7"/>
  <c r="O65" i="7"/>
  <c r="R65" i="7"/>
  <c r="U65" i="7"/>
  <c r="X65" i="7"/>
  <c r="AA65" i="7"/>
  <c r="AD65" i="7"/>
  <c r="AG65" i="7"/>
  <c r="AJ65" i="7"/>
  <c r="AM65" i="7"/>
  <c r="AP65" i="7"/>
  <c r="AS65" i="7"/>
  <c r="AV65" i="7"/>
  <c r="AY65" i="7"/>
  <c r="C66" i="7"/>
  <c r="F66" i="7"/>
  <c r="I66" i="7"/>
  <c r="L66" i="7"/>
  <c r="O66" i="7"/>
  <c r="R66" i="7"/>
  <c r="U66" i="7"/>
  <c r="X66" i="7"/>
  <c r="AA66" i="7"/>
  <c r="AD66" i="7"/>
  <c r="AG66" i="7"/>
  <c r="AJ66" i="7"/>
  <c r="AM66" i="7"/>
  <c r="AP66" i="7"/>
  <c r="AS66" i="7"/>
  <c r="AV66" i="7"/>
  <c r="AY66" i="7"/>
  <c r="C67" i="7"/>
  <c r="F67" i="7"/>
  <c r="I67" i="7"/>
  <c r="L67" i="7"/>
  <c r="O67" i="7"/>
  <c r="R67" i="7"/>
  <c r="U67" i="7"/>
  <c r="X67" i="7"/>
  <c r="AA67" i="7"/>
  <c r="AD67" i="7"/>
  <c r="AG67" i="7"/>
  <c r="AJ67" i="7"/>
  <c r="AM67" i="7"/>
  <c r="AP67" i="7"/>
  <c r="AS67" i="7"/>
  <c r="AV67" i="7"/>
  <c r="AY67" i="7"/>
  <c r="C68" i="7"/>
  <c r="F68" i="7"/>
  <c r="I68" i="7"/>
  <c r="L68" i="7"/>
  <c r="O68" i="7"/>
  <c r="R68" i="7"/>
  <c r="U68" i="7"/>
  <c r="X68" i="7"/>
  <c r="AA68" i="7"/>
  <c r="AD68" i="7"/>
  <c r="AG68" i="7"/>
  <c r="AJ68" i="7"/>
  <c r="AM68" i="7"/>
  <c r="AP68" i="7"/>
  <c r="AS68" i="7"/>
  <c r="AV68" i="7"/>
  <c r="AY68" i="7"/>
  <c r="C69" i="7"/>
  <c r="F69" i="7"/>
  <c r="I69" i="7"/>
  <c r="L69" i="7"/>
  <c r="O69" i="7"/>
  <c r="R69" i="7"/>
  <c r="U69" i="7"/>
  <c r="X69" i="7"/>
  <c r="AA69" i="7"/>
  <c r="AD69" i="7"/>
  <c r="AG69" i="7"/>
  <c r="AJ69" i="7"/>
  <c r="AM69" i="7"/>
  <c r="AP69" i="7"/>
  <c r="AS69" i="7"/>
  <c r="AV69" i="7"/>
  <c r="AY69" i="7"/>
  <c r="C70" i="7"/>
  <c r="F70" i="7"/>
  <c r="I70" i="7"/>
  <c r="L70" i="7"/>
  <c r="O70" i="7"/>
  <c r="R70" i="7"/>
  <c r="U70" i="7"/>
  <c r="X70" i="7"/>
  <c r="AA70" i="7"/>
  <c r="AD70" i="7"/>
  <c r="AG70" i="7"/>
  <c r="AJ70" i="7"/>
  <c r="AM70" i="7"/>
  <c r="AP70" i="7"/>
  <c r="AS70" i="7"/>
  <c r="AV70" i="7"/>
  <c r="AY70" i="7"/>
  <c r="C71" i="7"/>
  <c r="F71" i="7"/>
  <c r="I71" i="7"/>
  <c r="L71" i="7"/>
  <c r="O71" i="7"/>
  <c r="R71" i="7"/>
  <c r="U71" i="7"/>
  <c r="X71" i="7"/>
  <c r="AA71" i="7"/>
  <c r="AD71" i="7"/>
  <c r="AG71" i="7"/>
  <c r="AJ71" i="7"/>
  <c r="AM71" i="7"/>
  <c r="AP71" i="7"/>
  <c r="AS71" i="7"/>
  <c r="AV71" i="7"/>
  <c r="AY71" i="7"/>
  <c r="E19" i="6"/>
  <c r="J19" i="6"/>
  <c r="O19" i="6"/>
  <c r="T19" i="6"/>
  <c r="Y19" i="6"/>
  <c r="AD19" i="6"/>
  <c r="AI19" i="6"/>
  <c r="AN19" i="6"/>
  <c r="E20" i="6"/>
  <c r="J20" i="6"/>
  <c r="O20" i="6"/>
  <c r="T20" i="6"/>
  <c r="Y20" i="6"/>
  <c r="AD20" i="6"/>
  <c r="AI20" i="6"/>
  <c r="AN20" i="6"/>
  <c r="E21" i="6"/>
  <c r="E70" i="6" s="1"/>
  <c r="F70" i="6" s="1"/>
  <c r="G70" i="6" s="1"/>
  <c r="J21" i="6"/>
  <c r="J70" i="6" s="1"/>
  <c r="K70" i="6" s="1"/>
  <c r="L70" i="6" s="1"/>
  <c r="O21" i="6"/>
  <c r="O70" i="6" s="1"/>
  <c r="P70" i="6" s="1"/>
  <c r="Q70" i="6" s="1"/>
  <c r="T21" i="6"/>
  <c r="T70" i="6" s="1"/>
  <c r="U70" i="6" s="1"/>
  <c r="V70" i="6" s="1"/>
  <c r="Y21" i="6"/>
  <c r="Y70" i="6" s="1"/>
  <c r="Z70" i="6" s="1"/>
  <c r="AA70" i="6" s="1"/>
  <c r="AD21" i="6"/>
  <c r="AD70" i="6" s="1"/>
  <c r="AE70" i="6" s="1"/>
  <c r="AF70" i="6" s="1"/>
  <c r="AI21" i="6"/>
  <c r="AI70" i="6" s="1"/>
  <c r="AJ70" i="6" s="1"/>
  <c r="AK70" i="6" s="1"/>
  <c r="AN21" i="6"/>
  <c r="AN70" i="6" s="1"/>
  <c r="AO70" i="6" s="1"/>
  <c r="AP70" i="6" s="1"/>
  <c r="E22" i="6"/>
  <c r="E69" i="6" s="1"/>
  <c r="F69" i="6" s="1"/>
  <c r="G69" i="6" s="1"/>
  <c r="J22" i="6"/>
  <c r="J69" i="6" s="1"/>
  <c r="K69" i="6" s="1"/>
  <c r="L69" i="6" s="1"/>
  <c r="O22" i="6"/>
  <c r="O69" i="6" s="1"/>
  <c r="P69" i="6" s="1"/>
  <c r="Q69" i="6" s="1"/>
  <c r="T22" i="6"/>
  <c r="T69" i="6" s="1"/>
  <c r="U69" i="6" s="1"/>
  <c r="V69" i="6" s="1"/>
  <c r="Y22" i="6"/>
  <c r="Y69" i="6" s="1"/>
  <c r="Z69" i="6" s="1"/>
  <c r="AA69" i="6" s="1"/>
  <c r="AD22" i="6"/>
  <c r="AD69" i="6" s="1"/>
  <c r="AE69" i="6" s="1"/>
  <c r="AF69" i="6" s="1"/>
  <c r="AI22" i="6"/>
  <c r="AI69" i="6" s="1"/>
  <c r="AJ69" i="6" s="1"/>
  <c r="AK69" i="6" s="1"/>
  <c r="AN22" i="6"/>
  <c r="AN69" i="6" s="1"/>
  <c r="AO69" i="6" s="1"/>
  <c r="AP69" i="6" s="1"/>
  <c r="E23" i="6"/>
  <c r="J23" i="6"/>
  <c r="O23" i="6"/>
  <c r="T23" i="6"/>
  <c r="Y23" i="6"/>
  <c r="AD23" i="6"/>
  <c r="AI23" i="6"/>
  <c r="AN23" i="6"/>
  <c r="E24" i="6"/>
  <c r="J24" i="6"/>
  <c r="O24" i="6"/>
  <c r="T24" i="6"/>
  <c r="Y24" i="6"/>
  <c r="AD24" i="6"/>
  <c r="AI24" i="6"/>
  <c r="AN24" i="6"/>
  <c r="E25" i="6"/>
  <c r="E66" i="6" s="1"/>
  <c r="F66" i="6" s="1"/>
  <c r="G66" i="6" s="1"/>
  <c r="J25" i="6"/>
  <c r="O25" i="6"/>
  <c r="O66" i="6" s="1"/>
  <c r="P66" i="6" s="1"/>
  <c r="Q66" i="6" s="1"/>
  <c r="T25" i="6"/>
  <c r="T66" i="6" s="1"/>
  <c r="U66" i="6" s="1"/>
  <c r="V66" i="6" s="1"/>
  <c r="Y25" i="6"/>
  <c r="Y66" i="6" s="1"/>
  <c r="Z66" i="6" s="1"/>
  <c r="AA66" i="6" s="1"/>
  <c r="AD25" i="6"/>
  <c r="AD66" i="6" s="1"/>
  <c r="AE66" i="6" s="1"/>
  <c r="AF66" i="6" s="1"/>
  <c r="AI25" i="6"/>
  <c r="AI66" i="6" s="1"/>
  <c r="AJ66" i="6" s="1"/>
  <c r="AK66" i="6" s="1"/>
  <c r="AN25" i="6"/>
  <c r="AN66" i="6" s="1"/>
  <c r="AO66" i="6" s="1"/>
  <c r="AP66" i="6" s="1"/>
  <c r="E26" i="6"/>
  <c r="E65" i="6" s="1"/>
  <c r="F65" i="6" s="1"/>
  <c r="G65" i="6" s="1"/>
  <c r="J26" i="6"/>
  <c r="J65" i="6" s="1"/>
  <c r="K65" i="6" s="1"/>
  <c r="L65" i="6" s="1"/>
  <c r="O26" i="6"/>
  <c r="O65" i="6" s="1"/>
  <c r="P65" i="6" s="1"/>
  <c r="Q65" i="6" s="1"/>
  <c r="T26" i="6"/>
  <c r="T65" i="6" s="1"/>
  <c r="U65" i="6" s="1"/>
  <c r="V65" i="6" s="1"/>
  <c r="Y26" i="6"/>
  <c r="Y65" i="6" s="1"/>
  <c r="Z65" i="6" s="1"/>
  <c r="AA65" i="6" s="1"/>
  <c r="AD26" i="6"/>
  <c r="AD65" i="6" s="1"/>
  <c r="AE65" i="6" s="1"/>
  <c r="AF65" i="6" s="1"/>
  <c r="AI26" i="6"/>
  <c r="AI65" i="6" s="1"/>
  <c r="AJ65" i="6" s="1"/>
  <c r="AK65" i="6" s="1"/>
  <c r="AN26" i="6"/>
  <c r="AN65" i="6" s="1"/>
  <c r="AO65" i="6" s="1"/>
  <c r="AP65" i="6" s="1"/>
  <c r="E27" i="6"/>
  <c r="J27" i="6"/>
  <c r="O27" i="6"/>
  <c r="T27" i="6"/>
  <c r="Y27" i="6"/>
  <c r="AD27" i="6"/>
  <c r="AI27" i="6"/>
  <c r="AN27" i="6"/>
  <c r="E28" i="6"/>
  <c r="J28" i="6"/>
  <c r="O28" i="6"/>
  <c r="T28" i="6"/>
  <c r="Y28" i="6"/>
  <c r="AD28" i="6"/>
  <c r="AI28" i="6"/>
  <c r="AN28" i="6"/>
  <c r="E29" i="6"/>
  <c r="J29" i="6"/>
  <c r="O29" i="6"/>
  <c r="T29" i="6"/>
  <c r="Y29" i="6"/>
  <c r="AD29" i="6"/>
  <c r="AI29" i="6"/>
  <c r="AN29" i="6"/>
  <c r="E30" i="6"/>
  <c r="E64" i="6" s="1"/>
  <c r="F64" i="6" s="1"/>
  <c r="G64" i="6" s="1"/>
  <c r="J30" i="6"/>
  <c r="J64" i="6" s="1"/>
  <c r="K64" i="6" s="1"/>
  <c r="L64" i="6" s="1"/>
  <c r="O30" i="6"/>
  <c r="O64" i="6" s="1"/>
  <c r="P64" i="6" s="1"/>
  <c r="Q64" i="6" s="1"/>
  <c r="T30" i="6"/>
  <c r="T64" i="6" s="1"/>
  <c r="U64" i="6" s="1"/>
  <c r="V64" i="6" s="1"/>
  <c r="Y30" i="6"/>
  <c r="Y64" i="6" s="1"/>
  <c r="Z64" i="6" s="1"/>
  <c r="AA64" i="6" s="1"/>
  <c r="AD30" i="6"/>
  <c r="AD64" i="6" s="1"/>
  <c r="AE64" i="6" s="1"/>
  <c r="AF64" i="6" s="1"/>
  <c r="AI30" i="6"/>
  <c r="AI64" i="6" s="1"/>
  <c r="AJ64" i="6" s="1"/>
  <c r="AK64" i="6" s="1"/>
  <c r="AN30" i="6"/>
  <c r="AN64" i="6" s="1"/>
  <c r="AO64" i="6" s="1"/>
  <c r="AP64" i="6" s="1"/>
  <c r="E31" i="6"/>
  <c r="J31" i="6"/>
  <c r="O31" i="6"/>
  <c r="T31" i="6"/>
  <c r="Y31" i="6"/>
  <c r="AD31" i="6"/>
  <c r="AI31" i="6"/>
  <c r="AN31" i="6"/>
  <c r="E32" i="6"/>
  <c r="J32" i="6"/>
  <c r="O32" i="6"/>
  <c r="T32" i="6"/>
  <c r="Y32" i="6"/>
  <c r="AD32" i="6"/>
  <c r="AI32" i="6"/>
  <c r="AN32" i="6"/>
  <c r="E33" i="6"/>
  <c r="E67" i="6" s="1"/>
  <c r="F67" i="6" s="1"/>
  <c r="J33" i="6"/>
  <c r="O33" i="6"/>
  <c r="T33" i="6"/>
  <c r="Y33" i="6"/>
  <c r="AD33" i="6"/>
  <c r="AI33" i="6"/>
  <c r="AN33" i="6"/>
  <c r="E34" i="6"/>
  <c r="E68" i="6" s="1"/>
  <c r="F68" i="6" s="1"/>
  <c r="G68" i="6" s="1"/>
  <c r="J34" i="6"/>
  <c r="O34" i="6"/>
  <c r="T34" i="6"/>
  <c r="T68" i="6" s="1"/>
  <c r="U68" i="6" s="1"/>
  <c r="V68" i="6" s="1"/>
  <c r="Y34" i="6"/>
  <c r="Y68" i="6" s="1"/>
  <c r="Z68" i="6" s="1"/>
  <c r="AA68" i="6" s="1"/>
  <c r="AD34" i="6"/>
  <c r="AI34" i="6"/>
  <c r="AN34" i="6"/>
  <c r="E35" i="6"/>
  <c r="J35" i="6"/>
  <c r="O35" i="6"/>
  <c r="T35" i="6"/>
  <c r="Y35" i="6"/>
  <c r="AD35" i="6"/>
  <c r="AI35" i="6"/>
  <c r="AN35" i="6"/>
  <c r="E36" i="6"/>
  <c r="J36" i="6"/>
  <c r="O36" i="6"/>
  <c r="T36" i="6"/>
  <c r="Y36" i="6"/>
  <c r="AD36" i="6"/>
  <c r="AI36" i="6"/>
  <c r="AN36" i="6"/>
  <c r="E37" i="6"/>
  <c r="J37" i="6"/>
  <c r="O37" i="6"/>
  <c r="T37" i="6"/>
  <c r="Y37" i="6"/>
  <c r="AD37" i="6"/>
  <c r="AI37" i="6"/>
  <c r="AN37" i="6"/>
  <c r="E38" i="6"/>
  <c r="E72" i="6" s="1"/>
  <c r="F72" i="6" s="1"/>
  <c r="G72" i="6" s="1"/>
  <c r="J38" i="6"/>
  <c r="J72" i="6" s="1"/>
  <c r="K72" i="6" s="1"/>
  <c r="L72" i="6" s="1"/>
  <c r="O38" i="6"/>
  <c r="O72" i="6" s="1"/>
  <c r="P72" i="6" s="1"/>
  <c r="Q72" i="6" s="1"/>
  <c r="T38" i="6"/>
  <c r="T72" i="6" s="1"/>
  <c r="U72" i="6" s="1"/>
  <c r="V72" i="6" s="1"/>
  <c r="Y38" i="6"/>
  <c r="Y72" i="6" s="1"/>
  <c r="Z72" i="6" s="1"/>
  <c r="AA72" i="6" s="1"/>
  <c r="AD38" i="6"/>
  <c r="AD72" i="6" s="1"/>
  <c r="AE72" i="6" s="1"/>
  <c r="AF72" i="6" s="1"/>
  <c r="AI38" i="6"/>
  <c r="AI72" i="6" s="1"/>
  <c r="AJ72" i="6" s="1"/>
  <c r="AK72" i="6" s="1"/>
  <c r="AN38" i="6"/>
  <c r="AN72" i="6" s="1"/>
  <c r="AO72" i="6" s="1"/>
  <c r="AP72" i="6" s="1"/>
  <c r="E39" i="6"/>
  <c r="J39" i="6"/>
  <c r="O39" i="6"/>
  <c r="T39" i="6"/>
  <c r="Y39" i="6"/>
  <c r="AD39" i="6"/>
  <c r="AI39" i="6"/>
  <c r="AN39" i="6"/>
  <c r="E40" i="6"/>
  <c r="J40" i="6"/>
  <c r="O40" i="6"/>
  <c r="T40" i="6"/>
  <c r="Y40" i="6"/>
  <c r="AD40" i="6"/>
  <c r="AI40" i="6"/>
  <c r="AN40" i="6"/>
  <c r="E41" i="6"/>
  <c r="E80" i="6" s="1"/>
  <c r="F80" i="6" s="1"/>
  <c r="G80" i="6" s="1"/>
  <c r="J41" i="6"/>
  <c r="J80" i="6" s="1"/>
  <c r="K80" i="6" s="1"/>
  <c r="L80" i="6" s="1"/>
  <c r="O41" i="6"/>
  <c r="O80" i="6" s="1"/>
  <c r="P80" i="6" s="1"/>
  <c r="Q80" i="6" s="1"/>
  <c r="T41" i="6"/>
  <c r="T80" i="6" s="1"/>
  <c r="U80" i="6" s="1"/>
  <c r="V80" i="6" s="1"/>
  <c r="Y41" i="6"/>
  <c r="Y80" i="6" s="1"/>
  <c r="Z80" i="6" s="1"/>
  <c r="AA80" i="6" s="1"/>
  <c r="AD41" i="6"/>
  <c r="AD80" i="6" s="1"/>
  <c r="AE80" i="6" s="1"/>
  <c r="AF80" i="6" s="1"/>
  <c r="AI41" i="6"/>
  <c r="AI80" i="6" s="1"/>
  <c r="AJ80" i="6" s="1"/>
  <c r="AK80" i="6" s="1"/>
  <c r="AN41" i="6"/>
  <c r="AN80" i="6" s="1"/>
  <c r="AO80" i="6" s="1"/>
  <c r="AP80" i="6" s="1"/>
  <c r="E42" i="6"/>
  <c r="E79" i="6" s="1"/>
  <c r="F79" i="6" s="1"/>
  <c r="G79" i="6" s="1"/>
  <c r="J42" i="6"/>
  <c r="J79" i="6" s="1"/>
  <c r="K79" i="6" s="1"/>
  <c r="L79" i="6" s="1"/>
  <c r="O42" i="6"/>
  <c r="O79" i="6" s="1"/>
  <c r="P79" i="6" s="1"/>
  <c r="Q79" i="6" s="1"/>
  <c r="T42" i="6"/>
  <c r="T79" i="6" s="1"/>
  <c r="U79" i="6" s="1"/>
  <c r="V79" i="6" s="1"/>
  <c r="Y42" i="6"/>
  <c r="Y79" i="6" s="1"/>
  <c r="Z79" i="6" s="1"/>
  <c r="AA79" i="6" s="1"/>
  <c r="AD42" i="6"/>
  <c r="AD79" i="6" s="1"/>
  <c r="AE79" i="6" s="1"/>
  <c r="AF79" i="6" s="1"/>
  <c r="AI42" i="6"/>
  <c r="AI79" i="6" s="1"/>
  <c r="AJ79" i="6" s="1"/>
  <c r="AK79" i="6" s="1"/>
  <c r="AN42" i="6"/>
  <c r="AN79" i="6" s="1"/>
  <c r="AO79" i="6" s="1"/>
  <c r="AP79" i="6" s="1"/>
  <c r="E43" i="6"/>
  <c r="J43" i="6"/>
  <c r="O43" i="6"/>
  <c r="T43" i="6"/>
  <c r="Y43" i="6"/>
  <c r="AD43" i="6"/>
  <c r="AI43" i="6"/>
  <c r="AN43" i="6"/>
  <c r="E44" i="6"/>
  <c r="J44" i="6"/>
  <c r="O44" i="6"/>
  <c r="T44" i="6"/>
  <c r="Y44" i="6"/>
  <c r="AD44" i="6"/>
  <c r="AI44" i="6"/>
  <c r="AN44" i="6"/>
  <c r="E45" i="6"/>
  <c r="E76" i="6" s="1"/>
  <c r="F76" i="6" s="1"/>
  <c r="G76" i="6" s="1"/>
  <c r="J45" i="6"/>
  <c r="J76" i="6" s="1"/>
  <c r="K76" i="6" s="1"/>
  <c r="L76" i="6" s="1"/>
  <c r="O45" i="6"/>
  <c r="O76" i="6" s="1"/>
  <c r="P76" i="6" s="1"/>
  <c r="T45" i="6"/>
  <c r="T76" i="6" s="1"/>
  <c r="U76" i="6" s="1"/>
  <c r="V76" i="6" s="1"/>
  <c r="Y45" i="6"/>
  <c r="Y76" i="6" s="1"/>
  <c r="Z76" i="6" s="1"/>
  <c r="AD45" i="6"/>
  <c r="AD76" i="6" s="1"/>
  <c r="AE76" i="6" s="1"/>
  <c r="AF76" i="6" s="1"/>
  <c r="AI45" i="6"/>
  <c r="AI76" i="6" s="1"/>
  <c r="AJ76" i="6" s="1"/>
  <c r="AK76" i="6" s="1"/>
  <c r="AN45" i="6"/>
  <c r="AN76" i="6" s="1"/>
  <c r="AO76" i="6" s="1"/>
  <c r="AP76" i="6" s="1"/>
  <c r="E46" i="6"/>
  <c r="E75" i="6" s="1"/>
  <c r="F75" i="6" s="1"/>
  <c r="G75" i="6" s="1"/>
  <c r="J46" i="6"/>
  <c r="J75" i="6" s="1"/>
  <c r="K75" i="6" s="1"/>
  <c r="L75" i="6" s="1"/>
  <c r="O46" i="6"/>
  <c r="O75" i="6" s="1"/>
  <c r="P75" i="6" s="1"/>
  <c r="Q75" i="6" s="1"/>
  <c r="T46" i="6"/>
  <c r="T75" i="6" s="1"/>
  <c r="U75" i="6" s="1"/>
  <c r="V75" i="6" s="1"/>
  <c r="Y46" i="6"/>
  <c r="Y75" i="6" s="1"/>
  <c r="Z75" i="6" s="1"/>
  <c r="AA75" i="6" s="1"/>
  <c r="AD46" i="6"/>
  <c r="AD75" i="6" s="1"/>
  <c r="AE75" i="6" s="1"/>
  <c r="AF75" i="6" s="1"/>
  <c r="AI46" i="6"/>
  <c r="AI75" i="6" s="1"/>
  <c r="AJ75" i="6" s="1"/>
  <c r="AK75" i="6" s="1"/>
  <c r="AN46" i="6"/>
  <c r="AN75" i="6" s="1"/>
  <c r="AO75" i="6" s="1"/>
  <c r="AP75" i="6" s="1"/>
  <c r="E47" i="6"/>
  <c r="J47" i="6"/>
  <c r="O47" i="6"/>
  <c r="T47" i="6"/>
  <c r="Y47" i="6"/>
  <c r="AD47" i="6"/>
  <c r="AI47" i="6"/>
  <c r="AN47" i="6"/>
  <c r="E48" i="6"/>
  <c r="J48" i="6"/>
  <c r="O48" i="6"/>
  <c r="T48" i="6"/>
  <c r="Y48" i="6"/>
  <c r="AD48" i="6"/>
  <c r="AI48" i="6"/>
  <c r="AI73" i="6" s="1"/>
  <c r="AJ73" i="6" s="1"/>
  <c r="AK73" i="6" s="1"/>
  <c r="AN48" i="6"/>
  <c r="E49" i="6"/>
  <c r="J49" i="6"/>
  <c r="O49" i="6"/>
  <c r="T49" i="6"/>
  <c r="Y49" i="6"/>
  <c r="Y73" i="6" s="1"/>
  <c r="Z73" i="6" s="1"/>
  <c r="AA73" i="6" s="1"/>
  <c r="AD49" i="6"/>
  <c r="AD73" i="6" s="1"/>
  <c r="AE73" i="6" s="1"/>
  <c r="AF73" i="6" s="1"/>
  <c r="AI49" i="6"/>
  <c r="AN49" i="6"/>
  <c r="E50" i="6"/>
  <c r="E74" i="6" s="1"/>
  <c r="F74" i="6" s="1"/>
  <c r="G74" i="6" s="1"/>
  <c r="J50" i="6"/>
  <c r="J74" i="6" s="1"/>
  <c r="K74" i="6" s="1"/>
  <c r="L74" i="6" s="1"/>
  <c r="O50" i="6"/>
  <c r="O74" i="6" s="1"/>
  <c r="P74" i="6" s="1"/>
  <c r="Q74" i="6" s="1"/>
  <c r="T50" i="6"/>
  <c r="T74" i="6" s="1"/>
  <c r="U74" i="6" s="1"/>
  <c r="V74" i="6" s="1"/>
  <c r="Y50" i="6"/>
  <c r="AD50" i="6"/>
  <c r="AI50" i="6"/>
  <c r="AN50" i="6"/>
  <c r="AN74" i="6" s="1"/>
  <c r="AO74" i="6" s="1"/>
  <c r="AP74" i="6" s="1"/>
  <c r="E51" i="6"/>
  <c r="J51" i="6"/>
  <c r="O51" i="6"/>
  <c r="T51" i="6"/>
  <c r="Y51" i="6"/>
  <c r="AD51" i="6"/>
  <c r="AI51" i="6"/>
  <c r="AN51" i="6"/>
  <c r="E52" i="6"/>
  <c r="J52" i="6"/>
  <c r="O52" i="6"/>
  <c r="T52" i="6"/>
  <c r="Y52" i="6"/>
  <c r="AD52" i="6"/>
  <c r="AI52" i="6"/>
  <c r="AN52" i="6"/>
  <c r="E53" i="6"/>
  <c r="J53" i="6"/>
  <c r="O53" i="6"/>
  <c r="O77" i="6" s="1"/>
  <c r="P77" i="6" s="1"/>
  <c r="Q77" i="6" s="1"/>
  <c r="T53" i="6"/>
  <c r="Y53" i="6"/>
  <c r="AD53" i="6"/>
  <c r="AI53" i="6"/>
  <c r="AN53" i="6"/>
  <c r="E54" i="6"/>
  <c r="E78" i="6" s="1"/>
  <c r="F78" i="6" s="1"/>
  <c r="G78" i="6" s="1"/>
  <c r="J54" i="6"/>
  <c r="J78" i="6" s="1"/>
  <c r="K78" i="6" s="1"/>
  <c r="L78" i="6" s="1"/>
  <c r="O54" i="6"/>
  <c r="O78" i="6" s="1"/>
  <c r="P78" i="6" s="1"/>
  <c r="Q78" i="6" s="1"/>
  <c r="T54" i="6"/>
  <c r="T78" i="6" s="1"/>
  <c r="U78" i="6" s="1"/>
  <c r="V78" i="6" s="1"/>
  <c r="Y54" i="6"/>
  <c r="Y78" i="6" s="1"/>
  <c r="Z78" i="6" s="1"/>
  <c r="AA78" i="6" s="1"/>
  <c r="AD54" i="6"/>
  <c r="AD78" i="6" s="1"/>
  <c r="AE78" i="6" s="1"/>
  <c r="AF78" i="6" s="1"/>
  <c r="AI54" i="6"/>
  <c r="AN54" i="6"/>
  <c r="AN78" i="6" s="1"/>
  <c r="AO78" i="6" s="1"/>
  <c r="AP78" i="6" s="1"/>
  <c r="E55" i="6"/>
  <c r="J55" i="6"/>
  <c r="O55" i="6"/>
  <c r="T55" i="6"/>
  <c r="Y55" i="6"/>
  <c r="AD55" i="6"/>
  <c r="AI55" i="6"/>
  <c r="AN55" i="6"/>
  <c r="E56" i="6"/>
  <c r="J56" i="6"/>
  <c r="O56" i="6"/>
  <c r="T56" i="6"/>
  <c r="Y56" i="6"/>
  <c r="AD56" i="6"/>
  <c r="AI56" i="6"/>
  <c r="AN56" i="6"/>
  <c r="E57" i="6"/>
  <c r="J57" i="6"/>
  <c r="O57" i="6"/>
  <c r="T57" i="6"/>
  <c r="Y57" i="6"/>
  <c r="AD57" i="6"/>
  <c r="AD81" i="6" s="1"/>
  <c r="AE81" i="6" s="1"/>
  <c r="AF81" i="6" s="1"/>
  <c r="AI57" i="6"/>
  <c r="AN57" i="6"/>
  <c r="E58" i="6"/>
  <c r="E82" i="6" s="1"/>
  <c r="F82" i="6" s="1"/>
  <c r="G82" i="6" s="1"/>
  <c r="J58" i="6"/>
  <c r="J82" i="6" s="1"/>
  <c r="K82" i="6" s="1"/>
  <c r="L82" i="6" s="1"/>
  <c r="O58" i="6"/>
  <c r="O82" i="6" s="1"/>
  <c r="P82" i="6" s="1"/>
  <c r="Q82" i="6" s="1"/>
  <c r="T58" i="6"/>
  <c r="T82" i="6" s="1"/>
  <c r="U82" i="6" s="1"/>
  <c r="V82" i="6" s="1"/>
  <c r="Y58" i="6"/>
  <c r="Y82" i="6" s="1"/>
  <c r="Z82" i="6" s="1"/>
  <c r="AA82" i="6" s="1"/>
  <c r="AD58" i="6"/>
  <c r="AD82" i="6" s="1"/>
  <c r="AE82" i="6" s="1"/>
  <c r="AF82" i="6" s="1"/>
  <c r="AI58" i="6"/>
  <c r="AN58" i="6"/>
  <c r="AN82" i="6" s="1"/>
  <c r="AO82" i="6" s="1"/>
  <c r="AP82" i="6" s="1"/>
  <c r="J66" i="6"/>
  <c r="K66" i="6" s="1"/>
  <c r="L66" i="6" s="1"/>
  <c r="G67" i="6"/>
  <c r="J67" i="6"/>
  <c r="K67" i="6" s="1"/>
  <c r="L67" i="6" s="1"/>
  <c r="Y67" i="6"/>
  <c r="Z67" i="6"/>
  <c r="AA67" i="6"/>
  <c r="AD67" i="6"/>
  <c r="AE67" i="6"/>
  <c r="AF67" i="6"/>
  <c r="AI67" i="6"/>
  <c r="AJ67" i="6" s="1"/>
  <c r="AK67" i="6" s="1"/>
  <c r="J68" i="6"/>
  <c r="K68" i="6"/>
  <c r="L68" i="6"/>
  <c r="O68" i="6"/>
  <c r="P68" i="6" s="1"/>
  <c r="Q68" i="6" s="1"/>
  <c r="E71" i="6"/>
  <c r="F71" i="6"/>
  <c r="G71" i="6"/>
  <c r="J71" i="6"/>
  <c r="K71" i="6"/>
  <c r="L71" i="6"/>
  <c r="Q76" i="6"/>
  <c r="AA76" i="6"/>
  <c r="AN77" i="6"/>
  <c r="AO77" i="6"/>
  <c r="AP77" i="6" s="1"/>
  <c r="E81" i="6"/>
  <c r="F81" i="6"/>
  <c r="G81" i="6"/>
  <c r="Y81" i="6"/>
  <c r="Z81" i="6"/>
  <c r="AA81" i="6"/>
  <c r="E88" i="6"/>
  <c r="J88" i="6"/>
  <c r="O88" i="6"/>
  <c r="T88" i="6"/>
  <c r="Y88" i="6"/>
  <c r="AD88" i="6"/>
  <c r="AI88" i="6"/>
  <c r="AN88" i="6"/>
  <c r="AS88" i="6"/>
  <c r="E89" i="6"/>
  <c r="J89" i="6"/>
  <c r="O89" i="6"/>
  <c r="T89" i="6"/>
  <c r="Y89" i="6"/>
  <c r="AD89" i="6"/>
  <c r="AI89" i="6"/>
  <c r="AN89" i="6"/>
  <c r="AS89" i="6"/>
  <c r="E90" i="6"/>
  <c r="J90" i="6"/>
  <c r="O90" i="6"/>
  <c r="T90" i="6"/>
  <c r="Y90" i="6"/>
  <c r="AD90" i="6"/>
  <c r="AI90" i="6"/>
  <c r="AN90" i="6"/>
  <c r="AS90" i="6"/>
  <c r="E91" i="6"/>
  <c r="J91" i="6"/>
  <c r="J140" i="6" s="1"/>
  <c r="K140" i="6" s="1"/>
  <c r="L140" i="6" s="1"/>
  <c r="O91" i="6"/>
  <c r="O140" i="6" s="1"/>
  <c r="P140" i="6" s="1"/>
  <c r="Q140" i="6" s="1"/>
  <c r="T91" i="6"/>
  <c r="T140" i="6" s="1"/>
  <c r="U140" i="6" s="1"/>
  <c r="V140" i="6" s="1"/>
  <c r="Y91" i="6"/>
  <c r="Y140" i="6" s="1"/>
  <c r="Z140" i="6" s="1"/>
  <c r="AA140" i="6" s="1"/>
  <c r="AD91" i="6"/>
  <c r="AD140" i="6" s="1"/>
  <c r="AE140" i="6" s="1"/>
  <c r="AF140" i="6" s="1"/>
  <c r="AI91" i="6"/>
  <c r="AI140" i="6" s="1"/>
  <c r="AJ140" i="6" s="1"/>
  <c r="AK140" i="6" s="1"/>
  <c r="AN91" i="6"/>
  <c r="AS91" i="6"/>
  <c r="AS140" i="6" s="1"/>
  <c r="AT140" i="6" s="1"/>
  <c r="AU140" i="6" s="1"/>
  <c r="E92" i="6"/>
  <c r="E139" i="6" s="1"/>
  <c r="F139" i="6" s="1"/>
  <c r="G139" i="6" s="1"/>
  <c r="J92" i="6"/>
  <c r="J139" i="6" s="1"/>
  <c r="K139" i="6" s="1"/>
  <c r="L139" i="6" s="1"/>
  <c r="O92" i="6"/>
  <c r="O139" i="6" s="1"/>
  <c r="P139" i="6" s="1"/>
  <c r="Q139" i="6" s="1"/>
  <c r="T92" i="6"/>
  <c r="T139" i="6" s="1"/>
  <c r="U139" i="6" s="1"/>
  <c r="Y92" i="6"/>
  <c r="AD92" i="6"/>
  <c r="AI92" i="6"/>
  <c r="AN92" i="6"/>
  <c r="AS92" i="6"/>
  <c r="E93" i="6"/>
  <c r="J93" i="6"/>
  <c r="O93" i="6"/>
  <c r="T93" i="6"/>
  <c r="Y93" i="6"/>
  <c r="Y138" i="6" s="1"/>
  <c r="Z138" i="6" s="1"/>
  <c r="AA138" i="6" s="1"/>
  <c r="AD93" i="6"/>
  <c r="AI93" i="6"/>
  <c r="AN93" i="6"/>
  <c r="AS93" i="6"/>
  <c r="AS138" i="6" s="1"/>
  <c r="AT138" i="6" s="1"/>
  <c r="AU138" i="6" s="1"/>
  <c r="E94" i="6"/>
  <c r="J94" i="6"/>
  <c r="O94" i="6"/>
  <c r="T94" i="6"/>
  <c r="Y94" i="6"/>
  <c r="AD94" i="6"/>
  <c r="AD137" i="6" s="1"/>
  <c r="AE137" i="6" s="1"/>
  <c r="AF137" i="6" s="1"/>
  <c r="AI94" i="6"/>
  <c r="AI137" i="6" s="1"/>
  <c r="AJ137" i="6" s="1"/>
  <c r="AK137" i="6" s="1"/>
  <c r="AN94" i="6"/>
  <c r="AN137" i="6" s="1"/>
  <c r="AO137" i="6" s="1"/>
  <c r="AP137" i="6" s="1"/>
  <c r="AS94" i="6"/>
  <c r="AS137" i="6" s="1"/>
  <c r="AT137" i="6" s="1"/>
  <c r="E95" i="6"/>
  <c r="E136" i="6" s="1"/>
  <c r="F136" i="6" s="1"/>
  <c r="G136" i="6" s="1"/>
  <c r="J95" i="6"/>
  <c r="O95" i="6"/>
  <c r="T95" i="6"/>
  <c r="T136" i="6" s="1"/>
  <c r="U136" i="6" s="1"/>
  <c r="V136" i="6" s="1"/>
  <c r="Y95" i="6"/>
  <c r="Y136" i="6" s="1"/>
  <c r="Z136" i="6" s="1"/>
  <c r="AD95" i="6"/>
  <c r="AD136" i="6" s="1"/>
  <c r="AE136" i="6" s="1"/>
  <c r="AF136" i="6" s="1"/>
  <c r="AI95" i="6"/>
  <c r="AN95" i="6"/>
  <c r="AS95" i="6"/>
  <c r="E96" i="6"/>
  <c r="J96" i="6"/>
  <c r="O96" i="6"/>
  <c r="T96" i="6"/>
  <c r="Y96" i="6"/>
  <c r="AD96" i="6"/>
  <c r="AI96" i="6"/>
  <c r="AN96" i="6"/>
  <c r="AN135" i="6" s="1"/>
  <c r="AO135" i="6" s="1"/>
  <c r="AP135" i="6" s="1"/>
  <c r="AS96" i="6"/>
  <c r="E97" i="6"/>
  <c r="J97" i="6"/>
  <c r="O97" i="6"/>
  <c r="T97" i="6"/>
  <c r="Y97" i="6"/>
  <c r="AD97" i="6"/>
  <c r="AI97" i="6"/>
  <c r="AI134" i="6" s="1"/>
  <c r="AJ134" i="6" s="1"/>
  <c r="AK134" i="6" s="1"/>
  <c r="AN97" i="6"/>
  <c r="AS97" i="6"/>
  <c r="E98" i="6"/>
  <c r="J98" i="6"/>
  <c r="O98" i="6"/>
  <c r="T98" i="6"/>
  <c r="Y98" i="6"/>
  <c r="AD98" i="6"/>
  <c r="AI98" i="6"/>
  <c r="AN98" i="6"/>
  <c r="AN134" i="6" s="1"/>
  <c r="AO134" i="6" s="1"/>
  <c r="AP134" i="6" s="1"/>
  <c r="AS98" i="6"/>
  <c r="AS134" i="6" s="1"/>
  <c r="AT134" i="6" s="1"/>
  <c r="AU134" i="6" s="1"/>
  <c r="E99" i="6"/>
  <c r="E135" i="6" s="1"/>
  <c r="F135" i="6" s="1"/>
  <c r="G135" i="6" s="1"/>
  <c r="J99" i="6"/>
  <c r="J135" i="6" s="1"/>
  <c r="K135" i="6" s="1"/>
  <c r="L135" i="6" s="1"/>
  <c r="O99" i="6"/>
  <c r="T99" i="6"/>
  <c r="Y99" i="6"/>
  <c r="Y135" i="6" s="1"/>
  <c r="Z135" i="6" s="1"/>
  <c r="AA135" i="6" s="1"/>
  <c r="AD99" i="6"/>
  <c r="AI99" i="6"/>
  <c r="AN99" i="6"/>
  <c r="AS99" i="6"/>
  <c r="E100" i="6"/>
  <c r="J100" i="6"/>
  <c r="O100" i="6"/>
  <c r="T100" i="6"/>
  <c r="Y100" i="6"/>
  <c r="AD100" i="6"/>
  <c r="AI100" i="6"/>
  <c r="AN100" i="6"/>
  <c r="AS100" i="6"/>
  <c r="E101" i="6"/>
  <c r="J101" i="6"/>
  <c r="O101" i="6"/>
  <c r="T101" i="6"/>
  <c r="Y101" i="6"/>
  <c r="AD101" i="6"/>
  <c r="AI101" i="6"/>
  <c r="AN101" i="6"/>
  <c r="AS101" i="6"/>
  <c r="E102" i="6"/>
  <c r="J102" i="6"/>
  <c r="J138" i="6" s="1"/>
  <c r="K138" i="6" s="1"/>
  <c r="L138" i="6" s="1"/>
  <c r="O102" i="6"/>
  <c r="T102" i="6"/>
  <c r="T138" i="6" s="1"/>
  <c r="U138" i="6" s="1"/>
  <c r="V138" i="6" s="1"/>
  <c r="Y102" i="6"/>
  <c r="AD102" i="6"/>
  <c r="AD138" i="6" s="1"/>
  <c r="AE138" i="6" s="1"/>
  <c r="AF138" i="6" s="1"/>
  <c r="AI102" i="6"/>
  <c r="AI138" i="6" s="1"/>
  <c r="AJ138" i="6" s="1"/>
  <c r="AK138" i="6" s="1"/>
  <c r="AN102" i="6"/>
  <c r="AS102" i="6"/>
  <c r="E103" i="6"/>
  <c r="J103" i="6"/>
  <c r="O103" i="6"/>
  <c r="T103" i="6"/>
  <c r="Y103" i="6"/>
  <c r="AD103" i="6"/>
  <c r="AI103" i="6"/>
  <c r="AN103" i="6"/>
  <c r="AS103" i="6"/>
  <c r="E104" i="6"/>
  <c r="J104" i="6"/>
  <c r="O104" i="6"/>
  <c r="T104" i="6"/>
  <c r="Y104" i="6"/>
  <c r="AD104" i="6"/>
  <c r="AI104" i="6"/>
  <c r="AN104" i="6"/>
  <c r="AS104" i="6"/>
  <c r="E105" i="6"/>
  <c r="J105" i="6"/>
  <c r="O105" i="6"/>
  <c r="T105" i="6"/>
  <c r="Y105" i="6"/>
  <c r="AD105" i="6"/>
  <c r="AI105" i="6"/>
  <c r="AI141" i="6" s="1"/>
  <c r="AJ141" i="6" s="1"/>
  <c r="AK141" i="6" s="1"/>
  <c r="AN105" i="6"/>
  <c r="AN141" i="6" s="1"/>
  <c r="AO141" i="6" s="1"/>
  <c r="AP141" i="6" s="1"/>
  <c r="AS105" i="6"/>
  <c r="AS141" i="6" s="1"/>
  <c r="AT141" i="6" s="1"/>
  <c r="AU141" i="6" s="1"/>
  <c r="E106" i="6"/>
  <c r="J106" i="6"/>
  <c r="O106" i="6"/>
  <c r="T106" i="6"/>
  <c r="T142" i="6" s="1"/>
  <c r="U142" i="6" s="1"/>
  <c r="V142" i="6" s="1"/>
  <c r="Y106" i="6"/>
  <c r="Y142" i="6" s="1"/>
  <c r="Z142" i="6" s="1"/>
  <c r="AD106" i="6"/>
  <c r="AI106" i="6"/>
  <c r="AN106" i="6"/>
  <c r="AS106" i="6"/>
  <c r="E107" i="6"/>
  <c r="J107" i="6"/>
  <c r="O107" i="6"/>
  <c r="T107" i="6"/>
  <c r="Y107" i="6"/>
  <c r="AD107" i="6"/>
  <c r="AI107" i="6"/>
  <c r="AN107" i="6"/>
  <c r="AS107" i="6"/>
  <c r="E108" i="6"/>
  <c r="J108" i="6"/>
  <c r="O108" i="6"/>
  <c r="T108" i="6"/>
  <c r="Y108" i="6"/>
  <c r="AD108" i="6"/>
  <c r="AI108" i="6"/>
  <c r="AN108" i="6"/>
  <c r="AN153" i="6" s="1"/>
  <c r="AO153" i="6" s="1"/>
  <c r="AP153" i="6" s="1"/>
  <c r="AS108" i="6"/>
  <c r="AS153" i="6" s="1"/>
  <c r="AT153" i="6" s="1"/>
  <c r="AU153" i="6" s="1"/>
  <c r="E109" i="6"/>
  <c r="E152" i="6" s="1"/>
  <c r="F152" i="6" s="1"/>
  <c r="G152" i="6" s="1"/>
  <c r="J109" i="6"/>
  <c r="J152" i="6" s="1"/>
  <c r="K152" i="6" s="1"/>
  <c r="L152" i="6" s="1"/>
  <c r="O109" i="6"/>
  <c r="O152" i="6" s="1"/>
  <c r="P152" i="6" s="1"/>
  <c r="Q152" i="6" s="1"/>
  <c r="T109" i="6"/>
  <c r="T152" i="6" s="1"/>
  <c r="U152" i="6" s="1"/>
  <c r="Y109" i="6"/>
  <c r="AD109" i="6"/>
  <c r="AD152" i="6" s="1"/>
  <c r="AE152" i="6" s="1"/>
  <c r="AF152" i="6" s="1"/>
  <c r="AI109" i="6"/>
  <c r="AN109" i="6"/>
  <c r="AS109" i="6"/>
  <c r="E110" i="6"/>
  <c r="E151" i="6" s="1"/>
  <c r="F151" i="6" s="1"/>
  <c r="G151" i="6" s="1"/>
  <c r="J110" i="6"/>
  <c r="J151" i="6" s="1"/>
  <c r="O110" i="6"/>
  <c r="T110" i="6"/>
  <c r="Y110" i="6"/>
  <c r="AD110" i="6"/>
  <c r="AI110" i="6"/>
  <c r="AN110" i="6"/>
  <c r="AS110" i="6"/>
  <c r="E111" i="6"/>
  <c r="J111" i="6"/>
  <c r="O111" i="6"/>
  <c r="T111" i="6"/>
  <c r="Y111" i="6"/>
  <c r="AD111" i="6"/>
  <c r="AI111" i="6"/>
  <c r="AI150" i="6" s="1"/>
  <c r="AJ150" i="6" s="1"/>
  <c r="AK150" i="6" s="1"/>
  <c r="AN111" i="6"/>
  <c r="AN150" i="6" s="1"/>
  <c r="AO150" i="6" s="1"/>
  <c r="AP150" i="6" s="1"/>
  <c r="AS111" i="6"/>
  <c r="AS150" i="6" s="1"/>
  <c r="AT150" i="6" s="1"/>
  <c r="AU150" i="6" s="1"/>
  <c r="E112" i="6"/>
  <c r="J112" i="6"/>
  <c r="O112" i="6"/>
  <c r="T112" i="6"/>
  <c r="Y112" i="6"/>
  <c r="AD112" i="6"/>
  <c r="AI112" i="6"/>
  <c r="AN112" i="6"/>
  <c r="AS112" i="6"/>
  <c r="E113" i="6"/>
  <c r="J113" i="6"/>
  <c r="J148" i="6" s="1"/>
  <c r="K148" i="6" s="1"/>
  <c r="L148" i="6" s="1"/>
  <c r="O113" i="6"/>
  <c r="O148" i="6" s="1"/>
  <c r="P148" i="6" s="1"/>
  <c r="T113" i="6"/>
  <c r="Y113" i="6"/>
  <c r="AD113" i="6"/>
  <c r="AI113" i="6"/>
  <c r="AN113" i="6"/>
  <c r="AS113" i="6"/>
  <c r="E114" i="6"/>
  <c r="J114" i="6"/>
  <c r="O114" i="6"/>
  <c r="T114" i="6"/>
  <c r="T147" i="6" s="1"/>
  <c r="U147" i="6" s="1"/>
  <c r="Y114" i="6"/>
  <c r="AD114" i="6"/>
  <c r="AD147" i="6" s="1"/>
  <c r="AE147" i="6" s="1"/>
  <c r="AF147" i="6" s="1"/>
  <c r="AI114" i="6"/>
  <c r="AN114" i="6"/>
  <c r="AS114" i="6"/>
  <c r="E115" i="6"/>
  <c r="J115" i="6"/>
  <c r="O115" i="6"/>
  <c r="T115" i="6"/>
  <c r="Y115" i="6"/>
  <c r="AD115" i="6"/>
  <c r="AI115" i="6"/>
  <c r="AN115" i="6"/>
  <c r="AS115" i="6"/>
  <c r="AS146" i="6" s="1"/>
  <c r="AT146" i="6" s="1"/>
  <c r="AU146" i="6" s="1"/>
  <c r="E116" i="6"/>
  <c r="E145" i="6" s="1"/>
  <c r="F145" i="6" s="1"/>
  <c r="G145" i="6" s="1"/>
  <c r="J116" i="6"/>
  <c r="J145" i="6" s="1"/>
  <c r="K145" i="6" s="1"/>
  <c r="L145" i="6" s="1"/>
  <c r="O116" i="6"/>
  <c r="O145" i="6" s="1"/>
  <c r="P145" i="6" s="1"/>
  <c r="Q145" i="6" s="1"/>
  <c r="T116" i="6"/>
  <c r="T145" i="6" s="1"/>
  <c r="U145" i="6" s="1"/>
  <c r="V145" i="6" s="1"/>
  <c r="Y116" i="6"/>
  <c r="Y145" i="6" s="1"/>
  <c r="Z145" i="6" s="1"/>
  <c r="AA145" i="6" s="1"/>
  <c r="AD116" i="6"/>
  <c r="AD145" i="6" s="1"/>
  <c r="AE145" i="6" s="1"/>
  <c r="AF145" i="6" s="1"/>
  <c r="AI116" i="6"/>
  <c r="AI145" i="6" s="1"/>
  <c r="AJ145" i="6" s="1"/>
  <c r="AK145" i="6" s="1"/>
  <c r="AN116" i="6"/>
  <c r="AN145" i="6" s="1"/>
  <c r="AO145" i="6" s="1"/>
  <c r="AP145" i="6" s="1"/>
  <c r="AS116" i="6"/>
  <c r="AS145" i="6" s="1"/>
  <c r="AT145" i="6" s="1"/>
  <c r="AU145" i="6" s="1"/>
  <c r="E117" i="6"/>
  <c r="E144" i="6" s="1"/>
  <c r="F144" i="6" s="1"/>
  <c r="G144" i="6" s="1"/>
  <c r="J117" i="6"/>
  <c r="J144" i="6" s="1"/>
  <c r="K144" i="6" s="1"/>
  <c r="L144" i="6" s="1"/>
  <c r="O117" i="6"/>
  <c r="O144" i="6" s="1"/>
  <c r="P144" i="6" s="1"/>
  <c r="Q144" i="6" s="1"/>
  <c r="T117" i="6"/>
  <c r="Y117" i="6"/>
  <c r="AD117" i="6"/>
  <c r="AI117" i="6"/>
  <c r="AN117" i="6"/>
  <c r="AS117" i="6"/>
  <c r="E118" i="6"/>
  <c r="J118" i="6"/>
  <c r="O118" i="6"/>
  <c r="T118" i="6"/>
  <c r="T144" i="6" s="1"/>
  <c r="U144" i="6" s="1"/>
  <c r="V144" i="6" s="1"/>
  <c r="Y118" i="6"/>
  <c r="AD118" i="6"/>
  <c r="AI118" i="6"/>
  <c r="AN118" i="6"/>
  <c r="AS118" i="6"/>
  <c r="E119" i="6"/>
  <c r="J119" i="6"/>
  <c r="O119" i="6"/>
  <c r="T119" i="6"/>
  <c r="Y119" i="6"/>
  <c r="AD119" i="6"/>
  <c r="AI119" i="6"/>
  <c r="AN119" i="6"/>
  <c r="AS119" i="6"/>
  <c r="E120" i="6"/>
  <c r="E146" i="6" s="1"/>
  <c r="J120" i="6"/>
  <c r="O120" i="6"/>
  <c r="T120" i="6"/>
  <c r="Y120" i="6"/>
  <c r="AD120" i="6"/>
  <c r="AI120" i="6"/>
  <c r="AN120" i="6"/>
  <c r="AN146" i="6" s="1"/>
  <c r="AO146" i="6" s="1"/>
  <c r="AP146" i="6" s="1"/>
  <c r="AS120" i="6"/>
  <c r="E121" i="6"/>
  <c r="J121" i="6"/>
  <c r="O121" i="6"/>
  <c r="T121" i="6"/>
  <c r="Y121" i="6"/>
  <c r="AD121" i="6"/>
  <c r="AI121" i="6"/>
  <c r="AN121" i="6"/>
  <c r="AS121" i="6"/>
  <c r="E122" i="6"/>
  <c r="J122" i="6"/>
  <c r="O122" i="6"/>
  <c r="T122" i="6"/>
  <c r="Y122" i="6"/>
  <c r="AD122" i="6"/>
  <c r="AI122" i="6"/>
  <c r="AN122" i="6"/>
  <c r="AS122" i="6"/>
  <c r="E123" i="6"/>
  <c r="E149" i="6" s="1"/>
  <c r="F149" i="6" s="1"/>
  <c r="G149" i="6" s="1"/>
  <c r="J123" i="6"/>
  <c r="J149" i="6" s="1"/>
  <c r="K149" i="6" s="1"/>
  <c r="L149" i="6" s="1"/>
  <c r="O123" i="6"/>
  <c r="O149" i="6" s="1"/>
  <c r="P149" i="6" s="1"/>
  <c r="Q149" i="6" s="1"/>
  <c r="T123" i="6"/>
  <c r="Y123" i="6"/>
  <c r="AD123" i="6"/>
  <c r="AI123" i="6"/>
  <c r="AN123" i="6"/>
  <c r="AS123" i="6"/>
  <c r="E124" i="6"/>
  <c r="E150" i="6" s="1"/>
  <c r="F150" i="6" s="1"/>
  <c r="G150" i="6" s="1"/>
  <c r="J124" i="6"/>
  <c r="O124" i="6"/>
  <c r="T124" i="6"/>
  <c r="Y124" i="6"/>
  <c r="AD124" i="6"/>
  <c r="AI124" i="6"/>
  <c r="AN124" i="6"/>
  <c r="AS124" i="6"/>
  <c r="E125" i="6"/>
  <c r="J125" i="6"/>
  <c r="O125" i="6"/>
  <c r="T125" i="6"/>
  <c r="Y125" i="6"/>
  <c r="Y151" i="6" s="1"/>
  <c r="Z151" i="6" s="1"/>
  <c r="AD125" i="6"/>
  <c r="AI125" i="6"/>
  <c r="AN125" i="6"/>
  <c r="AS125" i="6"/>
  <c r="E126" i="6"/>
  <c r="J126" i="6"/>
  <c r="O126" i="6"/>
  <c r="T126" i="6"/>
  <c r="Y126" i="6"/>
  <c r="AD126" i="6"/>
  <c r="AI126" i="6"/>
  <c r="AN126" i="6"/>
  <c r="AS126" i="6"/>
  <c r="AS152" i="6" s="1"/>
  <c r="AT152" i="6" s="1"/>
  <c r="AU152" i="6" s="1"/>
  <c r="E127" i="6"/>
  <c r="J127" i="6"/>
  <c r="O127" i="6"/>
  <c r="T127" i="6"/>
  <c r="Y127" i="6"/>
  <c r="Y153" i="6" s="1"/>
  <c r="Z153" i="6" s="1"/>
  <c r="AA153" i="6" s="1"/>
  <c r="AD127" i="6"/>
  <c r="AD153" i="6" s="1"/>
  <c r="AE153" i="6" s="1"/>
  <c r="AF153" i="6" s="1"/>
  <c r="AI127" i="6"/>
  <c r="AN127" i="6"/>
  <c r="AS127" i="6"/>
  <c r="E134" i="6"/>
  <c r="F134" i="6"/>
  <c r="G134" i="6" s="1"/>
  <c r="Y134" i="6"/>
  <c r="Z134" i="6"/>
  <c r="AA134" i="6"/>
  <c r="AD134" i="6"/>
  <c r="AE134" i="6" s="1"/>
  <c r="AF134" i="6" s="1"/>
  <c r="O135" i="6"/>
  <c r="P135" i="6"/>
  <c r="Q135" i="6"/>
  <c r="T135" i="6"/>
  <c r="U135" i="6"/>
  <c r="V135" i="6"/>
  <c r="AD135" i="6"/>
  <c r="AE135" i="6"/>
  <c r="AF135" i="6"/>
  <c r="AI135" i="6"/>
  <c r="AJ135" i="6"/>
  <c r="AK135" i="6" s="1"/>
  <c r="AS135" i="6"/>
  <c r="AT135" i="6"/>
  <c r="AU135" i="6"/>
  <c r="J136" i="6"/>
  <c r="K136" i="6"/>
  <c r="L136" i="6"/>
  <c r="O136" i="6"/>
  <c r="P136" i="6" s="1"/>
  <c r="Q136" i="6" s="1"/>
  <c r="AA136" i="6"/>
  <c r="AN136" i="6"/>
  <c r="AO136" i="6"/>
  <c r="AP136" i="6"/>
  <c r="AS136" i="6"/>
  <c r="AT136" i="6"/>
  <c r="AU136" i="6"/>
  <c r="E137" i="6"/>
  <c r="F137" i="6"/>
  <c r="G137" i="6"/>
  <c r="J137" i="6"/>
  <c r="K137" i="6"/>
  <c r="L137" i="6"/>
  <c r="O137" i="6"/>
  <c r="P137" i="6"/>
  <c r="Q137" i="6" s="1"/>
  <c r="T137" i="6"/>
  <c r="U137" i="6"/>
  <c r="V137" i="6"/>
  <c r="Y137" i="6"/>
  <c r="Z137" i="6"/>
  <c r="AA137" i="6"/>
  <c r="AU137" i="6"/>
  <c r="E138" i="6"/>
  <c r="F138" i="6" s="1"/>
  <c r="G138" i="6" s="1"/>
  <c r="O138" i="6"/>
  <c r="P138" i="6"/>
  <c r="Q138" i="6" s="1"/>
  <c r="AN138" i="6"/>
  <c r="AO138" i="6"/>
  <c r="AP138" i="6" s="1"/>
  <c r="V139" i="6"/>
  <c r="Y139" i="6"/>
  <c r="Z139" i="6"/>
  <c r="AA139" i="6" s="1"/>
  <c r="AD139" i="6"/>
  <c r="AE139" i="6"/>
  <c r="AF139" i="6"/>
  <c r="AI139" i="6"/>
  <c r="AJ139" i="6"/>
  <c r="AK139" i="6"/>
  <c r="AN139" i="6"/>
  <c r="AO139" i="6"/>
  <c r="AP139" i="6"/>
  <c r="AS139" i="6"/>
  <c r="AT139" i="6"/>
  <c r="AU139" i="6"/>
  <c r="E140" i="6"/>
  <c r="F140" i="6"/>
  <c r="G140" i="6" s="1"/>
  <c r="E141" i="6"/>
  <c r="F141" i="6"/>
  <c r="G141" i="6"/>
  <c r="J141" i="6"/>
  <c r="K141" i="6"/>
  <c r="L141" i="6" s="1"/>
  <c r="O141" i="6"/>
  <c r="P141" i="6" s="1"/>
  <c r="Q141" i="6" s="1"/>
  <c r="E142" i="6"/>
  <c r="F142" i="6"/>
  <c r="G142" i="6"/>
  <c r="J142" i="6"/>
  <c r="K142" i="6"/>
  <c r="L142" i="6"/>
  <c r="O142" i="6"/>
  <c r="P142" i="6"/>
  <c r="Q142" i="6"/>
  <c r="AA142" i="6"/>
  <c r="AI142" i="6"/>
  <c r="AJ142" i="6"/>
  <c r="AK142" i="6" s="1"/>
  <c r="AN142" i="6"/>
  <c r="AO142" i="6"/>
  <c r="AP142" i="6" s="1"/>
  <c r="AD143" i="6"/>
  <c r="AE143" i="6"/>
  <c r="AF143" i="6"/>
  <c r="AI143" i="6"/>
  <c r="AJ143" i="6"/>
  <c r="AK143" i="6" s="1"/>
  <c r="AS143" i="6"/>
  <c r="AT143" i="6"/>
  <c r="AU143" i="6"/>
  <c r="Y144" i="6"/>
  <c r="Z144" i="6"/>
  <c r="AA144" i="6" s="1"/>
  <c r="AD144" i="6"/>
  <c r="AE144" i="6"/>
  <c r="AF144" i="6"/>
  <c r="AI144" i="6"/>
  <c r="AJ144" i="6"/>
  <c r="AK144" i="6"/>
  <c r="AN144" i="6"/>
  <c r="AO144" i="6"/>
  <c r="AP144" i="6" s="1"/>
  <c r="AS144" i="6"/>
  <c r="AT144" i="6" s="1"/>
  <c r="AU144" i="6" s="1"/>
  <c r="F146" i="6"/>
  <c r="G146" i="6"/>
  <c r="O146" i="6"/>
  <c r="P146" i="6"/>
  <c r="Q146" i="6"/>
  <c r="T146" i="6"/>
  <c r="U146" i="6"/>
  <c r="V146" i="6"/>
  <c r="Y146" i="6"/>
  <c r="Z146" i="6"/>
  <c r="AA146" i="6"/>
  <c r="AD146" i="6"/>
  <c r="AE146" i="6"/>
  <c r="AF146" i="6"/>
  <c r="AI146" i="6"/>
  <c r="AJ146" i="6"/>
  <c r="AK146" i="6" s="1"/>
  <c r="E147" i="6"/>
  <c r="F147" i="6"/>
  <c r="G147" i="6"/>
  <c r="J147" i="6"/>
  <c r="K147" i="6"/>
  <c r="L147" i="6" s="1"/>
  <c r="O147" i="6"/>
  <c r="P147" i="6"/>
  <c r="Q147" i="6" s="1"/>
  <c r="V147" i="6"/>
  <c r="Y147" i="6"/>
  <c r="Z147" i="6" s="1"/>
  <c r="AA147" i="6" s="1"/>
  <c r="AI147" i="6"/>
  <c r="AJ147" i="6"/>
  <c r="AK147" i="6"/>
  <c r="AN147" i="6"/>
  <c r="AO147" i="6"/>
  <c r="AP147" i="6"/>
  <c r="AS147" i="6"/>
  <c r="AT147" i="6"/>
  <c r="AU147" i="6"/>
  <c r="E148" i="6"/>
  <c r="F148" i="6" s="1"/>
  <c r="G148" i="6" s="1"/>
  <c r="Q148" i="6"/>
  <c r="T148" i="6"/>
  <c r="U148" i="6"/>
  <c r="V148" i="6"/>
  <c r="Y148" i="6"/>
  <c r="Z148" i="6" s="1"/>
  <c r="AA148" i="6" s="1"/>
  <c r="AI148" i="6"/>
  <c r="AJ148" i="6"/>
  <c r="AK148" i="6"/>
  <c r="AN148" i="6"/>
  <c r="AO148" i="6"/>
  <c r="AP148" i="6"/>
  <c r="AS148" i="6"/>
  <c r="AT148" i="6"/>
  <c r="AU148" i="6" s="1"/>
  <c r="J150" i="6"/>
  <c r="K150" i="6"/>
  <c r="L150" i="6"/>
  <c r="O150" i="6"/>
  <c r="P150" i="6" s="1"/>
  <c r="Q150" i="6" s="1"/>
  <c r="T150" i="6"/>
  <c r="U150" i="6"/>
  <c r="V150" i="6"/>
  <c r="Y150" i="6"/>
  <c r="Z150" i="6"/>
  <c r="AA150" i="6"/>
  <c r="AD150" i="6"/>
  <c r="AE150" i="6" s="1"/>
  <c r="AF150" i="6" s="1"/>
  <c r="K151" i="6"/>
  <c r="L151" i="6"/>
  <c r="O151" i="6"/>
  <c r="P151" i="6"/>
  <c r="Q151" i="6"/>
  <c r="T151" i="6"/>
  <c r="U151" i="6" s="1"/>
  <c r="V151" i="6" s="1"/>
  <c r="AA151" i="6"/>
  <c r="AD151" i="6"/>
  <c r="AE151" i="6"/>
  <c r="AF151" i="6" s="1"/>
  <c r="AI151" i="6"/>
  <c r="AJ151" i="6"/>
  <c r="AK151" i="6"/>
  <c r="AN151" i="6"/>
  <c r="AO151" i="6"/>
  <c r="AP151" i="6"/>
  <c r="AS151" i="6"/>
  <c r="AT151" i="6" s="1"/>
  <c r="AU151" i="6" s="1"/>
  <c r="V152" i="6"/>
  <c r="Y152" i="6"/>
  <c r="Z152" i="6"/>
  <c r="AA152" i="6" s="1"/>
  <c r="AI152" i="6"/>
  <c r="AJ152" i="6"/>
  <c r="AK152" i="6"/>
  <c r="AN152" i="6"/>
  <c r="AO152" i="6" s="1"/>
  <c r="AP152" i="6" s="1"/>
  <c r="E153" i="6"/>
  <c r="F153" i="6"/>
  <c r="G153" i="6" s="1"/>
  <c r="AI153" i="6"/>
  <c r="AJ153" i="6"/>
  <c r="AK153" i="6"/>
  <c r="AN67" i="6" l="1"/>
  <c r="AO67" i="6" s="1"/>
  <c r="AP67" i="6" s="1"/>
  <c r="AI77" i="6"/>
  <c r="AJ77" i="6" s="1"/>
  <c r="AK77" i="6" s="1"/>
  <c r="AI63" i="6"/>
  <c r="AJ63" i="6" s="1"/>
  <c r="AK63" i="6" s="1"/>
  <c r="AI71" i="6"/>
  <c r="AJ71" i="6" s="1"/>
  <c r="AK71" i="6" s="1"/>
  <c r="Y71" i="6"/>
  <c r="Z71" i="6" s="1"/>
  <c r="AA71" i="6" s="1"/>
  <c r="Y128" i="6"/>
  <c r="Y143" i="6"/>
  <c r="Z143" i="6" s="1"/>
  <c r="AA143" i="6" s="1"/>
  <c r="J77" i="6"/>
  <c r="K77" i="6" s="1"/>
  <c r="L77" i="6" s="1"/>
  <c r="T128" i="6"/>
  <c r="T143" i="6"/>
  <c r="U143" i="6" s="1"/>
  <c r="V143" i="6" s="1"/>
  <c r="E77" i="6"/>
  <c r="F77" i="6" s="1"/>
  <c r="G77" i="6" s="1"/>
  <c r="AN140" i="6"/>
  <c r="AO140" i="6" s="1"/>
  <c r="AP140" i="6" s="1"/>
  <c r="AN128" i="6"/>
  <c r="O128" i="6"/>
  <c r="O143" i="6"/>
  <c r="P143" i="6" s="1"/>
  <c r="Q143" i="6" s="1"/>
  <c r="J128" i="6"/>
  <c r="J143" i="6"/>
  <c r="K143" i="6" s="1"/>
  <c r="L143" i="6" s="1"/>
  <c r="AS149" i="6"/>
  <c r="AT149" i="6" s="1"/>
  <c r="AU149" i="6" s="1"/>
  <c r="E128" i="6"/>
  <c r="E143" i="6"/>
  <c r="F143" i="6" s="1"/>
  <c r="G143" i="6" s="1"/>
  <c r="AN149" i="6"/>
  <c r="AO149" i="6" s="1"/>
  <c r="AP149" i="6" s="1"/>
  <c r="AI149" i="6"/>
  <c r="AJ149" i="6" s="1"/>
  <c r="AK149" i="6" s="1"/>
  <c r="AD149" i="6"/>
  <c r="AE149" i="6" s="1"/>
  <c r="AF149" i="6" s="1"/>
  <c r="AN73" i="6"/>
  <c r="AO73" i="6" s="1"/>
  <c r="AP73" i="6" s="1"/>
  <c r="AN81" i="6"/>
  <c r="AO81" i="6" s="1"/>
  <c r="AP81" i="6" s="1"/>
  <c r="AN63" i="6"/>
  <c r="AO63" i="6" s="1"/>
  <c r="AP63" i="6" s="1"/>
  <c r="AN71" i="6"/>
  <c r="AO71" i="6" s="1"/>
  <c r="AP71" i="6" s="1"/>
  <c r="AI81" i="6"/>
  <c r="AJ81" i="6" s="1"/>
  <c r="AK81" i="6" s="1"/>
  <c r="AD63" i="6"/>
  <c r="AE63" i="6" s="1"/>
  <c r="AF63" i="6" s="1"/>
  <c r="T63" i="6"/>
  <c r="U63" i="6" s="1"/>
  <c r="V63" i="6" s="1"/>
  <c r="T71" i="6"/>
  <c r="U71" i="6" s="1"/>
  <c r="V71" i="6" s="1"/>
  <c r="AD77" i="6"/>
  <c r="AE77" i="6" s="1"/>
  <c r="AF77" i="6" s="1"/>
  <c r="AD71" i="6"/>
  <c r="AE71" i="6" s="1"/>
  <c r="AF71" i="6" s="1"/>
  <c r="Y149" i="6"/>
  <c r="Z149" i="6" s="1"/>
  <c r="AA149" i="6" s="1"/>
  <c r="T77" i="6"/>
  <c r="U77" i="6" s="1"/>
  <c r="V77" i="6" s="1"/>
  <c r="T81" i="6"/>
  <c r="U81" i="6" s="1"/>
  <c r="V81" i="6" s="1"/>
  <c r="O73" i="6"/>
  <c r="P73" i="6" s="1"/>
  <c r="Q73" i="6" s="1"/>
  <c r="O81" i="6"/>
  <c r="P81" i="6" s="1"/>
  <c r="Q81" i="6" s="1"/>
  <c r="O63" i="6"/>
  <c r="P63" i="6" s="1"/>
  <c r="Q63" i="6" s="1"/>
  <c r="O59" i="6"/>
  <c r="J73" i="6"/>
  <c r="K73" i="6" s="1"/>
  <c r="L73" i="6" s="1"/>
  <c r="J81" i="6"/>
  <c r="K81" i="6" s="1"/>
  <c r="L81" i="6" s="1"/>
  <c r="J63" i="6"/>
  <c r="K63" i="6" s="1"/>
  <c r="L63" i="6" s="1"/>
  <c r="J59" i="6"/>
  <c r="E73" i="6"/>
  <c r="F73" i="6" s="1"/>
  <c r="G73" i="6" s="1"/>
  <c r="E63" i="6"/>
  <c r="F63" i="6" s="1"/>
  <c r="G63" i="6" s="1"/>
  <c r="E59" i="6"/>
  <c r="T153" i="6"/>
  <c r="U153" i="6" s="1"/>
  <c r="V153" i="6" s="1"/>
  <c r="AD141" i="6"/>
  <c r="AE141" i="6" s="1"/>
  <c r="AF141" i="6" s="1"/>
  <c r="AN68" i="6"/>
  <c r="AO68" i="6" s="1"/>
  <c r="AP68" i="6" s="1"/>
  <c r="AN59" i="6"/>
  <c r="O153" i="6"/>
  <c r="P153" i="6" s="1"/>
  <c r="Q153" i="6" s="1"/>
  <c r="Y141" i="6"/>
  <c r="Z141" i="6" s="1"/>
  <c r="AA141" i="6" s="1"/>
  <c r="J153" i="6"/>
  <c r="K153" i="6" s="1"/>
  <c r="L153" i="6" s="1"/>
  <c r="T141" i="6"/>
  <c r="U141" i="6" s="1"/>
  <c r="V141" i="6" s="1"/>
  <c r="J146" i="6"/>
  <c r="K146" i="6" s="1"/>
  <c r="L146" i="6" s="1"/>
  <c r="T134" i="6"/>
  <c r="U134" i="6" s="1"/>
  <c r="V134" i="6" s="1"/>
  <c r="O134" i="6"/>
  <c r="P134" i="6" s="1"/>
  <c r="Q134" i="6" s="1"/>
  <c r="J134" i="6"/>
  <c r="K134" i="6" s="1"/>
  <c r="L134" i="6" s="1"/>
  <c r="Y77" i="6"/>
  <c r="Z77" i="6" s="1"/>
  <c r="AA77" i="6" s="1"/>
  <c r="Y63" i="6"/>
  <c r="Z63" i="6" s="1"/>
  <c r="AA63" i="6" s="1"/>
  <c r="T149" i="6"/>
  <c r="U149" i="6" s="1"/>
  <c r="V149" i="6" s="1"/>
  <c r="T73" i="6"/>
  <c r="U73" i="6" s="1"/>
  <c r="V73" i="6" s="1"/>
  <c r="T67" i="6"/>
  <c r="U67" i="6" s="1"/>
  <c r="V67" i="6" s="1"/>
  <c r="O67" i="6"/>
  <c r="P67" i="6" s="1"/>
  <c r="Q67" i="6" s="1"/>
  <c r="AS142" i="6"/>
  <c r="AT142" i="6" s="1"/>
  <c r="AU142" i="6" s="1"/>
  <c r="AS128" i="6"/>
  <c r="O71" i="6"/>
  <c r="P71" i="6" s="1"/>
  <c r="Q71" i="6" s="1"/>
  <c r="AI68" i="6"/>
  <c r="AJ68" i="6" s="1"/>
  <c r="AK68" i="6" s="1"/>
  <c r="AI59" i="6"/>
  <c r="AD74" i="6"/>
  <c r="AE74" i="6" s="1"/>
  <c r="AF74" i="6" s="1"/>
  <c r="AD68" i="6"/>
  <c r="AE68" i="6" s="1"/>
  <c r="AF68" i="6" s="1"/>
  <c r="AD59" i="6"/>
  <c r="AN143" i="6"/>
  <c r="AO143" i="6" s="1"/>
  <c r="AP143" i="6" s="1"/>
  <c r="AD148" i="6"/>
  <c r="AE148" i="6" s="1"/>
  <c r="AF148" i="6" s="1"/>
  <c r="AI128" i="6"/>
  <c r="AI136" i="6"/>
  <c r="AJ136" i="6" s="1"/>
  <c r="AK136" i="6" s="1"/>
  <c r="AD128" i="6"/>
  <c r="Y74" i="6"/>
  <c r="Z74" i="6" s="1"/>
  <c r="AA74" i="6" s="1"/>
  <c r="Y59" i="6"/>
  <c r="T59" i="6"/>
  <c r="AI78" i="6"/>
  <c r="AJ78" i="6" s="1"/>
  <c r="AK78" i="6" s="1"/>
  <c r="AD142" i="6"/>
  <c r="AE142" i="6" s="1"/>
  <c r="AF142" i="6" s="1"/>
  <c r="AI74" i="6"/>
  <c r="AJ74" i="6" s="1"/>
  <c r="AK74" i="6" s="1"/>
  <c r="AI82" i="6"/>
  <c r="AJ82" i="6" s="1"/>
  <c r="AK82" i="6" s="1"/>
  <c r="AP590" i="1" l="1"/>
  <c r="AP588" i="1"/>
  <c r="AP586" i="1"/>
  <c r="AT594" i="1"/>
  <c r="M592" i="1"/>
  <c r="L592" i="1"/>
  <c r="I592" i="1"/>
  <c r="I575" i="1"/>
  <c r="I576" i="1"/>
  <c r="L575" i="1"/>
  <c r="I34" i="1"/>
  <c r="AQ590" i="1"/>
  <c r="AT590" i="1" s="1"/>
  <c r="AP574" i="1"/>
  <c r="AM574" i="1"/>
  <c r="AN574" i="1" s="1"/>
  <c r="AY634" i="1"/>
  <c r="AX634" i="1"/>
  <c r="AW634" i="1"/>
  <c r="AV634" i="1"/>
  <c r="AU634" i="1"/>
  <c r="AT634" i="1"/>
  <c r="AS634" i="1"/>
  <c r="AR634" i="1"/>
  <c r="AQ634" i="1"/>
  <c r="AP634" i="1"/>
  <c r="AN634" i="1"/>
  <c r="AM634" i="1"/>
  <c r="AS672" i="1"/>
  <c r="AU672" i="1" s="1"/>
  <c r="AR672" i="1"/>
  <c r="AT672" i="1" s="1"/>
  <c r="AV672" i="1" s="1"/>
  <c r="AQ672" i="1"/>
  <c r="AP672" i="1"/>
  <c r="AO672" i="1"/>
  <c r="AM672" i="1"/>
  <c r="AN672" i="1" s="1"/>
  <c r="AL672" i="1"/>
  <c r="AS670" i="1"/>
  <c r="AU670" i="1" s="1"/>
  <c r="AX670" i="1" s="1"/>
  <c r="AR670" i="1"/>
  <c r="AT670" i="1" s="1"/>
  <c r="AQ670" i="1"/>
  <c r="AP670" i="1"/>
  <c r="AO670" i="1"/>
  <c r="AN670" i="1"/>
  <c r="AW670" i="1" s="1"/>
  <c r="AM670" i="1"/>
  <c r="AL670" i="1"/>
  <c r="AS668" i="1"/>
  <c r="AU668" i="1" s="1"/>
  <c r="AR668" i="1"/>
  <c r="AQ668" i="1"/>
  <c r="AT668" i="1" s="1"/>
  <c r="AP668" i="1"/>
  <c r="AO668" i="1"/>
  <c r="AN668" i="1"/>
  <c r="AW668" i="1" s="1"/>
  <c r="AM668" i="1"/>
  <c r="AL668" i="1"/>
  <c r="AU666" i="1"/>
  <c r="AT666" i="1"/>
  <c r="AV666" i="1" s="1"/>
  <c r="AS666" i="1"/>
  <c r="AR666" i="1"/>
  <c r="AQ666" i="1"/>
  <c r="AP666" i="1"/>
  <c r="AO666" i="1"/>
  <c r="AM666" i="1"/>
  <c r="AN666" i="1" s="1"/>
  <c r="AL666" i="1"/>
  <c r="AS664" i="1"/>
  <c r="AU664" i="1" s="1"/>
  <c r="AR664" i="1"/>
  <c r="AT664" i="1" s="1"/>
  <c r="AV664" i="1" s="1"/>
  <c r="AQ664" i="1"/>
  <c r="AP664" i="1"/>
  <c r="AO664" i="1"/>
  <c r="AM664" i="1"/>
  <c r="AN664" i="1" s="1"/>
  <c r="AL664" i="1"/>
  <c r="AS662" i="1"/>
  <c r="AU662" i="1" s="1"/>
  <c r="AX662" i="1" s="1"/>
  <c r="AR662" i="1"/>
  <c r="AT662" i="1" s="1"/>
  <c r="AQ662" i="1"/>
  <c r="AP662" i="1"/>
  <c r="AO662" i="1"/>
  <c r="AN662" i="1"/>
  <c r="AW662" i="1" s="1"/>
  <c r="AM662" i="1"/>
  <c r="AL662" i="1"/>
  <c r="AS660" i="1"/>
  <c r="AU660" i="1" s="1"/>
  <c r="AR660" i="1"/>
  <c r="AQ660" i="1"/>
  <c r="AT660" i="1" s="1"/>
  <c r="AP660" i="1"/>
  <c r="AO660" i="1"/>
  <c r="AN660" i="1"/>
  <c r="AM660" i="1"/>
  <c r="AL660" i="1"/>
  <c r="AU658" i="1"/>
  <c r="AT658" i="1"/>
  <c r="AV658" i="1" s="1"/>
  <c r="AS658" i="1"/>
  <c r="AR658" i="1"/>
  <c r="AQ658" i="1"/>
  <c r="AP658" i="1"/>
  <c r="AO658" i="1"/>
  <c r="AM658" i="1"/>
  <c r="AN658" i="1" s="1"/>
  <c r="AL658" i="1"/>
  <c r="AS656" i="1"/>
  <c r="AU656" i="1" s="1"/>
  <c r="AR656" i="1"/>
  <c r="AT656" i="1" s="1"/>
  <c r="AV656" i="1" s="1"/>
  <c r="AQ656" i="1"/>
  <c r="AP656" i="1"/>
  <c r="AO656" i="1"/>
  <c r="AM656" i="1"/>
  <c r="AN656" i="1" s="1"/>
  <c r="AL656" i="1"/>
  <c r="AS654" i="1"/>
  <c r="AU654" i="1" s="1"/>
  <c r="AX654" i="1" s="1"/>
  <c r="AR654" i="1"/>
  <c r="AT654" i="1" s="1"/>
  <c r="AQ654" i="1"/>
  <c r="AP654" i="1"/>
  <c r="AO654" i="1"/>
  <c r="AN654" i="1"/>
  <c r="AM654" i="1"/>
  <c r="AL654" i="1"/>
  <c r="AS652" i="1"/>
  <c r="AU652" i="1" s="1"/>
  <c r="AR652" i="1"/>
  <c r="AQ652" i="1"/>
  <c r="AT652" i="1" s="1"/>
  <c r="AP652" i="1"/>
  <c r="AO652" i="1"/>
  <c r="AN652" i="1"/>
  <c r="AM652" i="1"/>
  <c r="AL652" i="1"/>
  <c r="AU650" i="1"/>
  <c r="AT650" i="1"/>
  <c r="AV650" i="1" s="1"/>
  <c r="AS650" i="1"/>
  <c r="AR650" i="1"/>
  <c r="AQ650" i="1"/>
  <c r="AP650" i="1"/>
  <c r="AO650" i="1"/>
  <c r="AM650" i="1"/>
  <c r="AN650" i="1" s="1"/>
  <c r="AL650" i="1"/>
  <c r="AS648" i="1"/>
  <c r="AU648" i="1" s="1"/>
  <c r="AR648" i="1"/>
  <c r="AT648" i="1" s="1"/>
  <c r="AV648" i="1" s="1"/>
  <c r="AQ648" i="1"/>
  <c r="AP648" i="1"/>
  <c r="AO648" i="1"/>
  <c r="AM648" i="1"/>
  <c r="AN648" i="1" s="1"/>
  <c r="AL648" i="1"/>
  <c r="AS646" i="1"/>
  <c r="AU646" i="1" s="1"/>
  <c r="AX646" i="1" s="1"/>
  <c r="AR646" i="1"/>
  <c r="AT646" i="1" s="1"/>
  <c r="AQ646" i="1"/>
  <c r="AP646" i="1"/>
  <c r="AO646" i="1"/>
  <c r="AN646" i="1"/>
  <c r="AM646" i="1"/>
  <c r="AL646" i="1"/>
  <c r="AS644" i="1"/>
  <c r="AU644" i="1" s="1"/>
  <c r="AR644" i="1"/>
  <c r="AQ644" i="1"/>
  <c r="AT644" i="1" s="1"/>
  <c r="AP644" i="1"/>
  <c r="AO644" i="1"/>
  <c r="AN644" i="1"/>
  <c r="AM644" i="1"/>
  <c r="AL644" i="1"/>
  <c r="AU642" i="1"/>
  <c r="AT642" i="1"/>
  <c r="AV642" i="1" s="1"/>
  <c r="AS642" i="1"/>
  <c r="AR642" i="1"/>
  <c r="AQ642" i="1"/>
  <c r="AP642" i="1"/>
  <c r="AO642" i="1"/>
  <c r="AM642" i="1"/>
  <c r="AN642" i="1" s="1"/>
  <c r="AL642" i="1"/>
  <c r="AS640" i="1"/>
  <c r="AU640" i="1" s="1"/>
  <c r="AR640" i="1"/>
  <c r="AT640" i="1" s="1"/>
  <c r="AV640" i="1" s="1"/>
  <c r="AQ640" i="1"/>
  <c r="AP640" i="1"/>
  <c r="AO640" i="1"/>
  <c r="AM640" i="1"/>
  <c r="AN640" i="1" s="1"/>
  <c r="AL640" i="1"/>
  <c r="AS638" i="1"/>
  <c r="AU638" i="1" s="1"/>
  <c r="AX638" i="1" s="1"/>
  <c r="AR638" i="1"/>
  <c r="AT638" i="1" s="1"/>
  <c r="AQ638" i="1"/>
  <c r="AP638" i="1"/>
  <c r="AO638" i="1"/>
  <c r="AN638" i="1"/>
  <c r="AM638" i="1"/>
  <c r="AL638" i="1"/>
  <c r="AT636" i="1"/>
  <c r="AS636" i="1"/>
  <c r="AU636" i="1" s="1"/>
  <c r="AV636" i="1" s="1"/>
  <c r="AR636" i="1"/>
  <c r="AQ636" i="1"/>
  <c r="AP636" i="1"/>
  <c r="AO636" i="1"/>
  <c r="AN636" i="1"/>
  <c r="AW636" i="1" s="1"/>
  <c r="AM636" i="1"/>
  <c r="AL636" i="1"/>
  <c r="AO634" i="1"/>
  <c r="AL634" i="1"/>
  <c r="AU632" i="1"/>
  <c r="AT632" i="1"/>
  <c r="AV632" i="1" s="1"/>
  <c r="AS632" i="1"/>
  <c r="AR632" i="1"/>
  <c r="AQ632" i="1"/>
  <c r="AP632" i="1"/>
  <c r="AO632" i="1"/>
  <c r="AM632" i="1"/>
  <c r="AN632" i="1" s="1"/>
  <c r="AL632" i="1"/>
  <c r="AS630" i="1"/>
  <c r="AU630" i="1" s="1"/>
  <c r="AR630" i="1"/>
  <c r="AT630" i="1" s="1"/>
  <c r="AV630" i="1" s="1"/>
  <c r="AQ630" i="1"/>
  <c r="AP630" i="1"/>
  <c r="AO630" i="1"/>
  <c r="AN630" i="1"/>
  <c r="AW630" i="1" s="1"/>
  <c r="AM630" i="1"/>
  <c r="AL630" i="1"/>
  <c r="AS628" i="1"/>
  <c r="AR628" i="1"/>
  <c r="AQ628" i="1"/>
  <c r="AU628" i="1" s="1"/>
  <c r="AP628" i="1"/>
  <c r="AO628" i="1"/>
  <c r="AM628" i="1"/>
  <c r="AN628" i="1" s="1"/>
  <c r="AL628" i="1"/>
  <c r="AS626" i="1"/>
  <c r="AU626" i="1" s="1"/>
  <c r="AR626" i="1"/>
  <c r="AT626" i="1" s="1"/>
  <c r="AV626" i="1" s="1"/>
  <c r="AQ626" i="1"/>
  <c r="AP626" i="1"/>
  <c r="AO626" i="1"/>
  <c r="AN626" i="1"/>
  <c r="AX626" i="1" s="1"/>
  <c r="AM626" i="1"/>
  <c r="AL626" i="1"/>
  <c r="AU624" i="1"/>
  <c r="AT624" i="1"/>
  <c r="AV624" i="1" s="1"/>
  <c r="AS624" i="1"/>
  <c r="AR624" i="1"/>
  <c r="AQ624" i="1"/>
  <c r="AP624" i="1"/>
  <c r="AO624" i="1"/>
  <c r="AM624" i="1"/>
  <c r="AN624" i="1" s="1"/>
  <c r="AL624" i="1"/>
  <c r="AS622" i="1"/>
  <c r="AU622" i="1" s="1"/>
  <c r="AR622" i="1"/>
  <c r="AT622" i="1" s="1"/>
  <c r="AV622" i="1" s="1"/>
  <c r="AQ622" i="1"/>
  <c r="AP622" i="1"/>
  <c r="AO622" i="1"/>
  <c r="AN622" i="1"/>
  <c r="AW622" i="1" s="1"/>
  <c r="AM622" i="1"/>
  <c r="AL622" i="1"/>
  <c r="AS620" i="1"/>
  <c r="AR620" i="1"/>
  <c r="AQ620" i="1"/>
  <c r="AU620" i="1" s="1"/>
  <c r="AP620" i="1"/>
  <c r="AO620" i="1"/>
  <c r="AM620" i="1"/>
  <c r="AN620" i="1" s="1"/>
  <c r="AL620" i="1"/>
  <c r="AS618" i="1"/>
  <c r="AU618" i="1" s="1"/>
  <c r="AR618" i="1"/>
  <c r="AT618" i="1" s="1"/>
  <c r="AV618" i="1" s="1"/>
  <c r="AQ618" i="1"/>
  <c r="AP618" i="1"/>
  <c r="AO618" i="1"/>
  <c r="AN618" i="1"/>
  <c r="AW618" i="1" s="1"/>
  <c r="AM618" i="1"/>
  <c r="AL618" i="1"/>
  <c r="AU616" i="1"/>
  <c r="AT616" i="1"/>
  <c r="AV616" i="1" s="1"/>
  <c r="AS616" i="1"/>
  <c r="AR616" i="1"/>
  <c r="AQ616" i="1"/>
  <c r="AP616" i="1"/>
  <c r="AO616" i="1"/>
  <c r="AM616" i="1"/>
  <c r="AN616" i="1" s="1"/>
  <c r="AL616" i="1"/>
  <c r="AS614" i="1"/>
  <c r="AU614" i="1" s="1"/>
  <c r="AR614" i="1"/>
  <c r="AT614" i="1" s="1"/>
  <c r="AV614" i="1" s="1"/>
  <c r="AQ614" i="1"/>
  <c r="AP614" i="1"/>
  <c r="AO614" i="1"/>
  <c r="AN614" i="1"/>
  <c r="AW614" i="1" s="1"/>
  <c r="AM614" i="1"/>
  <c r="AL614" i="1"/>
  <c r="AS612" i="1"/>
  <c r="AR612" i="1"/>
  <c r="AQ612" i="1"/>
  <c r="AU612" i="1" s="1"/>
  <c r="AP612" i="1"/>
  <c r="AO612" i="1"/>
  <c r="AM612" i="1"/>
  <c r="AN612" i="1" s="1"/>
  <c r="AL612" i="1"/>
  <c r="AS610" i="1"/>
  <c r="AU610" i="1" s="1"/>
  <c r="AR610" i="1"/>
  <c r="AT610" i="1" s="1"/>
  <c r="AV610" i="1" s="1"/>
  <c r="AQ610" i="1"/>
  <c r="AP610" i="1"/>
  <c r="AO610" i="1"/>
  <c r="AN610" i="1"/>
  <c r="AX610" i="1" s="1"/>
  <c r="AM610" i="1"/>
  <c r="AL610" i="1"/>
  <c r="AU608" i="1"/>
  <c r="AT608" i="1"/>
  <c r="AV608" i="1" s="1"/>
  <c r="AS608" i="1"/>
  <c r="AR608" i="1"/>
  <c r="AQ608" i="1"/>
  <c r="AP608" i="1"/>
  <c r="AO608" i="1"/>
  <c r="AM608" i="1"/>
  <c r="AN608" i="1" s="1"/>
  <c r="AL608" i="1"/>
  <c r="AS606" i="1"/>
  <c r="AU606" i="1" s="1"/>
  <c r="AR606" i="1"/>
  <c r="AT606" i="1" s="1"/>
  <c r="AV606" i="1" s="1"/>
  <c r="AQ606" i="1"/>
  <c r="AP606" i="1"/>
  <c r="AO606" i="1"/>
  <c r="AN606" i="1"/>
  <c r="AW606" i="1" s="1"/>
  <c r="AM606" i="1"/>
  <c r="AL606" i="1"/>
  <c r="AS604" i="1"/>
  <c r="AR604" i="1"/>
  <c r="AQ604" i="1"/>
  <c r="AU604" i="1" s="1"/>
  <c r="AP604" i="1"/>
  <c r="AO604" i="1"/>
  <c r="AM604" i="1"/>
  <c r="AN604" i="1" s="1"/>
  <c r="AL604" i="1"/>
  <c r="AS602" i="1"/>
  <c r="AU602" i="1" s="1"/>
  <c r="AR602" i="1"/>
  <c r="AT602" i="1" s="1"/>
  <c r="AV602" i="1" s="1"/>
  <c r="AQ602" i="1"/>
  <c r="AP602" i="1"/>
  <c r="AO602" i="1"/>
  <c r="AN602" i="1"/>
  <c r="AW602" i="1" s="1"/>
  <c r="AM602" i="1"/>
  <c r="AL602" i="1"/>
  <c r="AU600" i="1"/>
  <c r="AT600" i="1"/>
  <c r="AV600" i="1" s="1"/>
  <c r="AS600" i="1"/>
  <c r="AR600" i="1"/>
  <c r="AQ600" i="1"/>
  <c r="AP600" i="1"/>
  <c r="AO600" i="1"/>
  <c r="AM600" i="1"/>
  <c r="AN600" i="1" s="1"/>
  <c r="AL600" i="1"/>
  <c r="AS598" i="1"/>
  <c r="AU598" i="1" s="1"/>
  <c r="AR598" i="1"/>
  <c r="AT598" i="1" s="1"/>
  <c r="AV598" i="1" s="1"/>
  <c r="AQ598" i="1"/>
  <c r="AP598" i="1"/>
  <c r="AO598" i="1"/>
  <c r="AN598" i="1"/>
  <c r="AW598" i="1" s="1"/>
  <c r="AM598" i="1"/>
  <c r="AL598" i="1"/>
  <c r="AS596" i="1"/>
  <c r="AU596" i="1" s="1"/>
  <c r="AR596" i="1"/>
  <c r="AQ596" i="1"/>
  <c r="AT596" i="1" s="1"/>
  <c r="AP596" i="1"/>
  <c r="AO596" i="1"/>
  <c r="AM596" i="1"/>
  <c r="AN596" i="1" s="1"/>
  <c r="AL596" i="1"/>
  <c r="AS594" i="1"/>
  <c r="AU594" i="1" s="1"/>
  <c r="AR594" i="1"/>
  <c r="AV594" i="1" s="1"/>
  <c r="AQ594" i="1"/>
  <c r="AP594" i="1"/>
  <c r="AO594" i="1"/>
  <c r="AN594" i="1"/>
  <c r="AW594" i="1" s="1"/>
  <c r="AM594" i="1"/>
  <c r="AL594" i="1"/>
  <c r="AS592" i="1"/>
  <c r="AU592" i="1" s="1"/>
  <c r="AR592" i="1"/>
  <c r="AT592" i="1" s="1"/>
  <c r="AQ592" i="1"/>
  <c r="AP592" i="1"/>
  <c r="AO592" i="1"/>
  <c r="AM592" i="1"/>
  <c r="AN592" i="1" s="1"/>
  <c r="AL592" i="1"/>
  <c r="AS590" i="1"/>
  <c r="AU590" i="1" s="1"/>
  <c r="AX590" i="1" s="1"/>
  <c r="AR590" i="1"/>
  <c r="AO590" i="1"/>
  <c r="AN590" i="1"/>
  <c r="AM590" i="1"/>
  <c r="AL590" i="1"/>
  <c r="AS588" i="1"/>
  <c r="AR588" i="1"/>
  <c r="AQ588" i="1"/>
  <c r="AU588" i="1" s="1"/>
  <c r="AO588" i="1"/>
  <c r="AN588" i="1"/>
  <c r="AX588" i="1" s="1"/>
  <c r="AM588" i="1"/>
  <c r="AL588" i="1"/>
  <c r="AT586" i="1"/>
  <c r="AS586" i="1"/>
  <c r="AU586" i="1" s="1"/>
  <c r="AR586" i="1"/>
  <c r="AQ586" i="1"/>
  <c r="AO586" i="1"/>
  <c r="AM586" i="1"/>
  <c r="AN586" i="1" s="1"/>
  <c r="AL586" i="1"/>
  <c r="AU584" i="1"/>
  <c r="AS584" i="1"/>
  <c r="AR584" i="1"/>
  <c r="AT584" i="1" s="1"/>
  <c r="AV584" i="1" s="1"/>
  <c r="AQ584" i="1"/>
  <c r="AP584" i="1"/>
  <c r="AO584" i="1"/>
  <c r="AM584" i="1"/>
  <c r="AN584" i="1" s="1"/>
  <c r="AL584" i="1"/>
  <c r="AS582" i="1"/>
  <c r="AU582" i="1" s="1"/>
  <c r="AX582" i="1" s="1"/>
  <c r="AR582" i="1"/>
  <c r="AT582" i="1" s="1"/>
  <c r="AV582" i="1" s="1"/>
  <c r="AQ582" i="1"/>
  <c r="AP582" i="1"/>
  <c r="AO582" i="1"/>
  <c r="AN582" i="1"/>
  <c r="AM582" i="1"/>
  <c r="AL582" i="1"/>
  <c r="AS580" i="1"/>
  <c r="AR580" i="1"/>
  <c r="AQ580" i="1"/>
  <c r="AU580" i="1" s="1"/>
  <c r="AP580" i="1"/>
  <c r="AO580" i="1"/>
  <c r="AN580" i="1"/>
  <c r="AX580" i="1" s="1"/>
  <c r="AM580" i="1"/>
  <c r="AL580" i="1"/>
  <c r="AT578" i="1"/>
  <c r="AS578" i="1"/>
  <c r="AU578" i="1" s="1"/>
  <c r="AR578" i="1"/>
  <c r="AQ578" i="1"/>
  <c r="AP578" i="1"/>
  <c r="AO578" i="1"/>
  <c r="AM578" i="1"/>
  <c r="AN578" i="1" s="1"/>
  <c r="AL578" i="1"/>
  <c r="AU576" i="1"/>
  <c r="AS576" i="1"/>
  <c r="AR576" i="1"/>
  <c r="AT576" i="1" s="1"/>
  <c r="AV576" i="1" s="1"/>
  <c r="AQ576" i="1"/>
  <c r="AP576" i="1"/>
  <c r="AO576" i="1"/>
  <c r="AM576" i="1"/>
  <c r="AN576" i="1" s="1"/>
  <c r="AL576" i="1"/>
  <c r="AS574" i="1"/>
  <c r="AU574" i="1" s="1"/>
  <c r="AR574" i="1"/>
  <c r="AT574" i="1" s="1"/>
  <c r="AV574" i="1" s="1"/>
  <c r="AQ574" i="1"/>
  <c r="AO574" i="1"/>
  <c r="AL574" i="1"/>
  <c r="AS572" i="1"/>
  <c r="AR572" i="1"/>
  <c r="AQ572" i="1"/>
  <c r="AU572" i="1" s="1"/>
  <c r="AP572" i="1"/>
  <c r="AO572" i="1"/>
  <c r="AN572" i="1"/>
  <c r="AM572" i="1"/>
  <c r="AL572" i="1"/>
  <c r="AT570" i="1"/>
  <c r="AS570" i="1"/>
  <c r="AU570" i="1" s="1"/>
  <c r="AR570" i="1"/>
  <c r="AQ570" i="1"/>
  <c r="AP570" i="1"/>
  <c r="AO570" i="1"/>
  <c r="AM570" i="1"/>
  <c r="AN570" i="1" s="1"/>
  <c r="AL570" i="1"/>
  <c r="AU568" i="1"/>
  <c r="AS568" i="1"/>
  <c r="AR568" i="1"/>
  <c r="AT568" i="1" s="1"/>
  <c r="AV568" i="1" s="1"/>
  <c r="AQ568" i="1"/>
  <c r="AP568" i="1"/>
  <c r="AO568" i="1"/>
  <c r="AM568" i="1"/>
  <c r="AN568" i="1" s="1"/>
  <c r="AL568" i="1"/>
  <c r="AS566" i="1"/>
  <c r="AU566" i="1" s="1"/>
  <c r="AX566" i="1" s="1"/>
  <c r="AR566" i="1"/>
  <c r="AT566" i="1" s="1"/>
  <c r="AV566" i="1" s="1"/>
  <c r="AQ566" i="1"/>
  <c r="AP566" i="1"/>
  <c r="AO566" i="1"/>
  <c r="AN566" i="1"/>
  <c r="AM566" i="1"/>
  <c r="AL566" i="1"/>
  <c r="AS564" i="1"/>
  <c r="AU564" i="1" s="1"/>
  <c r="AR564" i="1"/>
  <c r="AQ564" i="1"/>
  <c r="AT564" i="1" s="1"/>
  <c r="AP564" i="1"/>
  <c r="AO564" i="1"/>
  <c r="AN564" i="1"/>
  <c r="AM564" i="1"/>
  <c r="AL564" i="1"/>
  <c r="AT562" i="1"/>
  <c r="AS562" i="1"/>
  <c r="AU562" i="1" s="1"/>
  <c r="AR562" i="1"/>
  <c r="AQ562" i="1"/>
  <c r="AP562" i="1"/>
  <c r="AO562" i="1"/>
  <c r="AM562" i="1"/>
  <c r="AN562" i="1" s="1"/>
  <c r="AL562" i="1"/>
  <c r="AU560" i="1"/>
  <c r="AS560" i="1"/>
  <c r="AR560" i="1"/>
  <c r="AT560" i="1" s="1"/>
  <c r="AV560" i="1" s="1"/>
  <c r="AQ560" i="1"/>
  <c r="AP560" i="1"/>
  <c r="AO560" i="1"/>
  <c r="AM560" i="1"/>
  <c r="AN560" i="1" s="1"/>
  <c r="AL560" i="1"/>
  <c r="AS558" i="1"/>
  <c r="AU558" i="1" s="1"/>
  <c r="AX558" i="1" s="1"/>
  <c r="AR558" i="1"/>
  <c r="AT558" i="1" s="1"/>
  <c r="AV558" i="1" s="1"/>
  <c r="AQ558" i="1"/>
  <c r="AP558" i="1"/>
  <c r="AO558" i="1"/>
  <c r="AN558" i="1"/>
  <c r="AM558" i="1"/>
  <c r="AL558" i="1"/>
  <c r="AS556" i="1"/>
  <c r="AU556" i="1" s="1"/>
  <c r="AR556" i="1"/>
  <c r="AQ556" i="1"/>
  <c r="AT556" i="1" s="1"/>
  <c r="AP556" i="1"/>
  <c r="AO556" i="1"/>
  <c r="AN556" i="1"/>
  <c r="AM556" i="1"/>
  <c r="AL556" i="1"/>
  <c r="AT554" i="1"/>
  <c r="AS554" i="1"/>
  <c r="AU554" i="1" s="1"/>
  <c r="AR554" i="1"/>
  <c r="AQ554" i="1"/>
  <c r="AP554" i="1"/>
  <c r="AO554" i="1"/>
  <c r="AM554" i="1"/>
  <c r="AN554" i="1" s="1"/>
  <c r="AL554" i="1"/>
  <c r="AS552" i="1"/>
  <c r="AU552" i="1" s="1"/>
  <c r="AR552" i="1"/>
  <c r="AT552" i="1" s="1"/>
  <c r="AV552" i="1" s="1"/>
  <c r="AQ552" i="1"/>
  <c r="AP552" i="1"/>
  <c r="AO552" i="1"/>
  <c r="AM552" i="1"/>
  <c r="AN552" i="1" s="1"/>
  <c r="AL552" i="1"/>
  <c r="AS550" i="1"/>
  <c r="AU550" i="1" s="1"/>
  <c r="AX550" i="1" s="1"/>
  <c r="AR550" i="1"/>
  <c r="AT550" i="1" s="1"/>
  <c r="AQ550" i="1"/>
  <c r="AP550" i="1"/>
  <c r="AO550" i="1"/>
  <c r="AN550" i="1"/>
  <c r="AW550" i="1" s="1"/>
  <c r="AM550" i="1"/>
  <c r="AL550" i="1"/>
  <c r="AT548" i="1"/>
  <c r="AS548" i="1"/>
  <c r="AR548" i="1"/>
  <c r="AQ548" i="1"/>
  <c r="AU548" i="1" s="1"/>
  <c r="AV548" i="1" s="1"/>
  <c r="AP548" i="1"/>
  <c r="AO548" i="1"/>
  <c r="AN548" i="1"/>
  <c r="AW548" i="1" s="1"/>
  <c r="AM548" i="1"/>
  <c r="AL548" i="1"/>
  <c r="AU546" i="1"/>
  <c r="AT546" i="1"/>
  <c r="AV546" i="1" s="1"/>
  <c r="AS546" i="1"/>
  <c r="AR546" i="1"/>
  <c r="AQ546" i="1"/>
  <c r="AP546" i="1"/>
  <c r="AO546" i="1"/>
  <c r="AM546" i="1"/>
  <c r="AN546" i="1" s="1"/>
  <c r="AL546" i="1"/>
  <c r="AS544" i="1"/>
  <c r="AU544" i="1" s="1"/>
  <c r="AR544" i="1"/>
  <c r="AT544" i="1" s="1"/>
  <c r="AQ544" i="1"/>
  <c r="AP544" i="1"/>
  <c r="AO544" i="1"/>
  <c r="AM544" i="1"/>
  <c r="AN544" i="1" s="1"/>
  <c r="AL544" i="1"/>
  <c r="AS542" i="1"/>
  <c r="AU542" i="1" s="1"/>
  <c r="AX542" i="1" s="1"/>
  <c r="AR542" i="1"/>
  <c r="AT542" i="1" s="1"/>
  <c r="AV542" i="1" s="1"/>
  <c r="AQ542" i="1"/>
  <c r="AP542" i="1"/>
  <c r="AO542" i="1"/>
  <c r="AN542" i="1"/>
  <c r="AW542" i="1" s="1"/>
  <c r="AY542" i="1" s="1"/>
  <c r="AM542" i="1"/>
  <c r="AL542" i="1"/>
  <c r="AT540" i="1"/>
  <c r="AS540" i="1"/>
  <c r="AR540" i="1"/>
  <c r="AQ540" i="1"/>
  <c r="AU540" i="1" s="1"/>
  <c r="AV540" i="1" s="1"/>
  <c r="AP540" i="1"/>
  <c r="AO540" i="1"/>
  <c r="AN540" i="1"/>
  <c r="AW540" i="1" s="1"/>
  <c r="AM540" i="1"/>
  <c r="AL540" i="1"/>
  <c r="AU538" i="1"/>
  <c r="AT538" i="1"/>
  <c r="AV538" i="1" s="1"/>
  <c r="AS538" i="1"/>
  <c r="AR538" i="1"/>
  <c r="AQ538" i="1"/>
  <c r="AP538" i="1"/>
  <c r="AO538" i="1"/>
  <c r="AM538" i="1"/>
  <c r="AN538" i="1" s="1"/>
  <c r="AL538" i="1"/>
  <c r="AS536" i="1"/>
  <c r="AU536" i="1" s="1"/>
  <c r="AR536" i="1"/>
  <c r="AT536" i="1" s="1"/>
  <c r="AV536" i="1" s="1"/>
  <c r="AQ536" i="1"/>
  <c r="AP536" i="1"/>
  <c r="AO536" i="1"/>
  <c r="AM536" i="1"/>
  <c r="AN536" i="1" s="1"/>
  <c r="AL536" i="1"/>
  <c r="AS534" i="1"/>
  <c r="AU534" i="1" s="1"/>
  <c r="AX534" i="1" s="1"/>
  <c r="AR534" i="1"/>
  <c r="AT534" i="1" s="1"/>
  <c r="AQ534" i="1"/>
  <c r="AP534" i="1"/>
  <c r="AO534" i="1"/>
  <c r="AN534" i="1"/>
  <c r="AW534" i="1" s="1"/>
  <c r="AY534" i="1" s="1"/>
  <c r="AM534" i="1"/>
  <c r="AL534" i="1"/>
  <c r="AV532" i="1"/>
  <c r="AU532" i="1"/>
  <c r="AT532" i="1"/>
  <c r="AS532" i="1"/>
  <c r="AR532" i="1"/>
  <c r="AQ532" i="1"/>
  <c r="AP532" i="1"/>
  <c r="AO532" i="1"/>
  <c r="AN532" i="1"/>
  <c r="AW532" i="1" s="1"/>
  <c r="AM532" i="1"/>
  <c r="AL532" i="1"/>
  <c r="AU530" i="1"/>
  <c r="AT530" i="1"/>
  <c r="AV530" i="1" s="1"/>
  <c r="AS530" i="1"/>
  <c r="AR530" i="1"/>
  <c r="AQ530" i="1"/>
  <c r="AP530" i="1"/>
  <c r="AO530" i="1"/>
  <c r="AM530" i="1"/>
  <c r="AN530" i="1" s="1"/>
  <c r="AL530" i="1"/>
  <c r="AS528" i="1"/>
  <c r="AU528" i="1" s="1"/>
  <c r="AR528" i="1"/>
  <c r="AT528" i="1" s="1"/>
  <c r="AV528" i="1" s="1"/>
  <c r="AQ528" i="1"/>
  <c r="AP528" i="1"/>
  <c r="AO528" i="1"/>
  <c r="AM528" i="1"/>
  <c r="AN528" i="1" s="1"/>
  <c r="AL528" i="1"/>
  <c r="AS526" i="1"/>
  <c r="AU526" i="1" s="1"/>
  <c r="AX526" i="1" s="1"/>
  <c r="AR526" i="1"/>
  <c r="AT526" i="1" s="1"/>
  <c r="AV526" i="1" s="1"/>
  <c r="AQ526" i="1"/>
  <c r="AP526" i="1"/>
  <c r="AO526" i="1"/>
  <c r="AN526" i="1"/>
  <c r="AM526" i="1"/>
  <c r="AL526" i="1"/>
  <c r="AV524" i="1"/>
  <c r="AU524" i="1"/>
  <c r="AT524" i="1"/>
  <c r="AS524" i="1"/>
  <c r="AR524" i="1"/>
  <c r="AQ524" i="1"/>
  <c r="AP524" i="1"/>
  <c r="AO524" i="1"/>
  <c r="AN524" i="1"/>
  <c r="AW524" i="1" s="1"/>
  <c r="AM524" i="1"/>
  <c r="AL524" i="1"/>
  <c r="AU522" i="1"/>
  <c r="AT522" i="1"/>
  <c r="AV522" i="1" s="1"/>
  <c r="AS522" i="1"/>
  <c r="AR522" i="1"/>
  <c r="AQ522" i="1"/>
  <c r="AP522" i="1"/>
  <c r="AO522" i="1"/>
  <c r="AM522" i="1"/>
  <c r="AN522" i="1" s="1"/>
  <c r="AL522" i="1"/>
  <c r="AS520" i="1"/>
  <c r="AU520" i="1" s="1"/>
  <c r="AR520" i="1"/>
  <c r="AT520" i="1" s="1"/>
  <c r="AV520" i="1" s="1"/>
  <c r="AQ520" i="1"/>
  <c r="AP520" i="1"/>
  <c r="AO520" i="1"/>
  <c r="AM520" i="1"/>
  <c r="AN520" i="1" s="1"/>
  <c r="AL520" i="1"/>
  <c r="AS518" i="1"/>
  <c r="AU518" i="1" s="1"/>
  <c r="AX518" i="1" s="1"/>
  <c r="AR518" i="1"/>
  <c r="AT518" i="1" s="1"/>
  <c r="AQ518" i="1"/>
  <c r="AP518" i="1"/>
  <c r="AO518" i="1"/>
  <c r="AN518" i="1"/>
  <c r="AW518" i="1" s="1"/>
  <c r="AM518" i="1"/>
  <c r="AL518" i="1"/>
  <c r="AV516" i="1"/>
  <c r="AU516" i="1"/>
  <c r="AT516" i="1"/>
  <c r="AS516" i="1"/>
  <c r="AR516" i="1"/>
  <c r="AQ516" i="1"/>
  <c r="AP516" i="1"/>
  <c r="AO516" i="1"/>
  <c r="AN516" i="1"/>
  <c r="AW516" i="1" s="1"/>
  <c r="AM516" i="1"/>
  <c r="AL516" i="1"/>
  <c r="AU514" i="1"/>
  <c r="AT514" i="1"/>
  <c r="AV514" i="1" s="1"/>
  <c r="AS514" i="1"/>
  <c r="AR514" i="1"/>
  <c r="AQ514" i="1"/>
  <c r="AP514" i="1"/>
  <c r="AO514" i="1"/>
  <c r="AM514" i="1"/>
  <c r="AN514" i="1" s="1"/>
  <c r="AL514" i="1"/>
  <c r="AS512" i="1"/>
  <c r="AU512" i="1" s="1"/>
  <c r="AR512" i="1"/>
  <c r="AT512" i="1" s="1"/>
  <c r="AQ512" i="1"/>
  <c r="AP512" i="1"/>
  <c r="AO512" i="1"/>
  <c r="AM512" i="1"/>
  <c r="AN512" i="1" s="1"/>
  <c r="AL512" i="1"/>
  <c r="AS510" i="1"/>
  <c r="AU510" i="1" s="1"/>
  <c r="AX510" i="1" s="1"/>
  <c r="AR510" i="1"/>
  <c r="AT510" i="1" s="1"/>
  <c r="AQ510" i="1"/>
  <c r="AP510" i="1"/>
  <c r="AO510" i="1"/>
  <c r="AN510" i="1"/>
  <c r="AM510" i="1"/>
  <c r="AL510" i="1"/>
  <c r="AV508" i="1"/>
  <c r="AU508" i="1"/>
  <c r="AT508" i="1"/>
  <c r="AS508" i="1"/>
  <c r="AR508" i="1"/>
  <c r="AQ508" i="1"/>
  <c r="AP508" i="1"/>
  <c r="AO508" i="1"/>
  <c r="AN508" i="1"/>
  <c r="AX508" i="1" s="1"/>
  <c r="AM508" i="1"/>
  <c r="AL508" i="1"/>
  <c r="AU506" i="1"/>
  <c r="AT506" i="1"/>
  <c r="AV506" i="1" s="1"/>
  <c r="AS506" i="1"/>
  <c r="AR506" i="1"/>
  <c r="AQ506" i="1"/>
  <c r="AP506" i="1"/>
  <c r="AO506" i="1"/>
  <c r="AM506" i="1"/>
  <c r="AN506" i="1" s="1"/>
  <c r="AL506" i="1"/>
  <c r="AS504" i="1"/>
  <c r="AU504" i="1" s="1"/>
  <c r="AR504" i="1"/>
  <c r="AT504" i="1" s="1"/>
  <c r="AV504" i="1" s="1"/>
  <c r="AQ504" i="1"/>
  <c r="AP504" i="1"/>
  <c r="AO504" i="1"/>
  <c r="AM504" i="1"/>
  <c r="AN504" i="1" s="1"/>
  <c r="AL504" i="1"/>
  <c r="AS502" i="1"/>
  <c r="AU502" i="1" s="1"/>
  <c r="AX502" i="1" s="1"/>
  <c r="AR502" i="1"/>
  <c r="AT502" i="1" s="1"/>
  <c r="AV502" i="1" s="1"/>
  <c r="AQ502" i="1"/>
  <c r="AP502" i="1"/>
  <c r="AO502" i="1"/>
  <c r="AN502" i="1"/>
  <c r="AW502" i="1" s="1"/>
  <c r="AY502" i="1" s="1"/>
  <c r="AM502" i="1"/>
  <c r="AL502" i="1"/>
  <c r="AV500" i="1"/>
  <c r="AU500" i="1"/>
  <c r="AT500" i="1"/>
  <c r="AS500" i="1"/>
  <c r="AR500" i="1"/>
  <c r="AQ500" i="1"/>
  <c r="AP500" i="1"/>
  <c r="AO500" i="1"/>
  <c r="AN500" i="1"/>
  <c r="AX500" i="1" s="1"/>
  <c r="AM500" i="1"/>
  <c r="AL500" i="1"/>
  <c r="AU498" i="1"/>
  <c r="AT498" i="1"/>
  <c r="AV498" i="1" s="1"/>
  <c r="AS498" i="1"/>
  <c r="AR498" i="1"/>
  <c r="AQ498" i="1"/>
  <c r="AP498" i="1"/>
  <c r="AO498" i="1"/>
  <c r="AM498" i="1"/>
  <c r="AN498" i="1" s="1"/>
  <c r="AL498" i="1"/>
  <c r="AS496" i="1"/>
  <c r="AU496" i="1" s="1"/>
  <c r="AR496" i="1"/>
  <c r="AT496" i="1" s="1"/>
  <c r="AV496" i="1" s="1"/>
  <c r="AQ496" i="1"/>
  <c r="AP496" i="1"/>
  <c r="AO496" i="1"/>
  <c r="AM496" i="1"/>
  <c r="AN496" i="1" s="1"/>
  <c r="AL496" i="1"/>
  <c r="AS494" i="1"/>
  <c r="AU494" i="1" s="1"/>
  <c r="AX494" i="1" s="1"/>
  <c r="AR494" i="1"/>
  <c r="AT494" i="1" s="1"/>
  <c r="AV494" i="1" s="1"/>
  <c r="AQ494" i="1"/>
  <c r="AP494" i="1"/>
  <c r="AO494" i="1"/>
  <c r="AN494" i="1"/>
  <c r="AM494" i="1"/>
  <c r="AL494" i="1"/>
  <c r="AV492" i="1"/>
  <c r="AU492" i="1"/>
  <c r="AT492" i="1"/>
  <c r="AS492" i="1"/>
  <c r="AR492" i="1"/>
  <c r="AQ492" i="1"/>
  <c r="AP492" i="1"/>
  <c r="AO492" i="1"/>
  <c r="AN492" i="1"/>
  <c r="AX492" i="1" s="1"/>
  <c r="AM492" i="1"/>
  <c r="AL492" i="1"/>
  <c r="AU490" i="1"/>
  <c r="AT490" i="1"/>
  <c r="AV490" i="1" s="1"/>
  <c r="AS490" i="1"/>
  <c r="AR490" i="1"/>
  <c r="AQ490" i="1"/>
  <c r="AP490" i="1"/>
  <c r="AO490" i="1"/>
  <c r="AM490" i="1"/>
  <c r="AN490" i="1" s="1"/>
  <c r="AL490" i="1"/>
  <c r="AS488" i="1"/>
  <c r="AU488" i="1" s="1"/>
  <c r="AR488" i="1"/>
  <c r="AT488" i="1" s="1"/>
  <c r="AQ488" i="1"/>
  <c r="AP488" i="1"/>
  <c r="AO488" i="1"/>
  <c r="AM488" i="1"/>
  <c r="AN488" i="1" s="1"/>
  <c r="AL488" i="1"/>
  <c r="AS486" i="1"/>
  <c r="AU486" i="1" s="1"/>
  <c r="AX486" i="1" s="1"/>
  <c r="AR486" i="1"/>
  <c r="AT486" i="1" s="1"/>
  <c r="AQ486" i="1"/>
  <c r="AP486" i="1"/>
  <c r="AO486" i="1"/>
  <c r="AN486" i="1"/>
  <c r="AM486" i="1"/>
  <c r="AL486" i="1"/>
  <c r="AV484" i="1"/>
  <c r="AU484" i="1"/>
  <c r="AT484" i="1"/>
  <c r="AS484" i="1"/>
  <c r="AR484" i="1"/>
  <c r="AQ484" i="1"/>
  <c r="AP484" i="1"/>
  <c r="AO484" i="1"/>
  <c r="AN484" i="1"/>
  <c r="AX484" i="1" s="1"/>
  <c r="AM484" i="1"/>
  <c r="AL484" i="1"/>
  <c r="AU482" i="1"/>
  <c r="AT482" i="1"/>
  <c r="AV482" i="1" s="1"/>
  <c r="AS482" i="1"/>
  <c r="AR482" i="1"/>
  <c r="AQ482" i="1"/>
  <c r="AP482" i="1"/>
  <c r="AO482" i="1"/>
  <c r="AM482" i="1"/>
  <c r="AN482" i="1" s="1"/>
  <c r="AL482" i="1"/>
  <c r="AS480" i="1"/>
  <c r="AU480" i="1" s="1"/>
  <c r="AR480" i="1"/>
  <c r="AT480" i="1" s="1"/>
  <c r="AQ480" i="1"/>
  <c r="AP480" i="1"/>
  <c r="AO480" i="1"/>
  <c r="AM480" i="1"/>
  <c r="AN480" i="1" s="1"/>
  <c r="AL480" i="1"/>
  <c r="AS478" i="1"/>
  <c r="AU478" i="1" s="1"/>
  <c r="AX478" i="1" s="1"/>
  <c r="AR478" i="1"/>
  <c r="AQ478" i="1"/>
  <c r="AT478" i="1" s="1"/>
  <c r="AV478" i="1" s="1"/>
  <c r="AP478" i="1"/>
  <c r="AO478" i="1"/>
  <c r="AN478" i="1"/>
  <c r="AW478" i="1" s="1"/>
  <c r="AY478" i="1" s="1"/>
  <c r="AM478" i="1"/>
  <c r="AL478" i="1"/>
  <c r="AT476" i="1"/>
  <c r="AS476" i="1"/>
  <c r="AU476" i="1" s="1"/>
  <c r="AV476" i="1" s="1"/>
  <c r="AR476" i="1"/>
  <c r="AQ476" i="1"/>
  <c r="AP476" i="1"/>
  <c r="AO476" i="1"/>
  <c r="AN476" i="1"/>
  <c r="AM476" i="1"/>
  <c r="AL476" i="1"/>
  <c r="AU474" i="1"/>
  <c r="AT474" i="1"/>
  <c r="AV474" i="1" s="1"/>
  <c r="AS474" i="1"/>
  <c r="AR474" i="1"/>
  <c r="AQ474" i="1"/>
  <c r="AP474" i="1"/>
  <c r="AO474" i="1"/>
  <c r="AM474" i="1"/>
  <c r="AN474" i="1" s="1"/>
  <c r="AL474" i="1"/>
  <c r="AS472" i="1"/>
  <c r="AU472" i="1" s="1"/>
  <c r="AR472" i="1"/>
  <c r="AT472" i="1" s="1"/>
  <c r="AV472" i="1" s="1"/>
  <c r="AQ472" i="1"/>
  <c r="AP472" i="1"/>
  <c r="AO472" i="1"/>
  <c r="AM472" i="1"/>
  <c r="AN472" i="1" s="1"/>
  <c r="AL472" i="1"/>
  <c r="AS470" i="1"/>
  <c r="AU470" i="1" s="1"/>
  <c r="AX470" i="1" s="1"/>
  <c r="AR470" i="1"/>
  <c r="AT470" i="1" s="1"/>
  <c r="AQ470" i="1"/>
  <c r="AP470" i="1"/>
  <c r="AO470" i="1"/>
  <c r="AN470" i="1"/>
  <c r="AW470" i="1" s="1"/>
  <c r="AM470" i="1"/>
  <c r="AL470" i="1"/>
  <c r="AS468" i="1"/>
  <c r="AR468" i="1"/>
  <c r="AT468" i="1" s="1"/>
  <c r="AV468" i="1" s="1"/>
  <c r="AQ468" i="1"/>
  <c r="AU468" i="1" s="1"/>
  <c r="AP468" i="1"/>
  <c r="AO468" i="1"/>
  <c r="AN468" i="1"/>
  <c r="AX468" i="1" s="1"/>
  <c r="AM468" i="1"/>
  <c r="AL468" i="1"/>
  <c r="AU466" i="1"/>
  <c r="AT466" i="1"/>
  <c r="AV466" i="1" s="1"/>
  <c r="AS466" i="1"/>
  <c r="AR466" i="1"/>
  <c r="AQ466" i="1"/>
  <c r="AP466" i="1"/>
  <c r="AO466" i="1"/>
  <c r="AM466" i="1"/>
  <c r="AN466" i="1" s="1"/>
  <c r="AL466" i="1"/>
  <c r="AS464" i="1"/>
  <c r="AU464" i="1" s="1"/>
  <c r="AR464" i="1"/>
  <c r="AT464" i="1" s="1"/>
  <c r="AQ464" i="1"/>
  <c r="AP464" i="1"/>
  <c r="AO464" i="1"/>
  <c r="AM464" i="1"/>
  <c r="AN464" i="1" s="1"/>
  <c r="AL464" i="1"/>
  <c r="AS462" i="1"/>
  <c r="AU462" i="1" s="1"/>
  <c r="AX462" i="1" s="1"/>
  <c r="AR462" i="1"/>
  <c r="AT462" i="1" s="1"/>
  <c r="AQ462" i="1"/>
  <c r="AP462" i="1"/>
  <c r="AO462" i="1"/>
  <c r="AN462" i="1"/>
  <c r="AM462" i="1"/>
  <c r="AL462" i="1"/>
  <c r="AS460" i="1"/>
  <c r="AR460" i="1"/>
  <c r="AT460" i="1" s="1"/>
  <c r="AV460" i="1" s="1"/>
  <c r="AQ460" i="1"/>
  <c r="AU460" i="1" s="1"/>
  <c r="AP460" i="1"/>
  <c r="AO460" i="1"/>
  <c r="AN460" i="1"/>
  <c r="AX460" i="1" s="1"/>
  <c r="AM460" i="1"/>
  <c r="AL460" i="1"/>
  <c r="AU458" i="1"/>
  <c r="AT458" i="1"/>
  <c r="AV458" i="1" s="1"/>
  <c r="AS458" i="1"/>
  <c r="AR458" i="1"/>
  <c r="AQ458" i="1"/>
  <c r="AP458" i="1"/>
  <c r="AO458" i="1"/>
  <c r="AM458" i="1"/>
  <c r="AN458" i="1" s="1"/>
  <c r="AL458" i="1"/>
  <c r="AS456" i="1"/>
  <c r="AU456" i="1" s="1"/>
  <c r="AR456" i="1"/>
  <c r="AT456" i="1" s="1"/>
  <c r="AQ456" i="1"/>
  <c r="AP456" i="1"/>
  <c r="AO456" i="1"/>
  <c r="AM456" i="1"/>
  <c r="AN456" i="1" s="1"/>
  <c r="AL456" i="1"/>
  <c r="AS454" i="1"/>
  <c r="AU454" i="1" s="1"/>
  <c r="AX454" i="1" s="1"/>
  <c r="AR454" i="1"/>
  <c r="AT454" i="1" s="1"/>
  <c r="AQ454" i="1"/>
  <c r="AP454" i="1"/>
  <c r="AO454" i="1"/>
  <c r="AN454" i="1"/>
  <c r="AW454" i="1" s="1"/>
  <c r="AM454" i="1"/>
  <c r="AL454" i="1"/>
  <c r="AS452" i="1"/>
  <c r="AR452" i="1"/>
  <c r="AT452" i="1" s="1"/>
  <c r="AV452" i="1" s="1"/>
  <c r="AQ452" i="1"/>
  <c r="AU452" i="1" s="1"/>
  <c r="AP452" i="1"/>
  <c r="AO452" i="1"/>
  <c r="AN452" i="1"/>
  <c r="AW452" i="1" s="1"/>
  <c r="AM452" i="1"/>
  <c r="AL452" i="1"/>
  <c r="AU450" i="1"/>
  <c r="AT450" i="1"/>
  <c r="AV450" i="1" s="1"/>
  <c r="AS450" i="1"/>
  <c r="AR450" i="1"/>
  <c r="AQ450" i="1"/>
  <c r="AP450" i="1"/>
  <c r="AO450" i="1"/>
  <c r="AM450" i="1"/>
  <c r="AN450" i="1" s="1"/>
  <c r="AL450" i="1"/>
  <c r="AS448" i="1"/>
  <c r="AU448" i="1" s="1"/>
  <c r="AR448" i="1"/>
  <c r="AT448" i="1" s="1"/>
  <c r="AQ448" i="1"/>
  <c r="AP448" i="1"/>
  <c r="AO448" i="1"/>
  <c r="AM448" i="1"/>
  <c r="AN448" i="1" s="1"/>
  <c r="AL448" i="1"/>
  <c r="AS446" i="1"/>
  <c r="AU446" i="1" s="1"/>
  <c r="AR446" i="1"/>
  <c r="AT446" i="1" s="1"/>
  <c r="AQ446" i="1"/>
  <c r="AP446" i="1"/>
  <c r="AO446" i="1"/>
  <c r="AM446" i="1"/>
  <c r="AN446" i="1" s="1"/>
  <c r="AL446" i="1"/>
  <c r="AS444" i="1"/>
  <c r="AR444" i="1"/>
  <c r="AT444" i="1" s="1"/>
  <c r="AV444" i="1" s="1"/>
  <c r="AQ444" i="1"/>
  <c r="AU444" i="1" s="1"/>
  <c r="AP444" i="1"/>
  <c r="AO444" i="1"/>
  <c r="AN444" i="1"/>
  <c r="AM444" i="1"/>
  <c r="AL444" i="1"/>
  <c r="AU442" i="1"/>
  <c r="AT442" i="1"/>
  <c r="AV442" i="1" s="1"/>
  <c r="AS442" i="1"/>
  <c r="AR442" i="1"/>
  <c r="AQ442" i="1"/>
  <c r="AP442" i="1"/>
  <c r="AO442" i="1"/>
  <c r="AM442" i="1"/>
  <c r="AN442" i="1" s="1"/>
  <c r="AL442" i="1"/>
  <c r="AS440" i="1"/>
  <c r="AU440" i="1" s="1"/>
  <c r="AR440" i="1"/>
  <c r="AT440" i="1" s="1"/>
  <c r="AQ440" i="1"/>
  <c r="AP440" i="1"/>
  <c r="AO440" i="1"/>
  <c r="AM440" i="1"/>
  <c r="AN440" i="1" s="1"/>
  <c r="AL440" i="1"/>
  <c r="AS438" i="1"/>
  <c r="AU438" i="1" s="1"/>
  <c r="AR438" i="1"/>
  <c r="AT438" i="1" s="1"/>
  <c r="AV438" i="1" s="1"/>
  <c r="AQ438" i="1"/>
  <c r="AP438" i="1"/>
  <c r="AO438" i="1"/>
  <c r="AM438" i="1"/>
  <c r="AN438" i="1" s="1"/>
  <c r="AL438" i="1"/>
  <c r="AS436" i="1"/>
  <c r="AR436" i="1"/>
  <c r="AT436" i="1" s="1"/>
  <c r="AQ436" i="1"/>
  <c r="AU436" i="1" s="1"/>
  <c r="AP436" i="1"/>
  <c r="AO436" i="1"/>
  <c r="AN436" i="1"/>
  <c r="AM436" i="1"/>
  <c r="AL436" i="1"/>
  <c r="AU434" i="1"/>
  <c r="AT434" i="1"/>
  <c r="AV434" i="1" s="1"/>
  <c r="AS434" i="1"/>
  <c r="AR434" i="1"/>
  <c r="AQ434" i="1"/>
  <c r="AP434" i="1"/>
  <c r="AO434" i="1"/>
  <c r="AM434" i="1"/>
  <c r="AN434" i="1" s="1"/>
  <c r="AL434" i="1"/>
  <c r="AT432" i="1"/>
  <c r="AS432" i="1"/>
  <c r="AU432" i="1" s="1"/>
  <c r="AR432" i="1"/>
  <c r="AQ432" i="1"/>
  <c r="AP432" i="1"/>
  <c r="AO432" i="1"/>
  <c r="AM432" i="1"/>
  <c r="AN432" i="1" s="1"/>
  <c r="AL432" i="1"/>
  <c r="AS430" i="1"/>
  <c r="AU430" i="1" s="1"/>
  <c r="AX430" i="1" s="1"/>
  <c r="AR430" i="1"/>
  <c r="AT430" i="1" s="1"/>
  <c r="AV430" i="1" s="1"/>
  <c r="AQ430" i="1"/>
  <c r="AP430" i="1"/>
  <c r="AO430" i="1"/>
  <c r="AN430" i="1"/>
  <c r="AW430" i="1" s="1"/>
  <c r="AY430" i="1" s="1"/>
  <c r="AM430" i="1"/>
  <c r="AL430" i="1"/>
  <c r="AT428" i="1"/>
  <c r="AS428" i="1"/>
  <c r="AR428" i="1"/>
  <c r="AQ428" i="1"/>
  <c r="AU428" i="1" s="1"/>
  <c r="AP428" i="1"/>
  <c r="AO428" i="1"/>
  <c r="AN428" i="1"/>
  <c r="AW428" i="1" s="1"/>
  <c r="AM428" i="1"/>
  <c r="AL428" i="1"/>
  <c r="AV426" i="1"/>
  <c r="AU426" i="1"/>
  <c r="AT426" i="1"/>
  <c r="AS426" i="1"/>
  <c r="AR426" i="1"/>
  <c r="AQ426" i="1"/>
  <c r="AP426" i="1"/>
  <c r="AO426" i="1"/>
  <c r="AN426" i="1"/>
  <c r="AX426" i="1" s="1"/>
  <c r="AM426" i="1"/>
  <c r="AL426" i="1"/>
  <c r="AT424" i="1"/>
  <c r="AS424" i="1"/>
  <c r="AU424" i="1" s="1"/>
  <c r="AR424" i="1"/>
  <c r="AQ424" i="1"/>
  <c r="AP424" i="1"/>
  <c r="AO424" i="1"/>
  <c r="AM424" i="1"/>
  <c r="AN424" i="1" s="1"/>
  <c r="AL424" i="1"/>
  <c r="AS422" i="1"/>
  <c r="AU422" i="1" s="1"/>
  <c r="AX422" i="1" s="1"/>
  <c r="AR422" i="1"/>
  <c r="AT422" i="1" s="1"/>
  <c r="AV422" i="1" s="1"/>
  <c r="AQ422" i="1"/>
  <c r="AP422" i="1"/>
  <c r="AO422" i="1"/>
  <c r="AN422" i="1"/>
  <c r="AM422" i="1"/>
  <c r="AL422" i="1"/>
  <c r="AT420" i="1"/>
  <c r="AS420" i="1"/>
  <c r="AR420" i="1"/>
  <c r="AQ420" i="1"/>
  <c r="AU420" i="1" s="1"/>
  <c r="AP420" i="1"/>
  <c r="AO420" i="1"/>
  <c r="AN420" i="1"/>
  <c r="AW420" i="1" s="1"/>
  <c r="AM420" i="1"/>
  <c r="AL420" i="1"/>
  <c r="AV418" i="1"/>
  <c r="AU418" i="1"/>
  <c r="AT418" i="1"/>
  <c r="AS418" i="1"/>
  <c r="AR418" i="1"/>
  <c r="AQ418" i="1"/>
  <c r="AP418" i="1"/>
  <c r="AO418" i="1"/>
  <c r="AN418" i="1"/>
  <c r="AX418" i="1" s="1"/>
  <c r="AM418" i="1"/>
  <c r="AL418" i="1"/>
  <c r="AT416" i="1"/>
  <c r="AS416" i="1"/>
  <c r="AU416" i="1" s="1"/>
  <c r="AR416" i="1"/>
  <c r="AQ416" i="1"/>
  <c r="AP416" i="1"/>
  <c r="AO416" i="1"/>
  <c r="AM416" i="1"/>
  <c r="AN416" i="1" s="1"/>
  <c r="AL416" i="1"/>
  <c r="AS414" i="1"/>
  <c r="AU414" i="1" s="1"/>
  <c r="AX414" i="1" s="1"/>
  <c r="AR414" i="1"/>
  <c r="AT414" i="1" s="1"/>
  <c r="AV414" i="1" s="1"/>
  <c r="AQ414" i="1"/>
  <c r="AP414" i="1"/>
  <c r="AO414" i="1"/>
  <c r="AN414" i="1"/>
  <c r="AW414" i="1" s="1"/>
  <c r="AY414" i="1" s="1"/>
  <c r="AM414" i="1"/>
  <c r="AL414" i="1"/>
  <c r="AT412" i="1"/>
  <c r="AS412" i="1"/>
  <c r="AU412" i="1" s="1"/>
  <c r="AR412" i="1"/>
  <c r="AQ412" i="1"/>
  <c r="AP412" i="1"/>
  <c r="AO412" i="1"/>
  <c r="AN412" i="1"/>
  <c r="AW412" i="1" s="1"/>
  <c r="AM412" i="1"/>
  <c r="AL412" i="1"/>
  <c r="AV410" i="1"/>
  <c r="AU410" i="1"/>
  <c r="AT410" i="1"/>
  <c r="AS410" i="1"/>
  <c r="AR410" i="1"/>
  <c r="AQ410" i="1"/>
  <c r="AP410" i="1"/>
  <c r="AO410" i="1"/>
  <c r="AN410" i="1"/>
  <c r="AX410" i="1" s="1"/>
  <c r="AM410" i="1"/>
  <c r="AL410" i="1"/>
  <c r="AT408" i="1"/>
  <c r="AS408" i="1"/>
  <c r="AU408" i="1" s="1"/>
  <c r="AR408" i="1"/>
  <c r="AQ408" i="1"/>
  <c r="AP408" i="1"/>
  <c r="AO408" i="1"/>
  <c r="AM408" i="1"/>
  <c r="AN408" i="1" s="1"/>
  <c r="AL408" i="1"/>
  <c r="AS406" i="1"/>
  <c r="AU406" i="1" s="1"/>
  <c r="AX406" i="1" s="1"/>
  <c r="AR406" i="1"/>
  <c r="AT406" i="1" s="1"/>
  <c r="AV406" i="1" s="1"/>
  <c r="AQ406" i="1"/>
  <c r="AP406" i="1"/>
  <c r="AO406" i="1"/>
  <c r="AN406" i="1"/>
  <c r="AM406" i="1"/>
  <c r="AL406" i="1"/>
  <c r="AT404" i="1"/>
  <c r="AS404" i="1"/>
  <c r="AU404" i="1" s="1"/>
  <c r="AR404" i="1"/>
  <c r="AQ404" i="1"/>
  <c r="AP404" i="1"/>
  <c r="AO404" i="1"/>
  <c r="AN404" i="1"/>
  <c r="AW404" i="1" s="1"/>
  <c r="AM404" i="1"/>
  <c r="AL404" i="1"/>
  <c r="AV402" i="1"/>
  <c r="AU402" i="1"/>
  <c r="AT402" i="1"/>
  <c r="AS402" i="1"/>
  <c r="AR402" i="1"/>
  <c r="AQ402" i="1"/>
  <c r="AP402" i="1"/>
  <c r="AO402" i="1"/>
  <c r="AN402" i="1"/>
  <c r="AX402" i="1" s="1"/>
  <c r="AM402" i="1"/>
  <c r="AL402" i="1"/>
  <c r="AT400" i="1"/>
  <c r="AS400" i="1"/>
  <c r="AU400" i="1" s="1"/>
  <c r="AR400" i="1"/>
  <c r="AQ400" i="1"/>
  <c r="AP400" i="1"/>
  <c r="AO400" i="1"/>
  <c r="AM400" i="1"/>
  <c r="AN400" i="1" s="1"/>
  <c r="AL400" i="1"/>
  <c r="AS398" i="1"/>
  <c r="AU398" i="1" s="1"/>
  <c r="AX398" i="1" s="1"/>
  <c r="AR398" i="1"/>
  <c r="AT398" i="1" s="1"/>
  <c r="AV398" i="1" s="1"/>
  <c r="AQ398" i="1"/>
  <c r="AP398" i="1"/>
  <c r="AO398" i="1"/>
  <c r="AN398" i="1"/>
  <c r="AW398" i="1" s="1"/>
  <c r="AY398" i="1" s="1"/>
  <c r="AM398" i="1"/>
  <c r="AL398" i="1"/>
  <c r="AT396" i="1"/>
  <c r="AS396" i="1"/>
  <c r="AU396" i="1" s="1"/>
  <c r="AR396" i="1"/>
  <c r="AQ396" i="1"/>
  <c r="AP396" i="1"/>
  <c r="AO396" i="1"/>
  <c r="AN396" i="1"/>
  <c r="AW396" i="1" s="1"/>
  <c r="AM396" i="1"/>
  <c r="AL396" i="1"/>
  <c r="AV394" i="1"/>
  <c r="AU394" i="1"/>
  <c r="AT394" i="1"/>
  <c r="AS394" i="1"/>
  <c r="AR394" i="1"/>
  <c r="AQ394" i="1"/>
  <c r="AP394" i="1"/>
  <c r="AO394" i="1"/>
  <c r="AN394" i="1"/>
  <c r="AX394" i="1" s="1"/>
  <c r="AM394" i="1"/>
  <c r="AL394" i="1"/>
  <c r="AU392" i="1"/>
  <c r="AT392" i="1"/>
  <c r="AV392" i="1" s="1"/>
  <c r="AS392" i="1"/>
  <c r="AR392" i="1"/>
  <c r="AQ392" i="1"/>
  <c r="AP392" i="1"/>
  <c r="AO392" i="1"/>
  <c r="AM392" i="1"/>
  <c r="AN392" i="1" s="1"/>
  <c r="AL392" i="1"/>
  <c r="AS390" i="1"/>
  <c r="AU390" i="1" s="1"/>
  <c r="AX390" i="1" s="1"/>
  <c r="AR390" i="1"/>
  <c r="AT390" i="1" s="1"/>
  <c r="AQ390" i="1"/>
  <c r="AP390" i="1"/>
  <c r="AO390" i="1"/>
  <c r="AN390" i="1"/>
  <c r="AW390" i="1" s="1"/>
  <c r="AY390" i="1" s="1"/>
  <c r="AM390" i="1"/>
  <c r="AL390" i="1"/>
  <c r="AS388" i="1"/>
  <c r="AR388" i="1"/>
  <c r="AT388" i="1" s="1"/>
  <c r="AQ388" i="1"/>
  <c r="AU388" i="1" s="1"/>
  <c r="AX388" i="1" s="1"/>
  <c r="AP388" i="1"/>
  <c r="AO388" i="1"/>
  <c r="AN388" i="1"/>
  <c r="AW388" i="1" s="1"/>
  <c r="AY388" i="1" s="1"/>
  <c r="AM388" i="1"/>
  <c r="AL388" i="1"/>
  <c r="AV386" i="1"/>
  <c r="AU386" i="1"/>
  <c r="AT386" i="1"/>
  <c r="AS386" i="1"/>
  <c r="AR386" i="1"/>
  <c r="AQ386" i="1"/>
  <c r="AP386" i="1"/>
  <c r="AO386" i="1"/>
  <c r="AN386" i="1"/>
  <c r="AX386" i="1" s="1"/>
  <c r="AM386" i="1"/>
  <c r="AL386" i="1"/>
  <c r="AU384" i="1"/>
  <c r="AT384" i="1"/>
  <c r="AV384" i="1" s="1"/>
  <c r="AS384" i="1"/>
  <c r="AR384" i="1"/>
  <c r="AQ384" i="1"/>
  <c r="AP384" i="1"/>
  <c r="AO384" i="1"/>
  <c r="AM384" i="1"/>
  <c r="AN384" i="1" s="1"/>
  <c r="AL384" i="1"/>
  <c r="AS382" i="1"/>
  <c r="AU382" i="1" s="1"/>
  <c r="AX382" i="1" s="1"/>
  <c r="AR382" i="1"/>
  <c r="AT382" i="1" s="1"/>
  <c r="AV382" i="1" s="1"/>
  <c r="AQ382" i="1"/>
  <c r="AP382" i="1"/>
  <c r="AO382" i="1"/>
  <c r="AN382" i="1"/>
  <c r="AM382" i="1"/>
  <c r="AL382" i="1"/>
  <c r="AS380" i="1"/>
  <c r="AR380" i="1"/>
  <c r="AT380" i="1" s="1"/>
  <c r="AQ380" i="1"/>
  <c r="AU380" i="1" s="1"/>
  <c r="AX380" i="1" s="1"/>
  <c r="AP380" i="1"/>
  <c r="AO380" i="1"/>
  <c r="AN380" i="1"/>
  <c r="AM380" i="1"/>
  <c r="AL380" i="1"/>
  <c r="AV378" i="1"/>
  <c r="AU378" i="1"/>
  <c r="AT378" i="1"/>
  <c r="AS378" i="1"/>
  <c r="AR378" i="1"/>
  <c r="AQ378" i="1"/>
  <c r="AP378" i="1"/>
  <c r="AO378" i="1"/>
  <c r="AN378" i="1"/>
  <c r="AW378" i="1" s="1"/>
  <c r="AM378" i="1"/>
  <c r="AL378" i="1"/>
  <c r="AU376" i="1"/>
  <c r="AT376" i="1"/>
  <c r="AV376" i="1" s="1"/>
  <c r="AS376" i="1"/>
  <c r="AR376" i="1"/>
  <c r="AQ376" i="1"/>
  <c r="AP376" i="1"/>
  <c r="AO376" i="1"/>
  <c r="AM376" i="1"/>
  <c r="AN376" i="1" s="1"/>
  <c r="AL376" i="1"/>
  <c r="AS374" i="1"/>
  <c r="AU374" i="1" s="1"/>
  <c r="AX374" i="1" s="1"/>
  <c r="AR374" i="1"/>
  <c r="AT374" i="1" s="1"/>
  <c r="AV374" i="1" s="1"/>
  <c r="AQ374" i="1"/>
  <c r="AP374" i="1"/>
  <c r="AO374" i="1"/>
  <c r="AN374" i="1"/>
  <c r="AW374" i="1" s="1"/>
  <c r="AY374" i="1" s="1"/>
  <c r="AM374" i="1"/>
  <c r="AL374" i="1"/>
  <c r="AS372" i="1"/>
  <c r="AR372" i="1"/>
  <c r="AT372" i="1" s="1"/>
  <c r="AQ372" i="1"/>
  <c r="AU372" i="1" s="1"/>
  <c r="AX372" i="1" s="1"/>
  <c r="AP372" i="1"/>
  <c r="AO372" i="1"/>
  <c r="AN372" i="1"/>
  <c r="AW372" i="1" s="1"/>
  <c r="AY372" i="1" s="1"/>
  <c r="AM372" i="1"/>
  <c r="AL372" i="1"/>
  <c r="AV370" i="1"/>
  <c r="AU370" i="1"/>
  <c r="AT370" i="1"/>
  <c r="AS370" i="1"/>
  <c r="AR370" i="1"/>
  <c r="AQ370" i="1"/>
  <c r="AP370" i="1"/>
  <c r="AO370" i="1"/>
  <c r="AN370" i="1"/>
  <c r="AX370" i="1" s="1"/>
  <c r="AM370" i="1"/>
  <c r="AL370" i="1"/>
  <c r="AU368" i="1"/>
  <c r="AT368" i="1"/>
  <c r="AV368" i="1" s="1"/>
  <c r="AS368" i="1"/>
  <c r="AR368" i="1"/>
  <c r="AQ368" i="1"/>
  <c r="AP368" i="1"/>
  <c r="AO368" i="1"/>
  <c r="AM368" i="1"/>
  <c r="AN368" i="1" s="1"/>
  <c r="AL368" i="1"/>
  <c r="AS366" i="1"/>
  <c r="AU366" i="1" s="1"/>
  <c r="AX366" i="1" s="1"/>
  <c r="AR366" i="1"/>
  <c r="AT366" i="1" s="1"/>
  <c r="AV366" i="1" s="1"/>
  <c r="AQ366" i="1"/>
  <c r="AP366" i="1"/>
  <c r="AO366" i="1"/>
  <c r="AN366" i="1"/>
  <c r="AM366" i="1"/>
  <c r="AL366" i="1"/>
  <c r="AS364" i="1"/>
  <c r="AR364" i="1"/>
  <c r="AT364" i="1" s="1"/>
  <c r="AQ364" i="1"/>
  <c r="AU364" i="1" s="1"/>
  <c r="AX364" i="1" s="1"/>
  <c r="AP364" i="1"/>
  <c r="AO364" i="1"/>
  <c r="AN364" i="1"/>
  <c r="AM364" i="1"/>
  <c r="AL364" i="1"/>
  <c r="AV362" i="1"/>
  <c r="AU362" i="1"/>
  <c r="AT362" i="1"/>
  <c r="AS362" i="1"/>
  <c r="AR362" i="1"/>
  <c r="AQ362" i="1"/>
  <c r="AP362" i="1"/>
  <c r="AO362" i="1"/>
  <c r="AN362" i="1"/>
  <c r="AX362" i="1" s="1"/>
  <c r="AM362" i="1"/>
  <c r="AL362" i="1"/>
  <c r="AU360" i="1"/>
  <c r="AT360" i="1"/>
  <c r="AV360" i="1" s="1"/>
  <c r="AS360" i="1"/>
  <c r="AR360" i="1"/>
  <c r="AQ360" i="1"/>
  <c r="AP360" i="1"/>
  <c r="AO360" i="1"/>
  <c r="AM360" i="1"/>
  <c r="AN360" i="1" s="1"/>
  <c r="AL360" i="1"/>
  <c r="AS358" i="1"/>
  <c r="AU358" i="1" s="1"/>
  <c r="AX358" i="1" s="1"/>
  <c r="AR358" i="1"/>
  <c r="AT358" i="1" s="1"/>
  <c r="AV358" i="1" s="1"/>
  <c r="AQ358" i="1"/>
  <c r="AP358" i="1"/>
  <c r="AO358" i="1"/>
  <c r="AN358" i="1"/>
  <c r="AW358" i="1" s="1"/>
  <c r="AY358" i="1" s="1"/>
  <c r="AM358" i="1"/>
  <c r="AL358" i="1"/>
  <c r="AS356" i="1"/>
  <c r="AR356" i="1"/>
  <c r="AT356" i="1" s="1"/>
  <c r="AQ356" i="1"/>
  <c r="AU356" i="1" s="1"/>
  <c r="AX356" i="1" s="1"/>
  <c r="AP356" i="1"/>
  <c r="AO356" i="1"/>
  <c r="AN356" i="1"/>
  <c r="AW356" i="1" s="1"/>
  <c r="AY356" i="1" s="1"/>
  <c r="AM356" i="1"/>
  <c r="AL356" i="1"/>
  <c r="AV354" i="1"/>
  <c r="AU354" i="1"/>
  <c r="AT354" i="1"/>
  <c r="AS354" i="1"/>
  <c r="AR354" i="1"/>
  <c r="AQ354" i="1"/>
  <c r="AP354" i="1"/>
  <c r="AO354" i="1"/>
  <c r="AN354" i="1"/>
  <c r="AX354" i="1" s="1"/>
  <c r="AM354" i="1"/>
  <c r="AL354" i="1"/>
  <c r="AS352" i="1"/>
  <c r="AU352" i="1" s="1"/>
  <c r="AR352" i="1"/>
  <c r="AT352" i="1" s="1"/>
  <c r="AV352" i="1" s="1"/>
  <c r="AQ352" i="1"/>
  <c r="AP352" i="1"/>
  <c r="AO352" i="1"/>
  <c r="AN352" i="1"/>
  <c r="AX352" i="1" s="1"/>
  <c r="AM352" i="1"/>
  <c r="AL352" i="1"/>
  <c r="AS350" i="1"/>
  <c r="AU350" i="1" s="1"/>
  <c r="AX350" i="1" s="1"/>
  <c r="AR350" i="1"/>
  <c r="AQ350" i="1"/>
  <c r="AT350" i="1" s="1"/>
  <c r="AV350" i="1" s="1"/>
  <c r="AP350" i="1"/>
  <c r="AO350" i="1"/>
  <c r="AN350" i="1"/>
  <c r="AW350" i="1" s="1"/>
  <c r="AY350" i="1" s="1"/>
  <c r="AM350" i="1"/>
  <c r="AL350" i="1"/>
  <c r="AS348" i="1"/>
  <c r="AR348" i="1"/>
  <c r="AT348" i="1" s="1"/>
  <c r="AQ348" i="1"/>
  <c r="AU348" i="1" s="1"/>
  <c r="AP348" i="1"/>
  <c r="AO348" i="1"/>
  <c r="AN348" i="1"/>
  <c r="AW348" i="1" s="1"/>
  <c r="AM348" i="1"/>
  <c r="AL348" i="1"/>
  <c r="AU346" i="1"/>
  <c r="AT346" i="1"/>
  <c r="AV346" i="1" s="1"/>
  <c r="AS346" i="1"/>
  <c r="AR346" i="1"/>
  <c r="AQ346" i="1"/>
  <c r="AP346" i="1"/>
  <c r="AO346" i="1"/>
  <c r="AM346" i="1"/>
  <c r="AN346" i="1" s="1"/>
  <c r="AL346" i="1"/>
  <c r="AS344" i="1"/>
  <c r="AU344" i="1" s="1"/>
  <c r="AR344" i="1"/>
  <c r="AT344" i="1" s="1"/>
  <c r="AQ344" i="1"/>
  <c r="AP344" i="1"/>
  <c r="AO344" i="1"/>
  <c r="AN344" i="1"/>
  <c r="AX344" i="1" s="1"/>
  <c r="AM344" i="1"/>
  <c r="AL344" i="1"/>
  <c r="AS342" i="1"/>
  <c r="AU342" i="1" s="1"/>
  <c r="AX342" i="1" s="1"/>
  <c r="AR342" i="1"/>
  <c r="AQ342" i="1"/>
  <c r="AT342" i="1" s="1"/>
  <c r="AV342" i="1" s="1"/>
  <c r="AP342" i="1"/>
  <c r="AO342" i="1"/>
  <c r="AN342" i="1"/>
  <c r="AW342" i="1" s="1"/>
  <c r="AY342" i="1" s="1"/>
  <c r="AM342" i="1"/>
  <c r="AL342" i="1"/>
  <c r="AS340" i="1"/>
  <c r="AR340" i="1"/>
  <c r="AT340" i="1" s="1"/>
  <c r="AQ340" i="1"/>
  <c r="AU340" i="1" s="1"/>
  <c r="AP340" i="1"/>
  <c r="AO340" i="1"/>
  <c r="AN340" i="1"/>
  <c r="AW340" i="1" s="1"/>
  <c r="AM340" i="1"/>
  <c r="AL340" i="1"/>
  <c r="AU338" i="1"/>
  <c r="AT338" i="1"/>
  <c r="AV338" i="1" s="1"/>
  <c r="AS338" i="1"/>
  <c r="AR338" i="1"/>
  <c r="AQ338" i="1"/>
  <c r="AP338" i="1"/>
  <c r="AO338" i="1"/>
  <c r="AM338" i="1"/>
  <c r="AN338" i="1" s="1"/>
  <c r="AL338" i="1"/>
  <c r="AS336" i="1"/>
  <c r="AU336" i="1" s="1"/>
  <c r="AR336" i="1"/>
  <c r="AT336" i="1" s="1"/>
  <c r="AV336" i="1" s="1"/>
  <c r="AQ336" i="1"/>
  <c r="AP336" i="1"/>
  <c r="AO336" i="1"/>
  <c r="AN336" i="1"/>
  <c r="AX336" i="1" s="1"/>
  <c r="AM336" i="1"/>
  <c r="AL336" i="1"/>
  <c r="AS334" i="1"/>
  <c r="AU334" i="1" s="1"/>
  <c r="AX334" i="1" s="1"/>
  <c r="AR334" i="1"/>
  <c r="AQ334" i="1"/>
  <c r="AT334" i="1" s="1"/>
  <c r="AV334" i="1" s="1"/>
  <c r="AP334" i="1"/>
  <c r="AO334" i="1"/>
  <c r="AN334" i="1"/>
  <c r="AW334" i="1" s="1"/>
  <c r="AY334" i="1" s="1"/>
  <c r="AM334" i="1"/>
  <c r="AL334" i="1"/>
  <c r="AS332" i="1"/>
  <c r="AU332" i="1" s="1"/>
  <c r="AR332" i="1"/>
  <c r="AT332" i="1" s="1"/>
  <c r="AV332" i="1" s="1"/>
  <c r="AQ332" i="1"/>
  <c r="AP332" i="1"/>
  <c r="AO332" i="1"/>
  <c r="AN332" i="1"/>
  <c r="AW332" i="1" s="1"/>
  <c r="AM332" i="1"/>
  <c r="AL332" i="1"/>
  <c r="AU330" i="1"/>
  <c r="AT330" i="1"/>
  <c r="AV330" i="1" s="1"/>
  <c r="AS330" i="1"/>
  <c r="AR330" i="1"/>
  <c r="AQ330" i="1"/>
  <c r="AP330" i="1"/>
  <c r="AO330" i="1"/>
  <c r="AM330" i="1"/>
  <c r="AN330" i="1" s="1"/>
  <c r="AL330" i="1"/>
  <c r="AS328" i="1"/>
  <c r="AU328" i="1" s="1"/>
  <c r="AR328" i="1"/>
  <c r="AT328" i="1" s="1"/>
  <c r="AQ328" i="1"/>
  <c r="AP328" i="1"/>
  <c r="AO328" i="1"/>
  <c r="AN328" i="1"/>
  <c r="AM328" i="1"/>
  <c r="AL328" i="1"/>
  <c r="AS326" i="1"/>
  <c r="AU326" i="1" s="1"/>
  <c r="AX326" i="1" s="1"/>
  <c r="AR326" i="1"/>
  <c r="AQ326" i="1"/>
  <c r="AT326" i="1" s="1"/>
  <c r="AP326" i="1"/>
  <c r="AO326" i="1"/>
  <c r="AN326" i="1"/>
  <c r="AM326" i="1"/>
  <c r="AL326" i="1"/>
  <c r="AS324" i="1"/>
  <c r="AU324" i="1" s="1"/>
  <c r="AR324" i="1"/>
  <c r="AT324" i="1" s="1"/>
  <c r="AQ324" i="1"/>
  <c r="AP324" i="1"/>
  <c r="AO324" i="1"/>
  <c r="AN324" i="1"/>
  <c r="AM324" i="1"/>
  <c r="AL324" i="1"/>
  <c r="AU322" i="1"/>
  <c r="AT322" i="1"/>
  <c r="AV322" i="1" s="1"/>
  <c r="AS322" i="1"/>
  <c r="AR322" i="1"/>
  <c r="AQ322" i="1"/>
  <c r="AP322" i="1"/>
  <c r="AO322" i="1"/>
  <c r="AM322" i="1"/>
  <c r="AN322" i="1" s="1"/>
  <c r="AL322" i="1"/>
  <c r="AS320" i="1"/>
  <c r="AU320" i="1" s="1"/>
  <c r="AR320" i="1"/>
  <c r="AT320" i="1" s="1"/>
  <c r="AQ320" i="1"/>
  <c r="AP320" i="1"/>
  <c r="AO320" i="1"/>
  <c r="AN320" i="1"/>
  <c r="AM320" i="1"/>
  <c r="AL320" i="1"/>
  <c r="AS318" i="1"/>
  <c r="AU318" i="1" s="1"/>
  <c r="AX318" i="1" s="1"/>
  <c r="AR318" i="1"/>
  <c r="AQ318" i="1"/>
  <c r="AT318" i="1" s="1"/>
  <c r="AV318" i="1" s="1"/>
  <c r="AP318" i="1"/>
  <c r="AO318" i="1"/>
  <c r="AN318" i="1"/>
  <c r="AM318" i="1"/>
  <c r="AL318" i="1"/>
  <c r="AS316" i="1"/>
  <c r="AU316" i="1" s="1"/>
  <c r="AR316" i="1"/>
  <c r="AT316" i="1" s="1"/>
  <c r="AQ316" i="1"/>
  <c r="AP316" i="1"/>
  <c r="AO316" i="1"/>
  <c r="AN316" i="1"/>
  <c r="AM316" i="1"/>
  <c r="AL316" i="1"/>
  <c r="AU314" i="1"/>
  <c r="AT314" i="1"/>
  <c r="AV314" i="1" s="1"/>
  <c r="AS314" i="1"/>
  <c r="AR314" i="1"/>
  <c r="AQ314" i="1"/>
  <c r="AP314" i="1"/>
  <c r="AO314" i="1"/>
  <c r="AM314" i="1"/>
  <c r="AN314" i="1" s="1"/>
  <c r="AL314" i="1"/>
  <c r="AS312" i="1"/>
  <c r="AU312" i="1" s="1"/>
  <c r="AR312" i="1"/>
  <c r="AT312" i="1" s="1"/>
  <c r="AV312" i="1" s="1"/>
  <c r="AQ312" i="1"/>
  <c r="AP312" i="1"/>
  <c r="AO312" i="1"/>
  <c r="AM312" i="1"/>
  <c r="AN312" i="1" s="1"/>
  <c r="AL312" i="1"/>
  <c r="AS310" i="1"/>
  <c r="AU310" i="1" s="1"/>
  <c r="AX310" i="1" s="1"/>
  <c r="AR310" i="1"/>
  <c r="AT310" i="1" s="1"/>
  <c r="AQ310" i="1"/>
  <c r="AP310" i="1"/>
  <c r="AO310" i="1"/>
  <c r="AN310" i="1"/>
  <c r="AM310" i="1"/>
  <c r="AL310" i="1"/>
  <c r="AU308" i="1"/>
  <c r="AV308" i="1" s="1"/>
  <c r="AT308" i="1"/>
  <c r="AS308" i="1"/>
  <c r="AR308" i="1"/>
  <c r="AQ308" i="1"/>
  <c r="AP308" i="1"/>
  <c r="AO308" i="1"/>
  <c r="AM308" i="1"/>
  <c r="AN308" i="1" s="1"/>
  <c r="AL308" i="1"/>
  <c r="AT306" i="1"/>
  <c r="AS306" i="1"/>
  <c r="AU306" i="1" s="1"/>
  <c r="AR306" i="1"/>
  <c r="AQ306" i="1"/>
  <c r="AP306" i="1"/>
  <c r="AO306" i="1"/>
  <c r="AM306" i="1"/>
  <c r="AN306" i="1" s="1"/>
  <c r="AL306" i="1"/>
  <c r="AS304" i="1"/>
  <c r="AU304" i="1" s="1"/>
  <c r="AR304" i="1"/>
  <c r="AT304" i="1" s="1"/>
  <c r="AQ304" i="1"/>
  <c r="AP304" i="1"/>
  <c r="AO304" i="1"/>
  <c r="AN304" i="1"/>
  <c r="AX304" i="1" s="1"/>
  <c r="AM304" i="1"/>
  <c r="AL304" i="1"/>
  <c r="AS302" i="1"/>
  <c r="AU302" i="1" s="1"/>
  <c r="AX302" i="1" s="1"/>
  <c r="AR302" i="1"/>
  <c r="AQ302" i="1"/>
  <c r="AT302" i="1" s="1"/>
  <c r="AP302" i="1"/>
  <c r="AO302" i="1"/>
  <c r="AN302" i="1"/>
  <c r="AM302" i="1"/>
  <c r="AL302" i="1"/>
  <c r="AU300" i="1"/>
  <c r="AS300" i="1"/>
  <c r="AR300" i="1"/>
  <c r="AT300" i="1" s="1"/>
  <c r="AV300" i="1" s="1"/>
  <c r="AQ300" i="1"/>
  <c r="AP300" i="1"/>
  <c r="AO300" i="1"/>
  <c r="AM300" i="1"/>
  <c r="AN300" i="1" s="1"/>
  <c r="AL300" i="1"/>
  <c r="AT298" i="1"/>
  <c r="AS298" i="1"/>
  <c r="AU298" i="1" s="1"/>
  <c r="AR298" i="1"/>
  <c r="AQ298" i="1"/>
  <c r="AP298" i="1"/>
  <c r="AO298" i="1"/>
  <c r="AM298" i="1"/>
  <c r="AN298" i="1" s="1"/>
  <c r="AL298" i="1"/>
  <c r="AS296" i="1"/>
  <c r="AU296" i="1" s="1"/>
  <c r="AR296" i="1"/>
  <c r="AT296" i="1" s="1"/>
  <c r="AV296" i="1" s="1"/>
  <c r="AQ296" i="1"/>
  <c r="AP296" i="1"/>
  <c r="AO296" i="1"/>
  <c r="AN296" i="1"/>
  <c r="AX296" i="1" s="1"/>
  <c r="AM296" i="1"/>
  <c r="AL296" i="1"/>
  <c r="AS294" i="1"/>
  <c r="AU294" i="1" s="1"/>
  <c r="AX294" i="1" s="1"/>
  <c r="AR294" i="1"/>
  <c r="AQ294" i="1"/>
  <c r="AT294" i="1" s="1"/>
  <c r="AP294" i="1"/>
  <c r="AO294" i="1"/>
  <c r="AN294" i="1"/>
  <c r="AM294" i="1"/>
  <c r="AL294" i="1"/>
  <c r="AU292" i="1"/>
  <c r="AS292" i="1"/>
  <c r="AR292" i="1"/>
  <c r="AT292" i="1" s="1"/>
  <c r="AV292" i="1" s="1"/>
  <c r="AQ292" i="1"/>
  <c r="AP292" i="1"/>
  <c r="AO292" i="1"/>
  <c r="AM292" i="1"/>
  <c r="AN292" i="1" s="1"/>
  <c r="AL292" i="1"/>
  <c r="AT290" i="1"/>
  <c r="AS290" i="1"/>
  <c r="AU290" i="1" s="1"/>
  <c r="AR290" i="1"/>
  <c r="AQ290" i="1"/>
  <c r="AP290" i="1"/>
  <c r="AO290" i="1"/>
  <c r="AM290" i="1"/>
  <c r="AN290" i="1" s="1"/>
  <c r="AL290" i="1"/>
  <c r="AS288" i="1"/>
  <c r="AU288" i="1" s="1"/>
  <c r="AR288" i="1"/>
  <c r="AT288" i="1" s="1"/>
  <c r="AV288" i="1" s="1"/>
  <c r="AQ288" i="1"/>
  <c r="AP288" i="1"/>
  <c r="AO288" i="1"/>
  <c r="AM288" i="1"/>
  <c r="AN288" i="1" s="1"/>
  <c r="AL288" i="1"/>
  <c r="AS286" i="1"/>
  <c r="AU286" i="1" s="1"/>
  <c r="AR286" i="1"/>
  <c r="AT286" i="1" s="1"/>
  <c r="AQ286" i="1"/>
  <c r="AP286" i="1"/>
  <c r="AO286" i="1"/>
  <c r="AM286" i="1"/>
  <c r="AN286" i="1" s="1"/>
  <c r="AL286" i="1"/>
  <c r="AU284" i="1"/>
  <c r="AS284" i="1"/>
  <c r="AR284" i="1"/>
  <c r="AT284" i="1" s="1"/>
  <c r="AV284" i="1" s="1"/>
  <c r="AQ284" i="1"/>
  <c r="AP284" i="1"/>
  <c r="AO284" i="1"/>
  <c r="AM284" i="1"/>
  <c r="AN284" i="1" s="1"/>
  <c r="AL284" i="1"/>
  <c r="AT282" i="1"/>
  <c r="AS282" i="1"/>
  <c r="AU282" i="1" s="1"/>
  <c r="AR282" i="1"/>
  <c r="AQ282" i="1"/>
  <c r="AP282" i="1"/>
  <c r="AO282" i="1"/>
  <c r="AM282" i="1"/>
  <c r="AN282" i="1" s="1"/>
  <c r="AL282" i="1"/>
  <c r="AS280" i="1"/>
  <c r="AU280" i="1" s="1"/>
  <c r="AR280" i="1"/>
  <c r="AT280" i="1" s="1"/>
  <c r="AV280" i="1" s="1"/>
  <c r="AQ280" i="1"/>
  <c r="AP280" i="1"/>
  <c r="AO280" i="1"/>
  <c r="AM280" i="1"/>
  <c r="AN280" i="1" s="1"/>
  <c r="AL280" i="1"/>
  <c r="AS278" i="1"/>
  <c r="AU278" i="1" s="1"/>
  <c r="AR278" i="1"/>
  <c r="AT278" i="1" s="1"/>
  <c r="AV278" i="1" s="1"/>
  <c r="AQ278" i="1"/>
  <c r="AP278" i="1"/>
  <c r="AO278" i="1"/>
  <c r="AM278" i="1"/>
  <c r="AN278" i="1" s="1"/>
  <c r="AL278" i="1"/>
  <c r="AU276" i="1"/>
  <c r="AS276" i="1"/>
  <c r="AR276" i="1"/>
  <c r="AT276" i="1" s="1"/>
  <c r="AV276" i="1" s="1"/>
  <c r="AQ276" i="1"/>
  <c r="AP276" i="1"/>
  <c r="AO276" i="1"/>
  <c r="AM276" i="1"/>
  <c r="AN276" i="1" s="1"/>
  <c r="AL276" i="1"/>
  <c r="AT274" i="1"/>
  <c r="AV274" i="1" s="1"/>
  <c r="AS274" i="1"/>
  <c r="AU274" i="1" s="1"/>
  <c r="AR274" i="1"/>
  <c r="AQ274" i="1"/>
  <c r="AP274" i="1"/>
  <c r="AO274" i="1"/>
  <c r="AM274" i="1"/>
  <c r="AN274" i="1" s="1"/>
  <c r="AL274" i="1"/>
  <c r="AS272" i="1"/>
  <c r="AU272" i="1" s="1"/>
  <c r="AR272" i="1"/>
  <c r="AT272" i="1" s="1"/>
  <c r="AV272" i="1" s="1"/>
  <c r="AQ272" i="1"/>
  <c r="AP272" i="1"/>
  <c r="AO272" i="1"/>
  <c r="AM272" i="1"/>
  <c r="AN272" i="1" s="1"/>
  <c r="AL272" i="1"/>
  <c r="AS270" i="1"/>
  <c r="AU270" i="1" s="1"/>
  <c r="AR270" i="1"/>
  <c r="AT270" i="1" s="1"/>
  <c r="AQ270" i="1"/>
  <c r="AP270" i="1"/>
  <c r="AO270" i="1"/>
  <c r="AM270" i="1"/>
  <c r="AN270" i="1" s="1"/>
  <c r="AL270" i="1"/>
  <c r="AS268" i="1"/>
  <c r="AU268" i="1" s="1"/>
  <c r="AR268" i="1"/>
  <c r="AT268" i="1" s="1"/>
  <c r="AV268" i="1" s="1"/>
  <c r="AQ268" i="1"/>
  <c r="AP268" i="1"/>
  <c r="AO268" i="1"/>
  <c r="AN268" i="1"/>
  <c r="AM268" i="1"/>
  <c r="AL268" i="1"/>
  <c r="AU266" i="1"/>
  <c r="AT266" i="1"/>
  <c r="AV266" i="1" s="1"/>
  <c r="AS266" i="1"/>
  <c r="AR266" i="1"/>
  <c r="AQ266" i="1"/>
  <c r="AP266" i="1"/>
  <c r="AO266" i="1"/>
  <c r="AM266" i="1"/>
  <c r="AN266" i="1" s="1"/>
  <c r="AL266" i="1"/>
  <c r="AS264" i="1"/>
  <c r="AU264" i="1" s="1"/>
  <c r="AR264" i="1"/>
  <c r="AT264" i="1" s="1"/>
  <c r="AQ264" i="1"/>
  <c r="AP264" i="1"/>
  <c r="AO264" i="1"/>
  <c r="AM264" i="1"/>
  <c r="AN264" i="1" s="1"/>
  <c r="AL264" i="1"/>
  <c r="AS262" i="1"/>
  <c r="AU262" i="1" s="1"/>
  <c r="AR262" i="1"/>
  <c r="AT262" i="1" s="1"/>
  <c r="AV262" i="1" s="1"/>
  <c r="AQ262" i="1"/>
  <c r="AP262" i="1"/>
  <c r="AO262" i="1"/>
  <c r="AM262" i="1"/>
  <c r="AN262" i="1" s="1"/>
  <c r="AL262" i="1"/>
  <c r="AS260" i="1"/>
  <c r="AU260" i="1" s="1"/>
  <c r="AR260" i="1"/>
  <c r="AT260" i="1" s="1"/>
  <c r="AQ260" i="1"/>
  <c r="AP260" i="1"/>
  <c r="AO260" i="1"/>
  <c r="AN260" i="1"/>
  <c r="AM260" i="1"/>
  <c r="AL260" i="1"/>
  <c r="AU258" i="1"/>
  <c r="AT258" i="1"/>
  <c r="AV258" i="1" s="1"/>
  <c r="AS258" i="1"/>
  <c r="AR258" i="1"/>
  <c r="AQ258" i="1"/>
  <c r="AP258" i="1"/>
  <c r="AO258" i="1"/>
  <c r="AM258" i="1"/>
  <c r="AN258" i="1" s="1"/>
  <c r="AL258" i="1"/>
  <c r="AS256" i="1"/>
  <c r="AU256" i="1" s="1"/>
  <c r="AR256" i="1"/>
  <c r="AT256" i="1" s="1"/>
  <c r="AV256" i="1" s="1"/>
  <c r="AQ256" i="1"/>
  <c r="AP256" i="1"/>
  <c r="AO256" i="1"/>
  <c r="AM256" i="1"/>
  <c r="AN256" i="1" s="1"/>
  <c r="AL256" i="1"/>
  <c r="AS254" i="1"/>
  <c r="AU254" i="1" s="1"/>
  <c r="AR254" i="1"/>
  <c r="AT254" i="1" s="1"/>
  <c r="AQ254" i="1"/>
  <c r="AP254" i="1"/>
  <c r="AO254" i="1"/>
  <c r="AM254" i="1"/>
  <c r="AN254" i="1" s="1"/>
  <c r="AL254" i="1"/>
  <c r="AS252" i="1"/>
  <c r="AU252" i="1" s="1"/>
  <c r="AR252" i="1"/>
  <c r="AT252" i="1" s="1"/>
  <c r="AV252" i="1" s="1"/>
  <c r="AQ252" i="1"/>
  <c r="AP252" i="1"/>
  <c r="AO252" i="1"/>
  <c r="AN252" i="1"/>
  <c r="AM252" i="1"/>
  <c r="AL252" i="1"/>
  <c r="AU250" i="1"/>
  <c r="AT250" i="1"/>
  <c r="AV250" i="1" s="1"/>
  <c r="AS250" i="1"/>
  <c r="AR250" i="1"/>
  <c r="AQ250" i="1"/>
  <c r="AP250" i="1"/>
  <c r="AO250" i="1"/>
  <c r="AM250" i="1"/>
  <c r="AN250" i="1" s="1"/>
  <c r="AL250" i="1"/>
  <c r="AS248" i="1"/>
  <c r="AU248" i="1" s="1"/>
  <c r="AR248" i="1"/>
  <c r="AT248" i="1" s="1"/>
  <c r="AQ248" i="1"/>
  <c r="AP248" i="1"/>
  <c r="AO248" i="1"/>
  <c r="AM248" i="1"/>
  <c r="AN248" i="1" s="1"/>
  <c r="AL248" i="1"/>
  <c r="AS246" i="1"/>
  <c r="AU246" i="1" s="1"/>
  <c r="AR246" i="1"/>
  <c r="AT246" i="1" s="1"/>
  <c r="AV246" i="1" s="1"/>
  <c r="AQ246" i="1"/>
  <c r="AP246" i="1"/>
  <c r="AO246" i="1"/>
  <c r="AM246" i="1"/>
  <c r="AN246" i="1" s="1"/>
  <c r="AL246" i="1"/>
  <c r="AS244" i="1"/>
  <c r="AU244" i="1" s="1"/>
  <c r="AR244" i="1"/>
  <c r="AT244" i="1" s="1"/>
  <c r="AQ244" i="1"/>
  <c r="AP244" i="1"/>
  <c r="AO244" i="1"/>
  <c r="AN244" i="1"/>
  <c r="AM244" i="1"/>
  <c r="AL244" i="1"/>
  <c r="AU242" i="1"/>
  <c r="AT242" i="1"/>
  <c r="AV242" i="1" s="1"/>
  <c r="AS242" i="1"/>
  <c r="AR242" i="1"/>
  <c r="AQ242" i="1"/>
  <c r="AP242" i="1"/>
  <c r="AO242" i="1"/>
  <c r="AM242" i="1"/>
  <c r="AN242" i="1" s="1"/>
  <c r="AL242" i="1"/>
  <c r="AS240" i="1"/>
  <c r="AU240" i="1" s="1"/>
  <c r="AR240" i="1"/>
  <c r="AT240" i="1" s="1"/>
  <c r="AV240" i="1" s="1"/>
  <c r="AQ240" i="1"/>
  <c r="AP240" i="1"/>
  <c r="AO240" i="1"/>
  <c r="AM240" i="1"/>
  <c r="AN240" i="1" s="1"/>
  <c r="AL240" i="1"/>
  <c r="AS238" i="1"/>
  <c r="AU238" i="1" s="1"/>
  <c r="AR238" i="1"/>
  <c r="AT238" i="1" s="1"/>
  <c r="AQ238" i="1"/>
  <c r="AP238" i="1"/>
  <c r="AO238" i="1"/>
  <c r="AM238" i="1"/>
  <c r="AN238" i="1" s="1"/>
  <c r="AL238" i="1"/>
  <c r="AS236" i="1"/>
  <c r="AU236" i="1" s="1"/>
  <c r="AR236" i="1"/>
  <c r="AT236" i="1" s="1"/>
  <c r="AV236" i="1" s="1"/>
  <c r="AQ236" i="1"/>
  <c r="AP236" i="1"/>
  <c r="AO236" i="1"/>
  <c r="AN236" i="1"/>
  <c r="AX236" i="1" s="1"/>
  <c r="AM236" i="1"/>
  <c r="AL236" i="1"/>
  <c r="AU234" i="1"/>
  <c r="AT234" i="1"/>
  <c r="AV234" i="1" s="1"/>
  <c r="AS234" i="1"/>
  <c r="AR234" i="1"/>
  <c r="AQ234" i="1"/>
  <c r="AP234" i="1"/>
  <c r="AO234" i="1"/>
  <c r="AM234" i="1"/>
  <c r="AN234" i="1" s="1"/>
  <c r="AL234" i="1"/>
  <c r="AS232" i="1"/>
  <c r="AU232" i="1" s="1"/>
  <c r="AR232" i="1"/>
  <c r="AT232" i="1" s="1"/>
  <c r="AV232" i="1" s="1"/>
  <c r="AQ232" i="1"/>
  <c r="AP232" i="1"/>
  <c r="AO232" i="1"/>
  <c r="AM232" i="1"/>
  <c r="AN232" i="1" s="1"/>
  <c r="AL232" i="1"/>
  <c r="AS230" i="1"/>
  <c r="AU230" i="1" s="1"/>
  <c r="AX230" i="1" s="1"/>
  <c r="AR230" i="1"/>
  <c r="AT230" i="1" s="1"/>
  <c r="AQ230" i="1"/>
  <c r="AP230" i="1"/>
  <c r="AO230" i="1"/>
  <c r="AN230" i="1"/>
  <c r="AW230" i="1" s="1"/>
  <c r="AM230" i="1"/>
  <c r="AL230" i="1"/>
  <c r="AT228" i="1"/>
  <c r="AS228" i="1"/>
  <c r="AR228" i="1"/>
  <c r="AQ228" i="1"/>
  <c r="AU228" i="1" s="1"/>
  <c r="AV228" i="1" s="1"/>
  <c r="AP228" i="1"/>
  <c r="AO228" i="1"/>
  <c r="AN228" i="1"/>
  <c r="AX228" i="1" s="1"/>
  <c r="AM228" i="1"/>
  <c r="AL228" i="1"/>
  <c r="AT226" i="1"/>
  <c r="AV226" i="1" s="1"/>
  <c r="AS226" i="1"/>
  <c r="AU226" i="1" s="1"/>
  <c r="AR226" i="1"/>
  <c r="AQ226" i="1"/>
  <c r="AP226" i="1"/>
  <c r="AO226" i="1"/>
  <c r="AM226" i="1"/>
  <c r="AN226" i="1" s="1"/>
  <c r="AL226" i="1"/>
  <c r="AS224" i="1"/>
  <c r="AU224" i="1" s="1"/>
  <c r="AR224" i="1"/>
  <c r="AT224" i="1" s="1"/>
  <c r="AQ224" i="1"/>
  <c r="AP224" i="1"/>
  <c r="AO224" i="1"/>
  <c r="AM224" i="1"/>
  <c r="AN224" i="1" s="1"/>
  <c r="AL224" i="1"/>
  <c r="AS222" i="1"/>
  <c r="AU222" i="1" s="1"/>
  <c r="AX222" i="1" s="1"/>
  <c r="AR222" i="1"/>
  <c r="AT222" i="1" s="1"/>
  <c r="AQ222" i="1"/>
  <c r="AP222" i="1"/>
  <c r="AO222" i="1"/>
  <c r="AN222" i="1"/>
  <c r="AW222" i="1" s="1"/>
  <c r="AM222" i="1"/>
  <c r="AL222" i="1"/>
  <c r="AT220" i="1"/>
  <c r="AS220" i="1"/>
  <c r="AR220" i="1"/>
  <c r="AQ220" i="1"/>
  <c r="AU220" i="1" s="1"/>
  <c r="AV220" i="1" s="1"/>
  <c r="AP220" i="1"/>
  <c r="AO220" i="1"/>
  <c r="AN220" i="1"/>
  <c r="AX220" i="1" s="1"/>
  <c r="AM220" i="1"/>
  <c r="AL220" i="1"/>
  <c r="AT218" i="1"/>
  <c r="AV218" i="1" s="1"/>
  <c r="AS218" i="1"/>
  <c r="AU218" i="1" s="1"/>
  <c r="AR218" i="1"/>
  <c r="AQ218" i="1"/>
  <c r="AP218" i="1"/>
  <c r="AO218" i="1"/>
  <c r="AM218" i="1"/>
  <c r="AN218" i="1" s="1"/>
  <c r="AL218" i="1"/>
  <c r="AS216" i="1"/>
  <c r="AU216" i="1" s="1"/>
  <c r="AR216" i="1"/>
  <c r="AT216" i="1" s="1"/>
  <c r="AQ216" i="1"/>
  <c r="AP216" i="1"/>
  <c r="AO216" i="1"/>
  <c r="AM216" i="1"/>
  <c r="AN216" i="1" s="1"/>
  <c r="AL216" i="1"/>
  <c r="AS214" i="1"/>
  <c r="AU214" i="1" s="1"/>
  <c r="AX214" i="1" s="1"/>
  <c r="AR214" i="1"/>
  <c r="AT214" i="1" s="1"/>
  <c r="AQ214" i="1"/>
  <c r="AP214" i="1"/>
  <c r="AO214" i="1"/>
  <c r="AN214" i="1"/>
  <c r="AW214" i="1" s="1"/>
  <c r="AM214" i="1"/>
  <c r="AL214" i="1"/>
  <c r="AT212" i="1"/>
  <c r="AS212" i="1"/>
  <c r="AU212" i="1" s="1"/>
  <c r="AV212" i="1" s="1"/>
  <c r="AR212" i="1"/>
  <c r="AQ212" i="1"/>
  <c r="AP212" i="1"/>
  <c r="AO212" i="1"/>
  <c r="AN212" i="1"/>
  <c r="AX212" i="1" s="1"/>
  <c r="AM212" i="1"/>
  <c r="AL212" i="1"/>
  <c r="AT210" i="1"/>
  <c r="AV210" i="1" s="1"/>
  <c r="AS210" i="1"/>
  <c r="AU210" i="1" s="1"/>
  <c r="AR210" i="1"/>
  <c r="AQ210" i="1"/>
  <c r="AP210" i="1"/>
  <c r="AO210" i="1"/>
  <c r="AM210" i="1"/>
  <c r="AN210" i="1" s="1"/>
  <c r="AL210" i="1"/>
  <c r="AS208" i="1"/>
  <c r="AU208" i="1" s="1"/>
  <c r="AR208" i="1"/>
  <c r="AT208" i="1" s="1"/>
  <c r="AQ208" i="1"/>
  <c r="AP208" i="1"/>
  <c r="AO208" i="1"/>
  <c r="AM208" i="1"/>
  <c r="AN208" i="1" s="1"/>
  <c r="AL208" i="1"/>
  <c r="AS206" i="1"/>
  <c r="AU206" i="1" s="1"/>
  <c r="AX206" i="1" s="1"/>
  <c r="AR206" i="1"/>
  <c r="AT206" i="1" s="1"/>
  <c r="AQ206" i="1"/>
  <c r="AP206" i="1"/>
  <c r="AO206" i="1"/>
  <c r="AN206" i="1"/>
  <c r="AW206" i="1" s="1"/>
  <c r="AM206" i="1"/>
  <c r="AL206" i="1"/>
  <c r="AT204" i="1"/>
  <c r="AS204" i="1"/>
  <c r="AU204" i="1" s="1"/>
  <c r="AV204" i="1" s="1"/>
  <c r="AR204" i="1"/>
  <c r="AQ204" i="1"/>
  <c r="AP204" i="1"/>
  <c r="AO204" i="1"/>
  <c r="AN204" i="1"/>
  <c r="AX204" i="1" s="1"/>
  <c r="AM204" i="1"/>
  <c r="AL204" i="1"/>
  <c r="AT202" i="1"/>
  <c r="AV202" i="1" s="1"/>
  <c r="AS202" i="1"/>
  <c r="AU202" i="1" s="1"/>
  <c r="AR202" i="1"/>
  <c r="AQ202" i="1"/>
  <c r="AP202" i="1"/>
  <c r="AO202" i="1"/>
  <c r="AM202" i="1"/>
  <c r="AN202" i="1" s="1"/>
  <c r="AL202" i="1"/>
  <c r="AS200" i="1"/>
  <c r="AU200" i="1" s="1"/>
  <c r="AR200" i="1"/>
  <c r="AT200" i="1" s="1"/>
  <c r="AQ200" i="1"/>
  <c r="AP200" i="1"/>
  <c r="AO200" i="1"/>
  <c r="AM200" i="1"/>
  <c r="AN200" i="1" s="1"/>
  <c r="AL200" i="1"/>
  <c r="AS198" i="1"/>
  <c r="AU198" i="1" s="1"/>
  <c r="AX198" i="1" s="1"/>
  <c r="AR198" i="1"/>
  <c r="AT198" i="1" s="1"/>
  <c r="AQ198" i="1"/>
  <c r="AP198" i="1"/>
  <c r="AO198" i="1"/>
  <c r="AN198" i="1"/>
  <c r="AW198" i="1" s="1"/>
  <c r="AM198" i="1"/>
  <c r="AL198" i="1"/>
  <c r="AT196" i="1"/>
  <c r="AS196" i="1"/>
  <c r="AU196" i="1" s="1"/>
  <c r="AV196" i="1" s="1"/>
  <c r="AR196" i="1"/>
  <c r="AQ196" i="1"/>
  <c r="AP196" i="1"/>
  <c r="AO196" i="1"/>
  <c r="AN196" i="1"/>
  <c r="AX196" i="1" s="1"/>
  <c r="AM196" i="1"/>
  <c r="AL196" i="1"/>
  <c r="AT194" i="1"/>
  <c r="AV194" i="1" s="1"/>
  <c r="AS194" i="1"/>
  <c r="AU194" i="1" s="1"/>
  <c r="AR194" i="1"/>
  <c r="AQ194" i="1"/>
  <c r="AP194" i="1"/>
  <c r="AO194" i="1"/>
  <c r="AM194" i="1"/>
  <c r="AN194" i="1" s="1"/>
  <c r="AL194" i="1"/>
  <c r="AT192" i="1"/>
  <c r="AS192" i="1"/>
  <c r="AU192" i="1" s="1"/>
  <c r="AR192" i="1"/>
  <c r="AQ192" i="1"/>
  <c r="AP192" i="1"/>
  <c r="AO192" i="1"/>
  <c r="AM192" i="1"/>
  <c r="AN192" i="1" s="1"/>
  <c r="AL192" i="1"/>
  <c r="AS190" i="1"/>
  <c r="AU190" i="1" s="1"/>
  <c r="AR190" i="1"/>
  <c r="AT190" i="1" s="1"/>
  <c r="AV190" i="1" s="1"/>
  <c r="AQ190" i="1"/>
  <c r="AP190" i="1"/>
  <c r="AO190" i="1"/>
  <c r="AM190" i="1"/>
  <c r="AN190" i="1" s="1"/>
  <c r="AL190" i="1"/>
  <c r="AS188" i="1"/>
  <c r="AU188" i="1" s="1"/>
  <c r="AX188" i="1" s="1"/>
  <c r="AR188" i="1"/>
  <c r="AQ188" i="1"/>
  <c r="AT188" i="1" s="1"/>
  <c r="AP188" i="1"/>
  <c r="AO188" i="1"/>
  <c r="AN188" i="1"/>
  <c r="AM188" i="1"/>
  <c r="AL188" i="1"/>
  <c r="AT186" i="1"/>
  <c r="AS186" i="1"/>
  <c r="AR186" i="1"/>
  <c r="AQ186" i="1"/>
  <c r="AU186" i="1" s="1"/>
  <c r="AV186" i="1" s="1"/>
  <c r="AP186" i="1"/>
  <c r="AO186" i="1"/>
  <c r="AN186" i="1"/>
  <c r="AX186" i="1" s="1"/>
  <c r="AM186" i="1"/>
  <c r="AL186" i="1"/>
  <c r="AT184" i="1"/>
  <c r="AS184" i="1"/>
  <c r="AU184" i="1" s="1"/>
  <c r="AR184" i="1"/>
  <c r="AQ184" i="1"/>
  <c r="AP184" i="1"/>
  <c r="AO184" i="1"/>
  <c r="AM184" i="1"/>
  <c r="AN184" i="1" s="1"/>
  <c r="AL184" i="1"/>
  <c r="AS182" i="1"/>
  <c r="AR182" i="1"/>
  <c r="AT182" i="1" s="1"/>
  <c r="AV182" i="1" s="1"/>
  <c r="AQ182" i="1"/>
  <c r="AU182" i="1" s="1"/>
  <c r="AP182" i="1"/>
  <c r="AO182" i="1"/>
  <c r="AM182" i="1"/>
  <c r="AN182" i="1" s="1"/>
  <c r="AL182" i="1"/>
  <c r="AS180" i="1"/>
  <c r="AU180" i="1" s="1"/>
  <c r="AX180" i="1" s="1"/>
  <c r="AR180" i="1"/>
  <c r="AQ180" i="1"/>
  <c r="AT180" i="1" s="1"/>
  <c r="AP180" i="1"/>
  <c r="AO180" i="1"/>
  <c r="AN180" i="1"/>
  <c r="AM180" i="1"/>
  <c r="AL180" i="1"/>
  <c r="AT178" i="1"/>
  <c r="AS178" i="1"/>
  <c r="AR178" i="1"/>
  <c r="AQ178" i="1"/>
  <c r="AU178" i="1" s="1"/>
  <c r="AV178" i="1" s="1"/>
  <c r="AP178" i="1"/>
  <c r="AO178" i="1"/>
  <c r="AN178" i="1"/>
  <c r="AX178" i="1" s="1"/>
  <c r="AM178" i="1"/>
  <c r="AL178" i="1"/>
  <c r="AT176" i="1"/>
  <c r="AS176" i="1"/>
  <c r="AU176" i="1" s="1"/>
  <c r="AR176" i="1"/>
  <c r="AQ176" i="1"/>
  <c r="AP176" i="1"/>
  <c r="AO176" i="1"/>
  <c r="AM176" i="1"/>
  <c r="AN176" i="1" s="1"/>
  <c r="AL176" i="1"/>
  <c r="AS174" i="1"/>
  <c r="AR174" i="1"/>
  <c r="AT174" i="1" s="1"/>
  <c r="AV174" i="1" s="1"/>
  <c r="AQ174" i="1"/>
  <c r="AU174" i="1" s="1"/>
  <c r="AP174" i="1"/>
  <c r="AO174" i="1"/>
  <c r="AM174" i="1"/>
  <c r="AN174" i="1" s="1"/>
  <c r="AL174" i="1"/>
  <c r="AS172" i="1"/>
  <c r="AU172" i="1" s="1"/>
  <c r="AX172" i="1" s="1"/>
  <c r="AR172" i="1"/>
  <c r="AQ172" i="1"/>
  <c r="AT172" i="1" s="1"/>
  <c r="AP172" i="1"/>
  <c r="AO172" i="1"/>
  <c r="AN172" i="1"/>
  <c r="AM172" i="1"/>
  <c r="AL172" i="1"/>
  <c r="AV170" i="1"/>
  <c r="AU170" i="1"/>
  <c r="AT170" i="1"/>
  <c r="AS170" i="1"/>
  <c r="AR170" i="1"/>
  <c r="AQ170" i="1"/>
  <c r="AP170" i="1"/>
  <c r="AO170" i="1"/>
  <c r="AN170" i="1"/>
  <c r="AX170" i="1" s="1"/>
  <c r="AM170" i="1"/>
  <c r="AL170" i="1"/>
  <c r="AT168" i="1"/>
  <c r="AV168" i="1" s="1"/>
  <c r="AS168" i="1"/>
  <c r="AU168" i="1" s="1"/>
  <c r="AR168" i="1"/>
  <c r="AQ168" i="1"/>
  <c r="AP168" i="1"/>
  <c r="AO168" i="1"/>
  <c r="AM168" i="1"/>
  <c r="AN168" i="1" s="1"/>
  <c r="AL168" i="1"/>
  <c r="AS166" i="1"/>
  <c r="AR166" i="1"/>
  <c r="AT166" i="1" s="1"/>
  <c r="AV166" i="1" s="1"/>
  <c r="AQ166" i="1"/>
  <c r="AU166" i="1" s="1"/>
  <c r="AP166" i="1"/>
  <c r="AO166" i="1"/>
  <c r="AM166" i="1"/>
  <c r="AN166" i="1" s="1"/>
  <c r="AL166" i="1"/>
  <c r="AS164" i="1"/>
  <c r="AU164" i="1" s="1"/>
  <c r="AX164" i="1" s="1"/>
  <c r="AR164" i="1"/>
  <c r="AQ164" i="1"/>
  <c r="AT164" i="1" s="1"/>
  <c r="AP164" i="1"/>
  <c r="AO164" i="1"/>
  <c r="AN164" i="1"/>
  <c r="AW164" i="1" s="1"/>
  <c r="AY164" i="1" s="1"/>
  <c r="AM164" i="1"/>
  <c r="AL164" i="1"/>
  <c r="AT162" i="1"/>
  <c r="AS162" i="1"/>
  <c r="AR162" i="1"/>
  <c r="AQ162" i="1"/>
  <c r="AU162" i="1" s="1"/>
  <c r="AV162" i="1" s="1"/>
  <c r="AP162" i="1"/>
  <c r="AO162" i="1"/>
  <c r="AN162" i="1"/>
  <c r="AX162" i="1" s="1"/>
  <c r="AM162" i="1"/>
  <c r="AL162" i="1"/>
  <c r="AT160" i="1"/>
  <c r="AS160" i="1"/>
  <c r="AU160" i="1" s="1"/>
  <c r="AR160" i="1"/>
  <c r="AQ160" i="1"/>
  <c r="AP160" i="1"/>
  <c r="AO160" i="1"/>
  <c r="AM160" i="1"/>
  <c r="AN160" i="1" s="1"/>
  <c r="AL160" i="1"/>
  <c r="AS158" i="1"/>
  <c r="AR158" i="1"/>
  <c r="AT158" i="1" s="1"/>
  <c r="AV158" i="1" s="1"/>
  <c r="AQ158" i="1"/>
  <c r="AU158" i="1" s="1"/>
  <c r="AP158" i="1"/>
  <c r="AO158" i="1"/>
  <c r="AM158" i="1"/>
  <c r="AN158" i="1" s="1"/>
  <c r="AL158" i="1"/>
  <c r="AS156" i="1"/>
  <c r="AU156" i="1" s="1"/>
  <c r="AX156" i="1" s="1"/>
  <c r="AR156" i="1"/>
  <c r="AT156" i="1" s="1"/>
  <c r="AQ156" i="1"/>
  <c r="AP156" i="1"/>
  <c r="AO156" i="1"/>
  <c r="AN156" i="1"/>
  <c r="AW156" i="1" s="1"/>
  <c r="AY156" i="1" s="1"/>
  <c r="AM156" i="1"/>
  <c r="AL156" i="1"/>
  <c r="AV154" i="1"/>
  <c r="AU154" i="1"/>
  <c r="AT154" i="1"/>
  <c r="AS154" i="1"/>
  <c r="AR154" i="1"/>
  <c r="AQ154" i="1"/>
  <c r="AP154" i="1"/>
  <c r="AO154" i="1"/>
  <c r="AN154" i="1"/>
  <c r="AX154" i="1" s="1"/>
  <c r="AM154" i="1"/>
  <c r="AL154" i="1"/>
  <c r="AS152" i="1"/>
  <c r="AU152" i="1" s="1"/>
  <c r="AR152" i="1"/>
  <c r="AT152" i="1" s="1"/>
  <c r="AV152" i="1" s="1"/>
  <c r="AQ152" i="1"/>
  <c r="AP152" i="1"/>
  <c r="AO152" i="1"/>
  <c r="AN152" i="1"/>
  <c r="AX152" i="1" s="1"/>
  <c r="AM152" i="1"/>
  <c r="AL152" i="1"/>
  <c r="AS150" i="1"/>
  <c r="AU150" i="1" s="1"/>
  <c r="AX150" i="1" s="1"/>
  <c r="AR150" i="1"/>
  <c r="AQ150" i="1"/>
  <c r="AT150" i="1" s="1"/>
  <c r="AP150" i="1"/>
  <c r="AO150" i="1"/>
  <c r="AN150" i="1"/>
  <c r="AW150" i="1" s="1"/>
  <c r="AY150" i="1" s="1"/>
  <c r="AM150" i="1"/>
  <c r="AL150" i="1"/>
  <c r="AS148" i="1"/>
  <c r="AR148" i="1"/>
  <c r="AT148" i="1" s="1"/>
  <c r="AQ148" i="1"/>
  <c r="AU148" i="1" s="1"/>
  <c r="AP148" i="1"/>
  <c r="AO148" i="1"/>
  <c r="AN148" i="1"/>
  <c r="AX148" i="1" s="1"/>
  <c r="AM148" i="1"/>
  <c r="AL148" i="1"/>
  <c r="AU146" i="1"/>
  <c r="AT146" i="1"/>
  <c r="AV146" i="1" s="1"/>
  <c r="AS146" i="1"/>
  <c r="AR146" i="1"/>
  <c r="AQ146" i="1"/>
  <c r="AP146" i="1"/>
  <c r="AO146" i="1"/>
  <c r="AM146" i="1"/>
  <c r="AN146" i="1" s="1"/>
  <c r="AL146" i="1"/>
  <c r="AS144" i="1"/>
  <c r="AU144" i="1" s="1"/>
  <c r="AR144" i="1"/>
  <c r="AT144" i="1" s="1"/>
  <c r="AV144" i="1" s="1"/>
  <c r="AQ144" i="1"/>
  <c r="AP144" i="1"/>
  <c r="AO144" i="1"/>
  <c r="AN144" i="1"/>
  <c r="AX144" i="1" s="1"/>
  <c r="AM144" i="1"/>
  <c r="AL144" i="1"/>
  <c r="AS142" i="1"/>
  <c r="AU142" i="1" s="1"/>
  <c r="AX142" i="1" s="1"/>
  <c r="AR142" i="1"/>
  <c r="AQ142" i="1"/>
  <c r="AT142" i="1" s="1"/>
  <c r="AP142" i="1"/>
  <c r="AO142" i="1"/>
  <c r="AN142" i="1"/>
  <c r="AW142" i="1" s="1"/>
  <c r="AY142" i="1" s="1"/>
  <c r="AM142" i="1"/>
  <c r="AL142" i="1"/>
  <c r="AS140" i="1"/>
  <c r="AR140" i="1"/>
  <c r="AT140" i="1" s="1"/>
  <c r="AV140" i="1" s="1"/>
  <c r="AQ140" i="1"/>
  <c r="AU140" i="1" s="1"/>
  <c r="AP140" i="1"/>
  <c r="AO140" i="1"/>
  <c r="AN140" i="1"/>
  <c r="AW140" i="1" s="1"/>
  <c r="AM140" i="1"/>
  <c r="AL140" i="1"/>
  <c r="AU138" i="1"/>
  <c r="AT138" i="1"/>
  <c r="AV138" i="1" s="1"/>
  <c r="AS138" i="1"/>
  <c r="AR138" i="1"/>
  <c r="AQ138" i="1"/>
  <c r="AP138" i="1"/>
  <c r="AO138" i="1"/>
  <c r="AM138" i="1"/>
  <c r="AN138" i="1" s="1"/>
  <c r="AL138" i="1"/>
  <c r="AS136" i="1"/>
  <c r="AU136" i="1" s="1"/>
  <c r="AR136" i="1"/>
  <c r="AT136" i="1" s="1"/>
  <c r="AQ136" i="1"/>
  <c r="AP136" i="1"/>
  <c r="AO136" i="1"/>
  <c r="AN136" i="1"/>
  <c r="AX136" i="1" s="1"/>
  <c r="AM136" i="1"/>
  <c r="AL136" i="1"/>
  <c r="AS134" i="1"/>
  <c r="AU134" i="1" s="1"/>
  <c r="AX134" i="1" s="1"/>
  <c r="AR134" i="1"/>
  <c r="AQ134" i="1"/>
  <c r="AT134" i="1" s="1"/>
  <c r="AV134" i="1" s="1"/>
  <c r="AP134" i="1"/>
  <c r="AO134" i="1"/>
  <c r="AN134" i="1"/>
  <c r="AM134" i="1"/>
  <c r="AL134" i="1"/>
  <c r="AS132" i="1"/>
  <c r="AU132" i="1" s="1"/>
  <c r="AR132" i="1"/>
  <c r="AT132" i="1" s="1"/>
  <c r="AQ132" i="1"/>
  <c r="AP132" i="1"/>
  <c r="AO132" i="1"/>
  <c r="AN132" i="1"/>
  <c r="AW132" i="1" s="1"/>
  <c r="AM132" i="1"/>
  <c r="AL132" i="1"/>
  <c r="AU130" i="1"/>
  <c r="AT130" i="1"/>
  <c r="AV130" i="1" s="1"/>
  <c r="AS130" i="1"/>
  <c r="AR130" i="1"/>
  <c r="AQ130" i="1"/>
  <c r="AP130" i="1"/>
  <c r="AO130" i="1"/>
  <c r="AM130" i="1"/>
  <c r="AN130" i="1" s="1"/>
  <c r="AL130" i="1"/>
  <c r="AS128" i="1"/>
  <c r="AU128" i="1" s="1"/>
  <c r="AR128" i="1"/>
  <c r="AT128" i="1" s="1"/>
  <c r="AV128" i="1" s="1"/>
  <c r="AQ128" i="1"/>
  <c r="AP128" i="1"/>
  <c r="AO128" i="1"/>
  <c r="AN128" i="1"/>
  <c r="AM128" i="1"/>
  <c r="AL128" i="1"/>
  <c r="AS126" i="1"/>
  <c r="AR126" i="1"/>
  <c r="AQ126" i="1"/>
  <c r="AT126" i="1" s="1"/>
  <c r="AP126" i="1"/>
  <c r="AO126" i="1"/>
  <c r="AM126" i="1"/>
  <c r="AN126" i="1" s="1"/>
  <c r="AL126" i="1"/>
  <c r="AS124" i="1"/>
  <c r="AU124" i="1" s="1"/>
  <c r="AR124" i="1"/>
  <c r="AT124" i="1" s="1"/>
  <c r="AQ124" i="1"/>
  <c r="AP124" i="1"/>
  <c r="AO124" i="1"/>
  <c r="AN124" i="1"/>
  <c r="AX124" i="1" s="1"/>
  <c r="AM124" i="1"/>
  <c r="AL124" i="1"/>
  <c r="AU122" i="1"/>
  <c r="AT122" i="1"/>
  <c r="AV122" i="1" s="1"/>
  <c r="AS122" i="1"/>
  <c r="AR122" i="1"/>
  <c r="AQ122" i="1"/>
  <c r="AP122" i="1"/>
  <c r="AO122" i="1"/>
  <c r="AM122" i="1"/>
  <c r="AN122" i="1" s="1"/>
  <c r="AL122" i="1"/>
  <c r="AS120" i="1"/>
  <c r="AU120" i="1" s="1"/>
  <c r="AR120" i="1"/>
  <c r="AT120" i="1" s="1"/>
  <c r="AV120" i="1" s="1"/>
  <c r="AQ120" i="1"/>
  <c r="AP120" i="1"/>
  <c r="AO120" i="1"/>
  <c r="AN120" i="1"/>
  <c r="AM120" i="1"/>
  <c r="AL120" i="1"/>
  <c r="AS118" i="1"/>
  <c r="AR118" i="1"/>
  <c r="AQ118" i="1"/>
  <c r="AT118" i="1" s="1"/>
  <c r="AP118" i="1"/>
  <c r="AO118" i="1"/>
  <c r="AM118" i="1"/>
  <c r="AN118" i="1" s="1"/>
  <c r="AL118" i="1"/>
  <c r="AS116" i="1"/>
  <c r="AU116" i="1" s="1"/>
  <c r="AR116" i="1"/>
  <c r="AT116" i="1" s="1"/>
  <c r="AQ116" i="1"/>
  <c r="AP116" i="1"/>
  <c r="AO116" i="1"/>
  <c r="AN116" i="1"/>
  <c r="AW116" i="1" s="1"/>
  <c r="AM116" i="1"/>
  <c r="AL116" i="1"/>
  <c r="AU114" i="1"/>
  <c r="AT114" i="1"/>
  <c r="AV114" i="1" s="1"/>
  <c r="AS114" i="1"/>
  <c r="AR114" i="1"/>
  <c r="AQ114" i="1"/>
  <c r="AP114" i="1"/>
  <c r="AO114" i="1"/>
  <c r="AM114" i="1"/>
  <c r="AN114" i="1" s="1"/>
  <c r="AL114" i="1"/>
  <c r="AS112" i="1"/>
  <c r="AU112" i="1" s="1"/>
  <c r="AR112" i="1"/>
  <c r="AT112" i="1" s="1"/>
  <c r="AV112" i="1" s="1"/>
  <c r="AQ112" i="1"/>
  <c r="AP112" i="1"/>
  <c r="AO112" i="1"/>
  <c r="AN112" i="1"/>
  <c r="AX112" i="1" s="1"/>
  <c r="AM112" i="1"/>
  <c r="AL112" i="1"/>
  <c r="AS110" i="1"/>
  <c r="AU110" i="1" s="1"/>
  <c r="AX110" i="1" s="1"/>
  <c r="AR110" i="1"/>
  <c r="AT110" i="1" s="1"/>
  <c r="AV110" i="1" s="1"/>
  <c r="AQ110" i="1"/>
  <c r="AP110" i="1"/>
  <c r="AO110" i="1"/>
  <c r="AN110" i="1"/>
  <c r="AW110" i="1" s="1"/>
  <c r="AY110" i="1" s="1"/>
  <c r="AM110" i="1"/>
  <c r="AL110" i="1"/>
  <c r="AS108" i="1"/>
  <c r="AR108" i="1"/>
  <c r="AT108" i="1" s="1"/>
  <c r="AV108" i="1" s="1"/>
  <c r="AQ108" i="1"/>
  <c r="AU108" i="1" s="1"/>
  <c r="AP108" i="1"/>
  <c r="AO108" i="1"/>
  <c r="AN108" i="1"/>
  <c r="AX108" i="1" s="1"/>
  <c r="AM108" i="1"/>
  <c r="AL108" i="1"/>
  <c r="AU106" i="1"/>
  <c r="AT106" i="1"/>
  <c r="AV106" i="1" s="1"/>
  <c r="AS106" i="1"/>
  <c r="AR106" i="1"/>
  <c r="AQ106" i="1"/>
  <c r="AP106" i="1"/>
  <c r="AO106" i="1"/>
  <c r="AM106" i="1"/>
  <c r="AN106" i="1" s="1"/>
  <c r="AL106" i="1"/>
  <c r="AS104" i="1"/>
  <c r="AU104" i="1" s="1"/>
  <c r="AR104" i="1"/>
  <c r="AT104" i="1" s="1"/>
  <c r="AQ104" i="1"/>
  <c r="AP104" i="1"/>
  <c r="AO104" i="1"/>
  <c r="AN104" i="1"/>
  <c r="AX104" i="1" s="1"/>
  <c r="AM104" i="1"/>
  <c r="AL104" i="1"/>
  <c r="AS102" i="1"/>
  <c r="AU102" i="1" s="1"/>
  <c r="AX102" i="1" s="1"/>
  <c r="AR102" i="1"/>
  <c r="AT102" i="1" s="1"/>
  <c r="AQ102" i="1"/>
  <c r="AP102" i="1"/>
  <c r="AO102" i="1"/>
  <c r="AN102" i="1"/>
  <c r="AW102" i="1" s="1"/>
  <c r="AY102" i="1" s="1"/>
  <c r="AM102" i="1"/>
  <c r="AL102" i="1"/>
  <c r="AS100" i="1"/>
  <c r="AR100" i="1"/>
  <c r="AT100" i="1" s="1"/>
  <c r="AQ100" i="1"/>
  <c r="AU100" i="1" s="1"/>
  <c r="AP100" i="1"/>
  <c r="AO100" i="1"/>
  <c r="AN100" i="1"/>
  <c r="AW100" i="1" s="1"/>
  <c r="AM100" i="1"/>
  <c r="AL100" i="1"/>
  <c r="AU98" i="1"/>
  <c r="AT98" i="1"/>
  <c r="AV98" i="1" s="1"/>
  <c r="AS98" i="1"/>
  <c r="AR98" i="1"/>
  <c r="AQ98" i="1"/>
  <c r="AP98" i="1"/>
  <c r="AO98" i="1"/>
  <c r="AM98" i="1"/>
  <c r="AN98" i="1" s="1"/>
  <c r="AL98" i="1"/>
  <c r="AS96" i="1"/>
  <c r="AU96" i="1" s="1"/>
  <c r="AR96" i="1"/>
  <c r="AT96" i="1" s="1"/>
  <c r="AV96" i="1" s="1"/>
  <c r="AQ96" i="1"/>
  <c r="AP96" i="1"/>
  <c r="AO96" i="1"/>
  <c r="AN96" i="1"/>
  <c r="AX96" i="1" s="1"/>
  <c r="AM96" i="1"/>
  <c r="AL96" i="1"/>
  <c r="AS94" i="1"/>
  <c r="AU94" i="1" s="1"/>
  <c r="AX94" i="1" s="1"/>
  <c r="AR94" i="1"/>
  <c r="AT94" i="1" s="1"/>
  <c r="AV94" i="1" s="1"/>
  <c r="AQ94" i="1"/>
  <c r="AP94" i="1"/>
  <c r="AO94" i="1"/>
  <c r="AN94" i="1"/>
  <c r="AW94" i="1" s="1"/>
  <c r="AY94" i="1" s="1"/>
  <c r="AM94" i="1"/>
  <c r="AL94" i="1"/>
  <c r="AS92" i="1"/>
  <c r="AU92" i="1" s="1"/>
  <c r="AR92" i="1"/>
  <c r="AT92" i="1" s="1"/>
  <c r="AV92" i="1" s="1"/>
  <c r="AQ92" i="1"/>
  <c r="AP92" i="1"/>
  <c r="AO92" i="1"/>
  <c r="AN92" i="1"/>
  <c r="AW92" i="1" s="1"/>
  <c r="AM92" i="1"/>
  <c r="AL92" i="1"/>
  <c r="AU90" i="1"/>
  <c r="AT90" i="1"/>
  <c r="AV90" i="1" s="1"/>
  <c r="AS90" i="1"/>
  <c r="AR90" i="1"/>
  <c r="AQ90" i="1"/>
  <c r="AP90" i="1"/>
  <c r="AO90" i="1"/>
  <c r="AM90" i="1"/>
  <c r="AN90" i="1" s="1"/>
  <c r="AL90" i="1"/>
  <c r="AS88" i="1"/>
  <c r="AU88" i="1" s="1"/>
  <c r="AR88" i="1"/>
  <c r="AT88" i="1" s="1"/>
  <c r="AQ88" i="1"/>
  <c r="AP88" i="1"/>
  <c r="AO88" i="1"/>
  <c r="AN88" i="1"/>
  <c r="AM88" i="1"/>
  <c r="AL88" i="1"/>
  <c r="AS86" i="1"/>
  <c r="AU86" i="1" s="1"/>
  <c r="AX86" i="1" s="1"/>
  <c r="AR86" i="1"/>
  <c r="AT86" i="1" s="1"/>
  <c r="AQ86" i="1"/>
  <c r="AP86" i="1"/>
  <c r="AO86" i="1"/>
  <c r="AN86" i="1"/>
  <c r="AM86" i="1"/>
  <c r="AL86" i="1"/>
  <c r="AS84" i="1"/>
  <c r="AU84" i="1" s="1"/>
  <c r="AR84" i="1"/>
  <c r="AT84" i="1" s="1"/>
  <c r="AQ84" i="1"/>
  <c r="AP84" i="1"/>
  <c r="AO84" i="1"/>
  <c r="AN84" i="1"/>
  <c r="AM84" i="1"/>
  <c r="AL84" i="1"/>
  <c r="AU82" i="1"/>
  <c r="AT82" i="1"/>
  <c r="AV82" i="1" s="1"/>
  <c r="AS82" i="1"/>
  <c r="AR82" i="1"/>
  <c r="AQ82" i="1"/>
  <c r="AP82" i="1"/>
  <c r="AO82" i="1"/>
  <c r="AM82" i="1"/>
  <c r="AN82" i="1" s="1"/>
  <c r="AL82" i="1"/>
  <c r="AS80" i="1"/>
  <c r="AU80" i="1" s="1"/>
  <c r="AR80" i="1"/>
  <c r="AT80" i="1" s="1"/>
  <c r="AV80" i="1" s="1"/>
  <c r="AQ80" i="1"/>
  <c r="AP80" i="1"/>
  <c r="AO80" i="1"/>
  <c r="AN80" i="1"/>
  <c r="AM80" i="1"/>
  <c r="AL80" i="1"/>
  <c r="AS78" i="1"/>
  <c r="AU78" i="1" s="1"/>
  <c r="AX78" i="1" s="1"/>
  <c r="AR78" i="1"/>
  <c r="AT78" i="1" s="1"/>
  <c r="AV78" i="1" s="1"/>
  <c r="AQ78" i="1"/>
  <c r="AP78" i="1"/>
  <c r="AO78" i="1"/>
  <c r="AN78" i="1"/>
  <c r="AM78" i="1"/>
  <c r="AL78" i="1"/>
  <c r="AS76" i="1"/>
  <c r="AU76" i="1" s="1"/>
  <c r="AR76" i="1"/>
  <c r="AT76" i="1" s="1"/>
  <c r="AV76" i="1" s="1"/>
  <c r="AQ76" i="1"/>
  <c r="AP76" i="1"/>
  <c r="AO76" i="1"/>
  <c r="AN76" i="1"/>
  <c r="AM76" i="1"/>
  <c r="AL76" i="1"/>
  <c r="AU74" i="1"/>
  <c r="AT74" i="1"/>
  <c r="AV74" i="1" s="1"/>
  <c r="AS74" i="1"/>
  <c r="AR74" i="1"/>
  <c r="AQ74" i="1"/>
  <c r="AP74" i="1"/>
  <c r="AO74" i="1"/>
  <c r="AM74" i="1"/>
  <c r="AN74" i="1" s="1"/>
  <c r="AL74" i="1"/>
  <c r="AX62" i="1"/>
  <c r="AX34" i="1"/>
  <c r="AW34" i="1"/>
  <c r="AV52" i="1"/>
  <c r="AV44" i="1"/>
  <c r="AU42" i="1"/>
  <c r="AU34" i="1"/>
  <c r="AT40" i="1"/>
  <c r="AT34" i="1"/>
  <c r="AS72" i="1"/>
  <c r="AS70" i="1"/>
  <c r="AS68" i="1"/>
  <c r="AS66" i="1"/>
  <c r="AS64" i="1"/>
  <c r="AS62" i="1"/>
  <c r="AS60" i="1"/>
  <c r="AS58" i="1"/>
  <c r="AU58" i="1" s="1"/>
  <c r="AS56" i="1"/>
  <c r="AS54" i="1"/>
  <c r="AS52" i="1"/>
  <c r="AS50" i="1"/>
  <c r="AS48" i="1"/>
  <c r="AS46" i="1"/>
  <c r="AS44" i="1"/>
  <c r="AS42" i="1"/>
  <c r="AS40" i="1"/>
  <c r="AS38" i="1"/>
  <c r="AS36" i="1"/>
  <c r="AS34" i="1"/>
  <c r="AR72" i="1"/>
  <c r="AR70" i="1"/>
  <c r="AR68" i="1"/>
  <c r="AR66" i="1"/>
  <c r="AR64" i="1"/>
  <c r="AR62" i="1"/>
  <c r="AR60" i="1"/>
  <c r="AR58" i="1"/>
  <c r="AR56" i="1"/>
  <c r="AR54" i="1"/>
  <c r="AR52" i="1"/>
  <c r="AR50" i="1"/>
  <c r="AR48" i="1"/>
  <c r="AR46" i="1"/>
  <c r="AT46" i="1" s="1"/>
  <c r="AR44" i="1"/>
  <c r="AR42" i="1"/>
  <c r="AR40" i="1"/>
  <c r="AR38" i="1"/>
  <c r="AR36" i="1"/>
  <c r="AR34" i="1"/>
  <c r="AQ72" i="1"/>
  <c r="AQ70" i="1"/>
  <c r="AQ68" i="1"/>
  <c r="AQ66" i="1"/>
  <c r="AQ64" i="1"/>
  <c r="AQ62" i="1"/>
  <c r="AQ60" i="1"/>
  <c r="AT60" i="1" s="1"/>
  <c r="AQ58" i="1"/>
  <c r="AQ56" i="1"/>
  <c r="AQ54" i="1"/>
  <c r="AQ52" i="1"/>
  <c r="AQ50" i="1"/>
  <c r="AQ48" i="1"/>
  <c r="AQ46" i="1"/>
  <c r="AQ44" i="1"/>
  <c r="AT44" i="1" s="1"/>
  <c r="AQ42" i="1"/>
  <c r="AQ40" i="1"/>
  <c r="AQ38" i="1"/>
  <c r="AQ36" i="1"/>
  <c r="AQ34" i="1"/>
  <c r="AP72" i="1"/>
  <c r="AP70" i="1"/>
  <c r="AP68" i="1"/>
  <c r="AP66" i="1"/>
  <c r="AP64" i="1"/>
  <c r="AP62" i="1"/>
  <c r="AP60" i="1"/>
  <c r="AP58" i="1"/>
  <c r="AP56" i="1"/>
  <c r="AP54" i="1"/>
  <c r="AP52" i="1"/>
  <c r="AP50" i="1"/>
  <c r="AP48" i="1"/>
  <c r="AP46" i="1"/>
  <c r="AP44" i="1"/>
  <c r="AP42" i="1"/>
  <c r="AP40" i="1"/>
  <c r="AP38" i="1"/>
  <c r="AP36" i="1"/>
  <c r="AP34" i="1"/>
  <c r="A22" i="1"/>
  <c r="AN34" i="1"/>
  <c r="W34" i="1"/>
  <c r="AM72" i="1"/>
  <c r="AM70" i="1"/>
  <c r="AN70" i="1" s="1"/>
  <c r="AM68" i="1"/>
  <c r="AN68" i="1" s="1"/>
  <c r="AM66" i="1"/>
  <c r="AM64" i="1"/>
  <c r="AM62" i="1"/>
  <c r="AN62" i="1" s="1"/>
  <c r="AM60" i="1"/>
  <c r="AM58" i="1"/>
  <c r="AM56" i="1"/>
  <c r="AM52" i="1"/>
  <c r="AN52" i="1" s="1"/>
  <c r="AM54" i="1"/>
  <c r="AN54" i="1" s="1"/>
  <c r="AM50" i="1"/>
  <c r="AM48" i="1"/>
  <c r="AN48" i="1" s="1"/>
  <c r="AM46" i="1"/>
  <c r="AM44" i="1"/>
  <c r="AM42" i="1"/>
  <c r="AM40" i="1"/>
  <c r="AM38" i="1"/>
  <c r="AN38" i="1" s="1"/>
  <c r="AM36" i="1"/>
  <c r="AM34" i="1"/>
  <c r="AL54" i="1"/>
  <c r="AL34" i="1"/>
  <c r="AU72" i="1"/>
  <c r="AT72" i="1"/>
  <c r="AO72" i="1"/>
  <c r="AN72" i="1"/>
  <c r="AL72" i="1"/>
  <c r="AU70" i="1"/>
  <c r="AT70" i="1"/>
  <c r="AO70" i="1"/>
  <c r="AL70" i="1"/>
  <c r="AT68" i="1"/>
  <c r="AU68" i="1"/>
  <c r="AO68" i="1"/>
  <c r="AL68" i="1"/>
  <c r="AU66" i="1"/>
  <c r="AT66" i="1"/>
  <c r="AO66" i="1"/>
  <c r="AN66" i="1"/>
  <c r="AL66" i="1"/>
  <c r="AU64" i="1"/>
  <c r="AT64" i="1"/>
  <c r="AO64" i="1"/>
  <c r="AN64" i="1"/>
  <c r="AL64" i="1"/>
  <c r="AU62" i="1"/>
  <c r="AT62" i="1"/>
  <c r="AO62" i="1"/>
  <c r="AL62" i="1"/>
  <c r="AO60" i="1"/>
  <c r="AN60" i="1"/>
  <c r="AL60" i="1"/>
  <c r="AO58" i="1"/>
  <c r="AN58" i="1"/>
  <c r="AL58" i="1"/>
  <c r="AU56" i="1"/>
  <c r="AT56" i="1"/>
  <c r="AO56" i="1"/>
  <c r="AN56" i="1"/>
  <c r="AL56" i="1"/>
  <c r="AU54" i="1"/>
  <c r="AT54" i="1"/>
  <c r="AO54" i="1"/>
  <c r="AT52" i="1"/>
  <c r="AU52" i="1"/>
  <c r="AO52" i="1"/>
  <c r="AL52" i="1"/>
  <c r="AU50" i="1"/>
  <c r="AT50" i="1"/>
  <c r="AO50" i="1"/>
  <c r="AN50" i="1"/>
  <c r="AL50" i="1"/>
  <c r="AU48" i="1"/>
  <c r="AT48" i="1"/>
  <c r="AO48" i="1"/>
  <c r="AL48" i="1"/>
  <c r="AU46" i="1"/>
  <c r="AO46" i="1"/>
  <c r="AN46" i="1"/>
  <c r="AL46" i="1"/>
  <c r="AO44" i="1"/>
  <c r="AN44" i="1"/>
  <c r="AL44" i="1"/>
  <c r="AO42" i="1"/>
  <c r="AN42" i="1"/>
  <c r="AL42" i="1"/>
  <c r="AU40" i="1"/>
  <c r="AO40" i="1"/>
  <c r="AN40" i="1"/>
  <c r="AL40" i="1"/>
  <c r="AU38" i="1"/>
  <c r="AT38" i="1"/>
  <c r="AO38" i="1"/>
  <c r="AL38" i="1"/>
  <c r="AT36" i="1"/>
  <c r="AU36" i="1"/>
  <c r="AO36" i="1"/>
  <c r="AN36" i="1"/>
  <c r="AX36" i="1" s="1"/>
  <c r="AL36" i="1"/>
  <c r="AO34" i="1"/>
  <c r="V634" i="1"/>
  <c r="V594" i="1"/>
  <c r="V554" i="1"/>
  <c r="V514" i="1"/>
  <c r="V474" i="1"/>
  <c r="V434" i="1"/>
  <c r="V394" i="1"/>
  <c r="V354" i="1"/>
  <c r="V314" i="1"/>
  <c r="V274" i="1"/>
  <c r="V234" i="1"/>
  <c r="V194" i="1"/>
  <c r="V154" i="1"/>
  <c r="V114" i="1"/>
  <c r="V74" i="1"/>
  <c r="V34" i="1"/>
  <c r="AV590" i="1" l="1"/>
  <c r="AW590" i="1"/>
  <c r="AX574" i="1"/>
  <c r="AX642" i="1"/>
  <c r="AW642" i="1"/>
  <c r="AY642" i="1" s="1"/>
  <c r="AX650" i="1"/>
  <c r="AW650" i="1"/>
  <c r="AY650" i="1" s="1"/>
  <c r="AX658" i="1"/>
  <c r="AW658" i="1"/>
  <c r="AY658" i="1" s="1"/>
  <c r="AX666" i="1"/>
  <c r="AW666" i="1"/>
  <c r="AY666" i="1" s="1"/>
  <c r="AX640" i="1"/>
  <c r="AW640" i="1"/>
  <c r="AY640" i="1" s="1"/>
  <c r="AX672" i="1"/>
  <c r="AW672" i="1"/>
  <c r="AY672" i="1" s="1"/>
  <c r="AW638" i="1"/>
  <c r="AY638" i="1" s="1"/>
  <c r="AX644" i="1"/>
  <c r="AW646" i="1"/>
  <c r="AY646" i="1" s="1"/>
  <c r="AW652" i="1"/>
  <c r="AW654" i="1"/>
  <c r="AY654" i="1" s="1"/>
  <c r="AW660" i="1"/>
  <c r="AY660" i="1" s="1"/>
  <c r="AY662" i="1"/>
  <c r="AY668" i="1"/>
  <c r="AY670" i="1"/>
  <c r="AX656" i="1"/>
  <c r="AW656" i="1"/>
  <c r="AX648" i="1"/>
  <c r="AW648" i="1"/>
  <c r="AV644" i="1"/>
  <c r="AV652" i="1"/>
  <c r="AV660" i="1"/>
  <c r="AV668" i="1"/>
  <c r="AY636" i="1"/>
  <c r="AX664" i="1"/>
  <c r="AW664" i="1"/>
  <c r="AY664" i="1" s="1"/>
  <c r="AV638" i="1"/>
  <c r="AV646" i="1"/>
  <c r="AV654" i="1"/>
  <c r="AV662" i="1"/>
  <c r="AV670" i="1"/>
  <c r="AW644" i="1"/>
  <c r="AY644" i="1" s="1"/>
  <c r="AX636" i="1"/>
  <c r="AX652" i="1"/>
  <c r="AX660" i="1"/>
  <c r="AX668" i="1"/>
  <c r="AX600" i="1"/>
  <c r="AW600" i="1"/>
  <c r="AY600" i="1" s="1"/>
  <c r="AX608" i="1"/>
  <c r="AW608" i="1"/>
  <c r="AY608" i="1" s="1"/>
  <c r="AX616" i="1"/>
  <c r="AW616" i="1"/>
  <c r="AX624" i="1"/>
  <c r="AW624" i="1"/>
  <c r="AX632" i="1"/>
  <c r="AW632" i="1"/>
  <c r="AY632" i="1" s="1"/>
  <c r="AW596" i="1"/>
  <c r="AX596" i="1"/>
  <c r="AX604" i="1"/>
  <c r="AW612" i="1"/>
  <c r="AX612" i="1"/>
  <c r="AY614" i="1"/>
  <c r="AW620" i="1"/>
  <c r="AY620" i="1" s="1"/>
  <c r="AX620" i="1"/>
  <c r="AY622" i="1"/>
  <c r="AX628" i="1"/>
  <c r="AV596" i="1"/>
  <c r="AW626" i="1"/>
  <c r="AY626" i="1" s="1"/>
  <c r="AX598" i="1"/>
  <c r="AY598" i="1" s="1"/>
  <c r="AX606" i="1"/>
  <c r="AY606" i="1" s="1"/>
  <c r="AX614" i="1"/>
  <c r="AX622" i="1"/>
  <c r="AX630" i="1"/>
  <c r="AY630" i="1" s="1"/>
  <c r="AW610" i="1"/>
  <c r="AY610" i="1" s="1"/>
  <c r="AX594" i="1"/>
  <c r="AY594" i="1" s="1"/>
  <c r="AX602" i="1"/>
  <c r="AY602" i="1" s="1"/>
  <c r="AX618" i="1"/>
  <c r="AY618" i="1" s="1"/>
  <c r="AT604" i="1"/>
  <c r="AV604" i="1" s="1"/>
  <c r="AT612" i="1"/>
  <c r="AV612" i="1" s="1"/>
  <c r="AT620" i="1"/>
  <c r="AV620" i="1" s="1"/>
  <c r="AT628" i="1"/>
  <c r="AV628" i="1" s="1"/>
  <c r="AV554" i="1"/>
  <c r="AV562" i="1"/>
  <c r="AV570" i="1"/>
  <c r="AV578" i="1"/>
  <c r="AV586" i="1"/>
  <c r="AX562" i="1"/>
  <c r="AW562" i="1"/>
  <c r="AX570" i="1"/>
  <c r="AW570" i="1"/>
  <c r="AX578" i="1"/>
  <c r="AW578" i="1"/>
  <c r="AY578" i="1" s="1"/>
  <c r="AX556" i="1"/>
  <c r="AW558" i="1"/>
  <c r="AY558" i="1" s="1"/>
  <c r="AX564" i="1"/>
  <c r="AW566" i="1"/>
  <c r="AY566" i="1" s="1"/>
  <c r="AX572" i="1"/>
  <c r="AW574" i="1"/>
  <c r="AY574" i="1" s="1"/>
  <c r="AW582" i="1"/>
  <c r="AY582" i="1" s="1"/>
  <c r="AY590" i="1"/>
  <c r="AX560" i="1"/>
  <c r="AW560" i="1"/>
  <c r="AY560" i="1" s="1"/>
  <c r="AX592" i="1"/>
  <c r="AW592" i="1"/>
  <c r="AX586" i="1"/>
  <c r="AW586" i="1"/>
  <c r="AX554" i="1"/>
  <c r="AW554" i="1"/>
  <c r="AY554" i="1" s="1"/>
  <c r="AX568" i="1"/>
  <c r="AW568" i="1"/>
  <c r="AY568" i="1" s="1"/>
  <c r="AX576" i="1"/>
  <c r="AW576" i="1"/>
  <c r="AX584" i="1"/>
  <c r="AW584" i="1"/>
  <c r="AV556" i="1"/>
  <c r="AV564" i="1"/>
  <c r="AV592" i="1"/>
  <c r="AW556" i="1"/>
  <c r="AY556" i="1" s="1"/>
  <c r="AW564" i="1"/>
  <c r="AY564" i="1" s="1"/>
  <c r="AW572" i="1"/>
  <c r="AY572" i="1" s="1"/>
  <c r="AW580" i="1"/>
  <c r="AY580" i="1" s="1"/>
  <c r="AT572" i="1"/>
  <c r="AV572" i="1" s="1"/>
  <c r="AT580" i="1"/>
  <c r="AV580" i="1" s="1"/>
  <c r="AT588" i="1"/>
  <c r="AV588" i="1" s="1"/>
  <c r="AY518" i="1"/>
  <c r="AY524" i="1"/>
  <c r="AY550" i="1"/>
  <c r="AX520" i="1"/>
  <c r="AW520" i="1"/>
  <c r="AY520" i="1" s="1"/>
  <c r="AX552" i="1"/>
  <c r="AW552" i="1"/>
  <c r="AX530" i="1"/>
  <c r="AW530" i="1"/>
  <c r="AY530" i="1" s="1"/>
  <c r="AY516" i="1"/>
  <c r="AX536" i="1"/>
  <c r="AW536" i="1"/>
  <c r="AY536" i="1" s="1"/>
  <c r="AX528" i="1"/>
  <c r="AW528" i="1"/>
  <c r="AY528" i="1" s="1"/>
  <c r="AV534" i="1"/>
  <c r="AV544" i="1"/>
  <c r="AX544" i="1"/>
  <c r="AW544" i="1"/>
  <c r="AY544" i="1" s="1"/>
  <c r="AX514" i="1"/>
  <c r="AW514" i="1"/>
  <c r="AY514" i="1" s="1"/>
  <c r="AW526" i="1"/>
  <c r="AY526" i="1" s="1"/>
  <c r="AY532" i="1"/>
  <c r="AX546" i="1"/>
  <c r="AW546" i="1"/>
  <c r="AX522" i="1"/>
  <c r="AW522" i="1"/>
  <c r="AY522" i="1" s="1"/>
  <c r="AV518" i="1"/>
  <c r="AX538" i="1"/>
  <c r="AW538" i="1"/>
  <c r="AY538" i="1" s="1"/>
  <c r="AV550" i="1"/>
  <c r="AX516" i="1"/>
  <c r="AX524" i="1"/>
  <c r="AX532" i="1"/>
  <c r="AX540" i="1"/>
  <c r="AY540" i="1" s="1"/>
  <c r="AX548" i="1"/>
  <c r="AY548" i="1" s="1"/>
  <c r="AX488" i="1"/>
  <c r="AW488" i="1"/>
  <c r="AY488" i="1" s="1"/>
  <c r="AV480" i="1"/>
  <c r="AW486" i="1"/>
  <c r="AY486" i="1" s="1"/>
  <c r="AX512" i="1"/>
  <c r="AW512" i="1"/>
  <c r="AY512" i="1" s="1"/>
  <c r="AX498" i="1"/>
  <c r="AW498" i="1"/>
  <c r="AY498" i="1" s="1"/>
  <c r="AW510" i="1"/>
  <c r="AY510" i="1" s="1"/>
  <c r="AX490" i="1"/>
  <c r="AW490" i="1"/>
  <c r="AY490" i="1" s="1"/>
  <c r="AX474" i="1"/>
  <c r="AW474" i="1"/>
  <c r="AX496" i="1"/>
  <c r="AW496" i="1"/>
  <c r="AY496" i="1" s="1"/>
  <c r="AX482" i="1"/>
  <c r="AW482" i="1"/>
  <c r="AV488" i="1"/>
  <c r="AW494" i="1"/>
  <c r="AY494" i="1" s="1"/>
  <c r="AX476" i="1"/>
  <c r="AX480" i="1"/>
  <c r="AW480" i="1"/>
  <c r="AY480" i="1" s="1"/>
  <c r="AV486" i="1"/>
  <c r="AX506" i="1"/>
  <c r="AW506" i="1"/>
  <c r="AV512" i="1"/>
  <c r="AX504" i="1"/>
  <c r="AW504" i="1"/>
  <c r="AY504" i="1" s="1"/>
  <c r="AV510" i="1"/>
  <c r="AW476" i="1"/>
  <c r="AY476" i="1" s="1"/>
  <c r="AW484" i="1"/>
  <c r="AY484" i="1" s="1"/>
  <c r="AW492" i="1"/>
  <c r="AY492" i="1" s="1"/>
  <c r="AW500" i="1"/>
  <c r="AY500" i="1" s="1"/>
  <c r="AW508" i="1"/>
  <c r="AY508" i="1" s="1"/>
  <c r="AX466" i="1"/>
  <c r="AW466" i="1"/>
  <c r="AY466" i="1" s="1"/>
  <c r="AX448" i="1"/>
  <c r="AW448" i="1"/>
  <c r="AY448" i="1" s="1"/>
  <c r="AY470" i="1"/>
  <c r="AW438" i="1"/>
  <c r="AX438" i="1"/>
  <c r="AX444" i="1"/>
  <c r="AX456" i="1"/>
  <c r="AW456" i="1"/>
  <c r="AY456" i="1" s="1"/>
  <c r="AW446" i="1"/>
  <c r="AX446" i="1"/>
  <c r="AX436" i="1"/>
  <c r="AV436" i="1"/>
  <c r="AX458" i="1"/>
  <c r="AW458" i="1"/>
  <c r="AY458" i="1" s="1"/>
  <c r="AX442" i="1"/>
  <c r="AW442" i="1"/>
  <c r="AY442" i="1" s="1"/>
  <c r="AX464" i="1"/>
  <c r="AW464" i="1"/>
  <c r="AY464" i="1" s="1"/>
  <c r="AX434" i="1"/>
  <c r="AW434" i="1"/>
  <c r="AY434" i="1" s="1"/>
  <c r="AY452" i="1"/>
  <c r="AV448" i="1"/>
  <c r="AV456" i="1"/>
  <c r="AV464" i="1"/>
  <c r="AX450" i="1"/>
  <c r="AW450" i="1"/>
  <c r="AY450" i="1" s="1"/>
  <c r="AX472" i="1"/>
  <c r="AW472" i="1"/>
  <c r="AY472" i="1" s="1"/>
  <c r="AX440" i="1"/>
  <c r="AW440" i="1"/>
  <c r="AY440" i="1" s="1"/>
  <c r="AY454" i="1"/>
  <c r="AV440" i="1"/>
  <c r="AV446" i="1"/>
  <c r="AV454" i="1"/>
  <c r="AW462" i="1"/>
  <c r="AY462" i="1" s="1"/>
  <c r="AV462" i="1"/>
  <c r="AV470" i="1"/>
  <c r="AW436" i="1"/>
  <c r="AY436" i="1" s="1"/>
  <c r="AX452" i="1"/>
  <c r="AW444" i="1"/>
  <c r="AW460" i="1"/>
  <c r="AY460" i="1" s="1"/>
  <c r="AW468" i="1"/>
  <c r="AY468" i="1" s="1"/>
  <c r="AX420" i="1"/>
  <c r="AV420" i="1"/>
  <c r="AX404" i="1"/>
  <c r="AY404" i="1" s="1"/>
  <c r="AV404" i="1"/>
  <c r="AX400" i="1"/>
  <c r="AW400" i="1"/>
  <c r="AY412" i="1"/>
  <c r="AX416" i="1"/>
  <c r="AW416" i="1"/>
  <c r="AY428" i="1"/>
  <c r="AX432" i="1"/>
  <c r="AW432" i="1"/>
  <c r="AV408" i="1"/>
  <c r="AV424" i="1"/>
  <c r="AV428" i="1"/>
  <c r="AX428" i="1"/>
  <c r="AX408" i="1"/>
  <c r="AW408" i="1"/>
  <c r="AY408" i="1" s="1"/>
  <c r="AY420" i="1"/>
  <c r="AX424" i="1"/>
  <c r="AW424" i="1"/>
  <c r="AX396" i="1"/>
  <c r="AY396" i="1" s="1"/>
  <c r="AV396" i="1"/>
  <c r="AW406" i="1"/>
  <c r="AY406" i="1" s="1"/>
  <c r="AX412" i="1"/>
  <c r="AV412" i="1"/>
  <c r="AW422" i="1"/>
  <c r="AY422" i="1" s="1"/>
  <c r="AV400" i="1"/>
  <c r="AV416" i="1"/>
  <c r="AV432" i="1"/>
  <c r="AW394" i="1"/>
  <c r="AY394" i="1" s="1"/>
  <c r="AW402" i="1"/>
  <c r="AY402" i="1" s="1"/>
  <c r="AW410" i="1"/>
  <c r="AY410" i="1" s="1"/>
  <c r="AW418" i="1"/>
  <c r="AY418" i="1" s="1"/>
  <c r="AW426" i="1"/>
  <c r="AY426" i="1" s="1"/>
  <c r="AV364" i="1"/>
  <c r="AX360" i="1"/>
  <c r="AW360" i="1"/>
  <c r="AY360" i="1" s="1"/>
  <c r="AX368" i="1"/>
  <c r="AW368" i="1"/>
  <c r="AX384" i="1"/>
  <c r="AW384" i="1"/>
  <c r="AY384" i="1" s="1"/>
  <c r="AV356" i="1"/>
  <c r="AW364" i="1"/>
  <c r="AY364" i="1" s="1"/>
  <c r="AW366" i="1"/>
  <c r="AY366" i="1" s="1"/>
  <c r="AV372" i="1"/>
  <c r="AW380" i="1"/>
  <c r="AY380" i="1" s="1"/>
  <c r="AW382" i="1"/>
  <c r="AY382" i="1" s="1"/>
  <c r="AV388" i="1"/>
  <c r="AV390" i="1"/>
  <c r="AX376" i="1"/>
  <c r="AW376" i="1"/>
  <c r="AY376" i="1" s="1"/>
  <c r="AV380" i="1"/>
  <c r="AX392" i="1"/>
  <c r="AW392" i="1"/>
  <c r="AW362" i="1"/>
  <c r="AY362" i="1" s="1"/>
  <c r="AW386" i="1"/>
  <c r="AY386" i="1" s="1"/>
  <c r="AW370" i="1"/>
  <c r="AY370" i="1" s="1"/>
  <c r="AX378" i="1"/>
  <c r="AY378" i="1" s="1"/>
  <c r="AW354" i="1"/>
  <c r="AY354" i="1" s="1"/>
  <c r="AV316" i="1"/>
  <c r="AV320" i="1"/>
  <c r="AV326" i="1"/>
  <c r="AX346" i="1"/>
  <c r="AW346" i="1"/>
  <c r="AY346" i="1" s="1"/>
  <c r="AV324" i="1"/>
  <c r="AV328" i="1"/>
  <c r="AX314" i="1"/>
  <c r="AW314" i="1"/>
  <c r="AY314" i="1" s="1"/>
  <c r="AY332" i="1"/>
  <c r="AX322" i="1"/>
  <c r="AW322" i="1"/>
  <c r="AY322" i="1" s="1"/>
  <c r="AV340" i="1"/>
  <c r="AV344" i="1"/>
  <c r="AX316" i="1"/>
  <c r="AW318" i="1"/>
  <c r="AY318" i="1" s="1"/>
  <c r="AX320" i="1"/>
  <c r="AX330" i="1"/>
  <c r="AW330" i="1"/>
  <c r="AV348" i="1"/>
  <c r="AX324" i="1"/>
  <c r="AW326" i="1"/>
  <c r="AY326" i="1" s="1"/>
  <c r="AX328" i="1"/>
  <c r="AX338" i="1"/>
  <c r="AW338" i="1"/>
  <c r="AY338" i="1" s="1"/>
  <c r="AW316" i="1"/>
  <c r="AY316" i="1" s="1"/>
  <c r="AW324" i="1"/>
  <c r="AX332" i="1"/>
  <c r="AX340" i="1"/>
  <c r="AY340" i="1" s="1"/>
  <c r="AX348" i="1"/>
  <c r="AY348" i="1" s="1"/>
  <c r="AW320" i="1"/>
  <c r="AW328" i="1"/>
  <c r="AY328" i="1" s="1"/>
  <c r="AW336" i="1"/>
  <c r="AY336" i="1" s="1"/>
  <c r="AW344" i="1"/>
  <c r="AY344" i="1" s="1"/>
  <c r="AW352" i="1"/>
  <c r="AY352" i="1" s="1"/>
  <c r="AV282" i="1"/>
  <c r="AX290" i="1"/>
  <c r="AW290" i="1"/>
  <c r="AY290" i="1" s="1"/>
  <c r="AX292" i="1"/>
  <c r="AW292" i="1"/>
  <c r="AX298" i="1"/>
  <c r="AW298" i="1"/>
  <c r="AY298" i="1" s="1"/>
  <c r="AX300" i="1"/>
  <c r="AW300" i="1"/>
  <c r="AX306" i="1"/>
  <c r="AW306" i="1"/>
  <c r="AY306" i="1" s="1"/>
  <c r="AX308" i="1"/>
  <c r="AW308" i="1"/>
  <c r="AX288" i="1"/>
  <c r="AW288" i="1"/>
  <c r="AY288" i="1" s="1"/>
  <c r="AX312" i="1"/>
  <c r="AW312" i="1"/>
  <c r="AX282" i="1"/>
  <c r="AW282" i="1"/>
  <c r="AY282" i="1" s="1"/>
  <c r="AX284" i="1"/>
  <c r="AW284" i="1"/>
  <c r="AW286" i="1"/>
  <c r="AX286" i="1"/>
  <c r="AX280" i="1"/>
  <c r="AW280" i="1"/>
  <c r="AX274" i="1"/>
  <c r="AW274" i="1"/>
  <c r="AY274" i="1" s="1"/>
  <c r="AX276" i="1"/>
  <c r="AW276" i="1"/>
  <c r="AY276" i="1" s="1"/>
  <c r="AX278" i="1"/>
  <c r="AW278" i="1"/>
  <c r="AY278" i="1" s="1"/>
  <c r="AV294" i="1"/>
  <c r="AW294" i="1"/>
  <c r="AY294" i="1" s="1"/>
  <c r="AV302" i="1"/>
  <c r="AW302" i="1"/>
  <c r="AY302" i="1" s="1"/>
  <c r="AV304" i="1"/>
  <c r="AV286" i="1"/>
  <c r="AV290" i="1"/>
  <c r="AV298" i="1"/>
  <c r="AV306" i="1"/>
  <c r="AV310" i="1"/>
  <c r="AW310" i="1"/>
  <c r="AY310" i="1" s="1"/>
  <c r="AW296" i="1"/>
  <c r="AY296" i="1" s="1"/>
  <c r="AW304" i="1"/>
  <c r="AY304" i="1" s="1"/>
  <c r="AV248" i="1"/>
  <c r="AV254" i="1"/>
  <c r="AV260" i="1"/>
  <c r="AX272" i="1"/>
  <c r="AW272" i="1"/>
  <c r="AY272" i="1" s="1"/>
  <c r="AV238" i="1"/>
  <c r="AV244" i="1"/>
  <c r="AW258" i="1"/>
  <c r="AY258" i="1" s="1"/>
  <c r="AX258" i="1"/>
  <c r="AX264" i="1"/>
  <c r="AW264" i="1"/>
  <c r="AY264" i="1" s="1"/>
  <c r="AW270" i="1"/>
  <c r="AX270" i="1"/>
  <c r="AX250" i="1"/>
  <c r="AW250" i="1"/>
  <c r="AX256" i="1"/>
  <c r="AW256" i="1"/>
  <c r="AW262" i="1"/>
  <c r="AX262" i="1"/>
  <c r="AW268" i="1"/>
  <c r="AX242" i="1"/>
  <c r="AW242" i="1"/>
  <c r="AY242" i="1" s="1"/>
  <c r="AX248" i="1"/>
  <c r="AW248" i="1"/>
  <c r="AY248" i="1" s="1"/>
  <c r="AW254" i="1"/>
  <c r="AY254" i="1" s="1"/>
  <c r="AX254" i="1"/>
  <c r="AX260" i="1"/>
  <c r="AW234" i="1"/>
  <c r="AX234" i="1"/>
  <c r="AX240" i="1"/>
  <c r="AW240" i="1"/>
  <c r="AW246" i="1"/>
  <c r="AY246" i="1" s="1"/>
  <c r="AX246" i="1"/>
  <c r="AW252" i="1"/>
  <c r="AX266" i="1"/>
  <c r="AW266" i="1"/>
  <c r="AY266" i="1" s="1"/>
  <c r="AW238" i="1"/>
  <c r="AX238" i="1"/>
  <c r="AX244" i="1"/>
  <c r="AV264" i="1"/>
  <c r="AV270" i="1"/>
  <c r="AW244" i="1"/>
  <c r="AW260" i="1"/>
  <c r="AY260" i="1" s="1"/>
  <c r="AX252" i="1"/>
  <c r="AX268" i="1"/>
  <c r="AW236" i="1"/>
  <c r="AY236" i="1" s="1"/>
  <c r="AX194" i="1"/>
  <c r="AW194" i="1"/>
  <c r="AY194" i="1" s="1"/>
  <c r="AX202" i="1"/>
  <c r="AW202" i="1"/>
  <c r="AY202" i="1" s="1"/>
  <c r="AX210" i="1"/>
  <c r="AW210" i="1"/>
  <c r="AY210" i="1" s="1"/>
  <c r="AX218" i="1"/>
  <c r="AW218" i="1"/>
  <c r="AY218" i="1" s="1"/>
  <c r="AX226" i="1"/>
  <c r="AW226" i="1"/>
  <c r="AY226" i="1" s="1"/>
  <c r="AX232" i="1"/>
  <c r="AW232" i="1"/>
  <c r="AY232" i="1" s="1"/>
  <c r="AY198" i="1"/>
  <c r="AY206" i="1"/>
  <c r="AY214" i="1"/>
  <c r="AY222" i="1"/>
  <c r="AY230" i="1"/>
  <c r="AX216" i="1"/>
  <c r="AW216" i="1"/>
  <c r="AY216" i="1" s="1"/>
  <c r="AX200" i="1"/>
  <c r="AW200" i="1"/>
  <c r="AV200" i="1"/>
  <c r="AV208" i="1"/>
  <c r="AV216" i="1"/>
  <c r="AV224" i="1"/>
  <c r="AX208" i="1"/>
  <c r="AW208" i="1"/>
  <c r="AY208" i="1" s="1"/>
  <c r="AX224" i="1"/>
  <c r="AW224" i="1"/>
  <c r="AV198" i="1"/>
  <c r="AV206" i="1"/>
  <c r="AV214" i="1"/>
  <c r="AV222" i="1"/>
  <c r="AV230" i="1"/>
  <c r="AW196" i="1"/>
  <c r="AY196" i="1" s="1"/>
  <c r="AW204" i="1"/>
  <c r="AY204" i="1" s="1"/>
  <c r="AW212" i="1"/>
  <c r="AY212" i="1" s="1"/>
  <c r="AW220" i="1"/>
  <c r="AY220" i="1" s="1"/>
  <c r="AW228" i="1"/>
  <c r="AY228" i="1" s="1"/>
  <c r="AX176" i="1"/>
  <c r="AW176" i="1"/>
  <c r="AY176" i="1" s="1"/>
  <c r="AW174" i="1"/>
  <c r="AX174" i="1"/>
  <c r="AW182" i="1"/>
  <c r="AX182" i="1"/>
  <c r="AW190" i="1"/>
  <c r="AX190" i="1"/>
  <c r="AW158" i="1"/>
  <c r="AX158" i="1"/>
  <c r="AW172" i="1"/>
  <c r="AY172" i="1" s="1"/>
  <c r="AW180" i="1"/>
  <c r="AY180" i="1" s="1"/>
  <c r="AW188" i="1"/>
  <c r="AY188" i="1" s="1"/>
  <c r="AW166" i="1"/>
  <c r="AX166" i="1"/>
  <c r="AX192" i="1"/>
  <c r="AW192" i="1"/>
  <c r="AV164" i="1"/>
  <c r="AV156" i="1"/>
  <c r="AV160" i="1"/>
  <c r="AX184" i="1"/>
  <c r="AW184" i="1"/>
  <c r="AY184" i="1" s="1"/>
  <c r="AV172" i="1"/>
  <c r="AV180" i="1"/>
  <c r="AV188" i="1"/>
  <c r="AX160" i="1"/>
  <c r="AW160" i="1"/>
  <c r="AY160" i="1" s="1"/>
  <c r="AX168" i="1"/>
  <c r="AW168" i="1"/>
  <c r="AV176" i="1"/>
  <c r="AV184" i="1"/>
  <c r="AV192" i="1"/>
  <c r="AW154" i="1"/>
  <c r="AY154" i="1" s="1"/>
  <c r="AW162" i="1"/>
  <c r="AY162" i="1" s="1"/>
  <c r="AW170" i="1"/>
  <c r="AY170" i="1" s="1"/>
  <c r="AW178" i="1"/>
  <c r="AY178" i="1" s="1"/>
  <c r="AW186" i="1"/>
  <c r="AY186" i="1" s="1"/>
  <c r="AW134" i="1"/>
  <c r="AY134" i="1" s="1"/>
  <c r="AX146" i="1"/>
  <c r="AW146" i="1"/>
  <c r="AY146" i="1" s="1"/>
  <c r="AY140" i="1"/>
  <c r="AV116" i="1"/>
  <c r="AV124" i="1"/>
  <c r="AV132" i="1"/>
  <c r="AV136" i="1"/>
  <c r="AV142" i="1"/>
  <c r="AV150" i="1"/>
  <c r="AX114" i="1"/>
  <c r="AW114" i="1"/>
  <c r="AX122" i="1"/>
  <c r="AW122" i="1"/>
  <c r="AX130" i="1"/>
  <c r="AW130" i="1"/>
  <c r="AY130" i="1" s="1"/>
  <c r="AV148" i="1"/>
  <c r="AW118" i="1"/>
  <c r="AX120" i="1"/>
  <c r="AW126" i="1"/>
  <c r="AX128" i="1"/>
  <c r="AX138" i="1"/>
  <c r="AW138" i="1"/>
  <c r="AY138" i="1" s="1"/>
  <c r="AW124" i="1"/>
  <c r="AY124" i="1" s="1"/>
  <c r="AW148" i="1"/>
  <c r="AY148" i="1" s="1"/>
  <c r="AX116" i="1"/>
  <c r="AY116" i="1" s="1"/>
  <c r="AX132" i="1"/>
  <c r="AY132" i="1" s="1"/>
  <c r="AX140" i="1"/>
  <c r="AU118" i="1"/>
  <c r="AV118" i="1" s="1"/>
  <c r="AW120" i="1"/>
  <c r="AU126" i="1"/>
  <c r="AV126" i="1" s="1"/>
  <c r="AW128" i="1"/>
  <c r="AY128" i="1" s="1"/>
  <c r="AW136" i="1"/>
  <c r="AY136" i="1" s="1"/>
  <c r="AW144" i="1"/>
  <c r="AY144" i="1" s="1"/>
  <c r="AW152" i="1"/>
  <c r="AY152" i="1" s="1"/>
  <c r="AV84" i="1"/>
  <c r="AV86" i="1"/>
  <c r="AV88" i="1"/>
  <c r="AX74" i="1"/>
  <c r="AW74" i="1"/>
  <c r="AY74" i="1" s="1"/>
  <c r="AX82" i="1"/>
  <c r="AW82" i="1"/>
  <c r="AY82" i="1" s="1"/>
  <c r="AV100" i="1"/>
  <c r="AV102" i="1"/>
  <c r="AV104" i="1"/>
  <c r="AW76" i="1"/>
  <c r="AY76" i="1" s="1"/>
  <c r="AX80" i="1"/>
  <c r="AX90" i="1"/>
  <c r="AW90" i="1"/>
  <c r="AY90" i="1" s="1"/>
  <c r="AX106" i="1"/>
  <c r="AW106" i="1"/>
  <c r="AW78" i="1"/>
  <c r="AY78" i="1" s="1"/>
  <c r="AX84" i="1"/>
  <c r="AW86" i="1"/>
  <c r="AY86" i="1" s="1"/>
  <c r="AX88" i="1"/>
  <c r="AX98" i="1"/>
  <c r="AW98" i="1"/>
  <c r="AY98" i="1" s="1"/>
  <c r="AW84" i="1"/>
  <c r="AW108" i="1"/>
  <c r="AY108" i="1" s="1"/>
  <c r="AX92" i="1"/>
  <c r="AY92" i="1" s="1"/>
  <c r="AX100" i="1"/>
  <c r="AY100" i="1" s="1"/>
  <c r="AW80" i="1"/>
  <c r="AY80" i="1" s="1"/>
  <c r="AW88" i="1"/>
  <c r="AY88" i="1" s="1"/>
  <c r="AW96" i="1"/>
  <c r="AY96" i="1" s="1"/>
  <c r="AW104" i="1"/>
  <c r="AY104" i="1" s="1"/>
  <c r="AW112" i="1"/>
  <c r="AY112" i="1" s="1"/>
  <c r="AX76" i="1"/>
  <c r="AV48" i="1"/>
  <c r="AV72" i="1"/>
  <c r="AV62" i="1"/>
  <c r="AV38" i="1"/>
  <c r="AV50" i="1"/>
  <c r="AT58" i="1"/>
  <c r="AV58" i="1" s="1"/>
  <c r="AV36" i="1"/>
  <c r="AV68" i="1"/>
  <c r="AW54" i="1"/>
  <c r="AX68" i="1"/>
  <c r="AU44" i="1"/>
  <c r="AX52" i="1"/>
  <c r="AW70" i="1"/>
  <c r="AU60" i="1"/>
  <c r="AV60" i="1" s="1"/>
  <c r="AT42" i="1"/>
  <c r="AV34" i="1"/>
  <c r="AV40" i="1"/>
  <c r="AW46" i="1"/>
  <c r="AV66" i="1"/>
  <c r="AW62" i="1"/>
  <c r="AX70" i="1"/>
  <c r="AX54" i="1"/>
  <c r="AX46" i="1"/>
  <c r="AX38" i="1"/>
  <c r="AX72" i="1"/>
  <c r="AW72" i="1"/>
  <c r="AY72" i="1" s="1"/>
  <c r="AX66" i="1"/>
  <c r="AW66" i="1"/>
  <c r="AV46" i="1"/>
  <c r="AV56" i="1"/>
  <c r="AX56" i="1"/>
  <c r="AW56" i="1"/>
  <c r="AY56" i="1" s="1"/>
  <c r="AV54" i="1"/>
  <c r="AV64" i="1"/>
  <c r="AX64" i="1"/>
  <c r="AW64" i="1"/>
  <c r="AX40" i="1"/>
  <c r="AW40" i="1"/>
  <c r="AX42" i="1"/>
  <c r="AX50" i="1"/>
  <c r="AW50" i="1"/>
  <c r="AY50" i="1" s="1"/>
  <c r="AW38" i="1"/>
  <c r="AY38" i="1" s="1"/>
  <c r="AX48" i="1"/>
  <c r="AW48" i="1"/>
  <c r="AX58" i="1"/>
  <c r="AW58" i="1"/>
  <c r="AY58" i="1" s="1"/>
  <c r="AV70" i="1"/>
  <c r="AW36" i="1"/>
  <c r="AY36" i="1" s="1"/>
  <c r="AW44" i="1"/>
  <c r="AW52" i="1"/>
  <c r="AW60" i="1"/>
  <c r="AW68" i="1"/>
  <c r="AB634" i="1"/>
  <c r="AA634" i="1"/>
  <c r="Y634" i="1"/>
  <c r="X634" i="1"/>
  <c r="U634" i="1"/>
  <c r="AB594" i="1"/>
  <c r="AA594" i="1"/>
  <c r="Y594" i="1"/>
  <c r="X594" i="1"/>
  <c r="U594" i="1"/>
  <c r="AB554" i="1"/>
  <c r="AA554" i="1"/>
  <c r="Y554" i="1"/>
  <c r="X554" i="1"/>
  <c r="U554" i="1"/>
  <c r="AB514" i="1"/>
  <c r="AA514" i="1"/>
  <c r="Y514" i="1"/>
  <c r="X514" i="1"/>
  <c r="U514" i="1"/>
  <c r="AB474" i="1"/>
  <c r="AA474" i="1"/>
  <c r="Y474" i="1"/>
  <c r="X474" i="1"/>
  <c r="U474" i="1"/>
  <c r="AB434" i="1"/>
  <c r="AA434" i="1"/>
  <c r="Y434" i="1"/>
  <c r="X434" i="1"/>
  <c r="U434" i="1"/>
  <c r="AB394" i="1"/>
  <c r="AA394" i="1"/>
  <c r="Y394" i="1"/>
  <c r="X394" i="1"/>
  <c r="U394" i="1"/>
  <c r="AB354" i="1"/>
  <c r="AA354" i="1"/>
  <c r="Y354" i="1"/>
  <c r="X354" i="1"/>
  <c r="U354" i="1"/>
  <c r="AB314" i="1"/>
  <c r="AA314" i="1"/>
  <c r="Y314" i="1"/>
  <c r="X314" i="1"/>
  <c r="U314" i="1"/>
  <c r="AB274" i="1"/>
  <c r="AA274" i="1"/>
  <c r="Y274" i="1"/>
  <c r="X274" i="1"/>
  <c r="U274" i="1"/>
  <c r="AB234" i="1"/>
  <c r="AA234" i="1"/>
  <c r="Y234" i="1"/>
  <c r="X234" i="1"/>
  <c r="U234" i="1"/>
  <c r="AB194" i="1"/>
  <c r="AA194" i="1"/>
  <c r="Y194" i="1"/>
  <c r="X194" i="1"/>
  <c r="U194" i="1"/>
  <c r="AB154" i="1"/>
  <c r="AA154" i="1"/>
  <c r="Y154" i="1"/>
  <c r="X154" i="1"/>
  <c r="U154" i="1"/>
  <c r="AB114" i="1"/>
  <c r="AA114" i="1"/>
  <c r="Y114" i="1"/>
  <c r="X114" i="1"/>
  <c r="U114" i="1"/>
  <c r="AB74" i="1"/>
  <c r="AA74" i="1"/>
  <c r="Y74" i="1"/>
  <c r="X74" i="1"/>
  <c r="U74" i="1"/>
  <c r="AB34" i="1"/>
  <c r="AA34" i="1"/>
  <c r="Y34" i="1"/>
  <c r="X34" i="1"/>
  <c r="U34" i="1"/>
  <c r="M575" i="1"/>
  <c r="L235" i="1"/>
  <c r="N235" i="1" s="1"/>
  <c r="L385" i="1"/>
  <c r="N385" i="1" s="1"/>
  <c r="L435" i="1"/>
  <c r="M467" i="1"/>
  <c r="L511" i="1"/>
  <c r="N511" i="1" s="1"/>
  <c r="M538" i="1"/>
  <c r="L553" i="1"/>
  <c r="L565" i="1"/>
  <c r="N575" i="1"/>
  <c r="L576" i="1"/>
  <c r="M607" i="1"/>
  <c r="M621" i="1"/>
  <c r="L636" i="1"/>
  <c r="L651" i="1"/>
  <c r="N651" i="1" s="1"/>
  <c r="M660" i="1"/>
  <c r="M663" i="1"/>
  <c r="L668" i="1"/>
  <c r="I673" i="1"/>
  <c r="L673" i="1" s="1"/>
  <c r="I672" i="1"/>
  <c r="I671" i="1"/>
  <c r="L671" i="1" s="1"/>
  <c r="I670" i="1"/>
  <c r="L670" i="1" s="1"/>
  <c r="I669" i="1"/>
  <c r="L669" i="1" s="1"/>
  <c r="I668" i="1"/>
  <c r="M668" i="1" s="1"/>
  <c r="I667" i="1"/>
  <c r="L667" i="1" s="1"/>
  <c r="I666" i="1"/>
  <c r="M666" i="1" s="1"/>
  <c r="I665" i="1"/>
  <c r="L665" i="1" s="1"/>
  <c r="I664" i="1"/>
  <c r="I663" i="1"/>
  <c r="L663" i="1" s="1"/>
  <c r="I662" i="1"/>
  <c r="L662" i="1" s="1"/>
  <c r="I661" i="1"/>
  <c r="L661" i="1" s="1"/>
  <c r="I660" i="1"/>
  <c r="L660" i="1" s="1"/>
  <c r="I659" i="1"/>
  <c r="M659" i="1" s="1"/>
  <c r="I658" i="1"/>
  <c r="I657" i="1"/>
  <c r="L657" i="1" s="1"/>
  <c r="I656" i="1"/>
  <c r="I655" i="1"/>
  <c r="L655" i="1" s="1"/>
  <c r="I654" i="1"/>
  <c r="M654" i="1" s="1"/>
  <c r="I653" i="1"/>
  <c r="M653" i="1" s="1"/>
  <c r="I652" i="1"/>
  <c r="L652" i="1" s="1"/>
  <c r="I651" i="1"/>
  <c r="M651" i="1" s="1"/>
  <c r="I650" i="1"/>
  <c r="I649" i="1"/>
  <c r="M649" i="1" s="1"/>
  <c r="I648" i="1"/>
  <c r="L648" i="1" s="1"/>
  <c r="I647" i="1"/>
  <c r="M647" i="1" s="1"/>
  <c r="I646" i="1"/>
  <c r="L646" i="1" s="1"/>
  <c r="I645" i="1"/>
  <c r="L645" i="1" s="1"/>
  <c r="I644" i="1"/>
  <c r="L644" i="1" s="1"/>
  <c r="I643" i="1"/>
  <c r="L643" i="1" s="1"/>
  <c r="I642" i="1"/>
  <c r="I641" i="1"/>
  <c r="M641" i="1" s="1"/>
  <c r="I640" i="1"/>
  <c r="I639" i="1"/>
  <c r="M639" i="1" s="1"/>
  <c r="I638" i="1"/>
  <c r="L638" i="1" s="1"/>
  <c r="I637" i="1"/>
  <c r="L637" i="1" s="1"/>
  <c r="I636" i="1"/>
  <c r="M636" i="1" s="1"/>
  <c r="I635" i="1"/>
  <c r="L635" i="1" s="1"/>
  <c r="I634" i="1"/>
  <c r="I633" i="1"/>
  <c r="L633" i="1" s="1"/>
  <c r="I632" i="1"/>
  <c r="I631" i="1"/>
  <c r="L631" i="1" s="1"/>
  <c r="I630" i="1"/>
  <c r="L630" i="1" s="1"/>
  <c r="I629" i="1"/>
  <c r="L629" i="1" s="1"/>
  <c r="I628" i="1"/>
  <c r="L628" i="1" s="1"/>
  <c r="I627" i="1"/>
  <c r="M627" i="1" s="1"/>
  <c r="I626" i="1"/>
  <c r="I625" i="1"/>
  <c r="L625" i="1" s="1"/>
  <c r="I624" i="1"/>
  <c r="I623" i="1"/>
  <c r="L623" i="1" s="1"/>
  <c r="I622" i="1"/>
  <c r="M622" i="1" s="1"/>
  <c r="I621" i="1"/>
  <c r="L621" i="1" s="1"/>
  <c r="I620" i="1"/>
  <c r="L620" i="1" s="1"/>
  <c r="I619" i="1"/>
  <c r="L619" i="1" s="1"/>
  <c r="I618" i="1"/>
  <c r="I617" i="1"/>
  <c r="L617" i="1" s="1"/>
  <c r="I616" i="1"/>
  <c r="I615" i="1"/>
  <c r="M615" i="1" s="1"/>
  <c r="I614" i="1"/>
  <c r="L614" i="1" s="1"/>
  <c r="I613" i="1"/>
  <c r="L613" i="1" s="1"/>
  <c r="I612" i="1"/>
  <c r="L612" i="1" s="1"/>
  <c r="I611" i="1"/>
  <c r="L611" i="1" s="1"/>
  <c r="I610" i="1"/>
  <c r="I609" i="1"/>
  <c r="L609" i="1" s="1"/>
  <c r="I608" i="1"/>
  <c r="I607" i="1"/>
  <c r="L607" i="1" s="1"/>
  <c r="I606" i="1"/>
  <c r="L606" i="1" s="1"/>
  <c r="I605" i="1"/>
  <c r="L605" i="1" s="1"/>
  <c r="I604" i="1"/>
  <c r="L604" i="1" s="1"/>
  <c r="I603" i="1"/>
  <c r="L603" i="1" s="1"/>
  <c r="I602" i="1"/>
  <c r="I601" i="1"/>
  <c r="L601" i="1" s="1"/>
  <c r="I600" i="1"/>
  <c r="M600" i="1" s="1"/>
  <c r="I599" i="1"/>
  <c r="L599" i="1" s="1"/>
  <c r="I598" i="1"/>
  <c r="M598" i="1" s="1"/>
  <c r="I597" i="1"/>
  <c r="L597" i="1" s="1"/>
  <c r="I596" i="1"/>
  <c r="L596" i="1" s="1"/>
  <c r="I595" i="1"/>
  <c r="M595" i="1" s="1"/>
  <c r="I594" i="1"/>
  <c r="I593" i="1"/>
  <c r="M593" i="1" s="1"/>
  <c r="I591" i="1"/>
  <c r="I590" i="1"/>
  <c r="L590" i="1" s="1"/>
  <c r="I589" i="1"/>
  <c r="L589" i="1" s="1"/>
  <c r="I588" i="1"/>
  <c r="L588" i="1" s="1"/>
  <c r="I587" i="1"/>
  <c r="L587" i="1" s="1"/>
  <c r="I586" i="1"/>
  <c r="M586" i="1" s="1"/>
  <c r="I585" i="1"/>
  <c r="I584" i="1"/>
  <c r="L584" i="1" s="1"/>
  <c r="I583" i="1"/>
  <c r="L583" i="1" s="1"/>
  <c r="I582" i="1"/>
  <c r="L582" i="1" s="1"/>
  <c r="I581" i="1"/>
  <c r="L581" i="1" s="1"/>
  <c r="I580" i="1"/>
  <c r="M580" i="1" s="1"/>
  <c r="I579" i="1"/>
  <c r="M579" i="1" s="1"/>
  <c r="I578" i="1"/>
  <c r="M578" i="1" s="1"/>
  <c r="I577" i="1"/>
  <c r="M576" i="1"/>
  <c r="I574" i="1"/>
  <c r="I573" i="1"/>
  <c r="M573" i="1" s="1"/>
  <c r="I572" i="1"/>
  <c r="M572" i="1" s="1"/>
  <c r="I571" i="1"/>
  <c r="L571" i="1" s="1"/>
  <c r="I570" i="1"/>
  <c r="L570" i="1" s="1"/>
  <c r="I569" i="1"/>
  <c r="L569" i="1" s="1"/>
  <c r="I568" i="1"/>
  <c r="I567" i="1"/>
  <c r="L567" i="1" s="1"/>
  <c r="I566" i="1"/>
  <c r="I565" i="1"/>
  <c r="M565" i="1" s="1"/>
  <c r="I564" i="1"/>
  <c r="L564" i="1" s="1"/>
  <c r="I563" i="1"/>
  <c r="M563" i="1" s="1"/>
  <c r="I562" i="1"/>
  <c r="L562" i="1" s="1"/>
  <c r="I561" i="1"/>
  <c r="L561" i="1" s="1"/>
  <c r="I560" i="1"/>
  <c r="I559" i="1"/>
  <c r="L559" i="1" s="1"/>
  <c r="I558" i="1"/>
  <c r="M558" i="1" s="1"/>
  <c r="I557" i="1"/>
  <c r="L557" i="1" s="1"/>
  <c r="I556" i="1"/>
  <c r="L556" i="1" s="1"/>
  <c r="I555" i="1"/>
  <c r="L555" i="1" s="1"/>
  <c r="I554" i="1"/>
  <c r="I553" i="1"/>
  <c r="M553" i="1" s="1"/>
  <c r="I552" i="1"/>
  <c r="I551" i="1"/>
  <c r="M551" i="1" s="1"/>
  <c r="I550" i="1"/>
  <c r="I549" i="1"/>
  <c r="M549" i="1" s="1"/>
  <c r="I548" i="1"/>
  <c r="M548" i="1" s="1"/>
  <c r="I547" i="1"/>
  <c r="L547" i="1" s="1"/>
  <c r="I546" i="1"/>
  <c r="L546" i="1" s="1"/>
  <c r="I545" i="1"/>
  <c r="M545" i="1" s="1"/>
  <c r="I544" i="1"/>
  <c r="L544" i="1" s="1"/>
  <c r="I543" i="1"/>
  <c r="I542" i="1"/>
  <c r="I541" i="1"/>
  <c r="I540" i="1"/>
  <c r="L540" i="1" s="1"/>
  <c r="I539" i="1"/>
  <c r="M539" i="1" s="1"/>
  <c r="I538" i="1"/>
  <c r="L538" i="1" s="1"/>
  <c r="I537" i="1"/>
  <c r="L537" i="1" s="1"/>
  <c r="I536" i="1"/>
  <c r="I535" i="1"/>
  <c r="L535" i="1" s="1"/>
  <c r="I534" i="1"/>
  <c r="L534" i="1" s="1"/>
  <c r="I533" i="1"/>
  <c r="L533" i="1" s="1"/>
  <c r="I532" i="1"/>
  <c r="L532" i="1" s="1"/>
  <c r="I531" i="1"/>
  <c r="I530" i="1"/>
  <c r="M530" i="1" s="1"/>
  <c r="I529" i="1"/>
  <c r="I528" i="1"/>
  <c r="L528" i="1" s="1"/>
  <c r="I527" i="1"/>
  <c r="L527" i="1" s="1"/>
  <c r="I526" i="1"/>
  <c r="I525" i="1"/>
  <c r="L525" i="1" s="1"/>
  <c r="I524" i="1"/>
  <c r="I523" i="1"/>
  <c r="L523" i="1" s="1"/>
  <c r="I522" i="1"/>
  <c r="M522" i="1" s="1"/>
  <c r="I521" i="1"/>
  <c r="L521" i="1" s="1"/>
  <c r="I520" i="1"/>
  <c r="I519" i="1"/>
  <c r="I518" i="1"/>
  <c r="I517" i="1"/>
  <c r="I516" i="1"/>
  <c r="M516" i="1" s="1"/>
  <c r="I515" i="1"/>
  <c r="L515" i="1" s="1"/>
  <c r="I514" i="1"/>
  <c r="I513" i="1"/>
  <c r="L513" i="1" s="1"/>
  <c r="I512" i="1"/>
  <c r="I511" i="1"/>
  <c r="M511" i="1" s="1"/>
  <c r="I510" i="1"/>
  <c r="I509" i="1"/>
  <c r="M509" i="1" s="1"/>
  <c r="I508" i="1"/>
  <c r="I507" i="1"/>
  <c r="I506" i="1"/>
  <c r="L506" i="1" s="1"/>
  <c r="I505" i="1"/>
  <c r="I504" i="1"/>
  <c r="I503" i="1"/>
  <c r="I502" i="1"/>
  <c r="I501" i="1"/>
  <c r="I500" i="1"/>
  <c r="M500" i="1" s="1"/>
  <c r="I499" i="1"/>
  <c r="M499" i="1" s="1"/>
  <c r="I498" i="1"/>
  <c r="L498" i="1" s="1"/>
  <c r="I497" i="1"/>
  <c r="M497" i="1" s="1"/>
  <c r="I496" i="1"/>
  <c r="I495" i="1"/>
  <c r="M495" i="1" s="1"/>
  <c r="I494" i="1"/>
  <c r="I493" i="1"/>
  <c r="M493" i="1" s="1"/>
  <c r="I492" i="1"/>
  <c r="M492" i="1" s="1"/>
  <c r="I491" i="1"/>
  <c r="L491" i="1" s="1"/>
  <c r="I490" i="1"/>
  <c r="I489" i="1"/>
  <c r="I488" i="1"/>
  <c r="I487" i="1"/>
  <c r="L487" i="1" s="1"/>
  <c r="I486" i="1"/>
  <c r="I485" i="1"/>
  <c r="M485" i="1" s="1"/>
  <c r="I484" i="1"/>
  <c r="I483" i="1"/>
  <c r="M483" i="1" s="1"/>
  <c r="I482" i="1"/>
  <c r="I481" i="1"/>
  <c r="L481" i="1" s="1"/>
  <c r="I480" i="1"/>
  <c r="I479" i="1"/>
  <c r="M479" i="1" s="1"/>
  <c r="I478" i="1"/>
  <c r="M478" i="1" s="1"/>
  <c r="I477" i="1"/>
  <c r="I476" i="1"/>
  <c r="M476" i="1" s="1"/>
  <c r="I475" i="1"/>
  <c r="I474" i="1"/>
  <c r="L474" i="1" s="1"/>
  <c r="I473" i="1"/>
  <c r="L473" i="1" s="1"/>
  <c r="I472" i="1"/>
  <c r="L472" i="1" s="1"/>
  <c r="I471" i="1"/>
  <c r="L471" i="1" s="1"/>
  <c r="I470" i="1"/>
  <c r="I469" i="1"/>
  <c r="M469" i="1" s="1"/>
  <c r="I468" i="1"/>
  <c r="L468" i="1" s="1"/>
  <c r="I467" i="1"/>
  <c r="L467" i="1" s="1"/>
  <c r="I466" i="1"/>
  <c r="I465" i="1"/>
  <c r="M465" i="1" s="1"/>
  <c r="I464" i="1"/>
  <c r="I463" i="1"/>
  <c r="M463" i="1" s="1"/>
  <c r="I462" i="1"/>
  <c r="I461" i="1"/>
  <c r="I460" i="1"/>
  <c r="M460" i="1" s="1"/>
  <c r="I459" i="1"/>
  <c r="I458" i="1"/>
  <c r="L458" i="1" s="1"/>
  <c r="I457" i="1"/>
  <c r="L457" i="1" s="1"/>
  <c r="I456" i="1"/>
  <c r="I455" i="1"/>
  <c r="M455" i="1" s="1"/>
  <c r="I454" i="1"/>
  <c r="I453" i="1"/>
  <c r="M453" i="1" s="1"/>
  <c r="I452" i="1"/>
  <c r="L452" i="1" s="1"/>
  <c r="I451" i="1"/>
  <c r="M451" i="1" s="1"/>
  <c r="I450" i="1"/>
  <c r="L450" i="1" s="1"/>
  <c r="I449" i="1"/>
  <c r="I448" i="1"/>
  <c r="M448" i="1" s="1"/>
  <c r="I447" i="1"/>
  <c r="I446" i="1"/>
  <c r="I445" i="1"/>
  <c r="L445" i="1" s="1"/>
  <c r="I444" i="1"/>
  <c r="I443" i="1"/>
  <c r="M443" i="1" s="1"/>
  <c r="I442" i="1"/>
  <c r="L442" i="1" s="1"/>
  <c r="I441" i="1"/>
  <c r="M441" i="1" s="1"/>
  <c r="I440" i="1"/>
  <c r="M440" i="1" s="1"/>
  <c r="I439" i="1"/>
  <c r="I438" i="1"/>
  <c r="I437" i="1"/>
  <c r="L437" i="1" s="1"/>
  <c r="I436" i="1"/>
  <c r="I435" i="1"/>
  <c r="M435" i="1" s="1"/>
  <c r="I434" i="1"/>
  <c r="M434" i="1" s="1"/>
  <c r="I433" i="1"/>
  <c r="M433" i="1" s="1"/>
  <c r="I432" i="1"/>
  <c r="I431" i="1"/>
  <c r="I430" i="1"/>
  <c r="I429" i="1"/>
  <c r="L429" i="1" s="1"/>
  <c r="I428" i="1"/>
  <c r="I427" i="1"/>
  <c r="M427" i="1" s="1"/>
  <c r="I426" i="1"/>
  <c r="L426" i="1" s="1"/>
  <c r="I425" i="1"/>
  <c r="M425" i="1" s="1"/>
  <c r="I424" i="1"/>
  <c r="I423" i="1"/>
  <c r="I422" i="1"/>
  <c r="I421" i="1"/>
  <c r="L421" i="1" s="1"/>
  <c r="I420" i="1"/>
  <c r="I419" i="1"/>
  <c r="L419" i="1" s="1"/>
  <c r="I418" i="1"/>
  <c r="I417" i="1"/>
  <c r="I416" i="1"/>
  <c r="I415" i="1"/>
  <c r="I414" i="1"/>
  <c r="I413" i="1"/>
  <c r="I412" i="1"/>
  <c r="M412" i="1" s="1"/>
  <c r="I411" i="1"/>
  <c r="L411" i="1" s="1"/>
  <c r="I410" i="1"/>
  <c r="I409" i="1"/>
  <c r="I408" i="1"/>
  <c r="I407" i="1"/>
  <c r="I406" i="1"/>
  <c r="M406" i="1" s="1"/>
  <c r="I405" i="1"/>
  <c r="I404" i="1"/>
  <c r="I403" i="1"/>
  <c r="L403" i="1" s="1"/>
  <c r="I402" i="1"/>
  <c r="I401" i="1"/>
  <c r="I400" i="1"/>
  <c r="I399" i="1"/>
  <c r="I398" i="1"/>
  <c r="I397" i="1"/>
  <c r="L397" i="1" s="1"/>
  <c r="I396" i="1"/>
  <c r="I395" i="1"/>
  <c r="M395" i="1" s="1"/>
  <c r="I394" i="1"/>
  <c r="I393" i="1"/>
  <c r="I392" i="1"/>
  <c r="I391" i="1"/>
  <c r="I390" i="1"/>
  <c r="I389" i="1"/>
  <c r="I388" i="1"/>
  <c r="L388" i="1" s="1"/>
  <c r="I387" i="1"/>
  <c r="I386" i="1"/>
  <c r="I385" i="1"/>
  <c r="M385" i="1" s="1"/>
  <c r="I384" i="1"/>
  <c r="I383" i="1"/>
  <c r="I382" i="1"/>
  <c r="I381" i="1"/>
  <c r="M381" i="1" s="1"/>
  <c r="I380" i="1"/>
  <c r="I379" i="1"/>
  <c r="I378" i="1"/>
  <c r="L378" i="1" s="1"/>
  <c r="I377" i="1"/>
  <c r="I376" i="1"/>
  <c r="I375" i="1"/>
  <c r="I374" i="1"/>
  <c r="I373" i="1"/>
  <c r="I372" i="1"/>
  <c r="M372" i="1" s="1"/>
  <c r="I371" i="1"/>
  <c r="I370" i="1"/>
  <c r="I369" i="1"/>
  <c r="M369" i="1" s="1"/>
  <c r="I368" i="1"/>
  <c r="I367" i="1"/>
  <c r="I366" i="1"/>
  <c r="I365" i="1"/>
  <c r="I364" i="1"/>
  <c r="I363" i="1"/>
  <c r="M363" i="1" s="1"/>
  <c r="I362" i="1"/>
  <c r="M362" i="1" s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M347" i="1" s="1"/>
  <c r="I346" i="1"/>
  <c r="I345" i="1"/>
  <c r="I344" i="1"/>
  <c r="I343" i="1"/>
  <c r="I342" i="1"/>
  <c r="I341" i="1"/>
  <c r="I340" i="1"/>
  <c r="I339" i="1"/>
  <c r="L339" i="1" s="1"/>
  <c r="I338" i="1"/>
  <c r="L338" i="1" s="1"/>
  <c r="I337" i="1"/>
  <c r="M337" i="1" s="1"/>
  <c r="I336" i="1"/>
  <c r="I335" i="1"/>
  <c r="I334" i="1"/>
  <c r="I333" i="1"/>
  <c r="I332" i="1"/>
  <c r="I331" i="1"/>
  <c r="M331" i="1" s="1"/>
  <c r="I330" i="1"/>
  <c r="L330" i="1" s="1"/>
  <c r="I329" i="1"/>
  <c r="I328" i="1"/>
  <c r="I327" i="1"/>
  <c r="I326" i="1"/>
  <c r="I325" i="1"/>
  <c r="I324" i="1"/>
  <c r="M324" i="1" s="1"/>
  <c r="I323" i="1"/>
  <c r="L323" i="1" s="1"/>
  <c r="I322" i="1"/>
  <c r="I321" i="1"/>
  <c r="I320" i="1"/>
  <c r="I319" i="1"/>
  <c r="I318" i="1"/>
  <c r="I317" i="1"/>
  <c r="I316" i="1"/>
  <c r="L316" i="1" s="1"/>
  <c r="I315" i="1"/>
  <c r="I314" i="1"/>
  <c r="I313" i="1"/>
  <c r="I312" i="1"/>
  <c r="I311" i="1"/>
  <c r="M311" i="1" s="1"/>
  <c r="I310" i="1"/>
  <c r="I309" i="1"/>
  <c r="I308" i="1"/>
  <c r="I307" i="1"/>
  <c r="I306" i="1"/>
  <c r="L306" i="1" s="1"/>
  <c r="I305" i="1"/>
  <c r="M305" i="1" s="1"/>
  <c r="I304" i="1"/>
  <c r="I303" i="1"/>
  <c r="I302" i="1"/>
  <c r="I301" i="1"/>
  <c r="I300" i="1"/>
  <c r="I299" i="1"/>
  <c r="M299" i="1" s="1"/>
  <c r="I298" i="1"/>
  <c r="L298" i="1" s="1"/>
  <c r="I297" i="1"/>
  <c r="M297" i="1" s="1"/>
  <c r="I296" i="1"/>
  <c r="I295" i="1"/>
  <c r="I294" i="1"/>
  <c r="I293" i="1"/>
  <c r="I292" i="1"/>
  <c r="I291" i="1"/>
  <c r="I290" i="1"/>
  <c r="L290" i="1" s="1"/>
  <c r="I289" i="1"/>
  <c r="I288" i="1"/>
  <c r="I287" i="1"/>
  <c r="I286" i="1"/>
  <c r="I285" i="1"/>
  <c r="I284" i="1"/>
  <c r="I283" i="1"/>
  <c r="M283" i="1" s="1"/>
  <c r="I282" i="1"/>
  <c r="I281" i="1"/>
  <c r="I280" i="1"/>
  <c r="I279" i="1"/>
  <c r="I278" i="1"/>
  <c r="I277" i="1"/>
  <c r="I276" i="1"/>
  <c r="I275" i="1"/>
  <c r="M275" i="1" s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M257" i="1" s="1"/>
  <c r="I256" i="1"/>
  <c r="I255" i="1"/>
  <c r="I254" i="1"/>
  <c r="I253" i="1"/>
  <c r="I252" i="1"/>
  <c r="I251" i="1"/>
  <c r="I250" i="1"/>
  <c r="L250" i="1" s="1"/>
  <c r="I249" i="1"/>
  <c r="I248" i="1"/>
  <c r="L248" i="1" s="1"/>
  <c r="I247" i="1"/>
  <c r="I246" i="1"/>
  <c r="I245" i="1"/>
  <c r="I244" i="1"/>
  <c r="I243" i="1"/>
  <c r="I242" i="1"/>
  <c r="I241" i="1"/>
  <c r="M241" i="1" s="1"/>
  <c r="I240" i="1"/>
  <c r="I239" i="1"/>
  <c r="I238" i="1"/>
  <c r="I237" i="1"/>
  <c r="I236" i="1"/>
  <c r="I235" i="1"/>
  <c r="M235" i="1" s="1"/>
  <c r="I234" i="1"/>
  <c r="I233" i="1"/>
  <c r="I232" i="1"/>
  <c r="I231" i="1"/>
  <c r="I230" i="1"/>
  <c r="M230" i="1" s="1"/>
  <c r="I229" i="1"/>
  <c r="I228" i="1"/>
  <c r="M228" i="1" s="1"/>
  <c r="I227" i="1"/>
  <c r="I226" i="1"/>
  <c r="I225" i="1"/>
  <c r="I224" i="1"/>
  <c r="I223" i="1"/>
  <c r="M223" i="1" s="1"/>
  <c r="I222" i="1"/>
  <c r="I221" i="1"/>
  <c r="L221" i="1" s="1"/>
  <c r="I220" i="1"/>
  <c r="I219" i="1"/>
  <c r="I218" i="1"/>
  <c r="I217" i="1"/>
  <c r="I216" i="1"/>
  <c r="I215" i="1"/>
  <c r="I214" i="1"/>
  <c r="I213" i="1"/>
  <c r="I212" i="1"/>
  <c r="I211" i="1"/>
  <c r="I210" i="1"/>
  <c r="I209" i="1"/>
  <c r="M209" i="1" s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M194" i="1" s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M153" i="1" s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M100" i="1" s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63" i="1"/>
  <c r="I62" i="1"/>
  <c r="I61" i="1"/>
  <c r="I60" i="1"/>
  <c r="I59" i="1"/>
  <c r="I58" i="1"/>
  <c r="I57" i="1"/>
  <c r="I56" i="1"/>
  <c r="I55" i="1"/>
  <c r="I54" i="1"/>
  <c r="I43" i="1"/>
  <c r="I42" i="1"/>
  <c r="I41" i="1"/>
  <c r="I40" i="1"/>
  <c r="I39" i="1"/>
  <c r="I38" i="1"/>
  <c r="I37" i="1"/>
  <c r="I36" i="1"/>
  <c r="I35" i="1"/>
  <c r="AY648" i="1" l="1"/>
  <c r="AY652" i="1"/>
  <c r="AY656" i="1"/>
  <c r="AY616" i="1"/>
  <c r="AY596" i="1"/>
  <c r="AY612" i="1"/>
  <c r="AW628" i="1"/>
  <c r="AY628" i="1" s="1"/>
  <c r="AW604" i="1"/>
  <c r="AY604" i="1" s="1"/>
  <c r="AY624" i="1"/>
  <c r="AY576" i="1"/>
  <c r="AY592" i="1"/>
  <c r="AY562" i="1"/>
  <c r="AW588" i="1"/>
  <c r="AY588" i="1" s="1"/>
  <c r="AY584" i="1"/>
  <c r="AY586" i="1"/>
  <c r="AY570" i="1"/>
  <c r="AY546" i="1"/>
  <c r="AY552" i="1"/>
  <c r="AY474" i="1"/>
  <c r="AY506" i="1"/>
  <c r="AY482" i="1"/>
  <c r="AY446" i="1"/>
  <c r="AY444" i="1"/>
  <c r="AY438" i="1"/>
  <c r="AY424" i="1"/>
  <c r="AY400" i="1"/>
  <c r="AY432" i="1"/>
  <c r="AY416" i="1"/>
  <c r="AY368" i="1"/>
  <c r="AY392" i="1"/>
  <c r="AY324" i="1"/>
  <c r="AY330" i="1"/>
  <c r="AY320" i="1"/>
  <c r="AY286" i="1"/>
  <c r="AY284" i="1"/>
  <c r="AY308" i="1"/>
  <c r="AY292" i="1"/>
  <c r="AY280" i="1"/>
  <c r="AY312" i="1"/>
  <c r="AY300" i="1"/>
  <c r="AY240" i="1"/>
  <c r="AY250" i="1"/>
  <c r="AY238" i="1"/>
  <c r="AY234" i="1"/>
  <c r="AY268" i="1"/>
  <c r="AY270" i="1"/>
  <c r="AY244" i="1"/>
  <c r="AY252" i="1"/>
  <c r="AY262" i="1"/>
  <c r="AY256" i="1"/>
  <c r="AY224" i="1"/>
  <c r="AY200" i="1"/>
  <c r="AY190" i="1"/>
  <c r="AY166" i="1"/>
  <c r="AY168" i="1"/>
  <c r="AY182" i="1"/>
  <c r="AY174" i="1"/>
  <c r="AY192" i="1"/>
  <c r="AY158" i="1"/>
  <c r="AX118" i="1"/>
  <c r="AY114" i="1"/>
  <c r="AY118" i="1"/>
  <c r="AY120" i="1"/>
  <c r="AX126" i="1"/>
  <c r="AY126" i="1"/>
  <c r="AY122" i="1"/>
  <c r="AY84" i="1"/>
  <c r="AY106" i="1"/>
  <c r="AY70" i="1"/>
  <c r="AY68" i="1"/>
  <c r="AV42" i="1"/>
  <c r="AY54" i="1"/>
  <c r="AY62" i="1"/>
  <c r="AW42" i="1"/>
  <c r="AY42" i="1" s="1"/>
  <c r="AY52" i="1"/>
  <c r="AX44" i="1"/>
  <c r="AY44" i="1" s="1"/>
  <c r="AY64" i="1"/>
  <c r="AY34" i="1"/>
  <c r="AY46" i="1"/>
  <c r="AX60" i="1"/>
  <c r="AY60" i="1" s="1"/>
  <c r="AY66" i="1"/>
  <c r="AY48" i="1"/>
  <c r="AY40" i="1"/>
  <c r="L654" i="1"/>
  <c r="L641" i="1"/>
  <c r="L627" i="1"/>
  <c r="N627" i="1" s="1"/>
  <c r="M609" i="1"/>
  <c r="L598" i="1"/>
  <c r="L580" i="1"/>
  <c r="M555" i="1"/>
  <c r="M540" i="1"/>
  <c r="L516" i="1"/>
  <c r="N516" i="1" s="1"/>
  <c r="M442" i="1"/>
  <c r="M411" i="1"/>
  <c r="L305" i="1"/>
  <c r="N305" i="1" s="1"/>
  <c r="N663" i="1"/>
  <c r="N671" i="1"/>
  <c r="L653" i="1"/>
  <c r="N653" i="1" s="1"/>
  <c r="L639" i="1"/>
  <c r="L622" i="1"/>
  <c r="L593" i="1"/>
  <c r="L579" i="1"/>
  <c r="N579" i="1" s="1"/>
  <c r="M567" i="1"/>
  <c r="N567" i="1" s="1"/>
  <c r="L539" i="1"/>
  <c r="N539" i="1" s="1"/>
  <c r="M515" i="1"/>
  <c r="M472" i="1"/>
  <c r="L440" i="1"/>
  <c r="N440" i="1" s="1"/>
  <c r="M388" i="1"/>
  <c r="L283" i="1"/>
  <c r="N283" i="1" s="1"/>
  <c r="M662" i="1"/>
  <c r="N662" i="1" s="1"/>
  <c r="L649" i="1"/>
  <c r="M633" i="1"/>
  <c r="M619" i="1"/>
  <c r="L563" i="1"/>
  <c r="L551" i="1"/>
  <c r="M535" i="1"/>
  <c r="L460" i="1"/>
  <c r="L433" i="1"/>
  <c r="N433" i="1" s="1"/>
  <c r="L381" i="1"/>
  <c r="N381" i="1" s="1"/>
  <c r="L230" i="1"/>
  <c r="N230" i="1" s="1"/>
  <c r="M661" i="1"/>
  <c r="L647" i="1"/>
  <c r="M631" i="1"/>
  <c r="M617" i="1"/>
  <c r="M605" i="1"/>
  <c r="M588" i="1"/>
  <c r="N588" i="1" s="1"/>
  <c r="L573" i="1"/>
  <c r="M562" i="1"/>
  <c r="L548" i="1"/>
  <c r="M534" i="1"/>
  <c r="L509" i="1"/>
  <c r="N509" i="1" s="1"/>
  <c r="L455" i="1"/>
  <c r="M426" i="1"/>
  <c r="L362" i="1"/>
  <c r="N362" i="1" s="1"/>
  <c r="L228" i="1"/>
  <c r="N603" i="1"/>
  <c r="M671" i="1"/>
  <c r="M646" i="1"/>
  <c r="L615" i="1"/>
  <c r="M604" i="1"/>
  <c r="N604" i="1" s="1"/>
  <c r="L586" i="1"/>
  <c r="L572" i="1"/>
  <c r="N572" i="1" s="1"/>
  <c r="M547" i="1"/>
  <c r="M528" i="1"/>
  <c r="N528" i="1" s="1"/>
  <c r="M498" i="1"/>
  <c r="L453" i="1"/>
  <c r="N453" i="1" s="1"/>
  <c r="M421" i="1"/>
  <c r="M339" i="1"/>
  <c r="N339" i="1" s="1"/>
  <c r="N612" i="1"/>
  <c r="N628" i="1"/>
  <c r="N644" i="1"/>
  <c r="M670" i="1"/>
  <c r="N670" i="1" s="1"/>
  <c r="M644" i="1"/>
  <c r="M629" i="1"/>
  <c r="M614" i="1"/>
  <c r="N614" i="1" s="1"/>
  <c r="M603" i="1"/>
  <c r="M581" i="1"/>
  <c r="M570" i="1"/>
  <c r="N570" i="1" s="1"/>
  <c r="M561" i="1"/>
  <c r="N561" i="1" s="1"/>
  <c r="L545" i="1"/>
  <c r="M523" i="1"/>
  <c r="L497" i="1"/>
  <c r="N497" i="1" s="1"/>
  <c r="M452" i="1"/>
  <c r="N452" i="1" s="1"/>
  <c r="M419" i="1"/>
  <c r="N419" i="1" s="1"/>
  <c r="M338" i="1"/>
  <c r="M669" i="1"/>
  <c r="N669" i="1" s="1"/>
  <c r="L659" i="1"/>
  <c r="M628" i="1"/>
  <c r="M612" i="1"/>
  <c r="M556" i="1"/>
  <c r="N556" i="1" s="1"/>
  <c r="M544" i="1"/>
  <c r="L522" i="1"/>
  <c r="L492" i="1"/>
  <c r="L448" i="1"/>
  <c r="M323" i="1"/>
  <c r="L60" i="1"/>
  <c r="M60" i="1"/>
  <c r="M94" i="1"/>
  <c r="L94" i="1"/>
  <c r="L126" i="1"/>
  <c r="M126" i="1"/>
  <c r="L158" i="1"/>
  <c r="M158" i="1"/>
  <c r="L198" i="1"/>
  <c r="M198" i="1"/>
  <c r="L254" i="1"/>
  <c r="M254" i="1"/>
  <c r="L286" i="1"/>
  <c r="M286" i="1"/>
  <c r="L318" i="1"/>
  <c r="M318" i="1"/>
  <c r="M350" i="1"/>
  <c r="L350" i="1"/>
  <c r="L374" i="1"/>
  <c r="M374" i="1"/>
  <c r="L390" i="1"/>
  <c r="M390" i="1"/>
  <c r="M422" i="1"/>
  <c r="L422" i="1"/>
  <c r="M438" i="1"/>
  <c r="L438" i="1"/>
  <c r="L470" i="1"/>
  <c r="M470" i="1"/>
  <c r="M502" i="1"/>
  <c r="L502" i="1"/>
  <c r="L526" i="1"/>
  <c r="M526" i="1"/>
  <c r="M550" i="1"/>
  <c r="L550" i="1"/>
  <c r="L566" i="1"/>
  <c r="M566" i="1"/>
  <c r="L591" i="1"/>
  <c r="M591" i="1"/>
  <c r="M616" i="1"/>
  <c r="L616" i="1"/>
  <c r="L640" i="1"/>
  <c r="M640" i="1"/>
  <c r="L664" i="1"/>
  <c r="M664" i="1"/>
  <c r="L600" i="1"/>
  <c r="N600" i="1" s="1"/>
  <c r="N548" i="1"/>
  <c r="L42" i="1"/>
  <c r="N42" i="1" s="1"/>
  <c r="M42" i="1"/>
  <c r="M102" i="1"/>
  <c r="L102" i="1"/>
  <c r="M142" i="1"/>
  <c r="L142" i="1"/>
  <c r="M182" i="1"/>
  <c r="L182" i="1"/>
  <c r="L222" i="1"/>
  <c r="N222" i="1" s="1"/>
  <c r="M222" i="1"/>
  <c r="L262" i="1"/>
  <c r="N262" i="1" s="1"/>
  <c r="M262" i="1"/>
  <c r="L310" i="1"/>
  <c r="N310" i="1" s="1"/>
  <c r="M310" i="1"/>
  <c r="L358" i="1"/>
  <c r="M358" i="1"/>
  <c r="M446" i="1"/>
  <c r="N446" i="1" s="1"/>
  <c r="L446" i="1"/>
  <c r="L486" i="1"/>
  <c r="M486" i="1"/>
  <c r="L574" i="1"/>
  <c r="M574" i="1"/>
  <c r="L36" i="1"/>
  <c r="M36" i="1"/>
  <c r="L88" i="1"/>
  <c r="M88" i="1"/>
  <c r="L136" i="1"/>
  <c r="M136" i="1"/>
  <c r="L184" i="1"/>
  <c r="M184" i="1"/>
  <c r="L296" i="1"/>
  <c r="M296" i="1"/>
  <c r="L328" i="1"/>
  <c r="M328" i="1"/>
  <c r="N328" i="1" s="1"/>
  <c r="L368" i="1"/>
  <c r="M368" i="1"/>
  <c r="L400" i="1"/>
  <c r="M400" i="1"/>
  <c r="M432" i="1"/>
  <c r="L432" i="1"/>
  <c r="L456" i="1"/>
  <c r="M456" i="1"/>
  <c r="L480" i="1"/>
  <c r="M480" i="1"/>
  <c r="L488" i="1"/>
  <c r="M488" i="1"/>
  <c r="L496" i="1"/>
  <c r="N496" i="1" s="1"/>
  <c r="M496" i="1"/>
  <c r="M504" i="1"/>
  <c r="L504" i="1"/>
  <c r="N504" i="1" s="1"/>
  <c r="L512" i="1"/>
  <c r="M512" i="1"/>
  <c r="L520" i="1"/>
  <c r="M520" i="1"/>
  <c r="L536" i="1"/>
  <c r="N536" i="1" s="1"/>
  <c r="M536" i="1"/>
  <c r="N544" i="1"/>
  <c r="L552" i="1"/>
  <c r="M552" i="1"/>
  <c r="L560" i="1"/>
  <c r="M560" i="1"/>
  <c r="L568" i="1"/>
  <c r="N568" i="1" s="1"/>
  <c r="M568" i="1"/>
  <c r="L577" i="1"/>
  <c r="M577" i="1"/>
  <c r="M585" i="1"/>
  <c r="L585" i="1"/>
  <c r="Z594" i="1"/>
  <c r="M594" i="1"/>
  <c r="L594" i="1"/>
  <c r="L602" i="1"/>
  <c r="M602" i="1"/>
  <c r="L610" i="1"/>
  <c r="M610" i="1"/>
  <c r="L618" i="1"/>
  <c r="M618" i="1"/>
  <c r="M626" i="1"/>
  <c r="L626" i="1"/>
  <c r="Z634" i="1"/>
  <c r="AD634" i="1" s="1"/>
  <c r="M634" i="1"/>
  <c r="L642" i="1"/>
  <c r="N642" i="1" s="1"/>
  <c r="M642" i="1"/>
  <c r="L650" i="1"/>
  <c r="M650" i="1"/>
  <c r="L658" i="1"/>
  <c r="M658" i="1"/>
  <c r="M34" i="1"/>
  <c r="L34" i="1"/>
  <c r="M648" i="1"/>
  <c r="N648" i="1" s="1"/>
  <c r="N639" i="1"/>
  <c r="N565" i="1"/>
  <c r="N622" i="1"/>
  <c r="L78" i="1"/>
  <c r="N78" i="1" s="1"/>
  <c r="M78" i="1"/>
  <c r="L118" i="1"/>
  <c r="M118" i="1"/>
  <c r="L150" i="1"/>
  <c r="M150" i="1"/>
  <c r="L174" i="1"/>
  <c r="M174" i="1"/>
  <c r="L214" i="1"/>
  <c r="N214" i="1" s="1"/>
  <c r="M214" i="1"/>
  <c r="L246" i="1"/>
  <c r="M246" i="1"/>
  <c r="L270" i="1"/>
  <c r="M270" i="1"/>
  <c r="L302" i="1"/>
  <c r="M302" i="1"/>
  <c r="L342" i="1"/>
  <c r="M342" i="1"/>
  <c r="M382" i="1"/>
  <c r="L382" i="1"/>
  <c r="L414" i="1"/>
  <c r="M414" i="1"/>
  <c r="L510" i="1"/>
  <c r="N510" i="1" s="1"/>
  <c r="M510" i="1"/>
  <c r="L632" i="1"/>
  <c r="N632" i="1" s="1"/>
  <c r="M632" i="1"/>
  <c r="L672" i="1"/>
  <c r="N672" i="1" s="1"/>
  <c r="M672" i="1"/>
  <c r="L62" i="1"/>
  <c r="M62" i="1"/>
  <c r="L96" i="1"/>
  <c r="N96" i="1" s="1"/>
  <c r="M96" i="1"/>
  <c r="L112" i="1"/>
  <c r="M112" i="1"/>
  <c r="L128" i="1"/>
  <c r="M128" i="1"/>
  <c r="L152" i="1"/>
  <c r="M152" i="1"/>
  <c r="L168" i="1"/>
  <c r="N168" i="1" s="1"/>
  <c r="M168" i="1"/>
  <c r="L192" i="1"/>
  <c r="M192" i="1"/>
  <c r="L208" i="1"/>
  <c r="M208" i="1"/>
  <c r="L224" i="1"/>
  <c r="M224" i="1"/>
  <c r="M256" i="1"/>
  <c r="L256" i="1"/>
  <c r="L280" i="1"/>
  <c r="M280" i="1"/>
  <c r="L304" i="1"/>
  <c r="N304" i="1" s="1"/>
  <c r="M304" i="1"/>
  <c r="L336" i="1"/>
  <c r="M336" i="1"/>
  <c r="L360" i="1"/>
  <c r="N360" i="1" s="1"/>
  <c r="M360" i="1"/>
  <c r="L384" i="1"/>
  <c r="M384" i="1"/>
  <c r="L416" i="1"/>
  <c r="M416" i="1"/>
  <c r="N619" i="1"/>
  <c r="L666" i="1"/>
  <c r="N666" i="1" s="1"/>
  <c r="N659" i="1"/>
  <c r="N647" i="1"/>
  <c r="N636" i="1"/>
  <c r="N607" i="1"/>
  <c r="N598" i="1"/>
  <c r="N586" i="1"/>
  <c r="N623" i="1"/>
  <c r="N631" i="1"/>
  <c r="M86" i="1"/>
  <c r="L86" i="1"/>
  <c r="M110" i="1"/>
  <c r="L110" i="1"/>
  <c r="M134" i="1"/>
  <c r="L134" i="1"/>
  <c r="L166" i="1"/>
  <c r="N166" i="1" s="1"/>
  <c r="M166" i="1"/>
  <c r="M190" i="1"/>
  <c r="L190" i="1"/>
  <c r="M206" i="1"/>
  <c r="L206" i="1"/>
  <c r="M238" i="1"/>
  <c r="L238" i="1"/>
  <c r="L278" i="1"/>
  <c r="N278" i="1" s="1"/>
  <c r="M278" i="1"/>
  <c r="L294" i="1"/>
  <c r="M294" i="1"/>
  <c r="M326" i="1"/>
  <c r="L326" i="1"/>
  <c r="L334" i="1"/>
  <c r="M334" i="1"/>
  <c r="M366" i="1"/>
  <c r="N366" i="1" s="1"/>
  <c r="L366" i="1"/>
  <c r="M398" i="1"/>
  <c r="L398" i="1"/>
  <c r="M430" i="1"/>
  <c r="L430" i="1"/>
  <c r="L454" i="1"/>
  <c r="M454" i="1"/>
  <c r="M462" i="1"/>
  <c r="L462" i="1"/>
  <c r="L494" i="1"/>
  <c r="M494" i="1"/>
  <c r="M518" i="1"/>
  <c r="L518" i="1"/>
  <c r="L542" i="1"/>
  <c r="M542" i="1"/>
  <c r="N583" i="1"/>
  <c r="L608" i="1"/>
  <c r="M608" i="1"/>
  <c r="L624" i="1"/>
  <c r="M624" i="1"/>
  <c r="L656" i="1"/>
  <c r="M656" i="1"/>
  <c r="L558" i="1"/>
  <c r="N558" i="1" s="1"/>
  <c r="L406" i="1"/>
  <c r="L54" i="1"/>
  <c r="M54" i="1"/>
  <c r="L80" i="1"/>
  <c r="M80" i="1"/>
  <c r="M104" i="1"/>
  <c r="L104" i="1"/>
  <c r="L120" i="1"/>
  <c r="M120" i="1"/>
  <c r="L144" i="1"/>
  <c r="M144" i="1"/>
  <c r="L160" i="1"/>
  <c r="M160" i="1"/>
  <c r="L176" i="1"/>
  <c r="M176" i="1"/>
  <c r="L216" i="1"/>
  <c r="M216" i="1"/>
  <c r="N216" i="1" s="1"/>
  <c r="L240" i="1"/>
  <c r="M240" i="1"/>
  <c r="L264" i="1"/>
  <c r="M264" i="1"/>
  <c r="L288" i="1"/>
  <c r="M288" i="1"/>
  <c r="L312" i="1"/>
  <c r="M312" i="1"/>
  <c r="L344" i="1"/>
  <c r="M344" i="1"/>
  <c r="L376" i="1"/>
  <c r="M376" i="1"/>
  <c r="L408" i="1"/>
  <c r="M408" i="1"/>
  <c r="N646" i="1"/>
  <c r="L634" i="1"/>
  <c r="M583" i="1"/>
  <c r="M248" i="1"/>
  <c r="L200" i="1"/>
  <c r="M200" i="1"/>
  <c r="L232" i="1"/>
  <c r="M232" i="1"/>
  <c r="M272" i="1"/>
  <c r="L272" i="1"/>
  <c r="L320" i="1"/>
  <c r="N320" i="1" s="1"/>
  <c r="M320" i="1"/>
  <c r="L352" i="1"/>
  <c r="M352" i="1"/>
  <c r="L392" i="1"/>
  <c r="M392" i="1"/>
  <c r="M424" i="1"/>
  <c r="L424" i="1"/>
  <c r="L464" i="1"/>
  <c r="M464" i="1"/>
  <c r="N547" i="1"/>
  <c r="N661" i="1"/>
  <c r="N551" i="1"/>
  <c r="L478" i="1"/>
  <c r="N576" i="1"/>
  <c r="L209" i="1"/>
  <c r="L35" i="1"/>
  <c r="M35" i="1"/>
  <c r="L43" i="1"/>
  <c r="M43" i="1"/>
  <c r="M61" i="1"/>
  <c r="L61" i="1"/>
  <c r="L79" i="1"/>
  <c r="M79" i="1"/>
  <c r="L87" i="1"/>
  <c r="M87" i="1"/>
  <c r="M95" i="1"/>
  <c r="N95" i="1" s="1"/>
  <c r="L95" i="1"/>
  <c r="L103" i="1"/>
  <c r="M103" i="1"/>
  <c r="L111" i="1"/>
  <c r="M111" i="1"/>
  <c r="M119" i="1"/>
  <c r="L119" i="1"/>
  <c r="M127" i="1"/>
  <c r="L127" i="1"/>
  <c r="L135" i="1"/>
  <c r="M135" i="1"/>
  <c r="L143" i="1"/>
  <c r="N143" i="1" s="1"/>
  <c r="M143" i="1"/>
  <c r="L151" i="1"/>
  <c r="M151" i="1"/>
  <c r="L159" i="1"/>
  <c r="N159" i="1" s="1"/>
  <c r="M159" i="1"/>
  <c r="L167" i="1"/>
  <c r="M167" i="1"/>
  <c r="M175" i="1"/>
  <c r="L175" i="1"/>
  <c r="L183" i="1"/>
  <c r="M183" i="1"/>
  <c r="L191" i="1"/>
  <c r="N191" i="1" s="1"/>
  <c r="M191" i="1"/>
  <c r="L199" i="1"/>
  <c r="M199" i="1"/>
  <c r="L207" i="1"/>
  <c r="N207" i="1" s="1"/>
  <c r="M207" i="1"/>
  <c r="L215" i="1"/>
  <c r="M215" i="1"/>
  <c r="L231" i="1"/>
  <c r="N231" i="1" s="1"/>
  <c r="M231" i="1"/>
  <c r="L239" i="1"/>
  <c r="N239" i="1" s="1"/>
  <c r="M239" i="1"/>
  <c r="L247" i="1"/>
  <c r="M247" i="1"/>
  <c r="L255" i="1"/>
  <c r="N255" i="1" s="1"/>
  <c r="M255" i="1"/>
  <c r="L263" i="1"/>
  <c r="N263" i="1" s="1"/>
  <c r="M263" i="1"/>
  <c r="L271" i="1"/>
  <c r="N271" i="1" s="1"/>
  <c r="M271" i="1"/>
  <c r="L279" i="1"/>
  <c r="M279" i="1"/>
  <c r="L287" i="1"/>
  <c r="N287" i="1" s="1"/>
  <c r="M287" i="1"/>
  <c r="L295" i="1"/>
  <c r="N295" i="1" s="1"/>
  <c r="M295" i="1"/>
  <c r="L303" i="1"/>
  <c r="N303" i="1" s="1"/>
  <c r="M303" i="1"/>
  <c r="L319" i="1"/>
  <c r="M319" i="1"/>
  <c r="L327" i="1"/>
  <c r="M327" i="1"/>
  <c r="L335" i="1"/>
  <c r="M335" i="1"/>
  <c r="L343" i="1"/>
  <c r="N343" i="1" s="1"/>
  <c r="M343" i="1"/>
  <c r="L351" i="1"/>
  <c r="M351" i="1"/>
  <c r="L359" i="1"/>
  <c r="N359" i="1" s="1"/>
  <c r="M359" i="1"/>
  <c r="L367" i="1"/>
  <c r="M367" i="1"/>
  <c r="L375" i="1"/>
  <c r="M375" i="1"/>
  <c r="L383" i="1"/>
  <c r="M383" i="1"/>
  <c r="L391" i="1"/>
  <c r="N391" i="1" s="1"/>
  <c r="M391" i="1"/>
  <c r="L399" i="1"/>
  <c r="M399" i="1"/>
  <c r="L407" i="1"/>
  <c r="M407" i="1"/>
  <c r="L415" i="1"/>
  <c r="M415" i="1"/>
  <c r="L423" i="1"/>
  <c r="M423" i="1"/>
  <c r="L431" i="1"/>
  <c r="M431" i="1"/>
  <c r="L439" i="1"/>
  <c r="M439" i="1"/>
  <c r="L447" i="1"/>
  <c r="M447" i="1"/>
  <c r="L503" i="1"/>
  <c r="M503" i="1"/>
  <c r="L519" i="1"/>
  <c r="M519" i="1"/>
  <c r="N535" i="1"/>
  <c r="L543" i="1"/>
  <c r="M543" i="1"/>
  <c r="M491" i="1"/>
  <c r="L485" i="1"/>
  <c r="L479" i="1"/>
  <c r="M473" i="1"/>
  <c r="L441" i="1"/>
  <c r="L427" i="1"/>
  <c r="N427" i="1" s="1"/>
  <c r="L363" i="1"/>
  <c r="N363" i="1" s="1"/>
  <c r="L324" i="1"/>
  <c r="N324" i="1" s="1"/>
  <c r="M306" i="1"/>
  <c r="M290" i="1"/>
  <c r="N290" i="1" s="1"/>
  <c r="M250" i="1"/>
  <c r="N250" i="1" s="1"/>
  <c r="L81" i="1"/>
  <c r="M81" i="1"/>
  <c r="M105" i="1"/>
  <c r="L105" i="1"/>
  <c r="M137" i="1"/>
  <c r="L137" i="1"/>
  <c r="L169" i="1"/>
  <c r="M169" i="1"/>
  <c r="L201" i="1"/>
  <c r="M201" i="1"/>
  <c r="M289" i="1"/>
  <c r="L289" i="1"/>
  <c r="L321" i="1"/>
  <c r="M321" i="1"/>
  <c r="L449" i="1"/>
  <c r="M449" i="1"/>
  <c r="L505" i="1"/>
  <c r="M505" i="1"/>
  <c r="L529" i="1"/>
  <c r="M529" i="1"/>
  <c r="L106" i="1"/>
  <c r="M106" i="1"/>
  <c r="L146" i="1"/>
  <c r="N146" i="1" s="1"/>
  <c r="M146" i="1"/>
  <c r="L178" i="1"/>
  <c r="M178" i="1"/>
  <c r="Z194" i="1"/>
  <c r="AC194" i="1" s="1"/>
  <c r="AE194" i="1" s="1"/>
  <c r="L194" i="1"/>
  <c r="N194" i="1" s="1"/>
  <c r="L202" i="1"/>
  <c r="M202" i="1"/>
  <c r="L210" i="1"/>
  <c r="N210" i="1" s="1"/>
  <c r="M210" i="1"/>
  <c r="L218" i="1"/>
  <c r="M218" i="1"/>
  <c r="L226" i="1"/>
  <c r="N226" i="1" s="1"/>
  <c r="M226" i="1"/>
  <c r="Z234" i="1"/>
  <c r="AD234" i="1" s="1"/>
  <c r="L234" i="1"/>
  <c r="M234" i="1"/>
  <c r="L242" i="1"/>
  <c r="N242" i="1" s="1"/>
  <c r="M242" i="1"/>
  <c r="L258" i="1"/>
  <c r="N258" i="1" s="1"/>
  <c r="M258" i="1"/>
  <c r="L266" i="1"/>
  <c r="M266" i="1"/>
  <c r="Z274" i="1"/>
  <c r="AD274" i="1" s="1"/>
  <c r="L274" i="1"/>
  <c r="N274" i="1" s="1"/>
  <c r="M274" i="1"/>
  <c r="L282" i="1"/>
  <c r="M282" i="1"/>
  <c r="N306" i="1"/>
  <c r="Z314" i="1"/>
  <c r="AC314" i="1" s="1"/>
  <c r="L314" i="1"/>
  <c r="N314" i="1" s="1"/>
  <c r="M314" i="1"/>
  <c r="L322" i="1"/>
  <c r="N322" i="1" s="1"/>
  <c r="M322" i="1"/>
  <c r="L346" i="1"/>
  <c r="M346" i="1"/>
  <c r="Z354" i="1"/>
  <c r="AD354" i="1" s="1"/>
  <c r="L354" i="1"/>
  <c r="M354" i="1"/>
  <c r="L370" i="1"/>
  <c r="M370" i="1"/>
  <c r="L386" i="1"/>
  <c r="M386" i="1"/>
  <c r="Z394" i="1"/>
  <c r="AC394" i="1" s="1"/>
  <c r="L394" i="1"/>
  <c r="L402" i="1"/>
  <c r="M402" i="1"/>
  <c r="L410" i="1"/>
  <c r="M410" i="1"/>
  <c r="L418" i="1"/>
  <c r="N418" i="1" s="1"/>
  <c r="M418" i="1"/>
  <c r="Z434" i="1"/>
  <c r="AD434" i="1" s="1"/>
  <c r="L434" i="1"/>
  <c r="L466" i="1"/>
  <c r="M466" i="1"/>
  <c r="Z474" i="1"/>
  <c r="AD474" i="1" s="1"/>
  <c r="M474" i="1"/>
  <c r="N474" i="1" s="1"/>
  <c r="L482" i="1"/>
  <c r="M482" i="1"/>
  <c r="L490" i="1"/>
  <c r="N490" i="1" s="1"/>
  <c r="M490" i="1"/>
  <c r="Z514" i="1"/>
  <c r="AC514" i="1" s="1"/>
  <c r="L514" i="1"/>
  <c r="M514" i="1"/>
  <c r="Z554" i="1"/>
  <c r="AC554" i="1" s="1"/>
  <c r="M673" i="1"/>
  <c r="N673" i="1" s="1"/>
  <c r="M667" i="1"/>
  <c r="N667" i="1" s="1"/>
  <c r="M665" i="1"/>
  <c r="N665" i="1" s="1"/>
  <c r="M655" i="1"/>
  <c r="N655" i="1" s="1"/>
  <c r="M652" i="1"/>
  <c r="M638" i="1"/>
  <c r="N638" i="1" s="1"/>
  <c r="M611" i="1"/>
  <c r="N611" i="1" s="1"/>
  <c r="M597" i="1"/>
  <c r="L595" i="1"/>
  <c r="N595" i="1" s="1"/>
  <c r="N592" i="1"/>
  <c r="M590" i="1"/>
  <c r="N590" i="1" s="1"/>
  <c r="L578" i="1"/>
  <c r="M569" i="1"/>
  <c r="M564" i="1"/>
  <c r="N564" i="1" s="1"/>
  <c r="M533" i="1"/>
  <c r="M527" i="1"/>
  <c r="L495" i="1"/>
  <c r="N495" i="1" s="1"/>
  <c r="L483" i="1"/>
  <c r="N483" i="1" s="1"/>
  <c r="M471" i="1"/>
  <c r="M458" i="1"/>
  <c r="M403" i="1"/>
  <c r="N403" i="1" s="1"/>
  <c r="M378" i="1"/>
  <c r="N378" i="1" s="1"/>
  <c r="L337" i="1"/>
  <c r="N337" i="1" s="1"/>
  <c r="L299" i="1"/>
  <c r="N299" i="1" s="1"/>
  <c r="M265" i="1"/>
  <c r="L265" i="1"/>
  <c r="L56" i="1"/>
  <c r="M56" i="1"/>
  <c r="L83" i="1"/>
  <c r="M83" i="1"/>
  <c r="M187" i="1"/>
  <c r="L187" i="1"/>
  <c r="L227" i="1"/>
  <c r="N227" i="1" s="1"/>
  <c r="M227" i="1"/>
  <c r="M259" i="1"/>
  <c r="L259" i="1"/>
  <c r="M291" i="1"/>
  <c r="L291" i="1"/>
  <c r="L307" i="1"/>
  <c r="M307" i="1"/>
  <c r="L315" i="1"/>
  <c r="M315" i="1"/>
  <c r="N323" i="1"/>
  <c r="L355" i="1"/>
  <c r="N355" i="1" s="1"/>
  <c r="M355" i="1"/>
  <c r="L371" i="1"/>
  <c r="N371" i="1" s="1"/>
  <c r="M371" i="1"/>
  <c r="M379" i="1"/>
  <c r="L379" i="1"/>
  <c r="L387" i="1"/>
  <c r="M387" i="1"/>
  <c r="N435" i="1"/>
  <c r="L459" i="1"/>
  <c r="N459" i="1" s="1"/>
  <c r="M459" i="1"/>
  <c r="N467" i="1"/>
  <c r="L475" i="1"/>
  <c r="M475" i="1"/>
  <c r="L507" i="1"/>
  <c r="N507" i="1" s="1"/>
  <c r="M507" i="1"/>
  <c r="N515" i="1"/>
  <c r="N523" i="1"/>
  <c r="L531" i="1"/>
  <c r="M531" i="1"/>
  <c r="M645" i="1"/>
  <c r="M643" i="1"/>
  <c r="N643" i="1" s="1"/>
  <c r="M635" i="1"/>
  <c r="N635" i="1" s="1"/>
  <c r="M625" i="1"/>
  <c r="N625" i="1" s="1"/>
  <c r="M623" i="1"/>
  <c r="M613" i="1"/>
  <c r="M587" i="1"/>
  <c r="N587" i="1" s="1"/>
  <c r="M584" i="1"/>
  <c r="M557" i="1"/>
  <c r="M546" i="1"/>
  <c r="M537" i="1"/>
  <c r="N537" i="1" s="1"/>
  <c r="M506" i="1"/>
  <c r="L476" i="1"/>
  <c r="M457" i="1"/>
  <c r="N457" i="1" s="1"/>
  <c r="L451" i="1"/>
  <c r="N451" i="1" s="1"/>
  <c r="M445" i="1"/>
  <c r="M397" i="1"/>
  <c r="M316" i="1"/>
  <c r="M298" i="1"/>
  <c r="N298" i="1" s="1"/>
  <c r="L241" i="1"/>
  <c r="N241" i="1" s="1"/>
  <c r="L223" i="1"/>
  <c r="N223" i="1" s="1"/>
  <c r="L153" i="1"/>
  <c r="N153" i="1" s="1"/>
  <c r="M55" i="1"/>
  <c r="L55" i="1"/>
  <c r="M89" i="1"/>
  <c r="L89" i="1"/>
  <c r="L113" i="1"/>
  <c r="N113" i="1" s="1"/>
  <c r="M113" i="1"/>
  <c r="L129" i="1"/>
  <c r="M129" i="1"/>
  <c r="L145" i="1"/>
  <c r="M145" i="1"/>
  <c r="M161" i="1"/>
  <c r="L161" i="1"/>
  <c r="L185" i="1"/>
  <c r="N185" i="1" s="1"/>
  <c r="M185" i="1"/>
  <c r="L193" i="1"/>
  <c r="M193" i="1"/>
  <c r="M217" i="1"/>
  <c r="L217" i="1"/>
  <c r="L233" i="1"/>
  <c r="M233" i="1"/>
  <c r="M249" i="1"/>
  <c r="L249" i="1"/>
  <c r="M273" i="1"/>
  <c r="L273" i="1"/>
  <c r="L313" i="1"/>
  <c r="M313" i="1"/>
  <c r="M329" i="1"/>
  <c r="L329" i="1"/>
  <c r="L345" i="1"/>
  <c r="N345" i="1" s="1"/>
  <c r="M345" i="1"/>
  <c r="L393" i="1"/>
  <c r="M393" i="1"/>
  <c r="L409" i="1"/>
  <c r="M409" i="1"/>
  <c r="N409" i="1" s="1"/>
  <c r="L489" i="1"/>
  <c r="M489" i="1"/>
  <c r="N545" i="1"/>
  <c r="N668" i="1"/>
  <c r="N660" i="1"/>
  <c r="N580" i="1"/>
  <c r="M521" i="1"/>
  <c r="L465" i="1"/>
  <c r="N465" i="1" s="1"/>
  <c r="L425" i="1"/>
  <c r="L38" i="1"/>
  <c r="M38" i="1"/>
  <c r="L82" i="1"/>
  <c r="M82" i="1"/>
  <c r="L98" i="1"/>
  <c r="N98" i="1" s="1"/>
  <c r="M98" i="1"/>
  <c r="L114" i="1"/>
  <c r="Z114" i="1"/>
  <c r="AD114" i="1" s="1"/>
  <c r="M114" i="1"/>
  <c r="L138" i="1"/>
  <c r="N138" i="1" s="1"/>
  <c r="M138" i="1"/>
  <c r="L162" i="1"/>
  <c r="N162" i="1" s="1"/>
  <c r="M162" i="1"/>
  <c r="M170" i="1"/>
  <c r="L170" i="1"/>
  <c r="N170" i="1" s="1"/>
  <c r="L39" i="1"/>
  <c r="M39" i="1"/>
  <c r="N39" i="1" s="1"/>
  <c r="L75" i="1"/>
  <c r="N75" i="1" s="1"/>
  <c r="M75" i="1"/>
  <c r="L107" i="1"/>
  <c r="N107" i="1" s="1"/>
  <c r="M107" i="1"/>
  <c r="L123" i="1"/>
  <c r="M123" i="1"/>
  <c r="L131" i="1"/>
  <c r="M131" i="1"/>
  <c r="N131" i="1" s="1"/>
  <c r="L147" i="1"/>
  <c r="N147" i="1" s="1"/>
  <c r="M147" i="1"/>
  <c r="L163" i="1"/>
  <c r="N163" i="1" s="1"/>
  <c r="M163" i="1"/>
  <c r="M179" i="1"/>
  <c r="L179" i="1"/>
  <c r="N179" i="1" s="1"/>
  <c r="M203" i="1"/>
  <c r="L203" i="1"/>
  <c r="N203" i="1" s="1"/>
  <c r="M211" i="1"/>
  <c r="L211" i="1"/>
  <c r="L219" i="1"/>
  <c r="N219" i="1" s="1"/>
  <c r="M219" i="1"/>
  <c r="M243" i="1"/>
  <c r="L243" i="1"/>
  <c r="N243" i="1" s="1"/>
  <c r="M251" i="1"/>
  <c r="L251" i="1"/>
  <c r="N251" i="1" s="1"/>
  <c r="M267" i="1"/>
  <c r="L267" i="1"/>
  <c r="L40" i="1"/>
  <c r="M40" i="1"/>
  <c r="L58" i="1"/>
  <c r="M58" i="1"/>
  <c r="L76" i="1"/>
  <c r="M76" i="1"/>
  <c r="L84" i="1"/>
  <c r="M84" i="1"/>
  <c r="M92" i="1"/>
  <c r="L92" i="1"/>
  <c r="L108" i="1"/>
  <c r="M108" i="1"/>
  <c r="L116" i="1"/>
  <c r="M116" i="1"/>
  <c r="M124" i="1"/>
  <c r="L124" i="1"/>
  <c r="M132" i="1"/>
  <c r="L132" i="1"/>
  <c r="L140" i="1"/>
  <c r="M140" i="1"/>
  <c r="M148" i="1"/>
  <c r="L148" i="1"/>
  <c r="N148" i="1" s="1"/>
  <c r="L156" i="1"/>
  <c r="M156" i="1"/>
  <c r="L164" i="1"/>
  <c r="M164" i="1"/>
  <c r="L172" i="1"/>
  <c r="M172" i="1"/>
  <c r="N172" i="1" s="1"/>
  <c r="L180" i="1"/>
  <c r="M180" i="1"/>
  <c r="L188" i="1"/>
  <c r="M188" i="1"/>
  <c r="M196" i="1"/>
  <c r="L196" i="1"/>
  <c r="L204" i="1"/>
  <c r="M204" i="1"/>
  <c r="L212" i="1"/>
  <c r="N212" i="1" s="1"/>
  <c r="M212" i="1"/>
  <c r="L220" i="1"/>
  <c r="M220" i="1"/>
  <c r="L236" i="1"/>
  <c r="M236" i="1"/>
  <c r="L244" i="1"/>
  <c r="M244" i="1"/>
  <c r="N244" i="1" s="1"/>
  <c r="L252" i="1"/>
  <c r="M252" i="1"/>
  <c r="L260" i="1"/>
  <c r="N260" i="1" s="1"/>
  <c r="M260" i="1"/>
  <c r="L268" i="1"/>
  <c r="M268" i="1"/>
  <c r="L276" i="1"/>
  <c r="M276" i="1"/>
  <c r="L284" i="1"/>
  <c r="M284" i="1"/>
  <c r="L292" i="1"/>
  <c r="N292" i="1" s="1"/>
  <c r="M292" i="1"/>
  <c r="L300" i="1"/>
  <c r="M300" i="1"/>
  <c r="L308" i="1"/>
  <c r="M308" i="1"/>
  <c r="N316" i="1"/>
  <c r="L332" i="1"/>
  <c r="M332" i="1"/>
  <c r="N332" i="1" s="1"/>
  <c r="L340" i="1"/>
  <c r="M340" i="1"/>
  <c r="L348" i="1"/>
  <c r="M348" i="1"/>
  <c r="L356" i="1"/>
  <c r="M356" i="1"/>
  <c r="L364" i="1"/>
  <c r="M364" i="1"/>
  <c r="L380" i="1"/>
  <c r="N380" i="1" s="1"/>
  <c r="M380" i="1"/>
  <c r="N388" i="1"/>
  <c r="L396" i="1"/>
  <c r="M396" i="1"/>
  <c r="L404" i="1"/>
  <c r="M404" i="1"/>
  <c r="L420" i="1"/>
  <c r="N420" i="1" s="1"/>
  <c r="M420" i="1"/>
  <c r="L428" i="1"/>
  <c r="N428" i="1" s="1"/>
  <c r="M428" i="1"/>
  <c r="L436" i="1"/>
  <c r="M436" i="1"/>
  <c r="L444" i="1"/>
  <c r="M444" i="1"/>
  <c r="L484" i="1"/>
  <c r="N484" i="1" s="1"/>
  <c r="M484" i="1"/>
  <c r="L508" i="1"/>
  <c r="M508" i="1"/>
  <c r="L524" i="1"/>
  <c r="M524" i="1"/>
  <c r="M657" i="1"/>
  <c r="M637" i="1"/>
  <c r="M630" i="1"/>
  <c r="N630" i="1" s="1"/>
  <c r="M620" i="1"/>
  <c r="N620" i="1" s="1"/>
  <c r="N615" i="1"/>
  <c r="M606" i="1"/>
  <c r="N606" i="1" s="1"/>
  <c r="M601" i="1"/>
  <c r="N601" i="1" s="1"/>
  <c r="M599" i="1"/>
  <c r="N599" i="1" s="1"/>
  <c r="M596" i="1"/>
  <c r="M589" i="1"/>
  <c r="M582" i="1"/>
  <c r="N582" i="1" s="1"/>
  <c r="M571" i="1"/>
  <c r="N571" i="1" s="1"/>
  <c r="N563" i="1"/>
  <c r="M559" i="1"/>
  <c r="M554" i="1"/>
  <c r="M532" i="1"/>
  <c r="M513" i="1"/>
  <c r="N513" i="1" s="1"/>
  <c r="L500" i="1"/>
  <c r="N500" i="1" s="1"/>
  <c r="M481" i="1"/>
  <c r="L469" i="1"/>
  <c r="N469" i="1" s="1"/>
  <c r="L463" i="1"/>
  <c r="N463" i="1" s="1"/>
  <c r="M437" i="1"/>
  <c r="N437" i="1" s="1"/>
  <c r="L395" i="1"/>
  <c r="N395" i="1" s="1"/>
  <c r="L372" i="1"/>
  <c r="N372" i="1" s="1"/>
  <c r="L331" i="1"/>
  <c r="L297" i="1"/>
  <c r="N297" i="1" s="1"/>
  <c r="L257" i="1"/>
  <c r="N257" i="1" s="1"/>
  <c r="M221" i="1"/>
  <c r="N221" i="1" s="1"/>
  <c r="M37" i="1"/>
  <c r="L37" i="1"/>
  <c r="M63" i="1"/>
  <c r="L63" i="1"/>
  <c r="M97" i="1"/>
  <c r="L97" i="1"/>
  <c r="L121" i="1"/>
  <c r="M121" i="1"/>
  <c r="M177" i="1"/>
  <c r="L177" i="1"/>
  <c r="L225" i="1"/>
  <c r="M225" i="1"/>
  <c r="M281" i="1"/>
  <c r="L281" i="1"/>
  <c r="M353" i="1"/>
  <c r="L353" i="1"/>
  <c r="L361" i="1"/>
  <c r="M361" i="1"/>
  <c r="L377" i="1"/>
  <c r="M377" i="1"/>
  <c r="L401" i="1"/>
  <c r="N401" i="1" s="1"/>
  <c r="M401" i="1"/>
  <c r="L417" i="1"/>
  <c r="M417" i="1"/>
  <c r="N521" i="1"/>
  <c r="N555" i="1"/>
  <c r="Z74" i="1"/>
  <c r="L74" i="1"/>
  <c r="M74" i="1"/>
  <c r="L90" i="1"/>
  <c r="M90" i="1"/>
  <c r="L122" i="1"/>
  <c r="N122" i="1" s="1"/>
  <c r="M122" i="1"/>
  <c r="M130" i="1"/>
  <c r="L130" i="1"/>
  <c r="Z154" i="1"/>
  <c r="L154" i="1"/>
  <c r="N154" i="1" s="1"/>
  <c r="M154" i="1"/>
  <c r="L186" i="1"/>
  <c r="N186" i="1" s="1"/>
  <c r="M186" i="1"/>
  <c r="L57" i="1"/>
  <c r="M57" i="1"/>
  <c r="L91" i="1"/>
  <c r="M91" i="1"/>
  <c r="N91" i="1" s="1"/>
  <c r="L99" i="1"/>
  <c r="M99" i="1"/>
  <c r="L115" i="1"/>
  <c r="M115" i="1"/>
  <c r="L139" i="1"/>
  <c r="M139" i="1"/>
  <c r="L155" i="1"/>
  <c r="M155" i="1"/>
  <c r="L171" i="1"/>
  <c r="N171" i="1" s="1"/>
  <c r="M171" i="1"/>
  <c r="L195" i="1"/>
  <c r="M195" i="1"/>
  <c r="L41" i="1"/>
  <c r="M41" i="1"/>
  <c r="L59" i="1"/>
  <c r="M59" i="1"/>
  <c r="M77" i="1"/>
  <c r="L77" i="1"/>
  <c r="L85" i="1"/>
  <c r="N85" i="1" s="1"/>
  <c r="M85" i="1"/>
  <c r="L93" i="1"/>
  <c r="M93" i="1"/>
  <c r="L101" i="1"/>
  <c r="M101" i="1"/>
  <c r="L109" i="1"/>
  <c r="M109" i="1"/>
  <c r="M117" i="1"/>
  <c r="L117" i="1"/>
  <c r="L125" i="1"/>
  <c r="M125" i="1"/>
  <c r="L133" i="1"/>
  <c r="M133" i="1"/>
  <c r="L141" i="1"/>
  <c r="M141" i="1"/>
  <c r="L149" i="1"/>
  <c r="N149" i="1" s="1"/>
  <c r="M149" i="1"/>
  <c r="M157" i="1"/>
  <c r="L157" i="1"/>
  <c r="N157" i="1" s="1"/>
  <c r="M165" i="1"/>
  <c r="L165" i="1"/>
  <c r="M173" i="1"/>
  <c r="L173" i="1"/>
  <c r="L181" i="1"/>
  <c r="N181" i="1" s="1"/>
  <c r="M181" i="1"/>
  <c r="L189" i="1"/>
  <c r="M189" i="1"/>
  <c r="L197" i="1"/>
  <c r="M197" i="1"/>
  <c r="L205" i="1"/>
  <c r="M205" i="1"/>
  <c r="L213" i="1"/>
  <c r="N213" i="1" s="1"/>
  <c r="M213" i="1"/>
  <c r="L229" i="1"/>
  <c r="M229" i="1"/>
  <c r="L237" i="1"/>
  <c r="M237" i="1"/>
  <c r="L245" i="1"/>
  <c r="M245" i="1"/>
  <c r="L253" i="1"/>
  <c r="N253" i="1" s="1"/>
  <c r="M253" i="1"/>
  <c r="L261" i="1"/>
  <c r="M261" i="1"/>
  <c r="L269" i="1"/>
  <c r="M269" i="1"/>
  <c r="L277" i="1"/>
  <c r="M277" i="1"/>
  <c r="L285" i="1"/>
  <c r="N285" i="1" s="1"/>
  <c r="M285" i="1"/>
  <c r="L293" i="1"/>
  <c r="M293" i="1"/>
  <c r="L301" i="1"/>
  <c r="M301" i="1"/>
  <c r="M309" i="1"/>
  <c r="L309" i="1"/>
  <c r="L317" i="1"/>
  <c r="N317" i="1" s="1"/>
  <c r="M317" i="1"/>
  <c r="L325" i="1"/>
  <c r="M325" i="1"/>
  <c r="L333" i="1"/>
  <c r="N333" i="1" s="1"/>
  <c r="M333" i="1"/>
  <c r="L341" i="1"/>
  <c r="M341" i="1"/>
  <c r="L349" i="1"/>
  <c r="N349" i="1" s="1"/>
  <c r="M349" i="1"/>
  <c r="L357" i="1"/>
  <c r="M357" i="1"/>
  <c r="L365" i="1"/>
  <c r="N365" i="1" s="1"/>
  <c r="M365" i="1"/>
  <c r="L373" i="1"/>
  <c r="M373" i="1"/>
  <c r="L389" i="1"/>
  <c r="N389" i="1" s="1"/>
  <c r="M389" i="1"/>
  <c r="N397" i="1"/>
  <c r="L405" i="1"/>
  <c r="N405" i="1" s="1"/>
  <c r="M405" i="1"/>
  <c r="L413" i="1"/>
  <c r="M413" i="1"/>
  <c r="L461" i="1"/>
  <c r="N461" i="1" s="1"/>
  <c r="M461" i="1"/>
  <c r="L477" i="1"/>
  <c r="M477" i="1"/>
  <c r="L501" i="1"/>
  <c r="M501" i="1"/>
  <c r="L517" i="1"/>
  <c r="M517" i="1"/>
  <c r="N533" i="1"/>
  <c r="L541" i="1"/>
  <c r="M541" i="1"/>
  <c r="L554" i="1"/>
  <c r="L549" i="1"/>
  <c r="N549" i="1" s="1"/>
  <c r="L530" i="1"/>
  <c r="N530" i="1" s="1"/>
  <c r="M525" i="1"/>
  <c r="N525" i="1" s="1"/>
  <c r="L499" i="1"/>
  <c r="N499" i="1" s="1"/>
  <c r="L493" i="1"/>
  <c r="N493" i="1" s="1"/>
  <c r="M487" i="1"/>
  <c r="M468" i="1"/>
  <c r="M450" i="1"/>
  <c r="N450" i="1" s="1"/>
  <c r="L443" i="1"/>
  <c r="N443" i="1" s="1"/>
  <c r="M429" i="1"/>
  <c r="N421" i="1"/>
  <c r="L412" i="1"/>
  <c r="N412" i="1" s="1"/>
  <c r="M394" i="1"/>
  <c r="N394" i="1" s="1"/>
  <c r="L369" i="1"/>
  <c r="N369" i="1" s="1"/>
  <c r="L347" i="1"/>
  <c r="N347" i="1" s="1"/>
  <c r="M330" i="1"/>
  <c r="N330" i="1" s="1"/>
  <c r="L311" i="1"/>
  <c r="N311" i="1" s="1"/>
  <c r="L275" i="1"/>
  <c r="N275" i="1" s="1"/>
  <c r="L100" i="1"/>
  <c r="N100" i="1" s="1"/>
  <c r="AD554" i="1"/>
  <c r="AC274" i="1"/>
  <c r="AE274" i="1" s="1"/>
  <c r="AC234" i="1"/>
  <c r="AD194" i="1"/>
  <c r="AD314" i="1"/>
  <c r="AC74" i="1"/>
  <c r="AD74" i="1"/>
  <c r="AC634" i="1"/>
  <c r="AC474" i="1"/>
  <c r="AE474" i="1" s="1"/>
  <c r="AD514" i="1"/>
  <c r="N617" i="1"/>
  <c r="N656" i="1"/>
  <c r="N654" i="1"/>
  <c r="N641" i="1"/>
  <c r="N593" i="1"/>
  <c r="N629" i="1"/>
  <c r="N581" i="1"/>
  <c r="N652" i="1"/>
  <c r="N609" i="1"/>
  <c r="N573" i="1"/>
  <c r="N492" i="1"/>
  <c r="N633" i="1"/>
  <c r="N621" i="1"/>
  <c r="N585" i="1"/>
  <c r="N540" i="1"/>
  <c r="N524" i="1"/>
  <c r="N458" i="1"/>
  <c r="N597" i="1"/>
  <c r="N553" i="1"/>
  <c r="N543" i="1"/>
  <c r="N649" i="1"/>
  <c r="N577" i="1"/>
  <c r="N637" i="1"/>
  <c r="N589" i="1"/>
  <c r="N470" i="1"/>
  <c r="N605" i="1"/>
  <c r="N326" i="1"/>
  <c r="N438" i="1"/>
  <c r="N430" i="1"/>
  <c r="N422" i="1"/>
  <c r="N417" i="1"/>
  <c r="N566" i="1"/>
  <c r="N550" i="1"/>
  <c r="N538" i="1"/>
  <c r="N522" i="1"/>
  <c r="N514" i="1"/>
  <c r="N506" i="1"/>
  <c r="N498" i="1"/>
  <c r="N491" i="1"/>
  <c r="N478" i="1"/>
  <c r="N476" i="1"/>
  <c r="N331" i="1"/>
  <c r="N486" i="1"/>
  <c r="N455" i="1"/>
  <c r="N411" i="1"/>
  <c r="N471" i="1"/>
  <c r="N442" i="1"/>
  <c r="N434" i="1"/>
  <c r="N426" i="1"/>
  <c r="N379" i="1"/>
  <c r="N534" i="1"/>
  <c r="N526" i="1"/>
  <c r="N518" i="1"/>
  <c r="N494" i="1"/>
  <c r="N485" i="1"/>
  <c r="N479" i="1"/>
  <c r="N454" i="1"/>
  <c r="N375" i="1"/>
  <c r="N562" i="1"/>
  <c r="N546" i="1"/>
  <c r="N462" i="1"/>
  <c r="N460" i="1"/>
  <c r="N336" i="1"/>
  <c r="N288" i="1"/>
  <c r="N280" i="1"/>
  <c r="N272" i="1"/>
  <c r="N248" i="1"/>
  <c r="N240" i="1"/>
  <c r="N480" i="1"/>
  <c r="N472" i="1"/>
  <c r="N464" i="1"/>
  <c r="N456" i="1"/>
  <c r="N448" i="1"/>
  <c r="N402" i="1"/>
  <c r="N319" i="1"/>
  <c r="N399" i="1"/>
  <c r="N367" i="1"/>
  <c r="N312" i="1"/>
  <c r="N335" i="1"/>
  <c r="N232" i="1"/>
  <c r="N338" i="1"/>
  <c r="N318" i="1"/>
  <c r="N307" i="1"/>
  <c r="N284" i="1"/>
  <c r="N276" i="1"/>
  <c r="N144" i="1"/>
  <c r="N228" i="1"/>
  <c r="N208" i="1"/>
  <c r="N192" i="1"/>
  <c r="N176" i="1"/>
  <c r="N196" i="1"/>
  <c r="N160" i="1"/>
  <c r="N152" i="1"/>
  <c r="N104" i="1"/>
  <c r="N92" i="1"/>
  <c r="N84" i="1"/>
  <c r="N56" i="1"/>
  <c r="N164" i="1"/>
  <c r="N120" i="1"/>
  <c r="N136" i="1"/>
  <c r="N36" i="1"/>
  <c r="N60" i="1"/>
  <c r="N209" i="1"/>
  <c r="N140" i="1"/>
  <c r="N112" i="1"/>
  <c r="N40" i="1"/>
  <c r="AC434" i="1" l="1"/>
  <c r="AC114" i="1"/>
  <c r="N554" i="1"/>
  <c r="N139" i="1"/>
  <c r="N57" i="1"/>
  <c r="N37" i="1"/>
  <c r="N436" i="1"/>
  <c r="N308" i="1"/>
  <c r="N204" i="1"/>
  <c r="N108" i="1"/>
  <c r="N313" i="1"/>
  <c r="N145" i="1"/>
  <c r="N55" i="1"/>
  <c r="N531" i="1"/>
  <c r="AE554" i="1"/>
  <c r="N282" i="1"/>
  <c r="N431" i="1"/>
  <c r="N238" i="1"/>
  <c r="N134" i="1"/>
  <c r="N34" i="1"/>
  <c r="N88" i="1"/>
  <c r="N353" i="1"/>
  <c r="N273" i="1"/>
  <c r="N432" i="1"/>
  <c r="N83" i="1"/>
  <c r="N119" i="1"/>
  <c r="N87" i="1"/>
  <c r="N35" i="1"/>
  <c r="N206" i="1"/>
  <c r="N110" i="1"/>
  <c r="N358" i="1"/>
  <c r="N182" i="1"/>
  <c r="N616" i="1"/>
  <c r="N309" i="1"/>
  <c r="N173" i="1"/>
  <c r="N77" i="1"/>
  <c r="N97" i="1"/>
  <c r="N156" i="1"/>
  <c r="N124" i="1"/>
  <c r="N259" i="1"/>
  <c r="AE314" i="1"/>
  <c r="N234" i="1"/>
  <c r="N137" i="1"/>
  <c r="N415" i="1"/>
  <c r="N383" i="1"/>
  <c r="N624" i="1"/>
  <c r="N190" i="1"/>
  <c r="N86" i="1"/>
  <c r="N502" i="1"/>
  <c r="N390" i="1"/>
  <c r="AE74" i="1"/>
  <c r="N517" i="1"/>
  <c r="N413" i="1"/>
  <c r="N74" i="1"/>
  <c r="N38" i="1"/>
  <c r="AE234" i="1"/>
  <c r="N301" i="1"/>
  <c r="N269" i="1"/>
  <c r="N237" i="1"/>
  <c r="N197" i="1"/>
  <c r="N133" i="1"/>
  <c r="N101" i="1"/>
  <c r="N377" i="1"/>
  <c r="N225" i="1"/>
  <c r="N63" i="1"/>
  <c r="N404" i="1"/>
  <c r="N252" i="1"/>
  <c r="N489" i="1"/>
  <c r="N233" i="1"/>
  <c r="N265" i="1"/>
  <c r="N386" i="1"/>
  <c r="N346" i="1"/>
  <c r="N289" i="1"/>
  <c r="N105" i="1"/>
  <c r="N439" i="1"/>
  <c r="N103" i="1"/>
  <c r="N61" i="1"/>
  <c r="N344" i="1"/>
  <c r="N54" i="1"/>
  <c r="N608" i="1"/>
  <c r="N368" i="1"/>
  <c r="N374" i="1"/>
  <c r="N94" i="1"/>
  <c r="AE434" i="1"/>
  <c r="N541" i="1"/>
  <c r="N487" i="1"/>
  <c r="AC354" i="1"/>
  <c r="AE354" i="1" s="1"/>
  <c r="N468" i="1"/>
  <c r="N481" i="1"/>
  <c r="N220" i="1"/>
  <c r="N354" i="1"/>
  <c r="N373" i="1"/>
  <c r="N532" i="1"/>
  <c r="N657" i="1"/>
  <c r="N224" i="1"/>
  <c r="N477" i="1"/>
  <c r="N141" i="1"/>
  <c r="N195" i="1"/>
  <c r="N180" i="1"/>
  <c r="N116" i="1"/>
  <c r="N425" i="1"/>
  <c r="N482" i="1"/>
  <c r="N348" i="1"/>
  <c r="N291" i="1"/>
  <c r="N447" i="1"/>
  <c r="N351" i="1"/>
  <c r="N634" i="1"/>
  <c r="N626" i="1"/>
  <c r="N594" i="1"/>
  <c r="N296" i="1"/>
  <c r="N341" i="1"/>
  <c r="N245" i="1"/>
  <c r="N109" i="1"/>
  <c r="N115" i="1"/>
  <c r="AD154" i="1"/>
  <c r="AC154" i="1"/>
  <c r="N559" i="1"/>
  <c r="N441" i="1"/>
  <c r="N527" i="1"/>
  <c r="N658" i="1"/>
  <c r="N205" i="1"/>
  <c r="N327" i="1"/>
  <c r="N256" i="1"/>
  <c r="N340" i="1"/>
  <c r="N300" i="1"/>
  <c r="N268" i="1"/>
  <c r="N236" i="1"/>
  <c r="N557" i="1"/>
  <c r="N645" i="1"/>
  <c r="N505" i="1"/>
  <c r="N392" i="1"/>
  <c r="N277" i="1"/>
  <c r="N76" i="1"/>
  <c r="AE114" i="1"/>
  <c r="AD394" i="1"/>
  <c r="AE394" i="1" s="1"/>
  <c r="N117" i="1"/>
  <c r="N281" i="1"/>
  <c r="N121" i="1"/>
  <c r="N217" i="1"/>
  <c r="N445" i="1"/>
  <c r="N584" i="1"/>
  <c r="N475" i="1"/>
  <c r="N387" i="1"/>
  <c r="N408" i="1"/>
  <c r="N334" i="1"/>
  <c r="N423" i="1"/>
  <c r="N127" i="1"/>
  <c r="N43" i="1"/>
  <c r="N406" i="1"/>
  <c r="N342" i="1"/>
  <c r="N602" i="1"/>
  <c r="N158" i="1"/>
  <c r="N449" i="1"/>
  <c r="N215" i="1"/>
  <c r="N542" i="1"/>
  <c r="N62" i="1"/>
  <c r="N302" i="1"/>
  <c r="N174" i="1"/>
  <c r="AD594" i="1"/>
  <c r="AC594" i="1"/>
  <c r="N560" i="1"/>
  <c r="N520" i="1"/>
  <c r="N488" i="1"/>
  <c r="N591" i="1"/>
  <c r="N286" i="1"/>
  <c r="N126" i="1"/>
  <c r="N114" i="1"/>
  <c r="N393" i="1"/>
  <c r="N266" i="1"/>
  <c r="N106" i="1"/>
  <c r="N81" i="1"/>
  <c r="N183" i="1"/>
  <c r="N473" i="1"/>
  <c r="N165" i="1"/>
  <c r="N59" i="1"/>
  <c r="N90" i="1"/>
  <c r="N508" i="1"/>
  <c r="N444" i="1"/>
  <c r="N132" i="1"/>
  <c r="N58" i="1"/>
  <c r="N123" i="1"/>
  <c r="N193" i="1"/>
  <c r="N129" i="1"/>
  <c r="N315" i="1"/>
  <c r="N578" i="1"/>
  <c r="N466" i="1"/>
  <c r="N519" i="1"/>
  <c r="N407" i="1"/>
  <c r="N279" i="1"/>
  <c r="N247" i="1"/>
  <c r="N175" i="1"/>
  <c r="N352" i="1"/>
  <c r="N200" i="1"/>
  <c r="N376" i="1"/>
  <c r="N80" i="1"/>
  <c r="N650" i="1"/>
  <c r="N618" i="1"/>
  <c r="N400" i="1"/>
  <c r="N184" i="1"/>
  <c r="N202" i="1"/>
  <c r="N201" i="1"/>
  <c r="N151" i="1"/>
  <c r="N264" i="1"/>
  <c r="N569" i="1"/>
  <c r="AE514" i="1"/>
  <c r="N99" i="1"/>
  <c r="N364" i="1"/>
  <c r="N249" i="1"/>
  <c r="N370" i="1"/>
  <c r="N169" i="1"/>
  <c r="N111" i="1"/>
  <c r="N79" i="1"/>
  <c r="N596" i="1"/>
  <c r="N429" i="1"/>
  <c r="N416" i="1"/>
  <c r="N128" i="1"/>
  <c r="N414" i="1"/>
  <c r="N270" i="1"/>
  <c r="N150" i="1"/>
  <c r="N552" i="1"/>
  <c r="N512" i="1"/>
  <c r="N574" i="1"/>
  <c r="N142" i="1"/>
  <c r="N664" i="1"/>
  <c r="N254" i="1"/>
  <c r="N610" i="1"/>
  <c r="N410" i="1"/>
  <c r="N613" i="1"/>
  <c r="AE634" i="1"/>
  <c r="N501" i="1"/>
  <c r="N357" i="1"/>
  <c r="N325" i="1"/>
  <c r="N293" i="1"/>
  <c r="N261" i="1"/>
  <c r="N229" i="1"/>
  <c r="N189" i="1"/>
  <c r="N125" i="1"/>
  <c r="N93" i="1"/>
  <c r="N41" i="1"/>
  <c r="N155" i="1"/>
  <c r="N130" i="1"/>
  <c r="N361" i="1"/>
  <c r="N177" i="1"/>
  <c r="N396" i="1"/>
  <c r="N356" i="1"/>
  <c r="N188" i="1"/>
  <c r="N267" i="1"/>
  <c r="N211" i="1"/>
  <c r="N82" i="1"/>
  <c r="N329" i="1"/>
  <c r="N161" i="1"/>
  <c r="N89" i="1"/>
  <c r="N187" i="1"/>
  <c r="N218" i="1"/>
  <c r="N178" i="1"/>
  <c r="N529" i="1"/>
  <c r="N321" i="1"/>
  <c r="N503" i="1"/>
  <c r="N199" i="1"/>
  <c r="N167" i="1"/>
  <c r="N135" i="1"/>
  <c r="N424" i="1"/>
  <c r="N398" i="1"/>
  <c r="N294" i="1"/>
  <c r="N384" i="1"/>
  <c r="N382" i="1"/>
  <c r="N246" i="1"/>
  <c r="N118" i="1"/>
  <c r="N102" i="1"/>
  <c r="N640" i="1"/>
  <c r="N350" i="1"/>
  <c r="N198" i="1"/>
  <c r="I73" i="1"/>
  <c r="I72" i="1"/>
  <c r="I71" i="1"/>
  <c r="I70" i="1"/>
  <c r="I69" i="1"/>
  <c r="I68" i="1"/>
  <c r="I67" i="1"/>
  <c r="I66" i="1"/>
  <c r="I65" i="1"/>
  <c r="I64" i="1"/>
  <c r="I44" i="1"/>
  <c r="I53" i="1"/>
  <c r="I52" i="1"/>
  <c r="I51" i="1"/>
  <c r="I50" i="1"/>
  <c r="I49" i="1"/>
  <c r="I48" i="1"/>
  <c r="I47" i="1"/>
  <c r="I46" i="1"/>
  <c r="I45" i="1"/>
  <c r="L45" i="1" l="1"/>
  <c r="M45" i="1"/>
  <c r="M53" i="1"/>
  <c r="L53" i="1"/>
  <c r="L70" i="1"/>
  <c r="M70" i="1"/>
  <c r="L64" i="1"/>
  <c r="M64" i="1"/>
  <c r="L46" i="1"/>
  <c r="M46" i="1"/>
  <c r="L44" i="1"/>
  <c r="N44" i="1" s="1"/>
  <c r="M44" i="1"/>
  <c r="Z34" i="1"/>
  <c r="AD34" i="1" s="1"/>
  <c r="L71" i="1"/>
  <c r="M71" i="1"/>
  <c r="AE594" i="1"/>
  <c r="L48" i="1"/>
  <c r="M48" i="1"/>
  <c r="L65" i="1"/>
  <c r="M65" i="1"/>
  <c r="L73" i="1"/>
  <c r="M73" i="1"/>
  <c r="AE154" i="1"/>
  <c r="L72" i="1"/>
  <c r="M72" i="1"/>
  <c r="L49" i="1"/>
  <c r="M49" i="1"/>
  <c r="L66" i="1"/>
  <c r="M66" i="1"/>
  <c r="L47" i="1"/>
  <c r="M47" i="1"/>
  <c r="M50" i="1"/>
  <c r="L50" i="1"/>
  <c r="L67" i="1"/>
  <c r="M67" i="1"/>
  <c r="N67" i="1" s="1"/>
  <c r="L51" i="1"/>
  <c r="M51" i="1"/>
  <c r="N51" i="1" s="1"/>
  <c r="L68" i="1"/>
  <c r="M68" i="1"/>
  <c r="L52" i="1"/>
  <c r="M52" i="1"/>
  <c r="L69" i="1"/>
  <c r="M69" i="1"/>
  <c r="N52" i="1" l="1"/>
  <c r="N72" i="1"/>
  <c r="N47" i="1"/>
  <c r="N71" i="1"/>
  <c r="N64" i="1"/>
  <c r="W514" i="1"/>
  <c r="W634" i="1"/>
  <c r="W274" i="1"/>
  <c r="W114" i="1"/>
  <c r="W314" i="1"/>
  <c r="W434" i="1"/>
  <c r="W354" i="1"/>
  <c r="W234" i="1"/>
  <c r="W74" i="1"/>
  <c r="W594" i="1"/>
  <c r="W394" i="1"/>
  <c r="W194" i="1"/>
  <c r="W154" i="1"/>
  <c r="W554" i="1"/>
  <c r="W474" i="1"/>
  <c r="N53" i="1"/>
  <c r="AC34" i="1"/>
  <c r="AE34" i="1" s="1"/>
  <c r="N66" i="1"/>
  <c r="N70" i="1"/>
  <c r="N68" i="1"/>
  <c r="N73" i="1"/>
  <c r="P69" i="1"/>
  <c r="N65" i="1"/>
  <c r="N69" i="1"/>
  <c r="N49" i="1"/>
  <c r="P49" i="1"/>
  <c r="N50" i="1"/>
  <c r="N48" i="1"/>
  <c r="N46" i="1"/>
  <c r="N45" i="1"/>
  <c r="F42" i="1"/>
  <c r="F50" i="1"/>
  <c r="F58" i="1"/>
  <c r="F66" i="1"/>
  <c r="O66" i="1" s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194" i="1"/>
  <c r="F202" i="1"/>
  <c r="F210" i="1"/>
  <c r="F218" i="1"/>
  <c r="F226" i="1"/>
  <c r="F234" i="1"/>
  <c r="F242" i="1"/>
  <c r="F250" i="1"/>
  <c r="F258" i="1"/>
  <c r="F266" i="1"/>
  <c r="F274" i="1"/>
  <c r="F282" i="1"/>
  <c r="F290" i="1"/>
  <c r="F298" i="1"/>
  <c r="F306" i="1"/>
  <c r="F314" i="1"/>
  <c r="F322" i="1"/>
  <c r="F330" i="1"/>
  <c r="F338" i="1"/>
  <c r="F346" i="1"/>
  <c r="F354" i="1"/>
  <c r="F362" i="1"/>
  <c r="F370" i="1"/>
  <c r="F378" i="1"/>
  <c r="F386" i="1"/>
  <c r="F394" i="1"/>
  <c r="F402" i="1"/>
  <c r="F410" i="1"/>
  <c r="F418" i="1"/>
  <c r="F426" i="1"/>
  <c r="F434" i="1"/>
  <c r="F442" i="1"/>
  <c r="F450" i="1"/>
  <c r="F458" i="1"/>
  <c r="F466" i="1"/>
  <c r="F474" i="1"/>
  <c r="F482" i="1"/>
  <c r="F490" i="1"/>
  <c r="F498" i="1"/>
  <c r="F506" i="1"/>
  <c r="F514" i="1"/>
  <c r="F522" i="1"/>
  <c r="F530" i="1"/>
  <c r="F538" i="1"/>
  <c r="F546" i="1"/>
  <c r="F554" i="1"/>
  <c r="F562" i="1"/>
  <c r="F570" i="1"/>
  <c r="F578" i="1"/>
  <c r="F586" i="1"/>
  <c r="F594" i="1"/>
  <c r="F602" i="1"/>
  <c r="F610" i="1"/>
  <c r="F618" i="1"/>
  <c r="F626" i="1"/>
  <c r="F634" i="1"/>
  <c r="F642" i="1"/>
  <c r="F650" i="1"/>
  <c r="F658" i="1"/>
  <c r="F666" i="1"/>
  <c r="F35" i="1"/>
  <c r="F43" i="1"/>
  <c r="F51" i="1"/>
  <c r="P51" i="1" s="1"/>
  <c r="F59" i="1"/>
  <c r="F67" i="1"/>
  <c r="F75" i="1"/>
  <c r="F83" i="1"/>
  <c r="F91" i="1"/>
  <c r="F99" i="1"/>
  <c r="F107" i="1"/>
  <c r="F115" i="1"/>
  <c r="F123" i="1"/>
  <c r="F131" i="1"/>
  <c r="F139" i="1"/>
  <c r="F147" i="1"/>
  <c r="F155" i="1"/>
  <c r="F163" i="1"/>
  <c r="F171" i="1"/>
  <c r="F179" i="1"/>
  <c r="F187" i="1"/>
  <c r="F195" i="1"/>
  <c r="F203" i="1"/>
  <c r="F211" i="1"/>
  <c r="F219" i="1"/>
  <c r="F227" i="1"/>
  <c r="F235" i="1"/>
  <c r="F243" i="1"/>
  <c r="F251" i="1"/>
  <c r="F259" i="1"/>
  <c r="F267" i="1"/>
  <c r="F275" i="1"/>
  <c r="F283" i="1"/>
  <c r="F291" i="1"/>
  <c r="F299" i="1"/>
  <c r="F307" i="1"/>
  <c r="F315" i="1"/>
  <c r="F323" i="1"/>
  <c r="F331" i="1"/>
  <c r="F339" i="1"/>
  <c r="F347" i="1"/>
  <c r="F355" i="1"/>
  <c r="F363" i="1"/>
  <c r="F371" i="1"/>
  <c r="F379" i="1"/>
  <c r="F387" i="1"/>
  <c r="F395" i="1"/>
  <c r="F403" i="1"/>
  <c r="F411" i="1"/>
  <c r="F419" i="1"/>
  <c r="F427" i="1"/>
  <c r="F435" i="1"/>
  <c r="F443" i="1"/>
  <c r="F451" i="1"/>
  <c r="F459" i="1"/>
  <c r="F467" i="1"/>
  <c r="F475" i="1"/>
  <c r="F483" i="1"/>
  <c r="F491" i="1"/>
  <c r="F499" i="1"/>
  <c r="F507" i="1"/>
  <c r="F515" i="1"/>
  <c r="F523" i="1"/>
  <c r="F531" i="1"/>
  <c r="F539" i="1"/>
  <c r="F547" i="1"/>
  <c r="F555" i="1"/>
  <c r="F563" i="1"/>
  <c r="F571" i="1"/>
  <c r="F579" i="1"/>
  <c r="F587" i="1"/>
  <c r="F595" i="1"/>
  <c r="F36" i="1"/>
  <c r="F44" i="1"/>
  <c r="O44" i="1" s="1"/>
  <c r="F52" i="1"/>
  <c r="O52" i="1" s="1"/>
  <c r="F60" i="1"/>
  <c r="F68" i="1"/>
  <c r="O68" i="1" s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188" i="1"/>
  <c r="F196" i="1"/>
  <c r="F204" i="1"/>
  <c r="F212" i="1"/>
  <c r="F220" i="1"/>
  <c r="F228" i="1"/>
  <c r="F236" i="1"/>
  <c r="F244" i="1"/>
  <c r="F252" i="1"/>
  <c r="F260" i="1"/>
  <c r="F268" i="1"/>
  <c r="F276" i="1"/>
  <c r="F284" i="1"/>
  <c r="F292" i="1"/>
  <c r="F300" i="1"/>
  <c r="F308" i="1"/>
  <c r="F316" i="1"/>
  <c r="F324" i="1"/>
  <c r="F332" i="1"/>
  <c r="F340" i="1"/>
  <c r="F348" i="1"/>
  <c r="F356" i="1"/>
  <c r="F364" i="1"/>
  <c r="F372" i="1"/>
  <c r="F380" i="1"/>
  <c r="F388" i="1"/>
  <c r="F396" i="1"/>
  <c r="F404" i="1"/>
  <c r="F412" i="1"/>
  <c r="F420" i="1"/>
  <c r="F428" i="1"/>
  <c r="F436" i="1"/>
  <c r="F444" i="1"/>
  <c r="F452" i="1"/>
  <c r="F460" i="1"/>
  <c r="F468" i="1"/>
  <c r="F476" i="1"/>
  <c r="F484" i="1"/>
  <c r="F492" i="1"/>
  <c r="F500" i="1"/>
  <c r="F508" i="1"/>
  <c r="F516" i="1"/>
  <c r="F524" i="1"/>
  <c r="F532" i="1"/>
  <c r="F540" i="1"/>
  <c r="F548" i="1"/>
  <c r="F556" i="1"/>
  <c r="F564" i="1"/>
  <c r="F572" i="1"/>
  <c r="F580" i="1"/>
  <c r="F588" i="1"/>
  <c r="F37" i="1"/>
  <c r="F45" i="1"/>
  <c r="F53" i="1"/>
  <c r="O53" i="1" s="1"/>
  <c r="F61" i="1"/>
  <c r="F69" i="1"/>
  <c r="O69" i="1" s="1"/>
  <c r="F77" i="1"/>
  <c r="F85" i="1"/>
  <c r="F93" i="1"/>
  <c r="F101" i="1"/>
  <c r="F109" i="1"/>
  <c r="F117" i="1"/>
  <c r="F125" i="1"/>
  <c r="F133" i="1"/>
  <c r="F141" i="1"/>
  <c r="F149" i="1"/>
  <c r="F157" i="1"/>
  <c r="F165" i="1"/>
  <c r="F173" i="1"/>
  <c r="F181" i="1"/>
  <c r="F189" i="1"/>
  <c r="F197" i="1"/>
  <c r="F205" i="1"/>
  <c r="F213" i="1"/>
  <c r="F221" i="1"/>
  <c r="F229" i="1"/>
  <c r="F237" i="1"/>
  <c r="F245" i="1"/>
  <c r="F253" i="1"/>
  <c r="F261" i="1"/>
  <c r="F269" i="1"/>
  <c r="F277" i="1"/>
  <c r="F285" i="1"/>
  <c r="F293" i="1"/>
  <c r="F301" i="1"/>
  <c r="F309" i="1"/>
  <c r="F317" i="1"/>
  <c r="F325" i="1"/>
  <c r="F333" i="1"/>
  <c r="F341" i="1"/>
  <c r="F349" i="1"/>
  <c r="F357" i="1"/>
  <c r="F365" i="1"/>
  <c r="F373" i="1"/>
  <c r="F381" i="1"/>
  <c r="F389" i="1"/>
  <c r="F397" i="1"/>
  <c r="F405" i="1"/>
  <c r="F413" i="1"/>
  <c r="F421" i="1"/>
  <c r="F429" i="1"/>
  <c r="F437" i="1"/>
  <c r="F445" i="1"/>
  <c r="F453" i="1"/>
  <c r="F461" i="1"/>
  <c r="F469" i="1"/>
  <c r="F477" i="1"/>
  <c r="F485" i="1"/>
  <c r="F493" i="1"/>
  <c r="F501" i="1"/>
  <c r="F509" i="1"/>
  <c r="F517" i="1"/>
  <c r="F525" i="1"/>
  <c r="F533" i="1"/>
  <c r="F541" i="1"/>
  <c r="F549" i="1"/>
  <c r="F557" i="1"/>
  <c r="F565" i="1"/>
  <c r="F573" i="1"/>
  <c r="F581" i="1"/>
  <c r="F589" i="1"/>
  <c r="F597" i="1"/>
  <c r="F605" i="1"/>
  <c r="F613" i="1"/>
  <c r="F621" i="1"/>
  <c r="F629" i="1"/>
  <c r="F637" i="1"/>
  <c r="F645" i="1"/>
  <c r="F653" i="1"/>
  <c r="F661" i="1"/>
  <c r="F669" i="1"/>
  <c r="F38" i="1"/>
  <c r="F46" i="1"/>
  <c r="F54" i="1"/>
  <c r="F62" i="1"/>
  <c r="F70" i="1"/>
  <c r="O70" i="1" s="1"/>
  <c r="F78" i="1"/>
  <c r="F86" i="1"/>
  <c r="F94" i="1"/>
  <c r="F102" i="1"/>
  <c r="F110" i="1"/>
  <c r="F118" i="1"/>
  <c r="F126" i="1"/>
  <c r="F134" i="1"/>
  <c r="F142" i="1"/>
  <c r="F150" i="1"/>
  <c r="F158" i="1"/>
  <c r="F166" i="1"/>
  <c r="F174" i="1"/>
  <c r="F182" i="1"/>
  <c r="F190" i="1"/>
  <c r="F198" i="1"/>
  <c r="F206" i="1"/>
  <c r="F214" i="1"/>
  <c r="F222" i="1"/>
  <c r="F230" i="1"/>
  <c r="F238" i="1"/>
  <c r="F246" i="1"/>
  <c r="F254" i="1"/>
  <c r="F262" i="1"/>
  <c r="F270" i="1"/>
  <c r="F278" i="1"/>
  <c r="F286" i="1"/>
  <c r="F294" i="1"/>
  <c r="F302" i="1"/>
  <c r="F310" i="1"/>
  <c r="F318" i="1"/>
  <c r="F326" i="1"/>
  <c r="F334" i="1"/>
  <c r="F342" i="1"/>
  <c r="F350" i="1"/>
  <c r="F358" i="1"/>
  <c r="F366" i="1"/>
  <c r="F374" i="1"/>
  <c r="F382" i="1"/>
  <c r="F390" i="1"/>
  <c r="F398" i="1"/>
  <c r="F406" i="1"/>
  <c r="F414" i="1"/>
  <c r="F422" i="1"/>
  <c r="F430" i="1"/>
  <c r="F438" i="1"/>
  <c r="F446" i="1"/>
  <c r="F454" i="1"/>
  <c r="F462" i="1"/>
  <c r="F470" i="1"/>
  <c r="F478" i="1"/>
  <c r="F486" i="1"/>
  <c r="F494" i="1"/>
  <c r="F502" i="1"/>
  <c r="F510" i="1"/>
  <c r="F518" i="1"/>
  <c r="F526" i="1"/>
  <c r="F534" i="1"/>
  <c r="F542" i="1"/>
  <c r="F550" i="1"/>
  <c r="F558" i="1"/>
  <c r="F566" i="1"/>
  <c r="F574" i="1"/>
  <c r="F582" i="1"/>
  <c r="F590" i="1"/>
  <c r="F598" i="1"/>
  <c r="F606" i="1"/>
  <c r="F614" i="1"/>
  <c r="F622" i="1"/>
  <c r="F630" i="1"/>
  <c r="F638" i="1"/>
  <c r="F646" i="1"/>
  <c r="F654" i="1"/>
  <c r="F662" i="1"/>
  <c r="F670" i="1"/>
  <c r="F39" i="1"/>
  <c r="F47" i="1"/>
  <c r="P47" i="1" s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191" i="1"/>
  <c r="F199" i="1"/>
  <c r="F207" i="1"/>
  <c r="F215" i="1"/>
  <c r="F223" i="1"/>
  <c r="F231" i="1"/>
  <c r="F239" i="1"/>
  <c r="F247" i="1"/>
  <c r="F255" i="1"/>
  <c r="F263" i="1"/>
  <c r="F271" i="1"/>
  <c r="F279" i="1"/>
  <c r="F287" i="1"/>
  <c r="F295" i="1"/>
  <c r="F303" i="1"/>
  <c r="F311" i="1"/>
  <c r="F319" i="1"/>
  <c r="F327" i="1"/>
  <c r="F335" i="1"/>
  <c r="F343" i="1"/>
  <c r="F351" i="1"/>
  <c r="F359" i="1"/>
  <c r="F367" i="1"/>
  <c r="F375" i="1"/>
  <c r="F383" i="1"/>
  <c r="F391" i="1"/>
  <c r="F399" i="1"/>
  <c r="F407" i="1"/>
  <c r="F415" i="1"/>
  <c r="F423" i="1"/>
  <c r="F431" i="1"/>
  <c r="F439" i="1"/>
  <c r="F447" i="1"/>
  <c r="F455" i="1"/>
  <c r="F463" i="1"/>
  <c r="F471" i="1"/>
  <c r="F479" i="1"/>
  <c r="F487" i="1"/>
  <c r="F495" i="1"/>
  <c r="F503" i="1"/>
  <c r="F511" i="1"/>
  <c r="F519" i="1"/>
  <c r="F527" i="1"/>
  <c r="F535" i="1"/>
  <c r="F543" i="1"/>
  <c r="F551" i="1"/>
  <c r="F559" i="1"/>
  <c r="F567" i="1"/>
  <c r="F575" i="1"/>
  <c r="F583" i="1"/>
  <c r="F591" i="1"/>
  <c r="F599" i="1"/>
  <c r="F607" i="1"/>
  <c r="F615" i="1"/>
  <c r="F623" i="1"/>
  <c r="F631" i="1"/>
  <c r="F639" i="1"/>
  <c r="F647" i="1"/>
  <c r="F655" i="1"/>
  <c r="F40" i="1"/>
  <c r="F48" i="1"/>
  <c r="O48" i="1" s="1"/>
  <c r="F56" i="1"/>
  <c r="F64" i="1"/>
  <c r="O64" i="1" s="1"/>
  <c r="F72" i="1"/>
  <c r="O72" i="1" s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92" i="1"/>
  <c r="F200" i="1"/>
  <c r="F208" i="1"/>
  <c r="F216" i="1"/>
  <c r="F224" i="1"/>
  <c r="F232" i="1"/>
  <c r="F240" i="1"/>
  <c r="F248" i="1"/>
  <c r="F256" i="1"/>
  <c r="F264" i="1"/>
  <c r="F272" i="1"/>
  <c r="F280" i="1"/>
  <c r="F288" i="1"/>
  <c r="F296" i="1"/>
  <c r="F304" i="1"/>
  <c r="F312" i="1"/>
  <c r="F320" i="1"/>
  <c r="F328" i="1"/>
  <c r="F336" i="1"/>
  <c r="F344" i="1"/>
  <c r="F352" i="1"/>
  <c r="F360" i="1"/>
  <c r="F368" i="1"/>
  <c r="F376" i="1"/>
  <c r="F384" i="1"/>
  <c r="F392" i="1"/>
  <c r="F400" i="1"/>
  <c r="F408" i="1"/>
  <c r="F416" i="1"/>
  <c r="F424" i="1"/>
  <c r="F432" i="1"/>
  <c r="F440" i="1"/>
  <c r="F448" i="1"/>
  <c r="F456" i="1"/>
  <c r="F464" i="1"/>
  <c r="F472" i="1"/>
  <c r="F480" i="1"/>
  <c r="F488" i="1"/>
  <c r="F496" i="1"/>
  <c r="F504" i="1"/>
  <c r="F512" i="1"/>
  <c r="F520" i="1"/>
  <c r="F528" i="1"/>
  <c r="F536" i="1"/>
  <c r="F544" i="1"/>
  <c r="F552" i="1"/>
  <c r="F560" i="1"/>
  <c r="F568" i="1"/>
  <c r="F576" i="1"/>
  <c r="F584" i="1"/>
  <c r="F592" i="1"/>
  <c r="F600" i="1"/>
  <c r="F608" i="1"/>
  <c r="F616" i="1"/>
  <c r="F624" i="1"/>
  <c r="F632" i="1"/>
  <c r="F640" i="1"/>
  <c r="F648" i="1"/>
  <c r="F656" i="1"/>
  <c r="F664" i="1"/>
  <c r="F672" i="1"/>
  <c r="F73" i="1"/>
  <c r="O73" i="1" s="1"/>
  <c r="F137" i="1"/>
  <c r="F201" i="1"/>
  <c r="F265" i="1"/>
  <c r="F329" i="1"/>
  <c r="F393" i="1"/>
  <c r="F457" i="1"/>
  <c r="F521" i="1"/>
  <c r="F585" i="1"/>
  <c r="F612" i="1"/>
  <c r="F635" i="1"/>
  <c r="F657" i="1"/>
  <c r="F673" i="1"/>
  <c r="F153" i="1"/>
  <c r="F217" i="1"/>
  <c r="F409" i="1"/>
  <c r="F537" i="1"/>
  <c r="F619" i="1"/>
  <c r="F81" i="1"/>
  <c r="F145" i="1"/>
  <c r="F209" i="1"/>
  <c r="F273" i="1"/>
  <c r="F337" i="1"/>
  <c r="F401" i="1"/>
  <c r="F465" i="1"/>
  <c r="F529" i="1"/>
  <c r="F593" i="1"/>
  <c r="F617" i="1"/>
  <c r="F636" i="1"/>
  <c r="F659" i="1"/>
  <c r="F34" i="1"/>
  <c r="F281" i="1"/>
  <c r="F473" i="1"/>
  <c r="F641" i="1"/>
  <c r="F89" i="1"/>
  <c r="F345" i="1"/>
  <c r="F596" i="1"/>
  <c r="F660" i="1"/>
  <c r="F97" i="1"/>
  <c r="F161" i="1"/>
  <c r="F225" i="1"/>
  <c r="F289" i="1"/>
  <c r="F353" i="1"/>
  <c r="F417" i="1"/>
  <c r="F481" i="1"/>
  <c r="F545" i="1"/>
  <c r="F601" i="1"/>
  <c r="F620" i="1"/>
  <c r="F643" i="1"/>
  <c r="F663" i="1"/>
  <c r="F193" i="1"/>
  <c r="F513" i="1"/>
  <c r="F633" i="1"/>
  <c r="F671" i="1"/>
  <c r="F41" i="1"/>
  <c r="F105" i="1"/>
  <c r="F169" i="1"/>
  <c r="F233" i="1"/>
  <c r="F297" i="1"/>
  <c r="F361" i="1"/>
  <c r="F425" i="1"/>
  <c r="F489" i="1"/>
  <c r="F553" i="1"/>
  <c r="F603" i="1"/>
  <c r="F625" i="1"/>
  <c r="F644" i="1"/>
  <c r="F665" i="1"/>
  <c r="F385" i="1"/>
  <c r="F49" i="1"/>
  <c r="O49" i="1" s="1"/>
  <c r="F113" i="1"/>
  <c r="F177" i="1"/>
  <c r="F241" i="1"/>
  <c r="F305" i="1"/>
  <c r="F369" i="1"/>
  <c r="F433" i="1"/>
  <c r="F497" i="1"/>
  <c r="F561" i="1"/>
  <c r="F604" i="1"/>
  <c r="F627" i="1"/>
  <c r="F649" i="1"/>
  <c r="F667" i="1"/>
  <c r="F65" i="1"/>
  <c r="O65" i="1" s="1"/>
  <c r="F321" i="1"/>
  <c r="F577" i="1"/>
  <c r="F652" i="1"/>
  <c r="F57" i="1"/>
  <c r="F121" i="1"/>
  <c r="F185" i="1"/>
  <c r="F249" i="1"/>
  <c r="F313" i="1"/>
  <c r="F377" i="1"/>
  <c r="F441" i="1"/>
  <c r="F505" i="1"/>
  <c r="F569" i="1"/>
  <c r="F609" i="1"/>
  <c r="F628" i="1"/>
  <c r="F651" i="1"/>
  <c r="F668" i="1"/>
  <c r="F129" i="1"/>
  <c r="F257" i="1"/>
  <c r="F449" i="1"/>
  <c r="F611" i="1"/>
  <c r="O185" i="1" l="1"/>
  <c r="P185" i="1"/>
  <c r="O281" i="1"/>
  <c r="P281" i="1"/>
  <c r="O416" i="1"/>
  <c r="P416" i="1"/>
  <c r="O399" i="1"/>
  <c r="P399" i="1"/>
  <c r="Q399" i="1" s="1"/>
  <c r="O589" i="1"/>
  <c r="P589" i="1"/>
  <c r="P644" i="1"/>
  <c r="O644" i="1"/>
  <c r="O233" i="1"/>
  <c r="P233" i="1"/>
  <c r="P663" i="1"/>
  <c r="O663" i="1"/>
  <c r="O289" i="1"/>
  <c r="P289" i="1"/>
  <c r="Q289" i="1" s="1"/>
  <c r="P641" i="1"/>
  <c r="O641" i="1"/>
  <c r="O529" i="1"/>
  <c r="P529" i="1"/>
  <c r="P619" i="1"/>
  <c r="O619" i="1"/>
  <c r="P612" i="1"/>
  <c r="O612" i="1"/>
  <c r="Q612" i="1" s="1"/>
  <c r="O137" i="1"/>
  <c r="P137" i="1"/>
  <c r="P624" i="1"/>
  <c r="O624" i="1"/>
  <c r="O560" i="1"/>
  <c r="P560" i="1"/>
  <c r="P496" i="1"/>
  <c r="O496" i="1"/>
  <c r="Q496" i="1" s="1"/>
  <c r="O432" i="1"/>
  <c r="P432" i="1"/>
  <c r="O368" i="1"/>
  <c r="P368" i="1"/>
  <c r="O304" i="1"/>
  <c r="P304" i="1"/>
  <c r="O240" i="1"/>
  <c r="P240" i="1"/>
  <c r="O176" i="1"/>
  <c r="P176" i="1"/>
  <c r="O112" i="1"/>
  <c r="P112" i="1"/>
  <c r="P607" i="1"/>
  <c r="O607" i="1"/>
  <c r="O543" i="1"/>
  <c r="P543" i="1"/>
  <c r="O479" i="1"/>
  <c r="P479" i="1"/>
  <c r="O415" i="1"/>
  <c r="P415" i="1"/>
  <c r="O351" i="1"/>
  <c r="Q351" i="1" s="1"/>
  <c r="P351" i="1"/>
  <c r="O287" i="1"/>
  <c r="P287" i="1"/>
  <c r="O223" i="1"/>
  <c r="P223" i="1"/>
  <c r="O159" i="1"/>
  <c r="P159" i="1"/>
  <c r="O95" i="1"/>
  <c r="P95" i="1"/>
  <c r="P670" i="1"/>
  <c r="O670" i="1"/>
  <c r="Q670" i="1" s="1"/>
  <c r="P606" i="1"/>
  <c r="O606" i="1"/>
  <c r="Q606" i="1" s="1"/>
  <c r="P542" i="1"/>
  <c r="O542" i="1"/>
  <c r="P478" i="1"/>
  <c r="O478" i="1"/>
  <c r="P414" i="1"/>
  <c r="O414" i="1"/>
  <c r="Q414" i="1" s="1"/>
  <c r="P350" i="1"/>
  <c r="O350" i="1"/>
  <c r="P286" i="1"/>
  <c r="O286" i="1"/>
  <c r="P222" i="1"/>
  <c r="O222" i="1"/>
  <c r="O158" i="1"/>
  <c r="P158" i="1"/>
  <c r="O94" i="1"/>
  <c r="P94" i="1"/>
  <c r="O669" i="1"/>
  <c r="P669" i="1"/>
  <c r="O605" i="1"/>
  <c r="Q605" i="1" s="1"/>
  <c r="P605" i="1"/>
  <c r="O541" i="1"/>
  <c r="P541" i="1"/>
  <c r="O477" i="1"/>
  <c r="P477" i="1"/>
  <c r="O413" i="1"/>
  <c r="P413" i="1"/>
  <c r="O349" i="1"/>
  <c r="Q349" i="1" s="1"/>
  <c r="P349" i="1"/>
  <c r="P285" i="1"/>
  <c r="O285" i="1"/>
  <c r="O221" i="1"/>
  <c r="P221" i="1"/>
  <c r="O157" i="1"/>
  <c r="P157" i="1"/>
  <c r="O93" i="1"/>
  <c r="Q93" i="1" s="1"/>
  <c r="P93" i="1"/>
  <c r="O588" i="1"/>
  <c r="Q588" i="1" s="1"/>
  <c r="P588" i="1"/>
  <c r="O524" i="1"/>
  <c r="P524" i="1"/>
  <c r="O460" i="1"/>
  <c r="P460" i="1"/>
  <c r="O396" i="1"/>
  <c r="Q396" i="1" s="1"/>
  <c r="P396" i="1"/>
  <c r="P332" i="1"/>
  <c r="O332" i="1"/>
  <c r="O268" i="1"/>
  <c r="P268" i="1"/>
  <c r="O204" i="1"/>
  <c r="P204" i="1"/>
  <c r="O140" i="1"/>
  <c r="P140" i="1"/>
  <c r="O76" i="1"/>
  <c r="Q76" i="1" s="1"/>
  <c r="P76" i="1"/>
  <c r="O579" i="1"/>
  <c r="P579" i="1"/>
  <c r="O515" i="1"/>
  <c r="P515" i="1"/>
  <c r="O451" i="1"/>
  <c r="Q451" i="1" s="1"/>
  <c r="P451" i="1"/>
  <c r="O387" i="1"/>
  <c r="Q387" i="1" s="1"/>
  <c r="P387" i="1"/>
  <c r="O323" i="1"/>
  <c r="P323" i="1"/>
  <c r="O259" i="1"/>
  <c r="P259" i="1"/>
  <c r="P195" i="1"/>
  <c r="O195" i="1"/>
  <c r="P131" i="1"/>
  <c r="O131" i="1"/>
  <c r="O67" i="1"/>
  <c r="P67" i="1"/>
  <c r="P642" i="1"/>
  <c r="O642" i="1"/>
  <c r="P578" i="1"/>
  <c r="O578" i="1"/>
  <c r="O514" i="1"/>
  <c r="P514" i="1"/>
  <c r="O450" i="1"/>
  <c r="P450" i="1"/>
  <c r="P386" i="1"/>
  <c r="Q386" i="1" s="1"/>
  <c r="O386" i="1"/>
  <c r="P322" i="1"/>
  <c r="O322" i="1"/>
  <c r="P258" i="1"/>
  <c r="O258" i="1"/>
  <c r="Q258" i="1" s="1"/>
  <c r="O194" i="1"/>
  <c r="P194" i="1"/>
  <c r="O130" i="1"/>
  <c r="Q130" i="1" s="1"/>
  <c r="P130" i="1"/>
  <c r="P44" i="1"/>
  <c r="Q44" i="1" s="1"/>
  <c r="O603" i="1"/>
  <c r="P603" i="1"/>
  <c r="O521" i="1"/>
  <c r="P521" i="1"/>
  <c r="P655" i="1"/>
  <c r="O655" i="1"/>
  <c r="O206" i="1"/>
  <c r="P206" i="1"/>
  <c r="P668" i="1"/>
  <c r="O668" i="1"/>
  <c r="Q668" i="1" s="1"/>
  <c r="P313" i="1"/>
  <c r="O313" i="1"/>
  <c r="O369" i="1"/>
  <c r="P369" i="1"/>
  <c r="O651" i="1"/>
  <c r="P651" i="1"/>
  <c r="O249" i="1"/>
  <c r="P249" i="1"/>
  <c r="Q249" i="1" s="1"/>
  <c r="O667" i="1"/>
  <c r="P667" i="1"/>
  <c r="O305" i="1"/>
  <c r="P305" i="1"/>
  <c r="O625" i="1"/>
  <c r="P625" i="1"/>
  <c r="O169" i="1"/>
  <c r="P169" i="1"/>
  <c r="O643" i="1"/>
  <c r="P643" i="1"/>
  <c r="O225" i="1"/>
  <c r="P225" i="1"/>
  <c r="O473" i="1"/>
  <c r="P473" i="1"/>
  <c r="P465" i="1"/>
  <c r="O465" i="1"/>
  <c r="Q465" i="1" s="1"/>
  <c r="P537" i="1"/>
  <c r="O537" i="1"/>
  <c r="O585" i="1"/>
  <c r="P585" i="1"/>
  <c r="P616" i="1"/>
  <c r="O616" i="1"/>
  <c r="Q616" i="1" s="1"/>
  <c r="P552" i="1"/>
  <c r="O552" i="1"/>
  <c r="P488" i="1"/>
  <c r="O488" i="1"/>
  <c r="O424" i="1"/>
  <c r="P424" i="1"/>
  <c r="O360" i="1"/>
  <c r="P360" i="1"/>
  <c r="O296" i="1"/>
  <c r="P296" i="1"/>
  <c r="O232" i="1"/>
  <c r="Q232" i="1" s="1"/>
  <c r="P232" i="1"/>
  <c r="O168" i="1"/>
  <c r="P168" i="1"/>
  <c r="O104" i="1"/>
  <c r="P104" i="1"/>
  <c r="O40" i="1"/>
  <c r="P40" i="1"/>
  <c r="P599" i="1"/>
  <c r="O599" i="1"/>
  <c r="O535" i="1"/>
  <c r="P535" i="1"/>
  <c r="O471" i="1"/>
  <c r="P471" i="1"/>
  <c r="O407" i="1"/>
  <c r="P407" i="1"/>
  <c r="O343" i="1"/>
  <c r="Q343" i="1" s="1"/>
  <c r="P343" i="1"/>
  <c r="O279" i="1"/>
  <c r="P279" i="1"/>
  <c r="O215" i="1"/>
  <c r="P215" i="1"/>
  <c r="O151" i="1"/>
  <c r="P151" i="1"/>
  <c r="O87" i="1"/>
  <c r="P87" i="1"/>
  <c r="P662" i="1"/>
  <c r="O662" i="1"/>
  <c r="Q662" i="1" s="1"/>
  <c r="P598" i="1"/>
  <c r="O598" i="1"/>
  <c r="Q598" i="1" s="1"/>
  <c r="P534" i="1"/>
  <c r="O534" i="1"/>
  <c r="O470" i="1"/>
  <c r="Q470" i="1" s="1"/>
  <c r="P470" i="1"/>
  <c r="P406" i="1"/>
  <c r="O406" i="1"/>
  <c r="Q406" i="1" s="1"/>
  <c r="P342" i="1"/>
  <c r="O342" i="1"/>
  <c r="P278" i="1"/>
  <c r="O278" i="1"/>
  <c r="P214" i="1"/>
  <c r="O214" i="1"/>
  <c r="O150" i="1"/>
  <c r="P150" i="1"/>
  <c r="O86" i="1"/>
  <c r="P86" i="1"/>
  <c r="O661" i="1"/>
  <c r="P661" i="1"/>
  <c r="O597" i="1"/>
  <c r="Q597" i="1" s="1"/>
  <c r="P597" i="1"/>
  <c r="O533" i="1"/>
  <c r="P533" i="1"/>
  <c r="O469" i="1"/>
  <c r="P469" i="1"/>
  <c r="O405" i="1"/>
  <c r="P405" i="1"/>
  <c r="O341" i="1"/>
  <c r="Q341" i="1" s="1"/>
  <c r="P341" i="1"/>
  <c r="O277" i="1"/>
  <c r="P277" i="1"/>
  <c r="Q277" i="1" s="1"/>
  <c r="O213" i="1"/>
  <c r="P213" i="1"/>
  <c r="O149" i="1"/>
  <c r="P149" i="1"/>
  <c r="O85" i="1"/>
  <c r="Q85" i="1" s="1"/>
  <c r="P85" i="1"/>
  <c r="O580" i="1"/>
  <c r="P580" i="1"/>
  <c r="O516" i="1"/>
  <c r="P516" i="1"/>
  <c r="O452" i="1"/>
  <c r="P452" i="1"/>
  <c r="O388" i="1"/>
  <c r="Q388" i="1" s="1"/>
  <c r="P388" i="1"/>
  <c r="O324" i="1"/>
  <c r="P324" i="1"/>
  <c r="O260" i="1"/>
  <c r="P260" i="1"/>
  <c r="P196" i="1"/>
  <c r="O196" i="1"/>
  <c r="O132" i="1"/>
  <c r="Q132" i="1" s="1"/>
  <c r="P132" i="1"/>
  <c r="P571" i="1"/>
  <c r="O571" i="1"/>
  <c r="O507" i="1"/>
  <c r="P507" i="1"/>
  <c r="P443" i="1"/>
  <c r="O443" i="1"/>
  <c r="Q443" i="1" s="1"/>
  <c r="O379" i="1"/>
  <c r="P379" i="1"/>
  <c r="O315" i="1"/>
  <c r="P315" i="1"/>
  <c r="O251" i="1"/>
  <c r="P251" i="1"/>
  <c r="P187" i="1"/>
  <c r="O187" i="1"/>
  <c r="Q187" i="1" s="1"/>
  <c r="P123" i="1"/>
  <c r="O123" i="1"/>
  <c r="O59" i="1"/>
  <c r="P59" i="1"/>
  <c r="P634" i="1"/>
  <c r="O634" i="1"/>
  <c r="P570" i="1"/>
  <c r="O570" i="1"/>
  <c r="O506" i="1"/>
  <c r="P506" i="1"/>
  <c r="O442" i="1"/>
  <c r="P442" i="1"/>
  <c r="O378" i="1"/>
  <c r="P378" i="1"/>
  <c r="P314" i="1"/>
  <c r="O314" i="1"/>
  <c r="P250" i="1"/>
  <c r="O250" i="1"/>
  <c r="O186" i="1"/>
  <c r="P186" i="1"/>
  <c r="Q186" i="1" s="1"/>
  <c r="O122" i="1"/>
  <c r="P122" i="1"/>
  <c r="Q122" i="1" s="1"/>
  <c r="P58" i="1"/>
  <c r="O58" i="1"/>
  <c r="P52" i="1"/>
  <c r="Q52" i="1" s="1"/>
  <c r="P65" i="1"/>
  <c r="Q65" i="1" s="1"/>
  <c r="P649" i="1"/>
  <c r="O649" i="1"/>
  <c r="Q649" i="1" s="1"/>
  <c r="O161" i="1"/>
  <c r="P161" i="1"/>
  <c r="O672" i="1"/>
  <c r="P672" i="1"/>
  <c r="O352" i="1"/>
  <c r="Q352" i="1" s="1"/>
  <c r="P352" i="1"/>
  <c r="O591" i="1"/>
  <c r="P591" i="1"/>
  <c r="O207" i="1"/>
  <c r="P207" i="1"/>
  <c r="P654" i="1"/>
  <c r="O654" i="1"/>
  <c r="P398" i="1"/>
  <c r="Q398" i="1" s="1"/>
  <c r="O398" i="1"/>
  <c r="O78" i="1"/>
  <c r="P78" i="1"/>
  <c r="O397" i="1"/>
  <c r="P397" i="1"/>
  <c r="O205" i="1"/>
  <c r="P205" i="1"/>
  <c r="O508" i="1"/>
  <c r="Q508" i="1" s="1"/>
  <c r="P508" i="1"/>
  <c r="O316" i="1"/>
  <c r="P316" i="1"/>
  <c r="O124" i="1"/>
  <c r="P124" i="1"/>
  <c r="P499" i="1"/>
  <c r="O499" i="1"/>
  <c r="O371" i="1"/>
  <c r="Q371" i="1" s="1"/>
  <c r="P371" i="1"/>
  <c r="O243" i="1"/>
  <c r="P243" i="1"/>
  <c r="P179" i="1"/>
  <c r="O179" i="1"/>
  <c r="P115" i="1"/>
  <c r="O115" i="1"/>
  <c r="O562" i="1"/>
  <c r="Q562" i="1" s="1"/>
  <c r="P562" i="1"/>
  <c r="P434" i="1"/>
  <c r="O434" i="1"/>
  <c r="P242" i="1"/>
  <c r="O242" i="1"/>
  <c r="O178" i="1"/>
  <c r="P178" i="1"/>
  <c r="O114" i="1"/>
  <c r="P114" i="1"/>
  <c r="P50" i="1"/>
  <c r="O50" i="1"/>
  <c r="Q50" i="1" s="1"/>
  <c r="P609" i="1"/>
  <c r="O609" i="1"/>
  <c r="O121" i="1"/>
  <c r="P121" i="1"/>
  <c r="P627" i="1"/>
  <c r="O627" i="1"/>
  <c r="O177" i="1"/>
  <c r="P177" i="1"/>
  <c r="O553" i="1"/>
  <c r="P553" i="1"/>
  <c r="O41" i="1"/>
  <c r="P41" i="1"/>
  <c r="O601" i="1"/>
  <c r="Q601" i="1" s="1"/>
  <c r="P601" i="1"/>
  <c r="O97" i="1"/>
  <c r="P97" i="1"/>
  <c r="P34" i="1"/>
  <c r="O34" i="1"/>
  <c r="Q34" i="1" s="1"/>
  <c r="O337" i="1"/>
  <c r="P337" i="1"/>
  <c r="Q337" i="1" s="1"/>
  <c r="O217" i="1"/>
  <c r="Q217" i="1" s="1"/>
  <c r="P217" i="1"/>
  <c r="O457" i="1"/>
  <c r="P457" i="1"/>
  <c r="O664" i="1"/>
  <c r="P664" i="1"/>
  <c r="P600" i="1"/>
  <c r="O600" i="1"/>
  <c r="Q600" i="1" s="1"/>
  <c r="P536" i="1"/>
  <c r="O536" i="1"/>
  <c r="O472" i="1"/>
  <c r="P472" i="1"/>
  <c r="O408" i="1"/>
  <c r="P408" i="1"/>
  <c r="O344" i="1"/>
  <c r="P344" i="1"/>
  <c r="O280" i="1"/>
  <c r="Q280" i="1" s="1"/>
  <c r="P280" i="1"/>
  <c r="O216" i="1"/>
  <c r="P216" i="1"/>
  <c r="O152" i="1"/>
  <c r="P152" i="1"/>
  <c r="Q152" i="1" s="1"/>
  <c r="O88" i="1"/>
  <c r="P88" i="1"/>
  <c r="O647" i="1"/>
  <c r="P647" i="1"/>
  <c r="P583" i="1"/>
  <c r="O583" i="1"/>
  <c r="O519" i="1"/>
  <c r="P519" i="1"/>
  <c r="O455" i="1"/>
  <c r="P455" i="1"/>
  <c r="Q455" i="1" s="1"/>
  <c r="O391" i="1"/>
  <c r="Q391" i="1" s="1"/>
  <c r="P391" i="1"/>
  <c r="P327" i="1"/>
  <c r="O327" i="1"/>
  <c r="O263" i="1"/>
  <c r="P263" i="1"/>
  <c r="O199" i="1"/>
  <c r="P199" i="1"/>
  <c r="P135" i="1"/>
  <c r="O135" i="1"/>
  <c r="O71" i="1"/>
  <c r="P71" i="1"/>
  <c r="P646" i="1"/>
  <c r="O646" i="1"/>
  <c r="Q646" i="1" s="1"/>
  <c r="P582" i="1"/>
  <c r="O582" i="1"/>
  <c r="Q582" i="1" s="1"/>
  <c r="P518" i="1"/>
  <c r="O518" i="1"/>
  <c r="O454" i="1"/>
  <c r="P454" i="1"/>
  <c r="P390" i="1"/>
  <c r="O390" i="1"/>
  <c r="Q390" i="1" s="1"/>
  <c r="P326" i="1"/>
  <c r="O326" i="1"/>
  <c r="Q326" i="1" s="1"/>
  <c r="P262" i="1"/>
  <c r="O262" i="1"/>
  <c r="O198" i="1"/>
  <c r="P198" i="1"/>
  <c r="O134" i="1"/>
  <c r="P134" i="1"/>
  <c r="Q134" i="1" s="1"/>
  <c r="O645" i="1"/>
  <c r="P645" i="1"/>
  <c r="P581" i="1"/>
  <c r="O581" i="1"/>
  <c r="O517" i="1"/>
  <c r="P517" i="1"/>
  <c r="O453" i="1"/>
  <c r="P453" i="1"/>
  <c r="O389" i="1"/>
  <c r="P389" i="1"/>
  <c r="O325" i="1"/>
  <c r="P325" i="1"/>
  <c r="O261" i="1"/>
  <c r="P261" i="1"/>
  <c r="O197" i="1"/>
  <c r="P197" i="1"/>
  <c r="O133" i="1"/>
  <c r="P133" i="1"/>
  <c r="Q69" i="1"/>
  <c r="P564" i="1"/>
  <c r="O564" i="1"/>
  <c r="O500" i="1"/>
  <c r="P500" i="1"/>
  <c r="O436" i="1"/>
  <c r="P436" i="1"/>
  <c r="O372" i="1"/>
  <c r="Q372" i="1" s="1"/>
  <c r="P372" i="1"/>
  <c r="O308" i="1"/>
  <c r="P308" i="1"/>
  <c r="O244" i="1"/>
  <c r="P244" i="1"/>
  <c r="O180" i="1"/>
  <c r="P180" i="1"/>
  <c r="O116" i="1"/>
  <c r="Q116" i="1" s="1"/>
  <c r="P116" i="1"/>
  <c r="O555" i="1"/>
  <c r="P555" i="1"/>
  <c r="O491" i="1"/>
  <c r="P491" i="1"/>
  <c r="P427" i="1"/>
  <c r="O427" i="1"/>
  <c r="O363" i="1"/>
  <c r="P363" i="1"/>
  <c r="P299" i="1"/>
  <c r="O299" i="1"/>
  <c r="O235" i="1"/>
  <c r="P235" i="1"/>
  <c r="P171" i="1"/>
  <c r="O171" i="1"/>
  <c r="Q171" i="1" s="1"/>
  <c r="P107" i="1"/>
  <c r="O107" i="1"/>
  <c r="P43" i="1"/>
  <c r="O43" i="1"/>
  <c r="P618" i="1"/>
  <c r="O618" i="1"/>
  <c r="O554" i="1"/>
  <c r="P554" i="1"/>
  <c r="P490" i="1"/>
  <c r="O490" i="1"/>
  <c r="P426" i="1"/>
  <c r="O426" i="1"/>
  <c r="Q426" i="1" s="1"/>
  <c r="P362" i="1"/>
  <c r="O362" i="1"/>
  <c r="P298" i="1"/>
  <c r="O298" i="1"/>
  <c r="P234" i="1"/>
  <c r="O234" i="1"/>
  <c r="O170" i="1"/>
  <c r="P170" i="1"/>
  <c r="O106" i="1"/>
  <c r="P106" i="1"/>
  <c r="P42" i="1"/>
  <c r="O42" i="1"/>
  <c r="Q42" i="1" s="1"/>
  <c r="O51" i="1"/>
  <c r="Q51" i="1" s="1"/>
  <c r="O105" i="1"/>
  <c r="P105" i="1"/>
  <c r="P608" i="1"/>
  <c r="O608" i="1"/>
  <c r="O160" i="1"/>
  <c r="P160" i="1"/>
  <c r="P335" i="1"/>
  <c r="O335" i="1"/>
  <c r="P526" i="1"/>
  <c r="O526" i="1"/>
  <c r="Q526" i="1" s="1"/>
  <c r="P653" i="1"/>
  <c r="O653" i="1"/>
  <c r="O333" i="1"/>
  <c r="Q333" i="1" s="1"/>
  <c r="P333" i="1"/>
  <c r="O444" i="1"/>
  <c r="Q444" i="1" s="1"/>
  <c r="P444" i="1"/>
  <c r="O60" i="1"/>
  <c r="P60" i="1"/>
  <c r="P626" i="1"/>
  <c r="O626" i="1"/>
  <c r="P611" i="1"/>
  <c r="O611" i="1"/>
  <c r="O545" i="1"/>
  <c r="Q545" i="1" s="1"/>
  <c r="P545" i="1"/>
  <c r="O656" i="1"/>
  <c r="P656" i="1"/>
  <c r="P528" i="1"/>
  <c r="O528" i="1"/>
  <c r="O336" i="1"/>
  <c r="Q336" i="1" s="1"/>
  <c r="P336" i="1"/>
  <c r="O272" i="1"/>
  <c r="Q272" i="1" s="1"/>
  <c r="P272" i="1"/>
  <c r="O208" i="1"/>
  <c r="P208" i="1"/>
  <c r="O144" i="1"/>
  <c r="P144" i="1"/>
  <c r="O80" i="1"/>
  <c r="Q80" i="1" s="1"/>
  <c r="P80" i="1"/>
  <c r="P639" i="1"/>
  <c r="O639" i="1"/>
  <c r="P575" i="1"/>
  <c r="O575" i="1"/>
  <c r="Q575" i="1" s="1"/>
  <c r="O511" i="1"/>
  <c r="P511" i="1"/>
  <c r="O447" i="1"/>
  <c r="P447" i="1"/>
  <c r="O383" i="1"/>
  <c r="Q383" i="1" s="1"/>
  <c r="P383" i="1"/>
  <c r="O319" i="1"/>
  <c r="P319" i="1"/>
  <c r="O255" i="1"/>
  <c r="P255" i="1"/>
  <c r="O191" i="1"/>
  <c r="Q191" i="1" s="1"/>
  <c r="P191" i="1"/>
  <c r="P127" i="1"/>
  <c r="O127" i="1"/>
  <c r="O63" i="1"/>
  <c r="P63" i="1"/>
  <c r="Q63" i="1" s="1"/>
  <c r="P638" i="1"/>
  <c r="O638" i="1"/>
  <c r="P574" i="1"/>
  <c r="O574" i="1"/>
  <c r="P510" i="1"/>
  <c r="O510" i="1"/>
  <c r="P446" i="1"/>
  <c r="O446" i="1"/>
  <c r="P382" i="1"/>
  <c r="O382" i="1"/>
  <c r="P318" i="1"/>
  <c r="O318" i="1"/>
  <c r="P254" i="1"/>
  <c r="O254" i="1"/>
  <c r="O190" i="1"/>
  <c r="P190" i="1"/>
  <c r="O126" i="1"/>
  <c r="P126" i="1"/>
  <c r="P62" i="1"/>
  <c r="O62" i="1"/>
  <c r="O637" i="1"/>
  <c r="Q637" i="1" s="1"/>
  <c r="P637" i="1"/>
  <c r="P573" i="1"/>
  <c r="O573" i="1"/>
  <c r="Q573" i="1" s="1"/>
  <c r="O509" i="1"/>
  <c r="P509" i="1"/>
  <c r="O445" i="1"/>
  <c r="Q445" i="1" s="1"/>
  <c r="P445" i="1"/>
  <c r="O381" i="1"/>
  <c r="Q381" i="1" s="1"/>
  <c r="P381" i="1"/>
  <c r="O317" i="1"/>
  <c r="P317" i="1"/>
  <c r="Q317" i="1" s="1"/>
  <c r="O253" i="1"/>
  <c r="P253" i="1"/>
  <c r="O189" i="1"/>
  <c r="Q189" i="1" s="1"/>
  <c r="P189" i="1"/>
  <c r="O125" i="1"/>
  <c r="Q125" i="1" s="1"/>
  <c r="P125" i="1"/>
  <c r="O61" i="1"/>
  <c r="P61" i="1"/>
  <c r="O556" i="1"/>
  <c r="P556" i="1"/>
  <c r="P492" i="1"/>
  <c r="O492" i="1"/>
  <c r="O428" i="1"/>
  <c r="Q428" i="1" s="1"/>
  <c r="P428" i="1"/>
  <c r="O364" i="1"/>
  <c r="P364" i="1"/>
  <c r="O300" i="1"/>
  <c r="P300" i="1"/>
  <c r="O236" i="1"/>
  <c r="Q236" i="1" s="1"/>
  <c r="P236" i="1"/>
  <c r="O172" i="1"/>
  <c r="P172" i="1"/>
  <c r="O108" i="1"/>
  <c r="P108" i="1"/>
  <c r="Q108" i="1" s="1"/>
  <c r="P547" i="1"/>
  <c r="O547" i="1"/>
  <c r="Q547" i="1" s="1"/>
  <c r="O483" i="1"/>
  <c r="P483" i="1"/>
  <c r="O419" i="1"/>
  <c r="Q419" i="1" s="1"/>
  <c r="P419" i="1"/>
  <c r="O355" i="1"/>
  <c r="P355" i="1"/>
  <c r="O291" i="1"/>
  <c r="P291" i="1"/>
  <c r="O227" i="1"/>
  <c r="P227" i="1"/>
  <c r="O163" i="1"/>
  <c r="Q163" i="1" s="1"/>
  <c r="P163" i="1"/>
  <c r="P99" i="1"/>
  <c r="O99" i="1"/>
  <c r="P35" i="1"/>
  <c r="O35" i="1"/>
  <c r="Q35" i="1" s="1"/>
  <c r="P610" i="1"/>
  <c r="O610" i="1"/>
  <c r="Q610" i="1" s="1"/>
  <c r="O546" i="1"/>
  <c r="P546" i="1"/>
  <c r="P482" i="1"/>
  <c r="O482" i="1"/>
  <c r="P418" i="1"/>
  <c r="O418" i="1"/>
  <c r="Q418" i="1" s="1"/>
  <c r="P354" i="1"/>
  <c r="O354" i="1"/>
  <c r="P290" i="1"/>
  <c r="O290" i="1"/>
  <c r="P226" i="1"/>
  <c r="O226" i="1"/>
  <c r="Q226" i="1" s="1"/>
  <c r="O162" i="1"/>
  <c r="P162" i="1"/>
  <c r="P98" i="1"/>
  <c r="O98" i="1"/>
  <c r="P66" i="1"/>
  <c r="Q66" i="1" s="1"/>
  <c r="P70" i="1"/>
  <c r="Q70" i="1" s="1"/>
  <c r="P620" i="1"/>
  <c r="O620" i="1"/>
  <c r="Q620" i="1" s="1"/>
  <c r="O544" i="1"/>
  <c r="P544" i="1"/>
  <c r="O96" i="1"/>
  <c r="P96" i="1"/>
  <c r="O271" i="1"/>
  <c r="P271" i="1"/>
  <c r="O462" i="1"/>
  <c r="P462" i="1"/>
  <c r="O525" i="1"/>
  <c r="P525" i="1"/>
  <c r="O141" i="1"/>
  <c r="P141" i="1"/>
  <c r="O252" i="1"/>
  <c r="P252" i="1"/>
  <c r="O498" i="1"/>
  <c r="P498" i="1"/>
  <c r="O57" i="1"/>
  <c r="P57" i="1"/>
  <c r="P489" i="1"/>
  <c r="O489" i="1"/>
  <c r="O273" i="1"/>
  <c r="P273" i="1"/>
  <c r="O592" i="1"/>
  <c r="P592" i="1"/>
  <c r="Q49" i="1"/>
  <c r="P636" i="1"/>
  <c r="O636" i="1"/>
  <c r="O329" i="1"/>
  <c r="P329" i="1"/>
  <c r="Q329" i="1" s="1"/>
  <c r="O456" i="1"/>
  <c r="P456" i="1"/>
  <c r="O328" i="1"/>
  <c r="P328" i="1"/>
  <c r="O136" i="1"/>
  <c r="P136" i="1"/>
  <c r="P631" i="1"/>
  <c r="O631" i="1"/>
  <c r="Q631" i="1" s="1"/>
  <c r="O567" i="1"/>
  <c r="P567" i="1"/>
  <c r="O503" i="1"/>
  <c r="Q503" i="1" s="1"/>
  <c r="P503" i="1"/>
  <c r="O439" i="1"/>
  <c r="Q439" i="1" s="1"/>
  <c r="P439" i="1"/>
  <c r="O375" i="1"/>
  <c r="P375" i="1"/>
  <c r="Q375" i="1" s="1"/>
  <c r="P311" i="1"/>
  <c r="O311" i="1"/>
  <c r="Q311" i="1" s="1"/>
  <c r="O247" i="1"/>
  <c r="Q247" i="1" s="1"/>
  <c r="P247" i="1"/>
  <c r="P183" i="1"/>
  <c r="O183" i="1"/>
  <c r="P119" i="1"/>
  <c r="O119" i="1"/>
  <c r="Q119" i="1" s="1"/>
  <c r="O55" i="1"/>
  <c r="P55" i="1"/>
  <c r="Q55" i="1" s="1"/>
  <c r="P630" i="1"/>
  <c r="O630" i="1"/>
  <c r="O566" i="1"/>
  <c r="Q566" i="1" s="1"/>
  <c r="P566" i="1"/>
  <c r="P502" i="1"/>
  <c r="O502" i="1"/>
  <c r="Q502" i="1" s="1"/>
  <c r="P438" i="1"/>
  <c r="O438" i="1"/>
  <c r="Q438" i="1" s="1"/>
  <c r="P374" i="1"/>
  <c r="O374" i="1"/>
  <c r="O310" i="1"/>
  <c r="Q310" i="1" s="1"/>
  <c r="P310" i="1"/>
  <c r="P246" i="1"/>
  <c r="O246" i="1"/>
  <c r="Q246" i="1" s="1"/>
  <c r="O182" i="1"/>
  <c r="P182" i="1"/>
  <c r="Q182" i="1" s="1"/>
  <c r="O118" i="1"/>
  <c r="Q118" i="1" s="1"/>
  <c r="P118" i="1"/>
  <c r="P54" i="1"/>
  <c r="O54" i="1"/>
  <c r="P629" i="1"/>
  <c r="O629" i="1"/>
  <c r="Q629" i="1" s="1"/>
  <c r="O565" i="1"/>
  <c r="P565" i="1"/>
  <c r="Q565" i="1" s="1"/>
  <c r="P501" i="1"/>
  <c r="O501" i="1"/>
  <c r="O437" i="1"/>
  <c r="Q437" i="1" s="1"/>
  <c r="P437" i="1"/>
  <c r="O373" i="1"/>
  <c r="P373" i="1"/>
  <c r="O309" i="1"/>
  <c r="P309" i="1"/>
  <c r="Q309" i="1" s="1"/>
  <c r="O245" i="1"/>
  <c r="P245" i="1"/>
  <c r="O181" i="1"/>
  <c r="Q181" i="1" s="1"/>
  <c r="P181" i="1"/>
  <c r="P117" i="1"/>
  <c r="O117" i="1"/>
  <c r="Q117" i="1" s="1"/>
  <c r="P548" i="1"/>
  <c r="O548" i="1"/>
  <c r="O484" i="1"/>
  <c r="P484" i="1"/>
  <c r="O420" i="1"/>
  <c r="P420" i="1"/>
  <c r="O356" i="1"/>
  <c r="P356" i="1"/>
  <c r="O292" i="1"/>
  <c r="P292" i="1"/>
  <c r="P228" i="1"/>
  <c r="O228" i="1"/>
  <c r="O164" i="1"/>
  <c r="P164" i="1"/>
  <c r="O100" i="1"/>
  <c r="Q100" i="1" s="1"/>
  <c r="P100" i="1"/>
  <c r="O36" i="1"/>
  <c r="P36" i="1"/>
  <c r="Q36" i="1" s="1"/>
  <c r="O539" i="1"/>
  <c r="P539" i="1"/>
  <c r="O475" i="1"/>
  <c r="P475" i="1"/>
  <c r="O411" i="1"/>
  <c r="Q411" i="1" s="1"/>
  <c r="P411" i="1"/>
  <c r="O347" i="1"/>
  <c r="P347" i="1"/>
  <c r="Q347" i="1" s="1"/>
  <c r="P283" i="1"/>
  <c r="O283" i="1"/>
  <c r="O219" i="1"/>
  <c r="P219" i="1"/>
  <c r="O155" i="1"/>
  <c r="Q155" i="1" s="1"/>
  <c r="P155" i="1"/>
  <c r="O91" i="1"/>
  <c r="P91" i="1"/>
  <c r="Q91" i="1" s="1"/>
  <c r="P666" i="1"/>
  <c r="O666" i="1"/>
  <c r="P602" i="1"/>
  <c r="O602" i="1"/>
  <c r="P538" i="1"/>
  <c r="O538" i="1"/>
  <c r="P474" i="1"/>
  <c r="O474" i="1"/>
  <c r="O410" i="1"/>
  <c r="Q410" i="1" s="1"/>
  <c r="P410" i="1"/>
  <c r="P346" i="1"/>
  <c r="O346" i="1"/>
  <c r="P282" i="1"/>
  <c r="O282" i="1"/>
  <c r="P218" i="1"/>
  <c r="O218" i="1"/>
  <c r="O154" i="1"/>
  <c r="Q154" i="1" s="1"/>
  <c r="P154" i="1"/>
  <c r="O90" i="1"/>
  <c r="Q90" i="1" s="1"/>
  <c r="P90" i="1"/>
  <c r="O47" i="1"/>
  <c r="Q47" i="1" s="1"/>
  <c r="P73" i="1"/>
  <c r="Q73" i="1" s="1"/>
  <c r="P628" i="1"/>
  <c r="O628" i="1"/>
  <c r="Q628" i="1" s="1"/>
  <c r="O401" i="1"/>
  <c r="P401" i="1"/>
  <c r="O288" i="1"/>
  <c r="Q288" i="1" s="1"/>
  <c r="P288" i="1"/>
  <c r="O463" i="1"/>
  <c r="P463" i="1"/>
  <c r="O79" i="1"/>
  <c r="P79" i="1"/>
  <c r="Q79" i="1" s="1"/>
  <c r="P270" i="1"/>
  <c r="O270" i="1"/>
  <c r="O77" i="1"/>
  <c r="Q77" i="1" s="1"/>
  <c r="P77" i="1"/>
  <c r="P370" i="1"/>
  <c r="Q370" i="1" s="1"/>
  <c r="O370" i="1"/>
  <c r="O569" i="1"/>
  <c r="P569" i="1"/>
  <c r="O113" i="1"/>
  <c r="P113" i="1"/>
  <c r="O660" i="1"/>
  <c r="Q660" i="1" s="1"/>
  <c r="P660" i="1"/>
  <c r="O153" i="1"/>
  <c r="Q153" i="1" s="1"/>
  <c r="P153" i="1"/>
  <c r="O400" i="1"/>
  <c r="P400" i="1"/>
  <c r="O505" i="1"/>
  <c r="P505" i="1"/>
  <c r="O561" i="1"/>
  <c r="Q561" i="1" s="1"/>
  <c r="P561" i="1"/>
  <c r="P633" i="1"/>
  <c r="O633" i="1"/>
  <c r="O481" i="1"/>
  <c r="P481" i="1"/>
  <c r="P209" i="1"/>
  <c r="O209" i="1"/>
  <c r="P648" i="1"/>
  <c r="O648" i="1"/>
  <c r="P520" i="1"/>
  <c r="O520" i="1"/>
  <c r="Q520" i="1" s="1"/>
  <c r="O264" i="1"/>
  <c r="P264" i="1"/>
  <c r="P441" i="1"/>
  <c r="O441" i="1"/>
  <c r="O497" i="1"/>
  <c r="Q497" i="1" s="1"/>
  <c r="P497" i="1"/>
  <c r="O513" i="1"/>
  <c r="P513" i="1"/>
  <c r="O345" i="1"/>
  <c r="P345" i="1"/>
  <c r="O145" i="1"/>
  <c r="P145" i="1"/>
  <c r="O265" i="1"/>
  <c r="P265" i="1"/>
  <c r="P640" i="1"/>
  <c r="O640" i="1"/>
  <c r="Q640" i="1" s="1"/>
  <c r="P576" i="1"/>
  <c r="O576" i="1"/>
  <c r="Q576" i="1" s="1"/>
  <c r="P512" i="1"/>
  <c r="O512" i="1"/>
  <c r="O448" i="1"/>
  <c r="Q448" i="1" s="1"/>
  <c r="P448" i="1"/>
  <c r="O384" i="1"/>
  <c r="P384" i="1"/>
  <c r="O320" i="1"/>
  <c r="P320" i="1"/>
  <c r="O256" i="1"/>
  <c r="P256" i="1"/>
  <c r="O192" i="1"/>
  <c r="P192" i="1"/>
  <c r="O128" i="1"/>
  <c r="P128" i="1"/>
  <c r="O623" i="1"/>
  <c r="P623" i="1"/>
  <c r="O559" i="1"/>
  <c r="P559" i="1"/>
  <c r="O495" i="1"/>
  <c r="P495" i="1"/>
  <c r="O431" i="1"/>
  <c r="Q431" i="1" s="1"/>
  <c r="P431" i="1"/>
  <c r="O367" i="1"/>
  <c r="P367" i="1"/>
  <c r="O303" i="1"/>
  <c r="P303" i="1"/>
  <c r="O239" i="1"/>
  <c r="P239" i="1"/>
  <c r="P175" i="1"/>
  <c r="O175" i="1"/>
  <c r="P111" i="1"/>
  <c r="O111" i="1"/>
  <c r="P622" i="1"/>
  <c r="O622" i="1"/>
  <c r="P558" i="1"/>
  <c r="O558" i="1"/>
  <c r="Q558" i="1" s="1"/>
  <c r="P494" i="1"/>
  <c r="O494" i="1"/>
  <c r="P430" i="1"/>
  <c r="O430" i="1"/>
  <c r="Q430" i="1" s="1"/>
  <c r="P366" i="1"/>
  <c r="O366" i="1"/>
  <c r="P302" i="1"/>
  <c r="O302" i="1"/>
  <c r="Q302" i="1" s="1"/>
  <c r="P238" i="1"/>
  <c r="O238" i="1"/>
  <c r="O174" i="1"/>
  <c r="P174" i="1"/>
  <c r="O110" i="1"/>
  <c r="P110" i="1"/>
  <c r="P46" i="1"/>
  <c r="O46" i="1"/>
  <c r="Q46" i="1" s="1"/>
  <c r="O621" i="1"/>
  <c r="P621" i="1"/>
  <c r="O557" i="1"/>
  <c r="P557" i="1"/>
  <c r="O493" i="1"/>
  <c r="P493" i="1"/>
  <c r="O429" i="1"/>
  <c r="P429" i="1"/>
  <c r="O365" i="1"/>
  <c r="P365" i="1"/>
  <c r="O301" i="1"/>
  <c r="P301" i="1"/>
  <c r="Q301" i="1" s="1"/>
  <c r="O237" i="1"/>
  <c r="P237" i="1"/>
  <c r="O173" i="1"/>
  <c r="P173" i="1"/>
  <c r="O109" i="1"/>
  <c r="P109" i="1"/>
  <c r="O45" i="1"/>
  <c r="P45" i="1"/>
  <c r="O540" i="1"/>
  <c r="P540" i="1"/>
  <c r="O476" i="1"/>
  <c r="P476" i="1"/>
  <c r="O412" i="1"/>
  <c r="P412" i="1"/>
  <c r="O348" i="1"/>
  <c r="P348" i="1"/>
  <c r="O284" i="1"/>
  <c r="P284" i="1"/>
  <c r="O220" i="1"/>
  <c r="P220" i="1"/>
  <c r="O156" i="1"/>
  <c r="P156" i="1"/>
  <c r="O92" i="1"/>
  <c r="P92" i="1"/>
  <c r="O595" i="1"/>
  <c r="P595" i="1"/>
  <c r="O531" i="1"/>
  <c r="P531" i="1"/>
  <c r="O467" i="1"/>
  <c r="P467" i="1"/>
  <c r="P403" i="1"/>
  <c r="O403" i="1"/>
  <c r="Q403" i="1" s="1"/>
  <c r="P339" i="1"/>
  <c r="O339" i="1"/>
  <c r="P275" i="1"/>
  <c r="O275" i="1"/>
  <c r="P211" i="1"/>
  <c r="O211" i="1"/>
  <c r="P147" i="1"/>
  <c r="O147" i="1"/>
  <c r="Q147" i="1" s="1"/>
  <c r="O83" i="1"/>
  <c r="P83" i="1"/>
  <c r="P658" i="1"/>
  <c r="O658" i="1"/>
  <c r="P594" i="1"/>
  <c r="O594" i="1"/>
  <c r="O530" i="1"/>
  <c r="P530" i="1"/>
  <c r="P466" i="1"/>
  <c r="O466" i="1"/>
  <c r="Q466" i="1" s="1"/>
  <c r="O402" i="1"/>
  <c r="P402" i="1"/>
  <c r="O338" i="1"/>
  <c r="Q338" i="1" s="1"/>
  <c r="P338" i="1"/>
  <c r="P274" i="1"/>
  <c r="O274" i="1"/>
  <c r="O210" i="1"/>
  <c r="P210" i="1"/>
  <c r="P146" i="1"/>
  <c r="O146" i="1"/>
  <c r="Q146" i="1" s="1"/>
  <c r="O82" i="1"/>
  <c r="P82" i="1"/>
  <c r="P48" i="1"/>
  <c r="Q48" i="1" s="1"/>
  <c r="P53" i="1"/>
  <c r="Q53" i="1" s="1"/>
  <c r="P68" i="1"/>
  <c r="Q68" i="1" s="1"/>
  <c r="O241" i="1"/>
  <c r="P241" i="1"/>
  <c r="O409" i="1"/>
  <c r="Q409" i="1" s="1"/>
  <c r="P409" i="1"/>
  <c r="P480" i="1"/>
  <c r="O480" i="1"/>
  <c r="O224" i="1"/>
  <c r="P224" i="1"/>
  <c r="O527" i="1"/>
  <c r="Q527" i="1" s="1"/>
  <c r="P527" i="1"/>
  <c r="P143" i="1"/>
  <c r="O143" i="1"/>
  <c r="P590" i="1"/>
  <c r="O590" i="1"/>
  <c r="P334" i="1"/>
  <c r="O334" i="1"/>
  <c r="O142" i="1"/>
  <c r="P142" i="1"/>
  <c r="O461" i="1"/>
  <c r="Q461" i="1" s="1"/>
  <c r="P461" i="1"/>
  <c r="P269" i="1"/>
  <c r="O269" i="1"/>
  <c r="P572" i="1"/>
  <c r="O572" i="1"/>
  <c r="O380" i="1"/>
  <c r="Q380" i="1" s="1"/>
  <c r="P380" i="1"/>
  <c r="O188" i="1"/>
  <c r="Q188" i="1" s="1"/>
  <c r="P188" i="1"/>
  <c r="O563" i="1"/>
  <c r="P563" i="1"/>
  <c r="P435" i="1"/>
  <c r="O435" i="1"/>
  <c r="O307" i="1"/>
  <c r="Q307" i="1" s="1"/>
  <c r="P307" i="1"/>
  <c r="P306" i="1"/>
  <c r="O306" i="1"/>
  <c r="P604" i="1"/>
  <c r="O604" i="1"/>
  <c r="P671" i="1"/>
  <c r="O671" i="1"/>
  <c r="P659" i="1"/>
  <c r="O659" i="1"/>
  <c r="O393" i="1"/>
  <c r="Q393" i="1" s="1"/>
  <c r="P393" i="1"/>
  <c r="P464" i="1"/>
  <c r="O464" i="1"/>
  <c r="O449" i="1"/>
  <c r="P449" i="1"/>
  <c r="P652" i="1"/>
  <c r="O652" i="1"/>
  <c r="P425" i="1"/>
  <c r="O425" i="1"/>
  <c r="O596" i="1"/>
  <c r="P596" i="1"/>
  <c r="P673" i="1"/>
  <c r="O673" i="1"/>
  <c r="O584" i="1"/>
  <c r="Q584" i="1" s="1"/>
  <c r="P584" i="1"/>
  <c r="O392" i="1"/>
  <c r="Q392" i="1" s="1"/>
  <c r="P392" i="1"/>
  <c r="O200" i="1"/>
  <c r="P200" i="1"/>
  <c r="O257" i="1"/>
  <c r="P257" i="1"/>
  <c r="O577" i="1"/>
  <c r="Q577" i="1" s="1"/>
  <c r="P577" i="1"/>
  <c r="P385" i="1"/>
  <c r="O385" i="1"/>
  <c r="O361" i="1"/>
  <c r="P361" i="1"/>
  <c r="O417" i="1"/>
  <c r="P417" i="1"/>
  <c r="P617" i="1"/>
  <c r="O617" i="1"/>
  <c r="O657" i="1"/>
  <c r="P657" i="1"/>
  <c r="O129" i="1"/>
  <c r="P129" i="1"/>
  <c r="O377" i="1"/>
  <c r="P377" i="1"/>
  <c r="O321" i="1"/>
  <c r="Q321" i="1" s="1"/>
  <c r="P321" i="1"/>
  <c r="P433" i="1"/>
  <c r="O433" i="1"/>
  <c r="P665" i="1"/>
  <c r="O665" i="1"/>
  <c r="O297" i="1"/>
  <c r="P297" i="1"/>
  <c r="O193" i="1"/>
  <c r="Q193" i="1" s="1"/>
  <c r="P193" i="1"/>
  <c r="O353" i="1"/>
  <c r="P353" i="1"/>
  <c r="O89" i="1"/>
  <c r="P89" i="1"/>
  <c r="O593" i="1"/>
  <c r="P593" i="1"/>
  <c r="O81" i="1"/>
  <c r="Q81" i="1" s="1"/>
  <c r="P81" i="1"/>
  <c r="P635" i="1"/>
  <c r="O635" i="1"/>
  <c r="O201" i="1"/>
  <c r="P201" i="1"/>
  <c r="P632" i="1"/>
  <c r="O632" i="1"/>
  <c r="O568" i="1"/>
  <c r="Q568" i="1" s="1"/>
  <c r="P568" i="1"/>
  <c r="P504" i="1"/>
  <c r="O504" i="1"/>
  <c r="O440" i="1"/>
  <c r="P440" i="1"/>
  <c r="O376" i="1"/>
  <c r="P376" i="1"/>
  <c r="O312" i="1"/>
  <c r="Q312" i="1" s="1"/>
  <c r="P312" i="1"/>
  <c r="O248" i="1"/>
  <c r="P248" i="1"/>
  <c r="O184" i="1"/>
  <c r="P184" i="1"/>
  <c r="O120" i="1"/>
  <c r="P120" i="1"/>
  <c r="O56" i="1"/>
  <c r="Q56" i="1" s="1"/>
  <c r="P56" i="1"/>
  <c r="P615" i="1"/>
  <c r="O615" i="1"/>
  <c r="O551" i="1"/>
  <c r="P551" i="1"/>
  <c r="O487" i="1"/>
  <c r="P487" i="1"/>
  <c r="O423" i="1"/>
  <c r="Q423" i="1" s="1"/>
  <c r="P423" i="1"/>
  <c r="O359" i="1"/>
  <c r="P359" i="1"/>
  <c r="O295" i="1"/>
  <c r="P295" i="1"/>
  <c r="O231" i="1"/>
  <c r="P231" i="1"/>
  <c r="O167" i="1"/>
  <c r="Q167" i="1" s="1"/>
  <c r="P167" i="1"/>
  <c r="P103" i="1"/>
  <c r="O103" i="1"/>
  <c r="P39" i="1"/>
  <c r="O39" i="1"/>
  <c r="P614" i="1"/>
  <c r="O614" i="1"/>
  <c r="O550" i="1"/>
  <c r="Q550" i="1" s="1"/>
  <c r="P550" i="1"/>
  <c r="P486" i="1"/>
  <c r="O486" i="1"/>
  <c r="P422" i="1"/>
  <c r="O422" i="1"/>
  <c r="P358" i="1"/>
  <c r="O358" i="1"/>
  <c r="P294" i="1"/>
  <c r="O294" i="1"/>
  <c r="P230" i="1"/>
  <c r="O230" i="1"/>
  <c r="O166" i="1"/>
  <c r="P166" i="1"/>
  <c r="P102" i="1"/>
  <c r="O102" i="1"/>
  <c r="P38" i="1"/>
  <c r="O38" i="1"/>
  <c r="O613" i="1"/>
  <c r="P613" i="1"/>
  <c r="O549" i="1"/>
  <c r="P549" i="1"/>
  <c r="O485" i="1"/>
  <c r="P485" i="1"/>
  <c r="P421" i="1"/>
  <c r="O421" i="1"/>
  <c r="O357" i="1"/>
  <c r="P357" i="1"/>
  <c r="O293" i="1"/>
  <c r="P293" i="1"/>
  <c r="O229" i="1"/>
  <c r="P229" i="1"/>
  <c r="O165" i="1"/>
  <c r="Q165" i="1" s="1"/>
  <c r="P165" i="1"/>
  <c r="O101" i="1"/>
  <c r="P101" i="1"/>
  <c r="P37" i="1"/>
  <c r="O37" i="1"/>
  <c r="O532" i="1"/>
  <c r="P532" i="1"/>
  <c r="O468" i="1"/>
  <c r="Q468" i="1" s="1"/>
  <c r="P468" i="1"/>
  <c r="O404" i="1"/>
  <c r="P404" i="1"/>
  <c r="O340" i="1"/>
  <c r="P340" i="1"/>
  <c r="O276" i="1"/>
  <c r="P276" i="1"/>
  <c r="O212" i="1"/>
  <c r="Q212" i="1" s="1"/>
  <c r="P212" i="1"/>
  <c r="O148" i="1"/>
  <c r="P148" i="1"/>
  <c r="O84" i="1"/>
  <c r="P84" i="1"/>
  <c r="O587" i="1"/>
  <c r="P587" i="1"/>
  <c r="O523" i="1"/>
  <c r="Q523" i="1" s="1"/>
  <c r="P523" i="1"/>
  <c r="O459" i="1"/>
  <c r="P459" i="1"/>
  <c r="O395" i="1"/>
  <c r="P395" i="1"/>
  <c r="P331" i="1"/>
  <c r="O331" i="1"/>
  <c r="O267" i="1"/>
  <c r="Q267" i="1" s="1"/>
  <c r="P267" i="1"/>
  <c r="P203" i="1"/>
  <c r="O203" i="1"/>
  <c r="P139" i="1"/>
  <c r="O139" i="1"/>
  <c r="O75" i="1"/>
  <c r="P75" i="1"/>
  <c r="P650" i="1"/>
  <c r="O650" i="1"/>
  <c r="P586" i="1"/>
  <c r="O586" i="1"/>
  <c r="P522" i="1"/>
  <c r="O522" i="1"/>
  <c r="O458" i="1"/>
  <c r="P458" i="1"/>
  <c r="P394" i="1"/>
  <c r="O394" i="1"/>
  <c r="O330" i="1"/>
  <c r="P330" i="1"/>
  <c r="P266" i="1"/>
  <c r="O266" i="1"/>
  <c r="O202" i="1"/>
  <c r="P202" i="1"/>
  <c r="O138" i="1"/>
  <c r="P138" i="1"/>
  <c r="O74" i="1"/>
  <c r="P74" i="1"/>
  <c r="P72" i="1"/>
  <c r="Q72" i="1" s="1"/>
  <c r="P64" i="1"/>
  <c r="Q64" i="1" s="1"/>
  <c r="Q202" i="1" l="1"/>
  <c r="Q458" i="1"/>
  <c r="Q331" i="1"/>
  <c r="Q485" i="1"/>
  <c r="Q102" i="1"/>
  <c r="Q614" i="1"/>
  <c r="Q120" i="1"/>
  <c r="Q632" i="1"/>
  <c r="Q297" i="1"/>
  <c r="Q257" i="1"/>
  <c r="Q673" i="1"/>
  <c r="Q671" i="1"/>
  <c r="Q435" i="1"/>
  <c r="Q572" i="1"/>
  <c r="Q334" i="1"/>
  <c r="Q210" i="1"/>
  <c r="Q595" i="1"/>
  <c r="Q284" i="1"/>
  <c r="Q540" i="1"/>
  <c r="Q493" i="1"/>
  <c r="Q366" i="1"/>
  <c r="Q512" i="1"/>
  <c r="Q441" i="1"/>
  <c r="Q209" i="1"/>
  <c r="Q270" i="1"/>
  <c r="Q666" i="1"/>
  <c r="Q283" i="1"/>
  <c r="Q228" i="1"/>
  <c r="Q57" i="1"/>
  <c r="Q525" i="1"/>
  <c r="Q544" i="1"/>
  <c r="Q253" i="1"/>
  <c r="Q126" i="1"/>
  <c r="Q382" i="1"/>
  <c r="Q638" i="1"/>
  <c r="Q528" i="1"/>
  <c r="Q626" i="1"/>
  <c r="Q653" i="1"/>
  <c r="Q608" i="1"/>
  <c r="Q235" i="1"/>
  <c r="Q491" i="1"/>
  <c r="Q197" i="1"/>
  <c r="Q453" i="1"/>
  <c r="Q473" i="1"/>
  <c r="Q625" i="1"/>
  <c r="Q206" i="1"/>
  <c r="Q642" i="1"/>
  <c r="Q286" i="1"/>
  <c r="Q542" i="1"/>
  <c r="Q304" i="1"/>
  <c r="Q560" i="1"/>
  <c r="Q530" i="1"/>
  <c r="Q355" i="1"/>
  <c r="Q43" i="1"/>
  <c r="Q555" i="1"/>
  <c r="Q517" i="1"/>
  <c r="Q454" i="1"/>
  <c r="Q216" i="1"/>
  <c r="Q472" i="1"/>
  <c r="Q457" i="1"/>
  <c r="Q315" i="1"/>
  <c r="Q585" i="1"/>
  <c r="Q225" i="1"/>
  <c r="Q305" i="1"/>
  <c r="Q369" i="1"/>
  <c r="Q112" i="1"/>
  <c r="Q368" i="1"/>
  <c r="Q529" i="1"/>
  <c r="Q233" i="1"/>
  <c r="Q395" i="1"/>
  <c r="Q84" i="1"/>
  <c r="Q340" i="1"/>
  <c r="Q295" i="1"/>
  <c r="Q551" i="1"/>
  <c r="Q184" i="1"/>
  <c r="Q440" i="1"/>
  <c r="Q201" i="1"/>
  <c r="Q89" i="1"/>
  <c r="Q129" i="1"/>
  <c r="Q361" i="1"/>
  <c r="Q200" i="1"/>
  <c r="Q596" i="1"/>
  <c r="Q464" i="1"/>
  <c r="Q563" i="1"/>
  <c r="Q269" i="1"/>
  <c r="Q480" i="1"/>
  <c r="Q211" i="1"/>
  <c r="Q156" i="1"/>
  <c r="Q238" i="1"/>
  <c r="Q494" i="1"/>
  <c r="Q367" i="1"/>
  <c r="Q474" i="1"/>
  <c r="Q292" i="1"/>
  <c r="Q273" i="1"/>
  <c r="Q290" i="1"/>
  <c r="Q107" i="1"/>
  <c r="Q308" i="1"/>
  <c r="Q581" i="1"/>
  <c r="Q537" i="1"/>
  <c r="Q643" i="1"/>
  <c r="Q313" i="1"/>
  <c r="Q450" i="1"/>
  <c r="Q323" i="1"/>
  <c r="Q579" i="1"/>
  <c r="Q268" i="1"/>
  <c r="Q524" i="1"/>
  <c r="Q221" i="1"/>
  <c r="Q477" i="1"/>
  <c r="Q94" i="1"/>
  <c r="Q350" i="1"/>
  <c r="Q223" i="1"/>
  <c r="Q176" i="1"/>
  <c r="Q641" i="1"/>
  <c r="Q644" i="1"/>
  <c r="Q281" i="1"/>
  <c r="Q282" i="1"/>
  <c r="Q459" i="1"/>
  <c r="Q404" i="1"/>
  <c r="Q357" i="1"/>
  <c r="Q359" i="1"/>
  <c r="Q657" i="1"/>
  <c r="Q128" i="1"/>
  <c r="Q463" i="1"/>
  <c r="Q356" i="1"/>
  <c r="Q74" i="1"/>
  <c r="Q148" i="1"/>
  <c r="Q101" i="1"/>
  <c r="Q613" i="1"/>
  <c r="Q248" i="1"/>
  <c r="Q353" i="1"/>
  <c r="Q138" i="1"/>
  <c r="Q394" i="1"/>
  <c r="Q402" i="1"/>
  <c r="Q531" i="1"/>
  <c r="Q220" i="1"/>
  <c r="Q476" i="1"/>
  <c r="Q602" i="1"/>
  <c r="Q164" i="1"/>
  <c r="Q636" i="1"/>
  <c r="Q141" i="1"/>
  <c r="Q96" i="1"/>
  <c r="Q554" i="1"/>
  <c r="Q180" i="1"/>
  <c r="Q133" i="1"/>
  <c r="Q389" i="1"/>
  <c r="Q645" i="1"/>
  <c r="Q41" i="1"/>
  <c r="Q121" i="1"/>
  <c r="Q205" i="1"/>
  <c r="Q654" i="1"/>
  <c r="Q672" i="1"/>
  <c r="Q452" i="1"/>
  <c r="Q149" i="1"/>
  <c r="Q405" i="1"/>
  <c r="Q661" i="1"/>
  <c r="Q151" i="1"/>
  <c r="Q407" i="1"/>
  <c r="Q40" i="1"/>
  <c r="Q296" i="1"/>
  <c r="Q322" i="1"/>
  <c r="Q589" i="1"/>
  <c r="Q185" i="1"/>
  <c r="Q650" i="1"/>
  <c r="Q421" i="1"/>
  <c r="Q38" i="1"/>
  <c r="Q294" i="1"/>
  <c r="Q617" i="1"/>
  <c r="Q652" i="1"/>
  <c r="Q659" i="1"/>
  <c r="Q142" i="1"/>
  <c r="Q241" i="1"/>
  <c r="AG594" i="1"/>
  <c r="AF594" i="1"/>
  <c r="Q467" i="1"/>
  <c r="Q412" i="1"/>
  <c r="Q109" i="1"/>
  <c r="Q365" i="1"/>
  <c r="Q621" i="1"/>
  <c r="Q175" i="1"/>
  <c r="Q320" i="1"/>
  <c r="Q345" i="1"/>
  <c r="Q264" i="1"/>
  <c r="Q481" i="1"/>
  <c r="Q400" i="1"/>
  <c r="Q569" i="1"/>
  <c r="Q218" i="1"/>
  <c r="Q539" i="1"/>
  <c r="Q484" i="1"/>
  <c r="Q245" i="1"/>
  <c r="Q501" i="1"/>
  <c r="Q374" i="1"/>
  <c r="Q630" i="1"/>
  <c r="Q136" i="1"/>
  <c r="Q162" i="1"/>
  <c r="AG354" i="1"/>
  <c r="AF354" i="1"/>
  <c r="Q227" i="1"/>
  <c r="Q483" i="1"/>
  <c r="Q492" i="1"/>
  <c r="Q62" i="1"/>
  <c r="Q318" i="1"/>
  <c r="Q574" i="1"/>
  <c r="Q447" i="1"/>
  <c r="Q611" i="1"/>
  <c r="Q160" i="1"/>
  <c r="Q298" i="1"/>
  <c r="Q363" i="1"/>
  <c r="Q325" i="1"/>
  <c r="Q262" i="1"/>
  <c r="Q518" i="1"/>
  <c r="Q135" i="1"/>
  <c r="Q647" i="1"/>
  <c r="Q536" i="1"/>
  <c r="Q97" i="1"/>
  <c r="Q177" i="1"/>
  <c r="Q434" i="1"/>
  <c r="Q179" i="1"/>
  <c r="Q124" i="1"/>
  <c r="Q397" i="1"/>
  <c r="Q207" i="1"/>
  <c r="Q161" i="1"/>
  <c r="Q378" i="1"/>
  <c r="Q634" i="1"/>
  <c r="Q196" i="1"/>
  <c r="Q278" i="1"/>
  <c r="Q534" i="1"/>
  <c r="Q552" i="1"/>
  <c r="Q667" i="1"/>
  <c r="Q521" i="1"/>
  <c r="Q194" i="1"/>
  <c r="Q259" i="1"/>
  <c r="Q515" i="1"/>
  <c r="Q204" i="1"/>
  <c r="Q460" i="1"/>
  <c r="Q157" i="1"/>
  <c r="Q413" i="1"/>
  <c r="Q669" i="1"/>
  <c r="Q159" i="1"/>
  <c r="Q415" i="1"/>
  <c r="Q624" i="1"/>
  <c r="AG394" i="1"/>
  <c r="AF394" i="1"/>
  <c r="Q658" i="1"/>
  <c r="Q275" i="1"/>
  <c r="Q633" i="1"/>
  <c r="Q548" i="1"/>
  <c r="Q106" i="1"/>
  <c r="Q427" i="1"/>
  <c r="Q627" i="1"/>
  <c r="Q114" i="1"/>
  <c r="AG194" i="1"/>
  <c r="AF194" i="1"/>
  <c r="Q67" i="1"/>
  <c r="Q173" i="1"/>
  <c r="Q429" i="1"/>
  <c r="Q384" i="1"/>
  <c r="Q513" i="1"/>
  <c r="AG474" i="1"/>
  <c r="AF474" i="1"/>
  <c r="Q328" i="1"/>
  <c r="Q291" i="1"/>
  <c r="AG554" i="1"/>
  <c r="AF554" i="1"/>
  <c r="AG434" i="1"/>
  <c r="AF434" i="1"/>
  <c r="Q243" i="1"/>
  <c r="Q316" i="1"/>
  <c r="Q78" i="1"/>
  <c r="Q591" i="1"/>
  <c r="AG634" i="1"/>
  <c r="AF634" i="1"/>
  <c r="AH634" i="1" s="1"/>
  <c r="Q251" i="1"/>
  <c r="Q507" i="1"/>
  <c r="Q169" i="1"/>
  <c r="Q603" i="1"/>
  <c r="Q479" i="1"/>
  <c r="Q416" i="1"/>
  <c r="Q266" i="1"/>
  <c r="Q75" i="1"/>
  <c r="Q587" i="1"/>
  <c r="Q276" i="1"/>
  <c r="Q532" i="1"/>
  <c r="Q229" i="1"/>
  <c r="Q358" i="1"/>
  <c r="Q231" i="1"/>
  <c r="Q487" i="1"/>
  <c r="Q376" i="1"/>
  <c r="Q593" i="1"/>
  <c r="Q377" i="1"/>
  <c r="Q417" i="1"/>
  <c r="Q449" i="1"/>
  <c r="Q224" i="1"/>
  <c r="Q274" i="1"/>
  <c r="Q83" i="1"/>
  <c r="Q339" i="1"/>
  <c r="Q237" i="1"/>
  <c r="Q110" i="1"/>
  <c r="Q622" i="1"/>
  <c r="Q239" i="1"/>
  <c r="Q495" i="1"/>
  <c r="Q192" i="1"/>
  <c r="Q265" i="1"/>
  <c r="Q648" i="1"/>
  <c r="Q538" i="1"/>
  <c r="Q567" i="1"/>
  <c r="Q456" i="1"/>
  <c r="Q592" i="1"/>
  <c r="Q498" i="1"/>
  <c r="Q462" i="1"/>
  <c r="Q482" i="1"/>
  <c r="Q99" i="1"/>
  <c r="Q300" i="1"/>
  <c r="Q556" i="1"/>
  <c r="Q509" i="1"/>
  <c r="Q255" i="1"/>
  <c r="Q511" i="1"/>
  <c r="Q144" i="1"/>
  <c r="Q170" i="1"/>
  <c r="Q362" i="1"/>
  <c r="Q618" i="1"/>
  <c r="Q436" i="1"/>
  <c r="Q199" i="1"/>
  <c r="Q88" i="1"/>
  <c r="Q344" i="1"/>
  <c r="AG114" i="1"/>
  <c r="AF114" i="1"/>
  <c r="Q250" i="1"/>
  <c r="Q442" i="1"/>
  <c r="Q59" i="1"/>
  <c r="Q571" i="1"/>
  <c r="Q260" i="1"/>
  <c r="Q516" i="1"/>
  <c r="Q213" i="1"/>
  <c r="Q469" i="1"/>
  <c r="Q86" i="1"/>
  <c r="Q342" i="1"/>
  <c r="Q215" i="1"/>
  <c r="Q471" i="1"/>
  <c r="Q104" i="1"/>
  <c r="Q360" i="1"/>
  <c r="Q651" i="1"/>
  <c r="Q514" i="1"/>
  <c r="Q131" i="1"/>
  <c r="Q332" i="1"/>
  <c r="Q432" i="1"/>
  <c r="Q137" i="1"/>
  <c r="AG234" i="1"/>
  <c r="AF234" i="1"/>
  <c r="AH234" i="1" s="1"/>
  <c r="AG314" i="1"/>
  <c r="AF314" i="1"/>
  <c r="Q522" i="1"/>
  <c r="Q139" i="1"/>
  <c r="Q37" i="1"/>
  <c r="Q293" i="1"/>
  <c r="Q549" i="1"/>
  <c r="Q166" i="1"/>
  <c r="Q422" i="1"/>
  <c r="Q39" i="1"/>
  <c r="Q665" i="1"/>
  <c r="Q604" i="1"/>
  <c r="Q590" i="1"/>
  <c r="AG514" i="1"/>
  <c r="AF514" i="1"/>
  <c r="Q285" i="1"/>
  <c r="Q541" i="1"/>
  <c r="Q158" i="1"/>
  <c r="Q287" i="1"/>
  <c r="Q543" i="1"/>
  <c r="AG274" i="1"/>
  <c r="AF274" i="1"/>
  <c r="Q303" i="1"/>
  <c r="Q559" i="1"/>
  <c r="Q346" i="1"/>
  <c r="Q373" i="1"/>
  <c r="Q252" i="1"/>
  <c r="Q271" i="1"/>
  <c r="Q364" i="1"/>
  <c r="Q61" i="1"/>
  <c r="Q190" i="1"/>
  <c r="Q446" i="1"/>
  <c r="Q319" i="1"/>
  <c r="Q208" i="1"/>
  <c r="Q656" i="1"/>
  <c r="Q60" i="1"/>
  <c r="Q105" i="1"/>
  <c r="Q234" i="1"/>
  <c r="Q299" i="1"/>
  <c r="Q244" i="1"/>
  <c r="Q500" i="1"/>
  <c r="Q261" i="1"/>
  <c r="Q263" i="1"/>
  <c r="Q519" i="1"/>
  <c r="Q408" i="1"/>
  <c r="Q664" i="1"/>
  <c r="Q553" i="1"/>
  <c r="Q609" i="1"/>
  <c r="Q178" i="1"/>
  <c r="Q115" i="1"/>
  <c r="Q499" i="1"/>
  <c r="Q58" i="1"/>
  <c r="Q314" i="1"/>
  <c r="Q506" i="1"/>
  <c r="Q123" i="1"/>
  <c r="Q379" i="1"/>
  <c r="Q324" i="1"/>
  <c r="Q580" i="1"/>
  <c r="Q533" i="1"/>
  <c r="Q150" i="1"/>
  <c r="Q279" i="1"/>
  <c r="Q535" i="1"/>
  <c r="Q168" i="1"/>
  <c r="Q424" i="1"/>
  <c r="Q655" i="1"/>
  <c r="Q578" i="1"/>
  <c r="Q195" i="1"/>
  <c r="Q140" i="1"/>
  <c r="Q222" i="1"/>
  <c r="Q478" i="1"/>
  <c r="Q95" i="1"/>
  <c r="Q607" i="1"/>
  <c r="Q240" i="1"/>
  <c r="AG74" i="1"/>
  <c r="AF74" i="1"/>
  <c r="AH74" i="1" s="1"/>
  <c r="Q330" i="1"/>
  <c r="Q586" i="1"/>
  <c r="Q203" i="1"/>
  <c r="Q230" i="1"/>
  <c r="Q486" i="1"/>
  <c r="Q103" i="1"/>
  <c r="Q615" i="1"/>
  <c r="Q504" i="1"/>
  <c r="Q635" i="1"/>
  <c r="Q433" i="1"/>
  <c r="Q385" i="1"/>
  <c r="Q425" i="1"/>
  <c r="Q306" i="1"/>
  <c r="Q143" i="1"/>
  <c r="Q82" i="1"/>
  <c r="Q594" i="1"/>
  <c r="Q92" i="1"/>
  <c r="Q348" i="1"/>
  <c r="Q45" i="1"/>
  <c r="Q557" i="1"/>
  <c r="Q174" i="1"/>
  <c r="Q111" i="1"/>
  <c r="Q623" i="1"/>
  <c r="Q256" i="1"/>
  <c r="Q145" i="1"/>
  <c r="Q505" i="1"/>
  <c r="Q113" i="1"/>
  <c r="Q401" i="1"/>
  <c r="AG154" i="1"/>
  <c r="AF154" i="1"/>
  <c r="Q219" i="1"/>
  <c r="Q475" i="1"/>
  <c r="Q420" i="1"/>
  <c r="Q54" i="1"/>
  <c r="Q183" i="1"/>
  <c r="Q489" i="1"/>
  <c r="Q98" i="1"/>
  <c r="Q354" i="1"/>
  <c r="Q546" i="1"/>
  <c r="Q172" i="1"/>
  <c r="Q254" i="1"/>
  <c r="Q510" i="1"/>
  <c r="Q127" i="1"/>
  <c r="Q639" i="1"/>
  <c r="Q335" i="1"/>
  <c r="Q490" i="1"/>
  <c r="Q564" i="1"/>
  <c r="Q198" i="1"/>
  <c r="Q71" i="1"/>
  <c r="Q327" i="1"/>
  <c r="Q583" i="1"/>
  <c r="AG34" i="1"/>
  <c r="AF34" i="1"/>
  <c r="Q242" i="1"/>
  <c r="Q570" i="1"/>
  <c r="Q214" i="1"/>
  <c r="Q87" i="1"/>
  <c r="Q599" i="1"/>
  <c r="Q488" i="1"/>
  <c r="Q619" i="1"/>
  <c r="Q663" i="1"/>
  <c r="AH594" i="1" l="1"/>
  <c r="AH554" i="1"/>
  <c r="AH354" i="1"/>
  <c r="AH194" i="1"/>
  <c r="AH154" i="1"/>
  <c r="AH34" i="1"/>
  <c r="AH274" i="1"/>
  <c r="AH394" i="1"/>
  <c r="AH434" i="1"/>
  <c r="AH314" i="1"/>
  <c r="AH114" i="1"/>
  <c r="AH514" i="1"/>
  <c r="AH474" i="1"/>
</calcChain>
</file>

<file path=xl/sharedStrings.xml><?xml version="1.0" encoding="utf-8"?>
<sst xmlns="http://schemas.openxmlformats.org/spreadsheetml/2006/main" count="3846" uniqueCount="1129">
  <si>
    <t>Harvest</t>
  </si>
  <si>
    <t>Field wt</t>
  </si>
  <si>
    <t>HADAT</t>
  </si>
  <si>
    <t>WBWAH</t>
  </si>
  <si>
    <t>(kg/ha)</t>
  </si>
  <si>
    <t>Parameters</t>
  </si>
  <si>
    <t>m2 per ha</t>
  </si>
  <si>
    <t>Ginning</t>
  </si>
  <si>
    <t>Sample</t>
  </si>
  <si>
    <t>Fiber</t>
  </si>
  <si>
    <t>Seed</t>
  </si>
  <si>
    <t>FFRAC</t>
  </si>
  <si>
    <t>SFRAC</t>
  </si>
  <si>
    <t>TFRAC</t>
  </si>
  <si>
    <t>(g/g)</t>
  </si>
  <si>
    <t>Compute</t>
  </si>
  <si>
    <t>WFWAH</t>
  </si>
  <si>
    <t>WSWAH</t>
  </si>
  <si>
    <t>WSCWAH</t>
  </si>
  <si>
    <t>PID</t>
  </si>
  <si>
    <t>HARM</t>
  </si>
  <si>
    <t>Column C - Harvest method (HARM)</t>
  </si>
  <si>
    <t>Column F - Wet bulk weight at harvest (fiber + seed + trash) (WBWAH, kg/ha)</t>
  </si>
  <si>
    <t>Date</t>
  </si>
  <si>
    <t>GNDAT</t>
  </si>
  <si>
    <t>Column D - Harvest date (HADAT, mm/dd/yyyy)</t>
  </si>
  <si>
    <t>HID</t>
  </si>
  <si>
    <t>p02</t>
  </si>
  <si>
    <t>p04</t>
  </si>
  <si>
    <t>p05</t>
  </si>
  <si>
    <t>p06</t>
  </si>
  <si>
    <t>p07</t>
  </si>
  <si>
    <t>p08</t>
  </si>
  <si>
    <t>p11</t>
  </si>
  <si>
    <t>p12</t>
  </si>
  <si>
    <t>p13</t>
  </si>
  <si>
    <t>p14</t>
  </si>
  <si>
    <t>p15</t>
  </si>
  <si>
    <t>p16</t>
  </si>
  <si>
    <t>ID</t>
  </si>
  <si>
    <t>Column A - ID (ID)</t>
  </si>
  <si>
    <t>Column B - Harvest Area ID (HID)</t>
  </si>
  <si>
    <t>p01-01</t>
  </si>
  <si>
    <t>p01-02</t>
  </si>
  <si>
    <t>p01-03</t>
  </si>
  <si>
    <t>p01-04</t>
  </si>
  <si>
    <t>p01-05</t>
  </si>
  <si>
    <t>p01-06</t>
  </si>
  <si>
    <t>p01-07</t>
  </si>
  <si>
    <t>p01-08</t>
  </si>
  <si>
    <t>p01-09</t>
  </si>
  <si>
    <t>p01-10</t>
  </si>
  <si>
    <t>p01-11</t>
  </si>
  <si>
    <t>p01-12</t>
  </si>
  <si>
    <t>p01-13</t>
  </si>
  <si>
    <t>p01-14</t>
  </si>
  <si>
    <t>p01-15</t>
  </si>
  <si>
    <t>p01-16</t>
  </si>
  <si>
    <t>p01-17</t>
  </si>
  <si>
    <t>p01-18</t>
  </si>
  <si>
    <t>p01-19</t>
  </si>
  <si>
    <t>p01-20</t>
  </si>
  <si>
    <t>p01-21</t>
  </si>
  <si>
    <t>p01-22</t>
  </si>
  <si>
    <t>p01-23</t>
  </si>
  <si>
    <t>p01-24</t>
  </si>
  <si>
    <t>p01-25</t>
  </si>
  <si>
    <t>p01-26</t>
  </si>
  <si>
    <t>p01-27</t>
  </si>
  <si>
    <t>p01-28</t>
  </si>
  <si>
    <t>p01-29</t>
  </si>
  <si>
    <t>p01-30</t>
  </si>
  <si>
    <t>p01-31</t>
  </si>
  <si>
    <t>p01-32</t>
  </si>
  <si>
    <t>p01-33</t>
  </si>
  <si>
    <t>p01-34</t>
  </si>
  <si>
    <t>p01-35</t>
  </si>
  <si>
    <t>p01-36</t>
  </si>
  <si>
    <t>p01-37</t>
  </si>
  <si>
    <t>p01-38</t>
  </si>
  <si>
    <t>p01-39</t>
  </si>
  <si>
    <t>p01-40</t>
  </si>
  <si>
    <t>p02-01</t>
  </si>
  <si>
    <t>p02-02</t>
  </si>
  <si>
    <t>p02-03</t>
  </si>
  <si>
    <t>p02-04</t>
  </si>
  <si>
    <t>p02-05</t>
  </si>
  <si>
    <t>p02-06</t>
  </si>
  <si>
    <t>p02-07</t>
  </si>
  <si>
    <t>p02-08</t>
  </si>
  <si>
    <t>p02-09</t>
  </si>
  <si>
    <t>p02-10</t>
  </si>
  <si>
    <t>p02-11</t>
  </si>
  <si>
    <t>p02-12</t>
  </si>
  <si>
    <t>p02-13</t>
  </si>
  <si>
    <t>p02-14</t>
  </si>
  <si>
    <t>p02-15</t>
  </si>
  <si>
    <t>p02-16</t>
  </si>
  <si>
    <t>p02-17</t>
  </si>
  <si>
    <t>p02-18</t>
  </si>
  <si>
    <t>p02-19</t>
  </si>
  <si>
    <t>p02-20</t>
  </si>
  <si>
    <t>p02-21</t>
  </si>
  <si>
    <t>p02-22</t>
  </si>
  <si>
    <t>p02-23</t>
  </si>
  <si>
    <t>p02-24</t>
  </si>
  <si>
    <t>p02-25</t>
  </si>
  <si>
    <t>p02-26</t>
  </si>
  <si>
    <t>p02-27</t>
  </si>
  <si>
    <t>p02-28</t>
  </si>
  <si>
    <t>p02-29</t>
  </si>
  <si>
    <t>p02-30</t>
  </si>
  <si>
    <t>p02-31</t>
  </si>
  <si>
    <t>p02-32</t>
  </si>
  <si>
    <t>p02-33</t>
  </si>
  <si>
    <t>p02-34</t>
  </si>
  <si>
    <t>p02-35</t>
  </si>
  <si>
    <t>p02-36</t>
  </si>
  <si>
    <t>p02-37</t>
  </si>
  <si>
    <t>p02-38</t>
  </si>
  <si>
    <t>p02-39</t>
  </si>
  <si>
    <t>p02-40</t>
  </si>
  <si>
    <t>p03-01</t>
  </si>
  <si>
    <t>p03-02</t>
  </si>
  <si>
    <t>p03-03</t>
  </si>
  <si>
    <t>p03-04</t>
  </si>
  <si>
    <t>p03-05</t>
  </si>
  <si>
    <t>p03-06</t>
  </si>
  <si>
    <t>p03-07</t>
  </si>
  <si>
    <t>p03-08</t>
  </si>
  <si>
    <t>p03-09</t>
  </si>
  <si>
    <t>p03-10</t>
  </si>
  <si>
    <t>p03-11</t>
  </si>
  <si>
    <t>p03-12</t>
  </si>
  <si>
    <t>p03-13</t>
  </si>
  <si>
    <t>p03-14</t>
  </si>
  <si>
    <t>p03-15</t>
  </si>
  <si>
    <t>p03-16</t>
  </si>
  <si>
    <t>p03-17</t>
  </si>
  <si>
    <t>p03-18</t>
  </si>
  <si>
    <t>p03-19</t>
  </si>
  <si>
    <t>p03-20</t>
  </si>
  <si>
    <t>p03-21</t>
  </si>
  <si>
    <t>p03-22</t>
  </si>
  <si>
    <t>p03-23</t>
  </si>
  <si>
    <t>p03-24</t>
  </si>
  <si>
    <t>p03-25</t>
  </si>
  <si>
    <t>p03-26</t>
  </si>
  <si>
    <t>p03-27</t>
  </si>
  <si>
    <t>p03-28</t>
  </si>
  <si>
    <t>p03-29</t>
  </si>
  <si>
    <t>p03-30</t>
  </si>
  <si>
    <t>p03-31</t>
  </si>
  <si>
    <t>p03-32</t>
  </si>
  <si>
    <t>p03-33</t>
  </si>
  <si>
    <t>p03-34</t>
  </si>
  <si>
    <t>p03-35</t>
  </si>
  <si>
    <t>p03-36</t>
  </si>
  <si>
    <t>p03-37</t>
  </si>
  <si>
    <t>p03-38</t>
  </si>
  <si>
    <t>p03-39</t>
  </si>
  <si>
    <t>p03-40</t>
  </si>
  <si>
    <t>p04-01</t>
  </si>
  <si>
    <t>p04-02</t>
  </si>
  <si>
    <t>p04-03</t>
  </si>
  <si>
    <t>p04-04</t>
  </si>
  <si>
    <t>p04-05</t>
  </si>
  <si>
    <t>p04-06</t>
  </si>
  <si>
    <t>p04-07</t>
  </si>
  <si>
    <t>p04-08</t>
  </si>
  <si>
    <t>p04-09</t>
  </si>
  <si>
    <t>p04-10</t>
  </si>
  <si>
    <t>p04-11</t>
  </si>
  <si>
    <t>p04-12</t>
  </si>
  <si>
    <t>p04-13</t>
  </si>
  <si>
    <t>p04-14</t>
  </si>
  <si>
    <t>p04-15</t>
  </si>
  <si>
    <t>p04-16</t>
  </si>
  <si>
    <t>p04-17</t>
  </si>
  <si>
    <t>p04-18</t>
  </si>
  <si>
    <t>p04-19</t>
  </si>
  <si>
    <t>p04-20</t>
  </si>
  <si>
    <t>p04-21</t>
  </si>
  <si>
    <t>p04-22</t>
  </si>
  <si>
    <t>p04-23</t>
  </si>
  <si>
    <t>p04-24</t>
  </si>
  <si>
    <t>p04-25</t>
  </si>
  <si>
    <t>p04-26</t>
  </si>
  <si>
    <t>p04-27</t>
  </si>
  <si>
    <t>p04-28</t>
  </si>
  <si>
    <t>p04-29</t>
  </si>
  <si>
    <t>p04-30</t>
  </si>
  <si>
    <t>p04-31</t>
  </si>
  <si>
    <t>p04-32</t>
  </si>
  <si>
    <t>p04-33</t>
  </si>
  <si>
    <t>p04-34</t>
  </si>
  <si>
    <t>p04-35</t>
  </si>
  <si>
    <t>p04-36</t>
  </si>
  <si>
    <t>p04-37</t>
  </si>
  <si>
    <t>p04-38</t>
  </si>
  <si>
    <t>p04-39</t>
  </si>
  <si>
    <t>p04-40</t>
  </si>
  <si>
    <t>p05-01</t>
  </si>
  <si>
    <t>p05-02</t>
  </si>
  <si>
    <t>p05-03</t>
  </si>
  <si>
    <t>p05-04</t>
  </si>
  <si>
    <t>p05-05</t>
  </si>
  <si>
    <t>p05-06</t>
  </si>
  <si>
    <t>p05-07</t>
  </si>
  <si>
    <t>p05-08</t>
  </si>
  <si>
    <t>p05-09</t>
  </si>
  <si>
    <t>p05-10</t>
  </si>
  <si>
    <t>p05-11</t>
  </si>
  <si>
    <t>p05-12</t>
  </si>
  <si>
    <t>p05-13</t>
  </si>
  <si>
    <t>p05-14</t>
  </si>
  <si>
    <t>p05-15</t>
  </si>
  <si>
    <t>p05-16</t>
  </si>
  <si>
    <t>p05-17</t>
  </si>
  <si>
    <t>p05-18</t>
  </si>
  <si>
    <t>p05-19</t>
  </si>
  <si>
    <t>p05-20</t>
  </si>
  <si>
    <t>p05-21</t>
  </si>
  <si>
    <t>p05-22</t>
  </si>
  <si>
    <t>p05-23</t>
  </si>
  <si>
    <t>p05-24</t>
  </si>
  <si>
    <t>p05-25</t>
  </si>
  <si>
    <t>p05-26</t>
  </si>
  <si>
    <t>p05-27</t>
  </si>
  <si>
    <t>p05-28</t>
  </si>
  <si>
    <t>p05-29</t>
  </si>
  <si>
    <t>p05-30</t>
  </si>
  <si>
    <t>p05-31</t>
  </si>
  <si>
    <t>p05-32</t>
  </si>
  <si>
    <t>p05-33</t>
  </si>
  <si>
    <t>p05-34</t>
  </si>
  <si>
    <t>p05-35</t>
  </si>
  <si>
    <t>p05-36</t>
  </si>
  <si>
    <t>p05-37</t>
  </si>
  <si>
    <t>p05-38</t>
  </si>
  <si>
    <t>p05-39</t>
  </si>
  <si>
    <t>p05-40</t>
  </si>
  <si>
    <t>p06-01</t>
  </si>
  <si>
    <t>p06-02</t>
  </si>
  <si>
    <t>p06-03</t>
  </si>
  <si>
    <t>p06-04</t>
  </si>
  <si>
    <t>p06-05</t>
  </si>
  <si>
    <t>p06-06</t>
  </si>
  <si>
    <t>p06-07</t>
  </si>
  <si>
    <t>p06-08</t>
  </si>
  <si>
    <t>p06-09</t>
  </si>
  <si>
    <t>p06-10</t>
  </si>
  <si>
    <t>p06-11</t>
  </si>
  <si>
    <t>p06-12</t>
  </si>
  <si>
    <t>p06-13</t>
  </si>
  <si>
    <t>p06-14</t>
  </si>
  <si>
    <t>p06-15</t>
  </si>
  <si>
    <t>p06-16</t>
  </si>
  <si>
    <t>p06-17</t>
  </si>
  <si>
    <t>p06-18</t>
  </si>
  <si>
    <t>p06-19</t>
  </si>
  <si>
    <t>p06-20</t>
  </si>
  <si>
    <t>p06-21</t>
  </si>
  <si>
    <t>p06-22</t>
  </si>
  <si>
    <t>p06-23</t>
  </si>
  <si>
    <t>p06-24</t>
  </si>
  <si>
    <t>p06-25</t>
  </si>
  <si>
    <t>p06-26</t>
  </si>
  <si>
    <t>p06-27</t>
  </si>
  <si>
    <t>p06-28</t>
  </si>
  <si>
    <t>p06-29</t>
  </si>
  <si>
    <t>p06-30</t>
  </si>
  <si>
    <t>p06-31</t>
  </si>
  <si>
    <t>p06-32</t>
  </si>
  <si>
    <t>p06-33</t>
  </si>
  <si>
    <t>p06-34</t>
  </si>
  <si>
    <t>p06-35</t>
  </si>
  <si>
    <t>p06-36</t>
  </si>
  <si>
    <t>p06-37</t>
  </si>
  <si>
    <t>p06-38</t>
  </si>
  <si>
    <t>p06-39</t>
  </si>
  <si>
    <t>p06-40</t>
  </si>
  <si>
    <t>p07-01</t>
  </si>
  <si>
    <t>p07-02</t>
  </si>
  <si>
    <t>p07-03</t>
  </si>
  <si>
    <t>p07-04</t>
  </si>
  <si>
    <t>p07-05</t>
  </si>
  <si>
    <t>p07-06</t>
  </si>
  <si>
    <t>p07-07</t>
  </si>
  <si>
    <t>p07-08</t>
  </si>
  <si>
    <t>p07-09</t>
  </si>
  <si>
    <t>p07-10</t>
  </si>
  <si>
    <t>p07-11</t>
  </si>
  <si>
    <t>p07-12</t>
  </si>
  <si>
    <t>p07-13</t>
  </si>
  <si>
    <t>p07-14</t>
  </si>
  <si>
    <t>p07-15</t>
  </si>
  <si>
    <t>p07-16</t>
  </si>
  <si>
    <t>p07-17</t>
  </si>
  <si>
    <t>p07-18</t>
  </si>
  <si>
    <t>p07-19</t>
  </si>
  <si>
    <t>p07-20</t>
  </si>
  <si>
    <t>p07-21</t>
  </si>
  <si>
    <t>p07-22</t>
  </si>
  <si>
    <t>p07-23</t>
  </si>
  <si>
    <t>p07-24</t>
  </si>
  <si>
    <t>p07-25</t>
  </si>
  <si>
    <t>p07-26</t>
  </si>
  <si>
    <t>p07-27</t>
  </si>
  <si>
    <t>p07-28</t>
  </si>
  <si>
    <t>p07-29</t>
  </si>
  <si>
    <t>p07-30</t>
  </si>
  <si>
    <t>p07-31</t>
  </si>
  <si>
    <t>p07-32</t>
  </si>
  <si>
    <t>p07-33</t>
  </si>
  <si>
    <t>p07-34</t>
  </si>
  <si>
    <t>p07-35</t>
  </si>
  <si>
    <t>p07-36</t>
  </si>
  <si>
    <t>p07-37</t>
  </si>
  <si>
    <t>p07-38</t>
  </si>
  <si>
    <t>p07-39</t>
  </si>
  <si>
    <t>p07-40</t>
  </si>
  <si>
    <t>p08-01</t>
  </si>
  <si>
    <t>p08-02</t>
  </si>
  <si>
    <t>p08-03</t>
  </si>
  <si>
    <t>p08-04</t>
  </si>
  <si>
    <t>p08-05</t>
  </si>
  <si>
    <t>p08-06</t>
  </si>
  <si>
    <t>p08-07</t>
  </si>
  <si>
    <t>p08-08</t>
  </si>
  <si>
    <t>p08-09</t>
  </si>
  <si>
    <t>p08-10</t>
  </si>
  <si>
    <t>p08-11</t>
  </si>
  <si>
    <t>p08-12</t>
  </si>
  <si>
    <t>p08-13</t>
  </si>
  <si>
    <t>p08-14</t>
  </si>
  <si>
    <t>p08-15</t>
  </si>
  <si>
    <t>p08-16</t>
  </si>
  <si>
    <t>p08-17</t>
  </si>
  <si>
    <t>p08-18</t>
  </si>
  <si>
    <t>p08-19</t>
  </si>
  <si>
    <t>p08-20</t>
  </si>
  <si>
    <t>p08-21</t>
  </si>
  <si>
    <t>p08-22</t>
  </si>
  <si>
    <t>p08-23</t>
  </si>
  <si>
    <t>p08-24</t>
  </si>
  <si>
    <t>p08-25</t>
  </si>
  <si>
    <t>p08-26</t>
  </si>
  <si>
    <t>p08-27</t>
  </si>
  <si>
    <t>p08-28</t>
  </si>
  <si>
    <t>p08-29</t>
  </si>
  <si>
    <t>p08-30</t>
  </si>
  <si>
    <t>p08-31</t>
  </si>
  <si>
    <t>p08-32</t>
  </si>
  <si>
    <t>p08-33</t>
  </si>
  <si>
    <t>p08-34</t>
  </si>
  <si>
    <t>p08-35</t>
  </si>
  <si>
    <t>p08-36</t>
  </si>
  <si>
    <t>p08-37</t>
  </si>
  <si>
    <t>p08-38</t>
  </si>
  <si>
    <t>p08-39</t>
  </si>
  <si>
    <t>p08-40</t>
  </si>
  <si>
    <t>p09-01</t>
  </si>
  <si>
    <t>p09-02</t>
  </si>
  <si>
    <t>p09-03</t>
  </si>
  <si>
    <t>p09-04</t>
  </si>
  <si>
    <t>p09-05</t>
  </si>
  <si>
    <t>p09-06</t>
  </si>
  <si>
    <t>p09-07</t>
  </si>
  <si>
    <t>p09-08</t>
  </si>
  <si>
    <t>p09-09</t>
  </si>
  <si>
    <t>p09-10</t>
  </si>
  <si>
    <t>p09-11</t>
  </si>
  <si>
    <t>p09-12</t>
  </si>
  <si>
    <t>p09-13</t>
  </si>
  <si>
    <t>p09-14</t>
  </si>
  <si>
    <t>p09-15</t>
  </si>
  <si>
    <t>p09-16</t>
  </si>
  <si>
    <t>p09-17</t>
  </si>
  <si>
    <t>p09-18</t>
  </si>
  <si>
    <t>p09-19</t>
  </si>
  <si>
    <t>p09-20</t>
  </si>
  <si>
    <t>p09-21</t>
  </si>
  <si>
    <t>p09-22</t>
  </si>
  <si>
    <t>p09-23</t>
  </si>
  <si>
    <t>p09-24</t>
  </si>
  <si>
    <t>p09-25</t>
  </si>
  <si>
    <t>p09-26</t>
  </si>
  <si>
    <t>p09-27</t>
  </si>
  <si>
    <t>p09-28</t>
  </si>
  <si>
    <t>p09-29</t>
  </si>
  <si>
    <t>p09-30</t>
  </si>
  <si>
    <t>p09-31</t>
  </si>
  <si>
    <t>p09-32</t>
  </si>
  <si>
    <t>p09-33</t>
  </si>
  <si>
    <t>p09-34</t>
  </si>
  <si>
    <t>p09-35</t>
  </si>
  <si>
    <t>p09-36</t>
  </si>
  <si>
    <t>p09-37</t>
  </si>
  <si>
    <t>p09-38</t>
  </si>
  <si>
    <t>p09-39</t>
  </si>
  <si>
    <t>p09-40</t>
  </si>
  <si>
    <t>p10-01</t>
  </si>
  <si>
    <t>p10-02</t>
  </si>
  <si>
    <t>p10-03</t>
  </si>
  <si>
    <t>p10-04</t>
  </si>
  <si>
    <t>p10-05</t>
  </si>
  <si>
    <t>p10-06</t>
  </si>
  <si>
    <t>p10-07</t>
  </si>
  <si>
    <t>p10-08</t>
  </si>
  <si>
    <t>p10-09</t>
  </si>
  <si>
    <t>p10-10</t>
  </si>
  <si>
    <t>p10-11</t>
  </si>
  <si>
    <t>p10-12</t>
  </si>
  <si>
    <t>p10-13</t>
  </si>
  <si>
    <t>p10-14</t>
  </si>
  <si>
    <t>p10-15</t>
  </si>
  <si>
    <t>p10-16</t>
  </si>
  <si>
    <t>p10-17</t>
  </si>
  <si>
    <t>p10-18</t>
  </si>
  <si>
    <t>p10-19</t>
  </si>
  <si>
    <t>p10-20</t>
  </si>
  <si>
    <t>p10-21</t>
  </si>
  <si>
    <t>p10-22</t>
  </si>
  <si>
    <t>p10-23</t>
  </si>
  <si>
    <t>p10-24</t>
  </si>
  <si>
    <t>p10-25</t>
  </si>
  <si>
    <t>p10-26</t>
  </si>
  <si>
    <t>p10-27</t>
  </si>
  <si>
    <t>p10-28</t>
  </si>
  <si>
    <t>p10-29</t>
  </si>
  <si>
    <t>p10-30</t>
  </si>
  <si>
    <t>p10-31</t>
  </si>
  <si>
    <t>p10-32</t>
  </si>
  <si>
    <t>p10-33</t>
  </si>
  <si>
    <t>p10-34</t>
  </si>
  <si>
    <t>p10-35</t>
  </si>
  <si>
    <t>p10-36</t>
  </si>
  <si>
    <t>p10-37</t>
  </si>
  <si>
    <t>p10-38</t>
  </si>
  <si>
    <t>p10-39</t>
  </si>
  <si>
    <t>p10-40</t>
  </si>
  <si>
    <t>p11-01</t>
  </si>
  <si>
    <t>p11-02</t>
  </si>
  <si>
    <t>p11-03</t>
  </si>
  <si>
    <t>p11-04</t>
  </si>
  <si>
    <t>p11-05</t>
  </si>
  <si>
    <t>p11-06</t>
  </si>
  <si>
    <t>p11-07</t>
  </si>
  <si>
    <t>p11-08</t>
  </si>
  <si>
    <t>p11-09</t>
  </si>
  <si>
    <t>p11-10</t>
  </si>
  <si>
    <t>p11-11</t>
  </si>
  <si>
    <t>p11-12</t>
  </si>
  <si>
    <t>p11-13</t>
  </si>
  <si>
    <t>p11-14</t>
  </si>
  <si>
    <t>p11-15</t>
  </si>
  <si>
    <t>p11-16</t>
  </si>
  <si>
    <t>p11-17</t>
  </si>
  <si>
    <t>p11-18</t>
  </si>
  <si>
    <t>p11-19</t>
  </si>
  <si>
    <t>p11-20</t>
  </si>
  <si>
    <t>p11-21</t>
  </si>
  <si>
    <t>p11-22</t>
  </si>
  <si>
    <t>p11-23</t>
  </si>
  <si>
    <t>p11-24</t>
  </si>
  <si>
    <t>p11-25</t>
  </si>
  <si>
    <t>p11-26</t>
  </si>
  <si>
    <t>p11-27</t>
  </si>
  <si>
    <t>p11-28</t>
  </si>
  <si>
    <t>p11-29</t>
  </si>
  <si>
    <t>p11-30</t>
  </si>
  <si>
    <t>p11-31</t>
  </si>
  <si>
    <t>p11-32</t>
  </si>
  <si>
    <t>p11-33</t>
  </si>
  <si>
    <t>p11-34</t>
  </si>
  <si>
    <t>p11-35</t>
  </si>
  <si>
    <t>p11-36</t>
  </si>
  <si>
    <t>p11-37</t>
  </si>
  <si>
    <t>p11-38</t>
  </si>
  <si>
    <t>p11-39</t>
  </si>
  <si>
    <t>p11-40</t>
  </si>
  <si>
    <t>p12-01</t>
  </si>
  <si>
    <t>p12-02</t>
  </si>
  <si>
    <t>p12-03</t>
  </si>
  <si>
    <t>p12-04</t>
  </si>
  <si>
    <t>p12-05</t>
  </si>
  <si>
    <t>p12-06</t>
  </si>
  <si>
    <t>p12-07</t>
  </si>
  <si>
    <t>p12-08</t>
  </si>
  <si>
    <t>p12-09</t>
  </si>
  <si>
    <t>p12-10</t>
  </si>
  <si>
    <t>p12-11</t>
  </si>
  <si>
    <t>p12-12</t>
  </si>
  <si>
    <t>p12-13</t>
  </si>
  <si>
    <t>p12-14</t>
  </si>
  <si>
    <t>p12-15</t>
  </si>
  <si>
    <t>p12-16</t>
  </si>
  <si>
    <t>p12-17</t>
  </si>
  <si>
    <t>p12-18</t>
  </si>
  <si>
    <t>p12-19</t>
  </si>
  <si>
    <t>p12-20</t>
  </si>
  <si>
    <t>p12-21</t>
  </si>
  <si>
    <t>p12-22</t>
  </si>
  <si>
    <t>p12-23</t>
  </si>
  <si>
    <t>p12-24</t>
  </si>
  <si>
    <t>p12-25</t>
  </si>
  <si>
    <t>p12-26</t>
  </si>
  <si>
    <t>p12-27</t>
  </si>
  <si>
    <t>p12-28</t>
  </si>
  <si>
    <t>p12-29</t>
  </si>
  <si>
    <t>p12-30</t>
  </si>
  <si>
    <t>p12-31</t>
  </si>
  <si>
    <t>p12-32</t>
  </si>
  <si>
    <t>p12-33</t>
  </si>
  <si>
    <t>p12-34</t>
  </si>
  <si>
    <t>p12-35</t>
  </si>
  <si>
    <t>p12-36</t>
  </si>
  <si>
    <t>p12-37</t>
  </si>
  <si>
    <t>p12-38</t>
  </si>
  <si>
    <t>p12-39</t>
  </si>
  <si>
    <t>p12-40</t>
  </si>
  <si>
    <t>p13-01</t>
  </si>
  <si>
    <t>p13-02</t>
  </si>
  <si>
    <t>p13-03</t>
  </si>
  <si>
    <t>p13-04</t>
  </si>
  <si>
    <t>p13-05</t>
  </si>
  <si>
    <t>p13-06</t>
  </si>
  <si>
    <t>p13-07</t>
  </si>
  <si>
    <t>p13-08</t>
  </si>
  <si>
    <t>p13-09</t>
  </si>
  <si>
    <t>p13-10</t>
  </si>
  <si>
    <t>p13-11</t>
  </si>
  <si>
    <t>p13-12</t>
  </si>
  <si>
    <t>p13-13</t>
  </si>
  <si>
    <t>p13-14</t>
  </si>
  <si>
    <t>p13-15</t>
  </si>
  <si>
    <t>p13-16</t>
  </si>
  <si>
    <t>p13-17</t>
  </si>
  <si>
    <t>p13-18</t>
  </si>
  <si>
    <t>p13-19</t>
  </si>
  <si>
    <t>p13-20</t>
  </si>
  <si>
    <t>p13-21</t>
  </si>
  <si>
    <t>p13-22</t>
  </si>
  <si>
    <t>p13-23</t>
  </si>
  <si>
    <t>p13-24</t>
  </si>
  <si>
    <t>p13-25</t>
  </si>
  <si>
    <t>p13-26</t>
  </si>
  <si>
    <t>p13-27</t>
  </si>
  <si>
    <t>p13-28</t>
  </si>
  <si>
    <t>p13-29</t>
  </si>
  <si>
    <t>p13-30</t>
  </si>
  <si>
    <t>p13-31</t>
  </si>
  <si>
    <t>p13-32</t>
  </si>
  <si>
    <t>p13-33</t>
  </si>
  <si>
    <t>p13-34</t>
  </si>
  <si>
    <t>p13-35</t>
  </si>
  <si>
    <t>p13-36</t>
  </si>
  <si>
    <t>p13-37</t>
  </si>
  <si>
    <t>p13-38</t>
  </si>
  <si>
    <t>p13-39</t>
  </si>
  <si>
    <t>p13-40</t>
  </si>
  <si>
    <t>p14-01</t>
  </si>
  <si>
    <t>p14-02</t>
  </si>
  <si>
    <t>p14-03</t>
  </si>
  <si>
    <t>p14-04</t>
  </si>
  <si>
    <t>p14-05</t>
  </si>
  <si>
    <t>p14-06</t>
  </si>
  <si>
    <t>p14-07</t>
  </si>
  <si>
    <t>p14-08</t>
  </si>
  <si>
    <t>p14-09</t>
  </si>
  <si>
    <t>p14-10</t>
  </si>
  <si>
    <t>p14-11</t>
  </si>
  <si>
    <t>p14-12</t>
  </si>
  <si>
    <t>p14-13</t>
  </si>
  <si>
    <t>p14-14</t>
  </si>
  <si>
    <t>p14-15</t>
  </si>
  <si>
    <t>p14-16</t>
  </si>
  <si>
    <t>p14-17</t>
  </si>
  <si>
    <t>p14-18</t>
  </si>
  <si>
    <t>p14-19</t>
  </si>
  <si>
    <t>p14-20</t>
  </si>
  <si>
    <t>p14-21</t>
  </si>
  <si>
    <t>p14-22</t>
  </si>
  <si>
    <t>p14-23</t>
  </si>
  <si>
    <t>p14-24</t>
  </si>
  <si>
    <t>p14-25</t>
  </si>
  <si>
    <t>p14-26</t>
  </si>
  <si>
    <t>p14-27</t>
  </si>
  <si>
    <t>p14-28</t>
  </si>
  <si>
    <t>p14-29</t>
  </si>
  <si>
    <t>p14-30</t>
  </si>
  <si>
    <t>p14-31</t>
  </si>
  <si>
    <t>p14-32</t>
  </si>
  <si>
    <t>p14-33</t>
  </si>
  <si>
    <t>p14-34</t>
  </si>
  <si>
    <t>p14-35</t>
  </si>
  <si>
    <t>p14-36</t>
  </si>
  <si>
    <t>p14-37</t>
  </si>
  <si>
    <t>p14-38</t>
  </si>
  <si>
    <t>p14-39</t>
  </si>
  <si>
    <t>p14-40</t>
  </si>
  <si>
    <t>p15-01</t>
  </si>
  <si>
    <t>p15-02</t>
  </si>
  <si>
    <t>p15-03</t>
  </si>
  <si>
    <t>p15-04</t>
  </si>
  <si>
    <t>p15-05</t>
  </si>
  <si>
    <t>p15-06</t>
  </si>
  <si>
    <t>p15-07</t>
  </si>
  <si>
    <t>p15-08</t>
  </si>
  <si>
    <t>p15-09</t>
  </si>
  <si>
    <t>p15-10</t>
  </si>
  <si>
    <t>p15-11</t>
  </si>
  <si>
    <t>p15-12</t>
  </si>
  <si>
    <t>p15-13</t>
  </si>
  <si>
    <t>p15-14</t>
  </si>
  <si>
    <t>p15-15</t>
  </si>
  <si>
    <t>p15-16</t>
  </si>
  <si>
    <t>p15-17</t>
  </si>
  <si>
    <t>p15-18</t>
  </si>
  <si>
    <t>p15-19</t>
  </si>
  <si>
    <t>p15-20</t>
  </si>
  <si>
    <t>p15-21</t>
  </si>
  <si>
    <t>p15-22</t>
  </si>
  <si>
    <t>p15-23</t>
  </si>
  <si>
    <t>p15-24</t>
  </si>
  <si>
    <t>p15-25</t>
  </si>
  <si>
    <t>p15-26</t>
  </si>
  <si>
    <t>p15-27</t>
  </si>
  <si>
    <t>p15-28</t>
  </si>
  <si>
    <t>p15-29</t>
  </si>
  <si>
    <t>p15-30</t>
  </si>
  <si>
    <t>p15-31</t>
  </si>
  <si>
    <t>p15-32</t>
  </si>
  <si>
    <t>p15-33</t>
  </si>
  <si>
    <t>p15-34</t>
  </si>
  <si>
    <t>p15-35</t>
  </si>
  <si>
    <t>p15-36</t>
  </si>
  <si>
    <t>p15-37</t>
  </si>
  <si>
    <t>p15-38</t>
  </si>
  <si>
    <t>p15-39</t>
  </si>
  <si>
    <t>p15-40</t>
  </si>
  <si>
    <t>p16-01</t>
  </si>
  <si>
    <t>p16-02</t>
  </si>
  <si>
    <t>p16-03</t>
  </si>
  <si>
    <t>p16-04</t>
  </si>
  <si>
    <t>p16-05</t>
  </si>
  <si>
    <t>p16-06</t>
  </si>
  <si>
    <t>p16-07</t>
  </si>
  <si>
    <t>p16-08</t>
  </si>
  <si>
    <t>p16-09</t>
  </si>
  <si>
    <t>p16-10</t>
  </si>
  <si>
    <t>p16-11</t>
  </si>
  <si>
    <t>p16-12</t>
  </si>
  <si>
    <t>p16-13</t>
  </si>
  <si>
    <t>p16-14</t>
  </si>
  <si>
    <t>p16-15</t>
  </si>
  <si>
    <t>p16-16</t>
  </si>
  <si>
    <t>p16-17</t>
  </si>
  <si>
    <t>p16-18</t>
  </si>
  <si>
    <t>p16-19</t>
  </si>
  <si>
    <t>p16-20</t>
  </si>
  <si>
    <t>p16-21</t>
  </si>
  <si>
    <t>p16-22</t>
  </si>
  <si>
    <t>p16-23</t>
  </si>
  <si>
    <t>p16-24</t>
  </si>
  <si>
    <t>p16-25</t>
  </si>
  <si>
    <t>p16-26</t>
  </si>
  <si>
    <t>p16-27</t>
  </si>
  <si>
    <t>p16-28</t>
  </si>
  <si>
    <t>p16-29</t>
  </si>
  <si>
    <t>p16-30</t>
  </si>
  <si>
    <t>p16-31</t>
  </si>
  <si>
    <t>p16-32</t>
  </si>
  <si>
    <t>p16-33</t>
  </si>
  <si>
    <t>p16-34</t>
  </si>
  <si>
    <t>p16-35</t>
  </si>
  <si>
    <t>p16-36</t>
  </si>
  <si>
    <t>p16-37</t>
  </si>
  <si>
    <t>p16-38</t>
  </si>
  <si>
    <t>p16-39</t>
  </si>
  <si>
    <t>p16-40</t>
  </si>
  <si>
    <t>Machine</t>
  </si>
  <si>
    <t>(lbs)</t>
  </si>
  <si>
    <t>Size of harvest area (2 40-inch rows by 14.476 m, 16 m plot length minus 5 foot buffer mowed out) (m2)</t>
  </si>
  <si>
    <t>in bag</t>
  </si>
  <si>
    <t>Weight of a single mesh harvest bag (lbs)</t>
  </si>
  <si>
    <t>kg per lb</t>
  </si>
  <si>
    <t>wt in bag</t>
  </si>
  <si>
    <t>Weight of a single subsample bag (lbs)</t>
  </si>
  <si>
    <t>Combined</t>
  </si>
  <si>
    <t>Weight</t>
  </si>
  <si>
    <t>Column H - Weight of bulk cotton subsample in bag prior to ginning (lbs)</t>
  </si>
  <si>
    <t>Column I - Weight of combined bulk cotton samples. Material from neighboring harvest areas were combined prior to ginning (1&amp;20,2&amp;19,…9&amp;12,10&amp;11,21&amp;40,22&amp;39,…29&amp;32,30&amp;31) (lbs)</t>
  </si>
  <si>
    <t>wt in bin</t>
  </si>
  <si>
    <t>Weight of bag for fiber at gin (lbs)</t>
  </si>
  <si>
    <t>Column J - Weight of fiber in bag after ginning (lbs)</t>
  </si>
  <si>
    <t>Weight of seed bin at gin (lbs)</t>
  </si>
  <si>
    <t>Column L - Fiber fraction after ginning (FFRAC, g/g)</t>
  </si>
  <si>
    <t>Column M - Seed fraction after ginning (SFRAC, g/g)</t>
  </si>
  <si>
    <t>Column N - Trash fraction after ginning (TFRAC, g/g)</t>
  </si>
  <si>
    <t>Column O - Wet fiber weight at harvest (WFWAH, kg/ha)</t>
  </si>
  <si>
    <t>Column P - Wet seed weight at harvest (WSWAH, kg/ha)</t>
  </si>
  <si>
    <t>Column Q - Wet seed cotton weight at harvest (fiber + seed) (WSCWAH, kg/ha)</t>
  </si>
  <si>
    <t>Plot-scale calculations</t>
  </si>
  <si>
    <t>p01</t>
  </si>
  <si>
    <t>p03</t>
  </si>
  <si>
    <t>p09</t>
  </si>
  <si>
    <t>p10</t>
  </si>
  <si>
    <t>wt in bags</t>
  </si>
  <si>
    <t>wt in bins</t>
  </si>
  <si>
    <t>Plot</t>
  </si>
  <si>
    <t>Lint</t>
  </si>
  <si>
    <t>Cottonseed</t>
  </si>
  <si>
    <t>Original</t>
  </si>
  <si>
    <t>Spreadsheet</t>
  </si>
  <si>
    <t>Column E - Weight of machine-picked cotton in bag (lbs). Machine harvest 2 rows by 14.476 m into mesh bags. Weigh in field using IQ plus 390-DC scale.</t>
  </si>
  <si>
    <t>Column G - Ginning Date (GNDAT, mm/dd/yyyy). Ginned using the MAC large gin with cleaners.</t>
  </si>
  <si>
    <t>Column K - Weight of fuzzy seed in bin after ginning (lbs)</t>
  </si>
  <si>
    <t>Zone-scale calculations</t>
  </si>
  <si>
    <t>ZID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</si>
  <si>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</si>
  <si>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</si>
  <si>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</si>
  <si>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</si>
  <si>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</si>
  <si>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</si>
  <si>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</si>
  <si>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</si>
  <si>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</si>
  <si>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</si>
  <si>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</si>
  <si>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</si>
  <si>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</si>
  <si>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</si>
  <si>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</si>
  <si>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</si>
  <si>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</si>
  <si>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</si>
  <si>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</si>
  <si>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</si>
  <si>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</si>
  <si>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</si>
  <si>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</si>
  <si>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</si>
  <si>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</si>
  <si>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</si>
  <si>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</si>
  <si>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</si>
  <si>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</si>
  <si>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</si>
  <si>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</si>
  <si>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</si>
  <si>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</si>
  <si>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</si>
  <si>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</si>
  <si>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</si>
  <si>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</si>
  <si>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</si>
  <si>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</si>
  <si>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</si>
  <si>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</si>
  <si>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</si>
  <si>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</si>
  <si>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</si>
  <si>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</si>
  <si>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</si>
  <si>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</si>
  <si>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</si>
  <si>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</si>
  <si>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</si>
  <si>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</si>
  <si>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</si>
  <si>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</si>
  <si>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</si>
  <si>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</si>
  <si>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</si>
  <si>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</si>
  <si>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</si>
  <si>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</si>
  <si>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</si>
  <si>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</si>
  <si>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</si>
  <si>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</si>
  <si>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</si>
  <si>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</si>
  <si>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</si>
  <si>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</si>
  <si>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</si>
  <si>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</si>
  <si>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</si>
  <si>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</si>
  <si>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</si>
  <si>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</si>
  <si>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</si>
  <si>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</si>
  <si>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</si>
  <si>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</si>
  <si>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</si>
  <si>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</si>
  <si>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</si>
  <si>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</si>
  <si>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</si>
  <si>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</si>
  <si>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</si>
  <si>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</si>
  <si>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</si>
  <si>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</si>
  <si>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</si>
  <si>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</si>
  <si>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</si>
  <si>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</si>
  <si>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</si>
  <si>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</si>
  <si>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</si>
  <si>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</si>
  <si>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</si>
  <si>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</si>
  <si>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</si>
  <si>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</si>
  <si>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</si>
  <si>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</si>
  <si>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</si>
  <si>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</si>
  <si>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</si>
  <si>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</si>
  <si>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</si>
  <si>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</si>
  <si>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</si>
  <si>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</si>
  <si>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</si>
  <si>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</si>
  <si>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</si>
  <si>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</si>
  <si>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</si>
  <si>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</si>
  <si>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</si>
  <si>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</si>
  <si>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</si>
  <si>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</si>
  <si>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</si>
  <si>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</si>
  <si>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</si>
  <si>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</si>
  <si>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</si>
  <si>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</si>
  <si>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</si>
  <si>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</si>
  <si>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</si>
  <si>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</si>
  <si>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</si>
  <si>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</si>
  <si>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</si>
  <si>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</si>
  <si>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</si>
  <si>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</si>
  <si>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</si>
  <si>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</si>
  <si>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</si>
  <si>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</si>
  <si>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</si>
  <si>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</si>
  <si>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</si>
  <si>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</si>
  <si>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</si>
  <si>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</si>
  <si>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</si>
  <si>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</si>
  <si>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</si>
  <si>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</si>
  <si>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</si>
  <si>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</si>
  <si>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</si>
  <si>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</si>
  <si>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</si>
  <si>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</si>
  <si>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</si>
  <si>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</si>
  <si>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</si>
  <si>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</si>
  <si>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</si>
  <si>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</si>
  <si>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</si>
  <si>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</si>
  <si>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</si>
  <si>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</si>
  <si>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</si>
  <si>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</si>
  <si>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</si>
  <si>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</si>
  <si>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</si>
  <si>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</si>
  <si>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</si>
  <si>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</si>
  <si>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</si>
  <si>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</si>
  <si>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</si>
  <si>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</si>
  <si>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</si>
  <si>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</si>
  <si>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</si>
  <si>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</si>
  <si>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</si>
  <si>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</si>
  <si>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</si>
  <si>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</si>
  <si>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</si>
  <si>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</si>
  <si>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</si>
  <si>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</si>
  <si>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</si>
  <si>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</si>
  <si>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</si>
  <si>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</si>
  <si>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</si>
  <si>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</si>
  <si>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</si>
  <si>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</si>
  <si>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</si>
  <si>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</si>
  <si>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</si>
  <si>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</si>
  <si>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</si>
  <si>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</si>
  <si>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</si>
  <si>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</si>
  <si>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</si>
  <si>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</si>
  <si>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</si>
  <si>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</si>
  <si>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</si>
  <si>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</si>
  <si>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</si>
  <si>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</si>
  <si>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</si>
  <si>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</si>
  <si>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</si>
  <si>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</si>
  <si>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</si>
  <si>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</si>
  <si>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</si>
  <si>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</si>
  <si>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</si>
  <si>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</si>
  <si>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</si>
  <si>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</si>
  <si>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</si>
  <si>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</si>
  <si>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</si>
  <si>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</si>
  <si>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</si>
  <si>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</si>
  <si>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</si>
  <si>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</si>
  <si>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</si>
  <si>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</si>
  <si>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</si>
  <si>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</si>
  <si>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</si>
  <si>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</si>
  <si>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</si>
  <si>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</si>
  <si>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</si>
  <si>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</si>
  <si>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</si>
  <si>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</si>
  <si>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</si>
  <si>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</si>
  <si>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</si>
  <si>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</si>
  <si>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</si>
  <si>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</si>
  <si>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</si>
  <si>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</si>
  <si>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</si>
  <si>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</si>
  <si>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</si>
  <si>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</si>
  <si>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</si>
  <si>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</si>
  <si>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</si>
  <si>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</si>
  <si>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</si>
  <si>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</si>
  <si>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</si>
  <si>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</si>
  <si>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</si>
  <si>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</si>
  <si>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</si>
  <si>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</si>
  <si>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</si>
  <si>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</si>
  <si>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</si>
  <si>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</si>
  <si>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</si>
  <si>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</si>
  <si>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</si>
  <si>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</si>
  <si>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</si>
  <si>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</si>
  <si>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</si>
  <si>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</si>
  <si>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</si>
  <si>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</si>
  <si>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</si>
  <si>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</si>
  <si>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</si>
  <si>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</si>
  <si>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</si>
  <si>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</si>
  <si>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</si>
  <si>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</si>
  <si>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</si>
  <si>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</si>
  <si>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</si>
  <si>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</si>
  <si>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</si>
  <si>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</si>
  <si>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</si>
  <si>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</si>
  <si>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</si>
  <si>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p1601</t>
  </si>
  <si>
    <t>p1602</t>
  </si>
  <si>
    <t>p1603</t>
  </si>
  <si>
    <t>p1604</t>
  </si>
  <si>
    <t>p1605</t>
  </si>
  <si>
    <t>p1606</t>
  </si>
  <si>
    <t>p1607</t>
  </si>
  <si>
    <t>p1608</t>
  </si>
  <si>
    <t>p1609</t>
  </si>
  <si>
    <t>p1610</t>
  </si>
  <si>
    <t>p1611</t>
  </si>
  <si>
    <t>p1612</t>
  </si>
  <si>
    <t>p1613</t>
  </si>
  <si>
    <t>p1614</t>
  </si>
  <si>
    <t>p1615</t>
  </si>
  <si>
    <t>p1616</t>
  </si>
  <si>
    <t>p1617</t>
  </si>
  <si>
    <t>p1618</t>
  </si>
  <si>
    <t>p1619</t>
  </si>
  <si>
    <t>p1620</t>
  </si>
  <si>
    <t>←Cell width→</t>
  </si>
  <si>
    <t>2 row buffer</t>
  </si>
  <si>
    <t>2 rows</t>
  </si>
  <si>
    <t>Buffer</t>
  </si>
  <si>
    <t>KRT GIS IntraPlot Numbering</t>
  </si>
  <si>
    <t>North  ↑</t>
  </si>
  <si>
    <t>↓</t>
  </si>
  <si>
    <t>↑</t>
  </si>
  <si>
    <t>General Plot Map for Harvesting</t>
  </si>
  <si>
    <t>Problems processing?</t>
  </si>
  <si>
    <t>Problems picking?</t>
  </si>
  <si>
    <t>There was also a buffer area (?? ') on the North and South ends of the borders.</t>
  </si>
  <si>
    <t>Two rows on the East and 2 rows on the West were buffer rows, and not harvested.</t>
  </si>
  <si>
    <t>In each of the 17 borders, 40 samples were collected.</t>
  </si>
  <si>
    <t>Using a 2-row picker and bagging the samples  (in 2 bags) from a 50' strip.</t>
  </si>
  <si>
    <r>
      <t xml:space="preserve">Cotton in field 33 was harvested </t>
    </r>
    <r>
      <rPr>
        <b/>
        <i/>
        <sz val="11"/>
        <color theme="1"/>
        <rFont val="Calibri"/>
        <family val="2"/>
        <scheme val="minor"/>
      </rPr>
      <t>on these dates</t>
    </r>
  </si>
  <si>
    <t>KRT GIS plots</t>
  </si>
  <si>
    <t>Wt (kg/ha)</t>
  </si>
  <si>
    <t>Wt (kg)</t>
  </si>
  <si>
    <t>Wt(lbs)</t>
  </si>
  <si>
    <t>Ave wt. per 50' :</t>
  </si>
  <si>
    <t>Total Weight (lbs)</t>
  </si>
  <si>
    <t>Weight Bag B (lbs)</t>
  </si>
  <si>
    <t>Weight Bag A (lbs)</t>
  </si>
  <si>
    <t>Samp. #</t>
  </si>
  <si>
    <t>Only 1 bag harvested per 50foot length</t>
  </si>
  <si>
    <t>Date:</t>
  </si>
  <si>
    <t>12 Oct &amp; 13 Oct</t>
  </si>
  <si>
    <t>???</t>
  </si>
  <si>
    <t>Border #</t>
  </si>
  <si>
    <t>NDB</t>
  </si>
  <si>
    <t>MAC</t>
  </si>
  <si>
    <t>NDA</t>
  </si>
  <si>
    <t>FAO</t>
  </si>
  <si>
    <t>GIS Plot#</t>
  </si>
  <si>
    <t>Harvest Date:</t>
  </si>
  <si>
    <t xml:space="preserve">Weights recorded are the harvested cotton and the large mesh bag (not tared).  Weighed 2 mesh bags later -     1.06 lb &amp; 1.10 lb </t>
  </si>
  <si>
    <t>Data entered by SMM on 14 Oct</t>
  </si>
  <si>
    <t>Plots highlighted in yellow = the picker driver didn't stop between sample cells and samples are mixed (either mixed a lot, or a little)</t>
  </si>
  <si>
    <r>
      <t>Weight is harvested cotton in mesh bag.  Using U ofA'a scale (</t>
    </r>
    <r>
      <rPr>
        <b/>
        <sz val="11"/>
        <rFont val="Calibri"/>
        <family val="2"/>
      </rPr>
      <t>IQ plus 390-DC</t>
    </r>
    <r>
      <rPr>
        <sz val="11"/>
        <rFont val="Calibri"/>
        <family val="2"/>
        <scheme val="minor"/>
      </rPr>
      <t xml:space="preserve"> is listed on digital read-out).  Same scale as last time.</t>
    </r>
  </si>
  <si>
    <t>Two bags used to collect harvested cotton for each 50' length.  Bags "A" and "B" in no particular order.  "A" &amp; "B" are not from equal lenths of rows.</t>
  </si>
  <si>
    <t>Harvested sample weights</t>
  </si>
  <si>
    <t>Cotton Harvest</t>
  </si>
  <si>
    <t>FISE Cotton 2011 -- Large Field Experiment</t>
  </si>
  <si>
    <t>Total raw cotton/cell (lb)</t>
  </si>
  <si>
    <t xml:space="preserve">Cell # </t>
  </si>
  <si>
    <t>oops- no sample collected</t>
  </si>
  <si>
    <t>Bag &amp; cotton (lbs)</t>
  </si>
  <si>
    <r>
      <t xml:space="preserve">Weights are weights of bag and cotton.  Weight of bag &amp; 4 staples alone is     0.16   </t>
    </r>
    <r>
      <rPr>
        <b/>
        <u/>
        <sz val="16"/>
        <color indexed="53"/>
        <rFont val="Calibri"/>
        <family val="2"/>
      </rPr>
      <t xml:space="preserve"> lb</t>
    </r>
  </si>
  <si>
    <t>Subsample weights</t>
  </si>
  <si>
    <t>30 &amp; 31</t>
  </si>
  <si>
    <t>29 &amp; 32</t>
  </si>
  <si>
    <t>28 &amp; 33</t>
  </si>
  <si>
    <t>27 &amp; 34</t>
  </si>
  <si>
    <t>26 &amp; 35</t>
  </si>
  <si>
    <t>25 &amp; 36</t>
  </si>
  <si>
    <t>24 &amp; 37</t>
  </si>
  <si>
    <t>23 &amp; 38</t>
  </si>
  <si>
    <t>22 &amp; 39</t>
  </si>
  <si>
    <t>Only 1 bag of sample</t>
  </si>
  <si>
    <t>21 &amp; 40</t>
  </si>
  <si>
    <t>10 &amp; 11</t>
  </si>
  <si>
    <t xml:space="preserve"> 9 &amp; 12</t>
  </si>
  <si>
    <t>8 &amp; 13</t>
  </si>
  <si>
    <t>7 &amp; 14</t>
  </si>
  <si>
    <t>6 &amp; 15</t>
  </si>
  <si>
    <t>5 &amp; 16</t>
  </si>
  <si>
    <t>4 &amp; 17</t>
  </si>
  <si>
    <t>3 &amp; 18</t>
  </si>
  <si>
    <t>2 &amp; 19</t>
  </si>
  <si>
    <t>1 &amp; 20</t>
  </si>
  <si>
    <t>Notes</t>
  </si>
  <si>
    <t xml:space="preserve">Trash &amp; lost Fraction </t>
  </si>
  <si>
    <t xml:space="preserve">Seed Fraction </t>
  </si>
  <si>
    <t xml:space="preserve">Lint Fraction </t>
  </si>
  <si>
    <t>Seed in container (lb)</t>
  </si>
  <si>
    <t>Lint in bag (lb)</t>
  </si>
  <si>
    <t>Subsample #s</t>
  </si>
  <si>
    <t>Samp. # (Cell #)</t>
  </si>
  <si>
    <t>27 &amp; 28 Oct 11</t>
  </si>
  <si>
    <t>→ Unhide columns here ←</t>
  </si>
  <si>
    <t xml:space="preserve">Used scale  </t>
  </si>
  <si>
    <t>Except for seed container used for plot 17, sample 1 (0.76 lbs)</t>
  </si>
  <si>
    <t>Bag holding lint -  1.04 lb;   container holding seed -  1.70 lb</t>
  </si>
  <si>
    <t>Some trash in with seed</t>
  </si>
  <si>
    <t>Each ginned sample (cell) consists of 2 subsamples of the cottong picked from that cell.</t>
  </si>
  <si>
    <t xml:space="preserve">Cotton ginning -- each border of cotton had 20 cells (each cell 4 rows wide).   The cotton picker made 2 passes through each cell. </t>
  </si>
  <si>
    <t>FISE Cotton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</si>
</sst>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mm/dd/yyyy"/>
    <numFmt numFmtId="167" formatCode="00"/>
  </numFmts>
  <fonts count="4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indexed="8"/>
      <name val="Calibri"/>
      <family val="2"/>
    </font>
    <font>
      <sz val="9"/>
      <color indexed="8"/>
      <name val="Calibri"/>
      <family val="2"/>
    </font>
    <font>
      <b/>
      <sz val="16"/>
      <color indexed="8"/>
      <name val="Calibri"/>
      <family val="2"/>
    </font>
    <font>
      <b/>
      <sz val="20"/>
      <color indexed="8"/>
      <name val="Calibri"/>
      <family val="2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  <font>
      <sz val="13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8"/>
      <name val="Calibri"/>
      <family val="2"/>
    </font>
    <font>
      <b/>
      <sz val="11"/>
      <color rgb="FFFF0000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  <scheme val="minor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sz val="14"/>
      <name val="Calibri"/>
      <family val="2"/>
    </font>
    <font>
      <sz val="8"/>
      <name val="Arial Narrow"/>
      <family val="2"/>
    </font>
    <font>
      <b/>
      <sz val="12"/>
      <color indexed="8"/>
      <name val="Calibri"/>
      <family val="2"/>
    </font>
    <font>
      <sz val="11"/>
      <color indexed="18"/>
      <name val="Calibri"/>
      <family val="2"/>
    </font>
    <font>
      <b/>
      <sz val="18"/>
      <color indexed="8"/>
      <name val="Calibri"/>
      <family val="2"/>
    </font>
    <font>
      <sz val="11"/>
      <color indexed="60"/>
      <name val="Calibri"/>
      <family val="2"/>
    </font>
    <font>
      <b/>
      <sz val="14"/>
      <color indexed="53"/>
      <name val="Calibri"/>
      <family val="2"/>
    </font>
    <font>
      <b/>
      <u/>
      <sz val="16"/>
      <color indexed="53"/>
      <name val="Calibri"/>
      <family val="2"/>
    </font>
    <font>
      <sz val="12"/>
      <color indexed="8"/>
      <name val="Calibri"/>
      <family val="2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3"/>
      <color indexed="8"/>
      <name val="Arial Narrow"/>
      <family val="2"/>
    </font>
    <font>
      <b/>
      <sz val="14"/>
      <color indexed="8"/>
      <name val="Arial Black"/>
      <family val="2"/>
    </font>
    <font>
      <sz val="8"/>
      <color indexed="8"/>
      <name val="Calibri"/>
      <family val="2"/>
    </font>
    <font>
      <b/>
      <sz val="11"/>
      <color indexed="8"/>
      <name val="Arial"/>
      <family val="2"/>
    </font>
    <font>
      <b/>
      <sz val="12"/>
      <color indexed="8"/>
      <name val="Arial Rounded MT Bold"/>
      <family val="2"/>
    </font>
    <font>
      <b/>
      <sz val="11"/>
      <color indexed="8"/>
      <name val="Arial Narrow"/>
      <family val="2"/>
    </font>
    <font>
      <b/>
      <sz val="10"/>
      <color indexed="8"/>
      <name val="Arial Narrow"/>
      <family val="2"/>
    </font>
    <font>
      <sz val="13"/>
      <color indexed="8"/>
      <name val="Arial Narrow"/>
      <family val="2"/>
    </font>
    <font>
      <b/>
      <sz val="12"/>
      <color rgb="FFFF0000"/>
      <name val="Calibri"/>
      <family val="2"/>
      <scheme val="minor"/>
    </font>
    <font>
      <b/>
      <sz val="14"/>
      <color indexed="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medium">
        <color indexed="8"/>
      </right>
      <top style="medium">
        <color indexed="8"/>
      </top>
      <bottom style="thick">
        <color auto="1"/>
      </bottom>
      <diagonal/>
    </border>
    <border>
      <left style="medium">
        <color indexed="8"/>
      </left>
      <right/>
      <top style="medium">
        <color indexed="8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ck">
        <color auto="1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medium">
        <color indexed="8"/>
      </right>
      <top style="thick">
        <color indexed="8"/>
      </top>
      <bottom style="medium">
        <color indexed="8"/>
      </bottom>
      <diagonal/>
    </border>
    <border>
      <left style="medium">
        <color indexed="8"/>
      </left>
      <right/>
      <top style="thick">
        <color indexed="8"/>
      </top>
      <bottom style="medium">
        <color indexed="8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165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66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3" borderId="0" xfId="0" applyFill="1"/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8" fillId="0" borderId="0" xfId="0" applyFont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64" fontId="12" fillId="0" borderId="17" xfId="0" applyNumberFormat="1" applyFont="1" applyBorder="1" applyAlignment="1">
      <alignment horizontal="center" vertical="center"/>
    </xf>
    <xf numFmtId="164" fontId="13" fillId="0" borderId="17" xfId="0" applyNumberFormat="1" applyFont="1" applyBorder="1" applyAlignment="1">
      <alignment horizontal="center"/>
    </xf>
    <xf numFmtId="164" fontId="13" fillId="0" borderId="17" xfId="0" applyNumberFormat="1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5" fillId="0" borderId="0" xfId="0" applyFont="1"/>
    <xf numFmtId="164" fontId="12" fillId="2" borderId="17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167" fontId="14" fillId="0" borderId="1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wrapText="1"/>
    </xf>
    <xf numFmtId="0" fontId="10" fillId="0" borderId="0" xfId="0" applyFont="1"/>
    <xf numFmtId="15" fontId="9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15" fontId="9" fillId="0" borderId="0" xfId="0" applyNumberFormat="1" applyFont="1" applyAlignment="1">
      <alignment horizontal="left"/>
    </xf>
    <xf numFmtId="0" fontId="17" fillId="0" borderId="0" xfId="0" applyFont="1" applyAlignment="1">
      <alignment horizontal="center"/>
    </xf>
    <xf numFmtId="164" fontId="13" fillId="2" borderId="17" xfId="0" applyNumberFormat="1" applyFont="1" applyFill="1" applyBorder="1" applyAlignment="1">
      <alignment horizontal="center"/>
    </xf>
    <xf numFmtId="0" fontId="8" fillId="0" borderId="19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4" fillId="0" borderId="0" xfId="0" applyFont="1" applyAlignment="1">
      <alignment horizontal="center" vertical="center"/>
    </xf>
    <xf numFmtId="164" fontId="12" fillId="3" borderId="17" xfId="0" applyNumberFormat="1" applyFont="1" applyFill="1" applyBorder="1" applyAlignment="1">
      <alignment horizontal="center" vertical="center"/>
    </xf>
    <xf numFmtId="164" fontId="13" fillId="3" borderId="17" xfId="0" applyNumberFormat="1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167" fontId="14" fillId="2" borderId="1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0" fillId="3" borderId="0" xfId="0" applyFont="1" applyFill="1"/>
    <xf numFmtId="0" fontId="14" fillId="0" borderId="0" xfId="0" applyFont="1"/>
    <xf numFmtId="2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2" fontId="23" fillId="0" borderId="17" xfId="0" applyNumberFormat="1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top" wrapText="1"/>
    </xf>
    <xf numFmtId="2" fontId="23" fillId="2" borderId="17" xfId="0" applyNumberFormat="1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/>
    </xf>
    <xf numFmtId="0" fontId="26" fillId="0" borderId="0" xfId="0" applyFont="1" applyAlignment="1">
      <alignment horizontal="centerContinuous" wrapText="1"/>
    </xf>
    <xf numFmtId="0" fontId="4" fillId="0" borderId="0" xfId="0" applyFont="1"/>
    <xf numFmtId="0" fontId="27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0" fillId="0" borderId="0" xfId="0" applyAlignment="1">
      <alignment horizontal="centerContinuous"/>
    </xf>
    <xf numFmtId="0" fontId="28" fillId="0" borderId="0" xfId="0" applyFont="1" applyAlignment="1">
      <alignment horizontal="centerContinuous" wrapText="1"/>
    </xf>
    <xf numFmtId="0" fontId="29" fillId="0" borderId="0" xfId="0" applyFont="1"/>
    <xf numFmtId="0" fontId="25" fillId="0" borderId="0" xfId="0" applyFont="1"/>
    <xf numFmtId="0" fontId="31" fillId="0" borderId="0" xfId="0" applyFont="1"/>
    <xf numFmtId="0" fontId="21" fillId="0" borderId="0" xfId="0" applyFont="1"/>
    <xf numFmtId="164" fontId="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2" fontId="25" fillId="0" borderId="0" xfId="0" applyNumberFormat="1" applyFont="1" applyAlignment="1">
      <alignment horizontal="right" vertical="center"/>
    </xf>
    <xf numFmtId="2" fontId="4" fillId="0" borderId="0" xfId="0" applyNumberFormat="1" applyFont="1" applyAlignment="1">
      <alignment horizontal="center" vertical="center"/>
    </xf>
    <xf numFmtId="164" fontId="32" fillId="0" borderId="17" xfId="0" applyNumberFormat="1" applyFont="1" applyBorder="1" applyAlignment="1">
      <alignment horizontal="center" vertical="center"/>
    </xf>
    <xf numFmtId="2" fontId="33" fillId="0" borderId="17" xfId="0" applyNumberFormat="1" applyFont="1" applyBorder="1" applyAlignment="1">
      <alignment horizontal="center" vertical="center"/>
    </xf>
    <xf numFmtId="164" fontId="34" fillId="0" borderId="17" xfId="0" applyNumberFormat="1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64" fontId="33" fillId="0" borderId="17" xfId="0" applyNumberFormat="1" applyFont="1" applyBorder="1" applyAlignment="1">
      <alignment horizontal="center" vertical="center"/>
    </xf>
    <xf numFmtId="164" fontId="3" fillId="0" borderId="17" xfId="0" applyNumberFormat="1" applyFont="1" applyBorder="1" applyAlignment="1">
      <alignment horizontal="left" vertical="center"/>
    </xf>
    <xf numFmtId="164" fontId="36" fillId="0" borderId="17" xfId="0" applyNumberFormat="1" applyFont="1" applyBorder="1" applyAlignment="1">
      <alignment horizontal="center" vertical="center"/>
    </xf>
    <xf numFmtId="0" fontId="0" fillId="0" borderId="17" xfId="0" applyBorder="1"/>
    <xf numFmtId="167" fontId="35" fillId="0" borderId="17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horizontal="center" wrapText="1"/>
    </xf>
    <xf numFmtId="0" fontId="39" fillId="0" borderId="18" xfId="0" applyFont="1" applyBorder="1" applyAlignment="1">
      <alignment horizontal="center" wrapText="1"/>
    </xf>
    <xf numFmtId="0" fontId="40" fillId="0" borderId="18" xfId="0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5" fontId="2" fillId="0" borderId="0" xfId="0" applyNumberFormat="1" applyFont="1" applyAlignment="1">
      <alignment horizontal="left"/>
    </xf>
    <xf numFmtId="2" fontId="32" fillId="0" borderId="17" xfId="0" applyNumberFormat="1" applyFont="1" applyBorder="1" applyAlignment="1">
      <alignment horizontal="center" vertical="center"/>
    </xf>
    <xf numFmtId="2" fontId="36" fillId="0" borderId="17" xfId="0" applyNumberFormat="1" applyFont="1" applyBorder="1" applyAlignment="1">
      <alignment horizontal="center" vertical="center" wrapText="1"/>
    </xf>
    <xf numFmtId="0" fontId="33" fillId="0" borderId="17" xfId="0" quotePrefix="1" applyFont="1" applyBorder="1" applyAlignment="1">
      <alignment horizontal="center" vertical="center"/>
    </xf>
    <xf numFmtId="2" fontId="41" fillId="0" borderId="17" xfId="0" applyNumberFormat="1" applyFont="1" applyBorder="1" applyAlignment="1">
      <alignment horizontal="center" vertical="center"/>
    </xf>
    <xf numFmtId="164" fontId="36" fillId="0" borderId="17" xfId="0" applyNumberFormat="1" applyFont="1" applyBorder="1" applyAlignment="1">
      <alignment horizontal="center" vertical="center" wrapText="1"/>
    </xf>
    <xf numFmtId="0" fontId="37" fillId="0" borderId="18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42" fillId="0" borderId="0" xfId="0" applyFont="1"/>
    <xf numFmtId="0" fontId="4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WFWAH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Compare!$N$4:$N$5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xVal>
          <c:yVal>
            <c:numRef>
              <c:f>Compare!$N$4:$N$5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8A-4444-9400-AF06D4A3584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Compare!$B$7:$B$22</c:f>
              <c:numCache>
                <c:formatCode>General</c:formatCode>
                <c:ptCount val="16"/>
                <c:pt idx="0">
                  <c:v>1398.6065288048458</c:v>
                </c:pt>
                <c:pt idx="1">
                  <c:v>1563.1484883531657</c:v>
                </c:pt>
                <c:pt idx="2">
                  <c:v>1368.5258833864855</c:v>
                </c:pt>
                <c:pt idx="3">
                  <c:v>1692.14509569343</c:v>
                </c:pt>
                <c:pt idx="4">
                  <c:v>1708.5412207535396</c:v>
                </c:pt>
                <c:pt idx="5">
                  <c:v>1598.2501105034166</c:v>
                </c:pt>
                <c:pt idx="6">
                  <c:v>1671.2312276847435</c:v>
                </c:pt>
                <c:pt idx="7">
                  <c:v>1757.1442338004388</c:v>
                </c:pt>
                <c:pt idx="8">
                  <c:v>1461.4396484272722</c:v>
                </c:pt>
                <c:pt idx="9">
                  <c:v>1923.54030760053</c:v>
                </c:pt>
                <c:pt idx="10">
                  <c:v>1753.7772285655806</c:v>
                </c:pt>
                <c:pt idx="11">
                  <c:v>1383.6940820598359</c:v>
                </c:pt>
                <c:pt idx="12">
                  <c:v>1492.2575836385186</c:v>
                </c:pt>
                <c:pt idx="13">
                  <c:v>1443.0982688602539</c:v>
                </c:pt>
                <c:pt idx="14">
                  <c:v>1701.0724058575749</c:v>
                </c:pt>
                <c:pt idx="15">
                  <c:v>1247.3843570900185</c:v>
                </c:pt>
              </c:numCache>
            </c:numRef>
          </c:xVal>
          <c:yVal>
            <c:numRef>
              <c:f>'Plot Scale'!$N$7:$N$22</c:f>
              <c:numCache>
                <c:formatCode>0.0</c:formatCode>
                <c:ptCount val="16"/>
                <c:pt idx="0">
                  <c:v>1398.5121259765403</c:v>
                </c:pt>
                <c:pt idx="1">
                  <c:v>1562.8942728226295</c:v>
                </c:pt>
                <c:pt idx="2">
                  <c:v>1368.1976501999118</c:v>
                </c:pt>
                <c:pt idx="3">
                  <c:v>1689.7914431618708</c:v>
                </c:pt>
                <c:pt idx="4">
                  <c:v>1706.4923693794958</c:v>
                </c:pt>
                <c:pt idx="5">
                  <c:v>1597.111862063867</c:v>
                </c:pt>
                <c:pt idx="6">
                  <c:v>1671.3842585589382</c:v>
                </c:pt>
                <c:pt idx="7">
                  <c:v>1755.378950102486</c:v>
                </c:pt>
                <c:pt idx="8">
                  <c:v>1461.6805042527963</c:v>
                </c:pt>
                <c:pt idx="9">
                  <c:v>1923.6782293820136</c:v>
                </c:pt>
                <c:pt idx="10">
                  <c:v>1753.7322503146966</c:v>
                </c:pt>
                <c:pt idx="11">
                  <c:v>1382.6085543308207</c:v>
                </c:pt>
                <c:pt idx="12">
                  <c:v>1490.3507440201599</c:v>
                </c:pt>
                <c:pt idx="13">
                  <c:v>1456.958647118091</c:v>
                </c:pt>
                <c:pt idx="14">
                  <c:v>1702.3506993817994</c:v>
                </c:pt>
                <c:pt idx="15">
                  <c:v>1247.6688658476703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8A-4444-9400-AF06D4A35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335016"/>
        <c:axId val="751338256"/>
      </c:scatterChart>
      <c:valAx>
        <c:axId val="751335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 Spreadsheet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8256"/>
        <c:crosses val="autoZero"/>
        <c:crossBetween val="midCat"/>
      </c:valAx>
      <c:valAx>
        <c:axId val="7513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5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WSWAH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"1:1"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xVal>
          <c:yVal>
            <c:numRef>
              <c:f>Compare!$N$20:$N$21</c:f>
              <c:numCache>
                <c:formatCode>General</c:formatCode>
                <c:ptCount val="2"/>
                <c:pt idx="0">
                  <c:v>0</c:v>
                </c:pt>
                <c:pt idx="1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C9-44FD-8CE7-A7729FFEFAA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Compare!$C$7:$C$22</c:f>
              <c:numCache>
                <c:formatCode>General</c:formatCode>
                <c:ptCount val="16"/>
                <c:pt idx="0">
                  <c:v>2242.6001811130582</c:v>
                </c:pt>
                <c:pt idx="1">
                  <c:v>2718.8597970125725</c:v>
                </c:pt>
                <c:pt idx="2">
                  <c:v>2397.7731849181546</c:v>
                </c:pt>
                <c:pt idx="3">
                  <c:v>2953.0622135714511</c:v>
                </c:pt>
                <c:pt idx="4">
                  <c:v>2897.4368952200848</c:v>
                </c:pt>
                <c:pt idx="5">
                  <c:v>2736.6998273171448</c:v>
                </c:pt>
                <c:pt idx="6">
                  <c:v>2915.0885965382577</c:v>
                </c:pt>
                <c:pt idx="7">
                  <c:v>2906.907742607068</c:v>
                </c:pt>
                <c:pt idx="8">
                  <c:v>2423.1886204961952</c:v>
                </c:pt>
                <c:pt idx="9">
                  <c:v>3303.5234845536324</c:v>
                </c:pt>
                <c:pt idx="10">
                  <c:v>2971.2179574674101</c:v>
                </c:pt>
                <c:pt idx="11">
                  <c:v>2442.412209780111</c:v>
                </c:pt>
                <c:pt idx="12">
                  <c:v>2570.5247515433839</c:v>
                </c:pt>
                <c:pt idx="13">
                  <c:v>2566.8154409297954</c:v>
                </c:pt>
                <c:pt idx="14">
                  <c:v>2822.4012835863527</c:v>
                </c:pt>
                <c:pt idx="15">
                  <c:v>2088.1321819857026</c:v>
                </c:pt>
              </c:numCache>
            </c:numRef>
          </c:xVal>
          <c:yVal>
            <c:numRef>
              <c:f>'Plot Scale'!$O$7:$O$22</c:f>
              <c:numCache>
                <c:formatCode>0.0</c:formatCode>
                <c:ptCount val="16"/>
                <c:pt idx="0">
                  <c:v>2240.3475719893581</c:v>
                </c:pt>
                <c:pt idx="1">
                  <c:v>2716.8393112194326</c:v>
                </c:pt>
                <c:pt idx="2">
                  <c:v>2395.3608712698774</c:v>
                </c:pt>
                <c:pt idx="3">
                  <c:v>2951.6657368125293</c:v>
                </c:pt>
                <c:pt idx="4">
                  <c:v>2896.1558663726041</c:v>
                </c:pt>
                <c:pt idx="5">
                  <c:v>2732.8867730581146</c:v>
                </c:pt>
                <c:pt idx="6">
                  <c:v>2913.6404036047097</c:v>
                </c:pt>
                <c:pt idx="7">
                  <c:v>2904.7543668041153</c:v>
                </c:pt>
                <c:pt idx="8">
                  <c:v>2420.9320884270201</c:v>
                </c:pt>
                <c:pt idx="9">
                  <c:v>3299.8768847098868</c:v>
                </c:pt>
                <c:pt idx="10">
                  <c:v>2969.7033480703708</c:v>
                </c:pt>
                <c:pt idx="11">
                  <c:v>2441.7483799743213</c:v>
                </c:pt>
                <c:pt idx="12">
                  <c:v>2568.5042208955897</c:v>
                </c:pt>
                <c:pt idx="13">
                  <c:v>2585.7088413809342</c:v>
                </c:pt>
                <c:pt idx="14">
                  <c:v>2820.3224593974501</c:v>
                </c:pt>
                <c:pt idx="15">
                  <c:v>2088.3704352607901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C9-44FD-8CE7-A7729FFEF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1335016"/>
        <c:axId val="751338256"/>
      </c:scatterChart>
      <c:valAx>
        <c:axId val="751335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Original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8256"/>
        <c:crosses val="autoZero"/>
        <c:crossBetween val="midCat"/>
      </c:valAx>
      <c:valAx>
        <c:axId val="75133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This</a:t>
                </a:r>
                <a:r>
                  <a:rPr lang="en-US" baseline="0"/>
                  <a:t> Spreadsheet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35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2</xdr:row>
      <xdr:rowOff>170497</xdr:rowOff>
    </xdr:from>
    <xdr:to>
      <xdr:col>11</xdr:col>
      <xdr:colOff>428625</xdr:colOff>
      <xdr:row>18</xdr:row>
      <xdr:rowOff>16192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A2044-09E0-DA3D-E846-D67E5964A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18</xdr:row>
      <xdr:rowOff>171450</xdr:rowOff>
    </xdr:from>
    <xdr:to>
      <xdr:col>11</xdr:col>
      <xdr:colOff>371475</xdr:colOff>
      <xdr:row>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F3DFA-D015-415E-A692-DDE06A7AB2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95417</xdr:colOff>
      <xdr:row>14</xdr:row>
      <xdr:rowOff>151075</xdr:rowOff>
    </xdr:from>
    <xdr:to>
      <xdr:col>5</xdr:col>
      <xdr:colOff>532737</xdr:colOff>
      <xdr:row>14</xdr:row>
      <xdr:rowOff>310100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2885682-A30D-45E7-B6A0-A5FECA230DC5}"/>
            </a:ext>
          </a:extLst>
        </xdr:cNvPr>
        <xdr:cNvGrpSpPr/>
      </xdr:nvGrpSpPr>
      <xdr:grpSpPr>
        <a:xfrm>
          <a:off x="3114842" y="3284800"/>
          <a:ext cx="437320" cy="159025"/>
          <a:chOff x="3384365" y="2789462"/>
          <a:chExt cx="437320" cy="159025"/>
        </a:xfrm>
      </xdr:grpSpPr>
      <xdr:sp macro="" textlink="">
        <xdr:nvSpPr>
          <xdr:cNvPr id="3" name="Cloud 2">
            <a:extLst>
              <a:ext uri="{FF2B5EF4-FFF2-40B4-BE49-F238E27FC236}">
                <a16:creationId xmlns:a16="http://schemas.microsoft.com/office/drawing/2014/main" id="{08570166-49F8-A299-019B-36EEACEC47DB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" name="Cloud 3">
            <a:extLst>
              <a:ext uri="{FF2B5EF4-FFF2-40B4-BE49-F238E27FC236}">
                <a16:creationId xmlns:a16="http://schemas.microsoft.com/office/drawing/2014/main" id="{257F6AF0-EA67-C82A-9FA9-6E246402A1A6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86741</xdr:colOff>
      <xdr:row>15</xdr:row>
      <xdr:rowOff>151798</xdr:rowOff>
    </xdr:from>
    <xdr:to>
      <xdr:col>5</xdr:col>
      <xdr:colOff>524061</xdr:colOff>
      <xdr:row>15</xdr:row>
      <xdr:rowOff>310823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B358E353-80BA-4D11-9164-F6B53A207599}"/>
            </a:ext>
          </a:extLst>
        </xdr:cNvPr>
        <xdr:cNvGrpSpPr/>
      </xdr:nvGrpSpPr>
      <xdr:grpSpPr>
        <a:xfrm>
          <a:off x="3106166" y="3857023"/>
          <a:ext cx="437320" cy="159025"/>
          <a:chOff x="3384365" y="2789462"/>
          <a:chExt cx="437320" cy="159025"/>
        </a:xfrm>
      </xdr:grpSpPr>
      <xdr:sp macro="" textlink="">
        <xdr:nvSpPr>
          <xdr:cNvPr id="6" name="Cloud 5">
            <a:extLst>
              <a:ext uri="{FF2B5EF4-FFF2-40B4-BE49-F238E27FC236}">
                <a16:creationId xmlns:a16="http://schemas.microsoft.com/office/drawing/2014/main" id="{0B266EE7-69CB-912B-D901-5791908054AB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" name="Cloud 6">
            <a:extLst>
              <a:ext uri="{FF2B5EF4-FFF2-40B4-BE49-F238E27FC236}">
                <a16:creationId xmlns:a16="http://schemas.microsoft.com/office/drawing/2014/main" id="{DA1D8DB6-ACAC-595F-D974-152A75F44A9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93970</xdr:colOff>
      <xdr:row>16</xdr:row>
      <xdr:rowOff>166254</xdr:rowOff>
    </xdr:from>
    <xdr:to>
      <xdr:col>5</xdr:col>
      <xdr:colOff>531290</xdr:colOff>
      <xdr:row>16</xdr:row>
      <xdr:rowOff>325279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ACF3C856-8C36-451D-918C-5B48B137F605}"/>
            </a:ext>
          </a:extLst>
        </xdr:cNvPr>
        <xdr:cNvGrpSpPr/>
      </xdr:nvGrpSpPr>
      <xdr:grpSpPr>
        <a:xfrm>
          <a:off x="3113395" y="4442979"/>
          <a:ext cx="437320" cy="159025"/>
          <a:chOff x="3384365" y="2789462"/>
          <a:chExt cx="437320" cy="159025"/>
        </a:xfrm>
      </xdr:grpSpPr>
      <xdr:sp macro="" textlink="">
        <xdr:nvSpPr>
          <xdr:cNvPr id="9" name="Cloud 8">
            <a:extLst>
              <a:ext uri="{FF2B5EF4-FFF2-40B4-BE49-F238E27FC236}">
                <a16:creationId xmlns:a16="http://schemas.microsoft.com/office/drawing/2014/main" id="{46B8C50F-FAB5-74EB-0010-BF002DF94D82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0" name="Cloud 9">
            <a:extLst>
              <a:ext uri="{FF2B5EF4-FFF2-40B4-BE49-F238E27FC236}">
                <a16:creationId xmlns:a16="http://schemas.microsoft.com/office/drawing/2014/main" id="{14873240-9BE1-6258-71F6-0BB3F9D53D34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72284</xdr:colOff>
      <xdr:row>17</xdr:row>
      <xdr:rowOff>187940</xdr:rowOff>
    </xdr:from>
    <xdr:to>
      <xdr:col>5</xdr:col>
      <xdr:colOff>509604</xdr:colOff>
      <xdr:row>17</xdr:row>
      <xdr:rowOff>346965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0C9FE7F-B636-490C-8D0B-7F68CEB9F5EC}"/>
            </a:ext>
          </a:extLst>
        </xdr:cNvPr>
        <xdr:cNvGrpSpPr/>
      </xdr:nvGrpSpPr>
      <xdr:grpSpPr>
        <a:xfrm>
          <a:off x="3091709" y="5036165"/>
          <a:ext cx="437320" cy="159025"/>
          <a:chOff x="3384365" y="2789462"/>
          <a:chExt cx="437320" cy="159025"/>
        </a:xfrm>
      </xdr:grpSpPr>
      <xdr:sp macro="" textlink="">
        <xdr:nvSpPr>
          <xdr:cNvPr id="12" name="Cloud 11">
            <a:extLst>
              <a:ext uri="{FF2B5EF4-FFF2-40B4-BE49-F238E27FC236}">
                <a16:creationId xmlns:a16="http://schemas.microsoft.com/office/drawing/2014/main" id="{67E35825-21FC-0896-22C6-E2770FA5F6D6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" name="Cloud 12">
            <a:extLst>
              <a:ext uri="{FF2B5EF4-FFF2-40B4-BE49-F238E27FC236}">
                <a16:creationId xmlns:a16="http://schemas.microsoft.com/office/drawing/2014/main" id="{FBCD5C83-3055-31D6-F911-DE001173A4E6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86742</xdr:colOff>
      <xdr:row>18</xdr:row>
      <xdr:rowOff>159026</xdr:rowOff>
    </xdr:from>
    <xdr:to>
      <xdr:col>5</xdr:col>
      <xdr:colOff>524062</xdr:colOff>
      <xdr:row>18</xdr:row>
      <xdr:rowOff>318051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58C17784-2921-4B58-840F-A21207270AD8}"/>
            </a:ext>
          </a:extLst>
        </xdr:cNvPr>
        <xdr:cNvGrpSpPr/>
      </xdr:nvGrpSpPr>
      <xdr:grpSpPr>
        <a:xfrm>
          <a:off x="3106167" y="5578751"/>
          <a:ext cx="437320" cy="159025"/>
          <a:chOff x="3384365" y="2789462"/>
          <a:chExt cx="437320" cy="159025"/>
        </a:xfrm>
      </xdr:grpSpPr>
      <xdr:sp macro="" textlink="">
        <xdr:nvSpPr>
          <xdr:cNvPr id="15" name="Cloud 14">
            <a:extLst>
              <a:ext uri="{FF2B5EF4-FFF2-40B4-BE49-F238E27FC236}">
                <a16:creationId xmlns:a16="http://schemas.microsoft.com/office/drawing/2014/main" id="{06DAFA8B-BEEE-44E6-03AC-D89B45058969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6" name="Cloud 15">
            <a:extLst>
              <a:ext uri="{FF2B5EF4-FFF2-40B4-BE49-F238E27FC236}">
                <a16:creationId xmlns:a16="http://schemas.microsoft.com/office/drawing/2014/main" id="{B1A2BC2F-657B-D067-FBD2-27327786B480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79513</xdr:colOff>
      <xdr:row>19</xdr:row>
      <xdr:rowOff>159026</xdr:rowOff>
    </xdr:from>
    <xdr:to>
      <xdr:col>5</xdr:col>
      <xdr:colOff>516833</xdr:colOff>
      <xdr:row>19</xdr:row>
      <xdr:rowOff>318051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4F8C2980-30C3-440B-89EA-7455D808E701}"/>
            </a:ext>
          </a:extLst>
        </xdr:cNvPr>
        <xdr:cNvGrpSpPr/>
      </xdr:nvGrpSpPr>
      <xdr:grpSpPr>
        <a:xfrm>
          <a:off x="3098938" y="6150251"/>
          <a:ext cx="437320" cy="159025"/>
          <a:chOff x="3384365" y="2789462"/>
          <a:chExt cx="437320" cy="159025"/>
        </a:xfrm>
      </xdr:grpSpPr>
      <xdr:sp macro="" textlink="">
        <xdr:nvSpPr>
          <xdr:cNvPr id="18" name="Cloud 17">
            <a:extLst>
              <a:ext uri="{FF2B5EF4-FFF2-40B4-BE49-F238E27FC236}">
                <a16:creationId xmlns:a16="http://schemas.microsoft.com/office/drawing/2014/main" id="{045F61BD-3396-AC82-15C1-81EC2350CA94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9" name="Cloud 18">
            <a:extLst>
              <a:ext uri="{FF2B5EF4-FFF2-40B4-BE49-F238E27FC236}">
                <a16:creationId xmlns:a16="http://schemas.microsoft.com/office/drawing/2014/main" id="{40C0256E-E72D-D47F-35AD-BB75F719C819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72285</xdr:colOff>
      <xdr:row>20</xdr:row>
      <xdr:rowOff>144570</xdr:rowOff>
    </xdr:from>
    <xdr:to>
      <xdr:col>5</xdr:col>
      <xdr:colOff>509605</xdr:colOff>
      <xdr:row>20</xdr:row>
      <xdr:rowOff>303595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23EC1C9D-E325-4BF5-BAB8-C80678DC8C44}"/>
            </a:ext>
          </a:extLst>
        </xdr:cNvPr>
        <xdr:cNvGrpSpPr/>
      </xdr:nvGrpSpPr>
      <xdr:grpSpPr>
        <a:xfrm>
          <a:off x="3091710" y="6707295"/>
          <a:ext cx="437320" cy="159025"/>
          <a:chOff x="3384365" y="2789462"/>
          <a:chExt cx="437320" cy="159025"/>
        </a:xfrm>
      </xdr:grpSpPr>
      <xdr:sp macro="" textlink="">
        <xdr:nvSpPr>
          <xdr:cNvPr id="21" name="Cloud 20">
            <a:extLst>
              <a:ext uri="{FF2B5EF4-FFF2-40B4-BE49-F238E27FC236}">
                <a16:creationId xmlns:a16="http://schemas.microsoft.com/office/drawing/2014/main" id="{9FE0E3D5-676E-1496-EF37-7A1F313AC8C0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2" name="Cloud 21">
            <a:extLst>
              <a:ext uri="{FF2B5EF4-FFF2-40B4-BE49-F238E27FC236}">
                <a16:creationId xmlns:a16="http://schemas.microsoft.com/office/drawing/2014/main" id="{07E86564-5EB4-B7A1-E284-876825E114C3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79513</xdr:colOff>
      <xdr:row>21</xdr:row>
      <xdr:rowOff>166254</xdr:rowOff>
    </xdr:from>
    <xdr:to>
      <xdr:col>5</xdr:col>
      <xdr:colOff>516833</xdr:colOff>
      <xdr:row>21</xdr:row>
      <xdr:rowOff>325279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CE6520AF-51A7-489D-AF0E-5AAD8FCA0E1E}"/>
            </a:ext>
          </a:extLst>
        </xdr:cNvPr>
        <xdr:cNvGrpSpPr/>
      </xdr:nvGrpSpPr>
      <xdr:grpSpPr>
        <a:xfrm>
          <a:off x="3098938" y="7300479"/>
          <a:ext cx="437320" cy="159025"/>
          <a:chOff x="3384365" y="2789462"/>
          <a:chExt cx="437320" cy="159025"/>
        </a:xfrm>
      </xdr:grpSpPr>
      <xdr:sp macro="" textlink="">
        <xdr:nvSpPr>
          <xdr:cNvPr id="24" name="Cloud 23">
            <a:extLst>
              <a:ext uri="{FF2B5EF4-FFF2-40B4-BE49-F238E27FC236}">
                <a16:creationId xmlns:a16="http://schemas.microsoft.com/office/drawing/2014/main" id="{D6ED1289-0AE7-C76D-240D-FE0B2C7009C5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5" name="Cloud 24">
            <a:extLst>
              <a:ext uri="{FF2B5EF4-FFF2-40B4-BE49-F238E27FC236}">
                <a16:creationId xmlns:a16="http://schemas.microsoft.com/office/drawing/2014/main" id="{3A10B79C-5FD5-7F95-D4F4-74646FF98662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79513</xdr:colOff>
      <xdr:row>22</xdr:row>
      <xdr:rowOff>144569</xdr:rowOff>
    </xdr:from>
    <xdr:to>
      <xdr:col>5</xdr:col>
      <xdr:colOff>516833</xdr:colOff>
      <xdr:row>22</xdr:row>
      <xdr:rowOff>303594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C97555FC-F6AA-4745-9D08-1600E38B5669}"/>
            </a:ext>
          </a:extLst>
        </xdr:cNvPr>
        <xdr:cNvGrpSpPr/>
      </xdr:nvGrpSpPr>
      <xdr:grpSpPr>
        <a:xfrm>
          <a:off x="3098938" y="7850294"/>
          <a:ext cx="437320" cy="159025"/>
          <a:chOff x="3384365" y="2789462"/>
          <a:chExt cx="437320" cy="159025"/>
        </a:xfrm>
      </xdr:grpSpPr>
      <xdr:sp macro="" textlink="">
        <xdr:nvSpPr>
          <xdr:cNvPr id="27" name="Cloud 26">
            <a:extLst>
              <a:ext uri="{FF2B5EF4-FFF2-40B4-BE49-F238E27FC236}">
                <a16:creationId xmlns:a16="http://schemas.microsoft.com/office/drawing/2014/main" id="{7A912F85-D7C9-78FD-A806-B3F2FBA4AE2B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8" name="Cloud 27">
            <a:extLst>
              <a:ext uri="{FF2B5EF4-FFF2-40B4-BE49-F238E27FC236}">
                <a16:creationId xmlns:a16="http://schemas.microsoft.com/office/drawing/2014/main" id="{43B488B9-2B46-055E-DB75-9A918C933695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93971</xdr:colOff>
      <xdr:row>23</xdr:row>
      <xdr:rowOff>173481</xdr:rowOff>
    </xdr:from>
    <xdr:to>
      <xdr:col>5</xdr:col>
      <xdr:colOff>531291</xdr:colOff>
      <xdr:row>23</xdr:row>
      <xdr:rowOff>332506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DBE8F20-3494-41A1-BC60-35403C65BDBA}"/>
            </a:ext>
          </a:extLst>
        </xdr:cNvPr>
        <xdr:cNvGrpSpPr/>
      </xdr:nvGrpSpPr>
      <xdr:grpSpPr>
        <a:xfrm>
          <a:off x="3113396" y="8450706"/>
          <a:ext cx="437320" cy="159025"/>
          <a:chOff x="3384365" y="2789462"/>
          <a:chExt cx="437320" cy="159025"/>
        </a:xfrm>
      </xdr:grpSpPr>
      <xdr:sp macro="" textlink="">
        <xdr:nvSpPr>
          <xdr:cNvPr id="30" name="Cloud 29">
            <a:extLst>
              <a:ext uri="{FF2B5EF4-FFF2-40B4-BE49-F238E27FC236}">
                <a16:creationId xmlns:a16="http://schemas.microsoft.com/office/drawing/2014/main" id="{C88344F4-331D-DF05-A812-F61FDFF453A0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1" name="Cloud 30">
            <a:extLst>
              <a:ext uri="{FF2B5EF4-FFF2-40B4-BE49-F238E27FC236}">
                <a16:creationId xmlns:a16="http://schemas.microsoft.com/office/drawing/2014/main" id="{5A2BB828-A32C-87D9-7DEC-19044CE2FF99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79513</xdr:colOff>
      <xdr:row>23</xdr:row>
      <xdr:rowOff>166255</xdr:rowOff>
    </xdr:from>
    <xdr:to>
      <xdr:col>4</xdr:col>
      <xdr:colOff>516833</xdr:colOff>
      <xdr:row>23</xdr:row>
      <xdr:rowOff>325280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DF5C3D2B-09FA-49C3-846F-2574290418BD}"/>
            </a:ext>
          </a:extLst>
        </xdr:cNvPr>
        <xdr:cNvGrpSpPr/>
      </xdr:nvGrpSpPr>
      <xdr:grpSpPr>
        <a:xfrm>
          <a:off x="2517913" y="8443480"/>
          <a:ext cx="437320" cy="159025"/>
          <a:chOff x="3384365" y="2789462"/>
          <a:chExt cx="437320" cy="159025"/>
        </a:xfrm>
      </xdr:grpSpPr>
      <xdr:sp macro="" textlink="">
        <xdr:nvSpPr>
          <xdr:cNvPr id="33" name="Cloud 32">
            <a:extLst>
              <a:ext uri="{FF2B5EF4-FFF2-40B4-BE49-F238E27FC236}">
                <a16:creationId xmlns:a16="http://schemas.microsoft.com/office/drawing/2014/main" id="{07C8C25A-2579-59B8-19E0-216CAD9C449A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4" name="Cloud 33">
            <a:extLst>
              <a:ext uri="{FF2B5EF4-FFF2-40B4-BE49-F238E27FC236}">
                <a16:creationId xmlns:a16="http://schemas.microsoft.com/office/drawing/2014/main" id="{672F7DEE-C329-DC97-2966-70D90C36ABE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108427</xdr:colOff>
      <xdr:row>22</xdr:row>
      <xdr:rowOff>159026</xdr:rowOff>
    </xdr:from>
    <xdr:to>
      <xdr:col>4</xdr:col>
      <xdr:colOff>545747</xdr:colOff>
      <xdr:row>22</xdr:row>
      <xdr:rowOff>318051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4EE53A27-C9BC-4C79-9623-D8822222D4F5}"/>
            </a:ext>
          </a:extLst>
        </xdr:cNvPr>
        <xdr:cNvGrpSpPr/>
      </xdr:nvGrpSpPr>
      <xdr:grpSpPr>
        <a:xfrm>
          <a:off x="2546827" y="7864751"/>
          <a:ext cx="437320" cy="159025"/>
          <a:chOff x="3384365" y="2789462"/>
          <a:chExt cx="437320" cy="159025"/>
        </a:xfrm>
      </xdr:grpSpPr>
      <xdr:sp macro="" textlink="">
        <xdr:nvSpPr>
          <xdr:cNvPr id="36" name="Cloud 35">
            <a:extLst>
              <a:ext uri="{FF2B5EF4-FFF2-40B4-BE49-F238E27FC236}">
                <a16:creationId xmlns:a16="http://schemas.microsoft.com/office/drawing/2014/main" id="{2DD18233-E56C-D249-FA4C-C1E254F279DC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37" name="Cloud 36">
            <a:extLst>
              <a:ext uri="{FF2B5EF4-FFF2-40B4-BE49-F238E27FC236}">
                <a16:creationId xmlns:a16="http://schemas.microsoft.com/office/drawing/2014/main" id="{0292EF81-C3F5-F8F0-8362-FDD01839197D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101198</xdr:colOff>
      <xdr:row>21</xdr:row>
      <xdr:rowOff>151798</xdr:rowOff>
    </xdr:from>
    <xdr:to>
      <xdr:col>4</xdr:col>
      <xdr:colOff>538518</xdr:colOff>
      <xdr:row>21</xdr:row>
      <xdr:rowOff>310823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23D3B98B-2D29-4130-90FE-DE9EF06BFF76}"/>
            </a:ext>
          </a:extLst>
        </xdr:cNvPr>
        <xdr:cNvGrpSpPr/>
      </xdr:nvGrpSpPr>
      <xdr:grpSpPr>
        <a:xfrm>
          <a:off x="2539598" y="7286023"/>
          <a:ext cx="437320" cy="159025"/>
          <a:chOff x="3384365" y="2789462"/>
          <a:chExt cx="437320" cy="159025"/>
        </a:xfrm>
      </xdr:grpSpPr>
      <xdr:sp macro="" textlink="">
        <xdr:nvSpPr>
          <xdr:cNvPr id="39" name="Cloud 38">
            <a:extLst>
              <a:ext uri="{FF2B5EF4-FFF2-40B4-BE49-F238E27FC236}">
                <a16:creationId xmlns:a16="http://schemas.microsoft.com/office/drawing/2014/main" id="{08038948-E713-EEEE-6804-D8DE1CAD2A4F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0" name="Cloud 39">
            <a:extLst>
              <a:ext uri="{FF2B5EF4-FFF2-40B4-BE49-F238E27FC236}">
                <a16:creationId xmlns:a16="http://schemas.microsoft.com/office/drawing/2014/main" id="{6B41B57F-5829-3BE6-A02D-642F6B054E75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101198</xdr:colOff>
      <xdr:row>20</xdr:row>
      <xdr:rowOff>166255</xdr:rowOff>
    </xdr:from>
    <xdr:to>
      <xdr:col>4</xdr:col>
      <xdr:colOff>538518</xdr:colOff>
      <xdr:row>20</xdr:row>
      <xdr:rowOff>325280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519157C9-D98B-4F98-89F8-11161FA9CADE}"/>
            </a:ext>
          </a:extLst>
        </xdr:cNvPr>
        <xdr:cNvGrpSpPr/>
      </xdr:nvGrpSpPr>
      <xdr:grpSpPr>
        <a:xfrm>
          <a:off x="2539598" y="6728980"/>
          <a:ext cx="437320" cy="159025"/>
          <a:chOff x="3384365" y="2789462"/>
          <a:chExt cx="437320" cy="159025"/>
        </a:xfrm>
      </xdr:grpSpPr>
      <xdr:sp macro="" textlink="">
        <xdr:nvSpPr>
          <xdr:cNvPr id="42" name="Cloud 41">
            <a:extLst>
              <a:ext uri="{FF2B5EF4-FFF2-40B4-BE49-F238E27FC236}">
                <a16:creationId xmlns:a16="http://schemas.microsoft.com/office/drawing/2014/main" id="{432F0971-9834-C8A7-00AE-5370B2597B26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3" name="Cloud 42">
            <a:extLst>
              <a:ext uri="{FF2B5EF4-FFF2-40B4-BE49-F238E27FC236}">
                <a16:creationId xmlns:a16="http://schemas.microsoft.com/office/drawing/2014/main" id="{4A99B3D5-D51A-F08B-9014-E9DA62CB2051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86742</xdr:colOff>
      <xdr:row>19</xdr:row>
      <xdr:rowOff>130112</xdr:rowOff>
    </xdr:from>
    <xdr:to>
      <xdr:col>4</xdr:col>
      <xdr:colOff>524062</xdr:colOff>
      <xdr:row>19</xdr:row>
      <xdr:rowOff>289137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A673BAF0-1C0A-48B4-9EFE-D31780154CA7}"/>
            </a:ext>
          </a:extLst>
        </xdr:cNvPr>
        <xdr:cNvGrpSpPr/>
      </xdr:nvGrpSpPr>
      <xdr:grpSpPr>
        <a:xfrm>
          <a:off x="2525142" y="6121337"/>
          <a:ext cx="437320" cy="159025"/>
          <a:chOff x="3384365" y="2789462"/>
          <a:chExt cx="437320" cy="159025"/>
        </a:xfrm>
      </xdr:grpSpPr>
      <xdr:sp macro="" textlink="">
        <xdr:nvSpPr>
          <xdr:cNvPr id="45" name="Cloud 44">
            <a:extLst>
              <a:ext uri="{FF2B5EF4-FFF2-40B4-BE49-F238E27FC236}">
                <a16:creationId xmlns:a16="http://schemas.microsoft.com/office/drawing/2014/main" id="{B623669D-1FA3-4F9A-6637-C48CC2B6EC7B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6" name="Cloud 45">
            <a:extLst>
              <a:ext uri="{FF2B5EF4-FFF2-40B4-BE49-F238E27FC236}">
                <a16:creationId xmlns:a16="http://schemas.microsoft.com/office/drawing/2014/main" id="{76A5BCE1-9A92-A7CB-C40E-BBCB5CB7E78B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93970</xdr:colOff>
      <xdr:row>18</xdr:row>
      <xdr:rowOff>159025</xdr:rowOff>
    </xdr:from>
    <xdr:to>
      <xdr:col>4</xdr:col>
      <xdr:colOff>531290</xdr:colOff>
      <xdr:row>18</xdr:row>
      <xdr:rowOff>318050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309418FA-40C5-43BC-B106-0C23F21179AA}"/>
            </a:ext>
          </a:extLst>
        </xdr:cNvPr>
        <xdr:cNvGrpSpPr/>
      </xdr:nvGrpSpPr>
      <xdr:grpSpPr>
        <a:xfrm>
          <a:off x="2532370" y="5578750"/>
          <a:ext cx="437320" cy="159025"/>
          <a:chOff x="3384365" y="2789462"/>
          <a:chExt cx="437320" cy="159025"/>
        </a:xfrm>
      </xdr:grpSpPr>
      <xdr:sp macro="" textlink="">
        <xdr:nvSpPr>
          <xdr:cNvPr id="48" name="Cloud 47">
            <a:extLst>
              <a:ext uri="{FF2B5EF4-FFF2-40B4-BE49-F238E27FC236}">
                <a16:creationId xmlns:a16="http://schemas.microsoft.com/office/drawing/2014/main" id="{34012E61-72AC-7D74-1DF7-A2F9F5966FB8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49" name="Cloud 48">
            <a:extLst>
              <a:ext uri="{FF2B5EF4-FFF2-40B4-BE49-F238E27FC236}">
                <a16:creationId xmlns:a16="http://schemas.microsoft.com/office/drawing/2014/main" id="{60AC129E-EDA6-AC44-A67D-0006FCCA627E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101198</xdr:colOff>
      <xdr:row>17</xdr:row>
      <xdr:rowOff>144569</xdr:rowOff>
    </xdr:from>
    <xdr:to>
      <xdr:col>4</xdr:col>
      <xdr:colOff>538518</xdr:colOff>
      <xdr:row>17</xdr:row>
      <xdr:rowOff>303594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9E9E9E57-5729-4C86-823A-4B115B0D7A0B}"/>
            </a:ext>
          </a:extLst>
        </xdr:cNvPr>
        <xdr:cNvGrpSpPr/>
      </xdr:nvGrpSpPr>
      <xdr:grpSpPr>
        <a:xfrm>
          <a:off x="2539598" y="4992794"/>
          <a:ext cx="437320" cy="159025"/>
          <a:chOff x="3384365" y="2789462"/>
          <a:chExt cx="437320" cy="159025"/>
        </a:xfrm>
      </xdr:grpSpPr>
      <xdr:sp macro="" textlink="">
        <xdr:nvSpPr>
          <xdr:cNvPr id="51" name="Cloud 50">
            <a:extLst>
              <a:ext uri="{FF2B5EF4-FFF2-40B4-BE49-F238E27FC236}">
                <a16:creationId xmlns:a16="http://schemas.microsoft.com/office/drawing/2014/main" id="{9DC8AEA9-F1B8-6061-AE7A-E2F6B3BC821D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2" name="Cloud 51">
            <a:extLst>
              <a:ext uri="{FF2B5EF4-FFF2-40B4-BE49-F238E27FC236}">
                <a16:creationId xmlns:a16="http://schemas.microsoft.com/office/drawing/2014/main" id="{9999D8B5-B443-8FBD-0C0D-11A9F90F03F1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108427</xdr:colOff>
      <xdr:row>16</xdr:row>
      <xdr:rowOff>151797</xdr:rowOff>
    </xdr:from>
    <xdr:to>
      <xdr:col>4</xdr:col>
      <xdr:colOff>545747</xdr:colOff>
      <xdr:row>16</xdr:row>
      <xdr:rowOff>310822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4A9BE847-D006-40E8-8AAF-A99CA3B98111}"/>
            </a:ext>
          </a:extLst>
        </xdr:cNvPr>
        <xdr:cNvGrpSpPr/>
      </xdr:nvGrpSpPr>
      <xdr:grpSpPr>
        <a:xfrm>
          <a:off x="2546827" y="4428522"/>
          <a:ext cx="437320" cy="159025"/>
          <a:chOff x="3384365" y="2789462"/>
          <a:chExt cx="437320" cy="159025"/>
        </a:xfrm>
      </xdr:grpSpPr>
      <xdr:sp macro="" textlink="">
        <xdr:nvSpPr>
          <xdr:cNvPr id="54" name="Cloud 53">
            <a:extLst>
              <a:ext uri="{FF2B5EF4-FFF2-40B4-BE49-F238E27FC236}">
                <a16:creationId xmlns:a16="http://schemas.microsoft.com/office/drawing/2014/main" id="{C5B04F8C-2CAB-E629-12EB-3072ADE81989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5" name="Cloud 54">
            <a:extLst>
              <a:ext uri="{FF2B5EF4-FFF2-40B4-BE49-F238E27FC236}">
                <a16:creationId xmlns:a16="http://schemas.microsoft.com/office/drawing/2014/main" id="{88DF42EF-075E-BAA5-2442-B8F04F163E0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101200</xdr:colOff>
      <xdr:row>15</xdr:row>
      <xdr:rowOff>137341</xdr:rowOff>
    </xdr:from>
    <xdr:to>
      <xdr:col>4</xdr:col>
      <xdr:colOff>538520</xdr:colOff>
      <xdr:row>15</xdr:row>
      <xdr:rowOff>296366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AE6D355-D8F3-46A6-862B-F1DC535FF3AF}"/>
            </a:ext>
          </a:extLst>
        </xdr:cNvPr>
        <xdr:cNvGrpSpPr/>
      </xdr:nvGrpSpPr>
      <xdr:grpSpPr>
        <a:xfrm>
          <a:off x="2539600" y="3842566"/>
          <a:ext cx="437320" cy="159025"/>
          <a:chOff x="3384365" y="2789462"/>
          <a:chExt cx="437320" cy="159025"/>
        </a:xfrm>
      </xdr:grpSpPr>
      <xdr:sp macro="" textlink="">
        <xdr:nvSpPr>
          <xdr:cNvPr id="57" name="Cloud 56">
            <a:extLst>
              <a:ext uri="{FF2B5EF4-FFF2-40B4-BE49-F238E27FC236}">
                <a16:creationId xmlns:a16="http://schemas.microsoft.com/office/drawing/2014/main" id="{901872CC-6B1A-FFFB-662A-7D648B275561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58" name="Cloud 57">
            <a:extLst>
              <a:ext uri="{FF2B5EF4-FFF2-40B4-BE49-F238E27FC236}">
                <a16:creationId xmlns:a16="http://schemas.microsoft.com/office/drawing/2014/main" id="{B30A6293-C7DE-119D-E572-440EB085D88E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79514</xdr:colOff>
      <xdr:row>14</xdr:row>
      <xdr:rowOff>173483</xdr:rowOff>
    </xdr:from>
    <xdr:to>
      <xdr:col>4</xdr:col>
      <xdr:colOff>516834</xdr:colOff>
      <xdr:row>14</xdr:row>
      <xdr:rowOff>332508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F7EB677B-117D-4DA0-ADF5-6B6E7C33CED2}"/>
            </a:ext>
          </a:extLst>
        </xdr:cNvPr>
        <xdr:cNvGrpSpPr/>
      </xdr:nvGrpSpPr>
      <xdr:grpSpPr>
        <a:xfrm>
          <a:off x="2517914" y="3307208"/>
          <a:ext cx="437320" cy="159025"/>
          <a:chOff x="3384365" y="2789462"/>
          <a:chExt cx="437320" cy="159025"/>
        </a:xfrm>
      </xdr:grpSpPr>
      <xdr:sp macro="" textlink="">
        <xdr:nvSpPr>
          <xdr:cNvPr id="60" name="Cloud 59">
            <a:extLst>
              <a:ext uri="{FF2B5EF4-FFF2-40B4-BE49-F238E27FC236}">
                <a16:creationId xmlns:a16="http://schemas.microsoft.com/office/drawing/2014/main" id="{68840470-A509-0EB9-AE41-925871CA1DCF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61" name="Cloud 60">
            <a:extLst>
              <a:ext uri="{FF2B5EF4-FFF2-40B4-BE49-F238E27FC236}">
                <a16:creationId xmlns:a16="http://schemas.microsoft.com/office/drawing/2014/main" id="{6CB43996-939E-97B2-2728-56BDF6112D2C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14</xdr:row>
      <xdr:rowOff>159026</xdr:rowOff>
    </xdr:from>
    <xdr:to>
      <xdr:col>3</xdr:col>
      <xdr:colOff>531290</xdr:colOff>
      <xdr:row>14</xdr:row>
      <xdr:rowOff>318051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0208E99B-744E-419E-BD00-D017F906E128}"/>
            </a:ext>
          </a:extLst>
        </xdr:cNvPr>
        <xdr:cNvGrpSpPr/>
      </xdr:nvGrpSpPr>
      <xdr:grpSpPr>
        <a:xfrm>
          <a:off x="1951345" y="3292751"/>
          <a:ext cx="437320" cy="159025"/>
          <a:chOff x="3384365" y="2789462"/>
          <a:chExt cx="437320" cy="159025"/>
        </a:xfrm>
      </xdr:grpSpPr>
      <xdr:sp macro="" textlink="">
        <xdr:nvSpPr>
          <xdr:cNvPr id="63" name="Cloud 62">
            <a:extLst>
              <a:ext uri="{FF2B5EF4-FFF2-40B4-BE49-F238E27FC236}">
                <a16:creationId xmlns:a16="http://schemas.microsoft.com/office/drawing/2014/main" id="{F0296527-F3AC-2552-CC91-6C893D10D0B8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64" name="Cloud 63">
            <a:extLst>
              <a:ext uri="{FF2B5EF4-FFF2-40B4-BE49-F238E27FC236}">
                <a16:creationId xmlns:a16="http://schemas.microsoft.com/office/drawing/2014/main" id="{B13C3517-0115-A612-9555-7FAA6126F40B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14</xdr:row>
      <xdr:rowOff>159026</xdr:rowOff>
    </xdr:from>
    <xdr:to>
      <xdr:col>2</xdr:col>
      <xdr:colOff>531290</xdr:colOff>
      <xdr:row>14</xdr:row>
      <xdr:rowOff>318051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F88B0877-F31F-4BBE-8A8B-D86850E667B1}"/>
            </a:ext>
          </a:extLst>
        </xdr:cNvPr>
        <xdr:cNvGrpSpPr/>
      </xdr:nvGrpSpPr>
      <xdr:grpSpPr>
        <a:xfrm>
          <a:off x="1370320" y="3292751"/>
          <a:ext cx="437320" cy="159025"/>
          <a:chOff x="3384365" y="2789462"/>
          <a:chExt cx="437320" cy="159025"/>
        </a:xfrm>
      </xdr:grpSpPr>
      <xdr:sp macro="" textlink="">
        <xdr:nvSpPr>
          <xdr:cNvPr id="66" name="Cloud 65">
            <a:extLst>
              <a:ext uri="{FF2B5EF4-FFF2-40B4-BE49-F238E27FC236}">
                <a16:creationId xmlns:a16="http://schemas.microsoft.com/office/drawing/2014/main" id="{5EA71EEE-5991-2D2C-6763-87234FBDD71B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67" name="Cloud 66">
            <a:extLst>
              <a:ext uri="{FF2B5EF4-FFF2-40B4-BE49-F238E27FC236}">
                <a16:creationId xmlns:a16="http://schemas.microsoft.com/office/drawing/2014/main" id="{8A9EEB40-AB26-EEC3-2E71-FD2C2F416DD4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15</xdr:row>
      <xdr:rowOff>159026</xdr:rowOff>
    </xdr:from>
    <xdr:to>
      <xdr:col>2</xdr:col>
      <xdr:colOff>531290</xdr:colOff>
      <xdr:row>15</xdr:row>
      <xdr:rowOff>318051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E2ECE75F-39A7-4CDD-AAD9-0B953D8C4060}"/>
            </a:ext>
          </a:extLst>
        </xdr:cNvPr>
        <xdr:cNvGrpSpPr/>
      </xdr:nvGrpSpPr>
      <xdr:grpSpPr>
        <a:xfrm>
          <a:off x="1370320" y="3864251"/>
          <a:ext cx="437320" cy="159025"/>
          <a:chOff x="3384365" y="2789462"/>
          <a:chExt cx="437320" cy="159025"/>
        </a:xfrm>
      </xdr:grpSpPr>
      <xdr:sp macro="" textlink="">
        <xdr:nvSpPr>
          <xdr:cNvPr id="69" name="Cloud 68">
            <a:extLst>
              <a:ext uri="{FF2B5EF4-FFF2-40B4-BE49-F238E27FC236}">
                <a16:creationId xmlns:a16="http://schemas.microsoft.com/office/drawing/2014/main" id="{DBD4F4E8-A39F-179C-3DC4-EA579BC0C93C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0" name="Cloud 69">
            <a:extLst>
              <a:ext uri="{FF2B5EF4-FFF2-40B4-BE49-F238E27FC236}">
                <a16:creationId xmlns:a16="http://schemas.microsoft.com/office/drawing/2014/main" id="{57F98F25-5D15-B8CA-EB6F-464C2CAD5896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15</xdr:row>
      <xdr:rowOff>159026</xdr:rowOff>
    </xdr:from>
    <xdr:to>
      <xdr:col>3</xdr:col>
      <xdr:colOff>531290</xdr:colOff>
      <xdr:row>15</xdr:row>
      <xdr:rowOff>318051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81093787-0C69-4999-8354-3F68E05A779F}"/>
            </a:ext>
          </a:extLst>
        </xdr:cNvPr>
        <xdr:cNvGrpSpPr/>
      </xdr:nvGrpSpPr>
      <xdr:grpSpPr>
        <a:xfrm>
          <a:off x="1951345" y="3864251"/>
          <a:ext cx="437320" cy="159025"/>
          <a:chOff x="3384365" y="2789462"/>
          <a:chExt cx="437320" cy="159025"/>
        </a:xfrm>
      </xdr:grpSpPr>
      <xdr:sp macro="" textlink="">
        <xdr:nvSpPr>
          <xdr:cNvPr id="72" name="Cloud 71">
            <a:extLst>
              <a:ext uri="{FF2B5EF4-FFF2-40B4-BE49-F238E27FC236}">
                <a16:creationId xmlns:a16="http://schemas.microsoft.com/office/drawing/2014/main" id="{1503BDAA-A412-4268-D229-A908D06C5A77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3" name="Cloud 72">
            <a:extLst>
              <a:ext uri="{FF2B5EF4-FFF2-40B4-BE49-F238E27FC236}">
                <a16:creationId xmlns:a16="http://schemas.microsoft.com/office/drawing/2014/main" id="{26905ADD-FE97-070F-E09D-28E1BEC5BFD8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16</xdr:row>
      <xdr:rowOff>159026</xdr:rowOff>
    </xdr:from>
    <xdr:to>
      <xdr:col>3</xdr:col>
      <xdr:colOff>531290</xdr:colOff>
      <xdr:row>16</xdr:row>
      <xdr:rowOff>318051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22DB2745-51E2-4704-BD3F-3137A76A916F}"/>
            </a:ext>
          </a:extLst>
        </xdr:cNvPr>
        <xdr:cNvGrpSpPr/>
      </xdr:nvGrpSpPr>
      <xdr:grpSpPr>
        <a:xfrm>
          <a:off x="1951345" y="4435751"/>
          <a:ext cx="437320" cy="159025"/>
          <a:chOff x="3384365" y="2789462"/>
          <a:chExt cx="437320" cy="159025"/>
        </a:xfrm>
      </xdr:grpSpPr>
      <xdr:sp macro="" textlink="">
        <xdr:nvSpPr>
          <xdr:cNvPr id="75" name="Cloud 74">
            <a:extLst>
              <a:ext uri="{FF2B5EF4-FFF2-40B4-BE49-F238E27FC236}">
                <a16:creationId xmlns:a16="http://schemas.microsoft.com/office/drawing/2014/main" id="{ED79571A-672E-0BB3-C47D-D25AB2226952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6" name="Cloud 75">
            <a:extLst>
              <a:ext uri="{FF2B5EF4-FFF2-40B4-BE49-F238E27FC236}">
                <a16:creationId xmlns:a16="http://schemas.microsoft.com/office/drawing/2014/main" id="{32B621BF-7C71-0B8B-7CE6-CEE1866DC2D9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16</xdr:row>
      <xdr:rowOff>159026</xdr:rowOff>
    </xdr:from>
    <xdr:to>
      <xdr:col>2</xdr:col>
      <xdr:colOff>531290</xdr:colOff>
      <xdr:row>16</xdr:row>
      <xdr:rowOff>318051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91390AE4-DFA3-42B7-AB3E-2554F8B384D3}"/>
            </a:ext>
          </a:extLst>
        </xdr:cNvPr>
        <xdr:cNvGrpSpPr/>
      </xdr:nvGrpSpPr>
      <xdr:grpSpPr>
        <a:xfrm>
          <a:off x="1370320" y="4435751"/>
          <a:ext cx="437320" cy="159025"/>
          <a:chOff x="3384365" y="2789462"/>
          <a:chExt cx="437320" cy="159025"/>
        </a:xfrm>
      </xdr:grpSpPr>
      <xdr:sp macro="" textlink="">
        <xdr:nvSpPr>
          <xdr:cNvPr id="78" name="Cloud 77">
            <a:extLst>
              <a:ext uri="{FF2B5EF4-FFF2-40B4-BE49-F238E27FC236}">
                <a16:creationId xmlns:a16="http://schemas.microsoft.com/office/drawing/2014/main" id="{982472E5-607A-65C0-0EC9-8574078D1CE0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9" name="Cloud 78">
            <a:extLst>
              <a:ext uri="{FF2B5EF4-FFF2-40B4-BE49-F238E27FC236}">
                <a16:creationId xmlns:a16="http://schemas.microsoft.com/office/drawing/2014/main" id="{A5BC938E-89A2-5388-4064-A866BC972070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17</xdr:row>
      <xdr:rowOff>159026</xdr:rowOff>
    </xdr:from>
    <xdr:to>
      <xdr:col>2</xdr:col>
      <xdr:colOff>531290</xdr:colOff>
      <xdr:row>17</xdr:row>
      <xdr:rowOff>318051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B02536CC-1BE1-4455-9189-9D6B8B90FA7D}"/>
            </a:ext>
          </a:extLst>
        </xdr:cNvPr>
        <xdr:cNvGrpSpPr/>
      </xdr:nvGrpSpPr>
      <xdr:grpSpPr>
        <a:xfrm>
          <a:off x="1370320" y="5007251"/>
          <a:ext cx="437320" cy="159025"/>
          <a:chOff x="3384365" y="2789462"/>
          <a:chExt cx="437320" cy="159025"/>
        </a:xfrm>
      </xdr:grpSpPr>
      <xdr:sp macro="" textlink="">
        <xdr:nvSpPr>
          <xdr:cNvPr id="81" name="Cloud 80">
            <a:extLst>
              <a:ext uri="{FF2B5EF4-FFF2-40B4-BE49-F238E27FC236}">
                <a16:creationId xmlns:a16="http://schemas.microsoft.com/office/drawing/2014/main" id="{56D4E704-5CF3-A708-1D7D-60581C04AD0E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2" name="Cloud 81">
            <a:extLst>
              <a:ext uri="{FF2B5EF4-FFF2-40B4-BE49-F238E27FC236}">
                <a16:creationId xmlns:a16="http://schemas.microsoft.com/office/drawing/2014/main" id="{272CBD34-7520-0AD4-B0DA-D88DC28C3C24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17</xdr:row>
      <xdr:rowOff>159026</xdr:rowOff>
    </xdr:from>
    <xdr:to>
      <xdr:col>3</xdr:col>
      <xdr:colOff>531290</xdr:colOff>
      <xdr:row>17</xdr:row>
      <xdr:rowOff>318051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FCE2525B-928B-4D3E-BBB0-5458202F173A}"/>
            </a:ext>
          </a:extLst>
        </xdr:cNvPr>
        <xdr:cNvGrpSpPr/>
      </xdr:nvGrpSpPr>
      <xdr:grpSpPr>
        <a:xfrm>
          <a:off x="1951345" y="5007251"/>
          <a:ext cx="437320" cy="159025"/>
          <a:chOff x="3384365" y="2789462"/>
          <a:chExt cx="437320" cy="159025"/>
        </a:xfrm>
      </xdr:grpSpPr>
      <xdr:sp macro="" textlink="">
        <xdr:nvSpPr>
          <xdr:cNvPr id="84" name="Cloud 83">
            <a:extLst>
              <a:ext uri="{FF2B5EF4-FFF2-40B4-BE49-F238E27FC236}">
                <a16:creationId xmlns:a16="http://schemas.microsoft.com/office/drawing/2014/main" id="{2B61D8B9-3719-6D95-C968-7636509BE7D5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5" name="Cloud 84">
            <a:extLst>
              <a:ext uri="{FF2B5EF4-FFF2-40B4-BE49-F238E27FC236}">
                <a16:creationId xmlns:a16="http://schemas.microsoft.com/office/drawing/2014/main" id="{37172726-FE49-423F-66C3-F1CE24559C9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18</xdr:row>
      <xdr:rowOff>159026</xdr:rowOff>
    </xdr:from>
    <xdr:to>
      <xdr:col>3</xdr:col>
      <xdr:colOff>531290</xdr:colOff>
      <xdr:row>18</xdr:row>
      <xdr:rowOff>318051</xdr:rowOff>
    </xdr:to>
    <xdr:grpSp>
      <xdr:nvGrpSpPr>
        <xdr:cNvPr id="86" name="Group 85">
          <a:extLst>
            <a:ext uri="{FF2B5EF4-FFF2-40B4-BE49-F238E27FC236}">
              <a16:creationId xmlns:a16="http://schemas.microsoft.com/office/drawing/2014/main" id="{B6932AEB-E543-46F1-BD01-4121F99E930F}"/>
            </a:ext>
          </a:extLst>
        </xdr:cNvPr>
        <xdr:cNvGrpSpPr/>
      </xdr:nvGrpSpPr>
      <xdr:grpSpPr>
        <a:xfrm>
          <a:off x="1951345" y="5578751"/>
          <a:ext cx="437320" cy="159025"/>
          <a:chOff x="3384365" y="2789462"/>
          <a:chExt cx="437320" cy="159025"/>
        </a:xfrm>
      </xdr:grpSpPr>
      <xdr:sp macro="" textlink="">
        <xdr:nvSpPr>
          <xdr:cNvPr id="87" name="Cloud 86">
            <a:extLst>
              <a:ext uri="{FF2B5EF4-FFF2-40B4-BE49-F238E27FC236}">
                <a16:creationId xmlns:a16="http://schemas.microsoft.com/office/drawing/2014/main" id="{F30B0180-593E-E01D-8929-52FC222F1993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8" name="Cloud 87">
            <a:extLst>
              <a:ext uri="{FF2B5EF4-FFF2-40B4-BE49-F238E27FC236}">
                <a16:creationId xmlns:a16="http://schemas.microsoft.com/office/drawing/2014/main" id="{98B731AD-A36D-5E7A-9FD9-21A5AEB83F7E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18</xdr:row>
      <xdr:rowOff>159026</xdr:rowOff>
    </xdr:from>
    <xdr:to>
      <xdr:col>2</xdr:col>
      <xdr:colOff>531290</xdr:colOff>
      <xdr:row>18</xdr:row>
      <xdr:rowOff>318051</xdr:rowOff>
    </xdr:to>
    <xdr:grpSp>
      <xdr:nvGrpSpPr>
        <xdr:cNvPr id="89" name="Group 88">
          <a:extLst>
            <a:ext uri="{FF2B5EF4-FFF2-40B4-BE49-F238E27FC236}">
              <a16:creationId xmlns:a16="http://schemas.microsoft.com/office/drawing/2014/main" id="{BF7B0AEC-14B1-4D80-8F5D-476D9CC56CFD}"/>
            </a:ext>
          </a:extLst>
        </xdr:cNvPr>
        <xdr:cNvGrpSpPr/>
      </xdr:nvGrpSpPr>
      <xdr:grpSpPr>
        <a:xfrm>
          <a:off x="1370320" y="5578751"/>
          <a:ext cx="437320" cy="159025"/>
          <a:chOff x="3384365" y="2789462"/>
          <a:chExt cx="437320" cy="159025"/>
        </a:xfrm>
      </xdr:grpSpPr>
      <xdr:sp macro="" textlink="">
        <xdr:nvSpPr>
          <xdr:cNvPr id="90" name="Cloud 89">
            <a:extLst>
              <a:ext uri="{FF2B5EF4-FFF2-40B4-BE49-F238E27FC236}">
                <a16:creationId xmlns:a16="http://schemas.microsoft.com/office/drawing/2014/main" id="{CB4630F7-047A-3C5B-C3F1-F4FF5F4D38E8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1" name="Cloud 90">
            <a:extLst>
              <a:ext uri="{FF2B5EF4-FFF2-40B4-BE49-F238E27FC236}">
                <a16:creationId xmlns:a16="http://schemas.microsoft.com/office/drawing/2014/main" id="{452E1D89-A2D4-F1EF-EBFA-8D344498143C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19</xdr:row>
      <xdr:rowOff>159026</xdr:rowOff>
    </xdr:from>
    <xdr:to>
      <xdr:col>2</xdr:col>
      <xdr:colOff>531290</xdr:colOff>
      <xdr:row>19</xdr:row>
      <xdr:rowOff>318051</xdr:rowOff>
    </xdr:to>
    <xdr:grpSp>
      <xdr:nvGrpSpPr>
        <xdr:cNvPr id="92" name="Group 91">
          <a:extLst>
            <a:ext uri="{FF2B5EF4-FFF2-40B4-BE49-F238E27FC236}">
              <a16:creationId xmlns:a16="http://schemas.microsoft.com/office/drawing/2014/main" id="{8728BC43-A578-4270-90CC-B9B3A6A17551}"/>
            </a:ext>
          </a:extLst>
        </xdr:cNvPr>
        <xdr:cNvGrpSpPr/>
      </xdr:nvGrpSpPr>
      <xdr:grpSpPr>
        <a:xfrm>
          <a:off x="1370320" y="6150251"/>
          <a:ext cx="437320" cy="159025"/>
          <a:chOff x="3384365" y="2789462"/>
          <a:chExt cx="437320" cy="159025"/>
        </a:xfrm>
      </xdr:grpSpPr>
      <xdr:sp macro="" textlink="">
        <xdr:nvSpPr>
          <xdr:cNvPr id="93" name="Cloud 92">
            <a:extLst>
              <a:ext uri="{FF2B5EF4-FFF2-40B4-BE49-F238E27FC236}">
                <a16:creationId xmlns:a16="http://schemas.microsoft.com/office/drawing/2014/main" id="{C3A6ACE4-52EF-F9B8-DE3B-109AD894E97B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4" name="Cloud 93">
            <a:extLst>
              <a:ext uri="{FF2B5EF4-FFF2-40B4-BE49-F238E27FC236}">
                <a16:creationId xmlns:a16="http://schemas.microsoft.com/office/drawing/2014/main" id="{EADA0766-763C-40C7-3DD6-D5D629357651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19</xdr:row>
      <xdr:rowOff>159026</xdr:rowOff>
    </xdr:from>
    <xdr:to>
      <xdr:col>3</xdr:col>
      <xdr:colOff>531290</xdr:colOff>
      <xdr:row>19</xdr:row>
      <xdr:rowOff>318051</xdr:rowOff>
    </xdr:to>
    <xdr:grpSp>
      <xdr:nvGrpSpPr>
        <xdr:cNvPr id="95" name="Group 94">
          <a:extLst>
            <a:ext uri="{FF2B5EF4-FFF2-40B4-BE49-F238E27FC236}">
              <a16:creationId xmlns:a16="http://schemas.microsoft.com/office/drawing/2014/main" id="{C9A28DE1-8CAB-4471-9AC5-EEF6AE5E100C}"/>
            </a:ext>
          </a:extLst>
        </xdr:cNvPr>
        <xdr:cNvGrpSpPr/>
      </xdr:nvGrpSpPr>
      <xdr:grpSpPr>
        <a:xfrm>
          <a:off x="1951345" y="6150251"/>
          <a:ext cx="437320" cy="159025"/>
          <a:chOff x="3384365" y="2789462"/>
          <a:chExt cx="437320" cy="159025"/>
        </a:xfrm>
      </xdr:grpSpPr>
      <xdr:sp macro="" textlink="">
        <xdr:nvSpPr>
          <xdr:cNvPr id="96" name="Cloud 95">
            <a:extLst>
              <a:ext uri="{FF2B5EF4-FFF2-40B4-BE49-F238E27FC236}">
                <a16:creationId xmlns:a16="http://schemas.microsoft.com/office/drawing/2014/main" id="{834FE467-0CFA-1426-B128-D34FA7104BDE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97" name="Cloud 96">
            <a:extLst>
              <a:ext uri="{FF2B5EF4-FFF2-40B4-BE49-F238E27FC236}">
                <a16:creationId xmlns:a16="http://schemas.microsoft.com/office/drawing/2014/main" id="{C0C0FCA6-F439-A4CF-59C9-4EC95144C1E3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20</xdr:row>
      <xdr:rowOff>159026</xdr:rowOff>
    </xdr:from>
    <xdr:to>
      <xdr:col>3</xdr:col>
      <xdr:colOff>531290</xdr:colOff>
      <xdr:row>20</xdr:row>
      <xdr:rowOff>318051</xdr:rowOff>
    </xdr:to>
    <xdr:grpSp>
      <xdr:nvGrpSpPr>
        <xdr:cNvPr id="98" name="Group 97">
          <a:extLst>
            <a:ext uri="{FF2B5EF4-FFF2-40B4-BE49-F238E27FC236}">
              <a16:creationId xmlns:a16="http://schemas.microsoft.com/office/drawing/2014/main" id="{FBC68AA3-094E-435F-9F49-431BABA6A790}"/>
            </a:ext>
          </a:extLst>
        </xdr:cNvPr>
        <xdr:cNvGrpSpPr/>
      </xdr:nvGrpSpPr>
      <xdr:grpSpPr>
        <a:xfrm>
          <a:off x="1951345" y="6721751"/>
          <a:ext cx="437320" cy="159025"/>
          <a:chOff x="3384365" y="2789462"/>
          <a:chExt cx="437320" cy="159025"/>
        </a:xfrm>
      </xdr:grpSpPr>
      <xdr:sp macro="" textlink="">
        <xdr:nvSpPr>
          <xdr:cNvPr id="99" name="Cloud 98">
            <a:extLst>
              <a:ext uri="{FF2B5EF4-FFF2-40B4-BE49-F238E27FC236}">
                <a16:creationId xmlns:a16="http://schemas.microsoft.com/office/drawing/2014/main" id="{3DA4717B-1241-4D43-9814-755A55B784B3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00" name="Cloud 99">
            <a:extLst>
              <a:ext uri="{FF2B5EF4-FFF2-40B4-BE49-F238E27FC236}">
                <a16:creationId xmlns:a16="http://schemas.microsoft.com/office/drawing/2014/main" id="{677C58E5-FA81-98E3-AD31-36DF5175D245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20</xdr:row>
      <xdr:rowOff>159026</xdr:rowOff>
    </xdr:from>
    <xdr:to>
      <xdr:col>2</xdr:col>
      <xdr:colOff>531290</xdr:colOff>
      <xdr:row>20</xdr:row>
      <xdr:rowOff>318051</xdr:rowOff>
    </xdr:to>
    <xdr:grpSp>
      <xdr:nvGrpSpPr>
        <xdr:cNvPr id="101" name="Group 100">
          <a:extLst>
            <a:ext uri="{FF2B5EF4-FFF2-40B4-BE49-F238E27FC236}">
              <a16:creationId xmlns:a16="http://schemas.microsoft.com/office/drawing/2014/main" id="{FC3925EB-6B55-4870-B059-74D959CD60FB}"/>
            </a:ext>
          </a:extLst>
        </xdr:cNvPr>
        <xdr:cNvGrpSpPr/>
      </xdr:nvGrpSpPr>
      <xdr:grpSpPr>
        <a:xfrm>
          <a:off x="1370320" y="6721751"/>
          <a:ext cx="437320" cy="159025"/>
          <a:chOff x="3384365" y="2789462"/>
          <a:chExt cx="437320" cy="159025"/>
        </a:xfrm>
      </xdr:grpSpPr>
      <xdr:sp macro="" textlink="">
        <xdr:nvSpPr>
          <xdr:cNvPr id="102" name="Cloud 101">
            <a:extLst>
              <a:ext uri="{FF2B5EF4-FFF2-40B4-BE49-F238E27FC236}">
                <a16:creationId xmlns:a16="http://schemas.microsoft.com/office/drawing/2014/main" id="{8F4448D4-AB89-E108-A731-0DB0D3B51B00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03" name="Cloud 102">
            <a:extLst>
              <a:ext uri="{FF2B5EF4-FFF2-40B4-BE49-F238E27FC236}">
                <a16:creationId xmlns:a16="http://schemas.microsoft.com/office/drawing/2014/main" id="{F14126F1-DC9C-5079-9B6B-1BAD6FE735F2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21</xdr:row>
      <xdr:rowOff>159026</xdr:rowOff>
    </xdr:from>
    <xdr:to>
      <xdr:col>2</xdr:col>
      <xdr:colOff>531290</xdr:colOff>
      <xdr:row>21</xdr:row>
      <xdr:rowOff>318051</xdr:rowOff>
    </xdr:to>
    <xdr:grpSp>
      <xdr:nvGrpSpPr>
        <xdr:cNvPr id="104" name="Group 103">
          <a:extLst>
            <a:ext uri="{FF2B5EF4-FFF2-40B4-BE49-F238E27FC236}">
              <a16:creationId xmlns:a16="http://schemas.microsoft.com/office/drawing/2014/main" id="{B3150071-0376-490B-BBE7-FC95351DE58B}"/>
            </a:ext>
          </a:extLst>
        </xdr:cNvPr>
        <xdr:cNvGrpSpPr/>
      </xdr:nvGrpSpPr>
      <xdr:grpSpPr>
        <a:xfrm>
          <a:off x="1370320" y="7293251"/>
          <a:ext cx="437320" cy="159025"/>
          <a:chOff x="3384365" y="2789462"/>
          <a:chExt cx="437320" cy="159025"/>
        </a:xfrm>
      </xdr:grpSpPr>
      <xdr:sp macro="" textlink="">
        <xdr:nvSpPr>
          <xdr:cNvPr id="105" name="Cloud 104">
            <a:extLst>
              <a:ext uri="{FF2B5EF4-FFF2-40B4-BE49-F238E27FC236}">
                <a16:creationId xmlns:a16="http://schemas.microsoft.com/office/drawing/2014/main" id="{273BE319-E401-6E7C-0604-499520EAF4B0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06" name="Cloud 105">
            <a:extLst>
              <a:ext uri="{FF2B5EF4-FFF2-40B4-BE49-F238E27FC236}">
                <a16:creationId xmlns:a16="http://schemas.microsoft.com/office/drawing/2014/main" id="{8D6FF988-A0EB-8C56-4799-DCFADF9D2CCA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21</xdr:row>
      <xdr:rowOff>159026</xdr:rowOff>
    </xdr:from>
    <xdr:to>
      <xdr:col>3</xdr:col>
      <xdr:colOff>531290</xdr:colOff>
      <xdr:row>21</xdr:row>
      <xdr:rowOff>318051</xdr:rowOff>
    </xdr:to>
    <xdr:grpSp>
      <xdr:nvGrpSpPr>
        <xdr:cNvPr id="107" name="Group 106">
          <a:extLst>
            <a:ext uri="{FF2B5EF4-FFF2-40B4-BE49-F238E27FC236}">
              <a16:creationId xmlns:a16="http://schemas.microsoft.com/office/drawing/2014/main" id="{DF8A69C3-70A8-4B21-A28A-9DE7C0FA39EA}"/>
            </a:ext>
          </a:extLst>
        </xdr:cNvPr>
        <xdr:cNvGrpSpPr/>
      </xdr:nvGrpSpPr>
      <xdr:grpSpPr>
        <a:xfrm>
          <a:off x="1951345" y="7293251"/>
          <a:ext cx="437320" cy="159025"/>
          <a:chOff x="3384365" y="2789462"/>
          <a:chExt cx="437320" cy="159025"/>
        </a:xfrm>
      </xdr:grpSpPr>
      <xdr:sp macro="" textlink="">
        <xdr:nvSpPr>
          <xdr:cNvPr id="108" name="Cloud 107">
            <a:extLst>
              <a:ext uri="{FF2B5EF4-FFF2-40B4-BE49-F238E27FC236}">
                <a16:creationId xmlns:a16="http://schemas.microsoft.com/office/drawing/2014/main" id="{789FFEE3-0DBE-3D68-16CC-5AE587039123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09" name="Cloud 108">
            <a:extLst>
              <a:ext uri="{FF2B5EF4-FFF2-40B4-BE49-F238E27FC236}">
                <a16:creationId xmlns:a16="http://schemas.microsoft.com/office/drawing/2014/main" id="{77816E9C-0E30-8BDF-C09F-D6413ED8860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22</xdr:row>
      <xdr:rowOff>159026</xdr:rowOff>
    </xdr:from>
    <xdr:to>
      <xdr:col>2</xdr:col>
      <xdr:colOff>531290</xdr:colOff>
      <xdr:row>22</xdr:row>
      <xdr:rowOff>318051</xdr:rowOff>
    </xdr:to>
    <xdr:grpSp>
      <xdr:nvGrpSpPr>
        <xdr:cNvPr id="110" name="Group 109">
          <a:extLst>
            <a:ext uri="{FF2B5EF4-FFF2-40B4-BE49-F238E27FC236}">
              <a16:creationId xmlns:a16="http://schemas.microsoft.com/office/drawing/2014/main" id="{E7EDDE21-E349-43D5-9F3A-AF1BF3EC85E1}"/>
            </a:ext>
          </a:extLst>
        </xdr:cNvPr>
        <xdr:cNvGrpSpPr/>
      </xdr:nvGrpSpPr>
      <xdr:grpSpPr>
        <a:xfrm>
          <a:off x="1370320" y="7864751"/>
          <a:ext cx="437320" cy="159025"/>
          <a:chOff x="3384365" y="2789462"/>
          <a:chExt cx="437320" cy="159025"/>
        </a:xfrm>
      </xdr:grpSpPr>
      <xdr:sp macro="" textlink="">
        <xdr:nvSpPr>
          <xdr:cNvPr id="111" name="Cloud 110">
            <a:extLst>
              <a:ext uri="{FF2B5EF4-FFF2-40B4-BE49-F238E27FC236}">
                <a16:creationId xmlns:a16="http://schemas.microsoft.com/office/drawing/2014/main" id="{D9B8F174-5BCB-E73E-F552-DD6680764A09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2" name="Cloud 111">
            <a:extLst>
              <a:ext uri="{FF2B5EF4-FFF2-40B4-BE49-F238E27FC236}">
                <a16:creationId xmlns:a16="http://schemas.microsoft.com/office/drawing/2014/main" id="{D9C78B41-BB62-099A-B803-702E5795C9AA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22</xdr:row>
      <xdr:rowOff>159026</xdr:rowOff>
    </xdr:from>
    <xdr:to>
      <xdr:col>3</xdr:col>
      <xdr:colOff>531290</xdr:colOff>
      <xdr:row>22</xdr:row>
      <xdr:rowOff>318051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1298F538-165A-493C-89BF-5B1CEAAD5ADD}"/>
            </a:ext>
          </a:extLst>
        </xdr:cNvPr>
        <xdr:cNvGrpSpPr/>
      </xdr:nvGrpSpPr>
      <xdr:grpSpPr>
        <a:xfrm>
          <a:off x="1951345" y="7864751"/>
          <a:ext cx="437320" cy="159025"/>
          <a:chOff x="3384365" y="2789462"/>
          <a:chExt cx="437320" cy="159025"/>
        </a:xfrm>
      </xdr:grpSpPr>
      <xdr:sp macro="" textlink="">
        <xdr:nvSpPr>
          <xdr:cNvPr id="114" name="Cloud 113">
            <a:extLst>
              <a:ext uri="{FF2B5EF4-FFF2-40B4-BE49-F238E27FC236}">
                <a16:creationId xmlns:a16="http://schemas.microsoft.com/office/drawing/2014/main" id="{7DCBCBDA-D0D8-453D-C920-591CC2F40977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5" name="Cloud 114">
            <a:extLst>
              <a:ext uri="{FF2B5EF4-FFF2-40B4-BE49-F238E27FC236}">
                <a16:creationId xmlns:a16="http://schemas.microsoft.com/office/drawing/2014/main" id="{AED8BB50-7CE5-2658-605B-A250B4875589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2</xdr:col>
      <xdr:colOff>93970</xdr:colOff>
      <xdr:row>23</xdr:row>
      <xdr:rowOff>159026</xdr:rowOff>
    </xdr:from>
    <xdr:to>
      <xdr:col>2</xdr:col>
      <xdr:colOff>531290</xdr:colOff>
      <xdr:row>23</xdr:row>
      <xdr:rowOff>318051</xdr:rowOff>
    </xdr:to>
    <xdr:grpSp>
      <xdr:nvGrpSpPr>
        <xdr:cNvPr id="116" name="Group 115">
          <a:extLst>
            <a:ext uri="{FF2B5EF4-FFF2-40B4-BE49-F238E27FC236}">
              <a16:creationId xmlns:a16="http://schemas.microsoft.com/office/drawing/2014/main" id="{D06B1B7E-3015-45D2-80CE-D72E3BED3D7F}"/>
            </a:ext>
          </a:extLst>
        </xdr:cNvPr>
        <xdr:cNvGrpSpPr/>
      </xdr:nvGrpSpPr>
      <xdr:grpSpPr>
        <a:xfrm>
          <a:off x="1370320" y="8436251"/>
          <a:ext cx="437320" cy="159025"/>
          <a:chOff x="3384365" y="2789462"/>
          <a:chExt cx="437320" cy="159025"/>
        </a:xfrm>
      </xdr:grpSpPr>
      <xdr:sp macro="" textlink="">
        <xdr:nvSpPr>
          <xdr:cNvPr id="117" name="Cloud 116">
            <a:extLst>
              <a:ext uri="{FF2B5EF4-FFF2-40B4-BE49-F238E27FC236}">
                <a16:creationId xmlns:a16="http://schemas.microsoft.com/office/drawing/2014/main" id="{09AAA3C1-1AAB-6849-DF23-C9CE635D89C6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18" name="Cloud 117">
            <a:extLst>
              <a:ext uri="{FF2B5EF4-FFF2-40B4-BE49-F238E27FC236}">
                <a16:creationId xmlns:a16="http://schemas.microsoft.com/office/drawing/2014/main" id="{CF782F43-F841-7733-1379-65748EE50BA8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</xdr:col>
      <xdr:colOff>93970</xdr:colOff>
      <xdr:row>23</xdr:row>
      <xdr:rowOff>159026</xdr:rowOff>
    </xdr:from>
    <xdr:to>
      <xdr:col>3</xdr:col>
      <xdr:colOff>531290</xdr:colOff>
      <xdr:row>23</xdr:row>
      <xdr:rowOff>318051</xdr:rowOff>
    </xdr:to>
    <xdr:grpSp>
      <xdr:nvGrpSpPr>
        <xdr:cNvPr id="119" name="Group 118">
          <a:extLst>
            <a:ext uri="{FF2B5EF4-FFF2-40B4-BE49-F238E27FC236}">
              <a16:creationId xmlns:a16="http://schemas.microsoft.com/office/drawing/2014/main" id="{0236773D-7DB3-42BB-BAA3-4C47BA84BD21}"/>
            </a:ext>
          </a:extLst>
        </xdr:cNvPr>
        <xdr:cNvGrpSpPr/>
      </xdr:nvGrpSpPr>
      <xdr:grpSpPr>
        <a:xfrm>
          <a:off x="1951345" y="8436251"/>
          <a:ext cx="437320" cy="159025"/>
          <a:chOff x="3384365" y="2789462"/>
          <a:chExt cx="437320" cy="159025"/>
        </a:xfrm>
      </xdr:grpSpPr>
      <xdr:sp macro="" textlink="">
        <xdr:nvSpPr>
          <xdr:cNvPr id="120" name="Cloud 119">
            <a:extLst>
              <a:ext uri="{FF2B5EF4-FFF2-40B4-BE49-F238E27FC236}">
                <a16:creationId xmlns:a16="http://schemas.microsoft.com/office/drawing/2014/main" id="{8B5C6039-E2DC-BD13-54EF-4860509C74DE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21" name="Cloud 120">
            <a:extLst>
              <a:ext uri="{FF2B5EF4-FFF2-40B4-BE49-F238E27FC236}">
                <a16:creationId xmlns:a16="http://schemas.microsoft.com/office/drawing/2014/main" id="{CDCE4099-BD3B-0E63-DAAB-3ACCC526453E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14</xdr:row>
      <xdr:rowOff>166254</xdr:rowOff>
    </xdr:from>
    <xdr:to>
      <xdr:col>6</xdr:col>
      <xdr:colOff>545747</xdr:colOff>
      <xdr:row>14</xdr:row>
      <xdr:rowOff>325279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EFB593B4-6235-4262-8A32-467AF7CCBEB4}"/>
            </a:ext>
          </a:extLst>
        </xdr:cNvPr>
        <xdr:cNvGrpSpPr/>
      </xdr:nvGrpSpPr>
      <xdr:grpSpPr>
        <a:xfrm>
          <a:off x="3708877" y="3299979"/>
          <a:ext cx="437320" cy="159025"/>
          <a:chOff x="3384365" y="2789462"/>
          <a:chExt cx="437320" cy="159025"/>
        </a:xfrm>
      </xdr:grpSpPr>
      <xdr:sp macro="" textlink="">
        <xdr:nvSpPr>
          <xdr:cNvPr id="123" name="Cloud 122">
            <a:extLst>
              <a:ext uri="{FF2B5EF4-FFF2-40B4-BE49-F238E27FC236}">
                <a16:creationId xmlns:a16="http://schemas.microsoft.com/office/drawing/2014/main" id="{4D844ADE-7D2F-4F15-412F-E55ED4C6DBFC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24" name="Cloud 123">
            <a:extLst>
              <a:ext uri="{FF2B5EF4-FFF2-40B4-BE49-F238E27FC236}">
                <a16:creationId xmlns:a16="http://schemas.microsoft.com/office/drawing/2014/main" id="{8BA6A997-367C-D562-FC8D-21D101290AB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15</xdr:row>
      <xdr:rowOff>166254</xdr:rowOff>
    </xdr:from>
    <xdr:to>
      <xdr:col>6</xdr:col>
      <xdr:colOff>545747</xdr:colOff>
      <xdr:row>15</xdr:row>
      <xdr:rowOff>325279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65A339CA-739B-4682-9A35-B8313445037B}"/>
            </a:ext>
          </a:extLst>
        </xdr:cNvPr>
        <xdr:cNvGrpSpPr/>
      </xdr:nvGrpSpPr>
      <xdr:grpSpPr>
        <a:xfrm>
          <a:off x="3708877" y="3871479"/>
          <a:ext cx="437320" cy="159025"/>
          <a:chOff x="3384365" y="2789462"/>
          <a:chExt cx="437320" cy="159025"/>
        </a:xfrm>
      </xdr:grpSpPr>
      <xdr:sp macro="" textlink="">
        <xdr:nvSpPr>
          <xdr:cNvPr id="126" name="Cloud 125">
            <a:extLst>
              <a:ext uri="{FF2B5EF4-FFF2-40B4-BE49-F238E27FC236}">
                <a16:creationId xmlns:a16="http://schemas.microsoft.com/office/drawing/2014/main" id="{F945AFB7-E014-826F-7E15-90EC88265244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27" name="Cloud 126">
            <a:extLst>
              <a:ext uri="{FF2B5EF4-FFF2-40B4-BE49-F238E27FC236}">
                <a16:creationId xmlns:a16="http://schemas.microsoft.com/office/drawing/2014/main" id="{EA9CB8E6-AB56-B7E9-A12F-FC83512EFF05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16</xdr:row>
      <xdr:rowOff>166254</xdr:rowOff>
    </xdr:from>
    <xdr:to>
      <xdr:col>6</xdr:col>
      <xdr:colOff>545747</xdr:colOff>
      <xdr:row>16</xdr:row>
      <xdr:rowOff>325279</xdr:rowOff>
    </xdr:to>
    <xdr:grpSp>
      <xdr:nvGrpSpPr>
        <xdr:cNvPr id="128" name="Group 127">
          <a:extLst>
            <a:ext uri="{FF2B5EF4-FFF2-40B4-BE49-F238E27FC236}">
              <a16:creationId xmlns:a16="http://schemas.microsoft.com/office/drawing/2014/main" id="{844E8104-6190-4D2B-AE8A-17D7565594FC}"/>
            </a:ext>
          </a:extLst>
        </xdr:cNvPr>
        <xdr:cNvGrpSpPr/>
      </xdr:nvGrpSpPr>
      <xdr:grpSpPr>
        <a:xfrm>
          <a:off x="3708877" y="4442979"/>
          <a:ext cx="437320" cy="159025"/>
          <a:chOff x="3384365" y="2789462"/>
          <a:chExt cx="437320" cy="159025"/>
        </a:xfrm>
      </xdr:grpSpPr>
      <xdr:sp macro="" textlink="">
        <xdr:nvSpPr>
          <xdr:cNvPr id="129" name="Cloud 128">
            <a:extLst>
              <a:ext uri="{FF2B5EF4-FFF2-40B4-BE49-F238E27FC236}">
                <a16:creationId xmlns:a16="http://schemas.microsoft.com/office/drawing/2014/main" id="{4310E9E5-A2D1-4EB9-380F-790013B1210F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0" name="Cloud 129">
            <a:extLst>
              <a:ext uri="{FF2B5EF4-FFF2-40B4-BE49-F238E27FC236}">
                <a16:creationId xmlns:a16="http://schemas.microsoft.com/office/drawing/2014/main" id="{5E71D006-AAA8-D016-ADA1-28E2A3B1443D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17</xdr:row>
      <xdr:rowOff>166254</xdr:rowOff>
    </xdr:from>
    <xdr:to>
      <xdr:col>6</xdr:col>
      <xdr:colOff>545747</xdr:colOff>
      <xdr:row>17</xdr:row>
      <xdr:rowOff>325279</xdr:rowOff>
    </xdr:to>
    <xdr:grpSp>
      <xdr:nvGrpSpPr>
        <xdr:cNvPr id="131" name="Group 130">
          <a:extLst>
            <a:ext uri="{FF2B5EF4-FFF2-40B4-BE49-F238E27FC236}">
              <a16:creationId xmlns:a16="http://schemas.microsoft.com/office/drawing/2014/main" id="{CCC4E9AC-AE3A-4DB4-A950-D739E70FAD39}"/>
            </a:ext>
          </a:extLst>
        </xdr:cNvPr>
        <xdr:cNvGrpSpPr/>
      </xdr:nvGrpSpPr>
      <xdr:grpSpPr>
        <a:xfrm>
          <a:off x="3708877" y="5014479"/>
          <a:ext cx="437320" cy="159025"/>
          <a:chOff x="3384365" y="2789462"/>
          <a:chExt cx="437320" cy="159025"/>
        </a:xfrm>
      </xdr:grpSpPr>
      <xdr:sp macro="" textlink="">
        <xdr:nvSpPr>
          <xdr:cNvPr id="132" name="Cloud 131">
            <a:extLst>
              <a:ext uri="{FF2B5EF4-FFF2-40B4-BE49-F238E27FC236}">
                <a16:creationId xmlns:a16="http://schemas.microsoft.com/office/drawing/2014/main" id="{8278DC13-E412-15D3-6EB5-7371822CB138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3" name="Cloud 132">
            <a:extLst>
              <a:ext uri="{FF2B5EF4-FFF2-40B4-BE49-F238E27FC236}">
                <a16:creationId xmlns:a16="http://schemas.microsoft.com/office/drawing/2014/main" id="{9220D805-0DB4-E524-54C7-42E79F2C8959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18</xdr:row>
      <xdr:rowOff>166254</xdr:rowOff>
    </xdr:from>
    <xdr:to>
      <xdr:col>6</xdr:col>
      <xdr:colOff>545747</xdr:colOff>
      <xdr:row>18</xdr:row>
      <xdr:rowOff>325279</xdr:rowOff>
    </xdr:to>
    <xdr:grpSp>
      <xdr:nvGrpSpPr>
        <xdr:cNvPr id="134" name="Group 133">
          <a:extLst>
            <a:ext uri="{FF2B5EF4-FFF2-40B4-BE49-F238E27FC236}">
              <a16:creationId xmlns:a16="http://schemas.microsoft.com/office/drawing/2014/main" id="{E519DE65-7D15-46B6-A5E7-4C7D35B6CA95}"/>
            </a:ext>
          </a:extLst>
        </xdr:cNvPr>
        <xdr:cNvGrpSpPr/>
      </xdr:nvGrpSpPr>
      <xdr:grpSpPr>
        <a:xfrm>
          <a:off x="3708877" y="5585979"/>
          <a:ext cx="437320" cy="159025"/>
          <a:chOff x="3384365" y="2789462"/>
          <a:chExt cx="437320" cy="159025"/>
        </a:xfrm>
      </xdr:grpSpPr>
      <xdr:sp macro="" textlink="">
        <xdr:nvSpPr>
          <xdr:cNvPr id="135" name="Cloud 134">
            <a:extLst>
              <a:ext uri="{FF2B5EF4-FFF2-40B4-BE49-F238E27FC236}">
                <a16:creationId xmlns:a16="http://schemas.microsoft.com/office/drawing/2014/main" id="{36B3CD49-6706-FB71-5FDF-7F11A10659FC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6" name="Cloud 135">
            <a:extLst>
              <a:ext uri="{FF2B5EF4-FFF2-40B4-BE49-F238E27FC236}">
                <a16:creationId xmlns:a16="http://schemas.microsoft.com/office/drawing/2014/main" id="{8DE413A9-B1F5-18ED-3CAB-DAF2DCA15869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19</xdr:row>
      <xdr:rowOff>166254</xdr:rowOff>
    </xdr:from>
    <xdr:to>
      <xdr:col>6</xdr:col>
      <xdr:colOff>545747</xdr:colOff>
      <xdr:row>19</xdr:row>
      <xdr:rowOff>325279</xdr:rowOff>
    </xdr:to>
    <xdr:grpSp>
      <xdr:nvGrpSpPr>
        <xdr:cNvPr id="137" name="Group 136">
          <a:extLst>
            <a:ext uri="{FF2B5EF4-FFF2-40B4-BE49-F238E27FC236}">
              <a16:creationId xmlns:a16="http://schemas.microsoft.com/office/drawing/2014/main" id="{B6279DCA-0A6C-4D0A-BCB7-4A30A199F9F0}"/>
            </a:ext>
          </a:extLst>
        </xdr:cNvPr>
        <xdr:cNvGrpSpPr/>
      </xdr:nvGrpSpPr>
      <xdr:grpSpPr>
        <a:xfrm>
          <a:off x="3708877" y="6157479"/>
          <a:ext cx="437320" cy="159025"/>
          <a:chOff x="3384365" y="2789462"/>
          <a:chExt cx="437320" cy="159025"/>
        </a:xfrm>
      </xdr:grpSpPr>
      <xdr:sp macro="" textlink="">
        <xdr:nvSpPr>
          <xdr:cNvPr id="138" name="Cloud 137">
            <a:extLst>
              <a:ext uri="{FF2B5EF4-FFF2-40B4-BE49-F238E27FC236}">
                <a16:creationId xmlns:a16="http://schemas.microsoft.com/office/drawing/2014/main" id="{CA0B1DB8-F6DA-29DE-4D2B-B9A725672B58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39" name="Cloud 138">
            <a:extLst>
              <a:ext uri="{FF2B5EF4-FFF2-40B4-BE49-F238E27FC236}">
                <a16:creationId xmlns:a16="http://schemas.microsoft.com/office/drawing/2014/main" id="{54E7963A-DBA9-5D63-1FDB-0F1E598A5F45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20</xdr:row>
      <xdr:rowOff>166254</xdr:rowOff>
    </xdr:from>
    <xdr:to>
      <xdr:col>6</xdr:col>
      <xdr:colOff>545747</xdr:colOff>
      <xdr:row>20</xdr:row>
      <xdr:rowOff>325279</xdr:rowOff>
    </xdr:to>
    <xdr:grpSp>
      <xdr:nvGrpSpPr>
        <xdr:cNvPr id="140" name="Group 139">
          <a:extLst>
            <a:ext uri="{FF2B5EF4-FFF2-40B4-BE49-F238E27FC236}">
              <a16:creationId xmlns:a16="http://schemas.microsoft.com/office/drawing/2014/main" id="{6787AE0E-D3F9-4BDC-8336-8BF12CADDDDE}"/>
            </a:ext>
          </a:extLst>
        </xdr:cNvPr>
        <xdr:cNvGrpSpPr/>
      </xdr:nvGrpSpPr>
      <xdr:grpSpPr>
        <a:xfrm>
          <a:off x="3708877" y="6728979"/>
          <a:ext cx="437320" cy="159025"/>
          <a:chOff x="3384365" y="2789462"/>
          <a:chExt cx="437320" cy="159025"/>
        </a:xfrm>
      </xdr:grpSpPr>
      <xdr:sp macro="" textlink="">
        <xdr:nvSpPr>
          <xdr:cNvPr id="141" name="Cloud 140">
            <a:extLst>
              <a:ext uri="{FF2B5EF4-FFF2-40B4-BE49-F238E27FC236}">
                <a16:creationId xmlns:a16="http://schemas.microsoft.com/office/drawing/2014/main" id="{162D9D90-BDD1-85D5-D5B3-867F99C78087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42" name="Cloud 141">
            <a:extLst>
              <a:ext uri="{FF2B5EF4-FFF2-40B4-BE49-F238E27FC236}">
                <a16:creationId xmlns:a16="http://schemas.microsoft.com/office/drawing/2014/main" id="{A9C22CA5-7655-9979-EF30-55EBFD560D24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21</xdr:row>
      <xdr:rowOff>166254</xdr:rowOff>
    </xdr:from>
    <xdr:to>
      <xdr:col>6</xdr:col>
      <xdr:colOff>545747</xdr:colOff>
      <xdr:row>21</xdr:row>
      <xdr:rowOff>325279</xdr:rowOff>
    </xdr:to>
    <xdr:grpSp>
      <xdr:nvGrpSpPr>
        <xdr:cNvPr id="143" name="Group 142">
          <a:extLst>
            <a:ext uri="{FF2B5EF4-FFF2-40B4-BE49-F238E27FC236}">
              <a16:creationId xmlns:a16="http://schemas.microsoft.com/office/drawing/2014/main" id="{46B0409E-CC84-468C-B426-D99ED9A2B8B3}"/>
            </a:ext>
          </a:extLst>
        </xdr:cNvPr>
        <xdr:cNvGrpSpPr/>
      </xdr:nvGrpSpPr>
      <xdr:grpSpPr>
        <a:xfrm>
          <a:off x="3708877" y="7300479"/>
          <a:ext cx="437320" cy="159025"/>
          <a:chOff x="3384365" y="2789462"/>
          <a:chExt cx="437320" cy="159025"/>
        </a:xfrm>
      </xdr:grpSpPr>
      <xdr:sp macro="" textlink="">
        <xdr:nvSpPr>
          <xdr:cNvPr id="144" name="Cloud 143">
            <a:extLst>
              <a:ext uri="{FF2B5EF4-FFF2-40B4-BE49-F238E27FC236}">
                <a16:creationId xmlns:a16="http://schemas.microsoft.com/office/drawing/2014/main" id="{C5CB1AF3-250B-C030-F419-42C4F467E021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45" name="Cloud 144">
            <a:extLst>
              <a:ext uri="{FF2B5EF4-FFF2-40B4-BE49-F238E27FC236}">
                <a16:creationId xmlns:a16="http://schemas.microsoft.com/office/drawing/2014/main" id="{1C365807-275B-2C1B-58D0-BC5F004D5B98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22</xdr:row>
      <xdr:rowOff>166254</xdr:rowOff>
    </xdr:from>
    <xdr:to>
      <xdr:col>6</xdr:col>
      <xdr:colOff>545747</xdr:colOff>
      <xdr:row>22</xdr:row>
      <xdr:rowOff>325279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2CC63A94-82EC-4F53-AA01-135B45A042CC}"/>
            </a:ext>
          </a:extLst>
        </xdr:cNvPr>
        <xdr:cNvGrpSpPr/>
      </xdr:nvGrpSpPr>
      <xdr:grpSpPr>
        <a:xfrm>
          <a:off x="3708877" y="7871979"/>
          <a:ext cx="437320" cy="159025"/>
          <a:chOff x="3384365" y="2789462"/>
          <a:chExt cx="437320" cy="159025"/>
        </a:xfrm>
      </xdr:grpSpPr>
      <xdr:sp macro="" textlink="">
        <xdr:nvSpPr>
          <xdr:cNvPr id="147" name="Cloud 146">
            <a:extLst>
              <a:ext uri="{FF2B5EF4-FFF2-40B4-BE49-F238E27FC236}">
                <a16:creationId xmlns:a16="http://schemas.microsoft.com/office/drawing/2014/main" id="{9CDFAF04-FA8A-2F90-6986-518BF135E3CA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48" name="Cloud 147">
            <a:extLst>
              <a:ext uri="{FF2B5EF4-FFF2-40B4-BE49-F238E27FC236}">
                <a16:creationId xmlns:a16="http://schemas.microsoft.com/office/drawing/2014/main" id="{0BA8685A-2CE6-A48F-D0A0-9C7584CDE6E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6</xdr:col>
      <xdr:colOff>108427</xdr:colOff>
      <xdr:row>23</xdr:row>
      <xdr:rowOff>166254</xdr:rowOff>
    </xdr:from>
    <xdr:to>
      <xdr:col>6</xdr:col>
      <xdr:colOff>545747</xdr:colOff>
      <xdr:row>23</xdr:row>
      <xdr:rowOff>325279</xdr:rowOff>
    </xdr:to>
    <xdr:grpSp>
      <xdr:nvGrpSpPr>
        <xdr:cNvPr id="149" name="Group 148">
          <a:extLst>
            <a:ext uri="{FF2B5EF4-FFF2-40B4-BE49-F238E27FC236}">
              <a16:creationId xmlns:a16="http://schemas.microsoft.com/office/drawing/2014/main" id="{48D82E18-5E91-498F-94E0-167E7D8BA563}"/>
            </a:ext>
          </a:extLst>
        </xdr:cNvPr>
        <xdr:cNvGrpSpPr/>
      </xdr:nvGrpSpPr>
      <xdr:grpSpPr>
        <a:xfrm>
          <a:off x="3708877" y="8443479"/>
          <a:ext cx="437320" cy="159025"/>
          <a:chOff x="3384365" y="2789462"/>
          <a:chExt cx="437320" cy="159025"/>
        </a:xfrm>
      </xdr:grpSpPr>
      <xdr:sp macro="" textlink="">
        <xdr:nvSpPr>
          <xdr:cNvPr id="150" name="Cloud 149">
            <a:extLst>
              <a:ext uri="{FF2B5EF4-FFF2-40B4-BE49-F238E27FC236}">
                <a16:creationId xmlns:a16="http://schemas.microsoft.com/office/drawing/2014/main" id="{52A39966-9F9F-25B4-470C-8864BF23A1CE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51" name="Cloud 150">
            <a:extLst>
              <a:ext uri="{FF2B5EF4-FFF2-40B4-BE49-F238E27FC236}">
                <a16:creationId xmlns:a16="http://schemas.microsoft.com/office/drawing/2014/main" id="{3A1673DB-556C-FB2C-7AE1-D48BF35883E9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14</xdr:row>
      <xdr:rowOff>151798</xdr:rowOff>
    </xdr:from>
    <xdr:to>
      <xdr:col>1</xdr:col>
      <xdr:colOff>567432</xdr:colOff>
      <xdr:row>14</xdr:row>
      <xdr:rowOff>310823</xdr:rowOff>
    </xdr:to>
    <xdr:grpSp>
      <xdr:nvGrpSpPr>
        <xdr:cNvPr id="152" name="Group 151">
          <a:extLst>
            <a:ext uri="{FF2B5EF4-FFF2-40B4-BE49-F238E27FC236}">
              <a16:creationId xmlns:a16="http://schemas.microsoft.com/office/drawing/2014/main" id="{6474986C-CD91-4746-BE50-1B68D29A82C0}"/>
            </a:ext>
          </a:extLst>
        </xdr:cNvPr>
        <xdr:cNvGrpSpPr/>
      </xdr:nvGrpSpPr>
      <xdr:grpSpPr>
        <a:xfrm>
          <a:off x="739712" y="3285523"/>
          <a:ext cx="437320" cy="159025"/>
          <a:chOff x="3384365" y="2789462"/>
          <a:chExt cx="437320" cy="159025"/>
        </a:xfrm>
      </xdr:grpSpPr>
      <xdr:sp macro="" textlink="">
        <xdr:nvSpPr>
          <xdr:cNvPr id="153" name="Cloud 152">
            <a:extLst>
              <a:ext uri="{FF2B5EF4-FFF2-40B4-BE49-F238E27FC236}">
                <a16:creationId xmlns:a16="http://schemas.microsoft.com/office/drawing/2014/main" id="{BFA15385-ED8E-D080-67C2-63199A88E060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54" name="Cloud 153">
            <a:extLst>
              <a:ext uri="{FF2B5EF4-FFF2-40B4-BE49-F238E27FC236}">
                <a16:creationId xmlns:a16="http://schemas.microsoft.com/office/drawing/2014/main" id="{1F282464-3A93-96E1-F3E0-8C6F4F7E8941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15</xdr:row>
      <xdr:rowOff>151798</xdr:rowOff>
    </xdr:from>
    <xdr:to>
      <xdr:col>1</xdr:col>
      <xdr:colOff>567432</xdr:colOff>
      <xdr:row>15</xdr:row>
      <xdr:rowOff>310823</xdr:rowOff>
    </xdr:to>
    <xdr:grpSp>
      <xdr:nvGrpSpPr>
        <xdr:cNvPr id="155" name="Group 154">
          <a:extLst>
            <a:ext uri="{FF2B5EF4-FFF2-40B4-BE49-F238E27FC236}">
              <a16:creationId xmlns:a16="http://schemas.microsoft.com/office/drawing/2014/main" id="{655A8E75-81D6-4333-A26A-5348322B3189}"/>
            </a:ext>
          </a:extLst>
        </xdr:cNvPr>
        <xdr:cNvGrpSpPr/>
      </xdr:nvGrpSpPr>
      <xdr:grpSpPr>
        <a:xfrm>
          <a:off x="739712" y="3857023"/>
          <a:ext cx="437320" cy="159025"/>
          <a:chOff x="3384365" y="2789462"/>
          <a:chExt cx="437320" cy="159025"/>
        </a:xfrm>
      </xdr:grpSpPr>
      <xdr:sp macro="" textlink="">
        <xdr:nvSpPr>
          <xdr:cNvPr id="156" name="Cloud 155">
            <a:extLst>
              <a:ext uri="{FF2B5EF4-FFF2-40B4-BE49-F238E27FC236}">
                <a16:creationId xmlns:a16="http://schemas.microsoft.com/office/drawing/2014/main" id="{CF661A84-3205-5D74-E851-810126EA56CA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57" name="Cloud 156">
            <a:extLst>
              <a:ext uri="{FF2B5EF4-FFF2-40B4-BE49-F238E27FC236}">
                <a16:creationId xmlns:a16="http://schemas.microsoft.com/office/drawing/2014/main" id="{AB0E157C-C3B9-5E64-9EBA-17C547000FB3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16</xdr:row>
      <xdr:rowOff>151798</xdr:rowOff>
    </xdr:from>
    <xdr:to>
      <xdr:col>1</xdr:col>
      <xdr:colOff>567432</xdr:colOff>
      <xdr:row>16</xdr:row>
      <xdr:rowOff>310823</xdr:rowOff>
    </xdr:to>
    <xdr:grpSp>
      <xdr:nvGrpSpPr>
        <xdr:cNvPr id="158" name="Group 157">
          <a:extLst>
            <a:ext uri="{FF2B5EF4-FFF2-40B4-BE49-F238E27FC236}">
              <a16:creationId xmlns:a16="http://schemas.microsoft.com/office/drawing/2014/main" id="{71A34867-BEF7-4BD6-9642-70B4FE7900A6}"/>
            </a:ext>
          </a:extLst>
        </xdr:cNvPr>
        <xdr:cNvGrpSpPr/>
      </xdr:nvGrpSpPr>
      <xdr:grpSpPr>
        <a:xfrm>
          <a:off x="739712" y="4428523"/>
          <a:ext cx="437320" cy="159025"/>
          <a:chOff x="3384365" y="2789462"/>
          <a:chExt cx="437320" cy="159025"/>
        </a:xfrm>
      </xdr:grpSpPr>
      <xdr:sp macro="" textlink="">
        <xdr:nvSpPr>
          <xdr:cNvPr id="159" name="Cloud 158">
            <a:extLst>
              <a:ext uri="{FF2B5EF4-FFF2-40B4-BE49-F238E27FC236}">
                <a16:creationId xmlns:a16="http://schemas.microsoft.com/office/drawing/2014/main" id="{A08F0F19-8F27-B2AA-2FA7-BAC869931CB3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60" name="Cloud 159">
            <a:extLst>
              <a:ext uri="{FF2B5EF4-FFF2-40B4-BE49-F238E27FC236}">
                <a16:creationId xmlns:a16="http://schemas.microsoft.com/office/drawing/2014/main" id="{A933E52C-1275-DD49-BEB6-7679D994842F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17</xdr:row>
      <xdr:rowOff>151798</xdr:rowOff>
    </xdr:from>
    <xdr:to>
      <xdr:col>1</xdr:col>
      <xdr:colOff>567432</xdr:colOff>
      <xdr:row>17</xdr:row>
      <xdr:rowOff>310823</xdr:rowOff>
    </xdr:to>
    <xdr:grpSp>
      <xdr:nvGrpSpPr>
        <xdr:cNvPr id="161" name="Group 160">
          <a:extLst>
            <a:ext uri="{FF2B5EF4-FFF2-40B4-BE49-F238E27FC236}">
              <a16:creationId xmlns:a16="http://schemas.microsoft.com/office/drawing/2014/main" id="{091824B5-F9AA-4621-BB6D-236E9F1E009E}"/>
            </a:ext>
          </a:extLst>
        </xdr:cNvPr>
        <xdr:cNvGrpSpPr/>
      </xdr:nvGrpSpPr>
      <xdr:grpSpPr>
        <a:xfrm>
          <a:off x="739712" y="5000023"/>
          <a:ext cx="437320" cy="159025"/>
          <a:chOff x="3384365" y="2789462"/>
          <a:chExt cx="437320" cy="159025"/>
        </a:xfrm>
      </xdr:grpSpPr>
      <xdr:sp macro="" textlink="">
        <xdr:nvSpPr>
          <xdr:cNvPr id="162" name="Cloud 161">
            <a:extLst>
              <a:ext uri="{FF2B5EF4-FFF2-40B4-BE49-F238E27FC236}">
                <a16:creationId xmlns:a16="http://schemas.microsoft.com/office/drawing/2014/main" id="{CA8FE2D4-6D26-CAC2-0D50-1AF2A507E349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63" name="Cloud 162">
            <a:extLst>
              <a:ext uri="{FF2B5EF4-FFF2-40B4-BE49-F238E27FC236}">
                <a16:creationId xmlns:a16="http://schemas.microsoft.com/office/drawing/2014/main" id="{6B34BB14-6086-3038-06FE-6740B3FEFE05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18</xdr:row>
      <xdr:rowOff>151798</xdr:rowOff>
    </xdr:from>
    <xdr:to>
      <xdr:col>1</xdr:col>
      <xdr:colOff>567432</xdr:colOff>
      <xdr:row>18</xdr:row>
      <xdr:rowOff>310823</xdr:rowOff>
    </xdr:to>
    <xdr:grpSp>
      <xdr:nvGrpSpPr>
        <xdr:cNvPr id="164" name="Group 163">
          <a:extLst>
            <a:ext uri="{FF2B5EF4-FFF2-40B4-BE49-F238E27FC236}">
              <a16:creationId xmlns:a16="http://schemas.microsoft.com/office/drawing/2014/main" id="{98F533EB-B6BA-4EF3-9038-3452577ABED7}"/>
            </a:ext>
          </a:extLst>
        </xdr:cNvPr>
        <xdr:cNvGrpSpPr/>
      </xdr:nvGrpSpPr>
      <xdr:grpSpPr>
        <a:xfrm>
          <a:off x="739712" y="5571523"/>
          <a:ext cx="437320" cy="159025"/>
          <a:chOff x="3384365" y="2789462"/>
          <a:chExt cx="437320" cy="159025"/>
        </a:xfrm>
      </xdr:grpSpPr>
      <xdr:sp macro="" textlink="">
        <xdr:nvSpPr>
          <xdr:cNvPr id="165" name="Cloud 164">
            <a:extLst>
              <a:ext uri="{FF2B5EF4-FFF2-40B4-BE49-F238E27FC236}">
                <a16:creationId xmlns:a16="http://schemas.microsoft.com/office/drawing/2014/main" id="{6A18C5D7-24AF-556F-CFD0-A34704B67E92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66" name="Cloud 165">
            <a:extLst>
              <a:ext uri="{FF2B5EF4-FFF2-40B4-BE49-F238E27FC236}">
                <a16:creationId xmlns:a16="http://schemas.microsoft.com/office/drawing/2014/main" id="{4DC0C173-C418-9EA2-4F67-1629D5F1D8A1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19</xdr:row>
      <xdr:rowOff>151798</xdr:rowOff>
    </xdr:from>
    <xdr:to>
      <xdr:col>1</xdr:col>
      <xdr:colOff>567432</xdr:colOff>
      <xdr:row>19</xdr:row>
      <xdr:rowOff>310823</xdr:rowOff>
    </xdr:to>
    <xdr:grpSp>
      <xdr:nvGrpSpPr>
        <xdr:cNvPr id="167" name="Group 166">
          <a:extLst>
            <a:ext uri="{FF2B5EF4-FFF2-40B4-BE49-F238E27FC236}">
              <a16:creationId xmlns:a16="http://schemas.microsoft.com/office/drawing/2014/main" id="{E41150A9-CAC7-41D5-96EB-5B8CF03B5D92}"/>
            </a:ext>
          </a:extLst>
        </xdr:cNvPr>
        <xdr:cNvGrpSpPr/>
      </xdr:nvGrpSpPr>
      <xdr:grpSpPr>
        <a:xfrm>
          <a:off x="739712" y="6143023"/>
          <a:ext cx="437320" cy="159025"/>
          <a:chOff x="3384365" y="2789462"/>
          <a:chExt cx="437320" cy="159025"/>
        </a:xfrm>
      </xdr:grpSpPr>
      <xdr:sp macro="" textlink="">
        <xdr:nvSpPr>
          <xdr:cNvPr id="168" name="Cloud 167">
            <a:extLst>
              <a:ext uri="{FF2B5EF4-FFF2-40B4-BE49-F238E27FC236}">
                <a16:creationId xmlns:a16="http://schemas.microsoft.com/office/drawing/2014/main" id="{8ACD48C3-BE02-3FD7-71C4-4517080AC7F8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69" name="Cloud 168">
            <a:extLst>
              <a:ext uri="{FF2B5EF4-FFF2-40B4-BE49-F238E27FC236}">
                <a16:creationId xmlns:a16="http://schemas.microsoft.com/office/drawing/2014/main" id="{CE31512A-CDE8-67F7-33B5-E45FBBD751B1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20</xdr:row>
      <xdr:rowOff>151798</xdr:rowOff>
    </xdr:from>
    <xdr:to>
      <xdr:col>1</xdr:col>
      <xdr:colOff>567432</xdr:colOff>
      <xdr:row>20</xdr:row>
      <xdr:rowOff>310823</xdr:rowOff>
    </xdr:to>
    <xdr:grpSp>
      <xdr:nvGrpSpPr>
        <xdr:cNvPr id="170" name="Group 169">
          <a:extLst>
            <a:ext uri="{FF2B5EF4-FFF2-40B4-BE49-F238E27FC236}">
              <a16:creationId xmlns:a16="http://schemas.microsoft.com/office/drawing/2014/main" id="{1DFAE486-EC8D-48CB-B2BA-ECF0FE61B7AA}"/>
            </a:ext>
          </a:extLst>
        </xdr:cNvPr>
        <xdr:cNvGrpSpPr/>
      </xdr:nvGrpSpPr>
      <xdr:grpSpPr>
        <a:xfrm>
          <a:off x="739712" y="6714523"/>
          <a:ext cx="437320" cy="159025"/>
          <a:chOff x="3384365" y="2789462"/>
          <a:chExt cx="437320" cy="159025"/>
        </a:xfrm>
      </xdr:grpSpPr>
      <xdr:sp macro="" textlink="">
        <xdr:nvSpPr>
          <xdr:cNvPr id="171" name="Cloud 170">
            <a:extLst>
              <a:ext uri="{FF2B5EF4-FFF2-40B4-BE49-F238E27FC236}">
                <a16:creationId xmlns:a16="http://schemas.microsoft.com/office/drawing/2014/main" id="{E224D49B-CC82-C003-00B9-06681D1FCEBE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2" name="Cloud 171">
            <a:extLst>
              <a:ext uri="{FF2B5EF4-FFF2-40B4-BE49-F238E27FC236}">
                <a16:creationId xmlns:a16="http://schemas.microsoft.com/office/drawing/2014/main" id="{6067E70F-F86E-B503-AF86-4FF3795FD6A0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21</xdr:row>
      <xdr:rowOff>151798</xdr:rowOff>
    </xdr:from>
    <xdr:to>
      <xdr:col>1</xdr:col>
      <xdr:colOff>567432</xdr:colOff>
      <xdr:row>21</xdr:row>
      <xdr:rowOff>310823</xdr:rowOff>
    </xdr:to>
    <xdr:grpSp>
      <xdr:nvGrpSpPr>
        <xdr:cNvPr id="173" name="Group 172">
          <a:extLst>
            <a:ext uri="{FF2B5EF4-FFF2-40B4-BE49-F238E27FC236}">
              <a16:creationId xmlns:a16="http://schemas.microsoft.com/office/drawing/2014/main" id="{67E179FF-1CAC-423F-9218-08E3AB686EC2}"/>
            </a:ext>
          </a:extLst>
        </xdr:cNvPr>
        <xdr:cNvGrpSpPr/>
      </xdr:nvGrpSpPr>
      <xdr:grpSpPr>
        <a:xfrm>
          <a:off x="739712" y="7286023"/>
          <a:ext cx="437320" cy="159025"/>
          <a:chOff x="3384365" y="2789462"/>
          <a:chExt cx="437320" cy="159025"/>
        </a:xfrm>
      </xdr:grpSpPr>
      <xdr:sp macro="" textlink="">
        <xdr:nvSpPr>
          <xdr:cNvPr id="174" name="Cloud 173">
            <a:extLst>
              <a:ext uri="{FF2B5EF4-FFF2-40B4-BE49-F238E27FC236}">
                <a16:creationId xmlns:a16="http://schemas.microsoft.com/office/drawing/2014/main" id="{95959AFF-0E16-36BA-E3F8-422B03F1F4A3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5" name="Cloud 174">
            <a:extLst>
              <a:ext uri="{FF2B5EF4-FFF2-40B4-BE49-F238E27FC236}">
                <a16:creationId xmlns:a16="http://schemas.microsoft.com/office/drawing/2014/main" id="{FA55869B-B0FC-DDCA-C090-C726B42FD058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22</xdr:row>
      <xdr:rowOff>151798</xdr:rowOff>
    </xdr:from>
    <xdr:to>
      <xdr:col>1</xdr:col>
      <xdr:colOff>567432</xdr:colOff>
      <xdr:row>22</xdr:row>
      <xdr:rowOff>310823</xdr:rowOff>
    </xdr:to>
    <xdr:grpSp>
      <xdr:nvGrpSpPr>
        <xdr:cNvPr id="176" name="Group 175">
          <a:extLst>
            <a:ext uri="{FF2B5EF4-FFF2-40B4-BE49-F238E27FC236}">
              <a16:creationId xmlns:a16="http://schemas.microsoft.com/office/drawing/2014/main" id="{1B09FED7-CEFC-4593-BC40-A373048E7079}"/>
            </a:ext>
          </a:extLst>
        </xdr:cNvPr>
        <xdr:cNvGrpSpPr/>
      </xdr:nvGrpSpPr>
      <xdr:grpSpPr>
        <a:xfrm>
          <a:off x="739712" y="7857523"/>
          <a:ext cx="437320" cy="159025"/>
          <a:chOff x="3384365" y="2789462"/>
          <a:chExt cx="437320" cy="159025"/>
        </a:xfrm>
      </xdr:grpSpPr>
      <xdr:sp macro="" textlink="">
        <xdr:nvSpPr>
          <xdr:cNvPr id="177" name="Cloud 176">
            <a:extLst>
              <a:ext uri="{FF2B5EF4-FFF2-40B4-BE49-F238E27FC236}">
                <a16:creationId xmlns:a16="http://schemas.microsoft.com/office/drawing/2014/main" id="{319A9EBF-E9AD-EC40-591F-91C4F6A83C8B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78" name="Cloud 177">
            <a:extLst>
              <a:ext uri="{FF2B5EF4-FFF2-40B4-BE49-F238E27FC236}">
                <a16:creationId xmlns:a16="http://schemas.microsoft.com/office/drawing/2014/main" id="{B63DCF75-F5E9-162A-DFDF-A2862CBE42C3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1</xdr:col>
      <xdr:colOff>130112</xdr:colOff>
      <xdr:row>23</xdr:row>
      <xdr:rowOff>151798</xdr:rowOff>
    </xdr:from>
    <xdr:to>
      <xdr:col>1</xdr:col>
      <xdr:colOff>567432</xdr:colOff>
      <xdr:row>23</xdr:row>
      <xdr:rowOff>310823</xdr:rowOff>
    </xdr:to>
    <xdr:grpSp>
      <xdr:nvGrpSpPr>
        <xdr:cNvPr id="179" name="Group 178">
          <a:extLst>
            <a:ext uri="{FF2B5EF4-FFF2-40B4-BE49-F238E27FC236}">
              <a16:creationId xmlns:a16="http://schemas.microsoft.com/office/drawing/2014/main" id="{38FE9C1D-3643-4F6D-9FEE-78C0ADF3300D}"/>
            </a:ext>
          </a:extLst>
        </xdr:cNvPr>
        <xdr:cNvGrpSpPr/>
      </xdr:nvGrpSpPr>
      <xdr:grpSpPr>
        <a:xfrm>
          <a:off x="739712" y="8429023"/>
          <a:ext cx="437320" cy="159025"/>
          <a:chOff x="3384365" y="2789462"/>
          <a:chExt cx="437320" cy="159025"/>
        </a:xfrm>
      </xdr:grpSpPr>
      <xdr:sp macro="" textlink="">
        <xdr:nvSpPr>
          <xdr:cNvPr id="180" name="Cloud 179">
            <a:extLst>
              <a:ext uri="{FF2B5EF4-FFF2-40B4-BE49-F238E27FC236}">
                <a16:creationId xmlns:a16="http://schemas.microsoft.com/office/drawing/2014/main" id="{7CEBFE4A-79E9-7B61-40BB-083EA92A461A}"/>
              </a:ext>
            </a:extLst>
          </xdr:cNvPr>
          <xdr:cNvSpPr/>
        </xdr:nvSpPr>
        <xdr:spPr>
          <a:xfrm>
            <a:off x="3384365" y="278946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181" name="Cloud 180">
            <a:extLst>
              <a:ext uri="{FF2B5EF4-FFF2-40B4-BE49-F238E27FC236}">
                <a16:creationId xmlns:a16="http://schemas.microsoft.com/office/drawing/2014/main" id="{2E408321-BACE-871A-40F0-6D7906503B51}"/>
              </a:ext>
            </a:extLst>
          </xdr:cNvPr>
          <xdr:cNvSpPr/>
        </xdr:nvSpPr>
        <xdr:spPr>
          <a:xfrm>
            <a:off x="3686513" y="2797412"/>
            <a:ext cx="135172" cy="151075"/>
          </a:xfrm>
          <a:prstGeom prst="cloud">
            <a:avLst/>
          </a:prstGeom>
          <a:solidFill>
            <a:schemeClr val="bg1"/>
          </a:solidFill>
          <a:ln w="3175">
            <a:solidFill>
              <a:srgbClr val="CEE0D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E8EA-A5C9-47F2-8D6E-B68B0450AD04}">
  <dimension ref="A1:AY673"/>
  <sheetViews>
    <sheetView tabSelected="1" workbookViewId="0"/>
  </sheetViews>
  <sheetFormatPr defaultRowHeight="15" x14ac:dyDescent="0.25"/>
  <cols>
    <col min="1" max="2" width="8.85546875" customWidth="1"/>
    <col min="3" max="7" width="10.5703125" bestFit="1" customWidth="1"/>
    <col min="21" max="21" width="10.5703125" bestFit="1" customWidth="1"/>
    <col min="22" max="22" width="10.5703125" customWidth="1"/>
    <col min="24" max="24" width="9.5703125" bestFit="1" customWidth="1"/>
    <col min="38" max="38" width="10.5703125" bestFit="1" customWidth="1"/>
    <col min="41" max="41" width="10.5703125" bestFit="1" customWidth="1"/>
  </cols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21</v>
      </c>
    </row>
    <row r="4" spans="1:1" x14ac:dyDescent="0.25">
      <c r="A4" t="s">
        <v>25</v>
      </c>
    </row>
    <row r="5" spans="1:1" x14ac:dyDescent="0.25">
      <c r="A5" t="s">
        <v>716</v>
      </c>
    </row>
    <row r="6" spans="1:1" x14ac:dyDescent="0.25">
      <c r="A6" t="s">
        <v>22</v>
      </c>
    </row>
    <row r="7" spans="1:1" x14ac:dyDescent="0.25">
      <c r="A7" t="s">
        <v>717</v>
      </c>
    </row>
    <row r="8" spans="1:1" x14ac:dyDescent="0.25">
      <c r="A8" t="s">
        <v>692</v>
      </c>
    </row>
    <row r="9" spans="1:1" x14ac:dyDescent="0.25">
      <c r="A9" t="s">
        <v>693</v>
      </c>
    </row>
    <row r="10" spans="1:1" x14ac:dyDescent="0.25">
      <c r="A10" t="s">
        <v>696</v>
      </c>
    </row>
    <row r="11" spans="1:1" x14ac:dyDescent="0.25">
      <c r="A11" t="s">
        <v>718</v>
      </c>
    </row>
    <row r="12" spans="1:1" x14ac:dyDescent="0.25">
      <c r="A12" t="s">
        <v>698</v>
      </c>
    </row>
    <row r="13" spans="1:1" x14ac:dyDescent="0.25">
      <c r="A13" t="s">
        <v>699</v>
      </c>
    </row>
    <row r="14" spans="1:1" x14ac:dyDescent="0.25">
      <c r="A14" t="s">
        <v>700</v>
      </c>
    </row>
    <row r="15" spans="1:1" x14ac:dyDescent="0.25">
      <c r="A15" t="s">
        <v>701</v>
      </c>
    </row>
    <row r="16" spans="1:1" x14ac:dyDescent="0.25">
      <c r="A16" t="s">
        <v>702</v>
      </c>
    </row>
    <row r="17" spans="1:51" x14ac:dyDescent="0.25">
      <c r="A17" t="s">
        <v>703</v>
      </c>
    </row>
    <row r="19" spans="1:51" x14ac:dyDescent="0.25">
      <c r="A19" t="s">
        <v>5</v>
      </c>
    </row>
    <row r="20" spans="1:51" x14ac:dyDescent="0.25">
      <c r="A20">
        <v>1.08</v>
      </c>
      <c r="B20" t="s">
        <v>686</v>
      </c>
    </row>
    <row r="21" spans="1:51" x14ac:dyDescent="0.25">
      <c r="A21">
        <v>0.453592</v>
      </c>
      <c r="B21" t="s">
        <v>687</v>
      </c>
    </row>
    <row r="22" spans="1:51" x14ac:dyDescent="0.25">
      <c r="A22">
        <f>2*1.016*14.476</f>
        <v>29.415232000000003</v>
      </c>
      <c r="B22" t="s">
        <v>684</v>
      </c>
    </row>
    <row r="23" spans="1:51" x14ac:dyDescent="0.25">
      <c r="A23">
        <v>10000</v>
      </c>
      <c r="B23" t="s">
        <v>6</v>
      </c>
    </row>
    <row r="24" spans="1:51" x14ac:dyDescent="0.25">
      <c r="A24">
        <v>0.16</v>
      </c>
      <c r="B24" t="s">
        <v>689</v>
      </c>
    </row>
    <row r="25" spans="1:51" x14ac:dyDescent="0.25">
      <c r="A25">
        <v>1.04</v>
      </c>
      <c r="B25" t="s">
        <v>695</v>
      </c>
    </row>
    <row r="26" spans="1:51" x14ac:dyDescent="0.25">
      <c r="A26">
        <v>1.7</v>
      </c>
      <c r="B26" t="s">
        <v>697</v>
      </c>
      <c r="S26" t="s">
        <v>704</v>
      </c>
      <c r="AJ26" t="s">
        <v>719</v>
      </c>
    </row>
    <row r="28" spans="1:51" x14ac:dyDescent="0.25">
      <c r="B28" s="1"/>
      <c r="C28" s="1" t="s">
        <v>0</v>
      </c>
      <c r="D28" s="1" t="s">
        <v>0</v>
      </c>
      <c r="E28" t="s">
        <v>0</v>
      </c>
      <c r="F28" s="1" t="s">
        <v>0</v>
      </c>
      <c r="G28" s="1" t="s">
        <v>7</v>
      </c>
      <c r="H28" t="s">
        <v>7</v>
      </c>
      <c r="I28" t="s">
        <v>7</v>
      </c>
      <c r="J28" t="s">
        <v>7</v>
      </c>
      <c r="K28" t="s">
        <v>7</v>
      </c>
      <c r="L28" s="1" t="s">
        <v>7</v>
      </c>
      <c r="M28" s="1" t="s">
        <v>7</v>
      </c>
      <c r="N28" s="1" t="s">
        <v>7</v>
      </c>
      <c r="O28" s="1" t="s">
        <v>15</v>
      </c>
      <c r="P28" s="1" t="s">
        <v>15</v>
      </c>
      <c r="Q28" s="1" t="s">
        <v>15</v>
      </c>
      <c r="T28" t="s">
        <v>0</v>
      </c>
      <c r="U28" t="s">
        <v>0</v>
      </c>
      <c r="V28" t="s">
        <v>0</v>
      </c>
      <c r="W28" t="s">
        <v>0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t="s">
        <v>7</v>
      </c>
      <c r="AD28" t="s">
        <v>7</v>
      </c>
      <c r="AE28" t="s">
        <v>7</v>
      </c>
      <c r="AF28" t="s">
        <v>15</v>
      </c>
      <c r="AG28" t="s">
        <v>15</v>
      </c>
      <c r="AH28" t="s">
        <v>15</v>
      </c>
      <c r="AK28" t="s">
        <v>0</v>
      </c>
      <c r="AL28" t="s">
        <v>0</v>
      </c>
      <c r="AM28" t="s">
        <v>0</v>
      </c>
      <c r="AN28" t="s">
        <v>0</v>
      </c>
      <c r="AO28" t="s">
        <v>7</v>
      </c>
      <c r="AP28" t="s">
        <v>7</v>
      </c>
      <c r="AQ28" t="s">
        <v>7</v>
      </c>
      <c r="AR28" t="s">
        <v>7</v>
      </c>
      <c r="AS28" t="s">
        <v>7</v>
      </c>
      <c r="AT28" t="s">
        <v>7</v>
      </c>
      <c r="AU28" t="s">
        <v>7</v>
      </c>
      <c r="AV28" t="s">
        <v>7</v>
      </c>
      <c r="AW28" t="s">
        <v>15</v>
      </c>
      <c r="AX28" t="s">
        <v>15</v>
      </c>
      <c r="AY28" t="s">
        <v>15</v>
      </c>
    </row>
    <row r="29" spans="1:51" x14ac:dyDescent="0.25">
      <c r="B29" s="1"/>
      <c r="C29" s="1"/>
      <c r="D29" s="1"/>
      <c r="F29" s="1"/>
      <c r="G29" s="1"/>
      <c r="I29" t="s">
        <v>690</v>
      </c>
      <c r="J29" t="s">
        <v>690</v>
      </c>
      <c r="K29" t="s">
        <v>690</v>
      </c>
      <c r="L29" s="1"/>
      <c r="M29" s="1"/>
      <c r="N29" s="1"/>
      <c r="O29" s="1"/>
      <c r="P29" s="1"/>
      <c r="Q29" s="1"/>
      <c r="Z29" t="s">
        <v>690</v>
      </c>
      <c r="AA29" t="s">
        <v>690</v>
      </c>
      <c r="AB29" t="s">
        <v>690</v>
      </c>
      <c r="AQ29" t="s">
        <v>690</v>
      </c>
      <c r="AR29" t="s">
        <v>690</v>
      </c>
      <c r="AS29" t="s">
        <v>690</v>
      </c>
    </row>
    <row r="30" spans="1:51" x14ac:dyDescent="0.25">
      <c r="B30" s="1"/>
      <c r="C30" s="1"/>
      <c r="D30" s="1"/>
      <c r="E30" t="s">
        <v>1</v>
      </c>
      <c r="F30" s="1"/>
      <c r="G30" s="1" t="s">
        <v>23</v>
      </c>
      <c r="H30" t="s">
        <v>8</v>
      </c>
      <c r="I30" t="s">
        <v>8</v>
      </c>
      <c r="J30" t="s">
        <v>9</v>
      </c>
      <c r="K30" t="s">
        <v>10</v>
      </c>
      <c r="L30" s="1"/>
      <c r="M30" s="1"/>
      <c r="N30" s="1"/>
      <c r="O30" s="1"/>
      <c r="P30" s="1"/>
      <c r="Q30" s="1"/>
      <c r="V30" t="s">
        <v>1</v>
      </c>
      <c r="X30" t="s">
        <v>23</v>
      </c>
      <c r="Y30" t="s">
        <v>8</v>
      </c>
      <c r="Z30" t="s">
        <v>8</v>
      </c>
      <c r="AA30" t="s">
        <v>9</v>
      </c>
      <c r="AB30" t="s">
        <v>10</v>
      </c>
      <c r="AM30" t="s">
        <v>1</v>
      </c>
      <c r="AO30" t="s">
        <v>23</v>
      </c>
      <c r="AP30" t="s">
        <v>8</v>
      </c>
      <c r="AQ30" t="s">
        <v>8</v>
      </c>
      <c r="AR30" t="s">
        <v>9</v>
      </c>
      <c r="AS30" t="s">
        <v>10</v>
      </c>
    </row>
    <row r="31" spans="1:51" x14ac:dyDescent="0.25">
      <c r="A31" t="s">
        <v>39</v>
      </c>
      <c r="B31" s="1" t="s">
        <v>26</v>
      </c>
      <c r="C31" s="1" t="s">
        <v>20</v>
      </c>
      <c r="D31" s="1" t="s">
        <v>2</v>
      </c>
      <c r="E31" t="s">
        <v>685</v>
      </c>
      <c r="F31" s="1" t="s">
        <v>3</v>
      </c>
      <c r="G31" s="1" t="s">
        <v>24</v>
      </c>
      <c r="H31" t="s">
        <v>688</v>
      </c>
      <c r="I31" t="s">
        <v>691</v>
      </c>
      <c r="J31" t="s">
        <v>688</v>
      </c>
      <c r="K31" t="s">
        <v>694</v>
      </c>
      <c r="L31" s="1" t="s">
        <v>11</v>
      </c>
      <c r="M31" s="1" t="s">
        <v>12</v>
      </c>
      <c r="N31" s="1" t="s">
        <v>13</v>
      </c>
      <c r="O31" s="1" t="s">
        <v>16</v>
      </c>
      <c r="P31" s="1" t="s">
        <v>17</v>
      </c>
      <c r="Q31" s="1" t="s">
        <v>18</v>
      </c>
      <c r="S31" t="s">
        <v>19</v>
      </c>
      <c r="T31" t="s">
        <v>20</v>
      </c>
      <c r="U31" t="s">
        <v>2</v>
      </c>
      <c r="V31" t="s">
        <v>685</v>
      </c>
      <c r="W31" t="s">
        <v>3</v>
      </c>
      <c r="X31" t="s">
        <v>24</v>
      </c>
      <c r="Y31" t="s">
        <v>709</v>
      </c>
      <c r="Z31" t="s">
        <v>691</v>
      </c>
      <c r="AA31" t="s">
        <v>709</v>
      </c>
      <c r="AB31" t="s">
        <v>710</v>
      </c>
      <c r="AC31" t="s">
        <v>11</v>
      </c>
      <c r="AD31" t="s">
        <v>12</v>
      </c>
      <c r="AE31" t="s">
        <v>13</v>
      </c>
      <c r="AF31" t="s">
        <v>16</v>
      </c>
      <c r="AG31" t="s">
        <v>17</v>
      </c>
      <c r="AH31" t="s">
        <v>18</v>
      </c>
      <c r="AJ31" t="s">
        <v>720</v>
      </c>
      <c r="AK31" t="s">
        <v>20</v>
      </c>
      <c r="AL31" t="s">
        <v>2</v>
      </c>
      <c r="AM31" t="s">
        <v>685</v>
      </c>
      <c r="AN31" t="s">
        <v>3</v>
      </c>
      <c r="AO31" t="s">
        <v>24</v>
      </c>
      <c r="AP31" t="s">
        <v>709</v>
      </c>
      <c r="AQ31" t="s">
        <v>691</v>
      </c>
      <c r="AR31" t="s">
        <v>709</v>
      </c>
      <c r="AS31" t="s">
        <v>710</v>
      </c>
      <c r="AT31" t="s">
        <v>11</v>
      </c>
      <c r="AU31" t="s">
        <v>12</v>
      </c>
      <c r="AV31" t="s">
        <v>13</v>
      </c>
      <c r="AW31" t="s">
        <v>16</v>
      </c>
      <c r="AX31" t="s">
        <v>17</v>
      </c>
      <c r="AY31" t="s">
        <v>18</v>
      </c>
    </row>
    <row r="32" spans="1:51" x14ac:dyDescent="0.25">
      <c r="B32" s="1"/>
      <c r="C32" s="1"/>
      <c r="D32" s="1"/>
      <c r="E32" t="s">
        <v>683</v>
      </c>
      <c r="F32" s="1" t="s">
        <v>4</v>
      </c>
      <c r="G32" s="1"/>
      <c r="H32" t="s">
        <v>683</v>
      </c>
      <c r="I32" t="s">
        <v>683</v>
      </c>
      <c r="J32" t="s">
        <v>683</v>
      </c>
      <c r="K32" t="s">
        <v>683</v>
      </c>
      <c r="L32" s="5" t="s">
        <v>14</v>
      </c>
      <c r="M32" s="5" t="s">
        <v>14</v>
      </c>
      <c r="N32" s="5" t="s">
        <v>14</v>
      </c>
      <c r="O32" s="5" t="s">
        <v>4</v>
      </c>
      <c r="P32" s="5" t="s">
        <v>4</v>
      </c>
      <c r="Q32" s="5" t="s">
        <v>4</v>
      </c>
      <c r="V32" t="s">
        <v>683</v>
      </c>
      <c r="W32" s="7" t="s">
        <v>4</v>
      </c>
      <c r="Y32" t="s">
        <v>683</v>
      </c>
      <c r="Z32" t="s">
        <v>683</v>
      </c>
      <c r="AA32" t="s">
        <v>683</v>
      </c>
      <c r="AB32" t="s">
        <v>683</v>
      </c>
      <c r="AC32" t="s">
        <v>14</v>
      </c>
      <c r="AD32" t="s">
        <v>14</v>
      </c>
      <c r="AE32" t="s">
        <v>14</v>
      </c>
      <c r="AF32" t="s">
        <v>4</v>
      </c>
      <c r="AG32" t="s">
        <v>4</v>
      </c>
      <c r="AH32" t="s">
        <v>4</v>
      </c>
      <c r="AM32" t="s">
        <v>683</v>
      </c>
      <c r="AN32" s="7" t="s">
        <v>4</v>
      </c>
      <c r="AP32" t="s">
        <v>683</v>
      </c>
      <c r="AQ32" t="s">
        <v>683</v>
      </c>
      <c r="AR32" t="s">
        <v>683</v>
      </c>
      <c r="AS32" t="s">
        <v>683</v>
      </c>
      <c r="AT32" t="s">
        <v>14</v>
      </c>
      <c r="AU32" t="s">
        <v>14</v>
      </c>
      <c r="AV32" t="s">
        <v>14</v>
      </c>
      <c r="AW32" t="s">
        <v>4</v>
      </c>
      <c r="AX32" t="s">
        <v>4</v>
      </c>
      <c r="AY32" t="s">
        <v>4</v>
      </c>
    </row>
    <row r="33" spans="1:51" x14ac:dyDescent="0.25">
      <c r="A33" t="s">
        <v>39</v>
      </c>
      <c r="B33" s="1" t="s">
        <v>26</v>
      </c>
      <c r="C33" s="1" t="s">
        <v>20</v>
      </c>
      <c r="D33" s="1" t="s">
        <v>2</v>
      </c>
      <c r="F33" s="1" t="s">
        <v>3</v>
      </c>
      <c r="G33" s="1" t="s">
        <v>24</v>
      </c>
      <c r="L33" s="1" t="s">
        <v>11</v>
      </c>
      <c r="M33" s="1" t="s">
        <v>12</v>
      </c>
      <c r="N33" s="1" t="s">
        <v>13</v>
      </c>
      <c r="O33" s="1" t="s">
        <v>16</v>
      </c>
      <c r="P33" s="1" t="s">
        <v>17</v>
      </c>
      <c r="Q33" s="1" t="s">
        <v>18</v>
      </c>
      <c r="S33" t="s">
        <v>19</v>
      </c>
      <c r="T33" t="s">
        <v>20</v>
      </c>
      <c r="U33" t="s">
        <v>2</v>
      </c>
      <c r="W33" t="s">
        <v>3</v>
      </c>
      <c r="X33" t="s">
        <v>24</v>
      </c>
      <c r="AC33" t="s">
        <v>11</v>
      </c>
      <c r="AD33" t="s">
        <v>12</v>
      </c>
      <c r="AE33" t="s">
        <v>13</v>
      </c>
      <c r="AF33" t="s">
        <v>16</v>
      </c>
      <c r="AG33" t="s">
        <v>17</v>
      </c>
      <c r="AH33" t="s">
        <v>18</v>
      </c>
      <c r="AJ33" t="s">
        <v>720</v>
      </c>
      <c r="AK33" t="s">
        <v>20</v>
      </c>
      <c r="AL33" t="s">
        <v>2</v>
      </c>
      <c r="AN33" t="s">
        <v>3</v>
      </c>
      <c r="AO33" t="s">
        <v>24</v>
      </c>
      <c r="AT33" t="s">
        <v>11</v>
      </c>
      <c r="AU33" t="s">
        <v>12</v>
      </c>
      <c r="AV33" t="s">
        <v>13</v>
      </c>
      <c r="AW33" t="s">
        <v>16</v>
      </c>
      <c r="AX33" t="s">
        <v>17</v>
      </c>
      <c r="AY33" t="s">
        <v>18</v>
      </c>
    </row>
    <row r="34" spans="1:51" x14ac:dyDescent="0.25">
      <c r="A34">
        <v>1</v>
      </c>
      <c r="B34" s="1" t="s">
        <v>42</v>
      </c>
      <c r="C34" s="1" t="s">
        <v>682</v>
      </c>
      <c r="D34" s="2">
        <v>40827</v>
      </c>
      <c r="E34" s="3">
        <v>19</v>
      </c>
      <c r="F34" s="4">
        <f>(E34-2*$A$20)*$A$21/$A$22*$A$23</f>
        <v>2596.78022597272</v>
      </c>
      <c r="G34" s="2">
        <v>40200</v>
      </c>
      <c r="H34" s="7">
        <v>3.02</v>
      </c>
      <c r="I34" s="7">
        <f>H34+H53-2*$A$24</f>
        <v>5.9799999999999995</v>
      </c>
      <c r="J34" s="7">
        <v>3.16</v>
      </c>
      <c r="K34" s="7">
        <v>5.04</v>
      </c>
      <c r="L34" s="6">
        <f>(J34-$A$25)/I34</f>
        <v>0.35451505016722412</v>
      </c>
      <c r="M34" s="6">
        <f>(K34-$A$26)/I34</f>
        <v>0.55852842809364556</v>
      </c>
      <c r="N34" s="6">
        <f>1-L34-M34</f>
        <v>8.6956521739130377E-2</v>
      </c>
      <c r="O34" s="4">
        <f>F34*L34</f>
        <v>920.59767208397443</v>
      </c>
      <c r="P34" s="4">
        <f>F34*M34</f>
        <v>1450.375577717205</v>
      </c>
      <c r="Q34" s="4">
        <f>O34+P34</f>
        <v>2370.9732498011795</v>
      </c>
      <c r="R34" s="3"/>
      <c r="S34" t="s">
        <v>705</v>
      </c>
      <c r="T34" t="s">
        <v>682</v>
      </c>
      <c r="U34" s="8">
        <f>D34</f>
        <v>40827</v>
      </c>
      <c r="V34" s="3">
        <f>SUM(E34:E73)</f>
        <v>1130.4000000000003</v>
      </c>
      <c r="W34" s="3">
        <f>(V34-80*$A$20)*$A$21/(40*$A$22)*$A$23</f>
        <v>4024.7009440551078</v>
      </c>
      <c r="X34" s="8">
        <f>G34</f>
        <v>40200</v>
      </c>
      <c r="Y34" s="7">
        <f>SUM(H34:H73)</f>
        <v>130.31999999999996</v>
      </c>
      <c r="Z34" s="7">
        <f>SUM(I34:I73)</f>
        <v>247.83999999999997</v>
      </c>
      <c r="AA34" s="7">
        <f>SUM(J34:J73)</f>
        <v>127.72</v>
      </c>
      <c r="AB34" s="7">
        <f>SUM(K34:K73)</f>
        <v>205.96</v>
      </c>
      <c r="AC34" s="9">
        <f>(AA34-40*$A$25)/Z34</f>
        <v>0.34748224661071664</v>
      </c>
      <c r="AD34" s="9">
        <f>(AB34-40*$A$26)/Z34</f>
        <v>0.55664945125887677</v>
      </c>
      <c r="AE34" s="9">
        <f>1-AC34-AD34</f>
        <v>9.5868302130406646E-2</v>
      </c>
      <c r="AF34" s="3">
        <f>W34*AC34</f>
        <v>1398.512125976541</v>
      </c>
      <c r="AG34" s="3">
        <f>W34*AD34</f>
        <v>2240.347571989359</v>
      </c>
      <c r="AH34" s="3">
        <f>AF34+AG34</f>
        <v>3638.8596979659001</v>
      </c>
      <c r="AJ34" t="s">
        <v>721</v>
      </c>
      <c r="AK34" t="s">
        <v>682</v>
      </c>
      <c r="AL34" s="11">
        <f>D43</f>
        <v>40827</v>
      </c>
      <c r="AM34" s="3">
        <f>SUM(E43,E44)</f>
        <v>53.1</v>
      </c>
      <c r="AN34" s="3">
        <f>(AM34-4*$A$20)*$A$21/(2*$A$22)*$A$23</f>
        <v>3761.0136408239105</v>
      </c>
      <c r="AO34" s="11">
        <f>G43</f>
        <v>40200</v>
      </c>
      <c r="AP34" s="7">
        <f>SUM(H43,H44)</f>
        <v>6.62</v>
      </c>
      <c r="AQ34" s="7">
        <f>SUM(I43,I44)</f>
        <v>12.6</v>
      </c>
      <c r="AR34" s="7">
        <f>SUM(J43,J44)</f>
        <v>6.48</v>
      </c>
      <c r="AS34" s="7">
        <f>SUM(K43,K44)</f>
        <v>10.44</v>
      </c>
      <c r="AT34" s="9">
        <f>(AR34-2*$A$25)/AQ34</f>
        <v>0.34920634920634924</v>
      </c>
      <c r="AU34" s="9">
        <f>(AS34-2*$A$26)/AQ34</f>
        <v>0.55873015873015863</v>
      </c>
      <c r="AV34" s="9">
        <f>1-AT34-AU34</f>
        <v>9.2063492063492069E-2</v>
      </c>
      <c r="AW34" s="3">
        <f>AN34*AT34</f>
        <v>1313.3698428273974</v>
      </c>
      <c r="AX34" s="3">
        <f>AN34*AU34</f>
        <v>2101.3917485238353</v>
      </c>
      <c r="AY34" s="3">
        <f>AW34+AX34</f>
        <v>3414.7615913512327</v>
      </c>
    </row>
    <row r="35" spans="1:51" x14ac:dyDescent="0.25">
      <c r="A35">
        <v>2</v>
      </c>
      <c r="B35" s="1" t="s">
        <v>43</v>
      </c>
      <c r="C35" s="1" t="s">
        <v>682</v>
      </c>
      <c r="D35" s="2">
        <v>40827</v>
      </c>
      <c r="E35" s="3">
        <v>22</v>
      </c>
      <c r="F35" s="4">
        <f t="shared" ref="F35:F98" si="0">(E35-2*$A$20)*$A$21/$A$22*$A$23</f>
        <v>3059.3895298870998</v>
      </c>
      <c r="G35" s="2">
        <v>40200</v>
      </c>
      <c r="H35" s="7">
        <v>3.28</v>
      </c>
      <c r="I35" s="7">
        <f>H35+H52-2*$A$24</f>
        <v>6</v>
      </c>
      <c r="J35" s="7">
        <v>3.14</v>
      </c>
      <c r="K35" s="7">
        <v>4.9800000000000004</v>
      </c>
      <c r="L35" s="6">
        <f t="shared" ref="L35:L98" si="1">(J35-$A$25)/I35</f>
        <v>0.35000000000000003</v>
      </c>
      <c r="M35" s="6">
        <f t="shared" ref="M35:M98" si="2">(K35-$A$26)/I35</f>
        <v>0.54666666666666675</v>
      </c>
      <c r="N35" s="6">
        <f t="shared" ref="N35:N98" si="3">1-L35-M35</f>
        <v>0.10333333333333317</v>
      </c>
      <c r="O35" s="4">
        <f t="shared" ref="O35:O98" si="4">F35*L35</f>
        <v>1070.7863354604851</v>
      </c>
      <c r="P35" s="4">
        <f t="shared" ref="P35:P98" si="5">F35*M35</f>
        <v>1672.4662763382814</v>
      </c>
      <c r="Q35" s="4">
        <f t="shared" ref="Q35:Q98" si="6">O35+P35</f>
        <v>2743.2526117987663</v>
      </c>
      <c r="R35" s="3"/>
      <c r="V35" s="3"/>
      <c r="W35" s="3"/>
      <c r="Y35" s="7"/>
      <c r="Z35" s="7"/>
      <c r="AA35" s="7"/>
      <c r="AB35" s="7"/>
      <c r="AC35" s="9"/>
      <c r="AD35" s="9"/>
      <c r="AE35" s="9"/>
      <c r="AF35" s="3"/>
      <c r="AG35" s="3"/>
      <c r="AH35" s="3"/>
      <c r="AL35" s="11"/>
      <c r="AM35" s="3"/>
      <c r="AN35" s="3"/>
      <c r="AO35" s="11"/>
      <c r="AP35" s="7"/>
      <c r="AQ35" s="7"/>
      <c r="AR35" s="7"/>
      <c r="AS35" s="7"/>
      <c r="AT35" s="9"/>
      <c r="AU35" s="9"/>
      <c r="AV35" s="9"/>
      <c r="AW35" s="3"/>
      <c r="AX35" s="3"/>
      <c r="AY35" s="3"/>
    </row>
    <row r="36" spans="1:51" x14ac:dyDescent="0.25">
      <c r="A36">
        <v>3</v>
      </c>
      <c r="B36" s="1" t="s">
        <v>44</v>
      </c>
      <c r="C36" s="1" t="s">
        <v>682</v>
      </c>
      <c r="D36" s="2">
        <v>40827</v>
      </c>
      <c r="E36" s="3">
        <v>22.700000000000003</v>
      </c>
      <c r="F36" s="4">
        <f t="shared" si="0"/>
        <v>3167.3317008004565</v>
      </c>
      <c r="G36" s="2">
        <v>40200</v>
      </c>
      <c r="H36" s="7">
        <v>3.26</v>
      </c>
      <c r="I36" s="7">
        <f>H36+H51-2*$A$24</f>
        <v>6.6199999999999992</v>
      </c>
      <c r="J36" s="7">
        <v>3.38</v>
      </c>
      <c r="K36" s="7">
        <v>5.36</v>
      </c>
      <c r="L36" s="6">
        <f t="shared" si="1"/>
        <v>0.35347432024169184</v>
      </c>
      <c r="M36" s="6">
        <f t="shared" si="2"/>
        <v>0.55287009063444115</v>
      </c>
      <c r="N36" s="6">
        <f t="shared" si="3"/>
        <v>9.3655589123866956E-2</v>
      </c>
      <c r="O36" s="4">
        <f t="shared" si="4"/>
        <v>1119.5704199204031</v>
      </c>
      <c r="P36" s="4">
        <f t="shared" si="5"/>
        <v>1751.1229644908869</v>
      </c>
      <c r="Q36" s="4">
        <f t="shared" si="6"/>
        <v>2870.69338441129</v>
      </c>
      <c r="R36" s="3"/>
      <c r="V36" s="3"/>
      <c r="W36" s="3"/>
      <c r="Y36" s="7"/>
      <c r="Z36" s="7"/>
      <c r="AA36" s="7"/>
      <c r="AB36" s="7"/>
      <c r="AC36" s="9"/>
      <c r="AD36" s="9"/>
      <c r="AE36" s="9"/>
      <c r="AF36" s="3"/>
      <c r="AG36" s="3"/>
      <c r="AH36" s="3"/>
      <c r="AJ36" t="s">
        <v>722</v>
      </c>
      <c r="AK36" t="s">
        <v>682</v>
      </c>
      <c r="AL36" s="11">
        <f>D42</f>
        <v>40827</v>
      </c>
      <c r="AM36" s="3">
        <f>SUM(E42,E45)</f>
        <v>48.4</v>
      </c>
      <c r="AN36" s="3">
        <f>(AM36-4*$A$20)*$A$21/(2*$A$22)*$A$23</f>
        <v>3398.636352757645</v>
      </c>
      <c r="AO36" s="11">
        <f>G42</f>
        <v>40200</v>
      </c>
      <c r="AP36" s="7">
        <f>SUM(H42,H45)</f>
        <v>5.98</v>
      </c>
      <c r="AQ36" s="7">
        <f>SUM(I42,I45)</f>
        <v>11.32</v>
      </c>
      <c r="AR36" s="7">
        <f>SUM(J42,J45)</f>
        <v>5.92</v>
      </c>
      <c r="AS36" s="7">
        <f>SUM(K42,K45)</f>
        <v>9.7200000000000006</v>
      </c>
      <c r="AT36" s="9">
        <f>(AR36-2*$A$25)/AQ36</f>
        <v>0.33922261484098937</v>
      </c>
      <c r="AU36" s="9">
        <f>(AS36-2*$A$26)/AQ36</f>
        <v>0.55830388692579502</v>
      </c>
      <c r="AV36" s="9">
        <f>1-AT36-AU36</f>
        <v>0.10247349823321561</v>
      </c>
      <c r="AW36" s="3">
        <f>AN36*AT36</f>
        <v>1152.8943104760915</v>
      </c>
      <c r="AX36" s="3">
        <f>AN36*AU36</f>
        <v>1897.4718859919005</v>
      </c>
      <c r="AY36" s="3">
        <f>AW36+AX36</f>
        <v>3050.3661964679923</v>
      </c>
    </row>
    <row r="37" spans="1:51" x14ac:dyDescent="0.25">
      <c r="A37">
        <v>4</v>
      </c>
      <c r="B37" s="1" t="s">
        <v>45</v>
      </c>
      <c r="C37" s="1" t="s">
        <v>682</v>
      </c>
      <c r="D37" s="2">
        <v>40827</v>
      </c>
      <c r="E37" s="3">
        <v>26.6</v>
      </c>
      <c r="F37" s="4">
        <f t="shared" si="0"/>
        <v>3768.7237958891496</v>
      </c>
      <c r="G37" s="2">
        <v>40200</v>
      </c>
      <c r="H37" s="7">
        <v>3.02</v>
      </c>
      <c r="I37" s="7">
        <f>H37+H50-2*$A$24</f>
        <v>5.52</v>
      </c>
      <c r="J37" s="7">
        <v>2.94</v>
      </c>
      <c r="K37" s="7">
        <v>4.8</v>
      </c>
      <c r="L37" s="6">
        <f t="shared" si="1"/>
        <v>0.34420289855072467</v>
      </c>
      <c r="M37" s="6">
        <f t="shared" si="2"/>
        <v>0.56159420289855067</v>
      </c>
      <c r="N37" s="6">
        <f t="shared" si="3"/>
        <v>9.4202898550724723E-2</v>
      </c>
      <c r="O37" s="4">
        <f t="shared" si="4"/>
        <v>1297.205654382135</v>
      </c>
      <c r="P37" s="4">
        <f t="shared" si="5"/>
        <v>2116.493436097167</v>
      </c>
      <c r="Q37" s="4">
        <f t="shared" si="6"/>
        <v>3413.699090479302</v>
      </c>
      <c r="R37" s="3"/>
      <c r="V37" s="3"/>
      <c r="W37" s="3"/>
      <c r="Y37" s="7"/>
      <c r="Z37" s="7"/>
      <c r="AA37" s="7"/>
      <c r="AB37" s="7"/>
      <c r="AC37" s="9"/>
      <c r="AD37" s="9"/>
      <c r="AE37" s="9"/>
      <c r="AF37" s="3"/>
      <c r="AG37" s="3"/>
      <c r="AH37" s="3"/>
      <c r="AL37" s="11"/>
      <c r="AM37" s="3"/>
      <c r="AN37" s="3"/>
      <c r="AO37" s="11"/>
      <c r="AP37" s="7"/>
      <c r="AQ37" s="7"/>
      <c r="AR37" s="7"/>
      <c r="AS37" s="7"/>
      <c r="AT37" s="9"/>
      <c r="AU37" s="9"/>
      <c r="AV37" s="9"/>
      <c r="AW37" s="3"/>
      <c r="AX37" s="3"/>
      <c r="AY37" s="3"/>
    </row>
    <row r="38" spans="1:51" x14ac:dyDescent="0.25">
      <c r="A38">
        <v>5</v>
      </c>
      <c r="B38" s="1" t="s">
        <v>46</v>
      </c>
      <c r="C38" s="1" t="s">
        <v>682</v>
      </c>
      <c r="D38" s="2">
        <v>40827</v>
      </c>
      <c r="E38" s="3">
        <v>25.6</v>
      </c>
      <c r="F38" s="4">
        <f t="shared" si="0"/>
        <v>3614.5206945843565</v>
      </c>
      <c r="G38" s="2">
        <v>40200</v>
      </c>
      <c r="H38" s="7">
        <v>3.3</v>
      </c>
      <c r="I38" s="7">
        <f>H38+H49-2*$A$24</f>
        <v>5.4799999999999995</v>
      </c>
      <c r="J38" s="7">
        <v>2.98</v>
      </c>
      <c r="K38" s="7">
        <v>4.78</v>
      </c>
      <c r="L38" s="6">
        <f t="shared" si="1"/>
        <v>0.354014598540146</v>
      </c>
      <c r="M38" s="6">
        <f t="shared" si="2"/>
        <v>0.56204379562043805</v>
      </c>
      <c r="N38" s="6">
        <f t="shared" si="3"/>
        <v>8.3941605839416011E-2</v>
      </c>
      <c r="O38" s="4">
        <f t="shared" si="4"/>
        <v>1279.5930926083306</v>
      </c>
      <c r="P38" s="4">
        <f t="shared" si="5"/>
        <v>2031.5189305328138</v>
      </c>
      <c r="Q38" s="4">
        <f t="shared" si="6"/>
        <v>3311.1120231411442</v>
      </c>
      <c r="R38" s="3"/>
      <c r="V38" s="3"/>
      <c r="W38" s="3"/>
      <c r="Y38" s="7"/>
      <c r="Z38" s="7"/>
      <c r="AA38" s="7"/>
      <c r="AB38" s="7"/>
      <c r="AC38" s="9"/>
      <c r="AD38" s="9"/>
      <c r="AE38" s="9"/>
      <c r="AF38" s="3"/>
      <c r="AG38" s="3"/>
      <c r="AH38" s="3"/>
      <c r="AJ38" t="s">
        <v>723</v>
      </c>
      <c r="AK38" t="s">
        <v>682</v>
      </c>
      <c r="AL38" s="11">
        <f>D41</f>
        <v>40827</v>
      </c>
      <c r="AM38" s="3">
        <f>SUM(E41,E46)</f>
        <v>55.900000000000006</v>
      </c>
      <c r="AN38" s="3">
        <f>(AM38-4*$A$20)*$A$21/(2*$A$22)*$A$23</f>
        <v>3976.8979826506211</v>
      </c>
      <c r="AO38" s="11">
        <f>G41</f>
        <v>40200</v>
      </c>
      <c r="AP38" s="7">
        <f>SUM(H41,H46)</f>
        <v>6.4399999999999995</v>
      </c>
      <c r="AQ38" s="7">
        <f>SUM(I41,I46)</f>
        <v>12.239999999999998</v>
      </c>
      <c r="AR38" s="7">
        <f>SUM(J41,J46)</f>
        <v>6.52</v>
      </c>
      <c r="AS38" s="7">
        <f>SUM(K41,K46)</f>
        <v>10.24</v>
      </c>
      <c r="AT38" s="9">
        <f>(AR38-2*$A$25)/AQ38</f>
        <v>0.36274509803921567</v>
      </c>
      <c r="AU38" s="9">
        <f>(AS38-2*$A$26)/AQ38</f>
        <v>0.55882352941176472</v>
      </c>
      <c r="AV38" s="9">
        <f>1-AT38-AU38</f>
        <v>7.8431372549019551E-2</v>
      </c>
      <c r="AW38" s="3">
        <f>AN38*AT38</f>
        <v>1442.6002486085586</v>
      </c>
      <c r="AX38" s="3">
        <f>AN38*AU38</f>
        <v>2222.3841667753472</v>
      </c>
      <c r="AY38" s="3">
        <f>AW38+AX38</f>
        <v>3664.9844153839058</v>
      </c>
    </row>
    <row r="39" spans="1:51" x14ac:dyDescent="0.25">
      <c r="A39">
        <v>6</v>
      </c>
      <c r="B39" s="1" t="s">
        <v>47</v>
      </c>
      <c r="C39" s="1" t="s">
        <v>682</v>
      </c>
      <c r="D39" s="2">
        <v>40827</v>
      </c>
      <c r="E39" s="3">
        <v>26.7</v>
      </c>
      <c r="F39" s="4">
        <f t="shared" si="0"/>
        <v>3784.1441060196289</v>
      </c>
      <c r="G39" s="2">
        <v>40200</v>
      </c>
      <c r="H39" s="7">
        <v>3.38</v>
      </c>
      <c r="I39" s="7">
        <f>H39+H48-2*$A$24</f>
        <v>7.0799999999999992</v>
      </c>
      <c r="J39" s="7">
        <v>3.54</v>
      </c>
      <c r="K39" s="7">
        <v>5.64</v>
      </c>
      <c r="L39" s="6">
        <f t="shared" si="1"/>
        <v>0.35310734463276838</v>
      </c>
      <c r="M39" s="6">
        <f t="shared" si="2"/>
        <v>0.55649717514124297</v>
      </c>
      <c r="N39" s="6">
        <f t="shared" si="3"/>
        <v>9.0395480225988645E-2</v>
      </c>
      <c r="O39" s="4">
        <f t="shared" si="4"/>
        <v>1336.2090769843323</v>
      </c>
      <c r="P39" s="4">
        <f t="shared" si="5"/>
        <v>2105.8655053273078</v>
      </c>
      <c r="Q39" s="4">
        <f t="shared" si="6"/>
        <v>3442.0745823116404</v>
      </c>
      <c r="R39" s="3"/>
      <c r="V39" s="3"/>
      <c r="W39" s="3"/>
      <c r="Y39" s="7"/>
      <c r="Z39" s="7"/>
      <c r="AA39" s="7"/>
      <c r="AB39" s="7"/>
      <c r="AC39" s="9"/>
      <c r="AD39" s="9"/>
      <c r="AE39" s="9"/>
      <c r="AF39" s="3"/>
      <c r="AG39" s="3"/>
      <c r="AH39" s="3"/>
      <c r="AL39" s="11"/>
      <c r="AM39" s="3"/>
      <c r="AN39" s="3"/>
      <c r="AO39" s="11"/>
      <c r="AP39" s="7"/>
      <c r="AQ39" s="7"/>
      <c r="AR39" s="7"/>
      <c r="AS39" s="7"/>
      <c r="AT39" s="9"/>
      <c r="AU39" s="9"/>
      <c r="AV39" s="9"/>
      <c r="AW39" s="3"/>
      <c r="AX39" s="3"/>
      <c r="AY39" s="3"/>
    </row>
    <row r="40" spans="1:51" x14ac:dyDescent="0.25">
      <c r="A40">
        <v>7</v>
      </c>
      <c r="B40" s="1" t="s">
        <v>48</v>
      </c>
      <c r="C40" s="1" t="s">
        <v>682</v>
      </c>
      <c r="D40" s="2">
        <v>40827</v>
      </c>
      <c r="E40" s="3">
        <v>27.5</v>
      </c>
      <c r="F40" s="4">
        <f t="shared" si="0"/>
        <v>3907.5065870634639</v>
      </c>
      <c r="G40" s="2">
        <v>40200</v>
      </c>
      <c r="H40" s="7">
        <v>3.18</v>
      </c>
      <c r="I40" s="7">
        <f>H40+H47-2*$A$24</f>
        <v>6.64</v>
      </c>
      <c r="J40" s="7">
        <v>3.32</v>
      </c>
      <c r="K40" s="7">
        <v>5.36</v>
      </c>
      <c r="L40" s="6">
        <f t="shared" si="1"/>
        <v>0.34337349397590361</v>
      </c>
      <c r="M40" s="6">
        <f t="shared" si="2"/>
        <v>0.55120481927710852</v>
      </c>
      <c r="N40" s="6">
        <f t="shared" si="3"/>
        <v>0.10542168674698782</v>
      </c>
      <c r="O40" s="4">
        <f t="shared" si="4"/>
        <v>1341.73418953384</v>
      </c>
      <c r="P40" s="4">
        <f t="shared" si="5"/>
        <v>2153.8364621464279</v>
      </c>
      <c r="Q40" s="4">
        <f t="shared" si="6"/>
        <v>3495.5706516802679</v>
      </c>
      <c r="R40" s="3"/>
      <c r="V40" s="3"/>
      <c r="W40" s="3"/>
      <c r="Y40" s="7"/>
      <c r="Z40" s="7"/>
      <c r="AA40" s="7"/>
      <c r="AB40" s="7"/>
      <c r="AC40" s="9"/>
      <c r="AD40" s="9"/>
      <c r="AE40" s="9"/>
      <c r="AF40" s="3"/>
      <c r="AG40" s="3"/>
      <c r="AH40" s="3"/>
      <c r="AJ40" t="s">
        <v>724</v>
      </c>
      <c r="AK40" t="s">
        <v>682</v>
      </c>
      <c r="AL40" s="11">
        <f>D40</f>
        <v>40827</v>
      </c>
      <c r="AM40" s="3">
        <f>SUM(E40,E47)</f>
        <v>60.7</v>
      </c>
      <c r="AN40" s="3">
        <f>(AM40-4*$A$20)*$A$21/(2*$A$22)*$A$23</f>
        <v>4346.9854257821253</v>
      </c>
      <c r="AO40" s="11">
        <f>G40</f>
        <v>40200</v>
      </c>
      <c r="AP40" s="7">
        <f>SUM(H40,H47)</f>
        <v>6.96</v>
      </c>
      <c r="AQ40" s="7">
        <f>SUM(I40,I47)</f>
        <v>13.28</v>
      </c>
      <c r="AR40" s="7">
        <f>SUM(J40,J47)</f>
        <v>6.64</v>
      </c>
      <c r="AS40" s="7">
        <f>SUM(K40,K47)</f>
        <v>10.72</v>
      </c>
      <c r="AT40" s="9">
        <f>(AR40-2*$A$25)/AQ40</f>
        <v>0.34337349397590361</v>
      </c>
      <c r="AU40" s="9">
        <f>(AS40-2*$A$26)/AQ40</f>
        <v>0.55120481927710852</v>
      </c>
      <c r="AV40" s="9">
        <f>1-AT40-AU40</f>
        <v>0.10542168674698782</v>
      </c>
      <c r="AW40" s="3">
        <f>AN40*AT40</f>
        <v>1492.6395739131394</v>
      </c>
      <c r="AX40" s="3">
        <f>AN40*AU40</f>
        <v>2396.0793160184608</v>
      </c>
      <c r="AY40" s="3">
        <f>AW40+AX40</f>
        <v>3888.7188899316002</v>
      </c>
    </row>
    <row r="41" spans="1:51" x14ac:dyDescent="0.25">
      <c r="A41">
        <v>8</v>
      </c>
      <c r="B41" s="1" t="s">
        <v>49</v>
      </c>
      <c r="C41" s="1" t="s">
        <v>682</v>
      </c>
      <c r="D41" s="2">
        <v>40827</v>
      </c>
      <c r="E41" s="3">
        <v>26.3</v>
      </c>
      <c r="F41" s="4">
        <f t="shared" si="0"/>
        <v>3722.4628654977114</v>
      </c>
      <c r="G41" s="2">
        <v>40200</v>
      </c>
      <c r="H41" s="7">
        <v>2.9</v>
      </c>
      <c r="I41" s="7">
        <f>H41+H46-2*$A$24</f>
        <v>6.1199999999999992</v>
      </c>
      <c r="J41" s="7">
        <v>3.26</v>
      </c>
      <c r="K41" s="7">
        <v>5.12</v>
      </c>
      <c r="L41" s="6">
        <f t="shared" si="1"/>
        <v>0.36274509803921567</v>
      </c>
      <c r="M41" s="6">
        <f t="shared" si="2"/>
        <v>0.55882352941176472</v>
      </c>
      <c r="N41" s="6">
        <f t="shared" si="3"/>
        <v>7.8431372549019551E-2</v>
      </c>
      <c r="O41" s="4">
        <f t="shared" si="4"/>
        <v>1350.3051570923071</v>
      </c>
      <c r="P41" s="4">
        <f t="shared" si="5"/>
        <v>2080.1998366016624</v>
      </c>
      <c r="Q41" s="4">
        <f t="shared" si="6"/>
        <v>3430.5049936939695</v>
      </c>
      <c r="R41" s="3"/>
      <c r="V41" s="3"/>
      <c r="W41" s="3"/>
      <c r="Y41" s="7"/>
      <c r="Z41" s="7"/>
      <c r="AA41" s="7"/>
      <c r="AB41" s="7"/>
      <c r="AC41" s="9"/>
      <c r="AD41" s="9"/>
      <c r="AE41" s="9"/>
      <c r="AF41" s="3"/>
      <c r="AG41" s="3"/>
      <c r="AH41" s="3"/>
      <c r="AL41" s="11"/>
      <c r="AM41" s="3"/>
      <c r="AN41" s="3"/>
      <c r="AO41" s="11"/>
      <c r="AP41" s="7"/>
      <c r="AQ41" s="7"/>
      <c r="AR41" s="7"/>
      <c r="AS41" s="7"/>
      <c r="AT41" s="9"/>
      <c r="AU41" s="9"/>
      <c r="AV41" s="9"/>
      <c r="AW41" s="3"/>
      <c r="AX41" s="3"/>
      <c r="AY41" s="3"/>
    </row>
    <row r="42" spans="1:51" x14ac:dyDescent="0.25">
      <c r="A42">
        <v>9</v>
      </c>
      <c r="B42" s="1" t="s">
        <v>50</v>
      </c>
      <c r="C42" s="1" t="s">
        <v>682</v>
      </c>
      <c r="D42" s="2">
        <v>40827</v>
      </c>
      <c r="E42" s="3">
        <v>21.4</v>
      </c>
      <c r="F42" s="4">
        <f t="shared" si="0"/>
        <v>2966.8676691042238</v>
      </c>
      <c r="G42" s="2">
        <v>40200</v>
      </c>
      <c r="H42" s="7">
        <v>2.86</v>
      </c>
      <c r="I42" s="7">
        <f>H42+H45-2*$A$24</f>
        <v>5.66</v>
      </c>
      <c r="J42" s="7">
        <v>2.96</v>
      </c>
      <c r="K42" s="7">
        <v>4.8600000000000003</v>
      </c>
      <c r="L42" s="6">
        <f t="shared" si="1"/>
        <v>0.33922261484098937</v>
      </c>
      <c r="M42" s="6">
        <f t="shared" si="2"/>
        <v>0.55830388692579502</v>
      </c>
      <c r="N42" s="6">
        <f t="shared" si="3"/>
        <v>0.10247349823321561</v>
      </c>
      <c r="O42" s="4">
        <f t="shared" si="4"/>
        <v>1006.428608600726</v>
      </c>
      <c r="P42" s="4">
        <f t="shared" si="5"/>
        <v>1656.4137516553617</v>
      </c>
      <c r="Q42" s="4">
        <f t="shared" si="6"/>
        <v>2662.8423602560879</v>
      </c>
      <c r="R42" s="3"/>
      <c r="V42" s="3"/>
      <c r="W42" s="3"/>
      <c r="Y42" s="7"/>
      <c r="Z42" s="7"/>
      <c r="AA42" s="7"/>
      <c r="AB42" s="7"/>
      <c r="AC42" s="9"/>
      <c r="AD42" s="9"/>
      <c r="AE42" s="9"/>
      <c r="AF42" s="3"/>
      <c r="AG42" s="3"/>
      <c r="AH42" s="3"/>
      <c r="AJ42" t="s">
        <v>725</v>
      </c>
      <c r="AK42" t="s">
        <v>682</v>
      </c>
      <c r="AL42" s="11">
        <f>D39</f>
        <v>40827</v>
      </c>
      <c r="AM42" s="3">
        <f>SUM(E39,E48)</f>
        <v>58.599999999999994</v>
      </c>
      <c r="AN42" s="3">
        <f>(AM42-4*$A$20)*$A$21/(2*$A$22)*$A$23</f>
        <v>4185.0721694120921</v>
      </c>
      <c r="AO42" s="11">
        <f>G39</f>
        <v>40200</v>
      </c>
      <c r="AP42" s="7">
        <f>SUM(H39,H48)</f>
        <v>7.3999999999999995</v>
      </c>
      <c r="AQ42" s="7">
        <f>SUM(I39,I48)</f>
        <v>14.159999999999998</v>
      </c>
      <c r="AR42" s="7">
        <f>SUM(J39,J48)</f>
        <v>7.08</v>
      </c>
      <c r="AS42" s="7">
        <f>SUM(K39,K48)</f>
        <v>11.28</v>
      </c>
      <c r="AT42" s="9">
        <f>(AR42-2*$A$25)/AQ42</f>
        <v>0.35310734463276838</v>
      </c>
      <c r="AU42" s="9">
        <f>(AS42-2*$A$26)/AQ42</f>
        <v>0.55649717514124297</v>
      </c>
      <c r="AV42" s="9">
        <f>1-AT42-AU42</f>
        <v>9.0395480225988645E-2</v>
      </c>
      <c r="AW42" s="3">
        <f>AN42*AT42</f>
        <v>1477.7797208376032</v>
      </c>
      <c r="AX42" s="3">
        <f>AN42*AU42</f>
        <v>2328.9808400400625</v>
      </c>
      <c r="AY42" s="3">
        <f>AW42+AX42</f>
        <v>3806.7605608776657</v>
      </c>
    </row>
    <row r="43" spans="1:51" x14ac:dyDescent="0.25">
      <c r="A43">
        <v>10</v>
      </c>
      <c r="B43" s="1" t="s">
        <v>51</v>
      </c>
      <c r="C43" s="1" t="s">
        <v>682</v>
      </c>
      <c r="D43" s="2">
        <v>40827</v>
      </c>
      <c r="E43" s="3">
        <v>22.9</v>
      </c>
      <c r="F43" s="4">
        <f t="shared" si="0"/>
        <v>3198.1723210614146</v>
      </c>
      <c r="G43" s="2">
        <v>40200</v>
      </c>
      <c r="H43" s="7">
        <v>3.68</v>
      </c>
      <c r="I43" s="7">
        <f>H43+H44-2*$A$24</f>
        <v>6.3</v>
      </c>
      <c r="J43" s="7">
        <v>3.24</v>
      </c>
      <c r="K43" s="7">
        <v>5.22</v>
      </c>
      <c r="L43" s="6">
        <f t="shared" si="1"/>
        <v>0.34920634920634924</v>
      </c>
      <c r="M43" s="6">
        <f t="shared" si="2"/>
        <v>0.55873015873015863</v>
      </c>
      <c r="N43" s="6">
        <f t="shared" si="3"/>
        <v>9.2063492063492069E-2</v>
      </c>
      <c r="O43" s="4">
        <f t="shared" si="4"/>
        <v>1116.8220803706529</v>
      </c>
      <c r="P43" s="4">
        <f t="shared" si="5"/>
        <v>1786.915328593044</v>
      </c>
      <c r="Q43" s="4">
        <f t="shared" si="6"/>
        <v>2903.7374089636969</v>
      </c>
      <c r="R43" s="3"/>
      <c r="V43" s="3"/>
      <c r="W43" s="3"/>
      <c r="Y43" s="7"/>
      <c r="Z43" s="7"/>
      <c r="AA43" s="7"/>
      <c r="AB43" s="7"/>
      <c r="AC43" s="9"/>
      <c r="AD43" s="9"/>
      <c r="AE43" s="9"/>
      <c r="AF43" s="3"/>
      <c r="AG43" s="3"/>
      <c r="AH43" s="3"/>
      <c r="AL43" s="11"/>
      <c r="AM43" s="3"/>
      <c r="AN43" s="3"/>
      <c r="AO43" s="11"/>
      <c r="AP43" s="7"/>
      <c r="AQ43" s="7"/>
      <c r="AR43" s="7"/>
      <c r="AS43" s="7"/>
      <c r="AT43" s="9"/>
      <c r="AU43" s="9"/>
      <c r="AV43" s="9"/>
      <c r="AW43" s="3"/>
      <c r="AX43" s="3"/>
      <c r="AY43" s="3"/>
    </row>
    <row r="44" spans="1:51" x14ac:dyDescent="0.25">
      <c r="A44">
        <v>11</v>
      </c>
      <c r="B44" s="1" t="s">
        <v>52</v>
      </c>
      <c r="C44" s="1" t="s">
        <v>682</v>
      </c>
      <c r="D44" s="2">
        <v>40827</v>
      </c>
      <c r="E44" s="3">
        <v>30.200000000000003</v>
      </c>
      <c r="F44" s="4">
        <f t="shared" si="0"/>
        <v>4323.8549605864064</v>
      </c>
      <c r="G44" s="2">
        <v>40200</v>
      </c>
      <c r="H44" s="7">
        <v>2.94</v>
      </c>
      <c r="I44" s="7">
        <f>H44+H43-2*$A$24</f>
        <v>6.3</v>
      </c>
      <c r="J44" s="7">
        <v>3.24</v>
      </c>
      <c r="K44" s="7">
        <v>5.22</v>
      </c>
      <c r="L44" s="6">
        <f t="shared" si="1"/>
        <v>0.34920634920634924</v>
      </c>
      <c r="M44" s="6">
        <f t="shared" si="2"/>
        <v>0.55873015873015863</v>
      </c>
      <c r="N44" s="6">
        <f t="shared" si="3"/>
        <v>9.2063492063492069E-2</v>
      </c>
      <c r="O44" s="4">
        <f t="shared" si="4"/>
        <v>1509.9176052841422</v>
      </c>
      <c r="P44" s="4">
        <f t="shared" si="5"/>
        <v>2415.8681684546268</v>
      </c>
      <c r="Q44" s="4">
        <f t="shared" si="6"/>
        <v>3925.785773738769</v>
      </c>
      <c r="R44" s="3"/>
      <c r="V44" s="3"/>
      <c r="W44" s="3"/>
      <c r="Y44" s="7"/>
      <c r="Z44" s="7"/>
      <c r="AA44" s="7"/>
      <c r="AB44" s="7"/>
      <c r="AC44" s="9"/>
      <c r="AD44" s="9"/>
      <c r="AE44" s="9"/>
      <c r="AF44" s="3"/>
      <c r="AG44" s="3"/>
      <c r="AH44" s="3"/>
      <c r="AJ44" t="s">
        <v>726</v>
      </c>
      <c r="AK44" t="s">
        <v>682</v>
      </c>
      <c r="AL44" s="11">
        <f>D38</f>
        <v>40827</v>
      </c>
      <c r="AM44" s="3">
        <f>SUM(E38,E49)</f>
        <v>55.6</v>
      </c>
      <c r="AN44" s="3">
        <f>(AM44-4*$A$20)*$A$21/(2*$A$22)*$A$23</f>
        <v>3953.7675174549017</v>
      </c>
      <c r="AO44" s="11">
        <f>G38</f>
        <v>40200</v>
      </c>
      <c r="AP44" s="7">
        <f>SUM(H38,H49)</f>
        <v>5.8</v>
      </c>
      <c r="AQ44" s="7">
        <f>SUM(I38,I49)</f>
        <v>10.959999999999999</v>
      </c>
      <c r="AR44" s="7">
        <f>SUM(J38,J49)</f>
        <v>5.96</v>
      </c>
      <c r="AS44" s="7">
        <f>SUM(K38,K49)</f>
        <v>9.56</v>
      </c>
      <c r="AT44" s="9">
        <f>(AR44-2*$A$25)/AQ44</f>
        <v>0.354014598540146</v>
      </c>
      <c r="AU44" s="9">
        <f>(AS44-2*$A$26)/AQ44</f>
        <v>0.56204379562043805</v>
      </c>
      <c r="AV44" s="9">
        <f>1-AT44-AU44</f>
        <v>8.3941605839416011E-2</v>
      </c>
      <c r="AW44" s="3">
        <f>AN44*AT44</f>
        <v>1399.6914204128668</v>
      </c>
      <c r="AX44" s="3">
        <f>AN44*AU44</f>
        <v>2222.1905025111496</v>
      </c>
      <c r="AY44" s="3">
        <f>AW44+AX44</f>
        <v>3621.8819229240162</v>
      </c>
    </row>
    <row r="45" spans="1:51" x14ac:dyDescent="0.25">
      <c r="A45">
        <v>12</v>
      </c>
      <c r="B45" s="1" t="s">
        <v>53</v>
      </c>
      <c r="C45" s="1" t="s">
        <v>682</v>
      </c>
      <c r="D45" s="2">
        <v>40827</v>
      </c>
      <c r="E45" s="3">
        <v>27</v>
      </c>
      <c r="F45" s="4">
        <f t="shared" si="0"/>
        <v>3830.4050364110672</v>
      </c>
      <c r="G45" s="2">
        <v>40200</v>
      </c>
      <c r="H45" s="7">
        <v>3.12</v>
      </c>
      <c r="I45" s="7">
        <f>H45+H42-2*$A$24</f>
        <v>5.66</v>
      </c>
      <c r="J45" s="7">
        <v>2.96</v>
      </c>
      <c r="K45" s="7">
        <v>4.8600000000000003</v>
      </c>
      <c r="L45" s="6">
        <f t="shared" si="1"/>
        <v>0.33922261484098937</v>
      </c>
      <c r="M45" s="6">
        <f t="shared" si="2"/>
        <v>0.55830388692579502</v>
      </c>
      <c r="N45" s="6">
        <f t="shared" si="3"/>
        <v>0.10247349823321561</v>
      </c>
      <c r="O45" s="4">
        <f t="shared" si="4"/>
        <v>1299.3600123514573</v>
      </c>
      <c r="P45" s="4">
        <f t="shared" si="5"/>
        <v>2138.5300203284401</v>
      </c>
      <c r="Q45" s="4">
        <f t="shared" si="6"/>
        <v>3437.8900326798976</v>
      </c>
      <c r="R45" s="3"/>
      <c r="V45" s="3"/>
      <c r="W45" s="3"/>
      <c r="Y45" s="7"/>
      <c r="Z45" s="7"/>
      <c r="AA45" s="7"/>
      <c r="AB45" s="7"/>
      <c r="AC45" s="9"/>
      <c r="AD45" s="9"/>
      <c r="AE45" s="9"/>
      <c r="AF45" s="3"/>
      <c r="AG45" s="3"/>
      <c r="AH45" s="3"/>
      <c r="AL45" s="11"/>
      <c r="AM45" s="3"/>
      <c r="AN45" s="3"/>
      <c r="AO45" s="11"/>
      <c r="AP45" s="7"/>
      <c r="AQ45" s="7"/>
      <c r="AR45" s="7"/>
      <c r="AS45" s="7"/>
      <c r="AT45" s="9"/>
      <c r="AU45" s="9"/>
      <c r="AV45" s="9"/>
      <c r="AW45" s="3"/>
      <c r="AX45" s="3"/>
      <c r="AY45" s="3"/>
    </row>
    <row r="46" spans="1:51" x14ac:dyDescent="0.25">
      <c r="A46">
        <v>13</v>
      </c>
      <c r="B46" s="1" t="s">
        <v>54</v>
      </c>
      <c r="C46" s="1" t="s">
        <v>682</v>
      </c>
      <c r="D46" s="2">
        <v>40827</v>
      </c>
      <c r="E46" s="3">
        <v>29.6</v>
      </c>
      <c r="F46" s="4">
        <f t="shared" si="0"/>
        <v>4231.3330998035308</v>
      </c>
      <c r="G46" s="2">
        <v>40200</v>
      </c>
      <c r="H46" s="7">
        <v>3.54</v>
      </c>
      <c r="I46" s="7">
        <f>H46+H41-2*$A$24</f>
        <v>6.1199999999999992</v>
      </c>
      <c r="J46" s="7">
        <v>3.26</v>
      </c>
      <c r="K46" s="7">
        <v>5.12</v>
      </c>
      <c r="L46" s="6">
        <f t="shared" si="1"/>
        <v>0.36274509803921567</v>
      </c>
      <c r="M46" s="6">
        <f t="shared" si="2"/>
        <v>0.55882352941176472</v>
      </c>
      <c r="N46" s="6">
        <f t="shared" si="3"/>
        <v>7.8431372549019551E-2</v>
      </c>
      <c r="O46" s="4">
        <f t="shared" si="4"/>
        <v>1534.8953401248102</v>
      </c>
      <c r="P46" s="4">
        <f t="shared" si="5"/>
        <v>2364.5684969490321</v>
      </c>
      <c r="Q46" s="4">
        <f t="shared" si="6"/>
        <v>3899.4638370738421</v>
      </c>
      <c r="R46" s="3"/>
      <c r="V46" s="3"/>
      <c r="W46" s="3"/>
      <c r="Y46" s="7"/>
      <c r="Z46" s="7"/>
      <c r="AA46" s="7"/>
      <c r="AB46" s="7"/>
      <c r="AC46" s="9"/>
      <c r="AD46" s="9"/>
      <c r="AE46" s="9"/>
      <c r="AF46" s="3"/>
      <c r="AG46" s="3"/>
      <c r="AH46" s="3"/>
      <c r="AJ46" t="s">
        <v>727</v>
      </c>
      <c r="AK46" t="s">
        <v>682</v>
      </c>
      <c r="AL46" s="11">
        <f>D37</f>
        <v>40827</v>
      </c>
      <c r="AM46" s="3">
        <f>SUM(E37,E50)</f>
        <v>61.2</v>
      </c>
      <c r="AN46" s="3">
        <f>(AM46-4*$A$20)*$A$21/(2*$A$22)*$A$23</f>
        <v>4385.5362011083234</v>
      </c>
      <c r="AO46" s="11">
        <f>G37</f>
        <v>40200</v>
      </c>
      <c r="AP46" s="7">
        <f>SUM(H37,H50)</f>
        <v>5.84</v>
      </c>
      <c r="AQ46" s="7">
        <f>SUM(I37,I50)</f>
        <v>11.04</v>
      </c>
      <c r="AR46" s="7">
        <f>SUM(J37,J50)</f>
        <v>5.88</v>
      </c>
      <c r="AS46" s="7">
        <f>SUM(K37,K50)</f>
        <v>9.6</v>
      </c>
      <c r="AT46" s="9">
        <f>(AR46-2*$A$25)/AQ46</f>
        <v>0.34420289855072467</v>
      </c>
      <c r="AU46" s="9">
        <f>(AS46-2*$A$26)/AQ46</f>
        <v>0.56159420289855067</v>
      </c>
      <c r="AV46" s="9">
        <f>1-AT46-AU46</f>
        <v>9.4202898550724723E-2</v>
      </c>
      <c r="AW46" s="3">
        <f>AN46*AT46</f>
        <v>1509.5142721206187</v>
      </c>
      <c r="AX46" s="3">
        <f>AN46*AU46</f>
        <v>2462.891707144167</v>
      </c>
      <c r="AY46" s="3">
        <f>AW46+AX46</f>
        <v>3972.4059792647859</v>
      </c>
    </row>
    <row r="47" spans="1:51" x14ac:dyDescent="0.25">
      <c r="A47">
        <v>14</v>
      </c>
      <c r="B47" s="1" t="s">
        <v>55</v>
      </c>
      <c r="C47" s="1" t="s">
        <v>682</v>
      </c>
      <c r="D47" s="2">
        <v>40827</v>
      </c>
      <c r="E47" s="3">
        <v>33.200000000000003</v>
      </c>
      <c r="F47" s="4">
        <f t="shared" si="0"/>
        <v>4786.4642645007862</v>
      </c>
      <c r="G47" s="2">
        <v>40200</v>
      </c>
      <c r="H47" s="7">
        <v>3.78</v>
      </c>
      <c r="I47" s="7">
        <f>H47+H40-2*$A$24</f>
        <v>6.64</v>
      </c>
      <c r="J47" s="7">
        <v>3.32</v>
      </c>
      <c r="K47" s="7">
        <v>5.36</v>
      </c>
      <c r="L47" s="6">
        <f t="shared" si="1"/>
        <v>0.34337349397590361</v>
      </c>
      <c r="M47" s="6">
        <f t="shared" si="2"/>
        <v>0.55120481927710852</v>
      </c>
      <c r="N47" s="6">
        <f t="shared" si="3"/>
        <v>0.10542168674698782</v>
      </c>
      <c r="O47" s="4">
        <f t="shared" si="4"/>
        <v>1643.5449582924387</v>
      </c>
      <c r="P47" s="4">
        <f t="shared" si="5"/>
        <v>2638.322169890494</v>
      </c>
      <c r="Q47" s="4">
        <f t="shared" si="6"/>
        <v>4281.8671281829329</v>
      </c>
      <c r="R47" s="3"/>
      <c r="V47" s="3"/>
      <c r="W47" s="3"/>
      <c r="Y47" s="7"/>
      <c r="Z47" s="7"/>
      <c r="AA47" s="7"/>
      <c r="AB47" s="7"/>
      <c r="AC47" s="9"/>
      <c r="AD47" s="9"/>
      <c r="AE47" s="9"/>
      <c r="AF47" s="3"/>
      <c r="AG47" s="3"/>
      <c r="AH47" s="3"/>
      <c r="AL47" s="11"/>
      <c r="AM47" s="3"/>
      <c r="AN47" s="3"/>
      <c r="AO47" s="11"/>
      <c r="AP47" s="7"/>
      <c r="AQ47" s="7"/>
      <c r="AR47" s="7"/>
      <c r="AS47" s="7"/>
      <c r="AT47" s="9"/>
      <c r="AU47" s="9"/>
      <c r="AV47" s="9"/>
      <c r="AW47" s="3"/>
      <c r="AX47" s="3"/>
      <c r="AY47" s="3"/>
    </row>
    <row r="48" spans="1:51" x14ac:dyDescent="0.25">
      <c r="A48">
        <v>15</v>
      </c>
      <c r="B48" s="1" t="s">
        <v>56</v>
      </c>
      <c r="C48" s="1" t="s">
        <v>682</v>
      </c>
      <c r="D48" s="2">
        <v>40827</v>
      </c>
      <c r="E48" s="3">
        <v>31.9</v>
      </c>
      <c r="F48" s="4">
        <f t="shared" si="0"/>
        <v>4586.0002328045539</v>
      </c>
      <c r="G48" s="2">
        <v>40200</v>
      </c>
      <c r="H48" s="7">
        <v>4.0199999999999996</v>
      </c>
      <c r="I48" s="7">
        <f>H48+H39-2*$A$24</f>
        <v>7.0799999999999992</v>
      </c>
      <c r="J48" s="7">
        <v>3.54</v>
      </c>
      <c r="K48" s="7">
        <v>5.64</v>
      </c>
      <c r="L48" s="6">
        <f t="shared" si="1"/>
        <v>0.35310734463276838</v>
      </c>
      <c r="M48" s="6">
        <f t="shared" si="2"/>
        <v>0.55649717514124297</v>
      </c>
      <c r="N48" s="6">
        <f t="shared" si="3"/>
        <v>9.0395480225988645E-2</v>
      </c>
      <c r="O48" s="4">
        <f t="shared" si="4"/>
        <v>1619.3503646908737</v>
      </c>
      <c r="P48" s="4">
        <f t="shared" si="5"/>
        <v>2552.0961747528168</v>
      </c>
      <c r="Q48" s="4">
        <f t="shared" si="6"/>
        <v>4171.4465394436902</v>
      </c>
      <c r="R48" s="3"/>
      <c r="V48" s="3"/>
      <c r="W48" s="3"/>
      <c r="Y48" s="7"/>
      <c r="Z48" s="7"/>
      <c r="AA48" s="7"/>
      <c r="AB48" s="7"/>
      <c r="AC48" s="9"/>
      <c r="AD48" s="9"/>
      <c r="AE48" s="9"/>
      <c r="AF48" s="3"/>
      <c r="AG48" s="3"/>
      <c r="AH48" s="3"/>
      <c r="AJ48" t="s">
        <v>728</v>
      </c>
      <c r="AK48" t="s">
        <v>682</v>
      </c>
      <c r="AL48" s="11">
        <f>D36</f>
        <v>40827</v>
      </c>
      <c r="AM48" s="3">
        <f>SUM(E36,E51)</f>
        <v>52.7</v>
      </c>
      <c r="AN48" s="3">
        <f>(AM48-4*$A$20)*$A$21/(2*$A$22)*$A$23</f>
        <v>3730.1730205629515</v>
      </c>
      <c r="AO48" s="11">
        <f>G36</f>
        <v>40200</v>
      </c>
      <c r="AP48" s="7">
        <f>SUM(H36,H51)</f>
        <v>6.9399999999999995</v>
      </c>
      <c r="AQ48" s="7">
        <f>SUM(I36,I51)</f>
        <v>13.239999999999998</v>
      </c>
      <c r="AR48" s="7">
        <f>SUM(J36,J51)</f>
        <v>6.76</v>
      </c>
      <c r="AS48" s="7">
        <f>SUM(K36,K51)</f>
        <v>10.72</v>
      </c>
      <c r="AT48" s="9">
        <f>(AR48-2*$A$25)/AQ48</f>
        <v>0.35347432024169184</v>
      </c>
      <c r="AU48" s="9">
        <f>(AS48-2*$A$26)/AQ48</f>
        <v>0.55287009063444115</v>
      </c>
      <c r="AV48" s="9">
        <f>1-AT48-AU48</f>
        <v>9.3655589123866956E-2</v>
      </c>
      <c r="AW48" s="3">
        <f>AN48*AT48</f>
        <v>1318.5203728273877</v>
      </c>
      <c r="AX48" s="3">
        <f>AN48*AU48</f>
        <v>2062.3010959607859</v>
      </c>
      <c r="AY48" s="3">
        <f>AW48+AX48</f>
        <v>3380.8214687881737</v>
      </c>
    </row>
    <row r="49" spans="1:51" x14ac:dyDescent="0.25">
      <c r="A49">
        <v>16</v>
      </c>
      <c r="B49" s="1" t="s">
        <v>57</v>
      </c>
      <c r="C49" s="1" t="s">
        <v>682</v>
      </c>
      <c r="D49" s="2">
        <v>40827</v>
      </c>
      <c r="E49" s="3">
        <v>30</v>
      </c>
      <c r="F49" s="4">
        <f t="shared" si="0"/>
        <v>4293.0143403254469</v>
      </c>
      <c r="G49" s="2">
        <v>40200</v>
      </c>
      <c r="H49" s="7">
        <v>2.5</v>
      </c>
      <c r="I49" s="7">
        <f>H49+H38-2*$A$24</f>
        <v>5.4799999999999995</v>
      </c>
      <c r="J49" s="7">
        <v>2.98</v>
      </c>
      <c r="K49" s="7">
        <v>4.78</v>
      </c>
      <c r="L49" s="6">
        <f t="shared" si="1"/>
        <v>0.354014598540146</v>
      </c>
      <c r="M49" s="6">
        <f t="shared" si="2"/>
        <v>0.56204379562043805</v>
      </c>
      <c r="N49" s="6">
        <f t="shared" si="3"/>
        <v>8.3941605839416011E-2</v>
      </c>
      <c r="O49" s="4">
        <f t="shared" si="4"/>
        <v>1519.7897482174028</v>
      </c>
      <c r="P49" s="4">
        <f t="shared" si="5"/>
        <v>2412.8620744894852</v>
      </c>
      <c r="Q49" s="4">
        <f t="shared" si="6"/>
        <v>3932.6518227068882</v>
      </c>
      <c r="R49" s="3"/>
      <c r="V49" s="3"/>
      <c r="W49" s="3"/>
      <c r="Y49" s="7"/>
      <c r="Z49" s="7"/>
      <c r="AA49" s="7"/>
      <c r="AB49" s="7"/>
      <c r="AC49" s="9"/>
      <c r="AD49" s="9"/>
      <c r="AE49" s="9"/>
      <c r="AF49" s="3"/>
      <c r="AG49" s="3"/>
      <c r="AH49" s="3"/>
      <c r="AL49" s="11"/>
      <c r="AM49" s="3"/>
      <c r="AN49" s="3"/>
      <c r="AO49" s="11"/>
      <c r="AP49" s="7"/>
      <c r="AQ49" s="7"/>
      <c r="AR49" s="7"/>
      <c r="AS49" s="7"/>
      <c r="AT49" s="9"/>
      <c r="AU49" s="9"/>
      <c r="AV49" s="9"/>
      <c r="AW49" s="3"/>
      <c r="AX49" s="3"/>
      <c r="AY49" s="3"/>
    </row>
    <row r="50" spans="1:51" x14ac:dyDescent="0.25">
      <c r="A50">
        <v>17</v>
      </c>
      <c r="B50" s="1" t="s">
        <v>58</v>
      </c>
      <c r="C50" s="1" t="s">
        <v>682</v>
      </c>
      <c r="D50" s="2">
        <v>40827</v>
      </c>
      <c r="E50" s="3">
        <v>34.6</v>
      </c>
      <c r="F50" s="4">
        <f t="shared" si="0"/>
        <v>5002.3486063274968</v>
      </c>
      <c r="G50" s="2">
        <v>40200</v>
      </c>
      <c r="H50" s="7">
        <v>2.82</v>
      </c>
      <c r="I50" s="7">
        <f>H50+H37-2*$A$24</f>
        <v>5.52</v>
      </c>
      <c r="J50" s="7">
        <v>2.94</v>
      </c>
      <c r="K50" s="7">
        <v>4.8</v>
      </c>
      <c r="L50" s="6">
        <f t="shared" si="1"/>
        <v>0.34420289855072467</v>
      </c>
      <c r="M50" s="6">
        <f t="shared" si="2"/>
        <v>0.56159420289855067</v>
      </c>
      <c r="N50" s="6">
        <f t="shared" si="3"/>
        <v>9.4202898550724723E-2</v>
      </c>
      <c r="O50" s="4">
        <f t="shared" si="4"/>
        <v>1721.8228898591024</v>
      </c>
      <c r="P50" s="4">
        <f t="shared" si="5"/>
        <v>2809.2899781911665</v>
      </c>
      <c r="Q50" s="4">
        <f t="shared" si="6"/>
        <v>4531.1128680502688</v>
      </c>
      <c r="R50" s="3"/>
      <c r="V50" s="3"/>
      <c r="W50" s="3"/>
      <c r="Y50" s="7"/>
      <c r="Z50" s="7"/>
      <c r="AA50" s="7"/>
      <c r="AB50" s="7"/>
      <c r="AC50" s="9"/>
      <c r="AD50" s="9"/>
      <c r="AE50" s="9"/>
      <c r="AF50" s="3"/>
      <c r="AG50" s="3"/>
      <c r="AH50" s="3"/>
      <c r="AJ50" t="s">
        <v>729</v>
      </c>
      <c r="AK50" t="s">
        <v>682</v>
      </c>
      <c r="AL50" s="11">
        <f>D35</f>
        <v>40827</v>
      </c>
      <c r="AM50" s="3">
        <f>SUM(E35,E52)</f>
        <v>49.6</v>
      </c>
      <c r="AN50" s="3">
        <f>(AM50-4*$A$20)*$A$21/(2*$A$22)*$A$23</f>
        <v>3491.1582135405224</v>
      </c>
      <c r="AO50" s="11">
        <f>G35</f>
        <v>40200</v>
      </c>
      <c r="AP50" s="7">
        <f>SUM(H35,H52)</f>
        <v>6.32</v>
      </c>
      <c r="AQ50" s="7">
        <f>SUM(I35,I52)</f>
        <v>12</v>
      </c>
      <c r="AR50" s="7">
        <f>SUM(J35,J52)</f>
        <v>6.28</v>
      </c>
      <c r="AS50" s="7">
        <f>SUM(K35,K52)</f>
        <v>9.9600000000000009</v>
      </c>
      <c r="AT50" s="9">
        <f>(AR50-2*$A$25)/AQ50</f>
        <v>0.35000000000000003</v>
      </c>
      <c r="AU50" s="9">
        <f>(AS50-2*$A$26)/AQ50</f>
        <v>0.54666666666666675</v>
      </c>
      <c r="AV50" s="9">
        <f>1-AT50-AU50</f>
        <v>0.10333333333333317</v>
      </c>
      <c r="AW50" s="3">
        <f>AN50*AT50</f>
        <v>1221.9053747391829</v>
      </c>
      <c r="AX50" s="3">
        <f>AN50*AU50</f>
        <v>1908.4998234021525</v>
      </c>
      <c r="AY50" s="3">
        <f>AW50+AX50</f>
        <v>3130.4051981413354</v>
      </c>
    </row>
    <row r="51" spans="1:51" x14ac:dyDescent="0.25">
      <c r="A51">
        <v>18</v>
      </c>
      <c r="B51" s="1" t="s">
        <v>59</v>
      </c>
      <c r="C51" s="1" t="s">
        <v>682</v>
      </c>
      <c r="D51" s="2">
        <v>40827</v>
      </c>
      <c r="E51" s="3">
        <v>30</v>
      </c>
      <c r="F51" s="4">
        <f t="shared" si="0"/>
        <v>4293.0143403254469</v>
      </c>
      <c r="G51" s="2">
        <v>40200</v>
      </c>
      <c r="H51" s="7">
        <v>3.68</v>
      </c>
      <c r="I51" s="7">
        <f>H51+H36-2*$A$24</f>
        <v>6.6199999999999992</v>
      </c>
      <c r="J51" s="7">
        <v>3.38</v>
      </c>
      <c r="K51" s="7">
        <v>5.36</v>
      </c>
      <c r="L51" s="6">
        <f t="shared" si="1"/>
        <v>0.35347432024169184</v>
      </c>
      <c r="M51" s="6">
        <f t="shared" si="2"/>
        <v>0.55287009063444115</v>
      </c>
      <c r="N51" s="6">
        <f t="shared" si="3"/>
        <v>9.3655589123866956E-2</v>
      </c>
      <c r="O51" s="4">
        <f t="shared" si="4"/>
        <v>1517.4703257343724</v>
      </c>
      <c r="P51" s="4">
        <f t="shared" si="5"/>
        <v>2373.4792274306856</v>
      </c>
      <c r="Q51" s="4">
        <f t="shared" si="6"/>
        <v>3890.9495531650582</v>
      </c>
      <c r="R51" s="3"/>
      <c r="V51" s="3"/>
      <c r="W51" s="3"/>
      <c r="Y51" s="7"/>
      <c r="Z51" s="7"/>
      <c r="AA51" s="7"/>
      <c r="AB51" s="7"/>
      <c r="AC51" s="9"/>
      <c r="AD51" s="9"/>
      <c r="AE51" s="9"/>
      <c r="AF51" s="3"/>
      <c r="AG51" s="3"/>
      <c r="AH51" s="3"/>
      <c r="AL51" s="11"/>
      <c r="AM51" s="3"/>
      <c r="AN51" s="3"/>
      <c r="AO51" s="11"/>
      <c r="AP51" s="7"/>
      <c r="AQ51" s="7"/>
      <c r="AR51" s="7"/>
      <c r="AS51" s="7"/>
      <c r="AT51" s="9"/>
      <c r="AU51" s="9"/>
      <c r="AV51" s="9"/>
      <c r="AW51" s="3"/>
      <c r="AX51" s="3"/>
      <c r="AY51" s="3"/>
    </row>
    <row r="52" spans="1:51" x14ac:dyDescent="0.25">
      <c r="A52">
        <v>19</v>
      </c>
      <c r="B52" s="1" t="s">
        <v>60</v>
      </c>
      <c r="C52" s="1" t="s">
        <v>682</v>
      </c>
      <c r="D52" s="2">
        <v>40827</v>
      </c>
      <c r="E52" s="3">
        <v>27.6</v>
      </c>
      <c r="F52" s="4">
        <f t="shared" si="0"/>
        <v>3922.9268971939437</v>
      </c>
      <c r="G52" s="2">
        <v>40200</v>
      </c>
      <c r="H52" s="7">
        <v>3.04</v>
      </c>
      <c r="I52" s="7">
        <f>H52+H35-2*$A$24</f>
        <v>6</v>
      </c>
      <c r="J52" s="7">
        <v>3.14</v>
      </c>
      <c r="K52" s="7">
        <v>4.9800000000000004</v>
      </c>
      <c r="L52" s="6">
        <f t="shared" si="1"/>
        <v>0.35000000000000003</v>
      </c>
      <c r="M52" s="6">
        <f t="shared" si="2"/>
        <v>0.54666666666666675</v>
      </c>
      <c r="N52" s="6">
        <f t="shared" si="3"/>
        <v>0.10333333333333317</v>
      </c>
      <c r="O52" s="4">
        <f t="shared" si="4"/>
        <v>1373.0244140178804</v>
      </c>
      <c r="P52" s="4">
        <f t="shared" si="5"/>
        <v>2144.5333704660229</v>
      </c>
      <c r="Q52" s="4">
        <f t="shared" si="6"/>
        <v>3517.5577844839036</v>
      </c>
      <c r="R52" s="3"/>
      <c r="V52" s="3"/>
      <c r="W52" s="3"/>
      <c r="Y52" s="7"/>
      <c r="Z52" s="7"/>
      <c r="AA52" s="7"/>
      <c r="AB52" s="7"/>
      <c r="AC52" s="9"/>
      <c r="AD52" s="9"/>
      <c r="AE52" s="9"/>
      <c r="AF52" s="3"/>
      <c r="AG52" s="3"/>
      <c r="AH52" s="3"/>
      <c r="AJ52" t="s">
        <v>730</v>
      </c>
      <c r="AK52" t="s">
        <v>682</v>
      </c>
      <c r="AL52" s="11">
        <f>D34</f>
        <v>40827</v>
      </c>
      <c r="AM52" s="3">
        <f>SUM(E34,E53)</f>
        <v>45.9</v>
      </c>
      <c r="AN52" s="3">
        <f>(AM52-4*$A$20)*$A$21/(2*$A$22)*$A$23</f>
        <v>3205.8824761266542</v>
      </c>
      <c r="AO52" s="11">
        <f>G34</f>
        <v>40200</v>
      </c>
      <c r="AP52" s="7">
        <f>SUM(H34,H53)</f>
        <v>6.3</v>
      </c>
      <c r="AQ52" s="7">
        <f>SUM(I34,I53)</f>
        <v>11.959999999999999</v>
      </c>
      <c r="AR52" s="7">
        <f>SUM(J34,J53)</f>
        <v>6.32</v>
      </c>
      <c r="AS52" s="7">
        <f>SUM(K34,K53)</f>
        <v>10.08</v>
      </c>
      <c r="AT52" s="9">
        <f>(AR52-2*$A$25)/AQ52</f>
        <v>0.35451505016722412</v>
      </c>
      <c r="AU52" s="9">
        <f>(AS52-2*$A$26)/AQ52</f>
        <v>0.55852842809364556</v>
      </c>
      <c r="AV52" s="9">
        <f>1-AT52-AU52</f>
        <v>8.6956521739130377E-2</v>
      </c>
      <c r="AW52" s="3">
        <f>AN52*AT52</f>
        <v>1136.5335868542654</v>
      </c>
      <c r="AX52" s="3">
        <f>AN52*AU52</f>
        <v>1790.5765000439844</v>
      </c>
      <c r="AY52" s="3">
        <f>AW52+AX52</f>
        <v>2927.1100868982498</v>
      </c>
    </row>
    <row r="53" spans="1:51" x14ac:dyDescent="0.25">
      <c r="A53">
        <v>20</v>
      </c>
      <c r="B53" s="1" t="s">
        <v>61</v>
      </c>
      <c r="C53" s="1" t="s">
        <v>682</v>
      </c>
      <c r="D53" s="2">
        <v>40827</v>
      </c>
      <c r="E53" s="3">
        <v>26.9</v>
      </c>
      <c r="F53" s="4">
        <f t="shared" si="0"/>
        <v>3814.9847262805879</v>
      </c>
      <c r="G53" s="2">
        <v>40200</v>
      </c>
      <c r="H53" s="7">
        <v>3.28</v>
      </c>
      <c r="I53" s="7">
        <f>H53+H34-2*$A$24</f>
        <v>5.9799999999999995</v>
      </c>
      <c r="J53" s="7">
        <v>3.16</v>
      </c>
      <c r="K53" s="7">
        <v>5.04</v>
      </c>
      <c r="L53" s="6">
        <f t="shared" si="1"/>
        <v>0.35451505016722412</v>
      </c>
      <c r="M53" s="6">
        <f t="shared" si="2"/>
        <v>0.55852842809364556</v>
      </c>
      <c r="N53" s="6">
        <f t="shared" si="3"/>
        <v>8.6956521739130377E-2</v>
      </c>
      <c r="O53" s="4">
        <f t="shared" si="4"/>
        <v>1352.4695016245564</v>
      </c>
      <c r="P53" s="4">
        <f t="shared" si="5"/>
        <v>2130.7774223707634</v>
      </c>
      <c r="Q53" s="4">
        <f t="shared" si="6"/>
        <v>3483.2469239953198</v>
      </c>
      <c r="R53" s="3"/>
      <c r="V53" s="3"/>
      <c r="W53" s="3"/>
      <c r="Y53" s="7"/>
      <c r="Z53" s="7"/>
      <c r="AA53" s="7"/>
      <c r="AB53" s="7"/>
      <c r="AC53" s="9"/>
      <c r="AD53" s="9"/>
      <c r="AE53" s="9"/>
      <c r="AF53" s="3"/>
      <c r="AG53" s="3"/>
      <c r="AH53" s="3"/>
      <c r="AL53" s="11"/>
      <c r="AM53" s="3"/>
      <c r="AN53" s="3"/>
      <c r="AO53" s="11"/>
      <c r="AP53" s="7"/>
      <c r="AQ53" s="7"/>
      <c r="AR53" s="7"/>
      <c r="AS53" s="7"/>
      <c r="AT53" s="9"/>
      <c r="AU53" s="9"/>
      <c r="AV53" s="9"/>
      <c r="AW53" s="3"/>
      <c r="AX53" s="3"/>
      <c r="AY53" s="3"/>
    </row>
    <row r="54" spans="1:51" x14ac:dyDescent="0.25">
      <c r="A54">
        <v>21</v>
      </c>
      <c r="B54" s="1" t="s">
        <v>62</v>
      </c>
      <c r="C54" s="1" t="s">
        <v>682</v>
      </c>
      <c r="D54" s="2">
        <v>40827</v>
      </c>
      <c r="E54" s="3">
        <v>25.7</v>
      </c>
      <c r="F54" s="4">
        <f t="shared" si="0"/>
        <v>3629.9410047148358</v>
      </c>
      <c r="G54" s="2">
        <v>40200</v>
      </c>
      <c r="H54" s="7">
        <v>3.66</v>
      </c>
      <c r="I54" s="7">
        <f>H54+H73-2*$A$24</f>
        <v>6.66</v>
      </c>
      <c r="J54" s="7">
        <v>3.34</v>
      </c>
      <c r="K54" s="7">
        <v>5.42</v>
      </c>
      <c r="L54" s="6">
        <f t="shared" si="1"/>
        <v>0.34534534534534533</v>
      </c>
      <c r="M54" s="6">
        <f t="shared" si="2"/>
        <v>0.55855855855855852</v>
      </c>
      <c r="N54" s="6">
        <f t="shared" si="3"/>
        <v>9.6096096096096151E-2</v>
      </c>
      <c r="O54" s="4">
        <f t="shared" si="4"/>
        <v>1253.5832298564749</v>
      </c>
      <c r="P54" s="4">
        <f t="shared" si="5"/>
        <v>2027.5346152461243</v>
      </c>
      <c r="Q54" s="4">
        <f t="shared" si="6"/>
        <v>3281.1178451025989</v>
      </c>
      <c r="R54" s="3"/>
      <c r="V54" s="3"/>
      <c r="W54" s="3"/>
      <c r="Y54" s="7"/>
      <c r="Z54" s="7"/>
      <c r="AA54" s="7"/>
      <c r="AB54" s="7"/>
      <c r="AC54" s="9"/>
      <c r="AD54" s="9"/>
      <c r="AE54" s="9"/>
      <c r="AF54" s="3"/>
      <c r="AG54" s="3"/>
      <c r="AH54" s="3"/>
      <c r="AJ54" t="s">
        <v>731</v>
      </c>
      <c r="AK54" t="s">
        <v>682</v>
      </c>
      <c r="AL54" s="11">
        <f>D63</f>
        <v>40827</v>
      </c>
      <c r="AM54" s="3">
        <f>SUM(E63,E64)</f>
        <v>55.900000000000006</v>
      </c>
      <c r="AN54" s="3">
        <f>(AM54-4*$A$20)*$A$21/(2*$A$22)*$A$23</f>
        <v>3976.8979826506211</v>
      </c>
      <c r="AO54" s="11">
        <f>G63</f>
        <v>40200</v>
      </c>
      <c r="AP54" s="7">
        <f>SUM(H63,H64)</f>
        <v>6.32</v>
      </c>
      <c r="AQ54" s="7">
        <f>SUM(I63,I64)</f>
        <v>12</v>
      </c>
      <c r="AR54" s="7">
        <f>SUM(J63,J64)</f>
        <v>6.2</v>
      </c>
      <c r="AS54" s="7">
        <f>SUM(K63,K64)</f>
        <v>10.24</v>
      </c>
      <c r="AT54" s="9">
        <f>(AR54-2*$A$25)/AQ54</f>
        <v>0.34333333333333332</v>
      </c>
      <c r="AU54" s="9">
        <f>(AS54-2*$A$26)/AQ54</f>
        <v>0.56999999999999995</v>
      </c>
      <c r="AV54" s="9">
        <f>1-AT54-AU54</f>
        <v>8.6666666666666781E-2</v>
      </c>
      <c r="AW54" s="3">
        <f>AN54*AT54</f>
        <v>1365.4016407100464</v>
      </c>
      <c r="AX54" s="3">
        <f>AN54*AU54</f>
        <v>2266.8318501108538</v>
      </c>
      <c r="AY54" s="3">
        <f>AW54+AX54</f>
        <v>3632.2334908209004</v>
      </c>
    </row>
    <row r="55" spans="1:51" x14ac:dyDescent="0.25">
      <c r="A55">
        <v>22</v>
      </c>
      <c r="B55" s="1" t="s">
        <v>63</v>
      </c>
      <c r="C55" s="1" t="s">
        <v>682</v>
      </c>
      <c r="D55" s="2">
        <v>40827</v>
      </c>
      <c r="E55" s="3">
        <v>30.2</v>
      </c>
      <c r="F55" s="4">
        <f t="shared" si="0"/>
        <v>4323.8549605864055</v>
      </c>
      <c r="G55" s="2">
        <v>40200</v>
      </c>
      <c r="H55" s="7">
        <v>3.48</v>
      </c>
      <c r="I55" s="7">
        <f>H55+H72-2*$A$24</f>
        <v>6.82</v>
      </c>
      <c r="J55" s="7">
        <v>3.4</v>
      </c>
      <c r="K55" s="7">
        <v>5.48</v>
      </c>
      <c r="L55" s="6">
        <f t="shared" si="1"/>
        <v>0.34604105571847504</v>
      </c>
      <c r="M55" s="6">
        <f t="shared" si="2"/>
        <v>0.5542521994134898</v>
      </c>
      <c r="N55" s="6">
        <f t="shared" si="3"/>
        <v>9.9706744868035213E-2</v>
      </c>
      <c r="O55" s="4">
        <f t="shared" si="4"/>
        <v>1496.231335334885</v>
      </c>
      <c r="P55" s="4">
        <f t="shared" si="5"/>
        <v>2396.5061218499436</v>
      </c>
      <c r="Q55" s="4">
        <f t="shared" si="6"/>
        <v>3892.7374571848286</v>
      </c>
      <c r="R55" s="3"/>
      <c r="V55" s="3"/>
      <c r="W55" s="3"/>
      <c r="Y55" s="7"/>
      <c r="Z55" s="7"/>
      <c r="AA55" s="7"/>
      <c r="AB55" s="7"/>
      <c r="AC55" s="9"/>
      <c r="AD55" s="9"/>
      <c r="AE55" s="9"/>
      <c r="AF55" s="3"/>
      <c r="AG55" s="3"/>
      <c r="AH55" s="3"/>
      <c r="AL55" s="11"/>
      <c r="AM55" s="3"/>
      <c r="AN55" s="3"/>
      <c r="AO55" s="11"/>
      <c r="AP55" s="7"/>
      <c r="AQ55" s="7"/>
      <c r="AR55" s="7"/>
      <c r="AS55" s="7"/>
      <c r="AT55" s="9"/>
      <c r="AU55" s="9"/>
      <c r="AV55" s="9"/>
      <c r="AW55" s="3"/>
      <c r="AX55" s="3"/>
      <c r="AY55" s="3"/>
    </row>
    <row r="56" spans="1:51" x14ac:dyDescent="0.25">
      <c r="A56">
        <v>23</v>
      </c>
      <c r="B56" s="1" t="s">
        <v>64</v>
      </c>
      <c r="C56" s="1" t="s">
        <v>682</v>
      </c>
      <c r="D56" s="2">
        <v>40827</v>
      </c>
      <c r="E56" s="3">
        <v>28.200000000000003</v>
      </c>
      <c r="F56" s="4">
        <f t="shared" si="0"/>
        <v>4015.4487579768193</v>
      </c>
      <c r="G56" s="2">
        <v>40200</v>
      </c>
      <c r="H56" s="7">
        <v>2.88</v>
      </c>
      <c r="I56" s="7">
        <f>H56+H71-2*$A$24</f>
        <v>6.379999999999999</v>
      </c>
      <c r="J56" s="7">
        <v>3.22</v>
      </c>
      <c r="K56" s="7">
        <v>5.22</v>
      </c>
      <c r="L56" s="6">
        <f t="shared" si="1"/>
        <v>0.3416927899686521</v>
      </c>
      <c r="M56" s="6">
        <f t="shared" si="2"/>
        <v>0.55172413793103448</v>
      </c>
      <c r="N56" s="6">
        <f t="shared" si="3"/>
        <v>0.10658307210031337</v>
      </c>
      <c r="O56" s="4">
        <f t="shared" si="4"/>
        <v>1372.0498890892582</v>
      </c>
      <c r="P56" s="4">
        <f t="shared" si="5"/>
        <v>2215.4200044010036</v>
      </c>
      <c r="Q56" s="4">
        <f t="shared" si="6"/>
        <v>3587.4698934902617</v>
      </c>
      <c r="R56" s="3"/>
      <c r="V56" s="3"/>
      <c r="W56" s="3"/>
      <c r="Y56" s="7"/>
      <c r="Z56" s="7"/>
      <c r="AA56" s="7"/>
      <c r="AB56" s="7"/>
      <c r="AC56" s="9"/>
      <c r="AD56" s="9"/>
      <c r="AE56" s="9"/>
      <c r="AF56" s="3"/>
      <c r="AG56" s="3"/>
      <c r="AH56" s="3"/>
      <c r="AJ56" t="s">
        <v>732</v>
      </c>
      <c r="AK56" t="s">
        <v>682</v>
      </c>
      <c r="AL56" s="11">
        <f>D62</f>
        <v>40827</v>
      </c>
      <c r="AM56" s="3">
        <f>SUM(E62,E65)</f>
        <v>58.099999999999994</v>
      </c>
      <c r="AN56" s="3">
        <f>(AM56-4*$A$20)*$A$21/(2*$A$22)*$A$23</f>
        <v>4146.521394085893</v>
      </c>
      <c r="AO56" s="11">
        <f>G62</f>
        <v>40200</v>
      </c>
      <c r="AP56" s="7">
        <f>SUM(H62,H65)</f>
        <v>6.82</v>
      </c>
      <c r="AQ56" s="7">
        <f>SUM(I62,I65)</f>
        <v>13</v>
      </c>
      <c r="AR56" s="7">
        <f>SUM(J62,J65)</f>
        <v>6.56</v>
      </c>
      <c r="AS56" s="7">
        <f>SUM(K62,K65)</f>
        <v>10.52</v>
      </c>
      <c r="AT56" s="9">
        <f>(AR56-2*$A$25)/AQ56</f>
        <v>0.3446153846153846</v>
      </c>
      <c r="AU56" s="9">
        <f>(AS56-2*$A$26)/AQ56</f>
        <v>0.54769230769230759</v>
      </c>
      <c r="AV56" s="9">
        <f>1-AT56-AU56</f>
        <v>0.10769230769230786</v>
      </c>
      <c r="AW56" s="3">
        <f>AN56*AT56</f>
        <v>1428.9550650388308</v>
      </c>
      <c r="AX56" s="3">
        <f>AN56*AU56</f>
        <v>2271.0178712224269</v>
      </c>
      <c r="AY56" s="3">
        <f>AW56+AX56</f>
        <v>3699.9729362612579</v>
      </c>
    </row>
    <row r="57" spans="1:51" x14ac:dyDescent="0.25">
      <c r="A57">
        <v>24</v>
      </c>
      <c r="B57" s="1" t="s">
        <v>65</v>
      </c>
      <c r="C57" s="1" t="s">
        <v>682</v>
      </c>
      <c r="D57" s="2">
        <v>40827</v>
      </c>
      <c r="E57" s="3">
        <v>33</v>
      </c>
      <c r="F57" s="4">
        <f t="shared" si="0"/>
        <v>4755.6236442398267</v>
      </c>
      <c r="G57" s="2">
        <v>40200</v>
      </c>
      <c r="H57" s="7">
        <v>2.58</v>
      </c>
      <c r="I57" s="7">
        <f>H57+H70-2*$A$24</f>
        <v>5.18</v>
      </c>
      <c r="J57" s="7">
        <v>2.82</v>
      </c>
      <c r="K57" s="7">
        <v>4.62</v>
      </c>
      <c r="L57" s="6">
        <f t="shared" si="1"/>
        <v>0.34362934362934361</v>
      </c>
      <c r="M57" s="6">
        <f t="shared" si="2"/>
        <v>0.56370656370656369</v>
      </c>
      <c r="N57" s="6">
        <f t="shared" si="3"/>
        <v>9.2664092664092701E-2</v>
      </c>
      <c r="O57" s="4">
        <f t="shared" si="4"/>
        <v>1634.1718314183188</v>
      </c>
      <c r="P57" s="4">
        <f t="shared" si="5"/>
        <v>2680.7762627761185</v>
      </c>
      <c r="Q57" s="4">
        <f t="shared" si="6"/>
        <v>4314.9480941944375</v>
      </c>
      <c r="R57" s="3"/>
      <c r="V57" s="3"/>
      <c r="W57" s="3"/>
      <c r="Y57" s="7"/>
      <c r="Z57" s="7"/>
      <c r="AA57" s="7"/>
      <c r="AB57" s="7"/>
      <c r="AC57" s="9"/>
      <c r="AD57" s="9"/>
      <c r="AE57" s="9"/>
      <c r="AF57" s="3"/>
      <c r="AG57" s="3"/>
      <c r="AH57" s="3"/>
      <c r="AL57" s="11"/>
      <c r="AM57" s="3"/>
      <c r="AN57" s="3"/>
      <c r="AO57" s="11"/>
      <c r="AP57" s="7"/>
      <c r="AQ57" s="7"/>
      <c r="AR57" s="7"/>
      <c r="AS57" s="7"/>
      <c r="AT57" s="9"/>
      <c r="AU57" s="9"/>
      <c r="AV57" s="9"/>
      <c r="AW57" s="3"/>
      <c r="AX57" s="3"/>
      <c r="AY57" s="3"/>
    </row>
    <row r="58" spans="1:51" x14ac:dyDescent="0.25">
      <c r="A58">
        <v>25</v>
      </c>
      <c r="B58" s="1" t="s">
        <v>66</v>
      </c>
      <c r="C58" s="1" t="s">
        <v>682</v>
      </c>
      <c r="D58" s="2">
        <v>40827</v>
      </c>
      <c r="E58" s="3">
        <v>32.200000000000003</v>
      </c>
      <c r="F58" s="4">
        <f t="shared" si="0"/>
        <v>4632.2611631959926</v>
      </c>
      <c r="G58" s="2">
        <v>40200</v>
      </c>
      <c r="H58" s="7">
        <v>3.5</v>
      </c>
      <c r="I58" s="7">
        <f>H58+H69-2*$A$24</f>
        <v>6.3</v>
      </c>
      <c r="J58" s="7">
        <v>3.18</v>
      </c>
      <c r="K58" s="7">
        <v>5.18</v>
      </c>
      <c r="L58" s="6">
        <f t="shared" si="1"/>
        <v>0.3396825396825397</v>
      </c>
      <c r="M58" s="6">
        <f t="shared" si="2"/>
        <v>0.55238095238095231</v>
      </c>
      <c r="N58" s="6">
        <f t="shared" si="3"/>
        <v>0.107936507936508</v>
      </c>
      <c r="O58" s="4">
        <f t="shared" si="4"/>
        <v>1573.4982363872102</v>
      </c>
      <c r="P58" s="4">
        <f t="shared" si="5"/>
        <v>2558.7728330035002</v>
      </c>
      <c r="Q58" s="4">
        <f t="shared" si="6"/>
        <v>4132.2710693907102</v>
      </c>
      <c r="R58" s="3"/>
      <c r="V58" s="3"/>
      <c r="W58" s="3"/>
      <c r="Y58" s="7"/>
      <c r="Z58" s="7"/>
      <c r="AA58" s="7"/>
      <c r="AB58" s="7"/>
      <c r="AC58" s="9"/>
      <c r="AD58" s="9"/>
      <c r="AE58" s="9"/>
      <c r="AF58" s="3"/>
      <c r="AG58" s="3"/>
      <c r="AH58" s="3"/>
      <c r="AJ58" t="s">
        <v>733</v>
      </c>
      <c r="AK58" t="s">
        <v>682</v>
      </c>
      <c r="AL58" s="11">
        <f>D61</f>
        <v>40827</v>
      </c>
      <c r="AM58" s="3">
        <f>SUM(E61,E66)</f>
        <v>52.4</v>
      </c>
      <c r="AN58" s="3">
        <f>(AM58-4*$A$20)*$A$21/(2*$A$22)*$A$23</f>
        <v>3707.0425553672321</v>
      </c>
      <c r="AO58" s="11">
        <f>G61</f>
        <v>40200</v>
      </c>
      <c r="AP58" s="7">
        <f>SUM(H61,H66)</f>
        <v>6.26</v>
      </c>
      <c r="AQ58" s="7">
        <f>SUM(I61,I66)</f>
        <v>11.879999999999999</v>
      </c>
      <c r="AR58" s="7">
        <f>SUM(J61,J66)</f>
        <v>6.2</v>
      </c>
      <c r="AS58" s="7">
        <f>SUM(K61,K66)</f>
        <v>9.92</v>
      </c>
      <c r="AT58" s="9">
        <f>(AR58-2*$A$25)/AQ58</f>
        <v>0.34680134680134683</v>
      </c>
      <c r="AU58" s="9">
        <f>(AS58-2*$A$26)/AQ58</f>
        <v>0.54882154882154888</v>
      </c>
      <c r="AV58" s="9">
        <f>1-AT58-AU58</f>
        <v>0.10437710437710424</v>
      </c>
      <c r="AW58" s="3">
        <f>AN58*AT58</f>
        <v>1285.6073508512625</v>
      </c>
      <c r="AX58" s="3">
        <f>AN58*AU58</f>
        <v>2034.5048367840368</v>
      </c>
      <c r="AY58" s="3">
        <f>AW58+AX58</f>
        <v>3320.1121876352991</v>
      </c>
    </row>
    <row r="59" spans="1:51" x14ac:dyDescent="0.25">
      <c r="A59">
        <v>26</v>
      </c>
      <c r="B59" s="1" t="s">
        <v>67</v>
      </c>
      <c r="C59" s="1" t="s">
        <v>682</v>
      </c>
      <c r="D59" s="2">
        <v>40827</v>
      </c>
      <c r="E59" s="3">
        <v>34.700000000000003</v>
      </c>
      <c r="F59" s="4">
        <f t="shared" si="0"/>
        <v>5017.7689164579779</v>
      </c>
      <c r="G59" s="2">
        <v>40200</v>
      </c>
      <c r="H59" s="7">
        <v>3.48</v>
      </c>
      <c r="I59" s="7">
        <f>H59+H68-2*$A$24</f>
        <v>6.76</v>
      </c>
      <c r="J59" s="7">
        <v>3.36</v>
      </c>
      <c r="K59" s="7">
        <v>5.46</v>
      </c>
      <c r="L59" s="6">
        <f t="shared" si="1"/>
        <v>0.34319526627218933</v>
      </c>
      <c r="M59" s="6">
        <f t="shared" si="2"/>
        <v>0.55621301775147924</v>
      </c>
      <c r="N59" s="6">
        <f t="shared" si="3"/>
        <v>0.10059171597633143</v>
      </c>
      <c r="O59" s="4">
        <f t="shared" si="4"/>
        <v>1722.0745393761106</v>
      </c>
      <c r="P59" s="4">
        <f t="shared" si="5"/>
        <v>2790.9483914026619</v>
      </c>
      <c r="Q59" s="4">
        <f t="shared" si="6"/>
        <v>4513.0229307787722</v>
      </c>
      <c r="R59" s="3"/>
      <c r="V59" s="3"/>
      <c r="W59" s="3"/>
      <c r="Y59" s="7"/>
      <c r="Z59" s="7"/>
      <c r="AA59" s="7"/>
      <c r="AB59" s="7"/>
      <c r="AC59" s="9"/>
      <c r="AD59" s="9"/>
      <c r="AE59" s="9"/>
      <c r="AF59" s="3"/>
      <c r="AG59" s="3"/>
      <c r="AH59" s="3"/>
      <c r="AL59" s="11"/>
      <c r="AM59" s="3"/>
      <c r="AN59" s="3"/>
      <c r="AO59" s="11"/>
      <c r="AP59" s="7"/>
      <c r="AQ59" s="7"/>
      <c r="AR59" s="7"/>
      <c r="AS59" s="7"/>
      <c r="AT59" s="9"/>
      <c r="AU59" s="9"/>
      <c r="AV59" s="9"/>
      <c r="AW59" s="3"/>
      <c r="AX59" s="3"/>
      <c r="AY59" s="3"/>
    </row>
    <row r="60" spans="1:51" x14ac:dyDescent="0.25">
      <c r="A60">
        <v>27</v>
      </c>
      <c r="B60" s="1" t="s">
        <v>68</v>
      </c>
      <c r="C60" s="1" t="s">
        <v>682</v>
      </c>
      <c r="D60" s="2">
        <v>40827</v>
      </c>
      <c r="E60" s="3">
        <v>34.4</v>
      </c>
      <c r="F60" s="4">
        <f t="shared" si="0"/>
        <v>4971.5079860665373</v>
      </c>
      <c r="G60" s="2">
        <v>40200</v>
      </c>
      <c r="H60" s="7">
        <v>3.36</v>
      </c>
      <c r="I60" s="7">
        <f>H60+H67-2*$A$24</f>
        <v>5.9799999999999995</v>
      </c>
      <c r="J60" s="7">
        <v>3.14</v>
      </c>
      <c r="K60" s="7">
        <v>5.0999999999999996</v>
      </c>
      <c r="L60" s="6">
        <f t="shared" si="1"/>
        <v>0.35117056856187295</v>
      </c>
      <c r="M60" s="6">
        <f t="shared" si="2"/>
        <v>0.56856187290969895</v>
      </c>
      <c r="N60" s="6">
        <f t="shared" si="3"/>
        <v>8.0267558528428151E-2</v>
      </c>
      <c r="O60" s="4">
        <f t="shared" si="4"/>
        <v>1745.8472860768779</v>
      </c>
      <c r="P60" s="4">
        <f t="shared" si="5"/>
        <v>2826.6098917435161</v>
      </c>
      <c r="Q60" s="4">
        <f t="shared" si="6"/>
        <v>4572.4571778203936</v>
      </c>
      <c r="R60" s="3"/>
      <c r="V60" s="3"/>
      <c r="W60" s="3"/>
      <c r="Y60" s="7"/>
      <c r="Z60" s="7"/>
      <c r="AA60" s="7"/>
      <c r="AB60" s="7"/>
      <c r="AC60" s="9"/>
      <c r="AD60" s="9"/>
      <c r="AE60" s="9"/>
      <c r="AF60" s="3"/>
      <c r="AG60" s="3"/>
      <c r="AH60" s="3"/>
      <c r="AJ60" t="s">
        <v>734</v>
      </c>
      <c r="AK60" t="s">
        <v>682</v>
      </c>
      <c r="AL60" s="11">
        <f>D60</f>
        <v>40827</v>
      </c>
      <c r="AM60" s="3">
        <f>SUM(E60,E67)</f>
        <v>67</v>
      </c>
      <c r="AN60" s="3">
        <f>(AM60-4*$A$20)*$A$21/(2*$A$22)*$A$23</f>
        <v>4832.725194892224</v>
      </c>
      <c r="AO60" s="11">
        <f>G60</f>
        <v>40200</v>
      </c>
      <c r="AP60" s="7">
        <f>SUM(H60,H67)</f>
        <v>6.3</v>
      </c>
      <c r="AQ60" s="7">
        <f>SUM(I60,I67)</f>
        <v>11.959999999999999</v>
      </c>
      <c r="AR60" s="7">
        <f>SUM(J60,J67)</f>
        <v>6.28</v>
      </c>
      <c r="AS60" s="7">
        <f>SUM(K60,K67)</f>
        <v>10.199999999999999</v>
      </c>
      <c r="AT60" s="9">
        <f>(AR60-2*$A$25)/AQ60</f>
        <v>0.35117056856187295</v>
      </c>
      <c r="AU60" s="9">
        <f>(AS60-2*$A$26)/AQ60</f>
        <v>0.56856187290969895</v>
      </c>
      <c r="AV60" s="9">
        <f>1-AT60-AU60</f>
        <v>8.0267558528428151E-2</v>
      </c>
      <c r="AW60" s="3">
        <f>AN60*AT60</f>
        <v>1697.1108543935907</v>
      </c>
      <c r="AX60" s="3">
        <f>AN60*AU60</f>
        <v>2747.7032880658126</v>
      </c>
      <c r="AY60" s="3">
        <f>AW60+AX60</f>
        <v>4444.8141424594032</v>
      </c>
    </row>
    <row r="61" spans="1:51" x14ac:dyDescent="0.25">
      <c r="A61">
        <v>28</v>
      </c>
      <c r="B61" s="1" t="s">
        <v>69</v>
      </c>
      <c r="C61" s="1" t="s">
        <v>682</v>
      </c>
      <c r="D61" s="2">
        <v>40827</v>
      </c>
      <c r="E61" s="3">
        <v>27.7</v>
      </c>
      <c r="F61" s="4">
        <f t="shared" si="0"/>
        <v>3938.3472073244225</v>
      </c>
      <c r="G61" s="2">
        <v>40200</v>
      </c>
      <c r="H61" s="7">
        <v>2.92</v>
      </c>
      <c r="I61" s="7">
        <f>H61+H66-2*$A$24</f>
        <v>5.9399999999999995</v>
      </c>
      <c r="J61" s="7">
        <v>3.1</v>
      </c>
      <c r="K61" s="7">
        <v>4.96</v>
      </c>
      <c r="L61" s="6">
        <f t="shared" si="1"/>
        <v>0.34680134680134683</v>
      </c>
      <c r="M61" s="6">
        <f t="shared" si="2"/>
        <v>0.54882154882154888</v>
      </c>
      <c r="N61" s="6">
        <f t="shared" si="3"/>
        <v>0.10437710437710424</v>
      </c>
      <c r="O61" s="4">
        <f t="shared" si="4"/>
        <v>1365.8241156714328</v>
      </c>
      <c r="P61" s="4">
        <f t="shared" si="5"/>
        <v>2161.4498141208114</v>
      </c>
      <c r="Q61" s="4">
        <f t="shared" si="6"/>
        <v>3527.2739297922444</v>
      </c>
      <c r="R61" s="3"/>
      <c r="V61" s="3"/>
      <c r="W61" s="3"/>
      <c r="Y61" s="7"/>
      <c r="Z61" s="7"/>
      <c r="AA61" s="7"/>
      <c r="AB61" s="7"/>
      <c r="AC61" s="9"/>
      <c r="AD61" s="9"/>
      <c r="AE61" s="9"/>
      <c r="AF61" s="3"/>
      <c r="AG61" s="3"/>
      <c r="AH61" s="3"/>
      <c r="AL61" s="11"/>
      <c r="AM61" s="3"/>
      <c r="AN61" s="3"/>
      <c r="AO61" s="11"/>
      <c r="AP61" s="7"/>
      <c r="AQ61" s="7"/>
      <c r="AR61" s="7"/>
      <c r="AS61" s="7"/>
      <c r="AT61" s="9"/>
      <c r="AU61" s="9"/>
      <c r="AV61" s="9"/>
      <c r="AW61" s="3"/>
      <c r="AX61" s="3"/>
      <c r="AY61" s="3"/>
    </row>
    <row r="62" spans="1:51" x14ac:dyDescent="0.25">
      <c r="A62">
        <v>29</v>
      </c>
      <c r="B62" s="1" t="s">
        <v>70</v>
      </c>
      <c r="C62" s="1" t="s">
        <v>682</v>
      </c>
      <c r="D62" s="2">
        <v>40827</v>
      </c>
      <c r="E62" s="3">
        <v>29.2</v>
      </c>
      <c r="F62" s="4">
        <f t="shared" si="0"/>
        <v>4169.6518592816119</v>
      </c>
      <c r="G62" s="2">
        <v>40200</v>
      </c>
      <c r="H62" s="7">
        <v>3.4</v>
      </c>
      <c r="I62" s="7">
        <f>H62+H65-2*$A$24</f>
        <v>6.5</v>
      </c>
      <c r="J62" s="7">
        <v>3.28</v>
      </c>
      <c r="K62" s="7">
        <v>5.26</v>
      </c>
      <c r="L62" s="6">
        <f t="shared" si="1"/>
        <v>0.3446153846153846</v>
      </c>
      <c r="M62" s="6">
        <f t="shared" si="2"/>
        <v>0.54769230769230759</v>
      </c>
      <c r="N62" s="6">
        <f t="shared" si="3"/>
        <v>0.10769230769230786</v>
      </c>
      <c r="O62" s="4">
        <f t="shared" si="4"/>
        <v>1436.9261791985862</v>
      </c>
      <c r="P62" s="4">
        <f t="shared" si="5"/>
        <v>2283.6862490834669</v>
      </c>
      <c r="Q62" s="4">
        <f t="shared" si="6"/>
        <v>3720.6124282820529</v>
      </c>
      <c r="R62" s="3"/>
      <c r="V62" s="3"/>
      <c r="W62" s="3"/>
      <c r="Y62" s="7"/>
      <c r="Z62" s="7"/>
      <c r="AA62" s="7"/>
      <c r="AB62" s="7"/>
      <c r="AC62" s="9"/>
      <c r="AD62" s="9"/>
      <c r="AE62" s="9"/>
      <c r="AF62" s="3"/>
      <c r="AG62" s="3"/>
      <c r="AH62" s="3"/>
      <c r="AJ62" t="s">
        <v>735</v>
      </c>
      <c r="AK62" t="s">
        <v>682</v>
      </c>
      <c r="AL62" s="11">
        <f>D59</f>
        <v>40827</v>
      </c>
      <c r="AM62" s="3">
        <f>SUM(E59,E68)</f>
        <v>66.5</v>
      </c>
      <c r="AN62" s="3">
        <f>(AM62-4*$A$20)*$A$21/(2*$A$22)*$A$23</f>
        <v>4794.1744195660249</v>
      </c>
      <c r="AO62" s="11">
        <f>G59</f>
        <v>40200</v>
      </c>
      <c r="AP62" s="7">
        <f>SUM(H59,H68)</f>
        <v>7.08</v>
      </c>
      <c r="AQ62" s="7">
        <f>SUM(I59,I68)</f>
        <v>13.52</v>
      </c>
      <c r="AR62" s="7">
        <f>SUM(J59,J68)</f>
        <v>6.72</v>
      </c>
      <c r="AS62" s="7">
        <f>SUM(K59,K68)</f>
        <v>10.92</v>
      </c>
      <c r="AT62" s="9">
        <f>(AR62-2*$A$25)/AQ62</f>
        <v>0.34319526627218933</v>
      </c>
      <c r="AU62" s="9">
        <f>(AS62-2*$A$26)/AQ62</f>
        <v>0.55621301775147924</v>
      </c>
      <c r="AV62" s="9">
        <f>1-AT62-AU62</f>
        <v>0.10059171597633143</v>
      </c>
      <c r="AW62" s="3">
        <f>AN62*AT62</f>
        <v>1645.3379664782806</v>
      </c>
      <c r="AX62" s="3">
        <f>AN62*AU62</f>
        <v>2666.5822215337653</v>
      </c>
      <c r="AY62" s="3">
        <f>AW62+AX62</f>
        <v>4311.9201880120454</v>
      </c>
    </row>
    <row r="63" spans="1:51" x14ac:dyDescent="0.25">
      <c r="A63">
        <v>30</v>
      </c>
      <c r="B63" s="1" t="s">
        <v>71</v>
      </c>
      <c r="C63" s="1" t="s">
        <v>682</v>
      </c>
      <c r="D63" s="2">
        <v>40827</v>
      </c>
      <c r="E63" s="3">
        <v>29.200000000000003</v>
      </c>
      <c r="F63" s="4">
        <f t="shared" si="0"/>
        <v>4169.6518592816128</v>
      </c>
      <c r="G63" s="2">
        <v>40200</v>
      </c>
      <c r="H63" s="7">
        <v>3.02</v>
      </c>
      <c r="I63" s="7">
        <f>H63+H64-2*$A$24</f>
        <v>6</v>
      </c>
      <c r="J63" s="7">
        <v>3.1</v>
      </c>
      <c r="K63" s="7">
        <v>5.12</v>
      </c>
      <c r="L63" s="6">
        <f t="shared" si="1"/>
        <v>0.34333333333333332</v>
      </c>
      <c r="M63" s="6">
        <f t="shared" si="2"/>
        <v>0.56999999999999995</v>
      </c>
      <c r="N63" s="6">
        <f t="shared" si="3"/>
        <v>8.6666666666666781E-2</v>
      </c>
      <c r="O63" s="4">
        <f t="shared" si="4"/>
        <v>1431.5804716866871</v>
      </c>
      <c r="P63" s="4">
        <f t="shared" si="5"/>
        <v>2376.7015597905192</v>
      </c>
      <c r="Q63" s="4">
        <f t="shared" si="6"/>
        <v>3808.2820314772061</v>
      </c>
      <c r="R63" s="3"/>
      <c r="V63" s="3"/>
      <c r="W63" s="3"/>
      <c r="Y63" s="7"/>
      <c r="Z63" s="7"/>
      <c r="AA63" s="7"/>
      <c r="AB63" s="7"/>
      <c r="AC63" s="9"/>
      <c r="AD63" s="9"/>
      <c r="AE63" s="9"/>
      <c r="AF63" s="3"/>
      <c r="AG63" s="3"/>
      <c r="AH63" s="3"/>
      <c r="AL63" s="11"/>
      <c r="AM63" s="3"/>
      <c r="AN63" s="3"/>
      <c r="AO63" s="11"/>
      <c r="AP63" s="7"/>
      <c r="AQ63" s="7"/>
      <c r="AR63" s="7"/>
      <c r="AS63" s="7"/>
      <c r="AT63" s="9"/>
      <c r="AU63" s="9"/>
      <c r="AV63" s="9"/>
      <c r="AW63" s="3"/>
      <c r="AX63" s="3"/>
      <c r="AY63" s="3"/>
    </row>
    <row r="64" spans="1:51" x14ac:dyDescent="0.25">
      <c r="A64">
        <v>31</v>
      </c>
      <c r="B64" s="1" t="s">
        <v>72</v>
      </c>
      <c r="C64" s="1" t="s">
        <v>682</v>
      </c>
      <c r="D64" s="2">
        <v>40827</v>
      </c>
      <c r="E64" s="3">
        <v>26.7</v>
      </c>
      <c r="F64" s="4">
        <f t="shared" si="0"/>
        <v>3784.1441060196289</v>
      </c>
      <c r="G64" s="2">
        <v>40200</v>
      </c>
      <c r="H64" s="7">
        <v>3.3</v>
      </c>
      <c r="I64" s="7">
        <f>H64+H63-2*$A$24</f>
        <v>6</v>
      </c>
      <c r="J64" s="7">
        <v>3.1</v>
      </c>
      <c r="K64" s="7">
        <v>5.12</v>
      </c>
      <c r="L64" s="6">
        <f t="shared" si="1"/>
        <v>0.34333333333333332</v>
      </c>
      <c r="M64" s="6">
        <f t="shared" si="2"/>
        <v>0.56999999999999995</v>
      </c>
      <c r="N64" s="6">
        <f t="shared" si="3"/>
        <v>8.6666666666666781E-2</v>
      </c>
      <c r="O64" s="4">
        <f t="shared" si="4"/>
        <v>1299.2228097334059</v>
      </c>
      <c r="P64" s="4">
        <f t="shared" si="5"/>
        <v>2156.9621404311883</v>
      </c>
      <c r="Q64" s="4">
        <f t="shared" si="6"/>
        <v>3456.1849501645943</v>
      </c>
      <c r="R64" s="3"/>
      <c r="V64" s="3"/>
      <c r="W64" s="3"/>
      <c r="Y64" s="7"/>
      <c r="Z64" s="7"/>
      <c r="AA64" s="7"/>
      <c r="AB64" s="7"/>
      <c r="AC64" s="9"/>
      <c r="AD64" s="9"/>
      <c r="AE64" s="9"/>
      <c r="AF64" s="3"/>
      <c r="AG64" s="3"/>
      <c r="AH64" s="3"/>
      <c r="AJ64" t="s">
        <v>736</v>
      </c>
      <c r="AK64" t="s">
        <v>682</v>
      </c>
      <c r="AL64" s="11">
        <f>D58</f>
        <v>40827</v>
      </c>
      <c r="AM64" s="3">
        <f>SUM(E58,E69)</f>
        <v>62.800000000000004</v>
      </c>
      <c r="AN64" s="3">
        <f>(AM64-4*$A$20)*$A$21/(2*$A$22)*$A$23</f>
        <v>4508.8986821521585</v>
      </c>
      <c r="AO64" s="11">
        <f>G58</f>
        <v>40200</v>
      </c>
      <c r="AP64" s="7">
        <f>SUM(H58,H69)</f>
        <v>6.62</v>
      </c>
      <c r="AQ64" s="7">
        <f>SUM(I58,I69)</f>
        <v>12.6</v>
      </c>
      <c r="AR64" s="7">
        <f>SUM(J58,J69)</f>
        <v>6.36</v>
      </c>
      <c r="AS64" s="7">
        <f>SUM(K58,K69)</f>
        <v>10.36</v>
      </c>
      <c r="AT64" s="9">
        <f>(AR64-2*$A$25)/AQ64</f>
        <v>0.3396825396825397</v>
      </c>
      <c r="AU64" s="9">
        <f>(AS64-2*$A$26)/AQ64</f>
        <v>0.55238095238095231</v>
      </c>
      <c r="AV64" s="9">
        <f>1-AT64-AU64</f>
        <v>0.107936507936508</v>
      </c>
      <c r="AW64" s="3">
        <f>AN64*AT64</f>
        <v>1531.5941555247016</v>
      </c>
      <c r="AX64" s="3">
        <f>AN64*AU64</f>
        <v>2490.6297482364303</v>
      </c>
      <c r="AY64" s="3">
        <f>AW64+AX64</f>
        <v>4022.2239037611316</v>
      </c>
    </row>
    <row r="65" spans="1:51" x14ac:dyDescent="0.25">
      <c r="A65">
        <v>32</v>
      </c>
      <c r="B65" s="1" t="s">
        <v>73</v>
      </c>
      <c r="C65" s="1" t="s">
        <v>682</v>
      </c>
      <c r="D65" s="2">
        <v>40827</v>
      </c>
      <c r="E65" s="3">
        <v>28.9</v>
      </c>
      <c r="F65" s="4">
        <f t="shared" si="0"/>
        <v>4123.3909288901741</v>
      </c>
      <c r="G65" s="2">
        <v>40200</v>
      </c>
      <c r="H65" s="7">
        <v>3.42</v>
      </c>
      <c r="I65" s="7">
        <f>H65+H62-2*$A$24</f>
        <v>6.5</v>
      </c>
      <c r="J65" s="7">
        <v>3.28</v>
      </c>
      <c r="K65" s="7">
        <v>5.26</v>
      </c>
      <c r="L65" s="6">
        <f t="shared" si="1"/>
        <v>0.3446153846153846</v>
      </c>
      <c r="M65" s="6">
        <f t="shared" si="2"/>
        <v>0.54769230769230759</v>
      </c>
      <c r="N65" s="6">
        <f t="shared" si="3"/>
        <v>0.10769230769230786</v>
      </c>
      <c r="O65" s="4">
        <f t="shared" si="4"/>
        <v>1420.9839508790753</v>
      </c>
      <c r="P65" s="4">
        <f t="shared" si="5"/>
        <v>2258.3494933613874</v>
      </c>
      <c r="Q65" s="4">
        <f t="shared" si="6"/>
        <v>3679.333444240463</v>
      </c>
      <c r="R65" s="3"/>
      <c r="V65" s="3"/>
      <c r="W65" s="3"/>
      <c r="Y65" s="7"/>
      <c r="Z65" s="7"/>
      <c r="AA65" s="7"/>
      <c r="AB65" s="7"/>
      <c r="AC65" s="9"/>
      <c r="AD65" s="9"/>
      <c r="AE65" s="9"/>
      <c r="AF65" s="3"/>
      <c r="AG65" s="3"/>
      <c r="AH65" s="3"/>
      <c r="AL65" s="11"/>
      <c r="AM65" s="3"/>
      <c r="AN65" s="3"/>
      <c r="AO65" s="11"/>
      <c r="AP65" s="7"/>
      <c r="AQ65" s="7"/>
      <c r="AR65" s="7"/>
      <c r="AS65" s="7"/>
      <c r="AT65" s="9"/>
      <c r="AU65" s="9"/>
      <c r="AV65" s="9"/>
      <c r="AW65" s="3"/>
      <c r="AX65" s="3"/>
      <c r="AY65" s="3"/>
    </row>
    <row r="66" spans="1:51" x14ac:dyDescent="0.25">
      <c r="A66">
        <v>33</v>
      </c>
      <c r="B66" s="1" t="s">
        <v>74</v>
      </c>
      <c r="C66" s="1" t="s">
        <v>682</v>
      </c>
      <c r="D66" s="2">
        <v>40827</v>
      </c>
      <c r="E66" s="3">
        <v>24.7</v>
      </c>
      <c r="F66" s="4">
        <f t="shared" si="0"/>
        <v>3475.7379034100422</v>
      </c>
      <c r="G66" s="2">
        <v>40200</v>
      </c>
      <c r="H66" s="7">
        <v>3.34</v>
      </c>
      <c r="I66" s="7">
        <f>H66+H61-2*$A$24</f>
        <v>5.9399999999999995</v>
      </c>
      <c r="J66" s="7">
        <v>3.1</v>
      </c>
      <c r="K66" s="7">
        <v>4.96</v>
      </c>
      <c r="L66" s="6">
        <f t="shared" si="1"/>
        <v>0.34680134680134683</v>
      </c>
      <c r="M66" s="6">
        <f t="shared" si="2"/>
        <v>0.54882154882154888</v>
      </c>
      <c r="N66" s="6">
        <f t="shared" si="3"/>
        <v>0.10437710437710424</v>
      </c>
      <c r="O66" s="4">
        <f t="shared" si="4"/>
        <v>1205.3905860310922</v>
      </c>
      <c r="P66" s="4">
        <f t="shared" si="5"/>
        <v>1907.5598594472624</v>
      </c>
      <c r="Q66" s="4">
        <f t="shared" si="6"/>
        <v>3112.9504454783546</v>
      </c>
      <c r="R66" s="3"/>
      <c r="V66" s="3"/>
      <c r="W66" s="3"/>
      <c r="Y66" s="7"/>
      <c r="Z66" s="7"/>
      <c r="AA66" s="7"/>
      <c r="AB66" s="7"/>
      <c r="AC66" s="9"/>
      <c r="AD66" s="9"/>
      <c r="AE66" s="9"/>
      <c r="AF66" s="3"/>
      <c r="AG66" s="3"/>
      <c r="AH66" s="3"/>
      <c r="AJ66" t="s">
        <v>737</v>
      </c>
      <c r="AK66" t="s">
        <v>682</v>
      </c>
      <c r="AL66" s="11">
        <f>D57</f>
        <v>40827</v>
      </c>
      <c r="AM66" s="3">
        <f>SUM(E57,E70)</f>
        <v>65</v>
      </c>
      <c r="AN66" s="3">
        <f>(AM66-4*$A$20)*$A$21/(2*$A$22)*$A$23</f>
        <v>4678.5220935874313</v>
      </c>
      <c r="AO66" s="11">
        <f>G57</f>
        <v>40200</v>
      </c>
      <c r="AP66" s="7">
        <f>SUM(H57,H70)</f>
        <v>5.5</v>
      </c>
      <c r="AQ66" s="7">
        <f>SUM(I57,I70)</f>
        <v>10.36</v>
      </c>
      <c r="AR66" s="7">
        <f>SUM(J57,J70)</f>
        <v>5.64</v>
      </c>
      <c r="AS66" s="7">
        <f>SUM(K57,K70)</f>
        <v>9.24</v>
      </c>
      <c r="AT66" s="9">
        <f>(AR66-2*$A$25)/AQ66</f>
        <v>0.34362934362934361</v>
      </c>
      <c r="AU66" s="9">
        <f>(AS66-2*$A$26)/AQ66</f>
        <v>0.56370656370656369</v>
      </c>
      <c r="AV66" s="9">
        <f>1-AT66-AU66</f>
        <v>9.2664092664092701E-2</v>
      </c>
      <c r="AW66" s="3">
        <f>AN66*AT66</f>
        <v>1607.6774761748316</v>
      </c>
      <c r="AX66" s="3">
        <f>AN66*AU66</f>
        <v>2637.3136126014092</v>
      </c>
      <c r="AY66" s="3">
        <f>AW66+AX66</f>
        <v>4244.9910887762408</v>
      </c>
    </row>
    <row r="67" spans="1:51" x14ac:dyDescent="0.25">
      <c r="A67">
        <v>34</v>
      </c>
      <c r="B67" s="1" t="s">
        <v>75</v>
      </c>
      <c r="C67" s="1" t="s">
        <v>682</v>
      </c>
      <c r="D67" s="2">
        <v>40827</v>
      </c>
      <c r="E67" s="3">
        <v>32.6</v>
      </c>
      <c r="F67" s="4">
        <f t="shared" si="0"/>
        <v>4693.9424037179097</v>
      </c>
      <c r="G67" s="2">
        <v>40200</v>
      </c>
      <c r="H67" s="7">
        <v>2.94</v>
      </c>
      <c r="I67" s="7">
        <f>H67+H60-2*$A$24</f>
        <v>5.9799999999999995</v>
      </c>
      <c r="J67" s="7">
        <v>3.14</v>
      </c>
      <c r="K67" s="7">
        <v>5.0999999999999996</v>
      </c>
      <c r="L67" s="6">
        <f t="shared" si="1"/>
        <v>0.35117056856187295</v>
      </c>
      <c r="M67" s="6">
        <f t="shared" si="2"/>
        <v>0.56856187290969895</v>
      </c>
      <c r="N67" s="6">
        <f t="shared" si="3"/>
        <v>8.0267558528428151E-2</v>
      </c>
      <c r="O67" s="4">
        <f t="shared" si="4"/>
        <v>1648.374422710303</v>
      </c>
      <c r="P67" s="4">
        <f t="shared" si="5"/>
        <v>2668.796684388109</v>
      </c>
      <c r="Q67" s="4">
        <f t="shared" si="6"/>
        <v>4317.171107098412</v>
      </c>
      <c r="R67" s="3"/>
      <c r="V67" s="3"/>
      <c r="W67" s="3"/>
      <c r="Y67" s="7"/>
      <c r="Z67" s="7"/>
      <c r="AA67" s="7"/>
      <c r="AB67" s="7"/>
      <c r="AC67" s="9"/>
      <c r="AD67" s="9"/>
      <c r="AE67" s="9"/>
      <c r="AF67" s="3"/>
      <c r="AG67" s="3"/>
      <c r="AH67" s="3"/>
      <c r="AL67" s="11"/>
      <c r="AM67" s="3"/>
      <c r="AN67" s="3"/>
      <c r="AO67" s="11"/>
      <c r="AP67" s="7"/>
      <c r="AQ67" s="7"/>
      <c r="AR67" s="7"/>
      <c r="AS67" s="7"/>
      <c r="AT67" s="9"/>
      <c r="AU67" s="9"/>
      <c r="AV67" s="9"/>
      <c r="AW67" s="3"/>
      <c r="AX67" s="3"/>
      <c r="AY67" s="3"/>
    </row>
    <row r="68" spans="1:51" x14ac:dyDescent="0.25">
      <c r="A68">
        <v>35</v>
      </c>
      <c r="B68" s="1" t="s">
        <v>76</v>
      </c>
      <c r="C68" s="1" t="s">
        <v>682</v>
      </c>
      <c r="D68" s="2">
        <v>40827</v>
      </c>
      <c r="E68" s="3">
        <v>31.799999999999997</v>
      </c>
      <c r="F68" s="4">
        <f t="shared" si="0"/>
        <v>4570.5799226740746</v>
      </c>
      <c r="G68" s="2">
        <v>40200</v>
      </c>
      <c r="H68" s="7">
        <v>3.6</v>
      </c>
      <c r="I68" s="7">
        <f>H68+H59-2*$A$24</f>
        <v>6.76</v>
      </c>
      <c r="J68" s="7">
        <v>3.36</v>
      </c>
      <c r="K68" s="7">
        <v>5.46</v>
      </c>
      <c r="L68" s="6">
        <f t="shared" si="1"/>
        <v>0.34319526627218933</v>
      </c>
      <c r="M68" s="6">
        <f t="shared" si="2"/>
        <v>0.55621301775147924</v>
      </c>
      <c r="N68" s="6">
        <f t="shared" si="3"/>
        <v>0.10059171597633143</v>
      </c>
      <c r="O68" s="4">
        <f t="shared" si="4"/>
        <v>1568.6013935804515</v>
      </c>
      <c r="P68" s="4">
        <f t="shared" si="5"/>
        <v>2542.2160516648696</v>
      </c>
      <c r="Q68" s="4">
        <f t="shared" si="6"/>
        <v>4110.8174452453213</v>
      </c>
      <c r="R68" s="3"/>
      <c r="V68" s="3"/>
      <c r="W68" s="3"/>
      <c r="Y68" s="7"/>
      <c r="Z68" s="7"/>
      <c r="AA68" s="7"/>
      <c r="AB68" s="7"/>
      <c r="AC68" s="9"/>
      <c r="AD68" s="9"/>
      <c r="AE68" s="9"/>
      <c r="AF68" s="3"/>
      <c r="AG68" s="3"/>
      <c r="AH68" s="3"/>
      <c r="AJ68" t="s">
        <v>738</v>
      </c>
      <c r="AK68" t="s">
        <v>682</v>
      </c>
      <c r="AL68" s="11">
        <f>D56</f>
        <v>40827</v>
      </c>
      <c r="AM68" s="3">
        <f>SUM(E56,E71)</f>
        <v>54.800000000000004</v>
      </c>
      <c r="AN68" s="3">
        <f>(AM68-4*$A$20)*$A$21/(2*$A$22)*$A$23</f>
        <v>3892.0862769329847</v>
      </c>
      <c r="AO68" s="11">
        <f>G56</f>
        <v>40200</v>
      </c>
      <c r="AP68" s="7">
        <f>SUM(H56,H71)</f>
        <v>6.6999999999999993</v>
      </c>
      <c r="AQ68" s="7">
        <f>SUM(I56,I71)</f>
        <v>12.759999999999998</v>
      </c>
      <c r="AR68" s="7">
        <f>SUM(J56,J71)</f>
        <v>6.44</v>
      </c>
      <c r="AS68" s="7">
        <f>SUM(K56,K71)</f>
        <v>10.44</v>
      </c>
      <c r="AT68" s="9">
        <f>(AR68-2*$A$25)/AQ68</f>
        <v>0.3416927899686521</v>
      </c>
      <c r="AU68" s="9">
        <f>(AS68-2*$A$26)/AQ68</f>
        <v>0.55172413793103448</v>
      </c>
      <c r="AV68" s="9">
        <f>1-AT68-AU68</f>
        <v>0.10658307210031337</v>
      </c>
      <c r="AW68" s="3">
        <f>AN68*AT68</f>
        <v>1329.8978187639354</v>
      </c>
      <c r="AX68" s="3">
        <f>AN68*AU68</f>
        <v>2147.3579458940603</v>
      </c>
      <c r="AY68" s="3">
        <f>AW68+AX68</f>
        <v>3477.2557646579958</v>
      </c>
    </row>
    <row r="69" spans="1:51" x14ac:dyDescent="0.25">
      <c r="A69">
        <v>36</v>
      </c>
      <c r="B69" s="1" t="s">
        <v>77</v>
      </c>
      <c r="C69" s="1" t="s">
        <v>682</v>
      </c>
      <c r="D69" s="2">
        <v>40827</v>
      </c>
      <c r="E69" s="3">
        <v>30.6</v>
      </c>
      <c r="F69" s="4">
        <f t="shared" si="0"/>
        <v>4385.5362011083234</v>
      </c>
      <c r="G69" s="2">
        <v>40200</v>
      </c>
      <c r="H69" s="7">
        <v>3.12</v>
      </c>
      <c r="I69" s="7">
        <f>H69+H58-2*$A$24</f>
        <v>6.3</v>
      </c>
      <c r="J69" s="7">
        <v>3.18</v>
      </c>
      <c r="K69" s="7">
        <v>5.18</v>
      </c>
      <c r="L69" s="6">
        <f t="shared" si="1"/>
        <v>0.3396825396825397</v>
      </c>
      <c r="M69" s="6">
        <f t="shared" si="2"/>
        <v>0.55238095238095231</v>
      </c>
      <c r="N69" s="6">
        <f t="shared" si="3"/>
        <v>0.107936507936508</v>
      </c>
      <c r="O69" s="4">
        <f t="shared" si="4"/>
        <v>1489.6900746621925</v>
      </c>
      <c r="P69" s="4">
        <f t="shared" si="5"/>
        <v>2422.4866634693594</v>
      </c>
      <c r="Q69" s="4">
        <f t="shared" si="6"/>
        <v>3912.1767381315522</v>
      </c>
      <c r="R69" s="3"/>
      <c r="V69" s="3"/>
      <c r="W69" s="3"/>
      <c r="Y69" s="7"/>
      <c r="Z69" s="7"/>
      <c r="AA69" s="7"/>
      <c r="AB69" s="7"/>
      <c r="AC69" s="9"/>
      <c r="AD69" s="9"/>
      <c r="AE69" s="9"/>
      <c r="AF69" s="3"/>
      <c r="AG69" s="3"/>
      <c r="AH69" s="3"/>
      <c r="AL69" s="11"/>
      <c r="AM69" s="3"/>
      <c r="AN69" s="3"/>
      <c r="AO69" s="11"/>
      <c r="AP69" s="7"/>
      <c r="AQ69" s="7"/>
      <c r="AR69" s="7"/>
      <c r="AS69" s="7"/>
      <c r="AT69" s="9"/>
      <c r="AU69" s="9"/>
      <c r="AV69" s="9"/>
      <c r="AW69" s="3"/>
      <c r="AX69" s="3"/>
      <c r="AY69" s="3"/>
    </row>
    <row r="70" spans="1:51" x14ac:dyDescent="0.25">
      <c r="A70">
        <v>37</v>
      </c>
      <c r="B70" s="1" t="s">
        <v>78</v>
      </c>
      <c r="C70" s="1" t="s">
        <v>682</v>
      </c>
      <c r="D70" s="2">
        <v>40827</v>
      </c>
      <c r="E70" s="3">
        <v>32</v>
      </c>
      <c r="F70" s="4">
        <f t="shared" si="0"/>
        <v>4601.4205429350341</v>
      </c>
      <c r="G70" s="2">
        <v>40200</v>
      </c>
      <c r="H70" s="7">
        <v>2.92</v>
      </c>
      <c r="I70" s="7">
        <f>H70+H57-2*$A$24</f>
        <v>5.18</v>
      </c>
      <c r="J70" s="7">
        <v>2.82</v>
      </c>
      <c r="K70" s="7">
        <v>4.62</v>
      </c>
      <c r="L70" s="6">
        <f t="shared" si="1"/>
        <v>0.34362934362934361</v>
      </c>
      <c r="M70" s="6">
        <f t="shared" si="2"/>
        <v>0.56370656370656369</v>
      </c>
      <c r="N70" s="6">
        <f t="shared" si="3"/>
        <v>9.2664092664092701E-2</v>
      </c>
      <c r="O70" s="4">
        <f t="shared" si="4"/>
        <v>1581.1831209313436</v>
      </c>
      <c r="P70" s="4">
        <f t="shared" si="5"/>
        <v>2593.8509624266985</v>
      </c>
      <c r="Q70" s="4">
        <f t="shared" si="6"/>
        <v>4175.0340833580422</v>
      </c>
      <c r="V70" s="3"/>
      <c r="W70" s="3"/>
      <c r="Y70" s="7"/>
      <c r="Z70" s="7"/>
      <c r="AA70" s="7"/>
      <c r="AB70" s="7"/>
      <c r="AC70" s="9"/>
      <c r="AD70" s="9"/>
      <c r="AE70" s="9"/>
      <c r="AF70" s="3"/>
      <c r="AG70" s="3"/>
      <c r="AH70" s="3"/>
      <c r="AJ70" t="s">
        <v>739</v>
      </c>
      <c r="AK70" t="s">
        <v>682</v>
      </c>
      <c r="AL70" s="11">
        <f>D55</f>
        <v>40827</v>
      </c>
      <c r="AM70" s="3">
        <f>SUM(E55,E72)</f>
        <v>58.3</v>
      </c>
      <c r="AN70" s="3">
        <f>(AM70-4*$A$20)*$A$21/(2*$A$22)*$A$23</f>
        <v>4161.9417042163723</v>
      </c>
      <c r="AO70" s="11">
        <f>G55</f>
        <v>40200</v>
      </c>
      <c r="AP70" s="7">
        <f>SUM(H55,H72)</f>
        <v>7.1400000000000006</v>
      </c>
      <c r="AQ70" s="7">
        <f>SUM(I55,I72)</f>
        <v>13.64</v>
      </c>
      <c r="AR70" s="7">
        <f>SUM(J55,J72)</f>
        <v>6.8</v>
      </c>
      <c r="AS70" s="7">
        <f>SUM(K55,K72)</f>
        <v>10.96</v>
      </c>
      <c r="AT70" s="9">
        <f>(AR70-2*$A$25)/AQ70</f>
        <v>0.34604105571847504</v>
      </c>
      <c r="AU70" s="9">
        <f>(AS70-2*$A$26)/AQ70</f>
        <v>0.5542521994134898</v>
      </c>
      <c r="AV70" s="9">
        <f>1-AT70-AU70</f>
        <v>9.9706744868035213E-2</v>
      </c>
      <c r="AW70" s="3">
        <f>AN70*AT70</f>
        <v>1440.2027011657826</v>
      </c>
      <c r="AX70" s="3">
        <f>AN70*AU70</f>
        <v>2306.7653433926525</v>
      </c>
      <c r="AY70" s="3">
        <f>AW70+AX70</f>
        <v>3746.9680445584354</v>
      </c>
    </row>
    <row r="71" spans="1:51" x14ac:dyDescent="0.25">
      <c r="A71">
        <v>38</v>
      </c>
      <c r="B71" s="1" t="s">
        <v>79</v>
      </c>
      <c r="C71" s="1" t="s">
        <v>682</v>
      </c>
      <c r="D71" s="2">
        <v>40827</v>
      </c>
      <c r="E71" s="3">
        <v>26.6</v>
      </c>
      <c r="F71" s="4">
        <f t="shared" si="0"/>
        <v>3768.7237958891496</v>
      </c>
      <c r="G71" s="2">
        <v>40200</v>
      </c>
      <c r="H71" s="7">
        <v>3.82</v>
      </c>
      <c r="I71" s="7">
        <f>H71+H56-2*$A$24</f>
        <v>6.379999999999999</v>
      </c>
      <c r="J71" s="7">
        <v>3.22</v>
      </c>
      <c r="K71" s="7">
        <v>5.22</v>
      </c>
      <c r="L71" s="6">
        <f t="shared" si="1"/>
        <v>0.3416927899686521</v>
      </c>
      <c r="M71" s="6">
        <f t="shared" si="2"/>
        <v>0.55172413793103448</v>
      </c>
      <c r="N71" s="6">
        <f t="shared" si="3"/>
        <v>0.10658307210031337</v>
      </c>
      <c r="O71" s="4">
        <f t="shared" si="4"/>
        <v>1287.7457484386125</v>
      </c>
      <c r="P71" s="4">
        <f t="shared" si="5"/>
        <v>2079.2958873871171</v>
      </c>
      <c r="Q71" s="4">
        <f t="shared" si="6"/>
        <v>3367.0416358257298</v>
      </c>
      <c r="V71" s="3"/>
      <c r="W71" s="3"/>
      <c r="Y71" s="7"/>
      <c r="Z71" s="7"/>
      <c r="AA71" s="7"/>
      <c r="AB71" s="7"/>
      <c r="AC71" s="9"/>
      <c r="AD71" s="9"/>
      <c r="AE71" s="9"/>
      <c r="AF71" s="3"/>
      <c r="AG71" s="3"/>
      <c r="AH71" s="3"/>
      <c r="AL71" s="11"/>
      <c r="AM71" s="3"/>
      <c r="AN71" s="3"/>
      <c r="AO71" s="11"/>
      <c r="AP71" s="7"/>
      <c r="AQ71" s="7"/>
      <c r="AR71" s="7"/>
      <c r="AS71" s="7"/>
      <c r="AT71" s="9"/>
      <c r="AU71" s="9"/>
      <c r="AV71" s="9"/>
      <c r="AW71" s="3"/>
      <c r="AX71" s="3"/>
      <c r="AY71" s="3"/>
    </row>
    <row r="72" spans="1:51" x14ac:dyDescent="0.25">
      <c r="A72">
        <v>39</v>
      </c>
      <c r="B72" s="1" t="s">
        <v>80</v>
      </c>
      <c r="C72" s="1" t="s">
        <v>682</v>
      </c>
      <c r="D72" s="2">
        <v>40827</v>
      </c>
      <c r="E72" s="3">
        <v>28.1</v>
      </c>
      <c r="F72" s="4">
        <f t="shared" si="0"/>
        <v>4000.02844784634</v>
      </c>
      <c r="G72" s="2">
        <v>40200</v>
      </c>
      <c r="H72" s="7">
        <v>3.66</v>
      </c>
      <c r="I72" s="7">
        <f>H72+H55-2*$A$24</f>
        <v>6.82</v>
      </c>
      <c r="J72" s="7">
        <v>3.4</v>
      </c>
      <c r="K72" s="7">
        <v>5.48</v>
      </c>
      <c r="L72" s="6">
        <f t="shared" si="1"/>
        <v>0.34604105571847504</v>
      </c>
      <c r="M72" s="6">
        <f t="shared" si="2"/>
        <v>0.5542521994134898</v>
      </c>
      <c r="N72" s="6">
        <f t="shared" si="3"/>
        <v>9.9706744868035213E-2</v>
      </c>
      <c r="O72" s="4">
        <f t="shared" si="4"/>
        <v>1384.1740669966805</v>
      </c>
      <c r="P72" s="4">
        <f t="shared" si="5"/>
        <v>2217.0245649353619</v>
      </c>
      <c r="Q72" s="4">
        <f t="shared" si="6"/>
        <v>3601.1986319320422</v>
      </c>
      <c r="V72" s="3"/>
      <c r="W72" s="3"/>
      <c r="Y72" s="7"/>
      <c r="Z72" s="7"/>
      <c r="AA72" s="7"/>
      <c r="AB72" s="7"/>
      <c r="AC72" s="9"/>
      <c r="AD72" s="9"/>
      <c r="AE72" s="9"/>
      <c r="AF72" s="3"/>
      <c r="AG72" s="3"/>
      <c r="AH72" s="3"/>
      <c r="AJ72" t="s">
        <v>740</v>
      </c>
      <c r="AK72" t="s">
        <v>682</v>
      </c>
      <c r="AL72" s="11">
        <f>D54</f>
        <v>40827</v>
      </c>
      <c r="AM72" s="3">
        <f>SUM(E54,E73)</f>
        <v>47.9</v>
      </c>
      <c r="AN72" s="3">
        <f>(AM72-4*$A$20)*$A$21/(2*$A$22)*$A$23</f>
        <v>3360.0855774314477</v>
      </c>
      <c r="AO72" s="11">
        <f>G54</f>
        <v>40200</v>
      </c>
      <c r="AP72" s="7">
        <f>SUM(H54,H73)</f>
        <v>6.98</v>
      </c>
      <c r="AQ72" s="7">
        <f>SUM(I54,I73)</f>
        <v>13.32</v>
      </c>
      <c r="AR72" s="7">
        <f>SUM(J54,J73)</f>
        <v>6.68</v>
      </c>
      <c r="AS72" s="7">
        <f>SUM(K54,K73)</f>
        <v>10.84</v>
      </c>
      <c r="AT72" s="9">
        <f>(AR72-2*$A$25)/AQ72</f>
        <v>0.34534534534534533</v>
      </c>
      <c r="AU72" s="9">
        <f>(AS72-2*$A$26)/AQ72</f>
        <v>0.55855855855855852</v>
      </c>
      <c r="AV72" s="9">
        <f>1-AT72-AU72</f>
        <v>9.6096096096096151E-2</v>
      </c>
      <c r="AW72" s="3">
        <f>AN72*AT72</f>
        <v>1160.3899141279774</v>
      </c>
      <c r="AX72" s="3">
        <f>AN72*AU72</f>
        <v>1876.8045567635113</v>
      </c>
      <c r="AY72" s="3">
        <f>AW72+AX72</f>
        <v>3037.1944708914889</v>
      </c>
    </row>
    <row r="73" spans="1:51" x14ac:dyDescent="0.25">
      <c r="A73">
        <v>40</v>
      </c>
      <c r="B73" s="1" t="s">
        <v>81</v>
      </c>
      <c r="C73" s="1" t="s">
        <v>682</v>
      </c>
      <c r="D73" s="2">
        <v>40827</v>
      </c>
      <c r="E73" s="3">
        <v>22.2</v>
      </c>
      <c r="F73" s="4">
        <f t="shared" si="0"/>
        <v>3090.2301501480588</v>
      </c>
      <c r="G73" s="2">
        <v>40200</v>
      </c>
      <c r="H73" s="7">
        <v>3.32</v>
      </c>
      <c r="I73" s="7">
        <f>H73+H54-2*$A$24</f>
        <v>6.66</v>
      </c>
      <c r="J73" s="7">
        <v>3.34</v>
      </c>
      <c r="K73" s="7">
        <v>5.42</v>
      </c>
      <c r="L73" s="6">
        <f t="shared" si="1"/>
        <v>0.34534534534534533</v>
      </c>
      <c r="M73" s="6">
        <f t="shared" si="2"/>
        <v>0.55855855855855852</v>
      </c>
      <c r="N73" s="6">
        <f t="shared" si="3"/>
        <v>9.6096096096096151E-2</v>
      </c>
      <c r="O73" s="4">
        <f t="shared" si="4"/>
        <v>1067.1965983994796</v>
      </c>
      <c r="P73" s="4">
        <f t="shared" si="5"/>
        <v>1726.0744982808976</v>
      </c>
      <c r="Q73" s="4">
        <f t="shared" si="6"/>
        <v>2793.271096680377</v>
      </c>
      <c r="V73" s="3"/>
      <c r="W73" s="3"/>
      <c r="Y73" s="7"/>
      <c r="Z73" s="7"/>
      <c r="AA73" s="7"/>
      <c r="AB73" s="7"/>
      <c r="AC73" s="9"/>
      <c r="AD73" s="9"/>
      <c r="AE73" s="9"/>
      <c r="AF73" s="3"/>
      <c r="AG73" s="3"/>
      <c r="AH73" s="3"/>
    </row>
    <row r="74" spans="1:51" x14ac:dyDescent="0.25">
      <c r="A74">
        <v>41</v>
      </c>
      <c r="B74" s="1" t="s">
        <v>82</v>
      </c>
      <c r="C74" s="1" t="s">
        <v>682</v>
      </c>
      <c r="D74" s="2">
        <v>40827</v>
      </c>
      <c r="E74" s="3">
        <v>26.7</v>
      </c>
      <c r="F74" s="4">
        <f t="shared" si="0"/>
        <v>3784.1441060196289</v>
      </c>
      <c r="G74" s="2">
        <v>40200</v>
      </c>
      <c r="H74" s="7">
        <v>3.36</v>
      </c>
      <c r="I74" s="7">
        <f>H74+H93-2*$A$24</f>
        <v>6.52</v>
      </c>
      <c r="J74" s="7">
        <v>3.22</v>
      </c>
      <c r="K74" s="7">
        <v>5.38</v>
      </c>
      <c r="L74" s="6">
        <f t="shared" si="1"/>
        <v>0.33435582822085896</v>
      </c>
      <c r="M74" s="6">
        <f t="shared" si="2"/>
        <v>0.56441717791411039</v>
      </c>
      <c r="N74" s="6">
        <f t="shared" si="3"/>
        <v>0.10122699386503065</v>
      </c>
      <c r="O74" s="4">
        <f t="shared" si="4"/>
        <v>1265.250636675275</v>
      </c>
      <c r="P74" s="4">
        <f t="shared" si="5"/>
        <v>2135.8359371399133</v>
      </c>
      <c r="Q74" s="4">
        <f t="shared" si="6"/>
        <v>3401.0865738151883</v>
      </c>
      <c r="S74" t="s">
        <v>27</v>
      </c>
      <c r="T74" t="s">
        <v>682</v>
      </c>
      <c r="U74" s="8">
        <f>D74</f>
        <v>40827</v>
      </c>
      <c r="V74" s="3">
        <f>SUM(E74:E113)</f>
        <v>1310.1999999999996</v>
      </c>
      <c r="W74" s="3">
        <f>(V74-80*$A$20)*$A$21/(40*$A$22)*$A$23</f>
        <v>4717.843884420151</v>
      </c>
      <c r="X74" s="8">
        <f>G74</f>
        <v>40200</v>
      </c>
      <c r="Y74" s="7">
        <f>SUM(H74:H113)</f>
        <v>142.30000000000004</v>
      </c>
      <c r="Z74" s="7">
        <f>SUM(I74:I113)</f>
        <v>271.8</v>
      </c>
      <c r="AA74" s="7">
        <f>SUM(J74:J113)</f>
        <v>131.64000000000004</v>
      </c>
      <c r="AB74" s="7">
        <f>SUM(K74:K113)</f>
        <v>224.51999999999992</v>
      </c>
      <c r="AC74" s="9">
        <f>(AA74-40*$A$25)/Z74</f>
        <v>0.33127299484915396</v>
      </c>
      <c r="AD74" s="9">
        <f>(AB74-40*$A$26)/Z74</f>
        <v>0.57586460632818215</v>
      </c>
      <c r="AE74" s="9">
        <f>1-AC74-AD74</f>
        <v>9.2862398822663894E-2</v>
      </c>
      <c r="AF74" s="3">
        <f>W74*AC74</f>
        <v>1562.8942728226291</v>
      </c>
      <c r="AG74" s="3">
        <f>W74*AD74</f>
        <v>2716.8393112194321</v>
      </c>
      <c r="AH74" s="3">
        <f>AF74+AG74</f>
        <v>4279.733584042061</v>
      </c>
      <c r="AJ74" t="s">
        <v>741</v>
      </c>
      <c r="AK74" t="s">
        <v>682</v>
      </c>
      <c r="AL74" s="11">
        <f>D83</f>
        <v>40827</v>
      </c>
      <c r="AM74" s="3">
        <f>SUM(E83,E84)</f>
        <v>65.099999999999994</v>
      </c>
      <c r="AN74" s="3">
        <f>(AM74-4*$A$20)*$A$21/(2*$A$22)*$A$23</f>
        <v>4686.23224865267</v>
      </c>
      <c r="AO74" s="11">
        <f>G83</f>
        <v>40200</v>
      </c>
      <c r="AP74" s="7">
        <f>SUM(H83,H84)</f>
        <v>7.88</v>
      </c>
      <c r="AQ74" s="7">
        <f>SUM(I83,I84)</f>
        <v>15.12</v>
      </c>
      <c r="AR74" s="7">
        <f>SUM(J83,J84)</f>
        <v>7.12</v>
      </c>
      <c r="AS74" s="7">
        <f>SUM(K83,K84)</f>
        <v>12.12</v>
      </c>
      <c r="AT74" s="9">
        <f>(AR74-2*$A$25)/AQ74</f>
        <v>0.33333333333333337</v>
      </c>
      <c r="AU74" s="9">
        <f>(AS74-2*$A$26)/AQ74</f>
        <v>0.57671957671957663</v>
      </c>
      <c r="AV74" s="9">
        <f>1-AT74-AU74</f>
        <v>8.9947089947089998E-2</v>
      </c>
      <c r="AW74" s="3">
        <f>AN74*AT74</f>
        <v>1562.0774162175569</v>
      </c>
      <c r="AX74" s="3">
        <f>AN74*AU74</f>
        <v>2702.6418788525975</v>
      </c>
      <c r="AY74" s="3">
        <f>AW74+AX74</f>
        <v>4264.7192950701547</v>
      </c>
    </row>
    <row r="75" spans="1:51" x14ac:dyDescent="0.25">
      <c r="A75">
        <v>42</v>
      </c>
      <c r="B75" s="1" t="s">
        <v>83</v>
      </c>
      <c r="C75" s="1" t="s">
        <v>682</v>
      </c>
      <c r="D75" s="2">
        <v>40827</v>
      </c>
      <c r="E75" s="3">
        <v>32</v>
      </c>
      <c r="F75" s="4">
        <f t="shared" si="0"/>
        <v>4601.4205429350341</v>
      </c>
      <c r="G75" s="2">
        <v>40200</v>
      </c>
      <c r="H75" s="7">
        <v>3.32</v>
      </c>
      <c r="I75" s="7">
        <f>H75+H92-2*$A$24</f>
        <v>6.64</v>
      </c>
      <c r="J75" s="7">
        <v>3.26</v>
      </c>
      <c r="K75" s="7">
        <v>5.54</v>
      </c>
      <c r="L75" s="6">
        <f t="shared" si="1"/>
        <v>0.33433734939759036</v>
      </c>
      <c r="M75" s="6">
        <f t="shared" si="2"/>
        <v>0.57831325301204817</v>
      </c>
      <c r="N75" s="6">
        <f t="shared" si="3"/>
        <v>8.7349397590361533E-2</v>
      </c>
      <c r="O75" s="4">
        <f t="shared" si="4"/>
        <v>1538.4267477885203</v>
      </c>
      <c r="P75" s="4">
        <f t="shared" si="5"/>
        <v>2661.0624826612243</v>
      </c>
      <c r="Q75" s="4">
        <f t="shared" si="6"/>
        <v>4199.4892304497444</v>
      </c>
      <c r="V75" s="3"/>
      <c r="W75" s="3"/>
      <c r="Y75" s="7"/>
      <c r="Z75" s="7"/>
      <c r="AA75" s="7"/>
      <c r="AB75" s="7"/>
      <c r="AC75" s="9"/>
      <c r="AD75" s="9"/>
      <c r="AE75" s="9"/>
      <c r="AF75" s="3"/>
      <c r="AG75" s="3"/>
      <c r="AH75" s="3"/>
      <c r="AL75" s="11"/>
      <c r="AM75" s="3"/>
      <c r="AN75" s="3"/>
      <c r="AO75" s="11"/>
      <c r="AP75" s="7"/>
      <c r="AQ75" s="7"/>
      <c r="AR75" s="7"/>
      <c r="AS75" s="7"/>
      <c r="AT75" s="9"/>
      <c r="AU75" s="9"/>
      <c r="AV75" s="9"/>
      <c r="AW75" s="3"/>
      <c r="AX75" s="3"/>
      <c r="AY75" s="3"/>
    </row>
    <row r="76" spans="1:51" x14ac:dyDescent="0.25">
      <c r="A76">
        <v>43</v>
      </c>
      <c r="B76" s="1" t="s">
        <v>84</v>
      </c>
      <c r="C76" s="1" t="s">
        <v>682</v>
      </c>
      <c r="D76" s="2">
        <v>40827</v>
      </c>
      <c r="E76" s="3">
        <v>28.8</v>
      </c>
      <c r="F76" s="4">
        <f t="shared" si="0"/>
        <v>4107.9706187596958</v>
      </c>
      <c r="G76" s="2">
        <v>40200</v>
      </c>
      <c r="H76" s="7">
        <v>3.2</v>
      </c>
      <c r="I76" s="7">
        <f>H76+H91-2*$A$24</f>
        <v>6.82</v>
      </c>
      <c r="J76" s="7">
        <v>3.26</v>
      </c>
      <c r="K76" s="7">
        <v>5.56</v>
      </c>
      <c r="L76" s="6">
        <f t="shared" si="1"/>
        <v>0.32551319648093835</v>
      </c>
      <c r="M76" s="6">
        <f t="shared" si="2"/>
        <v>0.56598240469208205</v>
      </c>
      <c r="N76" s="6">
        <f t="shared" si="3"/>
        <v>0.1085043988269796</v>
      </c>
      <c r="O76" s="4">
        <f t="shared" si="4"/>
        <v>1337.1986471622467</v>
      </c>
      <c r="P76" s="4">
        <f t="shared" si="5"/>
        <v>2325.0390892100327</v>
      </c>
      <c r="Q76" s="4">
        <f t="shared" si="6"/>
        <v>3662.2377363722794</v>
      </c>
      <c r="V76" s="3"/>
      <c r="W76" s="3"/>
      <c r="Y76" s="7"/>
      <c r="Z76" s="7"/>
      <c r="AA76" s="7"/>
      <c r="AB76" s="7"/>
      <c r="AC76" s="9"/>
      <c r="AD76" s="9"/>
      <c r="AE76" s="9"/>
      <c r="AF76" s="3"/>
      <c r="AG76" s="3"/>
      <c r="AH76" s="3"/>
      <c r="AJ76" t="s">
        <v>742</v>
      </c>
      <c r="AK76" t="s">
        <v>682</v>
      </c>
      <c r="AL76" s="11">
        <f>D82</f>
        <v>40827</v>
      </c>
      <c r="AM76" s="3">
        <f>SUM(E82,E85)</f>
        <v>72.599999999999994</v>
      </c>
      <c r="AN76" s="3">
        <f>(AM76-4*$A$20)*$A$21/(2*$A$22)*$A$23</f>
        <v>5264.4938785456452</v>
      </c>
      <c r="AO76" s="11">
        <f>G82</f>
        <v>40200</v>
      </c>
      <c r="AP76" s="7">
        <f>SUM(H82,H85)</f>
        <v>7.28</v>
      </c>
      <c r="AQ76" s="7">
        <f>SUM(I82,I85)</f>
        <v>13.92</v>
      </c>
      <c r="AR76" s="7">
        <f>SUM(J82,J85)</f>
        <v>6.84</v>
      </c>
      <c r="AS76" s="7">
        <f>SUM(K82,K85)</f>
        <v>11.6</v>
      </c>
      <c r="AT76" s="9">
        <f>(AR76-2*$A$25)/AQ76</f>
        <v>0.34195402298850575</v>
      </c>
      <c r="AU76" s="9">
        <f>(AS76-2*$A$26)/AQ76</f>
        <v>0.58908045977011492</v>
      </c>
      <c r="AV76" s="9">
        <f>1-AT76-AU76</f>
        <v>6.8965517241379337E-2</v>
      </c>
      <c r="AW76" s="3">
        <f>AN76*AT76</f>
        <v>1800.2148607670454</v>
      </c>
      <c r="AX76" s="3">
        <f>AN76*AU76</f>
        <v>3101.2104744306243</v>
      </c>
      <c r="AY76" s="3">
        <f>AW76+AX76</f>
        <v>4901.4253351976695</v>
      </c>
    </row>
    <row r="77" spans="1:51" x14ac:dyDescent="0.25">
      <c r="A77">
        <v>44</v>
      </c>
      <c r="B77" s="1" t="s">
        <v>85</v>
      </c>
      <c r="C77" s="1" t="s">
        <v>682</v>
      </c>
      <c r="D77" s="2">
        <v>40827</v>
      </c>
      <c r="E77" s="3">
        <v>29.5</v>
      </c>
      <c r="F77" s="4">
        <f t="shared" si="0"/>
        <v>4215.9127896730506</v>
      </c>
      <c r="G77" s="2">
        <v>40200</v>
      </c>
      <c r="H77" s="7">
        <v>3.42</v>
      </c>
      <c r="I77" s="7">
        <f>H77+H90-2*$A$24</f>
        <v>7.06</v>
      </c>
      <c r="J77" s="7">
        <v>3.38</v>
      </c>
      <c r="K77" s="7">
        <v>5.76</v>
      </c>
      <c r="L77" s="6">
        <f t="shared" si="1"/>
        <v>0.33144475920679889</v>
      </c>
      <c r="M77" s="6">
        <f t="shared" si="2"/>
        <v>0.57507082152974498</v>
      </c>
      <c r="N77" s="6">
        <f t="shared" si="3"/>
        <v>9.3484419263456187E-2</v>
      </c>
      <c r="O77" s="4">
        <f t="shared" si="4"/>
        <v>1397.3421994100481</v>
      </c>
      <c r="P77" s="4">
        <f t="shared" si="5"/>
        <v>2424.44843145504</v>
      </c>
      <c r="Q77" s="4">
        <f t="shared" si="6"/>
        <v>3821.7906308650881</v>
      </c>
      <c r="V77" s="3"/>
      <c r="W77" s="3"/>
      <c r="Y77" s="7"/>
      <c r="Z77" s="7"/>
      <c r="AA77" s="7"/>
      <c r="AB77" s="7"/>
      <c r="AC77" s="9"/>
      <c r="AD77" s="9"/>
      <c r="AE77" s="9"/>
      <c r="AF77" s="3"/>
      <c r="AG77" s="3"/>
      <c r="AH77" s="3"/>
      <c r="AL77" s="11"/>
      <c r="AM77" s="3"/>
      <c r="AN77" s="3"/>
      <c r="AO77" s="11"/>
      <c r="AP77" s="7"/>
      <c r="AQ77" s="7"/>
      <c r="AR77" s="7"/>
      <c r="AS77" s="7"/>
      <c r="AT77" s="9"/>
      <c r="AU77" s="9"/>
      <c r="AV77" s="9"/>
      <c r="AW77" s="3"/>
      <c r="AX77" s="3"/>
      <c r="AY77" s="3"/>
    </row>
    <row r="78" spans="1:51" x14ac:dyDescent="0.25">
      <c r="A78">
        <v>45</v>
      </c>
      <c r="B78" s="1" t="s">
        <v>86</v>
      </c>
      <c r="C78" s="1" t="s">
        <v>682</v>
      </c>
      <c r="D78" s="2">
        <v>40827</v>
      </c>
      <c r="E78" s="3">
        <v>29.5</v>
      </c>
      <c r="F78" s="4">
        <f t="shared" si="0"/>
        <v>4215.9127896730506</v>
      </c>
      <c r="G78" s="2">
        <v>40200</v>
      </c>
      <c r="H78" s="7">
        <v>3.58</v>
      </c>
      <c r="I78" s="7">
        <f>H78+H89-2*$A$24</f>
        <v>6.26</v>
      </c>
      <c r="J78" s="7">
        <v>3.04</v>
      </c>
      <c r="K78" s="7">
        <v>5.28</v>
      </c>
      <c r="L78" s="6">
        <f t="shared" si="1"/>
        <v>0.31948881789137379</v>
      </c>
      <c r="M78" s="6">
        <f t="shared" si="2"/>
        <v>0.5718849840255591</v>
      </c>
      <c r="N78" s="6">
        <f t="shared" si="3"/>
        <v>0.10862619808306717</v>
      </c>
      <c r="O78" s="4">
        <f t="shared" si="4"/>
        <v>1346.9369935057668</v>
      </c>
      <c r="P78" s="4">
        <f t="shared" si="5"/>
        <v>2411.017218375323</v>
      </c>
      <c r="Q78" s="4">
        <f t="shared" si="6"/>
        <v>3757.9542118810896</v>
      </c>
      <c r="V78" s="3"/>
      <c r="W78" s="3"/>
      <c r="Y78" s="7"/>
      <c r="Z78" s="7"/>
      <c r="AA78" s="7"/>
      <c r="AB78" s="7"/>
      <c r="AC78" s="9"/>
      <c r="AD78" s="9"/>
      <c r="AE78" s="9"/>
      <c r="AF78" s="3"/>
      <c r="AG78" s="3"/>
      <c r="AH78" s="3"/>
      <c r="AJ78" t="s">
        <v>743</v>
      </c>
      <c r="AK78" t="s">
        <v>682</v>
      </c>
      <c r="AL78" s="11">
        <f>D81</f>
        <v>40827</v>
      </c>
      <c r="AM78" s="3">
        <f>SUM(E81,E86)</f>
        <v>63.1</v>
      </c>
      <c r="AN78" s="3">
        <f>(AM78-4*$A$20)*$A$21/(2*$A$22)*$A$23</f>
        <v>4532.0291473478765</v>
      </c>
      <c r="AO78" s="11">
        <f>G81</f>
        <v>40200</v>
      </c>
      <c r="AP78" s="7">
        <f>SUM(H81,H86)</f>
        <v>7.3000000000000007</v>
      </c>
      <c r="AQ78" s="7">
        <f>SUM(I81,I86)</f>
        <v>13.96</v>
      </c>
      <c r="AR78" s="7">
        <f>SUM(J81,J86)</f>
        <v>6.72</v>
      </c>
      <c r="AS78" s="7">
        <f>SUM(K81,K86)</f>
        <v>11.48</v>
      </c>
      <c r="AT78" s="9">
        <f>(AR78-2*$A$25)/AQ78</f>
        <v>0.33237822349570195</v>
      </c>
      <c r="AU78" s="9">
        <f>(AS78-2*$A$26)/AQ78</f>
        <v>0.57879656160458448</v>
      </c>
      <c r="AV78" s="9">
        <f>1-AT78-AU78</f>
        <v>8.8825214899713512E-2</v>
      </c>
      <c r="AW78" s="3">
        <f>AN78*AT78</f>
        <v>1506.347796826228</v>
      </c>
      <c r="AX78" s="3">
        <f>AN78*AU78</f>
        <v>2623.1228875767079</v>
      </c>
      <c r="AY78" s="3">
        <f>AW78+AX78</f>
        <v>4129.4706844029361</v>
      </c>
    </row>
    <row r="79" spans="1:51" x14ac:dyDescent="0.25">
      <c r="A79">
        <v>46</v>
      </c>
      <c r="B79" s="1" t="s">
        <v>87</v>
      </c>
      <c r="C79" s="1" t="s">
        <v>682</v>
      </c>
      <c r="D79" s="2">
        <v>40827</v>
      </c>
      <c r="E79" s="3">
        <v>32</v>
      </c>
      <c r="F79" s="4">
        <f t="shared" si="0"/>
        <v>4601.4205429350341</v>
      </c>
      <c r="G79" s="2">
        <v>40200</v>
      </c>
      <c r="H79" s="7">
        <v>3.28</v>
      </c>
      <c r="I79" s="7">
        <f>H79+H88-2*$A$24</f>
        <v>6.3599999999999994</v>
      </c>
      <c r="J79" s="7">
        <v>3.16</v>
      </c>
      <c r="K79" s="7">
        <v>5.4</v>
      </c>
      <c r="L79" s="6">
        <f t="shared" si="1"/>
        <v>0.33333333333333337</v>
      </c>
      <c r="M79" s="6">
        <f t="shared" si="2"/>
        <v>0.58176100628930827</v>
      </c>
      <c r="N79" s="6">
        <f t="shared" si="3"/>
        <v>8.4905660377358361E-2</v>
      </c>
      <c r="O79" s="4">
        <f t="shared" si="4"/>
        <v>1533.8068476450114</v>
      </c>
      <c r="P79" s="4">
        <f t="shared" si="5"/>
        <v>2676.9270454181806</v>
      </c>
      <c r="Q79" s="4">
        <f t="shared" si="6"/>
        <v>4210.7338930631922</v>
      </c>
      <c r="V79" s="3"/>
      <c r="W79" s="3"/>
      <c r="Y79" s="7"/>
      <c r="Z79" s="7"/>
      <c r="AA79" s="7"/>
      <c r="AB79" s="7"/>
      <c r="AC79" s="9"/>
      <c r="AD79" s="9"/>
      <c r="AE79" s="9"/>
      <c r="AF79" s="3"/>
      <c r="AG79" s="3"/>
      <c r="AH79" s="3"/>
      <c r="AL79" s="11"/>
      <c r="AM79" s="3"/>
      <c r="AN79" s="3"/>
      <c r="AO79" s="11"/>
      <c r="AP79" s="7"/>
      <c r="AQ79" s="7"/>
      <c r="AR79" s="7"/>
      <c r="AS79" s="7"/>
      <c r="AT79" s="9"/>
      <c r="AU79" s="9"/>
      <c r="AV79" s="9"/>
      <c r="AW79" s="3"/>
      <c r="AX79" s="3"/>
      <c r="AY79" s="3"/>
    </row>
    <row r="80" spans="1:51" x14ac:dyDescent="0.25">
      <c r="A80">
        <v>47</v>
      </c>
      <c r="B80" s="1" t="s">
        <v>88</v>
      </c>
      <c r="C80" s="1" t="s">
        <v>682</v>
      </c>
      <c r="D80" s="2">
        <v>40827</v>
      </c>
      <c r="E80" s="3">
        <v>26.200000000000003</v>
      </c>
      <c r="F80" s="4">
        <f t="shared" si="0"/>
        <v>3707.042555367233</v>
      </c>
      <c r="G80" s="2">
        <v>40200</v>
      </c>
      <c r="H80" s="7">
        <v>3.14</v>
      </c>
      <c r="I80" s="7">
        <f>H80+H87-2*$A$24</f>
        <v>6.26</v>
      </c>
      <c r="J80" s="7">
        <v>3.12</v>
      </c>
      <c r="K80" s="7">
        <v>5.32</v>
      </c>
      <c r="L80" s="6">
        <f t="shared" si="1"/>
        <v>0.3322683706070288</v>
      </c>
      <c r="M80" s="6">
        <f t="shared" si="2"/>
        <v>0.57827476038338665</v>
      </c>
      <c r="N80" s="6">
        <f t="shared" si="3"/>
        <v>8.9456869009584494E-2</v>
      </c>
      <c r="O80" s="4">
        <f t="shared" si="4"/>
        <v>1231.7329896427868</v>
      </c>
      <c r="P80" s="4">
        <f t="shared" si="5"/>
        <v>2143.6891454360039</v>
      </c>
      <c r="Q80" s="4">
        <f t="shared" si="6"/>
        <v>3375.4221350787907</v>
      </c>
      <c r="V80" s="3"/>
      <c r="W80" s="3"/>
      <c r="Y80" s="7"/>
      <c r="Z80" s="7"/>
      <c r="AA80" s="7"/>
      <c r="AB80" s="7"/>
      <c r="AC80" s="9"/>
      <c r="AD80" s="9"/>
      <c r="AE80" s="9"/>
      <c r="AF80" s="3"/>
      <c r="AG80" s="3"/>
      <c r="AH80" s="3"/>
      <c r="AJ80" t="s">
        <v>744</v>
      </c>
      <c r="AK80" t="s">
        <v>682</v>
      </c>
      <c r="AL80" s="11">
        <f>D80</f>
        <v>40827</v>
      </c>
      <c r="AM80" s="3">
        <f>SUM(E80,E87)</f>
        <v>56.5</v>
      </c>
      <c r="AN80" s="3">
        <f>(AM80-4*$A$20)*$A$21/(2*$A$22)*$A$23</f>
        <v>4023.1589130420593</v>
      </c>
      <c r="AO80" s="11">
        <f>G80</f>
        <v>40200</v>
      </c>
      <c r="AP80" s="7">
        <f>SUM(H80,H87)</f>
        <v>6.58</v>
      </c>
      <c r="AQ80" s="7">
        <f>SUM(I80,I87)</f>
        <v>12.52</v>
      </c>
      <c r="AR80" s="7">
        <f>SUM(J80,J87)</f>
        <v>6.24</v>
      </c>
      <c r="AS80" s="7">
        <f>SUM(K80,K87)</f>
        <v>10.64</v>
      </c>
      <c r="AT80" s="9">
        <f>(AR80-2*$A$25)/AQ80</f>
        <v>0.3322683706070288</v>
      </c>
      <c r="AU80" s="9">
        <f>(AS80-2*$A$26)/AQ80</f>
        <v>0.57827476038338665</v>
      </c>
      <c r="AV80" s="9">
        <f>1-AT80-AU80</f>
        <v>8.9456869009584494E-2</v>
      </c>
      <c r="AW80" s="3">
        <f>AN80*AT80</f>
        <v>1336.7684567296301</v>
      </c>
      <c r="AX80" s="3">
        <f>AN80*AU80</f>
        <v>2326.4912564236834</v>
      </c>
      <c r="AY80" s="3">
        <f>AW80+AX80</f>
        <v>3663.2597131533134</v>
      </c>
    </row>
    <row r="81" spans="1:51" x14ac:dyDescent="0.25">
      <c r="A81">
        <v>48</v>
      </c>
      <c r="B81" s="1" t="s">
        <v>89</v>
      </c>
      <c r="C81" s="1" t="s">
        <v>682</v>
      </c>
      <c r="D81" s="2">
        <v>40827</v>
      </c>
      <c r="E81" s="3">
        <v>28.9</v>
      </c>
      <c r="F81" s="4">
        <f t="shared" si="0"/>
        <v>4123.3909288901741</v>
      </c>
      <c r="G81" s="2">
        <v>40200</v>
      </c>
      <c r="H81" s="7">
        <v>3.6</v>
      </c>
      <c r="I81" s="7">
        <f>H81+H86-2*$A$24</f>
        <v>6.98</v>
      </c>
      <c r="J81" s="7">
        <v>3.36</v>
      </c>
      <c r="K81" s="7">
        <v>5.74</v>
      </c>
      <c r="L81" s="6">
        <f t="shared" si="1"/>
        <v>0.33237822349570195</v>
      </c>
      <c r="M81" s="6">
        <f t="shared" si="2"/>
        <v>0.57879656160458448</v>
      </c>
      <c r="N81" s="6">
        <f t="shared" si="3"/>
        <v>8.8825214899713512E-2</v>
      </c>
      <c r="O81" s="4">
        <f t="shared" si="4"/>
        <v>1370.5253517228084</v>
      </c>
      <c r="P81" s="4">
        <f t="shared" si="5"/>
        <v>2386.6044917931663</v>
      </c>
      <c r="Q81" s="4">
        <f t="shared" si="6"/>
        <v>3757.1298435159747</v>
      </c>
      <c r="V81" s="3"/>
      <c r="W81" s="3"/>
      <c r="Y81" s="7"/>
      <c r="Z81" s="7"/>
      <c r="AA81" s="7"/>
      <c r="AB81" s="7"/>
      <c r="AC81" s="9"/>
      <c r="AD81" s="9"/>
      <c r="AE81" s="9"/>
      <c r="AF81" s="3"/>
      <c r="AG81" s="3"/>
      <c r="AH81" s="3"/>
      <c r="AL81" s="11"/>
      <c r="AM81" s="3"/>
      <c r="AN81" s="3"/>
      <c r="AO81" s="11"/>
      <c r="AP81" s="7"/>
      <c r="AQ81" s="7"/>
      <c r="AR81" s="7"/>
      <c r="AS81" s="7"/>
      <c r="AT81" s="9"/>
      <c r="AU81" s="9"/>
      <c r="AV81" s="9"/>
      <c r="AW81" s="3"/>
      <c r="AX81" s="3"/>
      <c r="AY81" s="3"/>
    </row>
    <row r="82" spans="1:51" x14ac:dyDescent="0.25">
      <c r="A82">
        <v>49</v>
      </c>
      <c r="B82" s="1" t="s">
        <v>90</v>
      </c>
      <c r="C82" s="1" t="s">
        <v>682</v>
      </c>
      <c r="D82" s="2">
        <v>40827</v>
      </c>
      <c r="E82" s="3">
        <v>34.799999999999997</v>
      </c>
      <c r="F82" s="4">
        <f t="shared" si="0"/>
        <v>5033.1892265884544</v>
      </c>
      <c r="G82" s="2">
        <v>40200</v>
      </c>
      <c r="H82" s="7">
        <v>3.62</v>
      </c>
      <c r="I82" s="7">
        <f>H82+H85-2*$A$24</f>
        <v>6.96</v>
      </c>
      <c r="J82" s="7">
        <v>3.42</v>
      </c>
      <c r="K82" s="7">
        <v>5.8</v>
      </c>
      <c r="L82" s="6">
        <f t="shared" si="1"/>
        <v>0.34195402298850575</v>
      </c>
      <c r="M82" s="6">
        <f t="shared" si="2"/>
        <v>0.58908045977011492</v>
      </c>
      <c r="N82" s="6">
        <f t="shared" si="3"/>
        <v>6.8965517241379337E-2</v>
      </c>
      <c r="O82" s="4">
        <f t="shared" si="4"/>
        <v>1721.1193044943277</v>
      </c>
      <c r="P82" s="4">
        <f t="shared" si="5"/>
        <v>2964.9534237087159</v>
      </c>
      <c r="Q82" s="4">
        <f t="shared" si="6"/>
        <v>4686.0727282030439</v>
      </c>
      <c r="V82" s="3"/>
      <c r="W82" s="3"/>
      <c r="Y82" s="7"/>
      <c r="Z82" s="7"/>
      <c r="AA82" s="7"/>
      <c r="AB82" s="7"/>
      <c r="AC82" s="9"/>
      <c r="AD82" s="9"/>
      <c r="AE82" s="9"/>
      <c r="AF82" s="3"/>
      <c r="AG82" s="3"/>
      <c r="AH82" s="3"/>
      <c r="AJ82" t="s">
        <v>745</v>
      </c>
      <c r="AK82" t="s">
        <v>682</v>
      </c>
      <c r="AL82" s="11">
        <f>D79</f>
        <v>40827</v>
      </c>
      <c r="AM82" s="3">
        <f>SUM(E79,E88)</f>
        <v>66.2</v>
      </c>
      <c r="AN82" s="3">
        <f>(AM82-4*$A$20)*$A$21/(2*$A$22)*$A$23</f>
        <v>4771.0439543703069</v>
      </c>
      <c r="AO82" s="11">
        <f>G79</f>
        <v>40200</v>
      </c>
      <c r="AP82" s="7">
        <f>SUM(H79,H88)</f>
        <v>6.68</v>
      </c>
      <c r="AQ82" s="7">
        <f>SUM(I79,I88)</f>
        <v>12.719999999999999</v>
      </c>
      <c r="AR82" s="7">
        <f>SUM(J79,J88)</f>
        <v>6.32</v>
      </c>
      <c r="AS82" s="7">
        <f>SUM(K79,K88)</f>
        <v>10.8</v>
      </c>
      <c r="AT82" s="9">
        <f>(AR82-2*$A$25)/AQ82</f>
        <v>0.33333333333333337</v>
      </c>
      <c r="AU82" s="9">
        <f>(AS82-2*$A$26)/AQ82</f>
        <v>0.58176100628930827</v>
      </c>
      <c r="AV82" s="9">
        <f>1-AT82-AU82</f>
        <v>8.4905660377358361E-2</v>
      </c>
      <c r="AW82" s="3">
        <f>AN82*AT82</f>
        <v>1590.3479847901024</v>
      </c>
      <c r="AX82" s="3">
        <f>AN82*AU82</f>
        <v>2775.6073319449902</v>
      </c>
      <c r="AY82" s="3">
        <f>AW82+AX82</f>
        <v>4365.9553167350923</v>
      </c>
    </row>
    <row r="83" spans="1:51" x14ac:dyDescent="0.25">
      <c r="A83">
        <v>50</v>
      </c>
      <c r="B83" s="1" t="s">
        <v>91</v>
      </c>
      <c r="C83" s="1" t="s">
        <v>682</v>
      </c>
      <c r="D83" s="2">
        <v>40827</v>
      </c>
      <c r="E83" s="3">
        <v>31.3</v>
      </c>
      <c r="F83" s="4">
        <f t="shared" si="0"/>
        <v>4493.4783720216783</v>
      </c>
      <c r="G83" s="2">
        <v>40200</v>
      </c>
      <c r="H83" s="7">
        <v>3.94</v>
      </c>
      <c r="I83" s="7">
        <f>H83+H84-2*$A$24</f>
        <v>7.56</v>
      </c>
      <c r="J83" s="7">
        <v>3.56</v>
      </c>
      <c r="K83" s="7">
        <v>6.06</v>
      </c>
      <c r="L83" s="6">
        <f t="shared" si="1"/>
        <v>0.33333333333333337</v>
      </c>
      <c r="M83" s="6">
        <f t="shared" si="2"/>
        <v>0.57671957671957663</v>
      </c>
      <c r="N83" s="6">
        <f t="shared" si="3"/>
        <v>8.9947089947089998E-2</v>
      </c>
      <c r="O83" s="4">
        <f t="shared" si="4"/>
        <v>1497.8261240072263</v>
      </c>
      <c r="P83" s="4">
        <f t="shared" si="5"/>
        <v>2591.4769447109147</v>
      </c>
      <c r="Q83" s="4">
        <f t="shared" si="6"/>
        <v>4089.3030687181408</v>
      </c>
      <c r="V83" s="3"/>
      <c r="W83" s="3"/>
      <c r="Y83" s="7"/>
      <c r="Z83" s="7"/>
      <c r="AA83" s="7"/>
      <c r="AB83" s="7"/>
      <c r="AC83" s="9"/>
      <c r="AD83" s="9"/>
      <c r="AE83" s="9"/>
      <c r="AF83" s="3"/>
      <c r="AG83" s="3"/>
      <c r="AH83" s="3"/>
      <c r="AL83" s="11"/>
      <c r="AM83" s="3"/>
      <c r="AN83" s="3"/>
      <c r="AO83" s="11"/>
      <c r="AP83" s="7"/>
      <c r="AQ83" s="7"/>
      <c r="AR83" s="7"/>
      <c r="AS83" s="7"/>
      <c r="AT83" s="9"/>
      <c r="AU83" s="9"/>
      <c r="AV83" s="9"/>
      <c r="AW83" s="3"/>
      <c r="AX83" s="3"/>
      <c r="AY83" s="3"/>
    </row>
    <row r="84" spans="1:51" x14ac:dyDescent="0.25">
      <c r="A84">
        <v>51</v>
      </c>
      <c r="B84" s="1" t="s">
        <v>92</v>
      </c>
      <c r="C84" s="1" t="s">
        <v>682</v>
      </c>
      <c r="D84" s="2">
        <v>40827</v>
      </c>
      <c r="E84" s="3">
        <v>33.799999999999997</v>
      </c>
      <c r="F84" s="4">
        <f t="shared" si="0"/>
        <v>4878.9861252836617</v>
      </c>
      <c r="G84" s="2">
        <v>40200</v>
      </c>
      <c r="H84" s="7">
        <v>3.94</v>
      </c>
      <c r="I84" s="7">
        <f>H84+H83-2*$A$24</f>
        <v>7.56</v>
      </c>
      <c r="J84" s="7">
        <v>3.56</v>
      </c>
      <c r="K84" s="7">
        <v>6.06</v>
      </c>
      <c r="L84" s="6">
        <f t="shared" si="1"/>
        <v>0.33333333333333337</v>
      </c>
      <c r="M84" s="6">
        <f t="shared" si="2"/>
        <v>0.57671957671957663</v>
      </c>
      <c r="N84" s="6">
        <f t="shared" si="3"/>
        <v>8.9947089947089998E-2</v>
      </c>
      <c r="O84" s="4">
        <f t="shared" si="4"/>
        <v>1626.3287084278875</v>
      </c>
      <c r="P84" s="4">
        <f t="shared" si="5"/>
        <v>2813.8068129942808</v>
      </c>
      <c r="Q84" s="4">
        <f t="shared" si="6"/>
        <v>4440.1355214221685</v>
      </c>
      <c r="V84" s="3"/>
      <c r="W84" s="3"/>
      <c r="Y84" s="7"/>
      <c r="Z84" s="7"/>
      <c r="AA84" s="7"/>
      <c r="AB84" s="7"/>
      <c r="AC84" s="9"/>
      <c r="AD84" s="9"/>
      <c r="AE84" s="9"/>
      <c r="AF84" s="3"/>
      <c r="AG84" s="3"/>
      <c r="AH84" s="3"/>
      <c r="AJ84" t="s">
        <v>746</v>
      </c>
      <c r="AK84" t="s">
        <v>682</v>
      </c>
      <c r="AL84" s="11">
        <f>D78</f>
        <v>40827</v>
      </c>
      <c r="AM84" s="3">
        <f>SUM(E78,E89)</f>
        <v>65.099999999999994</v>
      </c>
      <c r="AN84" s="3">
        <f>(AM84-4*$A$20)*$A$21/(2*$A$22)*$A$23</f>
        <v>4686.23224865267</v>
      </c>
      <c r="AO84" s="11">
        <f>G78</f>
        <v>40200</v>
      </c>
      <c r="AP84" s="7">
        <f>SUM(H78,H89)</f>
        <v>6.58</v>
      </c>
      <c r="AQ84" s="7">
        <f>SUM(I78,I89)</f>
        <v>12.52</v>
      </c>
      <c r="AR84" s="7">
        <f>SUM(J78,J89)</f>
        <v>6.08</v>
      </c>
      <c r="AS84" s="7">
        <f>SUM(K78,K89)</f>
        <v>10.56</v>
      </c>
      <c r="AT84" s="9">
        <f>(AR84-2*$A$25)/AQ84</f>
        <v>0.31948881789137379</v>
      </c>
      <c r="AU84" s="9">
        <f>(AS84-2*$A$26)/AQ84</f>
        <v>0.5718849840255591</v>
      </c>
      <c r="AV84" s="9">
        <f>1-AT84-AU84</f>
        <v>0.10862619808306717</v>
      </c>
      <c r="AW84" s="3">
        <f>AN84*AT84</f>
        <v>1497.198801486476</v>
      </c>
      <c r="AX84" s="3">
        <f>AN84*AU84</f>
        <v>2679.985854660792</v>
      </c>
      <c r="AY84" s="3">
        <f>AW84+AX84</f>
        <v>4177.1846561472685</v>
      </c>
    </row>
    <row r="85" spans="1:51" x14ac:dyDescent="0.25">
      <c r="A85">
        <v>52</v>
      </c>
      <c r="B85" s="1" t="s">
        <v>93</v>
      </c>
      <c r="C85" s="1" t="s">
        <v>682</v>
      </c>
      <c r="D85" s="2">
        <v>40827</v>
      </c>
      <c r="E85" s="3">
        <v>37.799999999999997</v>
      </c>
      <c r="F85" s="4">
        <f t="shared" si="0"/>
        <v>5495.798530502836</v>
      </c>
      <c r="G85" s="2">
        <v>40200</v>
      </c>
      <c r="H85" s="7">
        <v>3.66</v>
      </c>
      <c r="I85" s="7">
        <f>H85+H82-2*$A$24</f>
        <v>6.96</v>
      </c>
      <c r="J85" s="7">
        <v>3.42</v>
      </c>
      <c r="K85" s="7">
        <v>5.8</v>
      </c>
      <c r="L85" s="6">
        <f t="shared" si="1"/>
        <v>0.34195402298850575</v>
      </c>
      <c r="M85" s="6">
        <f t="shared" si="2"/>
        <v>0.58908045977011492</v>
      </c>
      <c r="N85" s="6">
        <f t="shared" si="3"/>
        <v>6.8965517241379337E-2</v>
      </c>
      <c r="O85" s="4">
        <f t="shared" si="4"/>
        <v>1879.3104170397628</v>
      </c>
      <c r="P85" s="4">
        <f t="shared" si="5"/>
        <v>3237.4675251525327</v>
      </c>
      <c r="Q85" s="4">
        <f t="shared" si="6"/>
        <v>5116.7779421922951</v>
      </c>
      <c r="V85" s="3"/>
      <c r="W85" s="3"/>
      <c r="Y85" s="7"/>
      <c r="Z85" s="7"/>
      <c r="AA85" s="7"/>
      <c r="AB85" s="7"/>
      <c r="AC85" s="9"/>
      <c r="AD85" s="9"/>
      <c r="AE85" s="9"/>
      <c r="AF85" s="3"/>
      <c r="AG85" s="3"/>
      <c r="AH85" s="3"/>
      <c r="AL85" s="11"/>
      <c r="AM85" s="3"/>
      <c r="AN85" s="3"/>
      <c r="AO85" s="11"/>
      <c r="AP85" s="7"/>
      <c r="AQ85" s="7"/>
      <c r="AR85" s="7"/>
      <c r="AS85" s="7"/>
      <c r="AT85" s="9"/>
      <c r="AU85" s="9"/>
      <c r="AV85" s="9"/>
      <c r="AW85" s="3"/>
      <c r="AX85" s="3"/>
      <c r="AY85" s="3"/>
    </row>
    <row r="86" spans="1:51" x14ac:dyDescent="0.25">
      <c r="A86">
        <v>53</v>
      </c>
      <c r="B86" s="1" t="s">
        <v>94</v>
      </c>
      <c r="C86" s="1" t="s">
        <v>682</v>
      </c>
      <c r="D86" s="2">
        <v>40827</v>
      </c>
      <c r="E86" s="3">
        <v>34.200000000000003</v>
      </c>
      <c r="F86" s="4">
        <f t="shared" si="0"/>
        <v>4940.6673658055806</v>
      </c>
      <c r="G86" s="2">
        <v>40200</v>
      </c>
      <c r="H86" s="7">
        <v>3.7</v>
      </c>
      <c r="I86" s="7">
        <f>H86+H81-2*$A$24</f>
        <v>6.98</v>
      </c>
      <c r="J86" s="7">
        <v>3.36</v>
      </c>
      <c r="K86" s="7">
        <v>5.74</v>
      </c>
      <c r="L86" s="6">
        <f t="shared" si="1"/>
        <v>0.33237822349570195</v>
      </c>
      <c r="M86" s="6">
        <f t="shared" si="2"/>
        <v>0.57879656160458448</v>
      </c>
      <c r="N86" s="6">
        <f t="shared" si="3"/>
        <v>8.8825214899713512E-2</v>
      </c>
      <c r="O86" s="4">
        <f t="shared" si="4"/>
        <v>1642.1702419296482</v>
      </c>
      <c r="P86" s="4">
        <f t="shared" si="5"/>
        <v>2859.6412833602499</v>
      </c>
      <c r="Q86" s="4">
        <f t="shared" si="6"/>
        <v>4501.8115252898979</v>
      </c>
      <c r="V86" s="3"/>
      <c r="W86" s="3"/>
      <c r="Y86" s="7"/>
      <c r="Z86" s="7"/>
      <c r="AA86" s="7"/>
      <c r="AB86" s="7"/>
      <c r="AC86" s="9"/>
      <c r="AD86" s="9"/>
      <c r="AE86" s="9"/>
      <c r="AF86" s="3"/>
      <c r="AG86" s="3"/>
      <c r="AH86" s="3"/>
      <c r="AJ86" t="s">
        <v>747</v>
      </c>
      <c r="AK86" t="s">
        <v>682</v>
      </c>
      <c r="AL86" s="11">
        <f>D77</f>
        <v>40827</v>
      </c>
      <c r="AM86" s="3">
        <f>SUM(E77,E90)</f>
        <v>63.900000000000006</v>
      </c>
      <c r="AN86" s="3">
        <f>(AM86-4*$A$20)*$A$21/(2*$A$22)*$A$23</f>
        <v>4593.7103878697944</v>
      </c>
      <c r="AO86" s="11">
        <f>G77</f>
        <v>40200</v>
      </c>
      <c r="AP86" s="7">
        <f>SUM(H77,H90)</f>
        <v>7.38</v>
      </c>
      <c r="AQ86" s="7">
        <f>SUM(I77,I90)</f>
        <v>14.12</v>
      </c>
      <c r="AR86" s="7">
        <f>SUM(J77,J90)</f>
        <v>6.76</v>
      </c>
      <c r="AS86" s="7">
        <f>SUM(K77,K90)</f>
        <v>11.52</v>
      </c>
      <c r="AT86" s="9">
        <f>(AR86-2*$A$25)/AQ86</f>
        <v>0.33144475920679889</v>
      </c>
      <c r="AU86" s="9">
        <f>(AS86-2*$A$26)/AQ86</f>
        <v>0.57507082152974498</v>
      </c>
      <c r="AV86" s="9">
        <f>1-AT86-AU86</f>
        <v>9.3484419263456187E-2</v>
      </c>
      <c r="AW86" s="3">
        <f>AN86*AT86</f>
        <v>1522.5612333732747</v>
      </c>
      <c r="AX86" s="3">
        <f>AN86*AU86</f>
        <v>2641.7088066220063</v>
      </c>
      <c r="AY86" s="3">
        <f>AW86+AX86</f>
        <v>4164.270039995281</v>
      </c>
    </row>
    <row r="87" spans="1:51" x14ac:dyDescent="0.25">
      <c r="A87">
        <v>54</v>
      </c>
      <c r="B87" s="1" t="s">
        <v>95</v>
      </c>
      <c r="C87" s="1" t="s">
        <v>682</v>
      </c>
      <c r="D87" s="2">
        <v>40827</v>
      </c>
      <c r="E87" s="3">
        <v>30.299999999999997</v>
      </c>
      <c r="F87" s="4">
        <f t="shared" si="0"/>
        <v>4339.2752707168847</v>
      </c>
      <c r="G87" s="2">
        <v>40200</v>
      </c>
      <c r="H87" s="7">
        <v>3.44</v>
      </c>
      <c r="I87" s="7">
        <f>H87+H80-2*$A$24</f>
        <v>6.26</v>
      </c>
      <c r="J87" s="7">
        <v>3.12</v>
      </c>
      <c r="K87" s="7">
        <v>5.32</v>
      </c>
      <c r="L87" s="6">
        <f t="shared" si="1"/>
        <v>0.3322683706070288</v>
      </c>
      <c r="M87" s="6">
        <f t="shared" si="2"/>
        <v>0.57827476038338665</v>
      </c>
      <c r="N87" s="6">
        <f t="shared" si="3"/>
        <v>8.9456869009584494E-2</v>
      </c>
      <c r="O87" s="4">
        <f t="shared" si="4"/>
        <v>1441.8039238164731</v>
      </c>
      <c r="P87" s="4">
        <f t="shared" si="5"/>
        <v>2509.2933674113619</v>
      </c>
      <c r="Q87" s="4">
        <f t="shared" si="6"/>
        <v>3951.0972912278348</v>
      </c>
      <c r="V87" s="3"/>
      <c r="W87" s="3"/>
      <c r="Y87" s="7"/>
      <c r="Z87" s="7"/>
      <c r="AA87" s="7"/>
      <c r="AB87" s="7"/>
      <c r="AC87" s="9"/>
      <c r="AD87" s="9"/>
      <c r="AE87" s="9"/>
      <c r="AF87" s="3"/>
      <c r="AG87" s="3"/>
      <c r="AH87" s="3"/>
      <c r="AL87" s="11"/>
      <c r="AM87" s="3"/>
      <c r="AN87" s="3"/>
      <c r="AO87" s="11"/>
      <c r="AP87" s="7"/>
      <c r="AQ87" s="7"/>
      <c r="AR87" s="7"/>
      <c r="AS87" s="7"/>
      <c r="AT87" s="9"/>
      <c r="AU87" s="9"/>
      <c r="AV87" s="9"/>
      <c r="AW87" s="3"/>
      <c r="AX87" s="3"/>
      <c r="AY87" s="3"/>
    </row>
    <row r="88" spans="1:51" x14ac:dyDescent="0.25">
      <c r="A88">
        <v>55</v>
      </c>
      <c r="B88" s="1" t="s">
        <v>96</v>
      </c>
      <c r="C88" s="1" t="s">
        <v>682</v>
      </c>
      <c r="D88" s="2">
        <v>40827</v>
      </c>
      <c r="E88" s="3">
        <v>34.200000000000003</v>
      </c>
      <c r="F88" s="4">
        <f t="shared" si="0"/>
        <v>4940.6673658055806</v>
      </c>
      <c r="G88" s="2">
        <v>40200</v>
      </c>
      <c r="H88" s="7">
        <v>3.4</v>
      </c>
      <c r="I88" s="7">
        <f>H88+H79-2*$A$24</f>
        <v>6.3599999999999994</v>
      </c>
      <c r="J88" s="7">
        <v>3.16</v>
      </c>
      <c r="K88" s="7">
        <v>5.4</v>
      </c>
      <c r="L88" s="6">
        <f t="shared" si="1"/>
        <v>0.33333333333333337</v>
      </c>
      <c r="M88" s="6">
        <f t="shared" si="2"/>
        <v>0.58176100628930827</v>
      </c>
      <c r="N88" s="6">
        <f t="shared" si="3"/>
        <v>8.4905660377358361E-2</v>
      </c>
      <c r="O88" s="4">
        <f t="shared" si="4"/>
        <v>1646.8891219351938</v>
      </c>
      <c r="P88" s="4">
        <f t="shared" si="5"/>
        <v>2874.2876184718007</v>
      </c>
      <c r="Q88" s="4">
        <f t="shared" si="6"/>
        <v>4521.1767404069942</v>
      </c>
      <c r="V88" s="3"/>
      <c r="W88" s="3"/>
      <c r="Y88" s="7"/>
      <c r="Z88" s="7"/>
      <c r="AA88" s="7"/>
      <c r="AB88" s="7"/>
      <c r="AC88" s="9"/>
      <c r="AD88" s="9"/>
      <c r="AE88" s="9"/>
      <c r="AF88" s="3"/>
      <c r="AG88" s="3"/>
      <c r="AH88" s="3"/>
      <c r="AJ88" t="s">
        <v>748</v>
      </c>
      <c r="AK88" t="s">
        <v>682</v>
      </c>
      <c r="AL88" s="11">
        <f>D76</f>
        <v>40827</v>
      </c>
      <c r="AM88" s="3">
        <f>SUM(E76,E91)</f>
        <v>62.3</v>
      </c>
      <c r="AN88" s="3">
        <f>(AM88-4*$A$20)*$A$21/(2*$A$22)*$A$23</f>
        <v>4470.3479068259594</v>
      </c>
      <c r="AO88" s="11">
        <f>G76</f>
        <v>40200</v>
      </c>
      <c r="AP88" s="7">
        <f>SUM(H76,H91)</f>
        <v>7.1400000000000006</v>
      </c>
      <c r="AQ88" s="7">
        <f>SUM(I76,I91)</f>
        <v>13.64</v>
      </c>
      <c r="AR88" s="7">
        <f>SUM(J76,J91)</f>
        <v>6.52</v>
      </c>
      <c r="AS88" s="7">
        <f>SUM(K76,K91)</f>
        <v>11.12</v>
      </c>
      <c r="AT88" s="9">
        <f>(AR88-2*$A$25)/AQ88</f>
        <v>0.32551319648093835</v>
      </c>
      <c r="AU88" s="9">
        <f>(AS88-2*$A$26)/AQ88</f>
        <v>0.56598240469208205</v>
      </c>
      <c r="AV88" s="9">
        <f>1-AT88-AU88</f>
        <v>0.1085043988269796</v>
      </c>
      <c r="AW88" s="3">
        <f>AN88*AT88</f>
        <v>1455.15723653279</v>
      </c>
      <c r="AX88" s="3">
        <f>AN88*AU88</f>
        <v>2530.1382581155722</v>
      </c>
      <c r="AY88" s="3">
        <f>AW88+AX88</f>
        <v>3985.2954946483624</v>
      </c>
    </row>
    <row r="89" spans="1:51" x14ac:dyDescent="0.25">
      <c r="A89">
        <v>56</v>
      </c>
      <c r="B89" s="1" t="s">
        <v>97</v>
      </c>
      <c r="C89" s="1" t="s">
        <v>682</v>
      </c>
      <c r="D89" s="2">
        <v>40827</v>
      </c>
      <c r="E89" s="3">
        <v>35.599999999999994</v>
      </c>
      <c r="F89" s="4">
        <f t="shared" si="0"/>
        <v>5156.5517076322894</v>
      </c>
      <c r="G89" s="2">
        <v>40200</v>
      </c>
      <c r="H89" s="7">
        <v>3</v>
      </c>
      <c r="I89" s="7">
        <f>H89+H78-2*$A$24</f>
        <v>6.26</v>
      </c>
      <c r="J89" s="7">
        <v>3.04</v>
      </c>
      <c r="K89" s="7">
        <v>5.28</v>
      </c>
      <c r="L89" s="6">
        <f t="shared" si="1"/>
        <v>0.31948881789137379</v>
      </c>
      <c r="M89" s="6">
        <f t="shared" si="2"/>
        <v>0.5718849840255591</v>
      </c>
      <c r="N89" s="6">
        <f t="shared" si="3"/>
        <v>0.10862619808306717</v>
      </c>
      <c r="O89" s="4">
        <f t="shared" si="4"/>
        <v>1647.4606094671851</v>
      </c>
      <c r="P89" s="4">
        <f t="shared" si="5"/>
        <v>2948.9544909462611</v>
      </c>
      <c r="Q89" s="4">
        <f t="shared" si="6"/>
        <v>4596.4151004134465</v>
      </c>
      <c r="V89" s="3"/>
      <c r="W89" s="3"/>
      <c r="Y89" s="7"/>
      <c r="Z89" s="7"/>
      <c r="AA89" s="7"/>
      <c r="AB89" s="7"/>
      <c r="AC89" s="9"/>
      <c r="AD89" s="9"/>
      <c r="AE89" s="9"/>
      <c r="AF89" s="3"/>
      <c r="AG89" s="3"/>
      <c r="AH89" s="3"/>
      <c r="AL89" s="11"/>
      <c r="AM89" s="3"/>
      <c r="AN89" s="3"/>
      <c r="AO89" s="11"/>
      <c r="AP89" s="7"/>
      <c r="AQ89" s="7"/>
      <c r="AR89" s="7"/>
      <c r="AS89" s="7"/>
      <c r="AT89" s="9"/>
      <c r="AU89" s="9"/>
      <c r="AV89" s="9"/>
      <c r="AW89" s="3"/>
      <c r="AX89" s="3"/>
      <c r="AY89" s="3"/>
    </row>
    <row r="90" spans="1:51" x14ac:dyDescent="0.25">
      <c r="A90">
        <v>57</v>
      </c>
      <c r="B90" s="1" t="s">
        <v>98</v>
      </c>
      <c r="C90" s="1" t="s">
        <v>682</v>
      </c>
      <c r="D90" s="2">
        <v>40827</v>
      </c>
      <c r="E90" s="3">
        <v>34.400000000000006</v>
      </c>
      <c r="F90" s="4">
        <f t="shared" si="0"/>
        <v>4971.5079860665392</v>
      </c>
      <c r="G90" s="2">
        <v>40200</v>
      </c>
      <c r="H90" s="7">
        <v>3.96</v>
      </c>
      <c r="I90" s="7">
        <f>H90+H77-2*$A$24</f>
        <v>7.06</v>
      </c>
      <c r="J90" s="7">
        <v>3.38</v>
      </c>
      <c r="K90" s="7">
        <v>5.76</v>
      </c>
      <c r="L90" s="6">
        <f t="shared" si="1"/>
        <v>0.33144475920679889</v>
      </c>
      <c r="M90" s="6">
        <f t="shared" si="2"/>
        <v>0.57507082152974498</v>
      </c>
      <c r="N90" s="6">
        <f t="shared" si="3"/>
        <v>9.3484419263456187E-2</v>
      </c>
      <c r="O90" s="4">
        <f t="shared" si="4"/>
        <v>1647.7802673365018</v>
      </c>
      <c r="P90" s="4">
        <f t="shared" si="5"/>
        <v>2858.9691817889725</v>
      </c>
      <c r="Q90" s="4">
        <f t="shared" si="6"/>
        <v>4506.7494491254747</v>
      </c>
      <c r="V90" s="3"/>
      <c r="W90" s="3"/>
      <c r="Y90" s="7"/>
      <c r="Z90" s="7"/>
      <c r="AA90" s="7"/>
      <c r="AB90" s="7"/>
      <c r="AC90" s="9"/>
      <c r="AD90" s="9"/>
      <c r="AE90" s="9"/>
      <c r="AF90" s="3"/>
      <c r="AG90" s="3"/>
      <c r="AH90" s="3"/>
      <c r="AJ90" t="s">
        <v>749</v>
      </c>
      <c r="AK90" t="s">
        <v>682</v>
      </c>
      <c r="AL90" s="11">
        <f>D75</f>
        <v>40827</v>
      </c>
      <c r="AM90" s="3">
        <f>SUM(E75,E92)</f>
        <v>66.8</v>
      </c>
      <c r="AN90" s="3">
        <f>(AM90-4*$A$20)*$A$21/(2*$A$22)*$A$23</f>
        <v>4817.3048847617447</v>
      </c>
      <c r="AO90" s="11">
        <f>G75</f>
        <v>40200</v>
      </c>
      <c r="AP90" s="7">
        <f>SUM(H75,H92)</f>
        <v>6.96</v>
      </c>
      <c r="AQ90" s="7">
        <f>SUM(I75,I92)</f>
        <v>13.28</v>
      </c>
      <c r="AR90" s="7">
        <f>SUM(J75,J92)</f>
        <v>6.52</v>
      </c>
      <c r="AS90" s="7">
        <f>SUM(K75,K92)</f>
        <v>11.08</v>
      </c>
      <c r="AT90" s="9">
        <f>(AR90-2*$A$25)/AQ90</f>
        <v>0.33433734939759036</v>
      </c>
      <c r="AU90" s="9">
        <f>(AS90-2*$A$26)/AQ90</f>
        <v>0.57831325301204817</v>
      </c>
      <c r="AV90" s="9">
        <f>1-AT90-AU90</f>
        <v>8.7349397590361533E-2</v>
      </c>
      <c r="AW90" s="3">
        <f>AN90*AT90</f>
        <v>1610.6049464113062</v>
      </c>
      <c r="AX90" s="3">
        <f>AN90*AU90</f>
        <v>2785.9112586573942</v>
      </c>
      <c r="AY90" s="3">
        <f>AW90+AX90</f>
        <v>4396.5162050687004</v>
      </c>
    </row>
    <row r="91" spans="1:51" x14ac:dyDescent="0.25">
      <c r="A91">
        <v>58</v>
      </c>
      <c r="B91" s="1" t="s">
        <v>99</v>
      </c>
      <c r="C91" s="1" t="s">
        <v>682</v>
      </c>
      <c r="D91" s="2">
        <v>40827</v>
      </c>
      <c r="E91" s="3">
        <v>33.5</v>
      </c>
      <c r="F91" s="4">
        <f t="shared" si="0"/>
        <v>4832.725194892224</v>
      </c>
      <c r="G91" s="2">
        <v>40200</v>
      </c>
      <c r="H91" s="7">
        <v>3.94</v>
      </c>
      <c r="I91" s="7">
        <f>H91+H76-2*$A$24</f>
        <v>6.82</v>
      </c>
      <c r="J91" s="7">
        <v>3.26</v>
      </c>
      <c r="K91" s="7">
        <v>5.56</v>
      </c>
      <c r="L91" s="6">
        <f t="shared" si="1"/>
        <v>0.32551319648093835</v>
      </c>
      <c r="M91" s="6">
        <f t="shared" si="2"/>
        <v>0.56598240469208205</v>
      </c>
      <c r="N91" s="6">
        <f t="shared" si="3"/>
        <v>0.1085043988269796</v>
      </c>
      <c r="O91" s="4">
        <f t="shared" si="4"/>
        <v>1573.1158259033336</v>
      </c>
      <c r="P91" s="4">
        <f t="shared" si="5"/>
        <v>2735.2374270211117</v>
      </c>
      <c r="Q91" s="4">
        <f t="shared" si="6"/>
        <v>4308.3532529244458</v>
      </c>
      <c r="V91" s="3"/>
      <c r="W91" s="3"/>
      <c r="Y91" s="7"/>
      <c r="Z91" s="7"/>
      <c r="AA91" s="7"/>
      <c r="AB91" s="7"/>
      <c r="AC91" s="9"/>
      <c r="AD91" s="9"/>
      <c r="AE91" s="9"/>
      <c r="AF91" s="3"/>
      <c r="AG91" s="3"/>
      <c r="AH91" s="3"/>
      <c r="AL91" s="11"/>
      <c r="AM91" s="3"/>
      <c r="AN91" s="3"/>
      <c r="AO91" s="11"/>
      <c r="AP91" s="7"/>
      <c r="AQ91" s="7"/>
      <c r="AR91" s="7"/>
      <c r="AS91" s="7"/>
      <c r="AT91" s="9"/>
      <c r="AU91" s="9"/>
      <c r="AV91" s="9"/>
      <c r="AW91" s="3"/>
      <c r="AX91" s="3"/>
      <c r="AY91" s="3"/>
    </row>
    <row r="92" spans="1:51" x14ac:dyDescent="0.25">
      <c r="A92">
        <v>59</v>
      </c>
      <c r="B92" s="1" t="s">
        <v>100</v>
      </c>
      <c r="C92" s="1" t="s">
        <v>682</v>
      </c>
      <c r="D92" s="2">
        <v>40827</v>
      </c>
      <c r="E92" s="3">
        <v>34.799999999999997</v>
      </c>
      <c r="F92" s="4">
        <f t="shared" si="0"/>
        <v>5033.1892265884544</v>
      </c>
      <c r="G92" s="2">
        <v>40200</v>
      </c>
      <c r="H92" s="7">
        <v>3.64</v>
      </c>
      <c r="I92" s="7">
        <f>H92+H75-2*$A$24</f>
        <v>6.64</v>
      </c>
      <c r="J92" s="7">
        <v>3.26</v>
      </c>
      <c r="K92" s="7">
        <v>5.54</v>
      </c>
      <c r="L92" s="6">
        <f t="shared" si="1"/>
        <v>0.33433734939759036</v>
      </c>
      <c r="M92" s="6">
        <f t="shared" si="2"/>
        <v>0.57831325301204817</v>
      </c>
      <c r="N92" s="6">
        <f t="shared" si="3"/>
        <v>8.7349397590361533E-2</v>
      </c>
      <c r="O92" s="4">
        <f t="shared" si="4"/>
        <v>1682.7831450340916</v>
      </c>
      <c r="P92" s="4">
        <f t="shared" si="5"/>
        <v>2910.7600346535637</v>
      </c>
      <c r="Q92" s="4">
        <f t="shared" si="6"/>
        <v>4593.5431796876555</v>
      </c>
      <c r="V92" s="3"/>
      <c r="W92" s="3"/>
      <c r="Y92" s="7"/>
      <c r="Z92" s="7"/>
      <c r="AA92" s="7"/>
      <c r="AB92" s="7"/>
      <c r="AC92" s="9"/>
      <c r="AD92" s="9"/>
      <c r="AE92" s="9"/>
      <c r="AF92" s="3"/>
      <c r="AG92" s="3"/>
      <c r="AH92" s="3"/>
      <c r="AJ92" t="s">
        <v>750</v>
      </c>
      <c r="AK92" t="s">
        <v>682</v>
      </c>
      <c r="AL92" s="11">
        <f>D74</f>
        <v>40827</v>
      </c>
      <c r="AM92" s="3">
        <f>SUM(E74,E93)</f>
        <v>56.6</v>
      </c>
      <c r="AN92" s="3">
        <f>(AM92-4*$A$20)*$A$21/(2*$A$22)*$A$23</f>
        <v>4030.869068107299</v>
      </c>
      <c r="AO92" s="11">
        <f>G74</f>
        <v>40200</v>
      </c>
      <c r="AP92" s="7">
        <f>SUM(H74,H93)</f>
        <v>6.84</v>
      </c>
      <c r="AQ92" s="7">
        <f>SUM(I74,I93)</f>
        <v>13.04</v>
      </c>
      <c r="AR92" s="7">
        <f>SUM(J74,J93)</f>
        <v>6.44</v>
      </c>
      <c r="AS92" s="7">
        <f>SUM(K74,K93)</f>
        <v>10.76</v>
      </c>
      <c r="AT92" s="9">
        <f>(AR92-2*$A$25)/AQ92</f>
        <v>0.33435582822085896</v>
      </c>
      <c r="AU92" s="9">
        <f>(AS92-2*$A$26)/AQ92</f>
        <v>0.56441717791411039</v>
      </c>
      <c r="AV92" s="9">
        <f>1-AT92-AU92</f>
        <v>0.10122699386503065</v>
      </c>
      <c r="AW92" s="3">
        <f>AN92*AT92</f>
        <v>1347.744565716858</v>
      </c>
      <c r="AX92" s="3">
        <f>AN92*AU92</f>
        <v>2275.0917439624018</v>
      </c>
      <c r="AY92" s="3">
        <f>AW92+AX92</f>
        <v>3622.83630967926</v>
      </c>
    </row>
    <row r="93" spans="1:51" x14ac:dyDescent="0.25">
      <c r="A93">
        <v>60</v>
      </c>
      <c r="B93" s="1" t="s">
        <v>101</v>
      </c>
      <c r="C93" s="1" t="s">
        <v>682</v>
      </c>
      <c r="D93" s="2">
        <v>40827</v>
      </c>
      <c r="E93" s="3">
        <v>29.900000000000002</v>
      </c>
      <c r="F93" s="4">
        <f t="shared" si="0"/>
        <v>4277.5940301949686</v>
      </c>
      <c r="G93" s="2">
        <v>40200</v>
      </c>
      <c r="H93" s="7">
        <v>3.48</v>
      </c>
      <c r="I93" s="7">
        <f>H93+H74-2*$A$24</f>
        <v>6.52</v>
      </c>
      <c r="J93" s="7">
        <v>3.22</v>
      </c>
      <c r="K93" s="7">
        <v>5.38</v>
      </c>
      <c r="L93" s="6">
        <f t="shared" si="1"/>
        <v>0.33435582822085896</v>
      </c>
      <c r="M93" s="6">
        <f t="shared" si="2"/>
        <v>0.56441717791411039</v>
      </c>
      <c r="N93" s="6">
        <f t="shared" si="3"/>
        <v>0.10122699386503065</v>
      </c>
      <c r="O93" s="4">
        <f t="shared" si="4"/>
        <v>1430.2384947584408</v>
      </c>
      <c r="P93" s="4">
        <f t="shared" si="5"/>
        <v>2414.3475507848902</v>
      </c>
      <c r="Q93" s="4">
        <f t="shared" si="6"/>
        <v>3844.5860455433312</v>
      </c>
      <c r="V93" s="3"/>
      <c r="W93" s="3"/>
      <c r="Y93" s="7"/>
      <c r="Z93" s="7"/>
      <c r="AA93" s="7"/>
      <c r="AB93" s="7"/>
      <c r="AC93" s="9"/>
      <c r="AD93" s="9"/>
      <c r="AE93" s="9"/>
      <c r="AF93" s="3"/>
      <c r="AG93" s="3"/>
      <c r="AH93" s="3"/>
      <c r="AL93" s="11"/>
      <c r="AM93" s="3"/>
      <c r="AN93" s="3"/>
      <c r="AO93" s="11"/>
      <c r="AP93" s="7"/>
      <c r="AQ93" s="7"/>
      <c r="AR93" s="7"/>
      <c r="AS93" s="7"/>
      <c r="AT93" s="9"/>
      <c r="AU93" s="9"/>
      <c r="AV93" s="9"/>
      <c r="AW93" s="3"/>
      <c r="AX93" s="3"/>
      <c r="AY93" s="3"/>
    </row>
    <row r="94" spans="1:51" x14ac:dyDescent="0.25">
      <c r="A94">
        <v>61</v>
      </c>
      <c r="B94" s="1" t="s">
        <v>102</v>
      </c>
      <c r="C94" s="1" t="s">
        <v>682</v>
      </c>
      <c r="D94" s="2">
        <v>40827</v>
      </c>
      <c r="E94" s="3">
        <v>28.700000000000003</v>
      </c>
      <c r="F94" s="4">
        <f t="shared" si="0"/>
        <v>4092.550308629216</v>
      </c>
      <c r="G94" s="2">
        <v>40200</v>
      </c>
      <c r="H94" s="7">
        <v>3.66</v>
      </c>
      <c r="I94" s="7">
        <f>H94+H113-2*$A$24</f>
        <v>6.76</v>
      </c>
      <c r="J94" s="7">
        <v>3.3</v>
      </c>
      <c r="K94" s="7">
        <v>5.6</v>
      </c>
      <c r="L94" s="6">
        <f t="shared" si="1"/>
        <v>0.33431952662721892</v>
      </c>
      <c r="M94" s="6">
        <f t="shared" si="2"/>
        <v>0.57692307692307687</v>
      </c>
      <c r="N94" s="6">
        <f t="shared" si="3"/>
        <v>8.8757396449704151E-2</v>
      </c>
      <c r="O94" s="4">
        <f t="shared" si="4"/>
        <v>1368.2194818789983</v>
      </c>
      <c r="P94" s="4">
        <f t="shared" si="5"/>
        <v>2361.0867165168552</v>
      </c>
      <c r="Q94" s="4">
        <f t="shared" si="6"/>
        <v>3729.3061983958532</v>
      </c>
      <c r="V94" s="3"/>
      <c r="W94" s="3"/>
      <c r="Y94" s="7"/>
      <c r="Z94" s="7"/>
      <c r="AA94" s="7"/>
      <c r="AB94" s="7"/>
      <c r="AC94" s="9"/>
      <c r="AD94" s="9"/>
      <c r="AE94" s="9"/>
      <c r="AF94" s="3"/>
      <c r="AG94" s="3"/>
      <c r="AH94" s="3"/>
      <c r="AJ94" t="s">
        <v>751</v>
      </c>
      <c r="AK94" t="s">
        <v>682</v>
      </c>
      <c r="AL94" s="11">
        <f>D103</f>
        <v>40827</v>
      </c>
      <c r="AM94" s="3">
        <f>SUM(E103,E104)</f>
        <v>70.099999999999994</v>
      </c>
      <c r="AN94" s="3">
        <f>(AM94-4*$A$20)*$A$21/(2*$A$22)*$A$23</f>
        <v>5071.7400019146544</v>
      </c>
      <c r="AO94" s="11">
        <f>G103</f>
        <v>40200</v>
      </c>
      <c r="AP94" s="7">
        <f>SUM(H103,H104)</f>
        <v>7.32</v>
      </c>
      <c r="AQ94" s="7">
        <f>SUM(I103,I104)</f>
        <v>14</v>
      </c>
      <c r="AR94" s="7">
        <f>SUM(J103,J104)</f>
        <v>6.84</v>
      </c>
      <c r="AS94" s="7">
        <f>SUM(K103,K104)</f>
        <v>11.52</v>
      </c>
      <c r="AT94" s="9">
        <f>(AR94-2*$A$25)/AQ94</f>
        <v>0.33999999999999997</v>
      </c>
      <c r="AU94" s="9">
        <f>(AS94-2*$A$26)/AQ94</f>
        <v>0.57999999999999996</v>
      </c>
      <c r="AV94" s="9">
        <f>1-AT94-AU94</f>
        <v>8.0000000000000071E-2</v>
      </c>
      <c r="AW94" s="3">
        <f>AN94*AT94</f>
        <v>1724.3916006509824</v>
      </c>
      <c r="AX94" s="3">
        <f>AN94*AU94</f>
        <v>2941.6092011104993</v>
      </c>
      <c r="AY94" s="3">
        <f>AW94+AX94</f>
        <v>4666.0008017614819</v>
      </c>
    </row>
    <row r="95" spans="1:51" x14ac:dyDescent="0.25">
      <c r="A95">
        <v>62</v>
      </c>
      <c r="B95" s="1" t="s">
        <v>103</v>
      </c>
      <c r="C95" s="1" t="s">
        <v>682</v>
      </c>
      <c r="D95" s="2">
        <v>40827</v>
      </c>
      <c r="E95" s="3">
        <v>35.5</v>
      </c>
      <c r="F95" s="4">
        <f t="shared" si="0"/>
        <v>5141.1313975018111</v>
      </c>
      <c r="G95" s="2">
        <v>40200</v>
      </c>
      <c r="H95" s="7">
        <v>3.94</v>
      </c>
      <c r="I95" s="7">
        <f>H95+H112-2*$A$24</f>
        <v>7.2799999999999994</v>
      </c>
      <c r="J95" s="7">
        <v>3.38</v>
      </c>
      <c r="K95" s="7">
        <v>5.9</v>
      </c>
      <c r="L95" s="6">
        <f t="shared" si="1"/>
        <v>0.32142857142857145</v>
      </c>
      <c r="M95" s="6">
        <f t="shared" si="2"/>
        <v>0.57692307692307698</v>
      </c>
      <c r="N95" s="6">
        <f t="shared" si="3"/>
        <v>0.10164835164835162</v>
      </c>
      <c r="O95" s="4">
        <f t="shared" si="4"/>
        <v>1652.5065206255822</v>
      </c>
      <c r="P95" s="4">
        <f t="shared" si="5"/>
        <v>2966.0373447125835</v>
      </c>
      <c r="Q95" s="4">
        <f t="shared" si="6"/>
        <v>4618.5438653381661</v>
      </c>
      <c r="V95" s="3"/>
      <c r="W95" s="3"/>
      <c r="Y95" s="7"/>
      <c r="Z95" s="7"/>
      <c r="AA95" s="7"/>
      <c r="AB95" s="7"/>
      <c r="AC95" s="9"/>
      <c r="AD95" s="9"/>
      <c r="AE95" s="9"/>
      <c r="AF95" s="3"/>
      <c r="AG95" s="3"/>
      <c r="AH95" s="3"/>
      <c r="AL95" s="11"/>
      <c r="AM95" s="3"/>
      <c r="AN95" s="3"/>
      <c r="AO95" s="11"/>
      <c r="AP95" s="7"/>
      <c r="AQ95" s="7"/>
      <c r="AR95" s="7"/>
      <c r="AS95" s="7"/>
      <c r="AT95" s="9"/>
      <c r="AU95" s="9"/>
      <c r="AV95" s="9"/>
      <c r="AW95" s="3"/>
      <c r="AX95" s="3"/>
      <c r="AY95" s="3"/>
    </row>
    <row r="96" spans="1:51" x14ac:dyDescent="0.25">
      <c r="A96">
        <v>63</v>
      </c>
      <c r="B96" s="1" t="s">
        <v>104</v>
      </c>
      <c r="C96" s="1" t="s">
        <v>682</v>
      </c>
      <c r="D96" s="2">
        <v>40827</v>
      </c>
      <c r="E96" s="3">
        <v>33</v>
      </c>
      <c r="F96" s="4">
        <f t="shared" si="0"/>
        <v>4755.6236442398267</v>
      </c>
      <c r="G96" s="2">
        <v>40200</v>
      </c>
      <c r="H96" s="7">
        <v>4.4800000000000004</v>
      </c>
      <c r="I96" s="7">
        <f>H96+H111-2*$A$24</f>
        <v>7.4</v>
      </c>
      <c r="J96" s="7">
        <v>3.5</v>
      </c>
      <c r="K96" s="7">
        <v>5.98</v>
      </c>
      <c r="L96" s="6">
        <f t="shared" si="1"/>
        <v>0.33243243243243242</v>
      </c>
      <c r="M96" s="6">
        <f t="shared" si="2"/>
        <v>0.57837837837837835</v>
      </c>
      <c r="N96" s="6">
        <f t="shared" si="3"/>
        <v>8.9189189189189277E-2</v>
      </c>
      <c r="O96" s="4">
        <f t="shared" si="4"/>
        <v>1580.9235357878342</v>
      </c>
      <c r="P96" s="4">
        <f t="shared" si="5"/>
        <v>2750.5498915333051</v>
      </c>
      <c r="Q96" s="4">
        <f t="shared" si="6"/>
        <v>4331.4734273211398</v>
      </c>
      <c r="V96" s="3"/>
      <c r="W96" s="3"/>
      <c r="Y96" s="7"/>
      <c r="Z96" s="7"/>
      <c r="AA96" s="7"/>
      <c r="AB96" s="7"/>
      <c r="AC96" s="9"/>
      <c r="AD96" s="9"/>
      <c r="AE96" s="9"/>
      <c r="AF96" s="3"/>
      <c r="AG96" s="3"/>
      <c r="AH96" s="3"/>
      <c r="AJ96" t="s">
        <v>752</v>
      </c>
      <c r="AK96" t="s">
        <v>682</v>
      </c>
      <c r="AL96" s="11">
        <f>D102</f>
        <v>40827</v>
      </c>
      <c r="AM96" s="3">
        <f>SUM(E102,E105)</f>
        <v>72.199999999999989</v>
      </c>
      <c r="AN96" s="3">
        <f>(AM96-4*$A$20)*$A$21/(2*$A$22)*$A$23</f>
        <v>5233.6532582846858</v>
      </c>
      <c r="AO96" s="11">
        <f>G102</f>
        <v>40200</v>
      </c>
      <c r="AP96" s="7">
        <f>SUM(H102,H105)</f>
        <v>6.52</v>
      </c>
      <c r="AQ96" s="7">
        <f>SUM(I102,I105)</f>
        <v>12.399999999999999</v>
      </c>
      <c r="AR96" s="7">
        <f>SUM(J102,J105)</f>
        <v>6.16</v>
      </c>
      <c r="AS96" s="7">
        <f>SUM(K102,K105)</f>
        <v>10.52</v>
      </c>
      <c r="AT96" s="9">
        <f>(AR96-2*$A$25)/AQ96</f>
        <v>0.32903225806451619</v>
      </c>
      <c r="AU96" s="9">
        <f>(AS96-2*$A$26)/AQ96</f>
        <v>0.5741935483870968</v>
      </c>
      <c r="AV96" s="9">
        <f>1-AT96-AU96</f>
        <v>9.6774193548387011E-2</v>
      </c>
      <c r="AW96" s="3">
        <f>AN96*AT96</f>
        <v>1722.0407495001227</v>
      </c>
      <c r="AX96" s="3">
        <f>AN96*AU96</f>
        <v>3005.1299354021744</v>
      </c>
      <c r="AY96" s="3">
        <f>AW96+AX96</f>
        <v>4727.1706849022976</v>
      </c>
    </row>
    <row r="97" spans="1:51" x14ac:dyDescent="0.25">
      <c r="A97">
        <v>64</v>
      </c>
      <c r="B97" s="1" t="s">
        <v>105</v>
      </c>
      <c r="C97" s="1" t="s">
        <v>682</v>
      </c>
      <c r="D97" s="2">
        <v>40827</v>
      </c>
      <c r="E97" s="3">
        <v>34.1</v>
      </c>
      <c r="F97" s="4">
        <f t="shared" si="0"/>
        <v>4925.2470556751005</v>
      </c>
      <c r="G97" s="2">
        <v>40200</v>
      </c>
      <c r="H97" s="7">
        <v>3.7</v>
      </c>
      <c r="I97" s="7">
        <f>H97+H110-2*$A$24</f>
        <v>6.68</v>
      </c>
      <c r="J97" s="7">
        <v>3.22</v>
      </c>
      <c r="K97" s="7">
        <v>5.48</v>
      </c>
      <c r="L97" s="6">
        <f t="shared" si="1"/>
        <v>0.32634730538922158</v>
      </c>
      <c r="M97" s="6">
        <f t="shared" si="2"/>
        <v>0.56586826347305397</v>
      </c>
      <c r="N97" s="6">
        <f t="shared" si="3"/>
        <v>0.1077844311377244</v>
      </c>
      <c r="O97" s="4">
        <f t="shared" si="4"/>
        <v>1607.3411049957665</v>
      </c>
      <c r="P97" s="4">
        <f t="shared" si="5"/>
        <v>2787.040998570641</v>
      </c>
      <c r="Q97" s="4">
        <f t="shared" si="6"/>
        <v>4394.3821035664077</v>
      </c>
      <c r="V97" s="3"/>
      <c r="W97" s="3"/>
      <c r="Y97" s="7"/>
      <c r="Z97" s="7"/>
      <c r="AA97" s="7"/>
      <c r="AB97" s="7"/>
      <c r="AC97" s="9"/>
      <c r="AD97" s="9"/>
      <c r="AE97" s="9"/>
      <c r="AF97" s="3"/>
      <c r="AG97" s="3"/>
      <c r="AH97" s="3"/>
      <c r="AL97" s="11"/>
      <c r="AM97" s="3"/>
      <c r="AN97" s="3"/>
      <c r="AO97" s="11"/>
      <c r="AP97" s="7"/>
      <c r="AQ97" s="7"/>
      <c r="AR97" s="7"/>
      <c r="AS97" s="7"/>
      <c r="AT97" s="9"/>
      <c r="AU97" s="9"/>
      <c r="AV97" s="9"/>
      <c r="AW97" s="3"/>
      <c r="AX97" s="3"/>
      <c r="AY97" s="3"/>
    </row>
    <row r="98" spans="1:51" x14ac:dyDescent="0.25">
      <c r="A98">
        <v>65</v>
      </c>
      <c r="B98" s="1" t="s">
        <v>106</v>
      </c>
      <c r="C98" s="1" t="s">
        <v>682</v>
      </c>
      <c r="D98" s="2">
        <v>40827</v>
      </c>
      <c r="E98" s="3">
        <v>38.5</v>
      </c>
      <c r="F98" s="4">
        <f t="shared" si="0"/>
        <v>5603.7407014161909</v>
      </c>
      <c r="G98" s="2">
        <v>40200</v>
      </c>
      <c r="H98" s="7">
        <v>3.76</v>
      </c>
      <c r="I98" s="7">
        <f>H98+H109-2*$A$24</f>
        <v>7.5799999999999992</v>
      </c>
      <c r="J98" s="7">
        <v>3.54</v>
      </c>
      <c r="K98" s="7">
        <v>6.06</v>
      </c>
      <c r="L98" s="6">
        <f t="shared" si="1"/>
        <v>0.3298153034300792</v>
      </c>
      <c r="M98" s="6">
        <f t="shared" si="2"/>
        <v>0.57519788918205805</v>
      </c>
      <c r="N98" s="6">
        <f t="shared" si="3"/>
        <v>9.4986807387862693E-2</v>
      </c>
      <c r="O98" s="4">
        <f t="shared" si="4"/>
        <v>1848.1994397810658</v>
      </c>
      <c r="P98" s="4">
        <f t="shared" si="5"/>
        <v>3223.2598229781784</v>
      </c>
      <c r="Q98" s="4">
        <f t="shared" si="6"/>
        <v>5071.4592627592447</v>
      </c>
      <c r="V98" s="3"/>
      <c r="W98" s="3"/>
      <c r="Y98" s="7"/>
      <c r="Z98" s="7"/>
      <c r="AA98" s="7"/>
      <c r="AB98" s="7"/>
      <c r="AC98" s="9"/>
      <c r="AD98" s="9"/>
      <c r="AE98" s="9"/>
      <c r="AF98" s="3"/>
      <c r="AG98" s="3"/>
      <c r="AH98" s="3"/>
      <c r="AJ98" t="s">
        <v>753</v>
      </c>
      <c r="AK98" t="s">
        <v>682</v>
      </c>
      <c r="AL98" s="11">
        <f>D101</f>
        <v>40827</v>
      </c>
      <c r="AM98" s="3">
        <f>SUM(E101,E106)</f>
        <v>66.7</v>
      </c>
      <c r="AN98" s="3">
        <f>(AM98-4*$A$20)*$A$21/(2*$A$22)*$A$23</f>
        <v>4809.5947296965051</v>
      </c>
      <c r="AO98" s="11">
        <f>G101</f>
        <v>40200</v>
      </c>
      <c r="AP98" s="7">
        <f>SUM(H101,H106)</f>
        <v>6.8599999999999994</v>
      </c>
      <c r="AQ98" s="7">
        <f>SUM(I101,I106)</f>
        <v>13.079999999999998</v>
      </c>
      <c r="AR98" s="7">
        <f>SUM(J101,J106)</f>
        <v>6.44</v>
      </c>
      <c r="AS98" s="7">
        <f>SUM(K101,K106)</f>
        <v>11</v>
      </c>
      <c r="AT98" s="9">
        <f>(AR98-2*$A$25)/AQ98</f>
        <v>0.33333333333333343</v>
      </c>
      <c r="AU98" s="9">
        <f>(AS98-2*$A$26)/AQ98</f>
        <v>0.58103975535168195</v>
      </c>
      <c r="AV98" s="9">
        <f>1-AT98-AU98</f>
        <v>8.5626911314984566E-2</v>
      </c>
      <c r="AW98" s="3">
        <f>AN98*AT98</f>
        <v>1603.1982432321688</v>
      </c>
      <c r="AX98" s="3">
        <f>AN98*AU98</f>
        <v>2794.5657450835961</v>
      </c>
      <c r="AY98" s="3">
        <f>AW98+AX98</f>
        <v>4397.7639883157644</v>
      </c>
    </row>
    <row r="99" spans="1:51" x14ac:dyDescent="0.25">
      <c r="A99">
        <v>66</v>
      </c>
      <c r="B99" s="1" t="s">
        <v>107</v>
      </c>
      <c r="C99" s="1" t="s">
        <v>682</v>
      </c>
      <c r="D99" s="2">
        <v>40827</v>
      </c>
      <c r="E99" s="3">
        <v>31.4</v>
      </c>
      <c r="F99" s="4">
        <f t="shared" ref="F99:F162" si="7">(E99-2*$A$20)*$A$21/$A$22*$A$23</f>
        <v>4508.8986821521576</v>
      </c>
      <c r="G99" s="2">
        <v>40200</v>
      </c>
      <c r="H99" s="7">
        <v>2.9</v>
      </c>
      <c r="I99" s="7">
        <f>H99+H108-2*$A$24</f>
        <v>6.08</v>
      </c>
      <c r="J99" s="7">
        <v>3.04</v>
      </c>
      <c r="K99" s="7">
        <v>5.22</v>
      </c>
      <c r="L99" s="6">
        <f t="shared" ref="L99:L162" si="8">(J99-$A$25)/I99</f>
        <v>0.32894736842105265</v>
      </c>
      <c r="M99" s="6">
        <f t="shared" ref="M99:M162" si="9">(K99-$A$26)/I99</f>
        <v>0.57894736842105254</v>
      </c>
      <c r="N99" s="6">
        <f t="shared" ref="N99:N162" si="10">1-L99-M99</f>
        <v>9.2105263157894801E-2</v>
      </c>
      <c r="O99" s="4">
        <f t="shared" ref="O99:O162" si="11">F99*L99</f>
        <v>1483.1903559711045</v>
      </c>
      <c r="P99" s="4">
        <f t="shared" ref="P99:P162" si="12">F99*M99</f>
        <v>2610.4150265091434</v>
      </c>
      <c r="Q99" s="4">
        <f t="shared" ref="Q99:Q162" si="13">O99+P99</f>
        <v>4093.605382480248</v>
      </c>
      <c r="V99" s="3"/>
      <c r="W99" s="3"/>
      <c r="Y99" s="7"/>
      <c r="Z99" s="7"/>
      <c r="AA99" s="7"/>
      <c r="AB99" s="7"/>
      <c r="AC99" s="9"/>
      <c r="AD99" s="9"/>
      <c r="AE99" s="9"/>
      <c r="AF99" s="3"/>
      <c r="AG99" s="3"/>
      <c r="AH99" s="3"/>
      <c r="AL99" s="11"/>
      <c r="AM99" s="3"/>
      <c r="AN99" s="3"/>
      <c r="AO99" s="11"/>
      <c r="AP99" s="7"/>
      <c r="AQ99" s="7"/>
      <c r="AR99" s="7"/>
      <c r="AS99" s="7"/>
      <c r="AT99" s="9"/>
      <c r="AU99" s="9"/>
      <c r="AV99" s="9"/>
      <c r="AW99" s="3"/>
      <c r="AX99" s="3"/>
      <c r="AY99" s="3"/>
    </row>
    <row r="100" spans="1:51" x14ac:dyDescent="0.25">
      <c r="A100">
        <v>67</v>
      </c>
      <c r="B100" s="1" t="s">
        <v>108</v>
      </c>
      <c r="C100" s="1" t="s">
        <v>682</v>
      </c>
      <c r="D100" s="2">
        <v>40827</v>
      </c>
      <c r="E100" s="3">
        <v>33.299999999999997</v>
      </c>
      <c r="F100" s="4">
        <f t="shared" si="7"/>
        <v>4801.8845746312645</v>
      </c>
      <c r="G100" s="2">
        <v>40200</v>
      </c>
      <c r="H100" s="7">
        <v>4.0999999999999996</v>
      </c>
      <c r="I100" s="7">
        <f>H100+H107-2*$A$24</f>
        <v>6.9599999999999991</v>
      </c>
      <c r="J100" s="7">
        <v>3.34</v>
      </c>
      <c r="K100" s="7">
        <v>5.66</v>
      </c>
      <c r="L100" s="6">
        <f t="shared" si="8"/>
        <v>0.33045977011494254</v>
      </c>
      <c r="M100" s="6">
        <f t="shared" si="9"/>
        <v>0.56896551724137934</v>
      </c>
      <c r="N100" s="6">
        <f t="shared" si="10"/>
        <v>0.10057471264367812</v>
      </c>
      <c r="O100" s="4">
        <f t="shared" si="11"/>
        <v>1586.8296726511364</v>
      </c>
      <c r="P100" s="4">
        <f t="shared" si="12"/>
        <v>2732.106740738478</v>
      </c>
      <c r="Q100" s="4">
        <f t="shared" si="13"/>
        <v>4318.9364133896142</v>
      </c>
      <c r="V100" s="3"/>
      <c r="W100" s="3"/>
      <c r="Y100" s="7"/>
      <c r="Z100" s="7"/>
      <c r="AA100" s="7"/>
      <c r="AB100" s="7"/>
      <c r="AC100" s="9"/>
      <c r="AD100" s="9"/>
      <c r="AE100" s="9"/>
      <c r="AF100" s="3"/>
      <c r="AG100" s="3"/>
      <c r="AH100" s="3"/>
      <c r="AJ100" t="s">
        <v>754</v>
      </c>
      <c r="AK100" t="s">
        <v>682</v>
      </c>
      <c r="AL100" s="11">
        <f>D100</f>
        <v>40827</v>
      </c>
      <c r="AM100" s="3">
        <f>SUM(E100,E107)</f>
        <v>65.400000000000006</v>
      </c>
      <c r="AN100" s="3">
        <f>(AM100-4*$A$20)*$A$21/(2*$A$22)*$A$23</f>
        <v>4709.3627138483898</v>
      </c>
      <c r="AO100" s="11">
        <f>G100</f>
        <v>40200</v>
      </c>
      <c r="AP100" s="7">
        <f>SUM(H100,H107)</f>
        <v>7.2799999999999994</v>
      </c>
      <c r="AQ100" s="7">
        <f>SUM(I100,I107)</f>
        <v>13.919999999999998</v>
      </c>
      <c r="AR100" s="7">
        <f>SUM(J100,J107)</f>
        <v>6.68</v>
      </c>
      <c r="AS100" s="7">
        <f>SUM(K100,K107)</f>
        <v>11.32</v>
      </c>
      <c r="AT100" s="9">
        <f>(AR100-2*$A$25)/AQ100</f>
        <v>0.33045977011494254</v>
      </c>
      <c r="AU100" s="9">
        <f>(AS100-2*$A$26)/AQ100</f>
        <v>0.56896551724137934</v>
      </c>
      <c r="AV100" s="9">
        <f>1-AT100-AU100</f>
        <v>0.10057471264367812</v>
      </c>
      <c r="AW100" s="3">
        <f>AN100*AT100</f>
        <v>1556.2549198062209</v>
      </c>
      <c r="AX100" s="3">
        <f>AN100*AU100</f>
        <v>2679.464992362015</v>
      </c>
      <c r="AY100" s="3">
        <f>AW100+AX100</f>
        <v>4235.7199121682361</v>
      </c>
    </row>
    <row r="101" spans="1:51" x14ac:dyDescent="0.25">
      <c r="A101">
        <v>68</v>
      </c>
      <c r="B101" s="1" t="s">
        <v>109</v>
      </c>
      <c r="C101" s="1" t="s">
        <v>682</v>
      </c>
      <c r="D101" s="2">
        <v>40827</v>
      </c>
      <c r="E101" s="3">
        <v>33.299999999999997</v>
      </c>
      <c r="F101" s="4">
        <f t="shared" si="7"/>
        <v>4801.8845746312645</v>
      </c>
      <c r="G101" s="2">
        <v>40200</v>
      </c>
      <c r="H101" s="7">
        <v>3.48</v>
      </c>
      <c r="I101" s="7">
        <f>H101+H106-2*$A$24</f>
        <v>6.5399999999999991</v>
      </c>
      <c r="J101" s="7">
        <v>3.22</v>
      </c>
      <c r="K101" s="7">
        <v>5.5</v>
      </c>
      <c r="L101" s="6">
        <f t="shared" si="8"/>
        <v>0.33333333333333343</v>
      </c>
      <c r="M101" s="6">
        <f t="shared" si="9"/>
        <v>0.58103975535168195</v>
      </c>
      <c r="N101" s="6">
        <f t="shared" si="10"/>
        <v>8.5626911314984566E-2</v>
      </c>
      <c r="O101" s="4">
        <f t="shared" si="11"/>
        <v>1600.6281915437553</v>
      </c>
      <c r="P101" s="4">
        <f t="shared" si="12"/>
        <v>2790.0858384707653</v>
      </c>
      <c r="Q101" s="4">
        <f t="shared" si="13"/>
        <v>4390.7140300145202</v>
      </c>
      <c r="V101" s="3"/>
      <c r="W101" s="3"/>
      <c r="Y101" s="7"/>
      <c r="Z101" s="7"/>
      <c r="AA101" s="7"/>
      <c r="AB101" s="7"/>
      <c r="AC101" s="9"/>
      <c r="AD101" s="9"/>
      <c r="AE101" s="9"/>
      <c r="AF101" s="3"/>
      <c r="AG101" s="3"/>
      <c r="AH101" s="3"/>
      <c r="AL101" s="11"/>
      <c r="AM101" s="3"/>
      <c r="AN101" s="3"/>
      <c r="AO101" s="11"/>
      <c r="AP101" s="7"/>
      <c r="AQ101" s="7"/>
      <c r="AR101" s="7"/>
      <c r="AS101" s="7"/>
      <c r="AT101" s="9"/>
      <c r="AU101" s="9"/>
      <c r="AV101" s="9"/>
      <c r="AW101" s="3"/>
      <c r="AX101" s="3"/>
      <c r="AY101" s="3"/>
    </row>
    <row r="102" spans="1:51" x14ac:dyDescent="0.25">
      <c r="A102">
        <v>69</v>
      </c>
      <c r="B102" s="1" t="s">
        <v>110</v>
      </c>
      <c r="C102" s="1" t="s">
        <v>682</v>
      </c>
      <c r="D102" s="2">
        <v>40827</v>
      </c>
      <c r="E102" s="3">
        <v>35.6</v>
      </c>
      <c r="F102" s="4">
        <f t="shared" si="7"/>
        <v>5156.5517076322894</v>
      </c>
      <c r="G102" s="2">
        <v>40200</v>
      </c>
      <c r="H102" s="7">
        <v>3.62</v>
      </c>
      <c r="I102" s="7">
        <f>H102+H105-2*$A$24</f>
        <v>6.1999999999999993</v>
      </c>
      <c r="J102" s="7">
        <v>3.08</v>
      </c>
      <c r="K102" s="7">
        <v>5.26</v>
      </c>
      <c r="L102" s="6">
        <f t="shared" si="8"/>
        <v>0.32903225806451619</v>
      </c>
      <c r="M102" s="6">
        <f t="shared" si="9"/>
        <v>0.5741935483870968</v>
      </c>
      <c r="N102" s="6">
        <f t="shared" si="10"/>
        <v>9.6774193548387011E-2</v>
      </c>
      <c r="O102" s="4">
        <f t="shared" si="11"/>
        <v>1696.6718521886892</v>
      </c>
      <c r="P102" s="4">
        <f t="shared" si="12"/>
        <v>2960.8587224469275</v>
      </c>
      <c r="Q102" s="4">
        <f t="shared" si="13"/>
        <v>4657.5305746356171</v>
      </c>
      <c r="V102" s="3"/>
      <c r="W102" s="3"/>
      <c r="Y102" s="7"/>
      <c r="Z102" s="7"/>
      <c r="AA102" s="7"/>
      <c r="AB102" s="7"/>
      <c r="AC102" s="9"/>
      <c r="AD102" s="9"/>
      <c r="AE102" s="9"/>
      <c r="AF102" s="3"/>
      <c r="AG102" s="3"/>
      <c r="AH102" s="3"/>
      <c r="AJ102" t="s">
        <v>755</v>
      </c>
      <c r="AK102" t="s">
        <v>682</v>
      </c>
      <c r="AL102" s="11">
        <f>D99</f>
        <v>40827</v>
      </c>
      <c r="AM102" s="3">
        <f>SUM(E99,E108)</f>
        <v>62.2</v>
      </c>
      <c r="AN102" s="3">
        <f>(AM102-4*$A$20)*$A$21/(2*$A$22)*$A$23</f>
        <v>4462.6377517607198</v>
      </c>
      <c r="AO102" s="11">
        <f>G99</f>
        <v>40200</v>
      </c>
      <c r="AP102" s="7">
        <f>SUM(H99,H108)</f>
        <v>6.4</v>
      </c>
      <c r="AQ102" s="7">
        <f>SUM(I99,I108)</f>
        <v>12.16</v>
      </c>
      <c r="AR102" s="7">
        <f>SUM(J99,J108)</f>
        <v>6.08</v>
      </c>
      <c r="AS102" s="7">
        <f>SUM(K99,K108)</f>
        <v>10.44</v>
      </c>
      <c r="AT102" s="9">
        <f>(AR102-2*$A$25)/AQ102</f>
        <v>0.32894736842105265</v>
      </c>
      <c r="AU102" s="9">
        <f>(AS102-2*$A$26)/AQ102</f>
        <v>0.57894736842105254</v>
      </c>
      <c r="AV102" s="9">
        <f>1-AT102-AU102</f>
        <v>9.2105263157894801E-2</v>
      </c>
      <c r="AW102" s="3">
        <f>AN102*AT102</f>
        <v>1467.9729446581316</v>
      </c>
      <c r="AX102" s="3">
        <f>AN102*AU102</f>
        <v>2583.6323825983109</v>
      </c>
      <c r="AY102" s="3">
        <f>AW102+AX102</f>
        <v>4051.6053272564423</v>
      </c>
    </row>
    <row r="103" spans="1:51" x14ac:dyDescent="0.25">
      <c r="A103">
        <v>70</v>
      </c>
      <c r="B103" s="1" t="s">
        <v>111</v>
      </c>
      <c r="C103" s="1" t="s">
        <v>682</v>
      </c>
      <c r="D103" s="2">
        <v>40827</v>
      </c>
      <c r="E103" s="3">
        <v>35.1</v>
      </c>
      <c r="F103" s="4">
        <f t="shared" si="7"/>
        <v>5079.4501569798931</v>
      </c>
      <c r="G103" s="2">
        <v>40200</v>
      </c>
      <c r="H103" s="7">
        <v>3.84</v>
      </c>
      <c r="I103" s="7">
        <f>H103+H104-2*$A$24</f>
        <v>7</v>
      </c>
      <c r="J103" s="7">
        <v>3.42</v>
      </c>
      <c r="K103" s="7">
        <v>5.76</v>
      </c>
      <c r="L103" s="6">
        <f t="shared" si="8"/>
        <v>0.33999999999999997</v>
      </c>
      <c r="M103" s="6">
        <f t="shared" si="9"/>
        <v>0.57999999999999996</v>
      </c>
      <c r="N103" s="6">
        <f t="shared" si="10"/>
        <v>8.0000000000000071E-2</v>
      </c>
      <c r="O103" s="4">
        <f t="shared" si="11"/>
        <v>1727.0130533731635</v>
      </c>
      <c r="P103" s="4">
        <f t="shared" si="12"/>
        <v>2946.0810910483378</v>
      </c>
      <c r="Q103" s="4">
        <f t="shared" si="13"/>
        <v>4673.0941444215014</v>
      </c>
      <c r="V103" s="3"/>
      <c r="W103" s="3"/>
      <c r="Y103" s="7"/>
      <c r="Z103" s="7"/>
      <c r="AA103" s="7"/>
      <c r="AB103" s="7"/>
      <c r="AC103" s="9"/>
      <c r="AD103" s="9"/>
      <c r="AE103" s="9"/>
      <c r="AF103" s="3"/>
      <c r="AG103" s="3"/>
      <c r="AH103" s="3"/>
      <c r="AL103" s="11"/>
      <c r="AM103" s="3"/>
      <c r="AN103" s="3"/>
      <c r="AO103" s="11"/>
      <c r="AP103" s="7"/>
      <c r="AQ103" s="7"/>
      <c r="AR103" s="7"/>
      <c r="AS103" s="7"/>
      <c r="AT103" s="9"/>
      <c r="AU103" s="9"/>
      <c r="AV103" s="9"/>
      <c r="AW103" s="3"/>
      <c r="AX103" s="3"/>
      <c r="AY103" s="3"/>
    </row>
    <row r="104" spans="1:51" x14ac:dyDescent="0.25">
      <c r="A104">
        <v>71</v>
      </c>
      <c r="B104" s="1" t="s">
        <v>112</v>
      </c>
      <c r="C104" s="1" t="s">
        <v>682</v>
      </c>
      <c r="D104" s="2">
        <v>40827</v>
      </c>
      <c r="E104" s="3">
        <v>35</v>
      </c>
      <c r="F104" s="4">
        <f t="shared" si="7"/>
        <v>5064.0298468494148</v>
      </c>
      <c r="G104" s="2">
        <v>40200</v>
      </c>
      <c r="H104" s="7">
        <v>3.48</v>
      </c>
      <c r="I104" s="7">
        <f>H104+H103-2*$A$24</f>
        <v>7</v>
      </c>
      <c r="J104" s="7">
        <v>3.42</v>
      </c>
      <c r="K104" s="7">
        <v>5.76</v>
      </c>
      <c r="L104" s="6">
        <f t="shared" si="8"/>
        <v>0.33999999999999997</v>
      </c>
      <c r="M104" s="6">
        <f t="shared" si="9"/>
        <v>0.57999999999999996</v>
      </c>
      <c r="N104" s="6">
        <f t="shared" si="10"/>
        <v>8.0000000000000071E-2</v>
      </c>
      <c r="O104" s="4">
        <f t="shared" si="11"/>
        <v>1721.770147928801</v>
      </c>
      <c r="P104" s="4">
        <f t="shared" si="12"/>
        <v>2937.1373111726602</v>
      </c>
      <c r="Q104" s="4">
        <f t="shared" si="13"/>
        <v>4658.9074591014614</v>
      </c>
      <c r="V104" s="3"/>
      <c r="W104" s="3"/>
      <c r="Y104" s="7"/>
      <c r="Z104" s="7"/>
      <c r="AA104" s="7"/>
      <c r="AB104" s="7"/>
      <c r="AC104" s="9"/>
      <c r="AD104" s="9"/>
      <c r="AE104" s="9"/>
      <c r="AF104" s="3"/>
      <c r="AG104" s="3"/>
      <c r="AH104" s="3"/>
      <c r="AJ104" t="s">
        <v>756</v>
      </c>
      <c r="AK104" t="s">
        <v>682</v>
      </c>
      <c r="AL104" s="11">
        <f>D98</f>
        <v>40827</v>
      </c>
      <c r="AM104" s="3">
        <f>SUM(E98,E109)</f>
        <v>75.3</v>
      </c>
      <c r="AN104" s="3">
        <f>(AM104-4*$A$20)*$A$21/(2*$A$22)*$A$23</f>
        <v>5472.6680653071162</v>
      </c>
      <c r="AO104" s="11">
        <f>G98</f>
        <v>40200</v>
      </c>
      <c r="AP104" s="7">
        <f>SUM(H98,H109)</f>
        <v>7.8999999999999995</v>
      </c>
      <c r="AQ104" s="7">
        <f>SUM(I98,I109)</f>
        <v>15.159999999999998</v>
      </c>
      <c r="AR104" s="7">
        <f>SUM(J98,J109)</f>
        <v>7.08</v>
      </c>
      <c r="AS104" s="7">
        <f>SUM(K98,K109)</f>
        <v>12.12</v>
      </c>
      <c r="AT104" s="9">
        <f>(AR104-2*$A$25)/AQ104</f>
        <v>0.3298153034300792</v>
      </c>
      <c r="AU104" s="9">
        <f>(AS104-2*$A$26)/AQ104</f>
        <v>0.57519788918205805</v>
      </c>
      <c r="AV104" s="9">
        <f>1-AT104-AU104</f>
        <v>9.4986807387862693E-2</v>
      </c>
      <c r="AW104" s="3">
        <f>AN104*AT104</f>
        <v>1804.9696785313711</v>
      </c>
      <c r="AX104" s="3">
        <f>AN104*AU104</f>
        <v>3147.8671193587106</v>
      </c>
      <c r="AY104" s="3">
        <f>AW104+AX104</f>
        <v>4952.8367978900815</v>
      </c>
    </row>
    <row r="105" spans="1:51" x14ac:dyDescent="0.25">
      <c r="A105">
        <v>72</v>
      </c>
      <c r="B105" s="1" t="s">
        <v>113</v>
      </c>
      <c r="C105" s="1" t="s">
        <v>682</v>
      </c>
      <c r="D105" s="2">
        <v>40827</v>
      </c>
      <c r="E105" s="3">
        <v>36.599999999999994</v>
      </c>
      <c r="F105" s="4">
        <f t="shared" si="7"/>
        <v>5310.754808937083</v>
      </c>
      <c r="G105" s="2">
        <v>40200</v>
      </c>
      <c r="H105" s="7">
        <v>2.9</v>
      </c>
      <c r="I105" s="7">
        <f>H105+H102-2*$A$24</f>
        <v>6.1999999999999993</v>
      </c>
      <c r="J105" s="7">
        <v>3.08</v>
      </c>
      <c r="K105" s="7">
        <v>5.26</v>
      </c>
      <c r="L105" s="6">
        <f t="shared" si="8"/>
        <v>0.32903225806451619</v>
      </c>
      <c r="M105" s="6">
        <f t="shared" si="9"/>
        <v>0.5741935483870968</v>
      </c>
      <c r="N105" s="6">
        <f t="shared" si="10"/>
        <v>9.6774193548387011E-2</v>
      </c>
      <c r="O105" s="4">
        <f t="shared" si="11"/>
        <v>1747.4096468115567</v>
      </c>
      <c r="P105" s="4">
        <f t="shared" si="12"/>
        <v>3049.4011483574218</v>
      </c>
      <c r="Q105" s="4">
        <f t="shared" si="13"/>
        <v>4796.8107951689781</v>
      </c>
      <c r="V105" s="3"/>
      <c r="W105" s="3"/>
      <c r="Y105" s="7"/>
      <c r="Z105" s="7"/>
      <c r="AA105" s="7"/>
      <c r="AB105" s="7"/>
      <c r="AC105" s="9"/>
      <c r="AD105" s="9"/>
      <c r="AE105" s="9"/>
      <c r="AF105" s="3"/>
      <c r="AG105" s="3"/>
      <c r="AH105" s="3"/>
      <c r="AL105" s="11"/>
      <c r="AM105" s="3"/>
      <c r="AN105" s="3"/>
      <c r="AO105" s="11"/>
      <c r="AP105" s="7"/>
      <c r="AQ105" s="7"/>
      <c r="AR105" s="7"/>
      <c r="AS105" s="7"/>
      <c r="AT105" s="9"/>
      <c r="AU105" s="9"/>
      <c r="AV105" s="9"/>
      <c r="AW105" s="3"/>
      <c r="AX105" s="3"/>
      <c r="AY105" s="3"/>
    </row>
    <row r="106" spans="1:51" x14ac:dyDescent="0.25">
      <c r="A106">
        <v>73</v>
      </c>
      <c r="B106" s="1" t="s">
        <v>114</v>
      </c>
      <c r="C106" s="1" t="s">
        <v>682</v>
      </c>
      <c r="D106" s="2">
        <v>40827</v>
      </c>
      <c r="E106" s="3">
        <v>33.400000000000006</v>
      </c>
      <c r="F106" s="4">
        <f t="shared" si="7"/>
        <v>4817.3048847617456</v>
      </c>
      <c r="G106" s="2">
        <v>40200</v>
      </c>
      <c r="H106" s="7">
        <v>3.38</v>
      </c>
      <c r="I106" s="7">
        <f>H106+H101-2*$A$24</f>
        <v>6.5399999999999991</v>
      </c>
      <c r="J106" s="7">
        <v>3.22</v>
      </c>
      <c r="K106" s="7">
        <v>5.5</v>
      </c>
      <c r="L106" s="6">
        <f t="shared" si="8"/>
        <v>0.33333333333333343</v>
      </c>
      <c r="M106" s="6">
        <f t="shared" si="9"/>
        <v>0.58103975535168195</v>
      </c>
      <c r="N106" s="6">
        <f t="shared" si="10"/>
        <v>8.5626911314984566E-2</v>
      </c>
      <c r="O106" s="4">
        <f t="shared" si="11"/>
        <v>1605.7682949205823</v>
      </c>
      <c r="P106" s="4">
        <f t="shared" si="12"/>
        <v>2799.0456516964273</v>
      </c>
      <c r="Q106" s="4">
        <f t="shared" si="13"/>
        <v>4404.8139466170096</v>
      </c>
      <c r="V106" s="3"/>
      <c r="W106" s="3"/>
      <c r="Y106" s="7"/>
      <c r="Z106" s="7"/>
      <c r="AA106" s="7"/>
      <c r="AB106" s="7"/>
      <c r="AC106" s="9"/>
      <c r="AD106" s="9"/>
      <c r="AE106" s="9"/>
      <c r="AF106" s="3"/>
      <c r="AG106" s="3"/>
      <c r="AH106" s="3"/>
      <c r="AJ106" t="s">
        <v>757</v>
      </c>
      <c r="AK106" t="s">
        <v>682</v>
      </c>
      <c r="AL106" s="11">
        <f>D97</f>
        <v>40827</v>
      </c>
      <c r="AM106" s="3">
        <f>SUM(E97,E110)</f>
        <v>68.7</v>
      </c>
      <c r="AN106" s="3">
        <f>(AM106-4*$A$20)*$A$21/(2*$A$22)*$A$23</f>
        <v>4963.7978310012977</v>
      </c>
      <c r="AO106" s="11">
        <f>G97</f>
        <v>40200</v>
      </c>
      <c r="AP106" s="7">
        <f>SUM(H97,H110)</f>
        <v>7</v>
      </c>
      <c r="AQ106" s="7">
        <f>SUM(I97,I110)</f>
        <v>13.36</v>
      </c>
      <c r="AR106" s="7">
        <f>SUM(J97,J110)</f>
        <v>6.44</v>
      </c>
      <c r="AS106" s="7">
        <f>SUM(K97,K110)</f>
        <v>10.96</v>
      </c>
      <c r="AT106" s="9">
        <f>(AR106-2*$A$25)/AQ106</f>
        <v>0.32634730538922158</v>
      </c>
      <c r="AU106" s="9">
        <f>(AS106-2*$A$26)/AQ106</f>
        <v>0.56586826347305397</v>
      </c>
      <c r="AV106" s="9">
        <f>1-AT106-AU106</f>
        <v>0.1077844311377244</v>
      </c>
      <c r="AW106" s="3">
        <f>AN106*AT106</f>
        <v>1619.9220466441361</v>
      </c>
      <c r="AX106" s="3">
        <f>AN106*AU106</f>
        <v>2808.8556588600163</v>
      </c>
      <c r="AY106" s="3">
        <f>AW106+AX106</f>
        <v>4428.7777055041524</v>
      </c>
    </row>
    <row r="107" spans="1:51" x14ac:dyDescent="0.25">
      <c r="A107">
        <v>74</v>
      </c>
      <c r="B107" s="1" t="s">
        <v>115</v>
      </c>
      <c r="C107" s="1" t="s">
        <v>682</v>
      </c>
      <c r="D107" s="2">
        <v>40827</v>
      </c>
      <c r="E107" s="3">
        <v>32.1</v>
      </c>
      <c r="F107" s="4">
        <f t="shared" si="7"/>
        <v>4616.8408530655133</v>
      </c>
      <c r="G107" s="2">
        <v>40200</v>
      </c>
      <c r="H107" s="7">
        <v>3.18</v>
      </c>
      <c r="I107" s="7">
        <f>H107+H100-2*$A$24</f>
        <v>6.9599999999999991</v>
      </c>
      <c r="J107" s="7">
        <v>3.34</v>
      </c>
      <c r="K107" s="7">
        <v>5.66</v>
      </c>
      <c r="L107" s="6">
        <f t="shared" si="8"/>
        <v>0.33045977011494254</v>
      </c>
      <c r="M107" s="6">
        <f t="shared" si="9"/>
        <v>0.56896551724137934</v>
      </c>
      <c r="N107" s="6">
        <f t="shared" si="10"/>
        <v>0.10057471264367812</v>
      </c>
      <c r="O107" s="4">
        <f t="shared" si="11"/>
        <v>1525.6801669613048</v>
      </c>
      <c r="P107" s="4">
        <f t="shared" si="12"/>
        <v>2626.823243985551</v>
      </c>
      <c r="Q107" s="4">
        <f t="shared" si="13"/>
        <v>4152.5034109468561</v>
      </c>
      <c r="V107" s="3"/>
      <c r="W107" s="3"/>
      <c r="Y107" s="7"/>
      <c r="Z107" s="7"/>
      <c r="AA107" s="7"/>
      <c r="AB107" s="7"/>
      <c r="AC107" s="9"/>
      <c r="AD107" s="9"/>
      <c r="AE107" s="9"/>
      <c r="AF107" s="3"/>
      <c r="AG107" s="3"/>
      <c r="AH107" s="3"/>
      <c r="AL107" s="11"/>
      <c r="AM107" s="3"/>
      <c r="AN107" s="3"/>
      <c r="AO107" s="11"/>
      <c r="AP107" s="7"/>
      <c r="AQ107" s="7"/>
      <c r="AR107" s="7"/>
      <c r="AS107" s="7"/>
      <c r="AT107" s="9"/>
      <c r="AU107" s="9"/>
      <c r="AV107" s="9"/>
      <c r="AW107" s="3"/>
      <c r="AX107" s="3"/>
      <c r="AY107" s="3"/>
    </row>
    <row r="108" spans="1:51" x14ac:dyDescent="0.25">
      <c r="A108">
        <v>75</v>
      </c>
      <c r="B108" s="1" t="s">
        <v>116</v>
      </c>
      <c r="C108" s="1" t="s">
        <v>682</v>
      </c>
      <c r="D108" s="2">
        <v>40827</v>
      </c>
      <c r="E108" s="3">
        <v>30.8</v>
      </c>
      <c r="F108" s="4">
        <f t="shared" si="7"/>
        <v>4416.376821369282</v>
      </c>
      <c r="G108" s="2">
        <v>40200</v>
      </c>
      <c r="H108" s="7">
        <v>3.5</v>
      </c>
      <c r="I108" s="7">
        <f>H108+H99-2*$A$24</f>
        <v>6.08</v>
      </c>
      <c r="J108" s="7">
        <v>3.04</v>
      </c>
      <c r="K108" s="7">
        <v>5.22</v>
      </c>
      <c r="L108" s="6">
        <f t="shared" si="8"/>
        <v>0.32894736842105265</v>
      </c>
      <c r="M108" s="6">
        <f t="shared" si="9"/>
        <v>0.57894736842105254</v>
      </c>
      <c r="N108" s="6">
        <f t="shared" si="10"/>
        <v>9.2105263157894801E-2</v>
      </c>
      <c r="O108" s="4">
        <f t="shared" si="11"/>
        <v>1452.7555333451587</v>
      </c>
      <c r="P108" s="4">
        <f t="shared" si="12"/>
        <v>2556.8497386874787</v>
      </c>
      <c r="Q108" s="4">
        <f t="shared" si="13"/>
        <v>4009.6052720326375</v>
      </c>
      <c r="V108" s="3"/>
      <c r="W108" s="3"/>
      <c r="Y108" s="7"/>
      <c r="Z108" s="7"/>
      <c r="AA108" s="7"/>
      <c r="AB108" s="7"/>
      <c r="AC108" s="9"/>
      <c r="AD108" s="9"/>
      <c r="AE108" s="9"/>
      <c r="AF108" s="3"/>
      <c r="AG108" s="3"/>
      <c r="AH108" s="3"/>
      <c r="AJ108" t="s">
        <v>758</v>
      </c>
      <c r="AK108" t="s">
        <v>682</v>
      </c>
      <c r="AL108" s="11">
        <f>D96</f>
        <v>40827</v>
      </c>
      <c r="AM108" s="3">
        <f>SUM(E96,E111)</f>
        <v>65</v>
      </c>
      <c r="AN108" s="3">
        <f>(AM108-4*$A$20)*$A$21/(2*$A$22)*$A$23</f>
        <v>4678.5220935874313</v>
      </c>
      <c r="AO108" s="11">
        <f>G96</f>
        <v>40200</v>
      </c>
      <c r="AP108" s="7">
        <f>SUM(H96,H111)</f>
        <v>7.7200000000000006</v>
      </c>
      <c r="AQ108" s="7">
        <f>SUM(I96,I111)</f>
        <v>14.8</v>
      </c>
      <c r="AR108" s="7">
        <f>SUM(J96,J111)</f>
        <v>7</v>
      </c>
      <c r="AS108" s="7">
        <f>SUM(K96,K111)</f>
        <v>11.96</v>
      </c>
      <c r="AT108" s="9">
        <f>(AR108-2*$A$25)/AQ108</f>
        <v>0.33243243243243242</v>
      </c>
      <c r="AU108" s="9">
        <f>(AS108-2*$A$26)/AQ108</f>
        <v>0.57837837837837835</v>
      </c>
      <c r="AV108" s="9">
        <f>1-AT108-AU108</f>
        <v>8.9189189189189277E-2</v>
      </c>
      <c r="AW108" s="3">
        <f>AN108*AT108</f>
        <v>1555.2924797601461</v>
      </c>
      <c r="AX108" s="3">
        <f>AN108*AU108</f>
        <v>2705.9560216965142</v>
      </c>
      <c r="AY108" s="3">
        <f>AW108+AX108</f>
        <v>4261.2485014566601</v>
      </c>
    </row>
    <row r="109" spans="1:51" x14ac:dyDescent="0.25">
      <c r="A109">
        <v>76</v>
      </c>
      <c r="B109" s="1" t="s">
        <v>117</v>
      </c>
      <c r="C109" s="1" t="s">
        <v>682</v>
      </c>
      <c r="D109" s="2">
        <v>40827</v>
      </c>
      <c r="E109" s="3">
        <v>36.799999999999997</v>
      </c>
      <c r="F109" s="4">
        <f t="shared" si="7"/>
        <v>5341.5954291980424</v>
      </c>
      <c r="G109" s="2">
        <v>40200</v>
      </c>
      <c r="H109" s="7">
        <v>4.1399999999999997</v>
      </c>
      <c r="I109" s="7">
        <f>H109+H98-2*$A$24</f>
        <v>7.5799999999999992</v>
      </c>
      <c r="J109" s="7">
        <v>3.54</v>
      </c>
      <c r="K109" s="7">
        <v>6.06</v>
      </c>
      <c r="L109" s="6">
        <f t="shared" si="8"/>
        <v>0.3298153034300792</v>
      </c>
      <c r="M109" s="6">
        <f t="shared" si="9"/>
        <v>0.57519788918205805</v>
      </c>
      <c r="N109" s="6">
        <f t="shared" si="10"/>
        <v>9.4986807387862693E-2</v>
      </c>
      <c r="O109" s="4">
        <f t="shared" si="11"/>
        <v>1761.7399172816765</v>
      </c>
      <c r="P109" s="4">
        <f t="shared" si="12"/>
        <v>3072.4744157392433</v>
      </c>
      <c r="Q109" s="4">
        <f t="shared" si="13"/>
        <v>4834.2143330209201</v>
      </c>
      <c r="V109" s="3"/>
      <c r="W109" s="3"/>
      <c r="Y109" s="7"/>
      <c r="Z109" s="7"/>
      <c r="AA109" s="7"/>
      <c r="AB109" s="7"/>
      <c r="AC109" s="9"/>
      <c r="AD109" s="9"/>
      <c r="AE109" s="9"/>
      <c r="AF109" s="3"/>
      <c r="AG109" s="3"/>
      <c r="AH109" s="3"/>
      <c r="AL109" s="11"/>
      <c r="AM109" s="3"/>
      <c r="AN109" s="3"/>
      <c r="AO109" s="11"/>
      <c r="AP109" s="7"/>
      <c r="AQ109" s="7"/>
      <c r="AR109" s="7"/>
      <c r="AS109" s="7"/>
      <c r="AT109" s="9"/>
      <c r="AU109" s="9"/>
      <c r="AV109" s="9"/>
      <c r="AW109" s="3"/>
      <c r="AX109" s="3"/>
      <c r="AY109" s="3"/>
    </row>
    <row r="110" spans="1:51" x14ac:dyDescent="0.25">
      <c r="A110">
        <v>77</v>
      </c>
      <c r="B110" s="1" t="s">
        <v>118</v>
      </c>
      <c r="C110" s="1" t="s">
        <v>682</v>
      </c>
      <c r="D110" s="2">
        <v>40827</v>
      </c>
      <c r="E110" s="3">
        <v>34.6</v>
      </c>
      <c r="F110" s="4">
        <f t="shared" si="7"/>
        <v>5002.3486063274968</v>
      </c>
      <c r="G110" s="2">
        <v>40200</v>
      </c>
      <c r="H110" s="7">
        <v>3.3</v>
      </c>
      <c r="I110" s="7">
        <f>H110+H97-2*$A$24</f>
        <v>6.68</v>
      </c>
      <c r="J110" s="7">
        <v>3.22</v>
      </c>
      <c r="K110" s="7">
        <v>5.48</v>
      </c>
      <c r="L110" s="6">
        <f t="shared" si="8"/>
        <v>0.32634730538922158</v>
      </c>
      <c r="M110" s="6">
        <f t="shared" si="9"/>
        <v>0.56586826347305397</v>
      </c>
      <c r="N110" s="6">
        <f t="shared" si="10"/>
        <v>0.1077844311377244</v>
      </c>
      <c r="O110" s="4">
        <f t="shared" si="11"/>
        <v>1632.5029882925066</v>
      </c>
      <c r="P110" s="4">
        <f t="shared" si="12"/>
        <v>2830.6703191493921</v>
      </c>
      <c r="Q110" s="4">
        <f t="shared" si="13"/>
        <v>4463.1733074418989</v>
      </c>
      <c r="V110" s="3"/>
      <c r="W110" s="3"/>
      <c r="Y110" s="7"/>
      <c r="Z110" s="7"/>
      <c r="AA110" s="7"/>
      <c r="AB110" s="7"/>
      <c r="AC110" s="9"/>
      <c r="AD110" s="9"/>
      <c r="AE110" s="9"/>
      <c r="AF110" s="3"/>
      <c r="AG110" s="3"/>
      <c r="AH110" s="3"/>
      <c r="AJ110" t="s">
        <v>759</v>
      </c>
      <c r="AK110" t="s">
        <v>682</v>
      </c>
      <c r="AL110" s="11">
        <f>D95</f>
        <v>40827</v>
      </c>
      <c r="AM110" s="3">
        <f>SUM(E95,E112)</f>
        <v>69.099999999999994</v>
      </c>
      <c r="AN110" s="3">
        <f>(AM110-4*$A$20)*$A$21/(2*$A$22)*$A$23</f>
        <v>4994.6384512622571</v>
      </c>
      <c r="AO110" s="11">
        <f>G95</f>
        <v>40200</v>
      </c>
      <c r="AP110" s="7">
        <f>SUM(H95,H112)</f>
        <v>7.6</v>
      </c>
      <c r="AQ110" s="7">
        <f>SUM(I95,I112)</f>
        <v>14.559999999999999</v>
      </c>
      <c r="AR110" s="7">
        <f>SUM(J95,J112)</f>
        <v>6.76</v>
      </c>
      <c r="AS110" s="7">
        <f>SUM(K95,K112)</f>
        <v>11.8</v>
      </c>
      <c r="AT110" s="9">
        <f>(AR110-2*$A$25)/AQ110</f>
        <v>0.32142857142857145</v>
      </c>
      <c r="AU110" s="9">
        <f>(AS110-2*$A$26)/AQ110</f>
        <v>0.57692307692307698</v>
      </c>
      <c r="AV110" s="9">
        <f>1-AT110-AU110</f>
        <v>0.10164835164835162</v>
      </c>
      <c r="AW110" s="3">
        <f>AN110*AT110</f>
        <v>1605.41950219144</v>
      </c>
      <c r="AX110" s="3">
        <f>AN110*AU110</f>
        <v>2881.5221834205331</v>
      </c>
      <c r="AY110" s="3">
        <f>AW110+AX110</f>
        <v>4486.9416856119733</v>
      </c>
    </row>
    <row r="111" spans="1:51" x14ac:dyDescent="0.25">
      <c r="A111">
        <v>78</v>
      </c>
      <c r="B111" s="1" t="s">
        <v>119</v>
      </c>
      <c r="C111" s="1" t="s">
        <v>682</v>
      </c>
      <c r="D111" s="2">
        <v>40827</v>
      </c>
      <c r="E111" s="3">
        <v>32</v>
      </c>
      <c r="F111" s="4">
        <f t="shared" si="7"/>
        <v>4601.4205429350341</v>
      </c>
      <c r="G111" s="2">
        <v>40200</v>
      </c>
      <c r="H111" s="7">
        <v>3.24</v>
      </c>
      <c r="I111" s="7">
        <f>H111+H96-2*$A$24</f>
        <v>7.4</v>
      </c>
      <c r="J111" s="7">
        <v>3.5</v>
      </c>
      <c r="K111" s="7">
        <v>5.98</v>
      </c>
      <c r="L111" s="6">
        <f t="shared" si="8"/>
        <v>0.33243243243243242</v>
      </c>
      <c r="M111" s="6">
        <f t="shared" si="9"/>
        <v>0.57837837837837835</v>
      </c>
      <c r="N111" s="6">
        <f t="shared" si="10"/>
        <v>8.9189189189189277E-2</v>
      </c>
      <c r="O111" s="4">
        <f t="shared" si="11"/>
        <v>1529.6614237324573</v>
      </c>
      <c r="P111" s="4">
        <f t="shared" si="12"/>
        <v>2661.3621518597224</v>
      </c>
      <c r="Q111" s="4">
        <f t="shared" si="13"/>
        <v>4191.0235755921794</v>
      </c>
      <c r="V111" s="3"/>
      <c r="W111" s="3"/>
      <c r="Y111" s="7"/>
      <c r="Z111" s="7"/>
      <c r="AA111" s="7"/>
      <c r="AB111" s="7"/>
      <c r="AC111" s="9"/>
      <c r="AD111" s="9"/>
      <c r="AE111" s="9"/>
      <c r="AF111" s="3"/>
      <c r="AG111" s="3"/>
      <c r="AH111" s="3"/>
      <c r="AL111" s="11"/>
      <c r="AM111" s="3"/>
      <c r="AN111" s="3"/>
      <c r="AO111" s="11"/>
      <c r="AP111" s="7"/>
      <c r="AQ111" s="7"/>
      <c r="AR111" s="7"/>
      <c r="AS111" s="7"/>
      <c r="AT111" s="9"/>
      <c r="AU111" s="9"/>
      <c r="AV111" s="9"/>
      <c r="AW111" s="3"/>
      <c r="AX111" s="3"/>
      <c r="AY111" s="3"/>
    </row>
    <row r="112" spans="1:51" x14ac:dyDescent="0.25">
      <c r="A112">
        <v>79</v>
      </c>
      <c r="B112" s="1" t="s">
        <v>120</v>
      </c>
      <c r="C112" s="1" t="s">
        <v>682</v>
      </c>
      <c r="D112" s="2">
        <v>40827</v>
      </c>
      <c r="E112" s="3">
        <v>33.6</v>
      </c>
      <c r="F112" s="4">
        <f t="shared" si="7"/>
        <v>4848.1455050227032</v>
      </c>
      <c r="G112" s="2">
        <v>40200</v>
      </c>
      <c r="H112" s="7">
        <v>3.66</v>
      </c>
      <c r="I112" s="7">
        <f>H112+H95-2*$A$24</f>
        <v>7.2799999999999994</v>
      </c>
      <c r="J112" s="7">
        <v>3.38</v>
      </c>
      <c r="K112" s="7">
        <v>5.9</v>
      </c>
      <c r="L112" s="6">
        <f t="shared" si="8"/>
        <v>0.32142857142857145</v>
      </c>
      <c r="M112" s="6">
        <f t="shared" si="9"/>
        <v>0.57692307692307698</v>
      </c>
      <c r="N112" s="6">
        <f t="shared" si="10"/>
        <v>0.10164835164835162</v>
      </c>
      <c r="O112" s="4">
        <f t="shared" si="11"/>
        <v>1558.3324837572975</v>
      </c>
      <c r="P112" s="4">
        <f t="shared" si="12"/>
        <v>2797.0070221284827</v>
      </c>
      <c r="Q112" s="4">
        <f t="shared" si="13"/>
        <v>4355.3395058857805</v>
      </c>
      <c r="V112" s="3"/>
      <c r="W112" s="3"/>
      <c r="Y112" s="7"/>
      <c r="Z112" s="7"/>
      <c r="AA112" s="7"/>
      <c r="AB112" s="7"/>
      <c r="AC112" s="9"/>
      <c r="AD112" s="9"/>
      <c r="AE112" s="9"/>
      <c r="AF112" s="3"/>
      <c r="AG112" s="3"/>
      <c r="AH112" s="3"/>
      <c r="AJ112" t="s">
        <v>760</v>
      </c>
      <c r="AK112" t="s">
        <v>682</v>
      </c>
      <c r="AL112" s="11">
        <f>D94</f>
        <v>40827</v>
      </c>
      <c r="AM112" s="3">
        <f>SUM(E94,E113)</f>
        <v>57.300000000000004</v>
      </c>
      <c r="AN112" s="3">
        <f>(AM112-4*$A$20)*$A$21/(2*$A$22)*$A$23</f>
        <v>4084.8401535639769</v>
      </c>
      <c r="AO112" s="11">
        <f>G94</f>
        <v>40200</v>
      </c>
      <c r="AP112" s="7">
        <f>SUM(H94,H113)</f>
        <v>7.08</v>
      </c>
      <c r="AQ112" s="7">
        <f>SUM(I94,I113)</f>
        <v>13.52</v>
      </c>
      <c r="AR112" s="7">
        <f>SUM(J94,J113)</f>
        <v>6.6</v>
      </c>
      <c r="AS112" s="7">
        <f>SUM(K94,K113)</f>
        <v>11.2</v>
      </c>
      <c r="AT112" s="9">
        <f>(AR112-2*$A$25)/AQ112</f>
        <v>0.33431952662721892</v>
      </c>
      <c r="AU112" s="9">
        <f>(AS112-2*$A$26)/AQ112</f>
        <v>0.57692307692307687</v>
      </c>
      <c r="AV112" s="9">
        <f>1-AT112-AU112</f>
        <v>8.8757396449704151E-2</v>
      </c>
      <c r="AW112" s="3">
        <f>AN112*AT112</f>
        <v>1365.6418264873651</v>
      </c>
      <c r="AX112" s="3">
        <f>AN112*AU112</f>
        <v>2356.6385501330633</v>
      </c>
      <c r="AY112" s="3">
        <f>AW112+AX112</f>
        <v>3722.2803766204283</v>
      </c>
    </row>
    <row r="113" spans="1:51" x14ac:dyDescent="0.25">
      <c r="A113">
        <v>80</v>
      </c>
      <c r="B113" s="1" t="s">
        <v>121</v>
      </c>
      <c r="C113" s="1" t="s">
        <v>682</v>
      </c>
      <c r="D113" s="2">
        <v>40827</v>
      </c>
      <c r="E113" s="3">
        <v>28.6</v>
      </c>
      <c r="F113" s="4">
        <f t="shared" si="7"/>
        <v>4077.1299984987368</v>
      </c>
      <c r="G113" s="2">
        <v>40200</v>
      </c>
      <c r="H113" s="7">
        <v>3.42</v>
      </c>
      <c r="I113" s="7">
        <f>H113+H94-2*$A$24</f>
        <v>6.76</v>
      </c>
      <c r="J113" s="7">
        <v>3.3</v>
      </c>
      <c r="K113" s="7">
        <v>5.6</v>
      </c>
      <c r="L113" s="6">
        <f t="shared" si="8"/>
        <v>0.33431952662721892</v>
      </c>
      <c r="M113" s="6">
        <f t="shared" si="9"/>
        <v>0.57692307692307687</v>
      </c>
      <c r="N113" s="6">
        <f t="shared" si="10"/>
        <v>8.8757396449704151E-2</v>
      </c>
      <c r="O113" s="4">
        <f t="shared" si="11"/>
        <v>1363.0641710957316</v>
      </c>
      <c r="P113" s="4">
        <f t="shared" si="12"/>
        <v>2352.1903837492709</v>
      </c>
      <c r="Q113" s="4">
        <f t="shared" si="13"/>
        <v>3715.2545548450025</v>
      </c>
      <c r="V113" s="3"/>
      <c r="W113" s="3"/>
      <c r="Y113" s="7"/>
      <c r="Z113" s="7"/>
      <c r="AA113" s="7"/>
      <c r="AB113" s="7"/>
      <c r="AC113" s="9"/>
      <c r="AD113" s="9"/>
      <c r="AE113" s="9"/>
      <c r="AF113" s="3"/>
      <c r="AG113" s="3"/>
      <c r="AH113" s="3"/>
    </row>
    <row r="114" spans="1:51" x14ac:dyDescent="0.25">
      <c r="A114">
        <v>81</v>
      </c>
      <c r="B114" s="1" t="s">
        <v>122</v>
      </c>
      <c r="C114" s="1" t="s">
        <v>682</v>
      </c>
      <c r="D114" s="2">
        <v>40827</v>
      </c>
      <c r="E114" s="3">
        <v>18</v>
      </c>
      <c r="F114" s="4">
        <f t="shared" si="7"/>
        <v>2442.5771246679269</v>
      </c>
      <c r="G114" s="2">
        <v>40200</v>
      </c>
      <c r="H114" s="7">
        <v>2.7</v>
      </c>
      <c r="I114" s="7">
        <f>H114+H133-2*$A$24</f>
        <v>5.26</v>
      </c>
      <c r="J114" s="7">
        <v>2.78</v>
      </c>
      <c r="K114" s="7">
        <v>4.68</v>
      </c>
      <c r="L114" s="6">
        <f t="shared" si="8"/>
        <v>0.33079847908745247</v>
      </c>
      <c r="M114" s="6">
        <f t="shared" si="9"/>
        <v>0.56653992395437258</v>
      </c>
      <c r="N114" s="6">
        <f t="shared" si="10"/>
        <v>0.10266159695817489</v>
      </c>
      <c r="O114" s="4">
        <f t="shared" si="11"/>
        <v>808.00079789395295</v>
      </c>
      <c r="P114" s="4">
        <f t="shared" si="12"/>
        <v>1383.8174584620574</v>
      </c>
      <c r="Q114" s="4">
        <f t="shared" si="13"/>
        <v>2191.8182563560104</v>
      </c>
      <c r="S114" t="s">
        <v>706</v>
      </c>
      <c r="T114" t="s">
        <v>682</v>
      </c>
      <c r="U114" s="8">
        <f>D114</f>
        <v>40827</v>
      </c>
      <c r="V114" s="3">
        <f>SUM(E114:E153)</f>
        <v>1159.9000000000001</v>
      </c>
      <c r="W114" s="3">
        <f>(V114-80*$A$20)*$A$21/(40*$A$22)*$A$23</f>
        <v>4138.4257312673926</v>
      </c>
      <c r="X114" s="8">
        <f>G114</f>
        <v>40200</v>
      </c>
      <c r="Y114" s="7">
        <f>SUM(H114:H153)</f>
        <v>128.72000000000003</v>
      </c>
      <c r="Z114" s="7">
        <f>SUM(I114:I153)</f>
        <v>244.64000000000004</v>
      </c>
      <c r="AA114" s="7">
        <f>SUM(J114:J153)</f>
        <v>122.47999999999998</v>
      </c>
      <c r="AB114" s="7">
        <f>SUM(K114:K153)</f>
        <v>209.60000000000005</v>
      </c>
      <c r="AC114" s="9">
        <f>(AA114-40*$A$25)/Z114</f>
        <v>0.33060824068018291</v>
      </c>
      <c r="AD114" s="9">
        <f>(AB114-40*$A$26)/Z114</f>
        <v>0.57880967952910412</v>
      </c>
      <c r="AE114" s="9">
        <f>1-AC114-AD114</f>
        <v>9.0582079790712977E-2</v>
      </c>
      <c r="AF114" s="3">
        <f>W114*AC114</f>
        <v>1368.197650199912</v>
      </c>
      <c r="AG114" s="3">
        <f>W114*AD114</f>
        <v>2395.3608712698779</v>
      </c>
      <c r="AH114" s="3">
        <f>AF114+AG114</f>
        <v>3763.5585214697899</v>
      </c>
      <c r="AJ114" t="s">
        <v>761</v>
      </c>
      <c r="AK114" t="s">
        <v>682</v>
      </c>
      <c r="AL114" s="11">
        <f>D123</f>
        <v>40827</v>
      </c>
      <c r="AM114" s="3">
        <f>SUM(E123,E124)</f>
        <v>52.1</v>
      </c>
      <c r="AN114" s="3">
        <f>(AM114-4*$A$20)*$A$21/(2*$A$22)*$A$23</f>
        <v>3683.9120901715132</v>
      </c>
      <c r="AO114" s="11">
        <f>G123</f>
        <v>40200</v>
      </c>
      <c r="AP114" s="7">
        <f>SUM(H123,H124)</f>
        <v>6.8000000000000007</v>
      </c>
      <c r="AQ114" s="7">
        <f>SUM(I123,I124)</f>
        <v>12.96</v>
      </c>
      <c r="AR114" s="7">
        <f>SUM(J123,J124)</f>
        <v>6.32</v>
      </c>
      <c r="AS114" s="7">
        <f>SUM(K123,K124)</f>
        <v>10.8</v>
      </c>
      <c r="AT114" s="9">
        <f>(AR114-2*$A$25)/AQ114</f>
        <v>0.3271604938271605</v>
      </c>
      <c r="AU114" s="9">
        <f>(AS114-2*$A$26)/AQ114</f>
        <v>0.57098765432098764</v>
      </c>
      <c r="AV114" s="9">
        <f>1-AT114-AU114</f>
        <v>0.10185185185185186</v>
      </c>
      <c r="AW114" s="3">
        <f>AN114*AT114</f>
        <v>1205.2304986363592</v>
      </c>
      <c r="AX114" s="3">
        <f>AN114*AU114</f>
        <v>2103.468323091759</v>
      </c>
      <c r="AY114" s="3">
        <f>AW114+AX114</f>
        <v>3308.6988217281182</v>
      </c>
    </row>
    <row r="115" spans="1:51" x14ac:dyDescent="0.25">
      <c r="A115">
        <v>82</v>
      </c>
      <c r="B115" s="1" t="s">
        <v>123</v>
      </c>
      <c r="C115" s="1" t="s">
        <v>682</v>
      </c>
      <c r="D115" s="2">
        <v>40827</v>
      </c>
      <c r="E115" s="3">
        <v>29.6</v>
      </c>
      <c r="F115" s="4">
        <f t="shared" si="7"/>
        <v>4231.3330998035308</v>
      </c>
      <c r="G115" s="2">
        <v>40200</v>
      </c>
      <c r="H115" s="7">
        <v>3.34</v>
      </c>
      <c r="I115" s="7">
        <f>H115+H132-2*$A$24</f>
        <v>6.24</v>
      </c>
      <c r="J115" s="7">
        <v>3.06</v>
      </c>
      <c r="K115" s="7">
        <v>5.32</v>
      </c>
      <c r="L115" s="6">
        <f t="shared" si="8"/>
        <v>0.32371794871794873</v>
      </c>
      <c r="M115" s="6">
        <f t="shared" si="9"/>
        <v>0.58012820512820518</v>
      </c>
      <c r="N115" s="6">
        <f t="shared" si="10"/>
        <v>9.6153846153846145E-2</v>
      </c>
      <c r="O115" s="4">
        <f t="shared" si="11"/>
        <v>1369.7584714107584</v>
      </c>
      <c r="P115" s="4">
        <f t="shared" si="12"/>
        <v>2454.7156764885872</v>
      </c>
      <c r="Q115" s="4">
        <f t="shared" si="13"/>
        <v>3824.4741478993456</v>
      </c>
      <c r="V115" s="3"/>
      <c r="W115" s="3"/>
      <c r="Y115" s="7"/>
      <c r="Z115" s="7"/>
      <c r="AA115" s="7"/>
      <c r="AB115" s="7"/>
      <c r="AC115" s="9"/>
      <c r="AD115" s="9"/>
      <c r="AE115" s="9"/>
      <c r="AF115" s="3"/>
      <c r="AG115" s="3"/>
      <c r="AH115" s="3"/>
      <c r="AL115" s="11"/>
      <c r="AM115" s="3"/>
      <c r="AN115" s="3"/>
      <c r="AO115" s="11"/>
      <c r="AP115" s="7"/>
      <c r="AQ115" s="7"/>
      <c r="AR115" s="7"/>
      <c r="AS115" s="7"/>
      <c r="AT115" s="9"/>
      <c r="AU115" s="9"/>
      <c r="AV115" s="9"/>
      <c r="AW115" s="3"/>
      <c r="AX115" s="3"/>
      <c r="AY115" s="3"/>
    </row>
    <row r="116" spans="1:51" x14ac:dyDescent="0.25">
      <c r="A116">
        <v>83</v>
      </c>
      <c r="B116" s="1" t="s">
        <v>124</v>
      </c>
      <c r="C116" s="1" t="s">
        <v>682</v>
      </c>
      <c r="D116" s="2">
        <v>40827</v>
      </c>
      <c r="E116" s="3">
        <v>26.6</v>
      </c>
      <c r="F116" s="4">
        <f t="shared" si="7"/>
        <v>3768.7237958891496</v>
      </c>
      <c r="G116" s="2">
        <v>40200</v>
      </c>
      <c r="H116" s="7">
        <v>3.3</v>
      </c>
      <c r="I116" s="7">
        <f>H116+H131-2*$A$24</f>
        <v>6.34</v>
      </c>
      <c r="J116" s="7">
        <v>3.14</v>
      </c>
      <c r="K116" s="7">
        <v>5.36</v>
      </c>
      <c r="L116" s="6">
        <f t="shared" si="8"/>
        <v>0.33123028391167192</v>
      </c>
      <c r="M116" s="6">
        <f t="shared" si="9"/>
        <v>0.57728706624605686</v>
      </c>
      <c r="N116" s="6">
        <f t="shared" si="10"/>
        <v>9.148264984227128E-2</v>
      </c>
      <c r="O116" s="4">
        <f t="shared" si="11"/>
        <v>1248.3154528970369</v>
      </c>
      <c r="P116" s="4">
        <f t="shared" si="12"/>
        <v>2175.6355036205505</v>
      </c>
      <c r="Q116" s="4">
        <f t="shared" si="13"/>
        <v>3423.9509565175877</v>
      </c>
      <c r="V116" s="3"/>
      <c r="W116" s="3"/>
      <c r="Y116" s="7"/>
      <c r="Z116" s="7"/>
      <c r="AA116" s="7"/>
      <c r="AB116" s="7"/>
      <c r="AC116" s="9"/>
      <c r="AD116" s="9"/>
      <c r="AE116" s="9"/>
      <c r="AF116" s="3"/>
      <c r="AG116" s="3"/>
      <c r="AH116" s="3"/>
      <c r="AJ116" t="s">
        <v>762</v>
      </c>
      <c r="AK116" t="s">
        <v>682</v>
      </c>
      <c r="AL116" s="11">
        <f>D122</f>
        <v>40827</v>
      </c>
      <c r="AM116" s="3">
        <f>SUM(E122,E125)</f>
        <v>66.099999999999994</v>
      </c>
      <c r="AN116" s="3">
        <f>(AM116-4*$A$20)*$A$21/(2*$A$22)*$A$23</f>
        <v>4763.3337993050663</v>
      </c>
      <c r="AO116" s="11">
        <f>G122</f>
        <v>40200</v>
      </c>
      <c r="AP116" s="7">
        <f>SUM(H122,H125)</f>
        <v>6.42</v>
      </c>
      <c r="AQ116" s="7">
        <f>SUM(I122,I125)</f>
        <v>12.2</v>
      </c>
      <c r="AR116" s="7">
        <f>SUM(J122,J125)</f>
        <v>6.2</v>
      </c>
      <c r="AS116" s="7">
        <f>SUM(K122,K125)</f>
        <v>10.32</v>
      </c>
      <c r="AT116" s="9">
        <f>(AR116-2*$A$25)/AQ116</f>
        <v>0.3377049180327869</v>
      </c>
      <c r="AU116" s="9">
        <f>(AS116-2*$A$26)/AQ116</f>
        <v>0.56721311475409841</v>
      </c>
      <c r="AV116" s="9">
        <f>1-AT116-AU116</f>
        <v>9.5081967213114682E-2</v>
      </c>
      <c r="AW116" s="3">
        <f>AN116*AT116</f>
        <v>1608.6012502571209</v>
      </c>
      <c r="AX116" s="3">
        <f>AN116*AU116</f>
        <v>2701.8254009173002</v>
      </c>
      <c r="AY116" s="3">
        <f>AW116+AX116</f>
        <v>4310.4266511744208</v>
      </c>
    </row>
    <row r="117" spans="1:51" x14ac:dyDescent="0.25">
      <c r="A117">
        <v>84</v>
      </c>
      <c r="B117" s="1" t="s">
        <v>125</v>
      </c>
      <c r="C117" s="1" t="s">
        <v>682</v>
      </c>
      <c r="D117" s="2">
        <v>40827</v>
      </c>
      <c r="E117" s="3">
        <v>27.6</v>
      </c>
      <c r="F117" s="4">
        <f t="shared" si="7"/>
        <v>3922.9268971939437</v>
      </c>
      <c r="G117" s="2">
        <v>40200</v>
      </c>
      <c r="H117" s="7">
        <v>3.46</v>
      </c>
      <c r="I117" s="7">
        <f>H117+H130-2*$A$24</f>
        <v>6.3</v>
      </c>
      <c r="J117" s="7">
        <v>3.12</v>
      </c>
      <c r="K117" s="7">
        <v>5.38</v>
      </c>
      <c r="L117" s="6">
        <f t="shared" si="8"/>
        <v>0.33015873015873021</v>
      </c>
      <c r="M117" s="6">
        <f t="shared" si="9"/>
        <v>0.58412698412698405</v>
      </c>
      <c r="N117" s="6">
        <f t="shared" si="10"/>
        <v>8.5714285714285743E-2</v>
      </c>
      <c r="O117" s="4">
        <f t="shared" si="11"/>
        <v>1295.1885628830801</v>
      </c>
      <c r="P117" s="4">
        <f t="shared" si="12"/>
        <v>2291.4874574085256</v>
      </c>
      <c r="Q117" s="4">
        <f t="shared" si="13"/>
        <v>3586.6760202916057</v>
      </c>
      <c r="V117" s="3"/>
      <c r="W117" s="3"/>
      <c r="Y117" s="7"/>
      <c r="Z117" s="7"/>
      <c r="AA117" s="7"/>
      <c r="AB117" s="7"/>
      <c r="AC117" s="9"/>
      <c r="AD117" s="9"/>
      <c r="AE117" s="9"/>
      <c r="AF117" s="3"/>
      <c r="AG117" s="3"/>
      <c r="AH117" s="3"/>
      <c r="AL117" s="11"/>
      <c r="AM117" s="3"/>
      <c r="AN117" s="3"/>
      <c r="AO117" s="11"/>
      <c r="AP117" s="7"/>
      <c r="AQ117" s="7"/>
      <c r="AR117" s="7"/>
      <c r="AS117" s="7"/>
      <c r="AT117" s="9"/>
      <c r="AU117" s="9"/>
      <c r="AV117" s="9"/>
      <c r="AW117" s="3"/>
      <c r="AX117" s="3"/>
      <c r="AY117" s="3"/>
    </row>
    <row r="118" spans="1:51" x14ac:dyDescent="0.25">
      <c r="A118">
        <v>85</v>
      </c>
      <c r="B118" s="1" t="s">
        <v>126</v>
      </c>
      <c r="C118" s="1" t="s">
        <v>682</v>
      </c>
      <c r="D118" s="2">
        <v>40827</v>
      </c>
      <c r="E118" s="3">
        <v>29.6</v>
      </c>
      <c r="F118" s="4">
        <f t="shared" si="7"/>
        <v>4231.3330998035308</v>
      </c>
      <c r="G118" s="2">
        <v>40200</v>
      </c>
      <c r="H118" s="7">
        <v>3.26</v>
      </c>
      <c r="I118" s="7">
        <f>H118+H129-2*$A$24</f>
        <v>5.68</v>
      </c>
      <c r="J118" s="7">
        <v>2.9</v>
      </c>
      <c r="K118" s="7">
        <v>5.04</v>
      </c>
      <c r="L118" s="6">
        <f t="shared" si="8"/>
        <v>0.32746478873239437</v>
      </c>
      <c r="M118" s="6">
        <f t="shared" si="9"/>
        <v>0.5880281690140845</v>
      </c>
      <c r="N118" s="6">
        <f t="shared" si="10"/>
        <v>8.4507042253521125E-2</v>
      </c>
      <c r="O118" s="4">
        <f t="shared" si="11"/>
        <v>1385.6125995835507</v>
      </c>
      <c r="P118" s="4">
        <f t="shared" si="12"/>
        <v>2488.1430551661606</v>
      </c>
      <c r="Q118" s="4">
        <f t="shared" si="13"/>
        <v>3873.7556547497115</v>
      </c>
      <c r="V118" s="3"/>
      <c r="W118" s="3"/>
      <c r="Y118" s="7"/>
      <c r="Z118" s="7"/>
      <c r="AA118" s="7"/>
      <c r="AB118" s="7"/>
      <c r="AC118" s="9"/>
      <c r="AD118" s="9"/>
      <c r="AE118" s="9"/>
      <c r="AF118" s="3"/>
      <c r="AG118" s="3"/>
      <c r="AH118" s="3"/>
      <c r="AJ118" t="s">
        <v>763</v>
      </c>
      <c r="AK118" t="s">
        <v>682</v>
      </c>
      <c r="AL118" s="11">
        <f>D121</f>
        <v>40827</v>
      </c>
      <c r="AM118" s="3">
        <f>SUM(E121,E126)</f>
        <v>62.7</v>
      </c>
      <c r="AN118" s="3">
        <f>(AM118-4*$A$20)*$A$21/(2*$A$22)*$A$23</f>
        <v>4501.1885270869188</v>
      </c>
      <c r="AO118" s="11">
        <f>G121</f>
        <v>40200</v>
      </c>
      <c r="AP118" s="7">
        <f>SUM(H121,H126)</f>
        <v>5.92</v>
      </c>
      <c r="AQ118" s="7">
        <f>SUM(I121,I126)</f>
        <v>11.2</v>
      </c>
      <c r="AR118" s="7">
        <f>SUM(J121,J126)</f>
        <v>5.88</v>
      </c>
      <c r="AS118" s="7">
        <f>SUM(K121,K126)</f>
        <v>9.9600000000000009</v>
      </c>
      <c r="AT118" s="9">
        <f>(AR118-2*$A$25)/AQ118</f>
        <v>0.3392857142857143</v>
      </c>
      <c r="AU118" s="9">
        <f>(AS118-2*$A$26)/AQ118</f>
        <v>0.58571428571428574</v>
      </c>
      <c r="AV118" s="9">
        <f>1-AT118-AU118</f>
        <v>7.4999999999999956E-2</v>
      </c>
      <c r="AW118" s="3">
        <f>AN118*AT118</f>
        <v>1527.1889645473475</v>
      </c>
      <c r="AX118" s="3">
        <f>AN118*AU118</f>
        <v>2636.4104230080525</v>
      </c>
      <c r="AY118" s="3">
        <f>AW118+AX118</f>
        <v>4163.5993875553995</v>
      </c>
    </row>
    <row r="119" spans="1:51" x14ac:dyDescent="0.25">
      <c r="A119">
        <v>86</v>
      </c>
      <c r="B119" s="1" t="s">
        <v>127</v>
      </c>
      <c r="C119" s="1" t="s">
        <v>682</v>
      </c>
      <c r="D119" s="2">
        <v>40827</v>
      </c>
      <c r="E119" s="3">
        <v>27.8</v>
      </c>
      <c r="F119" s="4">
        <f t="shared" si="7"/>
        <v>3953.7675174549017</v>
      </c>
      <c r="G119" s="2">
        <v>40200</v>
      </c>
      <c r="H119" s="7">
        <v>3.56</v>
      </c>
      <c r="I119" s="7">
        <f>H119+H128-2*$A$24</f>
        <v>6.14</v>
      </c>
      <c r="J119" s="7">
        <v>3.02</v>
      </c>
      <c r="K119" s="7">
        <v>5.26</v>
      </c>
      <c r="L119" s="6">
        <f t="shared" si="8"/>
        <v>0.32247557003257332</v>
      </c>
      <c r="M119" s="6">
        <f t="shared" si="9"/>
        <v>0.57980456026058624</v>
      </c>
      <c r="N119" s="6">
        <f t="shared" si="10"/>
        <v>9.7719869706840434E-2</v>
      </c>
      <c r="O119" s="4">
        <f t="shared" si="11"/>
        <v>1274.9934339675417</v>
      </c>
      <c r="P119" s="4">
        <f t="shared" si="12"/>
        <v>2292.4124368305293</v>
      </c>
      <c r="Q119" s="4">
        <f t="shared" si="13"/>
        <v>3567.4058707980712</v>
      </c>
      <c r="V119" s="3"/>
      <c r="W119" s="3"/>
      <c r="Y119" s="7"/>
      <c r="Z119" s="7"/>
      <c r="AA119" s="7"/>
      <c r="AB119" s="7"/>
      <c r="AC119" s="9"/>
      <c r="AD119" s="9"/>
      <c r="AE119" s="9"/>
      <c r="AF119" s="3"/>
      <c r="AG119" s="3"/>
      <c r="AH119" s="3"/>
      <c r="AL119" s="11"/>
      <c r="AM119" s="3"/>
      <c r="AN119" s="3"/>
      <c r="AO119" s="11"/>
      <c r="AP119" s="7"/>
      <c r="AQ119" s="7"/>
      <c r="AR119" s="7"/>
      <c r="AS119" s="7"/>
      <c r="AT119" s="9"/>
      <c r="AU119" s="9"/>
      <c r="AV119" s="9"/>
      <c r="AW119" s="3"/>
      <c r="AX119" s="3"/>
      <c r="AY119" s="3"/>
    </row>
    <row r="120" spans="1:51" x14ac:dyDescent="0.25">
      <c r="A120">
        <v>87</v>
      </c>
      <c r="B120" s="1" t="s">
        <v>128</v>
      </c>
      <c r="C120" s="1" t="s">
        <v>682</v>
      </c>
      <c r="D120" s="2">
        <v>40827</v>
      </c>
      <c r="E120" s="3">
        <v>28.700000000000003</v>
      </c>
      <c r="F120" s="4">
        <f t="shared" si="7"/>
        <v>4092.550308629216</v>
      </c>
      <c r="G120" s="2">
        <v>40200</v>
      </c>
      <c r="H120" s="7">
        <v>2.96</v>
      </c>
      <c r="I120" s="7">
        <f>H120+H127-2*$A$24</f>
        <v>5.8999999999999995</v>
      </c>
      <c r="J120" s="7">
        <v>2.96</v>
      </c>
      <c r="K120" s="7">
        <v>5.12</v>
      </c>
      <c r="L120" s="6">
        <f t="shared" si="8"/>
        <v>0.32542372881355935</v>
      </c>
      <c r="M120" s="6">
        <f t="shared" si="9"/>
        <v>0.57966101694915262</v>
      </c>
      <c r="N120" s="6">
        <f t="shared" si="10"/>
        <v>9.4915254237288083E-2</v>
      </c>
      <c r="O120" s="4">
        <f t="shared" si="11"/>
        <v>1331.8129817912027</v>
      </c>
      <c r="P120" s="4">
        <f t="shared" si="12"/>
        <v>2372.2918738155799</v>
      </c>
      <c r="Q120" s="4">
        <f t="shared" si="13"/>
        <v>3704.1048556067826</v>
      </c>
      <c r="V120" s="3"/>
      <c r="W120" s="3"/>
      <c r="Y120" s="7"/>
      <c r="Z120" s="7"/>
      <c r="AA120" s="7"/>
      <c r="AB120" s="7"/>
      <c r="AC120" s="9"/>
      <c r="AD120" s="9"/>
      <c r="AE120" s="9"/>
      <c r="AF120" s="3"/>
      <c r="AG120" s="3"/>
      <c r="AH120" s="3"/>
      <c r="AJ120" t="s">
        <v>764</v>
      </c>
      <c r="AK120" t="s">
        <v>682</v>
      </c>
      <c r="AL120" s="11">
        <f>D120</f>
        <v>40827</v>
      </c>
      <c r="AM120" s="3">
        <f>SUM(E120,E127)</f>
        <v>62.400000000000006</v>
      </c>
      <c r="AN120" s="3">
        <f>(AM120-4*$A$20)*$A$21/(2*$A$22)*$A$23</f>
        <v>4478.0580618911999</v>
      </c>
      <c r="AO120" s="11">
        <f>G120</f>
        <v>40200</v>
      </c>
      <c r="AP120" s="7">
        <f>SUM(H120,H127)</f>
        <v>6.22</v>
      </c>
      <c r="AQ120" s="7">
        <f>SUM(I120,I127)</f>
        <v>11.799999999999999</v>
      </c>
      <c r="AR120" s="7">
        <f>SUM(J120,J127)</f>
        <v>5.92</v>
      </c>
      <c r="AS120" s="7">
        <f>SUM(K120,K127)</f>
        <v>10.24</v>
      </c>
      <c r="AT120" s="9">
        <f>(AR120-2*$A$25)/AQ120</f>
        <v>0.32542372881355935</v>
      </c>
      <c r="AU120" s="9">
        <f>(AS120-2*$A$26)/AQ120</f>
        <v>0.57966101694915262</v>
      </c>
      <c r="AV120" s="9">
        <f>1-AT120-AU120</f>
        <v>9.4915254237288083E-2</v>
      </c>
      <c r="AW120" s="3">
        <f>AN120*AT120</f>
        <v>1457.266352344255</v>
      </c>
      <c r="AX120" s="3">
        <f>AN120*AU120</f>
        <v>2595.7556901132043</v>
      </c>
      <c r="AY120" s="3">
        <f>AW120+AX120</f>
        <v>4053.0220424574591</v>
      </c>
    </row>
    <row r="121" spans="1:51" x14ac:dyDescent="0.25">
      <c r="A121">
        <v>88</v>
      </c>
      <c r="B121" s="1" t="s">
        <v>129</v>
      </c>
      <c r="C121" s="1" t="s">
        <v>682</v>
      </c>
      <c r="D121" s="2">
        <v>40827</v>
      </c>
      <c r="E121" s="3">
        <v>28.8</v>
      </c>
      <c r="F121" s="4">
        <f t="shared" si="7"/>
        <v>4107.9706187596958</v>
      </c>
      <c r="G121" s="2">
        <v>40200</v>
      </c>
      <c r="H121" s="7">
        <v>2.92</v>
      </c>
      <c r="I121" s="7">
        <f>H121+H126-2*$A$24</f>
        <v>5.6</v>
      </c>
      <c r="J121" s="7">
        <v>2.94</v>
      </c>
      <c r="K121" s="7">
        <v>4.9800000000000004</v>
      </c>
      <c r="L121" s="6">
        <f t="shared" si="8"/>
        <v>0.3392857142857143</v>
      </c>
      <c r="M121" s="6">
        <f t="shared" si="9"/>
        <v>0.58571428571428574</v>
      </c>
      <c r="N121" s="6">
        <f t="shared" si="10"/>
        <v>7.4999999999999956E-2</v>
      </c>
      <c r="O121" s="4">
        <f t="shared" si="11"/>
        <v>1393.775745650611</v>
      </c>
      <c r="P121" s="4">
        <f t="shared" si="12"/>
        <v>2406.0970767021076</v>
      </c>
      <c r="Q121" s="4">
        <f t="shared" si="13"/>
        <v>3799.8728223527187</v>
      </c>
      <c r="V121" s="3"/>
      <c r="W121" s="3"/>
      <c r="Y121" s="7"/>
      <c r="Z121" s="7"/>
      <c r="AA121" s="7"/>
      <c r="AB121" s="7"/>
      <c r="AC121" s="9"/>
      <c r="AD121" s="9"/>
      <c r="AE121" s="9"/>
      <c r="AF121" s="3"/>
      <c r="AG121" s="3"/>
      <c r="AH121" s="3"/>
      <c r="AL121" s="11"/>
      <c r="AM121" s="3"/>
      <c r="AN121" s="3"/>
      <c r="AO121" s="11"/>
      <c r="AP121" s="7"/>
      <c r="AQ121" s="7"/>
      <c r="AR121" s="7"/>
      <c r="AS121" s="7"/>
      <c r="AT121" s="9"/>
      <c r="AU121" s="9"/>
      <c r="AV121" s="9"/>
      <c r="AW121" s="3"/>
      <c r="AX121" s="3"/>
      <c r="AY121" s="3"/>
    </row>
    <row r="122" spans="1:51" x14ac:dyDescent="0.25">
      <c r="A122">
        <v>89</v>
      </c>
      <c r="B122" s="1" t="s">
        <v>130</v>
      </c>
      <c r="C122" s="1" t="s">
        <v>682</v>
      </c>
      <c r="D122" s="2">
        <v>40827</v>
      </c>
      <c r="E122" s="3">
        <v>30.2</v>
      </c>
      <c r="F122" s="4">
        <f t="shared" si="7"/>
        <v>4323.8549605864055</v>
      </c>
      <c r="G122" s="2">
        <v>40200</v>
      </c>
      <c r="H122" s="7">
        <v>3.2</v>
      </c>
      <c r="I122" s="7">
        <f>H122+H125-2*$A$24</f>
        <v>6.1</v>
      </c>
      <c r="J122" s="7">
        <v>3.1</v>
      </c>
      <c r="K122" s="7">
        <v>5.16</v>
      </c>
      <c r="L122" s="6">
        <f t="shared" si="8"/>
        <v>0.3377049180327869</v>
      </c>
      <c r="M122" s="6">
        <f t="shared" si="9"/>
        <v>0.56721311475409841</v>
      </c>
      <c r="N122" s="6">
        <f t="shared" si="10"/>
        <v>9.5081967213114682E-2</v>
      </c>
      <c r="O122" s="4">
        <f t="shared" si="11"/>
        <v>1460.1870850504911</v>
      </c>
      <c r="P122" s="4">
        <f t="shared" si="12"/>
        <v>2452.5472399391747</v>
      </c>
      <c r="Q122" s="4">
        <f t="shared" si="13"/>
        <v>3912.7343249896658</v>
      </c>
      <c r="V122" s="3"/>
      <c r="W122" s="3"/>
      <c r="Y122" s="7"/>
      <c r="Z122" s="7"/>
      <c r="AA122" s="7"/>
      <c r="AB122" s="7"/>
      <c r="AC122" s="9"/>
      <c r="AD122" s="9"/>
      <c r="AE122" s="9"/>
      <c r="AF122" s="3"/>
      <c r="AG122" s="3"/>
      <c r="AH122" s="3"/>
      <c r="AJ122" t="s">
        <v>765</v>
      </c>
      <c r="AK122" t="s">
        <v>682</v>
      </c>
      <c r="AL122" s="11">
        <f>D119</f>
        <v>40827</v>
      </c>
      <c r="AM122" s="3">
        <f>SUM(E119,E128)</f>
        <v>56.099999999999994</v>
      </c>
      <c r="AN122" s="3">
        <f>(AM122-4*$A$20)*$A$21/(2*$A$22)*$A$23</f>
        <v>3992.3182927810994</v>
      </c>
      <c r="AO122" s="11">
        <f>G119</f>
        <v>40200</v>
      </c>
      <c r="AP122" s="7">
        <f>SUM(H119,H128)</f>
        <v>6.46</v>
      </c>
      <c r="AQ122" s="7">
        <f>SUM(I119,I128)</f>
        <v>12.28</v>
      </c>
      <c r="AR122" s="7">
        <f>SUM(J119,J128)</f>
        <v>6.04</v>
      </c>
      <c r="AS122" s="7">
        <f>SUM(K119,K128)</f>
        <v>10.52</v>
      </c>
      <c r="AT122" s="9">
        <f>(AR122-2*$A$25)/AQ122</f>
        <v>0.32247557003257332</v>
      </c>
      <c r="AU122" s="9">
        <f>(AS122-2*$A$26)/AQ122</f>
        <v>0.57980456026058624</v>
      </c>
      <c r="AV122" s="9">
        <f>1-AT122-AU122</f>
        <v>9.7719869706840434E-2</v>
      </c>
      <c r="AW122" s="3">
        <f>AN122*AT122</f>
        <v>1287.425117216055</v>
      </c>
      <c r="AX122" s="3">
        <f>AN122*AU122</f>
        <v>2314.7643521662399</v>
      </c>
      <c r="AY122" s="3">
        <f>AW122+AX122</f>
        <v>3602.1894693822951</v>
      </c>
    </row>
    <row r="123" spans="1:51" x14ac:dyDescent="0.25">
      <c r="A123">
        <v>90</v>
      </c>
      <c r="B123" s="1" t="s">
        <v>131</v>
      </c>
      <c r="C123" s="1" t="s">
        <v>682</v>
      </c>
      <c r="D123" s="2">
        <v>40827</v>
      </c>
      <c r="E123" s="3">
        <v>22.4</v>
      </c>
      <c r="F123" s="4">
        <f t="shared" si="7"/>
        <v>3121.0707704090173</v>
      </c>
      <c r="G123" s="2">
        <v>40200</v>
      </c>
      <c r="H123" s="7">
        <v>3.56</v>
      </c>
      <c r="I123" s="7">
        <f>H123+H124-2*$A$24</f>
        <v>6.48</v>
      </c>
      <c r="J123" s="7">
        <v>3.16</v>
      </c>
      <c r="K123" s="7">
        <v>5.4</v>
      </c>
      <c r="L123" s="6">
        <f t="shared" si="8"/>
        <v>0.3271604938271605</v>
      </c>
      <c r="M123" s="6">
        <f t="shared" si="9"/>
        <v>0.57098765432098764</v>
      </c>
      <c r="N123" s="6">
        <f t="shared" si="10"/>
        <v>0.10185185185185186</v>
      </c>
      <c r="O123" s="4">
        <f t="shared" si="11"/>
        <v>1021.0910545165303</v>
      </c>
      <c r="P123" s="4">
        <f t="shared" si="12"/>
        <v>1782.0928781656426</v>
      </c>
      <c r="Q123" s="4">
        <f t="shared" si="13"/>
        <v>2803.1839326821728</v>
      </c>
      <c r="V123" s="3"/>
      <c r="W123" s="3"/>
      <c r="Y123" s="7"/>
      <c r="Z123" s="7"/>
      <c r="AA123" s="7"/>
      <c r="AB123" s="7"/>
      <c r="AC123" s="9"/>
      <c r="AD123" s="9"/>
      <c r="AE123" s="9"/>
      <c r="AF123" s="3"/>
      <c r="AG123" s="3"/>
      <c r="AH123" s="3"/>
      <c r="AL123" s="11"/>
      <c r="AM123" s="3"/>
      <c r="AN123" s="3"/>
      <c r="AO123" s="11"/>
      <c r="AP123" s="7"/>
      <c r="AQ123" s="7"/>
      <c r="AR123" s="7"/>
      <c r="AS123" s="7"/>
      <c r="AT123" s="9"/>
      <c r="AU123" s="9"/>
      <c r="AV123" s="9"/>
      <c r="AW123" s="3"/>
      <c r="AX123" s="3"/>
      <c r="AY123" s="3"/>
    </row>
    <row r="124" spans="1:51" x14ac:dyDescent="0.25">
      <c r="A124">
        <v>91</v>
      </c>
      <c r="B124" s="1" t="s">
        <v>132</v>
      </c>
      <c r="C124" s="1" t="s">
        <v>682</v>
      </c>
      <c r="D124" s="2">
        <v>40827</v>
      </c>
      <c r="E124" s="3">
        <v>29.700000000000003</v>
      </c>
      <c r="F124" s="4">
        <f t="shared" si="7"/>
        <v>4246.7534099340101</v>
      </c>
      <c r="G124" s="2">
        <v>40200</v>
      </c>
      <c r="H124" s="7">
        <v>3.24</v>
      </c>
      <c r="I124" s="7">
        <f>H124+H123-2*$A$24</f>
        <v>6.48</v>
      </c>
      <c r="J124" s="7">
        <v>3.16</v>
      </c>
      <c r="K124" s="7">
        <v>5.4</v>
      </c>
      <c r="L124" s="6">
        <f t="shared" si="8"/>
        <v>0.3271604938271605</v>
      </c>
      <c r="M124" s="6">
        <f t="shared" si="9"/>
        <v>0.57098765432098764</v>
      </c>
      <c r="N124" s="6">
        <f t="shared" si="10"/>
        <v>0.10185185185185186</v>
      </c>
      <c r="O124" s="4">
        <f t="shared" si="11"/>
        <v>1389.3699427561885</v>
      </c>
      <c r="P124" s="4">
        <f t="shared" si="12"/>
        <v>2424.8437680178758</v>
      </c>
      <c r="Q124" s="4">
        <f t="shared" si="13"/>
        <v>3814.2137107740646</v>
      </c>
      <c r="V124" s="3"/>
      <c r="W124" s="3"/>
      <c r="Y124" s="7"/>
      <c r="Z124" s="7"/>
      <c r="AA124" s="7"/>
      <c r="AB124" s="7"/>
      <c r="AC124" s="9"/>
      <c r="AD124" s="9"/>
      <c r="AE124" s="9"/>
      <c r="AF124" s="3"/>
      <c r="AG124" s="3"/>
      <c r="AH124" s="3"/>
      <c r="AJ124" t="s">
        <v>766</v>
      </c>
      <c r="AK124" t="s">
        <v>682</v>
      </c>
      <c r="AL124" s="11">
        <f>D118</f>
        <v>40827</v>
      </c>
      <c r="AM124" s="3">
        <f>SUM(E118,E129)</f>
        <v>61.3</v>
      </c>
      <c r="AN124" s="3">
        <f>(AM124-4*$A$20)*$A$21/(2*$A$22)*$A$23</f>
        <v>4393.2463561735631</v>
      </c>
      <c r="AO124" s="11">
        <f>G118</f>
        <v>40200</v>
      </c>
      <c r="AP124" s="7">
        <f>SUM(H118,H129)</f>
        <v>6</v>
      </c>
      <c r="AQ124" s="7">
        <f>SUM(I118,I129)</f>
        <v>11.36</v>
      </c>
      <c r="AR124" s="7">
        <f>SUM(J118,J129)</f>
        <v>5.8</v>
      </c>
      <c r="AS124" s="7">
        <f>SUM(K118,K129)</f>
        <v>10.08</v>
      </c>
      <c r="AT124" s="9">
        <f>(AR124-2*$A$25)/AQ124</f>
        <v>0.32746478873239437</v>
      </c>
      <c r="AU124" s="9">
        <f>(AS124-2*$A$26)/AQ124</f>
        <v>0.5880281690140845</v>
      </c>
      <c r="AV124" s="9">
        <f>1-AT124-AU124</f>
        <v>8.4507042253521125E-2</v>
      </c>
      <c r="AW124" s="3">
        <f>AN124*AT124</f>
        <v>1438.6334898737373</v>
      </c>
      <c r="AX124" s="3">
        <f>AN124*AU124</f>
        <v>2583.3526108485389</v>
      </c>
      <c r="AY124" s="3">
        <f>AW124+AX124</f>
        <v>4021.9861007222762</v>
      </c>
    </row>
    <row r="125" spans="1:51" x14ac:dyDescent="0.25">
      <c r="A125">
        <v>92</v>
      </c>
      <c r="B125" s="1" t="s">
        <v>133</v>
      </c>
      <c r="C125" s="1" t="s">
        <v>682</v>
      </c>
      <c r="D125" s="2">
        <v>40827</v>
      </c>
      <c r="E125" s="3">
        <v>35.9</v>
      </c>
      <c r="F125" s="4">
        <f t="shared" si="7"/>
        <v>5202.8126380237272</v>
      </c>
      <c r="G125" s="2">
        <v>40200</v>
      </c>
      <c r="H125" s="7">
        <v>3.22</v>
      </c>
      <c r="I125" s="7">
        <f>H125+H122-2*$A$24</f>
        <v>6.1</v>
      </c>
      <c r="J125" s="7">
        <v>3.1</v>
      </c>
      <c r="K125" s="7">
        <v>5.16</v>
      </c>
      <c r="L125" s="6">
        <f t="shared" si="8"/>
        <v>0.3377049180327869</v>
      </c>
      <c r="M125" s="6">
        <f t="shared" si="9"/>
        <v>0.56721311475409841</v>
      </c>
      <c r="N125" s="6">
        <f t="shared" si="10"/>
        <v>9.5081967213114682E-2</v>
      </c>
      <c r="O125" s="4">
        <f t="shared" si="11"/>
        <v>1757.0154154637505</v>
      </c>
      <c r="P125" s="4">
        <f t="shared" si="12"/>
        <v>2951.1035618954261</v>
      </c>
      <c r="Q125" s="4">
        <f t="shared" si="13"/>
        <v>4708.1189773591768</v>
      </c>
      <c r="V125" s="3"/>
      <c r="W125" s="3"/>
      <c r="Y125" s="7"/>
      <c r="Z125" s="7"/>
      <c r="AA125" s="7"/>
      <c r="AB125" s="7"/>
      <c r="AC125" s="9"/>
      <c r="AD125" s="9"/>
      <c r="AE125" s="9"/>
      <c r="AF125" s="3"/>
      <c r="AG125" s="3"/>
      <c r="AH125" s="3"/>
      <c r="AL125" s="11"/>
      <c r="AM125" s="3"/>
      <c r="AN125" s="3"/>
      <c r="AO125" s="11"/>
      <c r="AP125" s="7"/>
      <c r="AQ125" s="7"/>
      <c r="AR125" s="7"/>
      <c r="AS125" s="7"/>
      <c r="AT125" s="9"/>
      <c r="AU125" s="9"/>
      <c r="AV125" s="9"/>
      <c r="AW125" s="3"/>
      <c r="AX125" s="3"/>
      <c r="AY125" s="3"/>
    </row>
    <row r="126" spans="1:51" x14ac:dyDescent="0.25">
      <c r="A126">
        <v>93</v>
      </c>
      <c r="B126" s="1" t="s">
        <v>134</v>
      </c>
      <c r="C126" s="1" t="s">
        <v>682</v>
      </c>
      <c r="D126" s="2">
        <v>40827</v>
      </c>
      <c r="E126" s="3">
        <v>33.900000000000006</v>
      </c>
      <c r="F126" s="4">
        <f t="shared" si="7"/>
        <v>4894.4064354141428</v>
      </c>
      <c r="G126" s="2">
        <v>40200</v>
      </c>
      <c r="H126" s="7">
        <v>3</v>
      </c>
      <c r="I126" s="7">
        <f>H126+H121-2*$A$24</f>
        <v>5.6</v>
      </c>
      <c r="J126" s="7">
        <v>2.94</v>
      </c>
      <c r="K126" s="7">
        <v>4.9800000000000004</v>
      </c>
      <c r="L126" s="6">
        <f t="shared" si="8"/>
        <v>0.3392857142857143</v>
      </c>
      <c r="M126" s="6">
        <f t="shared" si="9"/>
        <v>0.58571428571428574</v>
      </c>
      <c r="N126" s="6">
        <f t="shared" si="10"/>
        <v>7.4999999999999956E-2</v>
      </c>
      <c r="O126" s="4">
        <f t="shared" si="11"/>
        <v>1660.6021834440842</v>
      </c>
      <c r="P126" s="4">
        <f t="shared" si="12"/>
        <v>2866.7237693139982</v>
      </c>
      <c r="Q126" s="4">
        <f t="shared" si="13"/>
        <v>4527.3259527580822</v>
      </c>
      <c r="V126" s="3"/>
      <c r="W126" s="3"/>
      <c r="Y126" s="7"/>
      <c r="Z126" s="7"/>
      <c r="AA126" s="7"/>
      <c r="AB126" s="7"/>
      <c r="AC126" s="9"/>
      <c r="AD126" s="9"/>
      <c r="AE126" s="9"/>
      <c r="AF126" s="3"/>
      <c r="AG126" s="3"/>
      <c r="AH126" s="3"/>
      <c r="AJ126" t="s">
        <v>767</v>
      </c>
      <c r="AK126" t="s">
        <v>682</v>
      </c>
      <c r="AL126" s="11">
        <f>D117</f>
        <v>40827</v>
      </c>
      <c r="AM126" s="3">
        <f>SUM(E117,E130)</f>
        <v>59.7</v>
      </c>
      <c r="AN126" s="3">
        <f>(AM126-4*$A$20)*$A$21/(2*$A$22)*$A$23</f>
        <v>4269.8838751297289</v>
      </c>
      <c r="AO126" s="11">
        <f>G117</f>
        <v>40200</v>
      </c>
      <c r="AP126" s="7">
        <f>SUM(H117,H130)</f>
        <v>6.62</v>
      </c>
      <c r="AQ126" s="7">
        <f>SUM(I117,I130)</f>
        <v>12.6</v>
      </c>
      <c r="AR126" s="7">
        <f>SUM(J117,J130)</f>
        <v>6.24</v>
      </c>
      <c r="AS126" s="7">
        <f>SUM(K117,K130)</f>
        <v>10.76</v>
      </c>
      <c r="AT126" s="9">
        <f>(AR126-2*$A$25)/AQ126</f>
        <v>0.33015873015873021</v>
      </c>
      <c r="AU126" s="9">
        <f>(AS126-2*$A$26)/AQ126</f>
        <v>0.58412698412698405</v>
      </c>
      <c r="AV126" s="9">
        <f>1-AT126-AU126</f>
        <v>8.5714285714285743E-2</v>
      </c>
      <c r="AW126" s="3">
        <f>AN126*AT126</f>
        <v>1409.7394381380695</v>
      </c>
      <c r="AX126" s="3">
        <f>AN126*AU126</f>
        <v>2494.1543905519684</v>
      </c>
      <c r="AY126" s="3">
        <f>AW126+AX126</f>
        <v>3903.8938286900379</v>
      </c>
    </row>
    <row r="127" spans="1:51" x14ac:dyDescent="0.25">
      <c r="A127">
        <v>94</v>
      </c>
      <c r="B127" s="1" t="s">
        <v>135</v>
      </c>
      <c r="C127" s="1" t="s">
        <v>682</v>
      </c>
      <c r="D127" s="2">
        <v>40827</v>
      </c>
      <c r="E127" s="3">
        <v>33.700000000000003</v>
      </c>
      <c r="F127" s="4">
        <f t="shared" si="7"/>
        <v>4863.5658151531834</v>
      </c>
      <c r="G127" s="2">
        <v>40200</v>
      </c>
      <c r="H127" s="7">
        <v>3.26</v>
      </c>
      <c r="I127" s="7">
        <f>H127+H120-2*$A$24</f>
        <v>5.8999999999999995</v>
      </c>
      <c r="J127" s="7">
        <v>2.96</v>
      </c>
      <c r="K127" s="7">
        <v>5.12</v>
      </c>
      <c r="L127" s="6">
        <f t="shared" si="8"/>
        <v>0.32542372881355935</v>
      </c>
      <c r="M127" s="6">
        <f t="shared" si="9"/>
        <v>0.57966101694915262</v>
      </c>
      <c r="N127" s="6">
        <f t="shared" si="10"/>
        <v>9.4915254237288083E-2</v>
      </c>
      <c r="O127" s="4">
        <f t="shared" si="11"/>
        <v>1582.7197228973073</v>
      </c>
      <c r="P127" s="4">
        <f t="shared" si="12"/>
        <v>2819.2195064108287</v>
      </c>
      <c r="Q127" s="4">
        <f t="shared" si="13"/>
        <v>4401.9392293081364</v>
      </c>
      <c r="V127" s="3"/>
      <c r="W127" s="3"/>
      <c r="Y127" s="7"/>
      <c r="Z127" s="7"/>
      <c r="AA127" s="7"/>
      <c r="AB127" s="7"/>
      <c r="AC127" s="9"/>
      <c r="AD127" s="9"/>
      <c r="AE127" s="9"/>
      <c r="AF127" s="3"/>
      <c r="AG127" s="3"/>
      <c r="AH127" s="3"/>
      <c r="AL127" s="11"/>
      <c r="AM127" s="3"/>
      <c r="AN127" s="3"/>
      <c r="AO127" s="11"/>
      <c r="AP127" s="7"/>
      <c r="AQ127" s="7"/>
      <c r="AR127" s="7"/>
      <c r="AS127" s="7"/>
      <c r="AT127" s="9"/>
      <c r="AU127" s="9"/>
      <c r="AV127" s="9"/>
      <c r="AW127" s="3"/>
      <c r="AX127" s="3"/>
      <c r="AY127" s="3"/>
    </row>
    <row r="128" spans="1:51" x14ac:dyDescent="0.25">
      <c r="A128">
        <v>95</v>
      </c>
      <c r="B128" s="1" t="s">
        <v>136</v>
      </c>
      <c r="C128" s="1" t="s">
        <v>682</v>
      </c>
      <c r="D128" s="2">
        <v>40827</v>
      </c>
      <c r="E128" s="3">
        <v>28.299999999999997</v>
      </c>
      <c r="F128" s="4">
        <f t="shared" si="7"/>
        <v>4030.8690681072981</v>
      </c>
      <c r="G128" s="2">
        <v>40200</v>
      </c>
      <c r="H128" s="7">
        <v>2.9</v>
      </c>
      <c r="I128" s="7">
        <f>H128+H119-2*$A$24</f>
        <v>6.14</v>
      </c>
      <c r="J128" s="7">
        <v>3.02</v>
      </c>
      <c r="K128" s="7">
        <v>5.26</v>
      </c>
      <c r="L128" s="6">
        <f t="shared" si="8"/>
        <v>0.32247557003257332</v>
      </c>
      <c r="M128" s="6">
        <f t="shared" si="9"/>
        <v>0.57980456026058624</v>
      </c>
      <c r="N128" s="6">
        <f t="shared" si="10"/>
        <v>9.7719869706840434E-2</v>
      </c>
      <c r="O128" s="4">
        <f t="shared" si="11"/>
        <v>1299.8568004645686</v>
      </c>
      <c r="P128" s="4">
        <f t="shared" si="12"/>
        <v>2337.1162675019509</v>
      </c>
      <c r="Q128" s="4">
        <f t="shared" si="13"/>
        <v>3636.9730679665195</v>
      </c>
      <c r="V128" s="3"/>
      <c r="W128" s="3"/>
      <c r="Y128" s="7"/>
      <c r="Z128" s="7"/>
      <c r="AA128" s="7"/>
      <c r="AB128" s="7"/>
      <c r="AC128" s="9"/>
      <c r="AD128" s="9"/>
      <c r="AE128" s="9"/>
      <c r="AF128" s="3"/>
      <c r="AG128" s="3"/>
      <c r="AH128" s="3"/>
      <c r="AJ128" t="s">
        <v>768</v>
      </c>
      <c r="AK128" t="s">
        <v>682</v>
      </c>
      <c r="AL128" s="11">
        <f>D116</f>
        <v>40827</v>
      </c>
      <c r="AM128" s="3">
        <f>SUM(E116,E131)</f>
        <v>54.5</v>
      </c>
      <c r="AN128" s="3">
        <f>(AM128-4*$A$20)*$A$21/(2*$A$22)*$A$23</f>
        <v>3868.9558117372658</v>
      </c>
      <c r="AO128" s="11">
        <f>G116</f>
        <v>40200</v>
      </c>
      <c r="AP128" s="7">
        <f>SUM(H116,H131)</f>
        <v>6.66</v>
      </c>
      <c r="AQ128" s="7">
        <f>SUM(I116,I131)</f>
        <v>12.68</v>
      </c>
      <c r="AR128" s="7">
        <f>SUM(J116,J131)</f>
        <v>6.28</v>
      </c>
      <c r="AS128" s="7">
        <f>SUM(K116,K131)</f>
        <v>10.72</v>
      </c>
      <c r="AT128" s="9">
        <f>(AR128-2*$A$25)/AQ128</f>
        <v>0.33123028391167192</v>
      </c>
      <c r="AU128" s="9">
        <f>(AS128-2*$A$26)/AQ128</f>
        <v>0.57728706624605686</v>
      </c>
      <c r="AV128" s="9">
        <f>1-AT128-AU128</f>
        <v>9.148264984227128E-2</v>
      </c>
      <c r="AW128" s="3">
        <f>AN128*AT128</f>
        <v>1281.5153319634476</v>
      </c>
      <c r="AX128" s="3">
        <f>AN128*AU128</f>
        <v>2233.4981499934374</v>
      </c>
      <c r="AY128" s="3">
        <f>AW128+AX128</f>
        <v>3515.0134819568848</v>
      </c>
    </row>
    <row r="129" spans="1:51" x14ac:dyDescent="0.25">
      <c r="A129">
        <v>96</v>
      </c>
      <c r="B129" s="1" t="s">
        <v>137</v>
      </c>
      <c r="C129" s="1" t="s">
        <v>682</v>
      </c>
      <c r="D129" s="2">
        <v>40827</v>
      </c>
      <c r="E129" s="3">
        <v>31.7</v>
      </c>
      <c r="F129" s="4">
        <f t="shared" si="7"/>
        <v>4555.1596125435963</v>
      </c>
      <c r="G129" s="2">
        <v>40200</v>
      </c>
      <c r="H129" s="7">
        <v>2.74</v>
      </c>
      <c r="I129" s="7">
        <f>H129+H118-2*$A$24</f>
        <v>5.68</v>
      </c>
      <c r="J129" s="7">
        <v>2.9</v>
      </c>
      <c r="K129" s="7">
        <v>5.04</v>
      </c>
      <c r="L129" s="6">
        <f t="shared" si="8"/>
        <v>0.32746478873239437</v>
      </c>
      <c r="M129" s="6">
        <f t="shared" si="9"/>
        <v>0.5880281690140845</v>
      </c>
      <c r="N129" s="6">
        <f t="shared" si="10"/>
        <v>8.4507042253521125E-2</v>
      </c>
      <c r="O129" s="4">
        <f t="shared" si="11"/>
        <v>1491.6543801639241</v>
      </c>
      <c r="P129" s="4">
        <f t="shared" si="12"/>
        <v>2678.5621665309177</v>
      </c>
      <c r="Q129" s="4">
        <f t="shared" si="13"/>
        <v>4170.2165466948418</v>
      </c>
      <c r="V129" s="3"/>
      <c r="W129" s="3"/>
      <c r="Y129" s="7"/>
      <c r="Z129" s="7"/>
      <c r="AA129" s="7"/>
      <c r="AB129" s="7"/>
      <c r="AC129" s="9"/>
      <c r="AD129" s="9"/>
      <c r="AE129" s="9"/>
      <c r="AF129" s="3"/>
      <c r="AG129" s="3"/>
      <c r="AH129" s="3"/>
      <c r="AL129" s="11"/>
      <c r="AM129" s="3"/>
      <c r="AN129" s="3"/>
      <c r="AO129" s="11"/>
      <c r="AP129" s="7"/>
      <c r="AQ129" s="7"/>
      <c r="AR129" s="7"/>
      <c r="AS129" s="7"/>
      <c r="AT129" s="9"/>
      <c r="AU129" s="9"/>
      <c r="AV129" s="9"/>
      <c r="AW129" s="3"/>
      <c r="AX129" s="3"/>
      <c r="AY129" s="3"/>
    </row>
    <row r="130" spans="1:51" x14ac:dyDescent="0.25">
      <c r="A130">
        <v>97</v>
      </c>
      <c r="B130" s="1" t="s">
        <v>138</v>
      </c>
      <c r="C130" s="1" t="s">
        <v>682</v>
      </c>
      <c r="D130" s="2">
        <v>40827</v>
      </c>
      <c r="E130" s="3">
        <v>32.1</v>
      </c>
      <c r="F130" s="4">
        <f t="shared" si="7"/>
        <v>4616.8408530655133</v>
      </c>
      <c r="G130" s="2">
        <v>40200</v>
      </c>
      <c r="H130" s="7">
        <v>3.16</v>
      </c>
      <c r="I130" s="7">
        <f>H130+H117-2*$A$24</f>
        <v>6.3</v>
      </c>
      <c r="J130" s="7">
        <v>3.12</v>
      </c>
      <c r="K130" s="7">
        <v>5.38</v>
      </c>
      <c r="L130" s="6">
        <f t="shared" si="8"/>
        <v>0.33015873015873021</v>
      </c>
      <c r="M130" s="6">
        <f t="shared" si="9"/>
        <v>0.58412698412698405</v>
      </c>
      <c r="N130" s="6">
        <f t="shared" si="10"/>
        <v>8.5714285714285743E-2</v>
      </c>
      <c r="O130" s="4">
        <f t="shared" si="11"/>
        <v>1524.2903133930586</v>
      </c>
      <c r="P130" s="4">
        <f t="shared" si="12"/>
        <v>2696.8213236954107</v>
      </c>
      <c r="Q130" s="4">
        <f t="shared" si="13"/>
        <v>4221.1116370884693</v>
      </c>
      <c r="V130" s="3"/>
      <c r="W130" s="3"/>
      <c r="Y130" s="7"/>
      <c r="Z130" s="7"/>
      <c r="AA130" s="7"/>
      <c r="AB130" s="7"/>
      <c r="AC130" s="9"/>
      <c r="AD130" s="9"/>
      <c r="AE130" s="9"/>
      <c r="AF130" s="3"/>
      <c r="AG130" s="3"/>
      <c r="AH130" s="3"/>
      <c r="AJ130" t="s">
        <v>769</v>
      </c>
      <c r="AK130" t="s">
        <v>682</v>
      </c>
      <c r="AL130" s="11">
        <f>D115</f>
        <v>40827</v>
      </c>
      <c r="AM130" s="3">
        <f>SUM(E115,E132)</f>
        <v>62.5</v>
      </c>
      <c r="AN130" s="3">
        <f>(AM130-4*$A$20)*$A$21/(2*$A$22)*$A$23</f>
        <v>4485.7682169564387</v>
      </c>
      <c r="AO130" s="11">
        <f>G115</f>
        <v>40200</v>
      </c>
      <c r="AP130" s="7">
        <f>SUM(H115,H132)</f>
        <v>6.5600000000000005</v>
      </c>
      <c r="AQ130" s="7">
        <f>SUM(I115,I132)</f>
        <v>12.48</v>
      </c>
      <c r="AR130" s="7">
        <f>SUM(J115,J132)</f>
        <v>6.12</v>
      </c>
      <c r="AS130" s="7">
        <f>SUM(K115,K132)</f>
        <v>10.64</v>
      </c>
      <c r="AT130" s="9">
        <f>(AR130-2*$A$25)/AQ130</f>
        <v>0.32371794871794873</v>
      </c>
      <c r="AU130" s="9">
        <f>(AS130-2*$A$26)/AQ130</f>
        <v>0.58012820512820518</v>
      </c>
      <c r="AV130" s="9">
        <f>1-AT130-AU130</f>
        <v>9.6153846153846145E-2</v>
      </c>
      <c r="AW130" s="3">
        <f>AN130*AT130</f>
        <v>1452.1236856173086</v>
      </c>
      <c r="AX130" s="3">
        <f>AN130*AU130</f>
        <v>2602.3206643240878</v>
      </c>
      <c r="AY130" s="3">
        <f>AW130+AX130</f>
        <v>4054.4443499413965</v>
      </c>
    </row>
    <row r="131" spans="1:51" x14ac:dyDescent="0.25">
      <c r="A131">
        <v>98</v>
      </c>
      <c r="B131" s="1" t="s">
        <v>139</v>
      </c>
      <c r="C131" s="1" t="s">
        <v>682</v>
      </c>
      <c r="D131" s="2">
        <v>40827</v>
      </c>
      <c r="E131" s="3">
        <v>27.9</v>
      </c>
      <c r="F131" s="4">
        <f t="shared" si="7"/>
        <v>3969.187827585381</v>
      </c>
      <c r="G131" s="2">
        <v>40200</v>
      </c>
      <c r="H131" s="7">
        <v>3.36</v>
      </c>
      <c r="I131" s="7">
        <f>H131+H116-2*$A$24</f>
        <v>6.34</v>
      </c>
      <c r="J131" s="7">
        <v>3.14</v>
      </c>
      <c r="K131" s="7">
        <v>5.36</v>
      </c>
      <c r="L131" s="6">
        <f t="shared" si="8"/>
        <v>0.33123028391167192</v>
      </c>
      <c r="M131" s="6">
        <f t="shared" si="9"/>
        <v>0.57728706624605686</v>
      </c>
      <c r="N131" s="6">
        <f t="shared" si="10"/>
        <v>9.148264984227128E-2</v>
      </c>
      <c r="O131" s="4">
        <f t="shared" si="11"/>
        <v>1314.715211029858</v>
      </c>
      <c r="P131" s="4">
        <f t="shared" si="12"/>
        <v>2291.3607963663244</v>
      </c>
      <c r="Q131" s="4">
        <f t="shared" si="13"/>
        <v>3606.0760073961824</v>
      </c>
      <c r="V131" s="3"/>
      <c r="W131" s="3"/>
      <c r="Y131" s="7"/>
      <c r="Z131" s="7"/>
      <c r="AA131" s="7"/>
      <c r="AB131" s="7"/>
      <c r="AC131" s="9"/>
      <c r="AD131" s="9"/>
      <c r="AE131" s="9"/>
      <c r="AF131" s="3"/>
      <c r="AG131" s="3"/>
      <c r="AH131" s="3"/>
      <c r="AL131" s="11"/>
      <c r="AM131" s="3"/>
      <c r="AN131" s="3"/>
      <c r="AO131" s="11"/>
      <c r="AP131" s="7"/>
      <c r="AQ131" s="7"/>
      <c r="AR131" s="7"/>
      <c r="AS131" s="7"/>
      <c r="AT131" s="9"/>
      <c r="AU131" s="9"/>
      <c r="AV131" s="9"/>
      <c r="AW131" s="3"/>
      <c r="AX131" s="3"/>
      <c r="AY131" s="3"/>
    </row>
    <row r="132" spans="1:51" x14ac:dyDescent="0.25">
      <c r="A132">
        <v>99</v>
      </c>
      <c r="B132" s="1" t="s">
        <v>140</v>
      </c>
      <c r="C132" s="1" t="s">
        <v>682</v>
      </c>
      <c r="D132" s="2">
        <v>40827</v>
      </c>
      <c r="E132" s="3">
        <v>32.9</v>
      </c>
      <c r="F132" s="4">
        <f t="shared" si="7"/>
        <v>4740.2033341093475</v>
      </c>
      <c r="G132" s="2">
        <v>40200</v>
      </c>
      <c r="H132" s="7">
        <v>3.22</v>
      </c>
      <c r="I132" s="7">
        <f>H132+H115-2*$A$24</f>
        <v>6.24</v>
      </c>
      <c r="J132" s="7">
        <v>3.06</v>
      </c>
      <c r="K132" s="7">
        <v>5.32</v>
      </c>
      <c r="L132" s="6">
        <f t="shared" si="8"/>
        <v>0.32371794871794873</v>
      </c>
      <c r="M132" s="6">
        <f t="shared" si="9"/>
        <v>0.58012820512820518</v>
      </c>
      <c r="N132" s="6">
        <f t="shared" si="10"/>
        <v>9.6153846153846145E-2</v>
      </c>
      <c r="O132" s="4">
        <f t="shared" si="11"/>
        <v>1534.4888998238594</v>
      </c>
      <c r="P132" s="4">
        <f t="shared" si="12"/>
        <v>2749.9256521595894</v>
      </c>
      <c r="Q132" s="4">
        <f t="shared" si="13"/>
        <v>4284.4145519834492</v>
      </c>
      <c r="V132" s="3"/>
      <c r="W132" s="3"/>
      <c r="Y132" s="7"/>
      <c r="Z132" s="7"/>
      <c r="AA132" s="7"/>
      <c r="AB132" s="7"/>
      <c r="AC132" s="9"/>
      <c r="AD132" s="9"/>
      <c r="AE132" s="9"/>
      <c r="AF132" s="3"/>
      <c r="AG132" s="3"/>
      <c r="AH132" s="3"/>
      <c r="AJ132" t="s">
        <v>770</v>
      </c>
      <c r="AK132" t="s">
        <v>682</v>
      </c>
      <c r="AL132" s="11">
        <f>D114</f>
        <v>40827</v>
      </c>
      <c r="AM132" s="3">
        <f>SUM(E114,E133)</f>
        <v>38.799999999999997</v>
      </c>
      <c r="AN132" s="3">
        <f>(AM132-4*$A$20)*$A$21/(2*$A$22)*$A$23</f>
        <v>2658.4614664946371</v>
      </c>
      <c r="AO132" s="11">
        <f>G114</f>
        <v>40200</v>
      </c>
      <c r="AP132" s="7">
        <f>SUM(H114,H133)</f>
        <v>5.58</v>
      </c>
      <c r="AQ132" s="7">
        <f>SUM(I114,I133)</f>
        <v>10.52</v>
      </c>
      <c r="AR132" s="7">
        <f>SUM(J114,J133)</f>
        <v>5.56</v>
      </c>
      <c r="AS132" s="7">
        <f>SUM(K114,K133)</f>
        <v>9.36</v>
      </c>
      <c r="AT132" s="9">
        <f>(AR132-2*$A$25)/AQ132</f>
        <v>0.33079847908745247</v>
      </c>
      <c r="AU132" s="9">
        <f>(AS132-2*$A$26)/AQ132</f>
        <v>0.56653992395437258</v>
      </c>
      <c r="AV132" s="9">
        <f>1-AT132-AU132</f>
        <v>0.10266159695817489</v>
      </c>
      <c r="AW132" s="3">
        <f>AN132*AT132</f>
        <v>879.41500982902437</v>
      </c>
      <c r="AX132" s="3">
        <f>AN132*AU132</f>
        <v>1506.1245570635015</v>
      </c>
      <c r="AY132" s="3">
        <f>AW132+AX132</f>
        <v>2385.5395668925257</v>
      </c>
    </row>
    <row r="133" spans="1:51" x14ac:dyDescent="0.25">
      <c r="A133">
        <v>100</v>
      </c>
      <c r="B133" s="1" t="s">
        <v>141</v>
      </c>
      <c r="C133" s="1" t="s">
        <v>682</v>
      </c>
      <c r="D133" s="2">
        <v>40827</v>
      </c>
      <c r="E133" s="3">
        <v>20.8</v>
      </c>
      <c r="F133" s="4">
        <f t="shared" si="7"/>
        <v>2874.3458083213486</v>
      </c>
      <c r="G133" s="2">
        <v>40200</v>
      </c>
      <c r="H133" s="7">
        <v>2.88</v>
      </c>
      <c r="I133" s="7">
        <f>H133+H114-2*$A$24</f>
        <v>5.26</v>
      </c>
      <c r="J133" s="7">
        <v>2.78</v>
      </c>
      <c r="K133" s="7">
        <v>4.68</v>
      </c>
      <c r="L133" s="6">
        <f t="shared" si="8"/>
        <v>0.33079847908745247</v>
      </c>
      <c r="M133" s="6">
        <f t="shared" si="9"/>
        <v>0.56653992395437258</v>
      </c>
      <c r="N133" s="6">
        <f t="shared" si="10"/>
        <v>0.10266159695817489</v>
      </c>
      <c r="O133" s="4">
        <f t="shared" si="11"/>
        <v>950.82922176409625</v>
      </c>
      <c r="P133" s="4">
        <f t="shared" si="12"/>
        <v>1628.4316556649464</v>
      </c>
      <c r="Q133" s="4">
        <f t="shared" si="13"/>
        <v>2579.2608774290429</v>
      </c>
      <c r="V133" s="3"/>
      <c r="W133" s="3"/>
      <c r="Y133" s="7"/>
      <c r="Z133" s="7"/>
      <c r="AA133" s="7"/>
      <c r="AB133" s="7"/>
      <c r="AC133" s="9"/>
      <c r="AD133" s="9"/>
      <c r="AE133" s="9"/>
      <c r="AF133" s="3"/>
      <c r="AG133" s="3"/>
      <c r="AH133" s="3"/>
      <c r="AL133" s="11"/>
      <c r="AM133" s="3"/>
      <c r="AN133" s="3"/>
      <c r="AO133" s="11"/>
      <c r="AP133" s="7"/>
      <c r="AQ133" s="7"/>
      <c r="AR133" s="7"/>
      <c r="AS133" s="7"/>
      <c r="AT133" s="9"/>
      <c r="AU133" s="9"/>
      <c r="AV133" s="9"/>
      <c r="AW133" s="3"/>
      <c r="AX133" s="3"/>
      <c r="AY133" s="3"/>
    </row>
    <row r="134" spans="1:51" x14ac:dyDescent="0.25">
      <c r="A134">
        <v>101</v>
      </c>
      <c r="B134" s="1" t="s">
        <v>142</v>
      </c>
      <c r="C134" s="1" t="s">
        <v>682</v>
      </c>
      <c r="D134" s="2">
        <v>40827</v>
      </c>
      <c r="E134" s="3">
        <v>20.700000000000003</v>
      </c>
      <c r="F134" s="4">
        <f t="shared" si="7"/>
        <v>2858.9254981908689</v>
      </c>
      <c r="G134" s="2">
        <v>40200</v>
      </c>
      <c r="H134" s="7">
        <v>2.72</v>
      </c>
      <c r="I134" s="7">
        <f>H134+H153-2*$A$24</f>
        <v>6.0600000000000005</v>
      </c>
      <c r="J134" s="7">
        <v>3.12</v>
      </c>
      <c r="K134" s="7">
        <v>5.26</v>
      </c>
      <c r="L134" s="6">
        <f t="shared" si="8"/>
        <v>0.34323432343234322</v>
      </c>
      <c r="M134" s="6">
        <f t="shared" si="9"/>
        <v>0.58745874587458735</v>
      </c>
      <c r="N134" s="6">
        <f t="shared" si="10"/>
        <v>6.930693069306948E-2</v>
      </c>
      <c r="O134" s="4">
        <f t="shared" si="11"/>
        <v>981.28135911501772</v>
      </c>
      <c r="P134" s="4">
        <f t="shared" si="12"/>
        <v>1679.5007877160876</v>
      </c>
      <c r="Q134" s="4">
        <f t="shared" si="13"/>
        <v>2660.7821468311054</v>
      </c>
      <c r="V134" s="3"/>
      <c r="W134" s="3"/>
      <c r="Y134" s="7"/>
      <c r="Z134" s="7"/>
      <c r="AA134" s="7"/>
      <c r="AB134" s="7"/>
      <c r="AC134" s="9"/>
      <c r="AD134" s="9"/>
      <c r="AE134" s="9"/>
      <c r="AF134" s="3"/>
      <c r="AG134" s="3"/>
      <c r="AH134" s="3"/>
      <c r="AJ134" t="s">
        <v>771</v>
      </c>
      <c r="AK134" t="s">
        <v>682</v>
      </c>
      <c r="AL134" s="11">
        <f>D143</f>
        <v>40827</v>
      </c>
      <c r="AM134" s="3">
        <f>SUM(E143,E144)</f>
        <v>54.400000000000006</v>
      </c>
      <c r="AN134" s="3">
        <f>(AM134-4*$A$20)*$A$21/(2*$A$22)*$A$23</f>
        <v>3861.2456566720266</v>
      </c>
      <c r="AO134" s="11">
        <f>G143</f>
        <v>40200</v>
      </c>
      <c r="AP134" s="7">
        <f>SUM(H143,H144)</f>
        <v>6.74</v>
      </c>
      <c r="AQ134" s="7">
        <f>SUM(I143,I144)</f>
        <v>12.84</v>
      </c>
      <c r="AR134" s="7">
        <f>SUM(J143,J144)</f>
        <v>6.4</v>
      </c>
      <c r="AS134" s="7">
        <f>SUM(K143,K144)</f>
        <v>10.88</v>
      </c>
      <c r="AT134" s="9">
        <f>(AR134-2*$A$25)/AQ134</f>
        <v>0.33644859813084116</v>
      </c>
      <c r="AU134" s="9">
        <f>(AS134-2*$A$26)/AQ134</f>
        <v>0.58255451713395645</v>
      </c>
      <c r="AV134" s="9">
        <f>1-AT134-AU134</f>
        <v>8.099688473520239E-2</v>
      </c>
      <c r="AW134" s="3">
        <f>AN134*AT134</f>
        <v>1299.1106882261026</v>
      </c>
      <c r="AX134" s="3">
        <f>AN134*AU134</f>
        <v>2249.3860990581588</v>
      </c>
      <c r="AY134" s="3">
        <f>AW134+AX134</f>
        <v>3548.4967872842617</v>
      </c>
    </row>
    <row r="135" spans="1:51" x14ac:dyDescent="0.25">
      <c r="A135">
        <v>102</v>
      </c>
      <c r="B135" s="1" t="s">
        <v>143</v>
      </c>
      <c r="C135" s="1" t="s">
        <v>682</v>
      </c>
      <c r="D135" s="2">
        <v>40827</v>
      </c>
      <c r="E135" s="3">
        <v>32.5</v>
      </c>
      <c r="F135" s="4">
        <f t="shared" si="7"/>
        <v>4678.5220935874313</v>
      </c>
      <c r="G135" s="2">
        <v>40200</v>
      </c>
      <c r="H135" s="7">
        <v>3.24</v>
      </c>
      <c r="I135" s="7">
        <f>H135+H152-2*$A$24</f>
        <v>6.12</v>
      </c>
      <c r="J135" s="7">
        <v>3.08</v>
      </c>
      <c r="K135" s="7">
        <v>5.24</v>
      </c>
      <c r="L135" s="6">
        <f t="shared" si="8"/>
        <v>0.33333333333333331</v>
      </c>
      <c r="M135" s="6">
        <f t="shared" si="9"/>
        <v>0.57843137254901955</v>
      </c>
      <c r="N135" s="6">
        <f t="shared" si="10"/>
        <v>8.8235294117647189E-2</v>
      </c>
      <c r="O135" s="4">
        <f t="shared" si="11"/>
        <v>1559.5073645291436</v>
      </c>
      <c r="P135" s="4">
        <f t="shared" si="12"/>
        <v>2706.2039560946905</v>
      </c>
      <c r="Q135" s="4">
        <f t="shared" si="13"/>
        <v>4265.7113206238337</v>
      </c>
      <c r="V135" s="3"/>
      <c r="W135" s="3"/>
      <c r="Y135" s="7"/>
      <c r="Z135" s="7"/>
      <c r="AA135" s="7"/>
      <c r="AB135" s="7"/>
      <c r="AC135" s="9"/>
      <c r="AD135" s="9"/>
      <c r="AE135" s="9"/>
      <c r="AF135" s="3"/>
      <c r="AG135" s="3"/>
      <c r="AH135" s="3"/>
      <c r="AL135" s="11"/>
      <c r="AM135" s="3"/>
      <c r="AN135" s="3"/>
      <c r="AO135" s="11"/>
      <c r="AP135" s="7"/>
      <c r="AQ135" s="7"/>
      <c r="AR135" s="7"/>
      <c r="AS135" s="7"/>
      <c r="AT135" s="9"/>
      <c r="AU135" s="9"/>
      <c r="AV135" s="9"/>
      <c r="AW135" s="3"/>
      <c r="AX135" s="3"/>
      <c r="AY135" s="3"/>
    </row>
    <row r="136" spans="1:51" x14ac:dyDescent="0.25">
      <c r="A136">
        <v>103</v>
      </c>
      <c r="B136" s="1" t="s">
        <v>144</v>
      </c>
      <c r="C136" s="1" t="s">
        <v>682</v>
      </c>
      <c r="D136" s="2">
        <v>40827</v>
      </c>
      <c r="E136" s="3">
        <v>27.799999999999997</v>
      </c>
      <c r="F136" s="4">
        <f t="shared" si="7"/>
        <v>3953.7675174549013</v>
      </c>
      <c r="G136" s="2">
        <v>40200</v>
      </c>
      <c r="H136" s="7">
        <v>3.18</v>
      </c>
      <c r="I136" s="7">
        <f>H136+H151-2*$A$24</f>
        <v>6.0600000000000005</v>
      </c>
      <c r="J136" s="7">
        <v>3.08</v>
      </c>
      <c r="K136" s="7">
        <v>5.22</v>
      </c>
      <c r="L136" s="6">
        <f t="shared" si="8"/>
        <v>0.3366336633663366</v>
      </c>
      <c r="M136" s="6">
        <f t="shared" si="9"/>
        <v>0.58085808580858078</v>
      </c>
      <c r="N136" s="6">
        <f t="shared" si="10"/>
        <v>8.2508250825082619E-2</v>
      </c>
      <c r="O136" s="4">
        <f t="shared" si="11"/>
        <v>1330.9712434996695</v>
      </c>
      <c r="P136" s="4">
        <f t="shared" si="12"/>
        <v>2296.5778319209985</v>
      </c>
      <c r="Q136" s="4">
        <f t="shared" si="13"/>
        <v>3627.549075420668</v>
      </c>
      <c r="V136" s="3"/>
      <c r="W136" s="3"/>
      <c r="Y136" s="7"/>
      <c r="Z136" s="7"/>
      <c r="AA136" s="7"/>
      <c r="AB136" s="7"/>
      <c r="AC136" s="9"/>
      <c r="AD136" s="9"/>
      <c r="AE136" s="9"/>
      <c r="AF136" s="3"/>
      <c r="AG136" s="3"/>
      <c r="AH136" s="3"/>
      <c r="AJ136" t="s">
        <v>772</v>
      </c>
      <c r="AK136" t="s">
        <v>682</v>
      </c>
      <c r="AL136" s="11">
        <f>D142</f>
        <v>40827</v>
      </c>
      <c r="AM136" s="3">
        <f>SUM(E142,E145)</f>
        <v>64.3</v>
      </c>
      <c r="AN136" s="3">
        <f>(AM136-4*$A$20)*$A$21/(2*$A$22)*$A$23</f>
        <v>4624.5510081307521</v>
      </c>
      <c r="AO136" s="11">
        <f>G142</f>
        <v>40200</v>
      </c>
      <c r="AP136" s="7">
        <f>SUM(H142,H145)</f>
        <v>6.54</v>
      </c>
      <c r="AQ136" s="7">
        <f>SUM(I142,I145)</f>
        <v>12.44</v>
      </c>
      <c r="AR136" s="7">
        <f>SUM(J142,J145)</f>
        <v>6.24</v>
      </c>
      <c r="AS136" s="7">
        <f>SUM(K142,K145)</f>
        <v>10.44</v>
      </c>
      <c r="AT136" s="9">
        <f>(AR136-2*$A$25)/AQ136</f>
        <v>0.33440514469453381</v>
      </c>
      <c r="AU136" s="9">
        <f>(AS136-2*$A$26)/AQ136</f>
        <v>0.56591639871382637</v>
      </c>
      <c r="AV136" s="9">
        <f>1-AT136-AU136</f>
        <v>9.9678456591639875E-2</v>
      </c>
      <c r="AW136" s="3">
        <f>AN136*AT136</f>
        <v>1546.4736490212163</v>
      </c>
      <c r="AX136" s="3">
        <f>AN136*AU136</f>
        <v>2617.1092521897504</v>
      </c>
      <c r="AY136" s="3">
        <f>AW136+AX136</f>
        <v>4163.5829012109662</v>
      </c>
    </row>
    <row r="137" spans="1:51" x14ac:dyDescent="0.25">
      <c r="A137">
        <v>104</v>
      </c>
      <c r="B137" s="1" t="s">
        <v>145</v>
      </c>
      <c r="C137" s="1" t="s">
        <v>682</v>
      </c>
      <c r="D137" s="2">
        <v>40827</v>
      </c>
      <c r="E137" s="3">
        <v>29.3</v>
      </c>
      <c r="F137" s="4">
        <f t="shared" si="7"/>
        <v>4185.0721694120921</v>
      </c>
      <c r="G137" s="2">
        <v>40200</v>
      </c>
      <c r="H137" s="7">
        <v>3.24</v>
      </c>
      <c r="I137" s="7">
        <f>H137+H150-2*$A$24</f>
        <v>6.18</v>
      </c>
      <c r="J137" s="7">
        <v>3.02</v>
      </c>
      <c r="K137" s="7">
        <v>5.34</v>
      </c>
      <c r="L137" s="6">
        <f t="shared" si="8"/>
        <v>0.32038834951456313</v>
      </c>
      <c r="M137" s="6">
        <f t="shared" si="9"/>
        <v>0.5889967637540453</v>
      </c>
      <c r="N137" s="6">
        <f t="shared" si="10"/>
        <v>9.0614886731391509E-2</v>
      </c>
      <c r="O137" s="4">
        <f t="shared" si="11"/>
        <v>1340.8483649572722</v>
      </c>
      <c r="P137" s="4">
        <f t="shared" si="12"/>
        <v>2464.9939638608439</v>
      </c>
      <c r="Q137" s="4">
        <f t="shared" si="13"/>
        <v>3805.8423288181161</v>
      </c>
      <c r="V137" s="3"/>
      <c r="W137" s="3"/>
      <c r="Y137" s="7"/>
      <c r="Z137" s="7"/>
      <c r="AA137" s="7"/>
      <c r="AB137" s="7"/>
      <c r="AC137" s="9"/>
      <c r="AD137" s="9"/>
      <c r="AE137" s="9"/>
      <c r="AF137" s="3"/>
      <c r="AG137" s="3"/>
      <c r="AH137" s="3"/>
      <c r="AL137" s="11"/>
      <c r="AM137" s="3"/>
      <c r="AN137" s="3"/>
      <c r="AO137" s="11"/>
      <c r="AP137" s="7"/>
      <c r="AQ137" s="7"/>
      <c r="AR137" s="7"/>
      <c r="AS137" s="7"/>
      <c r="AT137" s="9"/>
      <c r="AU137" s="9"/>
      <c r="AV137" s="9"/>
      <c r="AW137" s="3"/>
      <c r="AX137" s="3"/>
      <c r="AY137" s="3"/>
    </row>
    <row r="138" spans="1:51" x14ac:dyDescent="0.25">
      <c r="A138">
        <v>105</v>
      </c>
      <c r="B138" s="1" t="s">
        <v>146</v>
      </c>
      <c r="C138" s="1" t="s">
        <v>682</v>
      </c>
      <c r="D138" s="2">
        <v>40827</v>
      </c>
      <c r="E138" s="3">
        <v>31.1</v>
      </c>
      <c r="F138" s="4">
        <f t="shared" si="7"/>
        <v>4462.6377517607198</v>
      </c>
      <c r="G138" s="2">
        <v>40200</v>
      </c>
      <c r="H138" s="7">
        <v>3.66</v>
      </c>
      <c r="I138" s="7">
        <f>H138+H149-2*$A$24</f>
        <v>6.3</v>
      </c>
      <c r="J138" s="7">
        <v>3.08</v>
      </c>
      <c r="K138" s="7">
        <v>5.34</v>
      </c>
      <c r="L138" s="6">
        <f t="shared" si="8"/>
        <v>0.32380952380952382</v>
      </c>
      <c r="M138" s="6">
        <f t="shared" si="9"/>
        <v>0.57777777777777772</v>
      </c>
      <c r="N138" s="6">
        <f t="shared" si="10"/>
        <v>9.8412698412698507E-2</v>
      </c>
      <c r="O138" s="4">
        <f t="shared" si="11"/>
        <v>1445.0446053320427</v>
      </c>
      <c r="P138" s="4">
        <f t="shared" si="12"/>
        <v>2578.4129232395267</v>
      </c>
      <c r="Q138" s="4">
        <f t="shared" si="13"/>
        <v>4023.4575285715691</v>
      </c>
      <c r="V138" s="3"/>
      <c r="W138" s="3"/>
      <c r="Y138" s="7"/>
      <c r="Z138" s="7"/>
      <c r="AA138" s="7"/>
      <c r="AB138" s="7"/>
      <c r="AC138" s="9"/>
      <c r="AD138" s="9"/>
      <c r="AE138" s="9"/>
      <c r="AF138" s="3"/>
      <c r="AG138" s="3"/>
      <c r="AH138" s="3"/>
      <c r="AJ138" t="s">
        <v>773</v>
      </c>
      <c r="AK138" t="s">
        <v>682</v>
      </c>
      <c r="AL138" s="11">
        <f>D141</f>
        <v>40827</v>
      </c>
      <c r="AM138" s="3">
        <f>SUM(E141,E146)</f>
        <v>64</v>
      </c>
      <c r="AN138" s="3">
        <f>(AM138-4*$A$20)*$A$21/(2*$A$22)*$A$23</f>
        <v>4601.4205429350341</v>
      </c>
      <c r="AO138" s="11">
        <f>G141</f>
        <v>40200</v>
      </c>
      <c r="AP138" s="7">
        <f>SUM(H141,H146)</f>
        <v>5.82</v>
      </c>
      <c r="AQ138" s="7">
        <f>SUM(I141,I146)</f>
        <v>11</v>
      </c>
      <c r="AR138" s="7">
        <f>SUM(J141,J146)</f>
        <v>5.76</v>
      </c>
      <c r="AS138" s="7">
        <f>SUM(K141,K146)</f>
        <v>9.8000000000000007</v>
      </c>
      <c r="AT138" s="9">
        <f>(AR138-2*$A$25)/AQ138</f>
        <v>0.33454545454545453</v>
      </c>
      <c r="AU138" s="9">
        <f>(AS138-2*$A$26)/AQ138</f>
        <v>0.5818181818181819</v>
      </c>
      <c r="AV138" s="9">
        <f>1-AT138-AU138</f>
        <v>8.363636363636362E-2</v>
      </c>
      <c r="AW138" s="3">
        <f>AN138*AT138</f>
        <v>1539.3843270909931</v>
      </c>
      <c r="AX138" s="3">
        <f>AN138*AU138</f>
        <v>2677.190134071293</v>
      </c>
      <c r="AY138" s="3">
        <f>AW138+AX138</f>
        <v>4216.5744611622858</v>
      </c>
    </row>
    <row r="139" spans="1:51" x14ac:dyDescent="0.25">
      <c r="A139">
        <v>106</v>
      </c>
      <c r="B139" s="1" t="s">
        <v>147</v>
      </c>
      <c r="C139" s="1" t="s">
        <v>682</v>
      </c>
      <c r="D139" s="2">
        <v>40827</v>
      </c>
      <c r="E139" s="3">
        <v>29.2</v>
      </c>
      <c r="F139" s="4">
        <f t="shared" si="7"/>
        <v>4169.6518592816119</v>
      </c>
      <c r="G139" s="2">
        <v>40200</v>
      </c>
      <c r="H139" s="7">
        <v>3.16</v>
      </c>
      <c r="I139" s="7">
        <f>H139+H148-2*$A$24</f>
        <v>6.58</v>
      </c>
      <c r="J139" s="7">
        <v>3.16</v>
      </c>
      <c r="K139" s="7">
        <v>5.56</v>
      </c>
      <c r="L139" s="6">
        <f t="shared" si="8"/>
        <v>0.32218844984802431</v>
      </c>
      <c r="M139" s="6">
        <f t="shared" si="9"/>
        <v>0.58662613981762912</v>
      </c>
      <c r="N139" s="6">
        <f t="shared" si="10"/>
        <v>9.1185410334346573E-2</v>
      </c>
      <c r="O139" s="4">
        <f t="shared" si="11"/>
        <v>1343.4136689478748</v>
      </c>
      <c r="P139" s="4">
        <f t="shared" si="12"/>
        <v>2446.0267745937722</v>
      </c>
      <c r="Q139" s="4">
        <f t="shared" si="13"/>
        <v>3789.4404435416473</v>
      </c>
      <c r="V139" s="3"/>
      <c r="W139" s="3"/>
      <c r="Y139" s="7"/>
      <c r="Z139" s="7"/>
      <c r="AA139" s="7"/>
      <c r="AB139" s="7"/>
      <c r="AC139" s="9"/>
      <c r="AD139" s="9"/>
      <c r="AE139" s="9"/>
      <c r="AF139" s="3"/>
      <c r="AG139" s="3"/>
      <c r="AH139" s="3"/>
      <c r="AL139" s="11"/>
      <c r="AM139" s="3"/>
      <c r="AN139" s="3"/>
      <c r="AO139" s="11"/>
      <c r="AP139" s="7"/>
      <c r="AQ139" s="7"/>
      <c r="AR139" s="7"/>
      <c r="AS139" s="7"/>
      <c r="AT139" s="9"/>
      <c r="AU139" s="9"/>
      <c r="AV139" s="9"/>
      <c r="AW139" s="3"/>
      <c r="AX139" s="3"/>
      <c r="AY139" s="3"/>
    </row>
    <row r="140" spans="1:51" x14ac:dyDescent="0.25">
      <c r="A140">
        <v>107</v>
      </c>
      <c r="B140" s="1" t="s">
        <v>148</v>
      </c>
      <c r="C140" s="1" t="s">
        <v>682</v>
      </c>
      <c r="D140" s="2">
        <v>40827</v>
      </c>
      <c r="E140" s="3">
        <v>35.099999999999994</v>
      </c>
      <c r="F140" s="4">
        <f t="shared" si="7"/>
        <v>5079.4501569798931</v>
      </c>
      <c r="G140" s="2">
        <v>40200</v>
      </c>
      <c r="H140" s="7">
        <v>3.18</v>
      </c>
      <c r="I140" s="7">
        <f>H140+H147-2*$A$24</f>
        <v>6.84</v>
      </c>
      <c r="J140" s="7">
        <v>3.32</v>
      </c>
      <c r="K140" s="7">
        <v>5.58</v>
      </c>
      <c r="L140" s="6">
        <f t="shared" si="8"/>
        <v>0.33333333333333331</v>
      </c>
      <c r="M140" s="6">
        <f t="shared" si="9"/>
        <v>0.56725146198830412</v>
      </c>
      <c r="N140" s="6">
        <f t="shared" si="10"/>
        <v>9.9415204678362623E-2</v>
      </c>
      <c r="O140" s="4">
        <f t="shared" si="11"/>
        <v>1693.1500523266309</v>
      </c>
      <c r="P140" s="4">
        <f t="shared" si="12"/>
        <v>2881.3255276435652</v>
      </c>
      <c r="Q140" s="4">
        <f t="shared" si="13"/>
        <v>4574.4755799701961</v>
      </c>
      <c r="V140" s="3"/>
      <c r="W140" s="3"/>
      <c r="Y140" s="7"/>
      <c r="Z140" s="7"/>
      <c r="AA140" s="7"/>
      <c r="AB140" s="7"/>
      <c r="AC140" s="9"/>
      <c r="AD140" s="9"/>
      <c r="AE140" s="9"/>
      <c r="AF140" s="3"/>
      <c r="AG140" s="3"/>
      <c r="AH140" s="3"/>
      <c r="AJ140" t="s">
        <v>774</v>
      </c>
      <c r="AK140" t="s">
        <v>682</v>
      </c>
      <c r="AL140" s="11">
        <f>D140</f>
        <v>40827</v>
      </c>
      <c r="AM140" s="3">
        <f>SUM(E140,E147)</f>
        <v>67.3</v>
      </c>
      <c r="AN140" s="3">
        <f>(AM140-4*$A$20)*$A$21/(2*$A$22)*$A$23</f>
        <v>4855.8556600879429</v>
      </c>
      <c r="AO140" s="11">
        <f>G140</f>
        <v>40200</v>
      </c>
      <c r="AP140" s="7">
        <f>SUM(H140,H147)</f>
        <v>7.16</v>
      </c>
      <c r="AQ140" s="7">
        <f>SUM(I140,I147)</f>
        <v>13.68</v>
      </c>
      <c r="AR140" s="7">
        <f>SUM(J140,J147)</f>
        <v>6.64</v>
      </c>
      <c r="AS140" s="7">
        <f>SUM(K140,K147)</f>
        <v>11.16</v>
      </c>
      <c r="AT140" s="9">
        <f>(AR140-2*$A$25)/AQ140</f>
        <v>0.33333333333333331</v>
      </c>
      <c r="AU140" s="9">
        <f>(AS140-2*$A$26)/AQ140</f>
        <v>0.56725146198830412</v>
      </c>
      <c r="AV140" s="9">
        <f>1-AT140-AU140</f>
        <v>9.9415204678362623E-2</v>
      </c>
      <c r="AW140" s="3">
        <f>AN140*AT140</f>
        <v>1618.6185533626476</v>
      </c>
      <c r="AX140" s="3">
        <f>AN140*AU140</f>
        <v>2754.4912223890669</v>
      </c>
      <c r="AY140" s="3">
        <f>AW140+AX140</f>
        <v>4373.1097757517146</v>
      </c>
    </row>
    <row r="141" spans="1:51" x14ac:dyDescent="0.25">
      <c r="A141">
        <v>108</v>
      </c>
      <c r="B141" s="1" t="s">
        <v>149</v>
      </c>
      <c r="C141" s="1" t="s">
        <v>682</v>
      </c>
      <c r="D141" s="2">
        <v>40827</v>
      </c>
      <c r="E141" s="3">
        <v>33.6</v>
      </c>
      <c r="F141" s="4">
        <f t="shared" si="7"/>
        <v>4848.1455050227032</v>
      </c>
      <c r="G141" s="2">
        <v>40200</v>
      </c>
      <c r="H141" s="7">
        <v>2.76</v>
      </c>
      <c r="I141" s="7">
        <f>H141+H146-2*$A$24</f>
        <v>5.5</v>
      </c>
      <c r="J141" s="7">
        <v>2.88</v>
      </c>
      <c r="K141" s="7">
        <v>4.9000000000000004</v>
      </c>
      <c r="L141" s="6">
        <f t="shared" si="8"/>
        <v>0.33454545454545453</v>
      </c>
      <c r="M141" s="6">
        <f t="shared" si="9"/>
        <v>0.5818181818181819</v>
      </c>
      <c r="N141" s="6">
        <f t="shared" si="10"/>
        <v>8.363636363636362E-2</v>
      </c>
      <c r="O141" s="4">
        <f t="shared" si="11"/>
        <v>1621.9250416803225</v>
      </c>
      <c r="P141" s="4">
        <f t="shared" si="12"/>
        <v>2820.7392029223006</v>
      </c>
      <c r="Q141" s="4">
        <f t="shared" si="13"/>
        <v>4442.6642446026235</v>
      </c>
      <c r="V141" s="3"/>
      <c r="W141" s="3"/>
      <c r="Y141" s="7"/>
      <c r="Z141" s="7"/>
      <c r="AA141" s="7"/>
      <c r="AB141" s="7"/>
      <c r="AC141" s="9"/>
      <c r="AD141" s="9"/>
      <c r="AE141" s="9"/>
      <c r="AF141" s="3"/>
      <c r="AG141" s="3"/>
      <c r="AH141" s="3"/>
      <c r="AL141" s="11"/>
      <c r="AM141" s="3"/>
      <c r="AN141" s="3"/>
      <c r="AO141" s="11"/>
      <c r="AP141" s="7"/>
      <c r="AQ141" s="7"/>
      <c r="AR141" s="7"/>
      <c r="AS141" s="7"/>
      <c r="AT141" s="9"/>
      <c r="AU141" s="9"/>
      <c r="AV141" s="9"/>
      <c r="AW141" s="3"/>
      <c r="AX141" s="3"/>
      <c r="AY141" s="3"/>
    </row>
    <row r="142" spans="1:51" x14ac:dyDescent="0.25">
      <c r="A142">
        <v>109</v>
      </c>
      <c r="B142" s="1" t="s">
        <v>150</v>
      </c>
      <c r="C142" s="1" t="s">
        <v>682</v>
      </c>
      <c r="D142" s="2">
        <v>40827</v>
      </c>
      <c r="E142" s="3">
        <v>34.5</v>
      </c>
      <c r="F142" s="4">
        <f t="shared" si="7"/>
        <v>4986.9282961970175</v>
      </c>
      <c r="G142" s="2">
        <v>40200</v>
      </c>
      <c r="H142" s="7">
        <v>3.4</v>
      </c>
      <c r="I142" s="7">
        <f>H142+H145-2*$A$24</f>
        <v>6.22</v>
      </c>
      <c r="J142" s="7">
        <v>3.12</v>
      </c>
      <c r="K142" s="7">
        <v>5.22</v>
      </c>
      <c r="L142" s="6">
        <f t="shared" si="8"/>
        <v>0.33440514469453381</v>
      </c>
      <c r="M142" s="6">
        <f t="shared" si="9"/>
        <v>0.56591639871382637</v>
      </c>
      <c r="N142" s="6">
        <f t="shared" si="10"/>
        <v>9.9678456591639875E-2</v>
      </c>
      <c r="O142" s="4">
        <f t="shared" si="11"/>
        <v>1667.6544784710286</v>
      </c>
      <c r="P142" s="4">
        <f t="shared" si="12"/>
        <v>2822.1845020278943</v>
      </c>
      <c r="Q142" s="4">
        <f t="shared" si="13"/>
        <v>4489.8389804989229</v>
      </c>
      <c r="V142" s="3"/>
      <c r="W142" s="3"/>
      <c r="Y142" s="7"/>
      <c r="Z142" s="7"/>
      <c r="AA142" s="7"/>
      <c r="AB142" s="7"/>
      <c r="AC142" s="9"/>
      <c r="AD142" s="9"/>
      <c r="AE142" s="9"/>
      <c r="AF142" s="3"/>
      <c r="AG142" s="3"/>
      <c r="AH142" s="3"/>
      <c r="AJ142" t="s">
        <v>775</v>
      </c>
      <c r="AK142" t="s">
        <v>682</v>
      </c>
      <c r="AL142" s="11">
        <f>D139</f>
        <v>40827</v>
      </c>
      <c r="AM142" s="3">
        <f>SUM(E139,E148)</f>
        <v>58.3</v>
      </c>
      <c r="AN142" s="3">
        <f>(AM142-4*$A$20)*$A$21/(2*$A$22)*$A$23</f>
        <v>4161.9417042163723</v>
      </c>
      <c r="AO142" s="11">
        <f>G139</f>
        <v>40200</v>
      </c>
      <c r="AP142" s="7">
        <f>SUM(H139,H148)</f>
        <v>6.9</v>
      </c>
      <c r="AQ142" s="7">
        <f>SUM(I139,I148)</f>
        <v>13.16</v>
      </c>
      <c r="AR142" s="7">
        <f>SUM(J139,J148)</f>
        <v>6.32</v>
      </c>
      <c r="AS142" s="7">
        <f>SUM(K139,K148)</f>
        <v>11.12</v>
      </c>
      <c r="AT142" s="9">
        <f>(AR142-2*$A$25)/AQ142</f>
        <v>0.32218844984802431</v>
      </c>
      <c r="AU142" s="9">
        <f>(AS142-2*$A$26)/AQ142</f>
        <v>0.58662613981762912</v>
      </c>
      <c r="AV142" s="9">
        <f>1-AT142-AU142</f>
        <v>9.1185410334346573E-2</v>
      </c>
      <c r="AW142" s="3">
        <f>AN142*AT142</f>
        <v>1340.9295460393175</v>
      </c>
      <c r="AX142" s="3">
        <f>AN142*AU142</f>
        <v>2441.5037960904551</v>
      </c>
      <c r="AY142" s="3">
        <f>AW142+AX142</f>
        <v>3782.4333421297724</v>
      </c>
    </row>
    <row r="143" spans="1:51" x14ac:dyDescent="0.25">
      <c r="A143">
        <v>110</v>
      </c>
      <c r="B143" s="1" t="s">
        <v>151</v>
      </c>
      <c r="C143" s="1" t="s">
        <v>682</v>
      </c>
      <c r="D143" s="2">
        <v>40827</v>
      </c>
      <c r="E143" s="3">
        <v>30.200000000000003</v>
      </c>
      <c r="F143" s="4">
        <f t="shared" si="7"/>
        <v>4323.8549605864064</v>
      </c>
      <c r="G143" s="2">
        <v>40200</v>
      </c>
      <c r="H143" s="7">
        <v>3.36</v>
      </c>
      <c r="I143" s="7">
        <f>H143+H144-2*$A$24</f>
        <v>6.42</v>
      </c>
      <c r="J143" s="7">
        <v>3.2</v>
      </c>
      <c r="K143" s="7">
        <v>5.44</v>
      </c>
      <c r="L143" s="6">
        <f t="shared" si="8"/>
        <v>0.33644859813084116</v>
      </c>
      <c r="M143" s="6">
        <f t="shared" si="9"/>
        <v>0.58255451713395645</v>
      </c>
      <c r="N143" s="6">
        <f t="shared" si="10"/>
        <v>8.099688473520239E-2</v>
      </c>
      <c r="O143" s="4">
        <f t="shared" si="11"/>
        <v>1454.7549400103799</v>
      </c>
      <c r="P143" s="4">
        <f t="shared" si="12"/>
        <v>2518.8812387216763</v>
      </c>
      <c r="Q143" s="4">
        <f t="shared" si="13"/>
        <v>3973.6361787320561</v>
      </c>
      <c r="V143" s="3"/>
      <c r="W143" s="3"/>
      <c r="Y143" s="7"/>
      <c r="Z143" s="7"/>
      <c r="AA143" s="7"/>
      <c r="AB143" s="7"/>
      <c r="AC143" s="9"/>
      <c r="AD143" s="9"/>
      <c r="AE143" s="9"/>
      <c r="AF143" s="3"/>
      <c r="AG143" s="3"/>
      <c r="AH143" s="3"/>
      <c r="AL143" s="11"/>
      <c r="AM143" s="3"/>
      <c r="AN143" s="3"/>
      <c r="AO143" s="11"/>
      <c r="AP143" s="7"/>
      <c r="AQ143" s="7"/>
      <c r="AR143" s="7"/>
      <c r="AS143" s="7"/>
      <c r="AT143" s="9"/>
      <c r="AU143" s="9"/>
      <c r="AV143" s="9"/>
      <c r="AW143" s="3"/>
      <c r="AX143" s="3"/>
      <c r="AY143" s="3"/>
    </row>
    <row r="144" spans="1:51" x14ac:dyDescent="0.25">
      <c r="A144">
        <v>111</v>
      </c>
      <c r="B144" s="1" t="s">
        <v>152</v>
      </c>
      <c r="C144" s="1" t="s">
        <v>682</v>
      </c>
      <c r="D144" s="2">
        <v>40827</v>
      </c>
      <c r="E144" s="3">
        <v>24.2</v>
      </c>
      <c r="F144" s="4">
        <f t="shared" si="7"/>
        <v>3398.636352757645</v>
      </c>
      <c r="G144" s="2">
        <v>40200</v>
      </c>
      <c r="H144" s="7">
        <v>3.38</v>
      </c>
      <c r="I144" s="7">
        <f>H144+H143-2*$A$24</f>
        <v>6.42</v>
      </c>
      <c r="J144" s="7">
        <v>3.2</v>
      </c>
      <c r="K144" s="7">
        <v>5.44</v>
      </c>
      <c r="L144" s="6">
        <f t="shared" si="8"/>
        <v>0.33644859813084116</v>
      </c>
      <c r="M144" s="6">
        <f t="shared" si="9"/>
        <v>0.58255451713395645</v>
      </c>
      <c r="N144" s="6">
        <f t="shared" si="10"/>
        <v>8.099688473520239E-2</v>
      </c>
      <c r="O144" s="4">
        <f t="shared" si="11"/>
        <v>1143.4664364418247</v>
      </c>
      <c r="P144" s="4">
        <f t="shared" si="12"/>
        <v>1979.8909593946407</v>
      </c>
      <c r="Q144" s="4">
        <f t="shared" si="13"/>
        <v>3123.3573958364655</v>
      </c>
      <c r="V144" s="3"/>
      <c r="W144" s="3"/>
      <c r="Y144" s="7"/>
      <c r="Z144" s="7"/>
      <c r="AA144" s="7"/>
      <c r="AB144" s="7"/>
      <c r="AC144" s="9"/>
      <c r="AD144" s="9"/>
      <c r="AE144" s="9"/>
      <c r="AF144" s="3"/>
      <c r="AG144" s="3"/>
      <c r="AH144" s="3"/>
      <c r="AJ144" t="s">
        <v>776</v>
      </c>
      <c r="AK144" t="s">
        <v>682</v>
      </c>
      <c r="AL144" s="11">
        <f>D138</f>
        <v>40827</v>
      </c>
      <c r="AM144" s="3">
        <f>SUM(E138,E149)</f>
        <v>63.4</v>
      </c>
      <c r="AN144" s="3">
        <f>(AM144-4*$A$20)*$A$21/(2*$A$22)*$A$23</f>
        <v>4555.1596125435963</v>
      </c>
      <c r="AO144" s="11">
        <f>G138</f>
        <v>40200</v>
      </c>
      <c r="AP144" s="7">
        <f>SUM(H138,H149)</f>
        <v>6.62</v>
      </c>
      <c r="AQ144" s="7">
        <f>SUM(I138,I149)</f>
        <v>12.6</v>
      </c>
      <c r="AR144" s="7">
        <f>SUM(J138,J149)</f>
        <v>6.16</v>
      </c>
      <c r="AS144" s="7">
        <f>SUM(K138,K149)</f>
        <v>10.68</v>
      </c>
      <c r="AT144" s="9">
        <f>(AR144-2*$A$25)/AQ144</f>
        <v>0.32380952380952382</v>
      </c>
      <c r="AU144" s="9">
        <f>(AS144-2*$A$26)/AQ144</f>
        <v>0.57777777777777772</v>
      </c>
      <c r="AV144" s="9">
        <f>1-AT144-AU144</f>
        <v>9.8412698412698507E-2</v>
      </c>
      <c r="AW144" s="3">
        <f>AN144*AT144</f>
        <v>1475.004065014117</v>
      </c>
      <c r="AX144" s="3">
        <f>AN144*AU144</f>
        <v>2631.869998358522</v>
      </c>
      <c r="AY144" s="3">
        <f>AW144+AX144</f>
        <v>4106.8740633726393</v>
      </c>
    </row>
    <row r="145" spans="1:51" x14ac:dyDescent="0.25">
      <c r="A145">
        <v>112</v>
      </c>
      <c r="B145" s="1" t="s">
        <v>153</v>
      </c>
      <c r="C145" s="1" t="s">
        <v>682</v>
      </c>
      <c r="D145" s="2">
        <v>40827</v>
      </c>
      <c r="E145" s="3">
        <v>29.799999999999997</v>
      </c>
      <c r="F145" s="4">
        <f t="shared" si="7"/>
        <v>4262.1737200644884</v>
      </c>
      <c r="G145" s="2">
        <v>40200</v>
      </c>
      <c r="H145" s="7">
        <v>3.14</v>
      </c>
      <c r="I145" s="7">
        <f>H145+H142-2*$A$24</f>
        <v>6.22</v>
      </c>
      <c r="J145" s="7">
        <v>3.12</v>
      </c>
      <c r="K145" s="7">
        <v>5.22</v>
      </c>
      <c r="L145" s="6">
        <f t="shared" si="8"/>
        <v>0.33440514469453381</v>
      </c>
      <c r="M145" s="6">
        <f t="shared" si="9"/>
        <v>0.56591639871382637</v>
      </c>
      <c r="N145" s="6">
        <f t="shared" si="10"/>
        <v>9.9678456591639875E-2</v>
      </c>
      <c r="O145" s="4">
        <f t="shared" si="11"/>
        <v>1425.2928195714046</v>
      </c>
      <c r="P145" s="4">
        <f t="shared" si="12"/>
        <v>2412.0340023516078</v>
      </c>
      <c r="Q145" s="4">
        <f t="shared" si="13"/>
        <v>3837.3268219230122</v>
      </c>
      <c r="V145" s="3"/>
      <c r="W145" s="3"/>
      <c r="Y145" s="7"/>
      <c r="Z145" s="7"/>
      <c r="AA145" s="7"/>
      <c r="AB145" s="7"/>
      <c r="AC145" s="9"/>
      <c r="AD145" s="9"/>
      <c r="AE145" s="9"/>
      <c r="AF145" s="3"/>
      <c r="AG145" s="3"/>
      <c r="AH145" s="3"/>
      <c r="AL145" s="11"/>
      <c r="AM145" s="3"/>
      <c r="AN145" s="3"/>
      <c r="AO145" s="11"/>
      <c r="AP145" s="7"/>
      <c r="AQ145" s="7"/>
      <c r="AR145" s="7"/>
      <c r="AS145" s="7"/>
      <c r="AT145" s="9"/>
      <c r="AU145" s="9"/>
      <c r="AV145" s="9"/>
      <c r="AW145" s="3"/>
      <c r="AX145" s="3"/>
      <c r="AY145" s="3"/>
    </row>
    <row r="146" spans="1:51" x14ac:dyDescent="0.25">
      <c r="A146">
        <v>113</v>
      </c>
      <c r="B146" s="1" t="s">
        <v>154</v>
      </c>
      <c r="C146" s="1" t="s">
        <v>682</v>
      </c>
      <c r="D146" s="2">
        <v>40827</v>
      </c>
      <c r="E146" s="3">
        <v>30.4</v>
      </c>
      <c r="F146" s="4">
        <f t="shared" si="7"/>
        <v>4354.6955808473649</v>
      </c>
      <c r="G146" s="2">
        <v>40200</v>
      </c>
      <c r="H146" s="7">
        <v>3.06</v>
      </c>
      <c r="I146" s="7">
        <f>H146+H141-2*$A$24</f>
        <v>5.5</v>
      </c>
      <c r="J146" s="7">
        <v>2.88</v>
      </c>
      <c r="K146" s="7">
        <v>4.9000000000000004</v>
      </c>
      <c r="L146" s="6">
        <f t="shared" si="8"/>
        <v>0.33454545454545453</v>
      </c>
      <c r="M146" s="6">
        <f t="shared" si="9"/>
        <v>0.5818181818181819</v>
      </c>
      <c r="N146" s="6">
        <f t="shared" si="10"/>
        <v>8.363636363636362E-2</v>
      </c>
      <c r="O146" s="4">
        <f t="shared" si="11"/>
        <v>1456.8436125016638</v>
      </c>
      <c r="P146" s="4">
        <f t="shared" si="12"/>
        <v>2533.6410652202853</v>
      </c>
      <c r="Q146" s="4">
        <f t="shared" si="13"/>
        <v>3990.4846777219491</v>
      </c>
      <c r="V146" s="3"/>
      <c r="W146" s="3"/>
      <c r="Y146" s="7"/>
      <c r="Z146" s="7"/>
      <c r="AA146" s="7"/>
      <c r="AB146" s="7"/>
      <c r="AC146" s="9"/>
      <c r="AD146" s="9"/>
      <c r="AE146" s="9"/>
      <c r="AF146" s="3"/>
      <c r="AG146" s="3"/>
      <c r="AH146" s="3"/>
      <c r="AJ146" t="s">
        <v>777</v>
      </c>
      <c r="AK146" t="s">
        <v>682</v>
      </c>
      <c r="AL146" s="11">
        <f>D137</f>
        <v>40827</v>
      </c>
      <c r="AM146" s="3">
        <f>SUM(E137,E150)</f>
        <v>55.3</v>
      </c>
      <c r="AN146" s="3">
        <f>(AM146-4*$A$20)*$A$21/(2*$A$22)*$A$23</f>
        <v>3930.6370522591819</v>
      </c>
      <c r="AO146" s="11">
        <f>G137</f>
        <v>40200</v>
      </c>
      <c r="AP146" s="7">
        <f>SUM(H137,H150)</f>
        <v>6.5</v>
      </c>
      <c r="AQ146" s="7">
        <f>SUM(I137,I150)</f>
        <v>12.36</v>
      </c>
      <c r="AR146" s="7">
        <f>SUM(J137,J150)</f>
        <v>6.04</v>
      </c>
      <c r="AS146" s="7">
        <f>SUM(K137,K150)</f>
        <v>10.68</v>
      </c>
      <c r="AT146" s="9">
        <f>(AR146-2*$A$25)/AQ146</f>
        <v>0.32038834951456313</v>
      </c>
      <c r="AU146" s="9">
        <f>(AS146-2*$A$26)/AQ146</f>
        <v>0.5889967637540453</v>
      </c>
      <c r="AV146" s="9">
        <f>1-AT146-AU146</f>
        <v>9.0614886731391509E-2</v>
      </c>
      <c r="AW146" s="3">
        <f>AN146*AT146</f>
        <v>1259.330317714107</v>
      </c>
      <c r="AX146" s="3">
        <f>AN146*AU146</f>
        <v>2315.1325032723985</v>
      </c>
      <c r="AY146" s="3">
        <f>AW146+AX146</f>
        <v>3574.4628209865054</v>
      </c>
    </row>
    <row r="147" spans="1:51" x14ac:dyDescent="0.25">
      <c r="A147">
        <v>114</v>
      </c>
      <c r="B147" s="1" t="s">
        <v>155</v>
      </c>
      <c r="C147" s="1" t="s">
        <v>682</v>
      </c>
      <c r="D147" s="2">
        <v>40827</v>
      </c>
      <c r="E147" s="3">
        <v>32.200000000000003</v>
      </c>
      <c r="F147" s="4">
        <f t="shared" si="7"/>
        <v>4632.2611631959926</v>
      </c>
      <c r="G147" s="2">
        <v>40200</v>
      </c>
      <c r="H147" s="7">
        <v>3.98</v>
      </c>
      <c r="I147" s="7">
        <f>H147+H140-2*$A$24</f>
        <v>6.84</v>
      </c>
      <c r="J147" s="7">
        <v>3.32</v>
      </c>
      <c r="K147" s="7">
        <v>5.58</v>
      </c>
      <c r="L147" s="6">
        <f t="shared" si="8"/>
        <v>0.33333333333333331</v>
      </c>
      <c r="M147" s="6">
        <f t="shared" si="9"/>
        <v>0.56725146198830412</v>
      </c>
      <c r="N147" s="6">
        <f t="shared" si="10"/>
        <v>9.9415204678362623E-2</v>
      </c>
      <c r="O147" s="4">
        <f t="shared" si="11"/>
        <v>1544.0870543986641</v>
      </c>
      <c r="P147" s="4">
        <f t="shared" si="12"/>
        <v>2627.6569171345691</v>
      </c>
      <c r="Q147" s="4">
        <f t="shared" si="13"/>
        <v>4171.743971533233</v>
      </c>
      <c r="V147" s="3"/>
      <c r="W147" s="3"/>
      <c r="Y147" s="7"/>
      <c r="Z147" s="7"/>
      <c r="AA147" s="7"/>
      <c r="AB147" s="7"/>
      <c r="AC147" s="9"/>
      <c r="AD147" s="9"/>
      <c r="AE147" s="9"/>
      <c r="AF147" s="3"/>
      <c r="AG147" s="3"/>
      <c r="AH147" s="3"/>
      <c r="AL147" s="11"/>
      <c r="AM147" s="3"/>
      <c r="AN147" s="3"/>
      <c r="AO147" s="11"/>
      <c r="AP147" s="7"/>
      <c r="AQ147" s="7"/>
      <c r="AR147" s="7"/>
      <c r="AS147" s="7"/>
      <c r="AT147" s="9"/>
      <c r="AU147" s="9"/>
      <c r="AV147" s="9"/>
      <c r="AW147" s="3"/>
      <c r="AX147" s="3"/>
      <c r="AY147" s="3"/>
    </row>
    <row r="148" spans="1:51" x14ac:dyDescent="0.25">
      <c r="A148">
        <v>115</v>
      </c>
      <c r="B148" s="1" t="s">
        <v>156</v>
      </c>
      <c r="C148" s="1" t="s">
        <v>682</v>
      </c>
      <c r="D148" s="2">
        <v>40827</v>
      </c>
      <c r="E148" s="3">
        <v>29.1</v>
      </c>
      <c r="F148" s="4">
        <f t="shared" si="7"/>
        <v>4154.2315491511335</v>
      </c>
      <c r="G148" s="2">
        <v>40200</v>
      </c>
      <c r="H148" s="7">
        <v>3.74</v>
      </c>
      <c r="I148" s="7">
        <f>H148+H139-2*$A$24</f>
        <v>6.58</v>
      </c>
      <c r="J148" s="7">
        <v>3.16</v>
      </c>
      <c r="K148" s="7">
        <v>5.56</v>
      </c>
      <c r="L148" s="6">
        <f t="shared" si="8"/>
        <v>0.32218844984802431</v>
      </c>
      <c r="M148" s="6">
        <f t="shared" si="9"/>
        <v>0.58662613981762912</v>
      </c>
      <c r="N148" s="6">
        <f t="shared" si="10"/>
        <v>9.1185410334346573E-2</v>
      </c>
      <c r="O148" s="4">
        <f t="shared" si="11"/>
        <v>1338.4454231307602</v>
      </c>
      <c r="P148" s="4">
        <f t="shared" si="12"/>
        <v>2436.980817587139</v>
      </c>
      <c r="Q148" s="4">
        <f t="shared" si="13"/>
        <v>3775.4262407178994</v>
      </c>
      <c r="V148" s="3"/>
      <c r="W148" s="3"/>
      <c r="Y148" s="7"/>
      <c r="Z148" s="7"/>
      <c r="AA148" s="7"/>
      <c r="AB148" s="7"/>
      <c r="AC148" s="9"/>
      <c r="AD148" s="9"/>
      <c r="AE148" s="9"/>
      <c r="AF148" s="3"/>
      <c r="AG148" s="3"/>
      <c r="AH148" s="3"/>
      <c r="AJ148" t="s">
        <v>778</v>
      </c>
      <c r="AK148" t="s">
        <v>682</v>
      </c>
      <c r="AL148" s="11">
        <f>D136</f>
        <v>40827</v>
      </c>
      <c r="AM148" s="3">
        <f>SUM(E136,E151)</f>
        <v>53</v>
      </c>
      <c r="AN148" s="3">
        <f>(AM148-4*$A$20)*$A$21/(2*$A$22)*$A$23</f>
        <v>3753.3034857586704</v>
      </c>
      <c r="AO148" s="11">
        <f>G136</f>
        <v>40200</v>
      </c>
      <c r="AP148" s="7">
        <f>SUM(H136,H151)</f>
        <v>6.3800000000000008</v>
      </c>
      <c r="AQ148" s="7">
        <f>SUM(I136,I151)</f>
        <v>12.120000000000001</v>
      </c>
      <c r="AR148" s="7">
        <f>SUM(J136,J151)</f>
        <v>6.16</v>
      </c>
      <c r="AS148" s="7">
        <f>SUM(K136,K151)</f>
        <v>10.44</v>
      </c>
      <c r="AT148" s="9">
        <f>(AR148-2*$A$25)/AQ148</f>
        <v>0.3366336633663366</v>
      </c>
      <c r="AU148" s="9">
        <f>(AS148-2*$A$26)/AQ148</f>
        <v>0.58085808580858078</v>
      </c>
      <c r="AV148" s="9">
        <f>1-AT148-AU148</f>
        <v>8.2508250825082619E-2</v>
      </c>
      <c r="AW148" s="3">
        <f>AN148*AT148</f>
        <v>1263.488302136582</v>
      </c>
      <c r="AX148" s="3">
        <f>AN148*AU148</f>
        <v>2180.1366781964553</v>
      </c>
      <c r="AY148" s="3">
        <f>AW148+AX148</f>
        <v>3443.6249803330375</v>
      </c>
    </row>
    <row r="149" spans="1:51" x14ac:dyDescent="0.25">
      <c r="A149">
        <v>116</v>
      </c>
      <c r="B149" s="1" t="s">
        <v>157</v>
      </c>
      <c r="C149" s="1" t="s">
        <v>682</v>
      </c>
      <c r="D149" s="2">
        <v>40827</v>
      </c>
      <c r="E149" s="3">
        <v>32.299999999999997</v>
      </c>
      <c r="F149" s="4">
        <f t="shared" si="7"/>
        <v>4647.6814733264719</v>
      </c>
      <c r="G149" s="2">
        <v>40200</v>
      </c>
      <c r="H149" s="7">
        <v>2.96</v>
      </c>
      <c r="I149" s="7">
        <f>H149+H138-2*$A$24</f>
        <v>6.3</v>
      </c>
      <c r="J149" s="7">
        <v>3.08</v>
      </c>
      <c r="K149" s="7">
        <v>5.34</v>
      </c>
      <c r="L149" s="6">
        <f t="shared" si="8"/>
        <v>0.32380952380952382</v>
      </c>
      <c r="M149" s="6">
        <f t="shared" si="9"/>
        <v>0.57777777777777772</v>
      </c>
      <c r="N149" s="6">
        <f t="shared" si="10"/>
        <v>9.8412698412698507E-2</v>
      </c>
      <c r="O149" s="4">
        <f t="shared" si="11"/>
        <v>1504.9635246961909</v>
      </c>
      <c r="P149" s="4">
        <f t="shared" si="12"/>
        <v>2685.3270734775169</v>
      </c>
      <c r="Q149" s="4">
        <f t="shared" si="13"/>
        <v>4190.2905981737076</v>
      </c>
      <c r="V149" s="3"/>
      <c r="W149" s="3"/>
      <c r="Y149" s="7"/>
      <c r="Z149" s="7"/>
      <c r="AA149" s="7"/>
      <c r="AB149" s="7"/>
      <c r="AC149" s="9"/>
      <c r="AD149" s="9"/>
      <c r="AE149" s="9"/>
      <c r="AF149" s="3"/>
      <c r="AG149" s="3"/>
      <c r="AH149" s="3"/>
      <c r="AL149" s="11"/>
      <c r="AM149" s="3"/>
      <c r="AN149" s="3"/>
      <c r="AO149" s="11"/>
      <c r="AP149" s="7"/>
      <c r="AQ149" s="7"/>
      <c r="AR149" s="7"/>
      <c r="AS149" s="7"/>
      <c r="AT149" s="9"/>
      <c r="AU149" s="9"/>
      <c r="AV149" s="9"/>
      <c r="AW149" s="3"/>
      <c r="AX149" s="3"/>
      <c r="AY149" s="3"/>
    </row>
    <row r="150" spans="1:51" x14ac:dyDescent="0.25">
      <c r="A150">
        <v>117</v>
      </c>
      <c r="B150" s="1" t="s">
        <v>158</v>
      </c>
      <c r="C150" s="1" t="s">
        <v>682</v>
      </c>
      <c r="D150" s="2">
        <v>40827</v>
      </c>
      <c r="E150" s="3">
        <v>26</v>
      </c>
      <c r="F150" s="4">
        <f t="shared" si="7"/>
        <v>3676.2019351062736</v>
      </c>
      <c r="G150" s="2">
        <v>40200</v>
      </c>
      <c r="H150" s="7">
        <v>3.26</v>
      </c>
      <c r="I150" s="7">
        <f>H150+H137-2*$A$24</f>
        <v>6.18</v>
      </c>
      <c r="J150" s="7">
        <v>3.02</v>
      </c>
      <c r="K150" s="7">
        <v>5.34</v>
      </c>
      <c r="L150" s="6">
        <f t="shared" si="8"/>
        <v>0.32038834951456313</v>
      </c>
      <c r="M150" s="6">
        <f t="shared" si="9"/>
        <v>0.5889967637540453</v>
      </c>
      <c r="N150" s="6">
        <f t="shared" si="10"/>
        <v>9.0614886731391509E-2</v>
      </c>
      <c r="O150" s="4">
        <f t="shared" si="11"/>
        <v>1177.8122704709422</v>
      </c>
      <c r="P150" s="4">
        <f t="shared" si="12"/>
        <v>2165.271042683954</v>
      </c>
      <c r="Q150" s="4">
        <f t="shared" si="13"/>
        <v>3343.0833131548961</v>
      </c>
      <c r="V150" s="3"/>
      <c r="W150" s="3"/>
      <c r="Y150" s="7"/>
      <c r="Z150" s="7"/>
      <c r="AA150" s="7"/>
      <c r="AB150" s="7"/>
      <c r="AC150" s="9"/>
      <c r="AD150" s="9"/>
      <c r="AE150" s="9"/>
      <c r="AF150" s="3"/>
      <c r="AG150" s="3"/>
      <c r="AH150" s="3"/>
      <c r="AJ150" t="s">
        <v>779</v>
      </c>
      <c r="AK150" t="s">
        <v>682</v>
      </c>
      <c r="AL150" s="11">
        <f>D135</f>
        <v>40827</v>
      </c>
      <c r="AM150" s="3">
        <f>SUM(E135,E152)</f>
        <v>64.5</v>
      </c>
      <c r="AN150" s="3">
        <f>(AM150-4*$A$20)*$A$21/(2*$A$22)*$A$23</f>
        <v>4639.9713182612322</v>
      </c>
      <c r="AO150" s="11">
        <f>G135</f>
        <v>40200</v>
      </c>
      <c r="AP150" s="7">
        <f>SUM(H135,H152)</f>
        <v>6.44</v>
      </c>
      <c r="AQ150" s="7">
        <f>SUM(I135,I152)</f>
        <v>12.24</v>
      </c>
      <c r="AR150" s="7">
        <f>SUM(J135,J152)</f>
        <v>6.16</v>
      </c>
      <c r="AS150" s="7">
        <f>SUM(K135,K152)</f>
        <v>10.48</v>
      </c>
      <c r="AT150" s="9">
        <f>(AR150-2*$A$25)/AQ150</f>
        <v>0.33333333333333331</v>
      </c>
      <c r="AU150" s="9">
        <f>(AS150-2*$A$26)/AQ150</f>
        <v>0.57843137254901955</v>
      </c>
      <c r="AV150" s="9">
        <f>1-AT150-AU150</f>
        <v>8.8235294117647189E-2</v>
      </c>
      <c r="AW150" s="3">
        <f>AN150*AT150</f>
        <v>1546.6571060870774</v>
      </c>
      <c r="AX150" s="3">
        <f>AN150*AU150</f>
        <v>2683.9049782099282</v>
      </c>
      <c r="AY150" s="3">
        <f>AW150+AX150</f>
        <v>4230.5620842970056</v>
      </c>
    </row>
    <row r="151" spans="1:51" x14ac:dyDescent="0.25">
      <c r="A151">
        <v>118</v>
      </c>
      <c r="B151" s="1" t="s">
        <v>159</v>
      </c>
      <c r="C151" s="1" t="s">
        <v>682</v>
      </c>
      <c r="D151" s="2">
        <v>40827</v>
      </c>
      <c r="E151" s="3">
        <v>25.2</v>
      </c>
      <c r="F151" s="4">
        <f t="shared" si="7"/>
        <v>3552.8394540624386</v>
      </c>
      <c r="G151" s="2">
        <v>40200</v>
      </c>
      <c r="H151" s="7">
        <v>3.2</v>
      </c>
      <c r="I151" s="7">
        <f>H151+H136-2*$A$24</f>
        <v>6.0600000000000005</v>
      </c>
      <c r="J151" s="7">
        <v>3.08</v>
      </c>
      <c r="K151" s="7">
        <v>5.22</v>
      </c>
      <c r="L151" s="6">
        <f t="shared" si="8"/>
        <v>0.3366336633663366</v>
      </c>
      <c r="M151" s="6">
        <f t="shared" si="9"/>
        <v>0.58085808580858078</v>
      </c>
      <c r="N151" s="6">
        <f t="shared" si="10"/>
        <v>8.2508250825082619E-2</v>
      </c>
      <c r="O151" s="4">
        <f t="shared" si="11"/>
        <v>1196.005360773494</v>
      </c>
      <c r="P151" s="4">
        <f t="shared" si="12"/>
        <v>2063.6955244719111</v>
      </c>
      <c r="Q151" s="4">
        <f t="shared" si="13"/>
        <v>3259.7008852454051</v>
      </c>
      <c r="V151" s="3"/>
      <c r="W151" s="3"/>
      <c r="Y151" s="7"/>
      <c r="Z151" s="7"/>
      <c r="AA151" s="7"/>
      <c r="AB151" s="7"/>
      <c r="AC151" s="9"/>
      <c r="AD151" s="9"/>
      <c r="AE151" s="9"/>
      <c r="AF151" s="3"/>
      <c r="AG151" s="3"/>
      <c r="AH151" s="3"/>
      <c r="AL151" s="11"/>
      <c r="AM151" s="3"/>
      <c r="AN151" s="3"/>
      <c r="AO151" s="11"/>
      <c r="AP151" s="7"/>
      <c r="AQ151" s="7"/>
      <c r="AR151" s="7"/>
      <c r="AS151" s="7"/>
      <c r="AT151" s="9"/>
      <c r="AU151" s="9"/>
      <c r="AV151" s="9"/>
      <c r="AW151" s="3"/>
      <c r="AX151" s="3"/>
      <c r="AY151" s="3"/>
    </row>
    <row r="152" spans="1:51" x14ac:dyDescent="0.25">
      <c r="A152">
        <v>119</v>
      </c>
      <c r="B152" s="1" t="s">
        <v>160</v>
      </c>
      <c r="C152" s="1" t="s">
        <v>682</v>
      </c>
      <c r="D152" s="2">
        <v>40827</v>
      </c>
      <c r="E152" s="3">
        <v>32</v>
      </c>
      <c r="F152" s="4">
        <f t="shared" si="7"/>
        <v>4601.4205429350341</v>
      </c>
      <c r="G152" s="2">
        <v>40200</v>
      </c>
      <c r="H152" s="7">
        <v>3.2</v>
      </c>
      <c r="I152" s="7">
        <f>H152+H135-2*$A$24</f>
        <v>6.12</v>
      </c>
      <c r="J152" s="7">
        <v>3.08</v>
      </c>
      <c r="K152" s="7">
        <v>5.24</v>
      </c>
      <c r="L152" s="6">
        <f t="shared" si="8"/>
        <v>0.33333333333333331</v>
      </c>
      <c r="M152" s="6">
        <f t="shared" si="9"/>
        <v>0.57843137254901955</v>
      </c>
      <c r="N152" s="6">
        <f t="shared" si="10"/>
        <v>8.8235294117647189E-2</v>
      </c>
      <c r="O152" s="4">
        <f t="shared" si="11"/>
        <v>1533.8068476450112</v>
      </c>
      <c r="P152" s="4">
        <f t="shared" si="12"/>
        <v>2661.6060003251664</v>
      </c>
      <c r="Q152" s="4">
        <f t="shared" si="13"/>
        <v>4195.4128479701776</v>
      </c>
      <c r="V152" s="3"/>
      <c r="W152" s="3"/>
      <c r="Y152" s="7"/>
      <c r="Z152" s="7"/>
      <c r="AA152" s="7"/>
      <c r="AB152" s="7"/>
      <c r="AC152" s="9"/>
      <c r="AD152" s="9"/>
      <c r="AE152" s="9"/>
      <c r="AF152" s="3"/>
      <c r="AG152" s="3"/>
      <c r="AH152" s="3"/>
      <c r="AJ152" t="s">
        <v>780</v>
      </c>
      <c r="AK152" t="s">
        <v>682</v>
      </c>
      <c r="AL152" s="11">
        <f>D134</f>
        <v>40827</v>
      </c>
      <c r="AM152" s="3">
        <f>SUM(E134,E153)</f>
        <v>39.200000000000003</v>
      </c>
      <c r="AN152" s="3">
        <f>(AM152-4*$A$20)*$A$21/(2*$A$22)*$A$23</f>
        <v>2689.3020867555961</v>
      </c>
      <c r="AO152" s="11">
        <f>G134</f>
        <v>40200</v>
      </c>
      <c r="AP152" s="7">
        <f>SUM(H134,H153)</f>
        <v>6.3800000000000008</v>
      </c>
      <c r="AQ152" s="7">
        <f>SUM(I134,I153)</f>
        <v>12.120000000000001</v>
      </c>
      <c r="AR152" s="7">
        <f>SUM(J134,J153)</f>
        <v>6.24</v>
      </c>
      <c r="AS152" s="7">
        <f>SUM(K134,K153)</f>
        <v>10.52</v>
      </c>
      <c r="AT152" s="9">
        <f>(AR152-2*$A$25)/AQ152</f>
        <v>0.34323432343234322</v>
      </c>
      <c r="AU152" s="9">
        <f>(AS152-2*$A$26)/AQ152</f>
        <v>0.58745874587458735</v>
      </c>
      <c r="AV152" s="9">
        <f>1-AT152-AU152</f>
        <v>6.930693069306948E-2</v>
      </c>
      <c r="AW152" s="3">
        <f>AN152*AT152</f>
        <v>923.06078225274587</v>
      </c>
      <c r="AX152" s="3">
        <f>AN152*AU152</f>
        <v>1579.8540311633533</v>
      </c>
      <c r="AY152" s="3">
        <f>AW152+AX152</f>
        <v>2502.9148134160992</v>
      </c>
    </row>
    <row r="153" spans="1:51" x14ac:dyDescent="0.25">
      <c r="A153">
        <v>120</v>
      </c>
      <c r="B153" s="1" t="s">
        <v>161</v>
      </c>
      <c r="C153" s="1" t="s">
        <v>682</v>
      </c>
      <c r="D153" s="2">
        <v>40827</v>
      </c>
      <c r="E153" s="3">
        <v>18.5</v>
      </c>
      <c r="F153" s="4">
        <f t="shared" si="7"/>
        <v>2519.6786753203237</v>
      </c>
      <c r="G153" s="2">
        <v>40200</v>
      </c>
      <c r="H153" s="7">
        <v>3.66</v>
      </c>
      <c r="I153" s="7">
        <f>H153+H134-2*$A$24</f>
        <v>6.0600000000000005</v>
      </c>
      <c r="J153" s="7">
        <v>3.12</v>
      </c>
      <c r="K153" s="7">
        <v>5.26</v>
      </c>
      <c r="L153" s="6">
        <f t="shared" si="8"/>
        <v>0.34323432343234322</v>
      </c>
      <c r="M153" s="6">
        <f t="shared" si="9"/>
        <v>0.58745874587458735</v>
      </c>
      <c r="N153" s="6">
        <f t="shared" si="10"/>
        <v>6.930693069306948E-2</v>
      </c>
      <c r="O153" s="4">
        <f t="shared" si="11"/>
        <v>864.84020539047413</v>
      </c>
      <c r="P153" s="4">
        <f t="shared" si="12"/>
        <v>1480.2072746106189</v>
      </c>
      <c r="Q153" s="4">
        <f t="shared" si="13"/>
        <v>2345.0474800010929</v>
      </c>
      <c r="V153" s="3"/>
      <c r="W153" s="3"/>
      <c r="Y153" s="7"/>
      <c r="Z153" s="7"/>
      <c r="AA153" s="7"/>
      <c r="AB153" s="7"/>
      <c r="AC153" s="9"/>
      <c r="AD153" s="9"/>
      <c r="AE153" s="9"/>
      <c r="AF153" s="3"/>
      <c r="AG153" s="3"/>
      <c r="AH153" s="3"/>
    </row>
    <row r="154" spans="1:51" x14ac:dyDescent="0.25">
      <c r="A154">
        <v>121</v>
      </c>
      <c r="B154" s="1" t="s">
        <v>162</v>
      </c>
      <c r="C154" s="1" t="s">
        <v>682</v>
      </c>
      <c r="D154" s="2">
        <v>40827</v>
      </c>
      <c r="E154" s="3">
        <v>27</v>
      </c>
      <c r="F154" s="4">
        <f t="shared" si="7"/>
        <v>3830.4050364110672</v>
      </c>
      <c r="G154" s="2">
        <v>40205</v>
      </c>
      <c r="H154" s="7">
        <v>2.76</v>
      </c>
      <c r="I154" s="7">
        <f>H154+H173-2*$A$24</f>
        <v>5.5</v>
      </c>
      <c r="J154" s="7">
        <v>2.86</v>
      </c>
      <c r="K154" s="7">
        <v>4.9000000000000004</v>
      </c>
      <c r="L154" s="6">
        <f t="shared" si="8"/>
        <v>0.33090909090909087</v>
      </c>
      <c r="M154" s="6">
        <f t="shared" si="9"/>
        <v>0.5818181818181819</v>
      </c>
      <c r="N154" s="6">
        <f t="shared" si="10"/>
        <v>8.727272727272728E-2</v>
      </c>
      <c r="O154" s="4">
        <f t="shared" si="11"/>
        <v>1267.5158484123895</v>
      </c>
      <c r="P154" s="4">
        <f t="shared" si="12"/>
        <v>2228.5992939118937</v>
      </c>
      <c r="Q154" s="4">
        <f t="shared" si="13"/>
        <v>3496.1151423242832</v>
      </c>
      <c r="S154" t="s">
        <v>28</v>
      </c>
      <c r="T154" t="s">
        <v>682</v>
      </c>
      <c r="U154" s="8">
        <f>D154</f>
        <v>40827</v>
      </c>
      <c r="V154" s="3">
        <f>SUM(E154:E193)</f>
        <v>1420.0000000000005</v>
      </c>
      <c r="W154" s="3">
        <f>(V154-80*$A$20)*$A$21/(40*$A$22)*$A$23</f>
        <v>5141.1313975018129</v>
      </c>
      <c r="X154" s="8">
        <f>G154</f>
        <v>40205</v>
      </c>
      <c r="Y154" s="7">
        <f>SUM(H154:H193)</f>
        <v>123.89999999999996</v>
      </c>
      <c r="Z154" s="7">
        <f>SUM(I154:I193)</f>
        <v>235</v>
      </c>
      <c r="AA154" s="7">
        <f>SUM(J154:J193)</f>
        <v>118.83999999999999</v>
      </c>
      <c r="AB154" s="7">
        <f>SUM(K154:K193)</f>
        <v>202.92000000000004</v>
      </c>
      <c r="AC154" s="9">
        <f>(AA154-40*$A$25)/Z154</f>
        <v>0.32868085106382972</v>
      </c>
      <c r="AD154" s="9">
        <f>(AB154-40*$A$26)/Z154</f>
        <v>0.57412765957446832</v>
      </c>
      <c r="AE154" s="9">
        <f>1-AC154-AD154</f>
        <v>9.7191489361701966E-2</v>
      </c>
      <c r="AF154" s="3">
        <f>W154*AC154</f>
        <v>1689.7914431618722</v>
      </c>
      <c r="AG154" s="3">
        <f>W154*AD154</f>
        <v>2951.6657368125316</v>
      </c>
      <c r="AH154" s="3">
        <f>AF154+AG154</f>
        <v>4641.4571799744035</v>
      </c>
      <c r="AJ154" t="s">
        <v>781</v>
      </c>
      <c r="AK154" t="s">
        <v>682</v>
      </c>
      <c r="AL154" s="11">
        <f>D163</f>
        <v>40827</v>
      </c>
      <c r="AM154" s="3">
        <f>SUM(E163,E164)</f>
        <v>63.1</v>
      </c>
      <c r="AN154" s="3">
        <f>(AM154-4*$A$20)*$A$21/(2*$A$22)*$A$23</f>
        <v>4532.0291473478765</v>
      </c>
      <c r="AO154" s="11">
        <f>G163</f>
        <v>40205</v>
      </c>
      <c r="AP154" s="7">
        <f>SUM(H163,H164)</f>
        <v>6.2799999999999994</v>
      </c>
      <c r="AQ154" s="7">
        <f>SUM(I163,I164)</f>
        <v>11.919999999999998</v>
      </c>
      <c r="AR154" s="7">
        <f>SUM(J163,J164)</f>
        <v>5.8</v>
      </c>
      <c r="AS154" s="7">
        <f>SUM(K163,K164)</f>
        <v>10.28</v>
      </c>
      <c r="AT154" s="9">
        <f>(AR154-2*$A$25)/AQ154</f>
        <v>0.31208053691275173</v>
      </c>
      <c r="AU154" s="9">
        <f>(AS154-2*$A$26)/AQ154</f>
        <v>0.57718120805369133</v>
      </c>
      <c r="AV154" s="9">
        <f>1-AT154-AU154</f>
        <v>0.11073825503355694</v>
      </c>
      <c r="AW154" s="3">
        <f>AN154*AT154</f>
        <v>1414.3580896085657</v>
      </c>
      <c r="AX154" s="3">
        <f>AN154*AU154</f>
        <v>2615.802058200788</v>
      </c>
      <c r="AY154" s="3">
        <f>AW154+AX154</f>
        <v>4030.1601478093535</v>
      </c>
    </row>
    <row r="155" spans="1:51" x14ac:dyDescent="0.25">
      <c r="A155">
        <v>122</v>
      </c>
      <c r="B155" s="1" t="s">
        <v>163</v>
      </c>
      <c r="C155" s="1" t="s">
        <v>682</v>
      </c>
      <c r="D155" s="2">
        <v>40827</v>
      </c>
      <c r="E155" s="3">
        <v>35</v>
      </c>
      <c r="F155" s="4">
        <f t="shared" si="7"/>
        <v>5064.0298468494148</v>
      </c>
      <c r="G155" s="2">
        <v>40205</v>
      </c>
      <c r="H155" s="7">
        <v>3.34</v>
      </c>
      <c r="I155" s="7">
        <f>H155+H172-2*$A$24</f>
        <v>6.379999999999999</v>
      </c>
      <c r="J155" s="7">
        <v>3.16</v>
      </c>
      <c r="K155" s="7">
        <v>5.32</v>
      </c>
      <c r="L155" s="6">
        <f t="shared" si="8"/>
        <v>0.33228840125391856</v>
      </c>
      <c r="M155" s="6">
        <f t="shared" si="9"/>
        <v>0.56739811912225713</v>
      </c>
      <c r="N155" s="6">
        <f t="shared" si="10"/>
        <v>0.10031347962382431</v>
      </c>
      <c r="O155" s="4">
        <f t="shared" si="11"/>
        <v>1682.7183817117182</v>
      </c>
      <c r="P155" s="4">
        <f t="shared" si="12"/>
        <v>2873.3210102813296</v>
      </c>
      <c r="Q155" s="4">
        <f t="shared" si="13"/>
        <v>4556.0393919930475</v>
      </c>
      <c r="V155" s="3"/>
      <c r="W155" s="3"/>
      <c r="Y155" s="7"/>
      <c r="Z155" s="7"/>
      <c r="AA155" s="7"/>
      <c r="AB155" s="7"/>
      <c r="AC155" s="9"/>
      <c r="AD155" s="9"/>
      <c r="AE155" s="9"/>
      <c r="AF155" s="3"/>
      <c r="AG155" s="3"/>
      <c r="AH155" s="3"/>
      <c r="AL155" s="11"/>
      <c r="AM155" s="3"/>
      <c r="AN155" s="3"/>
      <c r="AO155" s="11"/>
      <c r="AP155" s="7"/>
      <c r="AQ155" s="7"/>
      <c r="AR155" s="7"/>
      <c r="AS155" s="7"/>
      <c r="AT155" s="9"/>
      <c r="AU155" s="9"/>
      <c r="AV155" s="9"/>
      <c r="AW155" s="3"/>
      <c r="AX155" s="3"/>
      <c r="AY155" s="3"/>
    </row>
    <row r="156" spans="1:51" x14ac:dyDescent="0.25">
      <c r="A156">
        <v>123</v>
      </c>
      <c r="B156" s="1" t="s">
        <v>164</v>
      </c>
      <c r="C156" s="1" t="s">
        <v>682</v>
      </c>
      <c r="D156" s="2">
        <v>40827</v>
      </c>
      <c r="E156" s="3">
        <v>33.700000000000003</v>
      </c>
      <c r="F156" s="4">
        <f t="shared" si="7"/>
        <v>4863.5658151531834</v>
      </c>
      <c r="G156" s="2">
        <v>40205</v>
      </c>
      <c r="H156" s="7">
        <v>3.56</v>
      </c>
      <c r="I156" s="7">
        <f>H156+H171-2*$A$24</f>
        <v>6.5399999999999991</v>
      </c>
      <c r="J156" s="7">
        <v>3.24</v>
      </c>
      <c r="K156" s="7">
        <v>5.44</v>
      </c>
      <c r="L156" s="6">
        <f t="shared" si="8"/>
        <v>0.33639143730886856</v>
      </c>
      <c r="M156" s="6">
        <f t="shared" si="9"/>
        <v>0.57186544342507661</v>
      </c>
      <c r="N156" s="6">
        <f t="shared" si="10"/>
        <v>9.1743119266054829E-2</v>
      </c>
      <c r="O156" s="4">
        <f t="shared" si="11"/>
        <v>1636.0618950056582</v>
      </c>
      <c r="P156" s="4">
        <f t="shared" si="12"/>
        <v>2781.3052215096195</v>
      </c>
      <c r="Q156" s="4">
        <f t="shared" si="13"/>
        <v>4417.3671165152773</v>
      </c>
      <c r="V156" s="3"/>
      <c r="W156" s="3"/>
      <c r="Y156" s="7"/>
      <c r="Z156" s="7"/>
      <c r="AA156" s="7"/>
      <c r="AB156" s="7"/>
      <c r="AC156" s="9"/>
      <c r="AD156" s="9"/>
      <c r="AE156" s="9"/>
      <c r="AF156" s="3"/>
      <c r="AG156" s="3"/>
      <c r="AH156" s="3"/>
      <c r="AJ156" t="s">
        <v>782</v>
      </c>
      <c r="AK156" t="s">
        <v>682</v>
      </c>
      <c r="AL156" s="11">
        <f>D162</f>
        <v>40827</v>
      </c>
      <c r="AM156" s="3">
        <f>SUM(E162,E165)</f>
        <v>73.900000000000006</v>
      </c>
      <c r="AN156" s="3">
        <f>(AM156-4*$A$20)*$A$21/(2*$A$22)*$A$23</f>
        <v>5364.7258943937613</v>
      </c>
      <c r="AO156" s="11">
        <f>G162</f>
        <v>40205</v>
      </c>
      <c r="AP156" s="7">
        <f>SUM(H162,H165)</f>
        <v>5.7</v>
      </c>
      <c r="AQ156" s="7">
        <f>SUM(I162,I165)</f>
        <v>10.76</v>
      </c>
      <c r="AR156" s="7">
        <f>SUM(J162,J165)</f>
        <v>5.72</v>
      </c>
      <c r="AS156" s="7">
        <f>SUM(K162,K165)</f>
        <v>9.7200000000000006</v>
      </c>
      <c r="AT156" s="9">
        <f>(AR156-2*$A$25)/AQ156</f>
        <v>0.33828996282527879</v>
      </c>
      <c r="AU156" s="9">
        <f>(AS156-2*$A$26)/AQ156</f>
        <v>0.58736059479553904</v>
      </c>
      <c r="AV156" s="9">
        <f>1-AT156-AU156</f>
        <v>7.4349442379182173E-2</v>
      </c>
      <c r="AW156" s="3">
        <f>AN156*AT156</f>
        <v>1814.832923382276</v>
      </c>
      <c r="AX156" s="3">
        <f>AN156*AU156</f>
        <v>3151.0285922461499</v>
      </c>
      <c r="AY156" s="3">
        <f>AW156+AX156</f>
        <v>4965.8615156284259</v>
      </c>
    </row>
    <row r="157" spans="1:51" x14ac:dyDescent="0.25">
      <c r="A157">
        <v>124</v>
      </c>
      <c r="B157" s="1" t="s">
        <v>165</v>
      </c>
      <c r="C157" s="1" t="s">
        <v>682</v>
      </c>
      <c r="D157" s="2">
        <v>40827</v>
      </c>
      <c r="E157" s="3">
        <v>35.5</v>
      </c>
      <c r="F157" s="4">
        <f t="shared" si="7"/>
        <v>5141.1313975018111</v>
      </c>
      <c r="G157" s="2">
        <v>40205</v>
      </c>
      <c r="H157" s="7">
        <v>3.82</v>
      </c>
      <c r="I157" s="7">
        <f>H157+H170-2*$A$24</f>
        <v>6.3999999999999995</v>
      </c>
      <c r="J157" s="7">
        <v>3.16</v>
      </c>
      <c r="K157" s="7">
        <v>5.4</v>
      </c>
      <c r="L157" s="6">
        <f t="shared" si="8"/>
        <v>0.33125000000000004</v>
      </c>
      <c r="M157" s="6">
        <f t="shared" si="9"/>
        <v>0.57812500000000011</v>
      </c>
      <c r="N157" s="6">
        <f t="shared" si="10"/>
        <v>9.0624999999999845E-2</v>
      </c>
      <c r="O157" s="4">
        <f t="shared" si="11"/>
        <v>1702.9997754224751</v>
      </c>
      <c r="P157" s="4">
        <f t="shared" si="12"/>
        <v>2972.2165891807349</v>
      </c>
      <c r="Q157" s="4">
        <f t="shared" si="13"/>
        <v>4675.2163646032095</v>
      </c>
      <c r="V157" s="3"/>
      <c r="W157" s="3"/>
      <c r="Y157" s="7"/>
      <c r="Z157" s="7"/>
      <c r="AA157" s="7"/>
      <c r="AB157" s="7"/>
      <c r="AC157" s="9"/>
      <c r="AD157" s="9"/>
      <c r="AE157" s="9"/>
      <c r="AF157" s="3"/>
      <c r="AG157" s="3"/>
      <c r="AH157" s="3"/>
      <c r="AL157" s="11"/>
      <c r="AM157" s="3"/>
      <c r="AN157" s="3"/>
      <c r="AO157" s="11"/>
      <c r="AP157" s="7"/>
      <c r="AQ157" s="7"/>
      <c r="AR157" s="7"/>
      <c r="AS157" s="7"/>
      <c r="AT157" s="9"/>
      <c r="AU157" s="9"/>
      <c r="AV157" s="9"/>
      <c r="AW157" s="3"/>
      <c r="AX157" s="3"/>
      <c r="AY157" s="3"/>
    </row>
    <row r="158" spans="1:51" x14ac:dyDescent="0.25">
      <c r="A158">
        <v>125</v>
      </c>
      <c r="B158" s="1" t="s">
        <v>166</v>
      </c>
      <c r="C158" s="1" t="s">
        <v>682</v>
      </c>
      <c r="D158" s="2">
        <v>40827</v>
      </c>
      <c r="E158" s="3">
        <v>39.799999999999997</v>
      </c>
      <c r="F158" s="4">
        <f t="shared" si="7"/>
        <v>5804.2047331124222</v>
      </c>
      <c r="G158" s="2">
        <v>40205</v>
      </c>
      <c r="H158" s="7">
        <v>3.28</v>
      </c>
      <c r="I158" s="7">
        <f>H158+H169-2*$A$24</f>
        <v>6.4399999999999995</v>
      </c>
      <c r="J158" s="7">
        <v>3.18</v>
      </c>
      <c r="K158" s="7">
        <v>5.32</v>
      </c>
      <c r="L158" s="6">
        <f t="shared" si="8"/>
        <v>0.3322981366459628</v>
      </c>
      <c r="M158" s="6">
        <f t="shared" si="9"/>
        <v>0.56211180124223603</v>
      </c>
      <c r="N158" s="6">
        <f t="shared" si="10"/>
        <v>0.10559006211180122</v>
      </c>
      <c r="O158" s="4">
        <f t="shared" si="11"/>
        <v>1928.7264175249356</v>
      </c>
      <c r="P158" s="4">
        <f t="shared" si="12"/>
        <v>3262.6119773085356</v>
      </c>
      <c r="Q158" s="4">
        <f t="shared" si="13"/>
        <v>5191.3383948334713</v>
      </c>
      <c r="V158" s="3"/>
      <c r="W158" s="3"/>
      <c r="Y158" s="7"/>
      <c r="Z158" s="7"/>
      <c r="AA158" s="7"/>
      <c r="AB158" s="7"/>
      <c r="AC158" s="9"/>
      <c r="AD158" s="9"/>
      <c r="AE158" s="9"/>
      <c r="AF158" s="3"/>
      <c r="AG158" s="3"/>
      <c r="AH158" s="3"/>
      <c r="AJ158" t="s">
        <v>783</v>
      </c>
      <c r="AK158" t="s">
        <v>682</v>
      </c>
      <c r="AL158" s="11">
        <f>D161</f>
        <v>40827</v>
      </c>
      <c r="AM158" s="3">
        <f>SUM(E161,E166)</f>
        <v>73.7</v>
      </c>
      <c r="AN158" s="3">
        <f>(AM158-4*$A$20)*$A$21/(2*$A$22)*$A$23</f>
        <v>5349.3055842632821</v>
      </c>
      <c r="AO158" s="11">
        <f>G161</f>
        <v>40205</v>
      </c>
      <c r="AP158" s="7">
        <f>SUM(H161,H166)</f>
        <v>5.68</v>
      </c>
      <c r="AQ158" s="7">
        <f>SUM(I161,I166)</f>
        <v>10.719999999999999</v>
      </c>
      <c r="AR158" s="7">
        <f>SUM(J161,J166)</f>
        <v>5.52</v>
      </c>
      <c r="AS158" s="7">
        <f>SUM(K161,K166)</f>
        <v>9.48</v>
      </c>
      <c r="AT158" s="9">
        <f>(AR158-2*$A$25)/AQ158</f>
        <v>0.32089552238805968</v>
      </c>
      <c r="AU158" s="9">
        <f>(AS158-2*$A$26)/AQ158</f>
        <v>0.56716417910447769</v>
      </c>
      <c r="AV158" s="9">
        <f>1-AT158-AU158</f>
        <v>0.11194029850746268</v>
      </c>
      <c r="AW158" s="3">
        <f>AN158*AT158</f>
        <v>1716.5682098755308</v>
      </c>
      <c r="AX158" s="3">
        <f>AN158*AU158</f>
        <v>3033.934510477683</v>
      </c>
      <c r="AY158" s="3">
        <f>AW158+AX158</f>
        <v>4750.5027203532136</v>
      </c>
    </row>
    <row r="159" spans="1:51" x14ac:dyDescent="0.25">
      <c r="A159">
        <v>126</v>
      </c>
      <c r="B159" s="1" t="s">
        <v>167</v>
      </c>
      <c r="C159" s="1" t="s">
        <v>682</v>
      </c>
      <c r="D159" s="2">
        <v>40827</v>
      </c>
      <c r="E159" s="3">
        <v>37.5</v>
      </c>
      <c r="F159" s="4">
        <f t="shared" si="7"/>
        <v>5449.5376001113982</v>
      </c>
      <c r="G159" s="2">
        <v>40205</v>
      </c>
      <c r="H159" s="7">
        <v>3.08</v>
      </c>
      <c r="I159" s="7">
        <f>H159+H168-2*$A$24</f>
        <v>6.02</v>
      </c>
      <c r="J159" s="7">
        <v>3.04</v>
      </c>
      <c r="K159" s="7">
        <v>5.16</v>
      </c>
      <c r="L159" s="6">
        <f t="shared" si="8"/>
        <v>0.33222591362126247</v>
      </c>
      <c r="M159" s="6">
        <f t="shared" si="9"/>
        <v>0.57475083056478404</v>
      </c>
      <c r="N159" s="6">
        <f t="shared" si="10"/>
        <v>9.3023255813953543E-2</v>
      </c>
      <c r="O159" s="4">
        <f t="shared" si="11"/>
        <v>1810.4776080104314</v>
      </c>
      <c r="P159" s="4">
        <f t="shared" si="12"/>
        <v>3132.1262618580463</v>
      </c>
      <c r="Q159" s="4">
        <f t="shared" si="13"/>
        <v>4942.6038698684779</v>
      </c>
      <c r="V159" s="3"/>
      <c r="W159" s="3"/>
      <c r="Y159" s="7"/>
      <c r="Z159" s="7"/>
      <c r="AA159" s="7"/>
      <c r="AB159" s="7"/>
      <c r="AC159" s="9"/>
      <c r="AD159" s="9"/>
      <c r="AE159" s="9"/>
      <c r="AF159" s="3"/>
      <c r="AG159" s="3"/>
      <c r="AH159" s="3"/>
      <c r="AL159" s="11"/>
      <c r="AM159" s="3"/>
      <c r="AN159" s="3"/>
      <c r="AO159" s="11"/>
      <c r="AP159" s="7"/>
      <c r="AQ159" s="7"/>
      <c r="AR159" s="7"/>
      <c r="AS159" s="7"/>
      <c r="AT159" s="9"/>
      <c r="AU159" s="9"/>
      <c r="AV159" s="9"/>
      <c r="AW159" s="3"/>
      <c r="AX159" s="3"/>
      <c r="AY159" s="3"/>
    </row>
    <row r="160" spans="1:51" x14ac:dyDescent="0.25">
      <c r="A160">
        <v>127</v>
      </c>
      <c r="B160" s="1" t="s">
        <v>168</v>
      </c>
      <c r="C160" s="1" t="s">
        <v>682</v>
      </c>
      <c r="D160" s="2">
        <v>40827</v>
      </c>
      <c r="E160" s="3">
        <v>39.599999999999994</v>
      </c>
      <c r="F160" s="4">
        <f t="shared" si="7"/>
        <v>5773.3641128514637</v>
      </c>
      <c r="G160" s="2">
        <v>40205</v>
      </c>
      <c r="H160" s="7">
        <v>2.72</v>
      </c>
      <c r="I160" s="7">
        <f>H160+H167-2*$A$24</f>
        <v>5.7799999999999994</v>
      </c>
      <c r="J160" s="7">
        <v>2.96</v>
      </c>
      <c r="K160" s="7">
        <v>5.0199999999999996</v>
      </c>
      <c r="L160" s="6">
        <f t="shared" si="8"/>
        <v>0.33217993079584779</v>
      </c>
      <c r="M160" s="6">
        <f t="shared" si="9"/>
        <v>0.57439446366781999</v>
      </c>
      <c r="N160" s="6">
        <f t="shared" si="10"/>
        <v>9.3425605536332279E-2</v>
      </c>
      <c r="O160" s="4">
        <f t="shared" si="11"/>
        <v>1917.7956914662304</v>
      </c>
      <c r="P160" s="4">
        <f t="shared" si="12"/>
        <v>3316.1883831603559</v>
      </c>
      <c r="Q160" s="4">
        <f t="shared" si="13"/>
        <v>5233.9840746265863</v>
      </c>
      <c r="V160" s="3"/>
      <c r="W160" s="3"/>
      <c r="Y160" s="7"/>
      <c r="Z160" s="7"/>
      <c r="AA160" s="7"/>
      <c r="AB160" s="7"/>
      <c r="AC160" s="9"/>
      <c r="AD160" s="9"/>
      <c r="AE160" s="9"/>
      <c r="AF160" s="3"/>
      <c r="AG160" s="3"/>
      <c r="AH160" s="3"/>
      <c r="AJ160" t="s">
        <v>784</v>
      </c>
      <c r="AK160" t="s">
        <v>682</v>
      </c>
      <c r="AL160" s="11">
        <f>D160</f>
        <v>40827</v>
      </c>
      <c r="AM160" s="3">
        <f>SUM(E160,E167)</f>
        <v>83.399999999999991</v>
      </c>
      <c r="AN160" s="3">
        <f>(AM160-4*$A$20)*$A$21/(2*$A$22)*$A$23</f>
        <v>6097.1906255915283</v>
      </c>
      <c r="AO160" s="11">
        <f>G160</f>
        <v>40205</v>
      </c>
      <c r="AP160" s="7">
        <f>SUM(H160,H167)</f>
        <v>6.1</v>
      </c>
      <c r="AQ160" s="7">
        <f>SUM(I160,I167)</f>
        <v>11.559999999999999</v>
      </c>
      <c r="AR160" s="7">
        <f>SUM(J160,J167)</f>
        <v>5.92</v>
      </c>
      <c r="AS160" s="7">
        <f>SUM(K160,K167)</f>
        <v>10.039999999999999</v>
      </c>
      <c r="AT160" s="9">
        <f>(AR160-2*$A$25)/AQ160</f>
        <v>0.33217993079584779</v>
      </c>
      <c r="AU160" s="9">
        <f>(AS160-2*$A$26)/AQ160</f>
        <v>0.57439446366781999</v>
      </c>
      <c r="AV160" s="9">
        <f>1-AT160-AU160</f>
        <v>9.3425605536332279E-2</v>
      </c>
      <c r="AW160" s="3">
        <f>AN160*AT160</f>
        <v>2025.3643600580858</v>
      </c>
      <c r="AX160" s="3">
        <f>AN160*AU160</f>
        <v>3502.1925392671055</v>
      </c>
      <c r="AY160" s="3">
        <f>AW160+AX160</f>
        <v>5527.5568993251909</v>
      </c>
    </row>
    <row r="161" spans="1:51" x14ac:dyDescent="0.25">
      <c r="A161">
        <v>128</v>
      </c>
      <c r="B161" s="1" t="s">
        <v>169</v>
      </c>
      <c r="C161" s="1" t="s">
        <v>682</v>
      </c>
      <c r="D161" s="2">
        <v>40827</v>
      </c>
      <c r="E161" s="3">
        <v>35.700000000000003</v>
      </c>
      <c r="F161" s="4">
        <f t="shared" si="7"/>
        <v>5171.9720177627705</v>
      </c>
      <c r="G161" s="2">
        <v>40205</v>
      </c>
      <c r="H161" s="7">
        <v>2.62</v>
      </c>
      <c r="I161" s="7">
        <f>H161+H166-2*$A$24</f>
        <v>5.3599999999999994</v>
      </c>
      <c r="J161" s="7">
        <v>2.76</v>
      </c>
      <c r="K161" s="7">
        <v>4.74</v>
      </c>
      <c r="L161" s="6">
        <f t="shared" si="8"/>
        <v>0.32089552238805968</v>
      </c>
      <c r="M161" s="6">
        <f t="shared" si="9"/>
        <v>0.56716417910447769</v>
      </c>
      <c r="N161" s="6">
        <f t="shared" si="10"/>
        <v>0.11194029850746268</v>
      </c>
      <c r="O161" s="4">
        <f t="shared" si="11"/>
        <v>1659.6626624164114</v>
      </c>
      <c r="P161" s="4">
        <f t="shared" si="12"/>
        <v>2933.3572638057508</v>
      </c>
      <c r="Q161" s="4">
        <f t="shared" si="13"/>
        <v>4593.0199262221622</v>
      </c>
      <c r="V161" s="3"/>
      <c r="W161" s="3"/>
      <c r="Y161" s="7"/>
      <c r="Z161" s="7"/>
      <c r="AA161" s="7"/>
      <c r="AB161" s="7"/>
      <c r="AC161" s="9"/>
      <c r="AD161" s="9"/>
      <c r="AE161" s="9"/>
      <c r="AF161" s="3"/>
      <c r="AG161" s="3"/>
      <c r="AH161" s="3"/>
      <c r="AL161" s="11"/>
      <c r="AM161" s="3"/>
      <c r="AN161" s="3"/>
      <c r="AO161" s="11"/>
      <c r="AP161" s="7"/>
      <c r="AQ161" s="7"/>
      <c r="AR161" s="7"/>
      <c r="AS161" s="7"/>
      <c r="AT161" s="9"/>
      <c r="AU161" s="9"/>
      <c r="AV161" s="9"/>
      <c r="AW161" s="3"/>
      <c r="AX161" s="3"/>
      <c r="AY161" s="3"/>
    </row>
    <row r="162" spans="1:51" x14ac:dyDescent="0.25">
      <c r="A162">
        <v>129</v>
      </c>
      <c r="B162" s="1" t="s">
        <v>170</v>
      </c>
      <c r="C162" s="1" t="s">
        <v>682</v>
      </c>
      <c r="D162" s="2">
        <v>40827</v>
      </c>
      <c r="E162" s="3">
        <v>35.200000000000003</v>
      </c>
      <c r="F162" s="4">
        <f t="shared" si="7"/>
        <v>5094.8704671103742</v>
      </c>
      <c r="G162" s="2">
        <v>40205</v>
      </c>
      <c r="H162" s="7">
        <v>2.64</v>
      </c>
      <c r="I162" s="7">
        <f>H162+H165-2*$A$24</f>
        <v>5.38</v>
      </c>
      <c r="J162" s="7">
        <v>2.86</v>
      </c>
      <c r="K162" s="7">
        <v>4.8600000000000003</v>
      </c>
      <c r="L162" s="6">
        <f t="shared" si="8"/>
        <v>0.33828996282527879</v>
      </c>
      <c r="M162" s="6">
        <f t="shared" si="9"/>
        <v>0.58736059479553904</v>
      </c>
      <c r="N162" s="6">
        <f t="shared" si="10"/>
        <v>7.4349442379182173E-2</v>
      </c>
      <c r="O162" s="4">
        <f t="shared" si="11"/>
        <v>1723.5435409183792</v>
      </c>
      <c r="P162" s="4">
        <f t="shared" si="12"/>
        <v>2992.5261479681753</v>
      </c>
      <c r="Q162" s="4">
        <f t="shared" si="13"/>
        <v>4716.069688886555</v>
      </c>
      <c r="V162" s="3"/>
      <c r="W162" s="3"/>
      <c r="Y162" s="7"/>
      <c r="Z162" s="7"/>
      <c r="AA162" s="7"/>
      <c r="AB162" s="7"/>
      <c r="AC162" s="9"/>
      <c r="AD162" s="9"/>
      <c r="AE162" s="9"/>
      <c r="AF162" s="3"/>
      <c r="AG162" s="3"/>
      <c r="AH162" s="3"/>
      <c r="AJ162" t="s">
        <v>785</v>
      </c>
      <c r="AK162" t="s">
        <v>682</v>
      </c>
      <c r="AL162" s="11">
        <f>D159</f>
        <v>40827</v>
      </c>
      <c r="AM162" s="3">
        <f>SUM(E159,E168)</f>
        <v>78.400000000000006</v>
      </c>
      <c r="AN162" s="3">
        <f>(AM162-4*$A$20)*$A$21/(2*$A$22)*$A$23</f>
        <v>5711.6828723295475</v>
      </c>
      <c r="AO162" s="11">
        <f>G159</f>
        <v>40205</v>
      </c>
      <c r="AP162" s="7">
        <f>SUM(H159,H168)</f>
        <v>6.34</v>
      </c>
      <c r="AQ162" s="7">
        <f>SUM(I159,I168)</f>
        <v>12.04</v>
      </c>
      <c r="AR162" s="7">
        <f>SUM(J159,J168)</f>
        <v>6.08</v>
      </c>
      <c r="AS162" s="7">
        <f>SUM(K159,K168)</f>
        <v>10.32</v>
      </c>
      <c r="AT162" s="9">
        <f>(AR162-2*$A$25)/AQ162</f>
        <v>0.33222591362126247</v>
      </c>
      <c r="AU162" s="9">
        <f>(AS162-2*$A$26)/AQ162</f>
        <v>0.57475083056478404</v>
      </c>
      <c r="AV162" s="9">
        <f>1-AT162-AU162</f>
        <v>9.3023255813953543E-2</v>
      </c>
      <c r="AW162" s="3">
        <f>AN162*AT162</f>
        <v>1897.5690605746006</v>
      </c>
      <c r="AX162" s="3">
        <f>AN162*AU162</f>
        <v>3282.7944747940587</v>
      </c>
      <c r="AY162" s="3">
        <f>AW162+AX162</f>
        <v>5180.3635353686595</v>
      </c>
    </row>
    <row r="163" spans="1:51" x14ac:dyDescent="0.25">
      <c r="A163">
        <v>130</v>
      </c>
      <c r="B163" s="1" t="s">
        <v>171</v>
      </c>
      <c r="C163" s="1" t="s">
        <v>682</v>
      </c>
      <c r="D163" s="2">
        <v>40827</v>
      </c>
      <c r="E163" s="3">
        <v>29.4</v>
      </c>
      <c r="F163" s="4">
        <f t="shared" ref="F163:F226" si="14">(E163-2*$A$20)*$A$21/$A$22*$A$23</f>
        <v>4200.4924795425704</v>
      </c>
      <c r="G163" s="2">
        <v>40205</v>
      </c>
      <c r="H163" s="7">
        <v>3.46</v>
      </c>
      <c r="I163" s="7">
        <f>H163+H164-2*$A$24</f>
        <v>5.9599999999999991</v>
      </c>
      <c r="J163" s="7">
        <v>2.9</v>
      </c>
      <c r="K163" s="7">
        <v>5.14</v>
      </c>
      <c r="L163" s="6">
        <f t="shared" ref="L163:L226" si="15">(J163-$A$25)/I163</f>
        <v>0.31208053691275173</v>
      </c>
      <c r="M163" s="6">
        <f t="shared" ref="M163:M226" si="16">(K163-$A$26)/I163</f>
        <v>0.57718120805369133</v>
      </c>
      <c r="N163" s="6">
        <f t="shared" ref="N163:N226" si="17">1-L163-M163</f>
        <v>0.11073825503355694</v>
      </c>
      <c r="O163" s="4">
        <f t="shared" ref="O163:O226" si="18">F163*L163</f>
        <v>1310.8919483136212</v>
      </c>
      <c r="P163" s="4">
        <f t="shared" ref="P163:P226" si="19">F163*M163</f>
        <v>2424.4453237628263</v>
      </c>
      <c r="Q163" s="4">
        <f t="shared" ref="Q163:Q226" si="20">O163+P163</f>
        <v>3735.3372720764473</v>
      </c>
      <c r="V163" s="3"/>
      <c r="W163" s="3"/>
      <c r="Y163" s="7"/>
      <c r="Z163" s="7"/>
      <c r="AA163" s="7"/>
      <c r="AB163" s="7"/>
      <c r="AC163" s="9"/>
      <c r="AD163" s="9"/>
      <c r="AE163" s="9"/>
      <c r="AF163" s="3"/>
      <c r="AG163" s="3"/>
      <c r="AH163" s="3"/>
      <c r="AL163" s="11"/>
      <c r="AM163" s="3"/>
      <c r="AN163" s="3"/>
      <c r="AO163" s="11"/>
      <c r="AP163" s="7"/>
      <c r="AQ163" s="7"/>
      <c r="AR163" s="7"/>
      <c r="AS163" s="7"/>
      <c r="AT163" s="9"/>
      <c r="AU163" s="9"/>
      <c r="AV163" s="9"/>
      <c r="AW163" s="3"/>
      <c r="AX163" s="3"/>
      <c r="AY163" s="3"/>
    </row>
    <row r="164" spans="1:51" x14ac:dyDescent="0.25">
      <c r="A164">
        <v>131</v>
      </c>
      <c r="B164" s="1" t="s">
        <v>172</v>
      </c>
      <c r="C164" s="1" t="s">
        <v>682</v>
      </c>
      <c r="D164" s="2">
        <v>40827</v>
      </c>
      <c r="E164" s="3">
        <v>33.700000000000003</v>
      </c>
      <c r="F164" s="4">
        <f t="shared" si="14"/>
        <v>4863.5658151531834</v>
      </c>
      <c r="G164" s="2">
        <v>40205</v>
      </c>
      <c r="H164" s="7">
        <v>2.82</v>
      </c>
      <c r="I164" s="7">
        <f>H164+H163-2*$A$24</f>
        <v>5.9599999999999991</v>
      </c>
      <c r="J164" s="7">
        <v>2.9</v>
      </c>
      <c r="K164" s="7">
        <v>5.14</v>
      </c>
      <c r="L164" s="6">
        <f t="shared" si="15"/>
        <v>0.31208053691275173</v>
      </c>
      <c r="M164" s="6">
        <f t="shared" si="16"/>
        <v>0.57718120805369133</v>
      </c>
      <c r="N164" s="6">
        <f t="shared" si="17"/>
        <v>0.11073825503355694</v>
      </c>
      <c r="O164" s="4">
        <f t="shared" si="18"/>
        <v>1517.8242309035104</v>
      </c>
      <c r="P164" s="4">
        <f t="shared" si="19"/>
        <v>2807.1587926387506</v>
      </c>
      <c r="Q164" s="4">
        <f t="shared" si="20"/>
        <v>4324.9830235422614</v>
      </c>
      <c r="V164" s="3"/>
      <c r="W164" s="3"/>
      <c r="Y164" s="7"/>
      <c r="Z164" s="7"/>
      <c r="AA164" s="7"/>
      <c r="AB164" s="7"/>
      <c r="AC164" s="9"/>
      <c r="AD164" s="9"/>
      <c r="AE164" s="9"/>
      <c r="AF164" s="3"/>
      <c r="AG164" s="3"/>
      <c r="AH164" s="3"/>
      <c r="AJ164" t="s">
        <v>786</v>
      </c>
      <c r="AK164" t="s">
        <v>682</v>
      </c>
      <c r="AL164" s="11">
        <f>D158</f>
        <v>40827</v>
      </c>
      <c r="AM164" s="3">
        <f>SUM(E158,E169)</f>
        <v>79.3</v>
      </c>
      <c r="AN164" s="3">
        <f>(AM164-4*$A$20)*$A$21/(2*$A$22)*$A$23</f>
        <v>5781.0742679167015</v>
      </c>
      <c r="AO164" s="11">
        <f>G158</f>
        <v>40205</v>
      </c>
      <c r="AP164" s="7">
        <f>SUM(H158,H169)</f>
        <v>6.76</v>
      </c>
      <c r="AQ164" s="7">
        <f>SUM(I158,I169)</f>
        <v>12.879999999999999</v>
      </c>
      <c r="AR164" s="7">
        <f>SUM(J158,J169)</f>
        <v>6.36</v>
      </c>
      <c r="AS164" s="7">
        <f>SUM(K158,K169)</f>
        <v>10.64</v>
      </c>
      <c r="AT164" s="9">
        <f>(AR164-2*$A$25)/AQ164</f>
        <v>0.3322981366459628</v>
      </c>
      <c r="AU164" s="9">
        <f>(AS164-2*$A$26)/AQ164</f>
        <v>0.56211180124223603</v>
      </c>
      <c r="AV164" s="9">
        <f>1-AT164-AU164</f>
        <v>0.10559006211180122</v>
      </c>
      <c r="AW164" s="3">
        <f>AN164*AT164</f>
        <v>1921.0402070406435</v>
      </c>
      <c r="AX164" s="3">
        <f>AN164*AU164</f>
        <v>3249.610069853798</v>
      </c>
      <c r="AY164" s="3">
        <f>AW164+AX164</f>
        <v>5170.650276894441</v>
      </c>
    </row>
    <row r="165" spans="1:51" x14ac:dyDescent="0.25">
      <c r="A165">
        <v>132</v>
      </c>
      <c r="B165" s="1" t="s">
        <v>173</v>
      </c>
      <c r="C165" s="1" t="s">
        <v>682</v>
      </c>
      <c r="D165" s="2">
        <v>40827</v>
      </c>
      <c r="E165" s="3">
        <v>38.700000000000003</v>
      </c>
      <c r="F165" s="4">
        <f t="shared" si="14"/>
        <v>5634.5813216771503</v>
      </c>
      <c r="G165" s="2">
        <v>40205</v>
      </c>
      <c r="H165" s="7">
        <v>3.06</v>
      </c>
      <c r="I165" s="7">
        <f>H165+H162-2*$A$24</f>
        <v>5.38</v>
      </c>
      <c r="J165" s="7">
        <v>2.86</v>
      </c>
      <c r="K165" s="7">
        <v>4.8600000000000003</v>
      </c>
      <c r="L165" s="6">
        <f t="shared" si="15"/>
        <v>0.33828996282527879</v>
      </c>
      <c r="M165" s="6">
        <f t="shared" si="16"/>
        <v>0.58736059479553904</v>
      </c>
      <c r="N165" s="6">
        <f t="shared" si="17"/>
        <v>7.4349442379182173E-2</v>
      </c>
      <c r="O165" s="4">
        <f t="shared" si="18"/>
        <v>1906.1223058461735</v>
      </c>
      <c r="P165" s="4">
        <f t="shared" si="19"/>
        <v>3309.5310365241253</v>
      </c>
      <c r="Q165" s="4">
        <f t="shared" si="20"/>
        <v>5215.6533423702986</v>
      </c>
      <c r="V165" s="3"/>
      <c r="W165" s="3"/>
      <c r="Y165" s="7"/>
      <c r="Z165" s="7"/>
      <c r="AA165" s="7"/>
      <c r="AB165" s="7"/>
      <c r="AC165" s="9"/>
      <c r="AD165" s="9"/>
      <c r="AE165" s="9"/>
      <c r="AF165" s="3"/>
      <c r="AG165" s="3"/>
      <c r="AH165" s="3"/>
      <c r="AL165" s="11"/>
      <c r="AM165" s="3"/>
      <c r="AN165" s="3"/>
      <c r="AO165" s="11"/>
      <c r="AP165" s="7"/>
      <c r="AQ165" s="7"/>
      <c r="AR165" s="7"/>
      <c r="AS165" s="7"/>
      <c r="AT165" s="9"/>
      <c r="AU165" s="9"/>
      <c r="AV165" s="9"/>
      <c r="AW165" s="3"/>
      <c r="AX165" s="3"/>
      <c r="AY165" s="3"/>
    </row>
    <row r="166" spans="1:51" x14ac:dyDescent="0.25">
      <c r="A166">
        <v>133</v>
      </c>
      <c r="B166" s="1" t="s">
        <v>174</v>
      </c>
      <c r="C166" s="1" t="s">
        <v>682</v>
      </c>
      <c r="D166" s="2">
        <v>40827</v>
      </c>
      <c r="E166" s="3">
        <v>38</v>
      </c>
      <c r="F166" s="4">
        <f t="shared" si="14"/>
        <v>5526.6391507637945</v>
      </c>
      <c r="G166" s="2">
        <v>40205</v>
      </c>
      <c r="H166" s="7">
        <v>3.06</v>
      </c>
      <c r="I166" s="7">
        <f>H166+H161-2*$A$24</f>
        <v>5.3599999999999994</v>
      </c>
      <c r="J166" s="7">
        <v>2.76</v>
      </c>
      <c r="K166" s="7">
        <v>4.74</v>
      </c>
      <c r="L166" s="6">
        <f t="shared" si="15"/>
        <v>0.32089552238805968</v>
      </c>
      <c r="M166" s="6">
        <f t="shared" si="16"/>
        <v>0.56716417910447769</v>
      </c>
      <c r="N166" s="6">
        <f t="shared" si="17"/>
        <v>0.11194029850746268</v>
      </c>
      <c r="O166" s="4">
        <f t="shared" si="18"/>
        <v>1773.4737573346504</v>
      </c>
      <c r="P166" s="4">
        <f t="shared" si="19"/>
        <v>3134.5117571496153</v>
      </c>
      <c r="Q166" s="4">
        <f t="shared" si="20"/>
        <v>4907.9855144842659</v>
      </c>
      <c r="V166" s="3"/>
      <c r="W166" s="3"/>
      <c r="Y166" s="7"/>
      <c r="Z166" s="7"/>
      <c r="AA166" s="7"/>
      <c r="AB166" s="7"/>
      <c r="AC166" s="9"/>
      <c r="AD166" s="9"/>
      <c r="AE166" s="9"/>
      <c r="AF166" s="3"/>
      <c r="AG166" s="3"/>
      <c r="AH166" s="3"/>
      <c r="AJ166" t="s">
        <v>787</v>
      </c>
      <c r="AK166" t="s">
        <v>682</v>
      </c>
      <c r="AL166" s="11">
        <f>D157</f>
        <v>40827</v>
      </c>
      <c r="AM166" s="3">
        <f>SUM(E157,E170)</f>
        <v>74</v>
      </c>
      <c r="AN166" s="3">
        <f>(AM166-4*$A$20)*$A$21/(2*$A$22)*$A$23</f>
        <v>5372.436049459001</v>
      </c>
      <c r="AO166" s="11">
        <f>G157</f>
        <v>40205</v>
      </c>
      <c r="AP166" s="7">
        <f>SUM(H157,H170)</f>
        <v>6.72</v>
      </c>
      <c r="AQ166" s="7">
        <f>SUM(I157,I170)</f>
        <v>12.799999999999999</v>
      </c>
      <c r="AR166" s="7">
        <f>SUM(J157,J170)</f>
        <v>6.32</v>
      </c>
      <c r="AS166" s="7">
        <f>SUM(K157,K170)</f>
        <v>10.8</v>
      </c>
      <c r="AT166" s="9">
        <f>(AR166-2*$A$25)/AQ166</f>
        <v>0.33125000000000004</v>
      </c>
      <c r="AU166" s="9">
        <f>(AS166-2*$A$26)/AQ166</f>
        <v>0.57812500000000011</v>
      </c>
      <c r="AV166" s="9">
        <f>1-AT166-AU166</f>
        <v>9.0624999999999845E-2</v>
      </c>
      <c r="AW166" s="3">
        <f>AN166*AT166</f>
        <v>1779.6194413832943</v>
      </c>
      <c r="AX166" s="3">
        <f>AN166*AU166</f>
        <v>3105.9395910934854</v>
      </c>
      <c r="AY166" s="3">
        <f>AW166+AX166</f>
        <v>4885.55903247678</v>
      </c>
    </row>
    <row r="167" spans="1:51" x14ac:dyDescent="0.25">
      <c r="A167">
        <v>134</v>
      </c>
      <c r="B167" s="1" t="s">
        <v>175</v>
      </c>
      <c r="C167" s="1" t="s">
        <v>682</v>
      </c>
      <c r="D167" s="2">
        <v>40827</v>
      </c>
      <c r="E167" s="3">
        <v>43.8</v>
      </c>
      <c r="F167" s="4">
        <f t="shared" si="14"/>
        <v>6421.0171383315947</v>
      </c>
      <c r="G167" s="2">
        <v>40205</v>
      </c>
      <c r="H167" s="7">
        <v>3.38</v>
      </c>
      <c r="I167" s="7">
        <f>H167+H160-2*$A$24</f>
        <v>5.7799999999999994</v>
      </c>
      <c r="J167" s="7">
        <v>2.96</v>
      </c>
      <c r="K167" s="7">
        <v>5.0199999999999996</v>
      </c>
      <c r="L167" s="6">
        <f t="shared" si="15"/>
        <v>0.33217993079584779</v>
      </c>
      <c r="M167" s="6">
        <f t="shared" si="16"/>
        <v>0.57439446366781999</v>
      </c>
      <c r="N167" s="6">
        <f t="shared" si="17"/>
        <v>9.3425605536332279E-2</v>
      </c>
      <c r="O167" s="4">
        <f t="shared" si="18"/>
        <v>2132.9330286499417</v>
      </c>
      <c r="P167" s="4">
        <f t="shared" si="19"/>
        <v>3688.1966953738565</v>
      </c>
      <c r="Q167" s="4">
        <f t="shared" si="20"/>
        <v>5821.1297240237982</v>
      </c>
      <c r="V167" s="3"/>
      <c r="W167" s="3"/>
      <c r="Y167" s="7"/>
      <c r="Z167" s="7"/>
      <c r="AA167" s="7"/>
      <c r="AB167" s="7"/>
      <c r="AC167" s="9"/>
      <c r="AD167" s="9"/>
      <c r="AE167" s="9"/>
      <c r="AF167" s="3"/>
      <c r="AG167" s="3"/>
      <c r="AH167" s="3"/>
      <c r="AL167" s="11"/>
      <c r="AM167" s="3"/>
      <c r="AN167" s="3"/>
      <c r="AO167" s="11"/>
      <c r="AP167" s="7"/>
      <c r="AQ167" s="7"/>
      <c r="AR167" s="7"/>
      <c r="AS167" s="7"/>
      <c r="AT167" s="9"/>
      <c r="AU167" s="9"/>
      <c r="AV167" s="9"/>
      <c r="AW167" s="3"/>
      <c r="AX167" s="3"/>
      <c r="AY167" s="3"/>
    </row>
    <row r="168" spans="1:51" x14ac:dyDescent="0.25">
      <c r="A168">
        <v>135</v>
      </c>
      <c r="B168" s="1" t="s">
        <v>176</v>
      </c>
      <c r="C168" s="1" t="s">
        <v>682</v>
      </c>
      <c r="D168" s="2">
        <v>40827</v>
      </c>
      <c r="E168" s="3">
        <v>40.900000000000006</v>
      </c>
      <c r="F168" s="4">
        <f t="shared" si="14"/>
        <v>5973.828144547696</v>
      </c>
      <c r="G168" s="2">
        <v>40205</v>
      </c>
      <c r="H168" s="7">
        <v>3.26</v>
      </c>
      <c r="I168" s="7">
        <f>H168+H159-2*$A$24</f>
        <v>6.02</v>
      </c>
      <c r="J168" s="7">
        <v>3.04</v>
      </c>
      <c r="K168" s="7">
        <v>5.16</v>
      </c>
      <c r="L168" s="6">
        <f t="shared" si="15"/>
        <v>0.33222591362126247</v>
      </c>
      <c r="M168" s="6">
        <f t="shared" si="16"/>
        <v>0.57475083056478404</v>
      </c>
      <c r="N168" s="6">
        <f t="shared" si="17"/>
        <v>9.3023255813953543E-2</v>
      </c>
      <c r="O168" s="4">
        <f t="shared" si="18"/>
        <v>1984.6605131387694</v>
      </c>
      <c r="P168" s="4">
        <f t="shared" si="19"/>
        <v>3433.4626877300711</v>
      </c>
      <c r="Q168" s="4">
        <f t="shared" si="20"/>
        <v>5418.1232008688403</v>
      </c>
      <c r="V168" s="3"/>
      <c r="W168" s="3"/>
      <c r="Y168" s="7"/>
      <c r="Z168" s="7"/>
      <c r="AA168" s="7"/>
      <c r="AB168" s="7"/>
      <c r="AC168" s="9"/>
      <c r="AD168" s="9"/>
      <c r="AE168" s="9"/>
      <c r="AF168" s="3"/>
      <c r="AG168" s="3"/>
      <c r="AH168" s="3"/>
      <c r="AJ168" t="s">
        <v>788</v>
      </c>
      <c r="AK168" t="s">
        <v>682</v>
      </c>
      <c r="AL168" s="11">
        <f>D156</f>
        <v>40827</v>
      </c>
      <c r="AM168" s="3">
        <f>SUM(E156,E171)</f>
        <v>70.400000000000006</v>
      </c>
      <c r="AN168" s="3">
        <f>(AM168-4*$A$20)*$A$21/(2*$A$22)*$A$23</f>
        <v>5094.8704671103742</v>
      </c>
      <c r="AO168" s="11">
        <f>G156</f>
        <v>40205</v>
      </c>
      <c r="AP168" s="7">
        <f>SUM(H156,H171)</f>
        <v>6.8599999999999994</v>
      </c>
      <c r="AQ168" s="7">
        <f>SUM(I156,I171)</f>
        <v>13.079999999999998</v>
      </c>
      <c r="AR168" s="7">
        <f>SUM(J156,J171)</f>
        <v>6.48</v>
      </c>
      <c r="AS168" s="7">
        <f>SUM(K156,K171)</f>
        <v>10.88</v>
      </c>
      <c r="AT168" s="9">
        <f>(AR168-2*$A$25)/AQ168</f>
        <v>0.33639143730886856</v>
      </c>
      <c r="AU168" s="9">
        <f>(AS168-2*$A$26)/AQ168</f>
        <v>0.57186544342507661</v>
      </c>
      <c r="AV168" s="9">
        <f>1-AT168-AU168</f>
        <v>9.1743119266054829E-2</v>
      </c>
      <c r="AW168" s="3">
        <f>AN168*AT168</f>
        <v>1713.8707993337653</v>
      </c>
      <c r="AX168" s="3">
        <f>AN168*AU168</f>
        <v>2913.5803588674012</v>
      </c>
      <c r="AY168" s="3">
        <f>AW168+AX168</f>
        <v>4627.4511582011664</v>
      </c>
    </row>
    <row r="169" spans="1:51" x14ac:dyDescent="0.25">
      <c r="A169">
        <v>136</v>
      </c>
      <c r="B169" s="1" t="s">
        <v>177</v>
      </c>
      <c r="C169" s="1" t="s">
        <v>682</v>
      </c>
      <c r="D169" s="2">
        <v>40827</v>
      </c>
      <c r="E169" s="3">
        <v>39.5</v>
      </c>
      <c r="F169" s="4">
        <f t="shared" si="14"/>
        <v>5757.9438027209835</v>
      </c>
      <c r="G169" s="2">
        <v>40205</v>
      </c>
      <c r="H169" s="7">
        <v>3.48</v>
      </c>
      <c r="I169" s="7">
        <f>H169+H158-2*$A$24</f>
        <v>6.4399999999999995</v>
      </c>
      <c r="J169" s="7">
        <v>3.18</v>
      </c>
      <c r="K169" s="7">
        <v>5.32</v>
      </c>
      <c r="L169" s="6">
        <f t="shared" si="15"/>
        <v>0.3322981366459628</v>
      </c>
      <c r="M169" s="6">
        <f t="shared" si="16"/>
        <v>0.56211180124223603</v>
      </c>
      <c r="N169" s="6">
        <f t="shared" si="17"/>
        <v>0.10559006211180122</v>
      </c>
      <c r="O169" s="4">
        <f t="shared" si="18"/>
        <v>1913.3539965563521</v>
      </c>
      <c r="P169" s="4">
        <f t="shared" si="19"/>
        <v>3236.6081623990622</v>
      </c>
      <c r="Q169" s="4">
        <f t="shared" si="20"/>
        <v>5149.9621589554145</v>
      </c>
      <c r="V169" s="3"/>
      <c r="W169" s="3"/>
      <c r="Y169" s="7"/>
      <c r="Z169" s="7"/>
      <c r="AA169" s="7"/>
      <c r="AB169" s="7"/>
      <c r="AC169" s="9"/>
      <c r="AD169" s="9"/>
      <c r="AE169" s="9"/>
      <c r="AF169" s="3"/>
      <c r="AG169" s="3"/>
      <c r="AH169" s="3"/>
      <c r="AL169" s="11"/>
      <c r="AM169" s="3"/>
      <c r="AN169" s="3"/>
      <c r="AO169" s="11"/>
      <c r="AP169" s="7"/>
      <c r="AQ169" s="7"/>
      <c r="AR169" s="7"/>
      <c r="AS169" s="7"/>
      <c r="AT169" s="9"/>
      <c r="AU169" s="9"/>
      <c r="AV169" s="9"/>
      <c r="AW169" s="3"/>
      <c r="AX169" s="3"/>
      <c r="AY169" s="3"/>
    </row>
    <row r="170" spans="1:51" x14ac:dyDescent="0.25">
      <c r="A170">
        <v>137</v>
      </c>
      <c r="B170" s="1" t="s">
        <v>178</v>
      </c>
      <c r="C170" s="1" t="s">
        <v>682</v>
      </c>
      <c r="D170" s="2">
        <v>40827</v>
      </c>
      <c r="E170" s="3">
        <v>38.5</v>
      </c>
      <c r="F170" s="4">
        <f t="shared" si="14"/>
        <v>5603.7407014161909</v>
      </c>
      <c r="G170" s="2">
        <v>40205</v>
      </c>
      <c r="H170" s="7">
        <v>2.9</v>
      </c>
      <c r="I170" s="7">
        <f>H170+H157-2*$A$24</f>
        <v>6.3999999999999995</v>
      </c>
      <c r="J170" s="7">
        <v>3.16</v>
      </c>
      <c r="K170" s="7">
        <v>5.4</v>
      </c>
      <c r="L170" s="6">
        <f t="shared" si="15"/>
        <v>0.33125000000000004</v>
      </c>
      <c r="M170" s="6">
        <f t="shared" si="16"/>
        <v>0.57812500000000011</v>
      </c>
      <c r="N170" s="6">
        <f t="shared" si="17"/>
        <v>9.0624999999999845E-2</v>
      </c>
      <c r="O170" s="4">
        <f t="shared" si="18"/>
        <v>1856.2391073441136</v>
      </c>
      <c r="P170" s="4">
        <f t="shared" si="19"/>
        <v>3239.662593006236</v>
      </c>
      <c r="Q170" s="4">
        <f t="shared" si="20"/>
        <v>5095.9017003503495</v>
      </c>
      <c r="V170" s="3"/>
      <c r="W170" s="3"/>
      <c r="Y170" s="7"/>
      <c r="Z170" s="7"/>
      <c r="AA170" s="7"/>
      <c r="AB170" s="7"/>
      <c r="AC170" s="9"/>
      <c r="AD170" s="9"/>
      <c r="AE170" s="9"/>
      <c r="AF170" s="3"/>
      <c r="AG170" s="3"/>
      <c r="AH170" s="3"/>
      <c r="AJ170" t="s">
        <v>789</v>
      </c>
      <c r="AK170" t="s">
        <v>682</v>
      </c>
      <c r="AL170" s="11">
        <f>D155</f>
        <v>40827</v>
      </c>
      <c r="AM170" s="3">
        <f>SUM(E155,E172)</f>
        <v>69.8</v>
      </c>
      <c r="AN170" s="3">
        <f>(AM170-4*$A$20)*$A$21/(2*$A$22)*$A$23</f>
        <v>5048.6095367189346</v>
      </c>
      <c r="AO170" s="11">
        <f>G155</f>
        <v>40205</v>
      </c>
      <c r="AP170" s="7">
        <f>SUM(H155,H172)</f>
        <v>6.6999999999999993</v>
      </c>
      <c r="AQ170" s="7">
        <f>SUM(I155,I172)</f>
        <v>12.759999999999998</v>
      </c>
      <c r="AR170" s="7">
        <f>SUM(J155,J172)</f>
        <v>6.32</v>
      </c>
      <c r="AS170" s="7">
        <f>SUM(K155,K172)</f>
        <v>10.64</v>
      </c>
      <c r="AT170" s="9">
        <f>(AR170-2*$A$25)/AQ170</f>
        <v>0.33228840125391856</v>
      </c>
      <c r="AU170" s="9">
        <f>(AS170-2*$A$26)/AQ170</f>
        <v>0.56739811912225713</v>
      </c>
      <c r="AV170" s="9">
        <f>1-AT170-AU170</f>
        <v>0.10031347962382431</v>
      </c>
      <c r="AW170" s="3">
        <f>AN170*AT170</f>
        <v>1677.5943915116213</v>
      </c>
      <c r="AX170" s="3">
        <f>AN170*AU170</f>
        <v>2864.5715553170135</v>
      </c>
      <c r="AY170" s="3">
        <f>AW170+AX170</f>
        <v>4542.1659468286343</v>
      </c>
    </row>
    <row r="171" spans="1:51" x14ac:dyDescent="0.25">
      <c r="A171">
        <v>138</v>
      </c>
      <c r="B171" s="1" t="s">
        <v>179</v>
      </c>
      <c r="C171" s="1" t="s">
        <v>682</v>
      </c>
      <c r="D171" s="2">
        <v>40827</v>
      </c>
      <c r="E171" s="3">
        <v>36.700000000000003</v>
      </c>
      <c r="F171" s="4">
        <f t="shared" si="14"/>
        <v>5326.1751190675632</v>
      </c>
      <c r="G171" s="2">
        <v>40205</v>
      </c>
      <c r="H171" s="7">
        <v>3.3</v>
      </c>
      <c r="I171" s="7">
        <f>H171+H156-2*$A$24</f>
        <v>6.5399999999999991</v>
      </c>
      <c r="J171" s="7">
        <v>3.24</v>
      </c>
      <c r="K171" s="7">
        <v>5.44</v>
      </c>
      <c r="L171" s="6">
        <f t="shared" si="15"/>
        <v>0.33639143730886856</v>
      </c>
      <c r="M171" s="6">
        <f t="shared" si="16"/>
        <v>0.57186544342507661</v>
      </c>
      <c r="N171" s="6">
        <f t="shared" si="17"/>
        <v>9.1743119266054829E-2</v>
      </c>
      <c r="O171" s="4">
        <f t="shared" si="18"/>
        <v>1791.6797036618716</v>
      </c>
      <c r="P171" s="4">
        <f t="shared" si="19"/>
        <v>3045.8554962251824</v>
      </c>
      <c r="Q171" s="4">
        <f t="shared" si="20"/>
        <v>4837.5351998870537</v>
      </c>
      <c r="V171" s="3"/>
      <c r="W171" s="3"/>
      <c r="Y171" s="7"/>
      <c r="Z171" s="7"/>
      <c r="AA171" s="7"/>
      <c r="AB171" s="7"/>
      <c r="AC171" s="9"/>
      <c r="AD171" s="9"/>
      <c r="AE171" s="9"/>
      <c r="AF171" s="3"/>
      <c r="AG171" s="3"/>
      <c r="AH171" s="3"/>
      <c r="AL171" s="11"/>
      <c r="AM171" s="3"/>
      <c r="AN171" s="3"/>
      <c r="AO171" s="11"/>
      <c r="AP171" s="7"/>
      <c r="AQ171" s="7"/>
      <c r="AR171" s="7"/>
      <c r="AS171" s="7"/>
      <c r="AT171" s="9"/>
      <c r="AU171" s="9"/>
      <c r="AV171" s="9"/>
      <c r="AW171" s="3"/>
      <c r="AX171" s="3"/>
      <c r="AY171" s="3"/>
    </row>
    <row r="172" spans="1:51" x14ac:dyDescent="0.25">
      <c r="A172">
        <v>139</v>
      </c>
      <c r="B172" s="1" t="s">
        <v>180</v>
      </c>
      <c r="C172" s="1" t="s">
        <v>682</v>
      </c>
      <c r="D172" s="2">
        <v>40827</v>
      </c>
      <c r="E172" s="3">
        <v>34.799999999999997</v>
      </c>
      <c r="F172" s="4">
        <f t="shared" si="14"/>
        <v>5033.1892265884544</v>
      </c>
      <c r="G172" s="2">
        <v>40205</v>
      </c>
      <c r="H172" s="7">
        <v>3.36</v>
      </c>
      <c r="I172" s="7">
        <f>H172+H155-2*$A$24</f>
        <v>6.379999999999999</v>
      </c>
      <c r="J172" s="7">
        <v>3.16</v>
      </c>
      <c r="K172" s="7">
        <v>5.32</v>
      </c>
      <c r="L172" s="6">
        <f t="shared" si="15"/>
        <v>0.33228840125391856</v>
      </c>
      <c r="M172" s="6">
        <f t="shared" si="16"/>
        <v>0.56739811912225713</v>
      </c>
      <c r="N172" s="6">
        <f t="shared" si="17"/>
        <v>0.10031347962382431</v>
      </c>
      <c r="O172" s="4">
        <f t="shared" si="18"/>
        <v>1672.4704013115245</v>
      </c>
      <c r="P172" s="4">
        <f t="shared" si="19"/>
        <v>2855.8221003526969</v>
      </c>
      <c r="Q172" s="4">
        <f t="shared" si="20"/>
        <v>4528.2925016642212</v>
      </c>
      <c r="V172" s="3"/>
      <c r="W172" s="3"/>
      <c r="Y172" s="7"/>
      <c r="Z172" s="7"/>
      <c r="AA172" s="7"/>
      <c r="AB172" s="7"/>
      <c r="AC172" s="9"/>
      <c r="AD172" s="9"/>
      <c r="AE172" s="9"/>
      <c r="AF172" s="3"/>
      <c r="AG172" s="3"/>
      <c r="AH172" s="3"/>
      <c r="AJ172" t="s">
        <v>790</v>
      </c>
      <c r="AK172" t="s">
        <v>682</v>
      </c>
      <c r="AL172" s="11">
        <f>D154</f>
        <v>40827</v>
      </c>
      <c r="AM172" s="3">
        <f>SUM(E154,E173)</f>
        <v>55.4</v>
      </c>
      <c r="AN172" s="3">
        <f>(AM172-4*$A$20)*$A$21/(2*$A$22)*$A$23</f>
        <v>3938.3472073244225</v>
      </c>
      <c r="AO172" s="11">
        <f>G154</f>
        <v>40205</v>
      </c>
      <c r="AP172" s="7">
        <f>SUM(H154,H173)</f>
        <v>5.82</v>
      </c>
      <c r="AQ172" s="7">
        <f>SUM(I154,I173)</f>
        <v>11</v>
      </c>
      <c r="AR172" s="7">
        <f>SUM(J154,J173)</f>
        <v>5.72</v>
      </c>
      <c r="AS172" s="7">
        <f>SUM(K154,K173)</f>
        <v>9.8000000000000007</v>
      </c>
      <c r="AT172" s="9">
        <f>(AR172-2*$A$25)/AQ172</f>
        <v>0.33090909090909087</v>
      </c>
      <c r="AU172" s="9">
        <f>(AS172-2*$A$26)/AQ172</f>
        <v>0.5818181818181819</v>
      </c>
      <c r="AV172" s="9">
        <f>1-AT172-AU172</f>
        <v>8.727272727272728E-2</v>
      </c>
      <c r="AW172" s="3">
        <f>AN172*AT172</f>
        <v>1303.2348940600814</v>
      </c>
      <c r="AX172" s="3">
        <f>AN172*AU172</f>
        <v>2291.4020115342096</v>
      </c>
      <c r="AY172" s="3">
        <f>AW172+AX172</f>
        <v>3594.636905594291</v>
      </c>
    </row>
    <row r="173" spans="1:51" x14ac:dyDescent="0.25">
      <c r="A173">
        <v>140</v>
      </c>
      <c r="B173" s="1" t="s">
        <v>181</v>
      </c>
      <c r="C173" s="1" t="s">
        <v>682</v>
      </c>
      <c r="D173" s="2">
        <v>40827</v>
      </c>
      <c r="E173" s="3">
        <v>28.4</v>
      </c>
      <c r="F173" s="4">
        <f t="shared" si="14"/>
        <v>4046.2893782377773</v>
      </c>
      <c r="G173" s="2">
        <v>40205</v>
      </c>
      <c r="H173" s="7">
        <v>3.06</v>
      </c>
      <c r="I173" s="7">
        <f>H173+H154-2*$A$24</f>
        <v>5.5</v>
      </c>
      <c r="J173" s="7">
        <v>2.86</v>
      </c>
      <c r="K173" s="7">
        <v>4.9000000000000004</v>
      </c>
      <c r="L173" s="6">
        <f t="shared" si="15"/>
        <v>0.33090909090909087</v>
      </c>
      <c r="M173" s="6">
        <f t="shared" si="16"/>
        <v>0.5818181818181819</v>
      </c>
      <c r="N173" s="6">
        <f t="shared" si="17"/>
        <v>8.727272727272728E-2</v>
      </c>
      <c r="O173" s="4">
        <f t="shared" si="18"/>
        <v>1338.9539397077735</v>
      </c>
      <c r="P173" s="4">
        <f t="shared" si="19"/>
        <v>2354.2047291565254</v>
      </c>
      <c r="Q173" s="4">
        <f t="shared" si="20"/>
        <v>3693.1586688642992</v>
      </c>
      <c r="V173" s="3"/>
      <c r="W173" s="3"/>
      <c r="Y173" s="7"/>
      <c r="Z173" s="7"/>
      <c r="AA173" s="7"/>
      <c r="AB173" s="7"/>
      <c r="AC173" s="9"/>
      <c r="AD173" s="9"/>
      <c r="AE173" s="9"/>
      <c r="AF173" s="3"/>
      <c r="AG173" s="3"/>
      <c r="AH173" s="3"/>
      <c r="AL173" s="11"/>
      <c r="AM173" s="3"/>
      <c r="AN173" s="3"/>
      <c r="AO173" s="11"/>
      <c r="AP173" s="7"/>
      <c r="AQ173" s="7"/>
      <c r="AR173" s="7"/>
      <c r="AS173" s="7"/>
      <c r="AT173" s="9"/>
      <c r="AU173" s="9"/>
      <c r="AV173" s="9"/>
      <c r="AW173" s="3"/>
      <c r="AX173" s="3"/>
      <c r="AY173" s="3"/>
    </row>
    <row r="174" spans="1:51" x14ac:dyDescent="0.25">
      <c r="A174">
        <v>141</v>
      </c>
      <c r="B174" s="1" t="s">
        <v>182</v>
      </c>
      <c r="C174" s="1" t="s">
        <v>682</v>
      </c>
      <c r="D174" s="2">
        <v>40827</v>
      </c>
      <c r="E174" s="3">
        <v>25.7</v>
      </c>
      <c r="F174" s="4">
        <f t="shared" si="14"/>
        <v>3629.9410047148358</v>
      </c>
      <c r="G174" s="2">
        <v>40205</v>
      </c>
      <c r="H174" s="7">
        <v>2.9</v>
      </c>
      <c r="I174" s="7">
        <f>H174+H193-2*$A$24</f>
        <v>6</v>
      </c>
      <c r="J174" s="7">
        <v>2.96</v>
      </c>
      <c r="K174" s="7">
        <v>5.24</v>
      </c>
      <c r="L174" s="6">
        <f t="shared" si="15"/>
        <v>0.32</v>
      </c>
      <c r="M174" s="6">
        <f t="shared" si="16"/>
        <v>0.59</v>
      </c>
      <c r="N174" s="6">
        <f t="shared" si="17"/>
        <v>8.9999999999999969E-2</v>
      </c>
      <c r="O174" s="4">
        <f t="shared" si="18"/>
        <v>1161.5811215087474</v>
      </c>
      <c r="P174" s="4">
        <f t="shared" si="19"/>
        <v>2141.6651927817529</v>
      </c>
      <c r="Q174" s="4">
        <f t="shared" si="20"/>
        <v>3303.2463142905003</v>
      </c>
      <c r="V174" s="3"/>
      <c r="W174" s="3"/>
      <c r="Y174" s="7"/>
      <c r="Z174" s="7"/>
      <c r="AA174" s="7"/>
      <c r="AB174" s="7"/>
      <c r="AC174" s="9"/>
      <c r="AD174" s="9"/>
      <c r="AE174" s="9"/>
      <c r="AF174" s="3"/>
      <c r="AG174" s="3"/>
      <c r="AH174" s="3"/>
      <c r="AJ174" t="s">
        <v>791</v>
      </c>
      <c r="AK174" t="s">
        <v>682</v>
      </c>
      <c r="AL174" s="11">
        <f>D183</f>
        <v>40827</v>
      </c>
      <c r="AM174" s="3">
        <f>SUM(E183,E184)</f>
        <v>62.8</v>
      </c>
      <c r="AN174" s="3">
        <f>(AM174-4*$A$20)*$A$21/(2*$A$22)*$A$23</f>
        <v>4508.8986821521576</v>
      </c>
      <c r="AO174" s="11">
        <f>G183</f>
        <v>40205</v>
      </c>
      <c r="AP174" s="7">
        <f>SUM(H183,H184)</f>
        <v>6.02</v>
      </c>
      <c r="AQ174" s="7">
        <f>SUM(I183,I184)</f>
        <v>11.399999999999999</v>
      </c>
      <c r="AR174" s="7">
        <f>SUM(J183,J184)</f>
        <v>5.72</v>
      </c>
      <c r="AS174" s="7">
        <f>SUM(K183,K184)</f>
        <v>9.92</v>
      </c>
      <c r="AT174" s="9">
        <f>(AR174-2*$A$25)/AQ174</f>
        <v>0.31929824561403508</v>
      </c>
      <c r="AU174" s="9">
        <f>(AS174-2*$A$26)/AQ174</f>
        <v>0.57192982456140351</v>
      </c>
      <c r="AV174" s="9">
        <f>1-AT174-AU174</f>
        <v>0.10877192982456141</v>
      </c>
      <c r="AW174" s="3">
        <f>AN174*AT174</f>
        <v>1439.6834388626187</v>
      </c>
      <c r="AX174" s="3">
        <f>AN174*AU174</f>
        <v>2578.773632248427</v>
      </c>
      <c r="AY174" s="3">
        <f>AW174+AX174</f>
        <v>4018.4570711110455</v>
      </c>
    </row>
    <row r="175" spans="1:51" x14ac:dyDescent="0.25">
      <c r="A175">
        <v>142</v>
      </c>
      <c r="B175" s="1" t="s">
        <v>183</v>
      </c>
      <c r="C175" s="1" t="s">
        <v>682</v>
      </c>
      <c r="D175" s="2">
        <v>40827</v>
      </c>
      <c r="E175" s="3">
        <v>30.700000000000003</v>
      </c>
      <c r="F175" s="4">
        <f t="shared" si="14"/>
        <v>4400.9565112388036</v>
      </c>
      <c r="G175" s="2">
        <v>40205</v>
      </c>
      <c r="H175" s="7">
        <v>3.24</v>
      </c>
      <c r="I175" s="7">
        <f>H175+H192-2*$A$24</f>
        <v>5.74</v>
      </c>
      <c r="J175" s="7">
        <v>2.92</v>
      </c>
      <c r="K175" s="7">
        <v>5.0199999999999996</v>
      </c>
      <c r="L175" s="6">
        <f t="shared" si="15"/>
        <v>0.32752613240418116</v>
      </c>
      <c r="M175" s="6">
        <f t="shared" si="16"/>
        <v>0.57839721254355392</v>
      </c>
      <c r="N175" s="6">
        <f t="shared" si="17"/>
        <v>9.4076655052264924E-2</v>
      </c>
      <c r="O175" s="4">
        <f t="shared" si="18"/>
        <v>1441.4282650050436</v>
      </c>
      <c r="P175" s="4">
        <f t="shared" si="19"/>
        <v>2545.5009786259279</v>
      </c>
      <c r="Q175" s="4">
        <f t="shared" si="20"/>
        <v>3986.9292436309715</v>
      </c>
      <c r="V175" s="3"/>
      <c r="W175" s="3"/>
      <c r="Y175" s="7"/>
      <c r="Z175" s="7"/>
      <c r="AA175" s="7"/>
      <c r="AB175" s="7"/>
      <c r="AC175" s="9"/>
      <c r="AD175" s="9"/>
      <c r="AE175" s="9"/>
      <c r="AF175" s="3"/>
      <c r="AG175" s="3"/>
      <c r="AH175" s="3"/>
      <c r="AL175" s="11"/>
      <c r="AM175" s="3"/>
      <c r="AN175" s="3"/>
      <c r="AO175" s="11"/>
      <c r="AP175" s="7"/>
      <c r="AQ175" s="7"/>
      <c r="AR175" s="7"/>
      <c r="AS175" s="7"/>
      <c r="AT175" s="9"/>
      <c r="AU175" s="9"/>
      <c r="AV175" s="9"/>
      <c r="AW175" s="3"/>
      <c r="AX175" s="3"/>
      <c r="AY175" s="3"/>
    </row>
    <row r="176" spans="1:51" x14ac:dyDescent="0.25">
      <c r="A176">
        <v>143</v>
      </c>
      <c r="B176" s="1" t="s">
        <v>184</v>
      </c>
      <c r="C176" s="1" t="s">
        <v>682</v>
      </c>
      <c r="D176" s="2">
        <v>40827</v>
      </c>
      <c r="E176" s="3">
        <v>33.700000000000003</v>
      </c>
      <c r="F176" s="4">
        <f t="shared" si="14"/>
        <v>4863.5658151531834</v>
      </c>
      <c r="G176" s="2">
        <v>40205</v>
      </c>
      <c r="H176" s="7">
        <v>2.52</v>
      </c>
      <c r="I176" s="7">
        <f>H176+H191-2*$A$24</f>
        <v>5.4</v>
      </c>
      <c r="J176" s="7">
        <v>2.76</v>
      </c>
      <c r="K176" s="7">
        <v>4.84</v>
      </c>
      <c r="L176" s="6">
        <f t="shared" si="15"/>
        <v>0.31851851851851848</v>
      </c>
      <c r="M176" s="6">
        <f t="shared" si="16"/>
        <v>0.58148148148148138</v>
      </c>
      <c r="N176" s="6">
        <f t="shared" si="17"/>
        <v>0.1000000000000002</v>
      </c>
      <c r="O176" s="4">
        <f t="shared" si="18"/>
        <v>1549.1357781599027</v>
      </c>
      <c r="P176" s="4">
        <f t="shared" si="19"/>
        <v>2828.0734554779615</v>
      </c>
      <c r="Q176" s="4">
        <f t="shared" si="20"/>
        <v>4377.2092336378646</v>
      </c>
      <c r="V176" s="3"/>
      <c r="W176" s="3"/>
      <c r="Y176" s="7"/>
      <c r="Z176" s="7"/>
      <c r="AA176" s="7"/>
      <c r="AB176" s="7"/>
      <c r="AC176" s="9"/>
      <c r="AD176" s="9"/>
      <c r="AE176" s="9"/>
      <c r="AF176" s="3"/>
      <c r="AG176" s="3"/>
      <c r="AH176" s="3"/>
      <c r="AJ176" t="s">
        <v>792</v>
      </c>
      <c r="AK176" t="s">
        <v>682</v>
      </c>
      <c r="AL176" s="11">
        <f>D182</f>
        <v>40827</v>
      </c>
      <c r="AM176" s="3">
        <f>SUM(E182,E185)</f>
        <v>71.800000000000011</v>
      </c>
      <c r="AN176" s="3">
        <f>(AM176-4*$A$20)*$A$21/(2*$A$22)*$A$23</f>
        <v>5202.8126380237291</v>
      </c>
      <c r="AO176" s="11">
        <f>G182</f>
        <v>40205</v>
      </c>
      <c r="AP176" s="7">
        <f>SUM(H182,H185)</f>
        <v>5.9</v>
      </c>
      <c r="AQ176" s="7">
        <f>SUM(I182,I185)</f>
        <v>11.16</v>
      </c>
      <c r="AR176" s="7">
        <f>SUM(J182,J185)</f>
        <v>5.72</v>
      </c>
      <c r="AS176" s="7">
        <f>SUM(K182,K185)</f>
        <v>9.8000000000000007</v>
      </c>
      <c r="AT176" s="9">
        <f>(AR176-2*$A$25)/AQ176</f>
        <v>0.3261648745519713</v>
      </c>
      <c r="AU176" s="9">
        <f>(AS176-2*$A$26)/AQ176</f>
        <v>0.57347670250896055</v>
      </c>
      <c r="AV176" s="9">
        <f>1-AT176-AU176</f>
        <v>0.10035842293906816</v>
      </c>
      <c r="AW176" s="3">
        <f>AN176*AT176</f>
        <v>1696.9747313984203</v>
      </c>
      <c r="AX176" s="3">
        <f>AN176*AU176</f>
        <v>2983.6918354257941</v>
      </c>
      <c r="AY176" s="3">
        <f>AW176+AX176</f>
        <v>4680.6665668242149</v>
      </c>
    </row>
    <row r="177" spans="1:51" x14ac:dyDescent="0.25">
      <c r="A177">
        <v>144</v>
      </c>
      <c r="B177" s="1" t="s">
        <v>185</v>
      </c>
      <c r="C177" s="1" t="s">
        <v>682</v>
      </c>
      <c r="D177" s="2">
        <v>40827</v>
      </c>
      <c r="E177" s="3">
        <v>38.1</v>
      </c>
      <c r="F177" s="4">
        <f t="shared" si="14"/>
        <v>5542.0594608942729</v>
      </c>
      <c r="G177" s="2">
        <v>40205</v>
      </c>
      <c r="H177" s="7">
        <v>3.28</v>
      </c>
      <c r="I177" s="7">
        <f>H177+H190-2*$A$24</f>
        <v>6.2999999999999989</v>
      </c>
      <c r="J177" s="7">
        <v>3.14</v>
      </c>
      <c r="K177" s="7">
        <v>5.3</v>
      </c>
      <c r="L177" s="6">
        <f t="shared" si="15"/>
        <v>0.33333333333333343</v>
      </c>
      <c r="M177" s="6">
        <f t="shared" si="16"/>
        <v>0.57142857142857151</v>
      </c>
      <c r="N177" s="6">
        <f t="shared" si="17"/>
        <v>9.5238095238095011E-2</v>
      </c>
      <c r="O177" s="4">
        <f t="shared" si="18"/>
        <v>1847.3531536314249</v>
      </c>
      <c r="P177" s="4">
        <f t="shared" si="19"/>
        <v>3166.8911205110135</v>
      </c>
      <c r="Q177" s="4">
        <f t="shared" si="20"/>
        <v>5014.2442741424384</v>
      </c>
      <c r="V177" s="3"/>
      <c r="W177" s="3"/>
      <c r="Y177" s="7"/>
      <c r="Z177" s="7"/>
      <c r="AA177" s="7"/>
      <c r="AB177" s="7"/>
      <c r="AC177" s="9"/>
      <c r="AD177" s="9"/>
      <c r="AE177" s="9"/>
      <c r="AF177" s="3"/>
      <c r="AG177" s="3"/>
      <c r="AH177" s="3"/>
      <c r="AL177" s="11"/>
      <c r="AM177" s="3"/>
      <c r="AN177" s="3"/>
      <c r="AO177" s="11"/>
      <c r="AP177" s="7"/>
      <c r="AQ177" s="7"/>
      <c r="AR177" s="7"/>
      <c r="AS177" s="7"/>
      <c r="AT177" s="9"/>
      <c r="AU177" s="9"/>
      <c r="AV177" s="9"/>
      <c r="AW177" s="3"/>
      <c r="AX177" s="3"/>
      <c r="AY177" s="3"/>
    </row>
    <row r="178" spans="1:51" x14ac:dyDescent="0.25">
      <c r="A178">
        <v>145</v>
      </c>
      <c r="B178" s="1" t="s">
        <v>186</v>
      </c>
      <c r="C178" s="1" t="s">
        <v>682</v>
      </c>
      <c r="D178" s="2">
        <v>40827</v>
      </c>
      <c r="E178" s="3">
        <v>36.4</v>
      </c>
      <c r="F178" s="4">
        <f t="shared" si="14"/>
        <v>5279.9141886761236</v>
      </c>
      <c r="G178" s="2">
        <v>40205</v>
      </c>
      <c r="H178" s="7">
        <v>3.1</v>
      </c>
      <c r="I178" s="7">
        <f>H178+H189-2*$A$24</f>
        <v>5.92</v>
      </c>
      <c r="J178" s="7">
        <v>3.02</v>
      </c>
      <c r="K178" s="7">
        <v>5.12</v>
      </c>
      <c r="L178" s="6">
        <f t="shared" si="15"/>
        <v>0.33445945945945948</v>
      </c>
      <c r="M178" s="6">
        <f t="shared" si="16"/>
        <v>0.57770270270270274</v>
      </c>
      <c r="N178" s="6">
        <f t="shared" si="17"/>
        <v>8.7837837837837829E-2</v>
      </c>
      <c r="O178" s="4">
        <f t="shared" si="18"/>
        <v>1765.9172455369469</v>
      </c>
      <c r="P178" s="4">
        <f t="shared" si="19"/>
        <v>3050.2206968365444</v>
      </c>
      <c r="Q178" s="4">
        <f t="shared" si="20"/>
        <v>4816.1379423734916</v>
      </c>
      <c r="V178" s="3"/>
      <c r="W178" s="3"/>
      <c r="Y178" s="7"/>
      <c r="Z178" s="7"/>
      <c r="AA178" s="7"/>
      <c r="AB178" s="7"/>
      <c r="AC178" s="9"/>
      <c r="AD178" s="9"/>
      <c r="AE178" s="9"/>
      <c r="AF178" s="3"/>
      <c r="AG178" s="3"/>
      <c r="AH178" s="3"/>
      <c r="AJ178" t="s">
        <v>793</v>
      </c>
      <c r="AK178" t="s">
        <v>682</v>
      </c>
      <c r="AL178" s="11">
        <f>D181</f>
        <v>40827</v>
      </c>
      <c r="AM178" s="3">
        <f>SUM(E181,E186)</f>
        <v>74.199999999999989</v>
      </c>
      <c r="AN178" s="3">
        <f>(AM178-4*$A$20)*$A$21/(2*$A$22)*$A$23</f>
        <v>5387.8563595894802</v>
      </c>
      <c r="AO178" s="11">
        <f>G181</f>
        <v>40205</v>
      </c>
      <c r="AP178" s="7">
        <f>SUM(H181,H186)</f>
        <v>5.92</v>
      </c>
      <c r="AQ178" s="7">
        <f>SUM(I181,I186)</f>
        <v>11.2</v>
      </c>
      <c r="AR178" s="7">
        <f>SUM(J181,J186)</f>
        <v>5.8</v>
      </c>
      <c r="AS178" s="7">
        <f>SUM(K181,K186)</f>
        <v>9.68</v>
      </c>
      <c r="AT178" s="9">
        <f>(AR178-2*$A$25)/AQ178</f>
        <v>0.33214285714285713</v>
      </c>
      <c r="AU178" s="9">
        <f>(AS178-2*$A$26)/AQ178</f>
        <v>0.56071428571428572</v>
      </c>
      <c r="AV178" s="9">
        <f>1-AT178-AU178</f>
        <v>0.10714285714285721</v>
      </c>
      <c r="AW178" s="3">
        <f>AN178*AT178</f>
        <v>1789.538005149363</v>
      </c>
      <c r="AX178" s="3">
        <f>AN178*AU178</f>
        <v>3021.0480301983871</v>
      </c>
      <c r="AY178" s="3">
        <f>AW178+AX178</f>
        <v>4810.5860353477501</v>
      </c>
    </row>
    <row r="179" spans="1:51" x14ac:dyDescent="0.25">
      <c r="A179">
        <v>146</v>
      </c>
      <c r="B179" s="1" t="s">
        <v>187</v>
      </c>
      <c r="C179" s="1" t="s">
        <v>682</v>
      </c>
      <c r="D179" s="2">
        <v>40827</v>
      </c>
      <c r="E179" s="3">
        <v>42.2</v>
      </c>
      <c r="F179" s="4">
        <f t="shared" si="14"/>
        <v>6174.2921762439264</v>
      </c>
      <c r="G179" s="2">
        <v>40205</v>
      </c>
      <c r="H179" s="7">
        <v>2.94</v>
      </c>
      <c r="I179" s="7">
        <f>H179+H188-2*$A$24</f>
        <v>5.72</v>
      </c>
      <c r="J179" s="7">
        <v>2.96</v>
      </c>
      <c r="K179" s="7">
        <v>4.9400000000000004</v>
      </c>
      <c r="L179" s="6">
        <f t="shared" si="15"/>
        <v>0.33566433566433568</v>
      </c>
      <c r="M179" s="6">
        <f t="shared" si="16"/>
        <v>0.56643356643356646</v>
      </c>
      <c r="N179" s="6">
        <f t="shared" si="17"/>
        <v>9.7902097902097918E-2</v>
      </c>
      <c r="O179" s="4">
        <f t="shared" si="18"/>
        <v>2072.4896815364227</v>
      </c>
      <c r="P179" s="4">
        <f t="shared" si="19"/>
        <v>3497.3263375927136</v>
      </c>
      <c r="Q179" s="4">
        <f t="shared" si="20"/>
        <v>5569.8160191291363</v>
      </c>
      <c r="V179" s="3"/>
      <c r="W179" s="3"/>
      <c r="Y179" s="7"/>
      <c r="Z179" s="7"/>
      <c r="AA179" s="7"/>
      <c r="AB179" s="7"/>
      <c r="AC179" s="9"/>
      <c r="AD179" s="9"/>
      <c r="AE179" s="9"/>
      <c r="AF179" s="3"/>
      <c r="AG179" s="3"/>
      <c r="AH179" s="3"/>
      <c r="AL179" s="11"/>
      <c r="AM179" s="3"/>
      <c r="AN179" s="3"/>
      <c r="AO179" s="11"/>
      <c r="AP179" s="7"/>
      <c r="AQ179" s="7"/>
      <c r="AR179" s="7"/>
      <c r="AS179" s="7"/>
      <c r="AT179" s="9"/>
      <c r="AU179" s="9"/>
      <c r="AV179" s="9"/>
      <c r="AW179" s="3"/>
      <c r="AX179" s="3"/>
      <c r="AY179" s="3"/>
    </row>
    <row r="180" spans="1:51" x14ac:dyDescent="0.25">
      <c r="A180">
        <v>147</v>
      </c>
      <c r="B180" s="1" t="s">
        <v>188</v>
      </c>
      <c r="C180" s="1" t="s">
        <v>682</v>
      </c>
      <c r="D180" s="2">
        <v>40827</v>
      </c>
      <c r="E180" s="3">
        <v>42.5</v>
      </c>
      <c r="F180" s="4">
        <f t="shared" si="14"/>
        <v>6220.5531066353651</v>
      </c>
      <c r="G180" s="2">
        <v>40205</v>
      </c>
      <c r="H180" s="7">
        <v>3.14</v>
      </c>
      <c r="I180" s="7">
        <f>H180+H187-2*$A$24</f>
        <v>5.7799999999999994</v>
      </c>
      <c r="J180" s="7">
        <v>2.92</v>
      </c>
      <c r="K180" s="7">
        <v>5</v>
      </c>
      <c r="L180" s="6">
        <f t="shared" si="15"/>
        <v>0.3252595155709343</v>
      </c>
      <c r="M180" s="6">
        <f t="shared" si="16"/>
        <v>0.57093425605536341</v>
      </c>
      <c r="N180" s="6">
        <f t="shared" si="17"/>
        <v>0.10380622837370224</v>
      </c>
      <c r="O180" s="4">
        <f t="shared" si="18"/>
        <v>2023.2940900474894</v>
      </c>
      <c r="P180" s="4">
        <f t="shared" si="19"/>
        <v>3551.5268601897419</v>
      </c>
      <c r="Q180" s="4">
        <f t="shared" si="20"/>
        <v>5574.820950237231</v>
      </c>
      <c r="V180" s="3"/>
      <c r="W180" s="3"/>
      <c r="Y180" s="7"/>
      <c r="Z180" s="7"/>
      <c r="AA180" s="7"/>
      <c r="AB180" s="7"/>
      <c r="AC180" s="9"/>
      <c r="AD180" s="9"/>
      <c r="AE180" s="9"/>
      <c r="AF180" s="3"/>
      <c r="AG180" s="3"/>
      <c r="AH180" s="3"/>
      <c r="AJ180" t="s">
        <v>794</v>
      </c>
      <c r="AK180" t="s">
        <v>682</v>
      </c>
      <c r="AL180" s="11">
        <f>D180</f>
        <v>40827</v>
      </c>
      <c r="AM180" s="3">
        <f>SUM(E180,E187)</f>
        <v>81.7</v>
      </c>
      <c r="AN180" s="3">
        <f>(AM180-4*$A$20)*$A$21/(2*$A$22)*$A$23</f>
        <v>5966.1179894824545</v>
      </c>
      <c r="AO180" s="11">
        <f>G180</f>
        <v>40205</v>
      </c>
      <c r="AP180" s="7">
        <f>SUM(H180,H187)</f>
        <v>6.1</v>
      </c>
      <c r="AQ180" s="7">
        <f>SUM(I180,I187)</f>
        <v>11.559999999999999</v>
      </c>
      <c r="AR180" s="7">
        <f>SUM(J180,J187)</f>
        <v>5.84</v>
      </c>
      <c r="AS180" s="7">
        <f>SUM(K180,K187)</f>
        <v>10</v>
      </c>
      <c r="AT180" s="9">
        <f>(AR180-2*$A$25)/AQ180</f>
        <v>0.3252595155709343</v>
      </c>
      <c r="AU180" s="9">
        <f>(AS180-2*$A$26)/AQ180</f>
        <v>0.57093425605536341</v>
      </c>
      <c r="AV180" s="9">
        <f>1-AT180-AU180</f>
        <v>0.10380622837370224</v>
      </c>
      <c r="AW180" s="3">
        <f>AN180*AT180</f>
        <v>1940.5366470980996</v>
      </c>
      <c r="AX180" s="3">
        <f>AN180*AU180</f>
        <v>3406.2611358636855</v>
      </c>
      <c r="AY180" s="3">
        <f>AW180+AX180</f>
        <v>5346.7977829617848</v>
      </c>
    </row>
    <row r="181" spans="1:51" x14ac:dyDescent="0.25">
      <c r="A181">
        <v>148</v>
      </c>
      <c r="B181" s="1" t="s">
        <v>189</v>
      </c>
      <c r="C181" s="1" t="s">
        <v>682</v>
      </c>
      <c r="D181" s="2">
        <v>40827</v>
      </c>
      <c r="E181" s="3">
        <v>37.1</v>
      </c>
      <c r="F181" s="4">
        <f t="shared" si="14"/>
        <v>5387.8563595894802</v>
      </c>
      <c r="G181" s="2">
        <v>40205</v>
      </c>
      <c r="H181" s="7">
        <v>3.34</v>
      </c>
      <c r="I181" s="7">
        <f>H181+H186-2*$A$24</f>
        <v>5.6</v>
      </c>
      <c r="J181" s="7">
        <v>2.9</v>
      </c>
      <c r="K181" s="7">
        <v>4.84</v>
      </c>
      <c r="L181" s="6">
        <f t="shared" si="15"/>
        <v>0.33214285714285713</v>
      </c>
      <c r="M181" s="6">
        <f t="shared" si="16"/>
        <v>0.56071428571428572</v>
      </c>
      <c r="N181" s="6">
        <f t="shared" si="17"/>
        <v>0.10714285714285721</v>
      </c>
      <c r="O181" s="4">
        <f t="shared" si="18"/>
        <v>1789.538005149363</v>
      </c>
      <c r="P181" s="4">
        <f t="shared" si="19"/>
        <v>3021.0480301983871</v>
      </c>
      <c r="Q181" s="4">
        <f t="shared" si="20"/>
        <v>4810.5860353477501</v>
      </c>
      <c r="V181" s="3"/>
      <c r="W181" s="3"/>
      <c r="Y181" s="7"/>
      <c r="Z181" s="7"/>
      <c r="AA181" s="7"/>
      <c r="AB181" s="7"/>
      <c r="AC181" s="9"/>
      <c r="AD181" s="9"/>
      <c r="AE181" s="9"/>
      <c r="AF181" s="3"/>
      <c r="AG181" s="3"/>
      <c r="AH181" s="3"/>
      <c r="AL181" s="11"/>
      <c r="AM181" s="3"/>
      <c r="AN181" s="3"/>
      <c r="AO181" s="11"/>
      <c r="AP181" s="7"/>
      <c r="AQ181" s="7"/>
      <c r="AR181" s="7"/>
      <c r="AS181" s="7"/>
      <c r="AT181" s="9"/>
      <c r="AU181" s="9"/>
      <c r="AV181" s="9"/>
      <c r="AW181" s="3"/>
      <c r="AX181" s="3"/>
      <c r="AY181" s="3"/>
    </row>
    <row r="182" spans="1:51" x14ac:dyDescent="0.25">
      <c r="A182">
        <v>149</v>
      </c>
      <c r="B182" s="1" t="s">
        <v>190</v>
      </c>
      <c r="C182" s="1" t="s">
        <v>682</v>
      </c>
      <c r="D182" s="2">
        <v>40827</v>
      </c>
      <c r="E182" s="3">
        <v>37.4</v>
      </c>
      <c r="F182" s="4">
        <f t="shared" si="14"/>
        <v>5434.117289980918</v>
      </c>
      <c r="G182" s="2">
        <v>40205</v>
      </c>
      <c r="H182" s="7">
        <v>3.1</v>
      </c>
      <c r="I182" s="7">
        <f>H182+H185-2*$A$24</f>
        <v>5.58</v>
      </c>
      <c r="J182" s="7">
        <v>2.86</v>
      </c>
      <c r="K182" s="7">
        <v>4.9000000000000004</v>
      </c>
      <c r="L182" s="6">
        <f t="shared" si="15"/>
        <v>0.3261648745519713</v>
      </c>
      <c r="M182" s="6">
        <f t="shared" si="16"/>
        <v>0.57347670250896055</v>
      </c>
      <c r="N182" s="6">
        <f t="shared" si="17"/>
        <v>0.10035842293906816</v>
      </c>
      <c r="O182" s="4">
        <f t="shared" si="18"/>
        <v>1772.4181841873244</v>
      </c>
      <c r="P182" s="4">
        <f t="shared" si="19"/>
        <v>3116.3396645051857</v>
      </c>
      <c r="Q182" s="4">
        <f t="shared" si="20"/>
        <v>4888.7578486925104</v>
      </c>
      <c r="V182" s="3"/>
      <c r="W182" s="3"/>
      <c r="Y182" s="7"/>
      <c r="Z182" s="7"/>
      <c r="AA182" s="7"/>
      <c r="AB182" s="7"/>
      <c r="AC182" s="9"/>
      <c r="AD182" s="9"/>
      <c r="AE182" s="9"/>
      <c r="AF182" s="3"/>
      <c r="AG182" s="3"/>
      <c r="AH182" s="3"/>
      <c r="AJ182" t="s">
        <v>795</v>
      </c>
      <c r="AK182" t="s">
        <v>682</v>
      </c>
      <c r="AL182" s="11">
        <f>D179</f>
        <v>40827</v>
      </c>
      <c r="AM182" s="3">
        <f>SUM(E179,E188)</f>
        <v>83.8</v>
      </c>
      <c r="AN182" s="3">
        <f>(AM182-4*$A$20)*$A$21/(2*$A$22)*$A$23</f>
        <v>6128.0312458524877</v>
      </c>
      <c r="AO182" s="11">
        <f>G179</f>
        <v>40205</v>
      </c>
      <c r="AP182" s="7">
        <f>SUM(H179,H188)</f>
        <v>6.04</v>
      </c>
      <c r="AQ182" s="7">
        <f>SUM(I179,I188)</f>
        <v>11.44</v>
      </c>
      <c r="AR182" s="7">
        <f>SUM(J179,J188)</f>
        <v>5.92</v>
      </c>
      <c r="AS182" s="7">
        <f>SUM(K179,K188)</f>
        <v>9.8800000000000008</v>
      </c>
      <c r="AT182" s="9">
        <f>(AR182-2*$A$25)/AQ182</f>
        <v>0.33566433566433568</v>
      </c>
      <c r="AU182" s="9">
        <f>(AS182-2*$A$26)/AQ182</f>
        <v>0.56643356643356646</v>
      </c>
      <c r="AV182" s="9">
        <f>1-AT182-AU182</f>
        <v>9.7902097902097918E-2</v>
      </c>
      <c r="AW182" s="3">
        <f>AN182*AT182</f>
        <v>2056.9615370693664</v>
      </c>
      <c r="AX182" s="3">
        <f>AN182*AU182</f>
        <v>3471.1225938045563</v>
      </c>
      <c r="AY182" s="3">
        <f>AW182+AX182</f>
        <v>5528.0841308739227</v>
      </c>
    </row>
    <row r="183" spans="1:51" x14ac:dyDescent="0.25">
      <c r="A183">
        <v>150</v>
      </c>
      <c r="B183" s="1" t="s">
        <v>191</v>
      </c>
      <c r="C183" s="1" t="s">
        <v>682</v>
      </c>
      <c r="D183" s="2">
        <v>40827</v>
      </c>
      <c r="E183" s="3">
        <v>32.9</v>
      </c>
      <c r="F183" s="4">
        <f t="shared" si="14"/>
        <v>4740.2033341093475</v>
      </c>
      <c r="G183" s="2">
        <v>40205</v>
      </c>
      <c r="H183" s="7">
        <v>3</v>
      </c>
      <c r="I183" s="7">
        <f>H183+H184-2*$A$24</f>
        <v>5.6999999999999993</v>
      </c>
      <c r="J183" s="7">
        <v>2.86</v>
      </c>
      <c r="K183" s="7">
        <v>4.96</v>
      </c>
      <c r="L183" s="6">
        <f t="shared" si="15"/>
        <v>0.31929824561403508</v>
      </c>
      <c r="M183" s="6">
        <f t="shared" si="16"/>
        <v>0.57192982456140351</v>
      </c>
      <c r="N183" s="6">
        <f t="shared" si="17"/>
        <v>0.10877192982456141</v>
      </c>
      <c r="O183" s="4">
        <f t="shared" si="18"/>
        <v>1513.5386084349145</v>
      </c>
      <c r="P183" s="4">
        <f t="shared" si="19"/>
        <v>2711.063661262539</v>
      </c>
      <c r="Q183" s="4">
        <f t="shared" si="20"/>
        <v>4224.6022696974533</v>
      </c>
      <c r="V183" s="3"/>
      <c r="W183" s="3"/>
      <c r="Y183" s="7"/>
      <c r="Z183" s="7"/>
      <c r="AA183" s="7"/>
      <c r="AB183" s="7"/>
      <c r="AC183" s="9"/>
      <c r="AD183" s="9"/>
      <c r="AE183" s="9"/>
      <c r="AF183" s="3"/>
      <c r="AG183" s="3"/>
      <c r="AH183" s="3"/>
      <c r="AL183" s="11"/>
      <c r="AM183" s="3"/>
      <c r="AN183" s="3"/>
      <c r="AO183" s="11"/>
      <c r="AP183" s="7"/>
      <c r="AQ183" s="7"/>
      <c r="AR183" s="7"/>
      <c r="AS183" s="7"/>
      <c r="AT183" s="9"/>
      <c r="AU183" s="9"/>
      <c r="AV183" s="9"/>
      <c r="AW183" s="3"/>
      <c r="AX183" s="3"/>
      <c r="AY183" s="3"/>
    </row>
    <row r="184" spans="1:51" x14ac:dyDescent="0.25">
      <c r="A184">
        <v>151</v>
      </c>
      <c r="B184" s="1" t="s">
        <v>192</v>
      </c>
      <c r="C184" s="1" t="s">
        <v>682</v>
      </c>
      <c r="D184" s="2">
        <v>40827</v>
      </c>
      <c r="E184" s="3">
        <v>29.9</v>
      </c>
      <c r="F184" s="4">
        <f t="shared" si="14"/>
        <v>4277.5940301949677</v>
      </c>
      <c r="G184" s="2">
        <v>40205</v>
      </c>
      <c r="H184" s="7">
        <v>3.02</v>
      </c>
      <c r="I184" s="7">
        <f>H184+H183-2*$A$24</f>
        <v>5.6999999999999993</v>
      </c>
      <c r="J184" s="7">
        <v>2.86</v>
      </c>
      <c r="K184" s="7">
        <v>4.96</v>
      </c>
      <c r="L184" s="6">
        <f t="shared" si="15"/>
        <v>0.31929824561403508</v>
      </c>
      <c r="M184" s="6">
        <f t="shared" si="16"/>
        <v>0.57192982456140351</v>
      </c>
      <c r="N184" s="6">
        <f t="shared" si="17"/>
        <v>0.10877192982456141</v>
      </c>
      <c r="O184" s="4">
        <f t="shared" si="18"/>
        <v>1365.8282692903231</v>
      </c>
      <c r="P184" s="4">
        <f t="shared" si="19"/>
        <v>2446.4836032343151</v>
      </c>
      <c r="Q184" s="4">
        <f t="shared" si="20"/>
        <v>3812.3118725246381</v>
      </c>
      <c r="V184" s="3"/>
      <c r="W184" s="3"/>
      <c r="Y184" s="7"/>
      <c r="Z184" s="7"/>
      <c r="AA184" s="7"/>
      <c r="AB184" s="7"/>
      <c r="AC184" s="9"/>
      <c r="AD184" s="9"/>
      <c r="AE184" s="9"/>
      <c r="AF184" s="3"/>
      <c r="AG184" s="3"/>
      <c r="AH184" s="3"/>
      <c r="AJ184" t="s">
        <v>796</v>
      </c>
      <c r="AK184" t="s">
        <v>682</v>
      </c>
      <c r="AL184" s="11">
        <f>D178</f>
        <v>40827</v>
      </c>
      <c r="AM184" s="3">
        <f>SUM(E178,E189)</f>
        <v>70</v>
      </c>
      <c r="AN184" s="3">
        <f>(AM184-4*$A$20)*$A$21/(2*$A$22)*$A$23</f>
        <v>5064.0298468494148</v>
      </c>
      <c r="AO184" s="11">
        <f>G178</f>
        <v>40205</v>
      </c>
      <c r="AP184" s="7">
        <f>SUM(H178,H189)</f>
        <v>6.24</v>
      </c>
      <c r="AQ184" s="7">
        <f>SUM(I178,I189)</f>
        <v>11.84</v>
      </c>
      <c r="AR184" s="7">
        <f>SUM(J178,J189)</f>
        <v>6.04</v>
      </c>
      <c r="AS184" s="7">
        <f>SUM(K178,K189)</f>
        <v>10.24</v>
      </c>
      <c r="AT184" s="9">
        <f>(AR184-2*$A$25)/AQ184</f>
        <v>0.33445945945945948</v>
      </c>
      <c r="AU184" s="9">
        <f>(AS184-2*$A$26)/AQ184</f>
        <v>0.57770270270270274</v>
      </c>
      <c r="AV184" s="9">
        <f>1-AT184-AU184</f>
        <v>8.7837837837837829E-2</v>
      </c>
      <c r="AW184" s="3">
        <f>AN184*AT184</f>
        <v>1693.7126852638246</v>
      </c>
      <c r="AX184" s="3">
        <f>AN184*AU184</f>
        <v>2925.5037290920609</v>
      </c>
      <c r="AY184" s="3">
        <f>AW184+AX184</f>
        <v>4619.2164143558857</v>
      </c>
    </row>
    <row r="185" spans="1:51" x14ac:dyDescent="0.25">
      <c r="A185">
        <v>152</v>
      </c>
      <c r="B185" s="1" t="s">
        <v>193</v>
      </c>
      <c r="C185" s="1" t="s">
        <v>682</v>
      </c>
      <c r="D185" s="2">
        <v>40827</v>
      </c>
      <c r="E185" s="3">
        <v>34.400000000000006</v>
      </c>
      <c r="F185" s="4">
        <f t="shared" si="14"/>
        <v>4971.5079860665392</v>
      </c>
      <c r="G185" s="2">
        <v>40205</v>
      </c>
      <c r="H185" s="7">
        <v>2.8</v>
      </c>
      <c r="I185" s="7">
        <f>H185+H182-2*$A$24</f>
        <v>5.58</v>
      </c>
      <c r="J185" s="7">
        <v>2.86</v>
      </c>
      <c r="K185" s="7">
        <v>4.9000000000000004</v>
      </c>
      <c r="L185" s="6">
        <f t="shared" si="15"/>
        <v>0.3261648745519713</v>
      </c>
      <c r="M185" s="6">
        <f t="shared" si="16"/>
        <v>0.57347670250896055</v>
      </c>
      <c r="N185" s="6">
        <f t="shared" si="17"/>
        <v>0.10035842293906816</v>
      </c>
      <c r="O185" s="4">
        <f t="shared" si="18"/>
        <v>1621.5312786095162</v>
      </c>
      <c r="P185" s="4">
        <f t="shared" si="19"/>
        <v>2851.0440063464021</v>
      </c>
      <c r="Q185" s="4">
        <f t="shared" si="20"/>
        <v>4472.5752849559185</v>
      </c>
      <c r="V185" s="3"/>
      <c r="W185" s="3"/>
      <c r="Y185" s="7"/>
      <c r="Z185" s="7"/>
      <c r="AA185" s="7"/>
      <c r="AB185" s="7"/>
      <c r="AC185" s="9"/>
      <c r="AD185" s="9"/>
      <c r="AE185" s="9"/>
      <c r="AF185" s="3"/>
      <c r="AG185" s="3"/>
      <c r="AH185" s="3"/>
      <c r="AL185" s="11"/>
      <c r="AM185" s="3"/>
      <c r="AN185" s="3"/>
      <c r="AO185" s="11"/>
      <c r="AP185" s="7"/>
      <c r="AQ185" s="7"/>
      <c r="AR185" s="7"/>
      <c r="AS185" s="7"/>
      <c r="AT185" s="9"/>
      <c r="AU185" s="9"/>
      <c r="AV185" s="9"/>
      <c r="AW185" s="3"/>
      <c r="AX185" s="3"/>
      <c r="AY185" s="3"/>
    </row>
    <row r="186" spans="1:51" x14ac:dyDescent="0.25">
      <c r="A186">
        <v>153</v>
      </c>
      <c r="B186" s="1" t="s">
        <v>194</v>
      </c>
      <c r="C186" s="1" t="s">
        <v>682</v>
      </c>
      <c r="D186" s="2">
        <v>40827</v>
      </c>
      <c r="E186" s="3">
        <v>37.099999999999994</v>
      </c>
      <c r="F186" s="4">
        <f t="shared" si="14"/>
        <v>5387.8563595894802</v>
      </c>
      <c r="G186" s="2">
        <v>40205</v>
      </c>
      <c r="H186" s="7">
        <v>2.58</v>
      </c>
      <c r="I186" s="7">
        <f>H186+H181-2*$A$24</f>
        <v>5.6</v>
      </c>
      <c r="J186" s="7">
        <v>2.9</v>
      </c>
      <c r="K186" s="7">
        <v>4.84</v>
      </c>
      <c r="L186" s="6">
        <f t="shared" si="15"/>
        <v>0.33214285714285713</v>
      </c>
      <c r="M186" s="6">
        <f t="shared" si="16"/>
        <v>0.56071428571428572</v>
      </c>
      <c r="N186" s="6">
        <f t="shared" si="17"/>
        <v>0.10714285714285721</v>
      </c>
      <c r="O186" s="4">
        <f t="shared" si="18"/>
        <v>1789.538005149363</v>
      </c>
      <c r="P186" s="4">
        <f t="shared" si="19"/>
        <v>3021.0480301983871</v>
      </c>
      <c r="Q186" s="4">
        <f t="shared" si="20"/>
        <v>4810.5860353477501</v>
      </c>
      <c r="V186" s="3"/>
      <c r="W186" s="3"/>
      <c r="Y186" s="7"/>
      <c r="Z186" s="7"/>
      <c r="AA186" s="7"/>
      <c r="AB186" s="7"/>
      <c r="AC186" s="9"/>
      <c r="AD186" s="9"/>
      <c r="AE186" s="9"/>
      <c r="AF186" s="3"/>
      <c r="AG186" s="3"/>
      <c r="AH186" s="3"/>
      <c r="AJ186" t="s">
        <v>797</v>
      </c>
      <c r="AK186" t="s">
        <v>682</v>
      </c>
      <c r="AL186" s="11">
        <f>D177</f>
        <v>40827</v>
      </c>
      <c r="AM186" s="3">
        <f>SUM(E177,E190)</f>
        <v>75.2</v>
      </c>
      <c r="AN186" s="3">
        <f>(AM186-4*$A$20)*$A$21/(2*$A$22)*$A$23</f>
        <v>5464.9579102418766</v>
      </c>
      <c r="AO186" s="11">
        <f>G177</f>
        <v>40205</v>
      </c>
      <c r="AP186" s="7">
        <f>SUM(H177,H190)</f>
        <v>6.6199999999999992</v>
      </c>
      <c r="AQ186" s="7">
        <f>SUM(I177,I190)</f>
        <v>12.599999999999998</v>
      </c>
      <c r="AR186" s="7">
        <f>SUM(J177,J190)</f>
        <v>6.28</v>
      </c>
      <c r="AS186" s="7">
        <f>SUM(K177,K190)</f>
        <v>10.6</v>
      </c>
      <c r="AT186" s="9">
        <f>(AR186-2*$A$25)/AQ186</f>
        <v>0.33333333333333343</v>
      </c>
      <c r="AU186" s="9">
        <f>(AS186-2*$A$26)/AQ186</f>
        <v>0.57142857142857151</v>
      </c>
      <c r="AV186" s="9">
        <f>1-AT186-AU186</f>
        <v>9.5238095238095011E-2</v>
      </c>
      <c r="AW186" s="3">
        <f>AN186*AT186</f>
        <v>1821.6526367472927</v>
      </c>
      <c r="AX186" s="3">
        <f>AN186*AU186</f>
        <v>3122.8330915667871</v>
      </c>
      <c r="AY186" s="3">
        <f>AW186+AX186</f>
        <v>4944.48572831408</v>
      </c>
    </row>
    <row r="187" spans="1:51" x14ac:dyDescent="0.25">
      <c r="A187">
        <v>154</v>
      </c>
      <c r="B187" s="1" t="s">
        <v>195</v>
      </c>
      <c r="C187" s="1" t="s">
        <v>682</v>
      </c>
      <c r="D187" s="2">
        <v>40827</v>
      </c>
      <c r="E187" s="3">
        <v>39.200000000000003</v>
      </c>
      <c r="F187" s="4">
        <f t="shared" si="14"/>
        <v>5711.6828723295475</v>
      </c>
      <c r="G187" s="2">
        <v>40205</v>
      </c>
      <c r="H187" s="7">
        <v>2.96</v>
      </c>
      <c r="I187" s="7">
        <f>H187+H180-2*$A$24</f>
        <v>5.7799999999999994</v>
      </c>
      <c r="J187" s="7">
        <v>2.92</v>
      </c>
      <c r="K187" s="7">
        <v>5</v>
      </c>
      <c r="L187" s="6">
        <f t="shared" si="15"/>
        <v>0.3252595155709343</v>
      </c>
      <c r="M187" s="6">
        <f t="shared" si="16"/>
        <v>0.57093425605536341</v>
      </c>
      <c r="N187" s="6">
        <f t="shared" si="17"/>
        <v>0.10380622837370224</v>
      </c>
      <c r="O187" s="4">
        <f t="shared" si="18"/>
        <v>1857.7792041487112</v>
      </c>
      <c r="P187" s="4">
        <f t="shared" si="19"/>
        <v>3260.9954115376313</v>
      </c>
      <c r="Q187" s="4">
        <f t="shared" si="20"/>
        <v>5118.7746156863423</v>
      </c>
      <c r="V187" s="3"/>
      <c r="W187" s="3"/>
      <c r="Y187" s="7"/>
      <c r="Z187" s="7"/>
      <c r="AA187" s="7"/>
      <c r="AB187" s="7"/>
      <c r="AC187" s="9"/>
      <c r="AD187" s="9"/>
      <c r="AE187" s="9"/>
      <c r="AF187" s="3"/>
      <c r="AG187" s="3"/>
      <c r="AH187" s="3"/>
      <c r="AL187" s="11"/>
      <c r="AM187" s="3"/>
      <c r="AN187" s="3"/>
      <c r="AO187" s="11"/>
      <c r="AP187" s="7"/>
      <c r="AQ187" s="7"/>
      <c r="AR187" s="7"/>
      <c r="AS187" s="7"/>
      <c r="AT187" s="9"/>
      <c r="AU187" s="9"/>
      <c r="AV187" s="9"/>
      <c r="AW187" s="3"/>
      <c r="AX187" s="3"/>
      <c r="AY187" s="3"/>
    </row>
    <row r="188" spans="1:51" x14ac:dyDescent="0.25">
      <c r="A188">
        <v>155</v>
      </c>
      <c r="B188" s="1" t="s">
        <v>196</v>
      </c>
      <c r="C188" s="1" t="s">
        <v>682</v>
      </c>
      <c r="D188" s="2">
        <v>40827</v>
      </c>
      <c r="E188" s="3">
        <v>41.599999999999994</v>
      </c>
      <c r="F188" s="4">
        <f t="shared" si="14"/>
        <v>6081.770315461049</v>
      </c>
      <c r="G188" s="2">
        <v>40205</v>
      </c>
      <c r="H188" s="7">
        <v>3.1</v>
      </c>
      <c r="I188" s="7">
        <f>H188+H179-2*$A$24</f>
        <v>5.72</v>
      </c>
      <c r="J188" s="7">
        <v>2.96</v>
      </c>
      <c r="K188" s="7">
        <v>4.9400000000000004</v>
      </c>
      <c r="L188" s="6">
        <f t="shared" si="15"/>
        <v>0.33566433566433568</v>
      </c>
      <c r="M188" s="6">
        <f t="shared" si="16"/>
        <v>0.56643356643356646</v>
      </c>
      <c r="N188" s="6">
        <f t="shared" si="17"/>
        <v>9.7902097902097918E-2</v>
      </c>
      <c r="O188" s="4">
        <f t="shared" si="18"/>
        <v>2041.4333926023103</v>
      </c>
      <c r="P188" s="4">
        <f t="shared" si="19"/>
        <v>3444.9188500163987</v>
      </c>
      <c r="Q188" s="4">
        <f t="shared" si="20"/>
        <v>5486.3522426187092</v>
      </c>
      <c r="V188" s="3"/>
      <c r="W188" s="3"/>
      <c r="Y188" s="7"/>
      <c r="Z188" s="7"/>
      <c r="AA188" s="7"/>
      <c r="AB188" s="7"/>
      <c r="AC188" s="9"/>
      <c r="AD188" s="9"/>
      <c r="AE188" s="9"/>
      <c r="AF188" s="3"/>
      <c r="AG188" s="3"/>
      <c r="AH188" s="3"/>
      <c r="AJ188" t="s">
        <v>798</v>
      </c>
      <c r="AK188" t="s">
        <v>682</v>
      </c>
      <c r="AL188" s="11">
        <f>D176</f>
        <v>40827</v>
      </c>
      <c r="AM188" s="3">
        <f>SUM(E176,E191)</f>
        <v>66.599999999999994</v>
      </c>
      <c r="AN188" s="3">
        <f>(AM188-4*$A$20)*$A$21/(2*$A$22)*$A$23</f>
        <v>4801.8845746312645</v>
      </c>
      <c r="AO188" s="11">
        <f>G176</f>
        <v>40205</v>
      </c>
      <c r="AP188" s="7">
        <f>SUM(H176,H191)</f>
        <v>5.7200000000000006</v>
      </c>
      <c r="AQ188" s="7">
        <f>SUM(I176,I191)</f>
        <v>10.8</v>
      </c>
      <c r="AR188" s="7">
        <f>SUM(J176,J191)</f>
        <v>5.52</v>
      </c>
      <c r="AS188" s="7">
        <f>SUM(K176,K191)</f>
        <v>9.68</v>
      </c>
      <c r="AT188" s="9">
        <f>(AR188-2*$A$25)/AQ188</f>
        <v>0.31851851851851848</v>
      </c>
      <c r="AU188" s="9">
        <f>(AS188-2*$A$26)/AQ188</f>
        <v>0.58148148148148138</v>
      </c>
      <c r="AV188" s="9">
        <f>1-AT188-AU188</f>
        <v>0.1000000000000002</v>
      </c>
      <c r="AW188" s="3">
        <f>AN188*AT188</f>
        <v>1529.4891608084768</v>
      </c>
      <c r="AX188" s="3">
        <f>AN188*AU188</f>
        <v>2792.2069563596606</v>
      </c>
      <c r="AY188" s="3">
        <f>AW188+AX188</f>
        <v>4321.6961171681378</v>
      </c>
    </row>
    <row r="189" spans="1:51" x14ac:dyDescent="0.25">
      <c r="A189">
        <v>156</v>
      </c>
      <c r="B189" s="1" t="s">
        <v>197</v>
      </c>
      <c r="C189" s="1" t="s">
        <v>682</v>
      </c>
      <c r="D189" s="2">
        <v>40827</v>
      </c>
      <c r="E189" s="3">
        <v>33.6</v>
      </c>
      <c r="F189" s="4">
        <f t="shared" si="14"/>
        <v>4848.1455050227032</v>
      </c>
      <c r="G189" s="2">
        <v>40205</v>
      </c>
      <c r="H189" s="7">
        <v>3.14</v>
      </c>
      <c r="I189" s="7">
        <f>H189+H178-2*$A$24</f>
        <v>5.92</v>
      </c>
      <c r="J189" s="7">
        <v>3.02</v>
      </c>
      <c r="K189" s="7">
        <v>5.12</v>
      </c>
      <c r="L189" s="6">
        <f t="shared" si="15"/>
        <v>0.33445945945945948</v>
      </c>
      <c r="M189" s="6">
        <f t="shared" si="16"/>
        <v>0.57770270270270274</v>
      </c>
      <c r="N189" s="6">
        <f t="shared" si="17"/>
        <v>8.7837837837837829E-2</v>
      </c>
      <c r="O189" s="4">
        <f t="shared" si="18"/>
        <v>1621.5081249907016</v>
      </c>
      <c r="P189" s="4">
        <f t="shared" si="19"/>
        <v>2800.7867613475755</v>
      </c>
      <c r="Q189" s="4">
        <f t="shared" si="20"/>
        <v>4422.2948863382771</v>
      </c>
      <c r="V189" s="3"/>
      <c r="W189" s="3"/>
      <c r="Y189" s="7"/>
      <c r="Z189" s="7"/>
      <c r="AA189" s="7"/>
      <c r="AB189" s="7"/>
      <c r="AC189" s="9"/>
      <c r="AD189" s="9"/>
      <c r="AE189" s="9"/>
      <c r="AF189" s="3"/>
      <c r="AG189" s="3"/>
      <c r="AH189" s="3"/>
      <c r="AL189" s="11"/>
      <c r="AM189" s="3"/>
      <c r="AN189" s="3"/>
      <c r="AO189" s="11"/>
      <c r="AP189" s="7"/>
      <c r="AQ189" s="7"/>
      <c r="AR189" s="7"/>
      <c r="AS189" s="7"/>
      <c r="AT189" s="9"/>
      <c r="AU189" s="9"/>
      <c r="AV189" s="9"/>
      <c r="AW189" s="3"/>
      <c r="AX189" s="3"/>
      <c r="AY189" s="3"/>
    </row>
    <row r="190" spans="1:51" x14ac:dyDescent="0.25">
      <c r="A190">
        <v>157</v>
      </c>
      <c r="B190" s="1" t="s">
        <v>198</v>
      </c>
      <c r="C190" s="1" t="s">
        <v>682</v>
      </c>
      <c r="D190" s="2">
        <v>40827</v>
      </c>
      <c r="E190" s="3">
        <v>37.1</v>
      </c>
      <c r="F190" s="4">
        <f t="shared" si="14"/>
        <v>5387.8563595894802</v>
      </c>
      <c r="G190" s="2">
        <v>40205</v>
      </c>
      <c r="H190" s="7">
        <v>3.34</v>
      </c>
      <c r="I190" s="7">
        <f>H190+H177-2*$A$24</f>
        <v>6.2999999999999989</v>
      </c>
      <c r="J190" s="7">
        <v>3.14</v>
      </c>
      <c r="K190" s="7">
        <v>5.3</v>
      </c>
      <c r="L190" s="6">
        <f t="shared" si="15"/>
        <v>0.33333333333333343</v>
      </c>
      <c r="M190" s="6">
        <f t="shared" si="16"/>
        <v>0.57142857142857151</v>
      </c>
      <c r="N190" s="6">
        <f t="shared" si="17"/>
        <v>9.5238095238095011E-2</v>
      </c>
      <c r="O190" s="4">
        <f t="shared" si="18"/>
        <v>1795.9521198631605</v>
      </c>
      <c r="P190" s="4">
        <f t="shared" si="19"/>
        <v>3078.7750626225607</v>
      </c>
      <c r="Q190" s="4">
        <f t="shared" si="20"/>
        <v>4874.7271824857216</v>
      </c>
      <c r="V190" s="3"/>
      <c r="W190" s="3"/>
      <c r="Y190" s="7"/>
      <c r="Z190" s="7"/>
      <c r="AA190" s="7"/>
      <c r="AB190" s="7"/>
      <c r="AC190" s="9"/>
      <c r="AD190" s="9"/>
      <c r="AE190" s="9"/>
      <c r="AF190" s="3"/>
      <c r="AG190" s="3"/>
      <c r="AH190" s="3"/>
      <c r="AJ190" t="s">
        <v>799</v>
      </c>
      <c r="AK190" t="s">
        <v>682</v>
      </c>
      <c r="AL190" s="11">
        <f>D175</f>
        <v>40827</v>
      </c>
      <c r="AM190" s="3">
        <f>SUM(E175,E192)</f>
        <v>62.6</v>
      </c>
      <c r="AN190" s="3">
        <f>(AM190-4*$A$20)*$A$21/(2*$A$22)*$A$23</f>
        <v>4493.4783720216783</v>
      </c>
      <c r="AO190" s="11">
        <f>G175</f>
        <v>40205</v>
      </c>
      <c r="AP190" s="7">
        <f>SUM(H175,H192)</f>
        <v>6.0600000000000005</v>
      </c>
      <c r="AQ190" s="7">
        <f>SUM(I175,I192)</f>
        <v>11.48</v>
      </c>
      <c r="AR190" s="7">
        <f>SUM(J175,J192)</f>
        <v>5.84</v>
      </c>
      <c r="AS190" s="7">
        <f>SUM(K175,K192)</f>
        <v>10.039999999999999</v>
      </c>
      <c r="AT190" s="9">
        <f>(AR190-2*$A$25)/AQ190</f>
        <v>0.32752613240418116</v>
      </c>
      <c r="AU190" s="9">
        <f>(AS190-2*$A$26)/AQ190</f>
        <v>0.57839721254355392</v>
      </c>
      <c r="AV190" s="9">
        <f>1-AT190-AU190</f>
        <v>9.4076655052264924E-2</v>
      </c>
      <c r="AW190" s="3">
        <f>AN190*AT190</f>
        <v>1471.7315922300966</v>
      </c>
      <c r="AX190" s="3">
        <f>AN190*AU190</f>
        <v>2599.0153650020852</v>
      </c>
      <c r="AY190" s="3">
        <f>AW190+AX190</f>
        <v>4070.7469572321816</v>
      </c>
    </row>
    <row r="191" spans="1:51" x14ac:dyDescent="0.25">
      <c r="A191">
        <v>158</v>
      </c>
      <c r="B191" s="1" t="s">
        <v>199</v>
      </c>
      <c r="C191" s="1" t="s">
        <v>682</v>
      </c>
      <c r="D191" s="2">
        <v>40827</v>
      </c>
      <c r="E191" s="3">
        <v>32.9</v>
      </c>
      <c r="F191" s="4">
        <f t="shared" si="14"/>
        <v>4740.2033341093475</v>
      </c>
      <c r="G191" s="2">
        <v>40205</v>
      </c>
      <c r="H191" s="7">
        <v>3.2</v>
      </c>
      <c r="I191" s="7">
        <f>H191+H176-2*$A$24</f>
        <v>5.4</v>
      </c>
      <c r="J191" s="7">
        <v>2.76</v>
      </c>
      <c r="K191" s="7">
        <v>4.84</v>
      </c>
      <c r="L191" s="6">
        <f t="shared" si="15"/>
        <v>0.31851851851851848</v>
      </c>
      <c r="M191" s="6">
        <f t="shared" si="16"/>
        <v>0.58148148148148138</v>
      </c>
      <c r="N191" s="6">
        <f t="shared" si="17"/>
        <v>0.1000000000000002</v>
      </c>
      <c r="O191" s="4">
        <f t="shared" si="18"/>
        <v>1509.8425434570513</v>
      </c>
      <c r="P191" s="4">
        <f t="shared" si="19"/>
        <v>2756.3404572413606</v>
      </c>
      <c r="Q191" s="4">
        <f t="shared" si="20"/>
        <v>4266.1830006984119</v>
      </c>
      <c r="V191" s="3"/>
      <c r="W191" s="3"/>
      <c r="Y191" s="7"/>
      <c r="Z191" s="7"/>
      <c r="AA191" s="7"/>
      <c r="AB191" s="7"/>
      <c r="AC191" s="9"/>
      <c r="AD191" s="9"/>
      <c r="AE191" s="9"/>
      <c r="AF191" s="3"/>
      <c r="AG191" s="3"/>
      <c r="AH191" s="3"/>
      <c r="AL191" s="11"/>
      <c r="AM191" s="3"/>
      <c r="AN191" s="3"/>
      <c r="AO191" s="11"/>
      <c r="AP191" s="7"/>
      <c r="AQ191" s="7"/>
      <c r="AR191" s="7"/>
      <c r="AS191" s="7"/>
      <c r="AT191" s="9"/>
      <c r="AU191" s="9"/>
      <c r="AV191" s="9"/>
      <c r="AW191" s="3"/>
      <c r="AX191" s="3"/>
      <c r="AY191" s="3"/>
    </row>
    <row r="192" spans="1:51" x14ac:dyDescent="0.25">
      <c r="A192">
        <v>159</v>
      </c>
      <c r="B192" s="1" t="s">
        <v>200</v>
      </c>
      <c r="C192" s="1" t="s">
        <v>682</v>
      </c>
      <c r="D192" s="2">
        <v>40827</v>
      </c>
      <c r="E192" s="3">
        <v>31.9</v>
      </c>
      <c r="F192" s="4">
        <f t="shared" si="14"/>
        <v>4586.0002328045539</v>
      </c>
      <c r="G192" s="2">
        <v>40205</v>
      </c>
      <c r="H192" s="7">
        <v>2.82</v>
      </c>
      <c r="I192" s="7">
        <f>H192+H175-2*$A$24</f>
        <v>5.74</v>
      </c>
      <c r="J192" s="7">
        <v>2.92</v>
      </c>
      <c r="K192" s="7">
        <v>5.0199999999999996</v>
      </c>
      <c r="L192" s="6">
        <f t="shared" si="15"/>
        <v>0.32752613240418116</v>
      </c>
      <c r="M192" s="6">
        <f t="shared" si="16"/>
        <v>0.57839721254355392</v>
      </c>
      <c r="N192" s="6">
        <f t="shared" si="17"/>
        <v>9.4076655052264924E-2</v>
      </c>
      <c r="O192" s="4">
        <f t="shared" si="18"/>
        <v>1502.03491945515</v>
      </c>
      <c r="P192" s="4">
        <f t="shared" si="19"/>
        <v>2652.5297513782434</v>
      </c>
      <c r="Q192" s="4">
        <f t="shared" si="20"/>
        <v>4154.5646708333934</v>
      </c>
      <c r="V192" s="3"/>
      <c r="W192" s="3"/>
      <c r="Y192" s="7"/>
      <c r="Z192" s="7"/>
      <c r="AA192" s="7"/>
      <c r="AB192" s="7"/>
      <c r="AC192" s="9"/>
      <c r="AD192" s="9"/>
      <c r="AE192" s="9"/>
      <c r="AF192" s="3"/>
      <c r="AG192" s="3"/>
      <c r="AH192" s="3"/>
      <c r="AJ192" t="s">
        <v>800</v>
      </c>
      <c r="AK192" t="s">
        <v>682</v>
      </c>
      <c r="AL192" s="11">
        <f>D174</f>
        <v>40827</v>
      </c>
      <c r="AM192" s="3">
        <f>SUM(E174,E193)</f>
        <v>49.9</v>
      </c>
      <c r="AN192" s="3">
        <f>(AM192-4*$A$20)*$A$21/(2*$A$22)*$A$23</f>
        <v>3514.2886787362404</v>
      </c>
      <c r="AO192" s="11">
        <f>G174</f>
        <v>40205</v>
      </c>
      <c r="AP192" s="7">
        <f>SUM(H174,H193)</f>
        <v>6.32</v>
      </c>
      <c r="AQ192" s="7">
        <f>SUM(I174,I193)</f>
        <v>12</v>
      </c>
      <c r="AR192" s="7">
        <f>SUM(J174,J193)</f>
        <v>5.92</v>
      </c>
      <c r="AS192" s="7">
        <f>SUM(K174,K193)</f>
        <v>10.48</v>
      </c>
      <c r="AT192" s="9">
        <f>(AR192-2*$A$25)/AQ192</f>
        <v>0.32</v>
      </c>
      <c r="AU192" s="9">
        <f>(AS192-2*$A$26)/AQ192</f>
        <v>0.59</v>
      </c>
      <c r="AV192" s="9">
        <f>1-AT192-AU192</f>
        <v>8.9999999999999969E-2</v>
      </c>
      <c r="AW192" s="3">
        <f>AN192*AT192</f>
        <v>1124.572377195597</v>
      </c>
      <c r="AX192" s="3">
        <f>AN192*AU192</f>
        <v>2073.4303204543817</v>
      </c>
      <c r="AY192" s="3">
        <f>AW192+AX192</f>
        <v>3198.0026976499785</v>
      </c>
    </row>
    <row r="193" spans="1:51" x14ac:dyDescent="0.25">
      <c r="A193">
        <v>160</v>
      </c>
      <c r="B193" s="1" t="s">
        <v>201</v>
      </c>
      <c r="C193" s="1" t="s">
        <v>682</v>
      </c>
      <c r="D193" s="2">
        <v>40827</v>
      </c>
      <c r="E193" s="3">
        <v>24.2</v>
      </c>
      <c r="F193" s="4">
        <f t="shared" si="14"/>
        <v>3398.636352757645</v>
      </c>
      <c r="G193" s="2">
        <v>40205</v>
      </c>
      <c r="H193" s="7">
        <v>3.42</v>
      </c>
      <c r="I193" s="7">
        <f>H193+H174-2*$A$24</f>
        <v>6</v>
      </c>
      <c r="J193" s="7">
        <v>2.96</v>
      </c>
      <c r="K193" s="7">
        <v>5.24</v>
      </c>
      <c r="L193" s="6">
        <f t="shared" si="15"/>
        <v>0.32</v>
      </c>
      <c r="M193" s="6">
        <f t="shared" si="16"/>
        <v>0.59</v>
      </c>
      <c r="N193" s="6">
        <f t="shared" si="17"/>
        <v>8.9999999999999969E-2</v>
      </c>
      <c r="O193" s="4">
        <f t="shared" si="18"/>
        <v>1087.5636328824464</v>
      </c>
      <c r="P193" s="4">
        <f t="shared" si="19"/>
        <v>2005.1954481270104</v>
      </c>
      <c r="Q193" s="4">
        <f t="shared" si="20"/>
        <v>3092.7590810094571</v>
      </c>
      <c r="V193" s="3"/>
      <c r="W193" s="3"/>
      <c r="Y193" s="7"/>
      <c r="Z193" s="7"/>
      <c r="AA193" s="7"/>
      <c r="AB193" s="7"/>
      <c r="AC193" s="9"/>
      <c r="AD193" s="9"/>
      <c r="AE193" s="9"/>
      <c r="AF193" s="3"/>
      <c r="AG193" s="3"/>
      <c r="AH193" s="3"/>
    </row>
    <row r="194" spans="1:51" x14ac:dyDescent="0.25">
      <c r="A194">
        <v>161</v>
      </c>
      <c r="B194" s="1" t="s">
        <v>202</v>
      </c>
      <c r="C194" s="1" t="s">
        <v>682</v>
      </c>
      <c r="D194" s="2">
        <v>40827</v>
      </c>
      <c r="E194" s="3">
        <v>29.8</v>
      </c>
      <c r="F194" s="4">
        <f t="shared" si="14"/>
        <v>4262.1737200644884</v>
      </c>
      <c r="G194" s="2">
        <v>40205</v>
      </c>
      <c r="H194" s="7">
        <v>3.12</v>
      </c>
      <c r="I194" s="7">
        <f>H194+H213-2*$A$24</f>
        <v>5.58</v>
      </c>
      <c r="J194" s="7">
        <v>2.88</v>
      </c>
      <c r="K194" s="7">
        <v>4.9000000000000004</v>
      </c>
      <c r="L194" s="6">
        <f t="shared" si="15"/>
        <v>0.32974910394265228</v>
      </c>
      <c r="M194" s="6">
        <f t="shared" si="16"/>
        <v>0.57347670250896055</v>
      </c>
      <c r="N194" s="6">
        <f t="shared" si="17"/>
        <v>9.6774193548387122E-2</v>
      </c>
      <c r="O194" s="4">
        <f t="shared" si="18"/>
        <v>1405.4479650391859</v>
      </c>
      <c r="P194" s="4">
        <f t="shared" si="19"/>
        <v>2444.2573305029323</v>
      </c>
      <c r="Q194" s="4">
        <f t="shared" si="20"/>
        <v>3849.7052955421182</v>
      </c>
      <c r="S194" t="s">
        <v>29</v>
      </c>
      <c r="T194" t="s">
        <v>682</v>
      </c>
      <c r="U194" s="8">
        <f>D194</f>
        <v>40827</v>
      </c>
      <c r="V194" s="3">
        <f>SUM(E194:E233)</f>
        <v>1419.1</v>
      </c>
      <c r="W194" s="3">
        <f>(V194-80*$A$20)*$A$21/(40*$A$22)*$A$23</f>
        <v>5137.6618277224516</v>
      </c>
      <c r="X194" s="8">
        <f>G194</f>
        <v>40205</v>
      </c>
      <c r="Y194" s="7">
        <f>SUM(H194:H233)</f>
        <v>113.75999999999998</v>
      </c>
      <c r="Z194" s="7">
        <f>SUM(I194:I233)</f>
        <v>214.72</v>
      </c>
      <c r="AA194" s="7">
        <f>SUM(J194:J233)</f>
        <v>112.92</v>
      </c>
      <c r="AB194" s="7">
        <f>SUM(K194:K233)</f>
        <v>189.03999999999996</v>
      </c>
      <c r="AC194" s="9">
        <f>(AA194-40*$A$25)/Z194</f>
        <v>0.33215350223546941</v>
      </c>
      <c r="AD194" s="9">
        <f>(AB194-40*$A$26)/Z194</f>
        <v>0.56371087928464958</v>
      </c>
      <c r="AE194" s="9">
        <f>1-AC194-AD194</f>
        <v>0.10413561847988106</v>
      </c>
      <c r="AF194" s="3">
        <f>W194*AC194</f>
        <v>1706.4923693794951</v>
      </c>
      <c r="AG194" s="3">
        <f>W194*AD194</f>
        <v>2896.1558663726032</v>
      </c>
      <c r="AH194" s="3">
        <f>AF194+AG194</f>
        <v>4602.6482357520981</v>
      </c>
      <c r="AJ194" t="s">
        <v>801</v>
      </c>
      <c r="AK194" t="s">
        <v>682</v>
      </c>
      <c r="AL194" s="11">
        <f>D203</f>
        <v>40827</v>
      </c>
      <c r="AM194" s="3">
        <f>SUM(E203,E204)</f>
        <v>71.800000000000011</v>
      </c>
      <c r="AN194" s="3">
        <f>(AM194-4*$A$20)*$A$21/(2*$A$22)*$A$23</f>
        <v>5202.8126380237291</v>
      </c>
      <c r="AO194" s="11">
        <f>G203</f>
        <v>40205</v>
      </c>
      <c r="AP194" s="7">
        <f>SUM(H203,H204)</f>
        <v>5.76</v>
      </c>
      <c r="AQ194" s="7">
        <f>SUM(I203,I204)</f>
        <v>10.879999999999999</v>
      </c>
      <c r="AR194" s="7">
        <f>SUM(J203,J204)</f>
        <v>5.72</v>
      </c>
      <c r="AS194" s="7">
        <f>SUM(K203,K204)</f>
        <v>9.48</v>
      </c>
      <c r="AT194" s="9">
        <f>(AR194-2*$A$25)/AQ194</f>
        <v>0.33455882352941174</v>
      </c>
      <c r="AU194" s="9">
        <f>(AS194-2*$A$26)/AQ194</f>
        <v>0.55882352941176472</v>
      </c>
      <c r="AV194" s="9">
        <f>1-AT194-AU194</f>
        <v>0.10661764705882359</v>
      </c>
      <c r="AW194" s="3">
        <f>AN194*AT194</f>
        <v>1740.646875221174</v>
      </c>
      <c r="AX194" s="3">
        <f>AN194*AU194</f>
        <v>2907.4541212485547</v>
      </c>
      <c r="AY194" s="3">
        <f>AW194+AX194</f>
        <v>4648.1009964697287</v>
      </c>
    </row>
    <row r="195" spans="1:51" x14ac:dyDescent="0.25">
      <c r="A195">
        <v>162</v>
      </c>
      <c r="B195" s="1" t="s">
        <v>203</v>
      </c>
      <c r="C195" s="1" t="s">
        <v>682</v>
      </c>
      <c r="D195" s="2">
        <v>40827</v>
      </c>
      <c r="E195" s="3">
        <v>37.299999999999997</v>
      </c>
      <c r="F195" s="4">
        <f t="shared" si="14"/>
        <v>5418.6969798504388</v>
      </c>
      <c r="G195" s="2">
        <v>40205</v>
      </c>
      <c r="H195" s="7">
        <v>2.54</v>
      </c>
      <c r="I195" s="7">
        <f>H195+H212-2*$A$24</f>
        <v>5.3599999999999994</v>
      </c>
      <c r="J195" s="7">
        <v>2.82</v>
      </c>
      <c r="K195" s="7">
        <v>4.78</v>
      </c>
      <c r="L195" s="6">
        <f t="shared" si="15"/>
        <v>0.33208955223880599</v>
      </c>
      <c r="M195" s="6">
        <f t="shared" si="16"/>
        <v>0.5746268656716419</v>
      </c>
      <c r="N195" s="6">
        <f t="shared" si="17"/>
        <v>9.3283582089552119E-2</v>
      </c>
      <c r="O195" s="4">
        <f t="shared" si="18"/>
        <v>1799.4926537563026</v>
      </c>
      <c r="P195" s="4">
        <f t="shared" si="19"/>
        <v>3113.7288615558496</v>
      </c>
      <c r="Q195" s="4">
        <f t="shared" si="20"/>
        <v>4913.2215153121524</v>
      </c>
      <c r="V195" s="3"/>
      <c r="W195" s="3"/>
      <c r="Y195" s="7"/>
      <c r="Z195" s="7"/>
      <c r="AA195" s="7"/>
      <c r="AB195" s="7"/>
      <c r="AC195" s="9"/>
      <c r="AD195" s="9"/>
      <c r="AE195" s="9"/>
      <c r="AF195" s="3"/>
      <c r="AG195" s="3"/>
      <c r="AH195" s="3"/>
      <c r="AL195" s="11"/>
      <c r="AM195" s="3"/>
      <c r="AN195" s="3"/>
      <c r="AO195" s="11"/>
      <c r="AP195" s="7"/>
      <c r="AQ195" s="7"/>
      <c r="AR195" s="7"/>
      <c r="AS195" s="7"/>
      <c r="AT195" s="9"/>
      <c r="AU195" s="9"/>
      <c r="AV195" s="9"/>
      <c r="AW195" s="3"/>
      <c r="AX195" s="3"/>
      <c r="AY195" s="3"/>
    </row>
    <row r="196" spans="1:51" x14ac:dyDescent="0.25">
      <c r="A196">
        <v>163</v>
      </c>
      <c r="B196" s="1" t="s">
        <v>204</v>
      </c>
      <c r="C196" s="1" t="s">
        <v>682</v>
      </c>
      <c r="D196" s="2">
        <v>40827</v>
      </c>
      <c r="E196" s="3">
        <v>43.6</v>
      </c>
      <c r="F196" s="4">
        <f t="shared" si="14"/>
        <v>6390.1765180706361</v>
      </c>
      <c r="G196" s="2">
        <v>40205</v>
      </c>
      <c r="H196" s="7">
        <v>3.54</v>
      </c>
      <c r="I196" s="7">
        <f>H196+H211-2*$A$24</f>
        <v>5.9799999999999995</v>
      </c>
      <c r="J196" s="7">
        <v>2.96</v>
      </c>
      <c r="K196" s="7">
        <v>5.0199999999999996</v>
      </c>
      <c r="L196" s="6">
        <f t="shared" si="15"/>
        <v>0.32107023411371238</v>
      </c>
      <c r="M196" s="6">
        <f t="shared" si="16"/>
        <v>0.55518394648829428</v>
      </c>
      <c r="N196" s="6">
        <f t="shared" si="17"/>
        <v>0.12374581939799334</v>
      </c>
      <c r="O196" s="4">
        <f t="shared" si="18"/>
        <v>2051.6954706848865</v>
      </c>
      <c r="P196" s="4">
        <f t="shared" si="19"/>
        <v>3547.7234180592827</v>
      </c>
      <c r="Q196" s="4">
        <f t="shared" si="20"/>
        <v>5599.4188887441687</v>
      </c>
      <c r="V196" s="3"/>
      <c r="W196" s="3"/>
      <c r="Y196" s="7"/>
      <c r="Z196" s="7"/>
      <c r="AA196" s="7"/>
      <c r="AB196" s="7"/>
      <c r="AC196" s="9"/>
      <c r="AD196" s="9"/>
      <c r="AE196" s="9"/>
      <c r="AF196" s="3"/>
      <c r="AG196" s="3"/>
      <c r="AH196" s="3"/>
      <c r="AJ196" t="s">
        <v>802</v>
      </c>
      <c r="AK196" t="s">
        <v>682</v>
      </c>
      <c r="AL196" s="11">
        <f>D202</f>
        <v>40827</v>
      </c>
      <c r="AM196" s="3">
        <f>SUM(E202,E205)</f>
        <v>75.3</v>
      </c>
      <c r="AN196" s="3">
        <f>(AM196-4*$A$20)*$A$21/(2*$A$22)*$A$23</f>
        <v>5472.6680653071162</v>
      </c>
      <c r="AO196" s="11">
        <f>G202</f>
        <v>40205</v>
      </c>
      <c r="AP196" s="7">
        <f>SUM(H202,H205)</f>
        <v>5.58</v>
      </c>
      <c r="AQ196" s="7">
        <f>SUM(I202,I205)</f>
        <v>10.52</v>
      </c>
      <c r="AR196" s="7">
        <f>SUM(J202,J205)</f>
        <v>5.56</v>
      </c>
      <c r="AS196" s="7">
        <f>SUM(K202,K205)</f>
        <v>9.32</v>
      </c>
      <c r="AT196" s="9">
        <f>(AR196-2*$A$25)/AQ196</f>
        <v>0.33079847908745247</v>
      </c>
      <c r="AU196" s="9">
        <f>(AS196-2*$A$26)/AQ196</f>
        <v>0.56273764258555137</v>
      </c>
      <c r="AV196" s="9">
        <f>1-AT196-AU196</f>
        <v>0.10646387832699611</v>
      </c>
      <c r="AW196" s="3">
        <f>AN196*AT196</f>
        <v>1810.350272554065</v>
      </c>
      <c r="AX196" s="3">
        <f>AN196*AU196</f>
        <v>3079.6763257241569</v>
      </c>
      <c r="AY196" s="3">
        <f>AW196+AX196</f>
        <v>4890.0265982782221</v>
      </c>
    </row>
    <row r="197" spans="1:51" x14ac:dyDescent="0.25">
      <c r="A197">
        <v>164</v>
      </c>
      <c r="B197" s="1" t="s">
        <v>205</v>
      </c>
      <c r="C197" s="1" t="s">
        <v>682</v>
      </c>
      <c r="D197" s="2">
        <v>40827</v>
      </c>
      <c r="E197" s="3">
        <v>27.6</v>
      </c>
      <c r="F197" s="4">
        <f t="shared" si="14"/>
        <v>3922.9268971939437</v>
      </c>
      <c r="G197" s="2">
        <v>40205</v>
      </c>
      <c r="H197" s="7">
        <v>3.16</v>
      </c>
      <c r="I197" s="7">
        <f>H197+H210-2*$A$24</f>
        <v>5.42</v>
      </c>
      <c r="J197" s="7">
        <v>2.8</v>
      </c>
      <c r="K197" s="7">
        <v>4.74</v>
      </c>
      <c r="L197" s="6">
        <f t="shared" si="15"/>
        <v>0.32472324723247231</v>
      </c>
      <c r="M197" s="6">
        <f t="shared" si="16"/>
        <v>0.56088560885608862</v>
      </c>
      <c r="N197" s="6">
        <f t="shared" si="17"/>
        <v>0.11439114391143901</v>
      </c>
      <c r="O197" s="4">
        <f t="shared" si="18"/>
        <v>1273.8655607124244</v>
      </c>
      <c r="P197" s="4">
        <f t="shared" si="19"/>
        <v>2200.3132412305517</v>
      </c>
      <c r="Q197" s="4">
        <f t="shared" si="20"/>
        <v>3474.178801942976</v>
      </c>
      <c r="V197" s="3"/>
      <c r="W197" s="3"/>
      <c r="Y197" s="7"/>
      <c r="Z197" s="7"/>
      <c r="AA197" s="7"/>
      <c r="AB197" s="7"/>
      <c r="AC197" s="9"/>
      <c r="AD197" s="9"/>
      <c r="AE197" s="9"/>
      <c r="AF197" s="3"/>
      <c r="AG197" s="3"/>
      <c r="AH197" s="3"/>
      <c r="AL197" s="11"/>
      <c r="AM197" s="3"/>
      <c r="AN197" s="3"/>
      <c r="AO197" s="11"/>
      <c r="AP197" s="7"/>
      <c r="AQ197" s="7"/>
      <c r="AR197" s="7"/>
      <c r="AS197" s="7"/>
      <c r="AT197" s="9"/>
      <c r="AU197" s="9"/>
      <c r="AV197" s="9"/>
      <c r="AW197" s="3"/>
      <c r="AX197" s="3"/>
      <c r="AY197" s="3"/>
    </row>
    <row r="198" spans="1:51" x14ac:dyDescent="0.25">
      <c r="A198">
        <v>165</v>
      </c>
      <c r="B198" s="1" t="s">
        <v>206</v>
      </c>
      <c r="C198" s="1" t="s">
        <v>682</v>
      </c>
      <c r="D198" s="2">
        <v>40827</v>
      </c>
      <c r="E198" s="3">
        <v>36.4</v>
      </c>
      <c r="F198" s="4">
        <f t="shared" si="14"/>
        <v>5279.9141886761236</v>
      </c>
      <c r="G198" s="2">
        <v>40205</v>
      </c>
      <c r="H198" s="7">
        <v>2.96</v>
      </c>
      <c r="I198" s="7">
        <f>H198+H209-2*$A$24</f>
        <v>5.5</v>
      </c>
      <c r="J198" s="7">
        <v>2.86</v>
      </c>
      <c r="K198" s="7">
        <v>4.82</v>
      </c>
      <c r="L198" s="6">
        <f t="shared" si="15"/>
        <v>0.33090909090909087</v>
      </c>
      <c r="M198" s="6">
        <f t="shared" si="16"/>
        <v>0.56727272727272726</v>
      </c>
      <c r="N198" s="6">
        <f t="shared" si="17"/>
        <v>0.10181818181818192</v>
      </c>
      <c r="O198" s="4">
        <f t="shared" si="18"/>
        <v>1747.1716042528262</v>
      </c>
      <c r="P198" s="4">
        <f t="shared" si="19"/>
        <v>2995.1513215762739</v>
      </c>
      <c r="Q198" s="4">
        <f t="shared" si="20"/>
        <v>4742.3229258291003</v>
      </c>
      <c r="V198" s="3"/>
      <c r="W198" s="3"/>
      <c r="Y198" s="7"/>
      <c r="Z198" s="7"/>
      <c r="AA198" s="7"/>
      <c r="AB198" s="7"/>
      <c r="AC198" s="9"/>
      <c r="AD198" s="9"/>
      <c r="AE198" s="9"/>
      <c r="AF198" s="3"/>
      <c r="AG198" s="3"/>
      <c r="AH198" s="3"/>
      <c r="AJ198" t="s">
        <v>803</v>
      </c>
      <c r="AK198" t="s">
        <v>682</v>
      </c>
      <c r="AL198" s="11">
        <f>D201</f>
        <v>40827</v>
      </c>
      <c r="AM198" s="3">
        <f>SUM(E201,E206)</f>
        <v>71.099999999999994</v>
      </c>
      <c r="AN198" s="3">
        <f>(AM198-4*$A$20)*$A$21/(2*$A$22)*$A$23</f>
        <v>5148.8415525670507</v>
      </c>
      <c r="AO198" s="11">
        <f>G201</f>
        <v>40205</v>
      </c>
      <c r="AP198" s="7">
        <f>SUM(H201,H206)</f>
        <v>5.42</v>
      </c>
      <c r="AQ198" s="7">
        <f>SUM(I201,I206)</f>
        <v>10.199999999999999</v>
      </c>
      <c r="AR198" s="7">
        <f>SUM(J201,J206)</f>
        <v>5.52</v>
      </c>
      <c r="AS198" s="7">
        <f>SUM(K201,K206)</f>
        <v>9.08</v>
      </c>
      <c r="AT198" s="9">
        <f>(AR198-2*$A$25)/AQ198</f>
        <v>0.33725490196078428</v>
      </c>
      <c r="AU198" s="9">
        <f>(AS198-2*$A$26)/AQ198</f>
        <v>0.55686274509803924</v>
      </c>
      <c r="AV198" s="9">
        <f>1-AT198-AU198</f>
        <v>0.10588235294117654</v>
      </c>
      <c r="AW198" s="3">
        <f>AN198*AT198</f>
        <v>1736.472053022613</v>
      </c>
      <c r="AX198" s="3">
        <f>AN198*AU198</f>
        <v>2867.198041037338</v>
      </c>
      <c r="AY198" s="3">
        <f>AW198+AX198</f>
        <v>4603.6700940599512</v>
      </c>
    </row>
    <row r="199" spans="1:51" x14ac:dyDescent="0.25">
      <c r="A199">
        <v>166</v>
      </c>
      <c r="B199" s="1" t="s">
        <v>207</v>
      </c>
      <c r="C199" s="1" t="s">
        <v>682</v>
      </c>
      <c r="D199" s="2">
        <v>40827</v>
      </c>
      <c r="E199" s="3">
        <v>37.1</v>
      </c>
      <c r="F199" s="4">
        <f t="shared" si="14"/>
        <v>5387.8563595894802</v>
      </c>
      <c r="G199" s="2">
        <v>40205</v>
      </c>
      <c r="H199" s="7">
        <v>2.88</v>
      </c>
      <c r="I199" s="7">
        <f>H199+H208-2*$A$24</f>
        <v>5.24</v>
      </c>
      <c r="J199" s="7">
        <v>2.8</v>
      </c>
      <c r="K199" s="7">
        <v>4.5999999999999996</v>
      </c>
      <c r="L199" s="6">
        <f t="shared" si="15"/>
        <v>0.3358778625954198</v>
      </c>
      <c r="M199" s="6">
        <f t="shared" si="16"/>
        <v>0.55343511450381666</v>
      </c>
      <c r="N199" s="6">
        <f t="shared" si="17"/>
        <v>0.1106870229007636</v>
      </c>
      <c r="O199" s="4">
        <f t="shared" si="18"/>
        <v>1809.6616780300542</v>
      </c>
      <c r="P199" s="4">
        <f t="shared" si="19"/>
        <v>2981.8289012995206</v>
      </c>
      <c r="Q199" s="4">
        <f t="shared" si="20"/>
        <v>4791.4905793295748</v>
      </c>
      <c r="V199" s="3"/>
      <c r="W199" s="3"/>
      <c r="Y199" s="7"/>
      <c r="Z199" s="7"/>
      <c r="AA199" s="7"/>
      <c r="AB199" s="7"/>
      <c r="AC199" s="9"/>
      <c r="AD199" s="9"/>
      <c r="AE199" s="9"/>
      <c r="AF199" s="3"/>
      <c r="AG199" s="3"/>
      <c r="AH199" s="3"/>
      <c r="AL199" s="11"/>
      <c r="AM199" s="3"/>
      <c r="AN199" s="3"/>
      <c r="AO199" s="11"/>
      <c r="AP199" s="7"/>
      <c r="AQ199" s="7"/>
      <c r="AR199" s="7"/>
      <c r="AS199" s="7"/>
      <c r="AT199" s="9"/>
      <c r="AU199" s="9"/>
      <c r="AV199" s="9"/>
      <c r="AW199" s="3"/>
      <c r="AX199" s="3"/>
      <c r="AY199" s="3"/>
    </row>
    <row r="200" spans="1:51" x14ac:dyDescent="0.25">
      <c r="A200">
        <v>167</v>
      </c>
      <c r="B200" s="1" t="s">
        <v>208</v>
      </c>
      <c r="C200" s="1" t="s">
        <v>682</v>
      </c>
      <c r="D200" s="2">
        <v>40827</v>
      </c>
      <c r="E200" s="3">
        <v>35</v>
      </c>
      <c r="F200" s="4">
        <f t="shared" si="14"/>
        <v>5064.0298468494148</v>
      </c>
      <c r="G200" s="2">
        <v>40205</v>
      </c>
      <c r="H200" s="7">
        <v>2.6</v>
      </c>
      <c r="I200" s="7">
        <f>H200+H207-2*$A$24</f>
        <v>5.24</v>
      </c>
      <c r="J200" s="7">
        <v>2.82</v>
      </c>
      <c r="K200" s="7">
        <v>4.68</v>
      </c>
      <c r="L200" s="6">
        <f t="shared" si="15"/>
        <v>0.33969465648854957</v>
      </c>
      <c r="M200" s="6">
        <f t="shared" si="16"/>
        <v>0.56870229007633577</v>
      </c>
      <c r="N200" s="6">
        <f t="shared" si="17"/>
        <v>9.1603053435114656E-2</v>
      </c>
      <c r="O200" s="4">
        <f t="shared" si="18"/>
        <v>1720.2238792732742</v>
      </c>
      <c r="P200" s="4">
        <f t="shared" si="19"/>
        <v>2879.925370918178</v>
      </c>
      <c r="Q200" s="4">
        <f t="shared" si="20"/>
        <v>4600.1492501914527</v>
      </c>
      <c r="V200" s="3"/>
      <c r="W200" s="3"/>
      <c r="Y200" s="7"/>
      <c r="Z200" s="7"/>
      <c r="AA200" s="7"/>
      <c r="AB200" s="7"/>
      <c r="AC200" s="9"/>
      <c r="AD200" s="9"/>
      <c r="AE200" s="9"/>
      <c r="AF200" s="3"/>
      <c r="AG200" s="3"/>
      <c r="AH200" s="3"/>
      <c r="AJ200" t="s">
        <v>804</v>
      </c>
      <c r="AK200" t="s">
        <v>682</v>
      </c>
      <c r="AL200" s="11">
        <f>D200</f>
        <v>40827</v>
      </c>
      <c r="AM200" s="3">
        <f>SUM(E200,E207)</f>
        <v>70.3</v>
      </c>
      <c r="AN200" s="3">
        <f>(AM200-4*$A$20)*$A$21/(2*$A$22)*$A$23</f>
        <v>5087.1603120451327</v>
      </c>
      <c r="AO200" s="11">
        <f>G200</f>
        <v>40205</v>
      </c>
      <c r="AP200" s="7">
        <f>SUM(H200,H207)</f>
        <v>5.5600000000000005</v>
      </c>
      <c r="AQ200" s="7">
        <f>SUM(I200,I207)</f>
        <v>10.48</v>
      </c>
      <c r="AR200" s="7">
        <f>SUM(J200,J207)</f>
        <v>5.64</v>
      </c>
      <c r="AS200" s="7">
        <f>SUM(K200,K207)</f>
        <v>9.36</v>
      </c>
      <c r="AT200" s="9">
        <f>(AR200-2*$A$25)/AQ200</f>
        <v>0.33969465648854957</v>
      </c>
      <c r="AU200" s="9">
        <f>(AS200-2*$A$26)/AQ200</f>
        <v>0.56870229007633577</v>
      </c>
      <c r="AV200" s="9">
        <f>1-AT200-AU200</f>
        <v>9.1603053435114656E-2</v>
      </c>
      <c r="AW200" s="3">
        <f>AN200*AT200</f>
        <v>1728.081174702354</v>
      </c>
      <c r="AX200" s="3">
        <f>AN200*AU200</f>
        <v>2893.079719445514</v>
      </c>
      <c r="AY200" s="3">
        <f>AW200+AX200</f>
        <v>4621.160894147868</v>
      </c>
    </row>
    <row r="201" spans="1:51" x14ac:dyDescent="0.25">
      <c r="A201">
        <v>168</v>
      </c>
      <c r="B201" s="1" t="s">
        <v>209</v>
      </c>
      <c r="C201" s="1" t="s">
        <v>682</v>
      </c>
      <c r="D201" s="2">
        <v>40827</v>
      </c>
      <c r="E201" s="3">
        <v>34.5</v>
      </c>
      <c r="F201" s="4">
        <f t="shared" si="14"/>
        <v>4986.9282961970175</v>
      </c>
      <c r="G201" s="2">
        <v>40205</v>
      </c>
      <c r="H201" s="7">
        <v>2.44</v>
      </c>
      <c r="I201" s="7">
        <f>H201+H206-2*$A$24</f>
        <v>5.0999999999999996</v>
      </c>
      <c r="J201" s="7">
        <v>2.76</v>
      </c>
      <c r="K201" s="7">
        <v>4.54</v>
      </c>
      <c r="L201" s="6">
        <f t="shared" si="15"/>
        <v>0.33725490196078428</v>
      </c>
      <c r="M201" s="6">
        <f t="shared" si="16"/>
        <v>0.55686274509803924</v>
      </c>
      <c r="N201" s="6">
        <f t="shared" si="17"/>
        <v>0.10588235294117654</v>
      </c>
      <c r="O201" s="4">
        <f t="shared" si="18"/>
        <v>1681.8660136193862</v>
      </c>
      <c r="P201" s="4">
        <f t="shared" si="19"/>
        <v>2777.034580627359</v>
      </c>
      <c r="Q201" s="4">
        <f t="shared" si="20"/>
        <v>4458.9005942467447</v>
      </c>
      <c r="V201" s="3"/>
      <c r="W201" s="3"/>
      <c r="Y201" s="7"/>
      <c r="Z201" s="7"/>
      <c r="AA201" s="7"/>
      <c r="AB201" s="7"/>
      <c r="AC201" s="9"/>
      <c r="AD201" s="9"/>
      <c r="AE201" s="9"/>
      <c r="AF201" s="3"/>
      <c r="AG201" s="3"/>
      <c r="AH201" s="3"/>
      <c r="AL201" s="11"/>
      <c r="AM201" s="3"/>
      <c r="AN201" s="3"/>
      <c r="AO201" s="11"/>
      <c r="AP201" s="7"/>
      <c r="AQ201" s="7"/>
      <c r="AR201" s="7"/>
      <c r="AS201" s="7"/>
      <c r="AT201" s="9"/>
      <c r="AU201" s="9"/>
      <c r="AV201" s="9"/>
      <c r="AW201" s="3"/>
      <c r="AX201" s="3"/>
      <c r="AY201" s="3"/>
    </row>
    <row r="202" spans="1:51" x14ac:dyDescent="0.25">
      <c r="A202">
        <v>169</v>
      </c>
      <c r="B202" s="1" t="s">
        <v>210</v>
      </c>
      <c r="C202" s="1" t="s">
        <v>682</v>
      </c>
      <c r="D202" s="2">
        <v>40827</v>
      </c>
      <c r="E202" s="3">
        <v>36.099999999999994</v>
      </c>
      <c r="F202" s="4">
        <f t="shared" si="14"/>
        <v>5233.6532582846858</v>
      </c>
      <c r="G202" s="2">
        <v>40205</v>
      </c>
      <c r="H202" s="7">
        <v>2.88</v>
      </c>
      <c r="I202" s="7">
        <f>H202+H205-2*$A$24</f>
        <v>5.26</v>
      </c>
      <c r="J202" s="7">
        <v>2.78</v>
      </c>
      <c r="K202" s="7">
        <v>4.66</v>
      </c>
      <c r="L202" s="6">
        <f t="shared" si="15"/>
        <v>0.33079847908745247</v>
      </c>
      <c r="M202" s="6">
        <f t="shared" si="16"/>
        <v>0.56273764258555137</v>
      </c>
      <c r="N202" s="6">
        <f t="shared" si="17"/>
        <v>0.10646387832699611</v>
      </c>
      <c r="O202" s="4">
        <f t="shared" si="18"/>
        <v>1731.2845379116641</v>
      </c>
      <c r="P202" s="4">
        <f t="shared" si="19"/>
        <v>2945.1736966773137</v>
      </c>
      <c r="Q202" s="4">
        <f t="shared" si="20"/>
        <v>4676.4582345889776</v>
      </c>
      <c r="V202" s="3"/>
      <c r="W202" s="3"/>
      <c r="Y202" s="7"/>
      <c r="Z202" s="7"/>
      <c r="AA202" s="7"/>
      <c r="AB202" s="7"/>
      <c r="AC202" s="9"/>
      <c r="AD202" s="9"/>
      <c r="AE202" s="9"/>
      <c r="AF202" s="3"/>
      <c r="AG202" s="3"/>
      <c r="AH202" s="3"/>
      <c r="AJ202" t="s">
        <v>805</v>
      </c>
      <c r="AK202" t="s">
        <v>682</v>
      </c>
      <c r="AL202" s="11">
        <f>D199</f>
        <v>40827</v>
      </c>
      <c r="AM202" s="3">
        <f>SUM(E199,E208)</f>
        <v>75.900000000000006</v>
      </c>
      <c r="AN202" s="3">
        <f>(AM202-4*$A$20)*$A$21/(2*$A$22)*$A$23</f>
        <v>5518.9289956985558</v>
      </c>
      <c r="AO202" s="11">
        <f>G199</f>
        <v>40205</v>
      </c>
      <c r="AP202" s="7">
        <f>SUM(H199,H208)</f>
        <v>5.5600000000000005</v>
      </c>
      <c r="AQ202" s="7">
        <f>SUM(I199,I208)</f>
        <v>10.48</v>
      </c>
      <c r="AR202" s="7">
        <f>SUM(J199,J208)</f>
        <v>5.6</v>
      </c>
      <c r="AS202" s="7">
        <f>SUM(K199,K208)</f>
        <v>9.1999999999999993</v>
      </c>
      <c r="AT202" s="9">
        <f>(AR202-2*$A$25)/AQ202</f>
        <v>0.3358778625954198</v>
      </c>
      <c r="AU202" s="9">
        <f>(AS202-2*$A$26)/AQ202</f>
        <v>0.55343511450381666</v>
      </c>
      <c r="AV202" s="9">
        <f>1-AT202-AU202</f>
        <v>0.1106870229007636</v>
      </c>
      <c r="AW202" s="3">
        <f>AN202*AT202</f>
        <v>1853.6860748911176</v>
      </c>
      <c r="AX202" s="3">
        <f>AN202*AU202</f>
        <v>3054.3691006728641</v>
      </c>
      <c r="AY202" s="3">
        <f>AW202+AX202</f>
        <v>4908.0551755639817</v>
      </c>
    </row>
    <row r="203" spans="1:51" x14ac:dyDescent="0.25">
      <c r="A203">
        <v>170</v>
      </c>
      <c r="B203" s="1" t="s">
        <v>211</v>
      </c>
      <c r="C203" s="1" t="s">
        <v>682</v>
      </c>
      <c r="D203" s="2">
        <v>40827</v>
      </c>
      <c r="E203" s="3">
        <v>35.200000000000003</v>
      </c>
      <c r="F203" s="4">
        <f t="shared" si="14"/>
        <v>5094.8704671103742</v>
      </c>
      <c r="G203" s="2">
        <v>40205</v>
      </c>
      <c r="H203" s="7">
        <v>2.68</v>
      </c>
      <c r="I203" s="7">
        <f>H203+H204-2*$A$24</f>
        <v>5.4399999999999995</v>
      </c>
      <c r="J203" s="7">
        <v>2.86</v>
      </c>
      <c r="K203" s="7">
        <v>4.74</v>
      </c>
      <c r="L203" s="6">
        <f t="shared" si="15"/>
        <v>0.33455882352941174</v>
      </c>
      <c r="M203" s="6">
        <f t="shared" si="16"/>
        <v>0.55882352941176472</v>
      </c>
      <c r="N203" s="6">
        <f t="shared" si="17"/>
        <v>0.10661764705882359</v>
      </c>
      <c r="O203" s="4">
        <f t="shared" si="18"/>
        <v>1704.5338695111911</v>
      </c>
      <c r="P203" s="4">
        <f t="shared" si="19"/>
        <v>2847.1334963263857</v>
      </c>
      <c r="Q203" s="4">
        <f t="shared" si="20"/>
        <v>4551.6673658375767</v>
      </c>
      <c r="V203" s="3"/>
      <c r="W203" s="3"/>
      <c r="Y203" s="7"/>
      <c r="Z203" s="7"/>
      <c r="AA203" s="7"/>
      <c r="AB203" s="7"/>
      <c r="AC203" s="9"/>
      <c r="AD203" s="9"/>
      <c r="AE203" s="9"/>
      <c r="AF203" s="3"/>
      <c r="AG203" s="3"/>
      <c r="AH203" s="3"/>
      <c r="AL203" s="11"/>
      <c r="AM203" s="3"/>
      <c r="AN203" s="3"/>
      <c r="AO203" s="11"/>
      <c r="AP203" s="7"/>
      <c r="AQ203" s="7"/>
      <c r="AR203" s="7"/>
      <c r="AS203" s="7"/>
      <c r="AT203" s="9"/>
      <c r="AU203" s="9"/>
      <c r="AV203" s="9"/>
      <c r="AW203" s="3"/>
      <c r="AX203" s="3"/>
      <c r="AY203" s="3"/>
    </row>
    <row r="204" spans="1:51" x14ac:dyDescent="0.25">
      <c r="A204">
        <v>171</v>
      </c>
      <c r="B204" s="1" t="s">
        <v>212</v>
      </c>
      <c r="C204" s="1" t="s">
        <v>682</v>
      </c>
      <c r="D204" s="2">
        <v>40827</v>
      </c>
      <c r="E204" s="3">
        <v>36.6</v>
      </c>
      <c r="F204" s="4">
        <f t="shared" si="14"/>
        <v>5310.754808937083</v>
      </c>
      <c r="G204" s="2">
        <v>40205</v>
      </c>
      <c r="H204" s="7">
        <v>3.08</v>
      </c>
      <c r="I204" s="7">
        <f>H204+H203-2*$A$24</f>
        <v>5.4399999999999995</v>
      </c>
      <c r="J204" s="7">
        <v>2.86</v>
      </c>
      <c r="K204" s="7">
        <v>4.74</v>
      </c>
      <c r="L204" s="6">
        <f t="shared" si="15"/>
        <v>0.33455882352941174</v>
      </c>
      <c r="M204" s="6">
        <f t="shared" si="16"/>
        <v>0.55882352941176472</v>
      </c>
      <c r="N204" s="6">
        <f t="shared" si="17"/>
        <v>0.10661764705882359</v>
      </c>
      <c r="O204" s="4">
        <f t="shared" si="18"/>
        <v>1776.7598809311564</v>
      </c>
      <c r="P204" s="4">
        <f t="shared" si="19"/>
        <v>2967.7747461707231</v>
      </c>
      <c r="Q204" s="4">
        <f t="shared" si="20"/>
        <v>4744.5346271018798</v>
      </c>
      <c r="V204" s="3"/>
      <c r="W204" s="3"/>
      <c r="Y204" s="7"/>
      <c r="Z204" s="7"/>
      <c r="AA204" s="7"/>
      <c r="AB204" s="7"/>
      <c r="AC204" s="9"/>
      <c r="AD204" s="9"/>
      <c r="AE204" s="9"/>
      <c r="AF204" s="3"/>
      <c r="AG204" s="3"/>
      <c r="AH204" s="3"/>
      <c r="AJ204" t="s">
        <v>806</v>
      </c>
      <c r="AK204" t="s">
        <v>682</v>
      </c>
      <c r="AL204" s="11">
        <f>D198</f>
        <v>40827</v>
      </c>
      <c r="AM204" s="3">
        <f>SUM(E198,E209)</f>
        <v>77.8</v>
      </c>
      <c r="AN204" s="3">
        <f>(AM204-4*$A$20)*$A$21/(2*$A$22)*$A$23</f>
        <v>5665.421941938107</v>
      </c>
      <c r="AO204" s="11">
        <f>G198</f>
        <v>40205</v>
      </c>
      <c r="AP204" s="7">
        <f>SUM(H198,H209)</f>
        <v>5.82</v>
      </c>
      <c r="AQ204" s="7">
        <f>SUM(I198,I209)</f>
        <v>11</v>
      </c>
      <c r="AR204" s="7">
        <f>SUM(J198,J209)</f>
        <v>5.72</v>
      </c>
      <c r="AS204" s="7">
        <f>SUM(K198,K209)</f>
        <v>9.64</v>
      </c>
      <c r="AT204" s="9">
        <f>(AR204-2*$A$25)/AQ204</f>
        <v>0.33090909090909087</v>
      </c>
      <c r="AU204" s="9">
        <f>(AS204-2*$A$26)/AQ204</f>
        <v>0.56727272727272726</v>
      </c>
      <c r="AV204" s="9">
        <f>1-AT204-AU204</f>
        <v>0.10181818181818192</v>
      </c>
      <c r="AW204" s="3">
        <f>AN204*AT204</f>
        <v>1874.7396244231552</v>
      </c>
      <c r="AX204" s="3">
        <f>AN204*AU204</f>
        <v>3213.8393561539806</v>
      </c>
      <c r="AY204" s="3">
        <f>AW204+AX204</f>
        <v>5088.5789805771356</v>
      </c>
    </row>
    <row r="205" spans="1:51" x14ac:dyDescent="0.25">
      <c r="A205">
        <v>172</v>
      </c>
      <c r="B205" s="1" t="s">
        <v>213</v>
      </c>
      <c r="C205" s="1" t="s">
        <v>682</v>
      </c>
      <c r="D205" s="2">
        <v>40827</v>
      </c>
      <c r="E205" s="3">
        <v>39.200000000000003</v>
      </c>
      <c r="F205" s="4">
        <f t="shared" si="14"/>
        <v>5711.6828723295475</v>
      </c>
      <c r="G205" s="2">
        <v>40205</v>
      </c>
      <c r="H205" s="7">
        <v>2.7</v>
      </c>
      <c r="I205" s="7">
        <f>H205+H202-2*$A$24</f>
        <v>5.26</v>
      </c>
      <c r="J205" s="7">
        <v>2.78</v>
      </c>
      <c r="K205" s="7">
        <v>4.66</v>
      </c>
      <c r="L205" s="6">
        <f t="shared" si="15"/>
        <v>0.33079847908745247</v>
      </c>
      <c r="M205" s="6">
        <f t="shared" si="16"/>
        <v>0.56273764258555137</v>
      </c>
      <c r="N205" s="6">
        <f t="shared" si="17"/>
        <v>0.10646387832699611</v>
      </c>
      <c r="O205" s="4">
        <f t="shared" si="18"/>
        <v>1889.4160071964664</v>
      </c>
      <c r="P205" s="4">
        <f t="shared" si="19"/>
        <v>3214.1789547710005</v>
      </c>
      <c r="Q205" s="4">
        <f t="shared" si="20"/>
        <v>5103.5949619674666</v>
      </c>
      <c r="V205" s="3"/>
      <c r="W205" s="3"/>
      <c r="Y205" s="7"/>
      <c r="Z205" s="7"/>
      <c r="AA205" s="7"/>
      <c r="AB205" s="7"/>
      <c r="AC205" s="9"/>
      <c r="AD205" s="9"/>
      <c r="AE205" s="9"/>
      <c r="AF205" s="3"/>
      <c r="AG205" s="3"/>
      <c r="AH205" s="3"/>
      <c r="AL205" s="11"/>
      <c r="AM205" s="3"/>
      <c r="AN205" s="3"/>
      <c r="AO205" s="11"/>
      <c r="AP205" s="7"/>
      <c r="AQ205" s="7"/>
      <c r="AR205" s="7"/>
      <c r="AS205" s="7"/>
      <c r="AT205" s="9"/>
      <c r="AU205" s="9"/>
      <c r="AV205" s="9"/>
      <c r="AW205" s="3"/>
      <c r="AX205" s="3"/>
      <c r="AY205" s="3"/>
    </row>
    <row r="206" spans="1:51" x14ac:dyDescent="0.25">
      <c r="A206">
        <v>173</v>
      </c>
      <c r="B206" s="1" t="s">
        <v>214</v>
      </c>
      <c r="C206" s="1" t="s">
        <v>682</v>
      </c>
      <c r="D206" s="2">
        <v>40827</v>
      </c>
      <c r="E206" s="3">
        <v>36.6</v>
      </c>
      <c r="F206" s="4">
        <f t="shared" si="14"/>
        <v>5310.754808937083</v>
      </c>
      <c r="G206" s="2">
        <v>40205</v>
      </c>
      <c r="H206" s="7">
        <v>2.98</v>
      </c>
      <c r="I206" s="7">
        <f>H206+H201-2*$A$24</f>
        <v>5.0999999999999996</v>
      </c>
      <c r="J206" s="7">
        <v>2.76</v>
      </c>
      <c r="K206" s="7">
        <v>4.54</v>
      </c>
      <c r="L206" s="6">
        <f t="shared" si="15"/>
        <v>0.33725490196078428</v>
      </c>
      <c r="M206" s="6">
        <f t="shared" si="16"/>
        <v>0.55686274509803924</v>
      </c>
      <c r="N206" s="6">
        <f t="shared" si="17"/>
        <v>0.10588235294117654</v>
      </c>
      <c r="O206" s="4">
        <f t="shared" si="18"/>
        <v>1791.0780924258395</v>
      </c>
      <c r="P206" s="4">
        <f t="shared" si="19"/>
        <v>2957.3615014473171</v>
      </c>
      <c r="Q206" s="4">
        <f t="shared" si="20"/>
        <v>4748.4395938731568</v>
      </c>
      <c r="V206" s="3"/>
      <c r="W206" s="3"/>
      <c r="Y206" s="7"/>
      <c r="Z206" s="7"/>
      <c r="AA206" s="7"/>
      <c r="AB206" s="7"/>
      <c r="AC206" s="9"/>
      <c r="AD206" s="9"/>
      <c r="AE206" s="9"/>
      <c r="AF206" s="3"/>
      <c r="AG206" s="3"/>
      <c r="AH206" s="3"/>
      <c r="AJ206" t="s">
        <v>807</v>
      </c>
      <c r="AK206" t="s">
        <v>682</v>
      </c>
      <c r="AL206" s="11">
        <f>D197</f>
        <v>40827</v>
      </c>
      <c r="AM206" s="3">
        <f>SUM(E197,E210)</f>
        <v>65.5</v>
      </c>
      <c r="AN206" s="3">
        <f>(AM206-4*$A$20)*$A$21/(2*$A$22)*$A$23</f>
        <v>4717.0728689136295</v>
      </c>
      <c r="AO206" s="11">
        <f>G197</f>
        <v>40205</v>
      </c>
      <c r="AP206" s="7">
        <f>SUM(H197,H210)</f>
        <v>5.74</v>
      </c>
      <c r="AQ206" s="7">
        <f>SUM(I197,I210)</f>
        <v>10.84</v>
      </c>
      <c r="AR206" s="7">
        <f>SUM(J197,J210)</f>
        <v>5.6</v>
      </c>
      <c r="AS206" s="7">
        <f>SUM(K197,K210)</f>
        <v>9.48</v>
      </c>
      <c r="AT206" s="9">
        <f>(AR206-2*$A$25)/AQ206</f>
        <v>0.32472324723247231</v>
      </c>
      <c r="AU206" s="9">
        <f>(AS206-2*$A$26)/AQ206</f>
        <v>0.56088560885608862</v>
      </c>
      <c r="AV206" s="9">
        <f>1-AT206-AU206</f>
        <v>0.11439114391143901</v>
      </c>
      <c r="AW206" s="3">
        <f>AN206*AT206</f>
        <v>1531.7432194258279</v>
      </c>
      <c r="AX206" s="3">
        <f>AN206*AU206</f>
        <v>2645.7382880991577</v>
      </c>
      <c r="AY206" s="3">
        <f>AW206+AX206</f>
        <v>4177.4815075249853</v>
      </c>
    </row>
    <row r="207" spans="1:51" x14ac:dyDescent="0.25">
      <c r="A207">
        <v>174</v>
      </c>
      <c r="B207" s="1" t="s">
        <v>215</v>
      </c>
      <c r="C207" s="1" t="s">
        <v>682</v>
      </c>
      <c r="D207" s="2">
        <v>40827</v>
      </c>
      <c r="E207" s="3">
        <v>35.299999999999997</v>
      </c>
      <c r="F207" s="4">
        <f t="shared" si="14"/>
        <v>5110.2907772408525</v>
      </c>
      <c r="G207" s="2">
        <v>40205</v>
      </c>
      <c r="H207" s="7">
        <v>2.96</v>
      </c>
      <c r="I207" s="7">
        <f>H207+H200-2*$A$24</f>
        <v>5.24</v>
      </c>
      <c r="J207" s="7">
        <v>2.82</v>
      </c>
      <c r="K207" s="7">
        <v>4.68</v>
      </c>
      <c r="L207" s="6">
        <f t="shared" si="15"/>
        <v>0.33969465648854957</v>
      </c>
      <c r="M207" s="6">
        <f t="shared" si="16"/>
        <v>0.56870229007633577</v>
      </c>
      <c r="N207" s="6">
        <f t="shared" si="17"/>
        <v>9.1603053435114656E-2</v>
      </c>
      <c r="O207" s="4">
        <f t="shared" si="18"/>
        <v>1735.9384701314343</v>
      </c>
      <c r="P207" s="4">
        <f t="shared" si="19"/>
        <v>2906.2340679728509</v>
      </c>
      <c r="Q207" s="4">
        <f t="shared" si="20"/>
        <v>4642.1725381042852</v>
      </c>
      <c r="V207" s="3"/>
      <c r="W207" s="3"/>
      <c r="Y207" s="7"/>
      <c r="Z207" s="7"/>
      <c r="AA207" s="7"/>
      <c r="AB207" s="7"/>
      <c r="AC207" s="9"/>
      <c r="AD207" s="9"/>
      <c r="AE207" s="9"/>
      <c r="AF207" s="3"/>
      <c r="AG207" s="3"/>
      <c r="AH207" s="3"/>
      <c r="AL207" s="11"/>
      <c r="AM207" s="3"/>
      <c r="AN207" s="3"/>
      <c r="AO207" s="11"/>
      <c r="AP207" s="7"/>
      <c r="AQ207" s="7"/>
      <c r="AR207" s="7"/>
      <c r="AS207" s="7"/>
      <c r="AT207" s="9"/>
      <c r="AU207" s="9"/>
      <c r="AV207" s="9"/>
      <c r="AW207" s="3"/>
      <c r="AX207" s="3"/>
      <c r="AY207" s="3"/>
    </row>
    <row r="208" spans="1:51" x14ac:dyDescent="0.25">
      <c r="A208">
        <v>175</v>
      </c>
      <c r="B208" s="1" t="s">
        <v>216</v>
      </c>
      <c r="C208" s="1" t="s">
        <v>682</v>
      </c>
      <c r="D208" s="2">
        <v>40827</v>
      </c>
      <c r="E208" s="3">
        <v>38.799999999999997</v>
      </c>
      <c r="F208" s="4">
        <f t="shared" si="14"/>
        <v>5650.0016318076287</v>
      </c>
      <c r="G208" s="2">
        <v>40205</v>
      </c>
      <c r="H208" s="7">
        <v>2.68</v>
      </c>
      <c r="I208" s="7">
        <f>H208+H199-2*$A$24</f>
        <v>5.24</v>
      </c>
      <c r="J208" s="7">
        <v>2.8</v>
      </c>
      <c r="K208" s="7">
        <v>4.5999999999999996</v>
      </c>
      <c r="L208" s="6">
        <f t="shared" si="15"/>
        <v>0.3358778625954198</v>
      </c>
      <c r="M208" s="6">
        <f t="shared" si="16"/>
        <v>0.55343511450381666</v>
      </c>
      <c r="N208" s="6">
        <f t="shared" si="17"/>
        <v>0.1106870229007636</v>
      </c>
      <c r="O208" s="4">
        <f t="shared" si="18"/>
        <v>1897.7104717521804</v>
      </c>
      <c r="P208" s="4">
        <f t="shared" si="19"/>
        <v>3126.9093000462058</v>
      </c>
      <c r="Q208" s="4">
        <f t="shared" si="20"/>
        <v>5024.619771798386</v>
      </c>
      <c r="V208" s="3"/>
      <c r="W208" s="3"/>
      <c r="Y208" s="7"/>
      <c r="Z208" s="7"/>
      <c r="AA208" s="7"/>
      <c r="AB208" s="7"/>
      <c r="AC208" s="9"/>
      <c r="AD208" s="9"/>
      <c r="AE208" s="9"/>
      <c r="AF208" s="3"/>
      <c r="AG208" s="3"/>
      <c r="AH208" s="3"/>
      <c r="AJ208" t="s">
        <v>808</v>
      </c>
      <c r="AK208" t="s">
        <v>682</v>
      </c>
      <c r="AL208" s="11">
        <f>D196</f>
        <v>40827</v>
      </c>
      <c r="AM208" s="3">
        <f>SUM(E196,E211)</f>
        <v>77.599999999999994</v>
      </c>
      <c r="AN208" s="3">
        <f>(AM208-4*$A$20)*$A$21/(2*$A$22)*$A$23</f>
        <v>5650.0016318076287</v>
      </c>
      <c r="AO208" s="11">
        <f>G196</f>
        <v>40205</v>
      </c>
      <c r="AP208" s="7">
        <f>SUM(H196,H211)</f>
        <v>6.3</v>
      </c>
      <c r="AQ208" s="7">
        <f>SUM(I196,I211)</f>
        <v>11.959999999999999</v>
      </c>
      <c r="AR208" s="7">
        <f>SUM(J196,J211)</f>
        <v>5.92</v>
      </c>
      <c r="AS208" s="7">
        <f>SUM(K196,K211)</f>
        <v>10.039999999999999</v>
      </c>
      <c r="AT208" s="9">
        <f>(AR208-2*$A$25)/AQ208</f>
        <v>0.32107023411371238</v>
      </c>
      <c r="AU208" s="9">
        <f>(AS208-2*$A$26)/AQ208</f>
        <v>0.55518394648829428</v>
      </c>
      <c r="AV208" s="9">
        <f>1-AT208-AU208</f>
        <v>0.12374581939799334</v>
      </c>
      <c r="AW208" s="3">
        <f>AN208*AT208</f>
        <v>1814.0473466673322</v>
      </c>
      <c r="AX208" s="3">
        <f>AN208*AU208</f>
        <v>3136.7902036122618</v>
      </c>
      <c r="AY208" s="3">
        <f>AW208+AX208</f>
        <v>4950.8375502795943</v>
      </c>
    </row>
    <row r="209" spans="1:51" x14ac:dyDescent="0.25">
      <c r="A209">
        <v>176</v>
      </c>
      <c r="B209" s="1" t="s">
        <v>217</v>
      </c>
      <c r="C209" s="1" t="s">
        <v>682</v>
      </c>
      <c r="D209" s="2">
        <v>40827</v>
      </c>
      <c r="E209" s="3">
        <v>41.4</v>
      </c>
      <c r="F209" s="4">
        <f t="shared" si="14"/>
        <v>6050.9296952000905</v>
      </c>
      <c r="G209" s="2">
        <v>40205</v>
      </c>
      <c r="H209" s="7">
        <v>2.86</v>
      </c>
      <c r="I209" s="7">
        <f>H209+H198-2*$A$24</f>
        <v>5.5</v>
      </c>
      <c r="J209" s="7">
        <v>2.86</v>
      </c>
      <c r="K209" s="7">
        <v>4.82</v>
      </c>
      <c r="L209" s="6">
        <f t="shared" si="15"/>
        <v>0.33090909090909087</v>
      </c>
      <c r="M209" s="6">
        <f t="shared" si="16"/>
        <v>0.56727272727272726</v>
      </c>
      <c r="N209" s="6">
        <f t="shared" si="17"/>
        <v>0.10181818181818192</v>
      </c>
      <c r="O209" s="4">
        <f t="shared" si="18"/>
        <v>2002.3076445934844</v>
      </c>
      <c r="P209" s="4">
        <f t="shared" si="19"/>
        <v>3432.5273907316878</v>
      </c>
      <c r="Q209" s="4">
        <f t="shared" si="20"/>
        <v>5434.8350353251717</v>
      </c>
      <c r="V209" s="3"/>
      <c r="W209" s="3"/>
      <c r="Y209" s="7"/>
      <c r="Z209" s="7"/>
      <c r="AA209" s="7"/>
      <c r="AB209" s="7"/>
      <c r="AC209" s="9"/>
      <c r="AD209" s="9"/>
      <c r="AE209" s="9"/>
      <c r="AF209" s="3"/>
      <c r="AG209" s="3"/>
      <c r="AH209" s="3"/>
      <c r="AL209" s="11"/>
      <c r="AM209" s="3"/>
      <c r="AN209" s="3"/>
      <c r="AO209" s="11"/>
      <c r="AP209" s="7"/>
      <c r="AQ209" s="7"/>
      <c r="AR209" s="7"/>
      <c r="AS209" s="7"/>
      <c r="AT209" s="9"/>
      <c r="AU209" s="9"/>
      <c r="AV209" s="9"/>
      <c r="AW209" s="3"/>
      <c r="AX209" s="3"/>
      <c r="AY209" s="3"/>
    </row>
    <row r="210" spans="1:51" x14ac:dyDescent="0.25">
      <c r="A210">
        <v>177</v>
      </c>
      <c r="B210" s="1" t="s">
        <v>218</v>
      </c>
      <c r="C210" s="1" t="s">
        <v>682</v>
      </c>
      <c r="D210" s="2">
        <v>40827</v>
      </c>
      <c r="E210" s="3">
        <v>37.9</v>
      </c>
      <c r="F210" s="4">
        <f t="shared" si="14"/>
        <v>5511.2188406333125</v>
      </c>
      <c r="G210" s="2">
        <v>40205</v>
      </c>
      <c r="H210" s="7">
        <v>2.58</v>
      </c>
      <c r="I210" s="7">
        <f>H210+H197-2*$A$24</f>
        <v>5.42</v>
      </c>
      <c r="J210" s="7">
        <v>2.8</v>
      </c>
      <c r="K210" s="7">
        <v>4.74</v>
      </c>
      <c r="L210" s="6">
        <f t="shared" si="15"/>
        <v>0.32472324723247231</v>
      </c>
      <c r="M210" s="6">
        <f t="shared" si="16"/>
        <v>0.56088560885608862</v>
      </c>
      <c r="N210" s="6">
        <f t="shared" si="17"/>
        <v>0.11439114391143901</v>
      </c>
      <c r="O210" s="4">
        <f t="shared" si="18"/>
        <v>1789.6208781392306</v>
      </c>
      <c r="P210" s="4">
        <f t="shared" si="19"/>
        <v>3091.1633349677622</v>
      </c>
      <c r="Q210" s="4">
        <f t="shared" si="20"/>
        <v>4880.7842131069929</v>
      </c>
      <c r="V210" s="3"/>
      <c r="W210" s="3"/>
      <c r="Y210" s="7"/>
      <c r="Z210" s="7"/>
      <c r="AA210" s="7"/>
      <c r="AB210" s="7"/>
      <c r="AC210" s="9"/>
      <c r="AD210" s="9"/>
      <c r="AE210" s="9"/>
      <c r="AF210" s="3"/>
      <c r="AG210" s="3"/>
      <c r="AH210" s="3"/>
      <c r="AJ210" t="s">
        <v>809</v>
      </c>
      <c r="AK210" t="s">
        <v>682</v>
      </c>
      <c r="AL210" s="11">
        <f>D195</f>
        <v>40827</v>
      </c>
      <c r="AM210" s="3">
        <f>SUM(E195,E212)</f>
        <v>72.8</v>
      </c>
      <c r="AN210" s="3">
        <f>(AM210-4*$A$20)*$A$21/(2*$A$22)*$A$23</f>
        <v>5279.9141886761236</v>
      </c>
      <c r="AO210" s="11">
        <f>G195</f>
        <v>40205</v>
      </c>
      <c r="AP210" s="7">
        <f>SUM(H195,H212)</f>
        <v>5.68</v>
      </c>
      <c r="AQ210" s="7">
        <f>SUM(I195,I212)</f>
        <v>10.719999999999999</v>
      </c>
      <c r="AR210" s="7">
        <f>SUM(J195,J212)</f>
        <v>5.64</v>
      </c>
      <c r="AS210" s="7">
        <f>SUM(K195,K212)</f>
        <v>9.56</v>
      </c>
      <c r="AT210" s="9">
        <f>(AR210-2*$A$25)/AQ210</f>
        <v>0.33208955223880599</v>
      </c>
      <c r="AU210" s="9">
        <f>(AS210-2*$A$26)/AQ210</f>
        <v>0.5746268656716419</v>
      </c>
      <c r="AV210" s="9">
        <f>1-AT210-AU210</f>
        <v>9.3283582089552119E-2</v>
      </c>
      <c r="AW210" s="3">
        <f>AN210*AT210</f>
        <v>1753.4043387767724</v>
      </c>
      <c r="AX210" s="3">
        <f>AN210*AU210</f>
        <v>3033.9805412541909</v>
      </c>
      <c r="AY210" s="3">
        <f>AW210+AX210</f>
        <v>4787.3848800309634</v>
      </c>
    </row>
    <row r="211" spans="1:51" x14ac:dyDescent="0.25">
      <c r="A211">
        <v>178</v>
      </c>
      <c r="B211" s="1" t="s">
        <v>219</v>
      </c>
      <c r="C211" s="1" t="s">
        <v>682</v>
      </c>
      <c r="D211" s="2">
        <v>40827</v>
      </c>
      <c r="E211" s="3">
        <v>34</v>
      </c>
      <c r="F211" s="4">
        <f t="shared" si="14"/>
        <v>4909.8267455446203</v>
      </c>
      <c r="G211" s="2">
        <v>40205</v>
      </c>
      <c r="H211" s="7">
        <v>2.76</v>
      </c>
      <c r="I211" s="7">
        <f>H211+H196-2*$A$24</f>
        <v>5.9799999999999995</v>
      </c>
      <c r="J211" s="7">
        <v>2.96</v>
      </c>
      <c r="K211" s="7">
        <v>5.0199999999999996</v>
      </c>
      <c r="L211" s="6">
        <f t="shared" si="15"/>
        <v>0.32107023411371238</v>
      </c>
      <c r="M211" s="6">
        <f t="shared" si="16"/>
        <v>0.55518394648829428</v>
      </c>
      <c r="N211" s="6">
        <f t="shared" si="17"/>
        <v>0.12374581939799334</v>
      </c>
      <c r="O211" s="4">
        <f t="shared" si="18"/>
        <v>1576.3992226497778</v>
      </c>
      <c r="P211" s="4">
        <f t="shared" si="19"/>
        <v>2725.8569891652405</v>
      </c>
      <c r="Q211" s="4">
        <f t="shared" si="20"/>
        <v>4302.2562118150181</v>
      </c>
      <c r="V211" s="3"/>
      <c r="W211" s="3"/>
      <c r="Y211" s="7"/>
      <c r="Z211" s="7"/>
      <c r="AA211" s="7"/>
      <c r="AB211" s="7"/>
      <c r="AC211" s="9"/>
      <c r="AD211" s="9"/>
      <c r="AE211" s="9"/>
      <c r="AF211" s="3"/>
      <c r="AG211" s="3"/>
      <c r="AH211" s="3"/>
      <c r="AL211" s="11"/>
      <c r="AM211" s="3"/>
      <c r="AN211" s="3"/>
      <c r="AO211" s="11"/>
      <c r="AP211" s="7"/>
      <c r="AQ211" s="7"/>
      <c r="AR211" s="7"/>
      <c r="AS211" s="7"/>
      <c r="AT211" s="9"/>
      <c r="AU211" s="9"/>
      <c r="AV211" s="9"/>
      <c r="AW211" s="3"/>
      <c r="AX211" s="3"/>
      <c r="AY211" s="3"/>
    </row>
    <row r="212" spans="1:51" x14ac:dyDescent="0.25">
      <c r="A212">
        <v>179</v>
      </c>
      <c r="B212" s="1" t="s">
        <v>220</v>
      </c>
      <c r="C212" s="1" t="s">
        <v>682</v>
      </c>
      <c r="D212" s="2">
        <v>40827</v>
      </c>
      <c r="E212" s="3">
        <v>35.5</v>
      </c>
      <c r="F212" s="4">
        <f t="shared" si="14"/>
        <v>5141.1313975018111</v>
      </c>
      <c r="G212" s="2">
        <v>40205</v>
      </c>
      <c r="H212" s="7">
        <v>3.14</v>
      </c>
      <c r="I212" s="7">
        <f>H212+H195-2*$A$24</f>
        <v>5.3599999999999994</v>
      </c>
      <c r="J212" s="7">
        <v>2.82</v>
      </c>
      <c r="K212" s="7">
        <v>4.78</v>
      </c>
      <c r="L212" s="6">
        <f t="shared" si="15"/>
        <v>0.33208955223880599</v>
      </c>
      <c r="M212" s="6">
        <f t="shared" si="16"/>
        <v>0.5746268656716419</v>
      </c>
      <c r="N212" s="6">
        <f t="shared" si="17"/>
        <v>9.3283582089552119E-2</v>
      </c>
      <c r="O212" s="4">
        <f t="shared" si="18"/>
        <v>1707.3160237972434</v>
      </c>
      <c r="P212" s="4">
        <f t="shared" si="19"/>
        <v>2954.2322209525337</v>
      </c>
      <c r="Q212" s="4">
        <f t="shared" si="20"/>
        <v>4661.548244749777</v>
      </c>
      <c r="V212" s="3"/>
      <c r="W212" s="3"/>
      <c r="Y212" s="7"/>
      <c r="Z212" s="7"/>
      <c r="AA212" s="7"/>
      <c r="AB212" s="7"/>
      <c r="AC212" s="9"/>
      <c r="AD212" s="9"/>
      <c r="AE212" s="9"/>
      <c r="AF212" s="3"/>
      <c r="AG212" s="3"/>
      <c r="AH212" s="3"/>
      <c r="AJ212" t="s">
        <v>810</v>
      </c>
      <c r="AK212" t="s">
        <v>682</v>
      </c>
      <c r="AL212" s="11">
        <f>D194</f>
        <v>40827</v>
      </c>
      <c r="AM212" s="3">
        <f>SUM(E194,E213)</f>
        <v>62.3</v>
      </c>
      <c r="AN212" s="3">
        <f>(AM212-4*$A$20)*$A$21/(2*$A$22)*$A$23</f>
        <v>4470.3479068259594</v>
      </c>
      <c r="AO212" s="11">
        <f>G194</f>
        <v>40205</v>
      </c>
      <c r="AP212" s="7">
        <f>SUM(H194,H213)</f>
        <v>5.9</v>
      </c>
      <c r="AQ212" s="7">
        <f>SUM(I194,I213)</f>
        <v>11.16</v>
      </c>
      <c r="AR212" s="7">
        <f>SUM(J194,J213)</f>
        <v>5.76</v>
      </c>
      <c r="AS212" s="7">
        <f>SUM(K194,K213)</f>
        <v>9.8000000000000007</v>
      </c>
      <c r="AT212" s="9">
        <f>(AR212-2*$A$25)/AQ212</f>
        <v>0.32974910394265228</v>
      </c>
      <c r="AU212" s="9">
        <f>(AS212-2*$A$26)/AQ212</f>
        <v>0.57347670250896055</v>
      </c>
      <c r="AV212" s="9">
        <f>1-AT212-AU212</f>
        <v>9.6774193548387122E-2</v>
      </c>
      <c r="AW212" s="3">
        <f>AN212*AT212</f>
        <v>1474.0932165877714</v>
      </c>
      <c r="AX212" s="3">
        <f>AN212*AU212</f>
        <v>2563.6403766743852</v>
      </c>
      <c r="AY212" s="3">
        <f>AW212+AX212</f>
        <v>4037.7335932621563</v>
      </c>
    </row>
    <row r="213" spans="1:51" x14ac:dyDescent="0.25">
      <c r="A213">
        <v>180</v>
      </c>
      <c r="B213" s="1" t="s">
        <v>221</v>
      </c>
      <c r="C213" s="1" t="s">
        <v>682</v>
      </c>
      <c r="D213" s="2">
        <v>40827</v>
      </c>
      <c r="E213" s="3">
        <v>32.5</v>
      </c>
      <c r="F213" s="4">
        <f t="shared" si="14"/>
        <v>4678.5220935874313</v>
      </c>
      <c r="G213" s="2">
        <v>40205</v>
      </c>
      <c r="H213" s="7">
        <v>2.78</v>
      </c>
      <c r="I213" s="7">
        <f>H213+H194-2*$A$24</f>
        <v>5.58</v>
      </c>
      <c r="J213" s="7">
        <v>2.88</v>
      </c>
      <c r="K213" s="7">
        <v>4.9000000000000004</v>
      </c>
      <c r="L213" s="6">
        <f t="shared" si="15"/>
        <v>0.32974910394265228</v>
      </c>
      <c r="M213" s="6">
        <f t="shared" si="16"/>
        <v>0.57347670250896055</v>
      </c>
      <c r="N213" s="6">
        <f t="shared" si="17"/>
        <v>9.6774193548387122E-2</v>
      </c>
      <c r="O213" s="4">
        <f t="shared" si="18"/>
        <v>1542.7384681363571</v>
      </c>
      <c r="P213" s="4">
        <f t="shared" si="19"/>
        <v>2683.0234228458385</v>
      </c>
      <c r="Q213" s="4">
        <f t="shared" si="20"/>
        <v>4225.7618909821958</v>
      </c>
      <c r="V213" s="3"/>
      <c r="W213" s="3"/>
      <c r="Y213" s="7"/>
      <c r="Z213" s="7"/>
      <c r="AA213" s="7"/>
      <c r="AB213" s="7"/>
      <c r="AC213" s="9"/>
      <c r="AD213" s="9"/>
      <c r="AE213" s="9"/>
      <c r="AF213" s="3"/>
      <c r="AG213" s="3"/>
      <c r="AH213" s="3"/>
      <c r="AL213" s="11"/>
      <c r="AM213" s="3"/>
      <c r="AN213" s="3"/>
      <c r="AO213" s="11"/>
      <c r="AP213" s="7"/>
      <c r="AQ213" s="7"/>
      <c r="AR213" s="7"/>
      <c r="AS213" s="7"/>
      <c r="AT213" s="9"/>
      <c r="AU213" s="9"/>
      <c r="AV213" s="9"/>
      <c r="AW213" s="3"/>
      <c r="AX213" s="3"/>
      <c r="AY213" s="3"/>
    </row>
    <row r="214" spans="1:51" x14ac:dyDescent="0.25">
      <c r="A214">
        <v>181</v>
      </c>
      <c r="B214" s="1" t="s">
        <v>222</v>
      </c>
      <c r="C214" s="1" t="s">
        <v>682</v>
      </c>
      <c r="D214" s="2">
        <v>40827</v>
      </c>
      <c r="E214" s="3">
        <v>30.5</v>
      </c>
      <c r="F214" s="4">
        <f t="shared" si="14"/>
        <v>4370.1158909778433</v>
      </c>
      <c r="G214" s="2">
        <v>40205</v>
      </c>
      <c r="H214" s="7">
        <v>2.48</v>
      </c>
      <c r="I214" s="7">
        <f>H214+H233-2*$A$24</f>
        <v>5.0599999999999996</v>
      </c>
      <c r="J214" s="7">
        <v>2.76</v>
      </c>
      <c r="K214" s="7">
        <v>4.5599999999999996</v>
      </c>
      <c r="L214" s="6">
        <f t="shared" si="15"/>
        <v>0.33992094861660077</v>
      </c>
      <c r="M214" s="6">
        <f t="shared" si="16"/>
        <v>0.56521739130434778</v>
      </c>
      <c r="N214" s="6">
        <f t="shared" si="17"/>
        <v>9.4861660079051391E-2</v>
      </c>
      <c r="O214" s="4">
        <f t="shared" si="18"/>
        <v>1485.4939392256699</v>
      </c>
      <c r="P214" s="4">
        <f t="shared" si="19"/>
        <v>2470.0655035961722</v>
      </c>
      <c r="Q214" s="4">
        <f t="shared" si="20"/>
        <v>3955.5594428218419</v>
      </c>
      <c r="V214" s="3"/>
      <c r="W214" s="3"/>
      <c r="Y214" s="7"/>
      <c r="Z214" s="7"/>
      <c r="AA214" s="7"/>
      <c r="AB214" s="7"/>
      <c r="AC214" s="9"/>
      <c r="AD214" s="9"/>
      <c r="AE214" s="9"/>
      <c r="AF214" s="3"/>
      <c r="AG214" s="3"/>
      <c r="AH214" s="3"/>
      <c r="AJ214" t="s">
        <v>811</v>
      </c>
      <c r="AK214" t="s">
        <v>682</v>
      </c>
      <c r="AL214" s="11">
        <f>D223</f>
        <v>40827</v>
      </c>
      <c r="AM214" s="3">
        <f>SUM(E223,E224)</f>
        <v>68.599999999999994</v>
      </c>
      <c r="AN214" s="3">
        <f>(AM214-4*$A$20)*$A$21/(2*$A$22)*$A$23</f>
        <v>4956.0876759360581</v>
      </c>
      <c r="AO214" s="11">
        <f>G223</f>
        <v>40205</v>
      </c>
      <c r="AP214" s="7">
        <f>SUM(H223,H224)</f>
        <v>6.2</v>
      </c>
      <c r="AQ214" s="7">
        <f>SUM(I223,I224)</f>
        <v>11.76</v>
      </c>
      <c r="AR214" s="7">
        <f>SUM(J223,J224)</f>
        <v>5.92</v>
      </c>
      <c r="AS214" s="7">
        <f>SUM(K223,K224)</f>
        <v>10</v>
      </c>
      <c r="AT214" s="9">
        <f>(AR214-2*$A$25)/AQ214</f>
        <v>0.32653061224489793</v>
      </c>
      <c r="AU214" s="9">
        <f>(AS214-2*$A$26)/AQ214</f>
        <v>0.56122448979591832</v>
      </c>
      <c r="AV214" s="9">
        <f>1-AT214-AU214</f>
        <v>0.1122448979591838</v>
      </c>
      <c r="AW214" s="3">
        <f>AN214*AT214</f>
        <v>1618.3143431627943</v>
      </c>
      <c r="AX214" s="3">
        <f>AN214*AU214</f>
        <v>2781.4777773110527</v>
      </c>
      <c r="AY214" s="3">
        <f>AW214+AX214</f>
        <v>4399.7921204738468</v>
      </c>
    </row>
    <row r="215" spans="1:51" x14ac:dyDescent="0.25">
      <c r="A215">
        <v>182</v>
      </c>
      <c r="B215" s="1" t="s">
        <v>223</v>
      </c>
      <c r="C215" s="1" t="s">
        <v>682</v>
      </c>
      <c r="D215" s="2">
        <v>40827</v>
      </c>
      <c r="E215" s="3">
        <v>36</v>
      </c>
      <c r="F215" s="4">
        <f t="shared" si="14"/>
        <v>5218.2329481542074</v>
      </c>
      <c r="G215" s="2">
        <v>40205</v>
      </c>
      <c r="H215" s="7">
        <v>2.72</v>
      </c>
      <c r="I215" s="7">
        <f>H215+H232-2*$A$24</f>
        <v>5.6999999999999993</v>
      </c>
      <c r="J215" s="7">
        <v>2.92</v>
      </c>
      <c r="K215" s="7">
        <v>4.88</v>
      </c>
      <c r="L215" s="6">
        <f t="shared" si="15"/>
        <v>0.3298245614035088</v>
      </c>
      <c r="M215" s="6">
        <f t="shared" si="16"/>
        <v>0.55789473684210533</v>
      </c>
      <c r="N215" s="6">
        <f t="shared" si="17"/>
        <v>0.11228070175438587</v>
      </c>
      <c r="O215" s="4">
        <f t="shared" si="18"/>
        <v>1721.1013934263001</v>
      </c>
      <c r="P215" s="4">
        <f t="shared" si="19"/>
        <v>2911.2246973912952</v>
      </c>
      <c r="Q215" s="4">
        <f t="shared" si="20"/>
        <v>4632.3260908175953</v>
      </c>
      <c r="V215" s="3"/>
      <c r="W215" s="3"/>
      <c r="Y215" s="7"/>
      <c r="Z215" s="7"/>
      <c r="AA215" s="7"/>
      <c r="AB215" s="7"/>
      <c r="AC215" s="9"/>
      <c r="AD215" s="9"/>
      <c r="AE215" s="9"/>
      <c r="AF215" s="3"/>
      <c r="AG215" s="3"/>
      <c r="AH215" s="3"/>
      <c r="AL215" s="11"/>
      <c r="AM215" s="3"/>
      <c r="AN215" s="3"/>
      <c r="AO215" s="11"/>
      <c r="AP215" s="7"/>
      <c r="AQ215" s="7"/>
      <c r="AR215" s="7"/>
      <c r="AS215" s="7"/>
      <c r="AT215" s="9"/>
      <c r="AU215" s="9"/>
      <c r="AV215" s="9"/>
      <c r="AW215" s="3"/>
      <c r="AX215" s="3"/>
      <c r="AY215" s="3"/>
    </row>
    <row r="216" spans="1:51" x14ac:dyDescent="0.25">
      <c r="A216">
        <v>183</v>
      </c>
      <c r="B216" s="1" t="s">
        <v>224</v>
      </c>
      <c r="C216" s="1" t="s">
        <v>682</v>
      </c>
      <c r="D216" s="2">
        <v>40827</v>
      </c>
      <c r="E216" s="3">
        <v>32.299999999999997</v>
      </c>
      <c r="F216" s="4">
        <f t="shared" si="14"/>
        <v>4647.6814733264719</v>
      </c>
      <c r="G216" s="2">
        <v>40205</v>
      </c>
      <c r="H216" s="7">
        <v>2.6</v>
      </c>
      <c r="I216" s="7">
        <f>H216+H231-2*$A$24</f>
        <v>5.0599999999999996</v>
      </c>
      <c r="J216" s="7">
        <v>2.72</v>
      </c>
      <c r="K216" s="7">
        <v>4.5599999999999996</v>
      </c>
      <c r="L216" s="6">
        <f t="shared" si="15"/>
        <v>0.33201581027667992</v>
      </c>
      <c r="M216" s="6">
        <f t="shared" si="16"/>
        <v>0.56521739130434778</v>
      </c>
      <c r="N216" s="6">
        <f t="shared" si="17"/>
        <v>0.10276679841897229</v>
      </c>
      <c r="O216" s="4">
        <f t="shared" si="18"/>
        <v>1543.1037302744021</v>
      </c>
      <c r="P216" s="4">
        <f t="shared" si="19"/>
        <v>2626.9503979671363</v>
      </c>
      <c r="Q216" s="4">
        <f t="shared" si="20"/>
        <v>4170.0541282415379</v>
      </c>
      <c r="V216" s="3"/>
      <c r="W216" s="3"/>
      <c r="Y216" s="7"/>
      <c r="Z216" s="7"/>
      <c r="AA216" s="7"/>
      <c r="AB216" s="7"/>
      <c r="AC216" s="9"/>
      <c r="AD216" s="9"/>
      <c r="AE216" s="9"/>
      <c r="AF216" s="3"/>
      <c r="AG216" s="3"/>
      <c r="AH216" s="3"/>
      <c r="AJ216" t="s">
        <v>812</v>
      </c>
      <c r="AK216" t="s">
        <v>682</v>
      </c>
      <c r="AL216" s="11">
        <f>D222</f>
        <v>40827</v>
      </c>
      <c r="AM216" s="3">
        <f>SUM(E222,E225)</f>
        <v>71.3</v>
      </c>
      <c r="AN216" s="3">
        <f>(AM216-4*$A$20)*$A$21/(2*$A$22)*$A$23</f>
        <v>5164.2618626975291</v>
      </c>
      <c r="AO216" s="11">
        <f>G222</f>
        <v>40205</v>
      </c>
      <c r="AP216" s="7">
        <f>SUM(H222,H225)</f>
        <v>5.5</v>
      </c>
      <c r="AQ216" s="7">
        <f>SUM(I222,I225)</f>
        <v>10.36</v>
      </c>
      <c r="AR216" s="7">
        <f>SUM(J222,J225)</f>
        <v>5.52</v>
      </c>
      <c r="AS216" s="7">
        <f>SUM(K222,K225)</f>
        <v>9.2799999999999994</v>
      </c>
      <c r="AT216" s="9">
        <f>(AR216-2*$A$25)/AQ216</f>
        <v>0.33204633204633199</v>
      </c>
      <c r="AU216" s="9">
        <f>(AS216-2*$A$26)/AQ216</f>
        <v>0.56756756756756754</v>
      </c>
      <c r="AV216" s="9">
        <f>1-AT216-AU216</f>
        <v>0.10038610038610041</v>
      </c>
      <c r="AW216" s="3">
        <f>AN216*AT216</f>
        <v>1714.7742092354727</v>
      </c>
      <c r="AX216" s="3">
        <f>AN216*AU216</f>
        <v>2931.067543693192</v>
      </c>
      <c r="AY216" s="3">
        <f>AW216+AX216</f>
        <v>4645.8417529286644</v>
      </c>
    </row>
    <row r="217" spans="1:51" x14ac:dyDescent="0.25">
      <c r="A217">
        <v>184</v>
      </c>
      <c r="B217" s="1" t="s">
        <v>225</v>
      </c>
      <c r="C217" s="1" t="s">
        <v>682</v>
      </c>
      <c r="D217" s="2">
        <v>40827</v>
      </c>
      <c r="E217" s="3">
        <v>37.299999999999997</v>
      </c>
      <c r="F217" s="4">
        <f t="shared" si="14"/>
        <v>5418.6969798504388</v>
      </c>
      <c r="G217" s="2">
        <v>40205</v>
      </c>
      <c r="H217" s="7">
        <v>2.3199999999999998</v>
      </c>
      <c r="I217" s="7">
        <f>H217+H230-2*$A$24</f>
        <v>5.18</v>
      </c>
      <c r="J217" s="7">
        <v>2.74</v>
      </c>
      <c r="K217" s="7">
        <v>4.5999999999999996</v>
      </c>
      <c r="L217" s="6">
        <f t="shared" si="15"/>
        <v>0.32818532818532825</v>
      </c>
      <c r="M217" s="6">
        <f t="shared" si="16"/>
        <v>0.55984555984555973</v>
      </c>
      <c r="N217" s="6">
        <f t="shared" si="17"/>
        <v>0.11196911196911208</v>
      </c>
      <c r="O217" s="4">
        <f t="shared" si="18"/>
        <v>1778.3368466690633</v>
      </c>
      <c r="P217" s="4">
        <f t="shared" si="19"/>
        <v>3033.6334443178125</v>
      </c>
      <c r="Q217" s="4">
        <f t="shared" si="20"/>
        <v>4811.9702909868756</v>
      </c>
      <c r="V217" s="3"/>
      <c r="W217" s="3"/>
      <c r="Y217" s="7"/>
      <c r="Z217" s="7"/>
      <c r="AA217" s="7"/>
      <c r="AB217" s="7"/>
      <c r="AC217" s="9"/>
      <c r="AD217" s="9"/>
      <c r="AE217" s="9"/>
      <c r="AF217" s="3"/>
      <c r="AG217" s="3"/>
      <c r="AH217" s="3"/>
      <c r="AL217" s="11"/>
      <c r="AM217" s="3"/>
      <c r="AN217" s="3"/>
      <c r="AO217" s="11"/>
      <c r="AP217" s="7"/>
      <c r="AQ217" s="7"/>
      <c r="AR217" s="7"/>
      <c r="AS217" s="7"/>
      <c r="AT217" s="9"/>
      <c r="AU217" s="9"/>
      <c r="AV217" s="9"/>
      <c r="AW217" s="3"/>
      <c r="AX217" s="3"/>
      <c r="AY217" s="3"/>
    </row>
    <row r="218" spans="1:51" x14ac:dyDescent="0.25">
      <c r="A218">
        <v>185</v>
      </c>
      <c r="B218" s="1" t="s">
        <v>226</v>
      </c>
      <c r="C218" s="1" t="s">
        <v>682</v>
      </c>
      <c r="D218" s="2">
        <v>40827</v>
      </c>
      <c r="E218" s="3">
        <v>36</v>
      </c>
      <c r="F218" s="4">
        <f t="shared" si="14"/>
        <v>5218.2329481542074</v>
      </c>
      <c r="G218" s="2">
        <v>40205</v>
      </c>
      <c r="H218" s="7">
        <v>2.52</v>
      </c>
      <c r="I218" s="7">
        <f>H218+H229-2*$A$24</f>
        <v>5.7799999999999994</v>
      </c>
      <c r="J218" s="7">
        <v>2.98</v>
      </c>
      <c r="K218" s="7">
        <v>4.92</v>
      </c>
      <c r="L218" s="6">
        <f t="shared" si="15"/>
        <v>0.33564013840830453</v>
      </c>
      <c r="M218" s="6">
        <f t="shared" si="16"/>
        <v>0.55709342560553632</v>
      </c>
      <c r="N218" s="6">
        <f t="shared" si="17"/>
        <v>0.10726643598615915</v>
      </c>
      <c r="O218" s="4">
        <f t="shared" si="18"/>
        <v>1751.4484289652532</v>
      </c>
      <c r="P218" s="4">
        <f t="shared" si="19"/>
        <v>2907.0432686949043</v>
      </c>
      <c r="Q218" s="4">
        <f t="shared" si="20"/>
        <v>4658.491697660158</v>
      </c>
      <c r="V218" s="3"/>
      <c r="W218" s="3"/>
      <c r="Y218" s="7"/>
      <c r="Z218" s="7"/>
      <c r="AA218" s="7"/>
      <c r="AB218" s="7"/>
      <c r="AC218" s="9"/>
      <c r="AD218" s="9"/>
      <c r="AE218" s="9"/>
      <c r="AF218" s="3"/>
      <c r="AG218" s="3"/>
      <c r="AH218" s="3"/>
      <c r="AJ218" t="s">
        <v>813</v>
      </c>
      <c r="AK218" t="s">
        <v>682</v>
      </c>
      <c r="AL218" s="11">
        <f>D221</f>
        <v>40827</v>
      </c>
      <c r="AM218" s="3">
        <f>SUM(E221,E226)</f>
        <v>69.900000000000006</v>
      </c>
      <c r="AN218" s="3">
        <f>(AM218-4*$A$20)*$A$21/(2*$A$22)*$A$23</f>
        <v>5056.319691784176</v>
      </c>
      <c r="AO218" s="11">
        <f>G221</f>
        <v>40205</v>
      </c>
      <c r="AP218" s="7">
        <f>SUM(H221,H226)</f>
        <v>5.7200000000000006</v>
      </c>
      <c r="AQ218" s="7">
        <f>SUM(I221,I226)</f>
        <v>10.8</v>
      </c>
      <c r="AR218" s="7">
        <f>SUM(J221,J226)</f>
        <v>5.68</v>
      </c>
      <c r="AS218" s="7">
        <f>SUM(K221,K226)</f>
        <v>9.6</v>
      </c>
      <c r="AT218" s="9">
        <f>(AR218-2*$A$25)/AQ218</f>
        <v>0.33333333333333326</v>
      </c>
      <c r="AU218" s="9">
        <f>(AS218-2*$A$26)/AQ218</f>
        <v>0.57407407407407396</v>
      </c>
      <c r="AV218" s="9">
        <f>1-AT218-AU218</f>
        <v>9.2592592592592782E-2</v>
      </c>
      <c r="AW218" s="3">
        <f>AN218*AT218</f>
        <v>1685.4398972613917</v>
      </c>
      <c r="AX218" s="3">
        <f>AN218*AU218</f>
        <v>2902.7020452835077</v>
      </c>
      <c r="AY218" s="3">
        <f>AW218+AX218</f>
        <v>4588.1419425448994</v>
      </c>
    </row>
    <row r="219" spans="1:51" x14ac:dyDescent="0.25">
      <c r="A219">
        <v>186</v>
      </c>
      <c r="B219" s="1" t="s">
        <v>227</v>
      </c>
      <c r="C219" s="1" t="s">
        <v>682</v>
      </c>
      <c r="D219" s="2">
        <v>40827</v>
      </c>
      <c r="E219" s="3">
        <v>38.299999999999997</v>
      </c>
      <c r="F219" s="4">
        <f t="shared" si="14"/>
        <v>5572.9000811552323</v>
      </c>
      <c r="G219" s="2">
        <v>40205</v>
      </c>
      <c r="H219" s="7">
        <v>2.58</v>
      </c>
      <c r="I219" s="7">
        <f>H219+H228-2*$A$24</f>
        <v>5.08</v>
      </c>
      <c r="J219" s="7">
        <v>2.72</v>
      </c>
      <c r="K219" s="7">
        <v>4.58</v>
      </c>
      <c r="L219" s="6">
        <f t="shared" si="15"/>
        <v>0.33070866141732286</v>
      </c>
      <c r="M219" s="6">
        <f t="shared" si="16"/>
        <v>0.56692913385826771</v>
      </c>
      <c r="N219" s="6">
        <f t="shared" si="17"/>
        <v>0.10236220472440938</v>
      </c>
      <c r="O219" s="4">
        <f t="shared" si="18"/>
        <v>1843.0063260513368</v>
      </c>
      <c r="P219" s="4">
        <f t="shared" si="19"/>
        <v>3159.4394160880056</v>
      </c>
      <c r="Q219" s="4">
        <f t="shared" si="20"/>
        <v>5002.4457421393427</v>
      </c>
      <c r="V219" s="3"/>
      <c r="W219" s="3"/>
      <c r="Y219" s="7"/>
      <c r="Z219" s="7"/>
      <c r="AA219" s="7"/>
      <c r="AB219" s="7"/>
      <c r="AC219" s="9"/>
      <c r="AD219" s="9"/>
      <c r="AE219" s="9"/>
      <c r="AF219" s="3"/>
      <c r="AG219" s="3"/>
      <c r="AH219" s="3"/>
      <c r="AL219" s="11"/>
      <c r="AM219" s="3"/>
      <c r="AN219" s="3"/>
      <c r="AO219" s="11"/>
      <c r="AP219" s="7"/>
      <c r="AQ219" s="7"/>
      <c r="AR219" s="7"/>
      <c r="AS219" s="7"/>
      <c r="AT219" s="9"/>
      <c r="AU219" s="9"/>
      <c r="AV219" s="9"/>
      <c r="AW219" s="3"/>
      <c r="AX219" s="3"/>
      <c r="AY219" s="3"/>
    </row>
    <row r="220" spans="1:51" x14ac:dyDescent="0.25">
      <c r="A220">
        <v>187</v>
      </c>
      <c r="B220" s="1" t="s">
        <v>228</v>
      </c>
      <c r="C220" s="1" t="s">
        <v>682</v>
      </c>
      <c r="D220" s="2">
        <v>40827</v>
      </c>
      <c r="E220" s="3">
        <v>35.799999999999997</v>
      </c>
      <c r="F220" s="4">
        <f t="shared" si="14"/>
        <v>5187.3923278932489</v>
      </c>
      <c r="G220" s="2">
        <v>40205</v>
      </c>
      <c r="H220" s="7">
        <v>2.44</v>
      </c>
      <c r="I220" s="7">
        <f>H220+H227-2*$A$24</f>
        <v>4.92</v>
      </c>
      <c r="J220" s="7">
        <v>2.72</v>
      </c>
      <c r="K220" s="7">
        <v>4.5</v>
      </c>
      <c r="L220" s="6">
        <f t="shared" si="15"/>
        <v>0.34146341463414637</v>
      </c>
      <c r="M220" s="6">
        <f t="shared" si="16"/>
        <v>0.56910569105691056</v>
      </c>
      <c r="N220" s="6">
        <f t="shared" si="17"/>
        <v>8.9430894308943021E-2</v>
      </c>
      <c r="O220" s="4">
        <f t="shared" si="18"/>
        <v>1771.3046973294022</v>
      </c>
      <c r="P220" s="4">
        <f t="shared" si="19"/>
        <v>2952.1744955490035</v>
      </c>
      <c r="Q220" s="4">
        <f t="shared" si="20"/>
        <v>4723.4791928784052</v>
      </c>
      <c r="V220" s="3"/>
      <c r="W220" s="3"/>
      <c r="Y220" s="7"/>
      <c r="Z220" s="7"/>
      <c r="AA220" s="7"/>
      <c r="AB220" s="7"/>
      <c r="AC220" s="9"/>
      <c r="AD220" s="9"/>
      <c r="AE220" s="9"/>
      <c r="AF220" s="3"/>
      <c r="AG220" s="3"/>
      <c r="AH220" s="3"/>
      <c r="AJ220" t="s">
        <v>814</v>
      </c>
      <c r="AK220" t="s">
        <v>682</v>
      </c>
      <c r="AL220" s="11">
        <f>D220</f>
        <v>40827</v>
      </c>
      <c r="AM220" s="3">
        <f>SUM(E220,E227)</f>
        <v>70</v>
      </c>
      <c r="AN220" s="3">
        <f>(AM220-4*$A$20)*$A$21/(2*$A$22)*$A$23</f>
        <v>5064.0298468494148</v>
      </c>
      <c r="AO220" s="11">
        <f>G220</f>
        <v>40205</v>
      </c>
      <c r="AP220" s="7">
        <f>SUM(H220,H227)</f>
        <v>5.24</v>
      </c>
      <c r="AQ220" s="7">
        <f>SUM(I220,I227)</f>
        <v>9.84</v>
      </c>
      <c r="AR220" s="7">
        <f>SUM(J220,J227)</f>
        <v>5.44</v>
      </c>
      <c r="AS220" s="7">
        <f>SUM(K220,K227)</f>
        <v>9</v>
      </c>
      <c r="AT220" s="9">
        <f>(AR220-2*$A$25)/AQ220</f>
        <v>0.34146341463414637</v>
      </c>
      <c r="AU220" s="9">
        <f>(AS220-2*$A$26)/AQ220</f>
        <v>0.56910569105691056</v>
      </c>
      <c r="AV220" s="9">
        <f>1-AT220-AU220</f>
        <v>8.9430894308943021E-2</v>
      </c>
      <c r="AW220" s="3">
        <f>AN220*AT220</f>
        <v>1729.1809233144345</v>
      </c>
      <c r="AX220" s="3">
        <f>AN220*AU220</f>
        <v>2881.9682055240573</v>
      </c>
      <c r="AY220" s="3">
        <f>AW220+AX220</f>
        <v>4611.1491288384914</v>
      </c>
    </row>
    <row r="221" spans="1:51" x14ac:dyDescent="0.25">
      <c r="A221">
        <v>188</v>
      </c>
      <c r="B221" s="1" t="s">
        <v>229</v>
      </c>
      <c r="C221" s="1" t="s">
        <v>682</v>
      </c>
      <c r="D221" s="2">
        <v>40827</v>
      </c>
      <c r="E221" s="3">
        <v>33.9</v>
      </c>
      <c r="F221" s="4">
        <f t="shared" si="14"/>
        <v>4894.406435414141</v>
      </c>
      <c r="G221" s="2">
        <v>40205</v>
      </c>
      <c r="H221" s="7">
        <v>2.72</v>
      </c>
      <c r="I221" s="7">
        <f>H221+H226-2*$A$24</f>
        <v>5.4</v>
      </c>
      <c r="J221" s="7">
        <v>2.84</v>
      </c>
      <c r="K221" s="7">
        <v>4.8</v>
      </c>
      <c r="L221" s="6">
        <f t="shared" si="15"/>
        <v>0.33333333333333326</v>
      </c>
      <c r="M221" s="6">
        <f t="shared" si="16"/>
        <v>0.57407407407407396</v>
      </c>
      <c r="N221" s="6">
        <f t="shared" si="17"/>
        <v>9.2592592592592782E-2</v>
      </c>
      <c r="O221" s="4">
        <f t="shared" si="18"/>
        <v>1631.4688118047134</v>
      </c>
      <c r="P221" s="4">
        <f t="shared" si="19"/>
        <v>2809.7518425525618</v>
      </c>
      <c r="Q221" s="4">
        <f t="shared" si="20"/>
        <v>4441.2206543572756</v>
      </c>
      <c r="V221" s="3"/>
      <c r="W221" s="3"/>
      <c r="Y221" s="7"/>
      <c r="Z221" s="7"/>
      <c r="AA221" s="7"/>
      <c r="AB221" s="7"/>
      <c r="AC221" s="9"/>
      <c r="AD221" s="9"/>
      <c r="AE221" s="9"/>
      <c r="AF221" s="3"/>
      <c r="AG221" s="3"/>
      <c r="AH221" s="3"/>
      <c r="AL221" s="11"/>
      <c r="AM221" s="3"/>
      <c r="AN221" s="3"/>
      <c r="AO221" s="11"/>
      <c r="AP221" s="7"/>
      <c r="AQ221" s="7"/>
      <c r="AR221" s="7"/>
      <c r="AS221" s="7"/>
      <c r="AT221" s="9"/>
      <c r="AU221" s="9"/>
      <c r="AV221" s="9"/>
      <c r="AW221" s="3"/>
      <c r="AX221" s="3"/>
      <c r="AY221" s="3"/>
    </row>
    <row r="222" spans="1:51" x14ac:dyDescent="0.25">
      <c r="A222">
        <v>189</v>
      </c>
      <c r="B222" s="1" t="s">
        <v>230</v>
      </c>
      <c r="C222" s="1" t="s">
        <v>682</v>
      </c>
      <c r="D222" s="2">
        <v>40827</v>
      </c>
      <c r="E222" s="3">
        <v>37.299999999999997</v>
      </c>
      <c r="F222" s="4">
        <f t="shared" si="14"/>
        <v>5418.6969798504388</v>
      </c>
      <c r="G222" s="2">
        <v>40205</v>
      </c>
      <c r="H222" s="7">
        <v>2.2400000000000002</v>
      </c>
      <c r="I222" s="7">
        <f>H222+H225-2*$A$24</f>
        <v>5.18</v>
      </c>
      <c r="J222" s="7">
        <v>2.76</v>
      </c>
      <c r="K222" s="7">
        <v>4.6399999999999997</v>
      </c>
      <c r="L222" s="6">
        <f t="shared" si="15"/>
        <v>0.33204633204633199</v>
      </c>
      <c r="M222" s="6">
        <f t="shared" si="16"/>
        <v>0.56756756756756754</v>
      </c>
      <c r="N222" s="6">
        <f t="shared" si="17"/>
        <v>0.10038610038610041</v>
      </c>
      <c r="O222" s="4">
        <f t="shared" si="18"/>
        <v>1799.2584566298751</v>
      </c>
      <c r="P222" s="4">
        <f t="shared" si="19"/>
        <v>3075.4766642394379</v>
      </c>
      <c r="Q222" s="4">
        <f t="shared" si="20"/>
        <v>4874.7351208693126</v>
      </c>
      <c r="V222" s="3"/>
      <c r="W222" s="3"/>
      <c r="Y222" s="7"/>
      <c r="Z222" s="7"/>
      <c r="AA222" s="7"/>
      <c r="AB222" s="7"/>
      <c r="AC222" s="9"/>
      <c r="AD222" s="9"/>
      <c r="AE222" s="9"/>
      <c r="AF222" s="3"/>
      <c r="AG222" s="3"/>
      <c r="AH222" s="3"/>
      <c r="AJ222" t="s">
        <v>815</v>
      </c>
      <c r="AK222" t="s">
        <v>682</v>
      </c>
      <c r="AL222" s="11">
        <f>D219</f>
        <v>40827</v>
      </c>
      <c r="AM222" s="3">
        <f>SUM(E219,E228)</f>
        <v>75.599999999999994</v>
      </c>
      <c r="AN222" s="3">
        <f>(AM222-4*$A$20)*$A$21/(2*$A$22)*$A$23</f>
        <v>5495.798530502836</v>
      </c>
      <c r="AO222" s="11">
        <f>G219</f>
        <v>40205</v>
      </c>
      <c r="AP222" s="7">
        <f>SUM(H219,H228)</f>
        <v>5.4</v>
      </c>
      <c r="AQ222" s="7">
        <f>SUM(I219,I228)</f>
        <v>10.16</v>
      </c>
      <c r="AR222" s="7">
        <f>SUM(J219,J228)</f>
        <v>5.44</v>
      </c>
      <c r="AS222" s="7">
        <f>SUM(K219,K228)</f>
        <v>9.16</v>
      </c>
      <c r="AT222" s="9">
        <f>(AR222-2*$A$25)/AQ222</f>
        <v>0.33070866141732286</v>
      </c>
      <c r="AU222" s="9">
        <f>(AS222-2*$A$26)/AQ222</f>
        <v>0.56692913385826771</v>
      </c>
      <c r="AV222" s="9">
        <f>1-AT222-AU222</f>
        <v>0.10236220472440938</v>
      </c>
      <c r="AW222" s="3">
        <f>AN222*AT222</f>
        <v>1817.5081754418829</v>
      </c>
      <c r="AX222" s="3">
        <f>AN222*AU222</f>
        <v>3115.7283007575134</v>
      </c>
      <c r="AY222" s="3">
        <f>AW222+AX222</f>
        <v>4933.2364761993958</v>
      </c>
    </row>
    <row r="223" spans="1:51" x14ac:dyDescent="0.25">
      <c r="A223">
        <v>190</v>
      </c>
      <c r="B223" s="1" t="s">
        <v>231</v>
      </c>
      <c r="C223" s="1" t="s">
        <v>682</v>
      </c>
      <c r="D223" s="2">
        <v>40827</v>
      </c>
      <c r="E223" s="3">
        <v>36.5</v>
      </c>
      <c r="F223" s="4">
        <f t="shared" si="14"/>
        <v>5295.3344988066046</v>
      </c>
      <c r="G223" s="2">
        <v>40205</v>
      </c>
      <c r="H223" s="7">
        <v>2.48</v>
      </c>
      <c r="I223" s="7">
        <f>H223+H224-2*$A$24</f>
        <v>5.88</v>
      </c>
      <c r="J223" s="7">
        <v>2.96</v>
      </c>
      <c r="K223" s="7">
        <v>5</v>
      </c>
      <c r="L223" s="6">
        <f t="shared" si="15"/>
        <v>0.32653061224489793</v>
      </c>
      <c r="M223" s="6">
        <f t="shared" si="16"/>
        <v>0.56122448979591832</v>
      </c>
      <c r="N223" s="6">
        <f t="shared" si="17"/>
        <v>0.1122448979591838</v>
      </c>
      <c r="O223" s="4">
        <f t="shared" si="18"/>
        <v>1729.0888159368503</v>
      </c>
      <c r="P223" s="4">
        <f t="shared" si="19"/>
        <v>2971.8714023914617</v>
      </c>
      <c r="Q223" s="4">
        <f t="shared" si="20"/>
        <v>4700.9602183283123</v>
      </c>
      <c r="V223" s="3"/>
      <c r="W223" s="3"/>
      <c r="Y223" s="7"/>
      <c r="Z223" s="7"/>
      <c r="AA223" s="7"/>
      <c r="AB223" s="7"/>
      <c r="AC223" s="9"/>
      <c r="AD223" s="9"/>
      <c r="AE223" s="9"/>
      <c r="AF223" s="3"/>
      <c r="AG223" s="3"/>
      <c r="AH223" s="3"/>
      <c r="AL223" s="11"/>
      <c r="AM223" s="3"/>
      <c r="AN223" s="3"/>
      <c r="AO223" s="11"/>
      <c r="AP223" s="7"/>
      <c r="AQ223" s="7"/>
      <c r="AR223" s="7"/>
      <c r="AS223" s="7"/>
      <c r="AT223" s="9"/>
      <c r="AU223" s="9"/>
      <c r="AV223" s="9"/>
      <c r="AW223" s="3"/>
      <c r="AX223" s="3"/>
      <c r="AY223" s="3"/>
    </row>
    <row r="224" spans="1:51" x14ac:dyDescent="0.25">
      <c r="A224">
        <v>191</v>
      </c>
      <c r="B224" s="1" t="s">
        <v>232</v>
      </c>
      <c r="C224" s="1" t="s">
        <v>682</v>
      </c>
      <c r="D224" s="2">
        <v>40827</v>
      </c>
      <c r="E224" s="3">
        <v>32.099999999999994</v>
      </c>
      <c r="F224" s="4">
        <f t="shared" si="14"/>
        <v>4616.8408530655124</v>
      </c>
      <c r="G224" s="2">
        <v>40205</v>
      </c>
      <c r="H224" s="7">
        <v>3.72</v>
      </c>
      <c r="I224" s="7">
        <f>H224+H223-2*$A$24</f>
        <v>5.88</v>
      </c>
      <c r="J224" s="7">
        <v>2.96</v>
      </c>
      <c r="K224" s="7">
        <v>5</v>
      </c>
      <c r="L224" s="6">
        <f t="shared" si="15"/>
        <v>0.32653061224489793</v>
      </c>
      <c r="M224" s="6">
        <f t="shared" si="16"/>
        <v>0.56122448979591832</v>
      </c>
      <c r="N224" s="6">
        <f t="shared" si="17"/>
        <v>0.1122448979591838</v>
      </c>
      <c r="O224" s="4">
        <f t="shared" si="18"/>
        <v>1507.5398703887386</v>
      </c>
      <c r="P224" s="4">
        <f t="shared" si="19"/>
        <v>2591.0841522306446</v>
      </c>
      <c r="Q224" s="4">
        <f t="shared" si="20"/>
        <v>4098.6240226193831</v>
      </c>
      <c r="V224" s="3"/>
      <c r="W224" s="3"/>
      <c r="Y224" s="7"/>
      <c r="Z224" s="7"/>
      <c r="AA224" s="7"/>
      <c r="AB224" s="7"/>
      <c r="AC224" s="9"/>
      <c r="AD224" s="9"/>
      <c r="AE224" s="9"/>
      <c r="AF224" s="3"/>
      <c r="AG224" s="3"/>
      <c r="AH224" s="3"/>
      <c r="AJ224" t="s">
        <v>816</v>
      </c>
      <c r="AK224" t="s">
        <v>682</v>
      </c>
      <c r="AL224" s="11">
        <f>D218</f>
        <v>40827</v>
      </c>
      <c r="AM224" s="3">
        <f>SUM(E218,E229)</f>
        <v>73.3</v>
      </c>
      <c r="AN224" s="3">
        <f>(AM224-4*$A$20)*$A$21/(2*$A$22)*$A$23</f>
        <v>5318.4649640023217</v>
      </c>
      <c r="AO224" s="11">
        <f>G218</f>
        <v>40205</v>
      </c>
      <c r="AP224" s="7">
        <f>SUM(H218,H229)</f>
        <v>6.1</v>
      </c>
      <c r="AQ224" s="7">
        <f>SUM(I218,I229)</f>
        <v>11.559999999999999</v>
      </c>
      <c r="AR224" s="7">
        <f>SUM(J218,J229)</f>
        <v>5.96</v>
      </c>
      <c r="AS224" s="7">
        <f>SUM(K218,K229)</f>
        <v>9.84</v>
      </c>
      <c r="AT224" s="9">
        <f>(AR224-2*$A$25)/AQ224</f>
        <v>0.33564013840830453</v>
      </c>
      <c r="AU224" s="9">
        <f>(AS224-2*$A$26)/AQ224</f>
        <v>0.55709342560553632</v>
      </c>
      <c r="AV224" s="9">
        <f>1-AT224-AU224</f>
        <v>0.10726643598615915</v>
      </c>
      <c r="AW224" s="3">
        <f>AN224*AT224</f>
        <v>1785.0903166374576</v>
      </c>
      <c r="AX224" s="3">
        <f>AN224*AU224</f>
        <v>2962.8818657590787</v>
      </c>
      <c r="AY224" s="3">
        <f>AW224+AX224</f>
        <v>4747.9721823965365</v>
      </c>
    </row>
    <row r="225" spans="1:51" x14ac:dyDescent="0.25">
      <c r="A225">
        <v>192</v>
      </c>
      <c r="B225" s="1" t="s">
        <v>233</v>
      </c>
      <c r="C225" s="1" t="s">
        <v>682</v>
      </c>
      <c r="D225" s="2">
        <v>40827</v>
      </c>
      <c r="E225" s="3">
        <v>34</v>
      </c>
      <c r="F225" s="4">
        <f t="shared" si="14"/>
        <v>4909.8267455446203</v>
      </c>
      <c r="G225" s="2">
        <v>40205</v>
      </c>
      <c r="H225" s="7">
        <v>3.26</v>
      </c>
      <c r="I225" s="7">
        <f>H225+H222-2*$A$24</f>
        <v>5.18</v>
      </c>
      <c r="J225" s="7">
        <v>2.76</v>
      </c>
      <c r="K225" s="7">
        <v>4.6399999999999997</v>
      </c>
      <c r="L225" s="6">
        <f t="shared" si="15"/>
        <v>0.33204633204633199</v>
      </c>
      <c r="M225" s="6">
        <f t="shared" si="16"/>
        <v>0.56756756756756754</v>
      </c>
      <c r="N225" s="6">
        <f t="shared" si="17"/>
        <v>0.10038610038610041</v>
      </c>
      <c r="O225" s="4">
        <f t="shared" si="18"/>
        <v>1630.2899618410706</v>
      </c>
      <c r="P225" s="4">
        <f t="shared" si="19"/>
        <v>2786.6584231469465</v>
      </c>
      <c r="Q225" s="4">
        <f t="shared" si="20"/>
        <v>4416.9483849880171</v>
      </c>
      <c r="V225" s="3"/>
      <c r="W225" s="3"/>
      <c r="Y225" s="7"/>
      <c r="Z225" s="7"/>
      <c r="AA225" s="7"/>
      <c r="AB225" s="7"/>
      <c r="AC225" s="9"/>
      <c r="AD225" s="9"/>
      <c r="AE225" s="9"/>
      <c r="AF225" s="3"/>
      <c r="AG225" s="3"/>
      <c r="AH225" s="3"/>
      <c r="AL225" s="11"/>
      <c r="AM225" s="3"/>
      <c r="AN225" s="3"/>
      <c r="AO225" s="11"/>
      <c r="AP225" s="7"/>
      <c r="AQ225" s="7"/>
      <c r="AR225" s="7"/>
      <c r="AS225" s="7"/>
      <c r="AT225" s="9"/>
      <c r="AU225" s="9"/>
      <c r="AV225" s="9"/>
      <c r="AW225" s="3"/>
      <c r="AX225" s="3"/>
      <c r="AY225" s="3"/>
    </row>
    <row r="226" spans="1:51" x14ac:dyDescent="0.25">
      <c r="A226">
        <v>193</v>
      </c>
      <c r="B226" s="1" t="s">
        <v>234</v>
      </c>
      <c r="C226" s="1" t="s">
        <v>682</v>
      </c>
      <c r="D226" s="2">
        <v>40827</v>
      </c>
      <c r="E226" s="3">
        <v>36</v>
      </c>
      <c r="F226" s="4">
        <f t="shared" si="14"/>
        <v>5218.2329481542074</v>
      </c>
      <c r="G226" s="2">
        <v>40205</v>
      </c>
      <c r="H226" s="7">
        <v>3</v>
      </c>
      <c r="I226" s="7">
        <f>H226+H221-2*$A$24</f>
        <v>5.4</v>
      </c>
      <c r="J226" s="7">
        <v>2.84</v>
      </c>
      <c r="K226" s="7">
        <v>4.8</v>
      </c>
      <c r="L226" s="6">
        <f t="shared" si="15"/>
        <v>0.33333333333333326</v>
      </c>
      <c r="M226" s="6">
        <f t="shared" si="16"/>
        <v>0.57407407407407396</v>
      </c>
      <c r="N226" s="6">
        <f t="shared" si="17"/>
        <v>9.2592592592592782E-2</v>
      </c>
      <c r="O226" s="4">
        <f t="shared" si="18"/>
        <v>1739.4109827180687</v>
      </c>
      <c r="P226" s="4">
        <f t="shared" si="19"/>
        <v>2995.6522480144517</v>
      </c>
      <c r="Q226" s="4">
        <f t="shared" si="20"/>
        <v>4735.0632307325204</v>
      </c>
      <c r="V226" s="3"/>
      <c r="W226" s="3"/>
      <c r="Y226" s="7"/>
      <c r="Z226" s="7"/>
      <c r="AA226" s="7"/>
      <c r="AB226" s="7"/>
      <c r="AC226" s="9"/>
      <c r="AD226" s="9"/>
      <c r="AE226" s="9"/>
      <c r="AF226" s="3"/>
      <c r="AG226" s="3"/>
      <c r="AH226" s="3"/>
      <c r="AJ226" t="s">
        <v>817</v>
      </c>
      <c r="AK226" t="s">
        <v>682</v>
      </c>
      <c r="AL226" s="11">
        <f>D217</f>
        <v>40827</v>
      </c>
      <c r="AM226" s="3">
        <f>SUM(E217,E230)</f>
        <v>75.5</v>
      </c>
      <c r="AN226" s="3">
        <f>(AM226-4*$A$20)*$A$21/(2*$A$22)*$A$23</f>
        <v>5488.0883754375964</v>
      </c>
      <c r="AO226" s="11">
        <f>G217</f>
        <v>40205</v>
      </c>
      <c r="AP226" s="7">
        <f>SUM(H217,H230)</f>
        <v>5.5</v>
      </c>
      <c r="AQ226" s="7">
        <f>SUM(I217,I230)</f>
        <v>10.36</v>
      </c>
      <c r="AR226" s="7">
        <f>SUM(J217,J230)</f>
        <v>5.48</v>
      </c>
      <c r="AS226" s="7">
        <f>SUM(K217,K230)</f>
        <v>9.1999999999999993</v>
      </c>
      <c r="AT226" s="9">
        <f>(AR226-2*$A$25)/AQ226</f>
        <v>0.32818532818532825</v>
      </c>
      <c r="AU226" s="9">
        <f>(AS226-2*$A$26)/AQ226</f>
        <v>0.55984555984555973</v>
      </c>
      <c r="AV226" s="9">
        <f>1-AT226-AU226</f>
        <v>0.11196911196911208</v>
      </c>
      <c r="AW226" s="3">
        <f>AN226*AT226</f>
        <v>1801.1100846030724</v>
      </c>
      <c r="AX226" s="3">
        <f>AN226*AU226</f>
        <v>3072.4819090287697</v>
      </c>
      <c r="AY226" s="3">
        <f>AW226+AX226</f>
        <v>4873.5919936318423</v>
      </c>
    </row>
    <row r="227" spans="1:51" x14ac:dyDescent="0.25">
      <c r="A227">
        <v>194</v>
      </c>
      <c r="B227" s="1" t="s">
        <v>235</v>
      </c>
      <c r="C227" s="1" t="s">
        <v>682</v>
      </c>
      <c r="D227" s="2">
        <v>40827</v>
      </c>
      <c r="E227" s="3">
        <v>34.200000000000003</v>
      </c>
      <c r="F227" s="4">
        <f t="shared" ref="F227:F290" si="21">(E227-2*$A$20)*$A$21/$A$22*$A$23</f>
        <v>4940.6673658055806</v>
      </c>
      <c r="G227" s="2">
        <v>40205</v>
      </c>
      <c r="H227" s="7">
        <v>2.8</v>
      </c>
      <c r="I227" s="7">
        <f>H227+H220-2*$A$24</f>
        <v>4.92</v>
      </c>
      <c r="J227" s="7">
        <v>2.72</v>
      </c>
      <c r="K227" s="7">
        <v>4.5</v>
      </c>
      <c r="L227" s="6">
        <f t="shared" ref="L227:L290" si="22">(J227-$A$25)/I227</f>
        <v>0.34146341463414637</v>
      </c>
      <c r="M227" s="6">
        <f t="shared" ref="M227:M290" si="23">(K227-$A$26)/I227</f>
        <v>0.56910569105691056</v>
      </c>
      <c r="N227" s="6">
        <f t="shared" ref="N227:N290" si="24">1-L227-M227</f>
        <v>8.9430894308943021E-2</v>
      </c>
      <c r="O227" s="4">
        <f t="shared" ref="O227:O290" si="25">F227*L227</f>
        <v>1687.0571492994666</v>
      </c>
      <c r="P227" s="4">
        <f t="shared" ref="P227:P290" si="26">F227*M227</f>
        <v>2811.7619154991107</v>
      </c>
      <c r="Q227" s="4">
        <f t="shared" ref="Q227:Q290" si="27">O227+P227</f>
        <v>4498.8190647985775</v>
      </c>
      <c r="V227" s="3"/>
      <c r="W227" s="3"/>
      <c r="Y227" s="7"/>
      <c r="Z227" s="7"/>
      <c r="AA227" s="7"/>
      <c r="AB227" s="7"/>
      <c r="AC227" s="9"/>
      <c r="AD227" s="9"/>
      <c r="AE227" s="9"/>
      <c r="AF227" s="3"/>
      <c r="AG227" s="3"/>
      <c r="AH227" s="3"/>
      <c r="AL227" s="11"/>
      <c r="AM227" s="3"/>
      <c r="AN227" s="3"/>
      <c r="AO227" s="11"/>
      <c r="AP227" s="7"/>
      <c r="AQ227" s="7"/>
      <c r="AR227" s="7"/>
      <c r="AS227" s="7"/>
      <c r="AT227" s="9"/>
      <c r="AU227" s="9"/>
      <c r="AV227" s="9"/>
      <c r="AW227" s="3"/>
      <c r="AX227" s="3"/>
      <c r="AY227" s="3"/>
    </row>
    <row r="228" spans="1:51" x14ac:dyDescent="0.25">
      <c r="A228">
        <v>195</v>
      </c>
      <c r="B228" s="1" t="s">
        <v>236</v>
      </c>
      <c r="C228" s="1" t="s">
        <v>682</v>
      </c>
      <c r="D228" s="2">
        <v>40827</v>
      </c>
      <c r="E228" s="3">
        <v>37.299999999999997</v>
      </c>
      <c r="F228" s="4">
        <f t="shared" si="21"/>
        <v>5418.6969798504388</v>
      </c>
      <c r="G228" s="2">
        <v>40205</v>
      </c>
      <c r="H228" s="7">
        <v>2.82</v>
      </c>
      <c r="I228" s="7">
        <f>H228+H219-2*$A$24</f>
        <v>5.08</v>
      </c>
      <c r="J228" s="7">
        <v>2.72</v>
      </c>
      <c r="K228" s="7">
        <v>4.58</v>
      </c>
      <c r="L228" s="6">
        <f t="shared" si="22"/>
        <v>0.33070866141732286</v>
      </c>
      <c r="M228" s="6">
        <f t="shared" si="23"/>
        <v>0.56692913385826771</v>
      </c>
      <c r="N228" s="6">
        <f t="shared" si="24"/>
        <v>0.10236220472440938</v>
      </c>
      <c r="O228" s="4">
        <f t="shared" si="25"/>
        <v>1792.0100248324286</v>
      </c>
      <c r="P228" s="4">
        <f t="shared" si="26"/>
        <v>3072.0171854270202</v>
      </c>
      <c r="Q228" s="4">
        <f t="shared" si="27"/>
        <v>4864.027210259449</v>
      </c>
      <c r="V228" s="3"/>
      <c r="W228" s="3"/>
      <c r="Y228" s="7"/>
      <c r="Z228" s="7"/>
      <c r="AA228" s="7"/>
      <c r="AB228" s="7"/>
      <c r="AC228" s="9"/>
      <c r="AD228" s="9"/>
      <c r="AE228" s="9"/>
      <c r="AF228" s="3"/>
      <c r="AG228" s="3"/>
      <c r="AH228" s="3"/>
      <c r="AJ228" t="s">
        <v>818</v>
      </c>
      <c r="AK228" t="s">
        <v>682</v>
      </c>
      <c r="AL228" s="11">
        <f>D216</f>
        <v>40827</v>
      </c>
      <c r="AM228" s="3">
        <f>SUM(E216,E231)</f>
        <v>65.7</v>
      </c>
      <c r="AN228" s="3">
        <f>(AM228-4*$A$20)*$A$21/(2*$A$22)*$A$23</f>
        <v>4732.4931790441087</v>
      </c>
      <c r="AO228" s="11">
        <f>G216</f>
        <v>40205</v>
      </c>
      <c r="AP228" s="7">
        <f>SUM(H216,H231)</f>
        <v>5.38</v>
      </c>
      <c r="AQ228" s="7">
        <f>SUM(I216,I231)</f>
        <v>10.119999999999999</v>
      </c>
      <c r="AR228" s="7">
        <f>SUM(J216,J231)</f>
        <v>5.44</v>
      </c>
      <c r="AS228" s="7">
        <f>SUM(K216,K231)</f>
        <v>9.1199999999999992</v>
      </c>
      <c r="AT228" s="9">
        <f>(AR228-2*$A$25)/AQ228</f>
        <v>0.33201581027667992</v>
      </c>
      <c r="AU228" s="9">
        <f>(AS228-2*$A$26)/AQ228</f>
        <v>0.56521739130434778</v>
      </c>
      <c r="AV228" s="9">
        <f>1-AT228-AU228</f>
        <v>0.10276679841897229</v>
      </c>
      <c r="AW228" s="3">
        <f>AN228*AT228</f>
        <v>1571.2625574691906</v>
      </c>
      <c r="AX228" s="3">
        <f>AN228*AU228</f>
        <v>2674.8874490249309</v>
      </c>
      <c r="AY228" s="3">
        <f>AW228+AX228</f>
        <v>4246.150006494121</v>
      </c>
    </row>
    <row r="229" spans="1:51" x14ac:dyDescent="0.25">
      <c r="A229">
        <v>196</v>
      </c>
      <c r="B229" s="1" t="s">
        <v>237</v>
      </c>
      <c r="C229" s="1" t="s">
        <v>682</v>
      </c>
      <c r="D229" s="2">
        <v>40827</v>
      </c>
      <c r="E229" s="3">
        <v>37.299999999999997</v>
      </c>
      <c r="F229" s="4">
        <f t="shared" si="21"/>
        <v>5418.6969798504388</v>
      </c>
      <c r="G229" s="2">
        <v>40205</v>
      </c>
      <c r="H229" s="7">
        <v>3.58</v>
      </c>
      <c r="I229" s="7">
        <f>H229+H218-2*$A$24</f>
        <v>5.7799999999999994</v>
      </c>
      <c r="J229" s="7">
        <v>2.98</v>
      </c>
      <c r="K229" s="7">
        <v>4.92</v>
      </c>
      <c r="L229" s="6">
        <f t="shared" si="22"/>
        <v>0.33564013840830453</v>
      </c>
      <c r="M229" s="6">
        <f t="shared" si="23"/>
        <v>0.55709342560553632</v>
      </c>
      <c r="N229" s="6">
        <f t="shared" si="24"/>
        <v>0.10726643598615915</v>
      </c>
      <c r="O229" s="4">
        <f t="shared" si="25"/>
        <v>1818.7322043096631</v>
      </c>
      <c r="P229" s="4">
        <f t="shared" si="26"/>
        <v>3018.7204628232548</v>
      </c>
      <c r="Q229" s="4">
        <f t="shared" si="27"/>
        <v>4837.4526671329177</v>
      </c>
      <c r="V229" s="3"/>
      <c r="W229" s="3"/>
      <c r="Y229" s="7"/>
      <c r="Z229" s="7"/>
      <c r="AA229" s="7"/>
      <c r="AB229" s="7"/>
      <c r="AC229" s="9"/>
      <c r="AD229" s="9"/>
      <c r="AE229" s="9"/>
      <c r="AF229" s="3"/>
      <c r="AG229" s="3"/>
      <c r="AH229" s="3"/>
      <c r="AL229" s="11"/>
      <c r="AM229" s="3"/>
      <c r="AN229" s="3"/>
      <c r="AO229" s="11"/>
      <c r="AP229" s="7"/>
      <c r="AQ229" s="7"/>
      <c r="AR229" s="7"/>
      <c r="AS229" s="7"/>
      <c r="AT229" s="9"/>
      <c r="AU229" s="9"/>
      <c r="AV229" s="9"/>
      <c r="AW229" s="3"/>
      <c r="AX229" s="3"/>
      <c r="AY229" s="3"/>
    </row>
    <row r="230" spans="1:51" x14ac:dyDescent="0.25">
      <c r="A230">
        <v>197</v>
      </c>
      <c r="B230" s="1" t="s">
        <v>238</v>
      </c>
      <c r="C230" s="1" t="s">
        <v>682</v>
      </c>
      <c r="D230" s="2">
        <v>40827</v>
      </c>
      <c r="E230" s="3">
        <v>38.200000000000003</v>
      </c>
      <c r="F230" s="4">
        <f t="shared" si="21"/>
        <v>5557.479771024754</v>
      </c>
      <c r="G230" s="2">
        <v>40205</v>
      </c>
      <c r="H230" s="7">
        <v>3.18</v>
      </c>
      <c r="I230" s="7">
        <f>H230+H217-2*$A$24</f>
        <v>5.18</v>
      </c>
      <c r="J230" s="7">
        <v>2.74</v>
      </c>
      <c r="K230" s="7">
        <v>4.5999999999999996</v>
      </c>
      <c r="L230" s="6">
        <f t="shared" si="22"/>
        <v>0.32818532818532825</v>
      </c>
      <c r="M230" s="6">
        <f t="shared" si="23"/>
        <v>0.55984555984555973</v>
      </c>
      <c r="N230" s="6">
        <f t="shared" si="24"/>
        <v>0.11196911196911208</v>
      </c>
      <c r="O230" s="4">
        <f t="shared" si="25"/>
        <v>1823.8833225370818</v>
      </c>
      <c r="P230" s="4">
        <f t="shared" si="26"/>
        <v>3111.3303737397264</v>
      </c>
      <c r="Q230" s="4">
        <f t="shared" si="27"/>
        <v>4935.2136962768082</v>
      </c>
      <c r="V230" s="3"/>
      <c r="W230" s="3"/>
      <c r="Y230" s="7"/>
      <c r="Z230" s="7"/>
      <c r="AA230" s="7"/>
      <c r="AB230" s="7"/>
      <c r="AC230" s="9"/>
      <c r="AD230" s="9"/>
      <c r="AE230" s="9"/>
      <c r="AF230" s="3"/>
      <c r="AG230" s="3"/>
      <c r="AH230" s="3"/>
      <c r="AJ230" t="s">
        <v>819</v>
      </c>
      <c r="AK230" t="s">
        <v>682</v>
      </c>
      <c r="AL230" s="11">
        <f>D215</f>
        <v>40827</v>
      </c>
      <c r="AM230" s="3">
        <f>SUM(E215,E232)</f>
        <v>67.900000000000006</v>
      </c>
      <c r="AN230" s="3">
        <f>(AM230-4*$A$20)*$A$21/(2*$A$22)*$A$23</f>
        <v>4902.1165904793816</v>
      </c>
      <c r="AO230" s="11">
        <f>G215</f>
        <v>40205</v>
      </c>
      <c r="AP230" s="7">
        <f>SUM(H215,H232)</f>
        <v>6.02</v>
      </c>
      <c r="AQ230" s="7">
        <f>SUM(I215,I232)</f>
        <v>11.399999999999999</v>
      </c>
      <c r="AR230" s="7">
        <f>SUM(J215,J232)</f>
        <v>5.84</v>
      </c>
      <c r="AS230" s="7">
        <f>SUM(K215,K232)</f>
        <v>9.76</v>
      </c>
      <c r="AT230" s="9">
        <f>(AR230-2*$A$25)/AQ230</f>
        <v>0.3298245614035088</v>
      </c>
      <c r="AU230" s="9">
        <f>(AS230-2*$A$26)/AQ230</f>
        <v>0.55789473684210533</v>
      </c>
      <c r="AV230" s="9">
        <f>1-AT230-AU230</f>
        <v>0.11228070175438587</v>
      </c>
      <c r="AW230" s="3">
        <f>AN230*AT230</f>
        <v>1616.838454403726</v>
      </c>
      <c r="AX230" s="3">
        <f>AN230*AU230</f>
        <v>2734.8650452148131</v>
      </c>
      <c r="AY230" s="3">
        <f>AW230+AX230</f>
        <v>4351.7034996185394</v>
      </c>
    </row>
    <row r="231" spans="1:51" x14ac:dyDescent="0.25">
      <c r="A231">
        <v>198</v>
      </c>
      <c r="B231" s="1" t="s">
        <v>239</v>
      </c>
      <c r="C231" s="1" t="s">
        <v>682</v>
      </c>
      <c r="D231" s="2">
        <v>40827</v>
      </c>
      <c r="E231" s="3">
        <v>33.400000000000006</v>
      </c>
      <c r="F231" s="4">
        <f t="shared" si="21"/>
        <v>4817.3048847617456</v>
      </c>
      <c r="G231" s="2">
        <v>40205</v>
      </c>
      <c r="H231" s="7">
        <v>2.78</v>
      </c>
      <c r="I231" s="7">
        <f>H231+H216-2*$A$24</f>
        <v>5.0599999999999996</v>
      </c>
      <c r="J231" s="7">
        <v>2.72</v>
      </c>
      <c r="K231" s="7">
        <v>4.5599999999999996</v>
      </c>
      <c r="L231" s="6">
        <f t="shared" si="22"/>
        <v>0.33201581027667992</v>
      </c>
      <c r="M231" s="6">
        <f t="shared" si="23"/>
        <v>0.56521739130434778</v>
      </c>
      <c r="N231" s="6">
        <f t="shared" si="24"/>
        <v>0.10276679841897229</v>
      </c>
      <c r="O231" s="4">
        <f t="shared" si="25"/>
        <v>1599.4213846639791</v>
      </c>
      <c r="P231" s="4">
        <f t="shared" si="26"/>
        <v>2722.8245000827255</v>
      </c>
      <c r="Q231" s="4">
        <f t="shared" si="27"/>
        <v>4322.2458847467042</v>
      </c>
      <c r="V231" s="3"/>
      <c r="W231" s="3"/>
      <c r="Y231" s="7"/>
      <c r="Z231" s="7"/>
      <c r="AA231" s="7"/>
      <c r="AB231" s="7"/>
      <c r="AC231" s="9"/>
      <c r="AD231" s="9"/>
      <c r="AE231" s="9"/>
      <c r="AF231" s="3"/>
      <c r="AG231" s="3"/>
      <c r="AH231" s="3"/>
      <c r="AL231" s="11"/>
      <c r="AM231" s="3"/>
      <c r="AN231" s="3"/>
      <c r="AO231" s="11"/>
      <c r="AP231" s="7"/>
      <c r="AQ231" s="7"/>
      <c r="AR231" s="7"/>
      <c r="AS231" s="7"/>
      <c r="AT231" s="9"/>
      <c r="AU231" s="9"/>
      <c r="AV231" s="9"/>
      <c r="AW231" s="3"/>
      <c r="AX231" s="3"/>
      <c r="AY231" s="3"/>
    </row>
    <row r="232" spans="1:51" x14ac:dyDescent="0.25">
      <c r="A232">
        <v>199</v>
      </c>
      <c r="B232" s="1" t="s">
        <v>240</v>
      </c>
      <c r="C232" s="1" t="s">
        <v>682</v>
      </c>
      <c r="D232" s="2">
        <v>40827</v>
      </c>
      <c r="E232" s="3">
        <v>31.900000000000002</v>
      </c>
      <c r="F232" s="4">
        <f t="shared" si="21"/>
        <v>4586.0002328045548</v>
      </c>
      <c r="G232" s="2">
        <v>40205</v>
      </c>
      <c r="H232" s="7">
        <v>3.3</v>
      </c>
      <c r="I232" s="7">
        <f>H232+H215-2*$A$24</f>
        <v>5.6999999999999993</v>
      </c>
      <c r="J232" s="7">
        <v>2.92</v>
      </c>
      <c r="K232" s="7">
        <v>4.88</v>
      </c>
      <c r="L232" s="6">
        <f t="shared" si="22"/>
        <v>0.3298245614035088</v>
      </c>
      <c r="M232" s="6">
        <f t="shared" si="23"/>
        <v>0.55789473684210533</v>
      </c>
      <c r="N232" s="6">
        <f t="shared" si="24"/>
        <v>0.11228070175438587</v>
      </c>
      <c r="O232" s="4">
        <f t="shared" si="25"/>
        <v>1512.5755153811515</v>
      </c>
      <c r="P232" s="4">
        <f t="shared" si="26"/>
        <v>2558.505393038331</v>
      </c>
      <c r="Q232" s="4">
        <f t="shared" si="27"/>
        <v>4071.0809084194825</v>
      </c>
      <c r="V232" s="3"/>
      <c r="W232" s="3"/>
      <c r="Y232" s="7"/>
      <c r="Z232" s="7"/>
      <c r="AA232" s="7"/>
      <c r="AB232" s="7"/>
      <c r="AC232" s="9"/>
      <c r="AD232" s="9"/>
      <c r="AE232" s="9"/>
      <c r="AF232" s="3"/>
      <c r="AG232" s="3"/>
      <c r="AH232" s="3"/>
      <c r="AJ232" t="s">
        <v>820</v>
      </c>
      <c r="AK232" t="s">
        <v>682</v>
      </c>
      <c r="AL232" s="11">
        <f>D214</f>
        <v>40827</v>
      </c>
      <c r="AM232" s="3">
        <f>SUM(E214,E233)</f>
        <v>60.9</v>
      </c>
      <c r="AN232" s="3">
        <f>(AM232-4*$A$20)*$A$21/(2*$A$22)*$A$23</f>
        <v>4362.4057359126036</v>
      </c>
      <c r="AO232" s="11">
        <f>G214</f>
        <v>40205</v>
      </c>
      <c r="AP232" s="7">
        <f>SUM(H214,H233)</f>
        <v>5.38</v>
      </c>
      <c r="AQ232" s="7">
        <f>SUM(I214,I233)</f>
        <v>10.119999999999999</v>
      </c>
      <c r="AR232" s="7">
        <f>SUM(J214,J233)</f>
        <v>5.52</v>
      </c>
      <c r="AS232" s="7">
        <f>SUM(K214,K233)</f>
        <v>9.1199999999999992</v>
      </c>
      <c r="AT232" s="9">
        <f>(AR232-2*$A$25)/AQ232</f>
        <v>0.33992094861660077</v>
      </c>
      <c r="AU232" s="9">
        <f>(AS232-2*$A$26)/AQ232</f>
        <v>0.56521739130434778</v>
      </c>
      <c r="AV232" s="9">
        <f>1-AT232-AU232</f>
        <v>9.4861660079051391E-2</v>
      </c>
      <c r="AW232" s="3">
        <f>AN232*AT232</f>
        <v>1482.8730960019127</v>
      </c>
      <c r="AX232" s="3">
        <f>AN232*AU232</f>
        <v>2465.7075898636454</v>
      </c>
      <c r="AY232" s="3">
        <f>AW232+AX232</f>
        <v>3948.5806858655578</v>
      </c>
    </row>
    <row r="233" spans="1:51" x14ac:dyDescent="0.25">
      <c r="A233">
        <v>200</v>
      </c>
      <c r="B233" s="1" t="s">
        <v>241</v>
      </c>
      <c r="C233" s="1" t="s">
        <v>682</v>
      </c>
      <c r="D233" s="2">
        <v>40827</v>
      </c>
      <c r="E233" s="3">
        <v>30.4</v>
      </c>
      <c r="F233" s="4">
        <f t="shared" si="21"/>
        <v>4354.6955808473649</v>
      </c>
      <c r="G233" s="2">
        <v>40205</v>
      </c>
      <c r="H233" s="7">
        <v>2.9</v>
      </c>
      <c r="I233" s="7">
        <f>H233+H214-2*$A$24</f>
        <v>5.0599999999999996</v>
      </c>
      <c r="J233" s="7">
        <v>2.76</v>
      </c>
      <c r="K233" s="7">
        <v>4.5599999999999996</v>
      </c>
      <c r="L233" s="6">
        <f t="shared" si="22"/>
        <v>0.33992094861660077</v>
      </c>
      <c r="M233" s="6">
        <f t="shared" si="23"/>
        <v>0.56521739130434778</v>
      </c>
      <c r="N233" s="6">
        <f t="shared" si="24"/>
        <v>9.4861660079051391E-2</v>
      </c>
      <c r="O233" s="4">
        <f t="shared" si="25"/>
        <v>1480.2522527781555</v>
      </c>
      <c r="P233" s="4">
        <f t="shared" si="26"/>
        <v>2461.3496761311189</v>
      </c>
      <c r="Q233" s="4">
        <f t="shared" si="27"/>
        <v>3941.6019289092746</v>
      </c>
      <c r="V233" s="3"/>
      <c r="W233" s="3"/>
      <c r="Y233" s="7"/>
      <c r="Z233" s="7"/>
      <c r="AA233" s="7"/>
      <c r="AB233" s="7"/>
      <c r="AC233" s="9"/>
      <c r="AD233" s="9"/>
      <c r="AE233" s="9"/>
      <c r="AF233" s="3"/>
      <c r="AG233" s="3"/>
      <c r="AH233" s="3"/>
    </row>
    <row r="234" spans="1:51" x14ac:dyDescent="0.25">
      <c r="A234">
        <v>201</v>
      </c>
      <c r="B234" s="1" t="s">
        <v>242</v>
      </c>
      <c r="C234" s="1" t="s">
        <v>682</v>
      </c>
      <c r="D234" s="2">
        <v>40828</v>
      </c>
      <c r="E234" s="3">
        <v>29</v>
      </c>
      <c r="F234" s="4">
        <f t="shared" si="21"/>
        <v>4138.8112390206534</v>
      </c>
      <c r="G234" s="2">
        <v>40205</v>
      </c>
      <c r="H234" s="7">
        <v>4.32</v>
      </c>
      <c r="I234" s="7">
        <f>H234+H253-2*$A$24</f>
        <v>7.6400000000000006</v>
      </c>
      <c r="J234" s="7">
        <v>3.58</v>
      </c>
      <c r="K234" s="7">
        <v>5.94</v>
      </c>
      <c r="L234" s="6">
        <f t="shared" si="22"/>
        <v>0.33246073298429318</v>
      </c>
      <c r="M234" s="6">
        <f t="shared" si="23"/>
        <v>0.55497382198952883</v>
      </c>
      <c r="N234" s="6">
        <f t="shared" si="24"/>
        <v>0.11256544502617793</v>
      </c>
      <c r="O234" s="4">
        <f t="shared" si="25"/>
        <v>1375.9922182084372</v>
      </c>
      <c r="P234" s="4">
        <f t="shared" si="26"/>
        <v>2296.9318918125095</v>
      </c>
      <c r="Q234" s="4">
        <f t="shared" si="27"/>
        <v>3672.9241100209465</v>
      </c>
      <c r="S234" t="s">
        <v>30</v>
      </c>
      <c r="T234" t="s">
        <v>682</v>
      </c>
      <c r="U234" s="8">
        <f>D234</f>
        <v>40828</v>
      </c>
      <c r="V234" s="3">
        <f>SUM(E234:E273)</f>
        <v>1335.9999999999998</v>
      </c>
      <c r="W234" s="3">
        <f>(V234-80*$A$20)*$A$21/(40*$A$22)*$A$23</f>
        <v>4817.3048847617438</v>
      </c>
      <c r="X234" s="8">
        <f>G234</f>
        <v>40205</v>
      </c>
      <c r="Y234" s="7">
        <f>SUM(H234:H273)</f>
        <v>132.54</v>
      </c>
      <c r="Z234" s="7">
        <f>SUM(I234:I273)</f>
        <v>252.28</v>
      </c>
      <c r="AA234" s="7">
        <f>SUM(J234:J273)</f>
        <v>125.23999999999998</v>
      </c>
      <c r="AB234" s="7">
        <f>SUM(K234:K273)</f>
        <v>211.12000000000003</v>
      </c>
      <c r="AC234" s="9">
        <f>(AA234-40*$A$25)/Z234</f>
        <v>0.33153638814016168</v>
      </c>
      <c r="AD234" s="9">
        <f>(AB234-40*$A$26)/Z234</f>
        <v>0.56730616775011899</v>
      </c>
      <c r="AE234" s="9">
        <f>1-AC234-AD234</f>
        <v>0.10115744410971939</v>
      </c>
      <c r="AF234" s="3">
        <f>W234*AC234</f>
        <v>1597.1118620638663</v>
      </c>
      <c r="AG234" s="3">
        <f>W234*AD234</f>
        <v>2732.8867730581132</v>
      </c>
      <c r="AH234" s="3">
        <f>AF234+AG234</f>
        <v>4329.9986351219795</v>
      </c>
      <c r="AJ234" t="s">
        <v>821</v>
      </c>
      <c r="AK234" t="s">
        <v>682</v>
      </c>
      <c r="AL234" s="11">
        <f>D243</f>
        <v>40828</v>
      </c>
      <c r="AM234" s="3">
        <f>SUM(E243,E244)</f>
        <v>53.6</v>
      </c>
      <c r="AN234" s="3">
        <f>(AM234-4*$A$20)*$A$21/(2*$A$22)*$A$23</f>
        <v>3799.5644161501086</v>
      </c>
      <c r="AO234" s="11">
        <f>G243</f>
        <v>40205</v>
      </c>
      <c r="AP234" s="7">
        <f>SUM(H243,H244)</f>
        <v>7.86</v>
      </c>
      <c r="AQ234" s="7">
        <f>SUM(I243,I244)</f>
        <v>15.08</v>
      </c>
      <c r="AR234" s="7">
        <f>SUM(J243,J244)</f>
        <v>6.96</v>
      </c>
      <c r="AS234" s="7">
        <f>SUM(K243,K244)</f>
        <v>11.72</v>
      </c>
      <c r="AT234" s="9">
        <f>(AR234-2*$A$25)/AQ234</f>
        <v>0.32360742705570289</v>
      </c>
      <c r="AU234" s="9">
        <f>(AS234-2*$A$26)/AQ234</f>
        <v>0.55172413793103448</v>
      </c>
      <c r="AV234" s="9">
        <f>1-AT234-AU234</f>
        <v>0.12466843501326264</v>
      </c>
      <c r="AW234" s="3">
        <f>AN234*AT234</f>
        <v>1229.5672646427406</v>
      </c>
      <c r="AX234" s="3">
        <f>AN234*AU234</f>
        <v>2096.3114020138528</v>
      </c>
      <c r="AY234" s="3">
        <f>AW234+AX234</f>
        <v>3325.8786666565934</v>
      </c>
    </row>
    <row r="235" spans="1:51" x14ac:dyDescent="0.25">
      <c r="A235">
        <v>202</v>
      </c>
      <c r="B235" s="1" t="s">
        <v>243</v>
      </c>
      <c r="C235" s="1" t="s">
        <v>682</v>
      </c>
      <c r="D235" s="2">
        <v>40828</v>
      </c>
      <c r="E235" s="3">
        <v>29.799999999999997</v>
      </c>
      <c r="F235" s="4">
        <f t="shared" si="21"/>
        <v>4262.1737200644884</v>
      </c>
      <c r="G235" s="2">
        <v>40205</v>
      </c>
      <c r="H235" s="7">
        <v>3.06</v>
      </c>
      <c r="I235" s="7">
        <f>H235+H252-2*$A$24</f>
        <v>6.3599999999999994</v>
      </c>
      <c r="J235" s="7">
        <v>3.16</v>
      </c>
      <c r="K235" s="7">
        <v>5.32</v>
      </c>
      <c r="L235" s="6">
        <f t="shared" si="22"/>
        <v>0.33333333333333337</v>
      </c>
      <c r="M235" s="6">
        <f t="shared" si="23"/>
        <v>0.56918238993710701</v>
      </c>
      <c r="N235" s="6">
        <f t="shared" si="24"/>
        <v>9.7484276729559616E-2</v>
      </c>
      <c r="O235" s="4">
        <f t="shared" si="25"/>
        <v>1420.7245733548295</v>
      </c>
      <c r="P235" s="4">
        <f t="shared" si="26"/>
        <v>2425.9542243134356</v>
      </c>
      <c r="Q235" s="4">
        <f t="shared" si="27"/>
        <v>3846.6787976682654</v>
      </c>
      <c r="V235" s="3"/>
      <c r="W235" s="3"/>
      <c r="Y235" s="7"/>
      <c r="Z235" s="7"/>
      <c r="AA235" s="7"/>
      <c r="AB235" s="7"/>
      <c r="AC235" s="9"/>
      <c r="AD235" s="9"/>
      <c r="AE235" s="9"/>
      <c r="AF235" s="3"/>
      <c r="AG235" s="3"/>
      <c r="AH235" s="3"/>
      <c r="AL235" s="11"/>
      <c r="AM235" s="3"/>
      <c r="AN235" s="3"/>
      <c r="AO235" s="11"/>
      <c r="AP235" s="7"/>
      <c r="AQ235" s="7"/>
      <c r="AR235" s="7"/>
      <c r="AS235" s="7"/>
      <c r="AT235" s="9"/>
      <c r="AU235" s="9"/>
      <c r="AV235" s="9"/>
      <c r="AW235" s="3"/>
      <c r="AX235" s="3"/>
      <c r="AY235" s="3"/>
    </row>
    <row r="236" spans="1:51" x14ac:dyDescent="0.25">
      <c r="A236">
        <v>203</v>
      </c>
      <c r="B236" s="1" t="s">
        <v>244</v>
      </c>
      <c r="C236" s="1" t="s">
        <v>682</v>
      </c>
      <c r="D236" s="2">
        <v>40828</v>
      </c>
      <c r="E236" s="3">
        <v>32</v>
      </c>
      <c r="F236" s="4">
        <f t="shared" si="21"/>
        <v>4601.4205429350341</v>
      </c>
      <c r="G236" s="2">
        <v>40205</v>
      </c>
      <c r="H236" s="7">
        <v>2.92</v>
      </c>
      <c r="I236" s="7">
        <f>H236+H251-2*$A$24</f>
        <v>5.8599999999999994</v>
      </c>
      <c r="J236" s="7">
        <v>3.02</v>
      </c>
      <c r="K236" s="7">
        <v>4.9800000000000004</v>
      </c>
      <c r="L236" s="6">
        <f t="shared" si="22"/>
        <v>0.33788395904436863</v>
      </c>
      <c r="M236" s="6">
        <f t="shared" si="23"/>
        <v>0.559726962457338</v>
      </c>
      <c r="N236" s="6">
        <f t="shared" si="24"/>
        <v>0.10238907849829337</v>
      </c>
      <c r="O236" s="4">
        <f t="shared" si="25"/>
        <v>1554.7461902749776</v>
      </c>
      <c r="P236" s="4">
        <f t="shared" si="26"/>
        <v>2575.5391434858216</v>
      </c>
      <c r="Q236" s="4">
        <f t="shared" si="27"/>
        <v>4130.2853337607994</v>
      </c>
      <c r="V236" s="3"/>
      <c r="W236" s="3"/>
      <c r="Y236" s="7"/>
      <c r="Z236" s="7"/>
      <c r="AA236" s="7"/>
      <c r="AB236" s="7"/>
      <c r="AC236" s="9"/>
      <c r="AD236" s="9"/>
      <c r="AE236" s="9"/>
      <c r="AF236" s="3"/>
      <c r="AG236" s="3"/>
      <c r="AH236" s="3"/>
      <c r="AJ236" t="s">
        <v>822</v>
      </c>
      <c r="AK236" t="s">
        <v>682</v>
      </c>
      <c r="AL236" s="11">
        <f>D242</f>
        <v>40828</v>
      </c>
      <c r="AM236" s="3">
        <f>SUM(E242,E245)</f>
        <v>69.399999999999991</v>
      </c>
      <c r="AN236" s="3">
        <f>(AM236-4*$A$20)*$A$21/(2*$A$22)*$A$23</f>
        <v>5017.7689164579751</v>
      </c>
      <c r="AO236" s="11">
        <f>G242</f>
        <v>40205</v>
      </c>
      <c r="AP236" s="7">
        <f>SUM(H242,H245)</f>
        <v>7.7</v>
      </c>
      <c r="AQ236" s="7">
        <f>SUM(I242,I245)</f>
        <v>14.76</v>
      </c>
      <c r="AR236" s="7">
        <f>SUM(J242,J245)</f>
        <v>7.04</v>
      </c>
      <c r="AS236" s="7">
        <f>SUM(K242,K245)</f>
        <v>11.8</v>
      </c>
      <c r="AT236" s="9">
        <f>(AR236-2*$A$25)/AQ236</f>
        <v>0.33604336043360433</v>
      </c>
      <c r="AU236" s="9">
        <f>(AS236-2*$A$26)/AQ236</f>
        <v>0.56910569105691056</v>
      </c>
      <c r="AV236" s="9">
        <f>1-AT236-AU236</f>
        <v>9.4850948509485056E-2</v>
      </c>
      <c r="AW236" s="3">
        <f>AN236*AT236</f>
        <v>1686.1879285658235</v>
      </c>
      <c r="AX236" s="3">
        <f>AN236*AU236</f>
        <v>2855.6408467647011</v>
      </c>
      <c r="AY236" s="3">
        <f>AW236+AX236</f>
        <v>4541.8287753305249</v>
      </c>
    </row>
    <row r="237" spans="1:51" x14ac:dyDescent="0.25">
      <c r="A237">
        <v>204</v>
      </c>
      <c r="B237" s="1" t="s">
        <v>245</v>
      </c>
      <c r="C237" s="1" t="s">
        <v>682</v>
      </c>
      <c r="D237" s="2">
        <v>40828</v>
      </c>
      <c r="E237" s="3">
        <v>31.1</v>
      </c>
      <c r="F237" s="4">
        <f t="shared" si="21"/>
        <v>4462.6377517607198</v>
      </c>
      <c r="G237" s="2">
        <v>40205</v>
      </c>
      <c r="H237" s="7">
        <v>3.3</v>
      </c>
      <c r="I237" s="7">
        <f>H237+H250-2*$A$24</f>
        <v>6.18</v>
      </c>
      <c r="J237" s="7">
        <v>3.08</v>
      </c>
      <c r="K237" s="7">
        <v>5.16</v>
      </c>
      <c r="L237" s="6">
        <f t="shared" si="22"/>
        <v>0.3300970873786408</v>
      </c>
      <c r="M237" s="6">
        <f t="shared" si="23"/>
        <v>0.55987055016181231</v>
      </c>
      <c r="N237" s="6">
        <f t="shared" si="24"/>
        <v>0.11003236245954684</v>
      </c>
      <c r="O237" s="4">
        <f t="shared" si="25"/>
        <v>1473.1037238821793</v>
      </c>
      <c r="P237" s="4">
        <f t="shared" si="26"/>
        <v>2498.4994532511473</v>
      </c>
      <c r="Q237" s="4">
        <f t="shared" si="27"/>
        <v>3971.6031771333264</v>
      </c>
      <c r="V237" s="3"/>
      <c r="W237" s="3"/>
      <c r="Y237" s="7"/>
      <c r="Z237" s="7"/>
      <c r="AA237" s="7"/>
      <c r="AB237" s="7"/>
      <c r="AC237" s="9"/>
      <c r="AD237" s="9"/>
      <c r="AE237" s="9"/>
      <c r="AF237" s="3"/>
      <c r="AG237" s="3"/>
      <c r="AH237" s="3"/>
      <c r="AL237" s="11"/>
      <c r="AM237" s="3"/>
      <c r="AN237" s="3"/>
      <c r="AO237" s="11"/>
      <c r="AP237" s="7"/>
      <c r="AQ237" s="7"/>
      <c r="AR237" s="7"/>
      <c r="AS237" s="7"/>
      <c r="AT237" s="9"/>
      <c r="AU237" s="9"/>
      <c r="AV237" s="9"/>
      <c r="AW237" s="3"/>
      <c r="AX237" s="3"/>
      <c r="AY237" s="3"/>
    </row>
    <row r="238" spans="1:51" x14ac:dyDescent="0.25">
      <c r="A238">
        <v>205</v>
      </c>
      <c r="B238" s="1" t="s">
        <v>246</v>
      </c>
      <c r="C238" s="1" t="s">
        <v>682</v>
      </c>
      <c r="D238" s="2">
        <v>40828</v>
      </c>
      <c r="E238" s="3">
        <v>35.700000000000003</v>
      </c>
      <c r="F238" s="4">
        <f t="shared" si="21"/>
        <v>5171.9720177627705</v>
      </c>
      <c r="G238" s="2">
        <v>40205</v>
      </c>
      <c r="H238" s="7">
        <v>3</v>
      </c>
      <c r="I238" s="7">
        <f>H238+H249-2*$A$24</f>
        <v>5.9799999999999995</v>
      </c>
      <c r="J238" s="7">
        <v>3.02</v>
      </c>
      <c r="K238" s="7">
        <v>5.12</v>
      </c>
      <c r="L238" s="6">
        <f t="shared" si="22"/>
        <v>0.33110367892976589</v>
      </c>
      <c r="M238" s="6">
        <f t="shared" si="23"/>
        <v>0.57190635451505023</v>
      </c>
      <c r="N238" s="6">
        <f t="shared" si="24"/>
        <v>9.6989966555183882E-2</v>
      </c>
      <c r="O238" s="4">
        <f t="shared" si="25"/>
        <v>1712.4589624030577</v>
      </c>
      <c r="P238" s="4">
        <f t="shared" si="26"/>
        <v>2957.8836623325546</v>
      </c>
      <c r="Q238" s="4">
        <f t="shared" si="27"/>
        <v>4670.3426247356128</v>
      </c>
      <c r="V238" s="3"/>
      <c r="W238" s="3"/>
      <c r="Y238" s="7"/>
      <c r="Z238" s="7"/>
      <c r="AA238" s="7"/>
      <c r="AB238" s="7"/>
      <c r="AC238" s="9"/>
      <c r="AD238" s="9"/>
      <c r="AE238" s="9"/>
      <c r="AF238" s="3"/>
      <c r="AG238" s="3"/>
      <c r="AH238" s="3"/>
      <c r="AJ238" t="s">
        <v>823</v>
      </c>
      <c r="AK238" t="s">
        <v>682</v>
      </c>
      <c r="AL238" s="11">
        <f>D241</f>
        <v>40828</v>
      </c>
      <c r="AM238" s="3">
        <f>SUM(E241,E246)</f>
        <v>73.400000000000006</v>
      </c>
      <c r="AN238" s="3">
        <f>(AM238-4*$A$20)*$A$21/(2*$A$22)*$A$23</f>
        <v>5326.1751190675632</v>
      </c>
      <c r="AO238" s="11">
        <f>G241</f>
        <v>40205</v>
      </c>
      <c r="AP238" s="7">
        <f>SUM(H241,H246)</f>
        <v>6.4399999999999995</v>
      </c>
      <c r="AQ238" s="7">
        <f>SUM(I241,I246)</f>
        <v>12.239999999999998</v>
      </c>
      <c r="AR238" s="7">
        <f>SUM(J241,J246)</f>
        <v>6.16</v>
      </c>
      <c r="AS238" s="7">
        <f>SUM(K241,K246)</f>
        <v>10.4</v>
      </c>
      <c r="AT238" s="9">
        <f>(AR238-2*$A$25)/AQ238</f>
        <v>0.33333333333333337</v>
      </c>
      <c r="AU238" s="9">
        <f>(AS238-2*$A$26)/AQ238</f>
        <v>0.57189542483660138</v>
      </c>
      <c r="AV238" s="9">
        <f>1-AT238-AU238</f>
        <v>9.4771241830065245E-2</v>
      </c>
      <c r="AW238" s="3">
        <f>AN238*AT238</f>
        <v>1775.3917063558547</v>
      </c>
      <c r="AX238" s="3">
        <f>AN238*AU238</f>
        <v>3046.0151824732802</v>
      </c>
      <c r="AY238" s="3">
        <f>AW238+AX238</f>
        <v>4821.4068888291349</v>
      </c>
    </row>
    <row r="239" spans="1:51" x14ac:dyDescent="0.25">
      <c r="A239">
        <v>206</v>
      </c>
      <c r="B239" s="1" t="s">
        <v>247</v>
      </c>
      <c r="C239" s="1" t="s">
        <v>682</v>
      </c>
      <c r="D239" s="2">
        <v>40828</v>
      </c>
      <c r="E239" s="3">
        <v>37</v>
      </c>
      <c r="F239" s="4">
        <f t="shared" si="21"/>
        <v>5372.436049459001</v>
      </c>
      <c r="G239" s="2">
        <v>40205</v>
      </c>
      <c r="H239" s="7">
        <v>2.9</v>
      </c>
      <c r="I239" s="7">
        <f>H239+H248-2*$A$24</f>
        <v>5.58</v>
      </c>
      <c r="J239" s="7">
        <v>2.86</v>
      </c>
      <c r="K239" s="7">
        <v>4.84</v>
      </c>
      <c r="L239" s="6">
        <f t="shared" si="22"/>
        <v>0.3261648745519713</v>
      </c>
      <c r="M239" s="6">
        <f t="shared" si="23"/>
        <v>0.56272401433691754</v>
      </c>
      <c r="N239" s="6">
        <f t="shared" si="24"/>
        <v>0.11111111111111116</v>
      </c>
      <c r="O239" s="4">
        <f t="shared" si="25"/>
        <v>1752.2999301102834</v>
      </c>
      <c r="P239" s="4">
        <f t="shared" si="26"/>
        <v>3023.1987805199396</v>
      </c>
      <c r="Q239" s="4">
        <f t="shared" si="27"/>
        <v>4775.4987106302233</v>
      </c>
      <c r="V239" s="3"/>
      <c r="W239" s="3"/>
      <c r="Y239" s="7"/>
      <c r="Z239" s="7"/>
      <c r="AA239" s="7"/>
      <c r="AB239" s="7"/>
      <c r="AC239" s="9"/>
      <c r="AD239" s="9"/>
      <c r="AE239" s="9"/>
      <c r="AF239" s="3"/>
      <c r="AG239" s="3"/>
      <c r="AH239" s="3"/>
      <c r="AL239" s="11"/>
      <c r="AM239" s="3"/>
      <c r="AN239" s="3"/>
      <c r="AO239" s="11"/>
      <c r="AP239" s="7"/>
      <c r="AQ239" s="7"/>
      <c r="AR239" s="7"/>
      <c r="AS239" s="7"/>
      <c r="AT239" s="9"/>
      <c r="AU239" s="9"/>
      <c r="AV239" s="9"/>
      <c r="AW239" s="3"/>
      <c r="AX239" s="3"/>
      <c r="AY239" s="3"/>
    </row>
    <row r="240" spans="1:51" x14ac:dyDescent="0.25">
      <c r="A240">
        <v>207</v>
      </c>
      <c r="B240" s="1" t="s">
        <v>248</v>
      </c>
      <c r="C240" s="1" t="s">
        <v>682</v>
      </c>
      <c r="D240" s="2">
        <v>40828</v>
      </c>
      <c r="E240" s="3">
        <v>34.099999999999994</v>
      </c>
      <c r="F240" s="4">
        <f t="shared" si="21"/>
        <v>4925.2470556750995</v>
      </c>
      <c r="G240" s="2">
        <v>40205</v>
      </c>
      <c r="H240" s="7">
        <v>3.22</v>
      </c>
      <c r="I240" s="7">
        <f>H240+H247-2*$A$24</f>
        <v>6.46</v>
      </c>
      <c r="J240" s="7">
        <v>3.2</v>
      </c>
      <c r="K240" s="7">
        <v>5.42</v>
      </c>
      <c r="L240" s="6">
        <f t="shared" si="22"/>
        <v>0.33436532507739941</v>
      </c>
      <c r="M240" s="6">
        <f t="shared" si="23"/>
        <v>0.57585139318885448</v>
      </c>
      <c r="N240" s="6">
        <f t="shared" si="24"/>
        <v>8.9783281733746056E-2</v>
      </c>
      <c r="O240" s="4">
        <f t="shared" si="25"/>
        <v>1646.8318328573089</v>
      </c>
      <c r="P240" s="4">
        <f t="shared" si="26"/>
        <v>2836.2103788098098</v>
      </c>
      <c r="Q240" s="4">
        <f t="shared" si="27"/>
        <v>4483.0422116671189</v>
      </c>
      <c r="V240" s="3"/>
      <c r="W240" s="3"/>
      <c r="Y240" s="7"/>
      <c r="Z240" s="7"/>
      <c r="AA240" s="7"/>
      <c r="AB240" s="7"/>
      <c r="AC240" s="9"/>
      <c r="AD240" s="9"/>
      <c r="AE240" s="9"/>
      <c r="AF240" s="3"/>
      <c r="AG240" s="3"/>
      <c r="AH240" s="3"/>
      <c r="AJ240" t="s">
        <v>824</v>
      </c>
      <c r="AK240" t="s">
        <v>682</v>
      </c>
      <c r="AL240" s="11">
        <f>D240</f>
        <v>40828</v>
      </c>
      <c r="AM240" s="3">
        <f>SUM(E240,E247)</f>
        <v>72.3</v>
      </c>
      <c r="AN240" s="3">
        <f>(AM240-4*$A$20)*$A$21/(2*$A$22)*$A$23</f>
        <v>5241.3634133499254</v>
      </c>
      <c r="AO240" s="11">
        <f>G240</f>
        <v>40205</v>
      </c>
      <c r="AP240" s="7">
        <f>SUM(H240,H247)</f>
        <v>6.78</v>
      </c>
      <c r="AQ240" s="7">
        <f>SUM(I240,I247)</f>
        <v>12.92</v>
      </c>
      <c r="AR240" s="7">
        <f>SUM(J240,J247)</f>
        <v>6.4</v>
      </c>
      <c r="AS240" s="7">
        <f>SUM(K240,K247)</f>
        <v>10.84</v>
      </c>
      <c r="AT240" s="9">
        <f>(AR240-2*$A$25)/AQ240</f>
        <v>0.33436532507739941</v>
      </c>
      <c r="AU240" s="9">
        <f>(AS240-2*$A$26)/AQ240</f>
        <v>0.57585139318885448</v>
      </c>
      <c r="AV240" s="9">
        <f>1-AT240-AU240</f>
        <v>8.9783281733746056E-2</v>
      </c>
      <c r="AW240" s="3">
        <f>AN240*AT240</f>
        <v>1752.5301815535356</v>
      </c>
      <c r="AX240" s="3">
        <f>AN240*AU240</f>
        <v>3018.2464237866443</v>
      </c>
      <c r="AY240" s="3">
        <f>AW240+AX240</f>
        <v>4770.7766053401801</v>
      </c>
    </row>
    <row r="241" spans="1:51" x14ac:dyDescent="0.25">
      <c r="A241">
        <v>208</v>
      </c>
      <c r="B241" s="1" t="s">
        <v>249</v>
      </c>
      <c r="C241" s="1" t="s">
        <v>682</v>
      </c>
      <c r="D241" s="2">
        <v>40828</v>
      </c>
      <c r="E241" s="3">
        <v>35.1</v>
      </c>
      <c r="F241" s="4">
        <f t="shared" si="21"/>
        <v>5079.4501569798931</v>
      </c>
      <c r="G241" s="2">
        <v>40205</v>
      </c>
      <c r="H241" s="7">
        <v>3.04</v>
      </c>
      <c r="I241" s="7">
        <f>H241+H246-2*$A$24</f>
        <v>6.1199999999999992</v>
      </c>
      <c r="J241" s="7">
        <v>3.08</v>
      </c>
      <c r="K241" s="7">
        <v>5.2</v>
      </c>
      <c r="L241" s="6">
        <f t="shared" si="22"/>
        <v>0.33333333333333337</v>
      </c>
      <c r="M241" s="6">
        <f t="shared" si="23"/>
        <v>0.57189542483660138</v>
      </c>
      <c r="N241" s="6">
        <f t="shared" si="24"/>
        <v>9.4771241830065245E-2</v>
      </c>
      <c r="O241" s="4">
        <f t="shared" si="25"/>
        <v>1693.1500523266311</v>
      </c>
      <c r="P241" s="4">
        <f t="shared" si="26"/>
        <v>2904.9143054623578</v>
      </c>
      <c r="Q241" s="4">
        <f t="shared" si="27"/>
        <v>4598.0643577889887</v>
      </c>
      <c r="V241" s="3"/>
      <c r="W241" s="3"/>
      <c r="Y241" s="7"/>
      <c r="Z241" s="7"/>
      <c r="AA241" s="7"/>
      <c r="AB241" s="7"/>
      <c r="AC241" s="9"/>
      <c r="AD241" s="9"/>
      <c r="AE241" s="9"/>
      <c r="AF241" s="3"/>
      <c r="AG241" s="3"/>
      <c r="AH241" s="3"/>
      <c r="AL241" s="11"/>
      <c r="AM241" s="3"/>
      <c r="AN241" s="3"/>
      <c r="AO241" s="11"/>
      <c r="AP241" s="7"/>
      <c r="AQ241" s="7"/>
      <c r="AR241" s="7"/>
      <c r="AS241" s="7"/>
      <c r="AT241" s="9"/>
      <c r="AU241" s="9"/>
      <c r="AV241" s="9"/>
      <c r="AW241" s="3"/>
      <c r="AX241" s="3"/>
      <c r="AY241" s="3"/>
    </row>
    <row r="242" spans="1:51" x14ac:dyDescent="0.25">
      <c r="A242">
        <v>209</v>
      </c>
      <c r="B242" s="1" t="s">
        <v>250</v>
      </c>
      <c r="C242" s="1" t="s">
        <v>682</v>
      </c>
      <c r="D242" s="2">
        <v>40828</v>
      </c>
      <c r="E242" s="3">
        <v>31.8</v>
      </c>
      <c r="F242" s="4">
        <f t="shared" si="21"/>
        <v>4570.5799226740755</v>
      </c>
      <c r="G242" s="2">
        <v>40205</v>
      </c>
      <c r="H242" s="7">
        <v>4.2</v>
      </c>
      <c r="I242" s="7">
        <f>H242+H245-2*$A$24</f>
        <v>7.38</v>
      </c>
      <c r="J242" s="7">
        <v>3.52</v>
      </c>
      <c r="K242" s="7">
        <v>5.9</v>
      </c>
      <c r="L242" s="6">
        <f t="shared" si="22"/>
        <v>0.33604336043360433</v>
      </c>
      <c r="M242" s="6">
        <f t="shared" si="23"/>
        <v>0.56910569105691056</v>
      </c>
      <c r="N242" s="6">
        <f t="shared" si="24"/>
        <v>9.4850948509485056E-2</v>
      </c>
      <c r="O242" s="4">
        <f t="shared" si="25"/>
        <v>1535.9130363457598</v>
      </c>
      <c r="P242" s="4">
        <f t="shared" si="26"/>
        <v>2601.1430454242704</v>
      </c>
      <c r="Q242" s="4">
        <f t="shared" si="27"/>
        <v>4137.0560817700298</v>
      </c>
      <c r="V242" s="3"/>
      <c r="W242" s="3"/>
      <c r="Y242" s="7"/>
      <c r="Z242" s="7"/>
      <c r="AA242" s="7"/>
      <c r="AB242" s="7"/>
      <c r="AC242" s="9"/>
      <c r="AD242" s="9"/>
      <c r="AE242" s="9"/>
      <c r="AF242" s="3"/>
      <c r="AG242" s="3"/>
      <c r="AH242" s="3"/>
      <c r="AJ242" t="s">
        <v>825</v>
      </c>
      <c r="AK242" t="s">
        <v>682</v>
      </c>
      <c r="AL242" s="11">
        <f>D239</f>
        <v>40828</v>
      </c>
      <c r="AM242" s="3">
        <f>SUM(E239,E248)</f>
        <v>77</v>
      </c>
      <c r="AN242" s="3">
        <f>(AM242-4*$A$20)*$A$21/(2*$A$22)*$A$23</f>
        <v>5603.7407014161909</v>
      </c>
      <c r="AO242" s="11">
        <f>G239</f>
        <v>40205</v>
      </c>
      <c r="AP242" s="7">
        <f>SUM(H239,H248)</f>
        <v>5.9</v>
      </c>
      <c r="AQ242" s="7">
        <f>SUM(I239,I248)</f>
        <v>11.16</v>
      </c>
      <c r="AR242" s="7">
        <f>SUM(J239,J248)</f>
        <v>5.72</v>
      </c>
      <c r="AS242" s="7">
        <f>SUM(K239,K248)</f>
        <v>9.68</v>
      </c>
      <c r="AT242" s="9">
        <f>(AR242-2*$A$25)/AQ242</f>
        <v>0.3261648745519713</v>
      </c>
      <c r="AU242" s="9">
        <f>(AS242-2*$A$26)/AQ242</f>
        <v>0.56272401433691754</v>
      </c>
      <c r="AV242" s="9">
        <f>1-AT242-AU242</f>
        <v>0.11111111111111116</v>
      </c>
      <c r="AW242" s="3">
        <f>AN242*AT242</f>
        <v>1827.7433828991875</v>
      </c>
      <c r="AX242" s="3">
        <f>AN242*AU242</f>
        <v>3153.3594628040928</v>
      </c>
      <c r="AY242" s="3">
        <f>AW242+AX242</f>
        <v>4981.1028457032808</v>
      </c>
    </row>
    <row r="243" spans="1:51" x14ac:dyDescent="0.25">
      <c r="A243">
        <v>210</v>
      </c>
      <c r="B243" s="1" t="s">
        <v>251</v>
      </c>
      <c r="C243" s="1" t="s">
        <v>682</v>
      </c>
      <c r="D243" s="2">
        <v>40828</v>
      </c>
      <c r="E243" s="3">
        <v>26</v>
      </c>
      <c r="F243" s="4">
        <f t="shared" si="21"/>
        <v>3676.2019351062736</v>
      </c>
      <c r="G243" s="2">
        <v>40205</v>
      </c>
      <c r="H243" s="7">
        <v>3.7</v>
      </c>
      <c r="I243" s="7">
        <f>H243+H244-2*$A$24</f>
        <v>7.54</v>
      </c>
      <c r="J243" s="7">
        <v>3.48</v>
      </c>
      <c r="K243" s="7">
        <v>5.86</v>
      </c>
      <c r="L243" s="6">
        <f t="shared" si="22"/>
        <v>0.32360742705570289</v>
      </c>
      <c r="M243" s="6">
        <f t="shared" si="23"/>
        <v>0.55172413793103448</v>
      </c>
      <c r="N243" s="6">
        <f t="shared" si="24"/>
        <v>0.12466843501326264</v>
      </c>
      <c r="O243" s="4">
        <f t="shared" si="25"/>
        <v>1189.6462495569372</v>
      </c>
      <c r="P243" s="4">
        <f t="shared" si="26"/>
        <v>2028.2493435069096</v>
      </c>
      <c r="Q243" s="4">
        <f t="shared" si="27"/>
        <v>3217.8955930638467</v>
      </c>
      <c r="V243" s="3"/>
      <c r="W243" s="3"/>
      <c r="Y243" s="7"/>
      <c r="Z243" s="7"/>
      <c r="AA243" s="7"/>
      <c r="AB243" s="7"/>
      <c r="AC243" s="9"/>
      <c r="AD243" s="9"/>
      <c r="AE243" s="9"/>
      <c r="AF243" s="3"/>
      <c r="AG243" s="3"/>
      <c r="AH243" s="3"/>
      <c r="AL243" s="11"/>
      <c r="AM243" s="3"/>
      <c r="AN243" s="3"/>
      <c r="AO243" s="11"/>
      <c r="AP243" s="7"/>
      <c r="AQ243" s="7"/>
      <c r="AR243" s="7"/>
      <c r="AS243" s="7"/>
      <c r="AT243" s="9"/>
      <c r="AU243" s="9"/>
      <c r="AV243" s="9"/>
      <c r="AW243" s="3"/>
      <c r="AX243" s="3"/>
      <c r="AY243" s="3"/>
    </row>
    <row r="244" spans="1:51" x14ac:dyDescent="0.25">
      <c r="A244">
        <v>211</v>
      </c>
      <c r="B244" s="1" t="s">
        <v>252</v>
      </c>
      <c r="C244" s="1" t="s">
        <v>682</v>
      </c>
      <c r="D244" s="2">
        <v>40828</v>
      </c>
      <c r="E244" s="3">
        <v>27.6</v>
      </c>
      <c r="F244" s="4">
        <f t="shared" si="21"/>
        <v>3922.9268971939437</v>
      </c>
      <c r="G244" s="2">
        <v>40205</v>
      </c>
      <c r="H244" s="7">
        <v>4.16</v>
      </c>
      <c r="I244" s="7">
        <f>H244+H243-2*$A$24</f>
        <v>7.54</v>
      </c>
      <c r="J244" s="7">
        <v>3.48</v>
      </c>
      <c r="K244" s="7">
        <v>5.86</v>
      </c>
      <c r="L244" s="6">
        <f t="shared" si="22"/>
        <v>0.32360742705570289</v>
      </c>
      <c r="M244" s="6">
        <f t="shared" si="23"/>
        <v>0.55172413793103448</v>
      </c>
      <c r="N244" s="6">
        <f t="shared" si="24"/>
        <v>0.12466843501326264</v>
      </c>
      <c r="O244" s="4">
        <f t="shared" si="25"/>
        <v>1269.4882797285441</v>
      </c>
      <c r="P244" s="4">
        <f t="shared" si="26"/>
        <v>2164.3734605207965</v>
      </c>
      <c r="Q244" s="4">
        <f t="shared" si="27"/>
        <v>3433.8617402493405</v>
      </c>
      <c r="V244" s="3"/>
      <c r="W244" s="3"/>
      <c r="Y244" s="7"/>
      <c r="Z244" s="7"/>
      <c r="AA244" s="7"/>
      <c r="AB244" s="7"/>
      <c r="AC244" s="9"/>
      <c r="AD244" s="9"/>
      <c r="AE244" s="9"/>
      <c r="AF244" s="3"/>
      <c r="AG244" s="3"/>
      <c r="AH244" s="3"/>
      <c r="AJ244" t="s">
        <v>826</v>
      </c>
      <c r="AK244" t="s">
        <v>682</v>
      </c>
      <c r="AL244" s="11">
        <f>D238</f>
        <v>40828</v>
      </c>
      <c r="AM244" s="3">
        <f>SUM(E238,E249)</f>
        <v>76.099999999999994</v>
      </c>
      <c r="AN244" s="3">
        <f>(AM244-4*$A$20)*$A$21/(2*$A$22)*$A$23</f>
        <v>5534.3493058290342</v>
      </c>
      <c r="AO244" s="11">
        <f>G238</f>
        <v>40205</v>
      </c>
      <c r="AP244" s="7">
        <f>SUM(H238,H249)</f>
        <v>6.3</v>
      </c>
      <c r="AQ244" s="7">
        <f>SUM(I238,I249)</f>
        <v>11.959999999999999</v>
      </c>
      <c r="AR244" s="7">
        <f>SUM(J238,J249)</f>
        <v>6.04</v>
      </c>
      <c r="AS244" s="7">
        <f>SUM(K238,K249)</f>
        <v>10.24</v>
      </c>
      <c r="AT244" s="9">
        <f>(AR244-2*$A$25)/AQ244</f>
        <v>0.33110367892976589</v>
      </c>
      <c r="AU244" s="9">
        <f>(AS244-2*$A$26)/AQ244</f>
        <v>0.57190635451505023</v>
      </c>
      <c r="AV244" s="9">
        <f>1-AT244-AU244</f>
        <v>9.6989966555183882E-2</v>
      </c>
      <c r="AW244" s="3">
        <f>AN244*AT244</f>
        <v>1832.4434156423893</v>
      </c>
      <c r="AX244" s="3">
        <f>AN244*AU244</f>
        <v>3165.1295361095817</v>
      </c>
      <c r="AY244" s="3">
        <f>AW244+AX244</f>
        <v>4997.5729517519712</v>
      </c>
    </row>
    <row r="245" spans="1:51" x14ac:dyDescent="0.25">
      <c r="A245">
        <v>212</v>
      </c>
      <c r="B245" s="1" t="s">
        <v>253</v>
      </c>
      <c r="C245" s="1" t="s">
        <v>682</v>
      </c>
      <c r="D245" s="2">
        <v>40828</v>
      </c>
      <c r="E245" s="3">
        <v>37.599999999999994</v>
      </c>
      <c r="F245" s="4">
        <f t="shared" si="21"/>
        <v>5464.9579102418766</v>
      </c>
      <c r="G245" s="2">
        <v>40205</v>
      </c>
      <c r="H245" s="7">
        <v>3.5</v>
      </c>
      <c r="I245" s="7">
        <f>H245+H242-2*$A$24</f>
        <v>7.38</v>
      </c>
      <c r="J245" s="7">
        <v>3.52</v>
      </c>
      <c r="K245" s="7">
        <v>5.9</v>
      </c>
      <c r="L245" s="6">
        <f t="shared" si="22"/>
        <v>0.33604336043360433</v>
      </c>
      <c r="M245" s="6">
        <f t="shared" si="23"/>
        <v>0.56910569105691056</v>
      </c>
      <c r="N245" s="6">
        <f t="shared" si="24"/>
        <v>9.4850948509485056E-2</v>
      </c>
      <c r="O245" s="4">
        <f t="shared" si="25"/>
        <v>1836.462820785888</v>
      </c>
      <c r="P245" s="4">
        <f t="shared" si="26"/>
        <v>3110.1386481051331</v>
      </c>
      <c r="Q245" s="4">
        <f t="shared" si="27"/>
        <v>4946.6014688910209</v>
      </c>
      <c r="V245" s="3"/>
      <c r="W245" s="3"/>
      <c r="Y245" s="7"/>
      <c r="Z245" s="7"/>
      <c r="AA245" s="7"/>
      <c r="AB245" s="7"/>
      <c r="AC245" s="9"/>
      <c r="AD245" s="9"/>
      <c r="AE245" s="9"/>
      <c r="AF245" s="3"/>
      <c r="AG245" s="3"/>
      <c r="AH245" s="3"/>
      <c r="AL245" s="11"/>
      <c r="AM245" s="3"/>
      <c r="AN245" s="3"/>
      <c r="AO245" s="11"/>
      <c r="AP245" s="7"/>
      <c r="AQ245" s="7"/>
      <c r="AR245" s="7"/>
      <c r="AS245" s="7"/>
      <c r="AT245" s="9"/>
      <c r="AU245" s="9"/>
      <c r="AV245" s="9"/>
      <c r="AW245" s="3"/>
      <c r="AX245" s="3"/>
      <c r="AY245" s="3"/>
    </row>
    <row r="246" spans="1:51" x14ac:dyDescent="0.25">
      <c r="A246">
        <v>213</v>
      </c>
      <c r="B246" s="1" t="s">
        <v>254</v>
      </c>
      <c r="C246" s="1" t="s">
        <v>682</v>
      </c>
      <c r="D246" s="2">
        <v>40828</v>
      </c>
      <c r="E246" s="3">
        <v>38.299999999999997</v>
      </c>
      <c r="F246" s="4">
        <f t="shared" si="21"/>
        <v>5572.9000811552323</v>
      </c>
      <c r="G246" s="2">
        <v>40205</v>
      </c>
      <c r="H246" s="7">
        <v>3.4</v>
      </c>
      <c r="I246" s="7">
        <f>H246+H241-2*$A$24</f>
        <v>6.1199999999999992</v>
      </c>
      <c r="J246" s="7">
        <v>3.08</v>
      </c>
      <c r="K246" s="7">
        <v>5.2</v>
      </c>
      <c r="L246" s="6">
        <f t="shared" si="22"/>
        <v>0.33333333333333337</v>
      </c>
      <c r="M246" s="6">
        <f t="shared" si="23"/>
        <v>0.57189542483660138</v>
      </c>
      <c r="N246" s="6">
        <f t="shared" si="24"/>
        <v>9.4771241830065245E-2</v>
      </c>
      <c r="O246" s="4">
        <f t="shared" si="25"/>
        <v>1857.6333603850776</v>
      </c>
      <c r="P246" s="4">
        <f t="shared" si="26"/>
        <v>3187.1160594842017</v>
      </c>
      <c r="Q246" s="4">
        <f t="shared" si="27"/>
        <v>5044.7494198692793</v>
      </c>
      <c r="V246" s="3"/>
      <c r="W246" s="3"/>
      <c r="Y246" s="7"/>
      <c r="Z246" s="7"/>
      <c r="AA246" s="7"/>
      <c r="AB246" s="7"/>
      <c r="AC246" s="9"/>
      <c r="AD246" s="9"/>
      <c r="AE246" s="9"/>
      <c r="AF246" s="3"/>
      <c r="AG246" s="3"/>
      <c r="AH246" s="3"/>
      <c r="AJ246" t="s">
        <v>827</v>
      </c>
      <c r="AK246" t="s">
        <v>682</v>
      </c>
      <c r="AL246" s="11">
        <f>D237</f>
        <v>40828</v>
      </c>
      <c r="AM246" s="3">
        <f>SUM(E237,E250)</f>
        <v>68.800000000000011</v>
      </c>
      <c r="AN246" s="3">
        <f>(AM246-4*$A$20)*$A$21/(2*$A$22)*$A$23</f>
        <v>4971.5079860665392</v>
      </c>
      <c r="AO246" s="11">
        <f>G237</f>
        <v>40205</v>
      </c>
      <c r="AP246" s="7">
        <f>SUM(H237,H250)</f>
        <v>6.5</v>
      </c>
      <c r="AQ246" s="7">
        <f>SUM(I237,I250)</f>
        <v>12.36</v>
      </c>
      <c r="AR246" s="7">
        <f>SUM(J237,J250)</f>
        <v>6.16</v>
      </c>
      <c r="AS246" s="7">
        <f>SUM(K237,K250)</f>
        <v>10.32</v>
      </c>
      <c r="AT246" s="9">
        <f>(AR246-2*$A$25)/AQ246</f>
        <v>0.3300970873786408</v>
      </c>
      <c r="AU246" s="9">
        <f>(AS246-2*$A$26)/AQ246</f>
        <v>0.55987055016181231</v>
      </c>
      <c r="AV246" s="9">
        <f>1-AT246-AU246</f>
        <v>0.11003236245954684</v>
      </c>
      <c r="AW246" s="3">
        <f>AN246*AT246</f>
        <v>1641.0803060802168</v>
      </c>
      <c r="AX246" s="3">
        <f>AN246*AU246</f>
        <v>2783.4009112929166</v>
      </c>
      <c r="AY246" s="3">
        <f>AW246+AX246</f>
        <v>4424.4812173731334</v>
      </c>
    </row>
    <row r="247" spans="1:51" x14ac:dyDescent="0.25">
      <c r="A247">
        <v>214</v>
      </c>
      <c r="B247" s="1" t="s">
        <v>255</v>
      </c>
      <c r="C247" s="1" t="s">
        <v>682</v>
      </c>
      <c r="D247" s="2">
        <v>40828</v>
      </c>
      <c r="E247" s="3">
        <v>38.200000000000003</v>
      </c>
      <c r="F247" s="4">
        <f t="shared" si="21"/>
        <v>5557.479771024754</v>
      </c>
      <c r="G247" s="2">
        <v>40205</v>
      </c>
      <c r="H247" s="7">
        <v>3.56</v>
      </c>
      <c r="I247" s="7">
        <f>H247+H240-2*$A$24</f>
        <v>6.46</v>
      </c>
      <c r="J247" s="7">
        <v>3.2</v>
      </c>
      <c r="K247" s="7">
        <v>5.42</v>
      </c>
      <c r="L247" s="6">
        <f t="shared" si="22"/>
        <v>0.33436532507739941</v>
      </c>
      <c r="M247" s="6">
        <f t="shared" si="23"/>
        <v>0.57585139318885448</v>
      </c>
      <c r="N247" s="6">
        <f t="shared" si="24"/>
        <v>8.9783281733746056E-2</v>
      </c>
      <c r="O247" s="4">
        <f t="shared" si="25"/>
        <v>1858.228530249763</v>
      </c>
      <c r="P247" s="4">
        <f t="shared" si="26"/>
        <v>3200.2824687634807</v>
      </c>
      <c r="Q247" s="4">
        <f t="shared" si="27"/>
        <v>5058.5109990132441</v>
      </c>
      <c r="V247" s="3"/>
      <c r="W247" s="3"/>
      <c r="Y247" s="7"/>
      <c r="Z247" s="7"/>
      <c r="AA247" s="7"/>
      <c r="AB247" s="7"/>
      <c r="AC247" s="9"/>
      <c r="AD247" s="9"/>
      <c r="AE247" s="9"/>
      <c r="AF247" s="3"/>
      <c r="AG247" s="3"/>
      <c r="AH247" s="3"/>
      <c r="AL247" s="11"/>
      <c r="AM247" s="3"/>
      <c r="AN247" s="3"/>
      <c r="AO247" s="11"/>
      <c r="AP247" s="7"/>
      <c r="AQ247" s="7"/>
      <c r="AR247" s="7"/>
      <c r="AS247" s="7"/>
      <c r="AT247" s="9"/>
      <c r="AU247" s="9"/>
      <c r="AV247" s="9"/>
      <c r="AW247" s="3"/>
      <c r="AX247" s="3"/>
      <c r="AY247" s="3"/>
    </row>
    <row r="248" spans="1:51" x14ac:dyDescent="0.25">
      <c r="A248">
        <v>215</v>
      </c>
      <c r="B248" s="1" t="s">
        <v>256</v>
      </c>
      <c r="C248" s="1" t="s">
        <v>682</v>
      </c>
      <c r="D248" s="2">
        <v>40828</v>
      </c>
      <c r="E248" s="3">
        <v>40</v>
      </c>
      <c r="F248" s="4">
        <f t="shared" si="21"/>
        <v>5835.0453533733817</v>
      </c>
      <c r="G248" s="2">
        <v>40205</v>
      </c>
      <c r="H248" s="7">
        <v>3</v>
      </c>
      <c r="I248" s="7">
        <f>H248+H239-2*$A$24</f>
        <v>5.58</v>
      </c>
      <c r="J248" s="7">
        <v>2.86</v>
      </c>
      <c r="K248" s="7">
        <v>4.84</v>
      </c>
      <c r="L248" s="6">
        <f t="shared" si="22"/>
        <v>0.3261648745519713</v>
      </c>
      <c r="M248" s="6">
        <f t="shared" si="23"/>
        <v>0.56272401433691754</v>
      </c>
      <c r="N248" s="6">
        <f t="shared" si="24"/>
        <v>0.11111111111111116</v>
      </c>
      <c r="O248" s="4">
        <f t="shared" si="25"/>
        <v>1903.1868356880921</v>
      </c>
      <c r="P248" s="4">
        <f t="shared" si="26"/>
        <v>3283.5201450882469</v>
      </c>
      <c r="Q248" s="4">
        <f t="shared" si="27"/>
        <v>5186.7069807763392</v>
      </c>
      <c r="V248" s="3"/>
      <c r="W248" s="3"/>
      <c r="Y248" s="7"/>
      <c r="Z248" s="7"/>
      <c r="AA248" s="7"/>
      <c r="AB248" s="7"/>
      <c r="AC248" s="9"/>
      <c r="AD248" s="9"/>
      <c r="AE248" s="9"/>
      <c r="AF248" s="3"/>
      <c r="AG248" s="3"/>
      <c r="AH248" s="3"/>
      <c r="AJ248" t="s">
        <v>828</v>
      </c>
      <c r="AK248" t="s">
        <v>682</v>
      </c>
      <c r="AL248" s="11">
        <f>D236</f>
        <v>40828</v>
      </c>
      <c r="AM248" s="3">
        <f>SUM(E236,E251)</f>
        <v>68.400000000000006</v>
      </c>
      <c r="AN248" s="3">
        <f>(AM248-4*$A$20)*$A$21/(2*$A$22)*$A$23</f>
        <v>4940.6673658055806</v>
      </c>
      <c r="AO248" s="11">
        <f>G236</f>
        <v>40205</v>
      </c>
      <c r="AP248" s="7">
        <f>SUM(H236,H251)</f>
        <v>6.18</v>
      </c>
      <c r="AQ248" s="7">
        <f>SUM(I236,I251)</f>
        <v>11.719999999999999</v>
      </c>
      <c r="AR248" s="7">
        <f>SUM(J236,J251)</f>
        <v>6.04</v>
      </c>
      <c r="AS248" s="7">
        <f>SUM(K236,K251)</f>
        <v>9.9600000000000009</v>
      </c>
      <c r="AT248" s="9">
        <f>(AR248-2*$A$25)/AQ248</f>
        <v>0.33788395904436863</v>
      </c>
      <c r="AU248" s="9">
        <f>(AS248-2*$A$26)/AQ248</f>
        <v>0.559726962457338</v>
      </c>
      <c r="AV248" s="9">
        <f>1-AT248-AU248</f>
        <v>0.10238907849829337</v>
      </c>
      <c r="AW248" s="3">
        <f>AN248*AT248</f>
        <v>1669.3722498797015</v>
      </c>
      <c r="AX248" s="3">
        <f>AN248*AU248</f>
        <v>2765.4247371744555</v>
      </c>
      <c r="AY248" s="3">
        <f>AW248+AX248</f>
        <v>4434.7969870541565</v>
      </c>
    </row>
    <row r="249" spans="1:51" x14ac:dyDescent="0.25">
      <c r="A249">
        <v>216</v>
      </c>
      <c r="B249" s="1" t="s">
        <v>257</v>
      </c>
      <c r="C249" s="1" t="s">
        <v>682</v>
      </c>
      <c r="D249" s="2">
        <v>40828</v>
      </c>
      <c r="E249" s="3">
        <v>40.4</v>
      </c>
      <c r="F249" s="4">
        <f t="shared" si="21"/>
        <v>5896.7265938952969</v>
      </c>
      <c r="G249" s="2">
        <v>40205</v>
      </c>
      <c r="H249" s="7">
        <v>3.3</v>
      </c>
      <c r="I249" s="7">
        <f>H249+H238-2*$A$24</f>
        <v>5.9799999999999995</v>
      </c>
      <c r="J249" s="7">
        <v>3.02</v>
      </c>
      <c r="K249" s="7">
        <v>5.12</v>
      </c>
      <c r="L249" s="6">
        <f t="shared" si="22"/>
        <v>0.33110367892976589</v>
      </c>
      <c r="M249" s="6">
        <f t="shared" si="23"/>
        <v>0.57190635451505023</v>
      </c>
      <c r="N249" s="6">
        <f t="shared" si="24"/>
        <v>9.6989966555183882E-2</v>
      </c>
      <c r="O249" s="4">
        <f t="shared" si="25"/>
        <v>1952.4278688817203</v>
      </c>
      <c r="P249" s="4">
        <f t="shared" si="26"/>
        <v>3372.3754098866084</v>
      </c>
      <c r="Q249" s="4">
        <f t="shared" si="27"/>
        <v>5324.8032787683287</v>
      </c>
      <c r="V249" s="3"/>
      <c r="W249" s="3"/>
      <c r="Y249" s="7"/>
      <c r="Z249" s="7"/>
      <c r="AA249" s="7"/>
      <c r="AB249" s="7"/>
      <c r="AC249" s="9"/>
      <c r="AD249" s="9"/>
      <c r="AE249" s="9"/>
      <c r="AF249" s="3"/>
      <c r="AG249" s="3"/>
      <c r="AH249" s="3"/>
      <c r="AL249" s="11"/>
      <c r="AM249" s="3"/>
      <c r="AN249" s="3"/>
      <c r="AO249" s="11"/>
      <c r="AP249" s="7"/>
      <c r="AQ249" s="7"/>
      <c r="AR249" s="7"/>
      <c r="AS249" s="7"/>
      <c r="AT249" s="9"/>
      <c r="AU249" s="9"/>
      <c r="AV249" s="9"/>
      <c r="AW249" s="3"/>
      <c r="AX249" s="3"/>
      <c r="AY249" s="3"/>
    </row>
    <row r="250" spans="1:51" x14ac:dyDescent="0.25">
      <c r="A250">
        <v>217</v>
      </c>
      <c r="B250" s="1" t="s">
        <v>258</v>
      </c>
      <c r="C250" s="1" t="s">
        <v>682</v>
      </c>
      <c r="D250" s="2">
        <v>40828</v>
      </c>
      <c r="E250" s="3">
        <v>37.700000000000003</v>
      </c>
      <c r="F250" s="4">
        <f t="shared" si="21"/>
        <v>5480.3782203723576</v>
      </c>
      <c r="G250" s="2">
        <v>40205</v>
      </c>
      <c r="H250" s="7">
        <v>3.2</v>
      </c>
      <c r="I250" s="7">
        <f>H250+H237-2*$A$24</f>
        <v>6.18</v>
      </c>
      <c r="J250" s="7">
        <v>3.08</v>
      </c>
      <c r="K250" s="7">
        <v>5.16</v>
      </c>
      <c r="L250" s="6">
        <f t="shared" si="22"/>
        <v>0.3300970873786408</v>
      </c>
      <c r="M250" s="6">
        <f t="shared" si="23"/>
        <v>0.55987055016181231</v>
      </c>
      <c r="N250" s="6">
        <f t="shared" si="24"/>
        <v>0.11003236245954684</v>
      </c>
      <c r="O250" s="4">
        <f t="shared" si="25"/>
        <v>1809.0568882782541</v>
      </c>
      <c r="P250" s="4">
        <f t="shared" si="26"/>
        <v>3068.3023693346859</v>
      </c>
      <c r="Q250" s="4">
        <f t="shared" si="27"/>
        <v>4877.3592576129395</v>
      </c>
      <c r="V250" s="3"/>
      <c r="W250" s="3"/>
      <c r="Y250" s="7"/>
      <c r="Z250" s="7"/>
      <c r="AA250" s="7"/>
      <c r="AB250" s="7"/>
      <c r="AC250" s="9"/>
      <c r="AD250" s="9"/>
      <c r="AE250" s="9"/>
      <c r="AF250" s="3"/>
      <c r="AG250" s="3"/>
      <c r="AH250" s="3"/>
      <c r="AJ250" t="s">
        <v>829</v>
      </c>
      <c r="AK250" t="s">
        <v>682</v>
      </c>
      <c r="AL250" s="11">
        <f>D235</f>
        <v>40828</v>
      </c>
      <c r="AM250" s="3">
        <f>SUM(E235,E252)</f>
        <v>63.4</v>
      </c>
      <c r="AN250" s="3">
        <f>(AM250-4*$A$20)*$A$21/(2*$A$22)*$A$23</f>
        <v>4555.1596125435963</v>
      </c>
      <c r="AO250" s="11">
        <f>G235</f>
        <v>40205</v>
      </c>
      <c r="AP250" s="7">
        <f>SUM(H235,H252)</f>
        <v>6.68</v>
      </c>
      <c r="AQ250" s="7">
        <f>SUM(I235,I252)</f>
        <v>12.719999999999999</v>
      </c>
      <c r="AR250" s="7">
        <f>SUM(J235,J252)</f>
        <v>6.32</v>
      </c>
      <c r="AS250" s="7">
        <f>SUM(K235,K252)</f>
        <v>10.64</v>
      </c>
      <c r="AT250" s="9">
        <f>(AR250-2*$A$25)/AQ250</f>
        <v>0.33333333333333337</v>
      </c>
      <c r="AU250" s="9">
        <f>(AS250-2*$A$26)/AQ250</f>
        <v>0.56918238993710701</v>
      </c>
      <c r="AV250" s="9">
        <f>1-AT250-AU250</f>
        <v>9.7484276729559616E-2</v>
      </c>
      <c r="AW250" s="3">
        <f>AN250*AT250</f>
        <v>1518.3865375145322</v>
      </c>
      <c r="AX250" s="3">
        <f>AN250*AU250</f>
        <v>2592.7166348125506</v>
      </c>
      <c r="AY250" s="3">
        <f>AW250+AX250</f>
        <v>4111.1031723270826</v>
      </c>
    </row>
    <row r="251" spans="1:51" x14ac:dyDescent="0.25">
      <c r="A251">
        <v>218</v>
      </c>
      <c r="B251" s="1" t="s">
        <v>259</v>
      </c>
      <c r="C251" s="1" t="s">
        <v>682</v>
      </c>
      <c r="D251" s="2">
        <v>40828</v>
      </c>
      <c r="E251" s="3">
        <v>36.400000000000006</v>
      </c>
      <c r="F251" s="4">
        <f t="shared" si="21"/>
        <v>5279.9141886761254</v>
      </c>
      <c r="G251" s="2">
        <v>40205</v>
      </c>
      <c r="H251" s="7">
        <v>3.26</v>
      </c>
      <c r="I251" s="7">
        <f>H251+H236-2*$A$24</f>
        <v>5.8599999999999994</v>
      </c>
      <c r="J251" s="7">
        <v>3.02</v>
      </c>
      <c r="K251" s="7">
        <v>4.9800000000000004</v>
      </c>
      <c r="L251" s="6">
        <f t="shared" si="22"/>
        <v>0.33788395904436863</v>
      </c>
      <c r="M251" s="6">
        <f t="shared" si="23"/>
        <v>0.559726962457338</v>
      </c>
      <c r="N251" s="6">
        <f t="shared" si="24"/>
        <v>0.10238907849829337</v>
      </c>
      <c r="O251" s="4">
        <f t="shared" si="25"/>
        <v>1783.9983094844247</v>
      </c>
      <c r="P251" s="4">
        <f t="shared" si="26"/>
        <v>2955.310330863088</v>
      </c>
      <c r="Q251" s="4">
        <f t="shared" si="27"/>
        <v>4739.3086403475127</v>
      </c>
      <c r="V251" s="3"/>
      <c r="W251" s="3"/>
      <c r="Y251" s="7"/>
      <c r="Z251" s="7"/>
      <c r="AA251" s="7"/>
      <c r="AB251" s="7"/>
      <c r="AC251" s="9"/>
      <c r="AD251" s="9"/>
      <c r="AE251" s="9"/>
      <c r="AF251" s="3"/>
      <c r="AG251" s="3"/>
      <c r="AH251" s="3"/>
      <c r="AL251" s="11"/>
      <c r="AM251" s="3"/>
      <c r="AN251" s="3"/>
      <c r="AO251" s="11"/>
      <c r="AP251" s="7"/>
      <c r="AQ251" s="7"/>
      <c r="AR251" s="7"/>
      <c r="AS251" s="7"/>
      <c r="AT251" s="9"/>
      <c r="AU251" s="9"/>
      <c r="AV251" s="9"/>
      <c r="AW251" s="3"/>
      <c r="AX251" s="3"/>
      <c r="AY251" s="3"/>
    </row>
    <row r="252" spans="1:51" x14ac:dyDescent="0.25">
      <c r="A252">
        <v>219</v>
      </c>
      <c r="B252" s="1" t="s">
        <v>260</v>
      </c>
      <c r="C252" s="1" t="s">
        <v>682</v>
      </c>
      <c r="D252" s="2">
        <v>40828</v>
      </c>
      <c r="E252" s="3">
        <v>33.6</v>
      </c>
      <c r="F252" s="4">
        <f t="shared" si="21"/>
        <v>4848.1455050227032</v>
      </c>
      <c r="G252" s="2">
        <v>40205</v>
      </c>
      <c r="H252" s="7">
        <v>3.62</v>
      </c>
      <c r="I252" s="7">
        <f>H252+H235-2*$A$24</f>
        <v>6.3599999999999994</v>
      </c>
      <c r="J252" s="7">
        <v>3.16</v>
      </c>
      <c r="K252" s="7">
        <v>5.32</v>
      </c>
      <c r="L252" s="6">
        <f t="shared" si="22"/>
        <v>0.33333333333333337</v>
      </c>
      <c r="M252" s="6">
        <f t="shared" si="23"/>
        <v>0.56918238993710701</v>
      </c>
      <c r="N252" s="6">
        <f t="shared" si="24"/>
        <v>9.7484276729559616E-2</v>
      </c>
      <c r="O252" s="4">
        <f t="shared" si="25"/>
        <v>1616.0485016742346</v>
      </c>
      <c r="P252" s="4">
        <f t="shared" si="26"/>
        <v>2759.4790453116648</v>
      </c>
      <c r="Q252" s="4">
        <f t="shared" si="27"/>
        <v>4375.5275469858989</v>
      </c>
      <c r="V252" s="3"/>
      <c r="W252" s="3"/>
      <c r="Y252" s="7"/>
      <c r="Z252" s="7"/>
      <c r="AA252" s="7"/>
      <c r="AB252" s="7"/>
      <c r="AC252" s="9"/>
      <c r="AD252" s="9"/>
      <c r="AE252" s="9"/>
      <c r="AF252" s="3"/>
      <c r="AG252" s="3"/>
      <c r="AH252" s="3"/>
      <c r="AJ252" t="s">
        <v>830</v>
      </c>
      <c r="AK252" t="s">
        <v>682</v>
      </c>
      <c r="AL252" s="11">
        <f>D234</f>
        <v>40828</v>
      </c>
      <c r="AM252" s="3">
        <f>SUM(E234,E253)</f>
        <v>61.8</v>
      </c>
      <c r="AN252" s="3">
        <f>(AM252-4*$A$20)*$A$21/(2*$A$22)*$A$23</f>
        <v>4431.7971314997612</v>
      </c>
      <c r="AO252" s="11">
        <f>G234</f>
        <v>40205</v>
      </c>
      <c r="AP252" s="7">
        <f>SUM(H234,H253)</f>
        <v>7.9600000000000009</v>
      </c>
      <c r="AQ252" s="7">
        <f>SUM(I234,I253)</f>
        <v>15.280000000000001</v>
      </c>
      <c r="AR252" s="7">
        <f>SUM(J234,J253)</f>
        <v>7.16</v>
      </c>
      <c r="AS252" s="7">
        <f>SUM(K234,K253)</f>
        <v>11.88</v>
      </c>
      <c r="AT252" s="9">
        <f>(AR252-2*$A$25)/AQ252</f>
        <v>0.33246073298429318</v>
      </c>
      <c r="AU252" s="9">
        <f>(AS252-2*$A$26)/AQ252</f>
        <v>0.55497382198952883</v>
      </c>
      <c r="AV252" s="9">
        <f>1-AT252-AU252</f>
        <v>0.11256544502617793</v>
      </c>
      <c r="AW252" s="3">
        <f>AN252*AT252</f>
        <v>1473.3985227760986</v>
      </c>
      <c r="AX252" s="3">
        <f>AN252*AU252</f>
        <v>2459.5313923506528</v>
      </c>
      <c r="AY252" s="3">
        <f>AW252+AX252</f>
        <v>3932.9299151267514</v>
      </c>
    </row>
    <row r="253" spans="1:51" x14ac:dyDescent="0.25">
      <c r="A253">
        <v>220</v>
      </c>
      <c r="B253" s="1" t="s">
        <v>261</v>
      </c>
      <c r="C253" s="1" t="s">
        <v>682</v>
      </c>
      <c r="D253" s="2">
        <v>40828</v>
      </c>
      <c r="E253" s="3">
        <v>32.799999999999997</v>
      </c>
      <c r="F253" s="4">
        <f t="shared" si="21"/>
        <v>4724.7830239788682</v>
      </c>
      <c r="G253" s="2">
        <v>40205</v>
      </c>
      <c r="H253" s="7">
        <v>3.64</v>
      </c>
      <c r="I253" s="7">
        <f>H253+H234-2*$A$24</f>
        <v>7.6400000000000006</v>
      </c>
      <c r="J253" s="7">
        <v>3.58</v>
      </c>
      <c r="K253" s="7">
        <v>5.94</v>
      </c>
      <c r="L253" s="6">
        <f t="shared" si="22"/>
        <v>0.33246073298429318</v>
      </c>
      <c r="M253" s="6">
        <f t="shared" si="23"/>
        <v>0.55497382198952883</v>
      </c>
      <c r="N253" s="6">
        <f t="shared" si="24"/>
        <v>0.11256544502617793</v>
      </c>
      <c r="O253" s="4">
        <f t="shared" si="25"/>
        <v>1570.8048273437598</v>
      </c>
      <c r="P253" s="4">
        <f t="shared" si="26"/>
        <v>2622.1308928887961</v>
      </c>
      <c r="Q253" s="4">
        <f t="shared" si="27"/>
        <v>4192.9357202325555</v>
      </c>
      <c r="V253" s="3"/>
      <c r="W253" s="3"/>
      <c r="Y253" s="7"/>
      <c r="Z253" s="7"/>
      <c r="AA253" s="7"/>
      <c r="AB253" s="7"/>
      <c r="AC253" s="9"/>
      <c r="AD253" s="9"/>
      <c r="AE253" s="9"/>
      <c r="AF253" s="3"/>
      <c r="AG253" s="3"/>
      <c r="AH253" s="3"/>
      <c r="AL253" s="11"/>
      <c r="AM253" s="3"/>
      <c r="AN253" s="3"/>
      <c r="AO253" s="11"/>
      <c r="AP253" s="7"/>
      <c r="AQ253" s="7"/>
      <c r="AR253" s="7"/>
      <c r="AS253" s="7"/>
      <c r="AT253" s="9"/>
      <c r="AU253" s="9"/>
      <c r="AV253" s="9"/>
      <c r="AW253" s="3"/>
      <c r="AX253" s="3"/>
      <c r="AY253" s="3"/>
    </row>
    <row r="254" spans="1:51" x14ac:dyDescent="0.25">
      <c r="A254">
        <v>221</v>
      </c>
      <c r="B254" s="1" t="s">
        <v>262</v>
      </c>
      <c r="C254" s="1" t="s">
        <v>682</v>
      </c>
      <c r="D254" s="2">
        <v>40828</v>
      </c>
      <c r="E254" s="3">
        <v>30.4</v>
      </c>
      <c r="F254" s="4">
        <f t="shared" si="21"/>
        <v>4354.6955808473649</v>
      </c>
      <c r="G254" s="2">
        <v>40205</v>
      </c>
      <c r="H254" s="7">
        <v>3.46</v>
      </c>
      <c r="I254" s="7">
        <f>H254+H273-2*$A$24</f>
        <v>6.02</v>
      </c>
      <c r="J254" s="7">
        <v>3.04</v>
      </c>
      <c r="K254" s="7">
        <v>5.14</v>
      </c>
      <c r="L254" s="6">
        <f t="shared" si="22"/>
        <v>0.33222591362126247</v>
      </c>
      <c r="M254" s="6">
        <f t="shared" si="23"/>
        <v>0.5714285714285714</v>
      </c>
      <c r="N254" s="6">
        <f t="shared" si="24"/>
        <v>9.6345514950166189E-2</v>
      </c>
      <c r="O254" s="4">
        <f t="shared" si="25"/>
        <v>1446.74271788949</v>
      </c>
      <c r="P254" s="4">
        <f t="shared" si="26"/>
        <v>2488.3974747699226</v>
      </c>
      <c r="Q254" s="4">
        <f t="shared" si="27"/>
        <v>3935.1401926594126</v>
      </c>
      <c r="V254" s="3"/>
      <c r="W254" s="3"/>
      <c r="Y254" s="7"/>
      <c r="Z254" s="7"/>
      <c r="AA254" s="7"/>
      <c r="AB254" s="7"/>
      <c r="AC254" s="9"/>
      <c r="AD254" s="9"/>
      <c r="AE254" s="9"/>
      <c r="AF254" s="3"/>
      <c r="AG254" s="3"/>
      <c r="AH254" s="3"/>
      <c r="AJ254" t="s">
        <v>831</v>
      </c>
      <c r="AK254" t="s">
        <v>682</v>
      </c>
      <c r="AL254" s="11">
        <f>D263</f>
        <v>40828</v>
      </c>
      <c r="AM254" s="3">
        <f>SUM(E263,E264)</f>
        <v>53.4</v>
      </c>
      <c r="AN254" s="3">
        <f>(AM254-4*$A$20)*$A$21/(2*$A$22)*$A$23</f>
        <v>3784.1441060196289</v>
      </c>
      <c r="AO254" s="11">
        <f>G263</f>
        <v>40205</v>
      </c>
      <c r="AP254" s="7">
        <f>SUM(H263,H264)</f>
        <v>6.54</v>
      </c>
      <c r="AQ254" s="7">
        <f>SUM(I263,I264)</f>
        <v>12.44</v>
      </c>
      <c r="AR254" s="7">
        <f>SUM(J263,J264)</f>
        <v>6.16</v>
      </c>
      <c r="AS254" s="7">
        <f>SUM(K263,K264)</f>
        <v>10.6</v>
      </c>
      <c r="AT254" s="9">
        <f>(AR254-2*$A$25)/AQ254</f>
        <v>0.32797427652733119</v>
      </c>
      <c r="AU254" s="9">
        <f>(AS254-2*$A$26)/AQ254</f>
        <v>0.5787781350482315</v>
      </c>
      <c r="AV254" s="9">
        <f>1-AT254-AU254</f>
        <v>9.3247588424437255E-2</v>
      </c>
      <c r="AW254" s="3">
        <f>AN254*AT254</f>
        <v>1241.1019254469522</v>
      </c>
      <c r="AX254" s="3">
        <f>AN254*AU254</f>
        <v>2190.1798684357982</v>
      </c>
      <c r="AY254" s="3">
        <f>AW254+AX254</f>
        <v>3431.2817938827502</v>
      </c>
    </row>
    <row r="255" spans="1:51" x14ac:dyDescent="0.25">
      <c r="A255">
        <v>222</v>
      </c>
      <c r="B255" s="1" t="s">
        <v>263</v>
      </c>
      <c r="C255" s="1" t="s">
        <v>682</v>
      </c>
      <c r="D255" s="2">
        <v>40828</v>
      </c>
      <c r="E255" s="3">
        <v>33.5</v>
      </c>
      <c r="F255" s="4">
        <f t="shared" si="21"/>
        <v>4832.725194892224</v>
      </c>
      <c r="G255" s="2">
        <v>40205</v>
      </c>
      <c r="H255" s="7">
        <v>3.68</v>
      </c>
      <c r="I255" s="7">
        <f>H255+H272-2*$A$24</f>
        <v>6.64</v>
      </c>
      <c r="J255" s="7">
        <v>3.26</v>
      </c>
      <c r="K255" s="7">
        <v>5.42</v>
      </c>
      <c r="L255" s="6">
        <f t="shared" si="22"/>
        <v>0.33433734939759036</v>
      </c>
      <c r="M255" s="6">
        <f t="shared" si="23"/>
        <v>0.56024096385542166</v>
      </c>
      <c r="N255" s="6">
        <f t="shared" si="24"/>
        <v>0.10542168674698804</v>
      </c>
      <c r="O255" s="4">
        <f t="shared" si="25"/>
        <v>1615.7605320272194</v>
      </c>
      <c r="P255" s="4">
        <f t="shared" si="26"/>
        <v>2707.4906212348001</v>
      </c>
      <c r="Q255" s="4">
        <f t="shared" si="27"/>
        <v>4323.2511532620192</v>
      </c>
      <c r="V255" s="3"/>
      <c r="W255" s="3"/>
      <c r="Y255" s="7"/>
      <c r="Z255" s="7"/>
      <c r="AA255" s="7"/>
      <c r="AB255" s="7"/>
      <c r="AC255" s="9"/>
      <c r="AD255" s="9"/>
      <c r="AE255" s="9"/>
      <c r="AF255" s="3"/>
      <c r="AG255" s="3"/>
      <c r="AH255" s="3"/>
      <c r="AL255" s="11"/>
      <c r="AM255" s="3"/>
      <c r="AN255" s="3"/>
      <c r="AO255" s="11"/>
      <c r="AP255" s="7"/>
      <c r="AQ255" s="7"/>
      <c r="AR255" s="7"/>
      <c r="AS255" s="7"/>
      <c r="AT255" s="9"/>
      <c r="AU255" s="9"/>
      <c r="AV255" s="9"/>
      <c r="AW255" s="3"/>
      <c r="AX255" s="3"/>
      <c r="AY255" s="3"/>
    </row>
    <row r="256" spans="1:51" x14ac:dyDescent="0.25">
      <c r="A256">
        <v>223</v>
      </c>
      <c r="B256" s="1" t="s">
        <v>264</v>
      </c>
      <c r="C256" s="1" t="s">
        <v>682</v>
      </c>
      <c r="D256" s="2">
        <v>40828</v>
      </c>
      <c r="E256" s="3">
        <v>33.9</v>
      </c>
      <c r="F256" s="4">
        <f t="shared" si="21"/>
        <v>4894.406435414141</v>
      </c>
      <c r="G256" s="2">
        <v>40205</v>
      </c>
      <c r="H256" s="7">
        <v>2.82</v>
      </c>
      <c r="I256" s="7">
        <f>H256+H271-2*$A$24</f>
        <v>5.76</v>
      </c>
      <c r="J256" s="7">
        <v>2.94</v>
      </c>
      <c r="K256" s="7">
        <v>5.0599999999999996</v>
      </c>
      <c r="L256" s="6">
        <f t="shared" si="22"/>
        <v>0.3298611111111111</v>
      </c>
      <c r="M256" s="6">
        <f t="shared" si="23"/>
        <v>0.58333333333333326</v>
      </c>
      <c r="N256" s="6">
        <f t="shared" si="24"/>
        <v>8.680555555555558E-2</v>
      </c>
      <c r="O256" s="4">
        <f t="shared" si="25"/>
        <v>1614.4743450150811</v>
      </c>
      <c r="P256" s="4">
        <f t="shared" si="26"/>
        <v>2855.0704206582486</v>
      </c>
      <c r="Q256" s="4">
        <f t="shared" si="27"/>
        <v>4469.5447656733295</v>
      </c>
      <c r="V256" s="3"/>
      <c r="W256" s="3"/>
      <c r="Y256" s="7"/>
      <c r="Z256" s="7"/>
      <c r="AA256" s="7"/>
      <c r="AB256" s="7"/>
      <c r="AC256" s="9"/>
      <c r="AD256" s="9"/>
      <c r="AE256" s="9"/>
      <c r="AF256" s="3"/>
      <c r="AG256" s="3"/>
      <c r="AH256" s="3"/>
      <c r="AJ256" t="s">
        <v>832</v>
      </c>
      <c r="AK256" t="s">
        <v>682</v>
      </c>
      <c r="AL256" s="11">
        <f>D262</f>
        <v>40828</v>
      </c>
      <c r="AM256" s="3">
        <f>SUM(E262,E265)</f>
        <v>64.3</v>
      </c>
      <c r="AN256" s="3">
        <f>(AM256-4*$A$20)*$A$21/(2*$A$22)*$A$23</f>
        <v>4624.5510081307521</v>
      </c>
      <c r="AO256" s="11">
        <f>G262</f>
        <v>40205</v>
      </c>
      <c r="AP256" s="7">
        <f>SUM(H262,H265)</f>
        <v>6.7200000000000006</v>
      </c>
      <c r="AQ256" s="7">
        <f>SUM(I262,I265)</f>
        <v>12.8</v>
      </c>
      <c r="AR256" s="7">
        <f>SUM(J262,J265)</f>
        <v>6.32</v>
      </c>
      <c r="AS256" s="7">
        <f>SUM(K262,K265)</f>
        <v>10.76</v>
      </c>
      <c r="AT256" s="9">
        <f>(AR256-2*$A$25)/AQ256</f>
        <v>0.33124999999999999</v>
      </c>
      <c r="AU256" s="9">
        <f>(AS256-2*$A$26)/AQ256</f>
        <v>0.57499999999999996</v>
      </c>
      <c r="AV256" s="9">
        <f>1-AT256-AU256</f>
        <v>9.375E-2</v>
      </c>
      <c r="AW256" s="3">
        <f>AN256*AT256</f>
        <v>1531.8825214433116</v>
      </c>
      <c r="AX256" s="3">
        <f>AN256*AU256</f>
        <v>2659.1168296751821</v>
      </c>
      <c r="AY256" s="3">
        <f>AW256+AX256</f>
        <v>4190.9993511184939</v>
      </c>
    </row>
    <row r="257" spans="1:51" x14ac:dyDescent="0.25">
      <c r="A257">
        <v>224</v>
      </c>
      <c r="B257" s="1" t="s">
        <v>265</v>
      </c>
      <c r="C257" s="1" t="s">
        <v>682</v>
      </c>
      <c r="D257" s="2">
        <v>40828</v>
      </c>
      <c r="E257" s="3">
        <v>34.599999999999994</v>
      </c>
      <c r="F257" s="4">
        <f t="shared" si="21"/>
        <v>5002.3486063274968</v>
      </c>
      <c r="G257" s="2">
        <v>40205</v>
      </c>
      <c r="H257" s="7">
        <v>3.34</v>
      </c>
      <c r="I257" s="7">
        <f>H257+H270-2*$A$24</f>
        <v>5.8599999999999994</v>
      </c>
      <c r="J257" s="7">
        <v>2.94</v>
      </c>
      <c r="K257" s="7">
        <v>4.9400000000000004</v>
      </c>
      <c r="L257" s="6">
        <f t="shared" si="22"/>
        <v>0.32423208191126279</v>
      </c>
      <c r="M257" s="6">
        <f t="shared" si="23"/>
        <v>0.5529010238907851</v>
      </c>
      <c r="N257" s="6">
        <f t="shared" si="24"/>
        <v>0.12286689419795216</v>
      </c>
      <c r="O257" s="4">
        <f t="shared" si="25"/>
        <v>1621.9219030754682</v>
      </c>
      <c r="P257" s="4">
        <f t="shared" si="26"/>
        <v>2765.8036662971149</v>
      </c>
      <c r="Q257" s="4">
        <f t="shared" si="27"/>
        <v>4387.7255693725829</v>
      </c>
      <c r="V257" s="3"/>
      <c r="W257" s="3"/>
      <c r="Y257" s="7"/>
      <c r="Z257" s="7"/>
      <c r="AA257" s="7"/>
      <c r="AB257" s="7"/>
      <c r="AC257" s="9"/>
      <c r="AD257" s="9"/>
      <c r="AE257" s="9"/>
      <c r="AF257" s="3"/>
      <c r="AG257" s="3"/>
      <c r="AH257" s="3"/>
      <c r="AL257" s="11"/>
      <c r="AM257" s="3"/>
      <c r="AN257" s="3"/>
      <c r="AO257" s="11"/>
      <c r="AP257" s="7"/>
      <c r="AQ257" s="7"/>
      <c r="AR257" s="7"/>
      <c r="AS257" s="7"/>
      <c r="AT257" s="9"/>
      <c r="AU257" s="9"/>
      <c r="AV257" s="9"/>
      <c r="AW257" s="3"/>
      <c r="AX257" s="3"/>
      <c r="AY257" s="3"/>
    </row>
    <row r="258" spans="1:51" x14ac:dyDescent="0.25">
      <c r="A258">
        <v>225</v>
      </c>
      <c r="B258" s="1" t="s">
        <v>266</v>
      </c>
      <c r="C258" s="1" t="s">
        <v>682</v>
      </c>
      <c r="D258" s="2">
        <v>40828</v>
      </c>
      <c r="E258" s="3">
        <v>35.400000000000006</v>
      </c>
      <c r="F258" s="4">
        <f t="shared" si="21"/>
        <v>5125.7110873713327</v>
      </c>
      <c r="G258" s="2">
        <v>40205</v>
      </c>
      <c r="H258" s="7">
        <v>3.64</v>
      </c>
      <c r="I258" s="7">
        <f>H258+H269-2*$A$24</f>
        <v>6.66</v>
      </c>
      <c r="J258" s="7">
        <v>3.32</v>
      </c>
      <c r="K258" s="7">
        <v>5.52</v>
      </c>
      <c r="L258" s="6">
        <f t="shared" si="22"/>
        <v>0.34234234234234229</v>
      </c>
      <c r="M258" s="6">
        <f t="shared" si="23"/>
        <v>0.57357357357357353</v>
      </c>
      <c r="N258" s="6">
        <f t="shared" si="24"/>
        <v>8.4084084084084187E-2</v>
      </c>
      <c r="O258" s="4">
        <f t="shared" si="25"/>
        <v>1754.7479398208163</v>
      </c>
      <c r="P258" s="4">
        <f t="shared" si="26"/>
        <v>2939.9724254892626</v>
      </c>
      <c r="Q258" s="4">
        <f t="shared" si="27"/>
        <v>4694.7203653100787</v>
      </c>
      <c r="V258" s="3"/>
      <c r="W258" s="3"/>
      <c r="Y258" s="7"/>
      <c r="Z258" s="7"/>
      <c r="AA258" s="7"/>
      <c r="AB258" s="7"/>
      <c r="AC258" s="9"/>
      <c r="AD258" s="9"/>
      <c r="AE258" s="9"/>
      <c r="AF258" s="3"/>
      <c r="AG258" s="3"/>
      <c r="AH258" s="3"/>
      <c r="AJ258" t="s">
        <v>833</v>
      </c>
      <c r="AK258" t="s">
        <v>682</v>
      </c>
      <c r="AL258" s="11">
        <f>D261</f>
        <v>40828</v>
      </c>
      <c r="AM258" s="3">
        <f>SUM(E261,E266)</f>
        <v>73.2</v>
      </c>
      <c r="AN258" s="3">
        <f>(AM258-4*$A$20)*$A$21/(2*$A$22)*$A$23</f>
        <v>5310.754808937083</v>
      </c>
      <c r="AO258" s="11">
        <f>G261</f>
        <v>40205</v>
      </c>
      <c r="AP258" s="7">
        <f>SUM(H261,H266)</f>
        <v>6.4399999999999995</v>
      </c>
      <c r="AQ258" s="7">
        <f>SUM(I261,I266)</f>
        <v>12.239999999999998</v>
      </c>
      <c r="AR258" s="7">
        <f>SUM(J261,J266)</f>
        <v>6.16</v>
      </c>
      <c r="AS258" s="7">
        <f>SUM(K261,K266)</f>
        <v>10.36</v>
      </c>
      <c r="AT258" s="9">
        <f>(AR258-2*$A$25)/AQ258</f>
        <v>0.33333333333333337</v>
      </c>
      <c r="AU258" s="9">
        <f>(AS258-2*$A$26)/AQ258</f>
        <v>0.56862745098039214</v>
      </c>
      <c r="AV258" s="9">
        <f>1-AT258-AU258</f>
        <v>9.8039215686274495E-2</v>
      </c>
      <c r="AW258" s="3">
        <f>AN258*AT258</f>
        <v>1770.2516029790279</v>
      </c>
      <c r="AX258" s="3">
        <f>AN258*AU258</f>
        <v>3019.8409697877528</v>
      </c>
      <c r="AY258" s="3">
        <f>AW258+AX258</f>
        <v>4790.0925727667809</v>
      </c>
    </row>
    <row r="259" spans="1:51" x14ac:dyDescent="0.25">
      <c r="A259">
        <v>226</v>
      </c>
      <c r="B259" s="1" t="s">
        <v>267</v>
      </c>
      <c r="C259" s="1" t="s">
        <v>682</v>
      </c>
      <c r="D259" s="2">
        <v>40828</v>
      </c>
      <c r="E259" s="3">
        <v>38.9</v>
      </c>
      <c r="F259" s="4">
        <f t="shared" si="21"/>
        <v>5665.421941938107</v>
      </c>
      <c r="G259" s="2">
        <v>40205</v>
      </c>
      <c r="H259" s="7">
        <v>2.88</v>
      </c>
      <c r="I259" s="7">
        <f>H259+H268-2*$A$24</f>
        <v>5.4599999999999991</v>
      </c>
      <c r="J259" s="7">
        <v>2.86</v>
      </c>
      <c r="K259" s="7">
        <v>4.82</v>
      </c>
      <c r="L259" s="6">
        <f t="shared" si="22"/>
        <v>0.33333333333333337</v>
      </c>
      <c r="M259" s="6">
        <f t="shared" si="23"/>
        <v>0.57142857142857151</v>
      </c>
      <c r="N259" s="6">
        <f t="shared" si="24"/>
        <v>9.5238095238095122E-2</v>
      </c>
      <c r="O259" s="4">
        <f t="shared" si="25"/>
        <v>1888.4739806460359</v>
      </c>
      <c r="P259" s="4">
        <f t="shared" si="26"/>
        <v>3237.3839668217761</v>
      </c>
      <c r="Q259" s="4">
        <f t="shared" si="27"/>
        <v>5125.8579474678118</v>
      </c>
      <c r="V259" s="3"/>
      <c r="W259" s="3"/>
      <c r="Y259" s="7"/>
      <c r="Z259" s="7"/>
      <c r="AA259" s="7"/>
      <c r="AB259" s="7"/>
      <c r="AC259" s="9"/>
      <c r="AD259" s="9"/>
      <c r="AE259" s="9"/>
      <c r="AF259" s="3"/>
      <c r="AG259" s="3"/>
      <c r="AH259" s="3"/>
      <c r="AL259" s="11"/>
      <c r="AM259" s="3"/>
      <c r="AN259" s="3"/>
      <c r="AO259" s="11"/>
      <c r="AP259" s="7"/>
      <c r="AQ259" s="7"/>
      <c r="AR259" s="7"/>
      <c r="AS259" s="7"/>
      <c r="AT259" s="9"/>
      <c r="AU259" s="9"/>
      <c r="AV259" s="9"/>
      <c r="AW259" s="3"/>
      <c r="AX259" s="3"/>
      <c r="AY259" s="3"/>
    </row>
    <row r="260" spans="1:51" x14ac:dyDescent="0.25">
      <c r="A260">
        <v>227</v>
      </c>
      <c r="B260" s="1" t="s">
        <v>268</v>
      </c>
      <c r="C260" s="1" t="s">
        <v>682</v>
      </c>
      <c r="D260" s="2">
        <v>40828</v>
      </c>
      <c r="E260" s="3">
        <v>35.099999999999994</v>
      </c>
      <c r="F260" s="4">
        <f t="shared" si="21"/>
        <v>5079.4501569798931</v>
      </c>
      <c r="G260" s="2">
        <v>40205</v>
      </c>
      <c r="H260" s="7">
        <v>2.84</v>
      </c>
      <c r="I260" s="7">
        <f>H260+H267-2*$A$24</f>
        <v>5.8999999999999995</v>
      </c>
      <c r="J260" s="7">
        <v>2.94</v>
      </c>
      <c r="K260" s="7">
        <v>5.0599999999999996</v>
      </c>
      <c r="L260" s="6">
        <f t="shared" si="22"/>
        <v>0.32203389830508478</v>
      </c>
      <c r="M260" s="6">
        <f t="shared" si="23"/>
        <v>0.56949152542372872</v>
      </c>
      <c r="N260" s="6">
        <f t="shared" si="24"/>
        <v>0.10847457627118651</v>
      </c>
      <c r="O260" s="4">
        <f t="shared" si="25"/>
        <v>1635.7551352986097</v>
      </c>
      <c r="P260" s="4">
        <f t="shared" si="26"/>
        <v>2892.7038182122778</v>
      </c>
      <c r="Q260" s="4">
        <f t="shared" si="27"/>
        <v>4528.458953510888</v>
      </c>
      <c r="V260" s="3"/>
      <c r="W260" s="3"/>
      <c r="Y260" s="7"/>
      <c r="Z260" s="7"/>
      <c r="AA260" s="7"/>
      <c r="AB260" s="7"/>
      <c r="AC260" s="9"/>
      <c r="AD260" s="9"/>
      <c r="AE260" s="9"/>
      <c r="AF260" s="3"/>
      <c r="AG260" s="3"/>
      <c r="AH260" s="3"/>
      <c r="AJ260" t="s">
        <v>834</v>
      </c>
      <c r="AK260" t="s">
        <v>682</v>
      </c>
      <c r="AL260" s="11">
        <f>D260</f>
        <v>40828</v>
      </c>
      <c r="AM260" s="3">
        <f>SUM(E260,E267)</f>
        <v>68.199999999999989</v>
      </c>
      <c r="AN260" s="3">
        <f>(AM260-4*$A$20)*$A$21/(2*$A$22)*$A$23</f>
        <v>4925.2470556750995</v>
      </c>
      <c r="AO260" s="11">
        <f>G260</f>
        <v>40205</v>
      </c>
      <c r="AP260" s="7">
        <f>SUM(H260,H267)</f>
        <v>6.22</v>
      </c>
      <c r="AQ260" s="7">
        <f>SUM(I260,I267)</f>
        <v>11.799999999999999</v>
      </c>
      <c r="AR260" s="7">
        <f>SUM(J260,J267)</f>
        <v>5.88</v>
      </c>
      <c r="AS260" s="7">
        <f>SUM(K260,K267)</f>
        <v>10.119999999999999</v>
      </c>
      <c r="AT260" s="9">
        <f>(AR260-2*$A$25)/AQ260</f>
        <v>0.32203389830508478</v>
      </c>
      <c r="AU260" s="9">
        <f>(AS260-2*$A$26)/AQ260</f>
        <v>0.56949152542372872</v>
      </c>
      <c r="AV260" s="9">
        <f>1-AT260-AU260</f>
        <v>0.10847457627118651</v>
      </c>
      <c r="AW260" s="3">
        <f>AN260*AT260</f>
        <v>1586.0965094546932</v>
      </c>
      <c r="AX260" s="3">
        <f>AN260*AU260</f>
        <v>2804.8864588251408</v>
      </c>
      <c r="AY260" s="3">
        <f>AW260+AX260</f>
        <v>4390.9829682798336</v>
      </c>
    </row>
    <row r="261" spans="1:51" x14ac:dyDescent="0.25">
      <c r="A261">
        <v>228</v>
      </c>
      <c r="B261" s="1" t="s">
        <v>269</v>
      </c>
      <c r="C261" s="1" t="s">
        <v>682</v>
      </c>
      <c r="D261" s="2">
        <v>40828</v>
      </c>
      <c r="E261" s="3">
        <v>38</v>
      </c>
      <c r="F261" s="4">
        <f t="shared" si="21"/>
        <v>5526.6391507637945</v>
      </c>
      <c r="G261" s="2">
        <v>40205</v>
      </c>
      <c r="H261" s="7">
        <v>3.34</v>
      </c>
      <c r="I261" s="7">
        <f>H261+H266-2*$A$24</f>
        <v>6.1199999999999992</v>
      </c>
      <c r="J261" s="7">
        <v>3.08</v>
      </c>
      <c r="K261" s="7">
        <v>5.18</v>
      </c>
      <c r="L261" s="6">
        <f t="shared" si="22"/>
        <v>0.33333333333333337</v>
      </c>
      <c r="M261" s="6">
        <f t="shared" si="23"/>
        <v>0.56862745098039214</v>
      </c>
      <c r="N261" s="6">
        <f t="shared" si="24"/>
        <v>9.8039215686274495E-2</v>
      </c>
      <c r="O261" s="4">
        <f t="shared" si="25"/>
        <v>1842.2130502545983</v>
      </c>
      <c r="P261" s="4">
        <f t="shared" si="26"/>
        <v>3142.5987327872558</v>
      </c>
      <c r="Q261" s="4">
        <f t="shared" si="27"/>
        <v>4984.8117830418541</v>
      </c>
      <c r="V261" s="3"/>
      <c r="W261" s="3"/>
      <c r="Y261" s="7"/>
      <c r="Z261" s="7"/>
      <c r="AA261" s="7"/>
      <c r="AB261" s="7"/>
      <c r="AC261" s="9"/>
      <c r="AD261" s="9"/>
      <c r="AE261" s="9"/>
      <c r="AF261" s="3"/>
      <c r="AG261" s="3"/>
      <c r="AH261" s="3"/>
      <c r="AL261" s="11"/>
      <c r="AM261" s="3"/>
      <c r="AN261" s="3"/>
      <c r="AO261" s="11"/>
      <c r="AP261" s="7"/>
      <c r="AQ261" s="7"/>
      <c r="AR261" s="7"/>
      <c r="AS261" s="7"/>
      <c r="AT261" s="9"/>
      <c r="AU261" s="9"/>
      <c r="AV261" s="9"/>
      <c r="AW261" s="3"/>
      <c r="AX261" s="3"/>
      <c r="AY261" s="3"/>
    </row>
    <row r="262" spans="1:51" x14ac:dyDescent="0.25">
      <c r="A262">
        <v>229</v>
      </c>
      <c r="B262" s="1" t="s">
        <v>270</v>
      </c>
      <c r="C262" s="1" t="s">
        <v>682</v>
      </c>
      <c r="D262" s="2">
        <v>40828</v>
      </c>
      <c r="E262" s="3">
        <v>34.099999999999994</v>
      </c>
      <c r="F262" s="4">
        <f t="shared" si="21"/>
        <v>4925.2470556750995</v>
      </c>
      <c r="G262" s="2">
        <v>40205</v>
      </c>
      <c r="H262" s="7">
        <v>3.08</v>
      </c>
      <c r="I262" s="7">
        <f>H262+H265-2*$A$24</f>
        <v>6.4</v>
      </c>
      <c r="J262" s="7">
        <v>3.16</v>
      </c>
      <c r="K262" s="7">
        <v>5.38</v>
      </c>
      <c r="L262" s="6">
        <f t="shared" si="22"/>
        <v>0.33124999999999999</v>
      </c>
      <c r="M262" s="6">
        <f t="shared" si="23"/>
        <v>0.57499999999999996</v>
      </c>
      <c r="N262" s="6">
        <f t="shared" si="24"/>
        <v>9.375E-2</v>
      </c>
      <c r="O262" s="4">
        <f t="shared" si="25"/>
        <v>1631.4880871923767</v>
      </c>
      <c r="P262" s="4">
        <f t="shared" si="26"/>
        <v>2832.0170570131822</v>
      </c>
      <c r="Q262" s="4">
        <f t="shared" si="27"/>
        <v>4463.5051442055592</v>
      </c>
      <c r="V262" s="3"/>
      <c r="W262" s="3"/>
      <c r="Y262" s="7"/>
      <c r="Z262" s="7"/>
      <c r="AA262" s="7"/>
      <c r="AB262" s="7"/>
      <c r="AC262" s="9"/>
      <c r="AD262" s="9"/>
      <c r="AE262" s="9"/>
      <c r="AF262" s="3"/>
      <c r="AG262" s="3"/>
      <c r="AH262" s="3"/>
      <c r="AJ262" t="s">
        <v>835</v>
      </c>
      <c r="AK262" t="s">
        <v>682</v>
      </c>
      <c r="AL262" s="11">
        <f>D259</f>
        <v>40828</v>
      </c>
      <c r="AM262" s="3">
        <f>SUM(E259,E268)</f>
        <v>74.599999999999994</v>
      </c>
      <c r="AN262" s="3">
        <f>(AM262-4*$A$20)*$A$21/(2*$A$22)*$A$23</f>
        <v>5418.6969798504388</v>
      </c>
      <c r="AO262" s="11">
        <f>G259</f>
        <v>40205</v>
      </c>
      <c r="AP262" s="7">
        <f>SUM(H259,H268)</f>
        <v>5.7799999999999994</v>
      </c>
      <c r="AQ262" s="7">
        <f>SUM(I259,I268)</f>
        <v>10.919999999999998</v>
      </c>
      <c r="AR262" s="7">
        <f>SUM(J259,J268)</f>
        <v>5.72</v>
      </c>
      <c r="AS262" s="7">
        <f>SUM(K259,K268)</f>
        <v>9.64</v>
      </c>
      <c r="AT262" s="9">
        <f>(AR262-2*$A$25)/AQ262</f>
        <v>0.33333333333333337</v>
      </c>
      <c r="AU262" s="9">
        <f>(AS262-2*$A$26)/AQ262</f>
        <v>0.57142857142857151</v>
      </c>
      <c r="AV262" s="9">
        <f>1-AT262-AU262</f>
        <v>9.5238095238095122E-2</v>
      </c>
      <c r="AW262" s="3">
        <f>AN262*AT262</f>
        <v>1806.2323266168132</v>
      </c>
      <c r="AX262" s="3">
        <f>AN262*AU262</f>
        <v>3096.3982742002513</v>
      </c>
      <c r="AY262" s="3">
        <f>AW262+AX262</f>
        <v>4902.630600817065</v>
      </c>
    </row>
    <row r="263" spans="1:51" x14ac:dyDescent="0.25">
      <c r="A263">
        <v>230</v>
      </c>
      <c r="B263" s="1" t="s">
        <v>271</v>
      </c>
      <c r="C263" s="1" t="s">
        <v>682</v>
      </c>
      <c r="D263" s="2">
        <v>40828</v>
      </c>
      <c r="E263" s="3">
        <v>28.299999999999997</v>
      </c>
      <c r="F263" s="4">
        <f t="shared" si="21"/>
        <v>4030.8690681072981</v>
      </c>
      <c r="G263" s="2">
        <v>40205</v>
      </c>
      <c r="H263" s="7">
        <v>3.6</v>
      </c>
      <c r="I263" s="7">
        <f>H263+H264-2*$A$24</f>
        <v>6.22</v>
      </c>
      <c r="J263" s="7">
        <v>3.08</v>
      </c>
      <c r="K263" s="7">
        <v>5.3</v>
      </c>
      <c r="L263" s="6">
        <f t="shared" si="22"/>
        <v>0.32797427652733119</v>
      </c>
      <c r="M263" s="6">
        <f t="shared" si="23"/>
        <v>0.5787781350482315</v>
      </c>
      <c r="N263" s="6">
        <f t="shared" si="24"/>
        <v>9.3247588424437255E-2</v>
      </c>
      <c r="O263" s="4">
        <f t="shared" si="25"/>
        <v>1322.0213663888887</v>
      </c>
      <c r="P263" s="4">
        <f t="shared" si="26"/>
        <v>2332.9788818627449</v>
      </c>
      <c r="Q263" s="4">
        <f t="shared" si="27"/>
        <v>3655.0002482516338</v>
      </c>
      <c r="V263" s="3"/>
      <c r="W263" s="3"/>
      <c r="Y263" s="7"/>
      <c r="Z263" s="7"/>
      <c r="AA263" s="7"/>
      <c r="AB263" s="7"/>
      <c r="AC263" s="9"/>
      <c r="AD263" s="9"/>
      <c r="AE263" s="9"/>
      <c r="AF263" s="3"/>
      <c r="AG263" s="3"/>
      <c r="AH263" s="3"/>
      <c r="AL263" s="11"/>
      <c r="AM263" s="3"/>
      <c r="AN263" s="3"/>
      <c r="AO263" s="11"/>
      <c r="AP263" s="7"/>
      <c r="AQ263" s="7"/>
      <c r="AR263" s="7"/>
      <c r="AS263" s="7"/>
      <c r="AT263" s="9"/>
      <c r="AU263" s="9"/>
      <c r="AV263" s="9"/>
      <c r="AW263" s="3"/>
      <c r="AX263" s="3"/>
      <c r="AY263" s="3"/>
    </row>
    <row r="264" spans="1:51" x14ac:dyDescent="0.25">
      <c r="A264">
        <v>231</v>
      </c>
      <c r="B264" s="1" t="s">
        <v>272</v>
      </c>
      <c r="C264" s="1" t="s">
        <v>682</v>
      </c>
      <c r="D264" s="2">
        <v>40828</v>
      </c>
      <c r="E264" s="3">
        <v>25.1</v>
      </c>
      <c r="F264" s="4">
        <f t="shared" si="21"/>
        <v>3537.4191439319602</v>
      </c>
      <c r="G264" s="2">
        <v>40205</v>
      </c>
      <c r="H264" s="7">
        <v>2.94</v>
      </c>
      <c r="I264" s="7">
        <f>H264+H263-2*$A$24</f>
        <v>6.22</v>
      </c>
      <c r="J264" s="7">
        <v>3.08</v>
      </c>
      <c r="K264" s="7">
        <v>5.3</v>
      </c>
      <c r="L264" s="6">
        <f t="shared" si="22"/>
        <v>0.32797427652733119</v>
      </c>
      <c r="M264" s="6">
        <f t="shared" si="23"/>
        <v>0.5787781350482315</v>
      </c>
      <c r="N264" s="6">
        <f t="shared" si="24"/>
        <v>9.3247588424437255E-2</v>
      </c>
      <c r="O264" s="4">
        <f t="shared" si="25"/>
        <v>1160.182484505016</v>
      </c>
      <c r="P264" s="4">
        <f t="shared" si="26"/>
        <v>2047.3808550088515</v>
      </c>
      <c r="Q264" s="4">
        <f t="shared" si="27"/>
        <v>3207.5633395138675</v>
      </c>
      <c r="V264" s="3"/>
      <c r="W264" s="3"/>
      <c r="Y264" s="7"/>
      <c r="Z264" s="7"/>
      <c r="AA264" s="7"/>
      <c r="AB264" s="7"/>
      <c r="AC264" s="9"/>
      <c r="AD264" s="9"/>
      <c r="AE264" s="9"/>
      <c r="AF264" s="3"/>
      <c r="AG264" s="3"/>
      <c r="AH264" s="3"/>
      <c r="AJ264" t="s">
        <v>836</v>
      </c>
      <c r="AK264" t="s">
        <v>682</v>
      </c>
      <c r="AL264" s="11">
        <f>D258</f>
        <v>40828</v>
      </c>
      <c r="AM264" s="3">
        <f>SUM(E258,E269)</f>
        <v>68.400000000000006</v>
      </c>
      <c r="AN264" s="3">
        <f>(AM264-4*$A$20)*$A$21/(2*$A$22)*$A$23</f>
        <v>4940.6673658055806</v>
      </c>
      <c r="AO264" s="11">
        <f>G258</f>
        <v>40205</v>
      </c>
      <c r="AP264" s="7">
        <f>SUM(H258,H269)</f>
        <v>6.98</v>
      </c>
      <c r="AQ264" s="7">
        <f>SUM(I258,I269)</f>
        <v>13.32</v>
      </c>
      <c r="AR264" s="7">
        <f>SUM(J258,J269)</f>
        <v>6.64</v>
      </c>
      <c r="AS264" s="7">
        <f>SUM(K258,K269)</f>
        <v>11.04</v>
      </c>
      <c r="AT264" s="9">
        <f>(AR264-2*$A$25)/AQ264</f>
        <v>0.34234234234234229</v>
      </c>
      <c r="AU264" s="9">
        <f>(AS264-2*$A$26)/AQ264</f>
        <v>0.57357357357357353</v>
      </c>
      <c r="AV264" s="9">
        <f>1-AT264-AU264</f>
        <v>8.4084084084084187E-2</v>
      </c>
      <c r="AW264" s="3">
        <f>AN264*AT264</f>
        <v>1691.3996387442526</v>
      </c>
      <c r="AX264" s="3">
        <f>AN264*AU264</f>
        <v>2833.8362368434409</v>
      </c>
      <c r="AY264" s="3">
        <f>AW264+AX264</f>
        <v>4525.235875587694</v>
      </c>
    </row>
    <row r="265" spans="1:51" x14ac:dyDescent="0.25">
      <c r="A265">
        <v>232</v>
      </c>
      <c r="B265" s="1" t="s">
        <v>273</v>
      </c>
      <c r="C265" s="1" t="s">
        <v>682</v>
      </c>
      <c r="D265" s="2">
        <v>40828</v>
      </c>
      <c r="E265" s="3">
        <v>30.200000000000003</v>
      </c>
      <c r="F265" s="4">
        <f t="shared" si="21"/>
        <v>4323.8549605864064</v>
      </c>
      <c r="G265" s="2">
        <v>40205</v>
      </c>
      <c r="H265" s="7">
        <v>3.64</v>
      </c>
      <c r="I265" s="7">
        <f>H265+H262-2*$A$24</f>
        <v>6.4</v>
      </c>
      <c r="J265" s="7">
        <v>3.16</v>
      </c>
      <c r="K265" s="7">
        <v>5.38</v>
      </c>
      <c r="L265" s="6">
        <f t="shared" si="22"/>
        <v>0.33124999999999999</v>
      </c>
      <c r="M265" s="6">
        <f t="shared" si="23"/>
        <v>0.57499999999999996</v>
      </c>
      <c r="N265" s="6">
        <f t="shared" si="24"/>
        <v>9.375E-2</v>
      </c>
      <c r="O265" s="4">
        <f t="shared" si="25"/>
        <v>1432.2769556942471</v>
      </c>
      <c r="P265" s="4">
        <f t="shared" si="26"/>
        <v>2486.2166023371833</v>
      </c>
      <c r="Q265" s="4">
        <f t="shared" si="27"/>
        <v>3918.4935580314304</v>
      </c>
      <c r="V265" s="3"/>
      <c r="W265" s="3"/>
      <c r="Y265" s="7"/>
      <c r="Z265" s="7"/>
      <c r="AA265" s="7"/>
      <c r="AB265" s="7"/>
      <c r="AC265" s="9"/>
      <c r="AD265" s="9"/>
      <c r="AE265" s="9"/>
      <c r="AF265" s="3"/>
      <c r="AG265" s="3"/>
      <c r="AH265" s="3"/>
      <c r="AL265" s="11"/>
      <c r="AM265" s="3"/>
      <c r="AN265" s="3"/>
      <c r="AO265" s="11"/>
      <c r="AP265" s="7"/>
      <c r="AQ265" s="7"/>
      <c r="AR265" s="7"/>
      <c r="AS265" s="7"/>
      <c r="AT265" s="9"/>
      <c r="AU265" s="9"/>
      <c r="AV265" s="9"/>
      <c r="AW265" s="3"/>
      <c r="AX265" s="3"/>
      <c r="AY265" s="3"/>
    </row>
    <row r="266" spans="1:51" x14ac:dyDescent="0.25">
      <c r="A266">
        <v>233</v>
      </c>
      <c r="B266" s="1" t="s">
        <v>274</v>
      </c>
      <c r="C266" s="1" t="s">
        <v>682</v>
      </c>
      <c r="D266" s="2">
        <v>40828</v>
      </c>
      <c r="E266" s="3">
        <v>35.200000000000003</v>
      </c>
      <c r="F266" s="4">
        <f t="shared" si="21"/>
        <v>5094.8704671103742</v>
      </c>
      <c r="G266" s="2">
        <v>40205</v>
      </c>
      <c r="H266" s="7">
        <v>3.1</v>
      </c>
      <c r="I266" s="7">
        <f>H266+H261-2*$A$24</f>
        <v>6.1199999999999992</v>
      </c>
      <c r="J266" s="7">
        <v>3.08</v>
      </c>
      <c r="K266" s="7">
        <v>5.18</v>
      </c>
      <c r="L266" s="6">
        <f t="shared" si="22"/>
        <v>0.33333333333333337</v>
      </c>
      <c r="M266" s="6">
        <f t="shared" si="23"/>
        <v>0.56862745098039214</v>
      </c>
      <c r="N266" s="6">
        <f t="shared" si="24"/>
        <v>9.8039215686274495E-2</v>
      </c>
      <c r="O266" s="4">
        <f t="shared" si="25"/>
        <v>1698.2901557034581</v>
      </c>
      <c r="P266" s="4">
        <f t="shared" si="26"/>
        <v>2897.083206788252</v>
      </c>
      <c r="Q266" s="4">
        <f t="shared" si="27"/>
        <v>4595.3733624917104</v>
      </c>
      <c r="V266" s="3"/>
      <c r="W266" s="3"/>
      <c r="Y266" s="7"/>
      <c r="Z266" s="7"/>
      <c r="AA266" s="7"/>
      <c r="AB266" s="7"/>
      <c r="AC266" s="9"/>
      <c r="AD266" s="9"/>
      <c r="AE266" s="9"/>
      <c r="AF266" s="3"/>
      <c r="AG266" s="3"/>
      <c r="AH266" s="3"/>
      <c r="AJ266" t="s">
        <v>837</v>
      </c>
      <c r="AK266" t="s">
        <v>682</v>
      </c>
      <c r="AL266" s="11">
        <f>D257</f>
        <v>40828</v>
      </c>
      <c r="AM266" s="3">
        <f>SUM(E257,E270)</f>
        <v>65.899999999999991</v>
      </c>
      <c r="AN266" s="3">
        <f>(AM266-4*$A$20)*$A$21/(2*$A$22)*$A$23</f>
        <v>4747.9134891745871</v>
      </c>
      <c r="AO266" s="11">
        <f>G257</f>
        <v>40205</v>
      </c>
      <c r="AP266" s="7">
        <f>SUM(H257,H270)</f>
        <v>6.18</v>
      </c>
      <c r="AQ266" s="7">
        <f>SUM(I257,I270)</f>
        <v>11.719999999999999</v>
      </c>
      <c r="AR266" s="7">
        <f>SUM(J257,J270)</f>
        <v>5.88</v>
      </c>
      <c r="AS266" s="7">
        <f>SUM(K257,K270)</f>
        <v>9.8800000000000008</v>
      </c>
      <c r="AT266" s="9">
        <f>(AR266-2*$A$25)/AQ266</f>
        <v>0.32423208191126279</v>
      </c>
      <c r="AU266" s="9">
        <f>(AS266-2*$A$26)/AQ266</f>
        <v>0.5529010238907851</v>
      </c>
      <c r="AV266" s="9">
        <f>1-AT266-AU266</f>
        <v>0.12286689419795216</v>
      </c>
      <c r="AW266" s="3">
        <f>AN266*AT266</f>
        <v>1539.4258753296442</v>
      </c>
      <c r="AX266" s="3">
        <f>AN266*AU266</f>
        <v>2625.1262295094994</v>
      </c>
      <c r="AY266" s="3">
        <f>AW266+AX266</f>
        <v>4164.5521048391438</v>
      </c>
    </row>
    <row r="267" spans="1:51" x14ac:dyDescent="0.25">
      <c r="A267">
        <v>234</v>
      </c>
      <c r="B267" s="1" t="s">
        <v>275</v>
      </c>
      <c r="C267" s="1" t="s">
        <v>682</v>
      </c>
      <c r="D267" s="2">
        <v>40828</v>
      </c>
      <c r="E267" s="3">
        <v>33.1</v>
      </c>
      <c r="F267" s="4">
        <f t="shared" si="21"/>
        <v>4771.0439543703069</v>
      </c>
      <c r="G267" s="2">
        <v>40205</v>
      </c>
      <c r="H267" s="7">
        <v>3.38</v>
      </c>
      <c r="I267" s="7">
        <f>H267+H260-2*$A$24</f>
        <v>5.8999999999999995</v>
      </c>
      <c r="J267" s="7">
        <v>2.94</v>
      </c>
      <c r="K267" s="7">
        <v>5.0599999999999996</v>
      </c>
      <c r="L267" s="6">
        <f t="shared" si="22"/>
        <v>0.32203389830508478</v>
      </c>
      <c r="M267" s="6">
        <f t="shared" si="23"/>
        <v>0.56949152542372872</v>
      </c>
      <c r="N267" s="6">
        <f t="shared" si="24"/>
        <v>0.10847457627118651</v>
      </c>
      <c r="O267" s="4">
        <f t="shared" si="25"/>
        <v>1536.4378836107769</v>
      </c>
      <c r="P267" s="4">
        <f t="shared" si="26"/>
        <v>2717.0690994380047</v>
      </c>
      <c r="Q267" s="4">
        <f t="shared" si="27"/>
        <v>4253.5069830487819</v>
      </c>
      <c r="V267" s="3"/>
      <c r="W267" s="3"/>
      <c r="Y267" s="7"/>
      <c r="Z267" s="7"/>
      <c r="AA267" s="7"/>
      <c r="AB267" s="7"/>
      <c r="AC267" s="9"/>
      <c r="AD267" s="9"/>
      <c r="AE267" s="9"/>
      <c r="AF267" s="3"/>
      <c r="AG267" s="3"/>
      <c r="AH267" s="3"/>
      <c r="AL267" s="11"/>
      <c r="AM267" s="3"/>
      <c r="AN267" s="3"/>
      <c r="AO267" s="11"/>
      <c r="AP267" s="7"/>
      <c r="AQ267" s="7"/>
      <c r="AR267" s="7"/>
      <c r="AS267" s="7"/>
      <c r="AT267" s="9"/>
      <c r="AU267" s="9"/>
      <c r="AV267" s="9"/>
      <c r="AW267" s="3"/>
      <c r="AX267" s="3"/>
      <c r="AY267" s="3"/>
    </row>
    <row r="268" spans="1:51" x14ac:dyDescent="0.25">
      <c r="A268">
        <v>235</v>
      </c>
      <c r="B268" s="1" t="s">
        <v>276</v>
      </c>
      <c r="C268" s="1" t="s">
        <v>682</v>
      </c>
      <c r="D268" s="2">
        <v>40828</v>
      </c>
      <c r="E268" s="3">
        <v>35.700000000000003</v>
      </c>
      <c r="F268" s="4">
        <f t="shared" si="21"/>
        <v>5171.9720177627705</v>
      </c>
      <c r="G268" s="2">
        <v>40205</v>
      </c>
      <c r="H268" s="7">
        <v>2.9</v>
      </c>
      <c r="I268" s="7">
        <f>H268+H259-2*$A$24</f>
        <v>5.4599999999999991</v>
      </c>
      <c r="J268" s="7">
        <v>2.86</v>
      </c>
      <c r="K268" s="7">
        <v>4.82</v>
      </c>
      <c r="L268" s="6">
        <f t="shared" si="22"/>
        <v>0.33333333333333337</v>
      </c>
      <c r="M268" s="6">
        <f t="shared" si="23"/>
        <v>0.57142857142857151</v>
      </c>
      <c r="N268" s="6">
        <f t="shared" si="24"/>
        <v>9.5238095238095122E-2</v>
      </c>
      <c r="O268" s="4">
        <f t="shared" si="25"/>
        <v>1723.9906725875903</v>
      </c>
      <c r="P268" s="4">
        <f t="shared" si="26"/>
        <v>2955.4125815787265</v>
      </c>
      <c r="Q268" s="4">
        <f t="shared" si="27"/>
        <v>4679.4032541663164</v>
      </c>
      <c r="V268" s="3"/>
      <c r="W268" s="3"/>
      <c r="Y268" s="7"/>
      <c r="Z268" s="7"/>
      <c r="AA268" s="7"/>
      <c r="AB268" s="7"/>
      <c r="AC268" s="9"/>
      <c r="AD268" s="9"/>
      <c r="AE268" s="9"/>
      <c r="AF268" s="3"/>
      <c r="AG268" s="3"/>
      <c r="AH268" s="3"/>
      <c r="AJ268" t="s">
        <v>838</v>
      </c>
      <c r="AK268" t="s">
        <v>682</v>
      </c>
      <c r="AL268" s="11">
        <f>D256</f>
        <v>40828</v>
      </c>
      <c r="AM268" s="3">
        <f>SUM(E256,E271)</f>
        <v>63.5</v>
      </c>
      <c r="AN268" s="3">
        <f>(AM268-4*$A$20)*$A$21/(2*$A$22)*$A$23</f>
        <v>4562.8697676088359</v>
      </c>
      <c r="AO268" s="11">
        <f>G256</f>
        <v>40205</v>
      </c>
      <c r="AP268" s="7">
        <f>SUM(H256,H271)</f>
        <v>6.08</v>
      </c>
      <c r="AQ268" s="7">
        <f>SUM(I256,I271)</f>
        <v>11.52</v>
      </c>
      <c r="AR268" s="7">
        <f>SUM(J256,J271)</f>
        <v>5.88</v>
      </c>
      <c r="AS268" s="7">
        <f>SUM(K256,K271)</f>
        <v>10.119999999999999</v>
      </c>
      <c r="AT268" s="9">
        <f>(AR268-2*$A$25)/AQ268</f>
        <v>0.3298611111111111</v>
      </c>
      <c r="AU268" s="9">
        <f>(AS268-2*$A$26)/AQ268</f>
        <v>0.58333333333333326</v>
      </c>
      <c r="AV268" s="9">
        <f>1-AT268-AU268</f>
        <v>8.680555555555558E-2</v>
      </c>
      <c r="AW268" s="3">
        <f>AN268*AT268</f>
        <v>1505.1132913987478</v>
      </c>
      <c r="AX268" s="3">
        <f>AN268*AU268</f>
        <v>2661.674031105154</v>
      </c>
      <c r="AY268" s="3">
        <f>AW268+AX268</f>
        <v>4166.787322503902</v>
      </c>
    </row>
    <row r="269" spans="1:51" x14ac:dyDescent="0.25">
      <c r="A269">
        <v>236</v>
      </c>
      <c r="B269" s="1" t="s">
        <v>277</v>
      </c>
      <c r="C269" s="1" t="s">
        <v>682</v>
      </c>
      <c r="D269" s="2">
        <v>40828</v>
      </c>
      <c r="E269" s="3">
        <v>33</v>
      </c>
      <c r="F269" s="4">
        <f t="shared" si="21"/>
        <v>4755.6236442398267</v>
      </c>
      <c r="G269" s="2">
        <v>40205</v>
      </c>
      <c r="H269" s="7">
        <v>3.34</v>
      </c>
      <c r="I269" s="7">
        <f>H269+H258-2*$A$24</f>
        <v>6.66</v>
      </c>
      <c r="J269" s="7">
        <v>3.32</v>
      </c>
      <c r="K269" s="7">
        <v>5.52</v>
      </c>
      <c r="L269" s="6">
        <f t="shared" si="22"/>
        <v>0.34234234234234229</v>
      </c>
      <c r="M269" s="6">
        <f t="shared" si="23"/>
        <v>0.57357357357357353</v>
      </c>
      <c r="N269" s="6">
        <f t="shared" si="24"/>
        <v>8.4084084084084187E-2</v>
      </c>
      <c r="O269" s="4">
        <f t="shared" si="25"/>
        <v>1628.0513376676881</v>
      </c>
      <c r="P269" s="4">
        <f t="shared" si="26"/>
        <v>2727.7000481976179</v>
      </c>
      <c r="Q269" s="4">
        <f t="shared" si="27"/>
        <v>4355.7513858653056</v>
      </c>
      <c r="V269" s="3"/>
      <c r="W269" s="3"/>
      <c r="Y269" s="7"/>
      <c r="Z269" s="7"/>
      <c r="AA269" s="7"/>
      <c r="AB269" s="7"/>
      <c r="AC269" s="9"/>
      <c r="AD269" s="9"/>
      <c r="AE269" s="9"/>
      <c r="AF269" s="3"/>
      <c r="AG269" s="3"/>
      <c r="AH269" s="3"/>
      <c r="AL269" s="11"/>
      <c r="AM269" s="3"/>
      <c r="AN269" s="3"/>
      <c r="AO269" s="11"/>
      <c r="AP269" s="7"/>
      <c r="AQ269" s="7"/>
      <c r="AR269" s="7"/>
      <c r="AS269" s="7"/>
      <c r="AT269" s="9"/>
      <c r="AU269" s="9"/>
      <c r="AV269" s="9"/>
      <c r="AW269" s="3"/>
      <c r="AX269" s="3"/>
      <c r="AY269" s="3"/>
    </row>
    <row r="270" spans="1:51" x14ac:dyDescent="0.25">
      <c r="A270">
        <v>237</v>
      </c>
      <c r="B270" s="1" t="s">
        <v>278</v>
      </c>
      <c r="C270" s="1" t="s">
        <v>682</v>
      </c>
      <c r="D270" s="2">
        <v>40828</v>
      </c>
      <c r="E270" s="3">
        <v>31.3</v>
      </c>
      <c r="F270" s="4">
        <f t="shared" si="21"/>
        <v>4493.4783720216783</v>
      </c>
      <c r="G270" s="2">
        <v>40205</v>
      </c>
      <c r="H270" s="7">
        <v>2.84</v>
      </c>
      <c r="I270" s="7">
        <f>H270+H257-2*$A$24</f>
        <v>5.8599999999999994</v>
      </c>
      <c r="J270" s="7">
        <v>2.94</v>
      </c>
      <c r="K270" s="7">
        <v>4.9400000000000004</v>
      </c>
      <c r="L270" s="6">
        <f t="shared" si="22"/>
        <v>0.32423208191126279</v>
      </c>
      <c r="M270" s="6">
        <f t="shared" si="23"/>
        <v>0.5529010238907851</v>
      </c>
      <c r="N270" s="6">
        <f t="shared" si="24"/>
        <v>0.12286689419795216</v>
      </c>
      <c r="O270" s="4">
        <f t="shared" si="25"/>
        <v>1456.9298475838207</v>
      </c>
      <c r="P270" s="4">
        <f t="shared" si="26"/>
        <v>2484.4487927218843</v>
      </c>
      <c r="Q270" s="4">
        <f t="shared" si="27"/>
        <v>3941.3786403057047</v>
      </c>
      <c r="V270" s="3"/>
      <c r="W270" s="3"/>
      <c r="Y270" s="7"/>
      <c r="Z270" s="7"/>
      <c r="AA270" s="7"/>
      <c r="AB270" s="7"/>
      <c r="AC270" s="9"/>
      <c r="AD270" s="9"/>
      <c r="AE270" s="9"/>
      <c r="AF270" s="3"/>
      <c r="AG270" s="3"/>
      <c r="AH270" s="3"/>
      <c r="AJ270" t="s">
        <v>839</v>
      </c>
      <c r="AK270" t="s">
        <v>682</v>
      </c>
      <c r="AL270" s="11">
        <f>D255</f>
        <v>40828</v>
      </c>
      <c r="AM270" s="3">
        <f>SUM(E255,E272)</f>
        <v>62.8</v>
      </c>
      <c r="AN270" s="3">
        <f>(AM270-4*$A$20)*$A$21/(2*$A$22)*$A$23</f>
        <v>4508.8986821521576</v>
      </c>
      <c r="AO270" s="11">
        <f>G255</f>
        <v>40205</v>
      </c>
      <c r="AP270" s="7">
        <f>SUM(H255,H272)</f>
        <v>6.96</v>
      </c>
      <c r="AQ270" s="7">
        <f>SUM(I255,I272)</f>
        <v>13.28</v>
      </c>
      <c r="AR270" s="7">
        <f>SUM(J255,J272)</f>
        <v>6.52</v>
      </c>
      <c r="AS270" s="7">
        <f>SUM(K255,K272)</f>
        <v>10.84</v>
      </c>
      <c r="AT270" s="9">
        <f>(AR270-2*$A$25)/AQ270</f>
        <v>0.33433734939759036</v>
      </c>
      <c r="AU270" s="9">
        <f>(AS270-2*$A$26)/AQ270</f>
        <v>0.56024096385542166</v>
      </c>
      <c r="AV270" s="9">
        <f>1-AT270-AU270</f>
        <v>0.10542168674698804</v>
      </c>
      <c r="AW270" s="3">
        <f>AN270*AT270</f>
        <v>1507.4932340930407</v>
      </c>
      <c r="AX270" s="3">
        <f>AN270*AU270</f>
        <v>2526.069743615365</v>
      </c>
      <c r="AY270" s="3">
        <f>AW270+AX270</f>
        <v>4033.5629777084059</v>
      </c>
    </row>
    <row r="271" spans="1:51" x14ac:dyDescent="0.25">
      <c r="A271">
        <v>238</v>
      </c>
      <c r="B271" s="1" t="s">
        <v>279</v>
      </c>
      <c r="C271" s="1" t="s">
        <v>682</v>
      </c>
      <c r="D271" s="2">
        <v>40828</v>
      </c>
      <c r="E271" s="3">
        <v>29.6</v>
      </c>
      <c r="F271" s="4">
        <f t="shared" si="21"/>
        <v>4231.3330998035308</v>
      </c>
      <c r="G271" s="2">
        <v>40205</v>
      </c>
      <c r="H271" s="7">
        <v>3.26</v>
      </c>
      <c r="I271" s="7">
        <f>H271+H256-2*$A$24</f>
        <v>5.76</v>
      </c>
      <c r="J271" s="7">
        <v>2.94</v>
      </c>
      <c r="K271" s="7">
        <v>5.0599999999999996</v>
      </c>
      <c r="L271" s="6">
        <f t="shared" si="22"/>
        <v>0.3298611111111111</v>
      </c>
      <c r="M271" s="6">
        <f t="shared" si="23"/>
        <v>0.58333333333333326</v>
      </c>
      <c r="N271" s="6">
        <f t="shared" si="24"/>
        <v>8.680555555555558E-2</v>
      </c>
      <c r="O271" s="4">
        <f t="shared" si="25"/>
        <v>1395.7522377824146</v>
      </c>
      <c r="P271" s="4">
        <f t="shared" si="26"/>
        <v>2468.2776415520593</v>
      </c>
      <c r="Q271" s="4">
        <f t="shared" si="27"/>
        <v>3864.0298793344737</v>
      </c>
      <c r="V271" s="3"/>
      <c r="W271" s="3"/>
      <c r="Y271" s="7"/>
      <c r="Z271" s="7"/>
      <c r="AA271" s="7"/>
      <c r="AB271" s="7"/>
      <c r="AC271" s="9"/>
      <c r="AD271" s="9"/>
      <c r="AE271" s="9"/>
      <c r="AF271" s="3"/>
      <c r="AG271" s="3"/>
      <c r="AH271" s="3"/>
      <c r="AL271" s="11"/>
      <c r="AM271" s="3"/>
      <c r="AN271" s="3"/>
      <c r="AO271" s="11"/>
      <c r="AP271" s="7"/>
      <c r="AQ271" s="7"/>
      <c r="AR271" s="7"/>
      <c r="AS271" s="7"/>
      <c r="AT271" s="9"/>
      <c r="AU271" s="9"/>
      <c r="AV271" s="9"/>
      <c r="AW271" s="3"/>
      <c r="AX271" s="3"/>
      <c r="AY271" s="3"/>
    </row>
    <row r="272" spans="1:51" x14ac:dyDescent="0.25">
      <c r="A272">
        <v>239</v>
      </c>
      <c r="B272" s="1" t="s">
        <v>280</v>
      </c>
      <c r="C272" s="1" t="s">
        <v>682</v>
      </c>
      <c r="D272" s="2">
        <v>40828</v>
      </c>
      <c r="E272" s="3">
        <v>29.3</v>
      </c>
      <c r="F272" s="4">
        <f t="shared" si="21"/>
        <v>4185.0721694120921</v>
      </c>
      <c r="G272" s="2">
        <v>40205</v>
      </c>
      <c r="H272" s="7">
        <v>3.28</v>
      </c>
      <c r="I272" s="7">
        <f>H272+H255-2*$A$24</f>
        <v>6.64</v>
      </c>
      <c r="J272" s="7">
        <v>3.26</v>
      </c>
      <c r="K272" s="7">
        <v>5.42</v>
      </c>
      <c r="L272" s="6">
        <f t="shared" si="22"/>
        <v>0.33433734939759036</v>
      </c>
      <c r="M272" s="6">
        <f t="shared" si="23"/>
        <v>0.56024096385542166</v>
      </c>
      <c r="N272" s="6">
        <f t="shared" si="24"/>
        <v>0.10542168674698804</v>
      </c>
      <c r="O272" s="4">
        <f t="shared" si="25"/>
        <v>1399.2259361588622</v>
      </c>
      <c r="P272" s="4">
        <f t="shared" si="26"/>
        <v>2344.6488659959309</v>
      </c>
      <c r="Q272" s="4">
        <f t="shared" si="27"/>
        <v>3743.8748021547931</v>
      </c>
      <c r="V272" s="3"/>
      <c r="W272" s="3"/>
      <c r="Y272" s="7"/>
      <c r="Z272" s="7"/>
      <c r="AA272" s="7"/>
      <c r="AB272" s="7"/>
      <c r="AC272" s="9"/>
      <c r="AD272" s="9"/>
      <c r="AE272" s="9"/>
      <c r="AF272" s="3"/>
      <c r="AG272" s="3"/>
      <c r="AH272" s="3"/>
      <c r="AJ272" t="s">
        <v>840</v>
      </c>
      <c r="AK272" t="s">
        <v>682</v>
      </c>
      <c r="AL272" s="11">
        <f>D254</f>
        <v>40828</v>
      </c>
      <c r="AM272" s="3">
        <f>SUM(E254,E273)</f>
        <v>57.5</v>
      </c>
      <c r="AN272" s="3">
        <f>(AM272-4*$A$20)*$A$21/(2*$A$22)*$A$23</f>
        <v>4100.2604636944552</v>
      </c>
      <c r="AO272" s="11">
        <f>G254</f>
        <v>40205</v>
      </c>
      <c r="AP272" s="7">
        <f>SUM(H254,H273)</f>
        <v>6.34</v>
      </c>
      <c r="AQ272" s="7">
        <f>SUM(I254,I273)</f>
        <v>12.04</v>
      </c>
      <c r="AR272" s="7">
        <f>SUM(J254,J273)</f>
        <v>6.08</v>
      </c>
      <c r="AS272" s="7">
        <f>SUM(K254,K273)</f>
        <v>10.28</v>
      </c>
      <c r="AT272" s="9">
        <f>(AR272-2*$A$25)/AQ272</f>
        <v>0.33222591362126247</v>
      </c>
      <c r="AU272" s="9">
        <f>(AS272-2*$A$26)/AQ272</f>
        <v>0.5714285714285714</v>
      </c>
      <c r="AV272" s="9">
        <f>1-AT272-AU272</f>
        <v>9.6345514950166189E-2</v>
      </c>
      <c r="AW272" s="3">
        <f>AN272*AT272</f>
        <v>1362.2127786360318</v>
      </c>
      <c r="AX272" s="3">
        <f>AN272*AU272</f>
        <v>2343.0059792539741</v>
      </c>
      <c r="AY272" s="3">
        <f>AW272+AX272</f>
        <v>3705.2187578900057</v>
      </c>
    </row>
    <row r="273" spans="1:51" x14ac:dyDescent="0.25">
      <c r="A273">
        <v>240</v>
      </c>
      <c r="B273" s="1" t="s">
        <v>281</v>
      </c>
      <c r="C273" s="1" t="s">
        <v>682</v>
      </c>
      <c r="D273" s="2">
        <v>40828</v>
      </c>
      <c r="E273" s="3">
        <v>27.1</v>
      </c>
      <c r="F273" s="4">
        <f t="shared" si="21"/>
        <v>3845.8253465415464</v>
      </c>
      <c r="G273" s="2">
        <v>40205</v>
      </c>
      <c r="H273" s="7">
        <v>2.88</v>
      </c>
      <c r="I273" s="7">
        <f>H273+H254-2*$A$24</f>
        <v>6.02</v>
      </c>
      <c r="J273" s="7">
        <v>3.04</v>
      </c>
      <c r="K273" s="7">
        <v>5.14</v>
      </c>
      <c r="L273" s="6">
        <f t="shared" si="22"/>
        <v>0.33222591362126247</v>
      </c>
      <c r="M273" s="6">
        <f t="shared" si="23"/>
        <v>0.5714285714285714</v>
      </c>
      <c r="N273" s="6">
        <f t="shared" si="24"/>
        <v>9.6345514950166189E-2</v>
      </c>
      <c r="O273" s="4">
        <f t="shared" si="25"/>
        <v>1277.6828393825735</v>
      </c>
      <c r="P273" s="4">
        <f t="shared" si="26"/>
        <v>2197.6144837380266</v>
      </c>
      <c r="Q273" s="4">
        <f t="shared" si="27"/>
        <v>3475.2973231206001</v>
      </c>
      <c r="V273" s="3"/>
      <c r="W273" s="3"/>
      <c r="Y273" s="7"/>
      <c r="Z273" s="7"/>
      <c r="AA273" s="7"/>
      <c r="AB273" s="7"/>
      <c r="AC273" s="9"/>
      <c r="AD273" s="9"/>
      <c r="AE273" s="9"/>
      <c r="AF273" s="3"/>
      <c r="AG273" s="3"/>
      <c r="AH273" s="3"/>
    </row>
    <row r="274" spans="1:51" x14ac:dyDescent="0.25">
      <c r="A274">
        <v>241</v>
      </c>
      <c r="B274" s="1" t="s">
        <v>282</v>
      </c>
      <c r="C274" s="1" t="s">
        <v>682</v>
      </c>
      <c r="D274" s="2">
        <v>40828</v>
      </c>
      <c r="E274" s="3">
        <v>30.400000000000002</v>
      </c>
      <c r="F274" s="4">
        <f t="shared" si="21"/>
        <v>4354.6955808473649</v>
      </c>
      <c r="G274" s="2">
        <v>40204</v>
      </c>
      <c r="H274" s="7">
        <v>3.36</v>
      </c>
      <c r="I274" s="7">
        <f>H274+H293-2*$A$24</f>
        <v>6.6999999999999993</v>
      </c>
      <c r="J274" s="7">
        <v>3.3</v>
      </c>
      <c r="K274" s="7">
        <v>5.48</v>
      </c>
      <c r="L274" s="6">
        <f t="shared" si="22"/>
        <v>0.33731343283582088</v>
      </c>
      <c r="M274" s="6">
        <f t="shared" si="23"/>
        <v>0.56417910447761199</v>
      </c>
      <c r="N274" s="6">
        <f t="shared" si="24"/>
        <v>9.8507462686567071E-2</v>
      </c>
      <c r="O274" s="4">
        <f t="shared" si="25"/>
        <v>1468.8973153306035</v>
      </c>
      <c r="P274" s="4">
        <f t="shared" si="26"/>
        <v>2456.8282530750807</v>
      </c>
      <c r="Q274" s="4">
        <f t="shared" si="27"/>
        <v>3925.7255684056845</v>
      </c>
      <c r="S274" t="s">
        <v>31</v>
      </c>
      <c r="T274" t="s">
        <v>682</v>
      </c>
      <c r="U274" s="8">
        <f>D274</f>
        <v>40828</v>
      </c>
      <c r="V274" s="3">
        <f>SUM(E274:E313)</f>
        <v>1410.9</v>
      </c>
      <c r="W274" s="3">
        <f>(V274-80*$A$20)*$A$21/(40*$A$22)*$A$23</f>
        <v>5106.0501919549706</v>
      </c>
      <c r="X274" s="8">
        <f>G274</f>
        <v>40204</v>
      </c>
      <c r="Y274" s="7">
        <f>SUM(H274:H313)</f>
        <v>130.85999999999999</v>
      </c>
      <c r="Z274" s="7">
        <f>SUM(I274:I313)</f>
        <v>248.92</v>
      </c>
      <c r="AA274" s="7">
        <f>SUM(J274:J313)</f>
        <v>123.07999999999998</v>
      </c>
      <c r="AB274" s="7">
        <f>SUM(K274:K313)</f>
        <v>210.04000000000008</v>
      </c>
      <c r="AC274" s="9">
        <f>(AA274-40*$A$25)/Z274</f>
        <v>0.32733408323959501</v>
      </c>
      <c r="AD274" s="9">
        <f>(AB274-40*$A$26)/Z274</f>
        <v>0.57062510043387471</v>
      </c>
      <c r="AE274" s="9">
        <f>1-AC274-AD274</f>
        <v>0.10204081632653028</v>
      </c>
      <c r="AF274" s="3">
        <f>W274*AC274</f>
        <v>1671.3842585589384</v>
      </c>
      <c r="AG274" s="3">
        <f>W274*AD274</f>
        <v>2913.6404036047102</v>
      </c>
      <c r="AH274" s="3">
        <f>AF274+AG274</f>
        <v>4585.0246621636488</v>
      </c>
      <c r="AJ274" t="s">
        <v>841</v>
      </c>
      <c r="AK274" t="s">
        <v>682</v>
      </c>
      <c r="AL274" s="11">
        <f>D283</f>
        <v>40828</v>
      </c>
      <c r="AM274" s="3">
        <f>SUM(E283,E284)</f>
        <v>68.7</v>
      </c>
      <c r="AN274" s="3">
        <f>(AM274-4*$A$20)*$A$21/(2*$A$22)*$A$23</f>
        <v>4963.7978310012977</v>
      </c>
      <c r="AO274" s="11">
        <f>G283</f>
        <v>40204</v>
      </c>
      <c r="AP274" s="7">
        <f>SUM(H283,H284)</f>
        <v>7.66</v>
      </c>
      <c r="AQ274" s="7">
        <f>SUM(I283,I284)</f>
        <v>14.68</v>
      </c>
      <c r="AR274" s="7">
        <f>SUM(J283,J284)</f>
        <v>7</v>
      </c>
      <c r="AS274" s="7">
        <f>SUM(K283,K284)</f>
        <v>11.84</v>
      </c>
      <c r="AT274" s="9">
        <f>(AR274-2*$A$25)/AQ274</f>
        <v>0.33514986376021799</v>
      </c>
      <c r="AU274" s="9">
        <f>(AS274-2*$A$26)/AQ274</f>
        <v>0.57493188010899177</v>
      </c>
      <c r="AV274" s="9">
        <f>1-AT274-AU274</f>
        <v>8.9918256130790297E-2</v>
      </c>
      <c r="AW274" s="3">
        <f>AN274*AT274</f>
        <v>1663.6161667933504</v>
      </c>
      <c r="AX274" s="3">
        <f>AN274*AU274</f>
        <v>2853.8456194585115</v>
      </c>
      <c r="AY274" s="3">
        <f>AW274+AX274</f>
        <v>4517.4617862518617</v>
      </c>
    </row>
    <row r="275" spans="1:51" x14ac:dyDescent="0.25">
      <c r="A275">
        <v>242</v>
      </c>
      <c r="B275" s="1" t="s">
        <v>283</v>
      </c>
      <c r="C275" s="1" t="s">
        <v>682</v>
      </c>
      <c r="D275" s="2">
        <v>40828</v>
      </c>
      <c r="E275" s="3">
        <v>31.1</v>
      </c>
      <c r="F275" s="4">
        <f t="shared" si="21"/>
        <v>4462.6377517607198</v>
      </c>
      <c r="G275" s="2">
        <v>40204</v>
      </c>
      <c r="H275" s="7">
        <v>2.48</v>
      </c>
      <c r="I275" s="7">
        <f>H275+H292-2*$A$24</f>
        <v>5.58</v>
      </c>
      <c r="J275" s="7">
        <v>2.9</v>
      </c>
      <c r="K275" s="7">
        <v>4.92</v>
      </c>
      <c r="L275" s="6">
        <f t="shared" si="22"/>
        <v>0.33333333333333331</v>
      </c>
      <c r="M275" s="6">
        <f t="shared" si="23"/>
        <v>0.57706093189964147</v>
      </c>
      <c r="N275" s="6">
        <f t="shared" si="24"/>
        <v>8.9605734767025269E-2</v>
      </c>
      <c r="O275" s="4">
        <f t="shared" si="25"/>
        <v>1487.5459172535732</v>
      </c>
      <c r="P275" s="4">
        <f t="shared" si="26"/>
        <v>2575.2138997615616</v>
      </c>
      <c r="Q275" s="4">
        <f t="shared" si="27"/>
        <v>4062.759817015135</v>
      </c>
      <c r="V275" s="3"/>
      <c r="W275" s="3"/>
      <c r="Y275" s="7"/>
      <c r="Z275" s="7"/>
      <c r="AA275" s="7"/>
      <c r="AB275" s="7"/>
      <c r="AC275" s="9"/>
      <c r="AD275" s="9"/>
      <c r="AE275" s="9"/>
      <c r="AF275" s="3"/>
      <c r="AG275" s="3"/>
      <c r="AH275" s="3"/>
      <c r="AL275" s="11"/>
      <c r="AM275" s="3"/>
      <c r="AN275" s="3"/>
      <c r="AO275" s="11"/>
      <c r="AP275" s="7"/>
      <c r="AQ275" s="7"/>
      <c r="AR275" s="7"/>
      <c r="AS275" s="7"/>
      <c r="AT275" s="9"/>
      <c r="AU275" s="9"/>
      <c r="AV275" s="9"/>
      <c r="AW275" s="3"/>
      <c r="AX275" s="3"/>
      <c r="AY275" s="3"/>
    </row>
    <row r="276" spans="1:51" x14ac:dyDescent="0.25">
      <c r="A276">
        <v>243</v>
      </c>
      <c r="B276" s="1" t="s">
        <v>284</v>
      </c>
      <c r="C276" s="1" t="s">
        <v>682</v>
      </c>
      <c r="D276" s="2">
        <v>40828</v>
      </c>
      <c r="E276" s="3">
        <v>33</v>
      </c>
      <c r="F276" s="4">
        <f t="shared" si="21"/>
        <v>4755.6236442398267</v>
      </c>
      <c r="G276" s="2">
        <v>40204</v>
      </c>
      <c r="H276" s="7">
        <v>3.14</v>
      </c>
      <c r="I276" s="7">
        <f>H276+H291-2*$A$24</f>
        <v>6.08</v>
      </c>
      <c r="J276" s="7">
        <v>3.04</v>
      </c>
      <c r="K276" s="7">
        <v>5.22</v>
      </c>
      <c r="L276" s="6">
        <f t="shared" si="22"/>
        <v>0.32894736842105265</v>
      </c>
      <c r="M276" s="6">
        <f t="shared" si="23"/>
        <v>0.57894736842105254</v>
      </c>
      <c r="N276" s="6">
        <f t="shared" si="24"/>
        <v>9.2105263157894801E-2</v>
      </c>
      <c r="O276" s="4">
        <f t="shared" si="25"/>
        <v>1564.3498829736272</v>
      </c>
      <c r="P276" s="4">
        <f t="shared" si="26"/>
        <v>2753.2557940335837</v>
      </c>
      <c r="Q276" s="4">
        <f t="shared" si="27"/>
        <v>4317.6056770072109</v>
      </c>
      <c r="V276" s="3"/>
      <c r="W276" s="3"/>
      <c r="Y276" s="7"/>
      <c r="Z276" s="7"/>
      <c r="AA276" s="7"/>
      <c r="AB276" s="7"/>
      <c r="AC276" s="9"/>
      <c r="AD276" s="9"/>
      <c r="AE276" s="9"/>
      <c r="AF276" s="3"/>
      <c r="AG276" s="3"/>
      <c r="AH276" s="3"/>
      <c r="AJ276" t="s">
        <v>842</v>
      </c>
      <c r="AK276" t="s">
        <v>682</v>
      </c>
      <c r="AL276" s="11">
        <f>D282</f>
        <v>40828</v>
      </c>
      <c r="AM276" s="3">
        <f>SUM(E282,E285)</f>
        <v>70.199999999999989</v>
      </c>
      <c r="AN276" s="3">
        <f>(AM276-4*$A$20)*$A$21/(2*$A$22)*$A$23</f>
        <v>5079.4501569798931</v>
      </c>
      <c r="AO276" s="11">
        <f>G282</f>
        <v>40204</v>
      </c>
      <c r="AP276" s="7">
        <f>SUM(H282,H285)</f>
        <v>7.16</v>
      </c>
      <c r="AQ276" s="7">
        <f>SUM(I282,I285)</f>
        <v>13.68</v>
      </c>
      <c r="AR276" s="7">
        <f>SUM(J282,J285)</f>
        <v>6.56</v>
      </c>
      <c r="AS276" s="7">
        <f>SUM(K282,K285)</f>
        <v>11.2</v>
      </c>
      <c r="AT276" s="9">
        <f>(AR276-2*$A$25)/AQ276</f>
        <v>0.32748538011695905</v>
      </c>
      <c r="AU276" s="9">
        <f>(AS276-2*$A$26)/AQ276</f>
        <v>0.57017543859649111</v>
      </c>
      <c r="AV276" s="9">
        <f>1-AT276-AU276</f>
        <v>0.10233918128654984</v>
      </c>
      <c r="AW276" s="3">
        <f>AN276*AT276</f>
        <v>1663.4456654437076</v>
      </c>
      <c r="AX276" s="3">
        <f>AN276*AU276</f>
        <v>2896.1777210850264</v>
      </c>
      <c r="AY276" s="3">
        <f>AW276+AX276</f>
        <v>4559.623386528734</v>
      </c>
    </row>
    <row r="277" spans="1:51" x14ac:dyDescent="0.25">
      <c r="A277">
        <v>244</v>
      </c>
      <c r="B277" s="1" t="s">
        <v>285</v>
      </c>
      <c r="C277" s="1" t="s">
        <v>682</v>
      </c>
      <c r="D277" s="2">
        <v>40828</v>
      </c>
      <c r="E277" s="3">
        <v>30.6</v>
      </c>
      <c r="F277" s="4">
        <f t="shared" si="21"/>
        <v>4385.5362011083234</v>
      </c>
      <c r="G277" s="2">
        <v>40204</v>
      </c>
      <c r="H277" s="7">
        <v>2.68</v>
      </c>
      <c r="I277" s="7">
        <f>H277+H290-2*$A$24</f>
        <v>5.74</v>
      </c>
      <c r="J277" s="7">
        <v>2.9</v>
      </c>
      <c r="K277" s="7">
        <v>4.9400000000000004</v>
      </c>
      <c r="L277" s="6">
        <f t="shared" si="22"/>
        <v>0.32404181184668984</v>
      </c>
      <c r="M277" s="6">
        <f t="shared" si="23"/>
        <v>0.56445993031358888</v>
      </c>
      <c r="N277" s="6">
        <f t="shared" si="24"/>
        <v>0.11149825783972123</v>
      </c>
      <c r="O277" s="4">
        <f t="shared" si="25"/>
        <v>1421.0970965263903</v>
      </c>
      <c r="P277" s="4">
        <f t="shared" si="26"/>
        <v>2475.4594584653255</v>
      </c>
      <c r="Q277" s="4">
        <f t="shared" si="27"/>
        <v>3896.5565549917155</v>
      </c>
      <c r="V277" s="3"/>
      <c r="W277" s="3"/>
      <c r="Y277" s="7"/>
      <c r="Z277" s="7"/>
      <c r="AA277" s="7"/>
      <c r="AB277" s="7"/>
      <c r="AC277" s="9"/>
      <c r="AD277" s="9"/>
      <c r="AE277" s="9"/>
      <c r="AF277" s="3"/>
      <c r="AG277" s="3"/>
      <c r="AH277" s="3"/>
      <c r="AL277" s="11"/>
      <c r="AM277" s="3"/>
      <c r="AN277" s="3"/>
      <c r="AO277" s="11"/>
      <c r="AP277" s="7"/>
      <c r="AQ277" s="7"/>
      <c r="AR277" s="7"/>
      <c r="AS277" s="7"/>
      <c r="AT277" s="9"/>
      <c r="AU277" s="9"/>
      <c r="AV277" s="9"/>
      <c r="AW277" s="3"/>
      <c r="AX277" s="3"/>
      <c r="AY277" s="3"/>
    </row>
    <row r="278" spans="1:51" x14ac:dyDescent="0.25">
      <c r="A278">
        <v>245</v>
      </c>
      <c r="B278" s="1" t="s">
        <v>286</v>
      </c>
      <c r="C278" s="1" t="s">
        <v>682</v>
      </c>
      <c r="D278" s="2">
        <v>40828</v>
      </c>
      <c r="E278" s="3">
        <v>29.2</v>
      </c>
      <c r="F278" s="4">
        <f t="shared" si="21"/>
        <v>4169.6518592816119</v>
      </c>
      <c r="G278" s="2">
        <v>40204</v>
      </c>
      <c r="H278" s="7">
        <v>2.38</v>
      </c>
      <c r="I278" s="7">
        <f>H278+H289-2*$A$24</f>
        <v>5.18</v>
      </c>
      <c r="J278" s="7">
        <v>2.7</v>
      </c>
      <c r="K278" s="7">
        <v>4.74</v>
      </c>
      <c r="L278" s="6">
        <f t="shared" si="22"/>
        <v>0.32046332046332049</v>
      </c>
      <c r="M278" s="6">
        <f t="shared" si="23"/>
        <v>0.58687258687258692</v>
      </c>
      <c r="N278" s="6">
        <f t="shared" si="24"/>
        <v>9.266409266409259E-2</v>
      </c>
      <c r="O278" s="4">
        <f t="shared" si="25"/>
        <v>1336.2204800014433</v>
      </c>
      <c r="P278" s="4">
        <f t="shared" si="26"/>
        <v>2447.0543730146915</v>
      </c>
      <c r="Q278" s="4">
        <f t="shared" si="27"/>
        <v>3783.2748530161348</v>
      </c>
      <c r="V278" s="3"/>
      <c r="W278" s="3"/>
      <c r="Y278" s="7"/>
      <c r="Z278" s="7"/>
      <c r="AA278" s="7"/>
      <c r="AB278" s="7"/>
      <c r="AC278" s="9"/>
      <c r="AD278" s="9"/>
      <c r="AE278" s="9"/>
      <c r="AF278" s="3"/>
      <c r="AG278" s="3"/>
      <c r="AH278" s="3"/>
      <c r="AJ278" t="s">
        <v>843</v>
      </c>
      <c r="AK278" t="s">
        <v>682</v>
      </c>
      <c r="AL278" s="11">
        <f>D281</f>
        <v>40828</v>
      </c>
      <c r="AM278" s="3">
        <f>SUM(E281,E286)</f>
        <v>75.900000000000006</v>
      </c>
      <c r="AN278" s="3">
        <f>(AM278-4*$A$20)*$A$21/(2*$A$22)*$A$23</f>
        <v>5518.9289956985558</v>
      </c>
      <c r="AO278" s="11">
        <f>G281</f>
        <v>40204</v>
      </c>
      <c r="AP278" s="7">
        <f>SUM(H281,H286)</f>
        <v>5.9</v>
      </c>
      <c r="AQ278" s="7">
        <f>SUM(I281,I286)</f>
        <v>11.16</v>
      </c>
      <c r="AR278" s="7">
        <f>SUM(J281,J286)</f>
        <v>5.72</v>
      </c>
      <c r="AS278" s="7">
        <f>SUM(K281,K286)</f>
        <v>9.7200000000000006</v>
      </c>
      <c r="AT278" s="9">
        <f>(AR278-2*$A$25)/AQ278</f>
        <v>0.3261648745519713</v>
      </c>
      <c r="AU278" s="9">
        <f>(AS278-2*$A$26)/AQ278</f>
        <v>0.56630824372759858</v>
      </c>
      <c r="AV278" s="9">
        <f>1-AT278-AU278</f>
        <v>0.10752688172043012</v>
      </c>
      <c r="AW278" s="3">
        <f>AN278*AT278</f>
        <v>1800.0807835432563</v>
      </c>
      <c r="AX278" s="3">
        <f>AN278*AU278</f>
        <v>3125.4149868113686</v>
      </c>
      <c r="AY278" s="3">
        <f>AW278+AX278</f>
        <v>4925.4957703546252</v>
      </c>
    </row>
    <row r="279" spans="1:51" x14ac:dyDescent="0.25">
      <c r="A279">
        <v>246</v>
      </c>
      <c r="B279" s="1" t="s">
        <v>287</v>
      </c>
      <c r="C279" s="1" t="s">
        <v>682</v>
      </c>
      <c r="D279" s="2">
        <v>40828</v>
      </c>
      <c r="E279" s="3">
        <v>31.9</v>
      </c>
      <c r="F279" s="4">
        <f t="shared" si="21"/>
        <v>4586.0002328045539</v>
      </c>
      <c r="G279" s="2">
        <v>40204</v>
      </c>
      <c r="H279" s="7">
        <v>3.46</v>
      </c>
      <c r="I279" s="7">
        <f>H279+H288-2*$A$24</f>
        <v>6.24</v>
      </c>
      <c r="J279" s="7">
        <v>3.08</v>
      </c>
      <c r="K279" s="7">
        <v>5.32</v>
      </c>
      <c r="L279" s="6">
        <f t="shared" si="22"/>
        <v>0.32692307692307693</v>
      </c>
      <c r="M279" s="6">
        <f t="shared" si="23"/>
        <v>0.58012820512820518</v>
      </c>
      <c r="N279" s="6">
        <f t="shared" si="24"/>
        <v>9.2948717948717952E-2</v>
      </c>
      <c r="O279" s="4">
        <f t="shared" si="25"/>
        <v>1499.269306878412</v>
      </c>
      <c r="P279" s="4">
        <f t="shared" si="26"/>
        <v>2660.4680837744368</v>
      </c>
      <c r="Q279" s="4">
        <f t="shared" si="27"/>
        <v>4159.7373906528483</v>
      </c>
      <c r="V279" s="3"/>
      <c r="W279" s="3"/>
      <c r="Y279" s="7"/>
      <c r="Z279" s="7"/>
      <c r="AA279" s="7"/>
      <c r="AB279" s="7"/>
      <c r="AC279" s="9"/>
      <c r="AD279" s="9"/>
      <c r="AE279" s="9"/>
      <c r="AF279" s="3"/>
      <c r="AG279" s="3"/>
      <c r="AH279" s="3"/>
      <c r="AL279" s="11"/>
      <c r="AM279" s="3"/>
      <c r="AN279" s="3"/>
      <c r="AO279" s="11"/>
      <c r="AP279" s="7"/>
      <c r="AQ279" s="7"/>
      <c r="AR279" s="7"/>
      <c r="AS279" s="7"/>
      <c r="AT279" s="9"/>
      <c r="AU279" s="9"/>
      <c r="AV279" s="9"/>
      <c r="AW279" s="3"/>
      <c r="AX279" s="3"/>
      <c r="AY279" s="3"/>
    </row>
    <row r="280" spans="1:51" x14ac:dyDescent="0.25">
      <c r="A280">
        <v>247</v>
      </c>
      <c r="B280" s="1" t="s">
        <v>288</v>
      </c>
      <c r="C280" s="1" t="s">
        <v>682</v>
      </c>
      <c r="D280" s="2">
        <v>40828</v>
      </c>
      <c r="E280" s="3">
        <v>35.700000000000003</v>
      </c>
      <c r="F280" s="4">
        <f t="shared" si="21"/>
        <v>5171.9720177627705</v>
      </c>
      <c r="G280" s="2">
        <v>40204</v>
      </c>
      <c r="H280" s="7">
        <v>2.52</v>
      </c>
      <c r="I280" s="7">
        <f>H280+H287-2*$A$24</f>
        <v>5.84</v>
      </c>
      <c r="J280" s="7">
        <v>2.96</v>
      </c>
      <c r="K280" s="7">
        <v>4.9800000000000004</v>
      </c>
      <c r="L280" s="6">
        <f t="shared" si="22"/>
        <v>0.32876712328767121</v>
      </c>
      <c r="M280" s="6">
        <f t="shared" si="23"/>
        <v>0.56164383561643838</v>
      </c>
      <c r="N280" s="6">
        <f t="shared" si="24"/>
        <v>0.1095890410958904</v>
      </c>
      <c r="O280" s="4">
        <f t="shared" si="25"/>
        <v>1700.3743620041985</v>
      </c>
      <c r="P280" s="4">
        <f t="shared" si="26"/>
        <v>2904.8062017571724</v>
      </c>
      <c r="Q280" s="4">
        <f t="shared" si="27"/>
        <v>4605.1805637613706</v>
      </c>
      <c r="V280" s="3"/>
      <c r="W280" s="3"/>
      <c r="Y280" s="7"/>
      <c r="Z280" s="7"/>
      <c r="AA280" s="7"/>
      <c r="AB280" s="7"/>
      <c r="AC280" s="9"/>
      <c r="AD280" s="9"/>
      <c r="AE280" s="9"/>
      <c r="AF280" s="3"/>
      <c r="AG280" s="3"/>
      <c r="AH280" s="3"/>
      <c r="AJ280" t="s">
        <v>844</v>
      </c>
      <c r="AK280" t="s">
        <v>682</v>
      </c>
      <c r="AL280" s="11">
        <f>D280</f>
        <v>40828</v>
      </c>
      <c r="AM280" s="3">
        <f>SUM(E280,E287)</f>
        <v>78.2</v>
      </c>
      <c r="AN280" s="3">
        <f>(AM280-4*$A$20)*$A$21/(2*$A$22)*$A$23</f>
        <v>5696.2625621990674</v>
      </c>
      <c r="AO280" s="11">
        <f>G280</f>
        <v>40204</v>
      </c>
      <c r="AP280" s="7">
        <f>SUM(H280,H287)</f>
        <v>6.16</v>
      </c>
      <c r="AQ280" s="7">
        <f>SUM(I280,I287)</f>
        <v>11.68</v>
      </c>
      <c r="AR280" s="7">
        <f>SUM(J280,J287)</f>
        <v>5.92</v>
      </c>
      <c r="AS280" s="7">
        <f>SUM(K280,K287)</f>
        <v>9.9600000000000009</v>
      </c>
      <c r="AT280" s="9">
        <f>(AR280-2*$A$25)/AQ280</f>
        <v>0.32876712328767121</v>
      </c>
      <c r="AU280" s="9">
        <f>(AS280-2*$A$26)/AQ280</f>
        <v>0.56164383561643838</v>
      </c>
      <c r="AV280" s="9">
        <f>1-AT280-AU280</f>
        <v>0.1095890410958904</v>
      </c>
      <c r="AW280" s="3">
        <f>AN280*AT280</f>
        <v>1872.7438560654466</v>
      </c>
      <c r="AX280" s="3">
        <f>AN280*AU280</f>
        <v>3199.2707541118052</v>
      </c>
      <c r="AY280" s="3">
        <f>AW280+AX280</f>
        <v>5072.0146101772516</v>
      </c>
    </row>
    <row r="281" spans="1:51" x14ac:dyDescent="0.25">
      <c r="A281">
        <v>248</v>
      </c>
      <c r="B281" s="1" t="s">
        <v>289</v>
      </c>
      <c r="C281" s="1" t="s">
        <v>682</v>
      </c>
      <c r="D281" s="2">
        <v>40828</v>
      </c>
      <c r="E281" s="3">
        <v>35</v>
      </c>
      <c r="F281" s="4">
        <f t="shared" si="21"/>
        <v>5064.0298468494148</v>
      </c>
      <c r="G281" s="2">
        <v>40204</v>
      </c>
      <c r="H281" s="7">
        <v>2.44</v>
      </c>
      <c r="I281" s="7">
        <f>H281+H286-2*$A$24</f>
        <v>5.58</v>
      </c>
      <c r="J281" s="7">
        <v>2.86</v>
      </c>
      <c r="K281" s="7">
        <v>4.8600000000000003</v>
      </c>
      <c r="L281" s="6">
        <f t="shared" si="22"/>
        <v>0.3261648745519713</v>
      </c>
      <c r="M281" s="6">
        <f t="shared" si="23"/>
        <v>0.56630824372759858</v>
      </c>
      <c r="N281" s="6">
        <f t="shared" si="24"/>
        <v>0.10752688172043012</v>
      </c>
      <c r="O281" s="4">
        <f t="shared" si="25"/>
        <v>1651.7086597250777</v>
      </c>
      <c r="P281" s="4">
        <f t="shared" si="26"/>
        <v>2867.8018487534323</v>
      </c>
      <c r="Q281" s="4">
        <f t="shared" si="27"/>
        <v>4519.51050847851</v>
      </c>
      <c r="V281" s="3"/>
      <c r="W281" s="3"/>
      <c r="Y281" s="7"/>
      <c r="Z281" s="7"/>
      <c r="AA281" s="7"/>
      <c r="AB281" s="7"/>
      <c r="AC281" s="9"/>
      <c r="AD281" s="9"/>
      <c r="AE281" s="9"/>
      <c r="AF281" s="3"/>
      <c r="AG281" s="3"/>
      <c r="AH281" s="3"/>
      <c r="AL281" s="11"/>
      <c r="AM281" s="3"/>
      <c r="AN281" s="3"/>
      <c r="AO281" s="11"/>
      <c r="AP281" s="7"/>
      <c r="AQ281" s="7"/>
      <c r="AR281" s="7"/>
      <c r="AS281" s="7"/>
      <c r="AT281" s="9"/>
      <c r="AU281" s="9"/>
      <c r="AV281" s="9"/>
      <c r="AW281" s="3"/>
      <c r="AX281" s="3"/>
      <c r="AY281" s="3"/>
    </row>
    <row r="282" spans="1:51" x14ac:dyDescent="0.25">
      <c r="A282">
        <v>249</v>
      </c>
      <c r="B282" s="1" t="s">
        <v>290</v>
      </c>
      <c r="C282" s="1" t="s">
        <v>682</v>
      </c>
      <c r="D282" s="2">
        <v>40828</v>
      </c>
      <c r="E282" s="3">
        <v>32.799999999999997</v>
      </c>
      <c r="F282" s="4">
        <f t="shared" si="21"/>
        <v>4724.7830239788682</v>
      </c>
      <c r="G282" s="2">
        <v>40204</v>
      </c>
      <c r="H282" s="7">
        <v>3.52</v>
      </c>
      <c r="I282" s="7">
        <f>H282+H285-2*$A$24</f>
        <v>6.84</v>
      </c>
      <c r="J282" s="7">
        <v>3.28</v>
      </c>
      <c r="K282" s="7">
        <v>5.6</v>
      </c>
      <c r="L282" s="6">
        <f t="shared" si="22"/>
        <v>0.32748538011695905</v>
      </c>
      <c r="M282" s="6">
        <f t="shared" si="23"/>
        <v>0.57017543859649111</v>
      </c>
      <c r="N282" s="6">
        <f t="shared" si="24"/>
        <v>0.10233918128654984</v>
      </c>
      <c r="O282" s="4">
        <f t="shared" si="25"/>
        <v>1547.297364577875</v>
      </c>
      <c r="P282" s="4">
        <f t="shared" si="26"/>
        <v>2693.9552329704065</v>
      </c>
      <c r="Q282" s="4">
        <f t="shared" si="27"/>
        <v>4241.2525975482813</v>
      </c>
      <c r="V282" s="3"/>
      <c r="W282" s="3"/>
      <c r="Y282" s="7"/>
      <c r="Z282" s="7"/>
      <c r="AA282" s="7"/>
      <c r="AB282" s="7"/>
      <c r="AC282" s="9"/>
      <c r="AD282" s="9"/>
      <c r="AE282" s="9"/>
      <c r="AF282" s="3"/>
      <c r="AG282" s="3"/>
      <c r="AH282" s="3"/>
      <c r="AJ282" t="s">
        <v>845</v>
      </c>
      <c r="AK282" t="s">
        <v>682</v>
      </c>
      <c r="AL282" s="11">
        <f>D279</f>
        <v>40828</v>
      </c>
      <c r="AM282" s="3">
        <f>SUM(E279,E288)</f>
        <v>71.199999999999989</v>
      </c>
      <c r="AN282" s="3">
        <f>(AM282-4*$A$20)*$A$21/(2*$A$22)*$A$23</f>
        <v>5156.5517076322894</v>
      </c>
      <c r="AO282" s="11">
        <f>G279</f>
        <v>40204</v>
      </c>
      <c r="AP282" s="7">
        <f>SUM(H279,H288)</f>
        <v>6.5600000000000005</v>
      </c>
      <c r="AQ282" s="7">
        <f>SUM(I279,I288)</f>
        <v>12.48</v>
      </c>
      <c r="AR282" s="7">
        <f>SUM(J279,J288)</f>
        <v>6.16</v>
      </c>
      <c r="AS282" s="7">
        <f>SUM(K279,K288)</f>
        <v>10.64</v>
      </c>
      <c r="AT282" s="9">
        <f>(AR282-2*$A$25)/AQ282</f>
        <v>0.32692307692307693</v>
      </c>
      <c r="AU282" s="9">
        <f>(AS282-2*$A$26)/AQ282</f>
        <v>0.58012820512820518</v>
      </c>
      <c r="AV282" s="9">
        <f>1-AT282-AU282</f>
        <v>9.2948717948717952E-2</v>
      </c>
      <c r="AW282" s="3">
        <f>AN282*AT282</f>
        <v>1685.7957505720947</v>
      </c>
      <c r="AX282" s="3">
        <f>AN282*AU282</f>
        <v>2991.4610867995016</v>
      </c>
      <c r="AY282" s="3">
        <f>AW282+AX282</f>
        <v>4677.2568373715967</v>
      </c>
    </row>
    <row r="283" spans="1:51" x14ac:dyDescent="0.25">
      <c r="A283">
        <v>250</v>
      </c>
      <c r="B283" s="1" t="s">
        <v>291</v>
      </c>
      <c r="C283" s="1" t="s">
        <v>682</v>
      </c>
      <c r="D283" s="2">
        <v>40828</v>
      </c>
      <c r="E283" s="3">
        <v>33.1</v>
      </c>
      <c r="F283" s="4">
        <f t="shared" si="21"/>
        <v>4771.0439543703069</v>
      </c>
      <c r="G283" s="2">
        <v>40204</v>
      </c>
      <c r="H283" s="7">
        <v>3.92</v>
      </c>
      <c r="I283" s="7">
        <f>H283+H284-2*$A$24</f>
        <v>7.34</v>
      </c>
      <c r="J283" s="7">
        <v>3.5</v>
      </c>
      <c r="K283" s="7">
        <v>5.92</v>
      </c>
      <c r="L283" s="6">
        <f t="shared" si="22"/>
        <v>0.33514986376021799</v>
      </c>
      <c r="M283" s="6">
        <f t="shared" si="23"/>
        <v>0.57493188010899177</v>
      </c>
      <c r="N283" s="6">
        <f t="shared" si="24"/>
        <v>8.9918256130790297E-2</v>
      </c>
      <c r="O283" s="4">
        <f t="shared" si="25"/>
        <v>1599.0147313012201</v>
      </c>
      <c r="P283" s="4">
        <f t="shared" si="26"/>
        <v>2743.0252707687591</v>
      </c>
      <c r="Q283" s="4">
        <f t="shared" si="27"/>
        <v>4342.040002069979</v>
      </c>
      <c r="V283" s="3"/>
      <c r="W283" s="3"/>
      <c r="Y283" s="7"/>
      <c r="Z283" s="7"/>
      <c r="AA283" s="7"/>
      <c r="AB283" s="7"/>
      <c r="AC283" s="9"/>
      <c r="AD283" s="9"/>
      <c r="AE283" s="9"/>
      <c r="AF283" s="3"/>
      <c r="AG283" s="3"/>
      <c r="AH283" s="3"/>
      <c r="AL283" s="11"/>
      <c r="AM283" s="3"/>
      <c r="AN283" s="3"/>
      <c r="AO283" s="11"/>
      <c r="AP283" s="7"/>
      <c r="AQ283" s="7"/>
      <c r="AR283" s="7"/>
      <c r="AS283" s="7"/>
      <c r="AT283" s="9"/>
      <c r="AU283" s="9"/>
      <c r="AV283" s="9"/>
      <c r="AW283" s="3"/>
      <c r="AX283" s="3"/>
      <c r="AY283" s="3"/>
    </row>
    <row r="284" spans="1:51" x14ac:dyDescent="0.25">
      <c r="A284">
        <v>251</v>
      </c>
      <c r="B284" s="1" t="s">
        <v>292</v>
      </c>
      <c r="C284" s="1" t="s">
        <v>682</v>
      </c>
      <c r="D284" s="2">
        <v>40828</v>
      </c>
      <c r="E284" s="3">
        <v>35.6</v>
      </c>
      <c r="F284" s="4">
        <f t="shared" si="21"/>
        <v>5156.5517076322894</v>
      </c>
      <c r="G284" s="2">
        <v>40204</v>
      </c>
      <c r="H284" s="7">
        <v>3.74</v>
      </c>
      <c r="I284" s="7">
        <f>H284+H283-2*$A$24</f>
        <v>7.34</v>
      </c>
      <c r="J284" s="7">
        <v>3.5</v>
      </c>
      <c r="K284" s="7">
        <v>5.92</v>
      </c>
      <c r="L284" s="6">
        <f t="shared" si="22"/>
        <v>0.33514986376021799</v>
      </c>
      <c r="M284" s="6">
        <f t="shared" si="23"/>
        <v>0.57493188010899177</v>
      </c>
      <c r="N284" s="6">
        <f t="shared" si="24"/>
        <v>8.9918256130790297E-2</v>
      </c>
      <c r="O284" s="4">
        <f t="shared" si="25"/>
        <v>1728.2176022854812</v>
      </c>
      <c r="P284" s="4">
        <f t="shared" si="26"/>
        <v>2964.6659681482643</v>
      </c>
      <c r="Q284" s="4">
        <f t="shared" si="27"/>
        <v>4692.8835704337453</v>
      </c>
      <c r="V284" s="3"/>
      <c r="W284" s="3"/>
      <c r="Y284" s="7"/>
      <c r="Z284" s="7"/>
      <c r="AA284" s="7"/>
      <c r="AB284" s="7"/>
      <c r="AC284" s="9"/>
      <c r="AD284" s="9"/>
      <c r="AE284" s="9"/>
      <c r="AF284" s="3"/>
      <c r="AG284" s="3"/>
      <c r="AH284" s="3"/>
      <c r="AJ284" t="s">
        <v>846</v>
      </c>
      <c r="AK284" t="s">
        <v>682</v>
      </c>
      <c r="AL284" s="11">
        <f>D278</f>
        <v>40828</v>
      </c>
      <c r="AM284" s="3">
        <f>SUM(E278,E289)</f>
        <v>63.3</v>
      </c>
      <c r="AN284" s="3">
        <f>(AM284-4*$A$20)*$A$21/(2*$A$22)*$A$23</f>
        <v>4547.4494574783557</v>
      </c>
      <c r="AO284" s="11">
        <f>G278</f>
        <v>40204</v>
      </c>
      <c r="AP284" s="7">
        <f>SUM(H278,H289)</f>
        <v>5.5</v>
      </c>
      <c r="AQ284" s="7">
        <f>SUM(I278,I289)</f>
        <v>10.36</v>
      </c>
      <c r="AR284" s="7">
        <f>SUM(J278,J289)</f>
        <v>5.4</v>
      </c>
      <c r="AS284" s="7">
        <f>SUM(K278,K289)</f>
        <v>9.48</v>
      </c>
      <c r="AT284" s="9">
        <f>(AR284-2*$A$25)/AQ284</f>
        <v>0.32046332046332049</v>
      </c>
      <c r="AU284" s="9">
        <f>(AS284-2*$A$26)/AQ284</f>
        <v>0.58687258687258692</v>
      </c>
      <c r="AV284" s="9">
        <f>1-AT284-AU284</f>
        <v>9.266409266409259E-2</v>
      </c>
      <c r="AW284" s="3">
        <f>AN284*AT284</f>
        <v>1457.2907527826392</v>
      </c>
      <c r="AX284" s="3">
        <f>AN284*AU284</f>
        <v>2668.7734267826645</v>
      </c>
      <c r="AY284" s="3">
        <f>AW284+AX284</f>
        <v>4126.0641795653037</v>
      </c>
    </row>
    <row r="285" spans="1:51" x14ac:dyDescent="0.25">
      <c r="A285">
        <v>252</v>
      </c>
      <c r="B285" s="1" t="s">
        <v>293</v>
      </c>
      <c r="C285" s="1" t="s">
        <v>682</v>
      </c>
      <c r="D285" s="2">
        <v>40828</v>
      </c>
      <c r="E285" s="3">
        <v>37.4</v>
      </c>
      <c r="F285" s="4">
        <f t="shared" si="21"/>
        <v>5434.117289980918</v>
      </c>
      <c r="G285" s="2">
        <v>40204</v>
      </c>
      <c r="H285" s="7">
        <v>3.64</v>
      </c>
      <c r="I285" s="7">
        <f>H285+H282-2*$A$24</f>
        <v>6.84</v>
      </c>
      <c r="J285" s="7">
        <v>3.28</v>
      </c>
      <c r="K285" s="7">
        <v>5.6</v>
      </c>
      <c r="L285" s="6">
        <f t="shared" si="22"/>
        <v>0.32748538011695905</v>
      </c>
      <c r="M285" s="6">
        <f t="shared" si="23"/>
        <v>0.57017543859649111</v>
      </c>
      <c r="N285" s="6">
        <f t="shared" si="24"/>
        <v>0.10233918128654984</v>
      </c>
      <c r="O285" s="4">
        <f t="shared" si="25"/>
        <v>1779.5939663095403</v>
      </c>
      <c r="P285" s="4">
        <f t="shared" si="26"/>
        <v>3098.4002091996458</v>
      </c>
      <c r="Q285" s="4">
        <f t="shared" si="27"/>
        <v>4877.9941755091859</v>
      </c>
      <c r="V285" s="3"/>
      <c r="W285" s="3"/>
      <c r="Y285" s="7"/>
      <c r="Z285" s="7"/>
      <c r="AA285" s="7"/>
      <c r="AB285" s="7"/>
      <c r="AC285" s="9"/>
      <c r="AD285" s="9"/>
      <c r="AE285" s="9"/>
      <c r="AF285" s="3"/>
      <c r="AG285" s="3"/>
      <c r="AH285" s="3"/>
      <c r="AL285" s="11"/>
      <c r="AM285" s="3"/>
      <c r="AN285" s="3"/>
      <c r="AO285" s="11"/>
      <c r="AP285" s="7"/>
      <c r="AQ285" s="7"/>
      <c r="AR285" s="7"/>
      <c r="AS285" s="7"/>
      <c r="AT285" s="9"/>
      <c r="AU285" s="9"/>
      <c r="AV285" s="9"/>
      <c r="AW285" s="3"/>
      <c r="AX285" s="3"/>
      <c r="AY285" s="3"/>
    </row>
    <row r="286" spans="1:51" x14ac:dyDescent="0.25">
      <c r="A286">
        <v>253</v>
      </c>
      <c r="B286" s="1" t="s">
        <v>294</v>
      </c>
      <c r="C286" s="1" t="s">
        <v>682</v>
      </c>
      <c r="D286" s="2">
        <v>40828</v>
      </c>
      <c r="E286" s="3">
        <v>40.900000000000006</v>
      </c>
      <c r="F286" s="4">
        <f t="shared" si="21"/>
        <v>5973.828144547696</v>
      </c>
      <c r="G286" s="2">
        <v>40204</v>
      </c>
      <c r="H286" s="7">
        <v>3.46</v>
      </c>
      <c r="I286" s="7">
        <f>H286+H281-2*$A$24</f>
        <v>5.58</v>
      </c>
      <c r="J286" s="7">
        <v>2.86</v>
      </c>
      <c r="K286" s="7">
        <v>4.8600000000000003</v>
      </c>
      <c r="L286" s="6">
        <f t="shared" si="22"/>
        <v>0.3261648745519713</v>
      </c>
      <c r="M286" s="6">
        <f t="shared" si="23"/>
        <v>0.56630824372759858</v>
      </c>
      <c r="N286" s="6">
        <f t="shared" si="24"/>
        <v>0.10752688172043012</v>
      </c>
      <c r="O286" s="4">
        <f t="shared" si="25"/>
        <v>1948.4529073614347</v>
      </c>
      <c r="P286" s="4">
        <f t="shared" si="26"/>
        <v>3383.0281248693045</v>
      </c>
      <c r="Q286" s="4">
        <f t="shared" si="27"/>
        <v>5331.4810322307394</v>
      </c>
      <c r="V286" s="3"/>
      <c r="W286" s="3"/>
      <c r="Y286" s="7"/>
      <c r="Z286" s="7"/>
      <c r="AA286" s="7"/>
      <c r="AB286" s="7"/>
      <c r="AC286" s="9"/>
      <c r="AD286" s="9"/>
      <c r="AE286" s="9"/>
      <c r="AF286" s="3"/>
      <c r="AG286" s="3"/>
      <c r="AH286" s="3"/>
      <c r="AJ286" t="s">
        <v>847</v>
      </c>
      <c r="AK286" t="s">
        <v>682</v>
      </c>
      <c r="AL286" s="11">
        <f>D277</f>
        <v>40828</v>
      </c>
      <c r="AM286" s="3">
        <f>SUM(E277,E290)</f>
        <v>63.800000000000004</v>
      </c>
      <c r="AN286" s="3">
        <f>(AM286-4*$A$20)*$A$21/(2*$A$22)*$A$23</f>
        <v>4586.0002328045548</v>
      </c>
      <c r="AO286" s="11">
        <f>G277</f>
        <v>40204</v>
      </c>
      <c r="AP286" s="7">
        <f>SUM(H277,H290)</f>
        <v>6.0600000000000005</v>
      </c>
      <c r="AQ286" s="7">
        <f>SUM(I277,I290)</f>
        <v>11.48</v>
      </c>
      <c r="AR286" s="7">
        <f>SUM(J277,J290)</f>
        <v>5.8</v>
      </c>
      <c r="AS286" s="7">
        <f>SUM(K277,K290)</f>
        <v>9.8800000000000008</v>
      </c>
      <c r="AT286" s="9">
        <f>(AR286-2*$A$25)/AQ286</f>
        <v>0.32404181184668984</v>
      </c>
      <c r="AU286" s="9">
        <f>(AS286-2*$A$26)/AQ286</f>
        <v>0.56445993031358888</v>
      </c>
      <c r="AV286" s="9">
        <f>1-AT286-AU286</f>
        <v>0.11149825783972123</v>
      </c>
      <c r="AW286" s="3">
        <f>AN286*AT286</f>
        <v>1486.0558245673294</v>
      </c>
      <c r="AX286" s="3">
        <f>AN286*AU286</f>
        <v>2588.6133718269612</v>
      </c>
      <c r="AY286" s="3">
        <f>AW286+AX286</f>
        <v>4074.6691963942903</v>
      </c>
    </row>
    <row r="287" spans="1:51" x14ac:dyDescent="0.25">
      <c r="A287">
        <v>254</v>
      </c>
      <c r="B287" s="1" t="s">
        <v>295</v>
      </c>
      <c r="C287" s="1" t="s">
        <v>682</v>
      </c>
      <c r="D287" s="2">
        <v>40828</v>
      </c>
      <c r="E287" s="3">
        <v>42.5</v>
      </c>
      <c r="F287" s="4">
        <f t="shared" si="21"/>
        <v>6220.5531066353651</v>
      </c>
      <c r="G287" s="2">
        <v>40204</v>
      </c>
      <c r="H287" s="7">
        <v>3.64</v>
      </c>
      <c r="I287" s="7">
        <f>H287+H280-2*$A$24</f>
        <v>5.84</v>
      </c>
      <c r="J287" s="7">
        <v>2.96</v>
      </c>
      <c r="K287" s="7">
        <v>4.9800000000000004</v>
      </c>
      <c r="L287" s="6">
        <f t="shared" si="22"/>
        <v>0.32876712328767121</v>
      </c>
      <c r="M287" s="6">
        <f t="shared" si="23"/>
        <v>0.56164383561643838</v>
      </c>
      <c r="N287" s="6">
        <f t="shared" si="24"/>
        <v>0.1095890410958904</v>
      </c>
      <c r="O287" s="4">
        <f t="shared" si="25"/>
        <v>2045.1133501266952</v>
      </c>
      <c r="P287" s="4">
        <f t="shared" si="26"/>
        <v>3493.735306466438</v>
      </c>
      <c r="Q287" s="4">
        <f t="shared" si="27"/>
        <v>5538.8486565931335</v>
      </c>
      <c r="V287" s="3"/>
      <c r="W287" s="3"/>
      <c r="Y287" s="7"/>
      <c r="Z287" s="7"/>
      <c r="AA287" s="7"/>
      <c r="AB287" s="7"/>
      <c r="AC287" s="9"/>
      <c r="AD287" s="9"/>
      <c r="AE287" s="9"/>
      <c r="AF287" s="3"/>
      <c r="AG287" s="3"/>
      <c r="AH287" s="3"/>
      <c r="AL287" s="11"/>
      <c r="AM287" s="3"/>
      <c r="AN287" s="3"/>
      <c r="AO287" s="11"/>
      <c r="AP287" s="7"/>
      <c r="AQ287" s="7"/>
      <c r="AR287" s="7"/>
      <c r="AS287" s="7"/>
      <c r="AT287" s="9"/>
      <c r="AU287" s="9"/>
      <c r="AV287" s="9"/>
      <c r="AW287" s="3"/>
      <c r="AX287" s="3"/>
      <c r="AY287" s="3"/>
    </row>
    <row r="288" spans="1:51" x14ac:dyDescent="0.25">
      <c r="A288">
        <v>255</v>
      </c>
      <c r="B288" s="1" t="s">
        <v>296</v>
      </c>
      <c r="C288" s="1" t="s">
        <v>682</v>
      </c>
      <c r="D288" s="2">
        <v>40828</v>
      </c>
      <c r="E288" s="3">
        <v>39.299999999999997</v>
      </c>
      <c r="F288" s="4">
        <f t="shared" si="21"/>
        <v>5727.1031824600259</v>
      </c>
      <c r="G288" s="2">
        <v>40204</v>
      </c>
      <c r="H288" s="7">
        <v>3.1</v>
      </c>
      <c r="I288" s="7">
        <f>H288+H279-2*$A$24</f>
        <v>6.24</v>
      </c>
      <c r="J288" s="7">
        <v>3.08</v>
      </c>
      <c r="K288" s="7">
        <v>5.32</v>
      </c>
      <c r="L288" s="6">
        <f t="shared" si="22"/>
        <v>0.32692307692307693</v>
      </c>
      <c r="M288" s="6">
        <f t="shared" si="23"/>
        <v>0.58012820512820518</v>
      </c>
      <c r="N288" s="6">
        <f t="shared" si="24"/>
        <v>9.2948717948717952E-2</v>
      </c>
      <c r="O288" s="4">
        <f t="shared" si="25"/>
        <v>1872.3221942657776</v>
      </c>
      <c r="P288" s="4">
        <f t="shared" si="26"/>
        <v>3322.4540898245664</v>
      </c>
      <c r="Q288" s="4">
        <f t="shared" si="27"/>
        <v>5194.7762840903442</v>
      </c>
      <c r="V288" s="3"/>
      <c r="W288" s="3"/>
      <c r="Y288" s="7"/>
      <c r="Z288" s="7"/>
      <c r="AA288" s="7"/>
      <c r="AB288" s="7"/>
      <c r="AC288" s="9"/>
      <c r="AD288" s="9"/>
      <c r="AE288" s="9"/>
      <c r="AF288" s="3"/>
      <c r="AG288" s="3"/>
      <c r="AH288" s="3"/>
      <c r="AJ288" t="s">
        <v>848</v>
      </c>
      <c r="AK288" t="s">
        <v>682</v>
      </c>
      <c r="AL288" s="11">
        <f>D276</f>
        <v>40828</v>
      </c>
      <c r="AM288" s="3">
        <f>SUM(E276,E291)</f>
        <v>68.599999999999994</v>
      </c>
      <c r="AN288" s="3">
        <f>(AM288-4*$A$20)*$A$21/(2*$A$22)*$A$23</f>
        <v>4956.0876759360581</v>
      </c>
      <c r="AO288" s="11">
        <f>G276</f>
        <v>40204</v>
      </c>
      <c r="AP288" s="7">
        <f>SUM(H276,H291)</f>
        <v>6.4</v>
      </c>
      <c r="AQ288" s="7">
        <f>SUM(I276,I291)</f>
        <v>12.16</v>
      </c>
      <c r="AR288" s="7">
        <f>SUM(J276,J291)</f>
        <v>6.08</v>
      </c>
      <c r="AS288" s="7">
        <f>SUM(K276,K291)</f>
        <v>10.44</v>
      </c>
      <c r="AT288" s="9">
        <f>(AR288-2*$A$25)/AQ288</f>
        <v>0.32894736842105265</v>
      </c>
      <c r="AU288" s="9">
        <f>(AS288-2*$A$26)/AQ288</f>
        <v>0.57894736842105254</v>
      </c>
      <c r="AV288" s="9">
        <f>1-AT288-AU288</f>
        <v>9.2105263157894801E-2</v>
      </c>
      <c r="AW288" s="3">
        <f>AN288*AT288</f>
        <v>1630.2919986631771</v>
      </c>
      <c r="AX288" s="3">
        <f>AN288*AU288</f>
        <v>2869.3139176471909</v>
      </c>
      <c r="AY288" s="3">
        <f>AW288+AX288</f>
        <v>4499.6059163103682</v>
      </c>
    </row>
    <row r="289" spans="1:51" x14ac:dyDescent="0.25">
      <c r="A289">
        <v>256</v>
      </c>
      <c r="B289" s="1" t="s">
        <v>297</v>
      </c>
      <c r="C289" s="1" t="s">
        <v>682</v>
      </c>
      <c r="D289" s="2">
        <v>40828</v>
      </c>
      <c r="E289" s="3">
        <v>34.1</v>
      </c>
      <c r="F289" s="4">
        <f t="shared" si="21"/>
        <v>4925.2470556751005</v>
      </c>
      <c r="G289" s="2">
        <v>40204</v>
      </c>
      <c r="H289" s="7">
        <v>3.12</v>
      </c>
      <c r="I289" s="7">
        <f>H289+H278-2*$A$24</f>
        <v>5.18</v>
      </c>
      <c r="J289" s="7">
        <v>2.7</v>
      </c>
      <c r="K289" s="7">
        <v>4.74</v>
      </c>
      <c r="L289" s="6">
        <f t="shared" si="22"/>
        <v>0.32046332046332049</v>
      </c>
      <c r="M289" s="6">
        <f t="shared" si="23"/>
        <v>0.58687258687258692</v>
      </c>
      <c r="N289" s="6">
        <f t="shared" si="24"/>
        <v>9.266409266409259E-2</v>
      </c>
      <c r="O289" s="4">
        <f t="shared" si="25"/>
        <v>1578.3610255638355</v>
      </c>
      <c r="P289" s="4">
        <f t="shared" si="26"/>
        <v>2890.4924805506384</v>
      </c>
      <c r="Q289" s="4">
        <f t="shared" si="27"/>
        <v>4468.8535061144739</v>
      </c>
      <c r="V289" s="3"/>
      <c r="W289" s="3"/>
      <c r="Y289" s="7"/>
      <c r="Z289" s="7"/>
      <c r="AA289" s="7"/>
      <c r="AB289" s="7"/>
      <c r="AC289" s="9"/>
      <c r="AD289" s="9"/>
      <c r="AE289" s="9"/>
      <c r="AF289" s="3"/>
      <c r="AG289" s="3"/>
      <c r="AH289" s="3"/>
      <c r="AL289" s="11"/>
      <c r="AM289" s="3"/>
      <c r="AN289" s="3"/>
      <c r="AO289" s="11"/>
      <c r="AP289" s="7"/>
      <c r="AQ289" s="7"/>
      <c r="AR289" s="7"/>
      <c r="AS289" s="7"/>
      <c r="AT289" s="9"/>
      <c r="AU289" s="9"/>
      <c r="AV289" s="9"/>
      <c r="AW289" s="3"/>
      <c r="AX289" s="3"/>
      <c r="AY289" s="3"/>
    </row>
    <row r="290" spans="1:51" x14ac:dyDescent="0.25">
      <c r="A290">
        <v>257</v>
      </c>
      <c r="B290" s="1" t="s">
        <v>298</v>
      </c>
      <c r="C290" s="1" t="s">
        <v>682</v>
      </c>
      <c r="D290" s="2">
        <v>40828</v>
      </c>
      <c r="E290" s="3">
        <v>33.200000000000003</v>
      </c>
      <c r="F290" s="4">
        <f t="shared" si="21"/>
        <v>4786.4642645007862</v>
      </c>
      <c r="G290" s="2">
        <v>40204</v>
      </c>
      <c r="H290" s="7">
        <v>3.38</v>
      </c>
      <c r="I290" s="7">
        <f>H290+H277-2*$A$24</f>
        <v>5.74</v>
      </c>
      <c r="J290" s="7">
        <v>2.9</v>
      </c>
      <c r="K290" s="7">
        <v>4.9400000000000004</v>
      </c>
      <c r="L290" s="6">
        <f t="shared" si="22"/>
        <v>0.32404181184668984</v>
      </c>
      <c r="M290" s="6">
        <f t="shared" si="23"/>
        <v>0.56445993031358888</v>
      </c>
      <c r="N290" s="6">
        <f t="shared" si="24"/>
        <v>0.11149825783972123</v>
      </c>
      <c r="O290" s="4">
        <f t="shared" si="25"/>
        <v>1551.0145526082683</v>
      </c>
      <c r="P290" s="4">
        <f t="shared" si="26"/>
        <v>2701.7672851885973</v>
      </c>
      <c r="Q290" s="4">
        <f t="shared" si="27"/>
        <v>4252.7818377968651</v>
      </c>
      <c r="V290" s="3"/>
      <c r="W290" s="3"/>
      <c r="Y290" s="7"/>
      <c r="Z290" s="7"/>
      <c r="AA290" s="7"/>
      <c r="AB290" s="7"/>
      <c r="AC290" s="9"/>
      <c r="AD290" s="9"/>
      <c r="AE290" s="9"/>
      <c r="AF290" s="3"/>
      <c r="AG290" s="3"/>
      <c r="AH290" s="3"/>
      <c r="AJ290" t="s">
        <v>849</v>
      </c>
      <c r="AK290" t="s">
        <v>682</v>
      </c>
      <c r="AL290" s="11">
        <f>D275</f>
        <v>40828</v>
      </c>
      <c r="AM290" s="3">
        <f>SUM(E275,E292)</f>
        <v>67.099999999999994</v>
      </c>
      <c r="AN290" s="3">
        <f>(AM290-4*$A$20)*$A$21/(2*$A$22)*$A$23</f>
        <v>4840.4353499574636</v>
      </c>
      <c r="AO290" s="11">
        <f>G275</f>
        <v>40204</v>
      </c>
      <c r="AP290" s="7">
        <f>SUM(H275,H292)</f>
        <v>5.9</v>
      </c>
      <c r="AQ290" s="7">
        <f>SUM(I275,I292)</f>
        <v>11.16</v>
      </c>
      <c r="AR290" s="7">
        <f>SUM(J275,J292)</f>
        <v>5.8</v>
      </c>
      <c r="AS290" s="7">
        <f>SUM(K275,K292)</f>
        <v>9.84</v>
      </c>
      <c r="AT290" s="9">
        <f>(AR290-2*$A$25)/AQ290</f>
        <v>0.33333333333333331</v>
      </c>
      <c r="AU290" s="9">
        <f>(AS290-2*$A$26)/AQ290</f>
        <v>0.57706093189964147</v>
      </c>
      <c r="AV290" s="9">
        <f>1-AT290-AU290</f>
        <v>8.9605734767025269E-2</v>
      </c>
      <c r="AW290" s="3">
        <f>AN290*AT290</f>
        <v>1613.478449985821</v>
      </c>
      <c r="AX290" s="3">
        <f>AN290*AU290</f>
        <v>2793.2261338464209</v>
      </c>
      <c r="AY290" s="3">
        <f>AW290+AX290</f>
        <v>4406.704583832242</v>
      </c>
    </row>
    <row r="291" spans="1:51" x14ac:dyDescent="0.25">
      <c r="A291">
        <v>258</v>
      </c>
      <c r="B291" s="1" t="s">
        <v>299</v>
      </c>
      <c r="C291" s="1" t="s">
        <v>682</v>
      </c>
      <c r="D291" s="2">
        <v>40828</v>
      </c>
      <c r="E291" s="3">
        <v>35.599999999999994</v>
      </c>
      <c r="F291" s="4">
        <f t="shared" ref="F291:F354" si="28">(E291-2*$A$20)*$A$21/$A$22*$A$23</f>
        <v>5156.5517076322894</v>
      </c>
      <c r="G291" s="2">
        <v>40204</v>
      </c>
      <c r="H291" s="7">
        <v>3.26</v>
      </c>
      <c r="I291" s="7">
        <f>H291+H276-2*$A$24</f>
        <v>6.08</v>
      </c>
      <c r="J291" s="7">
        <v>3.04</v>
      </c>
      <c r="K291" s="7">
        <v>5.22</v>
      </c>
      <c r="L291" s="6">
        <f t="shared" ref="L291:L354" si="29">(J291-$A$25)/I291</f>
        <v>0.32894736842105265</v>
      </c>
      <c r="M291" s="6">
        <f t="shared" ref="M291:M354" si="30">(K291-$A$26)/I291</f>
        <v>0.57894736842105254</v>
      </c>
      <c r="N291" s="6">
        <f t="shared" ref="N291:N354" si="31">1-L291-M291</f>
        <v>9.2105263157894801E-2</v>
      </c>
      <c r="O291" s="4">
        <f t="shared" ref="O291:O354" si="32">F291*L291</f>
        <v>1696.2341143527269</v>
      </c>
      <c r="P291" s="4">
        <f t="shared" ref="P291:P354" si="33">F291*M291</f>
        <v>2985.3720412607986</v>
      </c>
      <c r="Q291" s="4">
        <f t="shared" ref="Q291:Q354" si="34">O291+P291</f>
        <v>4681.6061556135255</v>
      </c>
      <c r="V291" s="3"/>
      <c r="W291" s="3"/>
      <c r="Y291" s="7"/>
      <c r="Z291" s="7"/>
      <c r="AA291" s="7"/>
      <c r="AB291" s="7"/>
      <c r="AC291" s="9"/>
      <c r="AD291" s="9"/>
      <c r="AE291" s="9"/>
      <c r="AF291" s="3"/>
      <c r="AG291" s="3"/>
      <c r="AH291" s="3"/>
      <c r="AL291" s="11"/>
      <c r="AM291" s="3"/>
      <c r="AN291" s="3"/>
      <c r="AO291" s="11"/>
      <c r="AP291" s="7"/>
      <c r="AQ291" s="7"/>
      <c r="AR291" s="7"/>
      <c r="AS291" s="7"/>
      <c r="AT291" s="9"/>
      <c r="AU291" s="9"/>
      <c r="AV291" s="9"/>
      <c r="AW291" s="3"/>
      <c r="AX291" s="3"/>
      <c r="AY291" s="3"/>
    </row>
    <row r="292" spans="1:51" x14ac:dyDescent="0.25">
      <c r="A292">
        <v>259</v>
      </c>
      <c r="B292" s="1" t="s">
        <v>300</v>
      </c>
      <c r="C292" s="1" t="s">
        <v>682</v>
      </c>
      <c r="D292" s="2">
        <v>40828</v>
      </c>
      <c r="E292" s="3">
        <v>36</v>
      </c>
      <c r="F292" s="4">
        <f t="shared" si="28"/>
        <v>5218.2329481542074</v>
      </c>
      <c r="G292" s="2">
        <v>40204</v>
      </c>
      <c r="H292" s="7">
        <v>3.42</v>
      </c>
      <c r="I292" s="7">
        <f>H292+H275-2*$A$24</f>
        <v>5.58</v>
      </c>
      <c r="J292" s="7">
        <v>2.9</v>
      </c>
      <c r="K292" s="7">
        <v>4.92</v>
      </c>
      <c r="L292" s="6">
        <f t="shared" si="29"/>
        <v>0.33333333333333331</v>
      </c>
      <c r="M292" s="6">
        <f t="shared" si="30"/>
        <v>0.57706093189964147</v>
      </c>
      <c r="N292" s="6">
        <f t="shared" si="31"/>
        <v>8.9605734767025269E-2</v>
      </c>
      <c r="O292" s="4">
        <f t="shared" si="32"/>
        <v>1739.4109827180691</v>
      </c>
      <c r="P292" s="4">
        <f t="shared" si="33"/>
        <v>3011.2383679312802</v>
      </c>
      <c r="Q292" s="4">
        <f t="shared" si="34"/>
        <v>4750.6493506493498</v>
      </c>
      <c r="V292" s="3"/>
      <c r="W292" s="3"/>
      <c r="Y292" s="7"/>
      <c r="Z292" s="7"/>
      <c r="AA292" s="7"/>
      <c r="AB292" s="7"/>
      <c r="AC292" s="9"/>
      <c r="AD292" s="9"/>
      <c r="AE292" s="9"/>
      <c r="AF292" s="3"/>
      <c r="AG292" s="3"/>
      <c r="AH292" s="3"/>
      <c r="AJ292" t="s">
        <v>850</v>
      </c>
      <c r="AK292" t="s">
        <v>682</v>
      </c>
      <c r="AL292" s="11">
        <f>D274</f>
        <v>40828</v>
      </c>
      <c r="AM292" s="3">
        <f>SUM(E274,E293)</f>
        <v>64.300000000000011</v>
      </c>
      <c r="AN292" s="3">
        <f>(AM292-4*$A$20)*$A$21/(2*$A$22)*$A$23</f>
        <v>4624.5510081307539</v>
      </c>
      <c r="AO292" s="11">
        <f>G274</f>
        <v>40204</v>
      </c>
      <c r="AP292" s="7">
        <f>SUM(H274,H293)</f>
        <v>7.02</v>
      </c>
      <c r="AQ292" s="7">
        <f>SUM(I274,I293)</f>
        <v>13.399999999999999</v>
      </c>
      <c r="AR292" s="7">
        <f>SUM(J274,J293)</f>
        <v>6.6</v>
      </c>
      <c r="AS292" s="7">
        <f>SUM(K274,K293)</f>
        <v>10.96</v>
      </c>
      <c r="AT292" s="9">
        <f>(AR292-2*$A$25)/AQ292</f>
        <v>0.33731343283582088</v>
      </c>
      <c r="AU292" s="9">
        <f>(AS292-2*$A$26)/AQ292</f>
        <v>0.56417910447761199</v>
      </c>
      <c r="AV292" s="9">
        <f>1-AT292-AU292</f>
        <v>9.8507462686567071E-2</v>
      </c>
      <c r="AW292" s="3">
        <f>AN292*AT292</f>
        <v>1559.9231758769408</v>
      </c>
      <c r="AX292" s="3">
        <f>AN292*AU292</f>
        <v>2609.0750463782465</v>
      </c>
      <c r="AY292" s="3">
        <f>AW292+AX292</f>
        <v>4168.9982222551871</v>
      </c>
    </row>
    <row r="293" spans="1:51" x14ac:dyDescent="0.25">
      <c r="A293">
        <v>260</v>
      </c>
      <c r="B293" s="1" t="s">
        <v>301</v>
      </c>
      <c r="C293" s="1" t="s">
        <v>682</v>
      </c>
      <c r="D293" s="2">
        <v>40828</v>
      </c>
      <c r="E293" s="3">
        <v>33.900000000000006</v>
      </c>
      <c r="F293" s="4">
        <f t="shared" si="28"/>
        <v>4894.4064354141428</v>
      </c>
      <c r="G293" s="2">
        <v>40204</v>
      </c>
      <c r="H293" s="7">
        <v>3.66</v>
      </c>
      <c r="I293" s="7">
        <f>H293+H274-2*$A$24</f>
        <v>6.6999999999999993</v>
      </c>
      <c r="J293" s="7">
        <v>3.3</v>
      </c>
      <c r="K293" s="7">
        <v>5.48</v>
      </c>
      <c r="L293" s="6">
        <f t="shared" si="29"/>
        <v>0.33731343283582088</v>
      </c>
      <c r="M293" s="6">
        <f t="shared" si="30"/>
        <v>0.56417910447761199</v>
      </c>
      <c r="N293" s="6">
        <f t="shared" si="31"/>
        <v>9.8507462686567071E-2</v>
      </c>
      <c r="O293" s="4">
        <f t="shared" si="32"/>
        <v>1650.9490364232779</v>
      </c>
      <c r="P293" s="4">
        <f t="shared" si="33"/>
        <v>2761.3218396814123</v>
      </c>
      <c r="Q293" s="4">
        <f t="shared" si="34"/>
        <v>4412.2708761046906</v>
      </c>
      <c r="V293" s="3"/>
      <c r="W293" s="3"/>
      <c r="Y293" s="7"/>
      <c r="Z293" s="7"/>
      <c r="AA293" s="7"/>
      <c r="AB293" s="7"/>
      <c r="AC293" s="9"/>
      <c r="AD293" s="9"/>
      <c r="AE293" s="9"/>
      <c r="AF293" s="3"/>
      <c r="AG293" s="3"/>
      <c r="AH293" s="3"/>
      <c r="AL293" s="11"/>
      <c r="AM293" s="3"/>
      <c r="AN293" s="3"/>
      <c r="AO293" s="11"/>
      <c r="AP293" s="7"/>
      <c r="AQ293" s="7"/>
      <c r="AR293" s="7"/>
      <c r="AS293" s="7"/>
      <c r="AT293" s="9"/>
      <c r="AU293" s="9"/>
      <c r="AV293" s="9"/>
      <c r="AW293" s="3"/>
      <c r="AX293" s="3"/>
      <c r="AY293" s="3"/>
    </row>
    <row r="294" spans="1:51" x14ac:dyDescent="0.25">
      <c r="A294">
        <v>261</v>
      </c>
      <c r="B294" s="1" t="s">
        <v>302</v>
      </c>
      <c r="C294" s="1" t="s">
        <v>682</v>
      </c>
      <c r="D294" s="2">
        <v>40828</v>
      </c>
      <c r="E294" s="3">
        <v>32.700000000000003</v>
      </c>
      <c r="F294" s="4">
        <f t="shared" si="28"/>
        <v>4709.3627138483898</v>
      </c>
      <c r="G294" s="2">
        <v>40204</v>
      </c>
      <c r="H294" s="7">
        <v>2.84</v>
      </c>
      <c r="I294" s="7">
        <f>H294+H313-2*$A$24</f>
        <v>6.1199999999999992</v>
      </c>
      <c r="J294" s="7">
        <v>3.06</v>
      </c>
      <c r="K294" s="7">
        <v>5.18</v>
      </c>
      <c r="L294" s="6">
        <f t="shared" si="29"/>
        <v>0.33006535947712423</v>
      </c>
      <c r="M294" s="6">
        <f t="shared" si="30"/>
        <v>0.56862745098039214</v>
      </c>
      <c r="N294" s="6">
        <f t="shared" si="31"/>
        <v>0.10130718954248363</v>
      </c>
      <c r="O294" s="4">
        <f t="shared" si="32"/>
        <v>1554.3974970545341</v>
      </c>
      <c r="P294" s="4">
        <f t="shared" si="33"/>
        <v>2677.8729157177117</v>
      </c>
      <c r="Q294" s="4">
        <f t="shared" si="34"/>
        <v>4232.2704127722463</v>
      </c>
      <c r="V294" s="3"/>
      <c r="W294" s="3"/>
      <c r="Y294" s="7"/>
      <c r="Z294" s="7"/>
      <c r="AA294" s="7"/>
      <c r="AB294" s="7"/>
      <c r="AC294" s="9"/>
      <c r="AD294" s="9"/>
      <c r="AE294" s="9"/>
      <c r="AF294" s="3"/>
      <c r="AG294" s="3"/>
      <c r="AH294" s="3"/>
      <c r="AJ294" t="s">
        <v>851</v>
      </c>
      <c r="AK294" t="s">
        <v>682</v>
      </c>
      <c r="AL294" s="11">
        <f>D303</f>
        <v>40828</v>
      </c>
      <c r="AM294" s="3">
        <f>SUM(E303,E304)</f>
        <v>68.099999999999994</v>
      </c>
      <c r="AN294" s="3">
        <f>(AM294-4*$A$20)*$A$21/(2*$A$22)*$A$23</f>
        <v>4917.5369006098599</v>
      </c>
      <c r="AO294" s="11">
        <f>G303</f>
        <v>40204</v>
      </c>
      <c r="AP294" s="7">
        <f>SUM(H303,H304)</f>
        <v>7.08</v>
      </c>
      <c r="AQ294" s="7">
        <f>SUM(I303,I304)</f>
        <v>13.52</v>
      </c>
      <c r="AR294" s="7">
        <f>SUM(J303,J304)</f>
        <v>6.32</v>
      </c>
      <c r="AS294" s="7">
        <f>SUM(K303,K304)</f>
        <v>11.12</v>
      </c>
      <c r="AT294" s="9">
        <f>(AR294-2*$A$25)/AQ294</f>
        <v>0.31360946745562135</v>
      </c>
      <c r="AU294" s="9">
        <f>(AS294-2*$A$26)/AQ294</f>
        <v>0.57100591715976323</v>
      </c>
      <c r="AV294" s="9">
        <f>1-AT294-AU294</f>
        <v>0.11538461538461542</v>
      </c>
      <c r="AW294" s="3">
        <f>AN294*AT294</f>
        <v>1542.186128593625</v>
      </c>
      <c r="AX294" s="3">
        <f>AN294*AU294</f>
        <v>2807.9426680997126</v>
      </c>
      <c r="AY294" s="3">
        <f>AW294+AX294</f>
        <v>4350.1287966933378</v>
      </c>
    </row>
    <row r="295" spans="1:51" x14ac:dyDescent="0.25">
      <c r="A295">
        <v>262</v>
      </c>
      <c r="B295" s="1" t="s">
        <v>303</v>
      </c>
      <c r="C295" s="1" t="s">
        <v>682</v>
      </c>
      <c r="D295" s="2">
        <v>40828</v>
      </c>
      <c r="E295" s="3">
        <v>37.200000000000003</v>
      </c>
      <c r="F295" s="4">
        <f t="shared" si="28"/>
        <v>5403.2766697199604</v>
      </c>
      <c r="G295" s="2">
        <v>40204</v>
      </c>
      <c r="H295" s="7">
        <v>3.52</v>
      </c>
      <c r="I295" s="7">
        <f>H295+H312-2*$A$24</f>
        <v>5.72</v>
      </c>
      <c r="J295" s="7">
        <v>2.92</v>
      </c>
      <c r="K295" s="7">
        <v>5.04</v>
      </c>
      <c r="L295" s="6">
        <f t="shared" si="29"/>
        <v>0.32867132867132864</v>
      </c>
      <c r="M295" s="6">
        <f t="shared" si="30"/>
        <v>0.58391608391608396</v>
      </c>
      <c r="N295" s="6">
        <f t="shared" si="31"/>
        <v>8.7412587412587395E-2</v>
      </c>
      <c r="O295" s="4">
        <f t="shared" si="32"/>
        <v>1775.9021222156512</v>
      </c>
      <c r="P295" s="4">
        <f t="shared" si="33"/>
        <v>3155.060153298019</v>
      </c>
      <c r="Q295" s="4">
        <f t="shared" si="34"/>
        <v>4930.9622755136697</v>
      </c>
      <c r="V295" s="3"/>
      <c r="W295" s="3"/>
      <c r="Y295" s="7"/>
      <c r="Z295" s="7"/>
      <c r="AA295" s="7"/>
      <c r="AB295" s="7"/>
      <c r="AC295" s="9"/>
      <c r="AD295" s="9"/>
      <c r="AE295" s="9"/>
      <c r="AF295" s="3"/>
      <c r="AG295" s="3"/>
      <c r="AH295" s="3"/>
      <c r="AL295" s="11"/>
      <c r="AM295" s="3"/>
      <c r="AN295" s="3"/>
      <c r="AO295" s="11"/>
      <c r="AP295" s="7"/>
      <c r="AQ295" s="7"/>
      <c r="AR295" s="7"/>
      <c r="AS295" s="7"/>
      <c r="AT295" s="9"/>
      <c r="AU295" s="9"/>
      <c r="AV295" s="9"/>
      <c r="AW295" s="3"/>
      <c r="AX295" s="3"/>
      <c r="AY295" s="3"/>
    </row>
    <row r="296" spans="1:51" x14ac:dyDescent="0.25">
      <c r="A296">
        <v>263</v>
      </c>
      <c r="B296" s="1" t="s">
        <v>304</v>
      </c>
      <c r="C296" s="1" t="s">
        <v>682</v>
      </c>
      <c r="D296" s="2">
        <v>40828</v>
      </c>
      <c r="E296" s="3">
        <v>36.1</v>
      </c>
      <c r="F296" s="4">
        <f t="shared" si="28"/>
        <v>5233.6532582846858</v>
      </c>
      <c r="G296" s="2">
        <v>40204</v>
      </c>
      <c r="H296" s="7">
        <v>3.56</v>
      </c>
      <c r="I296" s="7">
        <f>H296+H311-2*$A$24</f>
        <v>6.68</v>
      </c>
      <c r="J296" s="7">
        <v>3.14</v>
      </c>
      <c r="K296" s="7">
        <v>5.34</v>
      </c>
      <c r="L296" s="6">
        <f t="shared" si="29"/>
        <v>0.31437125748502998</v>
      </c>
      <c r="M296" s="6">
        <f t="shared" si="30"/>
        <v>0.54491017964071853</v>
      </c>
      <c r="N296" s="6">
        <f t="shared" si="31"/>
        <v>0.14071856287425155</v>
      </c>
      <c r="O296" s="4">
        <f t="shared" si="32"/>
        <v>1645.3101560475811</v>
      </c>
      <c r="P296" s="4">
        <f t="shared" si="33"/>
        <v>2851.87093714914</v>
      </c>
      <c r="Q296" s="4">
        <f t="shared" si="34"/>
        <v>4497.1810931967211</v>
      </c>
      <c r="V296" s="3"/>
      <c r="W296" s="3"/>
      <c r="Y296" s="7"/>
      <c r="Z296" s="7"/>
      <c r="AA296" s="7"/>
      <c r="AB296" s="7"/>
      <c r="AC296" s="9"/>
      <c r="AD296" s="9"/>
      <c r="AE296" s="9"/>
      <c r="AF296" s="3"/>
      <c r="AG296" s="3"/>
      <c r="AH296" s="3"/>
      <c r="AJ296" t="s">
        <v>852</v>
      </c>
      <c r="AK296" t="s">
        <v>682</v>
      </c>
      <c r="AL296" s="11">
        <f>D302</f>
        <v>40828</v>
      </c>
      <c r="AM296" s="3">
        <f>SUM(E302,E305)</f>
        <v>73.3</v>
      </c>
      <c r="AN296" s="3">
        <f>(AM296-4*$A$20)*$A$21/(2*$A$22)*$A$23</f>
        <v>5318.4649640023217</v>
      </c>
      <c r="AO296" s="11">
        <f>G302</f>
        <v>40204</v>
      </c>
      <c r="AP296" s="7">
        <f>SUM(H302,H305)</f>
        <v>6.76</v>
      </c>
      <c r="AQ296" s="7">
        <f>SUM(I302,I305)</f>
        <v>12.879999999999999</v>
      </c>
      <c r="AR296" s="7">
        <f>SUM(J302,J305)</f>
        <v>6.32</v>
      </c>
      <c r="AS296" s="7">
        <f>SUM(K302,K305)</f>
        <v>10.76</v>
      </c>
      <c r="AT296" s="9">
        <f>(AR296-2*$A$25)/AQ296</f>
        <v>0.329192546583851</v>
      </c>
      <c r="AU296" s="9">
        <f>(AS296-2*$A$26)/AQ296</f>
        <v>0.5714285714285714</v>
      </c>
      <c r="AV296" s="9">
        <f>1-AT296-AU296</f>
        <v>9.9378881987577605E-2</v>
      </c>
      <c r="AW296" s="3">
        <f>AN296*AT296</f>
        <v>1750.7990254169138</v>
      </c>
      <c r="AX296" s="3">
        <f>AN296*AU296</f>
        <v>3039.1228365727552</v>
      </c>
      <c r="AY296" s="3">
        <f>AW296+AX296</f>
        <v>4789.9218619896692</v>
      </c>
    </row>
    <row r="297" spans="1:51" x14ac:dyDescent="0.25">
      <c r="A297">
        <v>264</v>
      </c>
      <c r="B297" s="1" t="s">
        <v>305</v>
      </c>
      <c r="C297" s="1" t="s">
        <v>682</v>
      </c>
      <c r="D297" s="2">
        <v>40828</v>
      </c>
      <c r="E297" s="3">
        <v>31.8</v>
      </c>
      <c r="F297" s="4">
        <f t="shared" si="28"/>
        <v>4570.5799226740755</v>
      </c>
      <c r="G297" s="2">
        <v>40204</v>
      </c>
      <c r="H297" s="7">
        <v>2.8</v>
      </c>
      <c r="I297" s="7">
        <f>H297+H310-2*$A$24</f>
        <v>6.14</v>
      </c>
      <c r="J297" s="7">
        <v>3.02</v>
      </c>
      <c r="K297" s="7">
        <v>5.2</v>
      </c>
      <c r="L297" s="6">
        <f t="shared" si="29"/>
        <v>0.32247557003257332</v>
      </c>
      <c r="M297" s="6">
        <f t="shared" si="30"/>
        <v>0.57003257328990231</v>
      </c>
      <c r="N297" s="6">
        <f t="shared" si="31"/>
        <v>0.10749185667752437</v>
      </c>
      <c r="O297" s="4">
        <f t="shared" si="32"/>
        <v>1473.9003659437574</v>
      </c>
      <c r="P297" s="4">
        <f t="shared" si="33"/>
        <v>2605.3794347490661</v>
      </c>
      <c r="Q297" s="4">
        <f t="shared" si="34"/>
        <v>4079.2798006928233</v>
      </c>
      <c r="V297" s="3"/>
      <c r="W297" s="3"/>
      <c r="Y297" s="7"/>
      <c r="Z297" s="7"/>
      <c r="AA297" s="7"/>
      <c r="AB297" s="7"/>
      <c r="AC297" s="9"/>
      <c r="AD297" s="9"/>
      <c r="AE297" s="9"/>
      <c r="AF297" s="3"/>
      <c r="AG297" s="3"/>
      <c r="AH297" s="3"/>
      <c r="AL297" s="11"/>
      <c r="AM297" s="3"/>
      <c r="AN297" s="3"/>
      <c r="AO297" s="11"/>
      <c r="AP297" s="7"/>
      <c r="AQ297" s="7"/>
      <c r="AR297" s="7"/>
      <c r="AS297" s="7"/>
      <c r="AT297" s="9"/>
      <c r="AU297" s="9"/>
      <c r="AV297" s="9"/>
      <c r="AW297" s="3"/>
      <c r="AX297" s="3"/>
      <c r="AY297" s="3"/>
    </row>
    <row r="298" spans="1:51" x14ac:dyDescent="0.25">
      <c r="A298">
        <v>265</v>
      </c>
      <c r="B298" s="1" t="s">
        <v>306</v>
      </c>
      <c r="C298" s="1" t="s">
        <v>682</v>
      </c>
      <c r="D298" s="2">
        <v>40828</v>
      </c>
      <c r="E298" s="3">
        <v>34.4</v>
      </c>
      <c r="F298" s="4">
        <f t="shared" si="28"/>
        <v>4971.5079860665373</v>
      </c>
      <c r="G298" s="2">
        <v>40204</v>
      </c>
      <c r="H298" s="7">
        <v>3.02</v>
      </c>
      <c r="I298" s="7">
        <f>H298+H309-2*$A$24</f>
        <v>6.3599999999999994</v>
      </c>
      <c r="J298" s="7">
        <v>3.08</v>
      </c>
      <c r="K298" s="7">
        <v>5.3</v>
      </c>
      <c r="L298" s="6">
        <f t="shared" si="29"/>
        <v>0.32075471698113212</v>
      </c>
      <c r="M298" s="6">
        <f t="shared" si="30"/>
        <v>0.56603773584905659</v>
      </c>
      <c r="N298" s="6">
        <f t="shared" si="31"/>
        <v>0.1132075471698113</v>
      </c>
      <c r="O298" s="4">
        <f t="shared" si="32"/>
        <v>1594.6346370402102</v>
      </c>
      <c r="P298" s="4">
        <f t="shared" si="33"/>
        <v>2814.0611241886058</v>
      </c>
      <c r="Q298" s="4">
        <f t="shared" si="34"/>
        <v>4408.6957612288161</v>
      </c>
      <c r="V298" s="3"/>
      <c r="W298" s="3"/>
      <c r="Y298" s="7"/>
      <c r="Z298" s="7"/>
      <c r="AA298" s="7"/>
      <c r="AB298" s="7"/>
      <c r="AC298" s="9"/>
      <c r="AD298" s="9"/>
      <c r="AE298" s="9"/>
      <c r="AF298" s="3"/>
      <c r="AG298" s="3"/>
      <c r="AH298" s="3"/>
      <c r="AJ298" t="s">
        <v>853</v>
      </c>
      <c r="AK298" t="s">
        <v>682</v>
      </c>
      <c r="AL298" s="11">
        <f>D301</f>
        <v>40828</v>
      </c>
      <c r="AM298" s="3">
        <f>SUM(E301,E306)</f>
        <v>78.2</v>
      </c>
      <c r="AN298" s="3">
        <f>(AM298-4*$A$20)*$A$21/(2*$A$22)*$A$23</f>
        <v>5696.2625621990674</v>
      </c>
      <c r="AO298" s="11">
        <f>G301</f>
        <v>40204</v>
      </c>
      <c r="AP298" s="7">
        <f>SUM(H301,H306)</f>
        <v>6</v>
      </c>
      <c r="AQ298" s="7">
        <f>SUM(I301,I306)</f>
        <v>11.36</v>
      </c>
      <c r="AR298" s="7">
        <f>SUM(J301,J306)</f>
        <v>5.84</v>
      </c>
      <c r="AS298" s="7">
        <f>SUM(K301,K306)</f>
        <v>9.92</v>
      </c>
      <c r="AT298" s="9">
        <f>(AR298-2*$A$25)/AQ298</f>
        <v>0.33098591549295775</v>
      </c>
      <c r="AU298" s="9">
        <f>(AS298-2*$A$26)/AQ298</f>
        <v>0.573943661971831</v>
      </c>
      <c r="AV298" s="9">
        <f>1-AT298-AU298</f>
        <v>9.5070422535211252E-2</v>
      </c>
      <c r="AW298" s="3">
        <f>AN298*AT298</f>
        <v>1885.3826790377195</v>
      </c>
      <c r="AX298" s="3">
        <f>AN298*AU298</f>
        <v>3269.3337945015774</v>
      </c>
      <c r="AY298" s="3">
        <f>AW298+AX298</f>
        <v>5154.7164735392971</v>
      </c>
    </row>
    <row r="299" spans="1:51" x14ac:dyDescent="0.25">
      <c r="A299">
        <v>266</v>
      </c>
      <c r="B299" s="1" t="s">
        <v>307</v>
      </c>
      <c r="C299" s="1" t="s">
        <v>682</v>
      </c>
      <c r="D299" s="2">
        <v>40828</v>
      </c>
      <c r="E299" s="3">
        <v>38.6</v>
      </c>
      <c r="F299" s="4">
        <f t="shared" si="28"/>
        <v>5619.161011546671</v>
      </c>
      <c r="G299" s="2">
        <v>40204</v>
      </c>
      <c r="H299" s="7">
        <v>3.16</v>
      </c>
      <c r="I299" s="7">
        <f>H299+H308-2*$A$24</f>
        <v>6.82</v>
      </c>
      <c r="J299" s="7">
        <v>3.3</v>
      </c>
      <c r="K299" s="7">
        <v>5.62</v>
      </c>
      <c r="L299" s="6">
        <f t="shared" si="29"/>
        <v>0.33137829912023453</v>
      </c>
      <c r="M299" s="6">
        <f t="shared" si="30"/>
        <v>0.57478005865102633</v>
      </c>
      <c r="N299" s="6">
        <f t="shared" si="31"/>
        <v>9.3841642228739142E-2</v>
      </c>
      <c r="O299" s="4">
        <f t="shared" si="32"/>
        <v>1862.0680184890723</v>
      </c>
      <c r="P299" s="4">
        <f t="shared" si="33"/>
        <v>3229.7816957863561</v>
      </c>
      <c r="Q299" s="4">
        <f t="shared" si="34"/>
        <v>5091.8497142754286</v>
      </c>
      <c r="V299" s="3"/>
      <c r="W299" s="3"/>
      <c r="Y299" s="7"/>
      <c r="Z299" s="7"/>
      <c r="AA299" s="7"/>
      <c r="AB299" s="7"/>
      <c r="AC299" s="9"/>
      <c r="AD299" s="9"/>
      <c r="AE299" s="9"/>
      <c r="AF299" s="3"/>
      <c r="AG299" s="3"/>
      <c r="AH299" s="3"/>
      <c r="AL299" s="11"/>
      <c r="AM299" s="3"/>
      <c r="AN299" s="3"/>
      <c r="AO299" s="11"/>
      <c r="AP299" s="7"/>
      <c r="AQ299" s="7"/>
      <c r="AR299" s="7"/>
      <c r="AS299" s="7"/>
      <c r="AT299" s="9"/>
      <c r="AU299" s="9"/>
      <c r="AV299" s="9"/>
      <c r="AW299" s="3"/>
      <c r="AX299" s="3"/>
      <c r="AY299" s="3"/>
    </row>
    <row r="300" spans="1:51" x14ac:dyDescent="0.25">
      <c r="A300">
        <v>267</v>
      </c>
      <c r="B300" s="1" t="s">
        <v>308</v>
      </c>
      <c r="C300" s="1" t="s">
        <v>682</v>
      </c>
      <c r="D300" s="2">
        <v>40828</v>
      </c>
      <c r="E300" s="3">
        <v>39.5</v>
      </c>
      <c r="F300" s="4">
        <f t="shared" si="28"/>
        <v>5757.9438027209835</v>
      </c>
      <c r="G300" s="2">
        <v>40204</v>
      </c>
      <c r="H300" s="7">
        <v>3.88</v>
      </c>
      <c r="I300" s="7">
        <f>H300+H307-2*$A$24</f>
        <v>6.6199999999999992</v>
      </c>
      <c r="J300" s="7">
        <v>3.26</v>
      </c>
      <c r="K300" s="7">
        <v>5.46</v>
      </c>
      <c r="L300" s="6">
        <f t="shared" si="29"/>
        <v>0.33534743202416917</v>
      </c>
      <c r="M300" s="6">
        <f t="shared" si="30"/>
        <v>0.56797583081571001</v>
      </c>
      <c r="N300" s="6">
        <f t="shared" si="31"/>
        <v>9.6676737160120818E-2</v>
      </c>
      <c r="O300" s="4">
        <f t="shared" si="32"/>
        <v>1930.911667981961</v>
      </c>
      <c r="P300" s="4">
        <f t="shared" si="33"/>
        <v>3270.3729151406192</v>
      </c>
      <c r="Q300" s="4">
        <f t="shared" si="34"/>
        <v>5201.2845831225804</v>
      </c>
      <c r="V300" s="3"/>
      <c r="W300" s="3"/>
      <c r="Y300" s="7"/>
      <c r="Z300" s="7"/>
      <c r="AA300" s="7"/>
      <c r="AB300" s="7"/>
      <c r="AC300" s="9"/>
      <c r="AD300" s="9"/>
      <c r="AE300" s="9"/>
      <c r="AF300" s="3"/>
      <c r="AG300" s="3"/>
      <c r="AH300" s="3"/>
      <c r="AJ300" t="s">
        <v>854</v>
      </c>
      <c r="AK300" t="s">
        <v>682</v>
      </c>
      <c r="AL300" s="11">
        <f>D300</f>
        <v>40828</v>
      </c>
      <c r="AM300" s="3">
        <f>SUM(E300,E307)</f>
        <v>80.099999999999994</v>
      </c>
      <c r="AN300" s="3">
        <f>(AM300-4*$A$20)*$A$21/(2*$A$22)*$A$23</f>
        <v>5842.7555084386204</v>
      </c>
      <c r="AO300" s="11">
        <f>G300</f>
        <v>40204</v>
      </c>
      <c r="AP300" s="7">
        <f>SUM(H300,H307)</f>
        <v>6.9399999999999995</v>
      </c>
      <c r="AQ300" s="7">
        <f>SUM(I300,I307)</f>
        <v>13.239999999999998</v>
      </c>
      <c r="AR300" s="7">
        <f>SUM(J300,J307)</f>
        <v>6.52</v>
      </c>
      <c r="AS300" s="7">
        <f>SUM(K300,K307)</f>
        <v>10.92</v>
      </c>
      <c r="AT300" s="9">
        <f>(AR300-2*$A$25)/AQ300</f>
        <v>0.33534743202416917</v>
      </c>
      <c r="AU300" s="9">
        <f>(AS300-2*$A$26)/AQ300</f>
        <v>0.56797583081571001</v>
      </c>
      <c r="AV300" s="9">
        <f>1-AT300-AU300</f>
        <v>9.6676737160120818E-2</v>
      </c>
      <c r="AW300" s="3">
        <f>AN300*AT300</f>
        <v>1959.3530556999601</v>
      </c>
      <c r="AX300" s="3">
        <f>AN300*AU300</f>
        <v>3318.5439141584916</v>
      </c>
      <c r="AY300" s="3">
        <f>AW300+AX300</f>
        <v>5277.8969698584515</v>
      </c>
    </row>
    <row r="301" spans="1:51" x14ac:dyDescent="0.25">
      <c r="A301">
        <v>268</v>
      </c>
      <c r="B301" s="1" t="s">
        <v>309</v>
      </c>
      <c r="C301" s="1" t="s">
        <v>682</v>
      </c>
      <c r="D301" s="2">
        <v>40828</v>
      </c>
      <c r="E301" s="3">
        <v>38.700000000000003</v>
      </c>
      <c r="F301" s="4">
        <f t="shared" si="28"/>
        <v>5634.5813216771503</v>
      </c>
      <c r="G301" s="2">
        <v>40204</v>
      </c>
      <c r="H301" s="7">
        <v>2.92</v>
      </c>
      <c r="I301" s="7">
        <f>H301+H306-2*$A$24</f>
        <v>5.68</v>
      </c>
      <c r="J301" s="7">
        <v>2.92</v>
      </c>
      <c r="K301" s="7">
        <v>4.96</v>
      </c>
      <c r="L301" s="6">
        <f t="shared" si="29"/>
        <v>0.33098591549295775</v>
      </c>
      <c r="M301" s="6">
        <f t="shared" si="30"/>
        <v>0.573943661971831</v>
      </c>
      <c r="N301" s="6">
        <f t="shared" si="31"/>
        <v>9.5070422535211252E-2</v>
      </c>
      <c r="O301" s="4">
        <f t="shared" si="32"/>
        <v>1864.9670571748316</v>
      </c>
      <c r="P301" s="4">
        <f t="shared" si="33"/>
        <v>3233.9322374414633</v>
      </c>
      <c r="Q301" s="4">
        <f t="shared" si="34"/>
        <v>5098.8992946162944</v>
      </c>
      <c r="V301" s="3"/>
      <c r="W301" s="3"/>
      <c r="Y301" s="7"/>
      <c r="Z301" s="7"/>
      <c r="AA301" s="7"/>
      <c r="AB301" s="7"/>
      <c r="AC301" s="9"/>
      <c r="AD301" s="9"/>
      <c r="AE301" s="9"/>
      <c r="AF301" s="3"/>
      <c r="AG301" s="3"/>
      <c r="AH301" s="3"/>
      <c r="AL301" s="11"/>
      <c r="AM301" s="3"/>
      <c r="AN301" s="3"/>
      <c r="AO301" s="11"/>
      <c r="AP301" s="7"/>
      <c r="AQ301" s="7"/>
      <c r="AR301" s="7"/>
      <c r="AS301" s="7"/>
      <c r="AT301" s="9"/>
      <c r="AU301" s="9"/>
      <c r="AV301" s="9"/>
      <c r="AW301" s="3"/>
      <c r="AX301" s="3"/>
      <c r="AY301" s="3"/>
    </row>
    <row r="302" spans="1:51" x14ac:dyDescent="0.25">
      <c r="A302">
        <v>269</v>
      </c>
      <c r="B302" s="1" t="s">
        <v>310</v>
      </c>
      <c r="C302" s="1" t="s">
        <v>682</v>
      </c>
      <c r="D302" s="2">
        <v>40828</v>
      </c>
      <c r="E302" s="3">
        <v>36.799999999999997</v>
      </c>
      <c r="F302" s="4">
        <f t="shared" si="28"/>
        <v>5341.5954291980424</v>
      </c>
      <c r="G302" s="2">
        <v>40204</v>
      </c>
      <c r="H302" s="7">
        <v>3.48</v>
      </c>
      <c r="I302" s="7">
        <f>H302+H305-2*$A$24</f>
        <v>6.4399999999999995</v>
      </c>
      <c r="J302" s="7">
        <v>3.16</v>
      </c>
      <c r="K302" s="7">
        <v>5.38</v>
      </c>
      <c r="L302" s="6">
        <f t="shared" si="29"/>
        <v>0.329192546583851</v>
      </c>
      <c r="M302" s="6">
        <f t="shared" si="30"/>
        <v>0.5714285714285714</v>
      </c>
      <c r="N302" s="6">
        <f t="shared" si="31"/>
        <v>9.9378881987577605E-2</v>
      </c>
      <c r="O302" s="4">
        <f t="shared" si="32"/>
        <v>1758.4134021583623</v>
      </c>
      <c r="P302" s="4">
        <f t="shared" si="33"/>
        <v>3052.340245256024</v>
      </c>
      <c r="Q302" s="4">
        <f t="shared" si="34"/>
        <v>4810.7536474143863</v>
      </c>
      <c r="V302" s="3"/>
      <c r="W302" s="3"/>
      <c r="Y302" s="7"/>
      <c r="Z302" s="7"/>
      <c r="AA302" s="7"/>
      <c r="AB302" s="7"/>
      <c r="AC302" s="9"/>
      <c r="AD302" s="9"/>
      <c r="AE302" s="9"/>
      <c r="AF302" s="3"/>
      <c r="AG302" s="3"/>
      <c r="AH302" s="3"/>
      <c r="AJ302" t="s">
        <v>855</v>
      </c>
      <c r="AK302" t="s">
        <v>682</v>
      </c>
      <c r="AL302" s="11">
        <f>D299</f>
        <v>40828</v>
      </c>
      <c r="AM302" s="3">
        <f>SUM(E299,E308)</f>
        <v>75.800000000000011</v>
      </c>
      <c r="AN302" s="3">
        <f>(AM302-4*$A$20)*$A$21/(2*$A$22)*$A$23</f>
        <v>5511.2188406333162</v>
      </c>
      <c r="AO302" s="11">
        <f>G299</f>
        <v>40204</v>
      </c>
      <c r="AP302" s="7">
        <f>SUM(H299,H308)</f>
        <v>7.1400000000000006</v>
      </c>
      <c r="AQ302" s="7">
        <f>SUM(I299,I308)</f>
        <v>13.64</v>
      </c>
      <c r="AR302" s="7">
        <f>SUM(J299,J308)</f>
        <v>6.6</v>
      </c>
      <c r="AS302" s="7">
        <f>SUM(K299,K308)</f>
        <v>11.24</v>
      </c>
      <c r="AT302" s="9">
        <f>(AR302-2*$A$25)/AQ302</f>
        <v>0.33137829912023453</v>
      </c>
      <c r="AU302" s="9">
        <f>(AS302-2*$A$26)/AQ302</f>
        <v>0.57478005865102633</v>
      </c>
      <c r="AV302" s="9">
        <f>1-AT302-AU302</f>
        <v>9.3841642228739142E-2</v>
      </c>
      <c r="AW302" s="3">
        <f>AN302*AT302</f>
        <v>1826.2983254884591</v>
      </c>
      <c r="AX302" s="3">
        <f>AN302*AU302</f>
        <v>3167.7386884578586</v>
      </c>
      <c r="AY302" s="3">
        <f>AW302+AX302</f>
        <v>4994.0370139463175</v>
      </c>
    </row>
    <row r="303" spans="1:51" x14ac:dyDescent="0.25">
      <c r="A303">
        <v>270</v>
      </c>
      <c r="B303" s="1" t="s">
        <v>311</v>
      </c>
      <c r="C303" s="1" t="s">
        <v>682</v>
      </c>
      <c r="D303" s="2">
        <v>40828</v>
      </c>
      <c r="E303" s="3">
        <v>35.099999999999994</v>
      </c>
      <c r="F303" s="4">
        <f t="shared" si="28"/>
        <v>5079.4501569798931</v>
      </c>
      <c r="G303" s="2">
        <v>40204</v>
      </c>
      <c r="H303" s="7">
        <v>3.56</v>
      </c>
      <c r="I303" s="7">
        <f>H303+H304-2*$A$24</f>
        <v>6.76</v>
      </c>
      <c r="J303" s="7">
        <v>3.16</v>
      </c>
      <c r="K303" s="7">
        <v>5.56</v>
      </c>
      <c r="L303" s="6">
        <f t="shared" si="29"/>
        <v>0.31360946745562135</v>
      </c>
      <c r="M303" s="6">
        <f t="shared" si="30"/>
        <v>0.57100591715976323</v>
      </c>
      <c r="N303" s="6">
        <f t="shared" si="31"/>
        <v>0.11538461538461542</v>
      </c>
      <c r="O303" s="4">
        <f t="shared" si="32"/>
        <v>1592.9636586978365</v>
      </c>
      <c r="P303" s="4">
        <f t="shared" si="33"/>
        <v>2900.3960955536072</v>
      </c>
      <c r="Q303" s="4">
        <f t="shared" si="34"/>
        <v>4493.3597542514435</v>
      </c>
      <c r="V303" s="3"/>
      <c r="W303" s="3"/>
      <c r="Y303" s="7"/>
      <c r="Z303" s="7"/>
      <c r="AA303" s="7"/>
      <c r="AB303" s="7"/>
      <c r="AC303" s="9"/>
      <c r="AD303" s="9"/>
      <c r="AE303" s="9"/>
      <c r="AF303" s="3"/>
      <c r="AG303" s="3"/>
      <c r="AH303" s="3"/>
      <c r="AL303" s="11"/>
      <c r="AM303" s="3"/>
      <c r="AN303" s="3"/>
      <c r="AO303" s="11"/>
      <c r="AP303" s="7"/>
      <c r="AQ303" s="7"/>
      <c r="AR303" s="7"/>
      <c r="AS303" s="7"/>
      <c r="AT303" s="9"/>
      <c r="AU303" s="9"/>
      <c r="AV303" s="9"/>
      <c r="AW303" s="3"/>
      <c r="AX303" s="3"/>
      <c r="AY303" s="3"/>
    </row>
    <row r="304" spans="1:51" x14ac:dyDescent="0.25">
      <c r="A304">
        <v>271</v>
      </c>
      <c r="B304" s="1" t="s">
        <v>312</v>
      </c>
      <c r="C304" s="1" t="s">
        <v>682</v>
      </c>
      <c r="D304" s="2">
        <v>40828</v>
      </c>
      <c r="E304" s="3">
        <v>33</v>
      </c>
      <c r="F304" s="4">
        <f t="shared" si="28"/>
        <v>4755.6236442398267</v>
      </c>
      <c r="G304" s="2">
        <v>40204</v>
      </c>
      <c r="H304" s="7">
        <v>3.52</v>
      </c>
      <c r="I304" s="7">
        <f>H304+H303-2*$A$24</f>
        <v>6.76</v>
      </c>
      <c r="J304" s="7">
        <v>3.16</v>
      </c>
      <c r="K304" s="7">
        <v>5.56</v>
      </c>
      <c r="L304" s="6">
        <f t="shared" si="29"/>
        <v>0.31360946745562135</v>
      </c>
      <c r="M304" s="6">
        <f t="shared" si="30"/>
        <v>0.57100591715976323</v>
      </c>
      <c r="N304" s="6">
        <f t="shared" si="31"/>
        <v>0.11538461538461542</v>
      </c>
      <c r="O304" s="4">
        <f t="shared" si="32"/>
        <v>1491.4085984894134</v>
      </c>
      <c r="P304" s="4">
        <f t="shared" si="33"/>
        <v>2715.489240645818</v>
      </c>
      <c r="Q304" s="4">
        <f t="shared" si="34"/>
        <v>4206.8978391352312</v>
      </c>
      <c r="V304" s="3"/>
      <c r="W304" s="3"/>
      <c r="Y304" s="7"/>
      <c r="Z304" s="7"/>
      <c r="AA304" s="7"/>
      <c r="AB304" s="7"/>
      <c r="AC304" s="9"/>
      <c r="AD304" s="9"/>
      <c r="AE304" s="9"/>
      <c r="AF304" s="3"/>
      <c r="AG304" s="3"/>
      <c r="AH304" s="3"/>
      <c r="AJ304" t="s">
        <v>856</v>
      </c>
      <c r="AK304" t="s">
        <v>682</v>
      </c>
      <c r="AL304" s="11">
        <f>D298</f>
        <v>40828</v>
      </c>
      <c r="AM304" s="3">
        <f>SUM(E298,E309)</f>
        <v>68.099999999999994</v>
      </c>
      <c r="AN304" s="3">
        <f>(AM304-4*$A$20)*$A$21/(2*$A$22)*$A$23</f>
        <v>4917.5369006098599</v>
      </c>
      <c r="AO304" s="11">
        <f>G298</f>
        <v>40204</v>
      </c>
      <c r="AP304" s="7">
        <f>SUM(H298,H309)</f>
        <v>6.68</v>
      </c>
      <c r="AQ304" s="7">
        <f>SUM(I298,I309)</f>
        <v>12.719999999999999</v>
      </c>
      <c r="AR304" s="7">
        <f>SUM(J298,J309)</f>
        <v>6.16</v>
      </c>
      <c r="AS304" s="7">
        <f>SUM(K298,K309)</f>
        <v>10.6</v>
      </c>
      <c r="AT304" s="9">
        <f>(AR304-2*$A$25)/AQ304</f>
        <v>0.32075471698113212</v>
      </c>
      <c r="AU304" s="9">
        <f>(AS304-2*$A$26)/AQ304</f>
        <v>0.56603773584905659</v>
      </c>
      <c r="AV304" s="9">
        <f>1-AT304-AU304</f>
        <v>0.1132075471698113</v>
      </c>
      <c r="AW304" s="3">
        <f>AN304*AT304</f>
        <v>1577.3231567993892</v>
      </c>
      <c r="AX304" s="3">
        <f>AN304*AU304</f>
        <v>2783.5114531753925</v>
      </c>
      <c r="AY304" s="3">
        <f>AW304+AX304</f>
        <v>4360.8346099747814</v>
      </c>
    </row>
    <row r="305" spans="1:51" x14ac:dyDescent="0.25">
      <c r="A305">
        <v>272</v>
      </c>
      <c r="B305" s="1" t="s">
        <v>313</v>
      </c>
      <c r="C305" s="1" t="s">
        <v>682</v>
      </c>
      <c r="D305" s="2">
        <v>40828</v>
      </c>
      <c r="E305" s="3">
        <v>36.5</v>
      </c>
      <c r="F305" s="4">
        <f t="shared" si="28"/>
        <v>5295.3344988066046</v>
      </c>
      <c r="G305" s="2">
        <v>40204</v>
      </c>
      <c r="H305" s="7">
        <v>3.28</v>
      </c>
      <c r="I305" s="7">
        <f>H305+H302-2*$A$24</f>
        <v>6.4399999999999995</v>
      </c>
      <c r="J305" s="7">
        <v>3.16</v>
      </c>
      <c r="K305" s="7">
        <v>5.38</v>
      </c>
      <c r="L305" s="6">
        <f t="shared" si="29"/>
        <v>0.329192546583851</v>
      </c>
      <c r="M305" s="6">
        <f t="shared" si="30"/>
        <v>0.5714285714285714</v>
      </c>
      <c r="N305" s="6">
        <f t="shared" si="31"/>
        <v>9.9378881987577605E-2</v>
      </c>
      <c r="O305" s="4">
        <f t="shared" si="32"/>
        <v>1743.1846486754664</v>
      </c>
      <c r="P305" s="4">
        <f t="shared" si="33"/>
        <v>3025.9054278894882</v>
      </c>
      <c r="Q305" s="4">
        <f t="shared" si="34"/>
        <v>4769.0900765649549</v>
      </c>
      <c r="V305" s="3"/>
      <c r="W305" s="3"/>
      <c r="Y305" s="7"/>
      <c r="Z305" s="7"/>
      <c r="AA305" s="7"/>
      <c r="AB305" s="7"/>
      <c r="AC305" s="9"/>
      <c r="AD305" s="9"/>
      <c r="AE305" s="9"/>
      <c r="AF305" s="3"/>
      <c r="AG305" s="3"/>
      <c r="AH305" s="3"/>
      <c r="AL305" s="11"/>
      <c r="AM305" s="3"/>
      <c r="AN305" s="3"/>
      <c r="AO305" s="11"/>
      <c r="AP305" s="7"/>
      <c r="AQ305" s="7"/>
      <c r="AR305" s="7"/>
      <c r="AS305" s="7"/>
      <c r="AT305" s="9"/>
      <c r="AU305" s="9"/>
      <c r="AV305" s="9"/>
      <c r="AW305" s="3"/>
      <c r="AX305" s="3"/>
      <c r="AY305" s="3"/>
    </row>
    <row r="306" spans="1:51" x14ac:dyDescent="0.25">
      <c r="A306">
        <v>273</v>
      </c>
      <c r="B306" s="1" t="s">
        <v>314</v>
      </c>
      <c r="C306" s="1" t="s">
        <v>682</v>
      </c>
      <c r="D306" s="2">
        <v>40828</v>
      </c>
      <c r="E306" s="3">
        <v>39.5</v>
      </c>
      <c r="F306" s="4">
        <f t="shared" si="28"/>
        <v>5757.9438027209835</v>
      </c>
      <c r="G306" s="2">
        <v>40204</v>
      </c>
      <c r="H306" s="7">
        <v>3.08</v>
      </c>
      <c r="I306" s="7">
        <f>H306+H301-2*$A$24</f>
        <v>5.68</v>
      </c>
      <c r="J306" s="7">
        <v>2.92</v>
      </c>
      <c r="K306" s="7">
        <v>4.96</v>
      </c>
      <c r="L306" s="6">
        <f t="shared" si="29"/>
        <v>0.33098591549295775</v>
      </c>
      <c r="M306" s="6">
        <f t="shared" si="30"/>
        <v>0.573943661971831</v>
      </c>
      <c r="N306" s="6">
        <f t="shared" si="31"/>
        <v>9.5070422535211252E-2</v>
      </c>
      <c r="O306" s="4">
        <f t="shared" si="32"/>
        <v>1905.7983009006073</v>
      </c>
      <c r="P306" s="4">
        <f t="shared" si="33"/>
        <v>3304.7353515616915</v>
      </c>
      <c r="Q306" s="4">
        <f t="shared" si="34"/>
        <v>5210.533652462299</v>
      </c>
      <c r="V306" s="3"/>
      <c r="W306" s="3"/>
      <c r="Y306" s="7"/>
      <c r="Z306" s="7"/>
      <c r="AA306" s="7"/>
      <c r="AB306" s="7"/>
      <c r="AC306" s="9"/>
      <c r="AD306" s="9"/>
      <c r="AE306" s="9"/>
      <c r="AF306" s="3"/>
      <c r="AG306" s="3"/>
      <c r="AH306" s="3"/>
      <c r="AJ306" t="s">
        <v>857</v>
      </c>
      <c r="AK306" t="s">
        <v>682</v>
      </c>
      <c r="AL306" s="11">
        <f>D297</f>
        <v>40828</v>
      </c>
      <c r="AM306" s="3">
        <f>SUM(E297,E310)</f>
        <v>64.2</v>
      </c>
      <c r="AN306" s="3">
        <f>(AM306-4*$A$20)*$A$21/(2*$A$22)*$A$23</f>
        <v>4616.8408530655133</v>
      </c>
      <c r="AO306" s="11">
        <f>G297</f>
        <v>40204</v>
      </c>
      <c r="AP306" s="7">
        <f>SUM(H297,H310)</f>
        <v>6.46</v>
      </c>
      <c r="AQ306" s="7">
        <f>SUM(I297,I310)</f>
        <v>12.28</v>
      </c>
      <c r="AR306" s="7">
        <f>SUM(J297,J310)</f>
        <v>6.04</v>
      </c>
      <c r="AS306" s="7">
        <f>SUM(K297,K310)</f>
        <v>10.4</v>
      </c>
      <c r="AT306" s="9">
        <f>(AR306-2*$A$25)/AQ306</f>
        <v>0.32247557003257332</v>
      </c>
      <c r="AU306" s="9">
        <f>(AS306-2*$A$26)/AQ306</f>
        <v>0.57003257328990231</v>
      </c>
      <c r="AV306" s="9">
        <f>1-AT306-AU306</f>
        <v>0.10749185667752437</v>
      </c>
      <c r="AW306" s="3">
        <f>AN306*AT306</f>
        <v>1488.8183858419734</v>
      </c>
      <c r="AX306" s="3">
        <f>AN306*AU306</f>
        <v>2631.7496719428823</v>
      </c>
      <c r="AY306" s="3">
        <f>AW306+AX306</f>
        <v>4120.5680577848561</v>
      </c>
    </row>
    <row r="307" spans="1:51" x14ac:dyDescent="0.25">
      <c r="A307">
        <v>274</v>
      </c>
      <c r="B307" s="1" t="s">
        <v>315</v>
      </c>
      <c r="C307" s="1" t="s">
        <v>682</v>
      </c>
      <c r="D307" s="2">
        <v>40828</v>
      </c>
      <c r="E307" s="3">
        <v>40.6</v>
      </c>
      <c r="F307" s="4">
        <f t="shared" si="28"/>
        <v>5927.5672141562573</v>
      </c>
      <c r="G307" s="2">
        <v>40204</v>
      </c>
      <c r="H307" s="7">
        <v>3.06</v>
      </c>
      <c r="I307" s="7">
        <f>H307+H300-2*$A$24</f>
        <v>6.6199999999999992</v>
      </c>
      <c r="J307" s="7">
        <v>3.26</v>
      </c>
      <c r="K307" s="7">
        <v>5.46</v>
      </c>
      <c r="L307" s="6">
        <f t="shared" si="29"/>
        <v>0.33534743202416917</v>
      </c>
      <c r="M307" s="6">
        <f t="shared" si="30"/>
        <v>0.56797583081571001</v>
      </c>
      <c r="N307" s="6">
        <f t="shared" si="31"/>
        <v>9.6676737160120818E-2</v>
      </c>
      <c r="O307" s="4">
        <f t="shared" si="32"/>
        <v>1987.7944434179592</v>
      </c>
      <c r="P307" s="4">
        <f t="shared" si="33"/>
        <v>3366.714913176364</v>
      </c>
      <c r="Q307" s="4">
        <f t="shared" si="34"/>
        <v>5354.5093565943234</v>
      </c>
      <c r="V307" s="3"/>
      <c r="W307" s="3"/>
      <c r="Y307" s="7"/>
      <c r="Z307" s="7"/>
      <c r="AA307" s="7"/>
      <c r="AB307" s="7"/>
      <c r="AC307" s="9"/>
      <c r="AD307" s="9"/>
      <c r="AE307" s="9"/>
      <c r="AF307" s="3"/>
      <c r="AG307" s="3"/>
      <c r="AH307" s="3"/>
      <c r="AL307" s="11"/>
      <c r="AM307" s="3"/>
      <c r="AN307" s="3"/>
      <c r="AO307" s="11"/>
      <c r="AP307" s="7"/>
      <c r="AQ307" s="7"/>
      <c r="AR307" s="7"/>
      <c r="AS307" s="7"/>
      <c r="AT307" s="9"/>
      <c r="AU307" s="9"/>
      <c r="AV307" s="9"/>
      <c r="AW307" s="3"/>
      <c r="AX307" s="3"/>
      <c r="AY307" s="3"/>
    </row>
    <row r="308" spans="1:51" x14ac:dyDescent="0.25">
      <c r="A308">
        <v>275</v>
      </c>
      <c r="B308" s="1" t="s">
        <v>316</v>
      </c>
      <c r="C308" s="1" t="s">
        <v>682</v>
      </c>
      <c r="D308" s="2">
        <v>40828</v>
      </c>
      <c r="E308" s="3">
        <v>37.200000000000003</v>
      </c>
      <c r="F308" s="4">
        <f t="shared" si="28"/>
        <v>5403.2766697199604</v>
      </c>
      <c r="G308" s="2">
        <v>40204</v>
      </c>
      <c r="H308" s="7">
        <v>3.98</v>
      </c>
      <c r="I308" s="7">
        <f>H308+H299-2*$A$24</f>
        <v>6.82</v>
      </c>
      <c r="J308" s="7">
        <v>3.3</v>
      </c>
      <c r="K308" s="7">
        <v>5.62</v>
      </c>
      <c r="L308" s="6">
        <f t="shared" si="29"/>
        <v>0.33137829912023453</v>
      </c>
      <c r="M308" s="6">
        <f t="shared" si="30"/>
        <v>0.57478005865102633</v>
      </c>
      <c r="N308" s="6">
        <f t="shared" si="31"/>
        <v>9.3841642228739142E-2</v>
      </c>
      <c r="O308" s="4">
        <f t="shared" si="32"/>
        <v>1790.5286324878457</v>
      </c>
      <c r="P308" s="4">
        <f t="shared" si="33"/>
        <v>3105.6956811293612</v>
      </c>
      <c r="Q308" s="4">
        <f t="shared" si="34"/>
        <v>4896.2243136172074</v>
      </c>
      <c r="V308" s="3"/>
      <c r="W308" s="3"/>
      <c r="Y308" s="7"/>
      <c r="Z308" s="7"/>
      <c r="AA308" s="7"/>
      <c r="AB308" s="7"/>
      <c r="AC308" s="9"/>
      <c r="AD308" s="9"/>
      <c r="AE308" s="9"/>
      <c r="AF308" s="3"/>
      <c r="AG308" s="3"/>
      <c r="AH308" s="3"/>
      <c r="AJ308" t="s">
        <v>858</v>
      </c>
      <c r="AK308" t="s">
        <v>682</v>
      </c>
      <c r="AL308" s="11">
        <f>D296</f>
        <v>40828</v>
      </c>
      <c r="AM308" s="3">
        <f>SUM(E296,E311)</f>
        <v>72.599999999999994</v>
      </c>
      <c r="AN308" s="3">
        <f>(AM308-4*$A$20)*$A$21/(2*$A$22)*$A$23</f>
        <v>5264.4938785456452</v>
      </c>
      <c r="AO308" s="11">
        <f>G296</f>
        <v>40204</v>
      </c>
      <c r="AP308" s="7">
        <f>SUM(H296,H311)</f>
        <v>7</v>
      </c>
      <c r="AQ308" s="7">
        <f>SUM(I296,I311)</f>
        <v>13.36</v>
      </c>
      <c r="AR308" s="7">
        <f>SUM(J296,J311)</f>
        <v>6.28</v>
      </c>
      <c r="AS308" s="7">
        <f>SUM(K296,K311)</f>
        <v>10.68</v>
      </c>
      <c r="AT308" s="9">
        <f>(AR308-2*$A$25)/AQ308</f>
        <v>0.31437125748502998</v>
      </c>
      <c r="AU308" s="9">
        <f>(AS308-2*$A$26)/AQ308</f>
        <v>0.54491017964071853</v>
      </c>
      <c r="AV308" s="9">
        <f>1-AT308-AU308</f>
        <v>0.14071856287425155</v>
      </c>
      <c r="AW308" s="3">
        <f>AN308*AT308</f>
        <v>1655.0055606206372</v>
      </c>
      <c r="AX308" s="3">
        <f>AN308*AU308</f>
        <v>2868.6763050757704</v>
      </c>
      <c r="AY308" s="3">
        <f>AW308+AX308</f>
        <v>4523.6818656964078</v>
      </c>
    </row>
    <row r="309" spans="1:51" x14ac:dyDescent="0.25">
      <c r="A309">
        <v>276</v>
      </c>
      <c r="B309" s="1" t="s">
        <v>317</v>
      </c>
      <c r="C309" s="1" t="s">
        <v>682</v>
      </c>
      <c r="D309" s="2">
        <v>40828</v>
      </c>
      <c r="E309" s="3">
        <v>33.700000000000003</v>
      </c>
      <c r="F309" s="4">
        <f t="shared" si="28"/>
        <v>4863.5658151531834</v>
      </c>
      <c r="G309" s="2">
        <v>40204</v>
      </c>
      <c r="H309" s="7">
        <v>3.66</v>
      </c>
      <c r="I309" s="7">
        <f>H309+H298-2*$A$24</f>
        <v>6.3599999999999994</v>
      </c>
      <c r="J309" s="7">
        <v>3.08</v>
      </c>
      <c r="K309" s="7">
        <v>5.3</v>
      </c>
      <c r="L309" s="6">
        <f t="shared" si="29"/>
        <v>0.32075471698113212</v>
      </c>
      <c r="M309" s="6">
        <f t="shared" si="30"/>
        <v>0.56603773584905659</v>
      </c>
      <c r="N309" s="6">
        <f t="shared" si="31"/>
        <v>0.1132075471698113</v>
      </c>
      <c r="O309" s="4">
        <f t="shared" si="32"/>
        <v>1560.0116765585685</v>
      </c>
      <c r="P309" s="4">
        <f t="shared" si="33"/>
        <v>2752.9617821621791</v>
      </c>
      <c r="Q309" s="4">
        <f t="shared" si="34"/>
        <v>4312.9734587207477</v>
      </c>
      <c r="V309" s="3"/>
      <c r="W309" s="3"/>
      <c r="Y309" s="7"/>
      <c r="Z309" s="7"/>
      <c r="AA309" s="7"/>
      <c r="AB309" s="7"/>
      <c r="AC309" s="9"/>
      <c r="AD309" s="9"/>
      <c r="AE309" s="9"/>
      <c r="AF309" s="3"/>
      <c r="AG309" s="3"/>
      <c r="AH309" s="3"/>
      <c r="AL309" s="11"/>
      <c r="AM309" s="3"/>
      <c r="AN309" s="3"/>
      <c r="AO309" s="11"/>
      <c r="AP309" s="7"/>
      <c r="AQ309" s="7"/>
      <c r="AR309" s="7"/>
      <c r="AS309" s="7"/>
      <c r="AT309" s="9"/>
      <c r="AU309" s="9"/>
      <c r="AV309" s="9"/>
      <c r="AW309" s="3"/>
      <c r="AX309" s="3"/>
      <c r="AY309" s="3"/>
    </row>
    <row r="310" spans="1:51" x14ac:dyDescent="0.25">
      <c r="A310">
        <v>277</v>
      </c>
      <c r="B310" s="1" t="s">
        <v>318</v>
      </c>
      <c r="C310" s="1" t="s">
        <v>682</v>
      </c>
      <c r="D310" s="2">
        <v>40828</v>
      </c>
      <c r="E310" s="3">
        <v>32.4</v>
      </c>
      <c r="F310" s="4">
        <f t="shared" si="28"/>
        <v>4663.1017834569511</v>
      </c>
      <c r="G310" s="2">
        <v>40204</v>
      </c>
      <c r="H310" s="7">
        <v>3.66</v>
      </c>
      <c r="I310" s="7">
        <f>H310+H297-2*$A$24</f>
        <v>6.14</v>
      </c>
      <c r="J310" s="7">
        <v>3.02</v>
      </c>
      <c r="K310" s="7">
        <v>5.2</v>
      </c>
      <c r="L310" s="6">
        <f t="shared" si="29"/>
        <v>0.32247557003257332</v>
      </c>
      <c r="M310" s="6">
        <f t="shared" si="30"/>
        <v>0.57003257328990231</v>
      </c>
      <c r="N310" s="6">
        <f t="shared" si="31"/>
        <v>0.10749185667752437</v>
      </c>
      <c r="O310" s="4">
        <f t="shared" si="32"/>
        <v>1503.7364057401896</v>
      </c>
      <c r="P310" s="4">
        <f t="shared" si="33"/>
        <v>2658.1199091366989</v>
      </c>
      <c r="Q310" s="4">
        <f t="shared" si="34"/>
        <v>4161.8563148768881</v>
      </c>
      <c r="V310" s="3"/>
      <c r="W310" s="3"/>
      <c r="Y310" s="7"/>
      <c r="Z310" s="7"/>
      <c r="AA310" s="7"/>
      <c r="AB310" s="7"/>
      <c r="AC310" s="9"/>
      <c r="AD310" s="9"/>
      <c r="AE310" s="9"/>
      <c r="AF310" s="3"/>
      <c r="AG310" s="3"/>
      <c r="AH310" s="3"/>
      <c r="AJ310" t="s">
        <v>859</v>
      </c>
      <c r="AK310" t="s">
        <v>682</v>
      </c>
      <c r="AL310" s="11">
        <f>D295</f>
        <v>40828</v>
      </c>
      <c r="AM310" s="3">
        <f>SUM(E295,E312)</f>
        <v>73.900000000000006</v>
      </c>
      <c r="AN310" s="3">
        <f>(AM310-4*$A$20)*$A$21/(2*$A$22)*$A$23</f>
        <v>5364.7258943937613</v>
      </c>
      <c r="AO310" s="11">
        <f>G295</f>
        <v>40204</v>
      </c>
      <c r="AP310" s="7">
        <f>SUM(H295,H312)</f>
        <v>6.04</v>
      </c>
      <c r="AQ310" s="7">
        <f>SUM(I295,I312)</f>
        <v>11.44</v>
      </c>
      <c r="AR310" s="7">
        <f>SUM(J295,J312)</f>
        <v>5.84</v>
      </c>
      <c r="AS310" s="7">
        <f>SUM(K295,K312)</f>
        <v>10.08</v>
      </c>
      <c r="AT310" s="9">
        <f>(AR310-2*$A$25)/AQ310</f>
        <v>0.32867132867132864</v>
      </c>
      <c r="AU310" s="9">
        <f>(AS310-2*$A$26)/AQ310</f>
        <v>0.58391608391608396</v>
      </c>
      <c r="AV310" s="9">
        <f>1-AT310-AU310</f>
        <v>8.7412587412587395E-2</v>
      </c>
      <c r="AW310" s="3">
        <f>AN310*AT310</f>
        <v>1763.2315876678795</v>
      </c>
      <c r="AX310" s="3">
        <f>AN310*AU310</f>
        <v>3132.549735537616</v>
      </c>
      <c r="AY310" s="3">
        <f>AW310+AX310</f>
        <v>4895.7813232054959</v>
      </c>
    </row>
    <row r="311" spans="1:51" x14ac:dyDescent="0.25">
      <c r="A311">
        <v>278</v>
      </c>
      <c r="B311" s="1" t="s">
        <v>319</v>
      </c>
      <c r="C311" s="1" t="s">
        <v>682</v>
      </c>
      <c r="D311" s="2">
        <v>40828</v>
      </c>
      <c r="E311" s="3">
        <v>36.5</v>
      </c>
      <c r="F311" s="4">
        <f t="shared" si="28"/>
        <v>5295.3344988066046</v>
      </c>
      <c r="G311" s="2">
        <v>40204</v>
      </c>
      <c r="H311" s="7">
        <v>3.44</v>
      </c>
      <c r="I311" s="7">
        <f>H311+H296-2*$A$24</f>
        <v>6.68</v>
      </c>
      <c r="J311" s="7">
        <v>3.14</v>
      </c>
      <c r="K311" s="7">
        <v>5.34</v>
      </c>
      <c r="L311" s="6">
        <f t="shared" si="29"/>
        <v>0.31437125748502998</v>
      </c>
      <c r="M311" s="6">
        <f t="shared" si="30"/>
        <v>0.54491017964071853</v>
      </c>
      <c r="N311" s="6">
        <f t="shared" si="31"/>
        <v>0.14071856287425155</v>
      </c>
      <c r="O311" s="4">
        <f t="shared" si="32"/>
        <v>1664.7009651936933</v>
      </c>
      <c r="P311" s="4">
        <f t="shared" si="33"/>
        <v>2885.4816730024013</v>
      </c>
      <c r="Q311" s="4">
        <f t="shared" si="34"/>
        <v>4550.1826381960946</v>
      </c>
      <c r="V311" s="3"/>
      <c r="W311" s="3"/>
      <c r="Y311" s="7"/>
      <c r="Z311" s="7"/>
      <c r="AA311" s="7"/>
      <c r="AB311" s="7"/>
      <c r="AC311" s="9"/>
      <c r="AD311" s="9"/>
      <c r="AE311" s="9"/>
      <c r="AF311" s="3"/>
      <c r="AG311" s="3"/>
      <c r="AH311" s="3"/>
      <c r="AL311" s="11"/>
      <c r="AM311" s="3"/>
      <c r="AN311" s="3"/>
      <c r="AO311" s="11"/>
      <c r="AP311" s="7"/>
      <c r="AQ311" s="7"/>
      <c r="AR311" s="7"/>
      <c r="AS311" s="7"/>
      <c r="AT311" s="9"/>
      <c r="AU311" s="9"/>
      <c r="AV311" s="9"/>
      <c r="AW311" s="3"/>
      <c r="AX311" s="3"/>
      <c r="AY311" s="3"/>
    </row>
    <row r="312" spans="1:51" x14ac:dyDescent="0.25">
      <c r="A312">
        <v>279</v>
      </c>
      <c r="B312" s="1" t="s">
        <v>320</v>
      </c>
      <c r="C312" s="1" t="s">
        <v>682</v>
      </c>
      <c r="D312" s="2">
        <v>40828</v>
      </c>
      <c r="E312" s="3">
        <v>36.700000000000003</v>
      </c>
      <c r="F312" s="4">
        <f t="shared" si="28"/>
        <v>5326.1751190675632</v>
      </c>
      <c r="G312" s="2">
        <v>40204</v>
      </c>
      <c r="H312" s="7">
        <v>2.52</v>
      </c>
      <c r="I312" s="7">
        <f>H312+H295-2*$A$24</f>
        <v>5.72</v>
      </c>
      <c r="J312" s="7">
        <v>2.92</v>
      </c>
      <c r="K312" s="7">
        <v>5.04</v>
      </c>
      <c r="L312" s="6">
        <f t="shared" si="29"/>
        <v>0.32867132867132864</v>
      </c>
      <c r="M312" s="6">
        <f t="shared" si="30"/>
        <v>0.58391608391608396</v>
      </c>
      <c r="N312" s="6">
        <f t="shared" si="31"/>
        <v>8.7412587412587395E-2</v>
      </c>
      <c r="O312" s="4">
        <f t="shared" si="32"/>
        <v>1750.561053120108</v>
      </c>
      <c r="P312" s="4">
        <f t="shared" si="33"/>
        <v>3110.0393177772139</v>
      </c>
      <c r="Q312" s="4">
        <f t="shared" si="34"/>
        <v>4860.6003708973221</v>
      </c>
      <c r="V312" s="3"/>
      <c r="W312" s="3"/>
      <c r="Y312" s="7"/>
      <c r="Z312" s="7"/>
      <c r="AA312" s="7"/>
      <c r="AB312" s="7"/>
      <c r="AC312" s="9"/>
      <c r="AD312" s="9"/>
      <c r="AE312" s="9"/>
      <c r="AF312" s="3"/>
      <c r="AG312" s="3"/>
      <c r="AH312" s="3"/>
      <c r="AJ312" t="s">
        <v>860</v>
      </c>
      <c r="AK312" t="s">
        <v>682</v>
      </c>
      <c r="AL312" s="11">
        <f>D294</f>
        <v>40828</v>
      </c>
      <c r="AM312" s="3">
        <f>SUM(E294,E313)</f>
        <v>65.3</v>
      </c>
      <c r="AN312" s="3">
        <f>(AM312-4*$A$20)*$A$21/(2*$A$22)*$A$23</f>
        <v>4701.6525587831493</v>
      </c>
      <c r="AO312" s="11">
        <f>G294</f>
        <v>40204</v>
      </c>
      <c r="AP312" s="7">
        <f>SUM(H294,H313)</f>
        <v>6.4399999999999995</v>
      </c>
      <c r="AQ312" s="7">
        <f>SUM(I294,I313)</f>
        <v>12.239999999999998</v>
      </c>
      <c r="AR312" s="7">
        <f>SUM(J294,J313)</f>
        <v>6.12</v>
      </c>
      <c r="AS312" s="7">
        <f>SUM(K294,K313)</f>
        <v>10.36</v>
      </c>
      <c r="AT312" s="9">
        <f>(AR312-2*$A$25)/AQ312</f>
        <v>0.33006535947712423</v>
      </c>
      <c r="AU312" s="9">
        <f>(AS312-2*$A$26)/AQ312</f>
        <v>0.56862745098039214</v>
      </c>
      <c r="AV312" s="9">
        <f>1-AT312-AU312</f>
        <v>0.10130718954248363</v>
      </c>
      <c r="AW312" s="3">
        <f>AN312*AT312</f>
        <v>1551.8526419513012</v>
      </c>
      <c r="AX312" s="3">
        <f>AN312*AU312</f>
        <v>2673.4887098963004</v>
      </c>
      <c r="AY312" s="3">
        <f>AW312+AX312</f>
        <v>4225.3413518476018</v>
      </c>
    </row>
    <row r="313" spans="1:51" x14ac:dyDescent="0.25">
      <c r="A313">
        <v>280</v>
      </c>
      <c r="B313" s="1" t="s">
        <v>321</v>
      </c>
      <c r="C313" s="1" t="s">
        <v>682</v>
      </c>
      <c r="D313" s="2">
        <v>40828</v>
      </c>
      <c r="E313" s="3">
        <v>32.599999999999994</v>
      </c>
      <c r="F313" s="4">
        <f t="shared" si="28"/>
        <v>4693.9424037179087</v>
      </c>
      <c r="G313" s="2">
        <v>40204</v>
      </c>
      <c r="H313" s="7">
        <v>3.6</v>
      </c>
      <c r="I313" s="7">
        <f>H313+H294-2*$A$24</f>
        <v>6.1199999999999992</v>
      </c>
      <c r="J313" s="7">
        <v>3.06</v>
      </c>
      <c r="K313" s="7">
        <v>5.18</v>
      </c>
      <c r="L313" s="6">
        <f t="shared" si="29"/>
        <v>0.33006535947712423</v>
      </c>
      <c r="M313" s="6">
        <f t="shared" si="30"/>
        <v>0.56862745098039214</v>
      </c>
      <c r="N313" s="6">
        <f t="shared" si="31"/>
        <v>0.10130718954248363</v>
      </c>
      <c r="O313" s="4">
        <f t="shared" si="32"/>
        <v>1549.3077868480682</v>
      </c>
      <c r="P313" s="4">
        <f t="shared" si="33"/>
        <v>2669.1045040748891</v>
      </c>
      <c r="Q313" s="4">
        <f t="shared" si="34"/>
        <v>4218.4122909229573</v>
      </c>
      <c r="V313" s="3"/>
      <c r="W313" s="3"/>
      <c r="Y313" s="7"/>
      <c r="Z313" s="7"/>
      <c r="AA313" s="7"/>
      <c r="AB313" s="7"/>
      <c r="AC313" s="9"/>
      <c r="AD313" s="9"/>
      <c r="AE313" s="9"/>
      <c r="AF313" s="3"/>
      <c r="AG313" s="3"/>
      <c r="AH313" s="3"/>
    </row>
    <row r="314" spans="1:51" x14ac:dyDescent="0.25">
      <c r="A314">
        <v>281</v>
      </c>
      <c r="B314" s="1" t="s">
        <v>322</v>
      </c>
      <c r="C314" s="1" t="s">
        <v>682</v>
      </c>
      <c r="D314" s="2">
        <v>40828</v>
      </c>
      <c r="E314" s="3">
        <v>28.1</v>
      </c>
      <c r="F314" s="4">
        <f t="shared" si="28"/>
        <v>4000.02844784634</v>
      </c>
      <c r="G314" s="2">
        <v>40204</v>
      </c>
      <c r="H314" s="7">
        <v>3.04</v>
      </c>
      <c r="I314" s="7">
        <f>H314+H333-2*$A$24</f>
        <v>5.5399999999999991</v>
      </c>
      <c r="J314" s="7">
        <v>2.96</v>
      </c>
      <c r="K314" s="7">
        <v>4.8600000000000003</v>
      </c>
      <c r="L314" s="6">
        <f t="shared" si="29"/>
        <v>0.3465703971119134</v>
      </c>
      <c r="M314" s="6">
        <f t="shared" si="30"/>
        <v>0.57039711191335751</v>
      </c>
      <c r="N314" s="6">
        <f t="shared" si="31"/>
        <v>8.303249097472909E-2</v>
      </c>
      <c r="O314" s="4">
        <f t="shared" si="32"/>
        <v>1386.2914476290566</v>
      </c>
      <c r="P314" s="4">
        <f t="shared" si="33"/>
        <v>2281.6046742228227</v>
      </c>
      <c r="Q314" s="4">
        <f t="shared" si="34"/>
        <v>3667.8961218518793</v>
      </c>
      <c r="S314" t="s">
        <v>32</v>
      </c>
      <c r="T314" t="s">
        <v>682</v>
      </c>
      <c r="U314" s="8">
        <f>D314</f>
        <v>40828</v>
      </c>
      <c r="V314" s="3">
        <f>SUM(E314:E353)</f>
        <v>1426.3000000000002</v>
      </c>
      <c r="W314" s="3">
        <f>(V314-80*$A$20)*$A$21/(40*$A$22)*$A$23</f>
        <v>5165.4183859573168</v>
      </c>
      <c r="X314" s="8">
        <f>G314</f>
        <v>40204</v>
      </c>
      <c r="Y314" s="7">
        <f>SUM(H314:H353)</f>
        <v>128.46000000000004</v>
      </c>
      <c r="Z314" s="7">
        <f>SUM(I314:I353)</f>
        <v>244.12</v>
      </c>
      <c r="AA314" s="7">
        <f>SUM(J314:J353)</f>
        <v>124.55999999999999</v>
      </c>
      <c r="AB314" s="7">
        <f>SUM(K314:K353)</f>
        <v>205.28000000000003</v>
      </c>
      <c r="AC314" s="9">
        <f>(AA314-40*$A$25)/Z314</f>
        <v>0.33983286908077986</v>
      </c>
      <c r="AD314" s="9">
        <f>(AB314-40*$A$26)/Z314</f>
        <v>0.56234638702277584</v>
      </c>
      <c r="AE314" s="9">
        <f>1-AC314-AD314</f>
        <v>9.782074389644424E-2</v>
      </c>
      <c r="AF314" s="3">
        <f>W314*AC314</f>
        <v>1755.378950102486</v>
      </c>
      <c r="AG314" s="3">
        <f>W314*AD314</f>
        <v>2904.7543668041153</v>
      </c>
      <c r="AH314" s="3">
        <f>AF314+AG314</f>
        <v>4660.1333169066011</v>
      </c>
      <c r="AJ314" t="s">
        <v>861</v>
      </c>
      <c r="AK314" t="s">
        <v>682</v>
      </c>
      <c r="AL314" s="11">
        <f>D323</f>
        <v>40828</v>
      </c>
      <c r="AM314" s="3">
        <f>SUM(E323,E324)</f>
        <v>70.300000000000011</v>
      </c>
      <c r="AN314" s="3">
        <f>(AM314-4*$A$20)*$A$21/(2*$A$22)*$A$23</f>
        <v>5087.1603120451346</v>
      </c>
      <c r="AO314" s="11">
        <f>G323</f>
        <v>40204</v>
      </c>
      <c r="AP314" s="7">
        <f>SUM(H323,H324)</f>
        <v>7.64</v>
      </c>
      <c r="AQ314" s="7">
        <f>SUM(I323,I324)</f>
        <v>14.639999999999999</v>
      </c>
      <c r="AR314" s="7">
        <f>SUM(J323,J324)</f>
        <v>6.96</v>
      </c>
      <c r="AS314" s="7">
        <f>SUM(K323,K324)</f>
        <v>11.64</v>
      </c>
      <c r="AT314" s="9">
        <f>(AR314-2*$A$25)/AQ314</f>
        <v>0.33333333333333337</v>
      </c>
      <c r="AU314" s="9">
        <f>(AS314-2*$A$26)/AQ314</f>
        <v>0.56284153005464488</v>
      </c>
      <c r="AV314" s="9">
        <f>1-AT314-AU314</f>
        <v>0.10382513661202175</v>
      </c>
      <c r="AW314" s="3">
        <f>AN314*AT314</f>
        <v>1695.7201040150451</v>
      </c>
      <c r="AX314" s="3">
        <f>AN314*AU314</f>
        <v>2863.2650936647483</v>
      </c>
      <c r="AY314" s="3">
        <f>AW314+AX314</f>
        <v>4558.9851976797936</v>
      </c>
    </row>
    <row r="315" spans="1:51" x14ac:dyDescent="0.25">
      <c r="A315">
        <v>282</v>
      </c>
      <c r="B315" s="1" t="s">
        <v>323</v>
      </c>
      <c r="C315" s="1" t="s">
        <v>682</v>
      </c>
      <c r="D315" s="2">
        <v>40828</v>
      </c>
      <c r="E315" s="3">
        <v>31.9</v>
      </c>
      <c r="F315" s="4">
        <f t="shared" si="28"/>
        <v>4586.0002328045539</v>
      </c>
      <c r="G315" s="2">
        <v>40204</v>
      </c>
      <c r="H315" s="7">
        <v>3.72</v>
      </c>
      <c r="I315" s="7">
        <f>H315+H332-2*$A$24</f>
        <v>6.84</v>
      </c>
      <c r="J315" s="7">
        <v>3.36</v>
      </c>
      <c r="K315" s="7">
        <v>5.52</v>
      </c>
      <c r="L315" s="6">
        <f t="shared" si="29"/>
        <v>0.33918128654970758</v>
      </c>
      <c r="M315" s="6">
        <f t="shared" si="30"/>
        <v>0.55847953216374258</v>
      </c>
      <c r="N315" s="6">
        <f t="shared" si="31"/>
        <v>0.10233918128654984</v>
      </c>
      <c r="O315" s="4">
        <f t="shared" si="32"/>
        <v>1555.4854590799071</v>
      </c>
      <c r="P315" s="4">
        <f t="shared" si="33"/>
        <v>2561.1872645195017</v>
      </c>
      <c r="Q315" s="4">
        <f t="shared" si="34"/>
        <v>4116.6727235994085</v>
      </c>
      <c r="V315" s="3"/>
      <c r="W315" s="3"/>
      <c r="Y315" s="7"/>
      <c r="Z315" s="7"/>
      <c r="AA315" s="7"/>
      <c r="AB315" s="7"/>
      <c r="AC315" s="9"/>
      <c r="AD315" s="9"/>
      <c r="AE315" s="9"/>
      <c r="AF315" s="3"/>
      <c r="AG315" s="3"/>
      <c r="AH315" s="3"/>
      <c r="AL315" s="11"/>
      <c r="AM315" s="3"/>
      <c r="AN315" s="3"/>
      <c r="AO315" s="11"/>
      <c r="AP315" s="7"/>
      <c r="AQ315" s="7"/>
      <c r="AR315" s="7"/>
      <c r="AS315" s="7"/>
      <c r="AT315" s="9"/>
      <c r="AU315" s="9"/>
      <c r="AV315" s="9"/>
      <c r="AW315" s="3"/>
      <c r="AX315" s="3"/>
      <c r="AY315" s="3"/>
    </row>
    <row r="316" spans="1:51" x14ac:dyDescent="0.25">
      <c r="A316">
        <v>283</v>
      </c>
      <c r="B316" s="1" t="s">
        <v>324</v>
      </c>
      <c r="C316" s="1" t="s">
        <v>682</v>
      </c>
      <c r="D316" s="2">
        <v>40828</v>
      </c>
      <c r="E316" s="3">
        <v>30.6</v>
      </c>
      <c r="F316" s="4">
        <f t="shared" si="28"/>
        <v>4385.5362011083234</v>
      </c>
      <c r="G316" s="2">
        <v>40204</v>
      </c>
      <c r="H316" s="7">
        <v>3.64</v>
      </c>
      <c r="I316" s="7">
        <f>H316+H331-2*$A$24</f>
        <v>6.3</v>
      </c>
      <c r="J316" s="7">
        <v>3.24</v>
      </c>
      <c r="K316" s="7">
        <v>5.22</v>
      </c>
      <c r="L316" s="6">
        <f t="shared" si="29"/>
        <v>0.34920634920634924</v>
      </c>
      <c r="M316" s="6">
        <f t="shared" si="30"/>
        <v>0.55873015873015863</v>
      </c>
      <c r="N316" s="6">
        <f t="shared" si="31"/>
        <v>9.2063492063492069E-2</v>
      </c>
      <c r="O316" s="4">
        <f t="shared" si="32"/>
        <v>1531.4570861013194</v>
      </c>
      <c r="P316" s="4">
        <f t="shared" si="33"/>
        <v>2450.3313377621103</v>
      </c>
      <c r="Q316" s="4">
        <f t="shared" si="34"/>
        <v>3981.7884238634297</v>
      </c>
      <c r="V316" s="3"/>
      <c r="W316" s="3"/>
      <c r="Y316" s="7"/>
      <c r="Z316" s="7"/>
      <c r="AA316" s="7"/>
      <c r="AB316" s="7"/>
      <c r="AC316" s="9"/>
      <c r="AD316" s="9"/>
      <c r="AE316" s="9"/>
      <c r="AF316" s="3"/>
      <c r="AG316" s="3"/>
      <c r="AH316" s="3"/>
      <c r="AJ316" t="s">
        <v>862</v>
      </c>
      <c r="AK316" t="s">
        <v>682</v>
      </c>
      <c r="AL316" s="11">
        <f>D322</f>
        <v>40828</v>
      </c>
      <c r="AM316" s="3">
        <f>SUM(E322,E325)</f>
        <v>75.699999999999989</v>
      </c>
      <c r="AN316" s="3">
        <f>(AM316-4*$A$20)*$A$21/(2*$A$22)*$A$23</f>
        <v>5503.5086855680747</v>
      </c>
      <c r="AO316" s="11">
        <f>G322</f>
        <v>40204</v>
      </c>
      <c r="AP316" s="7">
        <f>SUM(H322,H325)</f>
        <v>7.5600000000000005</v>
      </c>
      <c r="AQ316" s="7">
        <f>SUM(I322,I325)</f>
        <v>14.48</v>
      </c>
      <c r="AR316" s="7">
        <f>SUM(J322,J325)</f>
        <v>6.88</v>
      </c>
      <c r="AS316" s="7">
        <f>SUM(K322,K325)</f>
        <v>11.6</v>
      </c>
      <c r="AT316" s="9">
        <f>(AR316-2*$A$25)/AQ316</f>
        <v>0.33149171270718231</v>
      </c>
      <c r="AU316" s="9">
        <f>(AS316-2*$A$26)/AQ316</f>
        <v>0.56629834254143641</v>
      </c>
      <c r="AV316" s="9">
        <f>1-AT316-AU316</f>
        <v>0.10220994475138123</v>
      </c>
      <c r="AW316" s="3">
        <f>AN316*AT316</f>
        <v>1824.3675200778148</v>
      </c>
      <c r="AX316" s="3">
        <f>AN316*AU316</f>
        <v>3116.6278467995999</v>
      </c>
      <c r="AY316" s="3">
        <f>AW316+AX316</f>
        <v>4940.9953668774142</v>
      </c>
    </row>
    <row r="317" spans="1:51" x14ac:dyDescent="0.25">
      <c r="A317">
        <v>284</v>
      </c>
      <c r="B317" s="1" t="s">
        <v>325</v>
      </c>
      <c r="C317" s="1" t="s">
        <v>682</v>
      </c>
      <c r="D317" s="2">
        <v>40828</v>
      </c>
      <c r="E317" s="3">
        <v>32.799999999999997</v>
      </c>
      <c r="F317" s="4">
        <f t="shared" si="28"/>
        <v>4724.7830239788682</v>
      </c>
      <c r="G317" s="2">
        <v>40204</v>
      </c>
      <c r="H317" s="7">
        <v>3.5</v>
      </c>
      <c r="I317" s="7">
        <f>H317+H330-2*$A$24</f>
        <v>6.32</v>
      </c>
      <c r="J317" s="7">
        <v>3.22</v>
      </c>
      <c r="K317" s="7">
        <v>5.28</v>
      </c>
      <c r="L317" s="6">
        <f t="shared" si="29"/>
        <v>0.3449367088607595</v>
      </c>
      <c r="M317" s="6">
        <f t="shared" si="30"/>
        <v>0.56645569620253167</v>
      </c>
      <c r="N317" s="6">
        <f t="shared" si="31"/>
        <v>8.8607594936708778E-2</v>
      </c>
      <c r="O317" s="4">
        <f t="shared" si="32"/>
        <v>1629.7511063724578</v>
      </c>
      <c r="P317" s="4">
        <f t="shared" si="33"/>
        <v>2676.3802572538525</v>
      </c>
      <c r="Q317" s="4">
        <f t="shared" si="34"/>
        <v>4306.1313636263103</v>
      </c>
      <c r="V317" s="3"/>
      <c r="W317" s="3"/>
      <c r="Y317" s="7"/>
      <c r="Z317" s="7"/>
      <c r="AA317" s="7"/>
      <c r="AB317" s="7"/>
      <c r="AC317" s="9"/>
      <c r="AD317" s="9"/>
      <c r="AE317" s="9"/>
      <c r="AF317" s="3"/>
      <c r="AG317" s="3"/>
      <c r="AH317" s="3"/>
      <c r="AL317" s="11"/>
      <c r="AM317" s="3"/>
      <c r="AN317" s="3"/>
      <c r="AO317" s="11"/>
      <c r="AP317" s="7"/>
      <c r="AQ317" s="7"/>
      <c r="AR317" s="7"/>
      <c r="AS317" s="7"/>
      <c r="AT317" s="9"/>
      <c r="AU317" s="9"/>
      <c r="AV317" s="9"/>
      <c r="AW317" s="3"/>
      <c r="AX317" s="3"/>
      <c r="AY317" s="3"/>
    </row>
    <row r="318" spans="1:51" x14ac:dyDescent="0.25">
      <c r="A318">
        <v>285</v>
      </c>
      <c r="B318" s="1" t="s">
        <v>326</v>
      </c>
      <c r="C318" s="1" t="s">
        <v>682</v>
      </c>
      <c r="D318" s="2">
        <v>40828</v>
      </c>
      <c r="E318" s="3">
        <v>33.799999999999997</v>
      </c>
      <c r="F318" s="4">
        <f t="shared" si="28"/>
        <v>4878.9861252836617</v>
      </c>
      <c r="G318" s="2">
        <v>40204</v>
      </c>
      <c r="H318" s="7">
        <v>3.3</v>
      </c>
      <c r="I318" s="7">
        <f>H318+H329-2*$A$24</f>
        <v>6.5399999999999991</v>
      </c>
      <c r="J318" s="7">
        <v>3.32</v>
      </c>
      <c r="K318" s="7">
        <v>5.34</v>
      </c>
      <c r="L318" s="6">
        <f t="shared" si="29"/>
        <v>0.34862385321100919</v>
      </c>
      <c r="M318" s="6">
        <f t="shared" si="30"/>
        <v>0.55657492354740068</v>
      </c>
      <c r="N318" s="6">
        <f t="shared" si="31"/>
        <v>9.4801223241590127E-2</v>
      </c>
      <c r="O318" s="4">
        <f t="shared" si="32"/>
        <v>1700.9309427594419</v>
      </c>
      <c r="P318" s="4">
        <f t="shared" si="33"/>
        <v>2715.5213296685829</v>
      </c>
      <c r="Q318" s="4">
        <f t="shared" si="34"/>
        <v>4416.452272428025</v>
      </c>
      <c r="V318" s="3"/>
      <c r="W318" s="3"/>
      <c r="Y318" s="7"/>
      <c r="Z318" s="7"/>
      <c r="AA318" s="7"/>
      <c r="AB318" s="7"/>
      <c r="AC318" s="9"/>
      <c r="AD318" s="9"/>
      <c r="AE318" s="9"/>
      <c r="AF318" s="3"/>
      <c r="AG318" s="3"/>
      <c r="AH318" s="3"/>
      <c r="AJ318" t="s">
        <v>863</v>
      </c>
      <c r="AK318" t="s">
        <v>682</v>
      </c>
      <c r="AL318" s="11">
        <f>D321</f>
        <v>40828</v>
      </c>
      <c r="AM318" s="3">
        <f>SUM(E321,E326)</f>
        <v>74.7</v>
      </c>
      <c r="AN318" s="3">
        <f>(AM318-4*$A$20)*$A$21/(2*$A$22)*$A$23</f>
        <v>5426.4071349156784</v>
      </c>
      <c r="AO318" s="11">
        <f>G321</f>
        <v>40204</v>
      </c>
      <c r="AP318" s="7">
        <f>SUM(H321,H326)</f>
        <v>6.2799999999999994</v>
      </c>
      <c r="AQ318" s="7">
        <f>SUM(I321,I326)</f>
        <v>11.919999999999998</v>
      </c>
      <c r="AR318" s="7">
        <f>SUM(J321,J326)</f>
        <v>6.12</v>
      </c>
      <c r="AS318" s="7">
        <f>SUM(K321,K326)</f>
        <v>10.119999999999999</v>
      </c>
      <c r="AT318" s="9">
        <f>(AR318-2*$A$25)/AQ318</f>
        <v>0.33892617449664436</v>
      </c>
      <c r="AU318" s="9">
        <f>(AS318-2*$A$26)/AQ318</f>
        <v>0.56375838926174493</v>
      </c>
      <c r="AV318" s="9">
        <f>1-AT318-AU318</f>
        <v>9.7315436241610764E-2</v>
      </c>
      <c r="AW318" s="3">
        <f>AN318*AT318</f>
        <v>1839.1514114982672</v>
      </c>
      <c r="AX318" s="3">
        <f>AN318*AU318</f>
        <v>3059.1825458585031</v>
      </c>
      <c r="AY318" s="3">
        <f>AW318+AX318</f>
        <v>4898.33395735677</v>
      </c>
    </row>
    <row r="319" spans="1:51" x14ac:dyDescent="0.25">
      <c r="A319">
        <v>286</v>
      </c>
      <c r="B319" s="1" t="s">
        <v>327</v>
      </c>
      <c r="C319" s="1" t="s">
        <v>682</v>
      </c>
      <c r="D319" s="2">
        <v>40828</v>
      </c>
      <c r="E319" s="3">
        <v>40.5</v>
      </c>
      <c r="F319" s="4">
        <f t="shared" si="28"/>
        <v>5912.146904025778</v>
      </c>
      <c r="G319" s="2">
        <v>40204</v>
      </c>
      <c r="H319" s="7">
        <v>3.12</v>
      </c>
      <c r="I319" s="7">
        <f>H319+H328-2*$A$24</f>
        <v>6.04</v>
      </c>
      <c r="J319" s="7">
        <v>3.1</v>
      </c>
      <c r="K319" s="7">
        <v>5.0999999999999996</v>
      </c>
      <c r="L319" s="6">
        <f t="shared" si="29"/>
        <v>0.34105960264900664</v>
      </c>
      <c r="M319" s="6">
        <f t="shared" si="30"/>
        <v>0.56291390728476809</v>
      </c>
      <c r="N319" s="6">
        <f t="shared" si="31"/>
        <v>9.6026490066225212E-2</v>
      </c>
      <c r="O319" s="4">
        <f t="shared" si="32"/>
        <v>2016.3944738895866</v>
      </c>
      <c r="P319" s="4">
        <f t="shared" si="33"/>
        <v>3328.0297141866954</v>
      </c>
      <c r="Q319" s="4">
        <f t="shared" si="34"/>
        <v>5344.424188076282</v>
      </c>
      <c r="V319" s="3"/>
      <c r="W319" s="3"/>
      <c r="Y319" s="7"/>
      <c r="Z319" s="7"/>
      <c r="AA319" s="7"/>
      <c r="AB319" s="7"/>
      <c r="AC319" s="9"/>
      <c r="AD319" s="9"/>
      <c r="AE319" s="9"/>
      <c r="AF319" s="3"/>
      <c r="AG319" s="3"/>
      <c r="AH319" s="3"/>
      <c r="AL319" s="11"/>
      <c r="AM319" s="3"/>
      <c r="AN319" s="3"/>
      <c r="AO319" s="11"/>
      <c r="AP319" s="7"/>
      <c r="AQ319" s="7"/>
      <c r="AR319" s="7"/>
      <c r="AS319" s="7"/>
      <c r="AT319" s="9"/>
      <c r="AU319" s="9"/>
      <c r="AV319" s="9"/>
      <c r="AW319" s="3"/>
      <c r="AX319" s="3"/>
      <c r="AY319" s="3"/>
    </row>
    <row r="320" spans="1:51" x14ac:dyDescent="0.25">
      <c r="A320">
        <v>287</v>
      </c>
      <c r="B320" s="1" t="s">
        <v>328</v>
      </c>
      <c r="C320" s="1" t="s">
        <v>682</v>
      </c>
      <c r="D320" s="2">
        <v>40828</v>
      </c>
      <c r="E320" s="3">
        <v>38</v>
      </c>
      <c r="F320" s="4">
        <f t="shared" si="28"/>
        <v>5526.6391507637945</v>
      </c>
      <c r="G320" s="2">
        <v>40204</v>
      </c>
      <c r="H320" s="7">
        <v>3.52</v>
      </c>
      <c r="I320" s="7">
        <f>H320+H327-2*$A$24</f>
        <v>6.22</v>
      </c>
      <c r="J320" s="7">
        <v>3.14</v>
      </c>
      <c r="K320" s="7">
        <v>5.2</v>
      </c>
      <c r="L320" s="6">
        <f t="shared" si="29"/>
        <v>0.33762057877813506</v>
      </c>
      <c r="M320" s="6">
        <f t="shared" si="30"/>
        <v>0.56270096463022512</v>
      </c>
      <c r="N320" s="6">
        <f t="shared" si="31"/>
        <v>9.9678456591639875E-2</v>
      </c>
      <c r="O320" s="4">
        <f t="shared" si="32"/>
        <v>1865.9071087787731</v>
      </c>
      <c r="P320" s="4">
        <f t="shared" si="33"/>
        <v>3109.8451812979552</v>
      </c>
      <c r="Q320" s="4">
        <f t="shared" si="34"/>
        <v>4975.7522900767281</v>
      </c>
      <c r="V320" s="3"/>
      <c r="W320" s="3"/>
      <c r="Y320" s="7"/>
      <c r="Z320" s="7"/>
      <c r="AA320" s="7"/>
      <c r="AB320" s="7"/>
      <c r="AC320" s="9"/>
      <c r="AD320" s="9"/>
      <c r="AE320" s="9"/>
      <c r="AF320" s="3"/>
      <c r="AG320" s="3"/>
      <c r="AH320" s="3"/>
      <c r="AJ320" t="s">
        <v>864</v>
      </c>
      <c r="AK320" t="s">
        <v>682</v>
      </c>
      <c r="AL320" s="11">
        <f>D320</f>
        <v>40828</v>
      </c>
      <c r="AM320" s="3">
        <f>SUM(E320,E327)</f>
        <v>78.900000000000006</v>
      </c>
      <c r="AN320" s="3">
        <f>(AM320-4*$A$20)*$A$21/(2*$A$22)*$A$23</f>
        <v>5750.2336476557457</v>
      </c>
      <c r="AO320" s="11">
        <f>G320</f>
        <v>40204</v>
      </c>
      <c r="AP320" s="7">
        <f>SUM(H320,H327)</f>
        <v>6.54</v>
      </c>
      <c r="AQ320" s="7">
        <f>SUM(I320,I327)</f>
        <v>12.44</v>
      </c>
      <c r="AR320" s="7">
        <f>SUM(J320,J327)</f>
        <v>6.28</v>
      </c>
      <c r="AS320" s="7">
        <f>SUM(K320,K327)</f>
        <v>10.4</v>
      </c>
      <c r="AT320" s="9">
        <f>(AR320-2*$A$25)/AQ320</f>
        <v>0.33762057877813506</v>
      </c>
      <c r="AU320" s="9">
        <f>(AS320-2*$A$26)/AQ320</f>
        <v>0.56270096463022512</v>
      </c>
      <c r="AV320" s="9">
        <f>1-AT320-AU320</f>
        <v>9.9678456591639875E-2</v>
      </c>
      <c r="AW320" s="3">
        <f>AN320*AT320</f>
        <v>1941.3972122310397</v>
      </c>
      <c r="AX320" s="3">
        <f>AN320*AU320</f>
        <v>3235.6620203850662</v>
      </c>
      <c r="AY320" s="3">
        <f>AW320+AX320</f>
        <v>5177.0592326161059</v>
      </c>
    </row>
    <row r="321" spans="1:51" x14ac:dyDescent="0.25">
      <c r="A321">
        <v>288</v>
      </c>
      <c r="B321" s="1" t="s">
        <v>329</v>
      </c>
      <c r="C321" s="1" t="s">
        <v>682</v>
      </c>
      <c r="D321" s="2">
        <v>40828</v>
      </c>
      <c r="E321" s="3">
        <v>35.1</v>
      </c>
      <c r="F321" s="4">
        <f t="shared" si="28"/>
        <v>5079.4501569798931</v>
      </c>
      <c r="G321" s="2">
        <v>40204</v>
      </c>
      <c r="H321" s="7">
        <v>2.76</v>
      </c>
      <c r="I321" s="7">
        <f>H321+H326-2*$A$24</f>
        <v>5.9599999999999991</v>
      </c>
      <c r="J321" s="7">
        <v>3.06</v>
      </c>
      <c r="K321" s="7">
        <v>5.0599999999999996</v>
      </c>
      <c r="L321" s="6">
        <f t="shared" si="29"/>
        <v>0.33892617449664436</v>
      </c>
      <c r="M321" s="6">
        <f t="shared" si="30"/>
        <v>0.56375838926174493</v>
      </c>
      <c r="N321" s="6">
        <f t="shared" si="31"/>
        <v>9.7315436241610764E-2</v>
      </c>
      <c r="O321" s="4">
        <f t="shared" si="32"/>
        <v>1721.5586102515749</v>
      </c>
      <c r="P321" s="4">
        <f t="shared" si="33"/>
        <v>2863.5826388343021</v>
      </c>
      <c r="Q321" s="4">
        <f t="shared" si="34"/>
        <v>4585.1412490858766</v>
      </c>
      <c r="V321" s="3"/>
      <c r="W321" s="3"/>
      <c r="Y321" s="7"/>
      <c r="Z321" s="7"/>
      <c r="AA321" s="7"/>
      <c r="AB321" s="7"/>
      <c r="AC321" s="9"/>
      <c r="AD321" s="9"/>
      <c r="AE321" s="9"/>
      <c r="AF321" s="3"/>
      <c r="AG321" s="3"/>
      <c r="AH321" s="3"/>
      <c r="AL321" s="11"/>
      <c r="AM321" s="3"/>
      <c r="AN321" s="3"/>
      <c r="AO321" s="11"/>
      <c r="AP321" s="7"/>
      <c r="AQ321" s="7"/>
      <c r="AR321" s="7"/>
      <c r="AS321" s="7"/>
      <c r="AT321" s="9"/>
      <c r="AU321" s="9"/>
      <c r="AV321" s="9"/>
      <c r="AW321" s="3"/>
      <c r="AX321" s="3"/>
      <c r="AY321" s="3"/>
    </row>
    <row r="322" spans="1:51" x14ac:dyDescent="0.25">
      <c r="A322">
        <v>289</v>
      </c>
      <c r="B322" s="1" t="s">
        <v>330</v>
      </c>
      <c r="C322" s="1" t="s">
        <v>682</v>
      </c>
      <c r="D322" s="2">
        <v>40828</v>
      </c>
      <c r="E322" s="3">
        <v>36.799999999999997</v>
      </c>
      <c r="F322" s="4">
        <f t="shared" si="28"/>
        <v>5341.5954291980424</v>
      </c>
      <c r="G322" s="2">
        <v>40204</v>
      </c>
      <c r="H322" s="7">
        <v>3.74</v>
      </c>
      <c r="I322" s="7">
        <f>H322+H325-2*$A$24</f>
        <v>7.24</v>
      </c>
      <c r="J322" s="7">
        <v>3.44</v>
      </c>
      <c r="K322" s="7">
        <v>5.8</v>
      </c>
      <c r="L322" s="6">
        <f t="shared" si="29"/>
        <v>0.33149171270718231</v>
      </c>
      <c r="M322" s="6">
        <f t="shared" si="30"/>
        <v>0.56629834254143641</v>
      </c>
      <c r="N322" s="6">
        <f t="shared" si="31"/>
        <v>0.10220994475138123</v>
      </c>
      <c r="O322" s="4">
        <f t="shared" si="32"/>
        <v>1770.6946174137156</v>
      </c>
      <c r="P322" s="4">
        <f t="shared" si="33"/>
        <v>3024.9366380817642</v>
      </c>
      <c r="Q322" s="4">
        <f t="shared" si="34"/>
        <v>4795.6312554954802</v>
      </c>
      <c r="V322" s="3"/>
      <c r="W322" s="3"/>
      <c r="Y322" s="7"/>
      <c r="Z322" s="7"/>
      <c r="AA322" s="7"/>
      <c r="AB322" s="7"/>
      <c r="AC322" s="9"/>
      <c r="AD322" s="9"/>
      <c r="AE322" s="9"/>
      <c r="AF322" s="3"/>
      <c r="AG322" s="3"/>
      <c r="AH322" s="3"/>
      <c r="AJ322" t="s">
        <v>865</v>
      </c>
      <c r="AK322" t="s">
        <v>682</v>
      </c>
      <c r="AL322" s="11">
        <f>D319</f>
        <v>40828</v>
      </c>
      <c r="AM322" s="3">
        <f>SUM(E319,E328)</f>
        <v>82.1</v>
      </c>
      <c r="AN322" s="3">
        <f>(AM322-4*$A$20)*$A$21/(2*$A$22)*$A$23</f>
        <v>5996.9586097434149</v>
      </c>
      <c r="AO322" s="11">
        <f>G319</f>
        <v>40204</v>
      </c>
      <c r="AP322" s="7">
        <f>SUM(H319,H328)</f>
        <v>6.36</v>
      </c>
      <c r="AQ322" s="7">
        <f>SUM(I319,I328)</f>
        <v>12.08</v>
      </c>
      <c r="AR322" s="7">
        <f>SUM(J319,J328)</f>
        <v>6.2</v>
      </c>
      <c r="AS322" s="7">
        <f>SUM(K319,K328)</f>
        <v>10.199999999999999</v>
      </c>
      <c r="AT322" s="9">
        <f>(AR322-2*$A$25)/AQ322</f>
        <v>0.34105960264900664</v>
      </c>
      <c r="AU322" s="9">
        <f>(AS322-2*$A$26)/AQ322</f>
        <v>0.56291390728476809</v>
      </c>
      <c r="AV322" s="9">
        <f>1-AT322-AU322</f>
        <v>9.6026490066225212E-2</v>
      </c>
      <c r="AW322" s="3">
        <f>AN322*AT322</f>
        <v>2045.3203205416285</v>
      </c>
      <c r="AX322" s="3">
        <f>AN322*AU322</f>
        <v>3375.7714028356963</v>
      </c>
      <c r="AY322" s="3">
        <f>AW322+AX322</f>
        <v>5421.0917233773253</v>
      </c>
    </row>
    <row r="323" spans="1:51" x14ac:dyDescent="0.25">
      <c r="A323">
        <v>290</v>
      </c>
      <c r="B323" s="1" t="s">
        <v>331</v>
      </c>
      <c r="C323" s="1" t="s">
        <v>682</v>
      </c>
      <c r="D323" s="2">
        <v>40828</v>
      </c>
      <c r="E323" s="3">
        <v>34.6</v>
      </c>
      <c r="F323" s="4">
        <f t="shared" si="28"/>
        <v>5002.3486063274968</v>
      </c>
      <c r="G323" s="2">
        <v>40204</v>
      </c>
      <c r="H323" s="7">
        <v>3.84</v>
      </c>
      <c r="I323" s="7">
        <f>H323+H324-2*$A$24</f>
        <v>7.3199999999999994</v>
      </c>
      <c r="J323" s="7">
        <v>3.48</v>
      </c>
      <c r="K323" s="7">
        <v>5.82</v>
      </c>
      <c r="L323" s="6">
        <f t="shared" si="29"/>
        <v>0.33333333333333337</v>
      </c>
      <c r="M323" s="6">
        <f t="shared" si="30"/>
        <v>0.56284153005464488</v>
      </c>
      <c r="N323" s="6">
        <f t="shared" si="31"/>
        <v>0.10382513661202175</v>
      </c>
      <c r="O323" s="4">
        <f t="shared" si="32"/>
        <v>1667.4495354424992</v>
      </c>
      <c r="P323" s="4">
        <f t="shared" si="33"/>
        <v>2815.5295434520885</v>
      </c>
      <c r="Q323" s="4">
        <f t="shared" si="34"/>
        <v>4482.9790788945875</v>
      </c>
      <c r="V323" s="3"/>
      <c r="W323" s="3"/>
      <c r="Y323" s="7"/>
      <c r="Z323" s="7"/>
      <c r="AA323" s="7"/>
      <c r="AB323" s="7"/>
      <c r="AC323" s="9"/>
      <c r="AD323" s="9"/>
      <c r="AE323" s="9"/>
      <c r="AF323" s="3"/>
      <c r="AG323" s="3"/>
      <c r="AH323" s="3"/>
      <c r="AL323" s="11"/>
      <c r="AM323" s="3"/>
      <c r="AN323" s="3"/>
      <c r="AO323" s="11"/>
      <c r="AP323" s="7"/>
      <c r="AQ323" s="7"/>
      <c r="AR323" s="7"/>
      <c r="AS323" s="7"/>
      <c r="AT323" s="9"/>
      <c r="AU323" s="9"/>
      <c r="AV323" s="9"/>
      <c r="AW323" s="3"/>
      <c r="AX323" s="3"/>
      <c r="AY323" s="3"/>
    </row>
    <row r="324" spans="1:51" x14ac:dyDescent="0.25">
      <c r="A324">
        <v>291</v>
      </c>
      <c r="B324" s="1" t="s">
        <v>332</v>
      </c>
      <c r="C324" s="1" t="s">
        <v>682</v>
      </c>
      <c r="D324" s="2">
        <v>40828</v>
      </c>
      <c r="E324" s="3">
        <v>35.700000000000003</v>
      </c>
      <c r="F324" s="4">
        <f t="shared" si="28"/>
        <v>5171.9720177627705</v>
      </c>
      <c r="G324" s="2">
        <v>40204</v>
      </c>
      <c r="H324" s="7">
        <v>3.8</v>
      </c>
      <c r="I324" s="7">
        <f>H324+H323-2*$A$24</f>
        <v>7.3199999999999994</v>
      </c>
      <c r="J324" s="7">
        <v>3.48</v>
      </c>
      <c r="K324" s="7">
        <v>5.82</v>
      </c>
      <c r="L324" s="6">
        <f t="shared" si="29"/>
        <v>0.33333333333333337</v>
      </c>
      <c r="M324" s="6">
        <f t="shared" si="30"/>
        <v>0.56284153005464488</v>
      </c>
      <c r="N324" s="6">
        <f t="shared" si="31"/>
        <v>0.10382513661202175</v>
      </c>
      <c r="O324" s="4">
        <f t="shared" si="32"/>
        <v>1723.9906725875903</v>
      </c>
      <c r="P324" s="4">
        <f t="shared" si="33"/>
        <v>2911.0006438774067</v>
      </c>
      <c r="Q324" s="4">
        <f t="shared" si="34"/>
        <v>4634.991316464997</v>
      </c>
      <c r="V324" s="3"/>
      <c r="W324" s="3"/>
      <c r="Y324" s="7"/>
      <c r="Z324" s="7"/>
      <c r="AA324" s="7"/>
      <c r="AB324" s="7"/>
      <c r="AC324" s="9"/>
      <c r="AD324" s="9"/>
      <c r="AE324" s="9"/>
      <c r="AF324" s="3"/>
      <c r="AG324" s="3"/>
      <c r="AH324" s="3"/>
      <c r="AJ324" t="s">
        <v>866</v>
      </c>
      <c r="AK324" t="s">
        <v>682</v>
      </c>
      <c r="AL324" s="11">
        <f>D318</f>
        <v>40828</v>
      </c>
      <c r="AM324" s="3">
        <f>SUM(E318,E329)</f>
        <v>70.8</v>
      </c>
      <c r="AN324" s="3">
        <f>(AM324-4*$A$20)*$A$21/(2*$A$22)*$A$23</f>
        <v>5125.7110873713309</v>
      </c>
      <c r="AO324" s="11">
        <f>G318</f>
        <v>40204</v>
      </c>
      <c r="AP324" s="7">
        <f>SUM(H318,H329)</f>
        <v>6.8599999999999994</v>
      </c>
      <c r="AQ324" s="7">
        <f>SUM(I318,I329)</f>
        <v>13.079999999999998</v>
      </c>
      <c r="AR324" s="7">
        <f>SUM(J318,J329)</f>
        <v>6.64</v>
      </c>
      <c r="AS324" s="7">
        <f>SUM(K318,K329)</f>
        <v>10.68</v>
      </c>
      <c r="AT324" s="9">
        <f>(AR324-2*$A$25)/AQ324</f>
        <v>0.34862385321100919</v>
      </c>
      <c r="AU324" s="9">
        <f>(AS324-2*$A$26)/AQ324</f>
        <v>0.55657492354740068</v>
      </c>
      <c r="AV324" s="9">
        <f>1-AT324-AU324</f>
        <v>9.4801223241590127E-2</v>
      </c>
      <c r="AW324" s="3">
        <f>AN324*AT324</f>
        <v>1786.9451497257851</v>
      </c>
      <c r="AX324" s="3">
        <f>AN324*AU324</f>
        <v>2852.8422565797623</v>
      </c>
      <c r="AY324" s="3">
        <f>AW324+AX324</f>
        <v>4639.7874063055478</v>
      </c>
    </row>
    <row r="325" spans="1:51" x14ac:dyDescent="0.25">
      <c r="A325">
        <v>292</v>
      </c>
      <c r="B325" s="1" t="s">
        <v>333</v>
      </c>
      <c r="C325" s="1" t="s">
        <v>682</v>
      </c>
      <c r="D325" s="2">
        <v>40828</v>
      </c>
      <c r="E325" s="3">
        <v>38.9</v>
      </c>
      <c r="F325" s="4">
        <f t="shared" si="28"/>
        <v>5665.421941938107</v>
      </c>
      <c r="G325" s="2">
        <v>40204</v>
      </c>
      <c r="H325" s="7">
        <v>3.82</v>
      </c>
      <c r="I325" s="7">
        <f>H325+H322-2*$A$24</f>
        <v>7.24</v>
      </c>
      <c r="J325" s="7">
        <v>3.44</v>
      </c>
      <c r="K325" s="7">
        <v>5.8</v>
      </c>
      <c r="L325" s="6">
        <f t="shared" si="29"/>
        <v>0.33149171270718231</v>
      </c>
      <c r="M325" s="6">
        <f t="shared" si="30"/>
        <v>0.56629834254143641</v>
      </c>
      <c r="N325" s="6">
        <f t="shared" si="31"/>
        <v>0.10220994475138123</v>
      </c>
      <c r="O325" s="4">
        <f t="shared" si="32"/>
        <v>1878.0404227419137</v>
      </c>
      <c r="P325" s="4">
        <f t="shared" si="33"/>
        <v>3208.319055517436</v>
      </c>
      <c r="Q325" s="4">
        <f t="shared" si="34"/>
        <v>5086.35947825935</v>
      </c>
      <c r="V325" s="3"/>
      <c r="W325" s="3"/>
      <c r="Y325" s="7"/>
      <c r="Z325" s="7"/>
      <c r="AA325" s="7"/>
      <c r="AB325" s="7"/>
      <c r="AC325" s="9"/>
      <c r="AD325" s="9"/>
      <c r="AE325" s="9"/>
      <c r="AF325" s="3"/>
      <c r="AG325" s="3"/>
      <c r="AH325" s="3"/>
      <c r="AL325" s="11"/>
      <c r="AM325" s="3"/>
      <c r="AN325" s="3"/>
      <c r="AO325" s="11"/>
      <c r="AP325" s="7"/>
      <c r="AQ325" s="7"/>
      <c r="AR325" s="7"/>
      <c r="AS325" s="7"/>
      <c r="AT325" s="9"/>
      <c r="AU325" s="9"/>
      <c r="AV325" s="9"/>
      <c r="AW325" s="3"/>
      <c r="AX325" s="3"/>
      <c r="AY325" s="3"/>
    </row>
    <row r="326" spans="1:51" x14ac:dyDescent="0.25">
      <c r="A326">
        <v>293</v>
      </c>
      <c r="B326" s="1" t="s">
        <v>334</v>
      </c>
      <c r="C326" s="1" t="s">
        <v>682</v>
      </c>
      <c r="D326" s="2">
        <v>40828</v>
      </c>
      <c r="E326" s="3">
        <v>39.6</v>
      </c>
      <c r="F326" s="4">
        <f t="shared" si="28"/>
        <v>5773.3641128514637</v>
      </c>
      <c r="G326" s="2">
        <v>40204</v>
      </c>
      <c r="H326" s="7">
        <v>3.52</v>
      </c>
      <c r="I326" s="7">
        <f>H326+H321-2*$A$24</f>
        <v>5.9599999999999991</v>
      </c>
      <c r="J326" s="7">
        <v>3.06</v>
      </c>
      <c r="K326" s="7">
        <v>5.0599999999999996</v>
      </c>
      <c r="L326" s="6">
        <f t="shared" si="29"/>
        <v>0.33892617449664436</v>
      </c>
      <c r="M326" s="6">
        <f t="shared" si="30"/>
        <v>0.56375838926174493</v>
      </c>
      <c r="N326" s="6">
        <f t="shared" si="31"/>
        <v>9.7315436241610764E-2</v>
      </c>
      <c r="O326" s="4">
        <f t="shared" si="32"/>
        <v>1956.7442127449594</v>
      </c>
      <c r="P326" s="4">
        <f t="shared" si="33"/>
        <v>3254.7824528827041</v>
      </c>
      <c r="Q326" s="4">
        <f t="shared" si="34"/>
        <v>5211.5266656276635</v>
      </c>
      <c r="V326" s="3"/>
      <c r="W326" s="3"/>
      <c r="Y326" s="7"/>
      <c r="Z326" s="7"/>
      <c r="AA326" s="7"/>
      <c r="AB326" s="7"/>
      <c r="AC326" s="9"/>
      <c r="AD326" s="9"/>
      <c r="AE326" s="9"/>
      <c r="AF326" s="3"/>
      <c r="AG326" s="3"/>
      <c r="AH326" s="3"/>
      <c r="AJ326" t="s">
        <v>867</v>
      </c>
      <c r="AK326" t="s">
        <v>682</v>
      </c>
      <c r="AL326" s="11">
        <f>D317</f>
        <v>40828</v>
      </c>
      <c r="AM326" s="3">
        <f>SUM(E317,E330)</f>
        <v>68.8</v>
      </c>
      <c r="AN326" s="3">
        <f>(AM326-4*$A$20)*$A$21/(2*$A$22)*$A$23</f>
        <v>4971.5079860665373</v>
      </c>
      <c r="AO326" s="11">
        <f>G317</f>
        <v>40204</v>
      </c>
      <c r="AP326" s="7">
        <f>SUM(H317,H330)</f>
        <v>6.6400000000000006</v>
      </c>
      <c r="AQ326" s="7">
        <f>SUM(I317,I330)</f>
        <v>12.64</v>
      </c>
      <c r="AR326" s="7">
        <f>SUM(J317,J330)</f>
        <v>6.44</v>
      </c>
      <c r="AS326" s="7">
        <f>SUM(K317,K330)</f>
        <v>10.56</v>
      </c>
      <c r="AT326" s="9">
        <f>(AR326-2*$A$25)/AQ326</f>
        <v>0.3449367088607595</v>
      </c>
      <c r="AU326" s="9">
        <f>(AS326-2*$A$26)/AQ326</f>
        <v>0.56645569620253167</v>
      </c>
      <c r="AV326" s="9">
        <f>1-AT326-AU326</f>
        <v>8.8607594936708778E-2</v>
      </c>
      <c r="AW326" s="3">
        <f>AN326*AT326</f>
        <v>1714.8556027887739</v>
      </c>
      <c r="AX326" s="3">
        <f>AN326*AU326</f>
        <v>2816.1390174237663</v>
      </c>
      <c r="AY326" s="3">
        <f>AW326+AX326</f>
        <v>4530.9946202125402</v>
      </c>
    </row>
    <row r="327" spans="1:51" x14ac:dyDescent="0.25">
      <c r="A327">
        <v>294</v>
      </c>
      <c r="B327" s="1" t="s">
        <v>335</v>
      </c>
      <c r="C327" s="1" t="s">
        <v>682</v>
      </c>
      <c r="D327" s="2">
        <v>40828</v>
      </c>
      <c r="E327" s="3">
        <v>40.900000000000006</v>
      </c>
      <c r="F327" s="4">
        <f t="shared" si="28"/>
        <v>5973.828144547696</v>
      </c>
      <c r="G327" s="2">
        <v>40204</v>
      </c>
      <c r="H327" s="7">
        <v>3.02</v>
      </c>
      <c r="I327" s="7">
        <f>H327+H320-2*$A$24</f>
        <v>6.22</v>
      </c>
      <c r="J327" s="7">
        <v>3.14</v>
      </c>
      <c r="K327" s="7">
        <v>5.2</v>
      </c>
      <c r="L327" s="6">
        <f t="shared" si="29"/>
        <v>0.33762057877813506</v>
      </c>
      <c r="M327" s="6">
        <f t="shared" si="30"/>
        <v>0.56270096463022512</v>
      </c>
      <c r="N327" s="6">
        <f t="shared" si="31"/>
        <v>9.9678456591639875E-2</v>
      </c>
      <c r="O327" s="4">
        <f t="shared" si="32"/>
        <v>2016.8873156833058</v>
      </c>
      <c r="P327" s="4">
        <f t="shared" si="33"/>
        <v>3361.4788594721763</v>
      </c>
      <c r="Q327" s="4">
        <f t="shared" si="34"/>
        <v>5378.3661751554819</v>
      </c>
      <c r="V327" s="3"/>
      <c r="W327" s="3"/>
      <c r="Y327" s="7"/>
      <c r="Z327" s="7"/>
      <c r="AA327" s="7"/>
      <c r="AB327" s="7"/>
      <c r="AC327" s="9"/>
      <c r="AD327" s="9"/>
      <c r="AE327" s="9"/>
      <c r="AF327" s="3"/>
      <c r="AG327" s="3"/>
      <c r="AH327" s="3"/>
      <c r="AL327" s="11"/>
      <c r="AM327" s="3"/>
      <c r="AN327" s="3"/>
      <c r="AO327" s="11"/>
      <c r="AP327" s="7"/>
      <c r="AQ327" s="7"/>
      <c r="AR327" s="7"/>
      <c r="AS327" s="7"/>
      <c r="AT327" s="9"/>
      <c r="AU327" s="9"/>
      <c r="AV327" s="9"/>
      <c r="AW327" s="3"/>
      <c r="AX327" s="3"/>
      <c r="AY327" s="3"/>
    </row>
    <row r="328" spans="1:51" x14ac:dyDescent="0.25">
      <c r="A328">
        <v>295</v>
      </c>
      <c r="B328" s="1" t="s">
        <v>336</v>
      </c>
      <c r="C328" s="1" t="s">
        <v>682</v>
      </c>
      <c r="D328" s="2">
        <v>40828</v>
      </c>
      <c r="E328" s="3">
        <v>41.6</v>
      </c>
      <c r="F328" s="4">
        <f t="shared" si="28"/>
        <v>6081.770315461049</v>
      </c>
      <c r="G328" s="2">
        <v>40204</v>
      </c>
      <c r="H328" s="7">
        <v>3.24</v>
      </c>
      <c r="I328" s="7">
        <f>H328+H319-2*$A$24</f>
        <v>6.04</v>
      </c>
      <c r="J328" s="7">
        <v>3.1</v>
      </c>
      <c r="K328" s="7">
        <v>5.0999999999999996</v>
      </c>
      <c r="L328" s="6">
        <f t="shared" si="29"/>
        <v>0.34105960264900664</v>
      </c>
      <c r="M328" s="6">
        <f t="shared" si="30"/>
        <v>0.56291390728476809</v>
      </c>
      <c r="N328" s="6">
        <f t="shared" si="31"/>
        <v>9.6026490066225212E-2</v>
      </c>
      <c r="O328" s="4">
        <f t="shared" si="32"/>
        <v>2074.246167193669</v>
      </c>
      <c r="P328" s="4">
        <f t="shared" si="33"/>
        <v>3423.5130914846959</v>
      </c>
      <c r="Q328" s="4">
        <f t="shared" si="34"/>
        <v>5497.7592586783649</v>
      </c>
      <c r="V328" s="3"/>
      <c r="W328" s="3"/>
      <c r="Y328" s="7"/>
      <c r="Z328" s="7"/>
      <c r="AA328" s="7"/>
      <c r="AB328" s="7"/>
      <c r="AC328" s="9"/>
      <c r="AD328" s="9"/>
      <c r="AE328" s="9"/>
      <c r="AF328" s="3"/>
      <c r="AG328" s="3"/>
      <c r="AH328" s="3"/>
      <c r="AJ328" t="s">
        <v>868</v>
      </c>
      <c r="AK328" t="s">
        <v>682</v>
      </c>
      <c r="AL328" s="11">
        <f>D316</f>
        <v>40828</v>
      </c>
      <c r="AM328" s="3">
        <f>SUM(E316,E331)</f>
        <v>68.800000000000011</v>
      </c>
      <c r="AN328" s="3">
        <f>(AM328-4*$A$20)*$A$21/(2*$A$22)*$A$23</f>
        <v>4971.5079860665392</v>
      </c>
      <c r="AO328" s="11">
        <f>G316</f>
        <v>40204</v>
      </c>
      <c r="AP328" s="7">
        <f>SUM(H316,H331)</f>
        <v>6.62</v>
      </c>
      <c r="AQ328" s="7">
        <f>SUM(I316,I331)</f>
        <v>12.6</v>
      </c>
      <c r="AR328" s="7">
        <f>SUM(J316,J331)</f>
        <v>6.48</v>
      </c>
      <c r="AS328" s="7">
        <f>SUM(K316,K331)</f>
        <v>10.44</v>
      </c>
      <c r="AT328" s="9">
        <f>(AR328-2*$A$25)/AQ328</f>
        <v>0.34920634920634924</v>
      </c>
      <c r="AU328" s="9">
        <f>(AS328-2*$A$26)/AQ328</f>
        <v>0.55873015873015863</v>
      </c>
      <c r="AV328" s="9">
        <f>1-AT328-AU328</f>
        <v>9.2063492063492069E-2</v>
      </c>
      <c r="AW328" s="3">
        <f>AN328*AT328</f>
        <v>1736.0821538645059</v>
      </c>
      <c r="AX328" s="3">
        <f>AN328*AU328</f>
        <v>2777.7314461832088</v>
      </c>
      <c r="AY328" s="3">
        <f>AW328+AX328</f>
        <v>4513.8136000477152</v>
      </c>
    </row>
    <row r="329" spans="1:51" x14ac:dyDescent="0.25">
      <c r="A329">
        <v>296</v>
      </c>
      <c r="B329" s="1" t="s">
        <v>337</v>
      </c>
      <c r="C329" s="1" t="s">
        <v>682</v>
      </c>
      <c r="D329" s="2">
        <v>40828</v>
      </c>
      <c r="E329" s="3">
        <v>37</v>
      </c>
      <c r="F329" s="4">
        <f t="shared" si="28"/>
        <v>5372.436049459001</v>
      </c>
      <c r="G329" s="2">
        <v>40204</v>
      </c>
      <c r="H329" s="7">
        <v>3.56</v>
      </c>
      <c r="I329" s="7">
        <f>H329+H318-2*$A$24</f>
        <v>6.5399999999999991</v>
      </c>
      <c r="J329" s="7">
        <v>3.32</v>
      </c>
      <c r="K329" s="7">
        <v>5.34</v>
      </c>
      <c r="L329" s="6">
        <f t="shared" si="29"/>
        <v>0.34862385321100919</v>
      </c>
      <c r="M329" s="6">
        <f t="shared" si="30"/>
        <v>0.55657492354740068</v>
      </c>
      <c r="N329" s="6">
        <f t="shared" si="31"/>
        <v>9.4801223241590127E-2</v>
      </c>
      <c r="O329" s="4">
        <f t="shared" si="32"/>
        <v>1872.9593566921289</v>
      </c>
      <c r="P329" s="4">
        <f t="shared" si="33"/>
        <v>2990.1631834909426</v>
      </c>
      <c r="Q329" s="4">
        <f t="shared" si="34"/>
        <v>4863.1225401830716</v>
      </c>
      <c r="V329" s="3"/>
      <c r="W329" s="3"/>
      <c r="Y329" s="7"/>
      <c r="Z329" s="7"/>
      <c r="AA329" s="7"/>
      <c r="AB329" s="7"/>
      <c r="AC329" s="9"/>
      <c r="AD329" s="9"/>
      <c r="AE329" s="9"/>
      <c r="AF329" s="3"/>
      <c r="AG329" s="3"/>
      <c r="AH329" s="3"/>
      <c r="AL329" s="11"/>
      <c r="AM329" s="3"/>
      <c r="AN329" s="3"/>
      <c r="AO329" s="11"/>
      <c r="AP329" s="7"/>
      <c r="AQ329" s="7"/>
      <c r="AR329" s="7"/>
      <c r="AS329" s="7"/>
      <c r="AT329" s="9"/>
      <c r="AU329" s="9"/>
      <c r="AV329" s="9"/>
      <c r="AW329" s="3"/>
      <c r="AX329" s="3"/>
      <c r="AY329" s="3"/>
    </row>
    <row r="330" spans="1:51" x14ac:dyDescent="0.25">
      <c r="A330">
        <v>297</v>
      </c>
      <c r="B330" s="1" t="s">
        <v>338</v>
      </c>
      <c r="C330" s="1" t="s">
        <v>682</v>
      </c>
      <c r="D330" s="2">
        <v>40828</v>
      </c>
      <c r="E330" s="3">
        <v>36</v>
      </c>
      <c r="F330" s="4">
        <f t="shared" si="28"/>
        <v>5218.2329481542074</v>
      </c>
      <c r="G330" s="2">
        <v>40204</v>
      </c>
      <c r="H330" s="7">
        <v>3.14</v>
      </c>
      <c r="I330" s="7">
        <f>H330+H317-2*$A$24</f>
        <v>6.32</v>
      </c>
      <c r="J330" s="7">
        <v>3.22</v>
      </c>
      <c r="K330" s="7">
        <v>5.28</v>
      </c>
      <c r="L330" s="6">
        <f t="shared" si="29"/>
        <v>0.3449367088607595</v>
      </c>
      <c r="M330" s="6">
        <f t="shared" si="30"/>
        <v>0.56645569620253167</v>
      </c>
      <c r="N330" s="6">
        <f t="shared" si="31"/>
        <v>8.8607594936708778E-2</v>
      </c>
      <c r="O330" s="4">
        <f t="shared" si="32"/>
        <v>1799.9600992050905</v>
      </c>
      <c r="P330" s="4">
        <f t="shared" si="33"/>
        <v>2955.897777593681</v>
      </c>
      <c r="Q330" s="4">
        <f t="shared" si="34"/>
        <v>4755.857876798771</v>
      </c>
      <c r="V330" s="3"/>
      <c r="W330" s="3"/>
      <c r="Y330" s="7"/>
      <c r="Z330" s="7"/>
      <c r="AA330" s="7"/>
      <c r="AB330" s="7"/>
      <c r="AC330" s="9"/>
      <c r="AD330" s="9"/>
      <c r="AE330" s="9"/>
      <c r="AF330" s="3"/>
      <c r="AG330" s="3"/>
      <c r="AH330" s="3"/>
      <c r="AJ330" t="s">
        <v>869</v>
      </c>
      <c r="AK330" t="s">
        <v>682</v>
      </c>
      <c r="AL330" s="11">
        <f>D315</f>
        <v>40828</v>
      </c>
      <c r="AM330" s="3">
        <f>SUM(E315,E332)</f>
        <v>66.099999999999994</v>
      </c>
      <c r="AN330" s="3">
        <f>(AM330-4*$A$20)*$A$21/(2*$A$22)*$A$23</f>
        <v>4763.3337993050663</v>
      </c>
      <c r="AO330" s="11">
        <f>G315</f>
        <v>40204</v>
      </c>
      <c r="AP330" s="7">
        <f>SUM(H315,H332)</f>
        <v>7.16</v>
      </c>
      <c r="AQ330" s="7">
        <f>SUM(I315,I332)</f>
        <v>13.68</v>
      </c>
      <c r="AR330" s="7">
        <f>SUM(J315,J332)</f>
        <v>6.72</v>
      </c>
      <c r="AS330" s="7">
        <f>SUM(K315,K332)</f>
        <v>11.04</v>
      </c>
      <c r="AT330" s="9">
        <f>(AR330-2*$A$25)/AQ330</f>
        <v>0.33918128654970758</v>
      </c>
      <c r="AU330" s="9">
        <f>(AS330-2*$A$26)/AQ330</f>
        <v>0.55847953216374258</v>
      </c>
      <c r="AV330" s="9">
        <f>1-AT330-AU330</f>
        <v>0.10233918128654984</v>
      </c>
      <c r="AW330" s="3">
        <f>AN330*AT330</f>
        <v>1615.6336863139991</v>
      </c>
      <c r="AX330" s="3">
        <f>AN330*AU330</f>
        <v>2660.2244317756358</v>
      </c>
      <c r="AY330" s="3">
        <f>AW330+AX330</f>
        <v>4275.8581180896344</v>
      </c>
    </row>
    <row r="331" spans="1:51" x14ac:dyDescent="0.25">
      <c r="A331">
        <v>298</v>
      </c>
      <c r="B331" s="1" t="s">
        <v>339</v>
      </c>
      <c r="C331" s="1" t="s">
        <v>682</v>
      </c>
      <c r="D331" s="2">
        <v>40828</v>
      </c>
      <c r="E331" s="3">
        <v>38.200000000000003</v>
      </c>
      <c r="F331" s="4">
        <f t="shared" si="28"/>
        <v>5557.479771024754</v>
      </c>
      <c r="G331" s="2">
        <v>40204</v>
      </c>
      <c r="H331" s="7">
        <v>2.98</v>
      </c>
      <c r="I331" s="7">
        <f>H331+H316-2*$A$24</f>
        <v>6.3</v>
      </c>
      <c r="J331" s="7">
        <v>3.24</v>
      </c>
      <c r="K331" s="7">
        <v>5.22</v>
      </c>
      <c r="L331" s="6">
        <f t="shared" si="29"/>
        <v>0.34920634920634924</v>
      </c>
      <c r="M331" s="6">
        <f t="shared" si="30"/>
        <v>0.55873015873015863</v>
      </c>
      <c r="N331" s="6">
        <f t="shared" si="31"/>
        <v>9.2063492063492069E-2</v>
      </c>
      <c r="O331" s="4">
        <f t="shared" si="32"/>
        <v>1940.707221627692</v>
      </c>
      <c r="P331" s="4">
        <f t="shared" si="33"/>
        <v>3105.1315546043065</v>
      </c>
      <c r="Q331" s="4">
        <f t="shared" si="34"/>
        <v>5045.8387762319981</v>
      </c>
      <c r="V331" s="3"/>
      <c r="W331" s="3"/>
      <c r="Y331" s="7"/>
      <c r="Z331" s="7"/>
      <c r="AA331" s="7"/>
      <c r="AB331" s="7"/>
      <c r="AC331" s="9"/>
      <c r="AD331" s="9"/>
      <c r="AE331" s="9"/>
      <c r="AF331" s="3"/>
      <c r="AG331" s="3"/>
      <c r="AH331" s="3"/>
      <c r="AL331" s="11"/>
      <c r="AM331" s="3"/>
      <c r="AN331" s="3"/>
      <c r="AO331" s="11"/>
      <c r="AP331" s="7"/>
      <c r="AQ331" s="7"/>
      <c r="AR331" s="7"/>
      <c r="AS331" s="7"/>
      <c r="AT331" s="9"/>
      <c r="AU331" s="9"/>
      <c r="AV331" s="9"/>
      <c r="AW331" s="3"/>
      <c r="AX331" s="3"/>
      <c r="AY331" s="3"/>
    </row>
    <row r="332" spans="1:51" x14ac:dyDescent="0.25">
      <c r="A332">
        <v>299</v>
      </c>
      <c r="B332" s="1" t="s">
        <v>340</v>
      </c>
      <c r="C332" s="1" t="s">
        <v>682</v>
      </c>
      <c r="D332" s="2">
        <v>40828</v>
      </c>
      <c r="E332" s="3">
        <v>34.200000000000003</v>
      </c>
      <c r="F332" s="4">
        <f t="shared" si="28"/>
        <v>4940.6673658055806</v>
      </c>
      <c r="G332" s="2">
        <v>40204</v>
      </c>
      <c r="H332" s="7">
        <v>3.44</v>
      </c>
      <c r="I332" s="7">
        <f>H332+H315-2*$A$24</f>
        <v>6.84</v>
      </c>
      <c r="J332" s="7">
        <v>3.36</v>
      </c>
      <c r="K332" s="7">
        <v>5.52</v>
      </c>
      <c r="L332" s="6">
        <f t="shared" si="29"/>
        <v>0.33918128654970758</v>
      </c>
      <c r="M332" s="6">
        <f t="shared" si="30"/>
        <v>0.55847953216374258</v>
      </c>
      <c r="N332" s="6">
        <f t="shared" si="31"/>
        <v>0.10233918128654984</v>
      </c>
      <c r="O332" s="4">
        <f t="shared" si="32"/>
        <v>1675.7819135480916</v>
      </c>
      <c r="P332" s="4">
        <f t="shared" si="33"/>
        <v>2759.2615990317709</v>
      </c>
      <c r="Q332" s="4">
        <f t="shared" si="34"/>
        <v>4435.0435125798622</v>
      </c>
      <c r="V332" s="3"/>
      <c r="W332" s="3"/>
      <c r="Y332" s="7"/>
      <c r="Z332" s="7"/>
      <c r="AA332" s="7"/>
      <c r="AB332" s="7"/>
      <c r="AC332" s="9"/>
      <c r="AD332" s="9"/>
      <c r="AE332" s="9"/>
      <c r="AF332" s="3"/>
      <c r="AG332" s="3"/>
      <c r="AH332" s="3"/>
      <c r="AJ332" t="s">
        <v>870</v>
      </c>
      <c r="AK332" t="s">
        <v>682</v>
      </c>
      <c r="AL332" s="11">
        <f>D314</f>
        <v>40828</v>
      </c>
      <c r="AM332" s="3">
        <f>SUM(E314,E333)</f>
        <v>58.400000000000006</v>
      </c>
      <c r="AN332" s="3">
        <f>(AM332-4*$A$20)*$A$21/(2*$A$22)*$A$23</f>
        <v>4169.6518592816128</v>
      </c>
      <c r="AO332" s="11">
        <f>G314</f>
        <v>40204</v>
      </c>
      <c r="AP332" s="7">
        <f>SUM(H314,H333)</f>
        <v>5.8599999999999994</v>
      </c>
      <c r="AQ332" s="7">
        <f>SUM(I314,I333)</f>
        <v>11.079999999999998</v>
      </c>
      <c r="AR332" s="7">
        <f>SUM(J314,J333)</f>
        <v>5.92</v>
      </c>
      <c r="AS332" s="7">
        <f>SUM(K314,K333)</f>
        <v>9.7200000000000006</v>
      </c>
      <c r="AT332" s="9">
        <f>(AR332-2*$A$25)/AQ332</f>
        <v>0.3465703971119134</v>
      </c>
      <c r="AU332" s="9">
        <f>(AS332-2*$A$26)/AQ332</f>
        <v>0.57039711191335751</v>
      </c>
      <c r="AV332" s="9">
        <f>1-AT332-AU332</f>
        <v>8.303249097472909E-2</v>
      </c>
      <c r="AW332" s="3">
        <f>AN332*AT332</f>
        <v>1445.0779006896566</v>
      </c>
      <c r="AX332" s="3">
        <f>AN332*AU332</f>
        <v>2378.3573782183935</v>
      </c>
      <c r="AY332" s="3">
        <f>AW332+AX332</f>
        <v>3823.4352789080503</v>
      </c>
    </row>
    <row r="333" spans="1:51" x14ac:dyDescent="0.25">
      <c r="A333">
        <v>300</v>
      </c>
      <c r="B333" s="1" t="s">
        <v>341</v>
      </c>
      <c r="C333" s="1" t="s">
        <v>682</v>
      </c>
      <c r="D333" s="2">
        <v>40828</v>
      </c>
      <c r="E333" s="3">
        <v>30.3</v>
      </c>
      <c r="F333" s="4">
        <f t="shared" si="28"/>
        <v>4339.2752707168856</v>
      </c>
      <c r="G333" s="2">
        <v>40204</v>
      </c>
      <c r="H333" s="7">
        <v>2.82</v>
      </c>
      <c r="I333" s="7">
        <f>H333+H314-2*$A$24</f>
        <v>5.5399999999999991</v>
      </c>
      <c r="J333" s="7">
        <v>2.96</v>
      </c>
      <c r="K333" s="7">
        <v>4.8600000000000003</v>
      </c>
      <c r="L333" s="6">
        <f t="shared" si="29"/>
        <v>0.3465703971119134</v>
      </c>
      <c r="M333" s="6">
        <f t="shared" si="30"/>
        <v>0.57039711191335751</v>
      </c>
      <c r="N333" s="6">
        <f t="shared" si="31"/>
        <v>8.303249097472909E-2</v>
      </c>
      <c r="O333" s="4">
        <f t="shared" si="32"/>
        <v>1503.8643537502567</v>
      </c>
      <c r="P333" s="4">
        <f t="shared" si="33"/>
        <v>2475.1100822139642</v>
      </c>
      <c r="Q333" s="4">
        <f t="shared" si="34"/>
        <v>3978.9744359642209</v>
      </c>
      <c r="V333" s="3"/>
      <c r="W333" s="3"/>
      <c r="Y333" s="7"/>
      <c r="Z333" s="7"/>
      <c r="AA333" s="7"/>
      <c r="AB333" s="7"/>
      <c r="AC333" s="9"/>
      <c r="AD333" s="9"/>
      <c r="AE333" s="9"/>
      <c r="AF333" s="3"/>
      <c r="AG333" s="3"/>
      <c r="AH333" s="3"/>
      <c r="AL333" s="11"/>
      <c r="AM333" s="3"/>
      <c r="AN333" s="3"/>
      <c r="AO333" s="11"/>
      <c r="AP333" s="7"/>
      <c r="AQ333" s="7"/>
      <c r="AR333" s="7"/>
      <c r="AS333" s="7"/>
      <c r="AT333" s="9"/>
      <c r="AU333" s="9"/>
      <c r="AV333" s="9"/>
      <c r="AW333" s="3"/>
      <c r="AX333" s="3"/>
      <c r="AY333" s="3"/>
    </row>
    <row r="334" spans="1:51" x14ac:dyDescent="0.25">
      <c r="A334">
        <v>301</v>
      </c>
      <c r="B334" s="1" t="s">
        <v>342</v>
      </c>
      <c r="C334" s="1" t="s">
        <v>682</v>
      </c>
      <c r="D334" s="2">
        <v>40828</v>
      </c>
      <c r="E334" s="3">
        <v>29.4</v>
      </c>
      <c r="F334" s="4">
        <f t="shared" si="28"/>
        <v>4200.4924795425704</v>
      </c>
      <c r="G334" s="2">
        <v>40204</v>
      </c>
      <c r="H334" s="7">
        <v>3.32</v>
      </c>
      <c r="I334" s="7">
        <f>H334+H353-2*$A$24</f>
        <v>5.8599999999999994</v>
      </c>
      <c r="J334" s="7">
        <v>3.02</v>
      </c>
      <c r="K334" s="7">
        <v>5.0199999999999996</v>
      </c>
      <c r="L334" s="6">
        <f t="shared" si="29"/>
        <v>0.33788395904436863</v>
      </c>
      <c r="M334" s="6">
        <f t="shared" si="30"/>
        <v>0.56655290102389078</v>
      </c>
      <c r="N334" s="6">
        <f t="shared" si="31"/>
        <v>9.5563139931740593E-2</v>
      </c>
      <c r="O334" s="4">
        <f t="shared" si="32"/>
        <v>1419.2790289239404</v>
      </c>
      <c r="P334" s="4">
        <f t="shared" si="33"/>
        <v>2379.8012000138797</v>
      </c>
      <c r="Q334" s="4">
        <f t="shared" si="34"/>
        <v>3799.0802289378198</v>
      </c>
      <c r="V334" s="3"/>
      <c r="W334" s="3"/>
      <c r="Y334" s="7"/>
      <c r="Z334" s="7"/>
      <c r="AA334" s="7"/>
      <c r="AB334" s="7"/>
      <c r="AC334" s="9"/>
      <c r="AD334" s="9"/>
      <c r="AE334" s="9"/>
      <c r="AF334" s="3"/>
      <c r="AG334" s="3"/>
      <c r="AH334" s="3"/>
      <c r="AJ334" t="s">
        <v>871</v>
      </c>
      <c r="AK334" t="s">
        <v>682</v>
      </c>
      <c r="AL334" s="11">
        <f>D343</f>
        <v>40828</v>
      </c>
      <c r="AM334" s="3">
        <f>SUM(E343,E344)</f>
        <v>71.599999999999994</v>
      </c>
      <c r="AN334" s="3">
        <f>(AM334-4*$A$20)*$A$21/(2*$A$22)*$A$23</f>
        <v>5187.3923278932489</v>
      </c>
      <c r="AO334" s="11">
        <f>G343</f>
        <v>40204</v>
      </c>
      <c r="AP334" s="7">
        <f>SUM(H343,H344)</f>
        <v>6.0600000000000005</v>
      </c>
      <c r="AQ334" s="7">
        <f>SUM(I343,I344)</f>
        <v>11.48</v>
      </c>
      <c r="AR334" s="7">
        <f>SUM(J343,J344)</f>
        <v>5.84</v>
      </c>
      <c r="AS334" s="7">
        <f>SUM(K343,K344)</f>
        <v>9.76</v>
      </c>
      <c r="AT334" s="9">
        <f>(AR334-2*$A$25)/AQ334</f>
        <v>0.32752613240418116</v>
      </c>
      <c r="AU334" s="9">
        <f>(AS334-2*$A$26)/AQ334</f>
        <v>0.55400696864111487</v>
      </c>
      <c r="AV334" s="9">
        <f>1-AT334-AU334</f>
        <v>0.11846689895470397</v>
      </c>
      <c r="AW334" s="3">
        <f>AN334*AT334</f>
        <v>1699.0065464179977</v>
      </c>
      <c r="AX334" s="3">
        <f>AN334*AU334</f>
        <v>2873.8514987283152</v>
      </c>
      <c r="AY334" s="3">
        <f>AW334+AX334</f>
        <v>4572.8580451463131</v>
      </c>
    </row>
    <row r="335" spans="1:51" x14ac:dyDescent="0.25">
      <c r="A335">
        <v>302</v>
      </c>
      <c r="B335" s="1" t="s">
        <v>343</v>
      </c>
      <c r="C335" s="1" t="s">
        <v>682</v>
      </c>
      <c r="D335" s="2">
        <v>40828</v>
      </c>
      <c r="E335" s="3">
        <v>33.900000000000006</v>
      </c>
      <c r="F335" s="4">
        <f t="shared" si="28"/>
        <v>4894.4064354141428</v>
      </c>
      <c r="G335" s="2">
        <v>40204</v>
      </c>
      <c r="H335" s="7">
        <v>3.26</v>
      </c>
      <c r="I335" s="7">
        <f>H335+H352-2*$A$24</f>
        <v>6.4399999999999995</v>
      </c>
      <c r="J335" s="7">
        <v>3.24</v>
      </c>
      <c r="K335" s="7">
        <v>5.34</v>
      </c>
      <c r="L335" s="6">
        <f t="shared" si="29"/>
        <v>0.34161490683229817</v>
      </c>
      <c r="M335" s="6">
        <f t="shared" si="30"/>
        <v>0.56521739130434778</v>
      </c>
      <c r="N335" s="6">
        <f t="shared" si="31"/>
        <v>9.3167701863353991E-2</v>
      </c>
      <c r="O335" s="4">
        <f t="shared" si="32"/>
        <v>1672.002198433403</v>
      </c>
      <c r="P335" s="4">
        <f t="shared" si="33"/>
        <v>2766.4036374079938</v>
      </c>
      <c r="Q335" s="4">
        <f t="shared" si="34"/>
        <v>4438.4058358413968</v>
      </c>
      <c r="V335" s="3"/>
      <c r="W335" s="3"/>
      <c r="Y335" s="7"/>
      <c r="Z335" s="7"/>
      <c r="AA335" s="7"/>
      <c r="AB335" s="7"/>
      <c r="AC335" s="9"/>
      <c r="AD335" s="9"/>
      <c r="AE335" s="9"/>
      <c r="AF335" s="3"/>
      <c r="AG335" s="3"/>
      <c r="AH335" s="3"/>
      <c r="AL335" s="11"/>
      <c r="AM335" s="3"/>
      <c r="AN335" s="3"/>
      <c r="AO335" s="11"/>
      <c r="AP335" s="7"/>
      <c r="AQ335" s="7"/>
      <c r="AR335" s="7"/>
      <c r="AS335" s="7"/>
      <c r="AT335" s="9"/>
      <c r="AU335" s="9"/>
      <c r="AV335" s="9"/>
      <c r="AW335" s="3"/>
      <c r="AX335" s="3"/>
      <c r="AY335" s="3"/>
    </row>
    <row r="336" spans="1:51" x14ac:dyDescent="0.25">
      <c r="A336">
        <v>303</v>
      </c>
      <c r="B336" s="1" t="s">
        <v>344</v>
      </c>
      <c r="C336" s="1" t="s">
        <v>682</v>
      </c>
      <c r="D336" s="2">
        <v>40828</v>
      </c>
      <c r="E336" s="3">
        <v>37.799999999999997</v>
      </c>
      <c r="F336" s="4">
        <f t="shared" si="28"/>
        <v>5495.798530502836</v>
      </c>
      <c r="G336" s="2">
        <v>40204</v>
      </c>
      <c r="H336" s="7">
        <v>2.4</v>
      </c>
      <c r="I336" s="7">
        <f>H336+H351-2*$A$24</f>
        <v>4.6399999999999997</v>
      </c>
      <c r="J336" s="7">
        <v>2.64</v>
      </c>
      <c r="K336" s="7">
        <v>4.38</v>
      </c>
      <c r="L336" s="6">
        <f t="shared" si="29"/>
        <v>0.34482758620689657</v>
      </c>
      <c r="M336" s="6">
        <f t="shared" si="30"/>
        <v>0.57758620689655171</v>
      </c>
      <c r="N336" s="6">
        <f t="shared" si="31"/>
        <v>7.7586206896551713E-2</v>
      </c>
      <c r="O336" s="4">
        <f t="shared" si="32"/>
        <v>1895.1029415527023</v>
      </c>
      <c r="P336" s="4">
        <f t="shared" si="33"/>
        <v>3174.2974271007761</v>
      </c>
      <c r="Q336" s="4">
        <f t="shared" si="34"/>
        <v>5069.4003686534779</v>
      </c>
      <c r="V336" s="3"/>
      <c r="W336" s="3"/>
      <c r="Y336" s="7"/>
      <c r="Z336" s="7"/>
      <c r="AA336" s="7"/>
      <c r="AB336" s="7"/>
      <c r="AC336" s="9"/>
      <c r="AD336" s="9"/>
      <c r="AE336" s="9"/>
      <c r="AF336" s="3"/>
      <c r="AG336" s="3"/>
      <c r="AH336" s="3"/>
      <c r="AJ336" t="s">
        <v>872</v>
      </c>
      <c r="AK336" t="s">
        <v>682</v>
      </c>
      <c r="AL336" s="11">
        <f>D342</f>
        <v>40828</v>
      </c>
      <c r="AM336" s="3">
        <f>SUM(E342,E345)</f>
        <v>68.599999999999994</v>
      </c>
      <c r="AN336" s="3">
        <f>(AM336-4*$A$20)*$A$21/(2*$A$22)*$A$23</f>
        <v>4956.0876759360581</v>
      </c>
      <c r="AO336" s="11">
        <f>G342</f>
        <v>40204</v>
      </c>
      <c r="AP336" s="7">
        <f>SUM(H342,H345)</f>
        <v>5.92</v>
      </c>
      <c r="AQ336" s="7">
        <f>SUM(I342,I345)</f>
        <v>11.2</v>
      </c>
      <c r="AR336" s="7">
        <f>SUM(J342,J345)</f>
        <v>5.88</v>
      </c>
      <c r="AS336" s="7">
        <f>SUM(K342,K345)</f>
        <v>9.7200000000000006</v>
      </c>
      <c r="AT336" s="9">
        <f>(AR336-2*$A$25)/AQ336</f>
        <v>0.3392857142857143</v>
      </c>
      <c r="AU336" s="9">
        <f>(AS336-2*$A$26)/AQ336</f>
        <v>0.56428571428571439</v>
      </c>
      <c r="AV336" s="9">
        <f>1-AT336-AU336</f>
        <v>9.6428571428571308E-2</v>
      </c>
      <c r="AW336" s="3">
        <f>AN336*AT336</f>
        <v>1681.5297471925912</v>
      </c>
      <c r="AX336" s="3">
        <f>AN336*AU336</f>
        <v>2796.6494742782047</v>
      </c>
      <c r="AY336" s="3">
        <f>AW336+AX336</f>
        <v>4478.1792214707957</v>
      </c>
    </row>
    <row r="337" spans="1:51" x14ac:dyDescent="0.25">
      <c r="A337">
        <v>304</v>
      </c>
      <c r="B337" s="1" t="s">
        <v>345</v>
      </c>
      <c r="C337" s="1" t="s">
        <v>682</v>
      </c>
      <c r="D337" s="2">
        <v>40828</v>
      </c>
      <c r="E337" s="3">
        <v>36.400000000000006</v>
      </c>
      <c r="F337" s="4">
        <f t="shared" si="28"/>
        <v>5279.9141886761254</v>
      </c>
      <c r="G337" s="2">
        <v>40204</v>
      </c>
      <c r="H337" s="7">
        <v>3.38</v>
      </c>
      <c r="I337" s="7">
        <f>H337+H350-2*$A$24</f>
        <v>6.3999999999999995</v>
      </c>
      <c r="J337" s="7">
        <v>3.18</v>
      </c>
      <c r="K337" s="7">
        <v>5.24</v>
      </c>
      <c r="L337" s="6">
        <f t="shared" si="29"/>
        <v>0.33437500000000003</v>
      </c>
      <c r="M337" s="6">
        <f t="shared" si="30"/>
        <v>0.55312500000000009</v>
      </c>
      <c r="N337" s="6">
        <f t="shared" si="31"/>
        <v>0.11249999999999982</v>
      </c>
      <c r="O337" s="4">
        <f t="shared" si="32"/>
        <v>1765.4713068385795</v>
      </c>
      <c r="P337" s="4">
        <f t="shared" si="33"/>
        <v>2920.4525356114823</v>
      </c>
      <c r="Q337" s="4">
        <f t="shared" si="34"/>
        <v>4685.9238424500618</v>
      </c>
      <c r="V337" s="3"/>
      <c r="W337" s="3"/>
      <c r="Y337" s="7"/>
      <c r="Z337" s="7"/>
      <c r="AA337" s="7"/>
      <c r="AB337" s="7"/>
      <c r="AC337" s="9"/>
      <c r="AD337" s="9"/>
      <c r="AE337" s="9"/>
      <c r="AF337" s="3"/>
      <c r="AG337" s="3"/>
      <c r="AH337" s="3"/>
      <c r="AL337" s="11"/>
      <c r="AM337" s="3"/>
      <c r="AN337" s="3"/>
      <c r="AO337" s="11"/>
      <c r="AP337" s="7"/>
      <c r="AQ337" s="7"/>
      <c r="AR337" s="7"/>
      <c r="AS337" s="7"/>
      <c r="AT337" s="9"/>
      <c r="AU337" s="9"/>
      <c r="AV337" s="9"/>
      <c r="AW337" s="3"/>
      <c r="AX337" s="3"/>
      <c r="AY337" s="3"/>
    </row>
    <row r="338" spans="1:51" x14ac:dyDescent="0.25">
      <c r="A338">
        <v>305</v>
      </c>
      <c r="B338" s="1" t="s">
        <v>346</v>
      </c>
      <c r="C338" s="1" t="s">
        <v>682</v>
      </c>
      <c r="D338" s="2">
        <v>40828</v>
      </c>
      <c r="E338" s="3">
        <v>37.299999999999997</v>
      </c>
      <c r="F338" s="4">
        <f t="shared" si="28"/>
        <v>5418.6969798504388</v>
      </c>
      <c r="G338" s="2">
        <v>40204</v>
      </c>
      <c r="H338" s="7">
        <v>3.48</v>
      </c>
      <c r="I338" s="7">
        <f>H338+H349-2*$A$24</f>
        <v>6.9399999999999995</v>
      </c>
      <c r="J338" s="7">
        <v>3.42</v>
      </c>
      <c r="K338" s="7">
        <v>5.62</v>
      </c>
      <c r="L338" s="6">
        <f t="shared" si="29"/>
        <v>0.34293948126801155</v>
      </c>
      <c r="M338" s="6">
        <f t="shared" si="30"/>
        <v>0.56484149855907784</v>
      </c>
      <c r="N338" s="6">
        <f t="shared" si="31"/>
        <v>9.2219020172910615E-2</v>
      </c>
      <c r="O338" s="4">
        <f t="shared" si="32"/>
        <v>1858.2851314184502</v>
      </c>
      <c r="P338" s="4">
        <f t="shared" si="33"/>
        <v>3060.704922336271</v>
      </c>
      <c r="Q338" s="4">
        <f t="shared" si="34"/>
        <v>4918.990053754721</v>
      </c>
      <c r="V338" s="3"/>
      <c r="W338" s="3"/>
      <c r="Y338" s="7"/>
      <c r="Z338" s="7"/>
      <c r="AA338" s="7"/>
      <c r="AB338" s="7"/>
      <c r="AC338" s="9"/>
      <c r="AD338" s="9"/>
      <c r="AE338" s="9"/>
      <c r="AF338" s="3"/>
      <c r="AG338" s="3"/>
      <c r="AH338" s="3"/>
      <c r="AJ338" t="s">
        <v>873</v>
      </c>
      <c r="AK338" t="s">
        <v>682</v>
      </c>
      <c r="AL338" s="11">
        <f>D341</f>
        <v>40828</v>
      </c>
      <c r="AM338" s="3">
        <f>SUM(E341,E346)</f>
        <v>68.599999999999994</v>
      </c>
      <c r="AN338" s="3">
        <f>(AM338-4*$A$20)*$A$21/(2*$A$22)*$A$23</f>
        <v>4956.0876759360581</v>
      </c>
      <c r="AO338" s="11">
        <f>G341</f>
        <v>40204</v>
      </c>
      <c r="AP338" s="7">
        <f>SUM(H341,H346)</f>
        <v>6.04</v>
      </c>
      <c r="AQ338" s="7">
        <f>SUM(I341,I346)</f>
        <v>11.44</v>
      </c>
      <c r="AR338" s="7">
        <f>SUM(J341,J346)</f>
        <v>5.88</v>
      </c>
      <c r="AS338" s="7">
        <f>SUM(K341,K346)</f>
        <v>9.68</v>
      </c>
      <c r="AT338" s="9">
        <f>(AR338-2*$A$25)/AQ338</f>
        <v>0.33216783216783219</v>
      </c>
      <c r="AU338" s="9">
        <f>(AS338-2*$A$26)/AQ338</f>
        <v>0.54895104895104896</v>
      </c>
      <c r="AV338" s="9">
        <f>1-AT338-AU338</f>
        <v>0.11888111888111885</v>
      </c>
      <c r="AW338" s="3">
        <f>AN338*AT338</f>
        <v>1646.25289934939</v>
      </c>
      <c r="AX338" s="3">
        <f>AN338*AU338</f>
        <v>2720.6495283984655</v>
      </c>
      <c r="AY338" s="3">
        <f>AW338+AX338</f>
        <v>4366.9024277478557</v>
      </c>
    </row>
    <row r="339" spans="1:51" x14ac:dyDescent="0.25">
      <c r="A339">
        <v>306</v>
      </c>
      <c r="B339" s="1" t="s">
        <v>347</v>
      </c>
      <c r="C339" s="1" t="s">
        <v>682</v>
      </c>
      <c r="D339" s="2">
        <v>40828</v>
      </c>
      <c r="E339" s="3">
        <v>38.4</v>
      </c>
      <c r="F339" s="4">
        <f t="shared" si="28"/>
        <v>5588.3203912857107</v>
      </c>
      <c r="G339" s="2">
        <v>40204</v>
      </c>
      <c r="H339" s="7">
        <v>2.84</v>
      </c>
      <c r="I339" s="7">
        <f>H339+H348-2*$A$24</f>
        <v>5.0999999999999996</v>
      </c>
      <c r="J339" s="7">
        <v>2.8</v>
      </c>
      <c r="K339" s="7">
        <v>4.5599999999999996</v>
      </c>
      <c r="L339" s="6">
        <f t="shared" si="29"/>
        <v>0.34509803921568627</v>
      </c>
      <c r="M339" s="6">
        <f t="shared" si="30"/>
        <v>0.56078431372549009</v>
      </c>
      <c r="N339" s="6">
        <f t="shared" si="31"/>
        <v>9.4117647058823639E-2</v>
      </c>
      <c r="O339" s="4">
        <f t="shared" si="32"/>
        <v>1928.5184095417355</v>
      </c>
      <c r="P339" s="4">
        <f t="shared" si="33"/>
        <v>3133.8424155053194</v>
      </c>
      <c r="Q339" s="4">
        <f t="shared" si="34"/>
        <v>5062.3608250470552</v>
      </c>
      <c r="V339" s="3"/>
      <c r="W339" s="3"/>
      <c r="Y339" s="7"/>
      <c r="Z339" s="7"/>
      <c r="AA339" s="7"/>
      <c r="AB339" s="7"/>
      <c r="AC339" s="9"/>
      <c r="AD339" s="9"/>
      <c r="AE339" s="9"/>
      <c r="AF339" s="3"/>
      <c r="AG339" s="3"/>
      <c r="AH339" s="3"/>
      <c r="AL339" s="11"/>
      <c r="AM339" s="3"/>
      <c r="AN339" s="3"/>
      <c r="AO339" s="11"/>
      <c r="AP339" s="7"/>
      <c r="AQ339" s="7"/>
      <c r="AR339" s="7"/>
      <c r="AS339" s="7"/>
      <c r="AT339" s="9"/>
      <c r="AU339" s="9"/>
      <c r="AV339" s="9"/>
      <c r="AW339" s="3"/>
      <c r="AX339" s="3"/>
      <c r="AY339" s="3"/>
    </row>
    <row r="340" spans="1:51" x14ac:dyDescent="0.25">
      <c r="A340">
        <v>307</v>
      </c>
      <c r="B340" s="1" t="s">
        <v>348</v>
      </c>
      <c r="C340" s="1" t="s">
        <v>682</v>
      </c>
      <c r="D340" s="2">
        <v>40828</v>
      </c>
      <c r="E340" s="3">
        <v>45.4</v>
      </c>
      <c r="F340" s="4">
        <f t="shared" si="28"/>
        <v>6667.7421004192647</v>
      </c>
      <c r="G340" s="2">
        <v>40204</v>
      </c>
      <c r="H340" s="7">
        <v>3.26</v>
      </c>
      <c r="I340" s="7">
        <f>H340+H347-2*$A$24</f>
        <v>5.2999999999999989</v>
      </c>
      <c r="J340" s="7">
        <v>2.86</v>
      </c>
      <c r="K340" s="7">
        <v>4.7</v>
      </c>
      <c r="L340" s="6">
        <f t="shared" si="29"/>
        <v>0.34339622641509437</v>
      </c>
      <c r="M340" s="6">
        <f t="shared" si="30"/>
        <v>0.5660377358490567</v>
      </c>
      <c r="N340" s="6">
        <f t="shared" si="31"/>
        <v>9.0566037735848925E-2</v>
      </c>
      <c r="O340" s="4">
        <f t="shared" si="32"/>
        <v>2289.6774759930308</v>
      </c>
      <c r="P340" s="4">
        <f t="shared" si="33"/>
        <v>3774.1936417467541</v>
      </c>
      <c r="Q340" s="4">
        <f t="shared" si="34"/>
        <v>6063.8711177397854</v>
      </c>
      <c r="V340" s="3"/>
      <c r="W340" s="3"/>
      <c r="Y340" s="7"/>
      <c r="Z340" s="7"/>
      <c r="AA340" s="7"/>
      <c r="AB340" s="7"/>
      <c r="AC340" s="9"/>
      <c r="AD340" s="9"/>
      <c r="AE340" s="9"/>
      <c r="AF340" s="3"/>
      <c r="AG340" s="3"/>
      <c r="AH340" s="3"/>
      <c r="AJ340" t="s">
        <v>874</v>
      </c>
      <c r="AK340" t="s">
        <v>682</v>
      </c>
      <c r="AL340" s="11">
        <f>D340</f>
        <v>40828</v>
      </c>
      <c r="AM340" s="3">
        <f>SUM(E340,E347)</f>
        <v>80.8</v>
      </c>
      <c r="AN340" s="3">
        <f>(AM340-4*$A$20)*$A$21/(2*$A$22)*$A$23</f>
        <v>5896.7265938952969</v>
      </c>
      <c r="AO340" s="11">
        <f>G340</f>
        <v>40204</v>
      </c>
      <c r="AP340" s="7">
        <f>SUM(H340,H347)</f>
        <v>5.6199999999999992</v>
      </c>
      <c r="AQ340" s="7">
        <f>SUM(I340,I347)</f>
        <v>10.599999999999998</v>
      </c>
      <c r="AR340" s="7">
        <f>SUM(J340,J347)</f>
        <v>5.72</v>
      </c>
      <c r="AS340" s="7">
        <f>SUM(K340,K347)</f>
        <v>9.4</v>
      </c>
      <c r="AT340" s="9">
        <f>(AR340-2*$A$25)/AQ340</f>
        <v>0.34339622641509437</v>
      </c>
      <c r="AU340" s="9">
        <f>(AS340-2*$A$26)/AQ340</f>
        <v>0.5660377358490567</v>
      </c>
      <c r="AV340" s="9">
        <f>1-AT340-AU340</f>
        <v>9.0566037735848925E-2</v>
      </c>
      <c r="AW340" s="3">
        <f>AN340*AT340</f>
        <v>2024.9136605451777</v>
      </c>
      <c r="AX340" s="3">
        <f>AN340*AU340</f>
        <v>3337.7697701294137</v>
      </c>
      <c r="AY340" s="3">
        <f>AW340+AX340</f>
        <v>5362.6834306745914</v>
      </c>
    </row>
    <row r="341" spans="1:51" x14ac:dyDescent="0.25">
      <c r="A341">
        <v>308</v>
      </c>
      <c r="B341" s="1" t="s">
        <v>349</v>
      </c>
      <c r="C341" s="1" t="s">
        <v>682</v>
      </c>
      <c r="D341" s="2">
        <v>40828</v>
      </c>
      <c r="E341" s="3">
        <v>30.1</v>
      </c>
      <c r="F341" s="4">
        <f t="shared" si="28"/>
        <v>4308.4346504559271</v>
      </c>
      <c r="G341" s="2">
        <v>40204</v>
      </c>
      <c r="H341" s="7">
        <v>3.44</v>
      </c>
      <c r="I341" s="7">
        <f>H341+H346-2*$A$24</f>
        <v>5.72</v>
      </c>
      <c r="J341" s="7">
        <v>2.94</v>
      </c>
      <c r="K341" s="7">
        <v>4.84</v>
      </c>
      <c r="L341" s="6">
        <f t="shared" si="29"/>
        <v>0.33216783216783219</v>
      </c>
      <c r="M341" s="6">
        <f t="shared" si="30"/>
        <v>0.54895104895104896</v>
      </c>
      <c r="N341" s="6">
        <f t="shared" si="31"/>
        <v>0.11888111888111885</v>
      </c>
      <c r="O341" s="4">
        <f t="shared" si="32"/>
        <v>1431.1233978787172</v>
      </c>
      <c r="P341" s="4">
        <f t="shared" si="33"/>
        <v>2365.1197207048272</v>
      </c>
      <c r="Q341" s="4">
        <f t="shared" si="34"/>
        <v>3796.2431185835444</v>
      </c>
      <c r="V341" s="3"/>
      <c r="W341" s="3"/>
      <c r="Y341" s="7"/>
      <c r="Z341" s="7"/>
      <c r="AA341" s="7"/>
      <c r="AB341" s="7"/>
      <c r="AC341" s="9"/>
      <c r="AD341" s="9"/>
      <c r="AE341" s="9"/>
      <c r="AF341" s="3"/>
      <c r="AG341" s="3"/>
      <c r="AH341" s="3"/>
      <c r="AL341" s="11"/>
      <c r="AM341" s="3"/>
      <c r="AN341" s="3"/>
      <c r="AO341" s="11"/>
      <c r="AP341" s="7"/>
      <c r="AQ341" s="7"/>
      <c r="AR341" s="7"/>
      <c r="AS341" s="7"/>
      <c r="AT341" s="9"/>
      <c r="AU341" s="9"/>
      <c r="AV341" s="9"/>
      <c r="AW341" s="3"/>
      <c r="AX341" s="3"/>
      <c r="AY341" s="3"/>
    </row>
    <row r="342" spans="1:51" x14ac:dyDescent="0.25">
      <c r="A342">
        <v>309</v>
      </c>
      <c r="B342" s="1" t="s">
        <v>350</v>
      </c>
      <c r="C342" s="1" t="s">
        <v>682</v>
      </c>
      <c r="D342" s="2">
        <v>40828</v>
      </c>
      <c r="E342" s="3">
        <v>34.5</v>
      </c>
      <c r="F342" s="4">
        <f t="shared" si="28"/>
        <v>4986.9282961970175</v>
      </c>
      <c r="G342" s="2">
        <v>40204</v>
      </c>
      <c r="H342" s="7">
        <v>3.04</v>
      </c>
      <c r="I342" s="7">
        <f>H342+H345-2*$A$24</f>
        <v>5.6</v>
      </c>
      <c r="J342" s="7">
        <v>2.94</v>
      </c>
      <c r="K342" s="7">
        <v>4.8600000000000003</v>
      </c>
      <c r="L342" s="6">
        <f t="shared" si="29"/>
        <v>0.3392857142857143</v>
      </c>
      <c r="M342" s="6">
        <f t="shared" si="30"/>
        <v>0.56428571428571439</v>
      </c>
      <c r="N342" s="6">
        <f t="shared" si="31"/>
        <v>9.6428571428571308E-2</v>
      </c>
      <c r="O342" s="4">
        <f t="shared" si="32"/>
        <v>1691.9935290668452</v>
      </c>
      <c r="P342" s="4">
        <f t="shared" si="33"/>
        <v>2814.0523957111745</v>
      </c>
      <c r="Q342" s="4">
        <f t="shared" si="34"/>
        <v>4506.04592477802</v>
      </c>
      <c r="V342" s="3"/>
      <c r="W342" s="3"/>
      <c r="Y342" s="7"/>
      <c r="Z342" s="7"/>
      <c r="AA342" s="7"/>
      <c r="AB342" s="7"/>
      <c r="AC342" s="9"/>
      <c r="AD342" s="9"/>
      <c r="AE342" s="9"/>
      <c r="AF342" s="3"/>
      <c r="AG342" s="3"/>
      <c r="AH342" s="3"/>
      <c r="AJ342" t="s">
        <v>875</v>
      </c>
      <c r="AK342" t="s">
        <v>682</v>
      </c>
      <c r="AL342" s="11">
        <f>D339</f>
        <v>40828</v>
      </c>
      <c r="AM342" s="3">
        <f>SUM(E339,E348)</f>
        <v>79.400000000000006</v>
      </c>
      <c r="AN342" s="3">
        <f>(AM342-4*$A$20)*$A$21/(2*$A$22)*$A$23</f>
        <v>5788.7844229819439</v>
      </c>
      <c r="AO342" s="11">
        <f>G339</f>
        <v>40204</v>
      </c>
      <c r="AP342" s="7">
        <f>SUM(H339,H348)</f>
        <v>5.42</v>
      </c>
      <c r="AQ342" s="7">
        <f>SUM(I339,I348)</f>
        <v>10.199999999999999</v>
      </c>
      <c r="AR342" s="7">
        <f>SUM(J339,J348)</f>
        <v>5.6</v>
      </c>
      <c r="AS342" s="7">
        <f>SUM(K339,K348)</f>
        <v>9.1199999999999992</v>
      </c>
      <c r="AT342" s="9">
        <f>(AR342-2*$A$25)/AQ342</f>
        <v>0.34509803921568627</v>
      </c>
      <c r="AU342" s="9">
        <f>(AS342-2*$A$26)/AQ342</f>
        <v>0.56078431372549009</v>
      </c>
      <c r="AV342" s="9">
        <f>1-AT342-AU342</f>
        <v>9.4117647058823639E-2</v>
      </c>
      <c r="AW342" s="3">
        <f>AN342*AT342</f>
        <v>1997.6981538133766</v>
      </c>
      <c r="AX342" s="3">
        <f>AN342*AU342</f>
        <v>3246.2594999467365</v>
      </c>
      <c r="AY342" s="3">
        <f>AW342+AX342</f>
        <v>5243.9576537601133</v>
      </c>
    </row>
    <row r="343" spans="1:51" x14ac:dyDescent="0.25">
      <c r="A343">
        <v>310</v>
      </c>
      <c r="B343" s="1" t="s">
        <v>351</v>
      </c>
      <c r="C343" s="1" t="s">
        <v>682</v>
      </c>
      <c r="D343" s="2">
        <v>40828</v>
      </c>
      <c r="E343" s="3">
        <v>36.799999999999997</v>
      </c>
      <c r="F343" s="4">
        <f t="shared" si="28"/>
        <v>5341.5954291980424</v>
      </c>
      <c r="G343" s="2">
        <v>40204</v>
      </c>
      <c r="H343" s="7">
        <v>2.64</v>
      </c>
      <c r="I343" s="7">
        <f>H343+H344-2*$A$24</f>
        <v>5.74</v>
      </c>
      <c r="J343" s="7">
        <v>2.92</v>
      </c>
      <c r="K343" s="7">
        <v>4.88</v>
      </c>
      <c r="L343" s="6">
        <f t="shared" si="29"/>
        <v>0.32752613240418116</v>
      </c>
      <c r="M343" s="6">
        <f t="shared" si="30"/>
        <v>0.55400696864111487</v>
      </c>
      <c r="N343" s="6">
        <f t="shared" si="31"/>
        <v>0.11846689895470397</v>
      </c>
      <c r="O343" s="4">
        <f t="shared" si="32"/>
        <v>1749.5120917930869</v>
      </c>
      <c r="P343" s="4">
        <f t="shared" si="33"/>
        <v>2959.2810914372426</v>
      </c>
      <c r="Q343" s="4">
        <f t="shared" si="34"/>
        <v>4708.7931832303293</v>
      </c>
      <c r="V343" s="3"/>
      <c r="W343" s="3"/>
      <c r="Y343" s="7"/>
      <c r="Z343" s="7"/>
      <c r="AA343" s="7"/>
      <c r="AB343" s="7"/>
      <c r="AC343" s="9"/>
      <c r="AD343" s="9"/>
      <c r="AE343" s="9"/>
      <c r="AF343" s="3"/>
      <c r="AG343" s="3"/>
      <c r="AH343" s="3"/>
      <c r="AL343" s="11"/>
      <c r="AM343" s="3"/>
      <c r="AN343" s="3"/>
      <c r="AO343" s="11"/>
      <c r="AP343" s="7"/>
      <c r="AQ343" s="7"/>
      <c r="AR343" s="7"/>
      <c r="AS343" s="7"/>
      <c r="AT343" s="9"/>
      <c r="AU343" s="9"/>
      <c r="AV343" s="9"/>
      <c r="AW343" s="3"/>
      <c r="AX343" s="3"/>
      <c r="AY343" s="3"/>
    </row>
    <row r="344" spans="1:51" x14ac:dyDescent="0.25">
      <c r="A344">
        <v>311</v>
      </c>
      <c r="B344" s="1" t="s">
        <v>352</v>
      </c>
      <c r="C344" s="1" t="s">
        <v>682</v>
      </c>
      <c r="D344" s="2">
        <v>40828</v>
      </c>
      <c r="E344" s="3">
        <v>34.799999999999997</v>
      </c>
      <c r="F344" s="4">
        <f t="shared" si="28"/>
        <v>5033.1892265884544</v>
      </c>
      <c r="G344" s="2">
        <v>40204</v>
      </c>
      <c r="H344" s="7">
        <v>3.42</v>
      </c>
      <c r="I344" s="7">
        <f>H344+H343-2*$A$24</f>
        <v>5.74</v>
      </c>
      <c r="J344" s="7">
        <v>2.92</v>
      </c>
      <c r="K344" s="7">
        <v>4.88</v>
      </c>
      <c r="L344" s="6">
        <f t="shared" si="29"/>
        <v>0.32752613240418116</v>
      </c>
      <c r="M344" s="6">
        <f t="shared" si="30"/>
        <v>0.55400696864111487</v>
      </c>
      <c r="N344" s="6">
        <f t="shared" si="31"/>
        <v>0.11846689895470397</v>
      </c>
      <c r="O344" s="4">
        <f t="shared" si="32"/>
        <v>1648.5010010429082</v>
      </c>
      <c r="P344" s="4">
        <f t="shared" si="33"/>
        <v>2788.4219060193873</v>
      </c>
      <c r="Q344" s="4">
        <f t="shared" si="34"/>
        <v>4436.9229070622951</v>
      </c>
      <c r="V344" s="3"/>
      <c r="W344" s="3"/>
      <c r="Y344" s="7"/>
      <c r="Z344" s="7"/>
      <c r="AA344" s="7"/>
      <c r="AB344" s="7"/>
      <c r="AC344" s="9"/>
      <c r="AD344" s="9"/>
      <c r="AE344" s="9"/>
      <c r="AF344" s="3"/>
      <c r="AG344" s="3"/>
      <c r="AH344" s="3"/>
      <c r="AJ344" t="s">
        <v>876</v>
      </c>
      <c r="AK344" t="s">
        <v>682</v>
      </c>
      <c r="AL344" s="11">
        <f>D338</f>
        <v>40828</v>
      </c>
      <c r="AM344" s="3">
        <f>SUM(E338,E349)</f>
        <v>75</v>
      </c>
      <c r="AN344" s="3">
        <f>(AM344-4*$A$20)*$A$21/(2*$A$22)*$A$23</f>
        <v>5449.5376001113982</v>
      </c>
      <c r="AO344" s="11">
        <f>G338</f>
        <v>40204</v>
      </c>
      <c r="AP344" s="7">
        <f>SUM(H338,H349)</f>
        <v>7.26</v>
      </c>
      <c r="AQ344" s="7">
        <f>SUM(I338,I349)</f>
        <v>13.879999999999999</v>
      </c>
      <c r="AR344" s="7">
        <f>SUM(J338,J349)</f>
        <v>6.84</v>
      </c>
      <c r="AS344" s="7">
        <f>SUM(K338,K349)</f>
        <v>11.24</v>
      </c>
      <c r="AT344" s="9">
        <f>(AR344-2*$A$25)/AQ344</f>
        <v>0.34293948126801155</v>
      </c>
      <c r="AU344" s="9">
        <f>(AS344-2*$A$26)/AQ344</f>
        <v>0.56484149855907784</v>
      </c>
      <c r="AV344" s="9">
        <f>1-AT344-AU344</f>
        <v>9.2219020172910615E-2</v>
      </c>
      <c r="AW344" s="3">
        <f>AN344*AT344</f>
        <v>1868.8615977327274</v>
      </c>
      <c r="AX344" s="3">
        <f>AN344*AU344</f>
        <v>3078.1249845009629</v>
      </c>
      <c r="AY344" s="3">
        <f>AW344+AX344</f>
        <v>4946.9865822336906</v>
      </c>
    </row>
    <row r="345" spans="1:51" x14ac:dyDescent="0.25">
      <c r="A345">
        <v>312</v>
      </c>
      <c r="B345" s="1" t="s">
        <v>353</v>
      </c>
      <c r="C345" s="1" t="s">
        <v>682</v>
      </c>
      <c r="D345" s="2">
        <v>40828</v>
      </c>
      <c r="E345" s="3">
        <v>34.099999999999994</v>
      </c>
      <c r="F345" s="4">
        <f t="shared" si="28"/>
        <v>4925.2470556750995</v>
      </c>
      <c r="G345" s="2">
        <v>40204</v>
      </c>
      <c r="H345" s="7">
        <v>2.88</v>
      </c>
      <c r="I345" s="7">
        <f>H345+H342-2*$A$24</f>
        <v>5.6</v>
      </c>
      <c r="J345" s="7">
        <v>2.94</v>
      </c>
      <c r="K345" s="7">
        <v>4.8600000000000003</v>
      </c>
      <c r="L345" s="6">
        <f t="shared" si="29"/>
        <v>0.3392857142857143</v>
      </c>
      <c r="M345" s="6">
        <f t="shared" si="30"/>
        <v>0.56428571428571439</v>
      </c>
      <c r="N345" s="6">
        <f t="shared" si="31"/>
        <v>9.6428571428571308E-2</v>
      </c>
      <c r="O345" s="4">
        <f t="shared" si="32"/>
        <v>1671.0659653183375</v>
      </c>
      <c r="P345" s="4">
        <f t="shared" si="33"/>
        <v>2779.2465528452353</v>
      </c>
      <c r="Q345" s="4">
        <f t="shared" si="34"/>
        <v>4450.3125181635733</v>
      </c>
      <c r="V345" s="3"/>
      <c r="W345" s="3"/>
      <c r="Y345" s="7"/>
      <c r="Z345" s="7"/>
      <c r="AA345" s="7"/>
      <c r="AB345" s="7"/>
      <c r="AC345" s="9"/>
      <c r="AD345" s="9"/>
      <c r="AE345" s="9"/>
      <c r="AF345" s="3"/>
      <c r="AG345" s="3"/>
      <c r="AH345" s="3"/>
      <c r="AL345" s="11"/>
      <c r="AM345" s="3"/>
      <c r="AN345" s="3"/>
      <c r="AO345" s="11"/>
      <c r="AP345" s="7"/>
      <c r="AQ345" s="7"/>
      <c r="AR345" s="7"/>
      <c r="AS345" s="7"/>
      <c r="AT345" s="9"/>
      <c r="AU345" s="9"/>
      <c r="AV345" s="9"/>
      <c r="AW345" s="3"/>
      <c r="AX345" s="3"/>
      <c r="AY345" s="3"/>
    </row>
    <row r="346" spans="1:51" x14ac:dyDescent="0.25">
      <c r="A346">
        <v>313</v>
      </c>
      <c r="B346" s="1" t="s">
        <v>354</v>
      </c>
      <c r="C346" s="1" t="s">
        <v>682</v>
      </c>
      <c r="D346" s="2">
        <v>40828</v>
      </c>
      <c r="E346" s="3">
        <v>38.5</v>
      </c>
      <c r="F346" s="4">
        <f t="shared" si="28"/>
        <v>5603.7407014161909</v>
      </c>
      <c r="G346" s="2">
        <v>40204</v>
      </c>
      <c r="H346" s="7">
        <v>2.6</v>
      </c>
      <c r="I346" s="7">
        <f>H346+H341-2*$A$24</f>
        <v>5.72</v>
      </c>
      <c r="J346" s="7">
        <v>2.94</v>
      </c>
      <c r="K346" s="7">
        <v>4.84</v>
      </c>
      <c r="L346" s="6">
        <f t="shared" si="29"/>
        <v>0.33216783216783219</v>
      </c>
      <c r="M346" s="6">
        <f t="shared" si="30"/>
        <v>0.54895104895104896</v>
      </c>
      <c r="N346" s="6">
        <f t="shared" si="31"/>
        <v>0.11888111888111885</v>
      </c>
      <c r="O346" s="4">
        <f t="shared" si="32"/>
        <v>1861.3824008200636</v>
      </c>
      <c r="P346" s="4">
        <f t="shared" si="33"/>
        <v>3076.1793360921047</v>
      </c>
      <c r="Q346" s="4">
        <f t="shared" si="34"/>
        <v>4937.5617369121683</v>
      </c>
      <c r="V346" s="3"/>
      <c r="W346" s="3"/>
      <c r="Y346" s="7"/>
      <c r="Z346" s="7"/>
      <c r="AA346" s="7"/>
      <c r="AB346" s="7"/>
      <c r="AC346" s="9"/>
      <c r="AD346" s="9"/>
      <c r="AE346" s="9"/>
      <c r="AF346" s="3"/>
      <c r="AG346" s="3"/>
      <c r="AH346" s="3"/>
      <c r="AJ346" t="s">
        <v>877</v>
      </c>
      <c r="AK346" t="s">
        <v>682</v>
      </c>
      <c r="AL346" s="11">
        <f>D337</f>
        <v>40828</v>
      </c>
      <c r="AM346" s="3">
        <f>SUM(E337,E350)</f>
        <v>72.300000000000011</v>
      </c>
      <c r="AN346" s="3">
        <f>(AM346-4*$A$20)*$A$21/(2*$A$22)*$A$23</f>
        <v>5241.3634133499272</v>
      </c>
      <c r="AO346" s="11">
        <f>G337</f>
        <v>40204</v>
      </c>
      <c r="AP346" s="7">
        <f>SUM(H337,H350)</f>
        <v>6.72</v>
      </c>
      <c r="AQ346" s="7">
        <f>SUM(I337,I350)</f>
        <v>12.799999999999999</v>
      </c>
      <c r="AR346" s="7">
        <f>SUM(J337,J350)</f>
        <v>6.36</v>
      </c>
      <c r="AS346" s="7">
        <f>SUM(K337,K350)</f>
        <v>10.48</v>
      </c>
      <c r="AT346" s="9">
        <f>(AR346-2*$A$25)/AQ346</f>
        <v>0.33437500000000003</v>
      </c>
      <c r="AU346" s="9">
        <f>(AS346-2*$A$26)/AQ346</f>
        <v>0.55312500000000009</v>
      </c>
      <c r="AV346" s="9">
        <f>1-AT346-AU346</f>
        <v>0.11249999999999982</v>
      </c>
      <c r="AW346" s="3">
        <f>AN346*AT346</f>
        <v>1752.5808913388821</v>
      </c>
      <c r="AX346" s="3">
        <f>AN346*AU346</f>
        <v>2899.1291380091789</v>
      </c>
      <c r="AY346" s="3">
        <f>AW346+AX346</f>
        <v>4651.7100293480607</v>
      </c>
    </row>
    <row r="347" spans="1:51" x14ac:dyDescent="0.25">
      <c r="A347">
        <v>314</v>
      </c>
      <c r="B347" s="1" t="s">
        <v>355</v>
      </c>
      <c r="C347" s="1" t="s">
        <v>682</v>
      </c>
      <c r="D347" s="2">
        <v>40828</v>
      </c>
      <c r="E347" s="3">
        <v>35.4</v>
      </c>
      <c r="F347" s="4">
        <f t="shared" si="28"/>
        <v>5125.7110873713309</v>
      </c>
      <c r="G347" s="2">
        <v>40204</v>
      </c>
      <c r="H347" s="7">
        <v>2.36</v>
      </c>
      <c r="I347" s="7">
        <f>H347+H340-2*$A$24</f>
        <v>5.2999999999999989</v>
      </c>
      <c r="J347" s="7">
        <v>2.86</v>
      </c>
      <c r="K347" s="7">
        <v>4.7</v>
      </c>
      <c r="L347" s="6">
        <f t="shared" si="29"/>
        <v>0.34339622641509437</v>
      </c>
      <c r="M347" s="6">
        <f t="shared" si="30"/>
        <v>0.5660377358490567</v>
      </c>
      <c r="N347" s="6">
        <f t="shared" si="31"/>
        <v>9.0566037735848925E-2</v>
      </c>
      <c r="O347" s="4">
        <f t="shared" si="32"/>
        <v>1760.1498450973252</v>
      </c>
      <c r="P347" s="4">
        <f t="shared" si="33"/>
        <v>2901.3458985120747</v>
      </c>
      <c r="Q347" s="4">
        <f t="shared" si="34"/>
        <v>4661.4957436094001</v>
      </c>
      <c r="V347" s="3"/>
      <c r="W347" s="3"/>
      <c r="Y347" s="7"/>
      <c r="Z347" s="7"/>
      <c r="AA347" s="7"/>
      <c r="AB347" s="7"/>
      <c r="AC347" s="9"/>
      <c r="AD347" s="9"/>
      <c r="AE347" s="9"/>
      <c r="AF347" s="3"/>
      <c r="AG347" s="3"/>
      <c r="AH347" s="3"/>
      <c r="AL347" s="11"/>
      <c r="AM347" s="3"/>
      <c r="AN347" s="3"/>
      <c r="AO347" s="11"/>
      <c r="AP347" s="7"/>
      <c r="AQ347" s="7"/>
      <c r="AR347" s="7"/>
      <c r="AS347" s="7"/>
      <c r="AT347" s="9"/>
      <c r="AU347" s="9"/>
      <c r="AV347" s="9"/>
      <c r="AW347" s="3"/>
      <c r="AX347" s="3"/>
      <c r="AY347" s="3"/>
    </row>
    <row r="348" spans="1:51" x14ac:dyDescent="0.25">
      <c r="A348">
        <v>315</v>
      </c>
      <c r="B348" s="1" t="s">
        <v>356</v>
      </c>
      <c r="C348" s="1" t="s">
        <v>682</v>
      </c>
      <c r="D348" s="2">
        <v>40828</v>
      </c>
      <c r="E348" s="3">
        <v>41</v>
      </c>
      <c r="F348" s="4">
        <f t="shared" si="28"/>
        <v>5989.2484546781743</v>
      </c>
      <c r="G348" s="2">
        <v>40204</v>
      </c>
      <c r="H348" s="7">
        <v>2.58</v>
      </c>
      <c r="I348" s="7">
        <f>H348+H339-2*$A$24</f>
        <v>5.0999999999999996</v>
      </c>
      <c r="J348" s="7">
        <v>2.8</v>
      </c>
      <c r="K348" s="7">
        <v>4.5599999999999996</v>
      </c>
      <c r="L348" s="6">
        <f t="shared" si="29"/>
        <v>0.34509803921568627</v>
      </c>
      <c r="M348" s="6">
        <f t="shared" si="30"/>
        <v>0.56078431372549009</v>
      </c>
      <c r="N348" s="6">
        <f t="shared" si="31"/>
        <v>9.4117647058823639E-2</v>
      </c>
      <c r="O348" s="4">
        <f t="shared" si="32"/>
        <v>2066.877898085017</v>
      </c>
      <c r="P348" s="4">
        <f t="shared" si="33"/>
        <v>3358.6765843881522</v>
      </c>
      <c r="Q348" s="4">
        <f t="shared" si="34"/>
        <v>5425.5544824731696</v>
      </c>
      <c r="V348" s="3"/>
      <c r="W348" s="3"/>
      <c r="Y348" s="7"/>
      <c r="Z348" s="7"/>
      <c r="AA348" s="7"/>
      <c r="AB348" s="7"/>
      <c r="AC348" s="9"/>
      <c r="AD348" s="9"/>
      <c r="AE348" s="9"/>
      <c r="AF348" s="3"/>
      <c r="AG348" s="3"/>
      <c r="AH348" s="3"/>
      <c r="AJ348" t="s">
        <v>878</v>
      </c>
      <c r="AK348" t="s">
        <v>682</v>
      </c>
      <c r="AL348" s="11">
        <f>D336</f>
        <v>40828</v>
      </c>
      <c r="AM348" s="3">
        <f>SUM(E336,E351)</f>
        <v>73</v>
      </c>
      <c r="AN348" s="3">
        <f>(AM348-4*$A$20)*$A$21/(2*$A$22)*$A$23</f>
        <v>5295.3344988066046</v>
      </c>
      <c r="AO348" s="11">
        <f>G336</f>
        <v>40204</v>
      </c>
      <c r="AP348" s="7">
        <f>SUM(H336,H351)</f>
        <v>4.96</v>
      </c>
      <c r="AQ348" s="7">
        <f>SUM(I336,I351)</f>
        <v>9.2799999999999994</v>
      </c>
      <c r="AR348" s="7">
        <f>SUM(J336,J351)</f>
        <v>5.28</v>
      </c>
      <c r="AS348" s="7">
        <f>SUM(K336,K351)</f>
        <v>8.76</v>
      </c>
      <c r="AT348" s="9">
        <f>(AR348-2*$A$25)/AQ348</f>
        <v>0.34482758620689657</v>
      </c>
      <c r="AU348" s="9">
        <f>(AS348-2*$A$26)/AQ348</f>
        <v>0.57758620689655171</v>
      </c>
      <c r="AV348" s="9">
        <f>1-AT348-AU348</f>
        <v>7.7586206896551713E-2</v>
      </c>
      <c r="AW348" s="3">
        <f>AN348*AT348</f>
        <v>1825.9774133815879</v>
      </c>
      <c r="AX348" s="3">
        <f>AN348*AU348</f>
        <v>3058.5121674141596</v>
      </c>
      <c r="AY348" s="3">
        <f>AW348+AX348</f>
        <v>4884.4895807957473</v>
      </c>
    </row>
    <row r="349" spans="1:51" x14ac:dyDescent="0.25">
      <c r="A349">
        <v>316</v>
      </c>
      <c r="B349" s="1" t="s">
        <v>357</v>
      </c>
      <c r="C349" s="1" t="s">
        <v>682</v>
      </c>
      <c r="D349" s="2">
        <v>40828</v>
      </c>
      <c r="E349" s="3">
        <v>37.700000000000003</v>
      </c>
      <c r="F349" s="4">
        <f t="shared" si="28"/>
        <v>5480.3782203723576</v>
      </c>
      <c r="G349" s="2">
        <v>40204</v>
      </c>
      <c r="H349" s="7">
        <v>3.78</v>
      </c>
      <c r="I349" s="7">
        <f>H349+H338-2*$A$24</f>
        <v>6.9399999999999995</v>
      </c>
      <c r="J349" s="7">
        <v>3.42</v>
      </c>
      <c r="K349" s="7">
        <v>5.62</v>
      </c>
      <c r="L349" s="6">
        <f t="shared" si="29"/>
        <v>0.34293948126801155</v>
      </c>
      <c r="M349" s="6">
        <f t="shared" si="30"/>
        <v>0.56484149855907784</v>
      </c>
      <c r="N349" s="6">
        <f t="shared" si="31"/>
        <v>9.2219020172910615E-2</v>
      </c>
      <c r="O349" s="4">
        <f t="shared" si="32"/>
        <v>1879.4380640470047</v>
      </c>
      <c r="P349" s="4">
        <f t="shared" si="33"/>
        <v>3095.5450466656548</v>
      </c>
      <c r="Q349" s="4">
        <f t="shared" si="34"/>
        <v>4974.9831107126593</v>
      </c>
      <c r="V349" s="3"/>
      <c r="W349" s="3"/>
      <c r="Y349" s="7"/>
      <c r="Z349" s="7"/>
      <c r="AA349" s="7"/>
      <c r="AB349" s="7"/>
      <c r="AC349" s="9"/>
      <c r="AD349" s="9"/>
      <c r="AE349" s="9"/>
      <c r="AF349" s="3"/>
      <c r="AG349" s="3"/>
      <c r="AH349" s="3"/>
      <c r="AL349" s="11"/>
      <c r="AM349" s="3"/>
      <c r="AN349" s="3"/>
      <c r="AO349" s="11"/>
      <c r="AP349" s="7"/>
      <c r="AQ349" s="7"/>
      <c r="AR349" s="7"/>
      <c r="AS349" s="7"/>
      <c r="AT349" s="9"/>
      <c r="AU349" s="9"/>
      <c r="AV349" s="9"/>
      <c r="AW349" s="3"/>
      <c r="AX349" s="3"/>
      <c r="AY349" s="3"/>
    </row>
    <row r="350" spans="1:51" x14ac:dyDescent="0.25">
      <c r="A350">
        <v>317</v>
      </c>
      <c r="B350" s="1" t="s">
        <v>358</v>
      </c>
      <c r="C350" s="1" t="s">
        <v>682</v>
      </c>
      <c r="D350" s="2">
        <v>40828</v>
      </c>
      <c r="E350" s="3">
        <v>35.9</v>
      </c>
      <c r="F350" s="4">
        <f t="shared" si="28"/>
        <v>5202.8126380237272</v>
      </c>
      <c r="G350" s="2">
        <v>40204</v>
      </c>
      <c r="H350" s="7">
        <v>3.34</v>
      </c>
      <c r="I350" s="7">
        <f>H350+H337-2*$A$24</f>
        <v>6.3999999999999995</v>
      </c>
      <c r="J350" s="7">
        <v>3.18</v>
      </c>
      <c r="K350" s="7">
        <v>5.24</v>
      </c>
      <c r="L350" s="6">
        <f t="shared" si="29"/>
        <v>0.33437500000000003</v>
      </c>
      <c r="M350" s="6">
        <f t="shared" si="30"/>
        <v>0.55312500000000009</v>
      </c>
      <c r="N350" s="6">
        <f t="shared" si="31"/>
        <v>0.11249999999999982</v>
      </c>
      <c r="O350" s="4">
        <f t="shared" si="32"/>
        <v>1739.690475839184</v>
      </c>
      <c r="P350" s="4">
        <f t="shared" si="33"/>
        <v>2877.8057404068745</v>
      </c>
      <c r="Q350" s="4">
        <f t="shared" si="34"/>
        <v>4617.4962162460588</v>
      </c>
      <c r="V350" s="3"/>
      <c r="W350" s="3"/>
      <c r="Y350" s="7"/>
      <c r="Z350" s="7"/>
      <c r="AA350" s="7"/>
      <c r="AB350" s="7"/>
      <c r="AC350" s="9"/>
      <c r="AD350" s="9"/>
      <c r="AE350" s="9"/>
      <c r="AF350" s="3"/>
      <c r="AG350" s="3"/>
      <c r="AH350" s="3"/>
      <c r="AJ350" t="s">
        <v>879</v>
      </c>
      <c r="AK350" t="s">
        <v>682</v>
      </c>
      <c r="AL350" s="11">
        <f>D335</f>
        <v>40828</v>
      </c>
      <c r="AM350" s="3">
        <f>SUM(E335,E352)</f>
        <v>66.300000000000011</v>
      </c>
      <c r="AN350" s="3">
        <f>(AM350-4*$A$20)*$A$21/(2*$A$22)*$A$23</f>
        <v>4778.7541094355474</v>
      </c>
      <c r="AO350" s="11">
        <f>G335</f>
        <v>40204</v>
      </c>
      <c r="AP350" s="7">
        <f>SUM(H335,H352)</f>
        <v>6.76</v>
      </c>
      <c r="AQ350" s="7">
        <f>SUM(I335,I352)</f>
        <v>12.879999999999999</v>
      </c>
      <c r="AR350" s="7">
        <f>SUM(J335,J352)</f>
        <v>6.48</v>
      </c>
      <c r="AS350" s="7">
        <f>SUM(K335,K352)</f>
        <v>10.68</v>
      </c>
      <c r="AT350" s="9">
        <f>(AR350-2*$A$25)/AQ350</f>
        <v>0.34161490683229817</v>
      </c>
      <c r="AU350" s="9">
        <f>(AS350-2*$A$26)/AQ350</f>
        <v>0.56521739130434778</v>
      </c>
      <c r="AV350" s="9">
        <f>1-AT350-AU350</f>
        <v>9.3167701863353991E-2</v>
      </c>
      <c r="AW350" s="3">
        <f>AN350*AT350</f>
        <v>1632.4936398692867</v>
      </c>
      <c r="AX350" s="3">
        <f>AN350*AU350</f>
        <v>2701.0349314200917</v>
      </c>
      <c r="AY350" s="3">
        <f>AW350+AX350</f>
        <v>4333.5285712893783</v>
      </c>
    </row>
    <row r="351" spans="1:51" x14ac:dyDescent="0.25">
      <c r="A351">
        <v>318</v>
      </c>
      <c r="B351" s="1" t="s">
        <v>359</v>
      </c>
      <c r="C351" s="1" t="s">
        <v>682</v>
      </c>
      <c r="D351" s="2">
        <v>40828</v>
      </c>
      <c r="E351" s="3">
        <v>35.200000000000003</v>
      </c>
      <c r="F351" s="4">
        <f t="shared" si="28"/>
        <v>5094.8704671103742</v>
      </c>
      <c r="G351" s="2">
        <v>40204</v>
      </c>
      <c r="H351" s="7">
        <v>2.56</v>
      </c>
      <c r="I351" s="7">
        <f>H351+H336-2*$A$24</f>
        <v>4.6399999999999997</v>
      </c>
      <c r="J351" s="7">
        <v>2.64</v>
      </c>
      <c r="K351" s="7">
        <v>4.38</v>
      </c>
      <c r="L351" s="6">
        <f t="shared" si="29"/>
        <v>0.34482758620689657</v>
      </c>
      <c r="M351" s="6">
        <f t="shared" si="30"/>
        <v>0.57758620689655171</v>
      </c>
      <c r="N351" s="6">
        <f t="shared" si="31"/>
        <v>7.7586206896551713E-2</v>
      </c>
      <c r="O351" s="4">
        <f t="shared" si="32"/>
        <v>1756.8518852104739</v>
      </c>
      <c r="P351" s="4">
        <f t="shared" si="33"/>
        <v>2942.7269077275437</v>
      </c>
      <c r="Q351" s="4">
        <f t="shared" si="34"/>
        <v>4699.5787929380176</v>
      </c>
      <c r="V351" s="3"/>
      <c r="W351" s="3"/>
      <c r="Y351" s="7"/>
      <c r="Z351" s="7"/>
      <c r="AA351" s="7"/>
      <c r="AB351" s="7"/>
      <c r="AC351" s="9"/>
      <c r="AD351" s="9"/>
      <c r="AE351" s="9"/>
      <c r="AF351" s="3"/>
      <c r="AG351" s="3"/>
      <c r="AH351" s="3"/>
      <c r="AL351" s="11"/>
      <c r="AM351" s="3"/>
      <c r="AN351" s="3"/>
      <c r="AO351" s="11"/>
      <c r="AP351" s="7"/>
      <c r="AQ351" s="7"/>
      <c r="AR351" s="7"/>
      <c r="AS351" s="7"/>
      <c r="AT351" s="9"/>
      <c r="AU351" s="9"/>
      <c r="AV351" s="9"/>
      <c r="AW351" s="3"/>
      <c r="AX351" s="3"/>
      <c r="AY351" s="3"/>
    </row>
    <row r="352" spans="1:51" x14ac:dyDescent="0.25">
      <c r="A352">
        <v>319</v>
      </c>
      <c r="B352" s="1" t="s">
        <v>360</v>
      </c>
      <c r="C352" s="1" t="s">
        <v>682</v>
      </c>
      <c r="D352" s="2">
        <v>40828</v>
      </c>
      <c r="E352" s="3">
        <v>32.400000000000006</v>
      </c>
      <c r="F352" s="4">
        <f t="shared" si="28"/>
        <v>4663.101783456952</v>
      </c>
      <c r="G352" s="2">
        <v>40204</v>
      </c>
      <c r="H352" s="7">
        <v>3.5</v>
      </c>
      <c r="I352" s="7">
        <f>H352+H335-2*$A$24</f>
        <v>6.4399999999999995</v>
      </c>
      <c r="J352" s="7">
        <v>3.24</v>
      </c>
      <c r="K352" s="7">
        <v>5.34</v>
      </c>
      <c r="L352" s="6">
        <f t="shared" si="29"/>
        <v>0.34161490683229817</v>
      </c>
      <c r="M352" s="6">
        <f t="shared" si="30"/>
        <v>0.56521739130434778</v>
      </c>
      <c r="N352" s="6">
        <f t="shared" si="31"/>
        <v>9.3167701863353991E-2</v>
      </c>
      <c r="O352" s="4">
        <f t="shared" si="32"/>
        <v>1592.9850813051701</v>
      </c>
      <c r="P352" s="4">
        <f t="shared" si="33"/>
        <v>2635.66622543219</v>
      </c>
      <c r="Q352" s="4">
        <f t="shared" si="34"/>
        <v>4228.6513067373598</v>
      </c>
      <c r="V352" s="3"/>
      <c r="W352" s="3"/>
      <c r="Y352" s="7"/>
      <c r="Z352" s="7"/>
      <c r="AA352" s="7"/>
      <c r="AB352" s="7"/>
      <c r="AC352" s="9"/>
      <c r="AD352" s="9"/>
      <c r="AE352" s="9"/>
      <c r="AF352" s="3"/>
      <c r="AG352" s="3"/>
      <c r="AH352" s="3"/>
      <c r="AJ352" t="s">
        <v>880</v>
      </c>
      <c r="AK352" t="s">
        <v>682</v>
      </c>
      <c r="AL352" s="11">
        <f>D334</f>
        <v>40828</v>
      </c>
      <c r="AM352" s="3">
        <f>SUM(E334,E353)</f>
        <v>56.099999999999994</v>
      </c>
      <c r="AN352" s="3">
        <f>(AM352-4*$A$20)*$A$21/(2*$A$22)*$A$23</f>
        <v>3992.3182927810994</v>
      </c>
      <c r="AO352" s="11">
        <f>G334</f>
        <v>40204</v>
      </c>
      <c r="AP352" s="7">
        <f>SUM(H334,H353)</f>
        <v>6.18</v>
      </c>
      <c r="AQ352" s="7">
        <f>SUM(I334,I353)</f>
        <v>11.719999999999999</v>
      </c>
      <c r="AR352" s="7">
        <f>SUM(J334,J353)</f>
        <v>6.04</v>
      </c>
      <c r="AS352" s="7">
        <f>SUM(K334,K353)</f>
        <v>10.039999999999999</v>
      </c>
      <c r="AT352" s="9">
        <f>(AR352-2*$A$25)/AQ352</f>
        <v>0.33788395904436863</v>
      </c>
      <c r="AU352" s="9">
        <f>(AS352-2*$A$26)/AQ352</f>
        <v>0.56655290102389078</v>
      </c>
      <c r="AV352" s="9">
        <f>1-AT352-AU352</f>
        <v>9.5563139931740593E-2</v>
      </c>
      <c r="AW352" s="3">
        <f>AN352*AT352</f>
        <v>1348.9403105301326</v>
      </c>
      <c r="AX352" s="3">
        <f>AN352*AU352</f>
        <v>2261.859510585879</v>
      </c>
      <c r="AY352" s="3">
        <f>AW352+AX352</f>
        <v>3610.7998211160116</v>
      </c>
    </row>
    <row r="353" spans="1:51" x14ac:dyDescent="0.25">
      <c r="A353">
        <v>320</v>
      </c>
      <c r="B353" s="1" t="s">
        <v>361</v>
      </c>
      <c r="C353" s="1" t="s">
        <v>682</v>
      </c>
      <c r="D353" s="2">
        <v>40828</v>
      </c>
      <c r="E353" s="3">
        <v>26.7</v>
      </c>
      <c r="F353" s="4">
        <f t="shared" si="28"/>
        <v>3784.1441060196289</v>
      </c>
      <c r="G353" s="2">
        <v>40204</v>
      </c>
      <c r="H353" s="7">
        <v>2.86</v>
      </c>
      <c r="I353" s="7">
        <f>H353+H334-2*$A$24</f>
        <v>5.8599999999999994</v>
      </c>
      <c r="J353" s="7">
        <v>3.02</v>
      </c>
      <c r="K353" s="7">
        <v>5.0199999999999996</v>
      </c>
      <c r="L353" s="6">
        <f t="shared" si="29"/>
        <v>0.33788395904436863</v>
      </c>
      <c r="M353" s="6">
        <f t="shared" si="30"/>
        <v>0.56655290102389078</v>
      </c>
      <c r="N353" s="6">
        <f t="shared" si="31"/>
        <v>9.5563139931740593E-2</v>
      </c>
      <c r="O353" s="4">
        <f t="shared" si="32"/>
        <v>1278.6015921363253</v>
      </c>
      <c r="P353" s="4">
        <f t="shared" si="33"/>
        <v>2143.9178211578783</v>
      </c>
      <c r="Q353" s="4">
        <f t="shared" si="34"/>
        <v>3422.5194132942033</v>
      </c>
      <c r="V353" s="3"/>
      <c r="W353" s="3"/>
      <c r="Y353" s="7"/>
      <c r="Z353" s="7"/>
      <c r="AA353" s="7"/>
      <c r="AB353" s="7"/>
      <c r="AC353" s="9"/>
      <c r="AD353" s="9"/>
      <c r="AE353" s="9"/>
      <c r="AF353" s="3"/>
      <c r="AG353" s="3"/>
      <c r="AH353" s="3"/>
    </row>
    <row r="354" spans="1:51" x14ac:dyDescent="0.25">
      <c r="A354">
        <v>321</v>
      </c>
      <c r="B354" s="1" t="s">
        <v>362</v>
      </c>
      <c r="C354" s="1" t="s">
        <v>682</v>
      </c>
      <c r="D354" s="2">
        <v>40828</v>
      </c>
      <c r="E354" s="3">
        <v>17.399999999999999</v>
      </c>
      <c r="F354" s="4">
        <f t="shared" si="28"/>
        <v>2350.0552638850504</v>
      </c>
      <c r="G354" s="2">
        <v>40205</v>
      </c>
      <c r="H354" s="7">
        <v>3.5</v>
      </c>
      <c r="I354" s="7">
        <f>H354+H373-2*$A$24</f>
        <v>6.42</v>
      </c>
      <c r="J354" s="7">
        <v>3.22</v>
      </c>
      <c r="K354" s="7">
        <v>5.32</v>
      </c>
      <c r="L354" s="6">
        <f t="shared" si="29"/>
        <v>0.33956386292834895</v>
      </c>
      <c r="M354" s="6">
        <f t="shared" si="30"/>
        <v>0.56386292834890972</v>
      </c>
      <c r="N354" s="6">
        <f t="shared" si="31"/>
        <v>9.6573208722741333E-2</v>
      </c>
      <c r="O354" s="4">
        <f t="shared" si="32"/>
        <v>797.99384349990817</v>
      </c>
      <c r="P354" s="4">
        <f t="shared" si="33"/>
        <v>1325.1090428759942</v>
      </c>
      <c r="Q354" s="4">
        <f t="shared" si="34"/>
        <v>2123.1028863759025</v>
      </c>
      <c r="S354" t="s">
        <v>707</v>
      </c>
      <c r="T354" t="s">
        <v>682</v>
      </c>
      <c r="U354" s="8">
        <f>D354</f>
        <v>40828</v>
      </c>
      <c r="V354" s="3">
        <f>SUM(E354:E393)</f>
        <v>1201.0000000000005</v>
      </c>
      <c r="W354" s="3">
        <f>(V354-80*$A$20)*$A$21/(40*$A$22)*$A$23</f>
        <v>4296.8694178580681</v>
      </c>
      <c r="X354" s="8">
        <f>G354</f>
        <v>40205</v>
      </c>
      <c r="Y354" s="7">
        <f>SUM(H354:H393)</f>
        <v>119.45999999999998</v>
      </c>
      <c r="Z354" s="7">
        <f>SUM(I354:I393)</f>
        <v>226.12</v>
      </c>
      <c r="AA354" s="7">
        <f>SUM(J354:J393)</f>
        <v>118.51999999999994</v>
      </c>
      <c r="AB354" s="7">
        <f>SUM(K354:K393)</f>
        <v>195.39999999999998</v>
      </c>
      <c r="AC354" s="9">
        <f>(AA354-40*$A$25)/Z354</f>
        <v>0.34017335927825904</v>
      </c>
      <c r="AD354" s="9">
        <f>(AB354-40*$A$26)/Z354</f>
        <v>0.56341765434282676</v>
      </c>
      <c r="AE354" s="9">
        <f>1-AC354-AD354</f>
        <v>9.6408986378914263E-2</v>
      </c>
      <c r="AF354" s="3">
        <f>W354*AC354</f>
        <v>1461.6805042527963</v>
      </c>
      <c r="AG354" s="3">
        <f>W354*AD354</f>
        <v>2420.9320884270201</v>
      </c>
      <c r="AH354" s="3">
        <f>AF354+AG354</f>
        <v>3882.6125926798163</v>
      </c>
      <c r="AJ354" t="s">
        <v>881</v>
      </c>
      <c r="AK354" t="s">
        <v>682</v>
      </c>
      <c r="AL354" s="11">
        <f>D363</f>
        <v>40828</v>
      </c>
      <c r="AM354" s="3">
        <f>SUM(E363,E364)</f>
        <v>71.699999999999989</v>
      </c>
      <c r="AN354" s="3">
        <f>(AM354-4*$A$20)*$A$21/(2*$A$22)*$A$23</f>
        <v>5195.1024829584876</v>
      </c>
      <c r="AO354" s="11">
        <f>G363</f>
        <v>40205</v>
      </c>
      <c r="AP354" s="7">
        <f>SUM(H363,H364)</f>
        <v>6.26</v>
      </c>
      <c r="AQ354" s="7">
        <f>SUM(I363,I364)</f>
        <v>11.879999999999999</v>
      </c>
      <c r="AR354" s="7">
        <f>SUM(J363,J364)</f>
        <v>6.12</v>
      </c>
      <c r="AS354" s="7">
        <f>SUM(K363,K364)</f>
        <v>10.119999999999999</v>
      </c>
      <c r="AT354" s="9">
        <f>(AR354-2*$A$25)/AQ354</f>
        <v>0.34006734006734007</v>
      </c>
      <c r="AU354" s="9">
        <f>(AS354-2*$A$26)/AQ354</f>
        <v>0.56565656565656564</v>
      </c>
      <c r="AV354" s="9">
        <f>1-AT354-AU354</f>
        <v>9.4276094276094291E-2</v>
      </c>
      <c r="AW354" s="3">
        <f>AN354*AT354</f>
        <v>1766.6846827569268</v>
      </c>
      <c r="AX354" s="3">
        <f>AN354*AU354</f>
        <v>2938.6438287441947</v>
      </c>
      <c r="AY354" s="3">
        <f>AW354+AX354</f>
        <v>4705.3285115011213</v>
      </c>
    </row>
    <row r="355" spans="1:51" x14ac:dyDescent="0.25">
      <c r="A355">
        <v>322</v>
      </c>
      <c r="B355" s="1" t="s">
        <v>363</v>
      </c>
      <c r="C355" s="1" t="s">
        <v>682</v>
      </c>
      <c r="D355" s="2">
        <v>40828</v>
      </c>
      <c r="E355" s="3">
        <v>23</v>
      </c>
      <c r="F355" s="4">
        <f t="shared" ref="F355:F418" si="35">(E355-2*$A$20)*$A$21/$A$22*$A$23</f>
        <v>3213.5926311918938</v>
      </c>
      <c r="G355" s="2">
        <v>40205</v>
      </c>
      <c r="H355" s="7">
        <v>4.0199999999999996</v>
      </c>
      <c r="I355" s="7">
        <f>H355+H372-2*$A$24</f>
        <v>7.6</v>
      </c>
      <c r="J355" s="7">
        <v>3.62</v>
      </c>
      <c r="K355" s="7">
        <v>5.92</v>
      </c>
      <c r="L355" s="6">
        <f t="shared" ref="L355:L418" si="36">(J355-$A$25)/I355</f>
        <v>0.33947368421052632</v>
      </c>
      <c r="M355" s="6">
        <f t="shared" ref="M355:M418" si="37">(K355-$A$26)/I355</f>
        <v>0.55526315789473679</v>
      </c>
      <c r="N355" s="6">
        <f t="shared" ref="N355:N418" si="38">1-L355-M355</f>
        <v>0.10526315789473684</v>
      </c>
      <c r="O355" s="4">
        <f t="shared" ref="O355:O418" si="39">F355*L355</f>
        <v>1090.9301300625114</v>
      </c>
      <c r="P355" s="4">
        <f t="shared" ref="P355:P418" si="40">F355*M355</f>
        <v>1784.3895925828672</v>
      </c>
      <c r="Q355" s="4">
        <f t="shared" ref="Q355:Q418" si="41">O355+P355</f>
        <v>2875.3197226453785</v>
      </c>
      <c r="V355" s="3"/>
      <c r="W355" s="3"/>
      <c r="Y355" s="7"/>
      <c r="Z355" s="7"/>
      <c r="AA355" s="7"/>
      <c r="AB355" s="7"/>
      <c r="AC355" s="9"/>
      <c r="AD355" s="9"/>
      <c r="AE355" s="9"/>
      <c r="AF355" s="3"/>
      <c r="AG355" s="3"/>
      <c r="AH355" s="3"/>
      <c r="AL355" s="11"/>
      <c r="AM355" s="3"/>
      <c r="AN355" s="3"/>
      <c r="AO355" s="11"/>
      <c r="AP355" s="7"/>
      <c r="AQ355" s="7"/>
      <c r="AR355" s="7"/>
      <c r="AS355" s="7"/>
      <c r="AT355" s="9"/>
      <c r="AU355" s="9"/>
      <c r="AV355" s="9"/>
      <c r="AW355" s="3"/>
      <c r="AX355" s="3"/>
      <c r="AY355" s="3"/>
    </row>
    <row r="356" spans="1:51" x14ac:dyDescent="0.25">
      <c r="A356">
        <v>323</v>
      </c>
      <c r="B356" s="1" t="s">
        <v>364</v>
      </c>
      <c r="C356" s="1" t="s">
        <v>682</v>
      </c>
      <c r="D356" s="2">
        <v>40828</v>
      </c>
      <c r="E356" s="3">
        <v>28</v>
      </c>
      <c r="F356" s="4">
        <f t="shared" si="35"/>
        <v>3984.6081377158603</v>
      </c>
      <c r="G356" s="2">
        <v>40205</v>
      </c>
      <c r="H356" s="7">
        <v>2.98</v>
      </c>
      <c r="I356" s="7">
        <f>H356+H371-2*$A$24</f>
        <v>5.6</v>
      </c>
      <c r="J356" s="7">
        <v>2.98</v>
      </c>
      <c r="K356" s="7">
        <v>4.9000000000000004</v>
      </c>
      <c r="L356" s="6">
        <f t="shared" si="36"/>
        <v>0.34642857142857142</v>
      </c>
      <c r="M356" s="6">
        <f t="shared" si="37"/>
        <v>0.57142857142857151</v>
      </c>
      <c r="N356" s="6">
        <f t="shared" si="38"/>
        <v>8.2142857142857073E-2</v>
      </c>
      <c r="O356" s="4">
        <f t="shared" si="39"/>
        <v>1380.3821048515658</v>
      </c>
      <c r="P356" s="4">
        <f t="shared" si="40"/>
        <v>2276.9189358376348</v>
      </c>
      <c r="Q356" s="4">
        <f t="shared" si="41"/>
        <v>3657.3010406892008</v>
      </c>
      <c r="V356" s="3"/>
      <c r="W356" s="3"/>
      <c r="Y356" s="7"/>
      <c r="Z356" s="7"/>
      <c r="AA356" s="7"/>
      <c r="AB356" s="7"/>
      <c r="AC356" s="9"/>
      <c r="AD356" s="9"/>
      <c r="AE356" s="9"/>
      <c r="AF356" s="3"/>
      <c r="AG356" s="3"/>
      <c r="AH356" s="3"/>
      <c r="AJ356" t="s">
        <v>882</v>
      </c>
      <c r="AK356" t="s">
        <v>682</v>
      </c>
      <c r="AL356" s="11">
        <f>D362</f>
        <v>40828</v>
      </c>
      <c r="AM356" s="3">
        <f>SUM(E362,E365)</f>
        <v>64.400000000000006</v>
      </c>
      <c r="AN356" s="3">
        <f>(AM356-4*$A$20)*$A$21/(2*$A$22)*$A$23</f>
        <v>4632.2611631959926</v>
      </c>
      <c r="AO356" s="11">
        <f>G362</f>
        <v>40205</v>
      </c>
      <c r="AP356" s="7">
        <f>SUM(H362,H365)</f>
        <v>5.92</v>
      </c>
      <c r="AQ356" s="7">
        <f>SUM(I362,I365)</f>
        <v>11.2</v>
      </c>
      <c r="AR356" s="7">
        <f>SUM(J362,J365)</f>
        <v>6</v>
      </c>
      <c r="AS356" s="7">
        <f>SUM(K362,K365)</f>
        <v>9.7200000000000006</v>
      </c>
      <c r="AT356" s="9">
        <f>(AR356-2*$A$25)/AQ356</f>
        <v>0.35000000000000003</v>
      </c>
      <c r="AU356" s="9">
        <f>(AS356-2*$A$26)/AQ356</f>
        <v>0.56428571428571439</v>
      </c>
      <c r="AV356" s="9">
        <f>1-AT356-AU356</f>
        <v>8.5714285714285521E-2</v>
      </c>
      <c r="AW356" s="3">
        <f>AN356*AT356</f>
        <v>1621.2914071185976</v>
      </c>
      <c r="AX356" s="3">
        <f>AN356*AU356</f>
        <v>2613.9187992320249</v>
      </c>
      <c r="AY356" s="3">
        <f>AW356+AX356</f>
        <v>4235.2102063506227</v>
      </c>
    </row>
    <row r="357" spans="1:51" x14ac:dyDescent="0.25">
      <c r="A357">
        <v>324</v>
      </c>
      <c r="B357" s="1" t="s">
        <v>365</v>
      </c>
      <c r="C357" s="1" t="s">
        <v>682</v>
      </c>
      <c r="D357" s="2">
        <v>40828</v>
      </c>
      <c r="E357" s="3">
        <v>26.5</v>
      </c>
      <c r="F357" s="4">
        <f t="shared" si="35"/>
        <v>3753.3034857586704</v>
      </c>
      <c r="G357" s="2">
        <v>40205</v>
      </c>
      <c r="H357" s="7">
        <v>3.72</v>
      </c>
      <c r="I357" s="7">
        <f>H357+H370-2*$A$24</f>
        <v>6.22</v>
      </c>
      <c r="J357" s="7">
        <v>3.2</v>
      </c>
      <c r="K357" s="7">
        <v>5.24</v>
      </c>
      <c r="L357" s="6">
        <f t="shared" si="36"/>
        <v>0.34726688102893893</v>
      </c>
      <c r="M357" s="6">
        <f t="shared" si="37"/>
        <v>0.56913183279742763</v>
      </c>
      <c r="N357" s="6">
        <f t="shared" si="38"/>
        <v>8.3601286173633382E-2</v>
      </c>
      <c r="O357" s="4">
        <f t="shared" si="39"/>
        <v>1303.3979950544581</v>
      </c>
      <c r="P357" s="4">
        <f t="shared" si="40"/>
        <v>2136.1244918948059</v>
      </c>
      <c r="Q357" s="4">
        <f t="shared" si="41"/>
        <v>3439.522486949264</v>
      </c>
      <c r="V357" s="3"/>
      <c r="W357" s="3"/>
      <c r="Y357" s="7"/>
      <c r="Z357" s="7"/>
      <c r="AA357" s="7"/>
      <c r="AB357" s="7"/>
      <c r="AC357" s="9"/>
      <c r="AD357" s="9"/>
      <c r="AE357" s="9"/>
      <c r="AF357" s="3"/>
      <c r="AG357" s="3"/>
      <c r="AH357" s="3"/>
      <c r="AL357" s="11"/>
      <c r="AM357" s="3"/>
      <c r="AN357" s="3"/>
      <c r="AO357" s="11"/>
      <c r="AP357" s="7"/>
      <c r="AQ357" s="7"/>
      <c r="AR357" s="7"/>
      <c r="AS357" s="7"/>
      <c r="AT357" s="9"/>
      <c r="AU357" s="9"/>
      <c r="AV357" s="9"/>
      <c r="AW357" s="3"/>
      <c r="AX357" s="3"/>
      <c r="AY357" s="3"/>
    </row>
    <row r="358" spans="1:51" x14ac:dyDescent="0.25">
      <c r="A358">
        <v>325</v>
      </c>
      <c r="B358" s="1" t="s">
        <v>366</v>
      </c>
      <c r="C358" s="1" t="s">
        <v>682</v>
      </c>
      <c r="D358" s="2">
        <v>40828</v>
      </c>
      <c r="E358" s="3">
        <v>26.7</v>
      </c>
      <c r="F358" s="4">
        <f t="shared" si="35"/>
        <v>3784.1441060196289</v>
      </c>
      <c r="G358" s="2">
        <v>40205</v>
      </c>
      <c r="H358" s="7">
        <v>2.66</v>
      </c>
      <c r="I358" s="7">
        <f>H358+H369-2*$A$24</f>
        <v>5.26</v>
      </c>
      <c r="J358" s="7">
        <v>2.82</v>
      </c>
      <c r="K358" s="7">
        <v>4.7</v>
      </c>
      <c r="L358" s="6">
        <f t="shared" si="36"/>
        <v>0.33840304182509501</v>
      </c>
      <c r="M358" s="6">
        <f t="shared" si="37"/>
        <v>0.57034220532319391</v>
      </c>
      <c r="N358" s="6">
        <f t="shared" si="38"/>
        <v>9.1254752851711141E-2</v>
      </c>
      <c r="O358" s="4">
        <f t="shared" si="39"/>
        <v>1280.5658761815473</v>
      </c>
      <c r="P358" s="4">
        <f t="shared" si="40"/>
        <v>2158.2570946880014</v>
      </c>
      <c r="Q358" s="4">
        <f t="shared" si="41"/>
        <v>3438.822970869549</v>
      </c>
      <c r="V358" s="3"/>
      <c r="W358" s="3"/>
      <c r="Y358" s="7"/>
      <c r="Z358" s="7"/>
      <c r="AA358" s="7"/>
      <c r="AB358" s="7"/>
      <c r="AC358" s="9"/>
      <c r="AD358" s="9"/>
      <c r="AE358" s="9"/>
      <c r="AF358" s="3"/>
      <c r="AG358" s="3"/>
      <c r="AH358" s="3"/>
      <c r="AJ358" t="s">
        <v>883</v>
      </c>
      <c r="AK358" t="s">
        <v>682</v>
      </c>
      <c r="AL358" s="11">
        <f>D361</f>
        <v>40828</v>
      </c>
      <c r="AM358" s="3">
        <f>SUM(E361,E366)</f>
        <v>66.099999999999994</v>
      </c>
      <c r="AN358" s="3">
        <f>(AM358-4*$A$20)*$A$21/(2*$A$22)*$A$23</f>
        <v>4763.3337993050663</v>
      </c>
      <c r="AO358" s="11">
        <f>G361</f>
        <v>40205</v>
      </c>
      <c r="AP358" s="7">
        <f>SUM(H361,H366)</f>
        <v>6.4399999999999995</v>
      </c>
      <c r="AQ358" s="7">
        <f>SUM(I361,I366)</f>
        <v>12.239999999999998</v>
      </c>
      <c r="AR358" s="7">
        <f>SUM(J361,J366)</f>
        <v>6.16</v>
      </c>
      <c r="AS358" s="7">
        <f>SUM(K361,K366)</f>
        <v>10.16</v>
      </c>
      <c r="AT358" s="9">
        <f>(AR358-2*$A$25)/AQ358</f>
        <v>0.33333333333333337</v>
      </c>
      <c r="AU358" s="9">
        <f>(AS358-2*$A$26)/AQ358</f>
        <v>0.55228758169934644</v>
      </c>
      <c r="AV358" s="9">
        <f>1-AT358-AU358</f>
        <v>0.11437908496732019</v>
      </c>
      <c r="AW358" s="3">
        <f>AN358*AT358</f>
        <v>1587.7779331016889</v>
      </c>
      <c r="AX358" s="3">
        <f>AN358*AU358</f>
        <v>2630.7301048449549</v>
      </c>
      <c r="AY358" s="3">
        <f>AW358+AX358</f>
        <v>4218.5080379466435</v>
      </c>
    </row>
    <row r="359" spans="1:51" x14ac:dyDescent="0.25">
      <c r="A359">
        <v>326</v>
      </c>
      <c r="B359" s="1" t="s">
        <v>367</v>
      </c>
      <c r="C359" s="1" t="s">
        <v>682</v>
      </c>
      <c r="D359" s="2">
        <v>40828</v>
      </c>
      <c r="E359" s="3">
        <v>30.6</v>
      </c>
      <c r="F359" s="4">
        <f t="shared" si="35"/>
        <v>4385.5362011083234</v>
      </c>
      <c r="G359" s="2">
        <v>40205</v>
      </c>
      <c r="H359" s="7">
        <v>3.08</v>
      </c>
      <c r="I359" s="7">
        <f>H359+H368-2*$A$24</f>
        <v>6.58</v>
      </c>
      <c r="J359" s="7">
        <v>3.26</v>
      </c>
      <c r="K359" s="7">
        <v>5.3</v>
      </c>
      <c r="L359" s="6">
        <f t="shared" si="36"/>
        <v>0.33738601823708203</v>
      </c>
      <c r="M359" s="6">
        <f t="shared" si="37"/>
        <v>0.54711246200607899</v>
      </c>
      <c r="N359" s="6">
        <f t="shared" si="38"/>
        <v>0.11550151975683898</v>
      </c>
      <c r="O359" s="4">
        <f t="shared" si="39"/>
        <v>1479.6185967265162</v>
      </c>
      <c r="P359" s="4">
        <f t="shared" si="40"/>
        <v>2399.3815082051615</v>
      </c>
      <c r="Q359" s="4">
        <f t="shared" si="41"/>
        <v>3879.0001049316779</v>
      </c>
      <c r="V359" s="3"/>
      <c r="W359" s="3"/>
      <c r="Y359" s="7"/>
      <c r="Z359" s="7"/>
      <c r="AA359" s="7"/>
      <c r="AB359" s="7"/>
      <c r="AC359" s="9"/>
      <c r="AD359" s="9"/>
      <c r="AE359" s="9"/>
      <c r="AF359" s="3"/>
      <c r="AG359" s="3"/>
      <c r="AH359" s="3"/>
      <c r="AL359" s="11"/>
      <c r="AM359" s="3"/>
      <c r="AN359" s="3"/>
      <c r="AO359" s="11"/>
      <c r="AP359" s="7"/>
      <c r="AQ359" s="7"/>
      <c r="AR359" s="7"/>
      <c r="AS359" s="7"/>
      <c r="AT359" s="9"/>
      <c r="AU359" s="9"/>
      <c r="AV359" s="9"/>
      <c r="AW359" s="3"/>
      <c r="AX359" s="3"/>
      <c r="AY359" s="3"/>
    </row>
    <row r="360" spans="1:51" x14ac:dyDescent="0.25">
      <c r="A360">
        <v>327</v>
      </c>
      <c r="B360" s="1" t="s">
        <v>368</v>
      </c>
      <c r="C360" s="1" t="s">
        <v>682</v>
      </c>
      <c r="D360" s="2">
        <v>40828</v>
      </c>
      <c r="E360" s="3">
        <v>30.200000000000003</v>
      </c>
      <c r="F360" s="4">
        <f t="shared" si="35"/>
        <v>4323.8549605864064</v>
      </c>
      <c r="G360" s="2">
        <v>40205</v>
      </c>
      <c r="H360" s="7">
        <v>3.04</v>
      </c>
      <c r="I360" s="7">
        <f>H360+H367-2*$A$24</f>
        <v>5.24</v>
      </c>
      <c r="J360" s="7">
        <v>2.82</v>
      </c>
      <c r="K360" s="7">
        <v>4.54</v>
      </c>
      <c r="L360" s="6">
        <f t="shared" si="36"/>
        <v>0.33969465648854957</v>
      </c>
      <c r="M360" s="6">
        <f t="shared" si="37"/>
        <v>0.54198473282442738</v>
      </c>
      <c r="N360" s="6">
        <f t="shared" si="38"/>
        <v>0.11832061068702304</v>
      </c>
      <c r="O360" s="4">
        <f t="shared" si="39"/>
        <v>1468.7904255427104</v>
      </c>
      <c r="P360" s="4">
        <f t="shared" si="40"/>
        <v>2343.4633755849986</v>
      </c>
      <c r="Q360" s="4">
        <f t="shared" si="41"/>
        <v>3812.2538011277093</v>
      </c>
      <c r="V360" s="3"/>
      <c r="W360" s="3"/>
      <c r="Y360" s="7"/>
      <c r="Z360" s="7"/>
      <c r="AA360" s="7"/>
      <c r="AB360" s="7"/>
      <c r="AC360" s="9"/>
      <c r="AD360" s="9"/>
      <c r="AE360" s="9"/>
      <c r="AF360" s="3"/>
      <c r="AG360" s="3"/>
      <c r="AH360" s="3"/>
      <c r="AJ360" t="s">
        <v>884</v>
      </c>
      <c r="AK360" t="s">
        <v>682</v>
      </c>
      <c r="AL360" s="11">
        <f>D360</f>
        <v>40828</v>
      </c>
      <c r="AM360" s="3">
        <f>SUM(E360,E367)</f>
        <v>64.300000000000011</v>
      </c>
      <c r="AN360" s="3">
        <f>(AM360-4*$A$20)*$A$21/(2*$A$22)*$A$23</f>
        <v>4624.5510081307539</v>
      </c>
      <c r="AO360" s="11">
        <f>G360</f>
        <v>40205</v>
      </c>
      <c r="AP360" s="7">
        <f>SUM(H360,H367)</f>
        <v>5.5600000000000005</v>
      </c>
      <c r="AQ360" s="7">
        <f>SUM(I360,I367)</f>
        <v>10.48</v>
      </c>
      <c r="AR360" s="7">
        <f>SUM(J360,J367)</f>
        <v>5.64</v>
      </c>
      <c r="AS360" s="7">
        <f>SUM(K360,K367)</f>
        <v>9.08</v>
      </c>
      <c r="AT360" s="9">
        <f>(AR360-2*$A$25)/AQ360</f>
        <v>0.33969465648854957</v>
      </c>
      <c r="AU360" s="9">
        <f>(AS360-2*$A$26)/AQ360</f>
        <v>0.54198473282442738</v>
      </c>
      <c r="AV360" s="9">
        <f>1-AT360-AU360</f>
        <v>0.11832061068702304</v>
      </c>
      <c r="AW360" s="3">
        <f>AN360*AT360</f>
        <v>1570.935266120752</v>
      </c>
      <c r="AX360" s="3">
        <f>AN360*AU360</f>
        <v>2506.4360425746831</v>
      </c>
      <c r="AY360" s="3">
        <f>AW360+AX360</f>
        <v>4077.3713086954349</v>
      </c>
    </row>
    <row r="361" spans="1:51" x14ac:dyDescent="0.25">
      <c r="A361">
        <v>328</v>
      </c>
      <c r="B361" s="1" t="s">
        <v>369</v>
      </c>
      <c r="C361" s="1" t="s">
        <v>682</v>
      </c>
      <c r="D361" s="2">
        <v>40828</v>
      </c>
      <c r="E361" s="3">
        <v>31.5</v>
      </c>
      <c r="F361" s="4">
        <f t="shared" si="35"/>
        <v>4524.3189922826368</v>
      </c>
      <c r="G361" s="2">
        <v>40205</v>
      </c>
      <c r="H361" s="7">
        <v>2.9</v>
      </c>
      <c r="I361" s="7">
        <f>H361+H366-2*$A$24</f>
        <v>6.1199999999999992</v>
      </c>
      <c r="J361" s="7">
        <v>3.08</v>
      </c>
      <c r="K361" s="7">
        <v>5.08</v>
      </c>
      <c r="L361" s="6">
        <f t="shared" si="36"/>
        <v>0.33333333333333337</v>
      </c>
      <c r="M361" s="6">
        <f t="shared" si="37"/>
        <v>0.55228758169934644</v>
      </c>
      <c r="N361" s="6">
        <f t="shared" si="38"/>
        <v>0.11437908496732019</v>
      </c>
      <c r="O361" s="4">
        <f t="shared" si="39"/>
        <v>1508.106330760879</v>
      </c>
      <c r="P361" s="4">
        <f t="shared" si="40"/>
        <v>2498.7251950842015</v>
      </c>
      <c r="Q361" s="4">
        <f t="shared" si="41"/>
        <v>4006.8315258450803</v>
      </c>
      <c r="V361" s="3"/>
      <c r="W361" s="3"/>
      <c r="Y361" s="7"/>
      <c r="Z361" s="7"/>
      <c r="AA361" s="7"/>
      <c r="AB361" s="7"/>
      <c r="AC361" s="9"/>
      <c r="AD361" s="9"/>
      <c r="AE361" s="9"/>
      <c r="AF361" s="3"/>
      <c r="AG361" s="3"/>
      <c r="AH361" s="3"/>
      <c r="AL361" s="11"/>
      <c r="AM361" s="3"/>
      <c r="AN361" s="3"/>
      <c r="AO361" s="11"/>
      <c r="AP361" s="7"/>
      <c r="AQ361" s="7"/>
      <c r="AR361" s="7"/>
      <c r="AS361" s="7"/>
      <c r="AT361" s="9"/>
      <c r="AU361" s="9"/>
      <c r="AV361" s="9"/>
      <c r="AW361" s="3"/>
      <c r="AX361" s="3"/>
      <c r="AY361" s="3"/>
    </row>
    <row r="362" spans="1:51" x14ac:dyDescent="0.25">
      <c r="A362">
        <v>329</v>
      </c>
      <c r="B362" s="1" t="s">
        <v>370</v>
      </c>
      <c r="C362" s="1" t="s">
        <v>682</v>
      </c>
      <c r="D362" s="2">
        <v>40828</v>
      </c>
      <c r="E362" s="3">
        <v>32.799999999999997</v>
      </c>
      <c r="F362" s="4">
        <f t="shared" si="35"/>
        <v>4724.7830239788682</v>
      </c>
      <c r="G362" s="2">
        <v>40205</v>
      </c>
      <c r="H362" s="7">
        <v>2.76</v>
      </c>
      <c r="I362" s="7">
        <f>H362+H365-2*$A$24</f>
        <v>5.6</v>
      </c>
      <c r="J362" s="7">
        <v>3</v>
      </c>
      <c r="K362" s="7">
        <v>4.8600000000000003</v>
      </c>
      <c r="L362" s="6">
        <f t="shared" si="36"/>
        <v>0.35000000000000003</v>
      </c>
      <c r="M362" s="6">
        <f t="shared" si="37"/>
        <v>0.56428571428571439</v>
      </c>
      <c r="N362" s="6">
        <f t="shared" si="38"/>
        <v>8.5714285714285521E-2</v>
      </c>
      <c r="O362" s="4">
        <f t="shared" si="39"/>
        <v>1653.6740583926039</v>
      </c>
      <c r="P362" s="4">
        <f t="shared" si="40"/>
        <v>2666.1275635309335</v>
      </c>
      <c r="Q362" s="4">
        <f t="shared" si="41"/>
        <v>4319.8016219235378</v>
      </c>
      <c r="V362" s="3"/>
      <c r="W362" s="3"/>
      <c r="Y362" s="7"/>
      <c r="Z362" s="7"/>
      <c r="AA362" s="7"/>
      <c r="AB362" s="7"/>
      <c r="AC362" s="9"/>
      <c r="AD362" s="9"/>
      <c r="AE362" s="9"/>
      <c r="AF362" s="3"/>
      <c r="AG362" s="3"/>
      <c r="AH362" s="3"/>
      <c r="AJ362" t="s">
        <v>885</v>
      </c>
      <c r="AK362" t="s">
        <v>682</v>
      </c>
      <c r="AL362" s="11">
        <f>D359</f>
        <v>40828</v>
      </c>
      <c r="AM362" s="3">
        <f>SUM(E359,E368)</f>
        <v>65.300000000000011</v>
      </c>
      <c r="AN362" s="3">
        <f>(AM362-4*$A$20)*$A$21/(2*$A$22)*$A$23</f>
        <v>4701.6525587831502</v>
      </c>
      <c r="AO362" s="11">
        <f>G359</f>
        <v>40205</v>
      </c>
      <c r="AP362" s="7">
        <f>SUM(H359,H368)</f>
        <v>6.9</v>
      </c>
      <c r="AQ362" s="7">
        <f>SUM(I359,I368)</f>
        <v>13.16</v>
      </c>
      <c r="AR362" s="7">
        <f>SUM(J359,J368)</f>
        <v>6.52</v>
      </c>
      <c r="AS362" s="7">
        <f>SUM(K359,K368)</f>
        <v>10.6</v>
      </c>
      <c r="AT362" s="9">
        <f>(AR362-2*$A$25)/AQ362</f>
        <v>0.33738601823708203</v>
      </c>
      <c r="AU362" s="9">
        <f>(AS362-2*$A$26)/AQ362</f>
        <v>0.54711246200607899</v>
      </c>
      <c r="AV362" s="9">
        <f>1-AT362-AU362</f>
        <v>0.11550151975683898</v>
      </c>
      <c r="AW362" s="3">
        <f>AN362*AT362</f>
        <v>1586.2718359420353</v>
      </c>
      <c r="AX362" s="3">
        <f>AN362*AU362</f>
        <v>2572.3327069330303</v>
      </c>
      <c r="AY362" s="3">
        <f>AW362+AX362</f>
        <v>4158.6045428750658</v>
      </c>
    </row>
    <row r="363" spans="1:51" x14ac:dyDescent="0.25">
      <c r="A363">
        <v>330</v>
      </c>
      <c r="B363" s="1" t="s">
        <v>371</v>
      </c>
      <c r="C363" s="1" t="s">
        <v>682</v>
      </c>
      <c r="D363" s="2">
        <v>40828</v>
      </c>
      <c r="E363" s="3">
        <v>35.9</v>
      </c>
      <c r="F363" s="4">
        <f t="shared" si="35"/>
        <v>5202.8126380237272</v>
      </c>
      <c r="G363" s="2">
        <v>40205</v>
      </c>
      <c r="H363" s="7">
        <v>3.26</v>
      </c>
      <c r="I363" s="7">
        <f>H363+H364-2*$A$24</f>
        <v>5.9399999999999995</v>
      </c>
      <c r="J363" s="7">
        <v>3.06</v>
      </c>
      <c r="K363" s="7">
        <v>5.0599999999999996</v>
      </c>
      <c r="L363" s="6">
        <f t="shared" si="36"/>
        <v>0.34006734006734007</v>
      </c>
      <c r="M363" s="6">
        <f t="shared" si="37"/>
        <v>0.56565656565656564</v>
      </c>
      <c r="N363" s="6">
        <f t="shared" si="38"/>
        <v>9.4276094276094291E-2</v>
      </c>
      <c r="O363" s="4">
        <f t="shared" si="39"/>
        <v>1769.3066546814696</v>
      </c>
      <c r="P363" s="4">
        <f t="shared" si="40"/>
        <v>2943.0051285790778</v>
      </c>
      <c r="Q363" s="4">
        <f t="shared" si="41"/>
        <v>4712.3117832605476</v>
      </c>
      <c r="V363" s="3"/>
      <c r="W363" s="3"/>
      <c r="Y363" s="7"/>
      <c r="Z363" s="7"/>
      <c r="AA363" s="7"/>
      <c r="AB363" s="7"/>
      <c r="AC363" s="9"/>
      <c r="AD363" s="9"/>
      <c r="AE363" s="9"/>
      <c r="AF363" s="3"/>
      <c r="AG363" s="3"/>
      <c r="AH363" s="3"/>
      <c r="AL363" s="11"/>
      <c r="AM363" s="3"/>
      <c r="AN363" s="3"/>
      <c r="AO363" s="11"/>
      <c r="AP363" s="7"/>
      <c r="AQ363" s="7"/>
      <c r="AR363" s="7"/>
      <c r="AS363" s="7"/>
      <c r="AT363" s="9"/>
      <c r="AU363" s="9"/>
      <c r="AV363" s="9"/>
      <c r="AW363" s="3"/>
      <c r="AX363" s="3"/>
      <c r="AY363" s="3"/>
    </row>
    <row r="364" spans="1:51" x14ac:dyDescent="0.25">
      <c r="A364">
        <v>331</v>
      </c>
      <c r="B364" s="1" t="s">
        <v>372</v>
      </c>
      <c r="C364" s="1" t="s">
        <v>682</v>
      </c>
      <c r="D364" s="2">
        <v>40828</v>
      </c>
      <c r="E364" s="3">
        <v>35.799999999999997</v>
      </c>
      <c r="F364" s="4">
        <f t="shared" si="35"/>
        <v>5187.3923278932489</v>
      </c>
      <c r="G364" s="2">
        <v>40205</v>
      </c>
      <c r="H364" s="7">
        <v>3</v>
      </c>
      <c r="I364" s="7">
        <f>H364+H363-2*$A$24</f>
        <v>5.9399999999999995</v>
      </c>
      <c r="J364" s="7">
        <v>3.06</v>
      </c>
      <c r="K364" s="7">
        <v>5.0599999999999996</v>
      </c>
      <c r="L364" s="6">
        <f t="shared" si="36"/>
        <v>0.34006734006734007</v>
      </c>
      <c r="M364" s="6">
        <f t="shared" si="37"/>
        <v>0.56565656565656564</v>
      </c>
      <c r="N364" s="6">
        <f t="shared" si="38"/>
        <v>9.4276094276094291E-2</v>
      </c>
      <c r="O364" s="4">
        <f t="shared" si="39"/>
        <v>1764.0627108323843</v>
      </c>
      <c r="P364" s="4">
        <f t="shared" si="40"/>
        <v>2934.2825289093125</v>
      </c>
      <c r="Q364" s="4">
        <f t="shared" si="41"/>
        <v>4698.3452397416968</v>
      </c>
      <c r="V364" s="3"/>
      <c r="W364" s="3"/>
      <c r="Y364" s="7"/>
      <c r="Z364" s="7"/>
      <c r="AA364" s="7"/>
      <c r="AB364" s="7"/>
      <c r="AC364" s="9"/>
      <c r="AD364" s="9"/>
      <c r="AE364" s="9"/>
      <c r="AF364" s="3"/>
      <c r="AG364" s="3"/>
      <c r="AH364" s="3"/>
      <c r="AJ364" t="s">
        <v>886</v>
      </c>
      <c r="AK364" t="s">
        <v>682</v>
      </c>
      <c r="AL364" s="11">
        <f>D358</f>
        <v>40828</v>
      </c>
      <c r="AM364" s="3">
        <f>SUM(E358,E369)</f>
        <v>58</v>
      </c>
      <c r="AN364" s="3">
        <f>(AM364-4*$A$20)*$A$21/(2*$A$22)*$A$23</f>
        <v>4138.8112390206534</v>
      </c>
      <c r="AO364" s="11">
        <f>G358</f>
        <v>40205</v>
      </c>
      <c r="AP364" s="7">
        <f>SUM(H358,H369)</f>
        <v>5.58</v>
      </c>
      <c r="AQ364" s="7">
        <f>SUM(I358,I369)</f>
        <v>10.52</v>
      </c>
      <c r="AR364" s="7">
        <f>SUM(J358,J369)</f>
        <v>5.64</v>
      </c>
      <c r="AS364" s="7">
        <f>SUM(K358,K369)</f>
        <v>9.4</v>
      </c>
      <c r="AT364" s="9">
        <f>(AR364-2*$A$25)/AQ364</f>
        <v>0.33840304182509501</v>
      </c>
      <c r="AU364" s="9">
        <f>(AS364-2*$A$26)/AQ364</f>
        <v>0.57034220532319391</v>
      </c>
      <c r="AV364" s="9">
        <f>1-AT364-AU364</f>
        <v>9.1254752851711141E-2</v>
      </c>
      <c r="AW364" s="3">
        <f>AN364*AT364</f>
        <v>1400.5863128244794</v>
      </c>
      <c r="AX364" s="3">
        <f>AN364*AU364</f>
        <v>2360.53872947946</v>
      </c>
      <c r="AY364" s="3">
        <f>AW364+AX364</f>
        <v>3761.1250423039392</v>
      </c>
    </row>
    <row r="365" spans="1:51" x14ac:dyDescent="0.25">
      <c r="A365">
        <v>332</v>
      </c>
      <c r="B365" s="1" t="s">
        <v>373</v>
      </c>
      <c r="C365" s="1" t="s">
        <v>682</v>
      </c>
      <c r="D365" s="2">
        <v>40828</v>
      </c>
      <c r="E365" s="3">
        <v>31.6</v>
      </c>
      <c r="F365" s="4">
        <f t="shared" si="35"/>
        <v>4539.739302413117</v>
      </c>
      <c r="G365" s="2">
        <v>40205</v>
      </c>
      <c r="H365" s="7">
        <v>3.16</v>
      </c>
      <c r="I365" s="7">
        <f>H365+H362-2*$A$24</f>
        <v>5.6</v>
      </c>
      <c r="J365" s="7">
        <v>3</v>
      </c>
      <c r="K365" s="7">
        <v>4.8600000000000003</v>
      </c>
      <c r="L365" s="6">
        <f t="shared" si="36"/>
        <v>0.35000000000000003</v>
      </c>
      <c r="M365" s="6">
        <f t="shared" si="37"/>
        <v>0.56428571428571439</v>
      </c>
      <c r="N365" s="6">
        <f t="shared" si="38"/>
        <v>8.5714285714285521E-2</v>
      </c>
      <c r="O365" s="4">
        <f t="shared" si="39"/>
        <v>1588.908755844591</v>
      </c>
      <c r="P365" s="4">
        <f t="shared" si="40"/>
        <v>2561.7100349331163</v>
      </c>
      <c r="Q365" s="4">
        <f t="shared" si="41"/>
        <v>4150.6187907777075</v>
      </c>
      <c r="V365" s="3"/>
      <c r="W365" s="3"/>
      <c r="Y365" s="7"/>
      <c r="Z365" s="7"/>
      <c r="AA365" s="7"/>
      <c r="AB365" s="7"/>
      <c r="AC365" s="9"/>
      <c r="AD365" s="9"/>
      <c r="AE365" s="9"/>
      <c r="AF365" s="3"/>
      <c r="AG365" s="3"/>
      <c r="AH365" s="3"/>
      <c r="AL365" s="11"/>
      <c r="AM365" s="3"/>
      <c r="AN365" s="3"/>
      <c r="AO365" s="11"/>
      <c r="AP365" s="7"/>
      <c r="AQ365" s="7"/>
      <c r="AR365" s="7"/>
      <c r="AS365" s="7"/>
      <c r="AT365" s="9"/>
      <c r="AU365" s="9"/>
      <c r="AV365" s="9"/>
      <c r="AW365" s="3"/>
      <c r="AX365" s="3"/>
      <c r="AY365" s="3"/>
    </row>
    <row r="366" spans="1:51" x14ac:dyDescent="0.25">
      <c r="A366">
        <v>333</v>
      </c>
      <c r="B366" s="1" t="s">
        <v>374</v>
      </c>
      <c r="C366" s="1" t="s">
        <v>682</v>
      </c>
      <c r="D366" s="2">
        <v>40828</v>
      </c>
      <c r="E366" s="3">
        <v>34.6</v>
      </c>
      <c r="F366" s="4">
        <f t="shared" si="35"/>
        <v>5002.3486063274968</v>
      </c>
      <c r="G366" s="2">
        <v>40205</v>
      </c>
      <c r="H366" s="7">
        <v>3.54</v>
      </c>
      <c r="I366" s="7">
        <f>H366+H361-2*$A$24</f>
        <v>6.1199999999999992</v>
      </c>
      <c r="J366" s="7">
        <v>3.08</v>
      </c>
      <c r="K366" s="7">
        <v>5.08</v>
      </c>
      <c r="L366" s="6">
        <f t="shared" si="36"/>
        <v>0.33333333333333337</v>
      </c>
      <c r="M366" s="6">
        <f t="shared" si="37"/>
        <v>0.55228758169934644</v>
      </c>
      <c r="N366" s="6">
        <f t="shared" si="38"/>
        <v>0.11437908496732019</v>
      </c>
      <c r="O366" s="4">
        <f t="shared" si="39"/>
        <v>1667.4495354424992</v>
      </c>
      <c r="P366" s="4">
        <f t="shared" si="40"/>
        <v>2762.7350146057092</v>
      </c>
      <c r="Q366" s="4">
        <f t="shared" si="41"/>
        <v>4430.1845500482086</v>
      </c>
      <c r="V366" s="3"/>
      <c r="W366" s="3"/>
      <c r="Y366" s="7"/>
      <c r="Z366" s="7"/>
      <c r="AA366" s="7"/>
      <c r="AB366" s="7"/>
      <c r="AC366" s="9"/>
      <c r="AD366" s="9"/>
      <c r="AE366" s="9"/>
      <c r="AF366" s="3"/>
      <c r="AG366" s="3"/>
      <c r="AH366" s="3"/>
      <c r="AJ366" t="s">
        <v>887</v>
      </c>
      <c r="AK366" t="s">
        <v>682</v>
      </c>
      <c r="AL366" s="11">
        <f>D357</f>
        <v>40828</v>
      </c>
      <c r="AM366" s="3">
        <f>SUM(E357,E370)</f>
        <v>59.1</v>
      </c>
      <c r="AN366" s="3">
        <f>(AM366-4*$A$20)*$A$21/(2*$A$22)*$A$23</f>
        <v>4223.6229447382902</v>
      </c>
      <c r="AO366" s="11">
        <f>G357</f>
        <v>40205</v>
      </c>
      <c r="AP366" s="7">
        <f>SUM(H357,H370)</f>
        <v>6.54</v>
      </c>
      <c r="AQ366" s="7">
        <f>SUM(I357,I370)</f>
        <v>12.44</v>
      </c>
      <c r="AR366" s="7">
        <f>SUM(J357,J370)</f>
        <v>6.4</v>
      </c>
      <c r="AS366" s="7">
        <f>SUM(K357,K370)</f>
        <v>10.48</v>
      </c>
      <c r="AT366" s="9">
        <f>(AR366-2*$A$25)/AQ366</f>
        <v>0.34726688102893893</v>
      </c>
      <c r="AU366" s="9">
        <f>(AS366-2*$A$26)/AQ366</f>
        <v>0.56913183279742763</v>
      </c>
      <c r="AV366" s="9">
        <f>1-AT366-AU366</f>
        <v>8.3601286173633382E-2</v>
      </c>
      <c r="AW366" s="3">
        <f>AN366*AT366</f>
        <v>1466.7243666615286</v>
      </c>
      <c r="AX366" s="3">
        <f>AN366*AU366</f>
        <v>2403.7982675841713</v>
      </c>
      <c r="AY366" s="3">
        <f>AW366+AX366</f>
        <v>3870.5226342456999</v>
      </c>
    </row>
    <row r="367" spans="1:51" x14ac:dyDescent="0.25">
      <c r="A367">
        <v>334</v>
      </c>
      <c r="B367" s="1" t="s">
        <v>375</v>
      </c>
      <c r="C367" s="1" t="s">
        <v>682</v>
      </c>
      <c r="D367" s="2">
        <v>40828</v>
      </c>
      <c r="E367" s="3">
        <v>34.1</v>
      </c>
      <c r="F367" s="4">
        <f t="shared" si="35"/>
        <v>4925.2470556751005</v>
      </c>
      <c r="G367" s="2">
        <v>40205</v>
      </c>
      <c r="H367" s="7">
        <v>2.52</v>
      </c>
      <c r="I367" s="7">
        <f>H367+H360-2*$A$24</f>
        <v>5.24</v>
      </c>
      <c r="J367" s="7">
        <v>2.82</v>
      </c>
      <c r="K367" s="7">
        <v>4.54</v>
      </c>
      <c r="L367" s="6">
        <f t="shared" si="36"/>
        <v>0.33969465648854957</v>
      </c>
      <c r="M367" s="6">
        <f t="shared" si="37"/>
        <v>0.54198473282442738</v>
      </c>
      <c r="N367" s="6">
        <f t="shared" si="38"/>
        <v>0.11832061068702304</v>
      </c>
      <c r="O367" s="4">
        <f t="shared" si="39"/>
        <v>1673.0801066987935</v>
      </c>
      <c r="P367" s="4">
        <f t="shared" si="40"/>
        <v>2669.4087095643667</v>
      </c>
      <c r="Q367" s="4">
        <f t="shared" si="41"/>
        <v>4342.4888162631605</v>
      </c>
      <c r="V367" s="3"/>
      <c r="W367" s="3"/>
      <c r="Y367" s="7"/>
      <c r="Z367" s="7"/>
      <c r="AA367" s="7"/>
      <c r="AB367" s="7"/>
      <c r="AC367" s="9"/>
      <c r="AD367" s="9"/>
      <c r="AE367" s="9"/>
      <c r="AF367" s="3"/>
      <c r="AG367" s="3"/>
      <c r="AH367" s="3"/>
      <c r="AL367" s="11"/>
      <c r="AM367" s="3"/>
      <c r="AN367" s="3"/>
      <c r="AO367" s="11"/>
      <c r="AP367" s="7"/>
      <c r="AQ367" s="7"/>
      <c r="AR367" s="7"/>
      <c r="AS367" s="7"/>
      <c r="AT367" s="9"/>
      <c r="AU367" s="9"/>
      <c r="AV367" s="9"/>
      <c r="AW367" s="3"/>
      <c r="AX367" s="3"/>
      <c r="AY367" s="3"/>
    </row>
    <row r="368" spans="1:51" x14ac:dyDescent="0.25">
      <c r="A368">
        <v>335</v>
      </c>
      <c r="B368" s="1" t="s">
        <v>376</v>
      </c>
      <c r="C368" s="1" t="s">
        <v>682</v>
      </c>
      <c r="D368" s="2">
        <v>40828</v>
      </c>
      <c r="E368" s="3">
        <v>34.700000000000003</v>
      </c>
      <c r="F368" s="4">
        <f t="shared" si="35"/>
        <v>5017.7689164579779</v>
      </c>
      <c r="G368" s="2">
        <v>40205</v>
      </c>
      <c r="H368" s="7">
        <v>3.82</v>
      </c>
      <c r="I368" s="7">
        <f>H368+H359-2*$A$24</f>
        <v>6.58</v>
      </c>
      <c r="J368" s="7">
        <v>3.26</v>
      </c>
      <c r="K368" s="7">
        <v>5.3</v>
      </c>
      <c r="L368" s="6">
        <f t="shared" si="36"/>
        <v>0.33738601823708203</v>
      </c>
      <c r="M368" s="6">
        <f t="shared" si="37"/>
        <v>0.54711246200607899</v>
      </c>
      <c r="N368" s="6">
        <f t="shared" si="38"/>
        <v>0.11550151975683898</v>
      </c>
      <c r="O368" s="4">
        <f t="shared" si="39"/>
        <v>1692.9250751575546</v>
      </c>
      <c r="P368" s="4">
        <f t="shared" si="40"/>
        <v>2745.2839056608996</v>
      </c>
      <c r="Q368" s="4">
        <f t="shared" si="41"/>
        <v>4438.2089808184537</v>
      </c>
      <c r="V368" s="3"/>
      <c r="W368" s="3"/>
      <c r="Y368" s="7"/>
      <c r="Z368" s="7"/>
      <c r="AA368" s="7"/>
      <c r="AB368" s="7"/>
      <c r="AC368" s="9"/>
      <c r="AD368" s="9"/>
      <c r="AE368" s="9"/>
      <c r="AF368" s="3"/>
      <c r="AG368" s="3"/>
      <c r="AH368" s="3"/>
      <c r="AJ368" t="s">
        <v>888</v>
      </c>
      <c r="AK368" t="s">
        <v>682</v>
      </c>
      <c r="AL368" s="11">
        <f>D356</f>
        <v>40828</v>
      </c>
      <c r="AM368" s="3">
        <f>SUM(E356,E371)</f>
        <v>61.6</v>
      </c>
      <c r="AN368" s="3">
        <f>(AM368-4*$A$20)*$A$21/(2*$A$22)*$A$23</f>
        <v>4416.376821369282</v>
      </c>
      <c r="AO368" s="11">
        <f>G356</f>
        <v>40205</v>
      </c>
      <c r="AP368" s="7">
        <f>SUM(H356,H371)</f>
        <v>5.92</v>
      </c>
      <c r="AQ368" s="7">
        <f>SUM(I356,I371)</f>
        <v>11.2</v>
      </c>
      <c r="AR368" s="7">
        <f>SUM(J356,J371)</f>
        <v>5.96</v>
      </c>
      <c r="AS368" s="7">
        <f>SUM(K356,K371)</f>
        <v>9.8000000000000007</v>
      </c>
      <c r="AT368" s="9">
        <f>(AR368-2*$A$25)/AQ368</f>
        <v>0.34642857142857142</v>
      </c>
      <c r="AU368" s="9">
        <f>(AS368-2*$A$26)/AQ368</f>
        <v>0.57142857142857151</v>
      </c>
      <c r="AV368" s="9">
        <f>1-AT368-AU368</f>
        <v>8.2142857142857073E-2</v>
      </c>
      <c r="AW368" s="3">
        <f>AN368*AT368</f>
        <v>1529.9591131172156</v>
      </c>
      <c r="AX368" s="3">
        <f>AN368*AU368</f>
        <v>2523.6438979253044</v>
      </c>
      <c r="AY368" s="3">
        <f>AW368+AX368</f>
        <v>4053.6030110425199</v>
      </c>
    </row>
    <row r="369" spans="1:51" x14ac:dyDescent="0.25">
      <c r="A369">
        <v>336</v>
      </c>
      <c r="B369" s="1" t="s">
        <v>377</v>
      </c>
      <c r="C369" s="1" t="s">
        <v>682</v>
      </c>
      <c r="D369" s="2">
        <v>40828</v>
      </c>
      <c r="E369" s="3">
        <v>31.3</v>
      </c>
      <c r="F369" s="4">
        <f t="shared" si="35"/>
        <v>4493.4783720216783</v>
      </c>
      <c r="G369" s="2">
        <v>40205</v>
      </c>
      <c r="H369" s="7">
        <v>2.92</v>
      </c>
      <c r="I369" s="7">
        <f>H369+H358-2*$A$24</f>
        <v>5.26</v>
      </c>
      <c r="J369" s="7">
        <v>2.82</v>
      </c>
      <c r="K369" s="7">
        <v>4.7</v>
      </c>
      <c r="L369" s="6">
        <f t="shared" si="36"/>
        <v>0.33840304182509501</v>
      </c>
      <c r="M369" s="6">
        <f t="shared" si="37"/>
        <v>0.57034220532319391</v>
      </c>
      <c r="N369" s="6">
        <f t="shared" si="38"/>
        <v>9.1254752851711141E-2</v>
      </c>
      <c r="O369" s="4">
        <f t="shared" si="39"/>
        <v>1520.6067494674119</v>
      </c>
      <c r="P369" s="4">
        <f t="shared" si="40"/>
        <v>2562.8203642709191</v>
      </c>
      <c r="Q369" s="4">
        <f t="shared" si="41"/>
        <v>4083.4271137383312</v>
      </c>
      <c r="V369" s="3"/>
      <c r="W369" s="3"/>
      <c r="Y369" s="7"/>
      <c r="Z369" s="7"/>
      <c r="AA369" s="7"/>
      <c r="AB369" s="7"/>
      <c r="AC369" s="9"/>
      <c r="AD369" s="9"/>
      <c r="AE369" s="9"/>
      <c r="AF369" s="3"/>
      <c r="AG369" s="3"/>
      <c r="AH369" s="3"/>
      <c r="AL369" s="11"/>
      <c r="AM369" s="3"/>
      <c r="AN369" s="3"/>
      <c r="AO369" s="11"/>
      <c r="AP369" s="7"/>
      <c r="AQ369" s="7"/>
      <c r="AR369" s="7"/>
      <c r="AS369" s="7"/>
      <c r="AT369" s="9"/>
      <c r="AU369" s="9"/>
      <c r="AV369" s="9"/>
      <c r="AW369" s="3"/>
      <c r="AX369" s="3"/>
      <c r="AY369" s="3"/>
    </row>
    <row r="370" spans="1:51" x14ac:dyDescent="0.25">
      <c r="A370">
        <v>337</v>
      </c>
      <c r="B370" s="1" t="s">
        <v>378</v>
      </c>
      <c r="C370" s="1" t="s">
        <v>682</v>
      </c>
      <c r="D370" s="2">
        <v>40828</v>
      </c>
      <c r="E370" s="3">
        <v>32.6</v>
      </c>
      <c r="F370" s="4">
        <f t="shared" si="35"/>
        <v>4693.9424037179097</v>
      </c>
      <c r="G370" s="2">
        <v>40205</v>
      </c>
      <c r="H370" s="7">
        <v>2.82</v>
      </c>
      <c r="I370" s="7">
        <f>H370+H357-2*$A$24</f>
        <v>6.22</v>
      </c>
      <c r="J370" s="7">
        <v>3.2</v>
      </c>
      <c r="K370" s="7">
        <v>5.24</v>
      </c>
      <c r="L370" s="6">
        <f t="shared" si="36"/>
        <v>0.34726688102893893</v>
      </c>
      <c r="M370" s="6">
        <f t="shared" si="37"/>
        <v>0.56913183279742763</v>
      </c>
      <c r="N370" s="6">
        <f t="shared" si="38"/>
        <v>8.3601286173633382E-2</v>
      </c>
      <c r="O370" s="4">
        <f t="shared" si="39"/>
        <v>1630.0507382685989</v>
      </c>
      <c r="P370" s="4">
        <f t="shared" si="40"/>
        <v>2671.4720432735371</v>
      </c>
      <c r="Q370" s="4">
        <f t="shared" si="41"/>
        <v>4301.5227815421358</v>
      </c>
      <c r="V370" s="3"/>
      <c r="W370" s="3"/>
      <c r="Y370" s="7"/>
      <c r="Z370" s="7"/>
      <c r="AA370" s="7"/>
      <c r="AB370" s="7"/>
      <c r="AC370" s="9"/>
      <c r="AD370" s="9"/>
      <c r="AE370" s="9"/>
      <c r="AF370" s="3"/>
      <c r="AG370" s="3"/>
      <c r="AH370" s="3"/>
      <c r="AJ370" t="s">
        <v>889</v>
      </c>
      <c r="AK370" t="s">
        <v>682</v>
      </c>
      <c r="AL370" s="11">
        <f>D355</f>
        <v>40828</v>
      </c>
      <c r="AM370" s="3">
        <f>SUM(E355,E372)</f>
        <v>50.6</v>
      </c>
      <c r="AN370" s="3">
        <f>(AM370-4*$A$20)*$A$21/(2*$A$22)*$A$23</f>
        <v>3568.2597641929187</v>
      </c>
      <c r="AO370" s="11">
        <f>G355</f>
        <v>40205</v>
      </c>
      <c r="AP370" s="7">
        <f>SUM(H355,H372)</f>
        <v>7.92</v>
      </c>
      <c r="AQ370" s="7">
        <f>SUM(I355,I372)</f>
        <v>15.2</v>
      </c>
      <c r="AR370" s="7">
        <f>SUM(J355,J372)</f>
        <v>7.24</v>
      </c>
      <c r="AS370" s="7">
        <f>SUM(K355,K372)</f>
        <v>11.84</v>
      </c>
      <c r="AT370" s="9">
        <f>(AR370-2*$A$25)/AQ370</f>
        <v>0.33947368421052632</v>
      </c>
      <c r="AU370" s="9">
        <f>(AS370-2*$A$26)/AQ370</f>
        <v>0.55526315789473679</v>
      </c>
      <c r="AV370" s="9">
        <f>1-AT370-AU370</f>
        <v>0.10526315789473684</v>
      </c>
      <c r="AW370" s="3">
        <f>AN370*AT370</f>
        <v>1211.330288370754</v>
      </c>
      <c r="AX370" s="3">
        <f>AN370*AU370</f>
        <v>1981.323184854489</v>
      </c>
      <c r="AY370" s="3">
        <f>AW370+AX370</f>
        <v>3192.653473225243</v>
      </c>
    </row>
    <row r="371" spans="1:51" x14ac:dyDescent="0.25">
      <c r="A371">
        <v>338</v>
      </c>
      <c r="B371" s="1" t="s">
        <v>379</v>
      </c>
      <c r="C371" s="1" t="s">
        <v>682</v>
      </c>
      <c r="D371" s="2">
        <v>40828</v>
      </c>
      <c r="E371" s="3">
        <v>33.6</v>
      </c>
      <c r="F371" s="4">
        <f t="shared" si="35"/>
        <v>4848.1455050227032</v>
      </c>
      <c r="G371" s="2">
        <v>40205</v>
      </c>
      <c r="H371" s="7">
        <v>2.94</v>
      </c>
      <c r="I371" s="7">
        <f>H371+H356-2*$A$24</f>
        <v>5.6</v>
      </c>
      <c r="J371" s="7">
        <v>2.98</v>
      </c>
      <c r="K371" s="7">
        <v>4.9000000000000004</v>
      </c>
      <c r="L371" s="6">
        <f t="shared" si="36"/>
        <v>0.34642857142857142</v>
      </c>
      <c r="M371" s="6">
        <f t="shared" si="37"/>
        <v>0.57142857142857151</v>
      </c>
      <c r="N371" s="6">
        <f t="shared" si="38"/>
        <v>8.2142857142857073E-2</v>
      </c>
      <c r="O371" s="4">
        <f t="shared" si="39"/>
        <v>1679.5361213828651</v>
      </c>
      <c r="P371" s="4">
        <f t="shared" si="40"/>
        <v>2770.3688600129735</v>
      </c>
      <c r="Q371" s="4">
        <f t="shared" si="41"/>
        <v>4449.9049813958391</v>
      </c>
      <c r="V371" s="3"/>
      <c r="W371" s="3"/>
      <c r="Y371" s="7"/>
      <c r="Z371" s="7"/>
      <c r="AA371" s="7"/>
      <c r="AB371" s="7"/>
      <c r="AC371" s="9"/>
      <c r="AD371" s="9"/>
      <c r="AE371" s="9"/>
      <c r="AF371" s="3"/>
      <c r="AG371" s="3"/>
      <c r="AH371" s="3"/>
      <c r="AL371" s="11"/>
      <c r="AM371" s="3"/>
      <c r="AN371" s="3"/>
      <c r="AO371" s="11"/>
      <c r="AP371" s="7"/>
      <c r="AQ371" s="7"/>
      <c r="AR371" s="7"/>
      <c r="AS371" s="7"/>
      <c r="AT371" s="9"/>
      <c r="AU371" s="9"/>
      <c r="AV371" s="9"/>
      <c r="AW371" s="3"/>
      <c r="AX371" s="3"/>
      <c r="AY371" s="3"/>
    </row>
    <row r="372" spans="1:51" x14ac:dyDescent="0.25">
      <c r="A372">
        <v>339</v>
      </c>
      <c r="B372" s="1" t="s">
        <v>380</v>
      </c>
      <c r="C372" s="1" t="s">
        <v>682</v>
      </c>
      <c r="D372" s="2">
        <v>40828</v>
      </c>
      <c r="E372" s="3">
        <v>27.6</v>
      </c>
      <c r="F372" s="4">
        <f t="shared" si="35"/>
        <v>3922.9268971939437</v>
      </c>
      <c r="G372" s="2">
        <v>40205</v>
      </c>
      <c r="H372" s="7">
        <v>3.9</v>
      </c>
      <c r="I372" s="7">
        <f>H372+H355-2*$A$24</f>
        <v>7.6</v>
      </c>
      <c r="J372" s="7">
        <v>3.62</v>
      </c>
      <c r="K372" s="7">
        <v>5.92</v>
      </c>
      <c r="L372" s="6">
        <f t="shared" si="36"/>
        <v>0.33947368421052632</v>
      </c>
      <c r="M372" s="6">
        <f t="shared" si="37"/>
        <v>0.55526315789473679</v>
      </c>
      <c r="N372" s="6">
        <f t="shared" si="38"/>
        <v>0.10526315789473684</v>
      </c>
      <c r="O372" s="4">
        <f t="shared" si="39"/>
        <v>1331.7304466789967</v>
      </c>
      <c r="P372" s="4">
        <f t="shared" si="40"/>
        <v>2178.2567771261106</v>
      </c>
      <c r="Q372" s="4">
        <f t="shared" si="41"/>
        <v>3509.9872238051075</v>
      </c>
      <c r="V372" s="3"/>
      <c r="W372" s="3"/>
      <c r="Y372" s="7"/>
      <c r="Z372" s="7"/>
      <c r="AA372" s="7"/>
      <c r="AB372" s="7"/>
      <c r="AC372" s="9"/>
      <c r="AD372" s="9"/>
      <c r="AE372" s="9"/>
      <c r="AF372" s="3"/>
      <c r="AG372" s="3"/>
      <c r="AH372" s="3"/>
      <c r="AJ372" t="s">
        <v>890</v>
      </c>
      <c r="AK372" t="s">
        <v>682</v>
      </c>
      <c r="AL372" s="11">
        <f>D354</f>
        <v>40828</v>
      </c>
      <c r="AM372" s="3">
        <f>SUM(E354,E373)</f>
        <v>40.599999999999994</v>
      </c>
      <c r="AN372" s="3">
        <f>(AM372-4*$A$20)*$A$21/(2*$A$22)*$A$23</f>
        <v>2797.2442576689509</v>
      </c>
      <c r="AO372" s="11">
        <f>G354</f>
        <v>40205</v>
      </c>
      <c r="AP372" s="7">
        <f>SUM(H354,H373)</f>
        <v>6.74</v>
      </c>
      <c r="AQ372" s="7">
        <f>SUM(I354,I373)</f>
        <v>12.84</v>
      </c>
      <c r="AR372" s="7">
        <f>SUM(J354,J373)</f>
        <v>6.44</v>
      </c>
      <c r="AS372" s="7">
        <f>SUM(K354,K373)</f>
        <v>10.64</v>
      </c>
      <c r="AT372" s="9">
        <f>(AR372-2*$A$25)/AQ372</f>
        <v>0.33956386292834895</v>
      </c>
      <c r="AU372" s="9">
        <f>(AS372-2*$A$26)/AQ372</f>
        <v>0.56386292834890972</v>
      </c>
      <c r="AV372" s="9">
        <f>1-AT372-AU372</f>
        <v>9.6573208722741333E-2</v>
      </c>
      <c r="AW372" s="3">
        <f>AN372*AT372</f>
        <v>949.8430656882108</v>
      </c>
      <c r="AX372" s="3">
        <f>AN372*AU372</f>
        <v>1577.2623384363869</v>
      </c>
      <c r="AY372" s="3">
        <f>AW372+AX372</f>
        <v>2527.105404124598</v>
      </c>
    </row>
    <row r="373" spans="1:51" x14ac:dyDescent="0.25">
      <c r="A373">
        <v>340</v>
      </c>
      <c r="B373" s="1" t="s">
        <v>381</v>
      </c>
      <c r="C373" s="1" t="s">
        <v>682</v>
      </c>
      <c r="D373" s="2">
        <v>40828</v>
      </c>
      <c r="E373" s="3">
        <v>23.2</v>
      </c>
      <c r="F373" s="4">
        <f t="shared" si="35"/>
        <v>3244.4332514528523</v>
      </c>
      <c r="G373" s="2">
        <v>40205</v>
      </c>
      <c r="H373" s="7">
        <v>3.24</v>
      </c>
      <c r="I373" s="7">
        <f>H373+H354-2*$A$24</f>
        <v>6.42</v>
      </c>
      <c r="J373" s="7">
        <v>3.22</v>
      </c>
      <c r="K373" s="7">
        <v>5.32</v>
      </c>
      <c r="L373" s="6">
        <f t="shared" si="36"/>
        <v>0.33956386292834895</v>
      </c>
      <c r="M373" s="6">
        <f t="shared" si="37"/>
        <v>0.56386292834890972</v>
      </c>
      <c r="N373" s="6">
        <f t="shared" si="38"/>
        <v>9.6573208722741333E-2</v>
      </c>
      <c r="O373" s="4">
        <f t="shared" si="39"/>
        <v>1101.6922878765138</v>
      </c>
      <c r="P373" s="4">
        <f t="shared" si="40"/>
        <v>1829.4156339967799</v>
      </c>
      <c r="Q373" s="4">
        <f t="shared" si="41"/>
        <v>2931.1079218732939</v>
      </c>
      <c r="V373" s="3"/>
      <c r="W373" s="3"/>
      <c r="Y373" s="7"/>
      <c r="Z373" s="7"/>
      <c r="AA373" s="7"/>
      <c r="AB373" s="7"/>
      <c r="AC373" s="9"/>
      <c r="AD373" s="9"/>
      <c r="AE373" s="9"/>
      <c r="AF373" s="3"/>
      <c r="AG373" s="3"/>
      <c r="AH373" s="3"/>
      <c r="AL373" s="11"/>
      <c r="AM373" s="3"/>
      <c r="AN373" s="3"/>
      <c r="AO373" s="11"/>
      <c r="AP373" s="7"/>
      <c r="AQ373" s="7"/>
      <c r="AR373" s="7"/>
      <c r="AS373" s="7"/>
      <c r="AT373" s="9"/>
      <c r="AU373" s="9"/>
      <c r="AV373" s="9"/>
      <c r="AW373" s="3"/>
      <c r="AX373" s="3"/>
      <c r="AY373" s="3"/>
    </row>
    <row r="374" spans="1:51" x14ac:dyDescent="0.25">
      <c r="A374">
        <v>341</v>
      </c>
      <c r="B374" s="1" t="s">
        <v>382</v>
      </c>
      <c r="C374" s="1" t="s">
        <v>682</v>
      </c>
      <c r="D374" s="2">
        <v>40828</v>
      </c>
      <c r="E374" s="3">
        <v>21.8</v>
      </c>
      <c r="F374" s="4">
        <f t="shared" si="35"/>
        <v>3028.5489096261413</v>
      </c>
      <c r="G374" s="2">
        <v>40205</v>
      </c>
      <c r="H374" s="7">
        <v>2.62</v>
      </c>
      <c r="I374" s="7">
        <f>H374+H393-2*$A$24</f>
        <v>4.66</v>
      </c>
      <c r="J374" s="7">
        <v>2.58</v>
      </c>
      <c r="K374" s="7">
        <v>4.34</v>
      </c>
      <c r="L374" s="6">
        <f t="shared" si="36"/>
        <v>0.33047210300429186</v>
      </c>
      <c r="M374" s="6">
        <f t="shared" si="37"/>
        <v>0.56652360515021449</v>
      </c>
      <c r="N374" s="6">
        <f t="shared" si="38"/>
        <v>0.10300429184549365</v>
      </c>
      <c r="O374" s="4">
        <f t="shared" si="39"/>
        <v>1000.850927215506</v>
      </c>
      <c r="P374" s="4">
        <f t="shared" si="40"/>
        <v>1715.7444466551526</v>
      </c>
      <c r="Q374" s="4">
        <f t="shared" si="41"/>
        <v>2716.5953738706585</v>
      </c>
      <c r="V374" s="3"/>
      <c r="W374" s="3"/>
      <c r="Y374" s="7"/>
      <c r="Z374" s="7"/>
      <c r="AA374" s="7"/>
      <c r="AB374" s="7"/>
      <c r="AC374" s="9"/>
      <c r="AD374" s="9"/>
      <c r="AE374" s="9"/>
      <c r="AF374" s="3"/>
      <c r="AG374" s="3"/>
      <c r="AH374" s="3"/>
      <c r="AJ374" t="s">
        <v>891</v>
      </c>
      <c r="AK374" t="s">
        <v>682</v>
      </c>
      <c r="AL374" s="11">
        <f>D383</f>
        <v>40828</v>
      </c>
      <c r="AM374" s="3">
        <f>SUM(E383,E384)</f>
        <v>61</v>
      </c>
      <c r="AN374" s="3">
        <f>(AM374-4*$A$20)*$A$21/(2*$A$22)*$A$23</f>
        <v>4370.1158909778433</v>
      </c>
      <c r="AO374" s="11">
        <f>G383</f>
        <v>40205</v>
      </c>
      <c r="AP374" s="7">
        <f>SUM(H383,H384)</f>
        <v>6.48</v>
      </c>
      <c r="AQ374" s="7">
        <f>SUM(I383,I384)</f>
        <v>12.32</v>
      </c>
      <c r="AR374" s="7">
        <f>SUM(J383,J384)</f>
        <v>6.24</v>
      </c>
      <c r="AS374" s="7">
        <f>SUM(K383,K384)</f>
        <v>10.4</v>
      </c>
      <c r="AT374" s="9">
        <f>(AR374-2*$A$25)/AQ374</f>
        <v>0.33766233766233766</v>
      </c>
      <c r="AU374" s="9">
        <f>(AS374-2*$A$26)/AQ374</f>
        <v>0.56818181818181812</v>
      </c>
      <c r="AV374" s="9">
        <f>1-AT374-AU374</f>
        <v>9.4155844155844215E-2</v>
      </c>
      <c r="AW374" s="3">
        <f>AN374*AT374</f>
        <v>1475.623547602908</v>
      </c>
      <c r="AX374" s="3">
        <f>AN374*AU374</f>
        <v>2483.0203926010472</v>
      </c>
      <c r="AY374" s="3">
        <f>AW374+AX374</f>
        <v>3958.643940203955</v>
      </c>
    </row>
    <row r="375" spans="1:51" x14ac:dyDescent="0.25">
      <c r="A375">
        <v>342</v>
      </c>
      <c r="B375" s="1" t="s">
        <v>383</v>
      </c>
      <c r="C375" s="1" t="s">
        <v>682</v>
      </c>
      <c r="D375" s="2">
        <v>40828</v>
      </c>
      <c r="E375" s="3">
        <v>29</v>
      </c>
      <c r="F375" s="4">
        <f t="shared" si="35"/>
        <v>4138.8112390206534</v>
      </c>
      <c r="G375" s="2">
        <v>40205</v>
      </c>
      <c r="H375" s="7">
        <v>2.42</v>
      </c>
      <c r="I375" s="7">
        <f>H375+H392-2*$A$24</f>
        <v>4.3</v>
      </c>
      <c r="J375" s="7">
        <v>2.46</v>
      </c>
      <c r="K375" s="7">
        <v>4.12</v>
      </c>
      <c r="L375" s="6">
        <f t="shared" si="36"/>
        <v>0.33023255813953489</v>
      </c>
      <c r="M375" s="6">
        <f t="shared" si="37"/>
        <v>0.56279069767441858</v>
      </c>
      <c r="N375" s="6">
        <f t="shared" si="38"/>
        <v>0.10697674418604652</v>
      </c>
      <c r="O375" s="4">
        <f t="shared" si="39"/>
        <v>1366.7702231184483</v>
      </c>
      <c r="P375" s="4">
        <f t="shared" si="40"/>
        <v>2329.2844647511583</v>
      </c>
      <c r="Q375" s="4">
        <f t="shared" si="41"/>
        <v>3696.0546878696068</v>
      </c>
      <c r="V375" s="3"/>
      <c r="W375" s="3"/>
      <c r="Y375" s="7"/>
      <c r="Z375" s="7"/>
      <c r="AA375" s="7"/>
      <c r="AB375" s="7"/>
      <c r="AC375" s="9"/>
      <c r="AD375" s="9"/>
      <c r="AE375" s="9"/>
      <c r="AF375" s="3"/>
      <c r="AG375" s="3"/>
      <c r="AH375" s="3"/>
      <c r="AL375" s="11"/>
      <c r="AM375" s="3"/>
      <c r="AN375" s="3"/>
      <c r="AO375" s="11"/>
      <c r="AP375" s="7"/>
      <c r="AQ375" s="7"/>
      <c r="AR375" s="7"/>
      <c r="AS375" s="7"/>
      <c r="AT375" s="9"/>
      <c r="AU375" s="9"/>
      <c r="AV375" s="9"/>
      <c r="AW375" s="3"/>
      <c r="AX375" s="3"/>
      <c r="AY375" s="3"/>
    </row>
    <row r="376" spans="1:51" x14ac:dyDescent="0.25">
      <c r="A376">
        <v>343</v>
      </c>
      <c r="B376" s="1" t="s">
        <v>384</v>
      </c>
      <c r="C376" s="1" t="s">
        <v>682</v>
      </c>
      <c r="D376" s="2">
        <v>40828</v>
      </c>
      <c r="E376" s="3">
        <v>34.5</v>
      </c>
      <c r="F376" s="4">
        <f t="shared" si="35"/>
        <v>4986.9282961970175</v>
      </c>
      <c r="G376" s="2">
        <v>40205</v>
      </c>
      <c r="H376" s="7">
        <v>2.5</v>
      </c>
      <c r="I376" s="7">
        <f>H376+H391-2*$A$24</f>
        <v>5.7799999999999994</v>
      </c>
      <c r="J376" s="7">
        <v>3.02</v>
      </c>
      <c r="K376" s="7">
        <v>4.9800000000000004</v>
      </c>
      <c r="L376" s="6">
        <f t="shared" si="36"/>
        <v>0.34256055363321802</v>
      </c>
      <c r="M376" s="6">
        <f t="shared" si="37"/>
        <v>0.56747404844290672</v>
      </c>
      <c r="N376" s="6">
        <f t="shared" si="38"/>
        <v>8.9965397923875257E-2</v>
      </c>
      <c r="O376" s="4">
        <f t="shared" si="39"/>
        <v>1708.324918074411</v>
      </c>
      <c r="P376" s="4">
        <f t="shared" si="40"/>
        <v>2829.9523895374086</v>
      </c>
      <c r="Q376" s="4">
        <f t="shared" si="41"/>
        <v>4538.2773076118192</v>
      </c>
      <c r="V376" s="3"/>
      <c r="W376" s="3"/>
      <c r="Y376" s="7"/>
      <c r="Z376" s="7"/>
      <c r="AA376" s="7"/>
      <c r="AB376" s="7"/>
      <c r="AC376" s="9"/>
      <c r="AD376" s="9"/>
      <c r="AE376" s="9"/>
      <c r="AF376" s="3"/>
      <c r="AG376" s="3"/>
      <c r="AH376" s="3"/>
      <c r="AJ376" t="s">
        <v>892</v>
      </c>
      <c r="AK376" t="s">
        <v>682</v>
      </c>
      <c r="AL376" s="11">
        <f>D382</f>
        <v>40828</v>
      </c>
      <c r="AM376" s="3">
        <f>SUM(E382,E385)</f>
        <v>62.2</v>
      </c>
      <c r="AN376" s="3">
        <f>(AM376-4*$A$20)*$A$21/(2*$A$22)*$A$23</f>
        <v>4462.6377517607198</v>
      </c>
      <c r="AO376" s="11">
        <f>G382</f>
        <v>40205</v>
      </c>
      <c r="AP376" s="7">
        <f>SUM(H382,H385)</f>
        <v>5.98</v>
      </c>
      <c r="AQ376" s="7">
        <f>SUM(I382,I385)</f>
        <v>11.32</v>
      </c>
      <c r="AR376" s="7">
        <f>SUM(J382,J385)</f>
        <v>6</v>
      </c>
      <c r="AS376" s="7">
        <f>SUM(K382,K385)</f>
        <v>9.76</v>
      </c>
      <c r="AT376" s="9">
        <f>(AR376-2*$A$25)/AQ376</f>
        <v>0.34628975265017664</v>
      </c>
      <c r="AU376" s="9">
        <f>(AS376-2*$A$26)/AQ376</f>
        <v>0.56183745583038858</v>
      </c>
      <c r="AV376" s="9">
        <f>1-AT376-AU376</f>
        <v>9.1872791519434727E-2</v>
      </c>
      <c r="AW376" s="3">
        <f>AN376*AT376</f>
        <v>1545.36572322456</v>
      </c>
      <c r="AX376" s="3">
        <f>AN376*AU376</f>
        <v>2507.277040741888</v>
      </c>
      <c r="AY376" s="3">
        <f>AW376+AX376</f>
        <v>4052.642763966448</v>
      </c>
    </row>
    <row r="377" spans="1:51" x14ac:dyDescent="0.25">
      <c r="A377">
        <v>344</v>
      </c>
      <c r="B377" s="1" t="s">
        <v>385</v>
      </c>
      <c r="C377" s="1" t="s">
        <v>682</v>
      </c>
      <c r="D377" s="2">
        <v>40828</v>
      </c>
      <c r="E377" s="3">
        <v>30.5</v>
      </c>
      <c r="F377" s="4">
        <f t="shared" si="35"/>
        <v>4370.1158909778433</v>
      </c>
      <c r="G377" s="2">
        <v>40205</v>
      </c>
      <c r="H377" s="7">
        <v>3.56</v>
      </c>
      <c r="I377" s="7">
        <f>H377+H390-2*$A$24</f>
        <v>6.02</v>
      </c>
      <c r="J377" s="7">
        <v>3.1</v>
      </c>
      <c r="K377" s="7">
        <v>5.14</v>
      </c>
      <c r="L377" s="6">
        <f t="shared" si="36"/>
        <v>0.34219269102990035</v>
      </c>
      <c r="M377" s="6">
        <f t="shared" si="37"/>
        <v>0.5714285714285714</v>
      </c>
      <c r="N377" s="6">
        <f t="shared" si="38"/>
        <v>8.637873754152825E-2</v>
      </c>
      <c r="O377" s="4">
        <f t="shared" si="39"/>
        <v>1495.4217168462387</v>
      </c>
      <c r="P377" s="4">
        <f t="shared" si="40"/>
        <v>2497.2090805587673</v>
      </c>
      <c r="Q377" s="4">
        <f t="shared" si="41"/>
        <v>3992.630797405006</v>
      </c>
      <c r="V377" s="3"/>
      <c r="W377" s="3"/>
      <c r="Y377" s="7"/>
      <c r="Z377" s="7"/>
      <c r="AA377" s="7"/>
      <c r="AB377" s="7"/>
      <c r="AC377" s="9"/>
      <c r="AD377" s="9"/>
      <c r="AE377" s="9"/>
      <c r="AF377" s="3"/>
      <c r="AG377" s="3"/>
      <c r="AH377" s="3"/>
      <c r="AL377" s="11"/>
      <c r="AM377" s="3"/>
      <c r="AN377" s="3"/>
      <c r="AO377" s="11"/>
      <c r="AP377" s="7"/>
      <c r="AQ377" s="7"/>
      <c r="AR377" s="7"/>
      <c r="AS377" s="7"/>
      <c r="AT377" s="9"/>
      <c r="AU377" s="9"/>
      <c r="AV377" s="9"/>
      <c r="AW377" s="3"/>
      <c r="AX377" s="3"/>
      <c r="AY377" s="3"/>
    </row>
    <row r="378" spans="1:51" x14ac:dyDescent="0.25">
      <c r="A378">
        <v>345</v>
      </c>
      <c r="B378" s="1" t="s">
        <v>386</v>
      </c>
      <c r="C378" s="1" t="s">
        <v>682</v>
      </c>
      <c r="D378" s="2">
        <v>40828</v>
      </c>
      <c r="E378" s="3">
        <v>29.8</v>
      </c>
      <c r="F378" s="4">
        <f t="shared" si="35"/>
        <v>4262.1737200644884</v>
      </c>
      <c r="G378" s="2">
        <v>40205</v>
      </c>
      <c r="H378" s="7">
        <v>3.38</v>
      </c>
      <c r="I378" s="7">
        <f>H378+H389-2*$A$24</f>
        <v>5.74</v>
      </c>
      <c r="J378" s="7">
        <v>3</v>
      </c>
      <c r="K378" s="7">
        <v>4.9800000000000004</v>
      </c>
      <c r="L378" s="6">
        <f t="shared" si="36"/>
        <v>0.34146341463414631</v>
      </c>
      <c r="M378" s="6">
        <f t="shared" si="37"/>
        <v>0.5714285714285714</v>
      </c>
      <c r="N378" s="6">
        <f t="shared" si="38"/>
        <v>8.7108013937282291E-2</v>
      </c>
      <c r="O378" s="4">
        <f t="shared" si="39"/>
        <v>1455.3763922171422</v>
      </c>
      <c r="P378" s="4">
        <f t="shared" si="40"/>
        <v>2435.5278400368502</v>
      </c>
      <c r="Q378" s="4">
        <f t="shared" si="41"/>
        <v>3890.9042322539926</v>
      </c>
      <c r="V378" s="3"/>
      <c r="W378" s="3"/>
      <c r="Y378" s="7"/>
      <c r="Z378" s="7"/>
      <c r="AA378" s="7"/>
      <c r="AB378" s="7"/>
      <c r="AC378" s="9"/>
      <c r="AD378" s="9"/>
      <c r="AE378" s="9"/>
      <c r="AF378" s="3"/>
      <c r="AG378" s="3"/>
      <c r="AH378" s="3"/>
      <c r="AJ378" t="s">
        <v>893</v>
      </c>
      <c r="AK378" t="s">
        <v>682</v>
      </c>
      <c r="AL378" s="11">
        <f>D381</f>
        <v>40828</v>
      </c>
      <c r="AM378" s="3">
        <f>SUM(E381,E386)</f>
        <v>67.2</v>
      </c>
      <c r="AN378" s="3">
        <f>(AM378-4*$A$20)*$A$21/(2*$A$22)*$A$23</f>
        <v>4848.1455050227032</v>
      </c>
      <c r="AO378" s="11">
        <f>G381</f>
        <v>40205</v>
      </c>
      <c r="AP378" s="7">
        <f>SUM(H381,H386)</f>
        <v>4.5</v>
      </c>
      <c r="AQ378" s="7">
        <f>SUM(I381,I386)</f>
        <v>8.36</v>
      </c>
      <c r="AR378" s="7">
        <f>SUM(J381,J386)</f>
        <v>4.88</v>
      </c>
      <c r="AS378" s="7">
        <f>SUM(K381,K386)</f>
        <v>8.16</v>
      </c>
      <c r="AT378" s="9">
        <f>(AR378-2*$A$25)/AQ378</f>
        <v>0.3349282296650718</v>
      </c>
      <c r="AU378" s="9">
        <f>(AS378-2*$A$26)/AQ378</f>
        <v>0.56937799043062198</v>
      </c>
      <c r="AV378" s="9">
        <f>1-AT378-AU378</f>
        <v>9.5693779904306275E-2</v>
      </c>
      <c r="AW378" s="3">
        <f>AN378*AT378</f>
        <v>1623.7807911559294</v>
      </c>
      <c r="AX378" s="3">
        <f>AN378*AU378</f>
        <v>2760.4273449650796</v>
      </c>
      <c r="AY378" s="3">
        <f>AW378+AX378</f>
        <v>4384.2081361210094</v>
      </c>
    </row>
    <row r="379" spans="1:51" x14ac:dyDescent="0.25">
      <c r="A379">
        <v>346</v>
      </c>
      <c r="B379" s="1" t="s">
        <v>387</v>
      </c>
      <c r="C379" s="1" t="s">
        <v>682</v>
      </c>
      <c r="D379" s="2">
        <v>40828</v>
      </c>
      <c r="E379" s="3">
        <v>34</v>
      </c>
      <c r="F379" s="4">
        <f t="shared" si="35"/>
        <v>4909.8267455446203</v>
      </c>
      <c r="G379" s="2">
        <v>40205</v>
      </c>
      <c r="H379" s="7">
        <v>2.42</v>
      </c>
      <c r="I379" s="7">
        <f>H379+H388-2*$A$24</f>
        <v>5.26</v>
      </c>
      <c r="J379" s="7">
        <v>2.82</v>
      </c>
      <c r="K379" s="7">
        <v>4.68</v>
      </c>
      <c r="L379" s="6">
        <f t="shared" si="36"/>
        <v>0.33840304182509501</v>
      </c>
      <c r="M379" s="6">
        <f t="shared" si="37"/>
        <v>0.56653992395437258</v>
      </c>
      <c r="N379" s="6">
        <f t="shared" si="38"/>
        <v>9.5057034220532466E-2</v>
      </c>
      <c r="O379" s="4">
        <f t="shared" si="39"/>
        <v>1661.5003055265063</v>
      </c>
      <c r="P379" s="4">
        <f t="shared" si="40"/>
        <v>2781.6128710499938</v>
      </c>
      <c r="Q379" s="4">
        <f t="shared" si="41"/>
        <v>4443.1131765765003</v>
      </c>
      <c r="V379" s="3"/>
      <c r="W379" s="3"/>
      <c r="Y379" s="7"/>
      <c r="Z379" s="7"/>
      <c r="AA379" s="7"/>
      <c r="AB379" s="7"/>
      <c r="AC379" s="9"/>
      <c r="AD379" s="9"/>
      <c r="AE379" s="9"/>
      <c r="AF379" s="3"/>
      <c r="AG379" s="3"/>
      <c r="AH379" s="3"/>
      <c r="AL379" s="11"/>
      <c r="AM379" s="3"/>
      <c r="AN379" s="3"/>
      <c r="AO379" s="11"/>
      <c r="AP379" s="7"/>
      <c r="AQ379" s="7"/>
      <c r="AR379" s="7"/>
      <c r="AS379" s="7"/>
      <c r="AT379" s="9"/>
      <c r="AU379" s="9"/>
      <c r="AV379" s="9"/>
      <c r="AW379" s="3"/>
      <c r="AX379" s="3"/>
      <c r="AY379" s="3"/>
    </row>
    <row r="380" spans="1:51" x14ac:dyDescent="0.25">
      <c r="A380">
        <v>347</v>
      </c>
      <c r="B380" s="1" t="s">
        <v>388</v>
      </c>
      <c r="C380" s="1" t="s">
        <v>682</v>
      </c>
      <c r="D380" s="2">
        <v>40828</v>
      </c>
      <c r="E380" s="3">
        <v>35.200000000000003</v>
      </c>
      <c r="F380" s="4">
        <f t="shared" si="35"/>
        <v>5094.8704671103742</v>
      </c>
      <c r="G380" s="2">
        <v>40205</v>
      </c>
      <c r="H380" s="7">
        <v>2.72</v>
      </c>
      <c r="I380" s="7">
        <f>H380+H387-2*$A$24</f>
        <v>4.72</v>
      </c>
      <c r="J380" s="7">
        <v>2.66</v>
      </c>
      <c r="K380" s="7">
        <v>4.38</v>
      </c>
      <c r="L380" s="6">
        <f t="shared" si="36"/>
        <v>0.34322033898305088</v>
      </c>
      <c r="M380" s="6">
        <f t="shared" si="37"/>
        <v>0.56779661016949146</v>
      </c>
      <c r="N380" s="6">
        <f t="shared" si="38"/>
        <v>8.8983050847457723E-2</v>
      </c>
      <c r="O380" s="4">
        <f t="shared" si="39"/>
        <v>1748.6631687963575</v>
      </c>
      <c r="P380" s="4">
        <f t="shared" si="40"/>
        <v>2892.8501804779239</v>
      </c>
      <c r="Q380" s="4">
        <f t="shared" si="41"/>
        <v>4641.5133492742816</v>
      </c>
      <c r="V380" s="3"/>
      <c r="W380" s="3"/>
      <c r="Y380" s="7"/>
      <c r="Z380" s="7"/>
      <c r="AA380" s="7"/>
      <c r="AB380" s="7"/>
      <c r="AC380" s="9"/>
      <c r="AD380" s="9"/>
      <c r="AE380" s="9"/>
      <c r="AF380" s="3"/>
      <c r="AG380" s="3"/>
      <c r="AH380" s="3"/>
      <c r="AJ380" t="s">
        <v>894</v>
      </c>
      <c r="AK380" t="s">
        <v>682</v>
      </c>
      <c r="AL380" s="11">
        <f>D380</f>
        <v>40828</v>
      </c>
      <c r="AM380" s="3">
        <f>SUM(E380,E387)</f>
        <v>65.5</v>
      </c>
      <c r="AN380" s="3">
        <f>(AM380-4*$A$20)*$A$21/(2*$A$22)*$A$23</f>
        <v>4717.0728689136295</v>
      </c>
      <c r="AO380" s="11">
        <f>G380</f>
        <v>40205</v>
      </c>
      <c r="AP380" s="7">
        <f>SUM(H380,H387)</f>
        <v>5.04</v>
      </c>
      <c r="AQ380" s="7">
        <f>SUM(I380,I387)</f>
        <v>9.44</v>
      </c>
      <c r="AR380" s="7">
        <f>SUM(J380,J387)</f>
        <v>5.32</v>
      </c>
      <c r="AS380" s="7">
        <f>SUM(K380,K387)</f>
        <v>8.76</v>
      </c>
      <c r="AT380" s="9">
        <f>(AR380-2*$A$25)/AQ380</f>
        <v>0.34322033898305088</v>
      </c>
      <c r="AU380" s="9">
        <f>(AS380-2*$A$26)/AQ380</f>
        <v>0.56779661016949146</v>
      </c>
      <c r="AV380" s="9">
        <f>1-AT380-AU380</f>
        <v>8.8983050847457723E-2</v>
      </c>
      <c r="AW380" s="3">
        <f>AN380*AT380</f>
        <v>1618.9953490762882</v>
      </c>
      <c r="AX380" s="3">
        <f>AN380*AU380</f>
        <v>2678.3379848916366</v>
      </c>
      <c r="AY380" s="3">
        <f>AW380+AX380</f>
        <v>4297.3333339679248</v>
      </c>
    </row>
    <row r="381" spans="1:51" x14ac:dyDescent="0.25">
      <c r="A381">
        <v>348</v>
      </c>
      <c r="B381" s="1" t="s">
        <v>389</v>
      </c>
      <c r="C381" s="1" t="s">
        <v>682</v>
      </c>
      <c r="D381" s="2">
        <v>40828</v>
      </c>
      <c r="E381" s="3">
        <v>35.5</v>
      </c>
      <c r="F381" s="4">
        <f t="shared" si="35"/>
        <v>5141.1313975018111</v>
      </c>
      <c r="G381" s="2">
        <v>40205</v>
      </c>
      <c r="H381" s="7">
        <v>1.98</v>
      </c>
      <c r="I381" s="7">
        <f>H381+H386-2*$A$24</f>
        <v>4.18</v>
      </c>
      <c r="J381" s="7">
        <v>2.44</v>
      </c>
      <c r="K381" s="7">
        <v>4.08</v>
      </c>
      <c r="L381" s="6">
        <f t="shared" si="36"/>
        <v>0.3349282296650718</v>
      </c>
      <c r="M381" s="6">
        <f t="shared" si="37"/>
        <v>0.56937799043062198</v>
      </c>
      <c r="N381" s="6">
        <f t="shared" si="38"/>
        <v>9.5693779904306275E-2</v>
      </c>
      <c r="O381" s="4">
        <f t="shared" si="39"/>
        <v>1721.9100374407981</v>
      </c>
      <c r="P381" s="4">
        <f t="shared" si="40"/>
        <v>2927.2470636493563</v>
      </c>
      <c r="Q381" s="4">
        <f t="shared" si="41"/>
        <v>4649.1571010901544</v>
      </c>
      <c r="V381" s="3"/>
      <c r="W381" s="3"/>
      <c r="Y381" s="7"/>
      <c r="Z381" s="7"/>
      <c r="AA381" s="7"/>
      <c r="AB381" s="7"/>
      <c r="AC381" s="9"/>
      <c r="AD381" s="9"/>
      <c r="AE381" s="9"/>
      <c r="AF381" s="3"/>
      <c r="AG381" s="3"/>
      <c r="AH381" s="3"/>
      <c r="AL381" s="11"/>
      <c r="AM381" s="3"/>
      <c r="AN381" s="3"/>
      <c r="AO381" s="11"/>
      <c r="AP381" s="7"/>
      <c r="AQ381" s="7"/>
      <c r="AR381" s="7"/>
      <c r="AS381" s="7"/>
      <c r="AT381" s="9"/>
      <c r="AU381" s="9"/>
      <c r="AV381" s="9"/>
      <c r="AW381" s="3"/>
      <c r="AX381" s="3"/>
      <c r="AY381" s="3"/>
    </row>
    <row r="382" spans="1:51" x14ac:dyDescent="0.25">
      <c r="A382">
        <v>349</v>
      </c>
      <c r="B382" s="1" t="s">
        <v>390</v>
      </c>
      <c r="C382" s="1" t="s">
        <v>682</v>
      </c>
      <c r="D382" s="2">
        <v>40828</v>
      </c>
      <c r="E382" s="3">
        <v>33.6</v>
      </c>
      <c r="F382" s="4">
        <f t="shared" si="35"/>
        <v>4848.1455050227032</v>
      </c>
      <c r="G382" s="2">
        <v>40205</v>
      </c>
      <c r="H382" s="7">
        <v>2.3199999999999998</v>
      </c>
      <c r="I382" s="7">
        <f>H382+H385-2*$A$24</f>
        <v>5.66</v>
      </c>
      <c r="J382" s="7">
        <v>3</v>
      </c>
      <c r="K382" s="7">
        <v>4.88</v>
      </c>
      <c r="L382" s="6">
        <f t="shared" si="36"/>
        <v>0.34628975265017664</v>
      </c>
      <c r="M382" s="6">
        <f t="shared" si="37"/>
        <v>0.56183745583038858</v>
      </c>
      <c r="N382" s="6">
        <f t="shared" si="38"/>
        <v>9.1872791519434727E-2</v>
      </c>
      <c r="O382" s="4">
        <f t="shared" si="39"/>
        <v>1678.8631077463776</v>
      </c>
      <c r="P382" s="4">
        <f t="shared" si="40"/>
        <v>2723.8697360374899</v>
      </c>
      <c r="Q382" s="4">
        <f t="shared" si="41"/>
        <v>4402.7328437838678</v>
      </c>
      <c r="V382" s="3"/>
      <c r="W382" s="3"/>
      <c r="Y382" s="7"/>
      <c r="Z382" s="7"/>
      <c r="AA382" s="7"/>
      <c r="AB382" s="7"/>
      <c r="AC382" s="9"/>
      <c r="AD382" s="9"/>
      <c r="AE382" s="9"/>
      <c r="AF382" s="3"/>
      <c r="AG382" s="3"/>
      <c r="AH382" s="3"/>
      <c r="AJ382" t="s">
        <v>895</v>
      </c>
      <c r="AK382" t="s">
        <v>682</v>
      </c>
      <c r="AL382" s="11">
        <f>D379</f>
        <v>40828</v>
      </c>
      <c r="AM382" s="3">
        <f>SUM(E379,E388)</f>
        <v>64</v>
      </c>
      <c r="AN382" s="3">
        <f>(AM382-4*$A$20)*$A$21/(2*$A$22)*$A$23</f>
        <v>4601.4205429350341</v>
      </c>
      <c r="AO382" s="11">
        <f>G379</f>
        <v>40205</v>
      </c>
      <c r="AP382" s="7">
        <f>SUM(H379,H388)</f>
        <v>5.58</v>
      </c>
      <c r="AQ382" s="7">
        <f>SUM(I379,I388)</f>
        <v>10.52</v>
      </c>
      <c r="AR382" s="7">
        <f>SUM(J379,J388)</f>
        <v>5.64</v>
      </c>
      <c r="AS382" s="7">
        <f>SUM(K379,K388)</f>
        <v>9.36</v>
      </c>
      <c r="AT382" s="9">
        <f>(AR382-2*$A$25)/AQ382</f>
        <v>0.33840304182509501</v>
      </c>
      <c r="AU382" s="9">
        <f>(AS382-2*$A$26)/AQ382</f>
        <v>0.56653992395437258</v>
      </c>
      <c r="AV382" s="9">
        <f>1-AT382-AU382</f>
        <v>9.5057034220532466E-2</v>
      </c>
      <c r="AW382" s="3">
        <f>AN382*AT382</f>
        <v>1557.1347084456957</v>
      </c>
      <c r="AX382" s="3">
        <f>AN382*AU382</f>
        <v>2606.8884444765022</v>
      </c>
      <c r="AY382" s="3">
        <f>AW382+AX382</f>
        <v>4164.0231529221983</v>
      </c>
    </row>
    <row r="383" spans="1:51" x14ac:dyDescent="0.25">
      <c r="A383">
        <v>350</v>
      </c>
      <c r="B383" s="1" t="s">
        <v>391</v>
      </c>
      <c r="C383" s="1" t="s">
        <v>682</v>
      </c>
      <c r="D383" s="2">
        <v>40828</v>
      </c>
      <c r="E383" s="3">
        <v>34.9</v>
      </c>
      <c r="F383" s="4">
        <f t="shared" si="35"/>
        <v>5048.6095367189346</v>
      </c>
      <c r="G383" s="2">
        <v>40205</v>
      </c>
      <c r="H383" s="7">
        <v>3.32</v>
      </c>
      <c r="I383" s="7">
        <f>H383+H384-2*$A$24</f>
        <v>6.16</v>
      </c>
      <c r="J383" s="7">
        <v>3.12</v>
      </c>
      <c r="K383" s="7">
        <v>5.2</v>
      </c>
      <c r="L383" s="6">
        <f t="shared" si="36"/>
        <v>0.33766233766233766</v>
      </c>
      <c r="M383" s="6">
        <f t="shared" si="37"/>
        <v>0.56818181818181812</v>
      </c>
      <c r="N383" s="6">
        <f t="shared" si="38"/>
        <v>9.4155844155844215E-2</v>
      </c>
      <c r="O383" s="4">
        <f t="shared" si="39"/>
        <v>1704.725298112887</v>
      </c>
      <c r="P383" s="4">
        <f t="shared" si="40"/>
        <v>2868.5281458630307</v>
      </c>
      <c r="Q383" s="4">
        <f t="shared" si="41"/>
        <v>4573.2534439759174</v>
      </c>
      <c r="V383" s="3"/>
      <c r="W383" s="3"/>
      <c r="Y383" s="7"/>
      <c r="Z383" s="7"/>
      <c r="AA383" s="7"/>
      <c r="AB383" s="7"/>
      <c r="AC383" s="9"/>
      <c r="AD383" s="9"/>
      <c r="AE383" s="9"/>
      <c r="AF383" s="3"/>
      <c r="AG383" s="3"/>
      <c r="AH383" s="3"/>
      <c r="AL383" s="11"/>
      <c r="AM383" s="3"/>
      <c r="AN383" s="3"/>
      <c r="AO383" s="11"/>
      <c r="AP383" s="7"/>
      <c r="AQ383" s="7"/>
      <c r="AR383" s="7"/>
      <c r="AS383" s="7"/>
      <c r="AT383" s="9"/>
      <c r="AU383" s="9"/>
      <c r="AV383" s="9"/>
      <c r="AW383" s="3"/>
      <c r="AX383" s="3"/>
      <c r="AY383" s="3"/>
    </row>
    <row r="384" spans="1:51" x14ac:dyDescent="0.25">
      <c r="A384">
        <v>351</v>
      </c>
      <c r="B384" s="1" t="s">
        <v>392</v>
      </c>
      <c r="C384" s="1" t="s">
        <v>682</v>
      </c>
      <c r="D384" s="2">
        <v>40828</v>
      </c>
      <c r="E384" s="3">
        <v>26.1</v>
      </c>
      <c r="F384" s="4">
        <f t="shared" si="35"/>
        <v>3691.6222452367538</v>
      </c>
      <c r="G384" s="2">
        <v>40205</v>
      </c>
      <c r="H384" s="7">
        <v>3.16</v>
      </c>
      <c r="I384" s="7">
        <f>H384+H383-2*$A$24</f>
        <v>6.16</v>
      </c>
      <c r="J384" s="7">
        <v>3.12</v>
      </c>
      <c r="K384" s="7">
        <v>5.2</v>
      </c>
      <c r="L384" s="6">
        <f t="shared" si="36"/>
        <v>0.33766233766233766</v>
      </c>
      <c r="M384" s="6">
        <f t="shared" si="37"/>
        <v>0.56818181818181812</v>
      </c>
      <c r="N384" s="6">
        <f t="shared" si="38"/>
        <v>9.4155844155844215E-2</v>
      </c>
      <c r="O384" s="4">
        <f t="shared" si="39"/>
        <v>1246.5217970929298</v>
      </c>
      <c r="P384" s="4">
        <f t="shared" si="40"/>
        <v>2097.5126393390642</v>
      </c>
      <c r="Q384" s="4">
        <f t="shared" si="41"/>
        <v>3344.034436431994</v>
      </c>
      <c r="V384" s="3"/>
      <c r="W384" s="3"/>
      <c r="Y384" s="7"/>
      <c r="Z384" s="7"/>
      <c r="AA384" s="7"/>
      <c r="AB384" s="7"/>
      <c r="AC384" s="9"/>
      <c r="AD384" s="9"/>
      <c r="AE384" s="9"/>
      <c r="AF384" s="3"/>
      <c r="AG384" s="3"/>
      <c r="AH384" s="3"/>
      <c r="AJ384" t="s">
        <v>896</v>
      </c>
      <c r="AK384" t="s">
        <v>682</v>
      </c>
      <c r="AL384" s="11">
        <f>D378</f>
        <v>40828</v>
      </c>
      <c r="AM384" s="3">
        <f>SUM(E378,E389)</f>
        <v>56.5</v>
      </c>
      <c r="AN384" s="3">
        <f>(AM384-4*$A$20)*$A$21/(2*$A$22)*$A$23</f>
        <v>4023.1589130420593</v>
      </c>
      <c r="AO384" s="11">
        <f>G378</f>
        <v>40205</v>
      </c>
      <c r="AP384" s="7">
        <f>SUM(H378,H389)</f>
        <v>6.0600000000000005</v>
      </c>
      <c r="AQ384" s="7">
        <f>SUM(I378,I389)</f>
        <v>11.48</v>
      </c>
      <c r="AR384" s="7">
        <f>SUM(J378,J389)</f>
        <v>6</v>
      </c>
      <c r="AS384" s="7">
        <f>SUM(K378,K389)</f>
        <v>9.9600000000000009</v>
      </c>
      <c r="AT384" s="9">
        <f>(AR384-2*$A$25)/AQ384</f>
        <v>0.34146341463414631</v>
      </c>
      <c r="AU384" s="9">
        <f>(AS384-2*$A$26)/AQ384</f>
        <v>0.5714285714285714</v>
      </c>
      <c r="AV384" s="9">
        <f>1-AT384-AU384</f>
        <v>8.7108013937282291E-2</v>
      </c>
      <c r="AW384" s="3">
        <f>AN384*AT384</f>
        <v>1373.761580063142</v>
      </c>
      <c r="AX384" s="3">
        <f>AN384*AU384</f>
        <v>2298.9479503097482</v>
      </c>
      <c r="AY384" s="3">
        <f>AW384+AX384</f>
        <v>3672.7095303728902</v>
      </c>
    </row>
    <row r="385" spans="1:51" x14ac:dyDescent="0.25">
      <c r="A385">
        <v>352</v>
      </c>
      <c r="B385" s="1" t="s">
        <v>393</v>
      </c>
      <c r="C385" s="1" t="s">
        <v>682</v>
      </c>
      <c r="D385" s="2">
        <v>40828</v>
      </c>
      <c r="E385" s="3">
        <v>28.6</v>
      </c>
      <c r="F385" s="4">
        <f t="shared" si="35"/>
        <v>4077.1299984987368</v>
      </c>
      <c r="G385" s="2">
        <v>40205</v>
      </c>
      <c r="H385" s="7">
        <v>3.66</v>
      </c>
      <c r="I385" s="7">
        <f>H385+H382-2*$A$24</f>
        <v>5.66</v>
      </c>
      <c r="J385" s="7">
        <v>3</v>
      </c>
      <c r="K385" s="7">
        <v>4.88</v>
      </c>
      <c r="L385" s="6">
        <f t="shared" si="36"/>
        <v>0.34628975265017664</v>
      </c>
      <c r="M385" s="6">
        <f t="shared" si="37"/>
        <v>0.56183745583038858</v>
      </c>
      <c r="N385" s="6">
        <f t="shared" si="38"/>
        <v>9.1872791519434727E-2</v>
      </c>
      <c r="O385" s="4">
        <f t="shared" si="39"/>
        <v>1411.8683387027427</v>
      </c>
      <c r="P385" s="4">
        <f t="shared" si="40"/>
        <v>2290.6843454462864</v>
      </c>
      <c r="Q385" s="4">
        <f t="shared" si="41"/>
        <v>3702.5526841490291</v>
      </c>
      <c r="V385" s="3"/>
      <c r="W385" s="3"/>
      <c r="Y385" s="7"/>
      <c r="Z385" s="7"/>
      <c r="AA385" s="7"/>
      <c r="AB385" s="7"/>
      <c r="AC385" s="9"/>
      <c r="AD385" s="9"/>
      <c r="AE385" s="9"/>
      <c r="AF385" s="3"/>
      <c r="AG385" s="3"/>
      <c r="AH385" s="3"/>
      <c r="AL385" s="11"/>
      <c r="AM385" s="3"/>
      <c r="AN385" s="3"/>
      <c r="AO385" s="11"/>
      <c r="AP385" s="7"/>
      <c r="AQ385" s="7"/>
      <c r="AR385" s="7"/>
      <c r="AS385" s="7"/>
      <c r="AT385" s="9"/>
      <c r="AU385" s="9"/>
      <c r="AV385" s="9"/>
      <c r="AW385" s="3"/>
      <c r="AX385" s="3"/>
      <c r="AY385" s="3"/>
    </row>
    <row r="386" spans="1:51" x14ac:dyDescent="0.25">
      <c r="A386">
        <v>353</v>
      </c>
      <c r="B386" s="1" t="s">
        <v>394</v>
      </c>
      <c r="C386" s="1" t="s">
        <v>682</v>
      </c>
      <c r="D386" s="2">
        <v>40828</v>
      </c>
      <c r="E386" s="3">
        <v>31.7</v>
      </c>
      <c r="F386" s="4">
        <f t="shared" si="35"/>
        <v>4555.1596125435963</v>
      </c>
      <c r="G386" s="2">
        <v>40205</v>
      </c>
      <c r="H386" s="7">
        <v>2.52</v>
      </c>
      <c r="I386" s="7">
        <f>H386+H381-2*$A$24</f>
        <v>4.18</v>
      </c>
      <c r="J386" s="7">
        <v>2.44</v>
      </c>
      <c r="K386" s="7">
        <v>4.08</v>
      </c>
      <c r="L386" s="6">
        <f t="shared" si="36"/>
        <v>0.3349282296650718</v>
      </c>
      <c r="M386" s="6">
        <f t="shared" si="37"/>
        <v>0.56937799043062198</v>
      </c>
      <c r="N386" s="6">
        <f t="shared" si="38"/>
        <v>9.5693779904306275E-2</v>
      </c>
      <c r="O386" s="4">
        <f t="shared" si="39"/>
        <v>1525.6515448710611</v>
      </c>
      <c r="P386" s="4">
        <f t="shared" si="40"/>
        <v>2593.6076262808033</v>
      </c>
      <c r="Q386" s="4">
        <f t="shared" si="41"/>
        <v>4119.2591711518644</v>
      </c>
      <c r="V386" s="3"/>
      <c r="W386" s="3"/>
      <c r="Y386" s="7"/>
      <c r="Z386" s="7"/>
      <c r="AA386" s="7"/>
      <c r="AB386" s="7"/>
      <c r="AC386" s="9"/>
      <c r="AD386" s="9"/>
      <c r="AE386" s="9"/>
      <c r="AF386" s="3"/>
      <c r="AG386" s="3"/>
      <c r="AH386" s="3"/>
      <c r="AJ386" t="s">
        <v>897</v>
      </c>
      <c r="AK386" t="s">
        <v>682</v>
      </c>
      <c r="AL386" s="11">
        <f>D377</f>
        <v>40828</v>
      </c>
      <c r="AM386" s="3">
        <f>SUM(E377,E390)</f>
        <v>58.9</v>
      </c>
      <c r="AN386" s="3">
        <f>(AM386-4*$A$20)*$A$21/(2*$A$22)*$A$23</f>
        <v>4208.2026346078101</v>
      </c>
      <c r="AO386" s="11">
        <f>G377</f>
        <v>40205</v>
      </c>
      <c r="AP386" s="7">
        <f>SUM(H377,H390)</f>
        <v>6.34</v>
      </c>
      <c r="AQ386" s="7">
        <f>SUM(I377,I390)</f>
        <v>12.04</v>
      </c>
      <c r="AR386" s="7">
        <f>SUM(J377,J390)</f>
        <v>6.2</v>
      </c>
      <c r="AS386" s="7">
        <f>SUM(K377,K390)</f>
        <v>10.28</v>
      </c>
      <c r="AT386" s="9">
        <f>(AR386-2*$A$25)/AQ386</f>
        <v>0.34219269102990035</v>
      </c>
      <c r="AU386" s="9">
        <f>(AS386-2*$A$26)/AQ386</f>
        <v>0.5714285714285714</v>
      </c>
      <c r="AV386" s="9">
        <f>1-AT386-AU386</f>
        <v>8.637873754152825E-2</v>
      </c>
      <c r="AW386" s="3">
        <f>AN386*AT386</f>
        <v>1440.016183935563</v>
      </c>
      <c r="AX386" s="3">
        <f>AN386*AU386</f>
        <v>2404.6872197758912</v>
      </c>
      <c r="AY386" s="3">
        <f>AW386+AX386</f>
        <v>3844.7034037114545</v>
      </c>
    </row>
    <row r="387" spans="1:51" x14ac:dyDescent="0.25">
      <c r="A387">
        <v>354</v>
      </c>
      <c r="B387" s="1" t="s">
        <v>395</v>
      </c>
      <c r="C387" s="1" t="s">
        <v>682</v>
      </c>
      <c r="D387" s="2">
        <v>40828</v>
      </c>
      <c r="E387" s="3">
        <v>30.299999999999997</v>
      </c>
      <c r="F387" s="4">
        <f t="shared" si="35"/>
        <v>4339.2752707168847</v>
      </c>
      <c r="G387" s="2">
        <v>40205</v>
      </c>
      <c r="H387" s="7">
        <v>2.3199999999999998</v>
      </c>
      <c r="I387" s="7">
        <f>H387+H380-2*$A$24</f>
        <v>4.72</v>
      </c>
      <c r="J387" s="7">
        <v>2.66</v>
      </c>
      <c r="K387" s="7">
        <v>4.38</v>
      </c>
      <c r="L387" s="6">
        <f t="shared" si="36"/>
        <v>0.34322033898305088</v>
      </c>
      <c r="M387" s="6">
        <f t="shared" si="37"/>
        <v>0.56779661016949146</v>
      </c>
      <c r="N387" s="6">
        <f t="shared" si="38"/>
        <v>8.8983050847457723E-2</v>
      </c>
      <c r="O387" s="4">
        <f t="shared" si="39"/>
        <v>1489.327529356219</v>
      </c>
      <c r="P387" s="4">
        <f t="shared" si="40"/>
        <v>2463.8257893053496</v>
      </c>
      <c r="Q387" s="4">
        <f t="shared" si="41"/>
        <v>3953.1533186615688</v>
      </c>
      <c r="V387" s="3"/>
      <c r="W387" s="3"/>
      <c r="Y387" s="7"/>
      <c r="Z387" s="7"/>
      <c r="AA387" s="7"/>
      <c r="AB387" s="7"/>
      <c r="AC387" s="9"/>
      <c r="AD387" s="9"/>
      <c r="AE387" s="9"/>
      <c r="AF387" s="3"/>
      <c r="AG387" s="3"/>
      <c r="AH387" s="3"/>
      <c r="AL387" s="11"/>
      <c r="AM387" s="3"/>
      <c r="AN387" s="3"/>
      <c r="AO387" s="11"/>
      <c r="AP387" s="7"/>
      <c r="AQ387" s="7"/>
      <c r="AR387" s="7"/>
      <c r="AS387" s="7"/>
      <c r="AT387" s="9"/>
      <c r="AU387" s="9"/>
      <c r="AV387" s="9"/>
      <c r="AW387" s="3"/>
      <c r="AX387" s="3"/>
      <c r="AY387" s="3"/>
    </row>
    <row r="388" spans="1:51" x14ac:dyDescent="0.25">
      <c r="A388">
        <v>355</v>
      </c>
      <c r="B388" s="1" t="s">
        <v>396</v>
      </c>
      <c r="C388" s="1" t="s">
        <v>682</v>
      </c>
      <c r="D388" s="2">
        <v>40828</v>
      </c>
      <c r="E388" s="3">
        <v>30</v>
      </c>
      <c r="F388" s="4">
        <f t="shared" si="35"/>
        <v>4293.0143403254469</v>
      </c>
      <c r="G388" s="2">
        <v>40205</v>
      </c>
      <c r="H388" s="7">
        <v>3.16</v>
      </c>
      <c r="I388" s="7">
        <f>H388+H379-2*$A$24</f>
        <v>5.26</v>
      </c>
      <c r="J388" s="7">
        <v>2.82</v>
      </c>
      <c r="K388" s="7">
        <v>4.68</v>
      </c>
      <c r="L388" s="6">
        <f t="shared" si="36"/>
        <v>0.33840304182509501</v>
      </c>
      <c r="M388" s="6">
        <f t="shared" si="37"/>
        <v>0.56653992395437258</v>
      </c>
      <c r="N388" s="6">
        <f t="shared" si="38"/>
        <v>9.5057034220532466E-2</v>
      </c>
      <c r="O388" s="4">
        <f t="shared" si="39"/>
        <v>1452.7691113648848</v>
      </c>
      <c r="P388" s="4">
        <f t="shared" si="40"/>
        <v>2432.1640179030096</v>
      </c>
      <c r="Q388" s="4">
        <f t="shared" si="41"/>
        <v>3884.9331292678944</v>
      </c>
      <c r="V388" s="3"/>
      <c r="W388" s="3"/>
      <c r="Y388" s="7"/>
      <c r="Z388" s="7"/>
      <c r="AA388" s="7"/>
      <c r="AB388" s="7"/>
      <c r="AC388" s="9"/>
      <c r="AD388" s="9"/>
      <c r="AE388" s="9"/>
      <c r="AF388" s="3"/>
      <c r="AG388" s="3"/>
      <c r="AH388" s="3"/>
      <c r="AJ388" t="s">
        <v>898</v>
      </c>
      <c r="AK388" t="s">
        <v>682</v>
      </c>
      <c r="AL388" s="11">
        <f>D376</f>
        <v>40828</v>
      </c>
      <c r="AM388" s="3">
        <f>SUM(E376,E391)</f>
        <v>66.7</v>
      </c>
      <c r="AN388" s="3">
        <f>(AM388-4*$A$20)*$A$21/(2*$A$22)*$A$23</f>
        <v>4809.5947296965051</v>
      </c>
      <c r="AO388" s="11">
        <f>G376</f>
        <v>40205</v>
      </c>
      <c r="AP388" s="7">
        <f>SUM(H376,H391)</f>
        <v>6.1</v>
      </c>
      <c r="AQ388" s="7">
        <f>SUM(I376,I391)</f>
        <v>11.559999999999999</v>
      </c>
      <c r="AR388" s="7">
        <f>SUM(J376,J391)</f>
        <v>6.04</v>
      </c>
      <c r="AS388" s="7">
        <f>SUM(K376,K391)</f>
        <v>9.9600000000000009</v>
      </c>
      <c r="AT388" s="9">
        <f>(AR388-2*$A$25)/AQ388</f>
        <v>0.34256055363321802</v>
      </c>
      <c r="AU388" s="9">
        <f>(AS388-2*$A$26)/AQ388</f>
        <v>0.56747404844290672</v>
      </c>
      <c r="AV388" s="9">
        <f>1-AT388-AU388</f>
        <v>8.9965397923875257E-2</v>
      </c>
      <c r="AW388" s="3">
        <f>AN388*AT388</f>
        <v>1647.5774333562424</v>
      </c>
      <c r="AX388" s="3">
        <f>AN388*AU388</f>
        <v>2729.3201926305433</v>
      </c>
      <c r="AY388" s="3">
        <f>AW388+AX388</f>
        <v>4376.8976259867859</v>
      </c>
    </row>
    <row r="389" spans="1:51" x14ac:dyDescent="0.25">
      <c r="A389">
        <v>356</v>
      </c>
      <c r="B389" s="1" t="s">
        <v>397</v>
      </c>
      <c r="C389" s="1" t="s">
        <v>682</v>
      </c>
      <c r="D389" s="2">
        <v>40828</v>
      </c>
      <c r="E389" s="3">
        <v>26.7</v>
      </c>
      <c r="F389" s="4">
        <f t="shared" si="35"/>
        <v>3784.1441060196289</v>
      </c>
      <c r="G389" s="2">
        <v>40205</v>
      </c>
      <c r="H389" s="7">
        <v>2.68</v>
      </c>
      <c r="I389" s="7">
        <f>H389+H378-2*$A$24</f>
        <v>5.74</v>
      </c>
      <c r="J389" s="7">
        <v>3</v>
      </c>
      <c r="K389" s="7">
        <v>4.9800000000000004</v>
      </c>
      <c r="L389" s="6">
        <f t="shared" si="36"/>
        <v>0.34146341463414631</v>
      </c>
      <c r="M389" s="6">
        <f t="shared" si="37"/>
        <v>0.5714285714285714</v>
      </c>
      <c r="N389" s="6">
        <f t="shared" si="38"/>
        <v>8.7108013937282291E-2</v>
      </c>
      <c r="O389" s="4">
        <f t="shared" si="39"/>
        <v>1292.1467679091415</v>
      </c>
      <c r="P389" s="4">
        <f t="shared" si="40"/>
        <v>2162.3680605826448</v>
      </c>
      <c r="Q389" s="4">
        <f t="shared" si="41"/>
        <v>3454.5148284917864</v>
      </c>
      <c r="V389" s="3"/>
      <c r="W389" s="3"/>
      <c r="Y389" s="7"/>
      <c r="Z389" s="7"/>
      <c r="AA389" s="7"/>
      <c r="AB389" s="7"/>
      <c r="AC389" s="9"/>
      <c r="AD389" s="9"/>
      <c r="AE389" s="9"/>
      <c r="AF389" s="3"/>
      <c r="AG389" s="3"/>
      <c r="AH389" s="3"/>
      <c r="AL389" s="11"/>
      <c r="AM389" s="3"/>
      <c r="AN389" s="3"/>
      <c r="AO389" s="11"/>
      <c r="AP389" s="7"/>
      <c r="AQ389" s="7"/>
      <c r="AR389" s="7"/>
      <c r="AS389" s="7"/>
      <c r="AT389" s="9"/>
      <c r="AU389" s="9"/>
      <c r="AV389" s="9"/>
      <c r="AW389" s="3"/>
      <c r="AX389" s="3"/>
      <c r="AY389" s="3"/>
    </row>
    <row r="390" spans="1:51" x14ac:dyDescent="0.25">
      <c r="A390">
        <v>357</v>
      </c>
      <c r="B390" s="1" t="s">
        <v>398</v>
      </c>
      <c r="C390" s="1" t="s">
        <v>682</v>
      </c>
      <c r="D390" s="2">
        <v>40828</v>
      </c>
      <c r="E390" s="3">
        <v>28.4</v>
      </c>
      <c r="F390" s="4">
        <f t="shared" si="35"/>
        <v>4046.2893782377773</v>
      </c>
      <c r="G390" s="2">
        <v>40205</v>
      </c>
      <c r="H390" s="7">
        <v>2.78</v>
      </c>
      <c r="I390" s="7">
        <f>H390+H377-2*$A$24</f>
        <v>6.02</v>
      </c>
      <c r="J390" s="7">
        <v>3.1</v>
      </c>
      <c r="K390" s="7">
        <v>5.14</v>
      </c>
      <c r="L390" s="6">
        <f t="shared" si="36"/>
        <v>0.34219269102990035</v>
      </c>
      <c r="M390" s="6">
        <f t="shared" si="37"/>
        <v>0.5714285714285714</v>
      </c>
      <c r="N390" s="6">
        <f t="shared" si="38"/>
        <v>8.637873754152825E-2</v>
      </c>
      <c r="O390" s="4">
        <f t="shared" si="39"/>
        <v>1384.6106510248874</v>
      </c>
      <c r="P390" s="4">
        <f t="shared" si="40"/>
        <v>2312.1653589930156</v>
      </c>
      <c r="Q390" s="4">
        <f t="shared" si="41"/>
        <v>3696.776010017903</v>
      </c>
      <c r="V390" s="3"/>
      <c r="W390" s="3"/>
      <c r="Y390" s="7"/>
      <c r="Z390" s="7"/>
      <c r="AA390" s="7"/>
      <c r="AB390" s="7"/>
      <c r="AC390" s="9"/>
      <c r="AD390" s="9"/>
      <c r="AE390" s="9"/>
      <c r="AF390" s="3"/>
      <c r="AG390" s="3"/>
      <c r="AH390" s="3"/>
      <c r="AJ390" t="s">
        <v>899</v>
      </c>
      <c r="AK390" t="s">
        <v>682</v>
      </c>
      <c r="AL390" s="11">
        <f>D375</f>
        <v>40828</v>
      </c>
      <c r="AM390" s="3">
        <f>SUM(E375,E392)</f>
        <v>54.4</v>
      </c>
      <c r="AN390" s="3">
        <f>(AM390-4*$A$20)*$A$21/(2*$A$22)*$A$23</f>
        <v>3861.2456566720261</v>
      </c>
      <c r="AO390" s="11">
        <f>G375</f>
        <v>40205</v>
      </c>
      <c r="AP390" s="7">
        <f>SUM(H375,H392)</f>
        <v>4.62</v>
      </c>
      <c r="AQ390" s="7">
        <f>SUM(I375,I392)</f>
        <v>8.6</v>
      </c>
      <c r="AR390" s="7">
        <f>SUM(J375,J392)</f>
        <v>4.92</v>
      </c>
      <c r="AS390" s="7">
        <f>SUM(K375,K392)</f>
        <v>8.24</v>
      </c>
      <c r="AT390" s="9">
        <f>(AR390-2*$A$25)/AQ390</f>
        <v>0.33023255813953489</v>
      </c>
      <c r="AU390" s="9">
        <f>(AS390-2*$A$26)/AQ390</f>
        <v>0.56279069767441858</v>
      </c>
      <c r="AV390" s="9">
        <f>1-AT390-AU390</f>
        <v>0.10697674418604652</v>
      </c>
      <c r="AW390" s="3">
        <f>AN390*AT390</f>
        <v>1275.1090308079715</v>
      </c>
      <c r="AX390" s="3">
        <f>AN390*AU390</f>
        <v>2173.0731370107683</v>
      </c>
      <c r="AY390" s="3">
        <f>AW390+AX390</f>
        <v>3448.1821678187398</v>
      </c>
    </row>
    <row r="391" spans="1:51" x14ac:dyDescent="0.25">
      <c r="A391">
        <v>358</v>
      </c>
      <c r="B391" s="1" t="s">
        <v>399</v>
      </c>
      <c r="C391" s="1" t="s">
        <v>682</v>
      </c>
      <c r="D391" s="2">
        <v>40828</v>
      </c>
      <c r="E391" s="3">
        <v>32.200000000000003</v>
      </c>
      <c r="F391" s="4">
        <f t="shared" si="35"/>
        <v>4632.2611631959926</v>
      </c>
      <c r="G391" s="2">
        <v>40205</v>
      </c>
      <c r="H391" s="7">
        <v>3.6</v>
      </c>
      <c r="I391" s="7">
        <f>H391+H376-2*$A$24</f>
        <v>5.7799999999999994</v>
      </c>
      <c r="J391" s="7">
        <v>3.02</v>
      </c>
      <c r="K391" s="7">
        <v>4.9800000000000004</v>
      </c>
      <c r="L391" s="6">
        <f t="shared" si="36"/>
        <v>0.34256055363321802</v>
      </c>
      <c r="M391" s="6">
        <f t="shared" si="37"/>
        <v>0.56747404844290672</v>
      </c>
      <c r="N391" s="6">
        <f t="shared" si="38"/>
        <v>8.9965397923875257E-2</v>
      </c>
      <c r="O391" s="4">
        <f t="shared" si="39"/>
        <v>1586.8299486380738</v>
      </c>
      <c r="P391" s="4">
        <f t="shared" si="40"/>
        <v>2628.6879957236783</v>
      </c>
      <c r="Q391" s="4">
        <f t="shared" si="41"/>
        <v>4215.5179443617526</v>
      </c>
      <c r="V391" s="3"/>
      <c r="W391" s="3"/>
      <c r="Y391" s="7"/>
      <c r="Z391" s="7"/>
      <c r="AA391" s="7"/>
      <c r="AB391" s="7"/>
      <c r="AC391" s="9"/>
      <c r="AD391" s="9"/>
      <c r="AE391" s="9"/>
      <c r="AF391" s="3"/>
      <c r="AG391" s="3"/>
      <c r="AH391" s="3"/>
      <c r="AL391" s="11"/>
      <c r="AM391" s="3"/>
      <c r="AN391" s="3"/>
      <c r="AO391" s="11"/>
      <c r="AP391" s="7"/>
      <c r="AQ391" s="7"/>
      <c r="AR391" s="7"/>
      <c r="AS391" s="7"/>
      <c r="AT391" s="9"/>
      <c r="AU391" s="9"/>
      <c r="AV391" s="9"/>
      <c r="AW391" s="3"/>
      <c r="AX391" s="3"/>
      <c r="AY391" s="3"/>
    </row>
    <row r="392" spans="1:51" x14ac:dyDescent="0.25">
      <c r="A392">
        <v>359</v>
      </c>
      <c r="B392" s="1" t="s">
        <v>400</v>
      </c>
      <c r="C392" s="1" t="s">
        <v>682</v>
      </c>
      <c r="D392" s="2">
        <v>40828</v>
      </c>
      <c r="E392" s="3">
        <v>25.4</v>
      </c>
      <c r="F392" s="4">
        <f t="shared" si="35"/>
        <v>3583.6800743233975</v>
      </c>
      <c r="G392" s="2">
        <v>40205</v>
      </c>
      <c r="H392" s="7">
        <v>2.2000000000000002</v>
      </c>
      <c r="I392" s="7">
        <f>H392+H375-2*$A$24</f>
        <v>4.3</v>
      </c>
      <c r="J392" s="7">
        <v>2.46</v>
      </c>
      <c r="K392" s="7">
        <v>4.12</v>
      </c>
      <c r="L392" s="6">
        <f t="shared" si="36"/>
        <v>0.33023255813953489</v>
      </c>
      <c r="M392" s="6">
        <f t="shared" si="37"/>
        <v>0.56279069767441858</v>
      </c>
      <c r="N392" s="6">
        <f t="shared" si="38"/>
        <v>0.10697674418604652</v>
      </c>
      <c r="O392" s="4">
        <f t="shared" si="39"/>
        <v>1183.4478384974941</v>
      </c>
      <c r="P392" s="4">
        <f t="shared" si="40"/>
        <v>2016.8618092703771</v>
      </c>
      <c r="Q392" s="4">
        <f t="shared" si="41"/>
        <v>3200.309647767871</v>
      </c>
      <c r="V392" s="3"/>
      <c r="W392" s="3"/>
      <c r="Y392" s="7"/>
      <c r="Z392" s="7"/>
      <c r="AA392" s="7"/>
      <c r="AB392" s="7"/>
      <c r="AC392" s="9"/>
      <c r="AD392" s="9"/>
      <c r="AE392" s="9"/>
      <c r="AF392" s="3"/>
      <c r="AG392" s="3"/>
      <c r="AH392" s="3"/>
      <c r="AJ392" t="s">
        <v>900</v>
      </c>
      <c r="AK392" t="s">
        <v>682</v>
      </c>
      <c r="AL392" s="11">
        <f>D374</f>
        <v>40828</v>
      </c>
      <c r="AM392" s="3">
        <f>SUM(E374,E393)</f>
        <v>42.900000000000006</v>
      </c>
      <c r="AN392" s="3">
        <f>(AM392-4*$A$20)*$A$21/(2*$A$22)*$A$23</f>
        <v>2974.5778241694643</v>
      </c>
      <c r="AO392" s="11">
        <f>G374</f>
        <v>40205</v>
      </c>
      <c r="AP392" s="7">
        <f>SUM(H374,H393)</f>
        <v>4.9800000000000004</v>
      </c>
      <c r="AQ392" s="7">
        <f>SUM(I374,I393)</f>
        <v>9.32</v>
      </c>
      <c r="AR392" s="7">
        <f>SUM(J374,J393)</f>
        <v>5.16</v>
      </c>
      <c r="AS392" s="7">
        <f>SUM(K374,K393)</f>
        <v>8.68</v>
      </c>
      <c r="AT392" s="9">
        <f>(AR392-2*$A$25)/AQ392</f>
        <v>0.33047210300429186</v>
      </c>
      <c r="AU392" s="9">
        <f>(AS392-2*$A$26)/AQ392</f>
        <v>0.56652360515021449</v>
      </c>
      <c r="AV392" s="9">
        <f>1-AT392-AU392</f>
        <v>0.10300429184549365</v>
      </c>
      <c r="AW392" s="3">
        <f>AN392*AT392</f>
        <v>983.01498910321357</v>
      </c>
      <c r="AX392" s="3">
        <f>AN392*AU392</f>
        <v>1685.1685527483658</v>
      </c>
      <c r="AY392" s="3">
        <f>AW392+AX392</f>
        <v>2668.1835418515793</v>
      </c>
    </row>
    <row r="393" spans="1:51" x14ac:dyDescent="0.25">
      <c r="A393">
        <v>360</v>
      </c>
      <c r="B393" s="1" t="s">
        <v>401</v>
      </c>
      <c r="C393" s="1" t="s">
        <v>682</v>
      </c>
      <c r="D393" s="2">
        <v>40828</v>
      </c>
      <c r="E393" s="3">
        <v>21.1</v>
      </c>
      <c r="F393" s="4">
        <f t="shared" si="35"/>
        <v>2920.6067387127864</v>
      </c>
      <c r="G393" s="2">
        <v>40205</v>
      </c>
      <c r="H393" s="7">
        <v>2.36</v>
      </c>
      <c r="I393" s="7">
        <f>H393+H374-2*$A$24</f>
        <v>4.66</v>
      </c>
      <c r="J393" s="7">
        <v>2.58</v>
      </c>
      <c r="K393" s="7">
        <v>4.34</v>
      </c>
      <c r="L393" s="6">
        <f t="shared" si="36"/>
        <v>0.33047210300429186</v>
      </c>
      <c r="M393" s="6">
        <f t="shared" si="37"/>
        <v>0.56652360515021449</v>
      </c>
      <c r="N393" s="6">
        <f t="shared" si="38"/>
        <v>0.10300429184549365</v>
      </c>
      <c r="O393" s="4">
        <f t="shared" si="39"/>
        <v>965.17905099092093</v>
      </c>
      <c r="P393" s="4">
        <f t="shared" si="40"/>
        <v>1654.5926588415782</v>
      </c>
      <c r="Q393" s="4">
        <f t="shared" si="41"/>
        <v>2619.7717098324993</v>
      </c>
      <c r="V393" s="3"/>
      <c r="W393" s="3"/>
      <c r="Y393" s="7"/>
      <c r="Z393" s="7"/>
      <c r="AA393" s="7"/>
      <c r="AB393" s="7"/>
      <c r="AC393" s="9"/>
      <c r="AD393" s="9"/>
      <c r="AE393" s="9"/>
      <c r="AF393" s="3"/>
      <c r="AG393" s="3"/>
      <c r="AH393" s="3"/>
    </row>
    <row r="394" spans="1:51" x14ac:dyDescent="0.25">
      <c r="A394">
        <v>361</v>
      </c>
      <c r="B394" s="1" t="s">
        <v>402</v>
      </c>
      <c r="C394" s="1" t="s">
        <v>682</v>
      </c>
      <c r="D394" s="2">
        <v>40828</v>
      </c>
      <c r="E394" s="3">
        <v>36</v>
      </c>
      <c r="F394" s="4">
        <f t="shared" si="35"/>
        <v>5218.2329481542074</v>
      </c>
      <c r="G394" s="2">
        <v>40204</v>
      </c>
      <c r="H394" s="7">
        <v>3.04</v>
      </c>
      <c r="I394" s="7">
        <f>H394+H413-2*$A$24</f>
        <v>5.1999999999999993</v>
      </c>
      <c r="J394" s="7">
        <v>2.76</v>
      </c>
      <c r="K394" s="7">
        <v>4.6399999999999997</v>
      </c>
      <c r="L394" s="6">
        <f t="shared" si="36"/>
        <v>0.33076923076923076</v>
      </c>
      <c r="M394" s="6">
        <f t="shared" si="37"/>
        <v>0.56538461538461537</v>
      </c>
      <c r="N394" s="6">
        <f t="shared" si="38"/>
        <v>0.10384615384615392</v>
      </c>
      <c r="O394" s="4">
        <f t="shared" si="39"/>
        <v>1726.0308982356223</v>
      </c>
      <c r="P394" s="4">
        <f t="shared" si="40"/>
        <v>2950.3086283794942</v>
      </c>
      <c r="Q394" s="4">
        <f t="shared" si="41"/>
        <v>4676.3395266151165</v>
      </c>
      <c r="S394" t="s">
        <v>708</v>
      </c>
      <c r="T394" t="s">
        <v>682</v>
      </c>
      <c r="U394" s="8">
        <f>D394</f>
        <v>40828</v>
      </c>
      <c r="V394" s="3">
        <f>SUM(E394:E433)</f>
        <v>1597.5000000000002</v>
      </c>
      <c r="W394" s="3">
        <f>(V394-80*$A$20)*$A$21/(40*$A$22)*$A$23</f>
        <v>5825.407659541831</v>
      </c>
      <c r="X394" s="8">
        <f>G394</f>
        <v>40204</v>
      </c>
      <c r="Y394" s="7">
        <f>SUM(H394:H433)</f>
        <v>130.68000000000004</v>
      </c>
      <c r="Z394" s="7">
        <f>SUM(I394:I433)</f>
        <v>248.56000000000003</v>
      </c>
      <c r="AA394" s="7">
        <f>SUM(J394:J433)</f>
        <v>123.67999999999999</v>
      </c>
      <c r="AB394" s="7">
        <f>SUM(K394:K433)</f>
        <v>208.79999999999995</v>
      </c>
      <c r="AC394" s="9">
        <f>(AA394-40*$A$25)/Z394</f>
        <v>0.33022207917605395</v>
      </c>
      <c r="AD394" s="9">
        <f>(AB394-40*$A$26)/Z394</f>
        <v>0.56646282587705155</v>
      </c>
      <c r="AE394" s="9">
        <f>1-AC394-AD394</f>
        <v>0.1033150949468945</v>
      </c>
      <c r="AF394" s="3">
        <f>W394*AC394</f>
        <v>1923.6782293820136</v>
      </c>
      <c r="AG394" s="3">
        <f>W394*AD394</f>
        <v>3299.8768847098868</v>
      </c>
      <c r="AH394" s="3">
        <f>AF394+AG394</f>
        <v>5223.5551140919006</v>
      </c>
      <c r="AJ394" t="s">
        <v>901</v>
      </c>
      <c r="AK394" t="s">
        <v>682</v>
      </c>
      <c r="AL394" s="11">
        <f>D403</f>
        <v>40828</v>
      </c>
      <c r="AM394" s="3">
        <f>SUM(E403,E404)</f>
        <v>82</v>
      </c>
      <c r="AN394" s="3">
        <f>(AM394-4*$A$20)*$A$21/(2*$A$22)*$A$23</f>
        <v>5989.2484546781743</v>
      </c>
      <c r="AO394" s="11">
        <f>G403</f>
        <v>40204</v>
      </c>
      <c r="AP394" s="7">
        <f>SUM(H403,H404)</f>
        <v>6.52</v>
      </c>
      <c r="AQ394" s="7">
        <f>SUM(I403,I404)</f>
        <v>12.399999999999999</v>
      </c>
      <c r="AR394" s="7">
        <f>SUM(J403,J404)</f>
        <v>6.2</v>
      </c>
      <c r="AS394" s="7">
        <f>SUM(K403,K404)</f>
        <v>10.52</v>
      </c>
      <c r="AT394" s="9">
        <f>(AR394-2*$A$25)/AQ394</f>
        <v>0.3322580645161291</v>
      </c>
      <c r="AU394" s="9">
        <f>(AS394-2*$A$26)/AQ394</f>
        <v>0.5741935483870968</v>
      </c>
      <c r="AV394" s="9">
        <f>1-AT394-AU394</f>
        <v>9.3548387096774155E-2</v>
      </c>
      <c r="AW394" s="3">
        <f>AN394*AT394</f>
        <v>1989.9760994575875</v>
      </c>
      <c r="AX394" s="3">
        <f>AN394*AU394</f>
        <v>3438.9878223635969</v>
      </c>
      <c r="AY394" s="3">
        <f>AW394+AX394</f>
        <v>5428.9639218211842</v>
      </c>
    </row>
    <row r="395" spans="1:51" x14ac:dyDescent="0.25">
      <c r="A395">
        <v>362</v>
      </c>
      <c r="B395" s="1" t="s">
        <v>403</v>
      </c>
      <c r="C395" s="1" t="s">
        <v>682</v>
      </c>
      <c r="D395" s="2">
        <v>40828</v>
      </c>
      <c r="E395" s="3">
        <v>34.700000000000003</v>
      </c>
      <c r="F395" s="4">
        <f t="shared" si="35"/>
        <v>5017.7689164579779</v>
      </c>
      <c r="G395" s="2">
        <v>40204</v>
      </c>
      <c r="H395" s="7">
        <v>2.72</v>
      </c>
      <c r="I395" s="7">
        <f>H395+H412-2*$A$24</f>
        <v>5.98</v>
      </c>
      <c r="J395" s="7">
        <v>2.96</v>
      </c>
      <c r="K395" s="7">
        <v>5.0599999999999996</v>
      </c>
      <c r="L395" s="6">
        <f t="shared" si="36"/>
        <v>0.32107023411371233</v>
      </c>
      <c r="M395" s="6">
        <f t="shared" si="37"/>
        <v>0.5618729096989965</v>
      </c>
      <c r="N395" s="6">
        <f t="shared" si="38"/>
        <v>0.11705685618729111</v>
      </c>
      <c r="O395" s="4">
        <f t="shared" si="39"/>
        <v>1611.0562407356715</v>
      </c>
      <c r="P395" s="4">
        <f t="shared" si="40"/>
        <v>2819.348421287425</v>
      </c>
      <c r="Q395" s="4">
        <f t="shared" si="41"/>
        <v>4430.4046620230965</v>
      </c>
      <c r="V395" s="3"/>
      <c r="W395" s="3"/>
      <c r="Y395" s="7"/>
      <c r="Z395" s="7"/>
      <c r="AA395" s="7"/>
      <c r="AB395" s="7"/>
      <c r="AC395" s="9"/>
      <c r="AD395" s="9"/>
      <c r="AE395" s="9"/>
      <c r="AF395" s="3"/>
      <c r="AG395" s="3"/>
      <c r="AH395" s="3"/>
      <c r="AL395" s="11"/>
      <c r="AM395" s="3"/>
      <c r="AN395" s="3"/>
      <c r="AO395" s="11"/>
      <c r="AP395" s="7"/>
      <c r="AQ395" s="7"/>
      <c r="AR395" s="7"/>
      <c r="AS395" s="7"/>
      <c r="AT395" s="9"/>
      <c r="AU395" s="9"/>
      <c r="AV395" s="9"/>
      <c r="AW395" s="3"/>
      <c r="AX395" s="3"/>
      <c r="AY395" s="3"/>
    </row>
    <row r="396" spans="1:51" x14ac:dyDescent="0.25">
      <c r="A396">
        <v>363</v>
      </c>
      <c r="B396" s="1" t="s">
        <v>404</v>
      </c>
      <c r="C396" s="1" t="s">
        <v>682</v>
      </c>
      <c r="D396" s="2">
        <v>40828</v>
      </c>
      <c r="E396" s="3">
        <v>39.299999999999997</v>
      </c>
      <c r="F396" s="4">
        <f t="shared" si="35"/>
        <v>5727.1031824600259</v>
      </c>
      <c r="G396" s="2">
        <v>40204</v>
      </c>
      <c r="H396" s="7">
        <v>2.66</v>
      </c>
      <c r="I396" s="7">
        <f>H396+H411-2*$A$24</f>
        <v>6</v>
      </c>
      <c r="J396" s="7">
        <v>3.02</v>
      </c>
      <c r="K396" s="7">
        <v>5.08</v>
      </c>
      <c r="L396" s="6">
        <f t="shared" si="36"/>
        <v>0.33</v>
      </c>
      <c r="M396" s="6">
        <f t="shared" si="37"/>
        <v>0.56333333333333335</v>
      </c>
      <c r="N396" s="6">
        <f t="shared" si="38"/>
        <v>0.10666666666666658</v>
      </c>
      <c r="O396" s="4">
        <f t="shared" si="39"/>
        <v>1889.9440502118086</v>
      </c>
      <c r="P396" s="4">
        <f t="shared" si="40"/>
        <v>3226.2681261191478</v>
      </c>
      <c r="Q396" s="4">
        <f t="shared" si="41"/>
        <v>5116.2121763309569</v>
      </c>
      <c r="V396" s="3"/>
      <c r="W396" s="3"/>
      <c r="Y396" s="7"/>
      <c r="Z396" s="7"/>
      <c r="AA396" s="7"/>
      <c r="AB396" s="7"/>
      <c r="AC396" s="9"/>
      <c r="AD396" s="9"/>
      <c r="AE396" s="9"/>
      <c r="AF396" s="3"/>
      <c r="AG396" s="3"/>
      <c r="AH396" s="3"/>
      <c r="AJ396" t="s">
        <v>902</v>
      </c>
      <c r="AK396" t="s">
        <v>682</v>
      </c>
      <c r="AL396" s="11">
        <f>D402</f>
        <v>40828</v>
      </c>
      <c r="AM396" s="3">
        <f>SUM(E402,E405)</f>
        <v>76.599999999999994</v>
      </c>
      <c r="AN396" s="3">
        <f>(AM396-4*$A$20)*$A$21/(2*$A$22)*$A$23</f>
        <v>5572.9000811552323</v>
      </c>
      <c r="AO396" s="11">
        <f>G402</f>
        <v>40204</v>
      </c>
      <c r="AP396" s="7">
        <f>SUM(H402,H405)</f>
        <v>6.26</v>
      </c>
      <c r="AQ396" s="7">
        <f>SUM(I402,I405)</f>
        <v>11.879999999999999</v>
      </c>
      <c r="AR396" s="7">
        <f>SUM(J402,J405)</f>
        <v>5.96</v>
      </c>
      <c r="AS396" s="7">
        <f>SUM(K402,K405)</f>
        <v>10.039999999999999</v>
      </c>
      <c r="AT396" s="9">
        <f>(AR396-2*$A$25)/AQ396</f>
        <v>0.32659932659932661</v>
      </c>
      <c r="AU396" s="9">
        <f>(AS396-2*$A$26)/AQ396</f>
        <v>0.55892255892255882</v>
      </c>
      <c r="AV396" s="9">
        <f>1-AT396-AU396</f>
        <v>0.11447811447811462</v>
      </c>
      <c r="AW396" s="3">
        <f>AN396*AT396</f>
        <v>1820.1054137106314</v>
      </c>
      <c r="AX396" s="3">
        <f>AN396*AU396</f>
        <v>3114.8195739790181</v>
      </c>
      <c r="AY396" s="3">
        <f>AW396+AX396</f>
        <v>4934.9249876896492</v>
      </c>
    </row>
    <row r="397" spans="1:51" x14ac:dyDescent="0.25">
      <c r="A397">
        <v>364</v>
      </c>
      <c r="B397" s="1" t="s">
        <v>405</v>
      </c>
      <c r="C397" s="1" t="s">
        <v>682</v>
      </c>
      <c r="D397" s="2">
        <v>40828</v>
      </c>
      <c r="E397" s="3">
        <v>36.700000000000003</v>
      </c>
      <c r="F397" s="4">
        <f t="shared" si="35"/>
        <v>5326.1751190675632</v>
      </c>
      <c r="G397" s="2">
        <v>40204</v>
      </c>
      <c r="H397" s="7">
        <v>2.84</v>
      </c>
      <c r="I397" s="7">
        <f>H397+H410-2*$A$24</f>
        <v>4.9599999999999991</v>
      </c>
      <c r="J397" s="7">
        <v>2.64</v>
      </c>
      <c r="K397" s="7">
        <v>4.46</v>
      </c>
      <c r="L397" s="6">
        <f t="shared" si="36"/>
        <v>0.32258064516129042</v>
      </c>
      <c r="M397" s="6">
        <f t="shared" si="37"/>
        <v>0.55645161290322587</v>
      </c>
      <c r="N397" s="6">
        <f t="shared" si="38"/>
        <v>0.12096774193548365</v>
      </c>
      <c r="O397" s="4">
        <f t="shared" si="39"/>
        <v>1718.1210061508273</v>
      </c>
      <c r="P397" s="4">
        <f t="shared" si="40"/>
        <v>2963.7587356101767</v>
      </c>
      <c r="Q397" s="4">
        <f t="shared" si="41"/>
        <v>4681.879741761004</v>
      </c>
      <c r="V397" s="3"/>
      <c r="W397" s="3"/>
      <c r="Y397" s="7"/>
      <c r="Z397" s="7"/>
      <c r="AA397" s="7"/>
      <c r="AB397" s="7"/>
      <c r="AC397" s="9"/>
      <c r="AD397" s="9"/>
      <c r="AE397" s="9"/>
      <c r="AF397" s="3"/>
      <c r="AG397" s="3"/>
      <c r="AH397" s="3"/>
      <c r="AL397" s="11"/>
      <c r="AM397" s="3"/>
      <c r="AN397" s="3"/>
      <c r="AO397" s="11"/>
      <c r="AP397" s="7"/>
      <c r="AQ397" s="7"/>
      <c r="AR397" s="7"/>
      <c r="AS397" s="7"/>
      <c r="AT397" s="9"/>
      <c r="AU397" s="9"/>
      <c r="AV397" s="9"/>
      <c r="AW397" s="3"/>
      <c r="AX397" s="3"/>
      <c r="AY397" s="3"/>
    </row>
    <row r="398" spans="1:51" x14ac:dyDescent="0.25">
      <c r="A398">
        <v>365</v>
      </c>
      <c r="B398" s="1" t="s">
        <v>406</v>
      </c>
      <c r="C398" s="1" t="s">
        <v>682</v>
      </c>
      <c r="D398" s="2">
        <v>40828</v>
      </c>
      <c r="E398" s="3">
        <v>38</v>
      </c>
      <c r="F398" s="4">
        <f t="shared" si="35"/>
        <v>5526.6391507637945</v>
      </c>
      <c r="G398" s="2">
        <v>40204</v>
      </c>
      <c r="H398" s="7">
        <v>3.2</v>
      </c>
      <c r="I398" s="7">
        <f>H398+H409-2*$A$24</f>
        <v>5.52</v>
      </c>
      <c r="J398" s="7">
        <v>2.84</v>
      </c>
      <c r="K398" s="7">
        <v>4.8</v>
      </c>
      <c r="L398" s="6">
        <f t="shared" si="36"/>
        <v>0.32608695652173914</v>
      </c>
      <c r="M398" s="6">
        <f t="shared" si="37"/>
        <v>0.56159420289855067</v>
      </c>
      <c r="N398" s="6">
        <f t="shared" si="38"/>
        <v>0.1123188405797102</v>
      </c>
      <c r="O398" s="4">
        <f t="shared" si="39"/>
        <v>1802.1649404664547</v>
      </c>
      <c r="P398" s="4">
        <f t="shared" si="40"/>
        <v>3103.7285085811163</v>
      </c>
      <c r="Q398" s="4">
        <f t="shared" si="41"/>
        <v>4905.8934490475713</v>
      </c>
      <c r="V398" s="3"/>
      <c r="W398" s="3"/>
      <c r="Y398" s="7"/>
      <c r="Z398" s="7"/>
      <c r="AA398" s="7"/>
      <c r="AB398" s="7"/>
      <c r="AC398" s="9"/>
      <c r="AD398" s="9"/>
      <c r="AE398" s="9"/>
      <c r="AF398" s="3"/>
      <c r="AG398" s="3"/>
      <c r="AH398" s="3"/>
      <c r="AJ398" t="s">
        <v>903</v>
      </c>
      <c r="AK398" t="s">
        <v>682</v>
      </c>
      <c r="AL398" s="11">
        <f>D401</f>
        <v>40828</v>
      </c>
      <c r="AM398" s="3">
        <f>SUM(E401,E406)</f>
        <v>85.9</v>
      </c>
      <c r="AN398" s="3">
        <f>(AM398-4*$A$20)*$A$21/(2*$A$22)*$A$23</f>
        <v>6289.9445022225218</v>
      </c>
      <c r="AO398" s="11">
        <f>G401</f>
        <v>40204</v>
      </c>
      <c r="AP398" s="7">
        <f>SUM(H401,H406)</f>
        <v>5.8</v>
      </c>
      <c r="AQ398" s="7">
        <f>SUM(I401,I406)</f>
        <v>10.959999999999999</v>
      </c>
      <c r="AR398" s="7">
        <f>SUM(J401,J406)</f>
        <v>5.68</v>
      </c>
      <c r="AS398" s="7">
        <f>SUM(K401,K406)</f>
        <v>9.76</v>
      </c>
      <c r="AT398" s="9">
        <f>(AR398-2*$A$25)/AQ398</f>
        <v>0.32846715328467152</v>
      </c>
      <c r="AU398" s="9">
        <f>(AS398-2*$A$26)/AQ398</f>
        <v>0.58029197080291972</v>
      </c>
      <c r="AV398" s="9">
        <f>1-AT398-AU398</f>
        <v>9.1240875912408814E-2</v>
      </c>
      <c r="AW398" s="3">
        <f>AN398*AT398</f>
        <v>2066.0401649636019</v>
      </c>
      <c r="AX398" s="3">
        <f>AN398*AU398</f>
        <v>3650.0042914356973</v>
      </c>
      <c r="AY398" s="3">
        <f>AW398+AX398</f>
        <v>5716.0444563992987</v>
      </c>
    </row>
    <row r="399" spans="1:51" x14ac:dyDescent="0.25">
      <c r="A399">
        <v>366</v>
      </c>
      <c r="B399" s="1" t="s">
        <v>407</v>
      </c>
      <c r="C399" s="1" t="s">
        <v>682</v>
      </c>
      <c r="D399" s="2">
        <v>40828</v>
      </c>
      <c r="E399" s="3">
        <v>37.400000000000006</v>
      </c>
      <c r="F399" s="4">
        <f t="shared" si="35"/>
        <v>5434.1172899809198</v>
      </c>
      <c r="G399" s="2">
        <v>40204</v>
      </c>
      <c r="H399" s="7">
        <v>2.54</v>
      </c>
      <c r="I399" s="7">
        <f>H399+H408-2*$A$24</f>
        <v>4.3</v>
      </c>
      <c r="J399" s="7">
        <v>2.46</v>
      </c>
      <c r="K399" s="7">
        <v>4.18</v>
      </c>
      <c r="L399" s="6">
        <f t="shared" si="36"/>
        <v>0.33023255813953489</v>
      </c>
      <c r="M399" s="6">
        <f t="shared" si="37"/>
        <v>0.57674418604651156</v>
      </c>
      <c r="N399" s="6">
        <f t="shared" si="38"/>
        <v>9.3023255813953543E-2</v>
      </c>
      <c r="O399" s="4">
        <f t="shared" si="39"/>
        <v>1794.5224539006758</v>
      </c>
      <c r="P399" s="4">
        <f t="shared" si="40"/>
        <v>3134.0955532913208</v>
      </c>
      <c r="Q399" s="4">
        <f t="shared" si="41"/>
        <v>4928.6180071919971</v>
      </c>
      <c r="V399" s="3"/>
      <c r="W399" s="3"/>
      <c r="Y399" s="7"/>
      <c r="Z399" s="7"/>
      <c r="AA399" s="7"/>
      <c r="AB399" s="7"/>
      <c r="AC399" s="9"/>
      <c r="AD399" s="9"/>
      <c r="AE399" s="9"/>
      <c r="AF399" s="3"/>
      <c r="AG399" s="3"/>
      <c r="AH399" s="3"/>
      <c r="AL399" s="11"/>
      <c r="AM399" s="3"/>
      <c r="AN399" s="3"/>
      <c r="AO399" s="11"/>
      <c r="AP399" s="7"/>
      <c r="AQ399" s="7"/>
      <c r="AR399" s="7"/>
      <c r="AS399" s="7"/>
      <c r="AT399" s="9"/>
      <c r="AU399" s="9"/>
      <c r="AV399" s="9"/>
      <c r="AW399" s="3"/>
      <c r="AX399" s="3"/>
      <c r="AY399" s="3"/>
    </row>
    <row r="400" spans="1:51" x14ac:dyDescent="0.25">
      <c r="A400">
        <v>367</v>
      </c>
      <c r="B400" s="1" t="s">
        <v>408</v>
      </c>
      <c r="C400" s="1" t="s">
        <v>682</v>
      </c>
      <c r="D400" s="2">
        <v>40828</v>
      </c>
      <c r="E400" s="3">
        <v>39.5</v>
      </c>
      <c r="F400" s="4">
        <f t="shared" si="35"/>
        <v>5757.9438027209835</v>
      </c>
      <c r="G400" s="2">
        <v>40204</v>
      </c>
      <c r="H400" s="7">
        <v>3.4</v>
      </c>
      <c r="I400" s="7">
        <f>H400+H407-2*$A$24</f>
        <v>5.52</v>
      </c>
      <c r="J400" s="7">
        <v>2.82</v>
      </c>
      <c r="K400" s="7">
        <v>4.84</v>
      </c>
      <c r="L400" s="6">
        <f t="shared" si="36"/>
        <v>0.32246376811594202</v>
      </c>
      <c r="M400" s="6">
        <f t="shared" si="37"/>
        <v>0.5688405797101449</v>
      </c>
      <c r="N400" s="6">
        <f t="shared" si="38"/>
        <v>0.10869565217391308</v>
      </c>
      <c r="O400" s="4">
        <f t="shared" si="39"/>
        <v>1856.7282552252445</v>
      </c>
      <c r="P400" s="4">
        <f t="shared" si="40"/>
        <v>3275.3520906782405</v>
      </c>
      <c r="Q400" s="4">
        <f t="shared" si="41"/>
        <v>5132.0803459034851</v>
      </c>
      <c r="V400" s="3"/>
      <c r="W400" s="3"/>
      <c r="Y400" s="7"/>
      <c r="Z400" s="7"/>
      <c r="AA400" s="7"/>
      <c r="AB400" s="7"/>
      <c r="AC400" s="9"/>
      <c r="AD400" s="9"/>
      <c r="AE400" s="9"/>
      <c r="AF400" s="3"/>
      <c r="AG400" s="3"/>
      <c r="AH400" s="3"/>
      <c r="AJ400" t="s">
        <v>904</v>
      </c>
      <c r="AK400" t="s">
        <v>682</v>
      </c>
      <c r="AL400" s="11">
        <f>D400</f>
        <v>40828</v>
      </c>
      <c r="AM400" s="3">
        <f>SUM(E400,E407)</f>
        <v>79.5</v>
      </c>
      <c r="AN400" s="3">
        <f>(AM400-4*$A$20)*$A$21/(2*$A$22)*$A$23</f>
        <v>5796.4945780471826</v>
      </c>
      <c r="AO400" s="11">
        <f>G400</f>
        <v>40204</v>
      </c>
      <c r="AP400" s="7">
        <f>SUM(H400,H407)</f>
        <v>5.84</v>
      </c>
      <c r="AQ400" s="7">
        <f>SUM(I400,I407)</f>
        <v>11.04</v>
      </c>
      <c r="AR400" s="7">
        <f>SUM(J400,J407)</f>
        <v>5.64</v>
      </c>
      <c r="AS400" s="7">
        <f>SUM(K400,K407)</f>
        <v>9.68</v>
      </c>
      <c r="AT400" s="9">
        <f>(AR400-2*$A$25)/AQ400</f>
        <v>0.32246376811594202</v>
      </c>
      <c r="AU400" s="9">
        <f>(AS400-2*$A$26)/AQ400</f>
        <v>0.5688405797101449</v>
      </c>
      <c r="AV400" s="9">
        <f>1-AT400-AU400</f>
        <v>0.10869565217391308</v>
      </c>
      <c r="AW400" s="3">
        <f>AN400*AT400</f>
        <v>1869.1594835007218</v>
      </c>
      <c r="AX400" s="3">
        <f>AN400*AU400</f>
        <v>3297.2813360630712</v>
      </c>
      <c r="AY400" s="3">
        <f>AW400+AX400</f>
        <v>5166.4408195637934</v>
      </c>
    </row>
    <row r="401" spans="1:51" x14ac:dyDescent="0.25">
      <c r="A401">
        <v>368</v>
      </c>
      <c r="B401" s="1" t="s">
        <v>409</v>
      </c>
      <c r="C401" s="1" t="s">
        <v>682</v>
      </c>
      <c r="D401" s="2">
        <v>40828</v>
      </c>
      <c r="E401" s="3">
        <v>42.3</v>
      </c>
      <c r="F401" s="4">
        <f t="shared" si="35"/>
        <v>6189.7124863744057</v>
      </c>
      <c r="G401" s="2">
        <v>40204</v>
      </c>
      <c r="H401" s="7">
        <v>3.02</v>
      </c>
      <c r="I401" s="7">
        <f>H401+H406-2*$A$24</f>
        <v>5.4799999999999995</v>
      </c>
      <c r="J401" s="7">
        <v>2.84</v>
      </c>
      <c r="K401" s="7">
        <v>4.88</v>
      </c>
      <c r="L401" s="6">
        <f t="shared" si="36"/>
        <v>0.32846715328467152</v>
      </c>
      <c r="M401" s="6">
        <f t="shared" si="37"/>
        <v>0.58029197080291972</v>
      </c>
      <c r="N401" s="6">
        <f t="shared" si="38"/>
        <v>9.1240875912408814E-2</v>
      </c>
      <c r="O401" s="4">
        <f t="shared" si="39"/>
        <v>2033.1172400499872</v>
      </c>
      <c r="P401" s="4">
        <f t="shared" si="40"/>
        <v>3591.8404574216443</v>
      </c>
      <c r="Q401" s="4">
        <f t="shared" si="41"/>
        <v>5624.957697471631</v>
      </c>
      <c r="V401" s="3"/>
      <c r="W401" s="3"/>
      <c r="Y401" s="7"/>
      <c r="Z401" s="7"/>
      <c r="AA401" s="7"/>
      <c r="AB401" s="7"/>
      <c r="AC401" s="9"/>
      <c r="AD401" s="9"/>
      <c r="AE401" s="9"/>
      <c r="AF401" s="3"/>
      <c r="AG401" s="3"/>
      <c r="AH401" s="3"/>
      <c r="AL401" s="11"/>
      <c r="AM401" s="3"/>
      <c r="AN401" s="3"/>
      <c r="AO401" s="11"/>
      <c r="AP401" s="7"/>
      <c r="AQ401" s="7"/>
      <c r="AR401" s="7"/>
      <c r="AS401" s="7"/>
      <c r="AT401" s="9"/>
      <c r="AU401" s="9"/>
      <c r="AV401" s="9"/>
      <c r="AW401" s="3"/>
      <c r="AX401" s="3"/>
      <c r="AY401" s="3"/>
    </row>
    <row r="402" spans="1:51" x14ac:dyDescent="0.25">
      <c r="A402">
        <v>369</v>
      </c>
      <c r="B402" s="1" t="s">
        <v>410</v>
      </c>
      <c r="C402" s="1" t="s">
        <v>682</v>
      </c>
      <c r="D402" s="2">
        <v>40828</v>
      </c>
      <c r="E402" s="3">
        <v>38.200000000000003</v>
      </c>
      <c r="F402" s="4">
        <f t="shared" si="35"/>
        <v>5557.479771024754</v>
      </c>
      <c r="G402" s="2">
        <v>40204</v>
      </c>
      <c r="H402" s="7">
        <v>3.18</v>
      </c>
      <c r="I402" s="7">
        <f>H402+H405-2*$A$24</f>
        <v>5.9399999999999995</v>
      </c>
      <c r="J402" s="7">
        <v>2.98</v>
      </c>
      <c r="K402" s="7">
        <v>5.0199999999999996</v>
      </c>
      <c r="L402" s="6">
        <f t="shared" si="36"/>
        <v>0.32659932659932661</v>
      </c>
      <c r="M402" s="6">
        <f t="shared" si="37"/>
        <v>0.55892255892255882</v>
      </c>
      <c r="N402" s="6">
        <f t="shared" si="38"/>
        <v>0.11447811447811462</v>
      </c>
      <c r="O402" s="4">
        <f t="shared" si="39"/>
        <v>1815.0691508060645</v>
      </c>
      <c r="P402" s="4">
        <f t="shared" si="40"/>
        <v>3106.2008147815118</v>
      </c>
      <c r="Q402" s="4">
        <f t="shared" si="41"/>
        <v>4921.2699655875767</v>
      </c>
      <c r="V402" s="3"/>
      <c r="W402" s="3"/>
      <c r="Y402" s="7"/>
      <c r="Z402" s="7"/>
      <c r="AA402" s="7"/>
      <c r="AB402" s="7"/>
      <c r="AC402" s="9"/>
      <c r="AD402" s="9"/>
      <c r="AE402" s="9"/>
      <c r="AF402" s="3"/>
      <c r="AG402" s="3"/>
      <c r="AH402" s="3"/>
      <c r="AJ402" t="s">
        <v>905</v>
      </c>
      <c r="AK402" t="s">
        <v>682</v>
      </c>
      <c r="AL402" s="11">
        <f>D399</f>
        <v>40828</v>
      </c>
      <c r="AM402" s="3">
        <f>SUM(E399,E408)</f>
        <v>77.100000000000009</v>
      </c>
      <c r="AN402" s="3">
        <f>(AM402-4*$A$20)*$A$21/(2*$A$22)*$A$23</f>
        <v>5611.4508564814305</v>
      </c>
      <c r="AO402" s="11">
        <f>G399</f>
        <v>40204</v>
      </c>
      <c r="AP402" s="7">
        <f>SUM(H399,H408)</f>
        <v>4.62</v>
      </c>
      <c r="AQ402" s="7">
        <f>SUM(I399,I408)</f>
        <v>8.6</v>
      </c>
      <c r="AR402" s="7">
        <f>SUM(J399,J408)</f>
        <v>4.92</v>
      </c>
      <c r="AS402" s="7">
        <f>SUM(K399,K408)</f>
        <v>8.36</v>
      </c>
      <c r="AT402" s="9">
        <f>(AR402-2*$A$25)/AQ402</f>
        <v>0.33023255813953489</v>
      </c>
      <c r="AU402" s="9">
        <f>(AS402-2*$A$26)/AQ402</f>
        <v>0.57674418604651156</v>
      </c>
      <c r="AV402" s="9">
        <f>1-AT402-AU402</f>
        <v>9.3023255813953543E-2</v>
      </c>
      <c r="AW402" s="3">
        <f>AN402*AT402</f>
        <v>1853.0837712101468</v>
      </c>
      <c r="AX402" s="3">
        <f>AN402*AU402</f>
        <v>3236.3716567613828</v>
      </c>
      <c r="AY402" s="3">
        <f>AW402+AX402</f>
        <v>5089.4554279715294</v>
      </c>
    </row>
    <row r="403" spans="1:51" x14ac:dyDescent="0.25">
      <c r="A403">
        <v>370</v>
      </c>
      <c r="B403" s="1" t="s">
        <v>411</v>
      </c>
      <c r="C403" s="1" t="s">
        <v>682</v>
      </c>
      <c r="D403" s="2">
        <v>40828</v>
      </c>
      <c r="E403" s="3">
        <v>41.3</v>
      </c>
      <c r="F403" s="4">
        <f t="shared" si="35"/>
        <v>6035.509385069613</v>
      </c>
      <c r="G403" s="2">
        <v>40204</v>
      </c>
      <c r="H403" s="7">
        <v>3.12</v>
      </c>
      <c r="I403" s="7">
        <f>H403+H404-2*$A$24</f>
        <v>6.1999999999999993</v>
      </c>
      <c r="J403" s="7">
        <v>3.1</v>
      </c>
      <c r="K403" s="7">
        <v>5.26</v>
      </c>
      <c r="L403" s="6">
        <f t="shared" si="36"/>
        <v>0.3322580645161291</v>
      </c>
      <c r="M403" s="6">
        <f t="shared" si="37"/>
        <v>0.5741935483870968</v>
      </c>
      <c r="N403" s="6">
        <f t="shared" si="38"/>
        <v>9.3548387096774155E-2</v>
      </c>
      <c r="O403" s="4">
        <f t="shared" si="39"/>
        <v>2005.3466666521622</v>
      </c>
      <c r="P403" s="4">
        <f t="shared" si="40"/>
        <v>3465.5505501367456</v>
      </c>
      <c r="Q403" s="4">
        <f t="shared" si="41"/>
        <v>5470.8972167889078</v>
      </c>
      <c r="V403" s="3"/>
      <c r="W403" s="3"/>
      <c r="Y403" s="7"/>
      <c r="Z403" s="7"/>
      <c r="AA403" s="7"/>
      <c r="AB403" s="7"/>
      <c r="AC403" s="9"/>
      <c r="AD403" s="9"/>
      <c r="AE403" s="9"/>
      <c r="AF403" s="3"/>
      <c r="AG403" s="3"/>
      <c r="AH403" s="3"/>
      <c r="AL403" s="11"/>
      <c r="AM403" s="3"/>
      <c r="AN403" s="3"/>
      <c r="AO403" s="11"/>
      <c r="AP403" s="7"/>
      <c r="AQ403" s="7"/>
      <c r="AR403" s="7"/>
      <c r="AS403" s="7"/>
      <c r="AT403" s="9"/>
      <c r="AU403" s="9"/>
      <c r="AV403" s="9"/>
      <c r="AW403" s="3"/>
      <c r="AX403" s="3"/>
      <c r="AY403" s="3"/>
    </row>
    <row r="404" spans="1:51" x14ac:dyDescent="0.25">
      <c r="A404">
        <v>371</v>
      </c>
      <c r="B404" s="1" t="s">
        <v>412</v>
      </c>
      <c r="C404" s="1" t="s">
        <v>682</v>
      </c>
      <c r="D404" s="2">
        <v>40828</v>
      </c>
      <c r="E404" s="3">
        <v>40.700000000000003</v>
      </c>
      <c r="F404" s="4">
        <f t="shared" si="35"/>
        <v>5942.9875242867383</v>
      </c>
      <c r="G404" s="2">
        <v>40204</v>
      </c>
      <c r="H404" s="7">
        <v>3.4</v>
      </c>
      <c r="I404" s="7">
        <f>H404+H403-2*$A$24</f>
        <v>6.1999999999999993</v>
      </c>
      <c r="J404" s="7">
        <v>3.1</v>
      </c>
      <c r="K404" s="7">
        <v>5.26</v>
      </c>
      <c r="L404" s="6">
        <f t="shared" si="36"/>
        <v>0.3322580645161291</v>
      </c>
      <c r="M404" s="6">
        <f t="shared" si="37"/>
        <v>0.5741935483870968</v>
      </c>
      <c r="N404" s="6">
        <f t="shared" si="38"/>
        <v>9.3548387096774155E-2</v>
      </c>
      <c r="O404" s="4">
        <f t="shared" si="39"/>
        <v>1974.6055322630134</v>
      </c>
      <c r="P404" s="4">
        <f t="shared" si="40"/>
        <v>3412.42509459045</v>
      </c>
      <c r="Q404" s="4">
        <f t="shared" si="41"/>
        <v>5387.0306268534632</v>
      </c>
      <c r="V404" s="3"/>
      <c r="W404" s="3"/>
      <c r="Y404" s="7"/>
      <c r="Z404" s="7"/>
      <c r="AA404" s="7"/>
      <c r="AB404" s="7"/>
      <c r="AC404" s="9"/>
      <c r="AD404" s="9"/>
      <c r="AE404" s="9"/>
      <c r="AF404" s="3"/>
      <c r="AG404" s="3"/>
      <c r="AH404" s="3"/>
      <c r="AJ404" t="s">
        <v>906</v>
      </c>
      <c r="AK404" t="s">
        <v>682</v>
      </c>
      <c r="AL404" s="11">
        <f>D398</f>
        <v>40828</v>
      </c>
      <c r="AM404" s="3">
        <f>SUM(E398,E409)</f>
        <v>77.7</v>
      </c>
      <c r="AN404" s="3">
        <f>(AM404-4*$A$20)*$A$21/(2*$A$22)*$A$23</f>
        <v>5657.7117868728692</v>
      </c>
      <c r="AO404" s="11">
        <f>G398</f>
        <v>40204</v>
      </c>
      <c r="AP404" s="7">
        <f>SUM(H398,H409)</f>
        <v>5.84</v>
      </c>
      <c r="AQ404" s="7">
        <f>SUM(I398,I409)</f>
        <v>11.04</v>
      </c>
      <c r="AR404" s="7">
        <f>SUM(J398,J409)</f>
        <v>5.68</v>
      </c>
      <c r="AS404" s="7">
        <f>SUM(K398,K409)</f>
        <v>9.6</v>
      </c>
      <c r="AT404" s="9">
        <f>(AR404-2*$A$25)/AQ404</f>
        <v>0.32608695652173914</v>
      </c>
      <c r="AU404" s="9">
        <f>(AS404-2*$A$26)/AQ404</f>
        <v>0.56159420289855067</v>
      </c>
      <c r="AV404" s="9">
        <f>1-AT404-AU404</f>
        <v>0.1123188405797102</v>
      </c>
      <c r="AW404" s="3">
        <f>AN404*AT404</f>
        <v>1844.9060174585443</v>
      </c>
      <c r="AX404" s="3">
        <f>AN404*AU404</f>
        <v>3177.3381411786036</v>
      </c>
      <c r="AY404" s="3">
        <f>AW404+AX404</f>
        <v>5022.2441586371478</v>
      </c>
    </row>
    <row r="405" spans="1:51" x14ac:dyDescent="0.25">
      <c r="A405">
        <v>372</v>
      </c>
      <c r="B405" s="1" t="s">
        <v>413</v>
      </c>
      <c r="C405" s="1" t="s">
        <v>682</v>
      </c>
      <c r="D405" s="2">
        <v>40828</v>
      </c>
      <c r="E405" s="3">
        <v>38.4</v>
      </c>
      <c r="F405" s="4">
        <f t="shared" si="35"/>
        <v>5588.3203912857107</v>
      </c>
      <c r="G405" s="2">
        <v>40204</v>
      </c>
      <c r="H405" s="7">
        <v>3.08</v>
      </c>
      <c r="I405" s="7">
        <f>H405+H402-2*$A$24</f>
        <v>5.9399999999999995</v>
      </c>
      <c r="J405" s="7">
        <v>2.98</v>
      </c>
      <c r="K405" s="7">
        <v>5.0199999999999996</v>
      </c>
      <c r="L405" s="6">
        <f t="shared" si="36"/>
        <v>0.32659932659932661</v>
      </c>
      <c r="M405" s="6">
        <f t="shared" si="37"/>
        <v>0.55892255892255882</v>
      </c>
      <c r="N405" s="6">
        <f t="shared" si="38"/>
        <v>0.11447811447811462</v>
      </c>
      <c r="O405" s="4">
        <f t="shared" si="39"/>
        <v>1825.1416766151985</v>
      </c>
      <c r="P405" s="4">
        <f t="shared" si="40"/>
        <v>3123.4383331765248</v>
      </c>
      <c r="Q405" s="4">
        <f t="shared" si="41"/>
        <v>4948.5800097917236</v>
      </c>
      <c r="V405" s="3"/>
      <c r="W405" s="3"/>
      <c r="Y405" s="7"/>
      <c r="Z405" s="7"/>
      <c r="AA405" s="7"/>
      <c r="AB405" s="7"/>
      <c r="AC405" s="9"/>
      <c r="AD405" s="9"/>
      <c r="AE405" s="9"/>
      <c r="AF405" s="3"/>
      <c r="AG405" s="3"/>
      <c r="AH405" s="3"/>
      <c r="AL405" s="11"/>
      <c r="AM405" s="3"/>
      <c r="AN405" s="3"/>
      <c r="AO405" s="11"/>
      <c r="AP405" s="7"/>
      <c r="AQ405" s="7"/>
      <c r="AR405" s="7"/>
      <c r="AS405" s="7"/>
      <c r="AT405" s="9"/>
      <c r="AU405" s="9"/>
      <c r="AV405" s="9"/>
      <c r="AW405" s="3"/>
      <c r="AX405" s="3"/>
      <c r="AY405" s="3"/>
    </row>
    <row r="406" spans="1:51" x14ac:dyDescent="0.25">
      <c r="A406">
        <v>373</v>
      </c>
      <c r="B406" s="1" t="s">
        <v>414</v>
      </c>
      <c r="C406" s="1" t="s">
        <v>682</v>
      </c>
      <c r="D406" s="2">
        <v>40828</v>
      </c>
      <c r="E406" s="3">
        <v>43.6</v>
      </c>
      <c r="F406" s="4">
        <f t="shared" si="35"/>
        <v>6390.1765180706361</v>
      </c>
      <c r="G406" s="2">
        <v>40204</v>
      </c>
      <c r="H406" s="7">
        <v>2.78</v>
      </c>
      <c r="I406" s="7">
        <f>H406+H401-2*$A$24</f>
        <v>5.4799999999999995</v>
      </c>
      <c r="J406" s="7">
        <v>2.84</v>
      </c>
      <c r="K406" s="7">
        <v>4.88</v>
      </c>
      <c r="L406" s="6">
        <f t="shared" si="36"/>
        <v>0.32846715328467152</v>
      </c>
      <c r="M406" s="6">
        <f t="shared" si="37"/>
        <v>0.58029197080291972</v>
      </c>
      <c r="N406" s="6">
        <f t="shared" si="38"/>
        <v>9.1240875912408814E-2</v>
      </c>
      <c r="O406" s="4">
        <f t="shared" si="39"/>
        <v>2098.9630898772161</v>
      </c>
      <c r="P406" s="4">
        <f t="shared" si="40"/>
        <v>3708.1681254497489</v>
      </c>
      <c r="Q406" s="4">
        <f t="shared" si="41"/>
        <v>5807.1312153269646</v>
      </c>
      <c r="V406" s="3"/>
      <c r="W406" s="3"/>
      <c r="Y406" s="7"/>
      <c r="Z406" s="7"/>
      <c r="AA406" s="7"/>
      <c r="AB406" s="7"/>
      <c r="AC406" s="9"/>
      <c r="AD406" s="9"/>
      <c r="AE406" s="9"/>
      <c r="AF406" s="3"/>
      <c r="AG406" s="3"/>
      <c r="AH406" s="3"/>
      <c r="AJ406" t="s">
        <v>907</v>
      </c>
      <c r="AK406" t="s">
        <v>682</v>
      </c>
      <c r="AL406" s="11">
        <f>D397</f>
        <v>40828</v>
      </c>
      <c r="AM406" s="3">
        <f>SUM(E397,E410)</f>
        <v>75.400000000000006</v>
      </c>
      <c r="AN406" s="3">
        <f>(AM406-4*$A$20)*$A$21/(2*$A$22)*$A$23</f>
        <v>5480.3782203723576</v>
      </c>
      <c r="AO406" s="11">
        <f>G397</f>
        <v>40204</v>
      </c>
      <c r="AP406" s="7">
        <f>SUM(H397,H410)</f>
        <v>5.2799999999999994</v>
      </c>
      <c r="AQ406" s="7">
        <f>SUM(I397,I410)</f>
        <v>9.9199999999999982</v>
      </c>
      <c r="AR406" s="7">
        <f>SUM(J397,J410)</f>
        <v>5.28</v>
      </c>
      <c r="AS406" s="7">
        <f>SUM(K397,K410)</f>
        <v>8.92</v>
      </c>
      <c r="AT406" s="9">
        <f>(AR406-2*$A$25)/AQ406</f>
        <v>0.32258064516129042</v>
      </c>
      <c r="AU406" s="9">
        <f>(AS406-2*$A$26)/AQ406</f>
        <v>0.55645161290322587</v>
      </c>
      <c r="AV406" s="9">
        <f>1-AT406-AU406</f>
        <v>0.12096774193548365</v>
      </c>
      <c r="AW406" s="3">
        <f>AN406*AT406</f>
        <v>1767.8639420555999</v>
      </c>
      <c r="AX406" s="3">
        <f>AN406*AU406</f>
        <v>3049.5653000459092</v>
      </c>
      <c r="AY406" s="3">
        <f>AW406+AX406</f>
        <v>4817.4292421015089</v>
      </c>
    </row>
    <row r="407" spans="1:51" x14ac:dyDescent="0.25">
      <c r="A407">
        <v>374</v>
      </c>
      <c r="B407" s="1" t="s">
        <v>415</v>
      </c>
      <c r="C407" s="1" t="s">
        <v>682</v>
      </c>
      <c r="D407" s="2">
        <v>40828</v>
      </c>
      <c r="E407" s="3">
        <v>40</v>
      </c>
      <c r="F407" s="4">
        <f t="shared" si="35"/>
        <v>5835.0453533733817</v>
      </c>
      <c r="G407" s="2">
        <v>40204</v>
      </c>
      <c r="H407" s="7">
        <v>2.44</v>
      </c>
      <c r="I407" s="7">
        <f>H407+H400-2*$A$24</f>
        <v>5.52</v>
      </c>
      <c r="J407" s="7">
        <v>2.82</v>
      </c>
      <c r="K407" s="7">
        <v>4.84</v>
      </c>
      <c r="L407" s="6">
        <f t="shared" si="36"/>
        <v>0.32246376811594202</v>
      </c>
      <c r="M407" s="6">
        <f t="shared" si="37"/>
        <v>0.5688405797101449</v>
      </c>
      <c r="N407" s="6">
        <f t="shared" si="38"/>
        <v>0.10869565217391308</v>
      </c>
      <c r="O407" s="4">
        <f t="shared" si="39"/>
        <v>1881.590711776199</v>
      </c>
      <c r="P407" s="4">
        <f t="shared" si="40"/>
        <v>3319.2105814479019</v>
      </c>
      <c r="Q407" s="4">
        <f t="shared" si="41"/>
        <v>5200.8012932241008</v>
      </c>
      <c r="V407" s="3"/>
      <c r="W407" s="3"/>
      <c r="Y407" s="7"/>
      <c r="Z407" s="7"/>
      <c r="AA407" s="7"/>
      <c r="AB407" s="7"/>
      <c r="AC407" s="9"/>
      <c r="AD407" s="9"/>
      <c r="AE407" s="9"/>
      <c r="AF407" s="3"/>
      <c r="AG407" s="3"/>
      <c r="AH407" s="3"/>
      <c r="AL407" s="11"/>
      <c r="AM407" s="3"/>
      <c r="AN407" s="3"/>
      <c r="AO407" s="11"/>
      <c r="AP407" s="7"/>
      <c r="AQ407" s="7"/>
      <c r="AR407" s="7"/>
      <c r="AS407" s="7"/>
      <c r="AT407" s="9"/>
      <c r="AU407" s="9"/>
      <c r="AV407" s="9"/>
      <c r="AW407" s="3"/>
      <c r="AX407" s="3"/>
      <c r="AY407" s="3"/>
    </row>
    <row r="408" spans="1:51" x14ac:dyDescent="0.25">
      <c r="A408">
        <v>375</v>
      </c>
      <c r="B408" s="1" t="s">
        <v>416</v>
      </c>
      <c r="C408" s="1" t="s">
        <v>682</v>
      </c>
      <c r="D408" s="2">
        <v>40828</v>
      </c>
      <c r="E408" s="3">
        <v>39.700000000000003</v>
      </c>
      <c r="F408" s="4">
        <f t="shared" si="35"/>
        <v>5788.7844229819439</v>
      </c>
      <c r="G408" s="2">
        <v>40204</v>
      </c>
      <c r="H408" s="7">
        <v>2.08</v>
      </c>
      <c r="I408" s="7">
        <f>H408+H399-2*$A$24</f>
        <v>4.3</v>
      </c>
      <c r="J408" s="7">
        <v>2.46</v>
      </c>
      <c r="K408" s="7">
        <v>4.18</v>
      </c>
      <c r="L408" s="6">
        <f t="shared" si="36"/>
        <v>0.33023255813953489</v>
      </c>
      <c r="M408" s="6">
        <f t="shared" si="37"/>
        <v>0.57674418604651156</v>
      </c>
      <c r="N408" s="6">
        <f t="shared" si="38"/>
        <v>9.3023255813953543E-2</v>
      </c>
      <c r="O408" s="4">
        <f t="shared" si="39"/>
        <v>1911.6450885196186</v>
      </c>
      <c r="P408" s="4">
        <f t="shared" si="40"/>
        <v>3338.6477602314462</v>
      </c>
      <c r="Q408" s="4">
        <f t="shared" si="41"/>
        <v>5250.2928487510653</v>
      </c>
      <c r="V408" s="3"/>
      <c r="W408" s="3"/>
      <c r="Y408" s="7"/>
      <c r="Z408" s="7"/>
      <c r="AA408" s="7"/>
      <c r="AB408" s="7"/>
      <c r="AC408" s="9"/>
      <c r="AD408" s="9"/>
      <c r="AE408" s="9"/>
      <c r="AF408" s="3"/>
      <c r="AG408" s="3"/>
      <c r="AH408" s="3"/>
      <c r="AJ408" t="s">
        <v>908</v>
      </c>
      <c r="AK408" t="s">
        <v>682</v>
      </c>
      <c r="AL408" s="11">
        <f>D396</f>
        <v>40828</v>
      </c>
      <c r="AM408" s="3">
        <f>SUM(E396,E411)</f>
        <v>80.599999999999994</v>
      </c>
      <c r="AN408" s="3">
        <f>(AM408-4*$A$20)*$A$21/(2*$A$22)*$A$23</f>
        <v>5881.3062837648185</v>
      </c>
      <c r="AO408" s="11">
        <f>G396</f>
        <v>40204</v>
      </c>
      <c r="AP408" s="7">
        <f>SUM(H396,H411)</f>
        <v>6.32</v>
      </c>
      <c r="AQ408" s="7">
        <f>SUM(I396,I411)</f>
        <v>12</v>
      </c>
      <c r="AR408" s="7">
        <f>SUM(J396,J411)</f>
        <v>6.04</v>
      </c>
      <c r="AS408" s="7">
        <f>SUM(K396,K411)</f>
        <v>10.16</v>
      </c>
      <c r="AT408" s="9">
        <f>(AR408-2*$A$25)/AQ408</f>
        <v>0.33</v>
      </c>
      <c r="AU408" s="9">
        <f>(AS408-2*$A$26)/AQ408</f>
        <v>0.56333333333333335</v>
      </c>
      <c r="AV408" s="9">
        <f>1-AT408-AU408</f>
        <v>0.10666666666666658</v>
      </c>
      <c r="AW408" s="3">
        <f>AN408*AT408</f>
        <v>1940.8310736423903</v>
      </c>
      <c r="AX408" s="3">
        <f>AN408*AU408</f>
        <v>3313.1358731875143</v>
      </c>
      <c r="AY408" s="3">
        <f>AW408+AX408</f>
        <v>5253.9669468299044</v>
      </c>
    </row>
    <row r="409" spans="1:51" x14ac:dyDescent="0.25">
      <c r="A409">
        <v>376</v>
      </c>
      <c r="B409" s="1" t="s">
        <v>417</v>
      </c>
      <c r="C409" s="1" t="s">
        <v>682</v>
      </c>
      <c r="D409" s="2">
        <v>40828</v>
      </c>
      <c r="E409" s="3">
        <v>39.700000000000003</v>
      </c>
      <c r="F409" s="4">
        <f t="shared" si="35"/>
        <v>5788.7844229819439</v>
      </c>
      <c r="G409" s="2">
        <v>40204</v>
      </c>
      <c r="H409" s="7">
        <v>2.64</v>
      </c>
      <c r="I409" s="7">
        <f>H409+H398-2*$A$24</f>
        <v>5.52</v>
      </c>
      <c r="J409" s="7">
        <v>2.84</v>
      </c>
      <c r="K409" s="7">
        <v>4.8</v>
      </c>
      <c r="L409" s="6">
        <f t="shared" si="36"/>
        <v>0.32608695652173914</v>
      </c>
      <c r="M409" s="6">
        <f t="shared" si="37"/>
        <v>0.56159420289855067</v>
      </c>
      <c r="N409" s="6">
        <f t="shared" si="38"/>
        <v>0.1123188405797102</v>
      </c>
      <c r="O409" s="4">
        <f t="shared" si="39"/>
        <v>1887.6470944506339</v>
      </c>
      <c r="P409" s="4">
        <f t="shared" si="40"/>
        <v>3250.9477737760913</v>
      </c>
      <c r="Q409" s="4">
        <f t="shared" si="41"/>
        <v>5138.5948682267253</v>
      </c>
      <c r="V409" s="3"/>
      <c r="W409" s="3"/>
      <c r="Y409" s="7"/>
      <c r="Z409" s="7"/>
      <c r="AA409" s="7"/>
      <c r="AB409" s="7"/>
      <c r="AC409" s="9"/>
      <c r="AD409" s="9"/>
      <c r="AE409" s="9"/>
      <c r="AF409" s="3"/>
      <c r="AG409" s="3"/>
      <c r="AH409" s="3"/>
      <c r="AL409" s="11"/>
      <c r="AM409" s="3"/>
      <c r="AN409" s="3"/>
      <c r="AO409" s="11"/>
      <c r="AP409" s="7"/>
      <c r="AQ409" s="7"/>
      <c r="AR409" s="7"/>
      <c r="AS409" s="7"/>
      <c r="AT409" s="9"/>
      <c r="AU409" s="9"/>
      <c r="AV409" s="9"/>
      <c r="AW409" s="3"/>
      <c r="AX409" s="3"/>
      <c r="AY409" s="3"/>
    </row>
    <row r="410" spans="1:51" x14ac:dyDescent="0.25">
      <c r="A410">
        <v>377</v>
      </c>
      <c r="B410" s="1" t="s">
        <v>418</v>
      </c>
      <c r="C410" s="1" t="s">
        <v>682</v>
      </c>
      <c r="D410" s="2">
        <v>40828</v>
      </c>
      <c r="E410" s="3">
        <v>38.700000000000003</v>
      </c>
      <c r="F410" s="4">
        <f t="shared" si="35"/>
        <v>5634.5813216771503</v>
      </c>
      <c r="G410" s="2">
        <v>40204</v>
      </c>
      <c r="H410" s="7">
        <v>2.44</v>
      </c>
      <c r="I410" s="7">
        <f>H410+H397-2*$A$24</f>
        <v>4.9599999999999991</v>
      </c>
      <c r="J410" s="7">
        <v>2.64</v>
      </c>
      <c r="K410" s="7">
        <v>4.46</v>
      </c>
      <c r="L410" s="6">
        <f t="shared" si="36"/>
        <v>0.32258064516129042</v>
      </c>
      <c r="M410" s="6">
        <f t="shared" si="37"/>
        <v>0.55645161290322587</v>
      </c>
      <c r="N410" s="6">
        <f t="shared" si="38"/>
        <v>0.12096774193548365</v>
      </c>
      <c r="O410" s="4">
        <f t="shared" si="39"/>
        <v>1817.6068779603715</v>
      </c>
      <c r="P410" s="4">
        <f t="shared" si="40"/>
        <v>3135.3718644816404</v>
      </c>
      <c r="Q410" s="4">
        <f t="shared" si="41"/>
        <v>4952.9787424420119</v>
      </c>
      <c r="V410" s="3"/>
      <c r="W410" s="3"/>
      <c r="Y410" s="7"/>
      <c r="Z410" s="7"/>
      <c r="AA410" s="7"/>
      <c r="AB410" s="7"/>
      <c r="AC410" s="9"/>
      <c r="AD410" s="9"/>
      <c r="AE410" s="9"/>
      <c r="AF410" s="3"/>
      <c r="AG410" s="3"/>
      <c r="AH410" s="3"/>
      <c r="AJ410" t="s">
        <v>909</v>
      </c>
      <c r="AK410" t="s">
        <v>682</v>
      </c>
      <c r="AL410" s="11">
        <f>D395</f>
        <v>40828</v>
      </c>
      <c r="AM410" s="3">
        <f>SUM(E395,E412)</f>
        <v>73.800000000000011</v>
      </c>
      <c r="AN410" s="3">
        <f>(AM410-4*$A$20)*$A$21/(2*$A$22)*$A$23</f>
        <v>5357.0157393285235</v>
      </c>
      <c r="AO410" s="11">
        <f>G395</f>
        <v>40204</v>
      </c>
      <c r="AP410" s="7">
        <f>SUM(H395,H412)</f>
        <v>6.3000000000000007</v>
      </c>
      <c r="AQ410" s="7">
        <f>SUM(I395,I412)</f>
        <v>11.96</v>
      </c>
      <c r="AR410" s="7">
        <f>SUM(J395,J412)</f>
        <v>5.92</v>
      </c>
      <c r="AS410" s="7">
        <f>SUM(K395,K412)</f>
        <v>10.119999999999999</v>
      </c>
      <c r="AT410" s="9">
        <f>(AR410-2*$A$25)/AQ410</f>
        <v>0.32107023411371233</v>
      </c>
      <c r="AU410" s="9">
        <f>(AS410-2*$A$26)/AQ410</f>
        <v>0.5618729096989965</v>
      </c>
      <c r="AV410" s="9">
        <f>1-AT410-AU410</f>
        <v>0.11705685618729111</v>
      </c>
      <c r="AW410" s="3">
        <f>AN410*AT410</f>
        <v>1719.9782975770509</v>
      </c>
      <c r="AX410" s="3">
        <f>AN410*AU410</f>
        <v>3009.9620207598387</v>
      </c>
      <c r="AY410" s="3">
        <f>AW410+AX410</f>
        <v>4729.9403183368895</v>
      </c>
    </row>
    <row r="411" spans="1:51" x14ac:dyDescent="0.25">
      <c r="A411">
        <v>378</v>
      </c>
      <c r="B411" s="1" t="s">
        <v>419</v>
      </c>
      <c r="C411" s="1" t="s">
        <v>682</v>
      </c>
      <c r="D411" s="2">
        <v>40828</v>
      </c>
      <c r="E411" s="3">
        <v>41.3</v>
      </c>
      <c r="F411" s="4">
        <f t="shared" si="35"/>
        <v>6035.509385069613</v>
      </c>
      <c r="G411" s="2">
        <v>40204</v>
      </c>
      <c r="H411" s="7">
        <v>3.66</v>
      </c>
      <c r="I411" s="7">
        <f>H411+H396-2*$A$24</f>
        <v>6</v>
      </c>
      <c r="J411" s="7">
        <v>3.02</v>
      </c>
      <c r="K411" s="7">
        <v>5.08</v>
      </c>
      <c r="L411" s="6">
        <f t="shared" si="36"/>
        <v>0.33</v>
      </c>
      <c r="M411" s="6">
        <f t="shared" si="37"/>
        <v>0.56333333333333335</v>
      </c>
      <c r="N411" s="6">
        <f t="shared" si="38"/>
        <v>0.10666666666666658</v>
      </c>
      <c r="O411" s="4">
        <f t="shared" si="39"/>
        <v>1991.7180970729723</v>
      </c>
      <c r="P411" s="4">
        <f t="shared" si="40"/>
        <v>3400.0036202558822</v>
      </c>
      <c r="Q411" s="4">
        <f t="shared" si="41"/>
        <v>5391.7217173288545</v>
      </c>
      <c r="V411" s="3"/>
      <c r="W411" s="3"/>
      <c r="Y411" s="7"/>
      <c r="Z411" s="7"/>
      <c r="AA411" s="7"/>
      <c r="AB411" s="7"/>
      <c r="AC411" s="9"/>
      <c r="AD411" s="9"/>
      <c r="AE411" s="9"/>
      <c r="AF411" s="3"/>
      <c r="AG411" s="3"/>
      <c r="AH411" s="3"/>
      <c r="AL411" s="11"/>
      <c r="AM411" s="3"/>
      <c r="AN411" s="3"/>
      <c r="AO411" s="11"/>
      <c r="AP411" s="7"/>
      <c r="AQ411" s="7"/>
      <c r="AR411" s="7"/>
      <c r="AS411" s="7"/>
      <c r="AT411" s="9"/>
      <c r="AU411" s="9"/>
      <c r="AV411" s="9"/>
      <c r="AW411" s="3"/>
      <c r="AX411" s="3"/>
      <c r="AY411" s="3"/>
    </row>
    <row r="412" spans="1:51" x14ac:dyDescent="0.25">
      <c r="A412">
        <v>379</v>
      </c>
      <c r="B412" s="1" t="s">
        <v>420</v>
      </c>
      <c r="C412" s="1" t="s">
        <v>682</v>
      </c>
      <c r="D412" s="2">
        <v>40828</v>
      </c>
      <c r="E412" s="3">
        <v>39.1</v>
      </c>
      <c r="F412" s="4">
        <f t="shared" si="35"/>
        <v>5696.2625621990674</v>
      </c>
      <c r="G412" s="2">
        <v>40204</v>
      </c>
      <c r="H412" s="7">
        <v>3.58</v>
      </c>
      <c r="I412" s="7">
        <f>H412+H395-2*$A$24</f>
        <v>5.98</v>
      </c>
      <c r="J412" s="7">
        <v>2.96</v>
      </c>
      <c r="K412" s="7">
        <v>5.0599999999999996</v>
      </c>
      <c r="L412" s="6">
        <f t="shared" si="36"/>
        <v>0.32107023411371233</v>
      </c>
      <c r="M412" s="6">
        <f t="shared" si="37"/>
        <v>0.5618729096989965</v>
      </c>
      <c r="N412" s="6">
        <f t="shared" si="38"/>
        <v>0.11705685618729111</v>
      </c>
      <c r="O412" s="4">
        <f t="shared" si="39"/>
        <v>1828.9003544184293</v>
      </c>
      <c r="P412" s="4">
        <f t="shared" si="40"/>
        <v>3200.5756202322509</v>
      </c>
      <c r="Q412" s="4">
        <f t="shared" si="41"/>
        <v>5029.4759746506807</v>
      </c>
      <c r="V412" s="3"/>
      <c r="W412" s="3"/>
      <c r="Y412" s="7"/>
      <c r="Z412" s="7"/>
      <c r="AA412" s="7"/>
      <c r="AB412" s="7"/>
      <c r="AC412" s="9"/>
      <c r="AD412" s="9"/>
      <c r="AE412" s="9"/>
      <c r="AF412" s="3"/>
      <c r="AG412" s="3"/>
      <c r="AH412" s="3"/>
      <c r="AJ412" t="s">
        <v>910</v>
      </c>
      <c r="AK412" t="s">
        <v>682</v>
      </c>
      <c r="AL412" s="11">
        <f>D394</f>
        <v>40828</v>
      </c>
      <c r="AM412" s="3">
        <f>SUM(E394,E413)</f>
        <v>73.599999999999994</v>
      </c>
      <c r="AN412" s="3">
        <f>(AM412-4*$A$20)*$A$21/(2*$A$22)*$A$23</f>
        <v>5341.5954291980424</v>
      </c>
      <c r="AO412" s="11">
        <f>G394</f>
        <v>40204</v>
      </c>
      <c r="AP412" s="7">
        <f>SUM(H394,H413)</f>
        <v>5.52</v>
      </c>
      <c r="AQ412" s="7">
        <f>SUM(I394,I413)</f>
        <v>10.399999999999999</v>
      </c>
      <c r="AR412" s="7">
        <f>SUM(J394,J413)</f>
        <v>5.52</v>
      </c>
      <c r="AS412" s="7">
        <f>SUM(K394,K413)</f>
        <v>9.2799999999999994</v>
      </c>
      <c r="AT412" s="9">
        <f>(AR412-2*$A$25)/AQ412</f>
        <v>0.33076923076923076</v>
      </c>
      <c r="AU412" s="9">
        <f>(AS412-2*$A$26)/AQ412</f>
        <v>0.56538461538461537</v>
      </c>
      <c r="AV412" s="9">
        <f>1-AT412-AU412</f>
        <v>0.10384615384615392</v>
      </c>
      <c r="AW412" s="3">
        <f>AN412*AT412</f>
        <v>1766.8354111962756</v>
      </c>
      <c r="AX412" s="3">
        <f>AN412*AU412</f>
        <v>3020.0558772773547</v>
      </c>
      <c r="AY412" s="3">
        <f>AW412+AX412</f>
        <v>4786.8912884736301</v>
      </c>
    </row>
    <row r="413" spans="1:51" x14ac:dyDescent="0.25">
      <c r="A413">
        <v>380</v>
      </c>
      <c r="B413" s="1" t="s">
        <v>421</v>
      </c>
      <c r="C413" s="1" t="s">
        <v>682</v>
      </c>
      <c r="D413" s="2">
        <v>40828</v>
      </c>
      <c r="E413" s="3">
        <v>37.6</v>
      </c>
      <c r="F413" s="4">
        <f t="shared" si="35"/>
        <v>5464.9579102418766</v>
      </c>
      <c r="G413" s="2">
        <v>40204</v>
      </c>
      <c r="H413" s="7">
        <v>2.48</v>
      </c>
      <c r="I413" s="7">
        <f>H413+H394-2*$A$24</f>
        <v>5.1999999999999993</v>
      </c>
      <c r="J413" s="7">
        <v>2.76</v>
      </c>
      <c r="K413" s="7">
        <v>4.6399999999999997</v>
      </c>
      <c r="L413" s="6">
        <f t="shared" si="36"/>
        <v>0.33076923076923076</v>
      </c>
      <c r="M413" s="6">
        <f t="shared" si="37"/>
        <v>0.56538461538461537</v>
      </c>
      <c r="N413" s="6">
        <f t="shared" si="38"/>
        <v>0.10384615384615392</v>
      </c>
      <c r="O413" s="4">
        <f t="shared" si="39"/>
        <v>1807.6399241569284</v>
      </c>
      <c r="P413" s="4">
        <f t="shared" si="40"/>
        <v>3089.8031261752149</v>
      </c>
      <c r="Q413" s="4">
        <f t="shared" si="41"/>
        <v>4897.4430503321437</v>
      </c>
      <c r="V413" s="3"/>
      <c r="W413" s="3"/>
      <c r="Y413" s="7"/>
      <c r="Z413" s="7"/>
      <c r="AA413" s="7"/>
      <c r="AB413" s="7"/>
      <c r="AC413" s="9"/>
      <c r="AD413" s="9"/>
      <c r="AE413" s="9"/>
      <c r="AF413" s="3"/>
      <c r="AG413" s="3"/>
      <c r="AH413" s="3"/>
      <c r="AL413" s="11"/>
      <c r="AM413" s="3"/>
      <c r="AN413" s="3"/>
      <c r="AO413" s="11"/>
      <c r="AP413" s="7"/>
      <c r="AQ413" s="7"/>
      <c r="AR413" s="7"/>
      <c r="AS413" s="7"/>
      <c r="AT413" s="9"/>
      <c r="AU413" s="9"/>
      <c r="AV413" s="9"/>
      <c r="AW413" s="3"/>
      <c r="AX413" s="3"/>
      <c r="AY413" s="3"/>
    </row>
    <row r="414" spans="1:51" x14ac:dyDescent="0.25">
      <c r="A414">
        <v>381</v>
      </c>
      <c r="B414" s="1" t="s">
        <v>422</v>
      </c>
      <c r="C414" s="1" t="s">
        <v>682</v>
      </c>
      <c r="D414" s="2">
        <v>40828</v>
      </c>
      <c r="E414" s="3">
        <v>36.9</v>
      </c>
      <c r="F414" s="4">
        <f t="shared" si="35"/>
        <v>5357.0157393285199</v>
      </c>
      <c r="G414" s="2">
        <v>40204</v>
      </c>
      <c r="H414" s="7">
        <v>3.34</v>
      </c>
      <c r="I414" s="7">
        <f>H414+H433-2*$A$24</f>
        <v>6.52</v>
      </c>
      <c r="J414" s="7">
        <v>3.26</v>
      </c>
      <c r="K414" s="7">
        <v>5.42</v>
      </c>
      <c r="L414" s="6">
        <f t="shared" si="36"/>
        <v>0.34049079754601225</v>
      </c>
      <c r="M414" s="6">
        <f t="shared" si="37"/>
        <v>0.57055214723926384</v>
      </c>
      <c r="N414" s="6">
        <f t="shared" si="38"/>
        <v>8.8957055214723857E-2</v>
      </c>
      <c r="O414" s="4">
        <f t="shared" si="39"/>
        <v>1824.0145615505082</v>
      </c>
      <c r="P414" s="4">
        <f t="shared" si="40"/>
        <v>3056.4568328684195</v>
      </c>
      <c r="Q414" s="4">
        <f t="shared" si="41"/>
        <v>4880.471394418928</v>
      </c>
      <c r="V414" s="3"/>
      <c r="W414" s="3"/>
      <c r="Y414" s="7"/>
      <c r="Z414" s="7"/>
      <c r="AA414" s="7"/>
      <c r="AB414" s="7"/>
      <c r="AC414" s="9"/>
      <c r="AD414" s="9"/>
      <c r="AE414" s="9"/>
      <c r="AF414" s="3"/>
      <c r="AG414" s="3"/>
      <c r="AH414" s="3"/>
      <c r="AJ414" t="s">
        <v>911</v>
      </c>
      <c r="AK414" t="s">
        <v>682</v>
      </c>
      <c r="AL414" s="11">
        <f>D423</f>
        <v>40828</v>
      </c>
      <c r="AM414" s="3">
        <f>SUM(E423,E424)</f>
        <v>79.900000000000006</v>
      </c>
      <c r="AN414" s="3">
        <f>(AM414-4*$A$20)*$A$21/(2*$A$22)*$A$23</f>
        <v>5827.335198308142</v>
      </c>
      <c r="AO414" s="11">
        <f>G423</f>
        <v>40204</v>
      </c>
      <c r="AP414" s="7">
        <f>SUM(H423,H424)</f>
        <v>7.0600000000000005</v>
      </c>
      <c r="AQ414" s="7">
        <f>SUM(I423,I424)</f>
        <v>13.48</v>
      </c>
      <c r="AR414" s="7">
        <f>SUM(J423,J424)</f>
        <v>6.56</v>
      </c>
      <c r="AS414" s="7">
        <f>SUM(K423,K424)</f>
        <v>10.96</v>
      </c>
      <c r="AT414" s="9">
        <f>(AR414-2*$A$25)/AQ414</f>
        <v>0.33234421364985156</v>
      </c>
      <c r="AU414" s="9">
        <f>(AS414-2*$A$26)/AQ414</f>
        <v>0.56083086053412468</v>
      </c>
      <c r="AV414" s="9">
        <f>1-AT414-AU414</f>
        <v>0.10682492581602376</v>
      </c>
      <c r="AW414" s="3">
        <f>AN414*AT414</f>
        <v>1936.6811341558212</v>
      </c>
      <c r="AX414" s="3">
        <f>AN414*AU414</f>
        <v>3268.1494138879493</v>
      </c>
      <c r="AY414" s="3">
        <f>AW414+AX414</f>
        <v>5204.8305480437702</v>
      </c>
    </row>
    <row r="415" spans="1:51" x14ac:dyDescent="0.25">
      <c r="A415">
        <v>382</v>
      </c>
      <c r="B415" s="1" t="s">
        <v>423</v>
      </c>
      <c r="C415" s="1" t="s">
        <v>682</v>
      </c>
      <c r="D415" s="2">
        <v>40828</v>
      </c>
      <c r="E415" s="3">
        <v>40.700000000000003</v>
      </c>
      <c r="F415" s="4">
        <f t="shared" si="35"/>
        <v>5942.9875242867383</v>
      </c>
      <c r="G415" s="2">
        <v>40204</v>
      </c>
      <c r="H415" s="7">
        <v>3.54</v>
      </c>
      <c r="I415" s="7">
        <f>H415+H432-2*$A$24</f>
        <v>6.4</v>
      </c>
      <c r="J415" s="7">
        <v>3.1</v>
      </c>
      <c r="K415" s="7">
        <v>5.34</v>
      </c>
      <c r="L415" s="6">
        <f t="shared" si="36"/>
        <v>0.32187499999999997</v>
      </c>
      <c r="M415" s="6">
        <f t="shared" si="37"/>
        <v>0.56874999999999987</v>
      </c>
      <c r="N415" s="6">
        <f t="shared" si="38"/>
        <v>0.10937500000000022</v>
      </c>
      <c r="O415" s="4">
        <f t="shared" si="39"/>
        <v>1912.8991093797938</v>
      </c>
      <c r="P415" s="4">
        <f t="shared" si="40"/>
        <v>3380.0741544380817</v>
      </c>
      <c r="Q415" s="4">
        <f t="shared" si="41"/>
        <v>5292.9732638178757</v>
      </c>
      <c r="V415" s="3"/>
      <c r="W415" s="3"/>
      <c r="Y415" s="7"/>
      <c r="Z415" s="7"/>
      <c r="AA415" s="7"/>
      <c r="AB415" s="7"/>
      <c r="AC415" s="9"/>
      <c r="AD415" s="9"/>
      <c r="AE415" s="9"/>
      <c r="AF415" s="3"/>
      <c r="AG415" s="3"/>
      <c r="AH415" s="3"/>
      <c r="AL415" s="11"/>
      <c r="AM415" s="3"/>
      <c r="AN415" s="3"/>
      <c r="AO415" s="11"/>
      <c r="AP415" s="7"/>
      <c r="AQ415" s="7"/>
      <c r="AR415" s="7"/>
      <c r="AS415" s="7"/>
      <c r="AT415" s="9"/>
      <c r="AU415" s="9"/>
      <c r="AV415" s="9"/>
      <c r="AW415" s="3"/>
      <c r="AX415" s="3"/>
      <c r="AY415" s="3"/>
    </row>
    <row r="416" spans="1:51" x14ac:dyDescent="0.25">
      <c r="A416">
        <v>383</v>
      </c>
      <c r="B416" s="1" t="s">
        <v>424</v>
      </c>
      <c r="C416" s="1" t="s">
        <v>682</v>
      </c>
      <c r="D416" s="2">
        <v>40828</v>
      </c>
      <c r="E416" s="3">
        <v>45.3</v>
      </c>
      <c r="F416" s="4">
        <f t="shared" si="35"/>
        <v>6652.3217902887855</v>
      </c>
      <c r="G416" s="2">
        <v>40204</v>
      </c>
      <c r="H416" s="7">
        <v>2.84</v>
      </c>
      <c r="I416" s="7">
        <f>H416+H431-2*$A$24</f>
        <v>6.84</v>
      </c>
      <c r="J416" s="7">
        <v>3.3</v>
      </c>
      <c r="K416" s="7">
        <v>5.58</v>
      </c>
      <c r="L416" s="6">
        <f t="shared" si="36"/>
        <v>0.33040935672514615</v>
      </c>
      <c r="M416" s="6">
        <f t="shared" si="37"/>
        <v>0.56725146198830412</v>
      </c>
      <c r="N416" s="6">
        <f t="shared" si="38"/>
        <v>0.10233918128654973</v>
      </c>
      <c r="O416" s="4">
        <f t="shared" si="39"/>
        <v>2197.9893634579903</v>
      </c>
      <c r="P416" s="4">
        <f t="shared" si="40"/>
        <v>3773.5392611579664</v>
      </c>
      <c r="Q416" s="4">
        <f t="shared" si="41"/>
        <v>5971.5286246159567</v>
      </c>
      <c r="V416" s="3"/>
      <c r="W416" s="3"/>
      <c r="Y416" s="7"/>
      <c r="Z416" s="7"/>
      <c r="AA416" s="7"/>
      <c r="AB416" s="7"/>
      <c r="AC416" s="9"/>
      <c r="AD416" s="9"/>
      <c r="AE416" s="9"/>
      <c r="AF416" s="3"/>
      <c r="AG416" s="3"/>
      <c r="AH416" s="3"/>
      <c r="AJ416" t="s">
        <v>912</v>
      </c>
      <c r="AK416" t="s">
        <v>682</v>
      </c>
      <c r="AL416" s="11">
        <f>D422</f>
        <v>40828</v>
      </c>
      <c r="AM416" s="3">
        <f>SUM(E422,E425)</f>
        <v>72.599999999999994</v>
      </c>
      <c r="AN416" s="3">
        <f>(AM416-4*$A$20)*$A$21/(2*$A$22)*$A$23</f>
        <v>5264.4938785456452</v>
      </c>
      <c r="AO416" s="11">
        <f>G422</f>
        <v>40204</v>
      </c>
      <c r="AP416" s="7">
        <f>SUM(H422,H425)</f>
        <v>7.98</v>
      </c>
      <c r="AQ416" s="7">
        <f>SUM(I422,I425)</f>
        <v>15.32</v>
      </c>
      <c r="AR416" s="7">
        <f>SUM(J422,J425)</f>
        <v>7.2</v>
      </c>
      <c r="AS416" s="7">
        <f>SUM(K422,K425)</f>
        <v>11.96</v>
      </c>
      <c r="AT416" s="9">
        <f>(AR416-2*$A$25)/AQ416</f>
        <v>0.33420365535248042</v>
      </c>
      <c r="AU416" s="9">
        <f>(AS416-2*$A$26)/AQ416</f>
        <v>0.55874673629242821</v>
      </c>
      <c r="AV416" s="9">
        <f>1-AT416-AU416</f>
        <v>0.10704960835509136</v>
      </c>
      <c r="AW416" s="3">
        <f>AN416*AT416</f>
        <v>1759.4130977907118</v>
      </c>
      <c r="AX416" s="3">
        <f>AN416*AU416</f>
        <v>2941.5187728688461</v>
      </c>
      <c r="AY416" s="3">
        <f>AW416+AX416</f>
        <v>4700.9318706595577</v>
      </c>
    </row>
    <row r="417" spans="1:51" x14ac:dyDescent="0.25">
      <c r="A417">
        <v>384</v>
      </c>
      <c r="B417" s="1" t="s">
        <v>425</v>
      </c>
      <c r="C417" s="1" t="s">
        <v>682</v>
      </c>
      <c r="D417" s="2">
        <v>40828</v>
      </c>
      <c r="E417" s="3">
        <v>35.5</v>
      </c>
      <c r="F417" s="4">
        <f t="shared" si="35"/>
        <v>5141.1313975018111</v>
      </c>
      <c r="G417" s="2">
        <v>40204</v>
      </c>
      <c r="H417" s="7">
        <v>4.0599999999999996</v>
      </c>
      <c r="I417" s="7">
        <f>H417+H430-2*$A$24</f>
        <v>6.7999999999999989</v>
      </c>
      <c r="J417" s="7">
        <v>3.28</v>
      </c>
      <c r="K417" s="7">
        <v>5.62</v>
      </c>
      <c r="L417" s="6">
        <f t="shared" si="36"/>
        <v>0.32941176470588235</v>
      </c>
      <c r="M417" s="6">
        <f t="shared" si="37"/>
        <v>0.57647058823529418</v>
      </c>
      <c r="N417" s="6">
        <f t="shared" si="38"/>
        <v>9.4117647058823528E-2</v>
      </c>
      <c r="O417" s="4">
        <f t="shared" si="39"/>
        <v>1693.5491662358907</v>
      </c>
      <c r="P417" s="4">
        <f t="shared" si="40"/>
        <v>2963.711040912809</v>
      </c>
      <c r="Q417" s="4">
        <f t="shared" si="41"/>
        <v>4657.2602071486999</v>
      </c>
      <c r="V417" s="3"/>
      <c r="W417" s="3"/>
      <c r="Y417" s="7"/>
      <c r="Z417" s="7"/>
      <c r="AA417" s="7"/>
      <c r="AB417" s="7"/>
      <c r="AC417" s="9"/>
      <c r="AD417" s="9"/>
      <c r="AE417" s="9"/>
      <c r="AF417" s="3"/>
      <c r="AG417" s="3"/>
      <c r="AH417" s="3"/>
      <c r="AL417" s="11"/>
      <c r="AM417" s="3"/>
      <c r="AN417" s="3"/>
      <c r="AO417" s="11"/>
      <c r="AP417" s="7"/>
      <c r="AQ417" s="7"/>
      <c r="AR417" s="7"/>
      <c r="AS417" s="7"/>
      <c r="AT417" s="9"/>
      <c r="AU417" s="9"/>
      <c r="AV417" s="9"/>
      <c r="AW417" s="3"/>
      <c r="AX417" s="3"/>
      <c r="AY417" s="3"/>
    </row>
    <row r="418" spans="1:51" x14ac:dyDescent="0.25">
      <c r="A418">
        <v>385</v>
      </c>
      <c r="B418" s="1" t="s">
        <v>426</v>
      </c>
      <c r="C418" s="1" t="s">
        <v>682</v>
      </c>
      <c r="D418" s="2">
        <v>40828</v>
      </c>
      <c r="E418" s="3">
        <v>42.3</v>
      </c>
      <c r="F418" s="4">
        <f t="shared" si="35"/>
        <v>6189.7124863744057</v>
      </c>
      <c r="G418" s="2">
        <v>40204</v>
      </c>
      <c r="H418" s="7">
        <v>3.64</v>
      </c>
      <c r="I418" s="7">
        <f>H418+H429-2*$A$24</f>
        <v>7.52</v>
      </c>
      <c r="J418" s="7">
        <v>3.52</v>
      </c>
      <c r="K418" s="7">
        <v>5.94</v>
      </c>
      <c r="L418" s="6">
        <f t="shared" si="36"/>
        <v>0.32978723404255322</v>
      </c>
      <c r="M418" s="6">
        <f t="shared" si="37"/>
        <v>0.56382978723404265</v>
      </c>
      <c r="N418" s="6">
        <f t="shared" si="38"/>
        <v>0.10638297872340419</v>
      </c>
      <c r="O418" s="4">
        <f t="shared" si="39"/>
        <v>2041.2881604000702</v>
      </c>
      <c r="P418" s="4">
        <f t="shared" si="40"/>
        <v>3489.9442742323781</v>
      </c>
      <c r="Q418" s="4">
        <f t="shared" si="41"/>
        <v>5531.2324346324485</v>
      </c>
      <c r="V418" s="3"/>
      <c r="W418" s="3"/>
      <c r="Y418" s="7"/>
      <c r="Z418" s="7"/>
      <c r="AA418" s="7"/>
      <c r="AB418" s="7"/>
      <c r="AC418" s="9"/>
      <c r="AD418" s="9"/>
      <c r="AE418" s="9"/>
      <c r="AF418" s="3"/>
      <c r="AG418" s="3"/>
      <c r="AH418" s="3"/>
      <c r="AJ418" t="s">
        <v>913</v>
      </c>
      <c r="AK418" t="s">
        <v>682</v>
      </c>
      <c r="AL418" s="11">
        <f>D421</f>
        <v>40828</v>
      </c>
      <c r="AM418" s="3">
        <f>SUM(E421,E426)</f>
        <v>88.4</v>
      </c>
      <c r="AN418" s="3">
        <f>(AM418-4*$A$20)*$A$21/(2*$A$22)*$A$23</f>
        <v>6482.6983788535144</v>
      </c>
      <c r="AO418" s="11">
        <f>G421</f>
        <v>40204</v>
      </c>
      <c r="AP418" s="7">
        <f>SUM(H421,H426)</f>
        <v>7.52</v>
      </c>
      <c r="AQ418" s="7">
        <f>SUM(I421,I426)</f>
        <v>14.399999999999999</v>
      </c>
      <c r="AR418" s="7">
        <f>SUM(J421,J426)</f>
        <v>6.92</v>
      </c>
      <c r="AS418" s="7">
        <f>SUM(K421,K426)</f>
        <v>11.52</v>
      </c>
      <c r="AT418" s="9">
        <f>(AR418-2*$A$25)/AQ418</f>
        <v>0.33611111111111114</v>
      </c>
      <c r="AU418" s="9">
        <f>(AS418-2*$A$26)/AQ418</f>
        <v>0.56388888888888888</v>
      </c>
      <c r="AV418" s="9">
        <f>1-AT418-AU418</f>
        <v>9.9999999999999978E-2</v>
      </c>
      <c r="AW418" s="3">
        <f>AN418*AT418</f>
        <v>2178.9069551146536</v>
      </c>
      <c r="AX418" s="3">
        <f>AN418*AU418</f>
        <v>3655.5215858535094</v>
      </c>
      <c r="AY418" s="3">
        <f>AW418+AX418</f>
        <v>5834.4285409681634</v>
      </c>
    </row>
    <row r="419" spans="1:51" x14ac:dyDescent="0.25">
      <c r="A419">
        <v>386</v>
      </c>
      <c r="B419" s="1" t="s">
        <v>427</v>
      </c>
      <c r="C419" s="1" t="s">
        <v>682</v>
      </c>
      <c r="D419" s="2">
        <v>40828</v>
      </c>
      <c r="E419" s="3">
        <v>39.5</v>
      </c>
      <c r="F419" s="4">
        <f t="shared" ref="F419:F482" si="42">(E419-2*$A$20)*$A$21/$A$22*$A$23</f>
        <v>5757.9438027209835</v>
      </c>
      <c r="G419" s="2">
        <v>40204</v>
      </c>
      <c r="H419" s="7">
        <v>4.0199999999999996</v>
      </c>
      <c r="I419" s="7">
        <f>H419+H428-2*$A$24</f>
        <v>7.3999999999999995</v>
      </c>
      <c r="J419" s="7">
        <v>3.54</v>
      </c>
      <c r="K419" s="7">
        <v>5.9</v>
      </c>
      <c r="L419" s="6">
        <f t="shared" ref="L419:L482" si="43">(J419-$A$25)/I419</f>
        <v>0.33783783783783788</v>
      </c>
      <c r="M419" s="6">
        <f t="shared" ref="M419:M482" si="44">(K419-$A$26)/I419</f>
        <v>0.56756756756756765</v>
      </c>
      <c r="N419" s="6">
        <f t="shared" ref="N419:N482" si="45">1-L419-M419</f>
        <v>9.4594594594594406E-2</v>
      </c>
      <c r="O419" s="4">
        <f t="shared" ref="O419:O482" si="46">F419*L419</f>
        <v>1945.2512847030353</v>
      </c>
      <c r="P419" s="4">
        <f t="shared" ref="P419:P482" si="47">F419*M419</f>
        <v>3268.0221583010994</v>
      </c>
      <c r="Q419" s="4">
        <f t="shared" ref="Q419:Q482" si="48">O419+P419</f>
        <v>5213.2734430041346</v>
      </c>
      <c r="V419" s="3"/>
      <c r="W419" s="3"/>
      <c r="Y419" s="7"/>
      <c r="Z419" s="7"/>
      <c r="AA419" s="7"/>
      <c r="AB419" s="7"/>
      <c r="AC419" s="9"/>
      <c r="AD419" s="9"/>
      <c r="AE419" s="9"/>
      <c r="AF419" s="3"/>
      <c r="AG419" s="3"/>
      <c r="AH419" s="3"/>
      <c r="AL419" s="11"/>
      <c r="AM419" s="3"/>
      <c r="AN419" s="3"/>
      <c r="AO419" s="11"/>
      <c r="AP419" s="7"/>
      <c r="AQ419" s="7"/>
      <c r="AR419" s="7"/>
      <c r="AS419" s="7"/>
      <c r="AT419" s="9"/>
      <c r="AU419" s="9"/>
      <c r="AV419" s="9"/>
      <c r="AW419" s="3"/>
      <c r="AX419" s="3"/>
      <c r="AY419" s="3"/>
    </row>
    <row r="420" spans="1:51" x14ac:dyDescent="0.25">
      <c r="A420">
        <v>387</v>
      </c>
      <c r="B420" s="1" t="s">
        <v>428</v>
      </c>
      <c r="C420" s="1" t="s">
        <v>682</v>
      </c>
      <c r="D420" s="2">
        <v>40828</v>
      </c>
      <c r="E420" s="3">
        <v>43</v>
      </c>
      <c r="F420" s="4">
        <f t="shared" si="42"/>
        <v>6297.6546572877614</v>
      </c>
      <c r="G420" s="2">
        <v>40204</v>
      </c>
      <c r="H420" s="7">
        <v>3.38</v>
      </c>
      <c r="I420" s="7">
        <f>H420+H427-2*$A$24</f>
        <v>6.1</v>
      </c>
      <c r="J420" s="7">
        <v>3.08</v>
      </c>
      <c r="K420" s="7">
        <v>5.16</v>
      </c>
      <c r="L420" s="6">
        <f t="shared" si="43"/>
        <v>0.33442622950819673</v>
      </c>
      <c r="M420" s="6">
        <f t="shared" si="44"/>
        <v>0.56721311475409841</v>
      </c>
      <c r="N420" s="6">
        <f t="shared" si="45"/>
        <v>9.8360655737704805E-2</v>
      </c>
      <c r="O420" s="4">
        <f t="shared" si="46"/>
        <v>2106.1009017814808</v>
      </c>
      <c r="P420" s="4">
        <f t="shared" si="47"/>
        <v>3572.1123138058451</v>
      </c>
      <c r="Q420" s="4">
        <f t="shared" si="48"/>
        <v>5678.213215587326</v>
      </c>
      <c r="V420" s="3"/>
      <c r="W420" s="3"/>
      <c r="Y420" s="7"/>
      <c r="Z420" s="7"/>
      <c r="AA420" s="7"/>
      <c r="AB420" s="7"/>
      <c r="AC420" s="9"/>
      <c r="AD420" s="9"/>
      <c r="AE420" s="9"/>
      <c r="AF420" s="3"/>
      <c r="AG420" s="3"/>
      <c r="AH420" s="3"/>
      <c r="AJ420" t="s">
        <v>914</v>
      </c>
      <c r="AK420" t="s">
        <v>682</v>
      </c>
      <c r="AL420" s="11">
        <f>D420</f>
        <v>40828</v>
      </c>
      <c r="AM420" s="3">
        <f>SUM(E420,E427)</f>
        <v>86.4</v>
      </c>
      <c r="AN420" s="3">
        <f>(AM420-4*$A$20)*$A$21/(2*$A$22)*$A$23</f>
        <v>6328.49527754872</v>
      </c>
      <c r="AO420" s="11">
        <f>G420</f>
        <v>40204</v>
      </c>
      <c r="AP420" s="7">
        <f>SUM(H420,H427)</f>
        <v>6.42</v>
      </c>
      <c r="AQ420" s="7">
        <f>SUM(I420,I427)</f>
        <v>12.2</v>
      </c>
      <c r="AR420" s="7">
        <f>SUM(J420,J427)</f>
        <v>6.16</v>
      </c>
      <c r="AS420" s="7">
        <f>SUM(K420,K427)</f>
        <v>10.32</v>
      </c>
      <c r="AT420" s="9">
        <f>(AR420-2*$A$25)/AQ420</f>
        <v>0.33442622950819673</v>
      </c>
      <c r="AU420" s="9">
        <f>(AS420-2*$A$26)/AQ420</f>
        <v>0.56721311475409841</v>
      </c>
      <c r="AV420" s="9">
        <f>1-AT420-AU420</f>
        <v>9.8360655737704805E-2</v>
      </c>
      <c r="AW420" s="3">
        <f>AN420*AT420</f>
        <v>2116.4148141310475</v>
      </c>
      <c r="AX420" s="3">
        <f>AN420*AU420</f>
        <v>3589.6055180850121</v>
      </c>
      <c r="AY420" s="3">
        <f>AW420+AX420</f>
        <v>5706.0203322160596</v>
      </c>
    </row>
    <row r="421" spans="1:51" x14ac:dyDescent="0.25">
      <c r="A421">
        <v>388</v>
      </c>
      <c r="B421" s="1" t="s">
        <v>429</v>
      </c>
      <c r="C421" s="1" t="s">
        <v>682</v>
      </c>
      <c r="D421" s="2">
        <v>40828</v>
      </c>
      <c r="E421" s="3">
        <v>44.8</v>
      </c>
      <c r="F421" s="4">
        <f t="shared" si="42"/>
        <v>6575.2202396363891</v>
      </c>
      <c r="G421" s="2">
        <v>40204</v>
      </c>
      <c r="H421" s="7">
        <v>3.48</v>
      </c>
      <c r="I421" s="7">
        <f>H421+H426-2*$A$24</f>
        <v>7.1999999999999993</v>
      </c>
      <c r="J421" s="7">
        <v>3.46</v>
      </c>
      <c r="K421" s="7">
        <v>5.76</v>
      </c>
      <c r="L421" s="6">
        <f t="shared" si="43"/>
        <v>0.33611111111111114</v>
      </c>
      <c r="M421" s="6">
        <f t="shared" si="44"/>
        <v>0.56388888888888888</v>
      </c>
      <c r="N421" s="6">
        <f t="shared" si="45"/>
        <v>9.9999999999999978E-2</v>
      </c>
      <c r="O421" s="4">
        <f t="shared" si="46"/>
        <v>2210.0045805444533</v>
      </c>
      <c r="P421" s="4">
        <f t="shared" si="47"/>
        <v>3707.693635128297</v>
      </c>
      <c r="Q421" s="4">
        <f t="shared" si="48"/>
        <v>5917.6982156727499</v>
      </c>
      <c r="V421" s="3"/>
      <c r="W421" s="3"/>
      <c r="Y421" s="7"/>
      <c r="Z421" s="7"/>
      <c r="AA421" s="7"/>
      <c r="AB421" s="7"/>
      <c r="AC421" s="9"/>
      <c r="AD421" s="9"/>
      <c r="AE421" s="9"/>
      <c r="AF421" s="3"/>
      <c r="AG421" s="3"/>
      <c r="AH421" s="3"/>
      <c r="AL421" s="11"/>
      <c r="AM421" s="3"/>
      <c r="AN421" s="3"/>
      <c r="AO421" s="11"/>
      <c r="AP421" s="7"/>
      <c r="AQ421" s="7"/>
      <c r="AR421" s="7"/>
      <c r="AS421" s="7"/>
      <c r="AT421" s="9"/>
      <c r="AU421" s="9"/>
      <c r="AV421" s="9"/>
      <c r="AW421" s="3"/>
      <c r="AX421" s="3"/>
      <c r="AY421" s="3"/>
    </row>
    <row r="422" spans="1:51" x14ac:dyDescent="0.25">
      <c r="A422">
        <v>389</v>
      </c>
      <c r="B422" s="1" t="s">
        <v>430</v>
      </c>
      <c r="C422" s="1" t="s">
        <v>682</v>
      </c>
      <c r="D422" s="2">
        <v>40828</v>
      </c>
      <c r="E422" s="3">
        <v>36.1</v>
      </c>
      <c r="F422" s="4">
        <f t="shared" si="42"/>
        <v>5233.6532582846858</v>
      </c>
      <c r="G422" s="2">
        <v>40204</v>
      </c>
      <c r="H422" s="7">
        <v>3.62</v>
      </c>
      <c r="I422" s="7">
        <f>H422+H425-2*$A$24</f>
        <v>7.66</v>
      </c>
      <c r="J422" s="7">
        <v>3.6</v>
      </c>
      <c r="K422" s="7">
        <v>5.98</v>
      </c>
      <c r="L422" s="6">
        <f t="shared" si="43"/>
        <v>0.33420365535248042</v>
      </c>
      <c r="M422" s="6">
        <f t="shared" si="44"/>
        <v>0.55874673629242821</v>
      </c>
      <c r="N422" s="6">
        <f t="shared" si="45"/>
        <v>0.10704960835509136</v>
      </c>
      <c r="O422" s="4">
        <f t="shared" si="46"/>
        <v>1749.1060497661613</v>
      </c>
      <c r="P422" s="4">
        <f t="shared" si="47"/>
        <v>2924.2866769528009</v>
      </c>
      <c r="Q422" s="4">
        <f t="shared" si="48"/>
        <v>4673.392726718962</v>
      </c>
      <c r="V422" s="3"/>
      <c r="W422" s="3"/>
      <c r="Y422" s="7"/>
      <c r="Z422" s="7"/>
      <c r="AA422" s="7"/>
      <c r="AB422" s="7"/>
      <c r="AC422" s="9"/>
      <c r="AD422" s="9"/>
      <c r="AE422" s="9"/>
      <c r="AF422" s="3"/>
      <c r="AG422" s="3"/>
      <c r="AH422" s="3"/>
      <c r="AJ422" t="s">
        <v>915</v>
      </c>
      <c r="AK422" t="s">
        <v>682</v>
      </c>
      <c r="AL422" s="11">
        <f>D419</f>
        <v>40828</v>
      </c>
      <c r="AM422" s="3">
        <f>SUM(E419,E428)</f>
        <v>81.2</v>
      </c>
      <c r="AN422" s="3">
        <f>(AM422-4*$A$20)*$A$21/(2*$A$22)*$A$23</f>
        <v>5927.5672141562573</v>
      </c>
      <c r="AO422" s="11">
        <f>G419</f>
        <v>40204</v>
      </c>
      <c r="AP422" s="7">
        <f>SUM(H419,H428)</f>
        <v>7.72</v>
      </c>
      <c r="AQ422" s="7">
        <f>SUM(I419,I428)</f>
        <v>14.799999999999999</v>
      </c>
      <c r="AR422" s="7">
        <f>SUM(J419,J428)</f>
        <v>7.08</v>
      </c>
      <c r="AS422" s="7">
        <f>SUM(K419,K428)</f>
        <v>11.8</v>
      </c>
      <c r="AT422" s="9">
        <f>(AR422-2*$A$25)/AQ422</f>
        <v>0.33783783783783788</v>
      </c>
      <c r="AU422" s="9">
        <f>(AS422-2*$A$26)/AQ422</f>
        <v>0.56756756756756765</v>
      </c>
      <c r="AV422" s="9">
        <f>1-AT422-AU422</f>
        <v>9.4594594594594406E-2</v>
      </c>
      <c r="AW422" s="3">
        <f>AN422*AT422</f>
        <v>2002.5564912690061</v>
      </c>
      <c r="AX422" s="3">
        <f>AN422*AU422</f>
        <v>3364.2949053319303</v>
      </c>
      <c r="AY422" s="3">
        <f>AW422+AX422</f>
        <v>5366.8513966009359</v>
      </c>
    </row>
    <row r="423" spans="1:51" x14ac:dyDescent="0.25">
      <c r="A423">
        <v>390</v>
      </c>
      <c r="B423" s="1" t="s">
        <v>431</v>
      </c>
      <c r="C423" s="1" t="s">
        <v>682</v>
      </c>
      <c r="D423" s="2">
        <v>40828</v>
      </c>
      <c r="E423" s="3">
        <v>40.5</v>
      </c>
      <c r="F423" s="4">
        <f t="shared" si="42"/>
        <v>5912.146904025778</v>
      </c>
      <c r="G423" s="2">
        <v>40204</v>
      </c>
      <c r="H423" s="7">
        <v>3.56</v>
      </c>
      <c r="I423" s="7">
        <f>H423+H424-2*$A$24</f>
        <v>6.74</v>
      </c>
      <c r="J423" s="7">
        <v>3.28</v>
      </c>
      <c r="K423" s="7">
        <v>5.48</v>
      </c>
      <c r="L423" s="6">
        <f t="shared" si="43"/>
        <v>0.33234421364985156</v>
      </c>
      <c r="M423" s="6">
        <f t="shared" si="44"/>
        <v>0.56083086053412468</v>
      </c>
      <c r="N423" s="6">
        <f t="shared" si="45"/>
        <v>0.10682492581602376</v>
      </c>
      <c r="O423" s="4">
        <f t="shared" si="46"/>
        <v>1964.8678138008515</v>
      </c>
      <c r="P423" s="4">
        <f t="shared" si="47"/>
        <v>3315.7144357889379</v>
      </c>
      <c r="Q423" s="4">
        <f t="shared" si="48"/>
        <v>5280.5822495897892</v>
      </c>
      <c r="V423" s="3"/>
      <c r="W423" s="3"/>
      <c r="Y423" s="7"/>
      <c r="Z423" s="7"/>
      <c r="AA423" s="7"/>
      <c r="AB423" s="7"/>
      <c r="AC423" s="9"/>
      <c r="AD423" s="9"/>
      <c r="AE423" s="9"/>
      <c r="AF423" s="3"/>
      <c r="AG423" s="3"/>
      <c r="AH423" s="3"/>
      <c r="AL423" s="11"/>
      <c r="AM423" s="3"/>
      <c r="AN423" s="3"/>
      <c r="AO423" s="11"/>
      <c r="AP423" s="7"/>
      <c r="AQ423" s="7"/>
      <c r="AR423" s="7"/>
      <c r="AS423" s="7"/>
      <c r="AT423" s="9"/>
      <c r="AU423" s="9"/>
      <c r="AV423" s="9"/>
      <c r="AW423" s="3"/>
      <c r="AX423" s="3"/>
      <c r="AY423" s="3"/>
    </row>
    <row r="424" spans="1:51" x14ac:dyDescent="0.25">
      <c r="A424">
        <v>391</v>
      </c>
      <c r="B424" s="1" t="s">
        <v>432</v>
      </c>
      <c r="C424" s="1" t="s">
        <v>682</v>
      </c>
      <c r="D424" s="2">
        <v>40828</v>
      </c>
      <c r="E424" s="3">
        <v>39.4</v>
      </c>
      <c r="F424" s="4">
        <f t="shared" si="42"/>
        <v>5742.5234925905033</v>
      </c>
      <c r="G424" s="2">
        <v>40204</v>
      </c>
      <c r="H424" s="7">
        <v>3.5</v>
      </c>
      <c r="I424" s="7">
        <f>H424+H423-2*$A$24</f>
        <v>6.74</v>
      </c>
      <c r="J424" s="7">
        <v>3.28</v>
      </c>
      <c r="K424" s="7">
        <v>5.48</v>
      </c>
      <c r="L424" s="6">
        <f t="shared" si="43"/>
        <v>0.33234421364985156</v>
      </c>
      <c r="M424" s="6">
        <f t="shared" si="44"/>
        <v>0.56083086053412468</v>
      </c>
      <c r="N424" s="6">
        <f t="shared" si="45"/>
        <v>0.10682492581602376</v>
      </c>
      <c r="O424" s="4">
        <f t="shared" si="46"/>
        <v>1908.4944545107901</v>
      </c>
      <c r="P424" s="4">
        <f t="shared" si="47"/>
        <v>3220.584391986959</v>
      </c>
      <c r="Q424" s="4">
        <f t="shared" si="48"/>
        <v>5129.0788464977486</v>
      </c>
      <c r="V424" s="3"/>
      <c r="W424" s="3"/>
      <c r="Y424" s="7"/>
      <c r="Z424" s="7"/>
      <c r="AA424" s="7"/>
      <c r="AB424" s="7"/>
      <c r="AC424" s="9"/>
      <c r="AD424" s="9"/>
      <c r="AE424" s="9"/>
      <c r="AF424" s="3"/>
      <c r="AG424" s="3"/>
      <c r="AH424" s="3"/>
      <c r="AJ424" t="s">
        <v>916</v>
      </c>
      <c r="AK424" t="s">
        <v>682</v>
      </c>
      <c r="AL424" s="11">
        <f>D418</f>
        <v>40828</v>
      </c>
      <c r="AM424" s="3">
        <f>SUM(E418,E429)</f>
        <v>85.3</v>
      </c>
      <c r="AN424" s="3">
        <f>(AM424-4*$A$20)*$A$21/(2*$A$22)*$A$23</f>
        <v>6243.6835718310822</v>
      </c>
      <c r="AO424" s="11">
        <f>G418</f>
        <v>40204</v>
      </c>
      <c r="AP424" s="7">
        <f>SUM(H418,H429)</f>
        <v>7.84</v>
      </c>
      <c r="AQ424" s="7">
        <f>SUM(I418,I429)</f>
        <v>15.04</v>
      </c>
      <c r="AR424" s="7">
        <f>SUM(J418,J429)</f>
        <v>7.04</v>
      </c>
      <c r="AS424" s="7">
        <f>SUM(K418,K429)</f>
        <v>11.88</v>
      </c>
      <c r="AT424" s="9">
        <f>(AR424-2*$A$25)/AQ424</f>
        <v>0.32978723404255322</v>
      </c>
      <c r="AU424" s="9">
        <f>(AS424-2*$A$26)/AQ424</f>
        <v>0.56382978723404265</v>
      </c>
      <c r="AV424" s="9">
        <f>1-AT424-AU424</f>
        <v>0.10638297872340419</v>
      </c>
      <c r="AW424" s="3">
        <f>AN424*AT424</f>
        <v>2059.0871353911016</v>
      </c>
      <c r="AX424" s="3">
        <f>AN424*AU424</f>
        <v>3520.3747798622067</v>
      </c>
      <c r="AY424" s="3">
        <f>AW424+AX424</f>
        <v>5579.4619152533087</v>
      </c>
    </row>
    <row r="425" spans="1:51" x14ac:dyDescent="0.25">
      <c r="A425">
        <v>392</v>
      </c>
      <c r="B425" s="1" t="s">
        <v>433</v>
      </c>
      <c r="C425" s="1" t="s">
        <v>682</v>
      </c>
      <c r="D425" s="2">
        <v>40828</v>
      </c>
      <c r="E425" s="3">
        <v>36.5</v>
      </c>
      <c r="F425" s="4">
        <f t="shared" si="42"/>
        <v>5295.3344988066046</v>
      </c>
      <c r="G425" s="2">
        <v>40204</v>
      </c>
      <c r="H425" s="7">
        <v>4.3600000000000003</v>
      </c>
      <c r="I425" s="7">
        <f>H425+H422-2*$A$24</f>
        <v>7.66</v>
      </c>
      <c r="J425" s="7">
        <v>3.6</v>
      </c>
      <c r="K425" s="7">
        <v>5.98</v>
      </c>
      <c r="L425" s="6">
        <f t="shared" si="43"/>
        <v>0.33420365535248042</v>
      </c>
      <c r="M425" s="6">
        <f t="shared" si="44"/>
        <v>0.55874673629242821</v>
      </c>
      <c r="N425" s="6">
        <f t="shared" si="45"/>
        <v>0.10704960835509136</v>
      </c>
      <c r="O425" s="4">
        <f t="shared" si="46"/>
        <v>1769.7201458152622</v>
      </c>
      <c r="P425" s="4">
        <f t="shared" si="47"/>
        <v>2958.7508687848913</v>
      </c>
      <c r="Q425" s="4">
        <f t="shared" si="48"/>
        <v>4728.4710146001535</v>
      </c>
      <c r="V425" s="3"/>
      <c r="W425" s="3"/>
      <c r="Y425" s="7"/>
      <c r="Z425" s="7"/>
      <c r="AA425" s="7"/>
      <c r="AB425" s="7"/>
      <c r="AC425" s="9"/>
      <c r="AD425" s="9"/>
      <c r="AE425" s="9"/>
      <c r="AF425" s="3"/>
      <c r="AG425" s="3"/>
      <c r="AH425" s="3"/>
      <c r="AL425" s="11"/>
      <c r="AM425" s="3"/>
      <c r="AN425" s="3"/>
      <c r="AO425" s="11"/>
      <c r="AP425" s="7"/>
      <c r="AQ425" s="7"/>
      <c r="AR425" s="7"/>
      <c r="AS425" s="7"/>
      <c r="AT425" s="9"/>
      <c r="AU425" s="9"/>
      <c r="AV425" s="9"/>
      <c r="AW425" s="3"/>
      <c r="AX425" s="3"/>
      <c r="AY425" s="3"/>
    </row>
    <row r="426" spans="1:51" x14ac:dyDescent="0.25">
      <c r="A426">
        <v>393</v>
      </c>
      <c r="B426" s="1" t="s">
        <v>434</v>
      </c>
      <c r="C426" s="1" t="s">
        <v>682</v>
      </c>
      <c r="D426" s="2">
        <v>40828</v>
      </c>
      <c r="E426" s="3">
        <v>43.6</v>
      </c>
      <c r="F426" s="4">
        <f t="shared" si="42"/>
        <v>6390.1765180706361</v>
      </c>
      <c r="G426" s="2">
        <v>40204</v>
      </c>
      <c r="H426" s="7">
        <v>4.04</v>
      </c>
      <c r="I426" s="7">
        <f>H426+H421-2*$A$24</f>
        <v>7.1999999999999993</v>
      </c>
      <c r="J426" s="7">
        <v>3.46</v>
      </c>
      <c r="K426" s="7">
        <v>5.76</v>
      </c>
      <c r="L426" s="6">
        <f t="shared" si="43"/>
        <v>0.33611111111111114</v>
      </c>
      <c r="M426" s="6">
        <f t="shared" si="44"/>
        <v>0.56388888888888888</v>
      </c>
      <c r="N426" s="6">
        <f t="shared" si="45"/>
        <v>9.9999999999999978E-2</v>
      </c>
      <c r="O426" s="4">
        <f t="shared" si="46"/>
        <v>2147.8093296848529</v>
      </c>
      <c r="P426" s="4">
        <f t="shared" si="47"/>
        <v>3603.3495365787198</v>
      </c>
      <c r="Q426" s="4">
        <f t="shared" si="48"/>
        <v>5751.1588662635731</v>
      </c>
      <c r="V426" s="3"/>
      <c r="W426" s="3"/>
      <c r="Y426" s="7"/>
      <c r="Z426" s="7"/>
      <c r="AA426" s="7"/>
      <c r="AB426" s="7"/>
      <c r="AC426" s="9"/>
      <c r="AD426" s="9"/>
      <c r="AE426" s="9"/>
      <c r="AF426" s="3"/>
      <c r="AG426" s="3"/>
      <c r="AH426" s="3"/>
      <c r="AJ426" t="s">
        <v>917</v>
      </c>
      <c r="AK426" t="s">
        <v>682</v>
      </c>
      <c r="AL426" s="11">
        <f>D417</f>
        <v>40828</v>
      </c>
      <c r="AM426" s="3">
        <f>SUM(E417,E430)</f>
        <v>78.400000000000006</v>
      </c>
      <c r="AN426" s="3">
        <f>(AM426-4*$A$20)*$A$21/(2*$A$22)*$A$23</f>
        <v>5711.6828723295475</v>
      </c>
      <c r="AO426" s="11">
        <f>G417</f>
        <v>40204</v>
      </c>
      <c r="AP426" s="7">
        <f>SUM(H417,H430)</f>
        <v>7.1199999999999992</v>
      </c>
      <c r="AQ426" s="7">
        <f>SUM(I417,I430)</f>
        <v>13.599999999999998</v>
      </c>
      <c r="AR426" s="7">
        <f>SUM(J417,J430)</f>
        <v>6.56</v>
      </c>
      <c r="AS426" s="7">
        <f>SUM(K417,K430)</f>
        <v>11.24</v>
      </c>
      <c r="AT426" s="9">
        <f>(AR426-2*$A$25)/AQ426</f>
        <v>0.32941176470588235</v>
      </c>
      <c r="AU426" s="9">
        <f>(AS426-2*$A$26)/AQ426</f>
        <v>0.57647058823529418</v>
      </c>
      <c r="AV426" s="9">
        <f>1-AT426-AU426</f>
        <v>9.4117647058823528E-2</v>
      </c>
      <c r="AW426" s="3">
        <f>AN426*AT426</f>
        <v>1881.4955344144391</v>
      </c>
      <c r="AX426" s="3">
        <f>AN426*AU426</f>
        <v>3292.6171852252687</v>
      </c>
      <c r="AY426" s="3">
        <f>AW426+AX426</f>
        <v>5174.1127196397083</v>
      </c>
    </row>
    <row r="427" spans="1:51" x14ac:dyDescent="0.25">
      <c r="A427">
        <v>394</v>
      </c>
      <c r="B427" s="1" t="s">
        <v>435</v>
      </c>
      <c r="C427" s="1" t="s">
        <v>682</v>
      </c>
      <c r="D427" s="2">
        <v>40828</v>
      </c>
      <c r="E427" s="3">
        <v>43.4</v>
      </c>
      <c r="F427" s="4">
        <f t="shared" si="42"/>
        <v>6359.3358978096785</v>
      </c>
      <c r="G427" s="2">
        <v>40204</v>
      </c>
      <c r="H427" s="7">
        <v>3.04</v>
      </c>
      <c r="I427" s="7">
        <f>H427+H420-2*$A$24</f>
        <v>6.1</v>
      </c>
      <c r="J427" s="7">
        <v>3.08</v>
      </c>
      <c r="K427" s="7">
        <v>5.16</v>
      </c>
      <c r="L427" s="6">
        <f t="shared" si="43"/>
        <v>0.33442622950819673</v>
      </c>
      <c r="M427" s="6">
        <f t="shared" si="44"/>
        <v>0.56721311475409841</v>
      </c>
      <c r="N427" s="6">
        <f t="shared" si="45"/>
        <v>9.8360655737704805E-2</v>
      </c>
      <c r="O427" s="4">
        <f t="shared" si="46"/>
        <v>2126.7287264806137</v>
      </c>
      <c r="P427" s="4">
        <f t="shared" si="47"/>
        <v>3607.0987223641787</v>
      </c>
      <c r="Q427" s="4">
        <f t="shared" si="48"/>
        <v>5733.8274488447923</v>
      </c>
      <c r="V427" s="3"/>
      <c r="W427" s="3"/>
      <c r="Y427" s="7"/>
      <c r="Z427" s="7"/>
      <c r="AA427" s="7"/>
      <c r="AB427" s="7"/>
      <c r="AC427" s="9"/>
      <c r="AD427" s="9"/>
      <c r="AE427" s="9"/>
      <c r="AF427" s="3"/>
      <c r="AG427" s="3"/>
      <c r="AH427" s="3"/>
      <c r="AL427" s="11"/>
      <c r="AM427" s="3"/>
      <c r="AN427" s="3"/>
      <c r="AO427" s="11"/>
      <c r="AP427" s="7"/>
      <c r="AQ427" s="7"/>
      <c r="AR427" s="7"/>
      <c r="AS427" s="7"/>
      <c r="AT427" s="9"/>
      <c r="AU427" s="9"/>
      <c r="AV427" s="9"/>
      <c r="AW427" s="3"/>
      <c r="AX427" s="3"/>
      <c r="AY427" s="3"/>
    </row>
    <row r="428" spans="1:51" x14ac:dyDescent="0.25">
      <c r="A428">
        <v>395</v>
      </c>
      <c r="B428" s="1" t="s">
        <v>436</v>
      </c>
      <c r="C428" s="1" t="s">
        <v>682</v>
      </c>
      <c r="D428" s="2">
        <v>40828</v>
      </c>
      <c r="E428" s="3">
        <v>41.7</v>
      </c>
      <c r="F428" s="4">
        <f t="shared" si="42"/>
        <v>6097.1906255915301</v>
      </c>
      <c r="G428" s="2">
        <v>40204</v>
      </c>
      <c r="H428" s="7">
        <v>3.7</v>
      </c>
      <c r="I428" s="7">
        <f>H428+H419-2*$A$24</f>
        <v>7.3999999999999995</v>
      </c>
      <c r="J428" s="7">
        <v>3.54</v>
      </c>
      <c r="K428" s="7">
        <v>5.9</v>
      </c>
      <c r="L428" s="6">
        <f t="shared" si="43"/>
        <v>0.33783783783783788</v>
      </c>
      <c r="M428" s="6">
        <f t="shared" si="44"/>
        <v>0.56756756756756765</v>
      </c>
      <c r="N428" s="6">
        <f t="shared" si="45"/>
        <v>9.4594594594594406E-2</v>
      </c>
      <c r="O428" s="4">
        <f t="shared" si="46"/>
        <v>2059.8616978349764</v>
      </c>
      <c r="P428" s="4">
        <f t="shared" si="47"/>
        <v>3460.5676523627608</v>
      </c>
      <c r="Q428" s="4">
        <f t="shared" si="48"/>
        <v>5520.4293501977372</v>
      </c>
      <c r="V428" s="3"/>
      <c r="W428" s="3"/>
      <c r="Y428" s="7"/>
      <c r="Z428" s="7"/>
      <c r="AA428" s="7"/>
      <c r="AB428" s="7"/>
      <c r="AC428" s="9"/>
      <c r="AD428" s="9"/>
      <c r="AE428" s="9"/>
      <c r="AF428" s="3"/>
      <c r="AG428" s="3"/>
      <c r="AH428" s="3"/>
      <c r="AJ428" t="s">
        <v>918</v>
      </c>
      <c r="AK428" t="s">
        <v>682</v>
      </c>
      <c r="AL428" s="11">
        <f>D416</f>
        <v>40828</v>
      </c>
      <c r="AM428" s="3">
        <f>SUM(E416,E431)</f>
        <v>87.5</v>
      </c>
      <c r="AN428" s="3">
        <f>(AM428-4*$A$20)*$A$21/(2*$A$22)*$A$23</f>
        <v>6413.3069832663568</v>
      </c>
      <c r="AO428" s="11">
        <f>G416</f>
        <v>40204</v>
      </c>
      <c r="AP428" s="7">
        <f>SUM(H416,H431)</f>
        <v>7.16</v>
      </c>
      <c r="AQ428" s="7">
        <f>SUM(I416,I431)</f>
        <v>13.68</v>
      </c>
      <c r="AR428" s="7">
        <f>SUM(J416,J431)</f>
        <v>6.6</v>
      </c>
      <c r="AS428" s="7">
        <f>SUM(K416,K431)</f>
        <v>11.16</v>
      </c>
      <c r="AT428" s="9">
        <f>(AR428-2*$A$25)/AQ428</f>
        <v>0.33040935672514615</v>
      </c>
      <c r="AU428" s="9">
        <f>(AS428-2*$A$26)/AQ428</f>
        <v>0.56725146198830412</v>
      </c>
      <c r="AV428" s="9">
        <f>1-AT428-AU428</f>
        <v>0.10233918128654973</v>
      </c>
      <c r="AW428" s="3">
        <f>AN428*AT428</f>
        <v>2119.0166348219245</v>
      </c>
      <c r="AX428" s="3">
        <f>AN428*AU428</f>
        <v>3637.9577624376411</v>
      </c>
      <c r="AY428" s="3">
        <f>AW428+AX428</f>
        <v>5756.9743972595661</v>
      </c>
    </row>
    <row r="429" spans="1:51" x14ac:dyDescent="0.25">
      <c r="A429">
        <v>396</v>
      </c>
      <c r="B429" s="1" t="s">
        <v>437</v>
      </c>
      <c r="C429" s="1" t="s">
        <v>682</v>
      </c>
      <c r="D429" s="2">
        <v>40828</v>
      </c>
      <c r="E429" s="3">
        <v>43</v>
      </c>
      <c r="F429" s="4">
        <f t="shared" si="42"/>
        <v>6297.6546572877614</v>
      </c>
      <c r="G429" s="2">
        <v>40204</v>
      </c>
      <c r="H429" s="7">
        <v>4.2</v>
      </c>
      <c r="I429" s="7">
        <f>H429+H418-2*$A$24</f>
        <v>7.52</v>
      </c>
      <c r="J429" s="7">
        <v>3.52</v>
      </c>
      <c r="K429" s="7">
        <v>5.94</v>
      </c>
      <c r="L429" s="6">
        <f t="shared" si="43"/>
        <v>0.32978723404255322</v>
      </c>
      <c r="M429" s="6">
        <f t="shared" si="44"/>
        <v>0.56382978723404265</v>
      </c>
      <c r="N429" s="6">
        <f t="shared" si="45"/>
        <v>0.10638297872340419</v>
      </c>
      <c r="O429" s="4">
        <f t="shared" si="46"/>
        <v>2076.8861103821341</v>
      </c>
      <c r="P429" s="4">
        <f t="shared" si="47"/>
        <v>3550.8052854920361</v>
      </c>
      <c r="Q429" s="4">
        <f t="shared" si="48"/>
        <v>5627.6913958741698</v>
      </c>
      <c r="V429" s="3"/>
      <c r="W429" s="3"/>
      <c r="Y429" s="7"/>
      <c r="Z429" s="7"/>
      <c r="AA429" s="7"/>
      <c r="AB429" s="7"/>
      <c r="AC429" s="9"/>
      <c r="AD429" s="9"/>
      <c r="AE429" s="9"/>
      <c r="AF429" s="3"/>
      <c r="AG429" s="3"/>
      <c r="AH429" s="3"/>
      <c r="AL429" s="11"/>
      <c r="AM429" s="3"/>
      <c r="AN429" s="3"/>
      <c r="AO429" s="11"/>
      <c r="AP429" s="7"/>
      <c r="AQ429" s="7"/>
      <c r="AR429" s="7"/>
      <c r="AS429" s="7"/>
      <c r="AT429" s="9"/>
      <c r="AU429" s="9"/>
      <c r="AV429" s="9"/>
      <c r="AW429" s="3"/>
      <c r="AX429" s="3"/>
      <c r="AY429" s="3"/>
    </row>
    <row r="430" spans="1:51" x14ac:dyDescent="0.25">
      <c r="A430">
        <v>397</v>
      </c>
      <c r="B430" s="1" t="s">
        <v>438</v>
      </c>
      <c r="C430" s="1" t="s">
        <v>682</v>
      </c>
      <c r="D430" s="2">
        <v>40828</v>
      </c>
      <c r="E430" s="3">
        <v>42.9</v>
      </c>
      <c r="F430" s="4">
        <f t="shared" si="42"/>
        <v>6282.2343471572804</v>
      </c>
      <c r="G430" s="2">
        <v>40204</v>
      </c>
      <c r="H430" s="7">
        <v>3.06</v>
      </c>
      <c r="I430" s="7">
        <f>H430+H417-2*$A$24</f>
        <v>6.7999999999999989</v>
      </c>
      <c r="J430" s="7">
        <v>3.28</v>
      </c>
      <c r="K430" s="7">
        <v>5.62</v>
      </c>
      <c r="L430" s="6">
        <f t="shared" si="43"/>
        <v>0.32941176470588235</v>
      </c>
      <c r="M430" s="6">
        <f t="shared" si="44"/>
        <v>0.57647058823529418</v>
      </c>
      <c r="N430" s="6">
        <f t="shared" si="45"/>
        <v>9.4117647058823528E-2</v>
      </c>
      <c r="O430" s="4">
        <f t="shared" si="46"/>
        <v>2069.4419025929865</v>
      </c>
      <c r="P430" s="4">
        <f t="shared" si="47"/>
        <v>3621.5233295377266</v>
      </c>
      <c r="Q430" s="4">
        <f t="shared" si="48"/>
        <v>5690.965232130713</v>
      </c>
      <c r="V430" s="3"/>
      <c r="W430" s="3"/>
      <c r="Y430" s="7"/>
      <c r="Z430" s="7"/>
      <c r="AA430" s="7"/>
      <c r="AB430" s="7"/>
      <c r="AC430" s="9"/>
      <c r="AD430" s="9"/>
      <c r="AE430" s="9"/>
      <c r="AF430" s="3"/>
      <c r="AG430" s="3"/>
      <c r="AH430" s="3"/>
      <c r="AJ430" t="s">
        <v>919</v>
      </c>
      <c r="AK430" t="s">
        <v>682</v>
      </c>
      <c r="AL430" s="11">
        <f>D415</f>
        <v>40828</v>
      </c>
      <c r="AM430" s="3">
        <f>SUM(E415,E432)</f>
        <v>82</v>
      </c>
      <c r="AN430" s="3">
        <f>(AM430-4*$A$20)*$A$21/(2*$A$22)*$A$23</f>
        <v>5989.2484546781743</v>
      </c>
      <c r="AO430" s="11">
        <f>G415</f>
        <v>40204</v>
      </c>
      <c r="AP430" s="7">
        <f>SUM(H415,H432)</f>
        <v>6.7200000000000006</v>
      </c>
      <c r="AQ430" s="7">
        <f>SUM(I415,I432)</f>
        <v>12.8</v>
      </c>
      <c r="AR430" s="7">
        <f>SUM(J415,J432)</f>
        <v>6.2</v>
      </c>
      <c r="AS430" s="7">
        <f>SUM(K415,K432)</f>
        <v>10.68</v>
      </c>
      <c r="AT430" s="9">
        <f>(AR430-2*$A$25)/AQ430</f>
        <v>0.32187499999999997</v>
      </c>
      <c r="AU430" s="9">
        <f>(AS430-2*$A$26)/AQ430</f>
        <v>0.56874999999999987</v>
      </c>
      <c r="AV430" s="9">
        <f>1-AT430-AU430</f>
        <v>0.10937500000000022</v>
      </c>
      <c r="AW430" s="3">
        <f>AN430*AT430</f>
        <v>1927.7893463495373</v>
      </c>
      <c r="AX430" s="3">
        <f>AN430*AU430</f>
        <v>3406.3850585982109</v>
      </c>
      <c r="AY430" s="3">
        <f>AW430+AX430</f>
        <v>5334.1744049477484</v>
      </c>
    </row>
    <row r="431" spans="1:51" x14ac:dyDescent="0.25">
      <c r="A431">
        <v>398</v>
      </c>
      <c r="B431" s="1" t="s">
        <v>439</v>
      </c>
      <c r="C431" s="1" t="s">
        <v>682</v>
      </c>
      <c r="D431" s="2">
        <v>40828</v>
      </c>
      <c r="E431" s="3">
        <v>42.2</v>
      </c>
      <c r="F431" s="4">
        <f t="shared" si="42"/>
        <v>6174.2921762439264</v>
      </c>
      <c r="G431" s="2">
        <v>40204</v>
      </c>
      <c r="H431" s="7">
        <v>4.32</v>
      </c>
      <c r="I431" s="7">
        <f>H431+H416-2*$A$24</f>
        <v>6.84</v>
      </c>
      <c r="J431" s="7">
        <v>3.3</v>
      </c>
      <c r="K431" s="7">
        <v>5.58</v>
      </c>
      <c r="L431" s="6">
        <f t="shared" si="43"/>
        <v>0.33040935672514615</v>
      </c>
      <c r="M431" s="6">
        <f t="shared" si="44"/>
        <v>0.56725146198830412</v>
      </c>
      <c r="N431" s="6">
        <f t="shared" si="45"/>
        <v>0.10233918128654973</v>
      </c>
      <c r="O431" s="4">
        <f t="shared" si="46"/>
        <v>2040.0439061858585</v>
      </c>
      <c r="P431" s="4">
        <f t="shared" si="47"/>
        <v>3502.3762637173149</v>
      </c>
      <c r="Q431" s="4">
        <f t="shared" si="48"/>
        <v>5542.4201699031737</v>
      </c>
      <c r="V431" s="3"/>
      <c r="W431" s="3"/>
      <c r="Y431" s="7"/>
      <c r="Z431" s="7"/>
      <c r="AA431" s="7"/>
      <c r="AB431" s="7"/>
      <c r="AC431" s="9"/>
      <c r="AD431" s="9"/>
      <c r="AE431" s="9"/>
      <c r="AF431" s="3"/>
      <c r="AG431" s="3"/>
      <c r="AH431" s="3"/>
      <c r="AL431" s="11"/>
      <c r="AM431" s="3"/>
      <c r="AN431" s="3"/>
      <c r="AO431" s="11"/>
      <c r="AP431" s="7"/>
      <c r="AQ431" s="7"/>
      <c r="AR431" s="7"/>
      <c r="AS431" s="7"/>
      <c r="AT431" s="9"/>
      <c r="AU431" s="9"/>
      <c r="AV431" s="9"/>
      <c r="AW431" s="3"/>
      <c r="AX431" s="3"/>
      <c r="AY431" s="3"/>
    </row>
    <row r="432" spans="1:51" x14ac:dyDescent="0.25">
      <c r="A432">
        <v>399</v>
      </c>
      <c r="B432" s="1" t="s">
        <v>440</v>
      </c>
      <c r="C432" s="1" t="s">
        <v>682</v>
      </c>
      <c r="D432" s="2">
        <v>40828</v>
      </c>
      <c r="E432" s="3">
        <v>41.3</v>
      </c>
      <c r="F432" s="4">
        <f t="shared" si="42"/>
        <v>6035.509385069613</v>
      </c>
      <c r="G432" s="2">
        <v>40204</v>
      </c>
      <c r="H432" s="7">
        <v>3.18</v>
      </c>
      <c r="I432" s="7">
        <f>H432+H415-2*$A$24</f>
        <v>6.4</v>
      </c>
      <c r="J432" s="7">
        <v>3.1</v>
      </c>
      <c r="K432" s="7">
        <v>5.34</v>
      </c>
      <c r="L432" s="6">
        <f t="shared" si="43"/>
        <v>0.32187499999999997</v>
      </c>
      <c r="M432" s="6">
        <f t="shared" si="44"/>
        <v>0.56874999999999987</v>
      </c>
      <c r="N432" s="6">
        <f t="shared" si="45"/>
        <v>0.10937500000000022</v>
      </c>
      <c r="O432" s="4">
        <f t="shared" si="46"/>
        <v>1942.6795833192814</v>
      </c>
      <c r="P432" s="4">
        <f t="shared" si="47"/>
        <v>3432.6959627583415</v>
      </c>
      <c r="Q432" s="4">
        <f t="shared" si="48"/>
        <v>5375.3755460776229</v>
      </c>
      <c r="V432" s="3"/>
      <c r="W432" s="3"/>
      <c r="Y432" s="7"/>
      <c r="Z432" s="7"/>
      <c r="AA432" s="7"/>
      <c r="AB432" s="7"/>
      <c r="AC432" s="9"/>
      <c r="AD432" s="9"/>
      <c r="AE432" s="9"/>
      <c r="AF432" s="3"/>
      <c r="AG432" s="3"/>
      <c r="AH432" s="3"/>
      <c r="AJ432" t="s">
        <v>920</v>
      </c>
      <c r="AK432" t="s">
        <v>682</v>
      </c>
      <c r="AL432" s="11">
        <f>D414</f>
        <v>40828</v>
      </c>
      <c r="AM432" s="3">
        <f>SUM(E414,E433)</f>
        <v>73.599999999999994</v>
      </c>
      <c r="AN432" s="3">
        <f>(AM432-4*$A$20)*$A$21/(2*$A$22)*$A$23</f>
        <v>5341.5954291980424</v>
      </c>
      <c r="AO432" s="11">
        <f>G414</f>
        <v>40204</v>
      </c>
      <c r="AP432" s="7">
        <f>SUM(H414,H433)</f>
        <v>6.84</v>
      </c>
      <c r="AQ432" s="7">
        <f>SUM(I414,I433)</f>
        <v>13.04</v>
      </c>
      <c r="AR432" s="7">
        <f>SUM(J414,J433)</f>
        <v>6.52</v>
      </c>
      <c r="AS432" s="7">
        <f>SUM(K414,K433)</f>
        <v>10.84</v>
      </c>
      <c r="AT432" s="9">
        <f>(AR432-2*$A$25)/AQ432</f>
        <v>0.34049079754601225</v>
      </c>
      <c r="AU432" s="9">
        <f>(AS432-2*$A$26)/AQ432</f>
        <v>0.57055214723926384</v>
      </c>
      <c r="AV432" s="9">
        <f>1-AT432-AU432</f>
        <v>8.8957055214723857E-2</v>
      </c>
      <c r="AW432" s="3">
        <f>AN432*AT432</f>
        <v>1818.764087855775</v>
      </c>
      <c r="AX432" s="3">
        <f>AN432*AU432</f>
        <v>3047.6587418123804</v>
      </c>
      <c r="AY432" s="3">
        <f>AW432+AX432</f>
        <v>4866.4228296681558</v>
      </c>
    </row>
    <row r="433" spans="1:51" x14ac:dyDescent="0.25">
      <c r="A433">
        <v>400</v>
      </c>
      <c r="B433" s="1" t="s">
        <v>441</v>
      </c>
      <c r="C433" s="1" t="s">
        <v>682</v>
      </c>
      <c r="D433" s="2">
        <v>40828</v>
      </c>
      <c r="E433" s="3">
        <v>36.700000000000003</v>
      </c>
      <c r="F433" s="4">
        <f t="shared" si="42"/>
        <v>5326.1751190675632</v>
      </c>
      <c r="G433" s="2">
        <v>40204</v>
      </c>
      <c r="H433" s="7">
        <v>3.5</v>
      </c>
      <c r="I433" s="7">
        <f>H433+H414-2*$A$24</f>
        <v>6.52</v>
      </c>
      <c r="J433" s="7">
        <v>3.26</v>
      </c>
      <c r="K433" s="7">
        <v>5.42</v>
      </c>
      <c r="L433" s="6">
        <f t="shared" si="43"/>
        <v>0.34049079754601225</v>
      </c>
      <c r="M433" s="6">
        <f t="shared" si="44"/>
        <v>0.57055214723926384</v>
      </c>
      <c r="N433" s="6">
        <f t="shared" si="45"/>
        <v>8.8957055214723857E-2</v>
      </c>
      <c r="O433" s="4">
        <f t="shared" si="46"/>
        <v>1813.5136141610412</v>
      </c>
      <c r="P433" s="4">
        <f t="shared" si="47"/>
        <v>3038.86065075634</v>
      </c>
      <c r="Q433" s="4">
        <f t="shared" si="48"/>
        <v>4852.374264917381</v>
      </c>
      <c r="V433" s="3"/>
      <c r="W433" s="3"/>
      <c r="Y433" s="7"/>
      <c r="Z433" s="7"/>
      <c r="AA433" s="7"/>
      <c r="AB433" s="7"/>
      <c r="AC433" s="9"/>
      <c r="AD433" s="9"/>
      <c r="AE433" s="9"/>
      <c r="AF433" s="3"/>
      <c r="AG433" s="3"/>
      <c r="AH433" s="3"/>
    </row>
    <row r="434" spans="1:51" x14ac:dyDescent="0.25">
      <c r="A434">
        <v>401</v>
      </c>
      <c r="B434" s="1" t="s">
        <v>442</v>
      </c>
      <c r="C434" s="1" t="s">
        <v>682</v>
      </c>
      <c r="D434" s="2">
        <v>40829</v>
      </c>
      <c r="E434" s="3">
        <v>29.1</v>
      </c>
      <c r="F434" s="4">
        <f t="shared" si="42"/>
        <v>4154.2315491511335</v>
      </c>
      <c r="G434" s="2">
        <v>40200</v>
      </c>
      <c r="H434" s="7">
        <v>3.22</v>
      </c>
      <c r="I434" s="7">
        <f>H434+H453-2*$A$24</f>
        <v>7.32</v>
      </c>
      <c r="J434" s="7">
        <v>3.5</v>
      </c>
      <c r="K434" s="7">
        <v>5.94</v>
      </c>
      <c r="L434" s="6">
        <f t="shared" si="43"/>
        <v>0.33606557377049179</v>
      </c>
      <c r="M434" s="6">
        <f t="shared" si="44"/>
        <v>0.57923497267759561</v>
      </c>
      <c r="N434" s="6">
        <f t="shared" si="45"/>
        <v>8.4699453551912551E-2</v>
      </c>
      <c r="O434" s="4">
        <f t="shared" si="46"/>
        <v>1396.0942091409547</v>
      </c>
      <c r="P434" s="4">
        <f t="shared" si="47"/>
        <v>2406.2761978689623</v>
      </c>
      <c r="Q434" s="4">
        <f t="shared" si="48"/>
        <v>3802.370407009917</v>
      </c>
      <c r="S434" t="s">
        <v>33</v>
      </c>
      <c r="T434" t="s">
        <v>682</v>
      </c>
      <c r="U434" s="8">
        <f>D434</f>
        <v>40829</v>
      </c>
      <c r="V434" s="3">
        <f>SUM(E434:E473)</f>
        <v>1445.3</v>
      </c>
      <c r="W434" s="3">
        <f>(V434-80*$A$20)*$A$21/(40*$A$22)*$A$23</f>
        <v>5238.6648590770919</v>
      </c>
      <c r="X434" s="8">
        <f>G434</f>
        <v>40200</v>
      </c>
      <c r="Y434" s="7">
        <f>SUM(H434:H473)</f>
        <v>145.90000000000003</v>
      </c>
      <c r="Z434" s="7">
        <f>SUM(I434:I473)</f>
        <v>278.99999999999994</v>
      </c>
      <c r="AA434" s="7">
        <f>SUM(J434:J473)</f>
        <v>134.99999999999994</v>
      </c>
      <c r="AB434" s="7">
        <f>SUM(K434:K473)</f>
        <v>226.16000000000003</v>
      </c>
      <c r="AC434" s="9">
        <f>(AA434-40*$A$25)/Z434</f>
        <v>0.3347670250896056</v>
      </c>
      <c r="AD434" s="9">
        <f>(AB434-40*$A$26)/Z434</f>
        <v>0.56688172043010776</v>
      </c>
      <c r="AE434" s="9">
        <f>1-AC434-AD434</f>
        <v>9.8351254480286698E-2</v>
      </c>
      <c r="AF434" s="3">
        <f>W434*AC434</f>
        <v>1753.7322503146961</v>
      </c>
      <c r="AG434" s="3">
        <f>W434*AD434</f>
        <v>2969.7033480703699</v>
      </c>
      <c r="AH434" s="3">
        <f>AF434+AG434</f>
        <v>4723.4355983850655</v>
      </c>
      <c r="AJ434" t="s">
        <v>921</v>
      </c>
      <c r="AK434" t="s">
        <v>682</v>
      </c>
      <c r="AL434" s="11">
        <f>D443</f>
        <v>40829</v>
      </c>
      <c r="AM434" s="3">
        <f>SUM(E443,E444)</f>
        <v>62</v>
      </c>
      <c r="AN434" s="3">
        <f>(AM434-4*$A$20)*$A$21/(2*$A$22)*$A$23</f>
        <v>4447.2174416302405</v>
      </c>
      <c r="AO434" s="11">
        <f>G443</f>
        <v>40200</v>
      </c>
      <c r="AP434" s="7">
        <f>SUM(H443,H444)</f>
        <v>7.32</v>
      </c>
      <c r="AQ434" s="7">
        <f>SUM(I443,I444)</f>
        <v>14</v>
      </c>
      <c r="AR434" s="7">
        <f>SUM(J443,J444)</f>
        <v>6.92</v>
      </c>
      <c r="AS434" s="7">
        <f>SUM(K443,K444)</f>
        <v>11.28</v>
      </c>
      <c r="AT434" s="9">
        <f>(AR434-2*$A$25)/AQ434</f>
        <v>0.3457142857142857</v>
      </c>
      <c r="AU434" s="9">
        <f>(AS434-2*$A$26)/AQ434</f>
        <v>0.56285714285714283</v>
      </c>
      <c r="AV434" s="9">
        <f>1-AT434-AU434</f>
        <v>9.1428571428571526E-2</v>
      </c>
      <c r="AW434" s="3">
        <f>AN434*AT434</f>
        <v>1537.4666012493117</v>
      </c>
      <c r="AX434" s="3">
        <f>AN434*AU434</f>
        <v>2503.1481028604494</v>
      </c>
      <c r="AY434" s="3">
        <f>AW434+AX434</f>
        <v>4040.6147041097611</v>
      </c>
    </row>
    <row r="435" spans="1:51" x14ac:dyDescent="0.25">
      <c r="A435">
        <v>402</v>
      </c>
      <c r="B435" s="1" t="s">
        <v>443</v>
      </c>
      <c r="C435" s="1" t="s">
        <v>682</v>
      </c>
      <c r="D435" s="2">
        <v>40829</v>
      </c>
      <c r="E435" s="3">
        <v>34.900000000000006</v>
      </c>
      <c r="F435" s="4">
        <f t="shared" si="42"/>
        <v>5048.6095367189355</v>
      </c>
      <c r="G435" s="2">
        <v>40200</v>
      </c>
      <c r="H435" s="7">
        <v>3.1</v>
      </c>
      <c r="I435" s="7">
        <f>H435+H452-2*$A$24</f>
        <v>7.0399999999999991</v>
      </c>
      <c r="J435" s="7">
        <v>3.42</v>
      </c>
      <c r="K435" s="7">
        <v>5.76</v>
      </c>
      <c r="L435" s="6">
        <f t="shared" si="43"/>
        <v>0.33806818181818182</v>
      </c>
      <c r="M435" s="6">
        <f t="shared" si="44"/>
        <v>0.57670454545454541</v>
      </c>
      <c r="N435" s="6">
        <f t="shared" si="45"/>
        <v>8.5227272727272707E-2</v>
      </c>
      <c r="O435" s="4">
        <f t="shared" si="46"/>
        <v>1706.7742467885039</v>
      </c>
      <c r="P435" s="4">
        <f t="shared" si="47"/>
        <v>2911.5560680509766</v>
      </c>
      <c r="Q435" s="4">
        <f t="shared" si="48"/>
        <v>4618.3303148394807</v>
      </c>
      <c r="V435" s="3"/>
      <c r="W435" s="3"/>
      <c r="Y435" s="7"/>
      <c r="Z435" s="7"/>
      <c r="AA435" s="7"/>
      <c r="AB435" s="7"/>
      <c r="AC435" s="9"/>
      <c r="AD435" s="9"/>
      <c r="AE435" s="9"/>
      <c r="AF435" s="3"/>
      <c r="AG435" s="3"/>
      <c r="AH435" s="3"/>
      <c r="AL435" s="11"/>
      <c r="AM435" s="3"/>
      <c r="AN435" s="3"/>
      <c r="AO435" s="11"/>
      <c r="AP435" s="7"/>
      <c r="AQ435" s="7"/>
      <c r="AR435" s="7"/>
      <c r="AS435" s="7"/>
      <c r="AT435" s="9"/>
      <c r="AU435" s="9"/>
      <c r="AV435" s="9"/>
      <c r="AW435" s="3"/>
      <c r="AX435" s="3"/>
      <c r="AY435" s="3"/>
    </row>
    <row r="436" spans="1:51" x14ac:dyDescent="0.25">
      <c r="A436">
        <v>403</v>
      </c>
      <c r="B436" s="1" t="s">
        <v>444</v>
      </c>
      <c r="C436" s="1" t="s">
        <v>682</v>
      </c>
      <c r="D436" s="2">
        <v>40829</v>
      </c>
      <c r="E436" s="3">
        <v>34.1</v>
      </c>
      <c r="F436" s="4">
        <f t="shared" si="42"/>
        <v>4925.2470556751005</v>
      </c>
      <c r="G436" s="2">
        <v>40200</v>
      </c>
      <c r="H436" s="7">
        <v>4.16</v>
      </c>
      <c r="I436" s="7">
        <f>H436+H451-2*$A$24</f>
        <v>7.18</v>
      </c>
      <c r="J436" s="7">
        <v>3.34</v>
      </c>
      <c r="K436" s="7">
        <v>5.76</v>
      </c>
      <c r="L436" s="6">
        <f t="shared" si="43"/>
        <v>0.3203342618384401</v>
      </c>
      <c r="M436" s="6">
        <f t="shared" si="44"/>
        <v>0.56545961002785516</v>
      </c>
      <c r="N436" s="6">
        <f t="shared" si="45"/>
        <v>0.11420612813370468</v>
      </c>
      <c r="O436" s="4">
        <f t="shared" si="46"/>
        <v>1577.7253799516338</v>
      </c>
      <c r="P436" s="4">
        <f t="shared" si="47"/>
        <v>2785.0282793928841</v>
      </c>
      <c r="Q436" s="4">
        <f t="shared" si="48"/>
        <v>4362.7536593445184</v>
      </c>
      <c r="V436" s="3"/>
      <c r="W436" s="3"/>
      <c r="Y436" s="7"/>
      <c r="Z436" s="7"/>
      <c r="AA436" s="7"/>
      <c r="AB436" s="7"/>
      <c r="AC436" s="9"/>
      <c r="AD436" s="9"/>
      <c r="AE436" s="9"/>
      <c r="AF436" s="3"/>
      <c r="AG436" s="3"/>
      <c r="AH436" s="3"/>
      <c r="AJ436" t="s">
        <v>922</v>
      </c>
      <c r="AK436" t="s">
        <v>682</v>
      </c>
      <c r="AL436" s="11">
        <f>D442</f>
        <v>40829</v>
      </c>
      <c r="AM436" s="3">
        <f>SUM(E442,E445)</f>
        <v>70.699999999999989</v>
      </c>
      <c r="AN436" s="3">
        <f>(AM436-4*$A$20)*$A$21/(2*$A$22)*$A$23</f>
        <v>5118.0009323060913</v>
      </c>
      <c r="AO436" s="11">
        <f>G442</f>
        <v>40200</v>
      </c>
      <c r="AP436" s="7">
        <f>SUM(H442,H445)</f>
        <v>7.12</v>
      </c>
      <c r="AQ436" s="7">
        <f>SUM(I442,I445)</f>
        <v>13.6</v>
      </c>
      <c r="AR436" s="7">
        <f>SUM(J442,J445)</f>
        <v>6.6</v>
      </c>
      <c r="AS436" s="7">
        <f>SUM(K442,K445)</f>
        <v>11.08</v>
      </c>
      <c r="AT436" s="9">
        <f>(AR436-2*$A$25)/AQ436</f>
        <v>0.33235294117647057</v>
      </c>
      <c r="AU436" s="9">
        <f>(AS436-2*$A$26)/AQ436</f>
        <v>0.56470588235294117</v>
      </c>
      <c r="AV436" s="9">
        <f>1-AT436-AU436</f>
        <v>0.10294117647058831</v>
      </c>
      <c r="AW436" s="3">
        <f>AN436*AT436</f>
        <v>1700.982662795848</v>
      </c>
      <c r="AX436" s="3">
        <f>AN436*AU436</f>
        <v>2890.165232361087</v>
      </c>
      <c r="AY436" s="3">
        <f>AW436+AX436</f>
        <v>4591.1478951569352</v>
      </c>
    </row>
    <row r="437" spans="1:51" x14ac:dyDescent="0.25">
      <c r="A437">
        <v>404</v>
      </c>
      <c r="B437" s="1" t="s">
        <v>445</v>
      </c>
      <c r="C437" s="1" t="s">
        <v>682</v>
      </c>
      <c r="D437" s="2">
        <v>40829</v>
      </c>
      <c r="E437" s="3">
        <v>36.1</v>
      </c>
      <c r="F437" s="4">
        <f t="shared" si="42"/>
        <v>5233.6532582846858</v>
      </c>
      <c r="G437" s="2">
        <v>40200</v>
      </c>
      <c r="H437" s="7">
        <v>3.14</v>
      </c>
      <c r="I437" s="7">
        <f>H437+H450-2*$A$24</f>
        <v>6.4399999999999995</v>
      </c>
      <c r="J437" s="7">
        <v>3.18</v>
      </c>
      <c r="K437" s="7">
        <v>5.42</v>
      </c>
      <c r="L437" s="6">
        <f t="shared" si="43"/>
        <v>0.3322981366459628</v>
      </c>
      <c r="M437" s="6">
        <f t="shared" si="44"/>
        <v>0.57763975155279501</v>
      </c>
      <c r="N437" s="6">
        <f t="shared" si="45"/>
        <v>9.0062111801242239E-2</v>
      </c>
      <c r="O437" s="4">
        <f t="shared" si="46"/>
        <v>1739.133225579073</v>
      </c>
      <c r="P437" s="4">
        <f t="shared" si="47"/>
        <v>3023.166167829042</v>
      </c>
      <c r="Q437" s="4">
        <f t="shared" si="48"/>
        <v>4762.2993934081151</v>
      </c>
      <c r="V437" s="3"/>
      <c r="W437" s="3"/>
      <c r="Y437" s="7"/>
      <c r="Z437" s="7"/>
      <c r="AA437" s="7"/>
      <c r="AB437" s="7"/>
      <c r="AC437" s="9"/>
      <c r="AD437" s="9"/>
      <c r="AE437" s="9"/>
      <c r="AF437" s="3"/>
      <c r="AG437" s="3"/>
      <c r="AH437" s="3"/>
      <c r="AL437" s="11"/>
      <c r="AM437" s="3"/>
      <c r="AN437" s="3"/>
      <c r="AO437" s="11"/>
      <c r="AP437" s="7"/>
      <c r="AQ437" s="7"/>
      <c r="AR437" s="7"/>
      <c r="AS437" s="7"/>
      <c r="AT437" s="9"/>
      <c r="AU437" s="9"/>
      <c r="AV437" s="9"/>
      <c r="AW437" s="3"/>
      <c r="AX437" s="3"/>
      <c r="AY437" s="3"/>
    </row>
    <row r="438" spans="1:51" x14ac:dyDescent="0.25">
      <c r="A438">
        <v>405</v>
      </c>
      <c r="B438" s="1" t="s">
        <v>446</v>
      </c>
      <c r="C438" s="1" t="s">
        <v>682</v>
      </c>
      <c r="D438" s="2">
        <v>40829</v>
      </c>
      <c r="E438" s="3">
        <v>36.599999999999994</v>
      </c>
      <c r="F438" s="4">
        <f t="shared" si="42"/>
        <v>5310.754808937083</v>
      </c>
      <c r="G438" s="2">
        <v>40200</v>
      </c>
      <c r="H438" s="7">
        <v>4.34</v>
      </c>
      <c r="I438" s="7">
        <f>H438+H449-2*$A$24</f>
        <v>7.98</v>
      </c>
      <c r="J438" s="7">
        <v>3.74</v>
      </c>
      <c r="K438" s="7">
        <v>6.16</v>
      </c>
      <c r="L438" s="6">
        <f t="shared" si="43"/>
        <v>0.33834586466165412</v>
      </c>
      <c r="M438" s="6">
        <f t="shared" si="44"/>
        <v>0.55889724310776934</v>
      </c>
      <c r="N438" s="6">
        <f t="shared" si="45"/>
        <v>0.10275689223057649</v>
      </c>
      <c r="O438" s="4">
        <f t="shared" si="46"/>
        <v>1796.8719278358551</v>
      </c>
      <c r="P438" s="4">
        <f t="shared" si="47"/>
        <v>2968.1662215362639</v>
      </c>
      <c r="Q438" s="4">
        <f t="shared" si="48"/>
        <v>4765.0381493721188</v>
      </c>
      <c r="V438" s="3"/>
      <c r="W438" s="3"/>
      <c r="Y438" s="7"/>
      <c r="Z438" s="7"/>
      <c r="AA438" s="7"/>
      <c r="AB438" s="7"/>
      <c r="AC438" s="9"/>
      <c r="AD438" s="9"/>
      <c r="AE438" s="9"/>
      <c r="AF438" s="3"/>
      <c r="AG438" s="3"/>
      <c r="AH438" s="3"/>
      <c r="AJ438" t="s">
        <v>923</v>
      </c>
      <c r="AK438" t="s">
        <v>682</v>
      </c>
      <c r="AL438" s="11">
        <f>D441</f>
        <v>40829</v>
      </c>
      <c r="AM438" s="3">
        <f>SUM(E441,E446)</f>
        <v>78.800000000000011</v>
      </c>
      <c r="AN438" s="3">
        <f>(AM438-4*$A$20)*$A$21/(2*$A$22)*$A$23</f>
        <v>5742.5234925905052</v>
      </c>
      <c r="AO438" s="11">
        <f>G441</f>
        <v>40200</v>
      </c>
      <c r="AP438" s="7">
        <f>SUM(H441,H446)</f>
        <v>6.3599999999999994</v>
      </c>
      <c r="AQ438" s="7">
        <f>SUM(I441,I446)</f>
        <v>12.079999999999998</v>
      </c>
      <c r="AR438" s="7">
        <f>SUM(J441,J446)</f>
        <v>6.04</v>
      </c>
      <c r="AS438" s="7">
        <f>SUM(K441,K446)</f>
        <v>10.24</v>
      </c>
      <c r="AT438" s="9">
        <f>(AR438-2*$A$25)/AQ438</f>
        <v>0.32781456953642391</v>
      </c>
      <c r="AU438" s="9">
        <f>(AS438-2*$A$26)/AQ438</f>
        <v>0.56622516556291402</v>
      </c>
      <c r="AV438" s="9">
        <f>1-AT438-AU438</f>
        <v>0.10596026490066213</v>
      </c>
      <c r="AW438" s="3">
        <f>AN438*AT438</f>
        <v>1882.4828667763579</v>
      </c>
      <c r="AX438" s="3">
        <f>AN438*AU438</f>
        <v>3251.5613153409822</v>
      </c>
      <c r="AY438" s="3">
        <f>AW438+AX438</f>
        <v>5134.0441821173399</v>
      </c>
    </row>
    <row r="439" spans="1:51" x14ac:dyDescent="0.25">
      <c r="A439">
        <v>406</v>
      </c>
      <c r="B439" s="1" t="s">
        <v>447</v>
      </c>
      <c r="C439" s="1" t="s">
        <v>682</v>
      </c>
      <c r="D439" s="2">
        <v>40829</v>
      </c>
      <c r="E439" s="3">
        <v>33.700000000000003</v>
      </c>
      <c r="F439" s="4">
        <f t="shared" si="42"/>
        <v>4863.5658151531834</v>
      </c>
      <c r="G439" s="2">
        <v>40200</v>
      </c>
      <c r="H439" s="7">
        <v>3.74</v>
      </c>
      <c r="I439" s="7">
        <f>H439+H448-2*$A$24</f>
        <v>6.72</v>
      </c>
      <c r="J439" s="7">
        <v>3.28</v>
      </c>
      <c r="K439" s="7">
        <v>5.46</v>
      </c>
      <c r="L439" s="6">
        <f t="shared" si="43"/>
        <v>0.33333333333333331</v>
      </c>
      <c r="M439" s="6">
        <f t="shared" si="44"/>
        <v>0.55952380952380953</v>
      </c>
      <c r="N439" s="6">
        <f t="shared" si="45"/>
        <v>0.10714285714285721</v>
      </c>
      <c r="O439" s="4">
        <f t="shared" si="46"/>
        <v>1621.1886050510611</v>
      </c>
      <c r="P439" s="4">
        <f t="shared" si="47"/>
        <v>2721.2808727642814</v>
      </c>
      <c r="Q439" s="4">
        <f t="shared" si="48"/>
        <v>4342.4694778153425</v>
      </c>
      <c r="V439" s="3"/>
      <c r="W439" s="3"/>
      <c r="Y439" s="7"/>
      <c r="Z439" s="7"/>
      <c r="AA439" s="7"/>
      <c r="AB439" s="7"/>
      <c r="AC439" s="9"/>
      <c r="AD439" s="9"/>
      <c r="AE439" s="9"/>
      <c r="AF439" s="3"/>
      <c r="AG439" s="3"/>
      <c r="AH439" s="3"/>
      <c r="AL439" s="11"/>
      <c r="AM439" s="3"/>
      <c r="AN439" s="3"/>
      <c r="AO439" s="11"/>
      <c r="AP439" s="7"/>
      <c r="AQ439" s="7"/>
      <c r="AR439" s="7"/>
      <c r="AS439" s="7"/>
      <c r="AT439" s="9"/>
      <c r="AU439" s="9"/>
      <c r="AV439" s="9"/>
      <c r="AW439" s="3"/>
      <c r="AX439" s="3"/>
      <c r="AY439" s="3"/>
    </row>
    <row r="440" spans="1:51" x14ac:dyDescent="0.25">
      <c r="A440">
        <v>407</v>
      </c>
      <c r="B440" s="1" t="s">
        <v>448</v>
      </c>
      <c r="C440" s="1" t="s">
        <v>682</v>
      </c>
      <c r="D440" s="2">
        <v>40829</v>
      </c>
      <c r="E440" s="3">
        <v>39</v>
      </c>
      <c r="F440" s="4">
        <f t="shared" si="42"/>
        <v>5680.8422520685872</v>
      </c>
      <c r="G440" s="2">
        <v>40200</v>
      </c>
      <c r="H440" s="7">
        <v>3.66</v>
      </c>
      <c r="I440" s="7">
        <f>H440+H447-2*$A$24</f>
        <v>7.6</v>
      </c>
      <c r="J440" s="7">
        <v>3.54</v>
      </c>
      <c r="K440" s="7">
        <v>5.98</v>
      </c>
      <c r="L440" s="6">
        <f t="shared" si="43"/>
        <v>0.32894736842105265</v>
      </c>
      <c r="M440" s="6">
        <f t="shared" si="44"/>
        <v>0.56315789473684219</v>
      </c>
      <c r="N440" s="6">
        <f t="shared" si="45"/>
        <v>0.10789473684210515</v>
      </c>
      <c r="O440" s="4">
        <f t="shared" si="46"/>
        <v>1868.698109233088</v>
      </c>
      <c r="P440" s="4">
        <f t="shared" si="47"/>
        <v>3199.2111630070472</v>
      </c>
      <c r="Q440" s="4">
        <f t="shared" si="48"/>
        <v>5067.9092722401347</v>
      </c>
      <c r="V440" s="3"/>
      <c r="W440" s="3"/>
      <c r="Y440" s="7"/>
      <c r="Z440" s="7"/>
      <c r="AA440" s="7"/>
      <c r="AB440" s="7"/>
      <c r="AC440" s="9"/>
      <c r="AD440" s="9"/>
      <c r="AE440" s="9"/>
      <c r="AF440" s="3"/>
      <c r="AG440" s="3"/>
      <c r="AH440" s="3"/>
      <c r="AJ440" t="s">
        <v>924</v>
      </c>
      <c r="AK440" t="s">
        <v>682</v>
      </c>
      <c r="AL440" s="11">
        <f>D440</f>
        <v>40829</v>
      </c>
      <c r="AM440" s="3">
        <f>SUM(E440,E447)</f>
        <v>82.4</v>
      </c>
      <c r="AN440" s="3">
        <f>(AM440-4*$A$20)*$A$21/(2*$A$22)*$A$23</f>
        <v>6020.0890749391347</v>
      </c>
      <c r="AO440" s="11">
        <f>G440</f>
        <v>40200</v>
      </c>
      <c r="AP440" s="7">
        <f>SUM(H440,H447)</f>
        <v>7.92</v>
      </c>
      <c r="AQ440" s="7">
        <f>SUM(I440,I447)</f>
        <v>15.2</v>
      </c>
      <c r="AR440" s="7">
        <f>SUM(J440,J447)</f>
        <v>7.08</v>
      </c>
      <c r="AS440" s="7">
        <f>SUM(K440,K447)</f>
        <v>11.96</v>
      </c>
      <c r="AT440" s="9">
        <f>(AR440-2*$A$25)/AQ440</f>
        <v>0.32894736842105265</v>
      </c>
      <c r="AU440" s="9">
        <f>(AS440-2*$A$26)/AQ440</f>
        <v>0.56315789473684219</v>
      </c>
      <c r="AV440" s="9">
        <f>1-AT440-AU440</f>
        <v>0.10789473684210515</v>
      </c>
      <c r="AW440" s="3">
        <f>AN440*AT440</f>
        <v>1980.2924588615576</v>
      </c>
      <c r="AX440" s="3">
        <f>AN440*AU440</f>
        <v>3390.2606895709869</v>
      </c>
      <c r="AY440" s="3">
        <f>AW440+AX440</f>
        <v>5370.5531484325447</v>
      </c>
    </row>
    <row r="441" spans="1:51" x14ac:dyDescent="0.25">
      <c r="A441">
        <v>408</v>
      </c>
      <c r="B441" s="1" t="s">
        <v>449</v>
      </c>
      <c r="C441" s="1" t="s">
        <v>682</v>
      </c>
      <c r="D441" s="2">
        <v>40829</v>
      </c>
      <c r="E441" s="3">
        <v>36.200000000000003</v>
      </c>
      <c r="F441" s="4">
        <f t="shared" si="42"/>
        <v>5249.0735684151668</v>
      </c>
      <c r="G441" s="2">
        <v>40200</v>
      </c>
      <c r="H441" s="7">
        <v>3.26</v>
      </c>
      <c r="I441" s="7">
        <f>H441+H446-2*$A$24</f>
        <v>6.0399999999999991</v>
      </c>
      <c r="J441" s="7">
        <v>3.02</v>
      </c>
      <c r="K441" s="7">
        <v>5.12</v>
      </c>
      <c r="L441" s="6">
        <f t="shared" si="43"/>
        <v>0.32781456953642391</v>
      </c>
      <c r="M441" s="6">
        <f t="shared" si="44"/>
        <v>0.56622516556291402</v>
      </c>
      <c r="N441" s="6">
        <f t="shared" si="45"/>
        <v>0.10596026490066213</v>
      </c>
      <c r="O441" s="4">
        <f t="shared" si="46"/>
        <v>1720.7227922950385</v>
      </c>
      <c r="P441" s="4">
        <f t="shared" si="47"/>
        <v>2972.1575503277936</v>
      </c>
      <c r="Q441" s="4">
        <f t="shared" si="48"/>
        <v>4692.8803426228324</v>
      </c>
      <c r="V441" s="3"/>
      <c r="W441" s="3"/>
      <c r="Y441" s="7"/>
      <c r="Z441" s="7"/>
      <c r="AA441" s="7"/>
      <c r="AB441" s="7"/>
      <c r="AC441" s="9"/>
      <c r="AD441" s="9"/>
      <c r="AE441" s="9"/>
      <c r="AF441" s="3"/>
      <c r="AG441" s="3"/>
      <c r="AH441" s="3"/>
      <c r="AL441" s="11"/>
      <c r="AM441" s="3"/>
      <c r="AN441" s="3"/>
      <c r="AO441" s="11"/>
      <c r="AP441" s="7"/>
      <c r="AQ441" s="7"/>
      <c r="AR441" s="7"/>
      <c r="AS441" s="7"/>
      <c r="AT441" s="9"/>
      <c r="AU441" s="9"/>
      <c r="AV441" s="9"/>
      <c r="AW441" s="3"/>
      <c r="AX441" s="3"/>
      <c r="AY441" s="3"/>
    </row>
    <row r="442" spans="1:51" x14ac:dyDescent="0.25">
      <c r="A442">
        <v>409</v>
      </c>
      <c r="B442" s="1" t="s">
        <v>450</v>
      </c>
      <c r="C442" s="1" t="s">
        <v>682</v>
      </c>
      <c r="D442" s="2">
        <v>40829</v>
      </c>
      <c r="E442" s="3">
        <v>31.9</v>
      </c>
      <c r="F442" s="4">
        <f t="shared" si="42"/>
        <v>4586.0002328045539</v>
      </c>
      <c r="G442" s="2">
        <v>40200</v>
      </c>
      <c r="H442" s="7">
        <v>3.52</v>
      </c>
      <c r="I442" s="7">
        <f>H442+H445-2*$A$24</f>
        <v>6.8</v>
      </c>
      <c r="J442" s="7">
        <v>3.3</v>
      </c>
      <c r="K442" s="7">
        <v>5.54</v>
      </c>
      <c r="L442" s="6">
        <f t="shared" si="43"/>
        <v>0.33235294117647057</v>
      </c>
      <c r="M442" s="6">
        <f t="shared" si="44"/>
        <v>0.56470588235294117</v>
      </c>
      <c r="N442" s="6">
        <f t="shared" si="45"/>
        <v>0.10294117647058831</v>
      </c>
      <c r="O442" s="4">
        <f t="shared" si="46"/>
        <v>1524.1706656085723</v>
      </c>
      <c r="P442" s="4">
        <f t="shared" si="47"/>
        <v>2589.7413079366893</v>
      </c>
      <c r="Q442" s="4">
        <f t="shared" si="48"/>
        <v>4113.9119735452614</v>
      </c>
      <c r="V442" s="3"/>
      <c r="W442" s="3"/>
      <c r="Y442" s="7"/>
      <c r="Z442" s="7"/>
      <c r="AA442" s="7"/>
      <c r="AB442" s="7"/>
      <c r="AC442" s="9"/>
      <c r="AD442" s="9"/>
      <c r="AE442" s="9"/>
      <c r="AF442" s="3"/>
      <c r="AG442" s="3"/>
      <c r="AH442" s="3"/>
      <c r="AJ442" t="s">
        <v>925</v>
      </c>
      <c r="AK442" t="s">
        <v>682</v>
      </c>
      <c r="AL442" s="11">
        <f>D439</f>
        <v>40829</v>
      </c>
      <c r="AM442" s="3">
        <f>SUM(E439,E448)</f>
        <v>71.7</v>
      </c>
      <c r="AN442" s="3">
        <f>(AM442-4*$A$20)*$A$21/(2*$A$22)*$A$23</f>
        <v>5195.1024829584876</v>
      </c>
      <c r="AO442" s="11">
        <f>G439</f>
        <v>40200</v>
      </c>
      <c r="AP442" s="7">
        <f>SUM(H439,H448)</f>
        <v>7.04</v>
      </c>
      <c r="AQ442" s="7">
        <f>SUM(I439,I448)</f>
        <v>13.44</v>
      </c>
      <c r="AR442" s="7">
        <f>SUM(J439,J448)</f>
        <v>6.56</v>
      </c>
      <c r="AS442" s="7">
        <f>SUM(K439,K448)</f>
        <v>10.92</v>
      </c>
      <c r="AT442" s="9">
        <f>(AR442-2*$A$25)/AQ442</f>
        <v>0.33333333333333331</v>
      </c>
      <c r="AU442" s="9">
        <f>(AS442-2*$A$26)/AQ442</f>
        <v>0.55952380952380953</v>
      </c>
      <c r="AV442" s="9">
        <f>1-AT442-AU442</f>
        <v>0.10714285714285721</v>
      </c>
      <c r="AW442" s="3">
        <f>AN442*AT442</f>
        <v>1731.700827652829</v>
      </c>
      <c r="AX442" s="3">
        <f>AN442*AU442</f>
        <v>2906.7835321315347</v>
      </c>
      <c r="AY442" s="3">
        <f>AW442+AX442</f>
        <v>4638.4843597843637</v>
      </c>
    </row>
    <row r="443" spans="1:51" x14ac:dyDescent="0.25">
      <c r="A443">
        <v>410</v>
      </c>
      <c r="B443" s="1" t="s">
        <v>451</v>
      </c>
      <c r="C443" s="1" t="s">
        <v>682</v>
      </c>
      <c r="D443" s="2">
        <v>40829</v>
      </c>
      <c r="E443" s="3">
        <v>27.1</v>
      </c>
      <c r="F443" s="4">
        <f t="shared" si="42"/>
        <v>3845.8253465415464</v>
      </c>
      <c r="G443" s="2">
        <v>40200</v>
      </c>
      <c r="H443" s="7">
        <v>4.1399999999999997</v>
      </c>
      <c r="I443" s="7">
        <f>H443+H444-2*$A$24</f>
        <v>7</v>
      </c>
      <c r="J443" s="7">
        <v>3.46</v>
      </c>
      <c r="K443" s="7">
        <v>5.64</v>
      </c>
      <c r="L443" s="6">
        <f t="shared" si="43"/>
        <v>0.3457142857142857</v>
      </c>
      <c r="M443" s="6">
        <f t="shared" si="44"/>
        <v>0.56285714285714283</v>
      </c>
      <c r="N443" s="6">
        <f t="shared" si="45"/>
        <v>9.1428571428571526E-2</v>
      </c>
      <c r="O443" s="4">
        <f t="shared" si="46"/>
        <v>1329.5567626615059</v>
      </c>
      <c r="P443" s="4">
        <f t="shared" si="47"/>
        <v>2164.6502664819559</v>
      </c>
      <c r="Q443" s="4">
        <f t="shared" si="48"/>
        <v>3494.207029143462</v>
      </c>
      <c r="V443" s="3"/>
      <c r="W443" s="3"/>
      <c r="Y443" s="7"/>
      <c r="Z443" s="7"/>
      <c r="AA443" s="7"/>
      <c r="AB443" s="7"/>
      <c r="AC443" s="9"/>
      <c r="AD443" s="9"/>
      <c r="AE443" s="9"/>
      <c r="AF443" s="3"/>
      <c r="AG443" s="3"/>
      <c r="AH443" s="3"/>
      <c r="AL443" s="11"/>
      <c r="AM443" s="3"/>
      <c r="AN443" s="3"/>
      <c r="AO443" s="11"/>
      <c r="AP443" s="7"/>
      <c r="AQ443" s="7"/>
      <c r="AR443" s="7"/>
      <c r="AS443" s="7"/>
      <c r="AT443" s="9"/>
      <c r="AU443" s="9"/>
      <c r="AV443" s="9"/>
      <c r="AW443" s="3"/>
      <c r="AX443" s="3"/>
      <c r="AY443" s="3"/>
    </row>
    <row r="444" spans="1:51" x14ac:dyDescent="0.25">
      <c r="A444">
        <v>411</v>
      </c>
      <c r="B444" s="1" t="s">
        <v>452</v>
      </c>
      <c r="C444" s="1" t="s">
        <v>682</v>
      </c>
      <c r="D444" s="2">
        <v>40829</v>
      </c>
      <c r="E444" s="3">
        <v>34.9</v>
      </c>
      <c r="F444" s="4">
        <f t="shared" si="42"/>
        <v>5048.6095367189346</v>
      </c>
      <c r="G444" s="2">
        <v>40200</v>
      </c>
      <c r="H444" s="7">
        <v>3.18</v>
      </c>
      <c r="I444" s="7">
        <f>H444+H443-2*$A$24</f>
        <v>7</v>
      </c>
      <c r="J444" s="7">
        <v>3.46</v>
      </c>
      <c r="K444" s="7">
        <v>5.64</v>
      </c>
      <c r="L444" s="6">
        <f t="shared" si="43"/>
        <v>0.3457142857142857</v>
      </c>
      <c r="M444" s="6">
        <f t="shared" si="44"/>
        <v>0.56285714285714283</v>
      </c>
      <c r="N444" s="6">
        <f t="shared" si="45"/>
        <v>9.1428571428571526E-2</v>
      </c>
      <c r="O444" s="4">
        <f t="shared" si="46"/>
        <v>1745.3764398371172</v>
      </c>
      <c r="P444" s="4">
        <f t="shared" si="47"/>
        <v>2841.6459392389429</v>
      </c>
      <c r="Q444" s="4">
        <f t="shared" si="48"/>
        <v>4587.0223790760601</v>
      </c>
      <c r="V444" s="3"/>
      <c r="W444" s="3"/>
      <c r="Y444" s="7"/>
      <c r="Z444" s="7"/>
      <c r="AA444" s="7"/>
      <c r="AB444" s="7"/>
      <c r="AC444" s="9"/>
      <c r="AD444" s="9"/>
      <c r="AE444" s="9"/>
      <c r="AF444" s="3"/>
      <c r="AG444" s="3"/>
      <c r="AH444" s="3"/>
      <c r="AJ444" t="s">
        <v>926</v>
      </c>
      <c r="AK444" t="s">
        <v>682</v>
      </c>
      <c r="AL444" s="11">
        <f>D438</f>
        <v>40829</v>
      </c>
      <c r="AM444" s="3">
        <f>SUM(E438,E449)</f>
        <v>77.099999999999994</v>
      </c>
      <c r="AN444" s="3">
        <f>(AM444-4*$A$20)*$A$21/(2*$A$22)*$A$23</f>
        <v>5611.4508564814305</v>
      </c>
      <c r="AO444" s="11">
        <f>G438</f>
        <v>40200</v>
      </c>
      <c r="AP444" s="7">
        <f>SUM(H438,H449)</f>
        <v>8.3000000000000007</v>
      </c>
      <c r="AQ444" s="7">
        <f>SUM(I438,I449)</f>
        <v>15.96</v>
      </c>
      <c r="AR444" s="7">
        <f>SUM(J438,J449)</f>
        <v>7.48</v>
      </c>
      <c r="AS444" s="7">
        <f>SUM(K438,K449)</f>
        <v>12.32</v>
      </c>
      <c r="AT444" s="9">
        <f>(AR444-2*$A$25)/AQ444</f>
        <v>0.33834586466165412</v>
      </c>
      <c r="AU444" s="9">
        <f>(AS444-2*$A$26)/AQ444</f>
        <v>0.55889724310776934</v>
      </c>
      <c r="AV444" s="9">
        <f>1-AT444-AU444</f>
        <v>0.10275689223057649</v>
      </c>
      <c r="AW444" s="3">
        <f>AN444*AT444</f>
        <v>1898.6111920425892</v>
      </c>
      <c r="AX444" s="3">
        <f>AN444*AU444</f>
        <v>3136.2244135222027</v>
      </c>
      <c r="AY444" s="3">
        <f>AW444+AX444</f>
        <v>5034.8356055647919</v>
      </c>
    </row>
    <row r="445" spans="1:51" x14ac:dyDescent="0.25">
      <c r="A445">
        <v>412</v>
      </c>
      <c r="B445" s="1" t="s">
        <v>453</v>
      </c>
      <c r="C445" s="1" t="s">
        <v>682</v>
      </c>
      <c r="D445" s="2">
        <v>40829</v>
      </c>
      <c r="E445" s="3">
        <v>38.799999999999997</v>
      </c>
      <c r="F445" s="4">
        <f t="shared" si="42"/>
        <v>5650.0016318076287</v>
      </c>
      <c r="G445" s="2">
        <v>40200</v>
      </c>
      <c r="H445" s="7">
        <v>3.6</v>
      </c>
      <c r="I445" s="7">
        <f>H445+H442-2*$A$24</f>
        <v>6.8</v>
      </c>
      <c r="J445" s="7">
        <v>3.3</v>
      </c>
      <c r="K445" s="7">
        <v>5.54</v>
      </c>
      <c r="L445" s="6">
        <f t="shared" si="43"/>
        <v>0.33235294117647057</v>
      </c>
      <c r="M445" s="6">
        <f t="shared" si="44"/>
        <v>0.56470588235294117</v>
      </c>
      <c r="N445" s="6">
        <f t="shared" si="45"/>
        <v>0.10294117647058831</v>
      </c>
      <c r="O445" s="4">
        <f t="shared" si="46"/>
        <v>1877.7946599831237</v>
      </c>
      <c r="P445" s="4">
        <f t="shared" si="47"/>
        <v>3190.5891567854842</v>
      </c>
      <c r="Q445" s="4">
        <f t="shared" si="48"/>
        <v>5068.3838167686081</v>
      </c>
      <c r="V445" s="3"/>
      <c r="W445" s="3"/>
      <c r="Y445" s="7"/>
      <c r="Z445" s="7"/>
      <c r="AA445" s="7"/>
      <c r="AB445" s="7"/>
      <c r="AC445" s="9"/>
      <c r="AD445" s="9"/>
      <c r="AE445" s="9"/>
      <c r="AF445" s="3"/>
      <c r="AG445" s="3"/>
      <c r="AH445" s="3"/>
      <c r="AL445" s="11"/>
      <c r="AM445" s="3"/>
      <c r="AN445" s="3"/>
      <c r="AO445" s="11"/>
      <c r="AP445" s="7"/>
      <c r="AQ445" s="7"/>
      <c r="AR445" s="7"/>
      <c r="AS445" s="7"/>
      <c r="AT445" s="9"/>
      <c r="AU445" s="9"/>
      <c r="AV445" s="9"/>
      <c r="AW445" s="3"/>
      <c r="AX445" s="3"/>
      <c r="AY445" s="3"/>
    </row>
    <row r="446" spans="1:51" x14ac:dyDescent="0.25">
      <c r="A446">
        <v>413</v>
      </c>
      <c r="B446" s="1" t="s">
        <v>454</v>
      </c>
      <c r="C446" s="1" t="s">
        <v>682</v>
      </c>
      <c r="D446" s="2">
        <v>40829</v>
      </c>
      <c r="E446" s="3">
        <v>42.6</v>
      </c>
      <c r="F446" s="4">
        <f t="shared" si="42"/>
        <v>6235.9734167658435</v>
      </c>
      <c r="G446" s="2">
        <v>40200</v>
      </c>
      <c r="H446" s="7">
        <v>3.1</v>
      </c>
      <c r="I446" s="7">
        <f>H446+H441-2*$A$24</f>
        <v>6.0399999999999991</v>
      </c>
      <c r="J446" s="7">
        <v>3.02</v>
      </c>
      <c r="K446" s="7">
        <v>5.12</v>
      </c>
      <c r="L446" s="6">
        <f t="shared" si="43"/>
        <v>0.32781456953642391</v>
      </c>
      <c r="M446" s="6">
        <f t="shared" si="44"/>
        <v>0.56622516556291402</v>
      </c>
      <c r="N446" s="6">
        <f t="shared" si="45"/>
        <v>0.10596026490066213</v>
      </c>
      <c r="O446" s="4">
        <f t="shared" si="46"/>
        <v>2044.2429412576776</v>
      </c>
      <c r="P446" s="4">
        <f t="shared" si="47"/>
        <v>3530.9650803541704</v>
      </c>
      <c r="Q446" s="4">
        <f t="shared" si="48"/>
        <v>5575.2080216118484</v>
      </c>
      <c r="V446" s="3"/>
      <c r="W446" s="3"/>
      <c r="Y446" s="7"/>
      <c r="Z446" s="7"/>
      <c r="AA446" s="7"/>
      <c r="AB446" s="7"/>
      <c r="AC446" s="9"/>
      <c r="AD446" s="9"/>
      <c r="AE446" s="9"/>
      <c r="AF446" s="3"/>
      <c r="AG446" s="3"/>
      <c r="AH446" s="3"/>
      <c r="AJ446" t="s">
        <v>927</v>
      </c>
      <c r="AK446" t="s">
        <v>682</v>
      </c>
      <c r="AL446" s="11">
        <f>D437</f>
        <v>40829</v>
      </c>
      <c r="AM446" s="3">
        <f>SUM(E437,E450)</f>
        <v>75.900000000000006</v>
      </c>
      <c r="AN446" s="3">
        <f>(AM446-4*$A$20)*$A$21/(2*$A$22)*$A$23</f>
        <v>5518.9289956985558</v>
      </c>
      <c r="AO446" s="11">
        <f>G437</f>
        <v>40200</v>
      </c>
      <c r="AP446" s="7">
        <f>SUM(H437,H450)</f>
        <v>6.76</v>
      </c>
      <c r="AQ446" s="7">
        <f>SUM(I437,I450)</f>
        <v>12.879999999999999</v>
      </c>
      <c r="AR446" s="7">
        <f>SUM(J437,J450)</f>
        <v>6.36</v>
      </c>
      <c r="AS446" s="7">
        <f>SUM(K437,K450)</f>
        <v>10.84</v>
      </c>
      <c r="AT446" s="9">
        <f>(AR446-2*$A$25)/AQ446</f>
        <v>0.3322981366459628</v>
      </c>
      <c r="AU446" s="9">
        <f>(AS446-2*$A$26)/AQ446</f>
        <v>0.57763975155279501</v>
      </c>
      <c r="AV446" s="9">
        <f>1-AT446-AU446</f>
        <v>9.0062111801242239E-2</v>
      </c>
      <c r="AW446" s="3">
        <f>AN446*AT446</f>
        <v>1833.929821552005</v>
      </c>
      <c r="AX446" s="3">
        <f>AN446*AU446</f>
        <v>3187.9527739128303</v>
      </c>
      <c r="AY446" s="3">
        <f>AW446+AX446</f>
        <v>5021.8825954648355</v>
      </c>
    </row>
    <row r="447" spans="1:51" x14ac:dyDescent="0.25">
      <c r="A447">
        <v>414</v>
      </c>
      <c r="B447" s="1" t="s">
        <v>455</v>
      </c>
      <c r="C447" s="1" t="s">
        <v>682</v>
      </c>
      <c r="D447" s="2">
        <v>40829</v>
      </c>
      <c r="E447" s="3">
        <v>43.4</v>
      </c>
      <c r="F447" s="4">
        <f t="shared" si="42"/>
        <v>6359.3358978096785</v>
      </c>
      <c r="G447" s="2">
        <v>40200</v>
      </c>
      <c r="H447" s="7">
        <v>4.26</v>
      </c>
      <c r="I447" s="7">
        <f>H447+H440-2*$A$24</f>
        <v>7.6</v>
      </c>
      <c r="J447" s="7">
        <v>3.54</v>
      </c>
      <c r="K447" s="7">
        <v>5.98</v>
      </c>
      <c r="L447" s="6">
        <f t="shared" si="43"/>
        <v>0.32894736842105265</v>
      </c>
      <c r="M447" s="6">
        <f t="shared" si="44"/>
        <v>0.56315789473684219</v>
      </c>
      <c r="N447" s="6">
        <f t="shared" si="45"/>
        <v>0.10789473684210515</v>
      </c>
      <c r="O447" s="4">
        <f t="shared" si="46"/>
        <v>2091.8868084900259</v>
      </c>
      <c r="P447" s="4">
        <f t="shared" si="47"/>
        <v>3581.3102161349248</v>
      </c>
      <c r="Q447" s="4">
        <f t="shared" si="48"/>
        <v>5673.1970246249512</v>
      </c>
      <c r="V447" s="3"/>
      <c r="W447" s="3"/>
      <c r="Y447" s="7"/>
      <c r="Z447" s="7"/>
      <c r="AA447" s="7"/>
      <c r="AB447" s="7"/>
      <c r="AC447" s="9"/>
      <c r="AD447" s="9"/>
      <c r="AE447" s="9"/>
      <c r="AF447" s="3"/>
      <c r="AG447" s="3"/>
      <c r="AH447" s="3"/>
      <c r="AL447" s="11"/>
      <c r="AM447" s="3"/>
      <c r="AN447" s="3"/>
      <c r="AO447" s="11"/>
      <c r="AP447" s="7"/>
      <c r="AQ447" s="7"/>
      <c r="AR447" s="7"/>
      <c r="AS447" s="7"/>
      <c r="AT447" s="9"/>
      <c r="AU447" s="9"/>
      <c r="AV447" s="9"/>
      <c r="AW447" s="3"/>
      <c r="AX447" s="3"/>
      <c r="AY447" s="3"/>
    </row>
    <row r="448" spans="1:51" x14ac:dyDescent="0.25">
      <c r="A448">
        <v>415</v>
      </c>
      <c r="B448" s="1" t="s">
        <v>456</v>
      </c>
      <c r="C448" s="1" t="s">
        <v>682</v>
      </c>
      <c r="D448" s="2">
        <v>40829</v>
      </c>
      <c r="E448" s="3">
        <v>38</v>
      </c>
      <c r="F448" s="4">
        <f t="shared" si="42"/>
        <v>5526.6391507637945</v>
      </c>
      <c r="G448" s="2">
        <v>40200</v>
      </c>
      <c r="H448" s="7">
        <v>3.3</v>
      </c>
      <c r="I448" s="7">
        <f>H448+H439-2*$A$24</f>
        <v>6.72</v>
      </c>
      <c r="J448" s="7">
        <v>3.28</v>
      </c>
      <c r="K448" s="7">
        <v>5.46</v>
      </c>
      <c r="L448" s="6">
        <f t="shared" si="43"/>
        <v>0.33333333333333331</v>
      </c>
      <c r="M448" s="6">
        <f t="shared" si="44"/>
        <v>0.55952380952380953</v>
      </c>
      <c r="N448" s="6">
        <f t="shared" si="45"/>
        <v>0.10714285714285721</v>
      </c>
      <c r="O448" s="4">
        <f t="shared" si="46"/>
        <v>1842.2130502545981</v>
      </c>
      <c r="P448" s="4">
        <f t="shared" si="47"/>
        <v>3092.2861914987898</v>
      </c>
      <c r="Q448" s="4">
        <f t="shared" si="48"/>
        <v>4934.4992417533877</v>
      </c>
      <c r="V448" s="3"/>
      <c r="W448" s="3"/>
      <c r="Y448" s="7"/>
      <c r="Z448" s="7"/>
      <c r="AA448" s="7"/>
      <c r="AB448" s="7"/>
      <c r="AC448" s="9"/>
      <c r="AD448" s="9"/>
      <c r="AE448" s="9"/>
      <c r="AF448" s="3"/>
      <c r="AG448" s="3"/>
      <c r="AH448" s="3"/>
      <c r="AJ448" t="s">
        <v>928</v>
      </c>
      <c r="AK448" t="s">
        <v>682</v>
      </c>
      <c r="AL448" s="11">
        <f>D436</f>
        <v>40829</v>
      </c>
      <c r="AM448" s="3">
        <f>SUM(E436,E451)</f>
        <v>69.800000000000011</v>
      </c>
      <c r="AN448" s="3">
        <f>(AM448-4*$A$20)*$A$21/(2*$A$22)*$A$23</f>
        <v>5048.6095367189355</v>
      </c>
      <c r="AO448" s="11">
        <f>G436</f>
        <v>40200</v>
      </c>
      <c r="AP448" s="7">
        <f>SUM(H436,H451)</f>
        <v>7.5</v>
      </c>
      <c r="AQ448" s="7">
        <f>SUM(I436,I451)</f>
        <v>14.36</v>
      </c>
      <c r="AR448" s="7">
        <f>SUM(J436,J451)</f>
        <v>6.68</v>
      </c>
      <c r="AS448" s="7">
        <f>SUM(K436,K451)</f>
        <v>11.52</v>
      </c>
      <c r="AT448" s="9">
        <f>(AR448-2*$A$25)/AQ448</f>
        <v>0.3203342618384401</v>
      </c>
      <c r="AU448" s="9">
        <f>(AS448-2*$A$26)/AQ448</f>
        <v>0.56545961002785516</v>
      </c>
      <c r="AV448" s="9">
        <f>1-AT448-AU448</f>
        <v>0.11420612813370468</v>
      </c>
      <c r="AW448" s="3">
        <f>AN448*AT448</f>
        <v>1617.2426092553692</v>
      </c>
      <c r="AX448" s="3">
        <f>AN448*AU448</f>
        <v>2854.7847798159996</v>
      </c>
      <c r="AY448" s="3">
        <f>AW448+AX448</f>
        <v>4472.0273890713688</v>
      </c>
    </row>
    <row r="449" spans="1:51" x14ac:dyDescent="0.25">
      <c r="A449">
        <v>416</v>
      </c>
      <c r="B449" s="1" t="s">
        <v>457</v>
      </c>
      <c r="C449" s="1" t="s">
        <v>682</v>
      </c>
      <c r="D449" s="2">
        <v>40829</v>
      </c>
      <c r="E449" s="3">
        <v>40.5</v>
      </c>
      <c r="F449" s="4">
        <f t="shared" si="42"/>
        <v>5912.146904025778</v>
      </c>
      <c r="G449" s="2">
        <v>40200</v>
      </c>
      <c r="H449" s="7">
        <v>3.96</v>
      </c>
      <c r="I449" s="7">
        <f>H449+H438-2*$A$24</f>
        <v>7.98</v>
      </c>
      <c r="J449" s="7">
        <v>3.74</v>
      </c>
      <c r="K449" s="7">
        <v>6.16</v>
      </c>
      <c r="L449" s="6">
        <f t="shared" si="43"/>
        <v>0.33834586466165412</v>
      </c>
      <c r="M449" s="6">
        <f t="shared" si="44"/>
        <v>0.55889724310776934</v>
      </c>
      <c r="N449" s="6">
        <f t="shared" si="45"/>
        <v>0.10275689223057649</v>
      </c>
      <c r="O449" s="4">
        <f t="shared" si="46"/>
        <v>2000.3504562493233</v>
      </c>
      <c r="P449" s="4">
        <f t="shared" si="47"/>
        <v>3304.2826055081409</v>
      </c>
      <c r="Q449" s="4">
        <f t="shared" si="48"/>
        <v>5304.633061757464</v>
      </c>
      <c r="V449" s="3"/>
      <c r="W449" s="3"/>
      <c r="Y449" s="7"/>
      <c r="Z449" s="7"/>
      <c r="AA449" s="7"/>
      <c r="AB449" s="7"/>
      <c r="AC449" s="9"/>
      <c r="AD449" s="9"/>
      <c r="AE449" s="9"/>
      <c r="AF449" s="3"/>
      <c r="AG449" s="3"/>
      <c r="AH449" s="3"/>
      <c r="AL449" s="11"/>
      <c r="AM449" s="3"/>
      <c r="AN449" s="3"/>
      <c r="AO449" s="11"/>
      <c r="AP449" s="7"/>
      <c r="AQ449" s="7"/>
      <c r="AR449" s="7"/>
      <c r="AS449" s="7"/>
      <c r="AT449" s="9"/>
      <c r="AU449" s="9"/>
      <c r="AV449" s="9"/>
      <c r="AW449" s="3"/>
      <c r="AX449" s="3"/>
      <c r="AY449" s="3"/>
    </row>
    <row r="450" spans="1:51" x14ac:dyDescent="0.25">
      <c r="A450">
        <v>417</v>
      </c>
      <c r="B450" s="1" t="s">
        <v>458</v>
      </c>
      <c r="C450" s="1" t="s">
        <v>682</v>
      </c>
      <c r="D450" s="2">
        <v>40829</v>
      </c>
      <c r="E450" s="3">
        <v>39.799999999999997</v>
      </c>
      <c r="F450" s="4">
        <f t="shared" si="42"/>
        <v>5804.2047331124222</v>
      </c>
      <c r="G450" s="2">
        <v>40200</v>
      </c>
      <c r="H450" s="7">
        <v>3.62</v>
      </c>
      <c r="I450" s="7">
        <f>H450+H437-2*$A$24</f>
        <v>6.4399999999999995</v>
      </c>
      <c r="J450" s="7">
        <v>3.18</v>
      </c>
      <c r="K450" s="7">
        <v>5.42</v>
      </c>
      <c r="L450" s="6">
        <f t="shared" si="43"/>
        <v>0.3322981366459628</v>
      </c>
      <c r="M450" s="6">
        <f t="shared" si="44"/>
        <v>0.57763975155279501</v>
      </c>
      <c r="N450" s="6">
        <f t="shared" si="45"/>
        <v>9.0062111801242239E-2</v>
      </c>
      <c r="O450" s="4">
        <f t="shared" si="46"/>
        <v>1928.7264175249356</v>
      </c>
      <c r="P450" s="4">
        <f t="shared" si="47"/>
        <v>3352.7393799966167</v>
      </c>
      <c r="Q450" s="4">
        <f t="shared" si="48"/>
        <v>5281.4657975215523</v>
      </c>
      <c r="V450" s="3"/>
      <c r="W450" s="3"/>
      <c r="Y450" s="7"/>
      <c r="Z450" s="7"/>
      <c r="AA450" s="7"/>
      <c r="AB450" s="7"/>
      <c r="AC450" s="9"/>
      <c r="AD450" s="9"/>
      <c r="AE450" s="9"/>
      <c r="AF450" s="3"/>
      <c r="AG450" s="3"/>
      <c r="AH450" s="3"/>
      <c r="AJ450" t="s">
        <v>929</v>
      </c>
      <c r="AK450" t="s">
        <v>682</v>
      </c>
      <c r="AL450" s="11">
        <f>D435</f>
        <v>40829</v>
      </c>
      <c r="AM450" s="3">
        <f>SUM(E435,E452)</f>
        <v>73.600000000000009</v>
      </c>
      <c r="AN450" s="3">
        <f>(AM450-4*$A$20)*$A$21/(2*$A$22)*$A$23</f>
        <v>5341.5954291980424</v>
      </c>
      <c r="AO450" s="11">
        <f>G435</f>
        <v>40200</v>
      </c>
      <c r="AP450" s="7">
        <f>SUM(H435,H452)</f>
        <v>7.3599999999999994</v>
      </c>
      <c r="AQ450" s="7">
        <f>SUM(I435,I452)</f>
        <v>14.079999999999998</v>
      </c>
      <c r="AR450" s="7">
        <f>SUM(J435,J452)</f>
        <v>6.84</v>
      </c>
      <c r="AS450" s="7">
        <f>SUM(K435,K452)</f>
        <v>11.52</v>
      </c>
      <c r="AT450" s="9">
        <f>(AR450-2*$A$25)/AQ450</f>
        <v>0.33806818181818182</v>
      </c>
      <c r="AU450" s="9">
        <f>(AS450-2*$A$26)/AQ450</f>
        <v>0.57670454545454541</v>
      </c>
      <c r="AV450" s="9">
        <f>1-AT450-AU450</f>
        <v>8.5227272727272707E-2</v>
      </c>
      <c r="AW450" s="3">
        <f>AN450*AT450</f>
        <v>1805.8234547572929</v>
      </c>
      <c r="AX450" s="3">
        <f>AN450*AU450</f>
        <v>3080.5223639977344</v>
      </c>
      <c r="AY450" s="3">
        <f>AW450+AX450</f>
        <v>4886.3458187550277</v>
      </c>
    </row>
    <row r="451" spans="1:51" x14ac:dyDescent="0.25">
      <c r="A451">
        <v>418</v>
      </c>
      <c r="B451" s="1" t="s">
        <v>459</v>
      </c>
      <c r="C451" s="1" t="s">
        <v>682</v>
      </c>
      <c r="D451" s="2">
        <v>40829</v>
      </c>
      <c r="E451" s="3">
        <v>35.700000000000003</v>
      </c>
      <c r="F451" s="4">
        <f t="shared" si="42"/>
        <v>5171.9720177627705</v>
      </c>
      <c r="G451" s="2">
        <v>40200</v>
      </c>
      <c r="H451" s="7">
        <v>3.34</v>
      </c>
      <c r="I451" s="7">
        <f>H451+H436-2*$A$24</f>
        <v>7.18</v>
      </c>
      <c r="J451" s="7">
        <v>3.34</v>
      </c>
      <c r="K451" s="7">
        <v>5.76</v>
      </c>
      <c r="L451" s="6">
        <f t="shared" si="43"/>
        <v>0.3203342618384401</v>
      </c>
      <c r="M451" s="6">
        <f t="shared" si="44"/>
        <v>0.56545961002785516</v>
      </c>
      <c r="N451" s="6">
        <f t="shared" si="45"/>
        <v>0.11420612813370468</v>
      </c>
      <c r="O451" s="4">
        <f t="shared" si="46"/>
        <v>1656.7598385591048</v>
      </c>
      <c r="P451" s="4">
        <f t="shared" si="47"/>
        <v>2924.5412802391156</v>
      </c>
      <c r="Q451" s="4">
        <f t="shared" si="48"/>
        <v>4581.3011187982202</v>
      </c>
      <c r="V451" s="3"/>
      <c r="W451" s="3"/>
      <c r="Y451" s="7"/>
      <c r="Z451" s="7"/>
      <c r="AA451" s="7"/>
      <c r="AB451" s="7"/>
      <c r="AC451" s="9"/>
      <c r="AD451" s="9"/>
      <c r="AE451" s="9"/>
      <c r="AF451" s="3"/>
      <c r="AG451" s="3"/>
      <c r="AH451" s="3"/>
      <c r="AL451" s="11"/>
      <c r="AM451" s="3"/>
      <c r="AN451" s="3"/>
      <c r="AO451" s="11"/>
      <c r="AP451" s="7"/>
      <c r="AQ451" s="7"/>
      <c r="AR451" s="7"/>
      <c r="AS451" s="7"/>
      <c r="AT451" s="9"/>
      <c r="AU451" s="9"/>
      <c r="AV451" s="9"/>
      <c r="AW451" s="3"/>
      <c r="AX451" s="3"/>
      <c r="AY451" s="3"/>
    </row>
    <row r="452" spans="1:51" x14ac:dyDescent="0.25">
      <c r="A452">
        <v>419</v>
      </c>
      <c r="B452" s="1" t="s">
        <v>460</v>
      </c>
      <c r="C452" s="1" t="s">
        <v>682</v>
      </c>
      <c r="D452" s="2">
        <v>40829</v>
      </c>
      <c r="E452" s="3">
        <v>38.700000000000003</v>
      </c>
      <c r="F452" s="4">
        <f t="shared" si="42"/>
        <v>5634.5813216771503</v>
      </c>
      <c r="G452" s="2">
        <v>40200</v>
      </c>
      <c r="H452" s="7">
        <v>4.26</v>
      </c>
      <c r="I452" s="7">
        <f>H452+H435-2*$A$24</f>
        <v>7.0399999999999991</v>
      </c>
      <c r="J452" s="7">
        <v>3.42</v>
      </c>
      <c r="K452" s="7">
        <v>5.76</v>
      </c>
      <c r="L452" s="6">
        <f t="shared" si="43"/>
        <v>0.33806818181818182</v>
      </c>
      <c r="M452" s="6">
        <f t="shared" si="44"/>
        <v>0.57670454545454541</v>
      </c>
      <c r="N452" s="6">
        <f t="shared" si="45"/>
        <v>8.5227272727272707E-2</v>
      </c>
      <c r="O452" s="4">
        <f t="shared" si="46"/>
        <v>1904.8726627260821</v>
      </c>
      <c r="P452" s="4">
        <f t="shared" si="47"/>
        <v>3249.4886599444926</v>
      </c>
      <c r="Q452" s="4">
        <f t="shared" si="48"/>
        <v>5154.3613226705747</v>
      </c>
      <c r="V452" s="3"/>
      <c r="W452" s="3"/>
      <c r="Y452" s="7"/>
      <c r="Z452" s="7"/>
      <c r="AA452" s="7"/>
      <c r="AB452" s="7"/>
      <c r="AC452" s="9"/>
      <c r="AD452" s="9"/>
      <c r="AE452" s="9"/>
      <c r="AF452" s="3"/>
      <c r="AG452" s="3"/>
      <c r="AH452" s="3"/>
      <c r="AJ452" t="s">
        <v>930</v>
      </c>
      <c r="AK452" t="s">
        <v>682</v>
      </c>
      <c r="AL452" s="11">
        <f>D434</f>
        <v>40829</v>
      </c>
      <c r="AM452" s="3">
        <f>SUM(E434,E453)</f>
        <v>63.5</v>
      </c>
      <c r="AN452" s="3">
        <f>(AM452-4*$A$20)*$A$21/(2*$A$22)*$A$23</f>
        <v>4562.8697676088359</v>
      </c>
      <c r="AO452" s="11">
        <f>G434</f>
        <v>40200</v>
      </c>
      <c r="AP452" s="7">
        <f>SUM(H434,H453)</f>
        <v>7.6400000000000006</v>
      </c>
      <c r="AQ452" s="7">
        <f>SUM(I434,I453)</f>
        <v>14.64</v>
      </c>
      <c r="AR452" s="7">
        <f>SUM(J434,J453)</f>
        <v>7</v>
      </c>
      <c r="AS452" s="7">
        <f>SUM(K434,K453)</f>
        <v>11.88</v>
      </c>
      <c r="AT452" s="9">
        <f>(AR452-2*$A$25)/AQ452</f>
        <v>0.33606557377049179</v>
      </c>
      <c r="AU452" s="9">
        <f>(AS452-2*$A$26)/AQ452</f>
        <v>0.57923497267759561</v>
      </c>
      <c r="AV452" s="9">
        <f>1-AT452-AU452</f>
        <v>8.4699453551912551E-2</v>
      </c>
      <c r="AW452" s="3">
        <f>AN452*AT452</f>
        <v>1533.4234464914939</v>
      </c>
      <c r="AX452" s="3">
        <f>AN452*AU452</f>
        <v>2642.9737451723313</v>
      </c>
      <c r="AY452" s="3">
        <f>AW452+AX452</f>
        <v>4176.3971916638257</v>
      </c>
    </row>
    <row r="453" spans="1:51" x14ac:dyDescent="0.25">
      <c r="A453">
        <v>420</v>
      </c>
      <c r="B453" s="1" t="s">
        <v>461</v>
      </c>
      <c r="C453" s="1" t="s">
        <v>682</v>
      </c>
      <c r="D453" s="2">
        <v>40829</v>
      </c>
      <c r="E453" s="3">
        <v>34.4</v>
      </c>
      <c r="F453" s="4">
        <f t="shared" si="42"/>
        <v>4971.5079860665373</v>
      </c>
      <c r="G453" s="2">
        <v>40200</v>
      </c>
      <c r="H453" s="7">
        <v>4.42</v>
      </c>
      <c r="I453" s="7">
        <f>H453+H434-2*$A$24</f>
        <v>7.32</v>
      </c>
      <c r="J453" s="7">
        <v>3.5</v>
      </c>
      <c r="K453" s="7">
        <v>5.94</v>
      </c>
      <c r="L453" s="6">
        <f t="shared" si="43"/>
        <v>0.33606557377049179</v>
      </c>
      <c r="M453" s="6">
        <f t="shared" si="44"/>
        <v>0.57923497267759561</v>
      </c>
      <c r="N453" s="6">
        <f t="shared" si="45"/>
        <v>8.4699453551912551E-2</v>
      </c>
      <c r="O453" s="4">
        <f t="shared" si="46"/>
        <v>1670.7526838420329</v>
      </c>
      <c r="P453" s="4">
        <f t="shared" si="47"/>
        <v>2879.6712924756989</v>
      </c>
      <c r="Q453" s="4">
        <f t="shared" si="48"/>
        <v>4550.423976317732</v>
      </c>
      <c r="V453" s="3"/>
      <c r="W453" s="3"/>
      <c r="Y453" s="7"/>
      <c r="Z453" s="7"/>
      <c r="AA453" s="7"/>
      <c r="AB453" s="7"/>
      <c r="AC453" s="9"/>
      <c r="AD453" s="9"/>
      <c r="AE453" s="9"/>
      <c r="AF453" s="3"/>
      <c r="AG453" s="3"/>
      <c r="AH453" s="3"/>
      <c r="AL453" s="11"/>
      <c r="AM453" s="3"/>
      <c r="AN453" s="3"/>
      <c r="AO453" s="11"/>
      <c r="AP453" s="7"/>
      <c r="AQ453" s="7"/>
      <c r="AR453" s="7"/>
      <c r="AS453" s="7"/>
      <c r="AT453" s="9"/>
      <c r="AU453" s="9"/>
      <c r="AV453" s="9"/>
      <c r="AW453" s="3"/>
      <c r="AX453" s="3"/>
      <c r="AY453" s="3"/>
    </row>
    <row r="454" spans="1:51" x14ac:dyDescent="0.25">
      <c r="A454">
        <v>421</v>
      </c>
      <c r="B454" s="1" t="s">
        <v>462</v>
      </c>
      <c r="C454" s="1" t="s">
        <v>682</v>
      </c>
      <c r="D454" s="2">
        <v>40829</v>
      </c>
      <c r="E454" s="3">
        <v>28.3</v>
      </c>
      <c r="F454" s="4">
        <f t="shared" si="42"/>
        <v>4030.869068107299</v>
      </c>
      <c r="G454" s="2">
        <v>40200</v>
      </c>
      <c r="H454" s="7">
        <v>3.68</v>
      </c>
      <c r="I454" s="7">
        <f>H454+H473-2*$A$24</f>
        <v>7.74</v>
      </c>
      <c r="J454" s="7">
        <v>3.72</v>
      </c>
      <c r="K454" s="7">
        <v>6.16</v>
      </c>
      <c r="L454" s="6">
        <f t="shared" si="43"/>
        <v>0.34625322997416019</v>
      </c>
      <c r="M454" s="6">
        <f t="shared" si="44"/>
        <v>0.57622739018087854</v>
      </c>
      <c r="N454" s="6">
        <f t="shared" si="45"/>
        <v>7.7519379844961267E-2</v>
      </c>
      <c r="O454" s="4">
        <f t="shared" si="46"/>
        <v>1395.7014344350853</v>
      </c>
      <c r="P454" s="4">
        <f t="shared" si="47"/>
        <v>2322.6971632762989</v>
      </c>
      <c r="Q454" s="4">
        <f t="shared" si="48"/>
        <v>3718.3985977113844</v>
      </c>
      <c r="V454" s="3"/>
      <c r="W454" s="3"/>
      <c r="Y454" s="7"/>
      <c r="Z454" s="7"/>
      <c r="AA454" s="7"/>
      <c r="AB454" s="7"/>
      <c r="AC454" s="9"/>
      <c r="AD454" s="9"/>
      <c r="AE454" s="9"/>
      <c r="AF454" s="3"/>
      <c r="AG454" s="3"/>
      <c r="AH454" s="3"/>
      <c r="AJ454" t="s">
        <v>931</v>
      </c>
      <c r="AK454" t="s">
        <v>682</v>
      </c>
      <c r="AL454" s="11">
        <f>D463</f>
        <v>40829</v>
      </c>
      <c r="AM454" s="3">
        <f>SUM(E463,E464)</f>
        <v>60.2</v>
      </c>
      <c r="AN454" s="3">
        <f>(AM454-4*$A$20)*$A$21/(2*$A$22)*$A$23</f>
        <v>4308.4346504559271</v>
      </c>
      <c r="AO454" s="11">
        <f>G463</f>
        <v>40200</v>
      </c>
      <c r="AP454" s="7">
        <f>SUM(H463,H464)</f>
        <v>6.36</v>
      </c>
      <c r="AQ454" s="7">
        <f>SUM(I463,I464)</f>
        <v>12.08</v>
      </c>
      <c r="AR454" s="7">
        <f>SUM(J463,J464)</f>
        <v>6.04</v>
      </c>
      <c r="AS454" s="7">
        <f>SUM(K463,K464)</f>
        <v>10</v>
      </c>
      <c r="AT454" s="9">
        <f>(AR454-2*$A$25)/AQ454</f>
        <v>0.32781456953642385</v>
      </c>
      <c r="AU454" s="9">
        <f>(AS454-2*$A$26)/AQ454</f>
        <v>0.54635761589403975</v>
      </c>
      <c r="AV454" s="9">
        <f>1-AT454-AU454</f>
        <v>0.1258278145695364</v>
      </c>
      <c r="AW454" s="3">
        <f>AN454*AT454</f>
        <v>1412.3676503150225</v>
      </c>
      <c r="AX454" s="3">
        <f>AN454*AU454</f>
        <v>2353.9460838583709</v>
      </c>
      <c r="AY454" s="3">
        <f>AW454+AX454</f>
        <v>3766.3137341733936</v>
      </c>
    </row>
    <row r="455" spans="1:51" x14ac:dyDescent="0.25">
      <c r="A455">
        <v>422</v>
      </c>
      <c r="B455" s="1" t="s">
        <v>463</v>
      </c>
      <c r="C455" s="1" t="s">
        <v>682</v>
      </c>
      <c r="D455" s="2">
        <v>40829</v>
      </c>
      <c r="E455" s="3">
        <v>36.9</v>
      </c>
      <c r="F455" s="4">
        <f t="shared" si="42"/>
        <v>5357.0157393285199</v>
      </c>
      <c r="G455" s="2">
        <v>40200</v>
      </c>
      <c r="H455" s="7">
        <v>3</v>
      </c>
      <c r="I455" s="7">
        <f>H455+H472-2*$A$24</f>
        <v>5.9599999999999991</v>
      </c>
      <c r="J455" s="7">
        <v>2.96</v>
      </c>
      <c r="K455" s="7">
        <v>5.0599999999999996</v>
      </c>
      <c r="L455" s="6">
        <f t="shared" si="43"/>
        <v>0.32214765100671144</v>
      </c>
      <c r="M455" s="6">
        <f t="shared" si="44"/>
        <v>0.56375838926174493</v>
      </c>
      <c r="N455" s="6">
        <f t="shared" si="45"/>
        <v>0.11409395973154368</v>
      </c>
      <c r="O455" s="4">
        <f t="shared" si="46"/>
        <v>1725.7500368306644</v>
      </c>
      <c r="P455" s="4">
        <f t="shared" si="47"/>
        <v>3020.0625644536622</v>
      </c>
      <c r="Q455" s="4">
        <f t="shared" si="48"/>
        <v>4745.8126012843268</v>
      </c>
      <c r="V455" s="3"/>
      <c r="W455" s="3"/>
      <c r="Y455" s="7"/>
      <c r="Z455" s="7"/>
      <c r="AA455" s="7"/>
      <c r="AB455" s="7"/>
      <c r="AC455" s="9"/>
      <c r="AD455" s="9"/>
      <c r="AE455" s="9"/>
      <c r="AF455" s="3"/>
      <c r="AG455" s="3"/>
      <c r="AH455" s="3"/>
      <c r="AL455" s="11"/>
      <c r="AM455" s="3"/>
      <c r="AN455" s="3"/>
      <c r="AO455" s="11"/>
      <c r="AP455" s="7"/>
      <c r="AQ455" s="7"/>
      <c r="AR455" s="7"/>
      <c r="AS455" s="7"/>
      <c r="AT455" s="9"/>
      <c r="AU455" s="9"/>
      <c r="AV455" s="9"/>
      <c r="AW455" s="3"/>
      <c r="AX455" s="3"/>
      <c r="AY455" s="3"/>
    </row>
    <row r="456" spans="1:51" x14ac:dyDescent="0.25">
      <c r="A456">
        <v>423</v>
      </c>
      <c r="B456" s="1" t="s">
        <v>464</v>
      </c>
      <c r="C456" s="1" t="s">
        <v>682</v>
      </c>
      <c r="D456" s="2">
        <v>40829</v>
      </c>
      <c r="E456" s="3">
        <v>37.5</v>
      </c>
      <c r="F456" s="4">
        <f t="shared" si="42"/>
        <v>5449.5376001113982</v>
      </c>
      <c r="G456" s="2">
        <v>40200</v>
      </c>
      <c r="H456" s="7">
        <v>3.9</v>
      </c>
      <c r="I456" s="7">
        <f>H456+H471-2*$A$24</f>
        <v>7.5399999999999991</v>
      </c>
      <c r="J456" s="7">
        <v>3.6</v>
      </c>
      <c r="K456" s="7">
        <v>6.08</v>
      </c>
      <c r="L456" s="6">
        <f t="shared" si="43"/>
        <v>0.33952254641909818</v>
      </c>
      <c r="M456" s="6">
        <f t="shared" si="44"/>
        <v>0.58090185676392581</v>
      </c>
      <c r="N456" s="6">
        <f t="shared" si="45"/>
        <v>7.9575596816976013E-2</v>
      </c>
      <c r="O456" s="4">
        <f t="shared" si="46"/>
        <v>1850.2408827964432</v>
      </c>
      <c r="P456" s="4">
        <f t="shared" si="47"/>
        <v>3165.6465104095396</v>
      </c>
      <c r="Q456" s="4">
        <f t="shared" si="48"/>
        <v>5015.8873932059832</v>
      </c>
      <c r="V456" s="3"/>
      <c r="W456" s="3"/>
      <c r="Y456" s="7"/>
      <c r="Z456" s="7"/>
      <c r="AA456" s="7"/>
      <c r="AB456" s="7"/>
      <c r="AC456" s="9"/>
      <c r="AD456" s="9"/>
      <c r="AE456" s="9"/>
      <c r="AF456" s="3"/>
      <c r="AG456" s="3"/>
      <c r="AH456" s="3"/>
      <c r="AJ456" t="s">
        <v>932</v>
      </c>
      <c r="AK456" t="s">
        <v>682</v>
      </c>
      <c r="AL456" s="11">
        <f>D462</f>
        <v>40829</v>
      </c>
      <c r="AM456" s="3">
        <f>SUM(E462,E465)</f>
        <v>69.099999999999994</v>
      </c>
      <c r="AN456" s="3">
        <f>(AM456-4*$A$20)*$A$21/(2*$A$22)*$A$23</f>
        <v>4994.6384512622571</v>
      </c>
      <c r="AO456" s="11">
        <f>G462</f>
        <v>40200</v>
      </c>
      <c r="AP456" s="7">
        <f>SUM(H462,H465)</f>
        <v>6.02</v>
      </c>
      <c r="AQ456" s="7">
        <f>SUM(I462,I465)</f>
        <v>11.399999999999999</v>
      </c>
      <c r="AR456" s="7">
        <f>SUM(J462,J465)</f>
        <v>6.04</v>
      </c>
      <c r="AS456" s="7">
        <f>SUM(K462,K465)</f>
        <v>10</v>
      </c>
      <c r="AT456" s="9">
        <f>(AR456-2*$A$25)/AQ456</f>
        <v>0.3473684210526316</v>
      </c>
      <c r="AU456" s="9">
        <f>(AS456-2*$A$26)/AQ456</f>
        <v>0.57894736842105265</v>
      </c>
      <c r="AV456" s="9">
        <f>1-AT456-AU456</f>
        <v>7.3684210526315796E-2</v>
      </c>
      <c r="AW456" s="3">
        <f>AN456*AT456</f>
        <v>1734.9796725437316</v>
      </c>
      <c r="AX456" s="3">
        <f>AN456*AU456</f>
        <v>2891.6327875728857</v>
      </c>
      <c r="AY456" s="3">
        <f>AW456+AX456</f>
        <v>4626.6124601166175</v>
      </c>
    </row>
    <row r="457" spans="1:51" x14ac:dyDescent="0.25">
      <c r="A457">
        <v>424</v>
      </c>
      <c r="B457" s="1" t="s">
        <v>465</v>
      </c>
      <c r="C457" s="1" t="s">
        <v>682</v>
      </c>
      <c r="D457" s="2">
        <v>40829</v>
      </c>
      <c r="E457" s="3">
        <v>38.200000000000003</v>
      </c>
      <c r="F457" s="4">
        <f t="shared" si="42"/>
        <v>5557.479771024754</v>
      </c>
      <c r="G457" s="2">
        <v>40200</v>
      </c>
      <c r="H457" s="7">
        <v>3.5</v>
      </c>
      <c r="I457" s="7">
        <f>H457+H470-2*$A$24</f>
        <v>7.4799999999999995</v>
      </c>
      <c r="J457" s="7">
        <v>3.46</v>
      </c>
      <c r="K457" s="7">
        <v>5.84</v>
      </c>
      <c r="L457" s="6">
        <f t="shared" si="43"/>
        <v>0.3235294117647059</v>
      </c>
      <c r="M457" s="6">
        <f t="shared" si="44"/>
        <v>0.553475935828877</v>
      </c>
      <c r="N457" s="6">
        <f t="shared" si="45"/>
        <v>0.12299465240641716</v>
      </c>
      <c r="O457" s="4">
        <f t="shared" si="46"/>
        <v>1798.0081612138911</v>
      </c>
      <c r="P457" s="4">
        <f t="shared" si="47"/>
        <v>3075.9313171179788</v>
      </c>
      <c r="Q457" s="4">
        <f t="shared" si="48"/>
        <v>4873.9394783318694</v>
      </c>
      <c r="V457" s="3"/>
      <c r="W457" s="3"/>
      <c r="Y457" s="7"/>
      <c r="Z457" s="7"/>
      <c r="AA457" s="7"/>
      <c r="AB457" s="7"/>
      <c r="AC457" s="9"/>
      <c r="AD457" s="9"/>
      <c r="AE457" s="9"/>
      <c r="AF457" s="3"/>
      <c r="AG457" s="3"/>
      <c r="AH457" s="3"/>
      <c r="AL457" s="11"/>
      <c r="AM457" s="3"/>
      <c r="AN457" s="3"/>
      <c r="AO457" s="11"/>
      <c r="AP457" s="7"/>
      <c r="AQ457" s="7"/>
      <c r="AR457" s="7"/>
      <c r="AS457" s="7"/>
      <c r="AT457" s="9"/>
      <c r="AU457" s="9"/>
      <c r="AV457" s="9"/>
      <c r="AW457" s="3"/>
      <c r="AX457" s="3"/>
      <c r="AY457" s="3"/>
    </row>
    <row r="458" spans="1:51" x14ac:dyDescent="0.25">
      <c r="A458">
        <v>425</v>
      </c>
      <c r="B458" s="1" t="s">
        <v>466</v>
      </c>
      <c r="C458" s="1" t="s">
        <v>682</v>
      </c>
      <c r="D458" s="2">
        <v>40829</v>
      </c>
      <c r="E458" s="3">
        <v>39.599999999999994</v>
      </c>
      <c r="F458" s="4">
        <f t="shared" si="42"/>
        <v>5773.3641128514637</v>
      </c>
      <c r="G458" s="2">
        <v>40200</v>
      </c>
      <c r="H458" s="7">
        <v>3.5</v>
      </c>
      <c r="I458" s="7">
        <f>H458+H469-2*$A$24</f>
        <v>7.66</v>
      </c>
      <c r="J458" s="7">
        <v>3.64</v>
      </c>
      <c r="K458" s="7">
        <v>6.12</v>
      </c>
      <c r="L458" s="6">
        <f t="shared" si="43"/>
        <v>0.33942558746736295</v>
      </c>
      <c r="M458" s="6">
        <f t="shared" si="44"/>
        <v>0.57702349869451697</v>
      </c>
      <c r="N458" s="6">
        <f t="shared" si="45"/>
        <v>8.3550913838120078E-2</v>
      </c>
      <c r="O458" s="4">
        <f t="shared" si="46"/>
        <v>1959.6275056675988</v>
      </c>
      <c r="P458" s="4">
        <f t="shared" si="47"/>
        <v>3331.3667596349178</v>
      </c>
      <c r="Q458" s="4">
        <f t="shared" si="48"/>
        <v>5290.9942653025164</v>
      </c>
      <c r="V458" s="3"/>
      <c r="W458" s="3"/>
      <c r="Y458" s="7"/>
      <c r="Z458" s="7"/>
      <c r="AA458" s="7"/>
      <c r="AB458" s="7"/>
      <c r="AC458" s="9"/>
      <c r="AD458" s="9"/>
      <c r="AE458" s="9"/>
      <c r="AF458" s="3"/>
      <c r="AG458" s="3"/>
      <c r="AH458" s="3"/>
      <c r="AJ458" t="s">
        <v>933</v>
      </c>
      <c r="AK458" t="s">
        <v>682</v>
      </c>
      <c r="AL458" s="11">
        <f>D461</f>
        <v>40829</v>
      </c>
      <c r="AM458" s="3">
        <f>SUM(E461,E466)</f>
        <v>78</v>
      </c>
      <c r="AN458" s="3">
        <f>(AM458-4*$A$20)*$A$21/(2*$A$22)*$A$23</f>
        <v>5680.8422520685872</v>
      </c>
      <c r="AO458" s="11">
        <f>G461</f>
        <v>40200</v>
      </c>
      <c r="AP458" s="7">
        <f>SUM(H461,H466)</f>
        <v>8.5</v>
      </c>
      <c r="AQ458" s="7">
        <f>SUM(I461,I466)</f>
        <v>16.36</v>
      </c>
      <c r="AR458" s="7">
        <f>SUM(J461,J466)</f>
        <v>7.48</v>
      </c>
      <c r="AS458" s="7">
        <f>SUM(K461,K466)</f>
        <v>12.48</v>
      </c>
      <c r="AT458" s="9">
        <f>(AR458-2*$A$25)/AQ458</f>
        <v>0.33007334963325186</v>
      </c>
      <c r="AU458" s="9">
        <f>(AS458-2*$A$26)/AQ458</f>
        <v>0.55501222493887536</v>
      </c>
      <c r="AV458" s="9">
        <f>1-AT458-AU458</f>
        <v>0.11491442542787278</v>
      </c>
      <c r="AW458" s="3">
        <f>AN458*AT458</f>
        <v>1875.0946308783846</v>
      </c>
      <c r="AX458" s="3">
        <f>AN458*AU458</f>
        <v>3152.9368978473581</v>
      </c>
      <c r="AY458" s="3">
        <f>AW458+AX458</f>
        <v>5028.0315287257426</v>
      </c>
    </row>
    <row r="459" spans="1:51" x14ac:dyDescent="0.25">
      <c r="A459">
        <v>426</v>
      </c>
      <c r="B459" s="1" t="s">
        <v>467</v>
      </c>
      <c r="C459" s="1" t="s">
        <v>682</v>
      </c>
      <c r="D459" s="2">
        <v>40829</v>
      </c>
      <c r="E459" s="3">
        <v>36.700000000000003</v>
      </c>
      <c r="F459" s="4">
        <f t="shared" si="42"/>
        <v>5326.1751190675632</v>
      </c>
      <c r="G459" s="2">
        <v>40200</v>
      </c>
      <c r="H459" s="7">
        <v>3.18</v>
      </c>
      <c r="I459" s="7">
        <f>H459+H468-2*$A$24</f>
        <v>6.5</v>
      </c>
      <c r="J459" s="7">
        <v>3.32</v>
      </c>
      <c r="K459" s="7">
        <v>5.32</v>
      </c>
      <c r="L459" s="6">
        <f t="shared" si="43"/>
        <v>0.35076923076923072</v>
      </c>
      <c r="M459" s="6">
        <f t="shared" si="44"/>
        <v>0.55692307692307697</v>
      </c>
      <c r="N459" s="6">
        <f t="shared" si="45"/>
        <v>9.2307692307692313E-2</v>
      </c>
      <c r="O459" s="4">
        <f t="shared" si="46"/>
        <v>1868.2583494575449</v>
      </c>
      <c r="P459" s="4">
        <f t="shared" si="47"/>
        <v>2966.2698355422431</v>
      </c>
      <c r="Q459" s="4">
        <f t="shared" si="48"/>
        <v>4834.5281849997882</v>
      </c>
      <c r="V459" s="3"/>
      <c r="W459" s="3"/>
      <c r="Y459" s="7"/>
      <c r="Z459" s="7"/>
      <c r="AA459" s="7"/>
      <c r="AB459" s="7"/>
      <c r="AC459" s="9"/>
      <c r="AD459" s="9"/>
      <c r="AE459" s="9"/>
      <c r="AF459" s="3"/>
      <c r="AG459" s="3"/>
      <c r="AH459" s="3"/>
      <c r="AL459" s="11"/>
      <c r="AM459" s="3"/>
      <c r="AN459" s="3"/>
      <c r="AO459" s="11"/>
      <c r="AP459" s="7"/>
      <c r="AQ459" s="7"/>
      <c r="AR459" s="7"/>
      <c r="AS459" s="7"/>
      <c r="AT459" s="9"/>
      <c r="AU459" s="9"/>
      <c r="AV459" s="9"/>
      <c r="AW459" s="3"/>
      <c r="AX459" s="3"/>
      <c r="AY459" s="3"/>
    </row>
    <row r="460" spans="1:51" x14ac:dyDescent="0.25">
      <c r="A460">
        <v>427</v>
      </c>
      <c r="B460" s="1" t="s">
        <v>468</v>
      </c>
      <c r="C460" s="1" t="s">
        <v>682</v>
      </c>
      <c r="D460" s="2">
        <v>40829</v>
      </c>
      <c r="E460" s="3">
        <v>42.3</v>
      </c>
      <c r="F460" s="4">
        <f t="shared" si="42"/>
        <v>6189.7124863744057</v>
      </c>
      <c r="G460" s="2">
        <v>40200</v>
      </c>
      <c r="H460" s="7">
        <v>3.46</v>
      </c>
      <c r="I460" s="7">
        <f>H460+H467-2*$A$24</f>
        <v>6.58</v>
      </c>
      <c r="J460" s="7">
        <v>3.24</v>
      </c>
      <c r="K460" s="7">
        <v>5.48</v>
      </c>
      <c r="L460" s="6">
        <f t="shared" si="43"/>
        <v>0.33434650455927056</v>
      </c>
      <c r="M460" s="6">
        <f t="shared" si="44"/>
        <v>0.57446808510638303</v>
      </c>
      <c r="N460" s="6">
        <f t="shared" si="45"/>
        <v>9.1185410334346351E-2</v>
      </c>
      <c r="O460" s="4">
        <f t="shared" si="46"/>
        <v>2069.5087340461541</v>
      </c>
      <c r="P460" s="4">
        <f t="shared" si="47"/>
        <v>3555.7922794065739</v>
      </c>
      <c r="Q460" s="4">
        <f t="shared" si="48"/>
        <v>5625.3010134527285</v>
      </c>
      <c r="V460" s="3"/>
      <c r="W460" s="3"/>
      <c r="Y460" s="7"/>
      <c r="Z460" s="7"/>
      <c r="AA460" s="7"/>
      <c r="AB460" s="7"/>
      <c r="AC460" s="9"/>
      <c r="AD460" s="9"/>
      <c r="AE460" s="9"/>
      <c r="AF460" s="3"/>
      <c r="AG460" s="3"/>
      <c r="AH460" s="3"/>
      <c r="AJ460" t="s">
        <v>934</v>
      </c>
      <c r="AK460" t="s">
        <v>682</v>
      </c>
      <c r="AL460" s="11">
        <f>D460</f>
        <v>40829</v>
      </c>
      <c r="AM460" s="3">
        <f>SUM(E460,E467)</f>
        <v>82.199999999999989</v>
      </c>
      <c r="AN460" s="3">
        <f>(AM460-4*$A$20)*$A$21/(2*$A$22)*$A$23</f>
        <v>6004.6687648086527</v>
      </c>
      <c r="AO460" s="11">
        <f>G460</f>
        <v>40200</v>
      </c>
      <c r="AP460" s="7">
        <f>SUM(H460,H467)</f>
        <v>6.9</v>
      </c>
      <c r="AQ460" s="7">
        <f>SUM(I460,I467)</f>
        <v>13.16</v>
      </c>
      <c r="AR460" s="7">
        <f>SUM(J460,J467)</f>
        <v>6.48</v>
      </c>
      <c r="AS460" s="7">
        <f>SUM(K460,K467)</f>
        <v>10.96</v>
      </c>
      <c r="AT460" s="9">
        <f>(AR460-2*$A$25)/AQ460</f>
        <v>0.33434650455927056</v>
      </c>
      <c r="AU460" s="9">
        <f>(AS460-2*$A$26)/AQ460</f>
        <v>0.57446808510638303</v>
      </c>
      <c r="AV460" s="9">
        <f>1-AT460-AU460</f>
        <v>9.1185410334346351E-2</v>
      </c>
      <c r="AW460" s="3">
        <f>AN460*AT460</f>
        <v>2007.6400125500056</v>
      </c>
      <c r="AX460" s="3">
        <f>AN460*AU460</f>
        <v>3449.4905670177368</v>
      </c>
      <c r="AY460" s="3">
        <f>AW460+AX460</f>
        <v>5457.1305795677426</v>
      </c>
    </row>
    <row r="461" spans="1:51" x14ac:dyDescent="0.25">
      <c r="A461">
        <v>428</v>
      </c>
      <c r="B461" s="1" t="s">
        <v>469</v>
      </c>
      <c r="C461" s="1" t="s">
        <v>682</v>
      </c>
      <c r="D461" s="2">
        <v>40829</v>
      </c>
      <c r="E461" s="3">
        <v>38.5</v>
      </c>
      <c r="F461" s="4">
        <f t="shared" si="42"/>
        <v>5603.7407014161909</v>
      </c>
      <c r="G461" s="2">
        <v>40200</v>
      </c>
      <c r="H461" s="7">
        <v>4.4400000000000004</v>
      </c>
      <c r="I461" s="7">
        <f>H461+H466-2*$A$24</f>
        <v>8.18</v>
      </c>
      <c r="J461" s="7">
        <v>3.74</v>
      </c>
      <c r="K461" s="7">
        <v>6.24</v>
      </c>
      <c r="L461" s="6">
        <f t="shared" si="43"/>
        <v>0.33007334963325186</v>
      </c>
      <c r="M461" s="6">
        <f t="shared" si="44"/>
        <v>0.55501222493887536</v>
      </c>
      <c r="N461" s="6">
        <f t="shared" si="45"/>
        <v>0.11491442542787278</v>
      </c>
      <c r="O461" s="4">
        <f t="shared" si="46"/>
        <v>1849.6454637926304</v>
      </c>
      <c r="P461" s="4">
        <f t="shared" si="47"/>
        <v>3110.1445946735344</v>
      </c>
      <c r="Q461" s="4">
        <f t="shared" si="48"/>
        <v>4959.7900584661647</v>
      </c>
      <c r="V461" s="3"/>
      <c r="W461" s="3"/>
      <c r="Y461" s="7"/>
      <c r="Z461" s="7"/>
      <c r="AA461" s="7"/>
      <c r="AB461" s="7"/>
      <c r="AC461" s="9"/>
      <c r="AD461" s="9"/>
      <c r="AE461" s="9"/>
      <c r="AF461" s="3"/>
      <c r="AG461" s="3"/>
      <c r="AH461" s="3"/>
      <c r="AL461" s="11"/>
      <c r="AM461" s="3"/>
      <c r="AN461" s="3"/>
      <c r="AO461" s="11"/>
      <c r="AP461" s="7"/>
      <c r="AQ461" s="7"/>
      <c r="AR461" s="7"/>
      <c r="AS461" s="7"/>
      <c r="AT461" s="9"/>
      <c r="AU461" s="9"/>
      <c r="AV461" s="9"/>
      <c r="AW461" s="3"/>
      <c r="AX461" s="3"/>
      <c r="AY461" s="3"/>
    </row>
    <row r="462" spans="1:51" x14ac:dyDescent="0.25">
      <c r="A462">
        <v>429</v>
      </c>
      <c r="B462" s="1" t="s">
        <v>470</v>
      </c>
      <c r="C462" s="1" t="s">
        <v>682</v>
      </c>
      <c r="D462" s="2">
        <v>40829</v>
      </c>
      <c r="E462" s="3">
        <v>36</v>
      </c>
      <c r="F462" s="4">
        <f t="shared" si="42"/>
        <v>5218.2329481542074</v>
      </c>
      <c r="G462" s="2">
        <v>40200</v>
      </c>
      <c r="H462" s="7">
        <v>2.88</v>
      </c>
      <c r="I462" s="7">
        <f>H462+H465-2*$A$24</f>
        <v>5.6999999999999993</v>
      </c>
      <c r="J462" s="7">
        <v>3.02</v>
      </c>
      <c r="K462" s="7">
        <v>5</v>
      </c>
      <c r="L462" s="6">
        <f t="shared" si="43"/>
        <v>0.3473684210526316</v>
      </c>
      <c r="M462" s="6">
        <f t="shared" si="44"/>
        <v>0.57894736842105265</v>
      </c>
      <c r="N462" s="6">
        <f t="shared" si="45"/>
        <v>7.3684210526315796E-2</v>
      </c>
      <c r="O462" s="4">
        <f t="shared" si="46"/>
        <v>1812.6493398851458</v>
      </c>
      <c r="P462" s="4">
        <f t="shared" si="47"/>
        <v>3021.0822331419095</v>
      </c>
      <c r="Q462" s="4">
        <f t="shared" si="48"/>
        <v>4833.7315730270548</v>
      </c>
      <c r="V462" s="3"/>
      <c r="W462" s="3"/>
      <c r="Y462" s="7"/>
      <c r="Z462" s="7"/>
      <c r="AA462" s="7"/>
      <c r="AB462" s="7"/>
      <c r="AC462" s="9"/>
      <c r="AD462" s="9"/>
      <c r="AE462" s="9"/>
      <c r="AF462" s="3"/>
      <c r="AG462" s="3"/>
      <c r="AH462" s="3"/>
      <c r="AJ462" t="s">
        <v>935</v>
      </c>
      <c r="AK462" t="s">
        <v>682</v>
      </c>
      <c r="AL462" s="11">
        <f>D459</f>
        <v>40829</v>
      </c>
      <c r="AM462" s="3">
        <f>SUM(E459,E468)</f>
        <v>70.5</v>
      </c>
      <c r="AN462" s="3">
        <f>(AM462-4*$A$20)*$A$21/(2*$A$22)*$A$23</f>
        <v>5102.5806221756129</v>
      </c>
      <c r="AO462" s="11">
        <f>G459</f>
        <v>40200</v>
      </c>
      <c r="AP462" s="7">
        <f>SUM(H459,H468)</f>
        <v>6.82</v>
      </c>
      <c r="AQ462" s="7">
        <f>SUM(I459,I468)</f>
        <v>13</v>
      </c>
      <c r="AR462" s="7">
        <f>SUM(J459,J468)</f>
        <v>6.64</v>
      </c>
      <c r="AS462" s="7">
        <f>SUM(K459,K468)</f>
        <v>10.64</v>
      </c>
      <c r="AT462" s="9">
        <f>(AR462-2*$A$25)/AQ462</f>
        <v>0.35076923076923072</v>
      </c>
      <c r="AU462" s="9">
        <f>(AS462-2*$A$26)/AQ462</f>
        <v>0.55692307692307697</v>
      </c>
      <c r="AV462" s="9">
        <f>1-AT462-AU462</f>
        <v>9.2307692307692313E-2</v>
      </c>
      <c r="AW462" s="3">
        <f>AN462*AT462</f>
        <v>1789.8282797785225</v>
      </c>
      <c r="AX462" s="3">
        <f>AN462*AU462</f>
        <v>2841.7449003501106</v>
      </c>
      <c r="AY462" s="3">
        <f>AW462+AX462</f>
        <v>4631.5731801286329</v>
      </c>
    </row>
    <row r="463" spans="1:51" x14ac:dyDescent="0.25">
      <c r="A463">
        <v>430</v>
      </c>
      <c r="B463" s="1" t="s">
        <v>471</v>
      </c>
      <c r="C463" s="1" t="s">
        <v>682</v>
      </c>
      <c r="D463" s="2">
        <v>40829</v>
      </c>
      <c r="E463" s="3">
        <v>31.9</v>
      </c>
      <c r="F463" s="4">
        <f t="shared" si="42"/>
        <v>4586.0002328045539</v>
      </c>
      <c r="G463" s="2">
        <v>40200</v>
      </c>
      <c r="H463" s="7">
        <v>3.24</v>
      </c>
      <c r="I463" s="7">
        <f>H463+H464-2*$A$24</f>
        <v>6.04</v>
      </c>
      <c r="J463" s="7">
        <v>3.02</v>
      </c>
      <c r="K463" s="7">
        <v>5</v>
      </c>
      <c r="L463" s="6">
        <f t="shared" si="43"/>
        <v>0.32781456953642385</v>
      </c>
      <c r="M463" s="6">
        <f t="shared" si="44"/>
        <v>0.54635761589403975</v>
      </c>
      <c r="N463" s="6">
        <f t="shared" si="45"/>
        <v>0.1258278145695364</v>
      </c>
      <c r="O463" s="4">
        <f t="shared" si="46"/>
        <v>1503.3576922107643</v>
      </c>
      <c r="P463" s="4">
        <f t="shared" si="47"/>
        <v>2505.5961536846075</v>
      </c>
      <c r="Q463" s="4">
        <f t="shared" si="48"/>
        <v>4008.9538458953721</v>
      </c>
      <c r="V463" s="3"/>
      <c r="W463" s="3"/>
      <c r="Y463" s="7"/>
      <c r="Z463" s="7"/>
      <c r="AA463" s="7"/>
      <c r="AB463" s="7"/>
      <c r="AC463" s="9"/>
      <c r="AD463" s="9"/>
      <c r="AE463" s="9"/>
      <c r="AF463" s="3"/>
      <c r="AG463" s="3"/>
      <c r="AH463" s="3"/>
      <c r="AL463" s="11"/>
      <c r="AM463" s="3"/>
      <c r="AN463" s="3"/>
      <c r="AO463" s="11"/>
      <c r="AP463" s="7"/>
      <c r="AQ463" s="7"/>
      <c r="AR463" s="7"/>
      <c r="AS463" s="7"/>
      <c r="AT463" s="9"/>
      <c r="AU463" s="9"/>
      <c r="AV463" s="9"/>
      <c r="AW463" s="3"/>
      <c r="AX463" s="3"/>
      <c r="AY463" s="3"/>
    </row>
    <row r="464" spans="1:51" x14ac:dyDescent="0.25">
      <c r="A464">
        <v>431</v>
      </c>
      <c r="B464" s="1" t="s">
        <v>472</v>
      </c>
      <c r="C464" s="1" t="s">
        <v>682</v>
      </c>
      <c r="D464" s="2">
        <v>40829</v>
      </c>
      <c r="E464" s="3">
        <v>28.3</v>
      </c>
      <c r="F464" s="4">
        <f t="shared" si="42"/>
        <v>4030.869068107299</v>
      </c>
      <c r="G464" s="2">
        <v>40200</v>
      </c>
      <c r="H464" s="7">
        <v>3.12</v>
      </c>
      <c r="I464" s="7">
        <f>H464+H463-2*$A$24</f>
        <v>6.04</v>
      </c>
      <c r="J464" s="7">
        <v>3.02</v>
      </c>
      <c r="K464" s="7">
        <v>5</v>
      </c>
      <c r="L464" s="6">
        <f t="shared" si="43"/>
        <v>0.32781456953642385</v>
      </c>
      <c r="M464" s="6">
        <f t="shared" si="44"/>
        <v>0.54635761589403975</v>
      </c>
      <c r="N464" s="6">
        <f t="shared" si="45"/>
        <v>0.1258278145695364</v>
      </c>
      <c r="O464" s="4">
        <f t="shared" si="46"/>
        <v>1321.3776084192803</v>
      </c>
      <c r="P464" s="4">
        <f t="shared" si="47"/>
        <v>2202.2960140321338</v>
      </c>
      <c r="Q464" s="4">
        <f t="shared" si="48"/>
        <v>3523.6736224514143</v>
      </c>
      <c r="V464" s="3"/>
      <c r="W464" s="3"/>
      <c r="Y464" s="7"/>
      <c r="Z464" s="7"/>
      <c r="AA464" s="7"/>
      <c r="AB464" s="7"/>
      <c r="AC464" s="9"/>
      <c r="AD464" s="9"/>
      <c r="AE464" s="9"/>
      <c r="AF464" s="3"/>
      <c r="AG464" s="3"/>
      <c r="AH464" s="3"/>
      <c r="AJ464" t="s">
        <v>936</v>
      </c>
      <c r="AK464" t="s">
        <v>682</v>
      </c>
      <c r="AL464" s="11">
        <f>D458</f>
        <v>40829</v>
      </c>
      <c r="AM464" s="3">
        <f>SUM(E458,E469)</f>
        <v>77.8</v>
      </c>
      <c r="AN464" s="3">
        <f>(AM464-4*$A$20)*$A$21/(2*$A$22)*$A$23</f>
        <v>5665.421941938107</v>
      </c>
      <c r="AO464" s="11">
        <f>G458</f>
        <v>40200</v>
      </c>
      <c r="AP464" s="7">
        <f>SUM(H458,H469)</f>
        <v>7.98</v>
      </c>
      <c r="AQ464" s="7">
        <f>SUM(I458,I469)</f>
        <v>15.32</v>
      </c>
      <c r="AR464" s="7">
        <f>SUM(J458,J469)</f>
        <v>7.28</v>
      </c>
      <c r="AS464" s="7">
        <f>SUM(K458,K469)</f>
        <v>12.24</v>
      </c>
      <c r="AT464" s="9">
        <f>(AR464-2*$A$25)/AQ464</f>
        <v>0.33942558746736295</v>
      </c>
      <c r="AU464" s="9">
        <f>(AS464-2*$A$26)/AQ464</f>
        <v>0.57702349869451697</v>
      </c>
      <c r="AV464" s="9">
        <f>1-AT464-AU464</f>
        <v>8.3550913838120078E-2</v>
      </c>
      <c r="AW464" s="3">
        <f>AN464*AT464</f>
        <v>1922.9891708928303</v>
      </c>
      <c r="AX464" s="3">
        <f>AN464*AU464</f>
        <v>3269.081590517811</v>
      </c>
      <c r="AY464" s="3">
        <f>AW464+AX464</f>
        <v>5192.0707614106414</v>
      </c>
    </row>
    <row r="465" spans="1:51" x14ac:dyDescent="0.25">
      <c r="A465">
        <v>432</v>
      </c>
      <c r="B465" s="1" t="s">
        <v>473</v>
      </c>
      <c r="C465" s="1" t="s">
        <v>682</v>
      </c>
      <c r="D465" s="2">
        <v>40829</v>
      </c>
      <c r="E465" s="3">
        <v>33.1</v>
      </c>
      <c r="F465" s="4">
        <f t="shared" si="42"/>
        <v>4771.0439543703069</v>
      </c>
      <c r="G465" s="2">
        <v>40200</v>
      </c>
      <c r="H465" s="7">
        <v>3.14</v>
      </c>
      <c r="I465" s="7">
        <f>H465+H462-2*$A$24</f>
        <v>5.6999999999999993</v>
      </c>
      <c r="J465" s="7">
        <v>3.02</v>
      </c>
      <c r="K465" s="7">
        <v>5</v>
      </c>
      <c r="L465" s="6">
        <f t="shared" si="43"/>
        <v>0.3473684210526316</v>
      </c>
      <c r="M465" s="6">
        <f t="shared" si="44"/>
        <v>0.57894736842105265</v>
      </c>
      <c r="N465" s="6">
        <f t="shared" si="45"/>
        <v>7.3684210526315796E-2</v>
      </c>
      <c r="O465" s="4">
        <f t="shared" si="46"/>
        <v>1657.3100052023171</v>
      </c>
      <c r="P465" s="4">
        <f t="shared" si="47"/>
        <v>2762.183342003862</v>
      </c>
      <c r="Q465" s="4">
        <f t="shared" si="48"/>
        <v>4419.4933472061794</v>
      </c>
      <c r="V465" s="3"/>
      <c r="W465" s="3"/>
      <c r="Y465" s="7"/>
      <c r="Z465" s="7"/>
      <c r="AA465" s="7"/>
      <c r="AB465" s="7"/>
      <c r="AC465" s="9"/>
      <c r="AD465" s="9"/>
      <c r="AE465" s="9"/>
      <c r="AF465" s="3"/>
      <c r="AG465" s="3"/>
      <c r="AH465" s="3"/>
      <c r="AL465" s="11"/>
      <c r="AM465" s="3"/>
      <c r="AN465" s="3"/>
      <c r="AO465" s="11"/>
      <c r="AP465" s="7"/>
      <c r="AQ465" s="7"/>
      <c r="AR465" s="7"/>
      <c r="AS465" s="7"/>
      <c r="AT465" s="9"/>
      <c r="AU465" s="9"/>
      <c r="AV465" s="9"/>
      <c r="AW465" s="3"/>
      <c r="AX465" s="3"/>
      <c r="AY465" s="3"/>
    </row>
    <row r="466" spans="1:51" x14ac:dyDescent="0.25">
      <c r="A466">
        <v>433</v>
      </c>
      <c r="B466" s="1" t="s">
        <v>474</v>
      </c>
      <c r="C466" s="1" t="s">
        <v>682</v>
      </c>
      <c r="D466" s="2">
        <v>40829</v>
      </c>
      <c r="E466" s="3">
        <v>39.5</v>
      </c>
      <c r="F466" s="4">
        <f t="shared" si="42"/>
        <v>5757.9438027209835</v>
      </c>
      <c r="G466" s="2">
        <v>40200</v>
      </c>
      <c r="H466" s="7">
        <v>4.0599999999999996</v>
      </c>
      <c r="I466" s="7">
        <f>H466+H461-2*$A$24</f>
        <v>8.18</v>
      </c>
      <c r="J466" s="7">
        <v>3.74</v>
      </c>
      <c r="K466" s="7">
        <v>6.24</v>
      </c>
      <c r="L466" s="6">
        <f t="shared" si="43"/>
        <v>0.33007334963325186</v>
      </c>
      <c r="M466" s="6">
        <f t="shared" si="44"/>
        <v>0.55501222493887536</v>
      </c>
      <c r="N466" s="6">
        <f t="shared" si="45"/>
        <v>0.11491442542787278</v>
      </c>
      <c r="O466" s="4">
        <f t="shared" si="46"/>
        <v>1900.543797964139</v>
      </c>
      <c r="P466" s="4">
        <f t="shared" si="47"/>
        <v>3195.7292010211818</v>
      </c>
      <c r="Q466" s="4">
        <f t="shared" si="48"/>
        <v>5096.2729989853206</v>
      </c>
      <c r="V466" s="3"/>
      <c r="W466" s="3"/>
      <c r="Y466" s="7"/>
      <c r="Z466" s="7"/>
      <c r="AA466" s="7"/>
      <c r="AB466" s="7"/>
      <c r="AC466" s="9"/>
      <c r="AD466" s="9"/>
      <c r="AE466" s="9"/>
      <c r="AF466" s="3"/>
      <c r="AG466" s="3"/>
      <c r="AH466" s="3"/>
      <c r="AJ466" t="s">
        <v>937</v>
      </c>
      <c r="AK466" t="s">
        <v>682</v>
      </c>
      <c r="AL466" s="11">
        <f>D457</f>
        <v>40829</v>
      </c>
      <c r="AM466" s="3">
        <f>SUM(E457,E470)</f>
        <v>75.400000000000006</v>
      </c>
      <c r="AN466" s="3">
        <f>(AM466-4*$A$20)*$A$21/(2*$A$22)*$A$23</f>
        <v>5480.3782203723576</v>
      </c>
      <c r="AO466" s="11">
        <f>G457</f>
        <v>40200</v>
      </c>
      <c r="AP466" s="7">
        <f>SUM(H457,H470)</f>
        <v>7.8</v>
      </c>
      <c r="AQ466" s="7">
        <f>SUM(I457,I470)</f>
        <v>14.959999999999999</v>
      </c>
      <c r="AR466" s="7">
        <f>SUM(J457,J470)</f>
        <v>6.92</v>
      </c>
      <c r="AS466" s="7">
        <f>SUM(K457,K470)</f>
        <v>11.68</v>
      </c>
      <c r="AT466" s="9">
        <f>(AR466-2*$A$25)/AQ466</f>
        <v>0.3235294117647059</v>
      </c>
      <c r="AU466" s="9">
        <f>(AS466-2*$A$26)/AQ466</f>
        <v>0.553475935828877</v>
      </c>
      <c r="AV466" s="9">
        <f>1-AT466-AU466</f>
        <v>0.12299465240641716</v>
      </c>
      <c r="AW466" s="3">
        <f>AN466*AT466</f>
        <v>1773.0635418851746</v>
      </c>
      <c r="AX466" s="3">
        <f>AN466*AU466</f>
        <v>3033.257464216786</v>
      </c>
      <c r="AY466" s="3">
        <f>AW466+AX466</f>
        <v>4806.3210061019608</v>
      </c>
    </row>
    <row r="467" spans="1:51" x14ac:dyDescent="0.25">
      <c r="A467">
        <v>434</v>
      </c>
      <c r="B467" s="1" t="s">
        <v>475</v>
      </c>
      <c r="C467" s="1" t="s">
        <v>682</v>
      </c>
      <c r="D467" s="2">
        <v>40829</v>
      </c>
      <c r="E467" s="3">
        <v>39.9</v>
      </c>
      <c r="F467" s="4">
        <f t="shared" si="42"/>
        <v>5819.6250432429006</v>
      </c>
      <c r="G467" s="2">
        <v>40200</v>
      </c>
      <c r="H467" s="7">
        <v>3.44</v>
      </c>
      <c r="I467" s="7">
        <f>H467+H460-2*$A$24</f>
        <v>6.58</v>
      </c>
      <c r="J467" s="7">
        <v>3.24</v>
      </c>
      <c r="K467" s="7">
        <v>5.48</v>
      </c>
      <c r="L467" s="6">
        <f t="shared" si="43"/>
        <v>0.33434650455927056</v>
      </c>
      <c r="M467" s="6">
        <f t="shared" si="44"/>
        <v>0.57446808510638303</v>
      </c>
      <c r="N467" s="6">
        <f t="shared" si="45"/>
        <v>9.1185410334346351E-2</v>
      </c>
      <c r="O467" s="4">
        <f t="shared" si="46"/>
        <v>1945.7712910538576</v>
      </c>
      <c r="P467" s="4">
        <f t="shared" si="47"/>
        <v>3343.1888546289006</v>
      </c>
      <c r="Q467" s="4">
        <f t="shared" si="48"/>
        <v>5288.9601456827586</v>
      </c>
      <c r="V467" s="3"/>
      <c r="W467" s="3"/>
      <c r="Y467" s="7"/>
      <c r="Z467" s="7"/>
      <c r="AA467" s="7"/>
      <c r="AB467" s="7"/>
      <c r="AC467" s="9"/>
      <c r="AD467" s="9"/>
      <c r="AE467" s="9"/>
      <c r="AF467" s="3"/>
      <c r="AG467" s="3"/>
      <c r="AH467" s="3"/>
      <c r="AL467" s="11"/>
      <c r="AM467" s="3"/>
      <c r="AN467" s="3"/>
      <c r="AO467" s="11"/>
      <c r="AP467" s="7"/>
      <c r="AQ467" s="7"/>
      <c r="AR467" s="7"/>
      <c r="AS467" s="7"/>
      <c r="AT467" s="9"/>
      <c r="AU467" s="9"/>
      <c r="AV467" s="9"/>
      <c r="AW467" s="3"/>
      <c r="AX467" s="3"/>
      <c r="AY467" s="3"/>
    </row>
    <row r="468" spans="1:51" x14ac:dyDescent="0.25">
      <c r="A468">
        <v>435</v>
      </c>
      <c r="B468" s="1" t="s">
        <v>476</v>
      </c>
      <c r="C468" s="1" t="s">
        <v>682</v>
      </c>
      <c r="D468" s="2">
        <v>40829</v>
      </c>
      <c r="E468" s="3">
        <v>33.799999999999997</v>
      </c>
      <c r="F468" s="4">
        <f t="shared" si="42"/>
        <v>4878.9861252836617</v>
      </c>
      <c r="G468" s="2">
        <v>40200</v>
      </c>
      <c r="H468" s="7">
        <v>3.64</v>
      </c>
      <c r="I468" s="7">
        <f>H468+H459-2*$A$24</f>
        <v>6.5</v>
      </c>
      <c r="J468" s="7">
        <v>3.32</v>
      </c>
      <c r="K468" s="7">
        <v>5.32</v>
      </c>
      <c r="L468" s="6">
        <f t="shared" si="43"/>
        <v>0.35076923076923072</v>
      </c>
      <c r="M468" s="6">
        <f t="shared" si="44"/>
        <v>0.55692307692307697</v>
      </c>
      <c r="N468" s="6">
        <f t="shared" si="45"/>
        <v>9.2307692307692313E-2</v>
      </c>
      <c r="O468" s="4">
        <f t="shared" si="46"/>
        <v>1711.3982100994997</v>
      </c>
      <c r="P468" s="4">
        <f t="shared" si="47"/>
        <v>2717.2199651579781</v>
      </c>
      <c r="Q468" s="4">
        <f t="shared" si="48"/>
        <v>4428.6181752574776</v>
      </c>
      <c r="V468" s="3"/>
      <c r="W468" s="3"/>
      <c r="Y468" s="7"/>
      <c r="Z468" s="7"/>
      <c r="AA468" s="7"/>
      <c r="AB468" s="7"/>
      <c r="AC468" s="9"/>
      <c r="AD468" s="9"/>
      <c r="AE468" s="9"/>
      <c r="AF468" s="3"/>
      <c r="AG468" s="3"/>
      <c r="AH468" s="3"/>
      <c r="AJ468" t="s">
        <v>938</v>
      </c>
      <c r="AK468" t="s">
        <v>682</v>
      </c>
      <c r="AL468" s="11">
        <f>D456</f>
        <v>40829</v>
      </c>
      <c r="AM468" s="3">
        <f>SUM(E456,E471)</f>
        <v>75.599999999999994</v>
      </c>
      <c r="AN468" s="3">
        <f>(AM468-4*$A$20)*$A$21/(2*$A$22)*$A$23</f>
        <v>5495.798530502836</v>
      </c>
      <c r="AO468" s="11">
        <f>G456</f>
        <v>40200</v>
      </c>
      <c r="AP468" s="7">
        <f>SUM(H456,H471)</f>
        <v>7.8599999999999994</v>
      </c>
      <c r="AQ468" s="7">
        <f>SUM(I456,I471)</f>
        <v>15.079999999999998</v>
      </c>
      <c r="AR468" s="7">
        <f>SUM(J456,J471)</f>
        <v>7.2</v>
      </c>
      <c r="AS468" s="7">
        <f>SUM(K456,K471)</f>
        <v>12.16</v>
      </c>
      <c r="AT468" s="9">
        <f>(AR468-2*$A$25)/AQ468</f>
        <v>0.33952254641909818</v>
      </c>
      <c r="AU468" s="9">
        <f>(AS468-2*$A$26)/AQ468</f>
        <v>0.58090185676392581</v>
      </c>
      <c r="AV468" s="9">
        <f>1-AT468-AU468</f>
        <v>7.9575596816976013E-2</v>
      </c>
      <c r="AW468" s="3">
        <f>AN468*AT468</f>
        <v>1865.9475116826607</v>
      </c>
      <c r="AX468" s="3">
        <f>AN468*AU468</f>
        <v>3192.5195707695525</v>
      </c>
      <c r="AY468" s="3">
        <f>AW468+AX468</f>
        <v>5058.4670824522127</v>
      </c>
    </row>
    <row r="469" spans="1:51" x14ac:dyDescent="0.25">
      <c r="A469">
        <v>436</v>
      </c>
      <c r="B469" s="1" t="s">
        <v>477</v>
      </c>
      <c r="C469" s="1" t="s">
        <v>682</v>
      </c>
      <c r="D469" s="2">
        <v>40829</v>
      </c>
      <c r="E469" s="3">
        <v>38.200000000000003</v>
      </c>
      <c r="F469" s="4">
        <f t="shared" si="42"/>
        <v>5557.479771024754</v>
      </c>
      <c r="G469" s="2">
        <v>40200</v>
      </c>
      <c r="H469" s="7">
        <v>4.4800000000000004</v>
      </c>
      <c r="I469" s="7">
        <f>H469+H458-2*$A$24</f>
        <v>7.66</v>
      </c>
      <c r="J469" s="7">
        <v>3.64</v>
      </c>
      <c r="K469" s="7">
        <v>6.12</v>
      </c>
      <c r="L469" s="6">
        <f t="shared" si="43"/>
        <v>0.33942558746736295</v>
      </c>
      <c r="M469" s="6">
        <f t="shared" si="44"/>
        <v>0.57702349869451697</v>
      </c>
      <c r="N469" s="6">
        <f t="shared" si="45"/>
        <v>8.3550913838120078E-2</v>
      </c>
      <c r="O469" s="4">
        <f t="shared" si="46"/>
        <v>1886.3508361180629</v>
      </c>
      <c r="P469" s="4">
        <f t="shared" si="47"/>
        <v>3206.7964214007065</v>
      </c>
      <c r="Q469" s="4">
        <f t="shared" si="48"/>
        <v>5093.147257518769</v>
      </c>
      <c r="V469" s="3"/>
      <c r="W469" s="3"/>
      <c r="Y469" s="7"/>
      <c r="Z469" s="7"/>
      <c r="AA469" s="7"/>
      <c r="AB469" s="7"/>
      <c r="AC469" s="9"/>
      <c r="AD469" s="9"/>
      <c r="AE469" s="9"/>
      <c r="AF469" s="3"/>
      <c r="AG469" s="3"/>
      <c r="AH469" s="3"/>
      <c r="AL469" s="11"/>
      <c r="AM469" s="3"/>
      <c r="AN469" s="3"/>
      <c r="AO469" s="11"/>
      <c r="AP469" s="7"/>
      <c r="AQ469" s="7"/>
      <c r="AR469" s="7"/>
      <c r="AS469" s="7"/>
      <c r="AT469" s="9"/>
      <c r="AU469" s="9"/>
      <c r="AV469" s="9"/>
      <c r="AW469" s="3"/>
      <c r="AX469" s="3"/>
      <c r="AY469" s="3"/>
    </row>
    <row r="470" spans="1:51" x14ac:dyDescent="0.25">
      <c r="A470">
        <v>437</v>
      </c>
      <c r="B470" s="1" t="s">
        <v>478</v>
      </c>
      <c r="C470" s="1" t="s">
        <v>682</v>
      </c>
      <c r="D470" s="2">
        <v>40829</v>
      </c>
      <c r="E470" s="3">
        <v>37.200000000000003</v>
      </c>
      <c r="F470" s="4">
        <f t="shared" si="42"/>
        <v>5403.2766697199604</v>
      </c>
      <c r="G470" s="2">
        <v>40200</v>
      </c>
      <c r="H470" s="7">
        <v>4.3</v>
      </c>
      <c r="I470" s="7">
        <f>H470+H457-2*$A$24</f>
        <v>7.4799999999999995</v>
      </c>
      <c r="J470" s="7">
        <v>3.46</v>
      </c>
      <c r="K470" s="7">
        <v>5.84</v>
      </c>
      <c r="L470" s="6">
        <f t="shared" si="43"/>
        <v>0.3235294117647059</v>
      </c>
      <c r="M470" s="6">
        <f t="shared" si="44"/>
        <v>0.553475935828877</v>
      </c>
      <c r="N470" s="6">
        <f t="shared" si="45"/>
        <v>0.12299465240641716</v>
      </c>
      <c r="O470" s="4">
        <f t="shared" si="46"/>
        <v>1748.1189225564578</v>
      </c>
      <c r="P470" s="4">
        <f t="shared" si="47"/>
        <v>2990.5836113155929</v>
      </c>
      <c r="Q470" s="4">
        <f t="shared" si="48"/>
        <v>4738.7025338720505</v>
      </c>
      <c r="V470" s="3"/>
      <c r="W470" s="3"/>
      <c r="Y470" s="7"/>
      <c r="Z470" s="7"/>
      <c r="AA470" s="7"/>
      <c r="AB470" s="7"/>
      <c r="AC470" s="9"/>
      <c r="AD470" s="9"/>
      <c r="AE470" s="9"/>
      <c r="AF470" s="3"/>
      <c r="AG470" s="3"/>
      <c r="AH470" s="3"/>
      <c r="AJ470" t="s">
        <v>939</v>
      </c>
      <c r="AK470" t="s">
        <v>682</v>
      </c>
      <c r="AL470" s="11">
        <f>D455</f>
        <v>40829</v>
      </c>
      <c r="AM470" s="3">
        <f>SUM(E455,E472)</f>
        <v>73.900000000000006</v>
      </c>
      <c r="AN470" s="3">
        <f>(AM470-4*$A$20)*$A$21/(2*$A$22)*$A$23</f>
        <v>5364.7258943937613</v>
      </c>
      <c r="AO470" s="11">
        <f>G455</f>
        <v>40200</v>
      </c>
      <c r="AP470" s="7">
        <f>SUM(H455,H472)</f>
        <v>6.2799999999999994</v>
      </c>
      <c r="AQ470" s="7">
        <f>SUM(I455,I472)</f>
        <v>11.919999999999998</v>
      </c>
      <c r="AR470" s="7">
        <f>SUM(J455,J472)</f>
        <v>5.92</v>
      </c>
      <c r="AS470" s="7">
        <f>SUM(K455,K472)</f>
        <v>10.119999999999999</v>
      </c>
      <c r="AT470" s="9">
        <f>(AR470-2*$A$25)/AQ470</f>
        <v>0.32214765100671144</v>
      </c>
      <c r="AU470" s="9">
        <f>(AS470-2*$A$26)/AQ470</f>
        <v>0.56375838926174493</v>
      </c>
      <c r="AV470" s="9">
        <f>1-AT470-AU470</f>
        <v>0.11409395973154368</v>
      </c>
      <c r="AW470" s="3">
        <f>AN470*AT470</f>
        <v>1728.2338451738294</v>
      </c>
      <c r="AX470" s="3">
        <f>AN470*AU470</f>
        <v>3024.4092290542008</v>
      </c>
      <c r="AY470" s="3">
        <f>AW470+AX470</f>
        <v>4752.6430742280299</v>
      </c>
    </row>
    <row r="471" spans="1:51" x14ac:dyDescent="0.25">
      <c r="A471">
        <v>438</v>
      </c>
      <c r="B471" s="1" t="s">
        <v>479</v>
      </c>
      <c r="C471" s="1" t="s">
        <v>682</v>
      </c>
      <c r="D471" s="2">
        <v>40829</v>
      </c>
      <c r="E471" s="3">
        <v>38.1</v>
      </c>
      <c r="F471" s="4">
        <f t="shared" si="42"/>
        <v>5542.0594608942729</v>
      </c>
      <c r="G471" s="2">
        <v>40200</v>
      </c>
      <c r="H471" s="7">
        <v>3.96</v>
      </c>
      <c r="I471" s="7">
        <f>H471+H456-2*$A$24</f>
        <v>7.5399999999999991</v>
      </c>
      <c r="J471" s="7">
        <v>3.6</v>
      </c>
      <c r="K471" s="7">
        <v>6.08</v>
      </c>
      <c r="L471" s="6">
        <f t="shared" si="43"/>
        <v>0.33952254641909818</v>
      </c>
      <c r="M471" s="6">
        <f t="shared" si="44"/>
        <v>0.58090185676392581</v>
      </c>
      <c r="N471" s="6">
        <f t="shared" si="45"/>
        <v>7.9575596816976013E-2</v>
      </c>
      <c r="O471" s="4">
        <f t="shared" si="46"/>
        <v>1881.6541405688781</v>
      </c>
      <c r="P471" s="4">
        <f t="shared" si="47"/>
        <v>3219.392631129565</v>
      </c>
      <c r="Q471" s="4">
        <f t="shared" si="48"/>
        <v>5101.0467716984431</v>
      </c>
      <c r="V471" s="3"/>
      <c r="W471" s="3"/>
      <c r="Y471" s="7"/>
      <c r="Z471" s="7"/>
      <c r="AA471" s="7"/>
      <c r="AB471" s="7"/>
      <c r="AC471" s="9"/>
      <c r="AD471" s="9"/>
      <c r="AE471" s="9"/>
      <c r="AF471" s="3"/>
      <c r="AG471" s="3"/>
      <c r="AH471" s="3"/>
      <c r="AL471" s="11"/>
      <c r="AM471" s="3"/>
      <c r="AN471" s="3"/>
      <c r="AO471" s="11"/>
      <c r="AP471" s="7"/>
      <c r="AQ471" s="7"/>
      <c r="AR471" s="7"/>
      <c r="AS471" s="7"/>
      <c r="AT471" s="9"/>
      <c r="AU471" s="9"/>
      <c r="AV471" s="9"/>
      <c r="AW471" s="3"/>
      <c r="AX471" s="3"/>
      <c r="AY471" s="3"/>
    </row>
    <row r="472" spans="1:51" x14ac:dyDescent="0.25">
      <c r="A472">
        <v>439</v>
      </c>
      <c r="B472" s="1" t="s">
        <v>480</v>
      </c>
      <c r="C472" s="1" t="s">
        <v>682</v>
      </c>
      <c r="D472" s="2">
        <v>40829</v>
      </c>
      <c r="E472" s="3">
        <v>37</v>
      </c>
      <c r="F472" s="4">
        <f t="shared" si="42"/>
        <v>5372.436049459001</v>
      </c>
      <c r="G472" s="2">
        <v>40200</v>
      </c>
      <c r="H472" s="7">
        <v>3.28</v>
      </c>
      <c r="I472" s="7">
        <f>H472+H455-2*$A$24</f>
        <v>5.9599999999999991</v>
      </c>
      <c r="J472" s="7">
        <v>2.96</v>
      </c>
      <c r="K472" s="7">
        <v>5.0599999999999996</v>
      </c>
      <c r="L472" s="6">
        <f t="shared" si="43"/>
        <v>0.32214765100671144</v>
      </c>
      <c r="M472" s="6">
        <f t="shared" si="44"/>
        <v>0.56375838926174493</v>
      </c>
      <c r="N472" s="6">
        <f t="shared" si="45"/>
        <v>0.11409395973154368</v>
      </c>
      <c r="O472" s="4">
        <f t="shared" si="46"/>
        <v>1730.7176535169938</v>
      </c>
      <c r="P472" s="4">
        <f t="shared" si="47"/>
        <v>3028.7558936547384</v>
      </c>
      <c r="Q472" s="4">
        <f t="shared" si="48"/>
        <v>4759.4735471717322</v>
      </c>
      <c r="V472" s="3"/>
      <c r="W472" s="3"/>
      <c r="Y472" s="7"/>
      <c r="Z472" s="7"/>
      <c r="AA472" s="7"/>
      <c r="AB472" s="7"/>
      <c r="AC472" s="9"/>
      <c r="AD472" s="9"/>
      <c r="AE472" s="9"/>
      <c r="AF472" s="3"/>
      <c r="AG472" s="3"/>
      <c r="AH472" s="3"/>
      <c r="AJ472" t="s">
        <v>940</v>
      </c>
      <c r="AK472" t="s">
        <v>682</v>
      </c>
      <c r="AL472" s="11">
        <f>D454</f>
        <v>40829</v>
      </c>
      <c r="AM472" s="3">
        <f>SUM(E454,E473)</f>
        <v>57.1</v>
      </c>
      <c r="AN472" s="3">
        <f>(AM472-4*$A$20)*$A$21/(2*$A$22)*$A$23</f>
        <v>4069.4198434334971</v>
      </c>
      <c r="AO472" s="11">
        <f>G454</f>
        <v>40200</v>
      </c>
      <c r="AP472" s="7">
        <f>SUM(H454,H473)</f>
        <v>8.06</v>
      </c>
      <c r="AQ472" s="7">
        <f>SUM(I454,I473)</f>
        <v>15.48</v>
      </c>
      <c r="AR472" s="7">
        <f>SUM(J454,J473)</f>
        <v>7.44</v>
      </c>
      <c r="AS472" s="7">
        <f>SUM(K454,K473)</f>
        <v>12.32</v>
      </c>
      <c r="AT472" s="9">
        <f>(AR472-2*$A$25)/AQ472</f>
        <v>0.34625322997416019</v>
      </c>
      <c r="AU472" s="9">
        <f>(AS472-2*$A$26)/AQ472</f>
        <v>0.57622739018087854</v>
      </c>
      <c r="AV472" s="9">
        <f>1-AT472-AU472</f>
        <v>7.7519379844961267E-2</v>
      </c>
      <c r="AW472" s="3">
        <f>AN472*AT472</f>
        <v>1409.0497649097897</v>
      </c>
      <c r="AX472" s="3">
        <f>AN472*AU472</f>
        <v>2344.9111759319635</v>
      </c>
      <c r="AY472" s="3">
        <f>AW472+AX472</f>
        <v>3753.9609408417532</v>
      </c>
    </row>
    <row r="473" spans="1:51" x14ac:dyDescent="0.25">
      <c r="A473">
        <v>440</v>
      </c>
      <c r="B473" s="1" t="s">
        <v>481</v>
      </c>
      <c r="C473" s="1" t="s">
        <v>682</v>
      </c>
      <c r="D473" s="2">
        <v>40829</v>
      </c>
      <c r="E473" s="3">
        <v>28.8</v>
      </c>
      <c r="F473" s="4">
        <f t="shared" si="42"/>
        <v>4107.9706187596958</v>
      </c>
      <c r="G473" s="2">
        <v>40200</v>
      </c>
      <c r="H473" s="7">
        <v>4.38</v>
      </c>
      <c r="I473" s="7">
        <f>H473+H454-2*$A$24</f>
        <v>7.74</v>
      </c>
      <c r="J473" s="7">
        <v>3.72</v>
      </c>
      <c r="K473" s="7">
        <v>6.16</v>
      </c>
      <c r="L473" s="6">
        <f t="shared" si="43"/>
        <v>0.34625322997416019</v>
      </c>
      <c r="M473" s="6">
        <f t="shared" si="44"/>
        <v>0.57622739018087854</v>
      </c>
      <c r="N473" s="6">
        <f t="shared" si="45"/>
        <v>7.7519379844961267E-2</v>
      </c>
      <c r="O473" s="4">
        <f t="shared" si="46"/>
        <v>1422.3980953844941</v>
      </c>
      <c r="P473" s="4">
        <f t="shared" si="47"/>
        <v>2367.1251885876281</v>
      </c>
      <c r="Q473" s="4">
        <f t="shared" si="48"/>
        <v>3789.523283972122</v>
      </c>
      <c r="V473" s="3"/>
      <c r="W473" s="3"/>
      <c r="Y473" s="7"/>
      <c r="Z473" s="7"/>
      <c r="AA473" s="7"/>
      <c r="AB473" s="7"/>
      <c r="AC473" s="9"/>
      <c r="AD473" s="9"/>
      <c r="AE473" s="9"/>
      <c r="AF473" s="3"/>
      <c r="AG473" s="3"/>
      <c r="AH473" s="3"/>
    </row>
    <row r="474" spans="1:51" x14ac:dyDescent="0.25">
      <c r="A474">
        <v>441</v>
      </c>
      <c r="B474" s="1" t="s">
        <v>482</v>
      </c>
      <c r="C474" s="1" t="s">
        <v>682</v>
      </c>
      <c r="D474" s="2">
        <v>40829</v>
      </c>
      <c r="E474" s="3">
        <v>24</v>
      </c>
      <c r="F474" s="4">
        <f t="shared" si="42"/>
        <v>3367.7957324966874</v>
      </c>
      <c r="G474" s="2">
        <v>40200</v>
      </c>
      <c r="H474" s="7">
        <v>3.62</v>
      </c>
      <c r="I474" s="7">
        <f>H474+H493-2*$A$24</f>
        <v>7.9399999999999995</v>
      </c>
      <c r="J474" s="7">
        <v>3.62</v>
      </c>
      <c r="K474" s="7">
        <v>6.18</v>
      </c>
      <c r="L474" s="6">
        <f t="shared" si="43"/>
        <v>0.32493702770780858</v>
      </c>
      <c r="M474" s="6">
        <f t="shared" si="44"/>
        <v>0.5642317380352645</v>
      </c>
      <c r="N474" s="6">
        <f t="shared" si="45"/>
        <v>0.11083123425692698</v>
      </c>
      <c r="O474" s="4">
        <f t="shared" si="46"/>
        <v>1094.3215352445156</v>
      </c>
      <c r="P474" s="4">
        <f t="shared" si="47"/>
        <v>1900.2172394943527</v>
      </c>
      <c r="Q474" s="4">
        <f t="shared" si="48"/>
        <v>2994.5387747388686</v>
      </c>
      <c r="S474" t="s">
        <v>34</v>
      </c>
      <c r="T474" t="s">
        <v>682</v>
      </c>
      <c r="U474" s="8">
        <f>D474</f>
        <v>40829</v>
      </c>
      <c r="V474" s="3">
        <f>SUM(E474:E513)</f>
        <v>1189.6000000000001</v>
      </c>
      <c r="W474" s="3">
        <f>(V474-80*$A$20)*$A$21/(40*$A$22)*$A$23</f>
        <v>4252.9215339862012</v>
      </c>
      <c r="X474" s="8">
        <f>G474</f>
        <v>40200</v>
      </c>
      <c r="Y474" s="7">
        <f>SUM(H474:H513)</f>
        <v>141.55999999999997</v>
      </c>
      <c r="Z474" s="7">
        <f>SUM(I474:I513)</f>
        <v>270.32</v>
      </c>
      <c r="AA474" s="7">
        <f>SUM(J474:J513)</f>
        <v>129.48000000000002</v>
      </c>
      <c r="AB474" s="7">
        <f>SUM(K474:K513)</f>
        <v>223.20000000000007</v>
      </c>
      <c r="AC474" s="9">
        <f>(AA474-40*$A$25)/Z474</f>
        <v>0.32509618230245646</v>
      </c>
      <c r="AD474" s="9">
        <f>(AB474-40*$A$26)/Z474</f>
        <v>0.57413435927789314</v>
      </c>
      <c r="AE474" s="9">
        <f>1-AC474-AD474</f>
        <v>0.10076945841965035</v>
      </c>
      <c r="AF474" s="3">
        <f>W474*AC474</f>
        <v>1382.6085543308209</v>
      </c>
      <c r="AG474" s="3">
        <f>W474*AD474</f>
        <v>2441.7483799743222</v>
      </c>
      <c r="AH474" s="3">
        <f>AF474+AG474</f>
        <v>3824.3569343051431</v>
      </c>
      <c r="AJ474" t="s">
        <v>941</v>
      </c>
      <c r="AK474" t="s">
        <v>682</v>
      </c>
      <c r="AL474" s="11">
        <f>D483</f>
        <v>40829</v>
      </c>
      <c r="AM474" s="3">
        <f>SUM(E483,E484)</f>
        <v>55.9</v>
      </c>
      <c r="AN474" s="3">
        <f>(AM474-4*$A$20)*$A$21/(2*$A$22)*$A$23</f>
        <v>3976.8979826506211</v>
      </c>
      <c r="AO474" s="11">
        <f>G483</f>
        <v>40200</v>
      </c>
      <c r="AP474" s="7">
        <f>SUM(H483,H484)</f>
        <v>7.38</v>
      </c>
      <c r="AQ474" s="7">
        <f>SUM(I483,I484)</f>
        <v>14.12</v>
      </c>
      <c r="AR474" s="7">
        <f>SUM(J483,J484)</f>
        <v>6.6</v>
      </c>
      <c r="AS474" s="7">
        <f>SUM(K483,K484)</f>
        <v>11.56</v>
      </c>
      <c r="AT474" s="9">
        <f>(AR474-2*$A$25)/AQ474</f>
        <v>0.32011331444759206</v>
      </c>
      <c r="AU474" s="9">
        <f>(AS474-2*$A$26)/AQ474</f>
        <v>0.57790368271954673</v>
      </c>
      <c r="AV474" s="9">
        <f>1-AT474-AU474</f>
        <v>0.10198300283286121</v>
      </c>
      <c r="AW474" s="3">
        <f>AN474*AT474</f>
        <v>1273.0579944462327</v>
      </c>
      <c r="AX474" s="3">
        <f>AN474*AU474</f>
        <v>2298.2639899737301</v>
      </c>
      <c r="AY474" s="3">
        <f>AW474+AX474</f>
        <v>3571.321984419963</v>
      </c>
    </row>
    <row r="475" spans="1:51" x14ac:dyDescent="0.25">
      <c r="A475">
        <v>442</v>
      </c>
      <c r="B475" s="1" t="s">
        <v>483</v>
      </c>
      <c r="C475" s="1" t="s">
        <v>682</v>
      </c>
      <c r="D475" s="2">
        <v>40829</v>
      </c>
      <c r="E475" s="3">
        <v>31.7</v>
      </c>
      <c r="F475" s="4">
        <f t="shared" si="42"/>
        <v>4555.1596125435963</v>
      </c>
      <c r="G475" s="2">
        <v>40200</v>
      </c>
      <c r="H475" s="7">
        <v>3.46</v>
      </c>
      <c r="I475" s="7">
        <f>H475+H492-2*$A$24</f>
        <v>6.3</v>
      </c>
      <c r="J475" s="7">
        <v>3.12</v>
      </c>
      <c r="K475" s="7">
        <v>5.24</v>
      </c>
      <c r="L475" s="6">
        <f t="shared" si="43"/>
        <v>0.33015873015873021</v>
      </c>
      <c r="M475" s="6">
        <f t="shared" si="44"/>
        <v>0.56190476190476191</v>
      </c>
      <c r="N475" s="6">
        <f t="shared" si="45"/>
        <v>0.10793650793650789</v>
      </c>
      <c r="O475" s="4">
        <f t="shared" si="46"/>
        <v>1503.9257133477272</v>
      </c>
      <c r="P475" s="4">
        <f t="shared" si="47"/>
        <v>2559.565877524497</v>
      </c>
      <c r="Q475" s="4">
        <f t="shared" si="48"/>
        <v>4063.4915908722242</v>
      </c>
      <c r="V475" s="3"/>
      <c r="W475" s="3"/>
      <c r="Y475" s="7"/>
      <c r="Z475" s="7"/>
      <c r="AA475" s="7"/>
      <c r="AB475" s="7"/>
      <c r="AC475" s="9"/>
      <c r="AD475" s="9"/>
      <c r="AE475" s="9"/>
      <c r="AF475" s="3"/>
      <c r="AG475" s="3"/>
      <c r="AH475" s="3"/>
      <c r="AL475" s="11"/>
      <c r="AM475" s="3"/>
      <c r="AN475" s="3"/>
      <c r="AO475" s="11"/>
      <c r="AP475" s="7"/>
      <c r="AQ475" s="7"/>
      <c r="AR475" s="7"/>
      <c r="AS475" s="7"/>
      <c r="AT475" s="9"/>
      <c r="AU475" s="9"/>
      <c r="AV475" s="9"/>
      <c r="AW475" s="3"/>
      <c r="AX475" s="3"/>
      <c r="AY475" s="3"/>
    </row>
    <row r="476" spans="1:51" x14ac:dyDescent="0.25">
      <c r="A476">
        <v>443</v>
      </c>
      <c r="B476" s="1" t="s">
        <v>484</v>
      </c>
      <c r="C476" s="1" t="s">
        <v>682</v>
      </c>
      <c r="D476" s="2">
        <v>40829</v>
      </c>
      <c r="E476" s="3">
        <v>28.1</v>
      </c>
      <c r="F476" s="4">
        <f t="shared" si="42"/>
        <v>4000.02844784634</v>
      </c>
      <c r="G476" s="2">
        <v>40200</v>
      </c>
      <c r="H476" s="7">
        <v>3.42</v>
      </c>
      <c r="I476" s="7">
        <f>H476+H491-2*$A$24</f>
        <v>6.9599999999999991</v>
      </c>
      <c r="J476" s="7">
        <v>3.32</v>
      </c>
      <c r="K476" s="7">
        <v>5.68</v>
      </c>
      <c r="L476" s="6">
        <f t="shared" si="43"/>
        <v>0.32758620689655171</v>
      </c>
      <c r="M476" s="6">
        <f t="shared" si="44"/>
        <v>0.57183908045977017</v>
      </c>
      <c r="N476" s="6">
        <f t="shared" si="45"/>
        <v>0.10057471264367812</v>
      </c>
      <c r="O476" s="4">
        <f t="shared" si="46"/>
        <v>1310.3541467082837</v>
      </c>
      <c r="P476" s="4">
        <f t="shared" si="47"/>
        <v>2287.372589429373</v>
      </c>
      <c r="Q476" s="4">
        <f t="shared" si="48"/>
        <v>3597.7267361376566</v>
      </c>
      <c r="V476" s="3"/>
      <c r="W476" s="3"/>
      <c r="Y476" s="7"/>
      <c r="Z476" s="7"/>
      <c r="AA476" s="7"/>
      <c r="AB476" s="7"/>
      <c r="AC476" s="9"/>
      <c r="AD476" s="9"/>
      <c r="AE476" s="9"/>
      <c r="AF476" s="3"/>
      <c r="AG476" s="3"/>
      <c r="AH476" s="3"/>
      <c r="AJ476" t="s">
        <v>942</v>
      </c>
      <c r="AK476" t="s">
        <v>682</v>
      </c>
      <c r="AL476" s="11">
        <f>D482</f>
        <v>40829</v>
      </c>
      <c r="AM476" s="3">
        <f>SUM(E482,E485)</f>
        <v>65.199999999999989</v>
      </c>
      <c r="AN476" s="3">
        <f>(AM476-4*$A$20)*$A$21/(2*$A$22)*$A$23</f>
        <v>4693.9424037179087</v>
      </c>
      <c r="AO476" s="11">
        <f>G482</f>
        <v>40200</v>
      </c>
      <c r="AP476" s="7">
        <f>SUM(H482,H485)</f>
        <v>5.6400000000000006</v>
      </c>
      <c r="AQ476" s="7">
        <f>SUM(I482,I485)</f>
        <v>10.64</v>
      </c>
      <c r="AR476" s="7">
        <f>SUM(J482,J485)</f>
        <v>5.48</v>
      </c>
      <c r="AS476" s="7">
        <f>SUM(K482,K485)</f>
        <v>9.48</v>
      </c>
      <c r="AT476" s="9">
        <f>(AR476-2*$A$25)/AQ476</f>
        <v>0.31954887218045114</v>
      </c>
      <c r="AU476" s="9">
        <f>(AS476-2*$A$26)/AQ476</f>
        <v>0.5714285714285714</v>
      </c>
      <c r="AV476" s="9">
        <f>1-AT476-AU476</f>
        <v>0.10902255639097747</v>
      </c>
      <c r="AW476" s="3">
        <f>AN476*AT476</f>
        <v>1499.9440011880536</v>
      </c>
      <c r="AX476" s="3">
        <f>AN476*AU476</f>
        <v>2682.2528021245193</v>
      </c>
      <c r="AY476" s="3">
        <f>AW476+AX476</f>
        <v>4182.1968033125731</v>
      </c>
    </row>
    <row r="477" spans="1:51" x14ac:dyDescent="0.25">
      <c r="A477">
        <v>444</v>
      </c>
      <c r="B477" s="1" t="s">
        <v>485</v>
      </c>
      <c r="C477" s="1" t="s">
        <v>682</v>
      </c>
      <c r="D477" s="2">
        <v>40829</v>
      </c>
      <c r="E477" s="3">
        <v>29.1</v>
      </c>
      <c r="F477" s="4">
        <f t="shared" si="42"/>
        <v>4154.2315491511335</v>
      </c>
      <c r="G477" s="2">
        <v>40200</v>
      </c>
      <c r="H477" s="7">
        <v>3.34</v>
      </c>
      <c r="I477" s="7">
        <f>H477+H490-2*$A$24</f>
        <v>6.66</v>
      </c>
      <c r="J477" s="7">
        <v>3.26</v>
      </c>
      <c r="K477" s="7">
        <v>5.56</v>
      </c>
      <c r="L477" s="6">
        <f t="shared" si="43"/>
        <v>0.33333333333333331</v>
      </c>
      <c r="M477" s="6">
        <f t="shared" si="44"/>
        <v>0.57957957957957951</v>
      </c>
      <c r="N477" s="6">
        <f t="shared" si="45"/>
        <v>8.7087087087087234E-2</v>
      </c>
      <c r="O477" s="4">
        <f t="shared" si="46"/>
        <v>1384.7438497170444</v>
      </c>
      <c r="P477" s="4">
        <f t="shared" si="47"/>
        <v>2407.7077747332391</v>
      </c>
      <c r="Q477" s="4">
        <f t="shared" si="48"/>
        <v>3792.4516244502838</v>
      </c>
      <c r="V477" s="3"/>
      <c r="W477" s="3"/>
      <c r="Y477" s="7"/>
      <c r="Z477" s="7"/>
      <c r="AA477" s="7"/>
      <c r="AB477" s="7"/>
      <c r="AC477" s="9"/>
      <c r="AD477" s="9"/>
      <c r="AE477" s="9"/>
      <c r="AF477" s="3"/>
      <c r="AG477" s="3"/>
      <c r="AH477" s="3"/>
      <c r="AL477" s="11"/>
      <c r="AM477" s="3"/>
      <c r="AN477" s="3"/>
      <c r="AO477" s="11"/>
      <c r="AP477" s="7"/>
      <c r="AQ477" s="7"/>
      <c r="AR477" s="7"/>
      <c r="AS477" s="7"/>
      <c r="AT477" s="9"/>
      <c r="AU477" s="9"/>
      <c r="AV477" s="9"/>
      <c r="AW477" s="3"/>
      <c r="AX477" s="3"/>
      <c r="AY477" s="3"/>
    </row>
    <row r="478" spans="1:51" x14ac:dyDescent="0.25">
      <c r="A478">
        <v>445</v>
      </c>
      <c r="B478" s="1" t="s">
        <v>486</v>
      </c>
      <c r="C478" s="1" t="s">
        <v>682</v>
      </c>
      <c r="D478" s="2">
        <v>40829</v>
      </c>
      <c r="E478" s="3">
        <v>33.4</v>
      </c>
      <c r="F478" s="4">
        <f t="shared" si="42"/>
        <v>4817.3048847617447</v>
      </c>
      <c r="G478" s="2">
        <v>40200</v>
      </c>
      <c r="H478" s="7">
        <v>2.66</v>
      </c>
      <c r="I478" s="7">
        <f>H478+H489-2*$A$24</f>
        <v>5.82</v>
      </c>
      <c r="J478" s="7">
        <v>2.94</v>
      </c>
      <c r="K478" s="7">
        <v>5.08</v>
      </c>
      <c r="L478" s="6">
        <f t="shared" si="43"/>
        <v>0.32646048109965631</v>
      </c>
      <c r="M478" s="6">
        <f t="shared" si="44"/>
        <v>0.5807560137457044</v>
      </c>
      <c r="N478" s="6">
        <f t="shared" si="45"/>
        <v>9.278350515463929E-2</v>
      </c>
      <c r="O478" s="4">
        <f t="shared" si="46"/>
        <v>1572.6596702830436</v>
      </c>
      <c r="P478" s="4">
        <f t="shared" si="47"/>
        <v>2797.6787818719408</v>
      </c>
      <c r="Q478" s="4">
        <f t="shared" si="48"/>
        <v>4370.3384521549842</v>
      </c>
      <c r="V478" s="3"/>
      <c r="W478" s="3"/>
      <c r="Y478" s="7"/>
      <c r="Z478" s="7"/>
      <c r="AA478" s="7"/>
      <c r="AB478" s="7"/>
      <c r="AC478" s="9"/>
      <c r="AD478" s="9"/>
      <c r="AE478" s="9"/>
      <c r="AF478" s="3"/>
      <c r="AG478" s="3"/>
      <c r="AH478" s="3"/>
      <c r="AJ478" t="s">
        <v>943</v>
      </c>
      <c r="AK478" t="s">
        <v>682</v>
      </c>
      <c r="AL478" s="11">
        <f>D481</f>
        <v>40829</v>
      </c>
      <c r="AM478" s="3">
        <f>SUM(E481,E486)</f>
        <v>71.400000000000006</v>
      </c>
      <c r="AN478" s="3">
        <f>(AM478-4*$A$20)*$A$21/(2*$A$22)*$A$23</f>
        <v>5171.9720177627705</v>
      </c>
      <c r="AO478" s="11">
        <f>G481</f>
        <v>40200</v>
      </c>
      <c r="AP478" s="7">
        <f>SUM(H481,H486)</f>
        <v>6.9799999999999995</v>
      </c>
      <c r="AQ478" s="7">
        <f>SUM(I481,I486)</f>
        <v>13.319999999999999</v>
      </c>
      <c r="AR478" s="7">
        <f>SUM(J481,J486)</f>
        <v>6.4</v>
      </c>
      <c r="AS478" s="7">
        <f>SUM(K481,K486)</f>
        <v>11.04</v>
      </c>
      <c r="AT478" s="9">
        <f>(AR478-2*$A$25)/AQ478</f>
        <v>0.3243243243243244</v>
      </c>
      <c r="AU478" s="9">
        <f>(AS478-2*$A$26)/AQ478</f>
        <v>0.57357357357357353</v>
      </c>
      <c r="AV478" s="9">
        <f>1-AT478-AU478</f>
        <v>0.10210210210210213</v>
      </c>
      <c r="AW478" s="3">
        <f>AN478*AT478</f>
        <v>1677.3963300852233</v>
      </c>
      <c r="AX478" s="3">
        <f>AN478*AU478</f>
        <v>2966.506472650718</v>
      </c>
      <c r="AY478" s="3">
        <f>AW478+AX478</f>
        <v>4643.9028027359418</v>
      </c>
    </row>
    <row r="479" spans="1:51" x14ac:dyDescent="0.25">
      <c r="A479">
        <v>446</v>
      </c>
      <c r="B479" s="1" t="s">
        <v>487</v>
      </c>
      <c r="C479" s="1" t="s">
        <v>682</v>
      </c>
      <c r="D479" s="2">
        <v>40829</v>
      </c>
      <c r="E479" s="3">
        <v>29.299999999999997</v>
      </c>
      <c r="F479" s="4">
        <f t="shared" si="42"/>
        <v>4185.0721694120921</v>
      </c>
      <c r="G479" s="2">
        <v>40200</v>
      </c>
      <c r="H479" s="7">
        <v>3.76</v>
      </c>
      <c r="I479" s="7">
        <f>H479+H488-2*$A$24</f>
        <v>6.84</v>
      </c>
      <c r="J479" s="7">
        <v>3.28</v>
      </c>
      <c r="K479" s="7">
        <v>5.6</v>
      </c>
      <c r="L479" s="6">
        <f t="shared" si="43"/>
        <v>0.32748538011695905</v>
      </c>
      <c r="M479" s="6">
        <f t="shared" si="44"/>
        <v>0.57017543859649111</v>
      </c>
      <c r="N479" s="6">
        <f t="shared" si="45"/>
        <v>0.10233918128654984</v>
      </c>
      <c r="O479" s="4">
        <f t="shared" si="46"/>
        <v>1370.5499502168254</v>
      </c>
      <c r="P479" s="4">
        <f t="shared" si="47"/>
        <v>2386.2253597525082</v>
      </c>
      <c r="Q479" s="4">
        <f t="shared" si="48"/>
        <v>3756.7753099693336</v>
      </c>
      <c r="V479" s="3"/>
      <c r="W479" s="3"/>
      <c r="Y479" s="7"/>
      <c r="Z479" s="7"/>
      <c r="AA479" s="7"/>
      <c r="AB479" s="7"/>
      <c r="AC479" s="9"/>
      <c r="AD479" s="9"/>
      <c r="AE479" s="9"/>
      <c r="AF479" s="3"/>
      <c r="AG479" s="3"/>
      <c r="AH479" s="3"/>
      <c r="AL479" s="11"/>
      <c r="AM479" s="3"/>
      <c r="AN479" s="3"/>
      <c r="AO479" s="11"/>
      <c r="AP479" s="7"/>
      <c r="AQ479" s="7"/>
      <c r="AR479" s="7"/>
      <c r="AS479" s="7"/>
      <c r="AT479" s="9"/>
      <c r="AU479" s="9"/>
      <c r="AV479" s="9"/>
      <c r="AW479" s="3"/>
      <c r="AX479" s="3"/>
      <c r="AY479" s="3"/>
    </row>
    <row r="480" spans="1:51" x14ac:dyDescent="0.25">
      <c r="A480">
        <v>447</v>
      </c>
      <c r="B480" s="1" t="s">
        <v>488</v>
      </c>
      <c r="C480" s="1" t="s">
        <v>682</v>
      </c>
      <c r="D480" s="2">
        <v>40829</v>
      </c>
      <c r="E480" s="3">
        <v>31.799999999999997</v>
      </c>
      <c r="F480" s="4">
        <f t="shared" si="42"/>
        <v>4570.5799226740746</v>
      </c>
      <c r="G480" s="2">
        <v>40200</v>
      </c>
      <c r="H480" s="7">
        <v>2.86</v>
      </c>
      <c r="I480" s="7">
        <f>H480+H487-2*$A$24</f>
        <v>6.06</v>
      </c>
      <c r="J480" s="7">
        <v>3.02</v>
      </c>
      <c r="K480" s="7">
        <v>5.18</v>
      </c>
      <c r="L480" s="6">
        <f t="shared" si="43"/>
        <v>0.32673267326732675</v>
      </c>
      <c r="M480" s="6">
        <f t="shared" si="44"/>
        <v>0.57425742574257421</v>
      </c>
      <c r="N480" s="6">
        <f t="shared" si="45"/>
        <v>9.9009900990098987E-2</v>
      </c>
      <c r="O480" s="4">
        <f t="shared" si="46"/>
        <v>1493.3577965172719</v>
      </c>
      <c r="P480" s="4">
        <f t="shared" si="47"/>
        <v>2624.6894605455082</v>
      </c>
      <c r="Q480" s="4">
        <f t="shared" si="48"/>
        <v>4118.0472570627799</v>
      </c>
      <c r="V480" s="3"/>
      <c r="W480" s="3"/>
      <c r="Y480" s="7"/>
      <c r="Z480" s="7"/>
      <c r="AA480" s="7"/>
      <c r="AB480" s="7"/>
      <c r="AC480" s="9"/>
      <c r="AD480" s="9"/>
      <c r="AE480" s="9"/>
      <c r="AF480" s="3"/>
      <c r="AG480" s="3"/>
      <c r="AH480" s="3"/>
      <c r="AJ480" t="s">
        <v>944</v>
      </c>
      <c r="AK480" t="s">
        <v>682</v>
      </c>
      <c r="AL480" s="11">
        <f>D480</f>
        <v>40829</v>
      </c>
      <c r="AM480" s="3">
        <f>SUM(E480,E487)</f>
        <v>67.400000000000006</v>
      </c>
      <c r="AN480" s="3">
        <f>(AM480-4*$A$20)*$A$21/(2*$A$22)*$A$23</f>
        <v>4863.5658151531834</v>
      </c>
      <c r="AO480" s="11">
        <f>G480</f>
        <v>40200</v>
      </c>
      <c r="AP480" s="7">
        <f>SUM(H480,H487)</f>
        <v>6.38</v>
      </c>
      <c r="AQ480" s="7">
        <f>SUM(I480,I487)</f>
        <v>12.12</v>
      </c>
      <c r="AR480" s="7">
        <f>SUM(J480,J487)</f>
        <v>6.04</v>
      </c>
      <c r="AS480" s="7">
        <f>SUM(K480,K487)</f>
        <v>10.36</v>
      </c>
      <c r="AT480" s="9">
        <f>(AR480-2*$A$25)/AQ480</f>
        <v>0.32673267326732675</v>
      </c>
      <c r="AU480" s="9">
        <f>(AS480-2*$A$26)/AQ480</f>
        <v>0.57425742574257421</v>
      </c>
      <c r="AV480" s="9">
        <f>1-AT480-AU480</f>
        <v>9.9009900990098987E-2</v>
      </c>
      <c r="AW480" s="3">
        <f>AN480*AT480</f>
        <v>1589.0858603965846</v>
      </c>
      <c r="AX480" s="3">
        <f>AN480*AU480</f>
        <v>2792.9387849394516</v>
      </c>
      <c r="AY480" s="3">
        <f>AW480+AX480</f>
        <v>4382.024645336036</v>
      </c>
    </row>
    <row r="481" spans="1:51" x14ac:dyDescent="0.25">
      <c r="A481">
        <v>448</v>
      </c>
      <c r="B481" s="1" t="s">
        <v>489</v>
      </c>
      <c r="C481" s="1" t="s">
        <v>682</v>
      </c>
      <c r="D481" s="2">
        <v>40829</v>
      </c>
      <c r="E481" s="3">
        <v>34.700000000000003</v>
      </c>
      <c r="F481" s="4">
        <f t="shared" si="42"/>
        <v>5017.7689164579779</v>
      </c>
      <c r="G481" s="2">
        <v>40200</v>
      </c>
      <c r="H481" s="7">
        <v>4.0199999999999996</v>
      </c>
      <c r="I481" s="7">
        <f>H481+H486-2*$A$24</f>
        <v>6.6599999999999993</v>
      </c>
      <c r="J481" s="7">
        <v>3.2</v>
      </c>
      <c r="K481" s="7">
        <v>5.52</v>
      </c>
      <c r="L481" s="6">
        <f t="shared" si="43"/>
        <v>0.3243243243243244</v>
      </c>
      <c r="M481" s="6">
        <f t="shared" si="44"/>
        <v>0.57357357357357353</v>
      </c>
      <c r="N481" s="6">
        <f t="shared" si="45"/>
        <v>0.10210210210210213</v>
      </c>
      <c r="O481" s="4">
        <f t="shared" si="46"/>
        <v>1627.3845134458311</v>
      </c>
      <c r="P481" s="4">
        <f t="shared" si="47"/>
        <v>2878.0596487792004</v>
      </c>
      <c r="Q481" s="4">
        <f t="shared" si="48"/>
        <v>4505.4441622250315</v>
      </c>
      <c r="V481" s="3"/>
      <c r="W481" s="3"/>
      <c r="Y481" s="7"/>
      <c r="Z481" s="7"/>
      <c r="AA481" s="7"/>
      <c r="AB481" s="7"/>
      <c r="AC481" s="9"/>
      <c r="AD481" s="9"/>
      <c r="AE481" s="9"/>
      <c r="AF481" s="3"/>
      <c r="AG481" s="3"/>
      <c r="AH481" s="3"/>
      <c r="AL481" s="11"/>
      <c r="AM481" s="3"/>
      <c r="AN481" s="3"/>
      <c r="AO481" s="11"/>
      <c r="AP481" s="7"/>
      <c r="AQ481" s="7"/>
      <c r="AR481" s="7"/>
      <c r="AS481" s="7"/>
      <c r="AT481" s="9"/>
      <c r="AU481" s="9"/>
      <c r="AV481" s="9"/>
      <c r="AW481" s="3"/>
      <c r="AX481" s="3"/>
      <c r="AY481" s="3"/>
    </row>
    <row r="482" spans="1:51" x14ac:dyDescent="0.25">
      <c r="A482">
        <v>449</v>
      </c>
      <c r="B482" s="1" t="s">
        <v>490</v>
      </c>
      <c r="C482" s="1" t="s">
        <v>682</v>
      </c>
      <c r="D482" s="2">
        <v>40829</v>
      </c>
      <c r="E482" s="3">
        <v>30.799999999999997</v>
      </c>
      <c r="F482" s="4">
        <f t="shared" si="42"/>
        <v>4416.3768213692811</v>
      </c>
      <c r="G482" s="2">
        <v>40200</v>
      </c>
      <c r="H482" s="7">
        <v>2.9</v>
      </c>
      <c r="I482" s="7">
        <f>H482+H485-2*$A$24</f>
        <v>5.32</v>
      </c>
      <c r="J482" s="7">
        <v>2.74</v>
      </c>
      <c r="K482" s="7">
        <v>4.74</v>
      </c>
      <c r="L482" s="6">
        <f t="shared" si="43"/>
        <v>0.31954887218045114</v>
      </c>
      <c r="M482" s="6">
        <f t="shared" si="44"/>
        <v>0.5714285714285714</v>
      </c>
      <c r="N482" s="6">
        <f t="shared" si="45"/>
        <v>0.10902255639097747</v>
      </c>
      <c r="O482" s="4">
        <f t="shared" si="46"/>
        <v>1411.2482323924394</v>
      </c>
      <c r="P482" s="4">
        <f t="shared" si="47"/>
        <v>2523.6438979253035</v>
      </c>
      <c r="Q482" s="4">
        <f t="shared" si="48"/>
        <v>3934.8921303177431</v>
      </c>
      <c r="V482" s="3"/>
      <c r="W482" s="3"/>
      <c r="Y482" s="7"/>
      <c r="Z482" s="7"/>
      <c r="AA482" s="7"/>
      <c r="AB482" s="7"/>
      <c r="AC482" s="9"/>
      <c r="AD482" s="9"/>
      <c r="AE482" s="9"/>
      <c r="AF482" s="3"/>
      <c r="AG482" s="3"/>
      <c r="AH482" s="3"/>
      <c r="AJ482" t="s">
        <v>945</v>
      </c>
      <c r="AK482" t="s">
        <v>682</v>
      </c>
      <c r="AL482" s="11">
        <f>D479</f>
        <v>40829</v>
      </c>
      <c r="AM482" s="3">
        <f>SUM(E479,E488)</f>
        <v>62.4</v>
      </c>
      <c r="AN482" s="3">
        <f>(AM482-4*$A$20)*$A$21/(2*$A$22)*$A$23</f>
        <v>4478.058061891199</v>
      </c>
      <c r="AO482" s="11">
        <f>G479</f>
        <v>40200</v>
      </c>
      <c r="AP482" s="7">
        <f>SUM(H479,H488)</f>
        <v>7.16</v>
      </c>
      <c r="AQ482" s="7">
        <f>SUM(I479,I488)</f>
        <v>13.68</v>
      </c>
      <c r="AR482" s="7">
        <f>SUM(J479,J488)</f>
        <v>6.56</v>
      </c>
      <c r="AS482" s="7">
        <f>SUM(K479,K488)</f>
        <v>11.2</v>
      </c>
      <c r="AT482" s="9">
        <f>(AR482-2*$A$25)/AQ482</f>
        <v>0.32748538011695905</v>
      </c>
      <c r="AU482" s="9">
        <f>(AS482-2*$A$26)/AQ482</f>
        <v>0.57017543859649111</v>
      </c>
      <c r="AV482" s="9">
        <f>1-AT482-AU482</f>
        <v>0.10233918128654984</v>
      </c>
      <c r="AW482" s="3">
        <f>AN482*AT482</f>
        <v>1466.4985465842522</v>
      </c>
      <c r="AX482" s="3">
        <f>AN482*AU482</f>
        <v>2553.2787194993675</v>
      </c>
      <c r="AY482" s="3">
        <f>AW482+AX482</f>
        <v>4019.7772660836199</v>
      </c>
    </row>
    <row r="483" spans="1:51" x14ac:dyDescent="0.25">
      <c r="A483">
        <v>450</v>
      </c>
      <c r="B483" s="1" t="s">
        <v>491</v>
      </c>
      <c r="C483" s="1" t="s">
        <v>682</v>
      </c>
      <c r="D483" s="2">
        <v>40829</v>
      </c>
      <c r="E483" s="3">
        <v>25.2</v>
      </c>
      <c r="F483" s="4">
        <f t="shared" ref="F483:F546" si="49">(E483-2*$A$20)*$A$21/$A$22*$A$23</f>
        <v>3552.8394540624386</v>
      </c>
      <c r="G483" s="2">
        <v>40200</v>
      </c>
      <c r="H483" s="7">
        <v>3.84</v>
      </c>
      <c r="I483" s="7">
        <f>H483+H484-2*$A$24</f>
        <v>7.06</v>
      </c>
      <c r="J483" s="7">
        <v>3.3</v>
      </c>
      <c r="K483" s="7">
        <v>5.78</v>
      </c>
      <c r="L483" s="6">
        <f t="shared" ref="L483:L546" si="50">(J483-$A$25)/I483</f>
        <v>0.32011331444759206</v>
      </c>
      <c r="M483" s="6">
        <f t="shared" ref="M483:M546" si="51">(K483-$A$26)/I483</f>
        <v>0.57790368271954673</v>
      </c>
      <c r="N483" s="6">
        <f t="shared" ref="N483:N546" si="52">1-L483-M483</f>
        <v>0.10198300283286121</v>
      </c>
      <c r="O483" s="4">
        <f t="shared" ref="O483:O546" si="53">F483*L483</f>
        <v>1137.3112133401007</v>
      </c>
      <c r="P483" s="4">
        <f t="shared" ref="P483:P546" si="54">F483*M483</f>
        <v>2053.1990046139872</v>
      </c>
      <c r="Q483" s="4">
        <f t="shared" ref="Q483:Q546" si="55">O483+P483</f>
        <v>3190.5102179540881</v>
      </c>
      <c r="V483" s="3"/>
      <c r="W483" s="3"/>
      <c r="Y483" s="7"/>
      <c r="Z483" s="7"/>
      <c r="AA483" s="7"/>
      <c r="AB483" s="7"/>
      <c r="AC483" s="9"/>
      <c r="AD483" s="9"/>
      <c r="AE483" s="9"/>
      <c r="AF483" s="3"/>
      <c r="AG483" s="3"/>
      <c r="AH483" s="3"/>
      <c r="AL483" s="11"/>
      <c r="AM483" s="3"/>
      <c r="AN483" s="3"/>
      <c r="AO483" s="11"/>
      <c r="AP483" s="7"/>
      <c r="AQ483" s="7"/>
      <c r="AR483" s="7"/>
      <c r="AS483" s="7"/>
      <c r="AT483" s="9"/>
      <c r="AU483" s="9"/>
      <c r="AV483" s="9"/>
      <c r="AW483" s="3"/>
      <c r="AX483" s="3"/>
      <c r="AY483" s="3"/>
    </row>
    <row r="484" spans="1:51" x14ac:dyDescent="0.25">
      <c r="A484">
        <v>451</v>
      </c>
      <c r="B484" s="1" t="s">
        <v>492</v>
      </c>
      <c r="C484" s="1" t="s">
        <v>682</v>
      </c>
      <c r="D484" s="2">
        <v>40829</v>
      </c>
      <c r="E484" s="3">
        <v>30.7</v>
      </c>
      <c r="F484" s="4">
        <f t="shared" si="49"/>
        <v>4400.9565112388027</v>
      </c>
      <c r="G484" s="2">
        <v>40200</v>
      </c>
      <c r="H484" s="7">
        <v>3.54</v>
      </c>
      <c r="I484" s="7">
        <f>H484+H483-2*$A$24</f>
        <v>7.06</v>
      </c>
      <c r="J484" s="7">
        <v>3.3</v>
      </c>
      <c r="K484" s="7">
        <v>5.78</v>
      </c>
      <c r="L484" s="6">
        <f t="shared" si="50"/>
        <v>0.32011331444759206</v>
      </c>
      <c r="M484" s="6">
        <f t="shared" si="51"/>
        <v>0.57790368271954673</v>
      </c>
      <c r="N484" s="6">
        <f t="shared" si="52"/>
        <v>0.10198300283286121</v>
      </c>
      <c r="O484" s="4">
        <f t="shared" si="53"/>
        <v>1408.8047755523646</v>
      </c>
      <c r="P484" s="4">
        <f t="shared" si="54"/>
        <v>2543.3289753334725</v>
      </c>
      <c r="Q484" s="4">
        <f t="shared" si="55"/>
        <v>3952.1337508858369</v>
      </c>
      <c r="V484" s="3"/>
      <c r="W484" s="3"/>
      <c r="Y484" s="7"/>
      <c r="Z484" s="7"/>
      <c r="AA484" s="7"/>
      <c r="AB484" s="7"/>
      <c r="AC484" s="9"/>
      <c r="AD484" s="9"/>
      <c r="AE484" s="9"/>
      <c r="AF484" s="3"/>
      <c r="AG484" s="3"/>
      <c r="AH484" s="3"/>
      <c r="AJ484" t="s">
        <v>946</v>
      </c>
      <c r="AK484" t="s">
        <v>682</v>
      </c>
      <c r="AL484" s="11">
        <f>D478</f>
        <v>40829</v>
      </c>
      <c r="AM484" s="3">
        <f>SUM(E478,E489)</f>
        <v>69.3</v>
      </c>
      <c r="AN484" s="3">
        <f>(AM484-4*$A$20)*$A$21/(2*$A$22)*$A$23</f>
        <v>5010.0587613927364</v>
      </c>
      <c r="AO484" s="11">
        <f>G478</f>
        <v>40200</v>
      </c>
      <c r="AP484" s="7">
        <f>SUM(H478,H489)</f>
        <v>6.1400000000000006</v>
      </c>
      <c r="AQ484" s="7">
        <f>SUM(I478,I489)</f>
        <v>11.64</v>
      </c>
      <c r="AR484" s="7">
        <f>SUM(J478,J489)</f>
        <v>5.88</v>
      </c>
      <c r="AS484" s="7">
        <f>SUM(K478,K489)</f>
        <v>10.16</v>
      </c>
      <c r="AT484" s="9">
        <f>(AR484-2*$A$25)/AQ484</f>
        <v>0.32646048109965631</v>
      </c>
      <c r="AU484" s="9">
        <f>(AS484-2*$A$26)/AQ484</f>
        <v>0.5807560137457044</v>
      </c>
      <c r="AV484" s="9">
        <f>1-AT484-AU484</f>
        <v>9.278350515463929E-2</v>
      </c>
      <c r="AW484" s="3">
        <f>AN484*AT484</f>
        <v>1635.5861935818209</v>
      </c>
      <c r="AX484" s="3">
        <f>AN484*AU484</f>
        <v>2909.6217548981867</v>
      </c>
      <c r="AY484" s="3">
        <f>AW484+AX484</f>
        <v>4545.2079484800079</v>
      </c>
    </row>
    <row r="485" spans="1:51" x14ac:dyDescent="0.25">
      <c r="A485">
        <v>452</v>
      </c>
      <c r="B485" s="1" t="s">
        <v>493</v>
      </c>
      <c r="C485" s="1" t="s">
        <v>682</v>
      </c>
      <c r="D485" s="2">
        <v>40829</v>
      </c>
      <c r="E485" s="3">
        <v>34.4</v>
      </c>
      <c r="F485" s="4">
        <f t="shared" si="49"/>
        <v>4971.5079860665373</v>
      </c>
      <c r="G485" s="2">
        <v>40200</v>
      </c>
      <c r="H485" s="7">
        <v>2.74</v>
      </c>
      <c r="I485" s="7">
        <f>H485+H482-2*$A$24</f>
        <v>5.32</v>
      </c>
      <c r="J485" s="7">
        <v>2.74</v>
      </c>
      <c r="K485" s="7">
        <v>4.74</v>
      </c>
      <c r="L485" s="6">
        <f t="shared" si="50"/>
        <v>0.31954887218045114</v>
      </c>
      <c r="M485" s="6">
        <f t="shared" si="51"/>
        <v>0.5714285714285714</v>
      </c>
      <c r="N485" s="6">
        <f t="shared" si="52"/>
        <v>0.10902255639097747</v>
      </c>
      <c r="O485" s="4">
        <f t="shared" si="53"/>
        <v>1588.639769983668</v>
      </c>
      <c r="P485" s="4">
        <f t="shared" si="54"/>
        <v>2840.8617063237357</v>
      </c>
      <c r="Q485" s="4">
        <f t="shared" si="55"/>
        <v>4429.5014763074032</v>
      </c>
      <c r="V485" s="3"/>
      <c r="W485" s="3"/>
      <c r="Y485" s="7"/>
      <c r="Z485" s="7"/>
      <c r="AA485" s="7"/>
      <c r="AB485" s="7"/>
      <c r="AC485" s="9"/>
      <c r="AD485" s="9"/>
      <c r="AE485" s="9"/>
      <c r="AF485" s="3"/>
      <c r="AG485" s="3"/>
      <c r="AH485" s="3"/>
      <c r="AL485" s="11"/>
      <c r="AM485" s="3"/>
      <c r="AN485" s="3"/>
      <c r="AO485" s="11"/>
      <c r="AP485" s="7"/>
      <c r="AQ485" s="7"/>
      <c r="AR485" s="7"/>
      <c r="AS485" s="7"/>
      <c r="AT485" s="9"/>
      <c r="AU485" s="9"/>
      <c r="AV485" s="9"/>
      <c r="AW485" s="3"/>
      <c r="AX485" s="3"/>
      <c r="AY485" s="3"/>
    </row>
    <row r="486" spans="1:51" x14ac:dyDescent="0.25">
      <c r="A486">
        <v>453</v>
      </c>
      <c r="B486" s="1" t="s">
        <v>494</v>
      </c>
      <c r="C486" s="1" t="s">
        <v>682</v>
      </c>
      <c r="D486" s="2">
        <v>40829</v>
      </c>
      <c r="E486" s="3">
        <v>36.700000000000003</v>
      </c>
      <c r="F486" s="4">
        <f t="shared" si="49"/>
        <v>5326.1751190675632</v>
      </c>
      <c r="G486" s="2">
        <v>40200</v>
      </c>
      <c r="H486" s="7">
        <v>2.96</v>
      </c>
      <c r="I486" s="7">
        <f>H486+H481-2*$A$24</f>
        <v>6.6599999999999993</v>
      </c>
      <c r="J486" s="7">
        <v>3.2</v>
      </c>
      <c r="K486" s="7">
        <v>5.52</v>
      </c>
      <c r="L486" s="6">
        <f t="shared" si="50"/>
        <v>0.3243243243243244</v>
      </c>
      <c r="M486" s="6">
        <f t="shared" si="51"/>
        <v>0.57357357357357353</v>
      </c>
      <c r="N486" s="6">
        <f t="shared" si="52"/>
        <v>0.10210210210210213</v>
      </c>
      <c r="O486" s="4">
        <f t="shared" si="53"/>
        <v>1727.4081467246156</v>
      </c>
      <c r="P486" s="4">
        <f t="shared" si="54"/>
        <v>3054.9532965222356</v>
      </c>
      <c r="Q486" s="4">
        <f t="shared" si="55"/>
        <v>4782.3614432468512</v>
      </c>
      <c r="V486" s="3"/>
      <c r="W486" s="3"/>
      <c r="Y486" s="7"/>
      <c r="Z486" s="7"/>
      <c r="AA486" s="7"/>
      <c r="AB486" s="7"/>
      <c r="AC486" s="9"/>
      <c r="AD486" s="9"/>
      <c r="AE486" s="9"/>
      <c r="AF486" s="3"/>
      <c r="AG486" s="3"/>
      <c r="AH486" s="3"/>
      <c r="AJ486" t="s">
        <v>947</v>
      </c>
      <c r="AK486" t="s">
        <v>682</v>
      </c>
      <c r="AL486" s="11">
        <f>D477</f>
        <v>40829</v>
      </c>
      <c r="AM486" s="3">
        <f>SUM(E477,E490)</f>
        <v>66</v>
      </c>
      <c r="AN486" s="3">
        <f>(AM486-4*$A$20)*$A$21/(2*$A$22)*$A$23</f>
        <v>4755.6236442398267</v>
      </c>
      <c r="AO486" s="11">
        <f>G477</f>
        <v>40200</v>
      </c>
      <c r="AP486" s="7">
        <f>SUM(H477,H490)</f>
        <v>6.98</v>
      </c>
      <c r="AQ486" s="7">
        <f>SUM(I477,I490)</f>
        <v>13.32</v>
      </c>
      <c r="AR486" s="7">
        <f>SUM(J477,J490)</f>
        <v>6.52</v>
      </c>
      <c r="AS486" s="7">
        <f>SUM(K477,K490)</f>
        <v>11.12</v>
      </c>
      <c r="AT486" s="9">
        <f>(AR486-2*$A$25)/AQ486</f>
        <v>0.33333333333333331</v>
      </c>
      <c r="AU486" s="9">
        <f>(AS486-2*$A$26)/AQ486</f>
        <v>0.57957957957957951</v>
      </c>
      <c r="AV486" s="9">
        <f>1-AT486-AU486</f>
        <v>8.7087087087087234E-2</v>
      </c>
      <c r="AW486" s="3">
        <f>AN486*AT486</f>
        <v>1585.2078814132756</v>
      </c>
      <c r="AX486" s="3">
        <f>AN486*AU486</f>
        <v>2756.2623523672264</v>
      </c>
      <c r="AY486" s="3">
        <f>AW486+AX486</f>
        <v>4341.470233780502</v>
      </c>
    </row>
    <row r="487" spans="1:51" x14ac:dyDescent="0.25">
      <c r="A487">
        <v>454</v>
      </c>
      <c r="B487" s="1" t="s">
        <v>495</v>
      </c>
      <c r="C487" s="1" t="s">
        <v>682</v>
      </c>
      <c r="D487" s="2">
        <v>40829</v>
      </c>
      <c r="E487" s="3">
        <v>35.6</v>
      </c>
      <c r="F487" s="4">
        <f t="shared" si="49"/>
        <v>5156.5517076322894</v>
      </c>
      <c r="G487" s="2">
        <v>40200</v>
      </c>
      <c r="H487" s="7">
        <v>3.52</v>
      </c>
      <c r="I487" s="7">
        <f>H487+H480-2*$A$24</f>
        <v>6.06</v>
      </c>
      <c r="J487" s="7">
        <v>3.02</v>
      </c>
      <c r="K487" s="7">
        <v>5.18</v>
      </c>
      <c r="L487" s="6">
        <f t="shared" si="50"/>
        <v>0.32673267326732675</v>
      </c>
      <c r="M487" s="6">
        <f t="shared" si="51"/>
        <v>0.57425742574257421</v>
      </c>
      <c r="N487" s="6">
        <f t="shared" si="52"/>
        <v>9.9009900990098987E-2</v>
      </c>
      <c r="O487" s="4">
        <f t="shared" si="53"/>
        <v>1684.8139242758966</v>
      </c>
      <c r="P487" s="4">
        <f t="shared" si="54"/>
        <v>2961.1881093333936</v>
      </c>
      <c r="Q487" s="4">
        <f t="shared" si="55"/>
        <v>4646.0020336092903</v>
      </c>
      <c r="V487" s="3"/>
      <c r="W487" s="3"/>
      <c r="Y487" s="7"/>
      <c r="Z487" s="7"/>
      <c r="AA487" s="7"/>
      <c r="AB487" s="7"/>
      <c r="AC487" s="9"/>
      <c r="AD487" s="9"/>
      <c r="AE487" s="9"/>
      <c r="AF487" s="3"/>
      <c r="AG487" s="3"/>
      <c r="AH487" s="3"/>
      <c r="AL487" s="11"/>
      <c r="AM487" s="3"/>
      <c r="AN487" s="3"/>
      <c r="AO487" s="11"/>
      <c r="AP487" s="7"/>
      <c r="AQ487" s="7"/>
      <c r="AR487" s="7"/>
      <c r="AS487" s="7"/>
      <c r="AT487" s="9"/>
      <c r="AU487" s="9"/>
      <c r="AV487" s="9"/>
      <c r="AW487" s="3"/>
      <c r="AX487" s="3"/>
      <c r="AY487" s="3"/>
    </row>
    <row r="488" spans="1:51" x14ac:dyDescent="0.25">
      <c r="A488">
        <v>455</v>
      </c>
      <c r="B488" s="1" t="s">
        <v>496</v>
      </c>
      <c r="C488" s="1" t="s">
        <v>682</v>
      </c>
      <c r="D488" s="2">
        <v>40829</v>
      </c>
      <c r="E488" s="3">
        <v>33.1</v>
      </c>
      <c r="F488" s="4">
        <f t="shared" si="49"/>
        <v>4771.0439543703069</v>
      </c>
      <c r="G488" s="2">
        <v>40200</v>
      </c>
      <c r="H488" s="7">
        <v>3.4</v>
      </c>
      <c r="I488" s="7">
        <f>H488+H479-2*$A$24</f>
        <v>6.84</v>
      </c>
      <c r="J488" s="7">
        <v>3.28</v>
      </c>
      <c r="K488" s="7">
        <v>5.6</v>
      </c>
      <c r="L488" s="6">
        <f t="shared" si="50"/>
        <v>0.32748538011695905</v>
      </c>
      <c r="M488" s="6">
        <f t="shared" si="51"/>
        <v>0.57017543859649111</v>
      </c>
      <c r="N488" s="6">
        <f t="shared" si="52"/>
        <v>0.10233918128654984</v>
      </c>
      <c r="O488" s="4">
        <f t="shared" si="53"/>
        <v>1562.4471429516793</v>
      </c>
      <c r="P488" s="4">
        <f t="shared" si="54"/>
        <v>2720.3320792462268</v>
      </c>
      <c r="Q488" s="4">
        <f t="shared" si="55"/>
        <v>4282.7792221979062</v>
      </c>
      <c r="V488" s="3"/>
      <c r="W488" s="3"/>
      <c r="Y488" s="7"/>
      <c r="Z488" s="7"/>
      <c r="AA488" s="7"/>
      <c r="AB488" s="7"/>
      <c r="AC488" s="9"/>
      <c r="AD488" s="9"/>
      <c r="AE488" s="9"/>
      <c r="AF488" s="3"/>
      <c r="AG488" s="3"/>
      <c r="AH488" s="3"/>
      <c r="AJ488" t="s">
        <v>948</v>
      </c>
      <c r="AK488" t="s">
        <v>682</v>
      </c>
      <c r="AL488" s="11">
        <f>D476</f>
        <v>40829</v>
      </c>
      <c r="AM488" s="3">
        <f>SUM(E476,E491)</f>
        <v>60.2</v>
      </c>
      <c r="AN488" s="3">
        <f>(AM488-4*$A$20)*$A$21/(2*$A$22)*$A$23</f>
        <v>4308.4346504559271</v>
      </c>
      <c r="AO488" s="11">
        <f>G476</f>
        <v>40200</v>
      </c>
      <c r="AP488" s="7">
        <f>SUM(H476,H491)</f>
        <v>7.2799999999999994</v>
      </c>
      <c r="AQ488" s="7">
        <f>SUM(I476,I491)</f>
        <v>13.919999999999998</v>
      </c>
      <c r="AR488" s="7">
        <f>SUM(J476,J491)</f>
        <v>6.64</v>
      </c>
      <c r="AS488" s="7">
        <f>SUM(K476,K491)</f>
        <v>11.36</v>
      </c>
      <c r="AT488" s="9">
        <f>(AR488-2*$A$25)/AQ488</f>
        <v>0.32758620689655171</v>
      </c>
      <c r="AU488" s="9">
        <f>(AS488-2*$A$26)/AQ488</f>
        <v>0.57183908045977017</v>
      </c>
      <c r="AV488" s="9">
        <f>1-AT488-AU488</f>
        <v>0.10057471264367812</v>
      </c>
      <c r="AW488" s="3">
        <f>AN488*AT488</f>
        <v>1411.3837648045278</v>
      </c>
      <c r="AX488" s="3">
        <f>AN488*AU488</f>
        <v>2463.7313087377288</v>
      </c>
      <c r="AY488" s="3">
        <f>AW488+AX488</f>
        <v>3875.1150735422566</v>
      </c>
    </row>
    <row r="489" spans="1:51" x14ac:dyDescent="0.25">
      <c r="A489">
        <v>456</v>
      </c>
      <c r="B489" s="1" t="s">
        <v>497</v>
      </c>
      <c r="C489" s="1" t="s">
        <v>682</v>
      </c>
      <c r="D489" s="2">
        <v>40829</v>
      </c>
      <c r="E489" s="3">
        <v>35.9</v>
      </c>
      <c r="F489" s="4">
        <f t="shared" si="49"/>
        <v>5202.8126380237272</v>
      </c>
      <c r="G489" s="2">
        <v>40200</v>
      </c>
      <c r="H489" s="7">
        <v>3.48</v>
      </c>
      <c r="I489" s="7">
        <f>H489+H478-2*$A$24</f>
        <v>5.82</v>
      </c>
      <c r="J489" s="7">
        <v>2.94</v>
      </c>
      <c r="K489" s="7">
        <v>5.08</v>
      </c>
      <c r="L489" s="6">
        <f t="shared" si="50"/>
        <v>0.32646048109965631</v>
      </c>
      <c r="M489" s="6">
        <f t="shared" si="51"/>
        <v>0.5807560137457044</v>
      </c>
      <c r="N489" s="6">
        <f t="shared" si="52"/>
        <v>9.278350515463929E-2</v>
      </c>
      <c r="O489" s="4">
        <f t="shared" si="53"/>
        <v>1698.512716880598</v>
      </c>
      <c r="P489" s="4">
        <f t="shared" si="54"/>
        <v>3021.5647279244322</v>
      </c>
      <c r="Q489" s="4">
        <f t="shared" si="55"/>
        <v>4720.0774448050306</v>
      </c>
      <c r="V489" s="3"/>
      <c r="W489" s="3"/>
      <c r="Y489" s="7"/>
      <c r="Z489" s="7"/>
      <c r="AA489" s="7"/>
      <c r="AB489" s="7"/>
      <c r="AC489" s="9"/>
      <c r="AD489" s="9"/>
      <c r="AE489" s="9"/>
      <c r="AF489" s="3"/>
      <c r="AG489" s="3"/>
      <c r="AH489" s="3"/>
      <c r="AL489" s="11"/>
      <c r="AM489" s="3"/>
      <c r="AN489" s="3"/>
      <c r="AO489" s="11"/>
      <c r="AP489" s="7"/>
      <c r="AQ489" s="7"/>
      <c r="AR489" s="7"/>
      <c r="AS489" s="7"/>
      <c r="AT489" s="9"/>
      <c r="AU489" s="9"/>
      <c r="AV489" s="9"/>
      <c r="AW489" s="3"/>
      <c r="AX489" s="3"/>
      <c r="AY489" s="3"/>
    </row>
    <row r="490" spans="1:51" x14ac:dyDescent="0.25">
      <c r="A490">
        <v>457</v>
      </c>
      <c r="B490" s="1" t="s">
        <v>498</v>
      </c>
      <c r="C490" s="1" t="s">
        <v>682</v>
      </c>
      <c r="D490" s="2">
        <v>40829</v>
      </c>
      <c r="E490" s="3">
        <v>36.9</v>
      </c>
      <c r="F490" s="4">
        <f t="shared" si="49"/>
        <v>5357.0157393285199</v>
      </c>
      <c r="G490" s="2">
        <v>40200</v>
      </c>
      <c r="H490" s="7">
        <v>3.64</v>
      </c>
      <c r="I490" s="7">
        <f>H490+H477-2*$A$24</f>
        <v>6.66</v>
      </c>
      <c r="J490" s="7">
        <v>3.26</v>
      </c>
      <c r="K490" s="7">
        <v>5.56</v>
      </c>
      <c r="L490" s="6">
        <f t="shared" si="50"/>
        <v>0.33333333333333331</v>
      </c>
      <c r="M490" s="6">
        <f t="shared" si="51"/>
        <v>0.57957957957957951</v>
      </c>
      <c r="N490" s="6">
        <f t="shared" si="52"/>
        <v>8.7087087087087234E-2</v>
      </c>
      <c r="O490" s="4">
        <f t="shared" si="53"/>
        <v>1785.6719131095065</v>
      </c>
      <c r="P490" s="4">
        <f t="shared" si="54"/>
        <v>3104.8169300012137</v>
      </c>
      <c r="Q490" s="4">
        <f t="shared" si="55"/>
        <v>4890.4888431107202</v>
      </c>
      <c r="V490" s="3"/>
      <c r="W490" s="3"/>
      <c r="Y490" s="7"/>
      <c r="Z490" s="7"/>
      <c r="AA490" s="7"/>
      <c r="AB490" s="7"/>
      <c r="AC490" s="9"/>
      <c r="AD490" s="9"/>
      <c r="AE490" s="9"/>
      <c r="AF490" s="3"/>
      <c r="AG490" s="3"/>
      <c r="AH490" s="3"/>
      <c r="AJ490" t="s">
        <v>949</v>
      </c>
      <c r="AK490" t="s">
        <v>682</v>
      </c>
      <c r="AL490" s="11">
        <f>D475</f>
        <v>40829</v>
      </c>
      <c r="AM490" s="3">
        <f>SUM(E475,E492)</f>
        <v>65.7</v>
      </c>
      <c r="AN490" s="3">
        <f>(AM490-4*$A$20)*$A$21/(2*$A$22)*$A$23</f>
        <v>4732.4931790441087</v>
      </c>
      <c r="AO490" s="11">
        <f>G475</f>
        <v>40200</v>
      </c>
      <c r="AP490" s="7">
        <f>SUM(H475,H492)</f>
        <v>6.62</v>
      </c>
      <c r="AQ490" s="7">
        <f>SUM(I475,I492)</f>
        <v>12.6</v>
      </c>
      <c r="AR490" s="7">
        <f>SUM(J475,J492)</f>
        <v>6.24</v>
      </c>
      <c r="AS490" s="7">
        <f>SUM(K475,K492)</f>
        <v>10.48</v>
      </c>
      <c r="AT490" s="9">
        <f>(AR490-2*$A$25)/AQ490</f>
        <v>0.33015873015873021</v>
      </c>
      <c r="AU490" s="9">
        <f>(AS490-2*$A$26)/AQ490</f>
        <v>0.56190476190476191</v>
      </c>
      <c r="AV490" s="9">
        <f>1-AT490-AU490</f>
        <v>0.10793650793650789</v>
      </c>
      <c r="AW490" s="3">
        <f>AN490*AT490</f>
        <v>1562.4739384780551</v>
      </c>
      <c r="AX490" s="3">
        <f>AN490*AU490</f>
        <v>2659.2104529866897</v>
      </c>
      <c r="AY490" s="3">
        <f>AW490+AX490</f>
        <v>4221.6843914647452</v>
      </c>
    </row>
    <row r="491" spans="1:51" x14ac:dyDescent="0.25">
      <c r="A491">
        <v>458</v>
      </c>
      <c r="B491" s="1" t="s">
        <v>499</v>
      </c>
      <c r="C491" s="1" t="s">
        <v>682</v>
      </c>
      <c r="D491" s="2">
        <v>40829</v>
      </c>
      <c r="E491" s="3">
        <v>32.1</v>
      </c>
      <c r="F491" s="4">
        <f t="shared" si="49"/>
        <v>4616.8408530655133</v>
      </c>
      <c r="G491" s="2">
        <v>40200</v>
      </c>
      <c r="H491" s="7">
        <v>3.86</v>
      </c>
      <c r="I491" s="7">
        <f>H491+H476-2*$A$24</f>
        <v>6.9599999999999991</v>
      </c>
      <c r="J491" s="7">
        <v>3.32</v>
      </c>
      <c r="K491" s="7">
        <v>5.68</v>
      </c>
      <c r="L491" s="6">
        <f t="shared" si="50"/>
        <v>0.32758620689655171</v>
      </c>
      <c r="M491" s="6">
        <f t="shared" si="51"/>
        <v>0.57183908045977017</v>
      </c>
      <c r="N491" s="6">
        <f t="shared" si="52"/>
        <v>0.10057471264367812</v>
      </c>
      <c r="O491" s="4">
        <f t="shared" si="53"/>
        <v>1512.4133829007715</v>
      </c>
      <c r="P491" s="4">
        <f t="shared" si="54"/>
        <v>2640.0900280460842</v>
      </c>
      <c r="Q491" s="4">
        <f t="shared" si="55"/>
        <v>4152.5034109468561</v>
      </c>
      <c r="V491" s="3"/>
      <c r="W491" s="3"/>
      <c r="Y491" s="7"/>
      <c r="Z491" s="7"/>
      <c r="AA491" s="7"/>
      <c r="AB491" s="7"/>
      <c r="AC491" s="9"/>
      <c r="AD491" s="9"/>
      <c r="AE491" s="9"/>
      <c r="AF491" s="3"/>
      <c r="AG491" s="3"/>
      <c r="AH491" s="3"/>
      <c r="AL491" s="11"/>
      <c r="AM491" s="3"/>
      <c r="AN491" s="3"/>
      <c r="AO491" s="11"/>
      <c r="AP491" s="7"/>
      <c r="AQ491" s="7"/>
      <c r="AR491" s="7"/>
      <c r="AS491" s="7"/>
      <c r="AT491" s="9"/>
      <c r="AU491" s="9"/>
      <c r="AV491" s="9"/>
      <c r="AW491" s="3"/>
      <c r="AX491" s="3"/>
      <c r="AY491" s="3"/>
    </row>
    <row r="492" spans="1:51" x14ac:dyDescent="0.25">
      <c r="A492">
        <v>459</v>
      </c>
      <c r="B492" s="1" t="s">
        <v>500</v>
      </c>
      <c r="C492" s="1" t="s">
        <v>682</v>
      </c>
      <c r="D492" s="2">
        <v>40829</v>
      </c>
      <c r="E492" s="3">
        <v>34</v>
      </c>
      <c r="F492" s="4">
        <f t="shared" si="49"/>
        <v>4909.8267455446203</v>
      </c>
      <c r="G492" s="2">
        <v>40200</v>
      </c>
      <c r="H492" s="7">
        <v>3.16</v>
      </c>
      <c r="I492" s="7">
        <f>H492+H475-2*$A$24</f>
        <v>6.3</v>
      </c>
      <c r="J492" s="7">
        <v>3.12</v>
      </c>
      <c r="K492" s="7">
        <v>5.24</v>
      </c>
      <c r="L492" s="6">
        <f t="shared" si="50"/>
        <v>0.33015873015873021</v>
      </c>
      <c r="M492" s="6">
        <f t="shared" si="51"/>
        <v>0.56190476190476191</v>
      </c>
      <c r="N492" s="6">
        <f t="shared" si="52"/>
        <v>0.10793650793650789</v>
      </c>
      <c r="O492" s="4">
        <f t="shared" si="53"/>
        <v>1621.0221636083827</v>
      </c>
      <c r="P492" s="4">
        <f t="shared" si="54"/>
        <v>2758.855028448882</v>
      </c>
      <c r="Q492" s="4">
        <f t="shared" si="55"/>
        <v>4379.8771920572644</v>
      </c>
      <c r="V492" s="3"/>
      <c r="W492" s="3"/>
      <c r="Y492" s="7"/>
      <c r="Z492" s="7"/>
      <c r="AA492" s="7"/>
      <c r="AB492" s="7"/>
      <c r="AC492" s="9"/>
      <c r="AD492" s="9"/>
      <c r="AE492" s="9"/>
      <c r="AF492" s="3"/>
      <c r="AG492" s="3"/>
      <c r="AH492" s="3"/>
      <c r="AJ492" t="s">
        <v>950</v>
      </c>
      <c r="AK492" t="s">
        <v>682</v>
      </c>
      <c r="AL492" s="11">
        <f>D474</f>
        <v>40829</v>
      </c>
      <c r="AM492" s="3">
        <f>SUM(E474,E493)</f>
        <v>47.7</v>
      </c>
      <c r="AN492" s="3">
        <f>(AM492-4*$A$20)*$A$21/(2*$A$22)*$A$23</f>
        <v>3344.665267300968</v>
      </c>
      <c r="AO492" s="11">
        <f>G474</f>
        <v>40200</v>
      </c>
      <c r="AP492" s="7">
        <f>SUM(H474,H493)</f>
        <v>8.26</v>
      </c>
      <c r="AQ492" s="7">
        <f>SUM(I474,I493)</f>
        <v>15.879999999999999</v>
      </c>
      <c r="AR492" s="7">
        <f>SUM(J474,J493)</f>
        <v>7.24</v>
      </c>
      <c r="AS492" s="7">
        <f>SUM(K474,K493)</f>
        <v>12.36</v>
      </c>
      <c r="AT492" s="9">
        <f>(AR492-2*$A$25)/AQ492</f>
        <v>0.32493702770780858</v>
      </c>
      <c r="AU492" s="9">
        <f>(AS492-2*$A$26)/AQ492</f>
        <v>0.5642317380352645</v>
      </c>
      <c r="AV492" s="9">
        <f>1-AT492-AU492</f>
        <v>0.11083123425692698</v>
      </c>
      <c r="AW492" s="3">
        <f>AN492*AT492</f>
        <v>1086.8055906343197</v>
      </c>
      <c r="AX492" s="3">
        <f>AN492*AU492</f>
        <v>1887.1662969154077</v>
      </c>
      <c r="AY492" s="3">
        <f>AW492+AX492</f>
        <v>2973.9718875497274</v>
      </c>
    </row>
    <row r="493" spans="1:51" x14ac:dyDescent="0.25">
      <c r="A493">
        <v>460</v>
      </c>
      <c r="B493" s="1" t="s">
        <v>501</v>
      </c>
      <c r="C493" s="1" t="s">
        <v>682</v>
      </c>
      <c r="D493" s="2">
        <v>40829</v>
      </c>
      <c r="E493" s="3">
        <v>23.700000000000003</v>
      </c>
      <c r="F493" s="4">
        <f t="shared" si="49"/>
        <v>3321.53480210525</v>
      </c>
      <c r="G493" s="2">
        <v>40200</v>
      </c>
      <c r="H493" s="7">
        <v>4.6399999999999997</v>
      </c>
      <c r="I493" s="7">
        <f>H493+H474-2*$A$24</f>
        <v>7.9399999999999995</v>
      </c>
      <c r="J493" s="7">
        <v>3.62</v>
      </c>
      <c r="K493" s="7">
        <v>6.18</v>
      </c>
      <c r="L493" s="6">
        <f t="shared" si="50"/>
        <v>0.32493702770780858</v>
      </c>
      <c r="M493" s="6">
        <f t="shared" si="51"/>
        <v>0.5642317380352645</v>
      </c>
      <c r="N493" s="6">
        <f t="shared" si="52"/>
        <v>0.11083123425692698</v>
      </c>
      <c r="O493" s="4">
        <f t="shared" si="53"/>
        <v>1079.2896460241241</v>
      </c>
      <c r="P493" s="4">
        <f t="shared" si="54"/>
        <v>1874.1153543364635</v>
      </c>
      <c r="Q493" s="4">
        <f t="shared" si="55"/>
        <v>2953.4050003605876</v>
      </c>
      <c r="V493" s="3"/>
      <c r="W493" s="3"/>
      <c r="Y493" s="7"/>
      <c r="Z493" s="7"/>
      <c r="AA493" s="7"/>
      <c r="AB493" s="7"/>
      <c r="AC493" s="9"/>
      <c r="AD493" s="9"/>
      <c r="AE493" s="9"/>
      <c r="AF493" s="3"/>
      <c r="AG493" s="3"/>
      <c r="AH493" s="3"/>
      <c r="AL493" s="11"/>
      <c r="AM493" s="3"/>
      <c r="AN493" s="3"/>
      <c r="AO493" s="11"/>
      <c r="AP493" s="7"/>
      <c r="AQ493" s="7"/>
      <c r="AR493" s="7"/>
      <c r="AS493" s="7"/>
      <c r="AT493" s="9"/>
      <c r="AU493" s="9"/>
      <c r="AV493" s="9"/>
      <c r="AW493" s="3"/>
      <c r="AX493" s="3"/>
      <c r="AY493" s="3"/>
    </row>
    <row r="494" spans="1:51" x14ac:dyDescent="0.25">
      <c r="A494">
        <v>461</v>
      </c>
      <c r="B494" s="1" t="s">
        <v>502</v>
      </c>
      <c r="C494" s="1" t="s">
        <v>682</v>
      </c>
      <c r="D494" s="2">
        <v>40829</v>
      </c>
      <c r="E494" s="3">
        <v>22.8</v>
      </c>
      <c r="F494" s="4">
        <f t="shared" si="49"/>
        <v>3182.7520109309348</v>
      </c>
      <c r="G494" s="2">
        <v>40200</v>
      </c>
      <c r="H494" s="7">
        <v>3.54</v>
      </c>
      <c r="I494" s="7">
        <f>H494+H513-2*$A$24</f>
        <v>6.9399999999999995</v>
      </c>
      <c r="J494" s="7">
        <v>3.32</v>
      </c>
      <c r="K494" s="7">
        <v>5.78</v>
      </c>
      <c r="L494" s="6">
        <f t="shared" si="50"/>
        <v>0.32853025936599423</v>
      </c>
      <c r="M494" s="6">
        <f t="shared" si="51"/>
        <v>0.58789625360230557</v>
      </c>
      <c r="N494" s="6">
        <f t="shared" si="52"/>
        <v>8.35734870317002E-2</v>
      </c>
      <c r="O494" s="4">
        <f t="shared" si="53"/>
        <v>1045.6303436487797</v>
      </c>
      <c r="P494" s="4">
        <f t="shared" si="54"/>
        <v>1871.1279833715009</v>
      </c>
      <c r="Q494" s="4">
        <f t="shared" si="55"/>
        <v>2916.7583270202804</v>
      </c>
      <c r="V494" s="3"/>
      <c r="W494" s="3"/>
      <c r="Y494" s="7"/>
      <c r="Z494" s="7"/>
      <c r="AA494" s="7"/>
      <c r="AB494" s="7"/>
      <c r="AC494" s="9"/>
      <c r="AD494" s="9"/>
      <c r="AE494" s="9"/>
      <c r="AF494" s="3"/>
      <c r="AG494" s="3"/>
      <c r="AH494" s="3"/>
      <c r="AJ494" t="s">
        <v>951</v>
      </c>
      <c r="AK494" t="s">
        <v>682</v>
      </c>
      <c r="AL494" s="11">
        <f>D503</f>
        <v>40829</v>
      </c>
      <c r="AM494" s="3">
        <f>SUM(E503,E504)</f>
        <v>52.900000000000006</v>
      </c>
      <c r="AN494" s="3">
        <f>(AM494-4*$A$20)*$A$21/(2*$A$22)*$A$23</f>
        <v>3745.5933306934312</v>
      </c>
      <c r="AO494" s="11">
        <f>G503</f>
        <v>40200</v>
      </c>
      <c r="AP494" s="7">
        <f>SUM(H503,H504)</f>
        <v>6.1</v>
      </c>
      <c r="AQ494" s="7">
        <f>SUM(I503,I504)</f>
        <v>11.559999999999999</v>
      </c>
      <c r="AR494" s="7">
        <f>SUM(J503,J504)</f>
        <v>5.88</v>
      </c>
      <c r="AS494" s="7">
        <f>SUM(K503,K504)</f>
        <v>10</v>
      </c>
      <c r="AT494" s="9">
        <f>(AR494-2*$A$25)/AQ494</f>
        <v>0.32871972318339104</v>
      </c>
      <c r="AU494" s="9">
        <f>(AS494-2*$A$26)/AQ494</f>
        <v>0.57093425605536341</v>
      </c>
      <c r="AV494" s="9">
        <f>1-AT494-AU494</f>
        <v>0.10034602076124555</v>
      </c>
      <c r="AW494" s="3">
        <f>AN494*AT494</f>
        <v>1231.2504028231003</v>
      </c>
      <c r="AX494" s="3">
        <f>AN494*AU494</f>
        <v>2138.487541745385</v>
      </c>
      <c r="AY494" s="3">
        <f>AW494+AX494</f>
        <v>3369.7379445684855</v>
      </c>
    </row>
    <row r="495" spans="1:51" x14ac:dyDescent="0.25">
      <c r="A495">
        <v>462</v>
      </c>
      <c r="B495" s="1" t="s">
        <v>503</v>
      </c>
      <c r="C495" s="1" t="s">
        <v>682</v>
      </c>
      <c r="D495" s="2">
        <v>40829</v>
      </c>
      <c r="E495" s="3">
        <v>29.6</v>
      </c>
      <c r="F495" s="4">
        <f t="shared" si="49"/>
        <v>4231.3330998035308</v>
      </c>
      <c r="G495" s="2">
        <v>40200</v>
      </c>
      <c r="H495" s="7">
        <v>3.74</v>
      </c>
      <c r="I495" s="7">
        <f>H495+H512-2*$A$24</f>
        <v>7.32</v>
      </c>
      <c r="J495" s="7">
        <v>3.42</v>
      </c>
      <c r="K495" s="7">
        <v>5.94</v>
      </c>
      <c r="L495" s="6">
        <f t="shared" si="50"/>
        <v>0.3251366120218579</v>
      </c>
      <c r="M495" s="6">
        <f t="shared" si="51"/>
        <v>0.57923497267759561</v>
      </c>
      <c r="N495" s="6">
        <f t="shared" si="52"/>
        <v>9.5628415300546443E-2</v>
      </c>
      <c r="O495" s="4">
        <f t="shared" si="53"/>
        <v>1375.7613084060658</v>
      </c>
      <c r="P495" s="4">
        <f t="shared" si="54"/>
        <v>2450.9361124545039</v>
      </c>
      <c r="Q495" s="4">
        <f t="shared" si="55"/>
        <v>3826.6974208605698</v>
      </c>
      <c r="V495" s="3"/>
      <c r="W495" s="3"/>
      <c r="Y495" s="7"/>
      <c r="Z495" s="7"/>
      <c r="AA495" s="7"/>
      <c r="AB495" s="7"/>
      <c r="AC495" s="9"/>
      <c r="AD495" s="9"/>
      <c r="AE495" s="9"/>
      <c r="AF495" s="3"/>
      <c r="AG495" s="3"/>
      <c r="AH495" s="3"/>
      <c r="AL495" s="11"/>
      <c r="AM495" s="3"/>
      <c r="AN495" s="3"/>
      <c r="AO495" s="11"/>
      <c r="AP495" s="7"/>
      <c r="AQ495" s="7"/>
      <c r="AR495" s="7"/>
      <c r="AS495" s="7"/>
      <c r="AT495" s="9"/>
      <c r="AU495" s="9"/>
      <c r="AV495" s="9"/>
      <c r="AW495" s="3"/>
      <c r="AX495" s="3"/>
      <c r="AY495" s="3"/>
    </row>
    <row r="496" spans="1:51" x14ac:dyDescent="0.25">
      <c r="A496">
        <v>463</v>
      </c>
      <c r="B496" s="1" t="s">
        <v>504</v>
      </c>
      <c r="C496" s="1" t="s">
        <v>682</v>
      </c>
      <c r="D496" s="2">
        <v>40829</v>
      </c>
      <c r="E496" s="3">
        <v>32</v>
      </c>
      <c r="F496" s="4">
        <f t="shared" si="49"/>
        <v>4601.4205429350341</v>
      </c>
      <c r="G496" s="2">
        <v>40200</v>
      </c>
      <c r="H496" s="7">
        <v>4.26</v>
      </c>
      <c r="I496" s="7">
        <f>H496+H511-2*$A$24</f>
        <v>7.9399999999999995</v>
      </c>
      <c r="J496" s="7">
        <v>3.58</v>
      </c>
      <c r="K496" s="7">
        <v>6.28</v>
      </c>
      <c r="L496" s="6">
        <f t="shared" si="50"/>
        <v>0.31989924433249373</v>
      </c>
      <c r="M496" s="6">
        <f t="shared" si="51"/>
        <v>0.57682619647355171</v>
      </c>
      <c r="N496" s="6">
        <f t="shared" si="52"/>
        <v>0.10327455919395456</v>
      </c>
      <c r="O496" s="4">
        <f t="shared" si="53"/>
        <v>1471.9909545409305</v>
      </c>
      <c r="P496" s="4">
        <f t="shared" si="54"/>
        <v>2654.2199101564811</v>
      </c>
      <c r="Q496" s="4">
        <f t="shared" si="55"/>
        <v>4126.210864697412</v>
      </c>
      <c r="V496" s="3"/>
      <c r="W496" s="3"/>
      <c r="Y496" s="7"/>
      <c r="Z496" s="7"/>
      <c r="AA496" s="7"/>
      <c r="AB496" s="7"/>
      <c r="AC496" s="9"/>
      <c r="AD496" s="9"/>
      <c r="AE496" s="9"/>
      <c r="AF496" s="3"/>
      <c r="AG496" s="3"/>
      <c r="AH496" s="3"/>
      <c r="AJ496" t="s">
        <v>952</v>
      </c>
      <c r="AK496" t="s">
        <v>682</v>
      </c>
      <c r="AL496" s="11">
        <f>D502</f>
        <v>40829</v>
      </c>
      <c r="AM496" s="3">
        <f>SUM(E502,E505)</f>
        <v>54.9</v>
      </c>
      <c r="AN496" s="3">
        <f>(AM496-4*$A$20)*$A$21/(2*$A$22)*$A$23</f>
        <v>3899.7964319982243</v>
      </c>
      <c r="AO496" s="11">
        <f>G502</f>
        <v>40200</v>
      </c>
      <c r="AP496" s="7">
        <f>SUM(H502,H505)</f>
        <v>7.9399999999999995</v>
      </c>
      <c r="AQ496" s="7">
        <f>SUM(I502,I505)</f>
        <v>15.239999999999998</v>
      </c>
      <c r="AR496" s="7">
        <f>SUM(J502,J505)</f>
        <v>6.92</v>
      </c>
      <c r="AS496" s="7">
        <f>SUM(K502,K505)</f>
        <v>12.04</v>
      </c>
      <c r="AT496" s="9">
        <f>(AR496-2*$A$25)/AQ496</f>
        <v>0.31758530183727035</v>
      </c>
      <c r="AU496" s="9">
        <f>(AS496-2*$A$26)/AQ496</f>
        <v>0.56692913385826771</v>
      </c>
      <c r="AV496" s="9">
        <f>1-AT496-AU496</f>
        <v>0.115485564304462</v>
      </c>
      <c r="AW496" s="3">
        <f>AN496*AT496</f>
        <v>1238.518026960066</v>
      </c>
      <c r="AX496" s="3">
        <f>AN496*AU496</f>
        <v>2210.9082134163159</v>
      </c>
      <c r="AY496" s="3">
        <f>AW496+AX496</f>
        <v>3449.4262403763819</v>
      </c>
    </row>
    <row r="497" spans="1:51" x14ac:dyDescent="0.25">
      <c r="A497">
        <v>464</v>
      </c>
      <c r="B497" s="1" t="s">
        <v>505</v>
      </c>
      <c r="C497" s="1" t="s">
        <v>682</v>
      </c>
      <c r="D497" s="2">
        <v>40829</v>
      </c>
      <c r="E497" s="3">
        <v>31.8</v>
      </c>
      <c r="F497" s="4">
        <f t="shared" si="49"/>
        <v>4570.5799226740755</v>
      </c>
      <c r="G497" s="2">
        <v>40200</v>
      </c>
      <c r="H497" s="7">
        <v>2.74</v>
      </c>
      <c r="I497" s="7">
        <f>H497+H510-2*$A$24</f>
        <v>5.7799999999999994</v>
      </c>
      <c r="J497" s="7">
        <v>2.9</v>
      </c>
      <c r="K497" s="7">
        <v>4.96</v>
      </c>
      <c r="L497" s="6">
        <f t="shared" si="50"/>
        <v>0.3217993079584775</v>
      </c>
      <c r="M497" s="6">
        <f t="shared" si="51"/>
        <v>0.56401384083044981</v>
      </c>
      <c r="N497" s="6">
        <f t="shared" si="52"/>
        <v>0.11418685121107264</v>
      </c>
      <c r="O497" s="4">
        <f t="shared" si="53"/>
        <v>1470.809456085429</v>
      </c>
      <c r="P497" s="4">
        <f t="shared" si="54"/>
        <v>2577.8703370099456</v>
      </c>
      <c r="Q497" s="4">
        <f t="shared" si="55"/>
        <v>4048.6797930953744</v>
      </c>
      <c r="V497" s="3"/>
      <c r="W497" s="3"/>
      <c r="Y497" s="7"/>
      <c r="Z497" s="7"/>
      <c r="AA497" s="7"/>
      <c r="AB497" s="7"/>
      <c r="AC497" s="9"/>
      <c r="AD497" s="9"/>
      <c r="AE497" s="9"/>
      <c r="AF497" s="3"/>
      <c r="AG497" s="3"/>
      <c r="AH497" s="3"/>
      <c r="AL497" s="11"/>
      <c r="AM497" s="3"/>
      <c r="AN497" s="3"/>
      <c r="AO497" s="11"/>
      <c r="AP497" s="7"/>
      <c r="AQ497" s="7"/>
      <c r="AR497" s="7"/>
      <c r="AS497" s="7"/>
      <c r="AT497" s="9"/>
      <c r="AU497" s="9"/>
      <c r="AV497" s="9"/>
      <c r="AW497" s="3"/>
      <c r="AX497" s="3"/>
      <c r="AY497" s="3"/>
    </row>
    <row r="498" spans="1:51" x14ac:dyDescent="0.25">
      <c r="A498">
        <v>465</v>
      </c>
      <c r="B498" s="1" t="s">
        <v>506</v>
      </c>
      <c r="C498" s="1" t="s">
        <v>682</v>
      </c>
      <c r="D498" s="2">
        <v>40829</v>
      </c>
      <c r="E498" s="3">
        <v>29.200000000000003</v>
      </c>
      <c r="F498" s="4">
        <f t="shared" si="49"/>
        <v>4169.6518592816128</v>
      </c>
      <c r="G498" s="2">
        <v>40200</v>
      </c>
      <c r="H498" s="7">
        <v>3.8</v>
      </c>
      <c r="I498" s="7">
        <f>H498+H509-2*$A$24</f>
        <v>6.8599999999999994</v>
      </c>
      <c r="J498" s="7">
        <v>3.26</v>
      </c>
      <c r="K498" s="7">
        <v>5.68</v>
      </c>
      <c r="L498" s="6">
        <f t="shared" si="50"/>
        <v>0.32361516034985421</v>
      </c>
      <c r="M498" s="6">
        <f t="shared" si="51"/>
        <v>0.58017492711370255</v>
      </c>
      <c r="N498" s="6">
        <f t="shared" si="52"/>
        <v>9.6209912536443176E-2</v>
      </c>
      <c r="O498" s="4">
        <f t="shared" si="53"/>
        <v>1349.362555044487</v>
      </c>
      <c r="P498" s="4">
        <f t="shared" si="54"/>
        <v>2419.1274635482241</v>
      </c>
      <c r="Q498" s="4">
        <f t="shared" si="55"/>
        <v>3768.4900185927108</v>
      </c>
      <c r="V498" s="3"/>
      <c r="W498" s="3"/>
      <c r="Y498" s="7"/>
      <c r="Z498" s="7"/>
      <c r="AA498" s="7"/>
      <c r="AB498" s="7"/>
      <c r="AC498" s="9"/>
      <c r="AD498" s="9"/>
      <c r="AE498" s="9"/>
      <c r="AF498" s="3"/>
      <c r="AG498" s="3"/>
      <c r="AH498" s="3"/>
      <c r="AJ498" t="s">
        <v>953</v>
      </c>
      <c r="AK498" t="s">
        <v>682</v>
      </c>
      <c r="AL498" s="11">
        <f>D501</f>
        <v>40829</v>
      </c>
      <c r="AM498" s="3">
        <f>SUM(E501,E506)</f>
        <v>61.099999999999994</v>
      </c>
      <c r="AN498" s="3">
        <f>(AM498-4*$A$20)*$A$21/(2*$A$22)*$A$23</f>
        <v>4377.8260460430829</v>
      </c>
      <c r="AO498" s="11">
        <f>G501</f>
        <v>40200</v>
      </c>
      <c r="AP498" s="7">
        <f>SUM(H501,H506)</f>
        <v>6.96</v>
      </c>
      <c r="AQ498" s="7">
        <f>SUM(I501,I506)</f>
        <v>13.28</v>
      </c>
      <c r="AR498" s="7">
        <f>SUM(J501,J506)</f>
        <v>6.32</v>
      </c>
      <c r="AS498" s="7">
        <f>SUM(K501,K506)</f>
        <v>10.92</v>
      </c>
      <c r="AT498" s="9">
        <f>(AR498-2*$A$25)/AQ498</f>
        <v>0.31927710843373497</v>
      </c>
      <c r="AU498" s="9">
        <f>(AS498-2*$A$26)/AQ498</f>
        <v>0.5662650602409639</v>
      </c>
      <c r="AV498" s="9">
        <f>1-AT498-AU498</f>
        <v>0.11445783132530118</v>
      </c>
      <c r="AW498" s="3">
        <f>AN498*AT498</f>
        <v>1397.7396412065266</v>
      </c>
      <c r="AX498" s="3">
        <f>AN498*AU498</f>
        <v>2479.0099296870471</v>
      </c>
      <c r="AY498" s="3">
        <f>AW498+AX498</f>
        <v>3876.7495708935739</v>
      </c>
    </row>
    <row r="499" spans="1:51" x14ac:dyDescent="0.25">
      <c r="A499">
        <v>466</v>
      </c>
      <c r="B499" s="1" t="s">
        <v>507</v>
      </c>
      <c r="C499" s="1" t="s">
        <v>682</v>
      </c>
      <c r="D499" s="2">
        <v>40829</v>
      </c>
      <c r="E499" s="3">
        <v>28.1</v>
      </c>
      <c r="F499" s="4">
        <f t="shared" si="49"/>
        <v>4000.02844784634</v>
      </c>
      <c r="G499" s="2">
        <v>40200</v>
      </c>
      <c r="H499" s="7">
        <v>4.42</v>
      </c>
      <c r="I499" s="7">
        <f>H499+H508-2*$A$24</f>
        <v>7.74</v>
      </c>
      <c r="J499" s="7">
        <v>3.56</v>
      </c>
      <c r="K499" s="7">
        <v>6.18</v>
      </c>
      <c r="L499" s="6">
        <f t="shared" si="50"/>
        <v>0.32558139534883718</v>
      </c>
      <c r="M499" s="6">
        <f t="shared" si="51"/>
        <v>0.57881136950904388</v>
      </c>
      <c r="N499" s="6">
        <f t="shared" si="52"/>
        <v>9.5607235142118996E-2</v>
      </c>
      <c r="O499" s="4">
        <f t="shared" si="53"/>
        <v>1302.3348434848547</v>
      </c>
      <c r="P499" s="4">
        <f t="shared" si="54"/>
        <v>2315.2619439730752</v>
      </c>
      <c r="Q499" s="4">
        <f t="shared" si="55"/>
        <v>3617.5967874579301</v>
      </c>
      <c r="V499" s="3"/>
      <c r="W499" s="3"/>
      <c r="Y499" s="7"/>
      <c r="Z499" s="7"/>
      <c r="AA499" s="7"/>
      <c r="AB499" s="7"/>
      <c r="AC499" s="9"/>
      <c r="AD499" s="9"/>
      <c r="AE499" s="9"/>
      <c r="AF499" s="3"/>
      <c r="AG499" s="3"/>
      <c r="AH499" s="3"/>
      <c r="AL499" s="11"/>
      <c r="AM499" s="3"/>
      <c r="AN499" s="3"/>
      <c r="AO499" s="11"/>
      <c r="AP499" s="7"/>
      <c r="AQ499" s="7"/>
      <c r="AR499" s="7"/>
      <c r="AS499" s="7"/>
      <c r="AT499" s="9"/>
      <c r="AU499" s="9"/>
      <c r="AV499" s="9"/>
      <c r="AW499" s="3"/>
      <c r="AX499" s="3"/>
      <c r="AY499" s="3"/>
    </row>
    <row r="500" spans="1:51" x14ac:dyDescent="0.25">
      <c r="A500">
        <v>467</v>
      </c>
      <c r="B500" s="1" t="s">
        <v>508</v>
      </c>
      <c r="C500" s="1" t="s">
        <v>682</v>
      </c>
      <c r="D500" s="2">
        <v>40829</v>
      </c>
      <c r="E500" s="3">
        <v>33.099999999999994</v>
      </c>
      <c r="F500" s="4">
        <f t="shared" si="49"/>
        <v>4771.043954370306</v>
      </c>
      <c r="G500" s="2">
        <v>40200</v>
      </c>
      <c r="H500" s="7">
        <v>3.66</v>
      </c>
      <c r="I500" s="7">
        <f>H500+H507-2*$A$24</f>
        <v>6.92</v>
      </c>
      <c r="J500" s="7">
        <v>3.34</v>
      </c>
      <c r="K500" s="7">
        <v>5.74</v>
      </c>
      <c r="L500" s="6">
        <f t="shared" si="50"/>
        <v>0.33236994219653176</v>
      </c>
      <c r="M500" s="6">
        <f t="shared" si="51"/>
        <v>0.58381502890173409</v>
      </c>
      <c r="N500" s="6">
        <f t="shared" si="52"/>
        <v>8.381502890173409E-2</v>
      </c>
      <c r="O500" s="4">
        <f t="shared" si="53"/>
        <v>1585.7516033311708</v>
      </c>
      <c r="P500" s="4">
        <f t="shared" si="54"/>
        <v>2785.4071641121441</v>
      </c>
      <c r="Q500" s="4">
        <f t="shared" si="55"/>
        <v>4371.1587674433149</v>
      </c>
      <c r="V500" s="3"/>
      <c r="W500" s="3"/>
      <c r="Y500" s="7"/>
      <c r="Z500" s="7"/>
      <c r="AA500" s="7"/>
      <c r="AB500" s="7"/>
      <c r="AC500" s="9"/>
      <c r="AD500" s="9"/>
      <c r="AE500" s="9"/>
      <c r="AF500" s="3"/>
      <c r="AG500" s="3"/>
      <c r="AH500" s="3"/>
      <c r="AJ500" t="s">
        <v>954</v>
      </c>
      <c r="AK500" t="s">
        <v>682</v>
      </c>
      <c r="AL500" s="11">
        <f>D500</f>
        <v>40829</v>
      </c>
      <c r="AM500" s="3">
        <f>SUM(E500,E507)</f>
        <v>62.099999999999994</v>
      </c>
      <c r="AN500" s="3">
        <f>(AM500-4*$A$20)*$A$21/(2*$A$22)*$A$23</f>
        <v>4454.9275966954801</v>
      </c>
      <c r="AO500" s="11">
        <f>G500</f>
        <v>40200</v>
      </c>
      <c r="AP500" s="7">
        <f>SUM(H500,H507)</f>
        <v>7.24</v>
      </c>
      <c r="AQ500" s="7">
        <f>SUM(I500,I507)</f>
        <v>13.84</v>
      </c>
      <c r="AR500" s="7">
        <f>SUM(J500,J507)</f>
        <v>6.68</v>
      </c>
      <c r="AS500" s="7">
        <f>SUM(K500,K507)</f>
        <v>11.48</v>
      </c>
      <c r="AT500" s="9">
        <f>(AR500-2*$A$25)/AQ500</f>
        <v>0.33236994219653176</v>
      </c>
      <c r="AU500" s="9">
        <f>(AS500-2*$A$26)/AQ500</f>
        <v>0.58381502890173409</v>
      </c>
      <c r="AV500" s="9">
        <f>1-AT500-AU500</f>
        <v>8.381502890173409E-2</v>
      </c>
      <c r="AW500" s="3">
        <f>AN500*AT500</f>
        <v>1480.6840278034108</v>
      </c>
      <c r="AX500" s="3">
        <f>AN500*AU500</f>
        <v>2600.8536836199046</v>
      </c>
      <c r="AY500" s="3">
        <f>AW500+AX500</f>
        <v>4081.5377114233152</v>
      </c>
    </row>
    <row r="501" spans="1:51" x14ac:dyDescent="0.25">
      <c r="A501">
        <v>468</v>
      </c>
      <c r="B501" s="1" t="s">
        <v>509</v>
      </c>
      <c r="C501" s="1" t="s">
        <v>682</v>
      </c>
      <c r="D501" s="2">
        <v>40829</v>
      </c>
      <c r="E501" s="3">
        <v>31.2</v>
      </c>
      <c r="F501" s="4">
        <f t="shared" si="49"/>
        <v>4478.058061891199</v>
      </c>
      <c r="G501" s="2">
        <v>40200</v>
      </c>
      <c r="H501" s="7">
        <v>3.46</v>
      </c>
      <c r="I501" s="7">
        <f>H501+H506-2*$A$24</f>
        <v>6.64</v>
      </c>
      <c r="J501" s="7">
        <v>3.16</v>
      </c>
      <c r="K501" s="7">
        <v>5.46</v>
      </c>
      <c r="L501" s="6">
        <f t="shared" si="50"/>
        <v>0.31927710843373497</v>
      </c>
      <c r="M501" s="6">
        <f t="shared" si="51"/>
        <v>0.5662650602409639</v>
      </c>
      <c r="N501" s="6">
        <f t="shared" si="52"/>
        <v>0.11445783132530118</v>
      </c>
      <c r="O501" s="4">
        <f t="shared" si="53"/>
        <v>1429.7414293989973</v>
      </c>
      <c r="P501" s="4">
        <f t="shared" si="54"/>
        <v>2535.767818179354</v>
      </c>
      <c r="Q501" s="4">
        <f t="shared" si="55"/>
        <v>3965.5092475783513</v>
      </c>
      <c r="V501" s="3"/>
      <c r="W501" s="3"/>
      <c r="Y501" s="7"/>
      <c r="Z501" s="7"/>
      <c r="AA501" s="7"/>
      <c r="AB501" s="7"/>
      <c r="AC501" s="9"/>
      <c r="AD501" s="9"/>
      <c r="AE501" s="9"/>
      <c r="AF501" s="3"/>
      <c r="AG501" s="3"/>
      <c r="AH501" s="3"/>
      <c r="AL501" s="11"/>
      <c r="AM501" s="3"/>
      <c r="AN501" s="3"/>
      <c r="AO501" s="11"/>
      <c r="AP501" s="7"/>
      <c r="AQ501" s="7"/>
      <c r="AR501" s="7"/>
      <c r="AS501" s="7"/>
      <c r="AT501" s="9"/>
      <c r="AU501" s="9"/>
      <c r="AV501" s="9"/>
      <c r="AW501" s="3"/>
      <c r="AX501" s="3"/>
      <c r="AY501" s="3"/>
    </row>
    <row r="502" spans="1:51" x14ac:dyDescent="0.25">
      <c r="A502">
        <v>469</v>
      </c>
      <c r="B502" s="1" t="s">
        <v>510</v>
      </c>
      <c r="C502" s="1" t="s">
        <v>682</v>
      </c>
      <c r="D502" s="2">
        <v>40829</v>
      </c>
      <c r="E502" s="3">
        <v>28</v>
      </c>
      <c r="F502" s="4">
        <f t="shared" si="49"/>
        <v>3984.6081377158603</v>
      </c>
      <c r="G502" s="2">
        <v>40200</v>
      </c>
      <c r="H502" s="7">
        <v>3.8</v>
      </c>
      <c r="I502" s="7">
        <f>H502+H505-2*$A$24</f>
        <v>7.6199999999999992</v>
      </c>
      <c r="J502" s="7">
        <v>3.46</v>
      </c>
      <c r="K502" s="7">
        <v>6.02</v>
      </c>
      <c r="L502" s="6">
        <f t="shared" si="50"/>
        <v>0.31758530183727035</v>
      </c>
      <c r="M502" s="6">
        <f t="shared" si="51"/>
        <v>0.56692913385826771</v>
      </c>
      <c r="N502" s="6">
        <f t="shared" si="52"/>
        <v>0.115485564304462</v>
      </c>
      <c r="O502" s="4">
        <f t="shared" si="53"/>
        <v>1265.4529781197352</v>
      </c>
      <c r="P502" s="4">
        <f t="shared" si="54"/>
        <v>2258.9904402798579</v>
      </c>
      <c r="Q502" s="4">
        <f t="shared" si="55"/>
        <v>3524.4434183995932</v>
      </c>
      <c r="V502" s="3"/>
      <c r="W502" s="3"/>
      <c r="Y502" s="7"/>
      <c r="Z502" s="7"/>
      <c r="AA502" s="7"/>
      <c r="AB502" s="7"/>
      <c r="AC502" s="9"/>
      <c r="AD502" s="9"/>
      <c r="AE502" s="9"/>
      <c r="AF502" s="3"/>
      <c r="AG502" s="3"/>
      <c r="AH502" s="3"/>
      <c r="AJ502" t="s">
        <v>955</v>
      </c>
      <c r="AK502" t="s">
        <v>682</v>
      </c>
      <c r="AL502" s="11">
        <f>D499</f>
        <v>40829</v>
      </c>
      <c r="AM502" s="3">
        <f>SUM(E499,E508)</f>
        <v>51.400000000000006</v>
      </c>
      <c r="AN502" s="3">
        <f>(AM502-4*$A$20)*$A$21/(2*$A$22)*$A$23</f>
        <v>3629.9410047148363</v>
      </c>
      <c r="AO502" s="11">
        <f>G499</f>
        <v>40200</v>
      </c>
      <c r="AP502" s="7">
        <f>SUM(H499,H508)</f>
        <v>8.06</v>
      </c>
      <c r="AQ502" s="7">
        <f>SUM(I499,I508)</f>
        <v>15.48</v>
      </c>
      <c r="AR502" s="7">
        <f>SUM(J499,J508)</f>
        <v>7.12</v>
      </c>
      <c r="AS502" s="7">
        <f>SUM(K499,K508)</f>
        <v>12.36</v>
      </c>
      <c r="AT502" s="9">
        <f>(AR502-2*$A$25)/AQ502</f>
        <v>0.32558139534883718</v>
      </c>
      <c r="AU502" s="9">
        <f>(AS502-2*$A$26)/AQ502</f>
        <v>0.57881136950904388</v>
      </c>
      <c r="AV502" s="9">
        <f>1-AT502-AU502</f>
        <v>9.5607235142118996E-2</v>
      </c>
      <c r="AW502" s="3">
        <f>AN502*AT502</f>
        <v>1181.8412573490164</v>
      </c>
      <c r="AX502" s="3">
        <f>AN502*AU502</f>
        <v>2101.0511241760291</v>
      </c>
      <c r="AY502" s="3">
        <f>AW502+AX502</f>
        <v>3282.8923815250455</v>
      </c>
    </row>
    <row r="503" spans="1:51" x14ac:dyDescent="0.25">
      <c r="A503">
        <v>470</v>
      </c>
      <c r="B503" s="1" t="s">
        <v>511</v>
      </c>
      <c r="C503" s="1" t="s">
        <v>682</v>
      </c>
      <c r="D503" s="2">
        <v>40829</v>
      </c>
      <c r="E503" s="3">
        <v>27.3</v>
      </c>
      <c r="F503" s="4">
        <f t="shared" si="49"/>
        <v>3876.665966802505</v>
      </c>
      <c r="G503" s="2">
        <v>40200</v>
      </c>
      <c r="H503" s="7">
        <v>3.08</v>
      </c>
      <c r="I503" s="7">
        <f>H503+H504-2*$A$24</f>
        <v>5.7799999999999994</v>
      </c>
      <c r="J503" s="7">
        <v>2.94</v>
      </c>
      <c r="K503" s="7">
        <v>5</v>
      </c>
      <c r="L503" s="6">
        <f t="shared" si="50"/>
        <v>0.32871972318339104</v>
      </c>
      <c r="M503" s="6">
        <f t="shared" si="51"/>
        <v>0.57093425605536341</v>
      </c>
      <c r="N503" s="6">
        <f t="shared" si="52"/>
        <v>0.10034602076124555</v>
      </c>
      <c r="O503" s="4">
        <f t="shared" si="53"/>
        <v>1274.3365634817924</v>
      </c>
      <c r="P503" s="4">
        <f t="shared" si="54"/>
        <v>2213.3213997315343</v>
      </c>
      <c r="Q503" s="4">
        <f t="shared" si="55"/>
        <v>3487.6579632133266</v>
      </c>
      <c r="V503" s="3"/>
      <c r="W503" s="3"/>
      <c r="Y503" s="7"/>
      <c r="Z503" s="7"/>
      <c r="AA503" s="7"/>
      <c r="AB503" s="7"/>
      <c r="AC503" s="9"/>
      <c r="AD503" s="9"/>
      <c r="AE503" s="9"/>
      <c r="AF503" s="3"/>
      <c r="AG503" s="3"/>
      <c r="AH503" s="3"/>
      <c r="AL503" s="11"/>
      <c r="AM503" s="3"/>
      <c r="AN503" s="3"/>
      <c r="AO503" s="11"/>
      <c r="AP503" s="7"/>
      <c r="AQ503" s="7"/>
      <c r="AR503" s="7"/>
      <c r="AS503" s="7"/>
      <c r="AT503" s="9"/>
      <c r="AU503" s="9"/>
      <c r="AV503" s="9"/>
      <c r="AW503" s="3"/>
      <c r="AX503" s="3"/>
      <c r="AY503" s="3"/>
    </row>
    <row r="504" spans="1:51" x14ac:dyDescent="0.25">
      <c r="A504">
        <v>471</v>
      </c>
      <c r="B504" s="1" t="s">
        <v>512</v>
      </c>
      <c r="C504" s="1" t="s">
        <v>682</v>
      </c>
      <c r="D504" s="2">
        <v>40829</v>
      </c>
      <c r="E504" s="3">
        <v>25.6</v>
      </c>
      <c r="F504" s="4">
        <f t="shared" si="49"/>
        <v>3614.5206945843565</v>
      </c>
      <c r="G504" s="2">
        <v>40200</v>
      </c>
      <c r="H504" s="7">
        <v>3.02</v>
      </c>
      <c r="I504" s="7">
        <f>H504+H503-2*$A$24</f>
        <v>5.7799999999999994</v>
      </c>
      <c r="J504" s="7">
        <v>2.94</v>
      </c>
      <c r="K504" s="7">
        <v>5</v>
      </c>
      <c r="L504" s="6">
        <f t="shared" si="50"/>
        <v>0.32871972318339104</v>
      </c>
      <c r="M504" s="6">
        <f t="shared" si="51"/>
        <v>0.57093425605536341</v>
      </c>
      <c r="N504" s="6">
        <f t="shared" si="52"/>
        <v>0.10034602076124555</v>
      </c>
      <c r="O504" s="4">
        <f t="shared" si="53"/>
        <v>1188.1642421644081</v>
      </c>
      <c r="P504" s="4">
        <f t="shared" si="54"/>
        <v>2063.6536837592348</v>
      </c>
      <c r="Q504" s="4">
        <f t="shared" si="55"/>
        <v>3251.8179259236431</v>
      </c>
      <c r="V504" s="3"/>
      <c r="W504" s="3"/>
      <c r="Y504" s="7"/>
      <c r="Z504" s="7"/>
      <c r="AA504" s="7"/>
      <c r="AB504" s="7"/>
      <c r="AC504" s="9"/>
      <c r="AD504" s="9"/>
      <c r="AE504" s="9"/>
      <c r="AF504" s="3"/>
      <c r="AG504" s="3"/>
      <c r="AH504" s="3"/>
      <c r="AJ504" t="s">
        <v>956</v>
      </c>
      <c r="AK504" t="s">
        <v>682</v>
      </c>
      <c r="AL504" s="11">
        <f>D498</f>
        <v>40829</v>
      </c>
      <c r="AM504" s="3">
        <f>SUM(E498,E509)</f>
        <v>56.7</v>
      </c>
      <c r="AN504" s="3">
        <f>(AM504-4*$A$20)*$A$21/(2*$A$22)*$A$23</f>
        <v>4038.5792231725381</v>
      </c>
      <c r="AO504" s="11">
        <f>G498</f>
        <v>40200</v>
      </c>
      <c r="AP504" s="7">
        <f>SUM(H498,H509)</f>
        <v>7.18</v>
      </c>
      <c r="AQ504" s="7">
        <f>SUM(I498,I509)</f>
        <v>13.719999999999999</v>
      </c>
      <c r="AR504" s="7">
        <f>SUM(J498,J509)</f>
        <v>6.52</v>
      </c>
      <c r="AS504" s="7">
        <f>SUM(K498,K509)</f>
        <v>11.36</v>
      </c>
      <c r="AT504" s="9">
        <f>(AR504-2*$A$25)/AQ504</f>
        <v>0.32361516034985421</v>
      </c>
      <c r="AU504" s="9">
        <f>(AS504-2*$A$26)/AQ504</f>
        <v>0.58017492711370255</v>
      </c>
      <c r="AV504" s="9">
        <f>1-AT504-AU504</f>
        <v>9.6209912536443176E-2</v>
      </c>
      <c r="AW504" s="3">
        <f>AN504*AT504</f>
        <v>1306.9454628925705</v>
      </c>
      <c r="AX504" s="3">
        <f>AN504*AU504</f>
        <v>2343.0824064470407</v>
      </c>
      <c r="AY504" s="3">
        <f>AW504+AX504</f>
        <v>3650.0278693396112</v>
      </c>
    </row>
    <row r="505" spans="1:51" x14ac:dyDescent="0.25">
      <c r="A505">
        <v>472</v>
      </c>
      <c r="B505" s="1" t="s">
        <v>513</v>
      </c>
      <c r="C505" s="1" t="s">
        <v>682</v>
      </c>
      <c r="D505" s="2">
        <v>40829</v>
      </c>
      <c r="E505" s="3">
        <v>26.9</v>
      </c>
      <c r="F505" s="4">
        <f t="shared" si="49"/>
        <v>3814.9847262805879</v>
      </c>
      <c r="G505" s="2">
        <v>40200</v>
      </c>
      <c r="H505" s="7">
        <v>4.1399999999999997</v>
      </c>
      <c r="I505" s="7">
        <f>H505+H502-2*$A$24</f>
        <v>7.6199999999999992</v>
      </c>
      <c r="J505" s="7">
        <v>3.46</v>
      </c>
      <c r="K505" s="7">
        <v>6.02</v>
      </c>
      <c r="L505" s="6">
        <f t="shared" si="50"/>
        <v>0.31758530183727035</v>
      </c>
      <c r="M505" s="6">
        <f t="shared" si="51"/>
        <v>0.56692913385826771</v>
      </c>
      <c r="N505" s="6">
        <f t="shared" si="52"/>
        <v>0.115485564304462</v>
      </c>
      <c r="O505" s="4">
        <f t="shared" si="53"/>
        <v>1211.5830758003967</v>
      </c>
      <c r="P505" s="4">
        <f t="shared" si="54"/>
        <v>2162.8259865527743</v>
      </c>
      <c r="Q505" s="4">
        <f t="shared" si="55"/>
        <v>3374.4090623531711</v>
      </c>
      <c r="V505" s="3"/>
      <c r="W505" s="3"/>
      <c r="Y505" s="7"/>
      <c r="Z505" s="7"/>
      <c r="AA505" s="7"/>
      <c r="AB505" s="7"/>
      <c r="AC505" s="9"/>
      <c r="AD505" s="9"/>
      <c r="AE505" s="9"/>
      <c r="AF505" s="3"/>
      <c r="AG505" s="3"/>
      <c r="AH505" s="3"/>
      <c r="AL505" s="11"/>
      <c r="AM505" s="3"/>
      <c r="AN505" s="3"/>
      <c r="AO505" s="11"/>
      <c r="AP505" s="7"/>
      <c r="AQ505" s="7"/>
      <c r="AR505" s="7"/>
      <c r="AS505" s="7"/>
      <c r="AT505" s="9"/>
      <c r="AU505" s="9"/>
      <c r="AV505" s="9"/>
      <c r="AW505" s="3"/>
      <c r="AX505" s="3"/>
      <c r="AY505" s="3"/>
    </row>
    <row r="506" spans="1:51" x14ac:dyDescent="0.25">
      <c r="A506">
        <v>473</v>
      </c>
      <c r="B506" s="1" t="s">
        <v>514</v>
      </c>
      <c r="C506" s="1" t="s">
        <v>682</v>
      </c>
      <c r="D506" s="2">
        <v>40829</v>
      </c>
      <c r="E506" s="3">
        <v>29.9</v>
      </c>
      <c r="F506" s="4">
        <f t="shared" si="49"/>
        <v>4277.5940301949677</v>
      </c>
      <c r="G506" s="2">
        <v>40200</v>
      </c>
      <c r="H506" s="7">
        <v>3.5</v>
      </c>
      <c r="I506" s="7">
        <f>H506+H501-2*$A$24</f>
        <v>6.64</v>
      </c>
      <c r="J506" s="7">
        <v>3.16</v>
      </c>
      <c r="K506" s="7">
        <v>5.46</v>
      </c>
      <c r="L506" s="6">
        <f t="shared" si="50"/>
        <v>0.31927710843373497</v>
      </c>
      <c r="M506" s="6">
        <f t="shared" si="51"/>
        <v>0.5662650602409639</v>
      </c>
      <c r="N506" s="6">
        <f t="shared" si="52"/>
        <v>0.11445783132530118</v>
      </c>
      <c r="O506" s="4">
        <f t="shared" si="53"/>
        <v>1365.7378530140561</v>
      </c>
      <c r="P506" s="4">
        <f t="shared" si="54"/>
        <v>2422.2520411947407</v>
      </c>
      <c r="Q506" s="4">
        <f t="shared" si="55"/>
        <v>3787.9898942087966</v>
      </c>
      <c r="V506" s="3"/>
      <c r="W506" s="3"/>
      <c r="Y506" s="7"/>
      <c r="Z506" s="7"/>
      <c r="AA506" s="7"/>
      <c r="AB506" s="7"/>
      <c r="AC506" s="9"/>
      <c r="AD506" s="9"/>
      <c r="AE506" s="9"/>
      <c r="AF506" s="3"/>
      <c r="AG506" s="3"/>
      <c r="AH506" s="3"/>
      <c r="AJ506" t="s">
        <v>957</v>
      </c>
      <c r="AK506" t="s">
        <v>682</v>
      </c>
      <c r="AL506" s="11">
        <f>D497</f>
        <v>40829</v>
      </c>
      <c r="AM506" s="3">
        <f>SUM(E497,E510)</f>
        <v>59.3</v>
      </c>
      <c r="AN506" s="3">
        <f>(AM506-4*$A$20)*$A$21/(2*$A$22)*$A$23</f>
        <v>4239.0432548687695</v>
      </c>
      <c r="AO506" s="11">
        <f>G497</f>
        <v>40200</v>
      </c>
      <c r="AP506" s="7">
        <f>SUM(H497,H510)</f>
        <v>6.1</v>
      </c>
      <c r="AQ506" s="7">
        <f>SUM(I497,I510)</f>
        <v>11.559999999999999</v>
      </c>
      <c r="AR506" s="7">
        <f>SUM(J497,J510)</f>
        <v>5.8</v>
      </c>
      <c r="AS506" s="7">
        <f>SUM(K497,K510)</f>
        <v>9.92</v>
      </c>
      <c r="AT506" s="9">
        <f>(AR506-2*$A$25)/AQ506</f>
        <v>0.3217993079584775</v>
      </c>
      <c r="AU506" s="9">
        <f>(AS506-2*$A$26)/AQ506</f>
        <v>0.56401384083044981</v>
      </c>
      <c r="AV506" s="9">
        <f>1-AT506-AU506</f>
        <v>0.11418685121107264</v>
      </c>
      <c r="AW506" s="3">
        <f>AN506*AT506</f>
        <v>1364.1211858228219</v>
      </c>
      <c r="AX506" s="3">
        <f>AN506*AU506</f>
        <v>2390.8790676249459</v>
      </c>
      <c r="AY506" s="3">
        <f>AW506+AX506</f>
        <v>3755.000253447768</v>
      </c>
    </row>
    <row r="507" spans="1:51" x14ac:dyDescent="0.25">
      <c r="A507">
        <v>474</v>
      </c>
      <c r="B507" s="1" t="s">
        <v>515</v>
      </c>
      <c r="C507" s="1" t="s">
        <v>682</v>
      </c>
      <c r="D507" s="2">
        <v>40829</v>
      </c>
      <c r="E507" s="3">
        <v>29</v>
      </c>
      <c r="F507" s="4">
        <f t="shared" si="49"/>
        <v>4138.8112390206534</v>
      </c>
      <c r="G507" s="2">
        <v>40200</v>
      </c>
      <c r="H507" s="7">
        <v>3.58</v>
      </c>
      <c r="I507" s="7">
        <f>H507+H500-2*$A$24</f>
        <v>6.92</v>
      </c>
      <c r="J507" s="7">
        <v>3.34</v>
      </c>
      <c r="K507" s="7">
        <v>5.74</v>
      </c>
      <c r="L507" s="6">
        <f t="shared" si="50"/>
        <v>0.33236994219653176</v>
      </c>
      <c r="M507" s="6">
        <f t="shared" si="51"/>
        <v>0.58381502890173409</v>
      </c>
      <c r="N507" s="6">
        <f t="shared" si="52"/>
        <v>8.381502890173409E-2</v>
      </c>
      <c r="O507" s="4">
        <f t="shared" si="53"/>
        <v>1375.6164522756505</v>
      </c>
      <c r="P507" s="4">
        <f t="shared" si="54"/>
        <v>2416.3002031276646</v>
      </c>
      <c r="Q507" s="4">
        <f t="shared" si="55"/>
        <v>3791.9166554033154</v>
      </c>
      <c r="V507" s="3"/>
      <c r="W507" s="3"/>
      <c r="Y507" s="7"/>
      <c r="Z507" s="7"/>
      <c r="AA507" s="7"/>
      <c r="AB507" s="7"/>
      <c r="AC507" s="9"/>
      <c r="AD507" s="9"/>
      <c r="AE507" s="9"/>
      <c r="AF507" s="3"/>
      <c r="AG507" s="3"/>
      <c r="AH507" s="3"/>
      <c r="AL507" s="11"/>
      <c r="AM507" s="3"/>
      <c r="AN507" s="3"/>
      <c r="AO507" s="11"/>
      <c r="AP507" s="7"/>
      <c r="AQ507" s="7"/>
      <c r="AR507" s="7"/>
      <c r="AS507" s="7"/>
      <c r="AT507" s="9"/>
      <c r="AU507" s="9"/>
      <c r="AV507" s="9"/>
      <c r="AW507" s="3"/>
      <c r="AX507" s="3"/>
      <c r="AY507" s="3"/>
    </row>
    <row r="508" spans="1:51" x14ac:dyDescent="0.25">
      <c r="A508">
        <v>475</v>
      </c>
      <c r="B508" s="1" t="s">
        <v>516</v>
      </c>
      <c r="C508" s="1" t="s">
        <v>682</v>
      </c>
      <c r="D508" s="2">
        <v>40829</v>
      </c>
      <c r="E508" s="3">
        <v>23.3</v>
      </c>
      <c r="F508" s="4">
        <f t="shared" si="49"/>
        <v>3259.8535615833316</v>
      </c>
      <c r="G508" s="2">
        <v>40200</v>
      </c>
      <c r="H508" s="7">
        <v>3.64</v>
      </c>
      <c r="I508" s="7">
        <f>H508+H499-2*$A$24</f>
        <v>7.74</v>
      </c>
      <c r="J508" s="7">
        <v>3.56</v>
      </c>
      <c r="K508" s="7">
        <v>6.18</v>
      </c>
      <c r="L508" s="6">
        <f t="shared" si="50"/>
        <v>0.32558139534883718</v>
      </c>
      <c r="M508" s="6">
        <f t="shared" si="51"/>
        <v>0.57881136950904388</v>
      </c>
      <c r="N508" s="6">
        <f t="shared" si="52"/>
        <v>9.5607235142118996E-2</v>
      </c>
      <c r="O508" s="4">
        <f t="shared" si="53"/>
        <v>1061.3476712131776</v>
      </c>
      <c r="P508" s="4">
        <f t="shared" si="54"/>
        <v>1886.8403043789824</v>
      </c>
      <c r="Q508" s="4">
        <f t="shared" si="55"/>
        <v>2948.18797559216</v>
      </c>
      <c r="V508" s="3"/>
      <c r="W508" s="3"/>
      <c r="Y508" s="7"/>
      <c r="Z508" s="7"/>
      <c r="AA508" s="7"/>
      <c r="AB508" s="7"/>
      <c r="AC508" s="9"/>
      <c r="AD508" s="9"/>
      <c r="AE508" s="9"/>
      <c r="AF508" s="3"/>
      <c r="AG508" s="3"/>
      <c r="AH508" s="3"/>
      <c r="AJ508" t="s">
        <v>958</v>
      </c>
      <c r="AK508" t="s">
        <v>682</v>
      </c>
      <c r="AL508" s="11">
        <f>D496</f>
        <v>40829</v>
      </c>
      <c r="AM508" s="3">
        <f>SUM(E496,E511)</f>
        <v>59.2</v>
      </c>
      <c r="AN508" s="3">
        <f>(AM508-4*$A$20)*$A$21/(2*$A$22)*$A$23</f>
        <v>4231.3330998035308</v>
      </c>
      <c r="AO508" s="11">
        <f>G496</f>
        <v>40200</v>
      </c>
      <c r="AP508" s="7">
        <f>SUM(H496,H511)</f>
        <v>8.26</v>
      </c>
      <c r="AQ508" s="7">
        <f>SUM(I496,I511)</f>
        <v>15.879999999999999</v>
      </c>
      <c r="AR508" s="7">
        <f>SUM(J496,J511)</f>
        <v>7.16</v>
      </c>
      <c r="AS508" s="7">
        <f>SUM(K496,K511)</f>
        <v>12.56</v>
      </c>
      <c r="AT508" s="9">
        <f>(AR508-2*$A$25)/AQ508</f>
        <v>0.31989924433249373</v>
      </c>
      <c r="AU508" s="9">
        <f>(AS508-2*$A$26)/AQ508</f>
        <v>0.57682619647355171</v>
      </c>
      <c r="AV508" s="9">
        <f>1-AT508-AU508</f>
        <v>0.10327455919395456</v>
      </c>
      <c r="AW508" s="3">
        <f>AN508*AT508</f>
        <v>1353.6002611462177</v>
      </c>
      <c r="AX508" s="3">
        <f>AN508*AU508</f>
        <v>2440.7437779723141</v>
      </c>
      <c r="AY508" s="3">
        <f>AW508+AX508</f>
        <v>3794.3440391185318</v>
      </c>
    </row>
    <row r="509" spans="1:51" x14ac:dyDescent="0.25">
      <c r="A509">
        <v>476</v>
      </c>
      <c r="B509" s="1" t="s">
        <v>517</v>
      </c>
      <c r="C509" s="1" t="s">
        <v>682</v>
      </c>
      <c r="D509" s="2">
        <v>40829</v>
      </c>
      <c r="E509" s="3">
        <v>27.5</v>
      </c>
      <c r="F509" s="4">
        <f t="shared" si="49"/>
        <v>3907.5065870634639</v>
      </c>
      <c r="G509" s="2">
        <v>40200</v>
      </c>
      <c r="H509" s="7">
        <v>3.38</v>
      </c>
      <c r="I509" s="7">
        <f>H509+H498-2*$A$24</f>
        <v>6.8599999999999994</v>
      </c>
      <c r="J509" s="7">
        <v>3.26</v>
      </c>
      <c r="K509" s="7">
        <v>5.68</v>
      </c>
      <c r="L509" s="6">
        <f t="shared" si="50"/>
        <v>0.32361516034985421</v>
      </c>
      <c r="M509" s="6">
        <f t="shared" si="51"/>
        <v>0.58017492711370255</v>
      </c>
      <c r="N509" s="6">
        <f t="shared" si="52"/>
        <v>9.6209912536443176E-2</v>
      </c>
      <c r="O509" s="4">
        <f t="shared" si="53"/>
        <v>1264.5283707406545</v>
      </c>
      <c r="P509" s="4">
        <f t="shared" si="54"/>
        <v>2267.0373493458578</v>
      </c>
      <c r="Q509" s="4">
        <f t="shared" si="55"/>
        <v>3531.5657200865126</v>
      </c>
      <c r="V509" s="3"/>
      <c r="W509" s="3"/>
      <c r="Y509" s="7"/>
      <c r="Z509" s="7"/>
      <c r="AA509" s="7"/>
      <c r="AB509" s="7"/>
      <c r="AC509" s="9"/>
      <c r="AD509" s="9"/>
      <c r="AE509" s="9"/>
      <c r="AF509" s="3"/>
      <c r="AG509" s="3"/>
      <c r="AH509" s="3"/>
      <c r="AL509" s="11"/>
      <c r="AM509" s="3"/>
      <c r="AN509" s="3"/>
      <c r="AO509" s="11"/>
      <c r="AP509" s="7"/>
      <c r="AQ509" s="7"/>
      <c r="AR509" s="7"/>
      <c r="AS509" s="7"/>
      <c r="AT509" s="9"/>
      <c r="AU509" s="9"/>
      <c r="AV509" s="9"/>
      <c r="AW509" s="3"/>
      <c r="AX509" s="3"/>
      <c r="AY509" s="3"/>
    </row>
    <row r="510" spans="1:51" x14ac:dyDescent="0.25">
      <c r="A510">
        <v>477</v>
      </c>
      <c r="B510" s="1" t="s">
        <v>518</v>
      </c>
      <c r="C510" s="1" t="s">
        <v>682</v>
      </c>
      <c r="D510" s="2">
        <v>40829</v>
      </c>
      <c r="E510" s="3">
        <v>27.5</v>
      </c>
      <c r="F510" s="4">
        <f t="shared" si="49"/>
        <v>3907.5065870634639</v>
      </c>
      <c r="G510" s="2">
        <v>40200</v>
      </c>
      <c r="H510" s="7">
        <v>3.36</v>
      </c>
      <c r="I510" s="7">
        <f>H510+H497-2*$A$24</f>
        <v>5.7799999999999994</v>
      </c>
      <c r="J510" s="7">
        <v>2.9</v>
      </c>
      <c r="K510" s="7">
        <v>4.96</v>
      </c>
      <c r="L510" s="6">
        <f t="shared" si="50"/>
        <v>0.3217993079584775</v>
      </c>
      <c r="M510" s="6">
        <f t="shared" si="51"/>
        <v>0.56401384083044981</v>
      </c>
      <c r="N510" s="6">
        <f t="shared" si="52"/>
        <v>0.11418685121107264</v>
      </c>
      <c r="O510" s="4">
        <f t="shared" si="53"/>
        <v>1257.432915560215</v>
      </c>
      <c r="P510" s="4">
        <f t="shared" si="54"/>
        <v>2203.8877982399467</v>
      </c>
      <c r="Q510" s="4">
        <f t="shared" si="55"/>
        <v>3461.3207138001617</v>
      </c>
      <c r="V510" s="3"/>
      <c r="W510" s="3"/>
      <c r="Y510" s="7"/>
      <c r="Z510" s="7"/>
      <c r="AA510" s="7"/>
      <c r="AB510" s="7"/>
      <c r="AC510" s="9"/>
      <c r="AD510" s="9"/>
      <c r="AE510" s="9"/>
      <c r="AF510" s="3"/>
      <c r="AG510" s="3"/>
      <c r="AH510" s="3"/>
      <c r="AJ510" t="s">
        <v>959</v>
      </c>
      <c r="AK510" t="s">
        <v>682</v>
      </c>
      <c r="AL510" s="11">
        <f>D495</f>
        <v>40829</v>
      </c>
      <c r="AM510" s="3">
        <f>SUM(E495,E512)</f>
        <v>57.6</v>
      </c>
      <c r="AN510" s="3">
        <f>(AM510-4*$A$20)*$A$21/(2*$A$22)*$A$23</f>
        <v>4107.9706187596958</v>
      </c>
      <c r="AO510" s="11">
        <f>G495</f>
        <v>40200</v>
      </c>
      <c r="AP510" s="7">
        <f>SUM(H495,H512)</f>
        <v>7.6400000000000006</v>
      </c>
      <c r="AQ510" s="7">
        <f>SUM(I495,I512)</f>
        <v>14.64</v>
      </c>
      <c r="AR510" s="7">
        <f>SUM(J495,J512)</f>
        <v>6.84</v>
      </c>
      <c r="AS510" s="7">
        <f>SUM(K495,K512)</f>
        <v>11.88</v>
      </c>
      <c r="AT510" s="9">
        <f>(AR510-2*$A$25)/AQ510</f>
        <v>0.3251366120218579</v>
      </c>
      <c r="AU510" s="9">
        <f>(AS510-2*$A$26)/AQ510</f>
        <v>0.57923497267759561</v>
      </c>
      <c r="AV510" s="9">
        <f>1-AT510-AU510</f>
        <v>9.5628415300546443E-2</v>
      </c>
      <c r="AW510" s="3">
        <f>AN510*AT510</f>
        <v>1335.6516492688627</v>
      </c>
      <c r="AX510" s="3">
        <f>AN510*AU510</f>
        <v>2379.4802491176379</v>
      </c>
      <c r="AY510" s="3">
        <f>AW510+AX510</f>
        <v>3715.1318983865003</v>
      </c>
    </row>
    <row r="511" spans="1:51" x14ac:dyDescent="0.25">
      <c r="A511">
        <v>478</v>
      </c>
      <c r="B511" s="1" t="s">
        <v>519</v>
      </c>
      <c r="C511" s="1" t="s">
        <v>682</v>
      </c>
      <c r="D511" s="2">
        <v>40829</v>
      </c>
      <c r="E511" s="3">
        <v>27.2</v>
      </c>
      <c r="F511" s="4">
        <f t="shared" si="49"/>
        <v>3861.2456566720261</v>
      </c>
      <c r="G511" s="2">
        <v>40200</v>
      </c>
      <c r="H511" s="7">
        <v>4</v>
      </c>
      <c r="I511" s="7">
        <f>H511+H496-2*$A$24</f>
        <v>7.9399999999999995</v>
      </c>
      <c r="J511" s="7">
        <v>3.58</v>
      </c>
      <c r="K511" s="7">
        <v>6.28</v>
      </c>
      <c r="L511" s="6">
        <f t="shared" si="50"/>
        <v>0.31989924433249373</v>
      </c>
      <c r="M511" s="6">
        <f t="shared" si="51"/>
        <v>0.57682619647355171</v>
      </c>
      <c r="N511" s="6">
        <f t="shared" si="52"/>
        <v>0.10327455919395456</v>
      </c>
      <c r="O511" s="4">
        <f t="shared" si="53"/>
        <v>1235.2095677515047</v>
      </c>
      <c r="P511" s="4">
        <f t="shared" si="54"/>
        <v>2227.2676457881462</v>
      </c>
      <c r="Q511" s="4">
        <f t="shared" si="55"/>
        <v>3462.4772135396506</v>
      </c>
      <c r="V511" s="3"/>
      <c r="W511" s="3"/>
      <c r="Y511" s="7"/>
      <c r="Z511" s="7"/>
      <c r="AA511" s="7"/>
      <c r="AB511" s="7"/>
      <c r="AC511" s="9"/>
      <c r="AD511" s="9"/>
      <c r="AE511" s="9"/>
      <c r="AF511" s="3"/>
      <c r="AG511" s="3"/>
      <c r="AH511" s="3"/>
      <c r="AL511" s="11"/>
      <c r="AM511" s="3"/>
      <c r="AN511" s="3"/>
      <c r="AO511" s="11"/>
      <c r="AP511" s="7"/>
      <c r="AQ511" s="7"/>
      <c r="AR511" s="7"/>
      <c r="AS511" s="7"/>
      <c r="AT511" s="9"/>
      <c r="AU511" s="9"/>
      <c r="AV511" s="9"/>
      <c r="AW511" s="3"/>
      <c r="AX511" s="3"/>
      <c r="AY511" s="3"/>
    </row>
    <row r="512" spans="1:51" x14ac:dyDescent="0.25">
      <c r="A512">
        <v>479</v>
      </c>
      <c r="B512" s="1" t="s">
        <v>520</v>
      </c>
      <c r="C512" s="1" t="s">
        <v>682</v>
      </c>
      <c r="D512" s="2">
        <v>40829</v>
      </c>
      <c r="E512" s="3">
        <v>28</v>
      </c>
      <c r="F512" s="4">
        <f t="shared" si="49"/>
        <v>3984.6081377158603</v>
      </c>
      <c r="G512" s="2">
        <v>40200</v>
      </c>
      <c r="H512" s="7">
        <v>3.9</v>
      </c>
      <c r="I512" s="7">
        <f>H512+H495-2*$A$24</f>
        <v>7.32</v>
      </c>
      <c r="J512" s="7">
        <v>3.42</v>
      </c>
      <c r="K512" s="7">
        <v>5.94</v>
      </c>
      <c r="L512" s="6">
        <f t="shared" si="50"/>
        <v>0.3251366120218579</v>
      </c>
      <c r="M512" s="6">
        <f t="shared" si="51"/>
        <v>0.57923497267759561</v>
      </c>
      <c r="N512" s="6">
        <f t="shared" si="52"/>
        <v>9.5628415300546443E-2</v>
      </c>
      <c r="O512" s="4">
        <f t="shared" si="53"/>
        <v>1295.5419901316593</v>
      </c>
      <c r="P512" s="4">
        <f t="shared" si="54"/>
        <v>2308.0243857807714</v>
      </c>
      <c r="Q512" s="4">
        <f t="shared" si="55"/>
        <v>3603.5663759124309</v>
      </c>
      <c r="V512" s="3"/>
      <c r="W512" s="3"/>
      <c r="Y512" s="7"/>
      <c r="Z512" s="7"/>
      <c r="AA512" s="7"/>
      <c r="AB512" s="7"/>
      <c r="AC512" s="9"/>
      <c r="AD512" s="9"/>
      <c r="AE512" s="9"/>
      <c r="AF512" s="3"/>
      <c r="AG512" s="3"/>
      <c r="AH512" s="3"/>
      <c r="AJ512" t="s">
        <v>960</v>
      </c>
      <c r="AK512" t="s">
        <v>682</v>
      </c>
      <c r="AL512" s="11">
        <f>D494</f>
        <v>40829</v>
      </c>
      <c r="AM512" s="3">
        <f>SUM(E494,E513)</f>
        <v>43.2</v>
      </c>
      <c r="AN512" s="3">
        <f>(AM512-4*$A$20)*$A$21/(2*$A$22)*$A$23</f>
        <v>2997.7082893651836</v>
      </c>
      <c r="AO512" s="11">
        <f>G494</f>
        <v>40200</v>
      </c>
      <c r="AP512" s="7">
        <f>SUM(H494,H513)</f>
        <v>7.26</v>
      </c>
      <c r="AQ512" s="7">
        <f>SUM(I494,I513)</f>
        <v>13.879999999999999</v>
      </c>
      <c r="AR512" s="7">
        <f>SUM(J494,J513)</f>
        <v>6.64</v>
      </c>
      <c r="AS512" s="7">
        <f>SUM(K494,K513)</f>
        <v>11.56</v>
      </c>
      <c r="AT512" s="9">
        <f>(AR512-2*$A$25)/AQ512</f>
        <v>0.32853025936599423</v>
      </c>
      <c r="AU512" s="9">
        <f>(AS512-2*$A$26)/AQ512</f>
        <v>0.58789625360230557</v>
      </c>
      <c r="AV512" s="9">
        <f>1-AT512-AU512</f>
        <v>8.35734870317002E-2</v>
      </c>
      <c r="AW512" s="3">
        <f>AN512*AT512</f>
        <v>984.83788180873466</v>
      </c>
      <c r="AX512" s="3">
        <f>AN512*AU512</f>
        <v>1762.3414727103677</v>
      </c>
      <c r="AY512" s="3">
        <f>AW512+AX512</f>
        <v>2747.1793545191022</v>
      </c>
    </row>
    <row r="513" spans="1:51" x14ac:dyDescent="0.25">
      <c r="A513">
        <v>480</v>
      </c>
      <c r="B513" s="1" t="s">
        <v>521</v>
      </c>
      <c r="C513" s="1" t="s">
        <v>682</v>
      </c>
      <c r="D513" s="2">
        <v>40829</v>
      </c>
      <c r="E513" s="3">
        <v>20.399999999999999</v>
      </c>
      <c r="F513" s="4">
        <f t="shared" si="49"/>
        <v>2812.6645677994306</v>
      </c>
      <c r="G513" s="2">
        <v>40200</v>
      </c>
      <c r="H513" s="7">
        <v>3.72</v>
      </c>
      <c r="I513" s="7">
        <f>H513+H494-2*$A$24</f>
        <v>6.9399999999999995</v>
      </c>
      <c r="J513" s="7">
        <v>3.32</v>
      </c>
      <c r="K513" s="7">
        <v>5.78</v>
      </c>
      <c r="L513" s="6">
        <f t="shared" si="50"/>
        <v>0.32853025936599423</v>
      </c>
      <c r="M513" s="6">
        <f t="shared" si="51"/>
        <v>0.58789625360230557</v>
      </c>
      <c r="N513" s="6">
        <f t="shared" si="52"/>
        <v>8.35734870317002E-2</v>
      </c>
      <c r="O513" s="4">
        <f t="shared" si="53"/>
        <v>924.04541996868898</v>
      </c>
      <c r="P513" s="4">
        <f t="shared" si="54"/>
        <v>1653.5549620492334</v>
      </c>
      <c r="Q513" s="4">
        <f t="shared" si="55"/>
        <v>2577.6003820179221</v>
      </c>
      <c r="V513" s="3"/>
      <c r="W513" s="3"/>
      <c r="Y513" s="7"/>
      <c r="Z513" s="7"/>
      <c r="AA513" s="7"/>
      <c r="AB513" s="7"/>
      <c r="AC513" s="9"/>
      <c r="AD513" s="9"/>
      <c r="AE513" s="9"/>
      <c r="AF513" s="3"/>
      <c r="AG513" s="3"/>
      <c r="AH513" s="3"/>
    </row>
    <row r="514" spans="1:51" x14ac:dyDescent="0.25">
      <c r="A514">
        <v>481</v>
      </c>
      <c r="B514" s="1" t="s">
        <v>522</v>
      </c>
      <c r="C514" s="1" t="s">
        <v>682</v>
      </c>
      <c r="D514" s="2">
        <v>40829</v>
      </c>
      <c r="E514" s="3">
        <v>29.9</v>
      </c>
      <c r="F514" s="4">
        <f t="shared" si="49"/>
        <v>4277.5940301949677</v>
      </c>
      <c r="G514" s="2">
        <v>40204</v>
      </c>
      <c r="H514" s="7">
        <v>3.48</v>
      </c>
      <c r="I514" s="7">
        <f>H514+H533-2*$A$24</f>
        <v>6.34</v>
      </c>
      <c r="J514" s="7">
        <v>3.16</v>
      </c>
      <c r="K514" s="7">
        <v>5.4</v>
      </c>
      <c r="L514" s="6">
        <f t="shared" si="50"/>
        <v>0.33438485804416407</v>
      </c>
      <c r="M514" s="6">
        <f t="shared" si="51"/>
        <v>0.58359621451104104</v>
      </c>
      <c r="N514" s="6">
        <f t="shared" si="52"/>
        <v>8.2018927444794887E-2</v>
      </c>
      <c r="O514" s="4">
        <f t="shared" si="53"/>
        <v>1430.3626725573079</v>
      </c>
      <c r="P514" s="4">
        <f t="shared" si="54"/>
        <v>2496.387683236811</v>
      </c>
      <c r="Q514" s="4">
        <f t="shared" si="55"/>
        <v>3926.7503557941191</v>
      </c>
      <c r="S514" t="s">
        <v>35</v>
      </c>
      <c r="T514" t="s">
        <v>682</v>
      </c>
      <c r="U514" s="8">
        <f>D514</f>
        <v>40829</v>
      </c>
      <c r="V514" s="3">
        <f>SUM(E514:E553)</f>
        <v>1239.5</v>
      </c>
      <c r="W514" s="3">
        <f>(V514-80*$A$20)*$A$21/(40*$A$22)*$A$23</f>
        <v>4445.2899028639295</v>
      </c>
      <c r="X514" s="8">
        <f>G514</f>
        <v>40204</v>
      </c>
      <c r="Y514" s="7">
        <f>SUM(H514:H553)</f>
        <v>144.44</v>
      </c>
      <c r="Z514" s="7">
        <f>SUM(I514:I553)</f>
        <v>276.08</v>
      </c>
      <c r="AA514" s="7">
        <f>SUM(J514:J553)</f>
        <v>134.16000000000005</v>
      </c>
      <c r="AB514" s="7">
        <f>SUM(K514:K553)</f>
        <v>227.52</v>
      </c>
      <c r="AC514" s="9">
        <f>(AA514-40*$A$25)/Z514</f>
        <v>0.33526514053897444</v>
      </c>
      <c r="AD514" s="9">
        <f>(AB514-40*$A$26)/Z514</f>
        <v>0.57780353520718641</v>
      </c>
      <c r="AE514" s="9">
        <f>1-AC514-AD514</f>
        <v>8.6931324253839204E-2</v>
      </c>
      <c r="AF514" s="3">
        <f>W514*AC514</f>
        <v>1490.3507440201593</v>
      </c>
      <c r="AG514" s="3">
        <f>W514*AD514</f>
        <v>2568.5042208955888</v>
      </c>
      <c r="AH514" s="3">
        <f>AF514+AG514</f>
        <v>4058.854964915748</v>
      </c>
      <c r="AJ514" t="s">
        <v>961</v>
      </c>
      <c r="AK514" t="s">
        <v>682</v>
      </c>
      <c r="AL514" s="11">
        <f>D523</f>
        <v>40829</v>
      </c>
      <c r="AM514" s="3">
        <f>SUM(E523,E524)</f>
        <v>57.400000000000006</v>
      </c>
      <c r="AN514" s="3">
        <f>(AM514-4*$A$20)*$A$21/(2*$A$22)*$A$23</f>
        <v>4092.550308629216</v>
      </c>
      <c r="AO514" s="11">
        <f>G523</f>
        <v>40204</v>
      </c>
      <c r="AP514" s="7">
        <f>SUM(H523,H524)</f>
        <v>7.1400000000000006</v>
      </c>
      <c r="AQ514" s="7">
        <f>SUM(I523,I524)</f>
        <v>13.64</v>
      </c>
      <c r="AR514" s="7">
        <f>SUM(J523,J524)</f>
        <v>6.68</v>
      </c>
      <c r="AS514" s="7">
        <f>SUM(K523,K524)</f>
        <v>11.16</v>
      </c>
      <c r="AT514" s="9">
        <f>(AR514-2*$A$25)/AQ514</f>
        <v>0.33724340175953077</v>
      </c>
      <c r="AU514" s="9">
        <f>(AS514-2*$A$26)/AQ514</f>
        <v>0.56891495601173014</v>
      </c>
      <c r="AV514" s="9">
        <f>1-AT514-AU514</f>
        <v>9.3841642228739142E-2</v>
      </c>
      <c r="AW514" s="3">
        <f>AN514*AT514</f>
        <v>1380.1855879541345</v>
      </c>
      <c r="AX514" s="3">
        <f>AN514*AU514</f>
        <v>2328.3130788095832</v>
      </c>
      <c r="AY514" s="3">
        <f>AW514+AX514</f>
        <v>3708.4986667637177</v>
      </c>
    </row>
    <row r="515" spans="1:51" x14ac:dyDescent="0.25">
      <c r="A515">
        <v>482</v>
      </c>
      <c r="B515" s="1" t="s">
        <v>523</v>
      </c>
      <c r="C515" s="1" t="s">
        <v>682</v>
      </c>
      <c r="D515" s="2">
        <v>40829</v>
      </c>
      <c r="E515" s="3">
        <v>29.7</v>
      </c>
      <c r="F515" s="4">
        <f t="shared" si="49"/>
        <v>4246.7534099340091</v>
      </c>
      <c r="G515" s="2">
        <v>40204</v>
      </c>
      <c r="H515" s="7">
        <v>3.22</v>
      </c>
      <c r="I515" s="7">
        <f>H515+H532-2*$A$24</f>
        <v>6.66</v>
      </c>
      <c r="J515" s="7">
        <v>3.26</v>
      </c>
      <c r="K515" s="7">
        <v>5.66</v>
      </c>
      <c r="L515" s="6">
        <f t="shared" si="50"/>
        <v>0.33333333333333331</v>
      </c>
      <c r="M515" s="6">
        <f t="shared" si="51"/>
        <v>0.59459459459459463</v>
      </c>
      <c r="N515" s="6">
        <f t="shared" si="52"/>
        <v>7.2072072072072113E-2</v>
      </c>
      <c r="O515" s="4">
        <f t="shared" si="53"/>
        <v>1415.584469978003</v>
      </c>
      <c r="P515" s="4">
        <f t="shared" si="54"/>
        <v>2525.0966221229246</v>
      </c>
      <c r="Q515" s="4">
        <f t="shared" si="55"/>
        <v>3940.6810921009273</v>
      </c>
      <c r="V515" s="3"/>
      <c r="W515" s="3"/>
      <c r="Y515" s="7"/>
      <c r="Z515" s="7"/>
      <c r="AA515" s="7"/>
      <c r="AB515" s="7"/>
      <c r="AC515" s="9"/>
      <c r="AD515" s="9"/>
      <c r="AE515" s="9"/>
      <c r="AF515" s="3"/>
      <c r="AG515" s="3"/>
      <c r="AH515" s="3"/>
      <c r="AL515" s="11"/>
      <c r="AM515" s="3"/>
      <c r="AN515" s="3"/>
      <c r="AO515" s="11"/>
      <c r="AP515" s="7"/>
      <c r="AQ515" s="7"/>
      <c r="AR515" s="7"/>
      <c r="AS515" s="7"/>
      <c r="AT515" s="9"/>
      <c r="AU515" s="9"/>
      <c r="AV515" s="9"/>
      <c r="AW515" s="3"/>
      <c r="AX515" s="3"/>
      <c r="AY515" s="3"/>
    </row>
    <row r="516" spans="1:51" x14ac:dyDescent="0.25">
      <c r="A516">
        <v>483</v>
      </c>
      <c r="B516" s="1" t="s">
        <v>524</v>
      </c>
      <c r="C516" s="1" t="s">
        <v>682</v>
      </c>
      <c r="D516" s="2">
        <v>40829</v>
      </c>
      <c r="E516" s="3">
        <v>30.2</v>
      </c>
      <c r="F516" s="4">
        <f t="shared" si="49"/>
        <v>4323.8549605864055</v>
      </c>
      <c r="G516" s="2">
        <v>40204</v>
      </c>
      <c r="H516" s="7">
        <v>3.46</v>
      </c>
      <c r="I516" s="7">
        <f>H516+H531-2*$A$24</f>
        <v>6.32</v>
      </c>
      <c r="J516" s="7">
        <v>3.16</v>
      </c>
      <c r="K516" s="7">
        <v>5.36</v>
      </c>
      <c r="L516" s="6">
        <f t="shared" si="50"/>
        <v>0.33544303797468356</v>
      </c>
      <c r="M516" s="6">
        <f t="shared" si="51"/>
        <v>0.57911392405063289</v>
      </c>
      <c r="N516" s="6">
        <f t="shared" si="52"/>
        <v>8.5443037974683556E-2</v>
      </c>
      <c r="O516" s="4">
        <f t="shared" si="53"/>
        <v>1450.4070437410094</v>
      </c>
      <c r="P516" s="4">
        <f t="shared" si="54"/>
        <v>2504.0046132509879</v>
      </c>
      <c r="Q516" s="4">
        <f t="shared" si="55"/>
        <v>3954.411656991997</v>
      </c>
      <c r="V516" s="3"/>
      <c r="W516" s="3"/>
      <c r="Y516" s="7"/>
      <c r="Z516" s="7"/>
      <c r="AA516" s="7"/>
      <c r="AB516" s="7"/>
      <c r="AC516" s="9"/>
      <c r="AD516" s="9"/>
      <c r="AE516" s="9"/>
      <c r="AF516" s="3"/>
      <c r="AG516" s="3"/>
      <c r="AH516" s="3"/>
      <c r="AJ516" t="s">
        <v>962</v>
      </c>
      <c r="AK516" t="s">
        <v>682</v>
      </c>
      <c r="AL516" s="11">
        <f>D522</f>
        <v>40829</v>
      </c>
      <c r="AM516" s="3">
        <f>SUM(E522,E525)</f>
        <v>61.7</v>
      </c>
      <c r="AN516" s="3">
        <f>(AM516-4*$A$20)*$A$21/(2*$A$22)*$A$23</f>
        <v>4424.0869764345216</v>
      </c>
      <c r="AO516" s="11">
        <f>G522</f>
        <v>40204</v>
      </c>
      <c r="AP516" s="7">
        <f>SUM(H522,H525)</f>
        <v>7.32</v>
      </c>
      <c r="AQ516" s="7">
        <f>SUM(I522,I525)</f>
        <v>14</v>
      </c>
      <c r="AR516" s="7">
        <f>SUM(J522,J525)</f>
        <v>6.76</v>
      </c>
      <c r="AS516" s="7">
        <f>SUM(K522,K525)</f>
        <v>11.44</v>
      </c>
      <c r="AT516" s="9">
        <f>(AR516-2*$A$25)/AQ516</f>
        <v>0.33428571428571424</v>
      </c>
      <c r="AU516" s="9">
        <f>(AS516-2*$A$26)/AQ516</f>
        <v>0.57428571428571418</v>
      </c>
      <c r="AV516" s="9">
        <f>1-AT516-AU516</f>
        <v>9.1428571428571526E-2</v>
      </c>
      <c r="AW516" s="3">
        <f>AN516*AT516</f>
        <v>1478.9090749795398</v>
      </c>
      <c r="AX516" s="3">
        <f>AN516*AU516</f>
        <v>2540.6899493238247</v>
      </c>
      <c r="AY516" s="3">
        <f>AW516+AX516</f>
        <v>4019.5990243033648</v>
      </c>
    </row>
    <row r="517" spans="1:51" x14ac:dyDescent="0.25">
      <c r="A517">
        <v>484</v>
      </c>
      <c r="B517" s="1" t="s">
        <v>525</v>
      </c>
      <c r="C517" s="1" t="s">
        <v>682</v>
      </c>
      <c r="D517" s="2">
        <v>40829</v>
      </c>
      <c r="E517" s="3">
        <v>29.7</v>
      </c>
      <c r="F517" s="4">
        <f t="shared" si="49"/>
        <v>4246.7534099340091</v>
      </c>
      <c r="G517" s="2">
        <v>40204</v>
      </c>
      <c r="H517" s="7">
        <v>4.0199999999999996</v>
      </c>
      <c r="I517" s="7">
        <f>H517+H530-2*$A$24</f>
        <v>7.5599999999999987</v>
      </c>
      <c r="J517" s="7">
        <v>3.62</v>
      </c>
      <c r="K517" s="7">
        <v>6.06</v>
      </c>
      <c r="L517" s="6">
        <f t="shared" si="50"/>
        <v>0.34126984126984133</v>
      </c>
      <c r="M517" s="6">
        <f t="shared" si="51"/>
        <v>0.57671957671957674</v>
      </c>
      <c r="N517" s="6">
        <f t="shared" si="52"/>
        <v>8.2010582010581867E-2</v>
      </c>
      <c r="O517" s="4">
        <f t="shared" si="53"/>
        <v>1449.2888621203367</v>
      </c>
      <c r="P517" s="4">
        <f t="shared" si="54"/>
        <v>2449.1858290095611</v>
      </c>
      <c r="Q517" s="4">
        <f t="shared" si="55"/>
        <v>3898.474691129898</v>
      </c>
      <c r="V517" s="3"/>
      <c r="W517" s="3"/>
      <c r="Y517" s="7"/>
      <c r="Z517" s="7"/>
      <c r="AA517" s="7"/>
      <c r="AB517" s="7"/>
      <c r="AC517" s="9"/>
      <c r="AD517" s="9"/>
      <c r="AE517" s="9"/>
      <c r="AF517" s="3"/>
      <c r="AG517" s="3"/>
      <c r="AH517" s="3"/>
      <c r="AL517" s="11"/>
      <c r="AM517" s="3"/>
      <c r="AN517" s="3"/>
      <c r="AO517" s="11"/>
      <c r="AP517" s="7"/>
      <c r="AQ517" s="7"/>
      <c r="AR517" s="7"/>
      <c r="AS517" s="7"/>
      <c r="AT517" s="9"/>
      <c r="AU517" s="9"/>
      <c r="AV517" s="9"/>
      <c r="AW517" s="3"/>
      <c r="AX517" s="3"/>
      <c r="AY517" s="3"/>
    </row>
    <row r="518" spans="1:51" x14ac:dyDescent="0.25">
      <c r="A518">
        <v>485</v>
      </c>
      <c r="B518" s="1" t="s">
        <v>526</v>
      </c>
      <c r="C518" s="1" t="s">
        <v>682</v>
      </c>
      <c r="D518" s="2">
        <v>40829</v>
      </c>
      <c r="E518" s="3">
        <v>30.9</v>
      </c>
      <c r="F518" s="4">
        <f t="shared" si="49"/>
        <v>4431.7971314997612</v>
      </c>
      <c r="G518" s="2">
        <v>40204</v>
      </c>
      <c r="H518" s="7">
        <v>2.86</v>
      </c>
      <c r="I518" s="7">
        <f>H518+H529-2*$A$24</f>
        <v>6.4399999999999995</v>
      </c>
      <c r="J518" s="7">
        <v>3.24</v>
      </c>
      <c r="K518" s="7">
        <v>5.4</v>
      </c>
      <c r="L518" s="6">
        <f t="shared" si="50"/>
        <v>0.34161490683229817</v>
      </c>
      <c r="M518" s="6">
        <f t="shared" si="51"/>
        <v>0.57453416149068326</v>
      </c>
      <c r="N518" s="6">
        <f t="shared" si="52"/>
        <v>8.3850931677018514E-2</v>
      </c>
      <c r="O518" s="4">
        <f t="shared" si="53"/>
        <v>1513.9679641769371</v>
      </c>
      <c r="P518" s="4">
        <f t="shared" si="54"/>
        <v>2546.2188488430306</v>
      </c>
      <c r="Q518" s="4">
        <f t="shared" si="55"/>
        <v>4060.1868130199678</v>
      </c>
      <c r="V518" s="3"/>
      <c r="W518" s="3"/>
      <c r="Y518" s="7"/>
      <c r="Z518" s="7"/>
      <c r="AA518" s="7"/>
      <c r="AB518" s="7"/>
      <c r="AC518" s="9"/>
      <c r="AD518" s="9"/>
      <c r="AE518" s="9"/>
      <c r="AF518" s="3"/>
      <c r="AG518" s="3"/>
      <c r="AH518" s="3"/>
      <c r="AJ518" t="s">
        <v>963</v>
      </c>
      <c r="AK518" t="s">
        <v>682</v>
      </c>
      <c r="AL518" s="11">
        <f>D521</f>
        <v>40829</v>
      </c>
      <c r="AM518" s="3">
        <f>SUM(E521,E526)</f>
        <v>70.399999999999991</v>
      </c>
      <c r="AN518" s="3">
        <f>(AM518-4*$A$20)*$A$21/(2*$A$22)*$A$23</f>
        <v>5094.8704671103715</v>
      </c>
      <c r="AO518" s="11">
        <f>G521</f>
        <v>40204</v>
      </c>
      <c r="AP518" s="7">
        <f>SUM(H521,H526)</f>
        <v>6.7200000000000006</v>
      </c>
      <c r="AQ518" s="7">
        <f>SUM(I521,I526)</f>
        <v>12.8</v>
      </c>
      <c r="AR518" s="7">
        <f>SUM(J521,J526)</f>
        <v>6.48</v>
      </c>
      <c r="AS518" s="7">
        <f>SUM(K521,K526)</f>
        <v>10.84</v>
      </c>
      <c r="AT518" s="9">
        <f>(AR518-2*$A$25)/AQ518</f>
        <v>0.34375</v>
      </c>
      <c r="AU518" s="9">
        <f>(AS518-2*$A$26)/AQ518</f>
        <v>0.58124999999999993</v>
      </c>
      <c r="AV518" s="9">
        <f>1-AT518-AU518</f>
        <v>7.5000000000000067E-2</v>
      </c>
      <c r="AW518" s="3">
        <f>AN518*AT518</f>
        <v>1751.3617230691902</v>
      </c>
      <c r="AX518" s="3">
        <f>AN518*AU518</f>
        <v>2961.3934590079029</v>
      </c>
      <c r="AY518" s="3">
        <f>AW518+AX518</f>
        <v>4712.7551820770932</v>
      </c>
    </row>
    <row r="519" spans="1:51" x14ac:dyDescent="0.25">
      <c r="A519">
        <v>486</v>
      </c>
      <c r="B519" s="1" t="s">
        <v>527</v>
      </c>
      <c r="C519" s="1" t="s">
        <v>682</v>
      </c>
      <c r="D519" s="2">
        <v>40829</v>
      </c>
      <c r="E519" s="3">
        <v>29.200000000000003</v>
      </c>
      <c r="F519" s="4">
        <f t="shared" si="49"/>
        <v>4169.6518592816128</v>
      </c>
      <c r="G519" s="2">
        <v>40204</v>
      </c>
      <c r="H519" s="7">
        <v>4.32</v>
      </c>
      <c r="I519" s="7">
        <f>H519+H528-2*$A$24</f>
        <v>7.879999999999999</v>
      </c>
      <c r="J519" s="7">
        <v>3.68</v>
      </c>
      <c r="K519" s="7">
        <v>6.24</v>
      </c>
      <c r="L519" s="6">
        <f t="shared" si="50"/>
        <v>0.33502538071065996</v>
      </c>
      <c r="M519" s="6">
        <f t="shared" si="51"/>
        <v>0.57614213197969555</v>
      </c>
      <c r="N519" s="6">
        <f t="shared" si="52"/>
        <v>8.8832487309644437E-2</v>
      </c>
      <c r="O519" s="4">
        <f t="shared" si="53"/>
        <v>1396.9392015867336</v>
      </c>
      <c r="P519" s="4">
        <f t="shared" si="54"/>
        <v>2402.31211181961</v>
      </c>
      <c r="Q519" s="4">
        <f t="shared" si="55"/>
        <v>3799.2513134063438</v>
      </c>
      <c r="V519" s="3"/>
      <c r="W519" s="3"/>
      <c r="Y519" s="7"/>
      <c r="Z519" s="7"/>
      <c r="AA519" s="7"/>
      <c r="AB519" s="7"/>
      <c r="AC519" s="9"/>
      <c r="AD519" s="9"/>
      <c r="AE519" s="9"/>
      <c r="AF519" s="3"/>
      <c r="AG519" s="3"/>
      <c r="AH519" s="3"/>
      <c r="AL519" s="11"/>
      <c r="AM519" s="3"/>
      <c r="AN519" s="3"/>
      <c r="AO519" s="11"/>
      <c r="AP519" s="7"/>
      <c r="AQ519" s="7"/>
      <c r="AR519" s="7"/>
      <c r="AS519" s="7"/>
      <c r="AT519" s="9"/>
      <c r="AU519" s="9"/>
      <c r="AV519" s="9"/>
      <c r="AW519" s="3"/>
      <c r="AX519" s="3"/>
      <c r="AY519" s="3"/>
    </row>
    <row r="520" spans="1:51" x14ac:dyDescent="0.25">
      <c r="A520">
        <v>487</v>
      </c>
      <c r="B520" s="1" t="s">
        <v>528</v>
      </c>
      <c r="C520" s="1" t="s">
        <v>682</v>
      </c>
      <c r="D520" s="2">
        <v>40829</v>
      </c>
      <c r="E520" s="3">
        <v>26.3</v>
      </c>
      <c r="F520" s="4">
        <f t="shared" si="49"/>
        <v>3722.4628654977114</v>
      </c>
      <c r="G520" s="2">
        <v>40204</v>
      </c>
      <c r="H520" s="7">
        <v>3.58</v>
      </c>
      <c r="I520" s="7">
        <f>H520+H527-2*$A$24</f>
        <v>6.6199999999999992</v>
      </c>
      <c r="J520" s="7">
        <v>3.3</v>
      </c>
      <c r="K520" s="7">
        <v>5.48</v>
      </c>
      <c r="L520" s="6">
        <f t="shared" si="50"/>
        <v>0.34138972809667673</v>
      </c>
      <c r="M520" s="6">
        <f t="shared" si="51"/>
        <v>0.57099697885196388</v>
      </c>
      <c r="N520" s="6">
        <f t="shared" si="52"/>
        <v>8.7613293051359453E-2</v>
      </c>
      <c r="O520" s="4">
        <f t="shared" si="53"/>
        <v>1270.8105855022397</v>
      </c>
      <c r="P520" s="4">
        <f t="shared" si="54"/>
        <v>2125.5150500878176</v>
      </c>
      <c r="Q520" s="4">
        <f t="shared" si="55"/>
        <v>3396.3256355900576</v>
      </c>
      <c r="V520" s="3"/>
      <c r="W520" s="3"/>
      <c r="Y520" s="7"/>
      <c r="Z520" s="7"/>
      <c r="AA520" s="7"/>
      <c r="AB520" s="7"/>
      <c r="AC520" s="9"/>
      <c r="AD520" s="9"/>
      <c r="AE520" s="9"/>
      <c r="AF520" s="3"/>
      <c r="AG520" s="3"/>
      <c r="AH520" s="3"/>
      <c r="AJ520" t="s">
        <v>964</v>
      </c>
      <c r="AK520" t="s">
        <v>682</v>
      </c>
      <c r="AL520" s="11">
        <f>D520</f>
        <v>40829</v>
      </c>
      <c r="AM520" s="3">
        <f>SUM(E520,E527)</f>
        <v>61.5</v>
      </c>
      <c r="AN520" s="3">
        <f>(AM520-4*$A$20)*$A$21/(2*$A$22)*$A$23</f>
        <v>4408.6666663040423</v>
      </c>
      <c r="AO520" s="11">
        <f>G520</f>
        <v>40204</v>
      </c>
      <c r="AP520" s="7">
        <f>SUM(H520,H527)</f>
        <v>6.9399999999999995</v>
      </c>
      <c r="AQ520" s="7">
        <f>SUM(I520,I527)</f>
        <v>13.239999999999998</v>
      </c>
      <c r="AR520" s="7">
        <f>SUM(J520,J527)</f>
        <v>6.6</v>
      </c>
      <c r="AS520" s="7">
        <f>SUM(K520,K527)</f>
        <v>10.96</v>
      </c>
      <c r="AT520" s="9">
        <f>(AR520-2*$A$25)/AQ520</f>
        <v>0.34138972809667673</v>
      </c>
      <c r="AU520" s="9">
        <f>(AS520-2*$A$26)/AQ520</f>
        <v>0.57099697885196388</v>
      </c>
      <c r="AV520" s="9">
        <f>1-AT520-AU520</f>
        <v>8.7613293051359453E-2</v>
      </c>
      <c r="AW520" s="3">
        <f>AN520*AT520</f>
        <v>1505.0735144784192</v>
      </c>
      <c r="AX520" s="3">
        <f>AN520*AU520</f>
        <v>2517.3353472249673</v>
      </c>
      <c r="AY520" s="3">
        <f>AW520+AX520</f>
        <v>4022.4088617033867</v>
      </c>
    </row>
    <row r="521" spans="1:51" x14ac:dyDescent="0.25">
      <c r="A521">
        <v>488</v>
      </c>
      <c r="B521" s="1" t="s">
        <v>529</v>
      </c>
      <c r="C521" s="1" t="s">
        <v>682</v>
      </c>
      <c r="D521" s="2">
        <v>40829</v>
      </c>
      <c r="E521" s="3">
        <v>32.299999999999997</v>
      </c>
      <c r="F521" s="4">
        <f t="shared" si="49"/>
        <v>4647.6814733264719</v>
      </c>
      <c r="G521" s="2">
        <v>40204</v>
      </c>
      <c r="H521" s="7">
        <v>3.7</v>
      </c>
      <c r="I521" s="7">
        <f>H521+H526-2*$A$24</f>
        <v>6.4</v>
      </c>
      <c r="J521" s="7">
        <v>3.24</v>
      </c>
      <c r="K521" s="7">
        <v>5.42</v>
      </c>
      <c r="L521" s="6">
        <f t="shared" si="50"/>
        <v>0.34375</v>
      </c>
      <c r="M521" s="6">
        <f t="shared" si="51"/>
        <v>0.58124999999999993</v>
      </c>
      <c r="N521" s="6">
        <f t="shared" si="52"/>
        <v>7.5000000000000067E-2</v>
      </c>
      <c r="O521" s="4">
        <f t="shared" si="53"/>
        <v>1597.6405064559747</v>
      </c>
      <c r="P521" s="4">
        <f t="shared" si="54"/>
        <v>2701.4648563710116</v>
      </c>
      <c r="Q521" s="4">
        <f t="shared" si="55"/>
        <v>4299.1053628269865</v>
      </c>
      <c r="V521" s="3"/>
      <c r="W521" s="3"/>
      <c r="Y521" s="7"/>
      <c r="Z521" s="7"/>
      <c r="AA521" s="7"/>
      <c r="AB521" s="7"/>
      <c r="AC521" s="9"/>
      <c r="AD521" s="9"/>
      <c r="AE521" s="9"/>
      <c r="AF521" s="3"/>
      <c r="AG521" s="3"/>
      <c r="AH521" s="3"/>
      <c r="AL521" s="11"/>
      <c r="AM521" s="3"/>
      <c r="AN521" s="3"/>
      <c r="AO521" s="11"/>
      <c r="AP521" s="7"/>
      <c r="AQ521" s="7"/>
      <c r="AR521" s="7"/>
      <c r="AS521" s="7"/>
      <c r="AT521" s="9"/>
      <c r="AU521" s="9"/>
      <c r="AV521" s="9"/>
      <c r="AW521" s="3"/>
      <c r="AX521" s="3"/>
      <c r="AY521" s="3"/>
    </row>
    <row r="522" spans="1:51" x14ac:dyDescent="0.25">
      <c r="A522">
        <v>489</v>
      </c>
      <c r="B522" s="1" t="s">
        <v>530</v>
      </c>
      <c r="C522" s="1" t="s">
        <v>682</v>
      </c>
      <c r="D522" s="2">
        <v>40829</v>
      </c>
      <c r="E522" s="3">
        <v>29.3</v>
      </c>
      <c r="F522" s="4">
        <f t="shared" si="49"/>
        <v>4185.0721694120921</v>
      </c>
      <c r="G522" s="2">
        <v>40204</v>
      </c>
      <c r="H522" s="7">
        <v>3.74</v>
      </c>
      <c r="I522" s="7">
        <f>H522+H525-2*$A$24</f>
        <v>7</v>
      </c>
      <c r="J522" s="7">
        <v>3.38</v>
      </c>
      <c r="K522" s="7">
        <v>5.72</v>
      </c>
      <c r="L522" s="6">
        <f t="shared" si="50"/>
        <v>0.33428571428571424</v>
      </c>
      <c r="M522" s="6">
        <f t="shared" si="51"/>
        <v>0.57428571428571418</v>
      </c>
      <c r="N522" s="6">
        <f t="shared" si="52"/>
        <v>9.1428571428571526E-2</v>
      </c>
      <c r="O522" s="4">
        <f t="shared" si="53"/>
        <v>1399.009839489185</v>
      </c>
      <c r="P522" s="4">
        <f t="shared" si="54"/>
        <v>2403.4271601480868</v>
      </c>
      <c r="Q522" s="4">
        <f t="shared" si="55"/>
        <v>3802.4369996372716</v>
      </c>
      <c r="V522" s="3"/>
      <c r="W522" s="3"/>
      <c r="Y522" s="7"/>
      <c r="Z522" s="7"/>
      <c r="AA522" s="7"/>
      <c r="AB522" s="7"/>
      <c r="AC522" s="9"/>
      <c r="AD522" s="9"/>
      <c r="AE522" s="9"/>
      <c r="AF522" s="3"/>
      <c r="AG522" s="3"/>
      <c r="AH522" s="3"/>
      <c r="AJ522" t="s">
        <v>965</v>
      </c>
      <c r="AK522" t="s">
        <v>682</v>
      </c>
      <c r="AL522" s="11">
        <f>D519</f>
        <v>40829</v>
      </c>
      <c r="AM522" s="3">
        <f>SUM(E519,E528)</f>
        <v>65.7</v>
      </c>
      <c r="AN522" s="3">
        <f>(AM522-4*$A$20)*$A$21/(2*$A$22)*$A$23</f>
        <v>4732.4931790441087</v>
      </c>
      <c r="AO522" s="11">
        <f>G519</f>
        <v>40204</v>
      </c>
      <c r="AP522" s="7">
        <f>SUM(H519,H528)</f>
        <v>8.1999999999999993</v>
      </c>
      <c r="AQ522" s="7">
        <f>SUM(I519,I528)</f>
        <v>15.759999999999998</v>
      </c>
      <c r="AR522" s="7">
        <f>SUM(J519,J528)</f>
        <v>7.36</v>
      </c>
      <c r="AS522" s="7">
        <f>SUM(K519,K528)</f>
        <v>12.48</v>
      </c>
      <c r="AT522" s="9">
        <f>(AR522-2*$A$25)/AQ522</f>
        <v>0.33502538071065996</v>
      </c>
      <c r="AU522" s="9">
        <f>(AS522-2*$A$26)/AQ522</f>
        <v>0.57614213197969555</v>
      </c>
      <c r="AV522" s="9">
        <f>1-AT522-AU522</f>
        <v>8.8832487309644437E-2</v>
      </c>
      <c r="AW522" s="3">
        <f>AN522*AT522</f>
        <v>1585.5053290198539</v>
      </c>
      <c r="AX522" s="3">
        <f>AN522*AU522</f>
        <v>2726.5887097538398</v>
      </c>
      <c r="AY522" s="3">
        <f>AW522+AX522</f>
        <v>4312.0940387736937</v>
      </c>
    </row>
    <row r="523" spans="1:51" x14ac:dyDescent="0.25">
      <c r="A523">
        <v>490</v>
      </c>
      <c r="B523" s="1" t="s">
        <v>531</v>
      </c>
      <c r="C523" s="1" t="s">
        <v>682</v>
      </c>
      <c r="D523" s="2">
        <v>40829</v>
      </c>
      <c r="E523" s="3">
        <v>25.2</v>
      </c>
      <c r="F523" s="4">
        <f t="shared" si="49"/>
        <v>3552.8394540624386</v>
      </c>
      <c r="G523" s="2">
        <v>40204</v>
      </c>
      <c r="H523" s="7">
        <v>3.58</v>
      </c>
      <c r="I523" s="7">
        <f>H523+H524-2*$A$24</f>
        <v>6.82</v>
      </c>
      <c r="J523" s="7">
        <v>3.34</v>
      </c>
      <c r="K523" s="7">
        <v>5.58</v>
      </c>
      <c r="L523" s="6">
        <f t="shared" si="50"/>
        <v>0.33724340175953077</v>
      </c>
      <c r="M523" s="6">
        <f t="shared" si="51"/>
        <v>0.56891495601173014</v>
      </c>
      <c r="N523" s="6">
        <f t="shared" si="52"/>
        <v>9.3841642228739142E-2</v>
      </c>
      <c r="O523" s="4">
        <f t="shared" si="53"/>
        <v>1198.1716633934909</v>
      </c>
      <c r="P523" s="4">
        <f t="shared" si="54"/>
        <v>2021.2635017246716</v>
      </c>
      <c r="Q523" s="4">
        <f t="shared" si="55"/>
        <v>3219.4351651181623</v>
      </c>
      <c r="V523" s="3"/>
      <c r="W523" s="3"/>
      <c r="Y523" s="7"/>
      <c r="Z523" s="7"/>
      <c r="AA523" s="7"/>
      <c r="AB523" s="7"/>
      <c r="AC523" s="9"/>
      <c r="AD523" s="9"/>
      <c r="AE523" s="9"/>
      <c r="AF523" s="3"/>
      <c r="AG523" s="3"/>
      <c r="AH523" s="3"/>
      <c r="AL523" s="11"/>
      <c r="AM523" s="3"/>
      <c r="AN523" s="3"/>
      <c r="AO523" s="11"/>
      <c r="AP523" s="7"/>
      <c r="AQ523" s="7"/>
      <c r="AR523" s="7"/>
      <c r="AS523" s="7"/>
      <c r="AT523" s="9"/>
      <c r="AU523" s="9"/>
      <c r="AV523" s="9"/>
      <c r="AW523" s="3"/>
      <c r="AX523" s="3"/>
      <c r="AY523" s="3"/>
    </row>
    <row r="524" spans="1:51" x14ac:dyDescent="0.25">
      <c r="A524">
        <v>491</v>
      </c>
      <c r="B524" s="1" t="s">
        <v>532</v>
      </c>
      <c r="C524" s="1" t="s">
        <v>682</v>
      </c>
      <c r="D524" s="2">
        <v>40829</v>
      </c>
      <c r="E524" s="3">
        <v>32.200000000000003</v>
      </c>
      <c r="F524" s="4">
        <f t="shared" si="49"/>
        <v>4632.2611631959926</v>
      </c>
      <c r="G524" s="2">
        <v>40204</v>
      </c>
      <c r="H524" s="7">
        <v>3.56</v>
      </c>
      <c r="I524" s="7">
        <f>H524+H523-2*$A$24</f>
        <v>6.82</v>
      </c>
      <c r="J524" s="7">
        <v>3.34</v>
      </c>
      <c r="K524" s="7">
        <v>5.58</v>
      </c>
      <c r="L524" s="6">
        <f t="shared" si="50"/>
        <v>0.33724340175953077</v>
      </c>
      <c r="M524" s="6">
        <f t="shared" si="51"/>
        <v>0.56891495601173014</v>
      </c>
      <c r="N524" s="6">
        <f t="shared" si="52"/>
        <v>9.3841642228739142E-2</v>
      </c>
      <c r="O524" s="4">
        <f t="shared" si="53"/>
        <v>1562.1995125147776</v>
      </c>
      <c r="P524" s="4">
        <f t="shared" si="54"/>
        <v>2635.3626558944939</v>
      </c>
      <c r="Q524" s="4">
        <f t="shared" si="55"/>
        <v>4197.5621684092712</v>
      </c>
      <c r="V524" s="3"/>
      <c r="W524" s="3"/>
      <c r="Y524" s="7"/>
      <c r="Z524" s="7"/>
      <c r="AA524" s="7"/>
      <c r="AB524" s="7"/>
      <c r="AC524" s="9"/>
      <c r="AD524" s="9"/>
      <c r="AE524" s="9"/>
      <c r="AF524" s="3"/>
      <c r="AG524" s="3"/>
      <c r="AH524" s="3"/>
      <c r="AJ524" t="s">
        <v>966</v>
      </c>
      <c r="AK524" t="s">
        <v>682</v>
      </c>
      <c r="AL524" s="11">
        <f>D518</f>
        <v>40829</v>
      </c>
      <c r="AM524" s="3">
        <f>SUM(E518,E529)</f>
        <v>82.199999999999989</v>
      </c>
      <c r="AN524" s="3">
        <f>(AM524-4*$A$20)*$A$21/(2*$A$22)*$A$23</f>
        <v>6004.6687648086527</v>
      </c>
      <c r="AO524" s="11">
        <f>G518</f>
        <v>40204</v>
      </c>
      <c r="AP524" s="7">
        <f>SUM(H518,H529)</f>
        <v>6.76</v>
      </c>
      <c r="AQ524" s="7">
        <f>SUM(I518,I529)</f>
        <v>12.879999999999999</v>
      </c>
      <c r="AR524" s="7">
        <f>SUM(J518,J529)</f>
        <v>6.48</v>
      </c>
      <c r="AS524" s="7">
        <f>SUM(K518,K529)</f>
        <v>10.8</v>
      </c>
      <c r="AT524" s="9">
        <f>(AR524-2*$A$25)/AQ524</f>
        <v>0.34161490683229817</v>
      </c>
      <c r="AU524" s="9">
        <f>(AS524-2*$A$26)/AQ524</f>
        <v>0.57453416149068326</v>
      </c>
      <c r="AV524" s="9">
        <f>1-AT524-AU524</f>
        <v>8.3850931677018514E-2</v>
      </c>
      <c r="AW524" s="3">
        <f>AN524*AT524</f>
        <v>2051.2843606489187</v>
      </c>
      <c r="AX524" s="3">
        <f>AN524*AU524</f>
        <v>3449.8873338186359</v>
      </c>
      <c r="AY524" s="3">
        <f>AW524+AX524</f>
        <v>5501.1716944675545</v>
      </c>
    </row>
    <row r="525" spans="1:51" x14ac:dyDescent="0.25">
      <c r="A525">
        <v>492</v>
      </c>
      <c r="B525" s="1" t="s">
        <v>533</v>
      </c>
      <c r="C525" s="1" t="s">
        <v>682</v>
      </c>
      <c r="D525" s="2">
        <v>40829</v>
      </c>
      <c r="E525" s="3">
        <v>32.4</v>
      </c>
      <c r="F525" s="4">
        <f t="shared" si="49"/>
        <v>4663.1017834569511</v>
      </c>
      <c r="G525" s="2">
        <v>40204</v>
      </c>
      <c r="H525" s="7">
        <v>3.58</v>
      </c>
      <c r="I525" s="7">
        <f>H525+H522-2*$A$24</f>
        <v>7</v>
      </c>
      <c r="J525" s="7">
        <v>3.38</v>
      </c>
      <c r="K525" s="7">
        <v>5.72</v>
      </c>
      <c r="L525" s="6">
        <f t="shared" si="50"/>
        <v>0.33428571428571424</v>
      </c>
      <c r="M525" s="6">
        <f t="shared" si="51"/>
        <v>0.57428571428571418</v>
      </c>
      <c r="N525" s="6">
        <f t="shared" si="52"/>
        <v>9.1428571428571526E-2</v>
      </c>
      <c r="O525" s="4">
        <f t="shared" si="53"/>
        <v>1558.8083104698949</v>
      </c>
      <c r="P525" s="4">
        <f t="shared" si="54"/>
        <v>2677.9527384995627</v>
      </c>
      <c r="Q525" s="4">
        <f t="shared" si="55"/>
        <v>4236.761048969458</v>
      </c>
      <c r="V525" s="3"/>
      <c r="W525" s="3"/>
      <c r="Y525" s="7"/>
      <c r="Z525" s="7"/>
      <c r="AA525" s="7"/>
      <c r="AB525" s="7"/>
      <c r="AC525" s="9"/>
      <c r="AD525" s="9"/>
      <c r="AE525" s="9"/>
      <c r="AF525" s="3"/>
      <c r="AG525" s="3"/>
      <c r="AH525" s="3"/>
      <c r="AL525" s="11"/>
      <c r="AM525" s="3"/>
      <c r="AN525" s="3"/>
      <c r="AO525" s="11"/>
      <c r="AP525" s="7"/>
      <c r="AQ525" s="7"/>
      <c r="AR525" s="7"/>
      <c r="AS525" s="7"/>
      <c r="AT525" s="9"/>
      <c r="AU525" s="9"/>
      <c r="AV525" s="9"/>
      <c r="AW525" s="3"/>
      <c r="AX525" s="3"/>
      <c r="AY525" s="3"/>
    </row>
    <row r="526" spans="1:51" x14ac:dyDescent="0.25">
      <c r="A526">
        <v>493</v>
      </c>
      <c r="B526" s="1" t="s">
        <v>534</v>
      </c>
      <c r="C526" s="1" t="s">
        <v>682</v>
      </c>
      <c r="D526" s="2">
        <v>40829</v>
      </c>
      <c r="E526" s="3">
        <v>38.099999999999994</v>
      </c>
      <c r="F526" s="4">
        <f t="shared" si="49"/>
        <v>5542.0594608942729</v>
      </c>
      <c r="G526" s="2">
        <v>40204</v>
      </c>
      <c r="H526" s="7">
        <v>3.02</v>
      </c>
      <c r="I526" s="7">
        <f>H526+H521-2*$A$24</f>
        <v>6.4</v>
      </c>
      <c r="J526" s="7">
        <v>3.24</v>
      </c>
      <c r="K526" s="7">
        <v>5.42</v>
      </c>
      <c r="L526" s="6">
        <f t="shared" si="50"/>
        <v>0.34375</v>
      </c>
      <c r="M526" s="6">
        <f t="shared" si="51"/>
        <v>0.58124999999999993</v>
      </c>
      <c r="N526" s="6">
        <f t="shared" si="52"/>
        <v>7.5000000000000067E-2</v>
      </c>
      <c r="O526" s="4">
        <f t="shared" si="53"/>
        <v>1905.0829396824063</v>
      </c>
      <c r="P526" s="4">
        <f t="shared" si="54"/>
        <v>3221.3220616447957</v>
      </c>
      <c r="Q526" s="4">
        <f t="shared" si="55"/>
        <v>5126.4050013272017</v>
      </c>
      <c r="V526" s="3"/>
      <c r="W526" s="3"/>
      <c r="Y526" s="7"/>
      <c r="Z526" s="7"/>
      <c r="AA526" s="7"/>
      <c r="AB526" s="7"/>
      <c r="AC526" s="9"/>
      <c r="AD526" s="9"/>
      <c r="AE526" s="9"/>
      <c r="AF526" s="3"/>
      <c r="AG526" s="3"/>
      <c r="AH526" s="3"/>
      <c r="AJ526" t="s">
        <v>967</v>
      </c>
      <c r="AK526" t="s">
        <v>682</v>
      </c>
      <c r="AL526" s="11">
        <f>D517</f>
        <v>40829</v>
      </c>
      <c r="AM526" s="3">
        <f>SUM(E517,E530)</f>
        <v>53</v>
      </c>
      <c r="AN526" s="3">
        <f>(AM526-4*$A$20)*$A$21/(2*$A$22)*$A$23</f>
        <v>3753.3034857586704</v>
      </c>
      <c r="AO526" s="11">
        <f>G517</f>
        <v>40204</v>
      </c>
      <c r="AP526" s="7">
        <f>SUM(H517,H530)</f>
        <v>7.879999999999999</v>
      </c>
      <c r="AQ526" s="7">
        <f>SUM(I517,I530)</f>
        <v>15.119999999999997</v>
      </c>
      <c r="AR526" s="7">
        <f>SUM(J517,J530)</f>
        <v>7.24</v>
      </c>
      <c r="AS526" s="7">
        <f>SUM(K517,K530)</f>
        <v>12.12</v>
      </c>
      <c r="AT526" s="9">
        <f>(AR526-2*$A$25)/AQ526</f>
        <v>0.34126984126984133</v>
      </c>
      <c r="AU526" s="9">
        <f>(AS526-2*$A$26)/AQ526</f>
        <v>0.57671957671957674</v>
      </c>
      <c r="AV526" s="9">
        <f>1-AT526-AU526</f>
        <v>8.2010582010581867E-2</v>
      </c>
      <c r="AW526" s="3">
        <f>AN526*AT526</f>
        <v>1280.8892848224036</v>
      </c>
      <c r="AX526" s="3">
        <f>AN526*AU526</f>
        <v>2164.6035976068524</v>
      </c>
      <c r="AY526" s="3">
        <f>AW526+AX526</f>
        <v>3445.492882429256</v>
      </c>
    </row>
    <row r="527" spans="1:51" x14ac:dyDescent="0.25">
      <c r="A527">
        <v>494</v>
      </c>
      <c r="B527" s="1" t="s">
        <v>535</v>
      </c>
      <c r="C527" s="1" t="s">
        <v>682</v>
      </c>
      <c r="D527" s="2">
        <v>40829</v>
      </c>
      <c r="E527" s="3">
        <v>35.200000000000003</v>
      </c>
      <c r="F527" s="4">
        <f t="shared" si="49"/>
        <v>5094.8704671103742</v>
      </c>
      <c r="G527" s="2">
        <v>40204</v>
      </c>
      <c r="H527" s="7">
        <v>3.36</v>
      </c>
      <c r="I527" s="7">
        <f>H527+H520-2*$A$24</f>
        <v>6.6199999999999992</v>
      </c>
      <c r="J527" s="7">
        <v>3.3</v>
      </c>
      <c r="K527" s="7">
        <v>5.48</v>
      </c>
      <c r="L527" s="6">
        <f t="shared" si="50"/>
        <v>0.34138972809667673</v>
      </c>
      <c r="M527" s="6">
        <f t="shared" si="51"/>
        <v>0.57099697885196388</v>
      </c>
      <c r="N527" s="6">
        <f t="shared" si="52"/>
        <v>8.7613293051359453E-2</v>
      </c>
      <c r="O527" s="4">
        <f t="shared" si="53"/>
        <v>1739.336443454599</v>
      </c>
      <c r="P527" s="4">
        <f t="shared" si="54"/>
        <v>2909.1556443621175</v>
      </c>
      <c r="Q527" s="4">
        <f t="shared" si="55"/>
        <v>4648.4920878167168</v>
      </c>
      <c r="V527" s="3"/>
      <c r="W527" s="3"/>
      <c r="Y527" s="7"/>
      <c r="Z527" s="7"/>
      <c r="AA527" s="7"/>
      <c r="AB527" s="7"/>
      <c r="AC527" s="9"/>
      <c r="AD527" s="9"/>
      <c r="AE527" s="9"/>
      <c r="AF527" s="3"/>
      <c r="AG527" s="3"/>
      <c r="AH527" s="3"/>
      <c r="AL527" s="11"/>
      <c r="AM527" s="3"/>
      <c r="AN527" s="3"/>
      <c r="AO527" s="11"/>
      <c r="AP527" s="7"/>
      <c r="AQ527" s="7"/>
      <c r="AR527" s="7"/>
      <c r="AS527" s="7"/>
      <c r="AT527" s="9"/>
      <c r="AU527" s="9"/>
      <c r="AV527" s="9"/>
      <c r="AW527" s="3"/>
      <c r="AX527" s="3"/>
      <c r="AY527" s="3"/>
    </row>
    <row r="528" spans="1:51" x14ac:dyDescent="0.25">
      <c r="A528">
        <v>495</v>
      </c>
      <c r="B528" s="1" t="s">
        <v>536</v>
      </c>
      <c r="C528" s="1" t="s">
        <v>682</v>
      </c>
      <c r="D528" s="2">
        <v>40829</v>
      </c>
      <c r="E528" s="3">
        <v>36.5</v>
      </c>
      <c r="F528" s="4">
        <f t="shared" si="49"/>
        <v>5295.3344988066046</v>
      </c>
      <c r="G528" s="2">
        <v>40204</v>
      </c>
      <c r="H528" s="7">
        <v>3.88</v>
      </c>
      <c r="I528" s="7">
        <f>H528+H519-2*$A$24</f>
        <v>7.879999999999999</v>
      </c>
      <c r="J528" s="7">
        <v>3.68</v>
      </c>
      <c r="K528" s="7">
        <v>6.24</v>
      </c>
      <c r="L528" s="6">
        <f t="shared" si="50"/>
        <v>0.33502538071065996</v>
      </c>
      <c r="M528" s="6">
        <f t="shared" si="51"/>
        <v>0.57614213197969555</v>
      </c>
      <c r="N528" s="6">
        <f t="shared" si="52"/>
        <v>8.8832487309644437E-2</v>
      </c>
      <c r="O528" s="4">
        <f t="shared" si="53"/>
        <v>1774.0714564529744</v>
      </c>
      <c r="P528" s="4">
        <f t="shared" si="54"/>
        <v>3050.8653076880696</v>
      </c>
      <c r="Q528" s="4">
        <f t="shared" si="55"/>
        <v>4824.9367641410445</v>
      </c>
      <c r="V528" s="3"/>
      <c r="W528" s="3"/>
      <c r="Y528" s="7"/>
      <c r="Z528" s="7"/>
      <c r="AA528" s="7"/>
      <c r="AB528" s="7"/>
      <c r="AC528" s="9"/>
      <c r="AD528" s="9"/>
      <c r="AE528" s="9"/>
      <c r="AF528" s="3"/>
      <c r="AG528" s="3"/>
      <c r="AH528" s="3"/>
      <c r="AJ528" t="s">
        <v>968</v>
      </c>
      <c r="AK528" t="s">
        <v>682</v>
      </c>
      <c r="AL528" s="11">
        <f>D516</f>
        <v>40829</v>
      </c>
      <c r="AM528" s="3">
        <f>SUM(E516,E531)</f>
        <v>66.8</v>
      </c>
      <c r="AN528" s="3">
        <f>(AM528-4*$A$20)*$A$21/(2*$A$22)*$A$23</f>
        <v>4817.3048847617447</v>
      </c>
      <c r="AO528" s="11">
        <f>G516</f>
        <v>40204</v>
      </c>
      <c r="AP528" s="7">
        <f>SUM(H516,H531)</f>
        <v>6.6400000000000006</v>
      </c>
      <c r="AQ528" s="7">
        <f>SUM(I516,I531)</f>
        <v>12.64</v>
      </c>
      <c r="AR528" s="7">
        <f>SUM(J516,J531)</f>
        <v>6.32</v>
      </c>
      <c r="AS528" s="7">
        <f>SUM(K516,K531)</f>
        <v>10.72</v>
      </c>
      <c r="AT528" s="9">
        <f>(AR528-2*$A$25)/AQ528</f>
        <v>0.33544303797468356</v>
      </c>
      <c r="AU528" s="9">
        <f>(AS528-2*$A$26)/AQ528</f>
        <v>0.57911392405063289</v>
      </c>
      <c r="AV528" s="9">
        <f>1-AT528-AU528</f>
        <v>8.5443037974683556E-2</v>
      </c>
      <c r="AW528" s="3">
        <f>AN528*AT528</f>
        <v>1615.9313853947624</v>
      </c>
      <c r="AX528" s="3">
        <f>AN528*AU528</f>
        <v>2789.7683351626561</v>
      </c>
      <c r="AY528" s="3">
        <f>AW528+AX528</f>
        <v>4405.6997205574189</v>
      </c>
    </row>
    <row r="529" spans="1:51" x14ac:dyDescent="0.25">
      <c r="A529">
        <v>496</v>
      </c>
      <c r="B529" s="1" t="s">
        <v>537</v>
      </c>
      <c r="C529" s="1" t="s">
        <v>682</v>
      </c>
      <c r="D529" s="2">
        <v>40829</v>
      </c>
      <c r="E529" s="3">
        <v>51.3</v>
      </c>
      <c r="F529" s="4">
        <f t="shared" si="49"/>
        <v>7577.5403981175459</v>
      </c>
      <c r="G529" s="2">
        <v>40204</v>
      </c>
      <c r="H529" s="7">
        <v>3.9</v>
      </c>
      <c r="I529" s="7">
        <f>H529+H518-2*$A$24</f>
        <v>6.4399999999999995</v>
      </c>
      <c r="J529" s="7">
        <v>3.24</v>
      </c>
      <c r="K529" s="7">
        <v>5.4</v>
      </c>
      <c r="L529" s="6">
        <f t="shared" si="50"/>
        <v>0.34161490683229817</v>
      </c>
      <c r="M529" s="6">
        <f t="shared" si="51"/>
        <v>0.57453416149068326</v>
      </c>
      <c r="N529" s="6">
        <f t="shared" si="52"/>
        <v>8.3850931677018514E-2</v>
      </c>
      <c r="O529" s="4">
        <f t="shared" si="53"/>
        <v>2588.6007571209011</v>
      </c>
      <c r="P529" s="4">
        <f t="shared" si="54"/>
        <v>4353.5558187942424</v>
      </c>
      <c r="Q529" s="4">
        <f t="shared" si="55"/>
        <v>6942.1565759151435</v>
      </c>
      <c r="V529" s="3"/>
      <c r="W529" s="3"/>
      <c r="Y529" s="7"/>
      <c r="Z529" s="7"/>
      <c r="AA529" s="7"/>
      <c r="AB529" s="7"/>
      <c r="AC529" s="9"/>
      <c r="AD529" s="9"/>
      <c r="AE529" s="9"/>
      <c r="AF529" s="3"/>
      <c r="AG529" s="3"/>
      <c r="AH529" s="3"/>
      <c r="AL529" s="11"/>
      <c r="AM529" s="3"/>
      <c r="AN529" s="3"/>
      <c r="AO529" s="11"/>
      <c r="AP529" s="7"/>
      <c r="AQ529" s="7"/>
      <c r="AR529" s="7"/>
      <c r="AS529" s="7"/>
      <c r="AT529" s="9"/>
      <c r="AU529" s="9"/>
      <c r="AV529" s="9"/>
      <c r="AW529" s="3"/>
      <c r="AX529" s="3"/>
      <c r="AY529" s="3"/>
    </row>
    <row r="530" spans="1:51" x14ac:dyDescent="0.25">
      <c r="A530">
        <v>497</v>
      </c>
      <c r="B530" s="1" t="s">
        <v>538</v>
      </c>
      <c r="C530" s="1" t="s">
        <v>682</v>
      </c>
      <c r="D530" s="2">
        <v>40829</v>
      </c>
      <c r="E530" s="3">
        <v>23.3</v>
      </c>
      <c r="F530" s="4">
        <f t="shared" si="49"/>
        <v>3259.8535615833316</v>
      </c>
      <c r="G530" s="2">
        <v>40204</v>
      </c>
      <c r="H530" s="7">
        <v>3.86</v>
      </c>
      <c r="I530" s="7">
        <f>H530+H517-2*$A$24</f>
        <v>7.5599999999999987</v>
      </c>
      <c r="J530" s="7">
        <v>3.62</v>
      </c>
      <c r="K530" s="7">
        <v>6.06</v>
      </c>
      <c r="L530" s="6">
        <f t="shared" si="50"/>
        <v>0.34126984126984133</v>
      </c>
      <c r="M530" s="6">
        <f t="shared" si="51"/>
        <v>0.57671957671957674</v>
      </c>
      <c r="N530" s="6">
        <f t="shared" si="52"/>
        <v>8.2010582010581867E-2</v>
      </c>
      <c r="O530" s="4">
        <f t="shared" si="53"/>
        <v>1112.4897075244705</v>
      </c>
      <c r="P530" s="4">
        <f t="shared" si="54"/>
        <v>1880.0213662041438</v>
      </c>
      <c r="Q530" s="4">
        <f t="shared" si="55"/>
        <v>2992.5110737286141</v>
      </c>
      <c r="V530" s="3"/>
      <c r="W530" s="3"/>
      <c r="Y530" s="7"/>
      <c r="Z530" s="7"/>
      <c r="AA530" s="7"/>
      <c r="AB530" s="7"/>
      <c r="AC530" s="9"/>
      <c r="AD530" s="9"/>
      <c r="AE530" s="9"/>
      <c r="AF530" s="3"/>
      <c r="AG530" s="3"/>
      <c r="AH530" s="3"/>
      <c r="AJ530" t="s">
        <v>969</v>
      </c>
      <c r="AK530" t="s">
        <v>682</v>
      </c>
      <c r="AL530" s="11">
        <f>D515</f>
        <v>40829</v>
      </c>
      <c r="AM530" s="3">
        <f>SUM(E515,E532)</f>
        <v>63.400000000000006</v>
      </c>
      <c r="AN530" s="3">
        <f>(AM530-4*$A$20)*$A$21/(2*$A$22)*$A$23</f>
        <v>4555.1596125435963</v>
      </c>
      <c r="AO530" s="11">
        <f>G515</f>
        <v>40204</v>
      </c>
      <c r="AP530" s="7">
        <f>SUM(H515,H532)</f>
        <v>6.98</v>
      </c>
      <c r="AQ530" s="7">
        <f>SUM(I515,I532)</f>
        <v>13.32</v>
      </c>
      <c r="AR530" s="7">
        <f>SUM(J515,J532)</f>
        <v>6.52</v>
      </c>
      <c r="AS530" s="7">
        <f>SUM(K515,K532)</f>
        <v>11.32</v>
      </c>
      <c r="AT530" s="9">
        <f>(AR530-2*$A$25)/AQ530</f>
        <v>0.33333333333333331</v>
      </c>
      <c r="AU530" s="9">
        <f>(AS530-2*$A$26)/AQ530</f>
        <v>0.59459459459459463</v>
      </c>
      <c r="AV530" s="9">
        <f>1-AT530-AU530</f>
        <v>7.2072072072072113E-2</v>
      </c>
      <c r="AW530" s="3">
        <f>AN530*AT530</f>
        <v>1518.3865375145319</v>
      </c>
      <c r="AX530" s="3">
        <f>AN530*AU530</f>
        <v>2708.4732831340302</v>
      </c>
      <c r="AY530" s="3">
        <f>AW530+AX530</f>
        <v>4226.8598206485622</v>
      </c>
    </row>
    <row r="531" spans="1:51" x14ac:dyDescent="0.25">
      <c r="A531">
        <v>498</v>
      </c>
      <c r="B531" s="1" t="s">
        <v>539</v>
      </c>
      <c r="C531" s="1" t="s">
        <v>682</v>
      </c>
      <c r="D531" s="2">
        <v>40829</v>
      </c>
      <c r="E531" s="3">
        <v>36.599999999999994</v>
      </c>
      <c r="F531" s="4">
        <f t="shared" si="49"/>
        <v>5310.754808937083</v>
      </c>
      <c r="G531" s="2">
        <v>40204</v>
      </c>
      <c r="H531" s="7">
        <v>3.18</v>
      </c>
      <c r="I531" s="7">
        <f>H531+H516-2*$A$24</f>
        <v>6.32</v>
      </c>
      <c r="J531" s="7">
        <v>3.16</v>
      </c>
      <c r="K531" s="7">
        <v>5.36</v>
      </c>
      <c r="L531" s="6">
        <f t="shared" si="50"/>
        <v>0.33544303797468356</v>
      </c>
      <c r="M531" s="6">
        <f t="shared" si="51"/>
        <v>0.57911392405063289</v>
      </c>
      <c r="N531" s="6">
        <f t="shared" si="52"/>
        <v>8.5443037974683556E-2</v>
      </c>
      <c r="O531" s="4">
        <f t="shared" si="53"/>
        <v>1781.4557270485152</v>
      </c>
      <c r="P531" s="4">
        <f t="shared" si="54"/>
        <v>3075.5320570743233</v>
      </c>
      <c r="Q531" s="4">
        <f t="shared" si="55"/>
        <v>4856.987784122839</v>
      </c>
      <c r="V531" s="3"/>
      <c r="W531" s="3"/>
      <c r="Y531" s="7"/>
      <c r="Z531" s="7"/>
      <c r="AA531" s="7"/>
      <c r="AB531" s="7"/>
      <c r="AC531" s="9"/>
      <c r="AD531" s="9"/>
      <c r="AE531" s="9"/>
      <c r="AF531" s="3"/>
      <c r="AG531" s="3"/>
      <c r="AH531" s="3"/>
      <c r="AL531" s="11"/>
      <c r="AM531" s="3"/>
      <c r="AN531" s="3"/>
      <c r="AO531" s="11"/>
      <c r="AP531" s="7"/>
      <c r="AQ531" s="7"/>
      <c r="AR531" s="7"/>
      <c r="AS531" s="7"/>
      <c r="AT531" s="9"/>
      <c r="AU531" s="9"/>
      <c r="AV531" s="9"/>
      <c r="AW531" s="3"/>
      <c r="AX531" s="3"/>
      <c r="AY531" s="3"/>
    </row>
    <row r="532" spans="1:51" x14ac:dyDescent="0.25">
      <c r="A532">
        <v>499</v>
      </c>
      <c r="B532" s="1" t="s">
        <v>540</v>
      </c>
      <c r="C532" s="1" t="s">
        <v>682</v>
      </c>
      <c r="D532" s="2">
        <v>40829</v>
      </c>
      <c r="E532" s="3">
        <v>33.700000000000003</v>
      </c>
      <c r="F532" s="4">
        <f t="shared" si="49"/>
        <v>4863.5658151531834</v>
      </c>
      <c r="G532" s="2">
        <v>40204</v>
      </c>
      <c r="H532" s="7">
        <v>3.76</v>
      </c>
      <c r="I532" s="7">
        <f>H532+H515-2*$A$24</f>
        <v>6.66</v>
      </c>
      <c r="J532" s="7">
        <v>3.26</v>
      </c>
      <c r="K532" s="7">
        <v>5.66</v>
      </c>
      <c r="L532" s="6">
        <f t="shared" si="50"/>
        <v>0.33333333333333331</v>
      </c>
      <c r="M532" s="6">
        <f t="shared" si="51"/>
        <v>0.59459459459459463</v>
      </c>
      <c r="N532" s="6">
        <f t="shared" si="52"/>
        <v>7.2072072072072113E-2</v>
      </c>
      <c r="O532" s="4">
        <f t="shared" si="53"/>
        <v>1621.1886050510611</v>
      </c>
      <c r="P532" s="4">
        <f t="shared" si="54"/>
        <v>2891.8499441451363</v>
      </c>
      <c r="Q532" s="4">
        <f t="shared" si="55"/>
        <v>4513.038549196197</v>
      </c>
      <c r="V532" s="3"/>
      <c r="W532" s="3"/>
      <c r="Y532" s="7"/>
      <c r="Z532" s="7"/>
      <c r="AA532" s="7"/>
      <c r="AB532" s="7"/>
      <c r="AC532" s="9"/>
      <c r="AD532" s="9"/>
      <c r="AE532" s="9"/>
      <c r="AF532" s="3"/>
      <c r="AG532" s="3"/>
      <c r="AH532" s="3"/>
      <c r="AJ532" t="s">
        <v>970</v>
      </c>
      <c r="AK532" t="s">
        <v>682</v>
      </c>
      <c r="AL532" s="11">
        <f>D514</f>
        <v>40829</v>
      </c>
      <c r="AM532" s="3">
        <f>SUM(E514,E533)</f>
        <v>65.8</v>
      </c>
      <c r="AN532" s="3">
        <f>(AM532-4*$A$20)*$A$21/(2*$A$22)*$A$23</f>
        <v>4740.2033341093475</v>
      </c>
      <c r="AO532" s="11">
        <f>G514</f>
        <v>40204</v>
      </c>
      <c r="AP532" s="7">
        <f>SUM(H514,H533)</f>
        <v>6.66</v>
      </c>
      <c r="AQ532" s="7">
        <f>SUM(I514,I533)</f>
        <v>12.68</v>
      </c>
      <c r="AR532" s="7">
        <f>SUM(J514,J533)</f>
        <v>6.32</v>
      </c>
      <c r="AS532" s="7">
        <f>SUM(K514,K533)</f>
        <v>10.8</v>
      </c>
      <c r="AT532" s="9">
        <f>(AR532-2*$A$25)/AQ532</f>
        <v>0.33438485804416407</v>
      </c>
      <c r="AU532" s="9">
        <f>(AS532-2*$A$26)/AQ532</f>
        <v>0.58359621451104104</v>
      </c>
      <c r="AV532" s="9">
        <f>1-AT532-AU532</f>
        <v>8.2018927444794887E-2</v>
      </c>
      <c r="AW532" s="3">
        <f>AN532*AT532</f>
        <v>1585.0522189766273</v>
      </c>
      <c r="AX532" s="3">
        <f>AN532*AU532</f>
        <v>2766.3647217988305</v>
      </c>
      <c r="AY532" s="3">
        <f>AW532+AX532</f>
        <v>4351.416940775458</v>
      </c>
    </row>
    <row r="533" spans="1:51" x14ac:dyDescent="0.25">
      <c r="A533">
        <v>500</v>
      </c>
      <c r="B533" s="1" t="s">
        <v>541</v>
      </c>
      <c r="C533" s="1" t="s">
        <v>682</v>
      </c>
      <c r="D533" s="2">
        <v>40829</v>
      </c>
      <c r="E533" s="3">
        <v>35.9</v>
      </c>
      <c r="F533" s="4">
        <f t="shared" si="49"/>
        <v>5202.8126380237272</v>
      </c>
      <c r="G533" s="2">
        <v>40204</v>
      </c>
      <c r="H533" s="7">
        <v>3.18</v>
      </c>
      <c r="I533" s="7">
        <f>H533+H514-2*$A$24</f>
        <v>6.34</v>
      </c>
      <c r="J533" s="7">
        <v>3.16</v>
      </c>
      <c r="K533" s="7">
        <v>5.4</v>
      </c>
      <c r="L533" s="6">
        <f t="shared" si="50"/>
        <v>0.33438485804416407</v>
      </c>
      <c r="M533" s="6">
        <f t="shared" si="51"/>
        <v>0.58359621451104104</v>
      </c>
      <c r="N533" s="6">
        <f t="shared" si="52"/>
        <v>8.2018927444794887E-2</v>
      </c>
      <c r="O533" s="4">
        <f t="shared" si="53"/>
        <v>1739.7417653959469</v>
      </c>
      <c r="P533" s="4">
        <f t="shared" si="54"/>
        <v>3036.3417603608505</v>
      </c>
      <c r="Q533" s="4">
        <f t="shared" si="55"/>
        <v>4776.0835257567978</v>
      </c>
      <c r="V533" s="3"/>
      <c r="W533" s="3"/>
      <c r="Y533" s="7"/>
      <c r="Z533" s="7"/>
      <c r="AA533" s="7"/>
      <c r="AB533" s="7"/>
      <c r="AC533" s="9"/>
      <c r="AD533" s="9"/>
      <c r="AE533" s="9"/>
      <c r="AF533" s="3"/>
      <c r="AG533" s="3"/>
      <c r="AH533" s="3"/>
      <c r="AL533" s="11"/>
      <c r="AM533" s="3"/>
      <c r="AN533" s="3"/>
      <c r="AO533" s="11"/>
      <c r="AP533" s="7"/>
      <c r="AQ533" s="7"/>
      <c r="AR533" s="7"/>
      <c r="AS533" s="7"/>
      <c r="AT533" s="9"/>
      <c r="AU533" s="9"/>
      <c r="AV533" s="9"/>
      <c r="AW533" s="3"/>
      <c r="AX533" s="3"/>
      <c r="AY533" s="3"/>
    </row>
    <row r="534" spans="1:51" x14ac:dyDescent="0.25">
      <c r="A534">
        <v>501</v>
      </c>
      <c r="B534" s="1" t="s">
        <v>542</v>
      </c>
      <c r="C534" s="1" t="s">
        <v>682</v>
      </c>
      <c r="D534" s="2">
        <v>40829</v>
      </c>
      <c r="E534" s="3">
        <v>27.1</v>
      </c>
      <c r="F534" s="4">
        <f t="shared" si="49"/>
        <v>3845.8253465415464</v>
      </c>
      <c r="G534" s="2">
        <v>40204</v>
      </c>
      <c r="H534" s="7">
        <v>4.24</v>
      </c>
      <c r="I534" s="7">
        <f>H534+H553-2*$A$24</f>
        <v>7.68</v>
      </c>
      <c r="J534" s="7">
        <v>3.52</v>
      </c>
      <c r="K534" s="7">
        <v>6.14</v>
      </c>
      <c r="L534" s="6">
        <f t="shared" si="50"/>
        <v>0.32291666666666669</v>
      </c>
      <c r="M534" s="6">
        <f t="shared" si="51"/>
        <v>0.578125</v>
      </c>
      <c r="N534" s="6">
        <f t="shared" si="52"/>
        <v>9.8958333333333259E-2</v>
      </c>
      <c r="O534" s="4">
        <f t="shared" si="53"/>
        <v>1241.8811014873745</v>
      </c>
      <c r="P534" s="4">
        <f t="shared" si="54"/>
        <v>2223.3677784693314</v>
      </c>
      <c r="Q534" s="4">
        <f t="shared" si="55"/>
        <v>3465.2488799567059</v>
      </c>
      <c r="V534" s="3"/>
      <c r="W534" s="3"/>
      <c r="Y534" s="7"/>
      <c r="Z534" s="7"/>
      <c r="AA534" s="7"/>
      <c r="AB534" s="7"/>
      <c r="AC534" s="9"/>
      <c r="AD534" s="9"/>
      <c r="AE534" s="9"/>
      <c r="AF534" s="3"/>
      <c r="AG534" s="3"/>
      <c r="AH534" s="3"/>
      <c r="AJ534" t="s">
        <v>971</v>
      </c>
      <c r="AK534" t="s">
        <v>682</v>
      </c>
      <c r="AL534" s="11">
        <f>D543</f>
        <v>40829</v>
      </c>
      <c r="AM534" s="3">
        <f>SUM(E543,E544)</f>
        <v>55.7</v>
      </c>
      <c r="AN534" s="3">
        <f>(AM534-4*$A$20)*$A$21/(2*$A$22)*$A$23</f>
        <v>3961.4776725201418</v>
      </c>
      <c r="AO534" s="11">
        <f>G543</f>
        <v>40204</v>
      </c>
      <c r="AP534" s="7">
        <f>SUM(H543,H544)</f>
        <v>7.5</v>
      </c>
      <c r="AQ534" s="7">
        <f>SUM(I543,I544)</f>
        <v>14.36</v>
      </c>
      <c r="AR534" s="7">
        <f>SUM(J543,J544)</f>
        <v>6.88</v>
      </c>
      <c r="AS534" s="7">
        <f>SUM(K543,K544)</f>
        <v>11.52</v>
      </c>
      <c r="AT534" s="9">
        <f>(AR534-2*$A$25)/AQ534</f>
        <v>0.33426183844011143</v>
      </c>
      <c r="AU534" s="9">
        <f>(AS534-2*$A$26)/AQ534</f>
        <v>0.56545961002785516</v>
      </c>
      <c r="AV534" s="9">
        <f>1-AT534-AU534</f>
        <v>0.10027855153203336</v>
      </c>
      <c r="AW534" s="3">
        <f>AN534*AT534</f>
        <v>1324.1708097560363</v>
      </c>
      <c r="AX534" s="3">
        <f>AN534*AU534</f>
        <v>2240.0556198372947</v>
      </c>
      <c r="AY534" s="3">
        <f>AW534+AX534</f>
        <v>3564.226429593331</v>
      </c>
    </row>
    <row r="535" spans="1:51" x14ac:dyDescent="0.25">
      <c r="A535">
        <v>502</v>
      </c>
      <c r="B535" s="1" t="s">
        <v>543</v>
      </c>
      <c r="C535" s="1" t="s">
        <v>682</v>
      </c>
      <c r="D535" s="2">
        <v>40829</v>
      </c>
      <c r="E535" s="3">
        <v>28.9</v>
      </c>
      <c r="F535" s="4">
        <f t="shared" si="49"/>
        <v>4123.3909288901741</v>
      </c>
      <c r="G535" s="2">
        <v>40204</v>
      </c>
      <c r="H535" s="7">
        <v>3.38</v>
      </c>
      <c r="I535" s="7">
        <f>H535+H552-2*$A$24</f>
        <v>6.9799999999999995</v>
      </c>
      <c r="J535" s="7">
        <v>3.4</v>
      </c>
      <c r="K535" s="7">
        <v>5.8</v>
      </c>
      <c r="L535" s="6">
        <f t="shared" si="50"/>
        <v>0.33810888252148996</v>
      </c>
      <c r="M535" s="6">
        <f t="shared" si="51"/>
        <v>0.58739255014326641</v>
      </c>
      <c r="N535" s="6">
        <f t="shared" si="52"/>
        <v>7.4498567335243626E-2</v>
      </c>
      <c r="O535" s="4">
        <f t="shared" si="53"/>
        <v>1394.1550991663053</v>
      </c>
      <c r="P535" s="4">
        <f t="shared" si="54"/>
        <v>2422.0491129584116</v>
      </c>
      <c r="Q535" s="4">
        <f t="shared" si="55"/>
        <v>3816.2042121247168</v>
      </c>
      <c r="V535" s="3"/>
      <c r="W535" s="3"/>
      <c r="Y535" s="7"/>
      <c r="Z535" s="7"/>
      <c r="AA535" s="7"/>
      <c r="AB535" s="7"/>
      <c r="AC535" s="9"/>
      <c r="AD535" s="9"/>
      <c r="AE535" s="9"/>
      <c r="AF535" s="3"/>
      <c r="AG535" s="3"/>
      <c r="AH535" s="3"/>
      <c r="AL535" s="11"/>
      <c r="AM535" s="3"/>
      <c r="AN535" s="3"/>
      <c r="AO535" s="11"/>
      <c r="AP535" s="7"/>
      <c r="AQ535" s="7"/>
      <c r="AR535" s="7"/>
      <c r="AS535" s="7"/>
      <c r="AT535" s="9"/>
      <c r="AU535" s="9"/>
      <c r="AV535" s="9"/>
      <c r="AW535" s="3"/>
      <c r="AX535" s="3"/>
      <c r="AY535" s="3"/>
    </row>
    <row r="536" spans="1:51" x14ac:dyDescent="0.25">
      <c r="A536">
        <v>503</v>
      </c>
      <c r="B536" s="1" t="s">
        <v>544</v>
      </c>
      <c r="C536" s="1" t="s">
        <v>682</v>
      </c>
      <c r="D536" s="2">
        <v>40829</v>
      </c>
      <c r="E536" s="3">
        <v>30.3</v>
      </c>
      <c r="F536" s="4">
        <f t="shared" si="49"/>
        <v>4339.2752707168856</v>
      </c>
      <c r="G536" s="2">
        <v>40204</v>
      </c>
      <c r="H536" s="7">
        <v>4.0199999999999996</v>
      </c>
      <c r="I536" s="7">
        <f>H536+H551-2*$A$24</f>
        <v>7.02</v>
      </c>
      <c r="J536" s="7">
        <v>3.34</v>
      </c>
      <c r="K536" s="7">
        <v>5.76</v>
      </c>
      <c r="L536" s="6">
        <f t="shared" si="50"/>
        <v>0.32763532763532766</v>
      </c>
      <c r="M536" s="6">
        <f t="shared" si="51"/>
        <v>0.57834757834757833</v>
      </c>
      <c r="N536" s="6">
        <f t="shared" si="52"/>
        <v>9.4017094017094016E-2</v>
      </c>
      <c r="O536" s="4">
        <f t="shared" si="53"/>
        <v>1421.6998750212019</v>
      </c>
      <c r="P536" s="4">
        <f t="shared" si="54"/>
        <v>2509.609344602643</v>
      </c>
      <c r="Q536" s="4">
        <f t="shared" si="55"/>
        <v>3931.3092196238449</v>
      </c>
      <c r="V536" s="3"/>
      <c r="W536" s="3"/>
      <c r="Y536" s="7"/>
      <c r="Z536" s="7"/>
      <c r="AA536" s="7"/>
      <c r="AB536" s="7"/>
      <c r="AC536" s="9"/>
      <c r="AD536" s="9"/>
      <c r="AE536" s="9"/>
      <c r="AF536" s="3"/>
      <c r="AG536" s="3"/>
      <c r="AH536" s="3"/>
      <c r="AJ536" t="s">
        <v>972</v>
      </c>
      <c r="AK536" t="s">
        <v>682</v>
      </c>
      <c r="AL536" s="11">
        <f>D542</f>
        <v>40829</v>
      </c>
      <c r="AM536" s="3">
        <f>SUM(E542,E545)</f>
        <v>53</v>
      </c>
      <c r="AN536" s="3">
        <f>(AM536-4*$A$20)*$A$21/(2*$A$22)*$A$23</f>
        <v>3753.3034857586704</v>
      </c>
      <c r="AO536" s="11">
        <f>G542</f>
        <v>40204</v>
      </c>
      <c r="AP536" s="7">
        <f>SUM(H542,H545)</f>
        <v>6.8599999999999994</v>
      </c>
      <c r="AQ536" s="7">
        <f>SUM(I542,I545)</f>
        <v>13.079999999999998</v>
      </c>
      <c r="AR536" s="7">
        <f>SUM(J542,J545)</f>
        <v>6.4</v>
      </c>
      <c r="AS536" s="7">
        <f>SUM(K542,K545)</f>
        <v>10.96</v>
      </c>
      <c r="AT536" s="9">
        <f>(AR536-2*$A$25)/AQ536</f>
        <v>0.33027522935779824</v>
      </c>
      <c r="AU536" s="9">
        <f>(AS536-2*$A$26)/AQ536</f>
        <v>0.57798165137614688</v>
      </c>
      <c r="AV536" s="9">
        <f>1-AT536-AU536</f>
        <v>9.174311926605494E-2</v>
      </c>
      <c r="AW536" s="3">
        <f>AN536*AT536</f>
        <v>1239.6231696083685</v>
      </c>
      <c r="AX536" s="3">
        <f>AN536*AU536</f>
        <v>2169.3405468146448</v>
      </c>
      <c r="AY536" s="3">
        <f>AW536+AX536</f>
        <v>3408.9637164230135</v>
      </c>
    </row>
    <row r="537" spans="1:51" x14ac:dyDescent="0.25">
      <c r="A537">
        <v>504</v>
      </c>
      <c r="B537" s="1" t="s">
        <v>545</v>
      </c>
      <c r="C537" s="1" t="s">
        <v>682</v>
      </c>
      <c r="D537" s="2">
        <v>40829</v>
      </c>
      <c r="E537" s="3">
        <v>33.299999999999997</v>
      </c>
      <c r="F537" s="4">
        <f t="shared" si="49"/>
        <v>4801.8845746312645</v>
      </c>
      <c r="G537" s="2">
        <v>40204</v>
      </c>
      <c r="H537" s="7">
        <v>4.18</v>
      </c>
      <c r="I537" s="7">
        <f>H537+H550-2*$A$24</f>
        <v>7.2199999999999989</v>
      </c>
      <c r="J537" s="7">
        <v>3.44</v>
      </c>
      <c r="K537" s="7">
        <v>5.86</v>
      </c>
      <c r="L537" s="6">
        <f t="shared" si="50"/>
        <v>0.33240997229916902</v>
      </c>
      <c r="M537" s="6">
        <f t="shared" si="51"/>
        <v>0.57617728531855972</v>
      </c>
      <c r="N537" s="6">
        <f t="shared" si="52"/>
        <v>9.1412742382271261E-2</v>
      </c>
      <c r="O537" s="4">
        <f t="shared" si="53"/>
        <v>1596.1943184369857</v>
      </c>
      <c r="P537" s="4">
        <f t="shared" si="54"/>
        <v>2766.7368186241088</v>
      </c>
      <c r="Q537" s="4">
        <f t="shared" si="55"/>
        <v>4362.931137061094</v>
      </c>
      <c r="V537" s="3"/>
      <c r="W537" s="3"/>
      <c r="Y537" s="7"/>
      <c r="Z537" s="7"/>
      <c r="AA537" s="7"/>
      <c r="AB537" s="7"/>
      <c r="AC537" s="9"/>
      <c r="AD537" s="9"/>
      <c r="AE537" s="9"/>
      <c r="AF537" s="3"/>
      <c r="AG537" s="3"/>
      <c r="AH537" s="3"/>
      <c r="AL537" s="11"/>
      <c r="AM537" s="3"/>
      <c r="AN537" s="3"/>
      <c r="AO537" s="11"/>
      <c r="AP537" s="7"/>
      <c r="AQ537" s="7"/>
      <c r="AR537" s="7"/>
      <c r="AS537" s="7"/>
      <c r="AT537" s="9"/>
      <c r="AU537" s="9"/>
      <c r="AV537" s="9"/>
      <c r="AW537" s="3"/>
      <c r="AX537" s="3"/>
      <c r="AY537" s="3"/>
    </row>
    <row r="538" spans="1:51" x14ac:dyDescent="0.25">
      <c r="A538">
        <v>505</v>
      </c>
      <c r="B538" s="1" t="s">
        <v>546</v>
      </c>
      <c r="C538" s="1" t="s">
        <v>682</v>
      </c>
      <c r="D538" s="2">
        <v>40829</v>
      </c>
      <c r="E538" s="3">
        <v>30.900000000000002</v>
      </c>
      <c r="F538" s="4">
        <f t="shared" si="49"/>
        <v>4431.7971314997621</v>
      </c>
      <c r="G538" s="2">
        <v>40204</v>
      </c>
      <c r="H538" s="7">
        <v>3.14</v>
      </c>
      <c r="I538" s="7">
        <f>H538+H549-2*$A$24</f>
        <v>6.4399999999999995</v>
      </c>
      <c r="J538" s="7">
        <v>3.18</v>
      </c>
      <c r="K538" s="7">
        <v>5.4</v>
      </c>
      <c r="L538" s="6">
        <f t="shared" si="50"/>
        <v>0.3322981366459628</v>
      </c>
      <c r="M538" s="6">
        <f t="shared" si="51"/>
        <v>0.57453416149068326</v>
      </c>
      <c r="N538" s="6">
        <f t="shared" si="52"/>
        <v>9.3167701863353991E-2</v>
      </c>
      <c r="O538" s="4">
        <f t="shared" si="53"/>
        <v>1472.6779287902939</v>
      </c>
      <c r="P538" s="4">
        <f t="shared" si="54"/>
        <v>2546.2188488430311</v>
      </c>
      <c r="Q538" s="4">
        <f t="shared" si="55"/>
        <v>4018.8967776333247</v>
      </c>
      <c r="V538" s="3"/>
      <c r="W538" s="3"/>
      <c r="Y538" s="7"/>
      <c r="Z538" s="7"/>
      <c r="AA538" s="7"/>
      <c r="AB538" s="7"/>
      <c r="AC538" s="9"/>
      <c r="AD538" s="9"/>
      <c r="AE538" s="9"/>
      <c r="AF538" s="3"/>
      <c r="AG538" s="3"/>
      <c r="AH538" s="3"/>
      <c r="AJ538" t="s">
        <v>973</v>
      </c>
      <c r="AK538" t="s">
        <v>682</v>
      </c>
      <c r="AL538" s="11">
        <f>D541</f>
        <v>40829</v>
      </c>
      <c r="AM538" s="3">
        <f>SUM(E541,E546)</f>
        <v>67.599999999999994</v>
      </c>
      <c r="AN538" s="3">
        <f>(AM538-4*$A$20)*$A$21/(2*$A$22)*$A$23</f>
        <v>4878.9861252836617</v>
      </c>
      <c r="AO538" s="11">
        <f>G541</f>
        <v>40204</v>
      </c>
      <c r="AP538" s="7">
        <f>SUM(H541,H546)</f>
        <v>7.3599999999999994</v>
      </c>
      <c r="AQ538" s="7">
        <f>SUM(I541,I546)</f>
        <v>14.079999999999998</v>
      </c>
      <c r="AR538" s="7">
        <f>SUM(J541,J546)</f>
        <v>6.84</v>
      </c>
      <c r="AS538" s="7">
        <f>SUM(K541,K546)</f>
        <v>11.56</v>
      </c>
      <c r="AT538" s="9">
        <f>(AR538-2*$A$25)/AQ538</f>
        <v>0.33806818181818182</v>
      </c>
      <c r="AU538" s="9">
        <f>(AS538-2*$A$26)/AQ538</f>
        <v>0.57954545454545459</v>
      </c>
      <c r="AV538" s="9">
        <f>1-AT538-AU538</f>
        <v>8.2386363636363535E-2</v>
      </c>
      <c r="AW538" s="3">
        <f>AN538*AT538</f>
        <v>1649.4299684907835</v>
      </c>
      <c r="AX538" s="3">
        <f>AN538*AU538</f>
        <v>2827.5942316984861</v>
      </c>
      <c r="AY538" s="3">
        <f>AW538+AX538</f>
        <v>4477.0242001892693</v>
      </c>
    </row>
    <row r="539" spans="1:51" x14ac:dyDescent="0.25">
      <c r="A539">
        <v>506</v>
      </c>
      <c r="B539" s="1" t="s">
        <v>547</v>
      </c>
      <c r="C539" s="1" t="s">
        <v>682</v>
      </c>
      <c r="D539" s="2">
        <v>40829</v>
      </c>
      <c r="E539" s="3">
        <v>34.1</v>
      </c>
      <c r="F539" s="4">
        <f t="shared" si="49"/>
        <v>4925.2470556751005</v>
      </c>
      <c r="G539" s="2">
        <v>40204</v>
      </c>
      <c r="H539" s="7">
        <v>3.92</v>
      </c>
      <c r="I539" s="7">
        <f>H539+H548-2*$A$24</f>
        <v>7.32</v>
      </c>
      <c r="J539" s="7">
        <v>3.48</v>
      </c>
      <c r="K539" s="7">
        <v>5.94</v>
      </c>
      <c r="L539" s="6">
        <f t="shared" si="50"/>
        <v>0.33333333333333331</v>
      </c>
      <c r="M539" s="6">
        <f t="shared" si="51"/>
        <v>0.57923497267759561</v>
      </c>
      <c r="N539" s="6">
        <f t="shared" si="52"/>
        <v>8.7431693989071135E-2</v>
      </c>
      <c r="O539" s="4">
        <f t="shared" si="53"/>
        <v>1641.7490185583667</v>
      </c>
      <c r="P539" s="4">
        <f t="shared" si="54"/>
        <v>2852.8753437243749</v>
      </c>
      <c r="Q539" s="4">
        <f t="shared" si="55"/>
        <v>4494.6243622827415</v>
      </c>
      <c r="V539" s="3"/>
      <c r="W539" s="3"/>
      <c r="Y539" s="7"/>
      <c r="Z539" s="7"/>
      <c r="AA539" s="7"/>
      <c r="AB539" s="7"/>
      <c r="AC539" s="9"/>
      <c r="AD539" s="9"/>
      <c r="AE539" s="9"/>
      <c r="AF539" s="3"/>
      <c r="AG539" s="3"/>
      <c r="AH539" s="3"/>
      <c r="AL539" s="11"/>
      <c r="AM539" s="3"/>
      <c r="AN539" s="3"/>
      <c r="AO539" s="11"/>
      <c r="AP539" s="7"/>
      <c r="AQ539" s="7"/>
      <c r="AR539" s="7"/>
      <c r="AS539" s="7"/>
      <c r="AT539" s="9"/>
      <c r="AU539" s="9"/>
      <c r="AV539" s="9"/>
      <c r="AW539" s="3"/>
      <c r="AX539" s="3"/>
      <c r="AY539" s="3"/>
    </row>
    <row r="540" spans="1:51" x14ac:dyDescent="0.25">
      <c r="A540">
        <v>507</v>
      </c>
      <c r="B540" s="1" t="s">
        <v>548</v>
      </c>
      <c r="C540" s="1" t="s">
        <v>682</v>
      </c>
      <c r="D540" s="2">
        <v>40829</v>
      </c>
      <c r="E540" s="3">
        <v>32.299999999999997</v>
      </c>
      <c r="F540" s="4">
        <f t="shared" si="49"/>
        <v>4647.6814733264719</v>
      </c>
      <c r="G540" s="2">
        <v>40204</v>
      </c>
      <c r="H540" s="7">
        <v>3.5</v>
      </c>
      <c r="I540" s="7">
        <f>H540+H547-2*$A$24</f>
        <v>6.58</v>
      </c>
      <c r="J540" s="7">
        <v>3.28</v>
      </c>
      <c r="K540" s="7">
        <v>5.52</v>
      </c>
      <c r="L540" s="6">
        <f t="shared" si="50"/>
        <v>0.34042553191489355</v>
      </c>
      <c r="M540" s="6">
        <f t="shared" si="51"/>
        <v>0.58054711246200597</v>
      </c>
      <c r="N540" s="6">
        <f t="shared" si="52"/>
        <v>7.9027355623100481E-2</v>
      </c>
      <c r="O540" s="4">
        <f t="shared" si="53"/>
        <v>1582.1894377281603</v>
      </c>
      <c r="P540" s="4">
        <f t="shared" si="54"/>
        <v>2698.1980589828449</v>
      </c>
      <c r="Q540" s="4">
        <f t="shared" si="55"/>
        <v>4280.387496711005</v>
      </c>
      <c r="V540" s="3"/>
      <c r="W540" s="3"/>
      <c r="Y540" s="7"/>
      <c r="Z540" s="7"/>
      <c r="AA540" s="7"/>
      <c r="AB540" s="7"/>
      <c r="AC540" s="9"/>
      <c r="AD540" s="9"/>
      <c r="AE540" s="9"/>
      <c r="AF540" s="3"/>
      <c r="AG540" s="3"/>
      <c r="AH540" s="3"/>
      <c r="AJ540" t="s">
        <v>974</v>
      </c>
      <c r="AK540" t="s">
        <v>682</v>
      </c>
      <c r="AL540" s="11">
        <f>D540</f>
        <v>40829</v>
      </c>
      <c r="AM540" s="3">
        <f>SUM(E540,E547)</f>
        <v>61.3</v>
      </c>
      <c r="AN540" s="3">
        <f>(AM540-4*$A$20)*$A$21/(2*$A$22)*$A$23</f>
        <v>4393.2463561735631</v>
      </c>
      <c r="AO540" s="11">
        <f>G540</f>
        <v>40204</v>
      </c>
      <c r="AP540" s="7">
        <f>SUM(H540,H547)</f>
        <v>6.9</v>
      </c>
      <c r="AQ540" s="7">
        <f>SUM(I540,I547)</f>
        <v>13.16</v>
      </c>
      <c r="AR540" s="7">
        <f>SUM(J540,J547)</f>
        <v>6.56</v>
      </c>
      <c r="AS540" s="7">
        <f>SUM(K540,K547)</f>
        <v>11.04</v>
      </c>
      <c r="AT540" s="9">
        <f>(AR540-2*$A$25)/AQ540</f>
        <v>0.34042553191489355</v>
      </c>
      <c r="AU540" s="9">
        <f>(AS540-2*$A$26)/AQ540</f>
        <v>0.58054711246200597</v>
      </c>
      <c r="AV540" s="9">
        <f>1-AT540-AU540</f>
        <v>7.9027355623100481E-2</v>
      </c>
      <c r="AW540" s="3">
        <f>AN540*AT540</f>
        <v>1495.5732276335532</v>
      </c>
      <c r="AX540" s="3">
        <f>AN540*AU540</f>
        <v>2550.4864864107913</v>
      </c>
      <c r="AY540" s="3">
        <f>AW540+AX540</f>
        <v>4046.0597140443442</v>
      </c>
    </row>
    <row r="541" spans="1:51" x14ac:dyDescent="0.25">
      <c r="A541">
        <v>508</v>
      </c>
      <c r="B541" s="1" t="s">
        <v>549</v>
      </c>
      <c r="C541" s="1" t="s">
        <v>682</v>
      </c>
      <c r="D541" s="2">
        <v>40829</v>
      </c>
      <c r="E541" s="3">
        <v>35.200000000000003</v>
      </c>
      <c r="F541" s="4">
        <f t="shared" si="49"/>
        <v>5094.8704671103742</v>
      </c>
      <c r="G541" s="2">
        <v>40204</v>
      </c>
      <c r="H541" s="7">
        <v>3.5</v>
      </c>
      <c r="I541" s="7">
        <f>H541+H546-2*$A$24</f>
        <v>7.0399999999999991</v>
      </c>
      <c r="J541" s="7">
        <v>3.42</v>
      </c>
      <c r="K541" s="7">
        <v>5.78</v>
      </c>
      <c r="L541" s="6">
        <f t="shared" si="50"/>
        <v>0.33806818181818182</v>
      </c>
      <c r="M541" s="6">
        <f t="shared" si="51"/>
        <v>0.57954545454545459</v>
      </c>
      <c r="N541" s="6">
        <f t="shared" si="52"/>
        <v>8.2386363636363535E-2</v>
      </c>
      <c r="O541" s="4">
        <f t="shared" si="53"/>
        <v>1722.413595415155</v>
      </c>
      <c r="P541" s="4">
        <f t="shared" si="54"/>
        <v>2952.7090207116944</v>
      </c>
      <c r="Q541" s="4">
        <f t="shared" si="55"/>
        <v>4675.1226161268496</v>
      </c>
      <c r="V541" s="3"/>
      <c r="W541" s="3"/>
      <c r="Y541" s="7"/>
      <c r="Z541" s="7"/>
      <c r="AA541" s="7"/>
      <c r="AB541" s="7"/>
      <c r="AC541" s="9"/>
      <c r="AD541" s="9"/>
      <c r="AE541" s="9"/>
      <c r="AF541" s="3"/>
      <c r="AG541" s="3"/>
      <c r="AH541" s="3"/>
      <c r="AL541" s="11"/>
      <c r="AM541" s="3"/>
      <c r="AN541" s="3"/>
      <c r="AO541" s="11"/>
      <c r="AP541" s="7"/>
      <c r="AQ541" s="7"/>
      <c r="AR541" s="7"/>
      <c r="AS541" s="7"/>
      <c r="AT541" s="9"/>
      <c r="AU541" s="9"/>
      <c r="AV541" s="9"/>
      <c r="AW541" s="3"/>
      <c r="AX541" s="3"/>
      <c r="AY541" s="3"/>
    </row>
    <row r="542" spans="1:51" x14ac:dyDescent="0.25">
      <c r="A542">
        <v>509</v>
      </c>
      <c r="B542" s="1" t="s">
        <v>550</v>
      </c>
      <c r="C542" s="1" t="s">
        <v>682</v>
      </c>
      <c r="D542" s="2">
        <v>40829</v>
      </c>
      <c r="E542" s="3">
        <v>28.6</v>
      </c>
      <c r="F542" s="4">
        <f t="shared" si="49"/>
        <v>4077.1299984987368</v>
      </c>
      <c r="G542" s="2">
        <v>40204</v>
      </c>
      <c r="H542" s="7">
        <v>2.86</v>
      </c>
      <c r="I542" s="7">
        <f>H542+H545-2*$A$24</f>
        <v>6.5399999999999991</v>
      </c>
      <c r="J542" s="7">
        <v>3.2</v>
      </c>
      <c r="K542" s="7">
        <v>5.48</v>
      </c>
      <c r="L542" s="6">
        <f t="shared" si="50"/>
        <v>0.33027522935779824</v>
      </c>
      <c r="M542" s="6">
        <f t="shared" si="51"/>
        <v>0.57798165137614688</v>
      </c>
      <c r="N542" s="6">
        <f t="shared" si="52"/>
        <v>9.174311926605494E-2</v>
      </c>
      <c r="O542" s="4">
        <f t="shared" si="53"/>
        <v>1346.5750453757298</v>
      </c>
      <c r="P542" s="4">
        <f t="shared" si="54"/>
        <v>2356.5063294075271</v>
      </c>
      <c r="Q542" s="4">
        <f t="shared" si="55"/>
        <v>3703.0813747832572</v>
      </c>
      <c r="V542" s="3"/>
      <c r="W542" s="3"/>
      <c r="Y542" s="7"/>
      <c r="Z542" s="7"/>
      <c r="AA542" s="7"/>
      <c r="AB542" s="7"/>
      <c r="AC542" s="9"/>
      <c r="AD542" s="9"/>
      <c r="AE542" s="9"/>
      <c r="AF542" s="3"/>
      <c r="AG542" s="3"/>
      <c r="AH542" s="3"/>
      <c r="AJ542" t="s">
        <v>975</v>
      </c>
      <c r="AK542" t="s">
        <v>682</v>
      </c>
      <c r="AL542" s="11">
        <f>D539</f>
        <v>40829</v>
      </c>
      <c r="AM542" s="3">
        <f>SUM(E539,E548)</f>
        <v>64.7</v>
      </c>
      <c r="AN542" s="3">
        <f>(AM542-4*$A$20)*$A$21/(2*$A$22)*$A$23</f>
        <v>4655.3916283917115</v>
      </c>
      <c r="AO542" s="11">
        <f>G539</f>
        <v>40204</v>
      </c>
      <c r="AP542" s="7">
        <f>SUM(H539,H548)</f>
        <v>7.6400000000000006</v>
      </c>
      <c r="AQ542" s="7">
        <f>SUM(I539,I548)</f>
        <v>14.64</v>
      </c>
      <c r="AR542" s="7">
        <f>SUM(J539,J548)</f>
        <v>6.96</v>
      </c>
      <c r="AS542" s="7">
        <f>SUM(K539,K548)</f>
        <v>11.88</v>
      </c>
      <c r="AT542" s="9">
        <f>(AR542-2*$A$25)/AQ542</f>
        <v>0.33333333333333331</v>
      </c>
      <c r="AU542" s="9">
        <f>(AS542-2*$A$26)/AQ542</f>
        <v>0.57923497267759561</v>
      </c>
      <c r="AV542" s="9">
        <f>1-AT542-AU542</f>
        <v>8.7431693989071135E-2</v>
      </c>
      <c r="AW542" s="3">
        <f>AN542*AT542</f>
        <v>1551.7972094639038</v>
      </c>
      <c r="AX542" s="3">
        <f>AN542*AU542</f>
        <v>2696.5656426749802</v>
      </c>
      <c r="AY542" s="3">
        <f>AW542+AX542</f>
        <v>4248.3628521388837</v>
      </c>
    </row>
    <row r="543" spans="1:51" x14ac:dyDescent="0.25">
      <c r="A543">
        <v>510</v>
      </c>
      <c r="B543" s="1" t="s">
        <v>551</v>
      </c>
      <c r="C543" s="1" t="s">
        <v>682</v>
      </c>
      <c r="D543" s="2">
        <v>40829</v>
      </c>
      <c r="E543" s="3">
        <v>29.2</v>
      </c>
      <c r="F543" s="4">
        <f t="shared" si="49"/>
        <v>4169.6518592816119</v>
      </c>
      <c r="G543" s="2">
        <v>40204</v>
      </c>
      <c r="H543" s="7">
        <v>4.38</v>
      </c>
      <c r="I543" s="7">
        <f>H543+H544-2*$A$24</f>
        <v>7.18</v>
      </c>
      <c r="J543" s="7">
        <v>3.44</v>
      </c>
      <c r="K543" s="7">
        <v>5.76</v>
      </c>
      <c r="L543" s="6">
        <f t="shared" si="50"/>
        <v>0.33426183844011143</v>
      </c>
      <c r="M543" s="6">
        <f t="shared" si="51"/>
        <v>0.56545961002785516</v>
      </c>
      <c r="N543" s="6">
        <f t="shared" si="52"/>
        <v>0.10027855153203336</v>
      </c>
      <c r="O543" s="4">
        <f t="shared" si="53"/>
        <v>1393.7554961387004</v>
      </c>
      <c r="P543" s="4">
        <f t="shared" si="54"/>
        <v>2357.7697143013015</v>
      </c>
      <c r="Q543" s="4">
        <f t="shared" si="55"/>
        <v>3751.525210440002</v>
      </c>
      <c r="V543" s="3"/>
      <c r="W543" s="3"/>
      <c r="Y543" s="7"/>
      <c r="Z543" s="7"/>
      <c r="AA543" s="7"/>
      <c r="AB543" s="7"/>
      <c r="AC543" s="9"/>
      <c r="AD543" s="9"/>
      <c r="AE543" s="9"/>
      <c r="AF543" s="3"/>
      <c r="AG543" s="3"/>
      <c r="AH543" s="3"/>
      <c r="AL543" s="11"/>
      <c r="AM543" s="3"/>
      <c r="AN543" s="3"/>
      <c r="AO543" s="11"/>
      <c r="AP543" s="7"/>
      <c r="AQ543" s="7"/>
      <c r="AR543" s="7"/>
      <c r="AS543" s="7"/>
      <c r="AT543" s="9"/>
      <c r="AU543" s="9"/>
      <c r="AV543" s="9"/>
      <c r="AW543" s="3"/>
      <c r="AX543" s="3"/>
      <c r="AY543" s="3"/>
    </row>
    <row r="544" spans="1:51" x14ac:dyDescent="0.25">
      <c r="A544">
        <v>511</v>
      </c>
      <c r="B544" s="1" t="s">
        <v>552</v>
      </c>
      <c r="C544" s="1" t="s">
        <v>682</v>
      </c>
      <c r="D544" s="2">
        <v>40829</v>
      </c>
      <c r="E544" s="3">
        <v>26.5</v>
      </c>
      <c r="F544" s="4">
        <f t="shared" si="49"/>
        <v>3753.3034857586704</v>
      </c>
      <c r="G544" s="2">
        <v>40204</v>
      </c>
      <c r="H544" s="7">
        <v>3.12</v>
      </c>
      <c r="I544" s="7">
        <f>H544+H543-2*$A$24</f>
        <v>7.18</v>
      </c>
      <c r="J544" s="7">
        <v>3.44</v>
      </c>
      <c r="K544" s="7">
        <v>5.76</v>
      </c>
      <c r="L544" s="6">
        <f t="shared" si="50"/>
        <v>0.33426183844011143</v>
      </c>
      <c r="M544" s="6">
        <f t="shared" si="51"/>
        <v>0.56545961002785516</v>
      </c>
      <c r="N544" s="6">
        <f t="shared" si="52"/>
        <v>0.10027855153203336</v>
      </c>
      <c r="O544" s="4">
        <f t="shared" si="53"/>
        <v>1254.5861233733717</v>
      </c>
      <c r="P544" s="4">
        <f t="shared" si="54"/>
        <v>2122.3415253732874</v>
      </c>
      <c r="Q544" s="4">
        <f t="shared" si="55"/>
        <v>3376.9276487466591</v>
      </c>
      <c r="V544" s="3"/>
      <c r="W544" s="3"/>
      <c r="Y544" s="7"/>
      <c r="Z544" s="7"/>
      <c r="AA544" s="7"/>
      <c r="AB544" s="7"/>
      <c r="AC544" s="9"/>
      <c r="AD544" s="9"/>
      <c r="AE544" s="9"/>
      <c r="AF544" s="3"/>
      <c r="AG544" s="3"/>
      <c r="AH544" s="3"/>
      <c r="AJ544" t="s">
        <v>976</v>
      </c>
      <c r="AK544" t="s">
        <v>682</v>
      </c>
      <c r="AL544" s="11">
        <f>D538</f>
        <v>40829</v>
      </c>
      <c r="AM544" s="3">
        <f>SUM(E538,E549)</f>
        <v>57.400000000000006</v>
      </c>
      <c r="AN544" s="3">
        <f>(AM544-4*$A$20)*$A$21/(2*$A$22)*$A$23</f>
        <v>4092.550308629216</v>
      </c>
      <c r="AO544" s="11">
        <f>G538</f>
        <v>40204</v>
      </c>
      <c r="AP544" s="7">
        <f>SUM(H538,H549)</f>
        <v>6.76</v>
      </c>
      <c r="AQ544" s="7">
        <f>SUM(I538,I549)</f>
        <v>12.879999999999999</v>
      </c>
      <c r="AR544" s="7">
        <f>SUM(J538,J549)</f>
        <v>6.36</v>
      </c>
      <c r="AS544" s="7">
        <f>SUM(K538,K549)</f>
        <v>10.8</v>
      </c>
      <c r="AT544" s="9">
        <f>(AR544-2*$A$25)/AQ544</f>
        <v>0.3322981366459628</v>
      </c>
      <c r="AU544" s="9">
        <f>(AS544-2*$A$26)/AQ544</f>
        <v>0.57453416149068326</v>
      </c>
      <c r="AV544" s="9">
        <f>1-AT544-AU544</f>
        <v>9.3167701863353991E-2</v>
      </c>
      <c r="AW544" s="3">
        <f>AN544*AT544</f>
        <v>1359.9468416873485</v>
      </c>
      <c r="AX544" s="3">
        <f>AN544*AU544</f>
        <v>2351.3099599267234</v>
      </c>
      <c r="AY544" s="3">
        <f>AW544+AX544</f>
        <v>3711.2568016140722</v>
      </c>
    </row>
    <row r="545" spans="1:51" x14ac:dyDescent="0.25">
      <c r="A545">
        <v>512</v>
      </c>
      <c r="B545" s="1" t="s">
        <v>553</v>
      </c>
      <c r="C545" s="1" t="s">
        <v>682</v>
      </c>
      <c r="D545" s="2">
        <v>40829</v>
      </c>
      <c r="E545" s="3">
        <v>24.4</v>
      </c>
      <c r="F545" s="4">
        <f t="shared" si="49"/>
        <v>3429.4769730186044</v>
      </c>
      <c r="G545" s="2">
        <v>40204</v>
      </c>
      <c r="H545" s="7">
        <v>4</v>
      </c>
      <c r="I545" s="7">
        <f>H545+H542-2*$A$24</f>
        <v>6.5399999999999991</v>
      </c>
      <c r="J545" s="7">
        <v>3.2</v>
      </c>
      <c r="K545" s="7">
        <v>5.48</v>
      </c>
      <c r="L545" s="6">
        <f t="shared" si="50"/>
        <v>0.33027522935779824</v>
      </c>
      <c r="M545" s="6">
        <f t="shared" si="51"/>
        <v>0.57798165137614688</v>
      </c>
      <c r="N545" s="6">
        <f t="shared" si="52"/>
        <v>9.174311926605494E-2</v>
      </c>
      <c r="O545" s="4">
        <f t="shared" si="53"/>
        <v>1132.6712938410071</v>
      </c>
      <c r="P545" s="4">
        <f t="shared" si="54"/>
        <v>1982.1747642217624</v>
      </c>
      <c r="Q545" s="4">
        <f t="shared" si="55"/>
        <v>3114.8460580627698</v>
      </c>
      <c r="V545" s="3"/>
      <c r="W545" s="3"/>
      <c r="Y545" s="7"/>
      <c r="Z545" s="7"/>
      <c r="AA545" s="7"/>
      <c r="AB545" s="7"/>
      <c r="AC545" s="9"/>
      <c r="AD545" s="9"/>
      <c r="AE545" s="9"/>
      <c r="AF545" s="3"/>
      <c r="AG545" s="3"/>
      <c r="AH545" s="3"/>
      <c r="AL545" s="11"/>
      <c r="AM545" s="3"/>
      <c r="AN545" s="3"/>
      <c r="AO545" s="11"/>
      <c r="AP545" s="7"/>
      <c r="AQ545" s="7"/>
      <c r="AR545" s="7"/>
      <c r="AS545" s="7"/>
      <c r="AT545" s="9"/>
      <c r="AU545" s="9"/>
      <c r="AV545" s="9"/>
      <c r="AW545" s="3"/>
      <c r="AX545" s="3"/>
      <c r="AY545" s="3"/>
    </row>
    <row r="546" spans="1:51" x14ac:dyDescent="0.25">
      <c r="A546">
        <v>513</v>
      </c>
      <c r="B546" s="1" t="s">
        <v>554</v>
      </c>
      <c r="C546" s="1" t="s">
        <v>682</v>
      </c>
      <c r="D546" s="2">
        <v>40829</v>
      </c>
      <c r="E546" s="3">
        <v>32.4</v>
      </c>
      <c r="F546" s="4">
        <f t="shared" si="49"/>
        <v>4663.1017834569511</v>
      </c>
      <c r="G546" s="2">
        <v>40204</v>
      </c>
      <c r="H546" s="7">
        <v>3.86</v>
      </c>
      <c r="I546" s="7">
        <f>H546+H541-2*$A$24</f>
        <v>7.0399999999999991</v>
      </c>
      <c r="J546" s="7">
        <v>3.42</v>
      </c>
      <c r="K546" s="7">
        <v>5.78</v>
      </c>
      <c r="L546" s="6">
        <f t="shared" si="50"/>
        <v>0.33806818181818182</v>
      </c>
      <c r="M546" s="6">
        <f t="shared" si="51"/>
        <v>0.57954545454545459</v>
      </c>
      <c r="N546" s="6">
        <f t="shared" si="52"/>
        <v>8.2386363636363535E-2</v>
      </c>
      <c r="O546" s="4">
        <f t="shared" si="53"/>
        <v>1576.4463415664125</v>
      </c>
      <c r="P546" s="4">
        <f t="shared" si="54"/>
        <v>2702.4794426852786</v>
      </c>
      <c r="Q546" s="4">
        <f t="shared" si="55"/>
        <v>4278.9257842516909</v>
      </c>
      <c r="V546" s="3"/>
      <c r="W546" s="3"/>
      <c r="Y546" s="7"/>
      <c r="Z546" s="7"/>
      <c r="AA546" s="7"/>
      <c r="AB546" s="7"/>
      <c r="AC546" s="9"/>
      <c r="AD546" s="9"/>
      <c r="AE546" s="9"/>
      <c r="AF546" s="3"/>
      <c r="AG546" s="3"/>
      <c r="AH546" s="3"/>
      <c r="AJ546" t="s">
        <v>977</v>
      </c>
      <c r="AK546" t="s">
        <v>682</v>
      </c>
      <c r="AL546" s="11">
        <f>D537</f>
        <v>40829</v>
      </c>
      <c r="AM546" s="3">
        <f>SUM(E537,E550)</f>
        <v>62.199999999999996</v>
      </c>
      <c r="AN546" s="3">
        <f>(AM546-4*$A$20)*$A$21/(2*$A$22)*$A$23</f>
        <v>4462.6377517607189</v>
      </c>
      <c r="AO546" s="11">
        <f>G537</f>
        <v>40204</v>
      </c>
      <c r="AP546" s="7">
        <f>SUM(H537,H550)</f>
        <v>7.5399999999999991</v>
      </c>
      <c r="AQ546" s="7">
        <f>SUM(I537,I550)</f>
        <v>14.439999999999998</v>
      </c>
      <c r="AR546" s="7">
        <f>SUM(J537,J550)</f>
        <v>6.88</v>
      </c>
      <c r="AS546" s="7">
        <f>SUM(K537,K550)</f>
        <v>11.72</v>
      </c>
      <c r="AT546" s="9">
        <f>(AR546-2*$A$25)/AQ546</f>
        <v>0.33240997229916902</v>
      </c>
      <c r="AU546" s="9">
        <f>(AS546-2*$A$26)/AQ546</f>
        <v>0.57617728531855972</v>
      </c>
      <c r="AV546" s="9">
        <f>1-AT546-AU546</f>
        <v>9.1412742382271261E-2</v>
      </c>
      <c r="AW546" s="3">
        <f>AN546*AT546</f>
        <v>1483.4252914440065</v>
      </c>
      <c r="AX546" s="3">
        <f>AN546*AU546</f>
        <v>2571.2705051696116</v>
      </c>
      <c r="AY546" s="3">
        <f>AW546+AX546</f>
        <v>4054.6957966136179</v>
      </c>
    </row>
    <row r="547" spans="1:51" x14ac:dyDescent="0.25">
      <c r="A547">
        <v>514</v>
      </c>
      <c r="B547" s="1" t="s">
        <v>555</v>
      </c>
      <c r="C547" s="1" t="s">
        <v>682</v>
      </c>
      <c r="D547" s="2">
        <v>40829</v>
      </c>
      <c r="E547" s="3">
        <v>29</v>
      </c>
      <c r="F547" s="4">
        <f t="shared" ref="F547:F610" si="56">(E547-2*$A$20)*$A$21/$A$22*$A$23</f>
        <v>4138.8112390206534</v>
      </c>
      <c r="G547" s="2">
        <v>40204</v>
      </c>
      <c r="H547" s="7">
        <v>3.4</v>
      </c>
      <c r="I547" s="7">
        <f>H547+H540-2*$A$24</f>
        <v>6.58</v>
      </c>
      <c r="J547" s="7">
        <v>3.28</v>
      </c>
      <c r="K547" s="7">
        <v>5.52</v>
      </c>
      <c r="L547" s="6">
        <f t="shared" ref="L547:L610" si="57">(J547-$A$25)/I547</f>
        <v>0.34042553191489355</v>
      </c>
      <c r="M547" s="6">
        <f t="shared" ref="M547:M610" si="58">(K547-$A$26)/I547</f>
        <v>0.58054711246200597</v>
      </c>
      <c r="N547" s="6">
        <f t="shared" ref="N547:N610" si="59">1-L547-M547</f>
        <v>7.9027355623100481E-2</v>
      </c>
      <c r="O547" s="4">
        <f t="shared" ref="O547:O610" si="60">F547*L547</f>
        <v>1408.9570175389456</v>
      </c>
      <c r="P547" s="4">
        <f t="shared" ref="P547:P610" si="61">F547*M547</f>
        <v>2402.7749138387376</v>
      </c>
      <c r="Q547" s="4">
        <f t="shared" ref="Q547:Q610" si="62">O547+P547</f>
        <v>3811.7319313776834</v>
      </c>
      <c r="V547" s="3"/>
      <c r="W547" s="3"/>
      <c r="Y547" s="7"/>
      <c r="Z547" s="7"/>
      <c r="AA547" s="7"/>
      <c r="AB547" s="7"/>
      <c r="AC547" s="9"/>
      <c r="AD547" s="9"/>
      <c r="AE547" s="9"/>
      <c r="AF547" s="3"/>
      <c r="AG547" s="3"/>
      <c r="AH547" s="3"/>
      <c r="AL547" s="11"/>
      <c r="AM547" s="3"/>
      <c r="AN547" s="3"/>
      <c r="AO547" s="11"/>
      <c r="AP547" s="7"/>
      <c r="AQ547" s="7"/>
      <c r="AR547" s="7"/>
      <c r="AS547" s="7"/>
      <c r="AT547" s="9"/>
      <c r="AU547" s="9"/>
      <c r="AV547" s="9"/>
      <c r="AW547" s="3"/>
      <c r="AX547" s="3"/>
      <c r="AY547" s="3"/>
    </row>
    <row r="548" spans="1:51" x14ac:dyDescent="0.25">
      <c r="A548">
        <v>515</v>
      </c>
      <c r="B548" s="1" t="s">
        <v>556</v>
      </c>
      <c r="C548" s="1" t="s">
        <v>682</v>
      </c>
      <c r="D548" s="2">
        <v>40829</v>
      </c>
      <c r="E548" s="3">
        <v>30.6</v>
      </c>
      <c r="F548" s="4">
        <f t="shared" si="56"/>
        <v>4385.5362011083234</v>
      </c>
      <c r="G548" s="2">
        <v>40204</v>
      </c>
      <c r="H548" s="7">
        <v>3.72</v>
      </c>
      <c r="I548" s="7">
        <f>H548+H539-2*$A$24</f>
        <v>7.32</v>
      </c>
      <c r="J548" s="7">
        <v>3.48</v>
      </c>
      <c r="K548" s="7">
        <v>5.94</v>
      </c>
      <c r="L548" s="6">
        <f t="shared" si="57"/>
        <v>0.33333333333333331</v>
      </c>
      <c r="M548" s="6">
        <f t="shared" si="58"/>
        <v>0.57923497267759561</v>
      </c>
      <c r="N548" s="6">
        <f t="shared" si="59"/>
        <v>8.7431693989071135E-2</v>
      </c>
      <c r="O548" s="4">
        <f t="shared" si="60"/>
        <v>1461.845400369441</v>
      </c>
      <c r="P548" s="4">
        <f t="shared" si="61"/>
        <v>2540.2559416255863</v>
      </c>
      <c r="Q548" s="4">
        <f t="shared" si="62"/>
        <v>4002.1013419950273</v>
      </c>
      <c r="V548" s="3"/>
      <c r="W548" s="3"/>
      <c r="Y548" s="7"/>
      <c r="Z548" s="7"/>
      <c r="AA548" s="7"/>
      <c r="AB548" s="7"/>
      <c r="AC548" s="9"/>
      <c r="AD548" s="9"/>
      <c r="AE548" s="9"/>
      <c r="AF548" s="3"/>
      <c r="AG548" s="3"/>
      <c r="AH548" s="3"/>
      <c r="AJ548" t="s">
        <v>978</v>
      </c>
      <c r="AK548" t="s">
        <v>682</v>
      </c>
      <c r="AL548" s="11">
        <f>D536</f>
        <v>40829</v>
      </c>
      <c r="AM548" s="3">
        <f>SUM(E536,E551)</f>
        <v>60.7</v>
      </c>
      <c r="AN548" s="3">
        <f>(AM548-4*$A$20)*$A$21/(2*$A$22)*$A$23</f>
        <v>4346.9854257821253</v>
      </c>
      <c r="AO548" s="11">
        <f>G536</f>
        <v>40204</v>
      </c>
      <c r="AP548" s="7">
        <f>SUM(H536,H551)</f>
        <v>7.34</v>
      </c>
      <c r="AQ548" s="7">
        <f>SUM(I536,I551)</f>
        <v>14.04</v>
      </c>
      <c r="AR548" s="7">
        <f>SUM(J536,J551)</f>
        <v>6.68</v>
      </c>
      <c r="AS548" s="7">
        <f>SUM(K536,K551)</f>
        <v>11.52</v>
      </c>
      <c r="AT548" s="9">
        <f>(AR548-2*$A$25)/AQ548</f>
        <v>0.32763532763532766</v>
      </c>
      <c r="AU548" s="9">
        <f>(AS548-2*$A$26)/AQ548</f>
        <v>0.57834757834757833</v>
      </c>
      <c r="AV548" s="9">
        <f>1-AT548-AU548</f>
        <v>9.4017094017094016E-2</v>
      </c>
      <c r="AW548" s="3">
        <f>AN548*AT548</f>
        <v>1424.225994202121</v>
      </c>
      <c r="AX548" s="3">
        <f>AN548*AU548</f>
        <v>2514.068494113309</v>
      </c>
      <c r="AY548" s="3">
        <f>AW548+AX548</f>
        <v>3938.29448831543</v>
      </c>
    </row>
    <row r="549" spans="1:51" x14ac:dyDescent="0.25">
      <c r="A549">
        <v>516</v>
      </c>
      <c r="B549" s="1" t="s">
        <v>557</v>
      </c>
      <c r="C549" s="1" t="s">
        <v>682</v>
      </c>
      <c r="D549" s="2">
        <v>40829</v>
      </c>
      <c r="E549" s="3">
        <v>26.5</v>
      </c>
      <c r="F549" s="4">
        <f t="shared" si="56"/>
        <v>3753.3034857586704</v>
      </c>
      <c r="G549" s="2">
        <v>40204</v>
      </c>
      <c r="H549" s="7">
        <v>3.62</v>
      </c>
      <c r="I549" s="7">
        <f>H549+H538-2*$A$24</f>
        <v>6.4399999999999995</v>
      </c>
      <c r="J549" s="7">
        <v>3.18</v>
      </c>
      <c r="K549" s="7">
        <v>5.4</v>
      </c>
      <c r="L549" s="6">
        <f t="shared" si="57"/>
        <v>0.3322981366459628</v>
      </c>
      <c r="M549" s="6">
        <f t="shared" si="58"/>
        <v>0.57453416149068326</v>
      </c>
      <c r="N549" s="6">
        <f t="shared" si="59"/>
        <v>9.3167701863353991E-2</v>
      </c>
      <c r="O549" s="4">
        <f t="shared" si="60"/>
        <v>1247.2157545844032</v>
      </c>
      <c r="P549" s="4">
        <f t="shared" si="61"/>
        <v>2156.4010710104162</v>
      </c>
      <c r="Q549" s="4">
        <f t="shared" si="62"/>
        <v>3403.6168255948196</v>
      </c>
      <c r="V549" s="3"/>
      <c r="W549" s="3"/>
      <c r="Y549" s="7"/>
      <c r="Z549" s="7"/>
      <c r="AA549" s="7"/>
      <c r="AB549" s="7"/>
      <c r="AC549" s="9"/>
      <c r="AD549" s="9"/>
      <c r="AE549" s="9"/>
      <c r="AF549" s="3"/>
      <c r="AG549" s="3"/>
      <c r="AH549" s="3"/>
      <c r="AL549" s="11"/>
      <c r="AM549" s="3"/>
      <c r="AN549" s="3"/>
      <c r="AO549" s="11"/>
      <c r="AP549" s="7"/>
      <c r="AQ549" s="7"/>
      <c r="AR549" s="7"/>
      <c r="AS549" s="7"/>
      <c r="AT549" s="9"/>
      <c r="AU549" s="9"/>
      <c r="AV549" s="9"/>
      <c r="AW549" s="3"/>
      <c r="AX549" s="3"/>
      <c r="AY549" s="3"/>
    </row>
    <row r="550" spans="1:51" x14ac:dyDescent="0.25">
      <c r="A550">
        <v>517</v>
      </c>
      <c r="B550" s="1" t="s">
        <v>558</v>
      </c>
      <c r="C550" s="1" t="s">
        <v>682</v>
      </c>
      <c r="D550" s="2">
        <v>40829</v>
      </c>
      <c r="E550" s="3">
        <v>28.9</v>
      </c>
      <c r="F550" s="4">
        <f t="shared" si="56"/>
        <v>4123.3909288901741</v>
      </c>
      <c r="G550" s="2">
        <v>40204</v>
      </c>
      <c r="H550" s="7">
        <v>3.36</v>
      </c>
      <c r="I550" s="7">
        <f>H550+H537-2*$A$24</f>
        <v>7.2199999999999989</v>
      </c>
      <c r="J550" s="7">
        <v>3.44</v>
      </c>
      <c r="K550" s="7">
        <v>5.86</v>
      </c>
      <c r="L550" s="6">
        <f t="shared" si="57"/>
        <v>0.33240997229916902</v>
      </c>
      <c r="M550" s="6">
        <f t="shared" si="58"/>
        <v>0.57617728531855972</v>
      </c>
      <c r="N550" s="6">
        <f t="shared" si="59"/>
        <v>9.1412742382271261E-2</v>
      </c>
      <c r="O550" s="4">
        <f t="shared" si="60"/>
        <v>1370.6562644510275</v>
      </c>
      <c r="P550" s="4">
        <f t="shared" si="61"/>
        <v>2375.8041917151149</v>
      </c>
      <c r="Q550" s="4">
        <f t="shared" si="62"/>
        <v>3746.4604561661426</v>
      </c>
      <c r="V550" s="3"/>
      <c r="W550" s="3"/>
      <c r="Y550" s="7"/>
      <c r="Z550" s="7"/>
      <c r="AA550" s="7"/>
      <c r="AB550" s="7"/>
      <c r="AC550" s="9"/>
      <c r="AD550" s="9"/>
      <c r="AE550" s="9"/>
      <c r="AF550" s="3"/>
      <c r="AG550" s="3"/>
      <c r="AH550" s="3"/>
      <c r="AJ550" t="s">
        <v>979</v>
      </c>
      <c r="AK550" t="s">
        <v>682</v>
      </c>
      <c r="AL550" s="11">
        <f>D535</f>
        <v>40829</v>
      </c>
      <c r="AM550" s="3">
        <f>SUM(E535,E552)</f>
        <v>57.9</v>
      </c>
      <c r="AN550" s="3">
        <f>(AM550-4*$A$20)*$A$21/(2*$A$22)*$A$23</f>
        <v>4131.1010839554137</v>
      </c>
      <c r="AO550" s="11">
        <f>G535</f>
        <v>40204</v>
      </c>
      <c r="AP550" s="7">
        <f>SUM(H535,H552)</f>
        <v>7.3</v>
      </c>
      <c r="AQ550" s="7">
        <f>SUM(I535,I552)</f>
        <v>13.959999999999999</v>
      </c>
      <c r="AR550" s="7">
        <f>SUM(J535,J552)</f>
        <v>6.8</v>
      </c>
      <c r="AS550" s="7">
        <f>SUM(K535,K552)</f>
        <v>11.6</v>
      </c>
      <c r="AT550" s="9">
        <f>(AR550-2*$A$25)/AQ550</f>
        <v>0.33810888252148996</v>
      </c>
      <c r="AU550" s="9">
        <f>(AS550-2*$A$26)/AQ550</f>
        <v>0.58739255014326641</v>
      </c>
      <c r="AV550" s="9">
        <f>1-AT550-AU550</f>
        <v>7.4498567335243626E-2</v>
      </c>
      <c r="AW550" s="3">
        <f>AN550*AT550</f>
        <v>1396.7619710794809</v>
      </c>
      <c r="AX550" s="3">
        <f>AN550*AU550</f>
        <v>2426.5780006041828</v>
      </c>
      <c r="AY550" s="3">
        <f>AW550+AX550</f>
        <v>3823.3399716836639</v>
      </c>
    </row>
    <row r="551" spans="1:51" x14ac:dyDescent="0.25">
      <c r="A551">
        <v>518</v>
      </c>
      <c r="B551" s="1" t="s">
        <v>559</v>
      </c>
      <c r="C551" s="1" t="s">
        <v>682</v>
      </c>
      <c r="D551" s="2">
        <v>40829</v>
      </c>
      <c r="E551" s="3">
        <v>30.4</v>
      </c>
      <c r="F551" s="4">
        <f t="shared" si="56"/>
        <v>4354.6955808473649</v>
      </c>
      <c r="G551" s="2">
        <v>40204</v>
      </c>
      <c r="H551" s="7">
        <v>3.32</v>
      </c>
      <c r="I551" s="7">
        <f>H551+H536-2*$A$24</f>
        <v>7.02</v>
      </c>
      <c r="J551" s="7">
        <v>3.34</v>
      </c>
      <c r="K551" s="7">
        <v>5.76</v>
      </c>
      <c r="L551" s="6">
        <f t="shared" si="57"/>
        <v>0.32763532763532766</v>
      </c>
      <c r="M551" s="6">
        <f t="shared" si="58"/>
        <v>0.57834757834757833</v>
      </c>
      <c r="N551" s="6">
        <f t="shared" si="59"/>
        <v>9.4017094017094016E-2</v>
      </c>
      <c r="O551" s="4">
        <f t="shared" si="60"/>
        <v>1426.7521133830398</v>
      </c>
      <c r="P551" s="4">
        <f t="shared" si="61"/>
        <v>2518.5276436239747</v>
      </c>
      <c r="Q551" s="4">
        <f t="shared" si="62"/>
        <v>3945.2797570070143</v>
      </c>
      <c r="V551" s="3"/>
      <c r="W551" s="3"/>
      <c r="Y551" s="7"/>
      <c r="Z551" s="7"/>
      <c r="AA551" s="7"/>
      <c r="AB551" s="7"/>
      <c r="AC551" s="9"/>
      <c r="AD551" s="9"/>
      <c r="AE551" s="9"/>
      <c r="AF551" s="3"/>
      <c r="AG551" s="3"/>
      <c r="AH551" s="3"/>
      <c r="AL551" s="11"/>
      <c r="AM551" s="3"/>
      <c r="AN551" s="3"/>
      <c r="AO551" s="11"/>
      <c r="AP551" s="7"/>
      <c r="AQ551" s="7"/>
      <c r="AR551" s="7"/>
      <c r="AS551" s="7"/>
      <c r="AT551" s="9"/>
      <c r="AU551" s="9"/>
      <c r="AV551" s="9"/>
      <c r="AW551" s="3"/>
      <c r="AX551" s="3"/>
      <c r="AY551" s="3"/>
    </row>
    <row r="552" spans="1:51" x14ac:dyDescent="0.25">
      <c r="A552">
        <v>519</v>
      </c>
      <c r="B552" s="1" t="s">
        <v>560</v>
      </c>
      <c r="C552" s="1" t="s">
        <v>682</v>
      </c>
      <c r="D552" s="2">
        <v>40829</v>
      </c>
      <c r="E552" s="3">
        <v>29</v>
      </c>
      <c r="F552" s="4">
        <f t="shared" si="56"/>
        <v>4138.8112390206534</v>
      </c>
      <c r="G552" s="2">
        <v>40204</v>
      </c>
      <c r="H552" s="7">
        <v>3.92</v>
      </c>
      <c r="I552" s="7">
        <f>H552+H535-2*$A$24</f>
        <v>6.9799999999999995</v>
      </c>
      <c r="J552" s="7">
        <v>3.4</v>
      </c>
      <c r="K552" s="7">
        <v>5.8</v>
      </c>
      <c r="L552" s="6">
        <f t="shared" si="57"/>
        <v>0.33810888252148996</v>
      </c>
      <c r="M552" s="6">
        <f t="shared" si="58"/>
        <v>0.58739255014326641</v>
      </c>
      <c r="N552" s="6">
        <f t="shared" si="59"/>
        <v>7.4498567335243626E-2</v>
      </c>
      <c r="O552" s="4">
        <f t="shared" si="60"/>
        <v>1399.3688429926565</v>
      </c>
      <c r="P552" s="4">
        <f t="shared" si="61"/>
        <v>2431.1068882499535</v>
      </c>
      <c r="Q552" s="4">
        <f t="shared" si="62"/>
        <v>3830.47573124261</v>
      </c>
      <c r="V552" s="3"/>
      <c r="W552" s="3"/>
      <c r="Y552" s="7"/>
      <c r="Z552" s="7"/>
      <c r="AA552" s="7"/>
      <c r="AB552" s="7"/>
      <c r="AC552" s="9"/>
      <c r="AD552" s="9"/>
      <c r="AE552" s="9"/>
      <c r="AF552" s="3"/>
      <c r="AG552" s="3"/>
      <c r="AH552" s="3"/>
      <c r="AJ552" t="s">
        <v>980</v>
      </c>
      <c r="AK552" t="s">
        <v>682</v>
      </c>
      <c r="AL552" s="11">
        <f>D534</f>
        <v>40829</v>
      </c>
      <c r="AM552" s="3">
        <f>SUM(E534,E553)</f>
        <v>51.1</v>
      </c>
      <c r="AN552" s="3">
        <f>(AM552-4*$A$20)*$A$21/(2*$A$22)*$A$23</f>
        <v>3606.8105395191164</v>
      </c>
      <c r="AO552" s="11">
        <f>G534</f>
        <v>40204</v>
      </c>
      <c r="AP552" s="7">
        <f>SUM(H534,H553)</f>
        <v>8</v>
      </c>
      <c r="AQ552" s="7">
        <f>SUM(I534,I553)</f>
        <v>15.36</v>
      </c>
      <c r="AR552" s="7">
        <f>SUM(J534,J553)</f>
        <v>7.04</v>
      </c>
      <c r="AS552" s="7">
        <f>SUM(K534,K553)</f>
        <v>12.28</v>
      </c>
      <c r="AT552" s="9">
        <f>(AR552-2*$A$25)/AQ552</f>
        <v>0.32291666666666669</v>
      </c>
      <c r="AU552" s="9">
        <f>(AS552-2*$A$26)/AQ552</f>
        <v>0.578125</v>
      </c>
      <c r="AV552" s="9">
        <f>1-AT552-AU552</f>
        <v>9.8958333333333259E-2</v>
      </c>
      <c r="AW552" s="3">
        <f>AN552*AT552</f>
        <v>1164.6992367197147</v>
      </c>
      <c r="AX552" s="3">
        <f>AN552*AU552</f>
        <v>2085.187343159489</v>
      </c>
      <c r="AY552" s="3">
        <f>AW552+AX552</f>
        <v>3249.886579879204</v>
      </c>
    </row>
    <row r="553" spans="1:51" x14ac:dyDescent="0.25">
      <c r="A553">
        <v>520</v>
      </c>
      <c r="B553" s="1" t="s">
        <v>561</v>
      </c>
      <c r="C553" s="1" t="s">
        <v>682</v>
      </c>
      <c r="D553" s="2">
        <v>40829</v>
      </c>
      <c r="E553" s="3">
        <v>24</v>
      </c>
      <c r="F553" s="4">
        <f t="shared" si="56"/>
        <v>3367.7957324966874</v>
      </c>
      <c r="G553" s="2">
        <v>40204</v>
      </c>
      <c r="H553" s="7">
        <v>3.76</v>
      </c>
      <c r="I553" s="7">
        <f>H553+H534-2*$A$24</f>
        <v>7.68</v>
      </c>
      <c r="J553" s="7">
        <v>3.52</v>
      </c>
      <c r="K553" s="7">
        <v>6.14</v>
      </c>
      <c r="L553" s="6">
        <f t="shared" si="57"/>
        <v>0.32291666666666669</v>
      </c>
      <c r="M553" s="6">
        <f t="shared" si="58"/>
        <v>0.578125</v>
      </c>
      <c r="N553" s="6">
        <f t="shared" si="59"/>
        <v>9.8958333333333259E-2</v>
      </c>
      <c r="O553" s="4">
        <f t="shared" si="60"/>
        <v>1087.5173719520553</v>
      </c>
      <c r="P553" s="4">
        <f t="shared" si="61"/>
        <v>1947.0069078496474</v>
      </c>
      <c r="Q553" s="4">
        <f t="shared" si="62"/>
        <v>3034.5242798017025</v>
      </c>
      <c r="V553" s="3"/>
      <c r="W553" s="3"/>
      <c r="Y553" s="7"/>
      <c r="Z553" s="7"/>
      <c r="AA553" s="7"/>
      <c r="AB553" s="7"/>
      <c r="AC553" s="9"/>
      <c r="AD553" s="9"/>
      <c r="AE553" s="9"/>
      <c r="AF553" s="3"/>
      <c r="AG553" s="3"/>
      <c r="AH553" s="3"/>
    </row>
    <row r="554" spans="1:51" x14ac:dyDescent="0.25">
      <c r="A554">
        <v>521</v>
      </c>
      <c r="B554" s="1" t="s">
        <v>562</v>
      </c>
      <c r="C554" s="1" t="s">
        <v>682</v>
      </c>
      <c r="D554" s="2">
        <v>40829</v>
      </c>
      <c r="E554" s="3">
        <v>25.6</v>
      </c>
      <c r="F554" s="4">
        <f t="shared" si="56"/>
        <v>3614.5206945843565</v>
      </c>
      <c r="G554" s="2">
        <v>40204</v>
      </c>
      <c r="H554" s="7">
        <v>2.5</v>
      </c>
      <c r="I554" s="7">
        <f>H554+H573-2*$A$24</f>
        <v>4.9399999999999995</v>
      </c>
      <c r="J554" s="7">
        <v>2.6</v>
      </c>
      <c r="K554" s="7">
        <v>4.5</v>
      </c>
      <c r="L554" s="6">
        <f t="shared" si="57"/>
        <v>0.31578947368421056</v>
      </c>
      <c r="M554" s="6">
        <f t="shared" si="58"/>
        <v>0.5668016194331984</v>
      </c>
      <c r="N554" s="6">
        <f t="shared" si="59"/>
        <v>0.11740890688259098</v>
      </c>
      <c r="O554" s="4">
        <f t="shared" si="60"/>
        <v>1141.4275877634811</v>
      </c>
      <c r="P554" s="4">
        <f t="shared" si="61"/>
        <v>2048.7161831652224</v>
      </c>
      <c r="Q554" s="4">
        <f t="shared" si="62"/>
        <v>3190.1437709287038</v>
      </c>
      <c r="S554" t="s">
        <v>36</v>
      </c>
      <c r="T554" t="s">
        <v>682</v>
      </c>
      <c r="U554" s="8">
        <f>D554</f>
        <v>40829</v>
      </c>
      <c r="V554" s="3">
        <f>SUM(E554:E593)</f>
        <v>1232.5999999999997</v>
      </c>
      <c r="W554" s="3">
        <f>(V554-80*$A$20)*$A$21/(40*$A$22)*$A$23</f>
        <v>4418.6898678888529</v>
      </c>
      <c r="X554" s="8">
        <f>G554</f>
        <v>40204</v>
      </c>
      <c r="Y554" s="7">
        <f>SUM(H554:H593)</f>
        <v>135.61999999999998</v>
      </c>
      <c r="Z554" s="7">
        <f>SUM(I554:I593)</f>
        <v>258.76</v>
      </c>
      <c r="AA554" s="7">
        <f>SUM(J554:J593)</f>
        <v>125.88000000000002</v>
      </c>
      <c r="AB554" s="7">
        <f>SUM(K554:K593)</f>
        <v>217.72</v>
      </c>
      <c r="AC554" s="9">
        <f>(AA554-39*$A$25)/Z554</f>
        <v>0.32972638738599486</v>
      </c>
      <c r="AD554" s="9">
        <f>(AB554-39*$A$26)/Z554</f>
        <v>0.58517545215643851</v>
      </c>
      <c r="AE554" s="9">
        <f>1-AC554-AD554</f>
        <v>8.5098160457566685E-2</v>
      </c>
      <c r="AF554" s="3">
        <f>W554*AC554</f>
        <v>1456.9586471180903</v>
      </c>
      <c r="AG554" s="3">
        <f>W554*AD554</f>
        <v>2585.7088413809329</v>
      </c>
      <c r="AH554" s="3">
        <f>AF554+AG554</f>
        <v>4042.6674884990234</v>
      </c>
      <c r="AJ554" t="s">
        <v>981</v>
      </c>
      <c r="AK554" t="s">
        <v>682</v>
      </c>
      <c r="AL554" s="11">
        <f>D563</f>
        <v>40829</v>
      </c>
      <c r="AM554" s="3">
        <f>SUM(E563,E564)</f>
        <v>59.9</v>
      </c>
      <c r="AN554" s="3">
        <f>(AM554-4*$A$20)*$A$21/(2*$A$22)*$A$23</f>
        <v>4285.3041852602073</v>
      </c>
      <c r="AO554" s="11">
        <f>G563</f>
        <v>40204</v>
      </c>
      <c r="AP554" s="7">
        <f>SUM(H563,H564)</f>
        <v>6.52</v>
      </c>
      <c r="AQ554" s="7">
        <f>SUM(I563,I564)</f>
        <v>12.399999999999999</v>
      </c>
      <c r="AR554" s="7">
        <f>SUM(J563,J564)</f>
        <v>6.16</v>
      </c>
      <c r="AS554" s="7">
        <f>SUM(K563,K564)</f>
        <v>10.68</v>
      </c>
      <c r="AT554" s="9">
        <f>(AR554-2*$A$25)/AQ554</f>
        <v>0.32903225806451619</v>
      </c>
      <c r="AU554" s="9">
        <f>(AS554-2*$A$26)/AQ554</f>
        <v>0.58709677419354844</v>
      </c>
      <c r="AV554" s="9">
        <f>1-AT554-AU554</f>
        <v>8.3870967741935365E-2</v>
      </c>
      <c r="AW554" s="3">
        <f>AN554*AT554</f>
        <v>1410.0033125694879</v>
      </c>
      <c r="AX554" s="3">
        <f>AN554*AU554</f>
        <v>2515.88826360438</v>
      </c>
      <c r="AY554" s="3">
        <f>AW554+AX554</f>
        <v>3925.8915761738681</v>
      </c>
    </row>
    <row r="555" spans="1:51" x14ac:dyDescent="0.25">
      <c r="A555">
        <v>522</v>
      </c>
      <c r="B555" s="1" t="s">
        <v>563</v>
      </c>
      <c r="C555" s="1" t="s">
        <v>682</v>
      </c>
      <c r="D555" s="2">
        <v>40829</v>
      </c>
      <c r="E555" s="3">
        <v>32.200000000000003</v>
      </c>
      <c r="F555" s="4">
        <f t="shared" si="56"/>
        <v>4632.2611631959926</v>
      </c>
      <c r="G555" s="2">
        <v>40204</v>
      </c>
      <c r="H555" s="7">
        <v>3.26</v>
      </c>
      <c r="I555" s="7">
        <f>H555+H572-2*$A$24</f>
        <v>6.92</v>
      </c>
      <c r="J555" s="7">
        <v>3.32</v>
      </c>
      <c r="K555" s="7">
        <v>5.68</v>
      </c>
      <c r="L555" s="6">
        <f t="shared" si="57"/>
        <v>0.32947976878612717</v>
      </c>
      <c r="M555" s="6">
        <f t="shared" si="58"/>
        <v>0.57514450867052014</v>
      </c>
      <c r="N555" s="6">
        <f t="shared" si="59"/>
        <v>9.5375722543352692E-2</v>
      </c>
      <c r="O555" s="4">
        <f t="shared" si="60"/>
        <v>1526.2363370067721</v>
      </c>
      <c r="P555" s="4">
        <f t="shared" si="61"/>
        <v>2664.2195707398914</v>
      </c>
      <c r="Q555" s="4">
        <f t="shared" si="62"/>
        <v>4190.4559077466638</v>
      </c>
      <c r="V555" s="3"/>
      <c r="W555" s="3"/>
      <c r="Y555" s="7"/>
      <c r="Z555" s="7"/>
      <c r="AA555" s="7"/>
      <c r="AB555" s="7"/>
      <c r="AC555" s="9"/>
      <c r="AD555" s="9"/>
      <c r="AE555" s="9"/>
      <c r="AF555" s="3"/>
      <c r="AG555" s="3"/>
      <c r="AH555" s="3"/>
      <c r="AL555" s="11"/>
      <c r="AM555" s="3"/>
      <c r="AN555" s="3"/>
      <c r="AO555" s="11"/>
      <c r="AP555" s="7"/>
      <c r="AQ555" s="7"/>
      <c r="AR555" s="7"/>
      <c r="AS555" s="7"/>
      <c r="AT555" s="9"/>
      <c r="AU555" s="9"/>
      <c r="AV555" s="9"/>
      <c r="AW555" s="3"/>
      <c r="AX555" s="3"/>
      <c r="AY555" s="3"/>
    </row>
    <row r="556" spans="1:51" x14ac:dyDescent="0.25">
      <c r="A556">
        <v>523</v>
      </c>
      <c r="B556" s="1" t="s">
        <v>564</v>
      </c>
      <c r="C556" s="1" t="s">
        <v>682</v>
      </c>
      <c r="D556" s="2">
        <v>40829</v>
      </c>
      <c r="E556" s="3">
        <v>33.799999999999997</v>
      </c>
      <c r="F556" s="4">
        <f t="shared" si="56"/>
        <v>4878.9861252836617</v>
      </c>
      <c r="G556" s="2">
        <v>40204</v>
      </c>
      <c r="H556" s="7">
        <v>4.22</v>
      </c>
      <c r="I556" s="7">
        <f>H556+H571-2*$A$24</f>
        <v>7.52</v>
      </c>
      <c r="J556" s="7">
        <v>3.52</v>
      </c>
      <c r="K556" s="7">
        <v>6.02</v>
      </c>
      <c r="L556" s="6">
        <f t="shared" si="57"/>
        <v>0.32978723404255322</v>
      </c>
      <c r="M556" s="6">
        <f t="shared" si="58"/>
        <v>0.57446808510638292</v>
      </c>
      <c r="N556" s="6">
        <f t="shared" si="59"/>
        <v>9.5744680851063912E-2</v>
      </c>
      <c r="O556" s="4">
        <f t="shared" si="60"/>
        <v>1609.0273391892929</v>
      </c>
      <c r="P556" s="4">
        <f t="shared" si="61"/>
        <v>2802.8218166523161</v>
      </c>
      <c r="Q556" s="4">
        <f t="shared" si="62"/>
        <v>4411.849155841609</v>
      </c>
      <c r="V556" s="3"/>
      <c r="W556" s="3"/>
      <c r="Y556" s="7"/>
      <c r="Z556" s="7"/>
      <c r="AA556" s="7"/>
      <c r="AB556" s="7"/>
      <c r="AC556" s="9"/>
      <c r="AD556" s="9"/>
      <c r="AE556" s="9"/>
      <c r="AF556" s="3"/>
      <c r="AG556" s="3"/>
      <c r="AH556" s="3"/>
      <c r="AJ556" t="s">
        <v>982</v>
      </c>
      <c r="AK556" t="s">
        <v>682</v>
      </c>
      <c r="AL556" s="11">
        <f>D562</f>
        <v>40829</v>
      </c>
      <c r="AM556" s="3">
        <f>SUM(E562,E565)</f>
        <v>64</v>
      </c>
      <c r="AN556" s="3">
        <f>(AM556-4*$A$20)*$A$21/(2*$A$22)*$A$23</f>
        <v>4601.4205429350341</v>
      </c>
      <c r="AO556" s="11">
        <f>G562</f>
        <v>40204</v>
      </c>
      <c r="AP556" s="7">
        <f>SUM(H562,H565)</f>
        <v>8.0599999999999987</v>
      </c>
      <c r="AQ556" s="7">
        <f>SUM(I562,I565)</f>
        <v>15.479999999999997</v>
      </c>
      <c r="AR556" s="7">
        <f>SUM(J562,J565)</f>
        <v>7.12</v>
      </c>
      <c r="AS556" s="7">
        <f>SUM(K562,K565)</f>
        <v>12.24</v>
      </c>
      <c r="AT556" s="9">
        <f>(AR556-2*$A$25)/AQ556</f>
        <v>0.32558139534883729</v>
      </c>
      <c r="AU556" s="9">
        <f>(AS556-2*$A$26)/AQ556</f>
        <v>0.57105943152454786</v>
      </c>
      <c r="AV556" s="9">
        <f>1-AT556-AU556</f>
        <v>0.1033591731266148</v>
      </c>
      <c r="AW556" s="3">
        <f>AN556*AT556</f>
        <v>1498.1369209555928</v>
      </c>
      <c r="AX556" s="3">
        <f>AN556*AU556</f>
        <v>2627.6845994538571</v>
      </c>
      <c r="AY556" s="3">
        <f>AW556+AX556</f>
        <v>4125.8215204094504</v>
      </c>
    </row>
    <row r="557" spans="1:51" x14ac:dyDescent="0.25">
      <c r="A557">
        <v>524</v>
      </c>
      <c r="B557" s="1" t="s">
        <v>565</v>
      </c>
      <c r="C557" s="1" t="s">
        <v>682</v>
      </c>
      <c r="D557" s="2">
        <v>40829</v>
      </c>
      <c r="E557" s="3">
        <v>29.4</v>
      </c>
      <c r="F557" s="4">
        <f t="shared" si="56"/>
        <v>4200.4924795425704</v>
      </c>
      <c r="G557" s="2">
        <v>40204</v>
      </c>
      <c r="H557" s="7">
        <v>4.4000000000000004</v>
      </c>
      <c r="I557" s="7">
        <f>H557+H570-2*$A$24</f>
        <v>7.54</v>
      </c>
      <c r="J557" s="7">
        <v>3.54</v>
      </c>
      <c r="K557" s="7">
        <v>6.06</v>
      </c>
      <c r="L557" s="6">
        <f t="shared" si="57"/>
        <v>0.33156498673740054</v>
      </c>
      <c r="M557" s="6">
        <f t="shared" si="58"/>
        <v>0.57824933687002644</v>
      </c>
      <c r="N557" s="6">
        <f t="shared" si="59"/>
        <v>9.0185676392573022E-2</v>
      </c>
      <c r="O557" s="4">
        <f t="shared" si="60"/>
        <v>1392.7362332700829</v>
      </c>
      <c r="P557" s="4">
        <f t="shared" si="61"/>
        <v>2428.9319908230245</v>
      </c>
      <c r="Q557" s="4">
        <f t="shared" si="62"/>
        <v>3821.6682240931077</v>
      </c>
      <c r="V557" s="3"/>
      <c r="W557" s="3"/>
      <c r="Y557" s="7"/>
      <c r="Z557" s="7"/>
      <c r="AA557" s="7"/>
      <c r="AB557" s="7"/>
      <c r="AC557" s="9"/>
      <c r="AD557" s="9"/>
      <c r="AE557" s="9"/>
      <c r="AF557" s="3"/>
      <c r="AG557" s="3"/>
      <c r="AH557" s="3"/>
      <c r="AL557" s="11"/>
      <c r="AM557" s="3"/>
      <c r="AN557" s="3"/>
      <c r="AO557" s="11"/>
      <c r="AP557" s="7"/>
      <c r="AQ557" s="7"/>
      <c r="AR557" s="7"/>
      <c r="AS557" s="7"/>
      <c r="AT557" s="9"/>
      <c r="AU557" s="9"/>
      <c r="AV557" s="9"/>
      <c r="AW557" s="3"/>
      <c r="AX557" s="3"/>
      <c r="AY557" s="3"/>
    </row>
    <row r="558" spans="1:51" x14ac:dyDescent="0.25">
      <c r="A558">
        <v>525</v>
      </c>
      <c r="B558" s="1" t="s">
        <v>566</v>
      </c>
      <c r="C558" s="1" t="s">
        <v>682</v>
      </c>
      <c r="D558" s="2">
        <v>40829</v>
      </c>
      <c r="E558" s="3">
        <v>31.099999999999998</v>
      </c>
      <c r="F558" s="4">
        <f t="shared" si="56"/>
        <v>4462.6377517607189</v>
      </c>
      <c r="G558" s="2">
        <v>40204</v>
      </c>
      <c r="H558" s="7">
        <v>3.92</v>
      </c>
      <c r="I558" s="7">
        <f>H558+H569-2*$A$24</f>
        <v>7.3599999999999994</v>
      </c>
      <c r="J558" s="7">
        <v>3.42</v>
      </c>
      <c r="K558" s="7">
        <v>5.88</v>
      </c>
      <c r="L558" s="6">
        <f t="shared" si="57"/>
        <v>0.3233695652173913</v>
      </c>
      <c r="M558" s="6">
        <f t="shared" si="58"/>
        <v>0.56793478260869568</v>
      </c>
      <c r="N558" s="6">
        <f t="shared" si="59"/>
        <v>0.10869565217391297</v>
      </c>
      <c r="O558" s="4">
        <f t="shared" si="60"/>
        <v>1443.0812295095802</v>
      </c>
      <c r="P558" s="4">
        <f t="shared" si="61"/>
        <v>2534.4872014075822</v>
      </c>
      <c r="Q558" s="4">
        <f t="shared" si="62"/>
        <v>3977.5684309171625</v>
      </c>
      <c r="V558" s="3"/>
      <c r="W558" s="3"/>
      <c r="Y558" s="7"/>
      <c r="Z558" s="7"/>
      <c r="AA558" s="7"/>
      <c r="AB558" s="7"/>
      <c r="AC558" s="9"/>
      <c r="AD558" s="9"/>
      <c r="AE558" s="9"/>
      <c r="AF558" s="3"/>
      <c r="AG558" s="3"/>
      <c r="AH558" s="3"/>
      <c r="AJ558" t="s">
        <v>983</v>
      </c>
      <c r="AK558" t="s">
        <v>682</v>
      </c>
      <c r="AL558" s="11">
        <f>D561</f>
        <v>40829</v>
      </c>
      <c r="AM558" s="3">
        <f>SUM(E561,E566)</f>
        <v>69</v>
      </c>
      <c r="AN558" s="3">
        <f>(AM558-4*$A$20)*$A$21/(2*$A$22)*$A$23</f>
        <v>4986.9282961970175</v>
      </c>
      <c r="AO558" s="11">
        <f>G561</f>
        <v>40204</v>
      </c>
      <c r="AP558" s="7">
        <f>SUM(H561,H566)</f>
        <v>7.02</v>
      </c>
      <c r="AQ558" s="7">
        <f>SUM(I561,I566)</f>
        <v>13.399999999999999</v>
      </c>
      <c r="AR558" s="7">
        <f>SUM(J561,J566)</f>
        <v>6.44</v>
      </c>
      <c r="AS558" s="7">
        <f>SUM(K561,K566)</f>
        <v>11.12</v>
      </c>
      <c r="AT558" s="9">
        <f>(AR558-2*$A$25)/AQ558</f>
        <v>0.32537313432835829</v>
      </c>
      <c r="AU558" s="9">
        <f>(AS558-2*$A$26)/AQ558</f>
        <v>0.57611940298507458</v>
      </c>
      <c r="AV558" s="9">
        <f>1-AT558-AU558</f>
        <v>9.8507462686567071E-2</v>
      </c>
      <c r="AW558" s="3">
        <f>AN558*AT558</f>
        <v>1622.6124904044032</v>
      </c>
      <c r="AX558" s="3">
        <f>AN558*AU558</f>
        <v>2873.0661527344009</v>
      </c>
      <c r="AY558" s="3">
        <f>AW558+AX558</f>
        <v>4495.6786431388045</v>
      </c>
    </row>
    <row r="559" spans="1:51" x14ac:dyDescent="0.25">
      <c r="A559">
        <v>526</v>
      </c>
      <c r="B559" s="1" t="s">
        <v>567</v>
      </c>
      <c r="C559" s="1" t="s">
        <v>682</v>
      </c>
      <c r="D559" s="2">
        <v>40829</v>
      </c>
      <c r="E559" s="3">
        <v>31.8</v>
      </c>
      <c r="F559" s="4">
        <f t="shared" si="56"/>
        <v>4570.5799226740755</v>
      </c>
      <c r="G559" s="2">
        <v>40204</v>
      </c>
      <c r="H559" s="7">
        <v>3.08</v>
      </c>
      <c r="I559" s="7">
        <f>H559+H568-2*$A$24</f>
        <v>6.6999999999999993</v>
      </c>
      <c r="J559" s="7">
        <v>3.24</v>
      </c>
      <c r="K559" s="7">
        <v>5.56</v>
      </c>
      <c r="L559" s="6">
        <f t="shared" si="57"/>
        <v>0.32835820895522394</v>
      </c>
      <c r="M559" s="6">
        <f t="shared" si="58"/>
        <v>0.57611940298507458</v>
      </c>
      <c r="N559" s="6">
        <f t="shared" si="59"/>
        <v>9.552238805970148E-2</v>
      </c>
      <c r="O559" s="4">
        <f t="shared" si="60"/>
        <v>1500.7874372959654</v>
      </c>
      <c r="P559" s="4">
        <f t="shared" si="61"/>
        <v>2633.1997763465565</v>
      </c>
      <c r="Q559" s="4">
        <f t="shared" si="62"/>
        <v>4133.987213642522</v>
      </c>
      <c r="V559" s="3"/>
      <c r="W559" s="3"/>
      <c r="Y559" s="7"/>
      <c r="Z559" s="7"/>
      <c r="AA559" s="7"/>
      <c r="AB559" s="7"/>
      <c r="AC559" s="9"/>
      <c r="AD559" s="9"/>
      <c r="AE559" s="9"/>
      <c r="AF559" s="3"/>
      <c r="AG559" s="3"/>
      <c r="AH559" s="3"/>
      <c r="AL559" s="11"/>
      <c r="AM559" s="3"/>
      <c r="AN559" s="3"/>
      <c r="AO559" s="11"/>
      <c r="AP559" s="7"/>
      <c r="AQ559" s="7"/>
      <c r="AR559" s="7"/>
      <c r="AS559" s="7"/>
      <c r="AT559" s="9"/>
      <c r="AU559" s="9"/>
      <c r="AV559" s="9"/>
      <c r="AW559" s="3"/>
      <c r="AX559" s="3"/>
      <c r="AY559" s="3"/>
    </row>
    <row r="560" spans="1:51" x14ac:dyDescent="0.25">
      <c r="A560">
        <v>527</v>
      </c>
      <c r="B560" s="1" t="s">
        <v>568</v>
      </c>
      <c r="C560" s="1" t="s">
        <v>682</v>
      </c>
      <c r="D560" s="2">
        <v>40829</v>
      </c>
      <c r="E560" s="3">
        <v>30.9</v>
      </c>
      <c r="F560" s="4">
        <f t="shared" si="56"/>
        <v>4431.7971314997612</v>
      </c>
      <c r="G560" s="2">
        <v>40204</v>
      </c>
      <c r="H560" s="7">
        <v>3.6</v>
      </c>
      <c r="I560" s="7">
        <f>H560+H567-2*$A$24</f>
        <v>6.46</v>
      </c>
      <c r="J560" s="7">
        <v>3.16</v>
      </c>
      <c r="K560" s="7">
        <v>5.52</v>
      </c>
      <c r="L560" s="6">
        <f t="shared" si="57"/>
        <v>0.32817337461300311</v>
      </c>
      <c r="M560" s="6">
        <f t="shared" si="58"/>
        <v>0.59133126934984515</v>
      </c>
      <c r="N560" s="6">
        <f t="shared" si="59"/>
        <v>8.0495356037151744E-2</v>
      </c>
      <c r="O560" s="4">
        <f t="shared" si="60"/>
        <v>1454.3978202445037</v>
      </c>
      <c r="P560" s="4">
        <f t="shared" si="61"/>
        <v>2620.6602232707564</v>
      </c>
      <c r="Q560" s="4">
        <f t="shared" si="62"/>
        <v>4075.0580435152601</v>
      </c>
      <c r="V560" s="3"/>
      <c r="W560" s="3"/>
      <c r="Y560" s="7"/>
      <c r="Z560" s="7"/>
      <c r="AA560" s="7"/>
      <c r="AB560" s="7"/>
      <c r="AC560" s="9"/>
      <c r="AD560" s="9"/>
      <c r="AE560" s="9"/>
      <c r="AF560" s="3"/>
      <c r="AG560" s="3"/>
      <c r="AH560" s="3"/>
      <c r="AJ560" t="s">
        <v>984</v>
      </c>
      <c r="AK560" t="s">
        <v>682</v>
      </c>
      <c r="AL560" s="11">
        <f>D560</f>
        <v>40829</v>
      </c>
      <c r="AM560" s="3">
        <f>SUM(E560,E567)</f>
        <v>63.5</v>
      </c>
      <c r="AN560" s="3">
        <f>(AM560-4*$A$20)*$A$21/(2*$A$22)*$A$23</f>
        <v>4562.8697676088359</v>
      </c>
      <c r="AO560" s="11">
        <f>G560</f>
        <v>40204</v>
      </c>
      <c r="AP560" s="7">
        <f>SUM(H560,H567)</f>
        <v>6.78</v>
      </c>
      <c r="AQ560" s="7">
        <f>SUM(I560,I567)</f>
        <v>12.92</v>
      </c>
      <c r="AR560" s="7">
        <f>SUM(J560,J567)</f>
        <v>6.32</v>
      </c>
      <c r="AS560" s="7">
        <f>SUM(K560,K567)</f>
        <v>11.04</v>
      </c>
      <c r="AT560" s="9">
        <f>(AR560-2*$A$25)/AQ560</f>
        <v>0.32817337461300311</v>
      </c>
      <c r="AU560" s="9">
        <f>(AS560-2*$A$26)/AQ560</f>
        <v>0.59133126934984515</v>
      </c>
      <c r="AV560" s="9">
        <f>1-AT560-AU560</f>
        <v>8.0495356037151744E-2</v>
      </c>
      <c r="AW560" s="3">
        <f>AN560*AT560</f>
        <v>1497.412369555841</v>
      </c>
      <c r="AX560" s="3">
        <f>AN560*AU560</f>
        <v>2698.1675715581659</v>
      </c>
      <c r="AY560" s="3">
        <f>AW560+AX560</f>
        <v>4195.5799411140069</v>
      </c>
    </row>
    <row r="561" spans="1:51" x14ac:dyDescent="0.25">
      <c r="A561">
        <v>528</v>
      </c>
      <c r="B561" s="1" t="s">
        <v>569</v>
      </c>
      <c r="C561" s="1" t="s">
        <v>682</v>
      </c>
      <c r="D561" s="2">
        <v>40829</v>
      </c>
      <c r="E561" s="3">
        <v>33.200000000000003</v>
      </c>
      <c r="F561" s="4">
        <f t="shared" si="56"/>
        <v>4786.4642645007862</v>
      </c>
      <c r="G561" s="2">
        <v>40204</v>
      </c>
      <c r="H561" s="7">
        <v>3.36</v>
      </c>
      <c r="I561" s="7">
        <f>H561+H566-2*$A$24</f>
        <v>6.6999999999999993</v>
      </c>
      <c r="J561" s="7">
        <v>3.22</v>
      </c>
      <c r="K561" s="7">
        <v>5.56</v>
      </c>
      <c r="L561" s="6">
        <f t="shared" si="57"/>
        <v>0.32537313432835829</v>
      </c>
      <c r="M561" s="6">
        <f t="shared" si="58"/>
        <v>0.57611940298507458</v>
      </c>
      <c r="N561" s="6">
        <f t="shared" si="59"/>
        <v>9.8507462686567071E-2</v>
      </c>
      <c r="O561" s="4">
        <f t="shared" si="60"/>
        <v>1557.386880091301</v>
      </c>
      <c r="P561" s="4">
        <f t="shared" si="61"/>
        <v>2757.5749344735868</v>
      </c>
      <c r="Q561" s="4">
        <f t="shared" si="62"/>
        <v>4314.9618145648874</v>
      </c>
      <c r="V561" s="3"/>
      <c r="W561" s="3"/>
      <c r="Y561" s="7"/>
      <c r="Z561" s="7"/>
      <c r="AA561" s="7"/>
      <c r="AB561" s="7"/>
      <c r="AC561" s="9"/>
      <c r="AD561" s="9"/>
      <c r="AE561" s="9"/>
      <c r="AF561" s="3"/>
      <c r="AG561" s="3"/>
      <c r="AH561" s="3"/>
      <c r="AL561" s="11"/>
      <c r="AM561" s="3"/>
      <c r="AN561" s="3"/>
      <c r="AO561" s="11"/>
      <c r="AP561" s="7"/>
      <c r="AQ561" s="7"/>
      <c r="AR561" s="7"/>
      <c r="AS561" s="7"/>
      <c r="AT561" s="9"/>
      <c r="AU561" s="9"/>
      <c r="AV561" s="9"/>
      <c r="AW561" s="3"/>
      <c r="AX561" s="3"/>
      <c r="AY561" s="3"/>
    </row>
    <row r="562" spans="1:51" x14ac:dyDescent="0.25">
      <c r="A562">
        <v>529</v>
      </c>
      <c r="B562" s="1" t="s">
        <v>570</v>
      </c>
      <c r="C562" s="1" t="s">
        <v>682</v>
      </c>
      <c r="D562" s="2">
        <v>40829</v>
      </c>
      <c r="E562" s="3">
        <v>30.6</v>
      </c>
      <c r="F562" s="4">
        <f t="shared" si="56"/>
        <v>4385.5362011083234</v>
      </c>
      <c r="G562" s="2">
        <v>40204</v>
      </c>
      <c r="H562" s="7">
        <v>3.84</v>
      </c>
      <c r="I562" s="7">
        <f>H562+H565-2*$A$24</f>
        <v>7.7399999999999984</v>
      </c>
      <c r="J562" s="7">
        <v>3.56</v>
      </c>
      <c r="K562" s="7">
        <v>6.12</v>
      </c>
      <c r="L562" s="6">
        <f t="shared" si="57"/>
        <v>0.32558139534883729</v>
      </c>
      <c r="M562" s="6">
        <f t="shared" si="58"/>
        <v>0.57105943152454786</v>
      </c>
      <c r="N562" s="6">
        <f t="shared" si="59"/>
        <v>0.1033591731266148</v>
      </c>
      <c r="O562" s="4">
        <f t="shared" si="60"/>
        <v>1427.848995709687</v>
      </c>
      <c r="P562" s="4">
        <f t="shared" si="61"/>
        <v>2504.4018099352443</v>
      </c>
      <c r="Q562" s="4">
        <f t="shared" si="62"/>
        <v>3932.2508056449315</v>
      </c>
      <c r="V562" s="3"/>
      <c r="W562" s="3"/>
      <c r="Y562" s="7"/>
      <c r="Z562" s="7"/>
      <c r="AA562" s="7"/>
      <c r="AB562" s="7"/>
      <c r="AC562" s="9"/>
      <c r="AD562" s="9"/>
      <c r="AE562" s="9"/>
      <c r="AF562" s="3"/>
      <c r="AG562" s="3"/>
      <c r="AH562" s="3"/>
      <c r="AJ562" t="s">
        <v>985</v>
      </c>
      <c r="AK562" t="s">
        <v>682</v>
      </c>
      <c r="AL562" s="11">
        <f>D559</f>
        <v>40829</v>
      </c>
      <c r="AM562" s="3">
        <f>SUM(E559,E568)</f>
        <v>66.400000000000006</v>
      </c>
      <c r="AN562" s="3">
        <f>(AM562-4*$A$20)*$A$21/(2*$A$22)*$A$23</f>
        <v>4786.4642645007862</v>
      </c>
      <c r="AO562" s="11">
        <f>G559</f>
        <v>40204</v>
      </c>
      <c r="AP562" s="7">
        <f>SUM(H559,H568)</f>
        <v>7.02</v>
      </c>
      <c r="AQ562" s="7">
        <f>SUM(I559,I568)</f>
        <v>13.399999999999999</v>
      </c>
      <c r="AR562" s="7">
        <f>SUM(J559,J568)</f>
        <v>6.48</v>
      </c>
      <c r="AS562" s="7">
        <f>SUM(K559,K568)</f>
        <v>11.12</v>
      </c>
      <c r="AT562" s="9">
        <f>(AR562-2*$A$25)/AQ562</f>
        <v>0.32835820895522394</v>
      </c>
      <c r="AU562" s="9">
        <f>(AS562-2*$A$26)/AQ562</f>
        <v>0.57611940298507458</v>
      </c>
      <c r="AV562" s="9">
        <f>1-AT562-AU562</f>
        <v>9.552238805970148E-2</v>
      </c>
      <c r="AW562" s="3">
        <f>AN562*AT562</f>
        <v>1571.6748331196613</v>
      </c>
      <c r="AX562" s="3">
        <f>AN562*AU562</f>
        <v>2757.5749344735868</v>
      </c>
      <c r="AY562" s="3">
        <f>AW562+AX562</f>
        <v>4329.2497675932482</v>
      </c>
    </row>
    <row r="563" spans="1:51" x14ac:dyDescent="0.25">
      <c r="A563">
        <v>530</v>
      </c>
      <c r="B563" s="1" t="s">
        <v>571</v>
      </c>
      <c r="C563" s="1" t="s">
        <v>682</v>
      </c>
      <c r="D563" s="2">
        <v>40829</v>
      </c>
      <c r="E563" s="3">
        <v>30</v>
      </c>
      <c r="F563" s="4">
        <f t="shared" si="56"/>
        <v>4293.0143403254469</v>
      </c>
      <c r="G563" s="2">
        <v>40204</v>
      </c>
      <c r="H563" s="7">
        <v>2.9</v>
      </c>
      <c r="I563" s="7">
        <f>H563+H564-2*$A$24</f>
        <v>6.1999999999999993</v>
      </c>
      <c r="J563" s="7">
        <v>3.08</v>
      </c>
      <c r="K563" s="7">
        <v>5.34</v>
      </c>
      <c r="L563" s="6">
        <f t="shared" si="57"/>
        <v>0.32903225806451619</v>
      </c>
      <c r="M563" s="6">
        <f t="shared" si="58"/>
        <v>0.58709677419354844</v>
      </c>
      <c r="N563" s="6">
        <f t="shared" si="59"/>
        <v>8.3870967741935365E-2</v>
      </c>
      <c r="O563" s="4">
        <f t="shared" si="60"/>
        <v>1412.5402023006311</v>
      </c>
      <c r="P563" s="4">
        <f t="shared" si="61"/>
        <v>2520.414870771714</v>
      </c>
      <c r="Q563" s="4">
        <f t="shared" si="62"/>
        <v>3932.9550730723449</v>
      </c>
      <c r="V563" s="3"/>
      <c r="W563" s="3"/>
      <c r="Y563" s="7"/>
      <c r="Z563" s="7"/>
      <c r="AA563" s="7"/>
      <c r="AB563" s="7"/>
      <c r="AC563" s="9"/>
      <c r="AD563" s="9"/>
      <c r="AE563" s="9"/>
      <c r="AF563" s="3"/>
      <c r="AG563" s="3"/>
      <c r="AH563" s="3"/>
      <c r="AL563" s="11"/>
      <c r="AM563" s="3"/>
      <c r="AN563" s="3"/>
      <c r="AO563" s="11"/>
      <c r="AP563" s="7"/>
      <c r="AQ563" s="7"/>
      <c r="AR563" s="7"/>
      <c r="AS563" s="7"/>
      <c r="AT563" s="9"/>
      <c r="AU563" s="9"/>
      <c r="AV563" s="9"/>
      <c r="AW563" s="3"/>
      <c r="AX563" s="3"/>
      <c r="AY563" s="3"/>
    </row>
    <row r="564" spans="1:51" x14ac:dyDescent="0.25">
      <c r="A564">
        <v>531</v>
      </c>
      <c r="B564" s="1" t="s">
        <v>572</v>
      </c>
      <c r="C564" s="1" t="s">
        <v>682</v>
      </c>
      <c r="D564" s="2">
        <v>40829</v>
      </c>
      <c r="E564" s="3">
        <v>29.9</v>
      </c>
      <c r="F564" s="4">
        <f t="shared" si="56"/>
        <v>4277.5940301949677</v>
      </c>
      <c r="G564" s="2">
        <v>40204</v>
      </c>
      <c r="H564" s="7">
        <v>3.62</v>
      </c>
      <c r="I564" s="7">
        <f>H564+H563-2*$A$24</f>
        <v>6.1999999999999993</v>
      </c>
      <c r="J564" s="7">
        <v>3.08</v>
      </c>
      <c r="K564" s="7">
        <v>5.34</v>
      </c>
      <c r="L564" s="6">
        <f t="shared" si="57"/>
        <v>0.32903225806451619</v>
      </c>
      <c r="M564" s="6">
        <f t="shared" si="58"/>
        <v>0.58709677419354844</v>
      </c>
      <c r="N564" s="6">
        <f t="shared" si="59"/>
        <v>8.3870967741935365E-2</v>
      </c>
      <c r="O564" s="4">
        <f t="shared" si="60"/>
        <v>1407.4664228383444</v>
      </c>
      <c r="P564" s="4">
        <f t="shared" si="61"/>
        <v>2511.3616564370459</v>
      </c>
      <c r="Q564" s="4">
        <f t="shared" si="62"/>
        <v>3918.8280792753903</v>
      </c>
      <c r="V564" s="3"/>
      <c r="W564" s="3"/>
      <c r="Y564" s="7"/>
      <c r="Z564" s="7"/>
      <c r="AA564" s="7"/>
      <c r="AB564" s="7"/>
      <c r="AC564" s="9"/>
      <c r="AD564" s="9"/>
      <c r="AE564" s="9"/>
      <c r="AF564" s="3"/>
      <c r="AG564" s="3"/>
      <c r="AH564" s="3"/>
      <c r="AJ564" t="s">
        <v>986</v>
      </c>
      <c r="AK564" t="s">
        <v>682</v>
      </c>
      <c r="AL564" s="11">
        <f>D558</f>
        <v>40829</v>
      </c>
      <c r="AM564" s="3">
        <f>SUM(E558,E569)</f>
        <v>64.899999999999991</v>
      </c>
      <c r="AN564" s="3">
        <f>(AM564-4*$A$20)*$A$21/(2*$A$22)*$A$23</f>
        <v>4670.8119385221908</v>
      </c>
      <c r="AO564" s="11">
        <f>G558</f>
        <v>40204</v>
      </c>
      <c r="AP564" s="7">
        <f>SUM(H558,H569)</f>
        <v>7.68</v>
      </c>
      <c r="AQ564" s="7">
        <f>SUM(I558,I569)</f>
        <v>14.719999999999999</v>
      </c>
      <c r="AR564" s="7">
        <f>SUM(J558,J569)</f>
        <v>6.84</v>
      </c>
      <c r="AS564" s="7">
        <f>SUM(K558,K569)</f>
        <v>11.76</v>
      </c>
      <c r="AT564" s="9">
        <f>(AR564-2*$A$25)/AQ564</f>
        <v>0.3233695652173913</v>
      </c>
      <c r="AU564" s="9">
        <f>(AS564-2*$A$26)/AQ564</f>
        <v>0.56793478260869568</v>
      </c>
      <c r="AV564" s="9">
        <f>1-AT564-AU564</f>
        <v>0.10869565217391297</v>
      </c>
      <c r="AW564" s="3">
        <f>AN564*AT564</f>
        <v>1510.3984257721215</v>
      </c>
      <c r="AX564" s="3">
        <f>AN564*AU564</f>
        <v>2652.7165629107008</v>
      </c>
      <c r="AY564" s="3">
        <f>AW564+AX564</f>
        <v>4163.1149886828225</v>
      </c>
    </row>
    <row r="565" spans="1:51" x14ac:dyDescent="0.25">
      <c r="A565">
        <v>532</v>
      </c>
      <c r="B565" s="1" t="s">
        <v>573</v>
      </c>
      <c r="C565" s="1" t="s">
        <v>682</v>
      </c>
      <c r="D565" s="2">
        <v>40829</v>
      </c>
      <c r="E565" s="3">
        <v>33.4</v>
      </c>
      <c r="F565" s="4">
        <f t="shared" si="56"/>
        <v>4817.3048847617447</v>
      </c>
      <c r="G565" s="2">
        <v>40204</v>
      </c>
      <c r="H565" s="7">
        <v>4.22</v>
      </c>
      <c r="I565" s="7">
        <f>H565+H562-2*$A$24</f>
        <v>7.7399999999999984</v>
      </c>
      <c r="J565" s="7">
        <v>3.56</v>
      </c>
      <c r="K565" s="7">
        <v>6.12</v>
      </c>
      <c r="L565" s="6">
        <f t="shared" si="57"/>
        <v>0.32558139534883729</v>
      </c>
      <c r="M565" s="6">
        <f t="shared" si="58"/>
        <v>0.57105943152454786</v>
      </c>
      <c r="N565" s="6">
        <f t="shared" si="59"/>
        <v>0.1033591731266148</v>
      </c>
      <c r="O565" s="4">
        <f t="shared" si="60"/>
        <v>1568.4248462014987</v>
      </c>
      <c r="P565" s="4">
        <f t="shared" si="61"/>
        <v>2750.9673889724695</v>
      </c>
      <c r="Q565" s="4">
        <f t="shared" si="62"/>
        <v>4319.3922351739684</v>
      </c>
      <c r="V565" s="3"/>
      <c r="W565" s="3"/>
      <c r="Y565" s="7"/>
      <c r="Z565" s="7"/>
      <c r="AA565" s="7"/>
      <c r="AB565" s="7"/>
      <c r="AC565" s="9"/>
      <c r="AD565" s="9"/>
      <c r="AE565" s="9"/>
      <c r="AF565" s="3"/>
      <c r="AG565" s="3"/>
      <c r="AH565" s="3"/>
      <c r="AL565" s="11"/>
      <c r="AM565" s="3"/>
      <c r="AN565" s="3"/>
      <c r="AO565" s="11"/>
      <c r="AP565" s="7"/>
      <c r="AQ565" s="7"/>
      <c r="AR565" s="7"/>
      <c r="AS565" s="7"/>
      <c r="AT565" s="9"/>
      <c r="AU565" s="9"/>
      <c r="AV565" s="9"/>
      <c r="AW565" s="3"/>
      <c r="AX565" s="3"/>
      <c r="AY565" s="3"/>
    </row>
    <row r="566" spans="1:51" x14ac:dyDescent="0.25">
      <c r="A566">
        <v>533</v>
      </c>
      <c r="B566" s="1" t="s">
        <v>574</v>
      </c>
      <c r="C566" s="1" t="s">
        <v>682</v>
      </c>
      <c r="D566" s="2">
        <v>40829</v>
      </c>
      <c r="E566" s="3">
        <v>35.799999999999997</v>
      </c>
      <c r="F566" s="4">
        <f t="shared" si="56"/>
        <v>5187.3923278932489</v>
      </c>
      <c r="G566" s="2">
        <v>40204</v>
      </c>
      <c r="H566" s="7">
        <v>3.66</v>
      </c>
      <c r="I566" s="7">
        <f>H566+H561-2*$A$24</f>
        <v>6.6999999999999993</v>
      </c>
      <c r="J566" s="7">
        <v>3.22</v>
      </c>
      <c r="K566" s="7">
        <v>5.56</v>
      </c>
      <c r="L566" s="6">
        <f t="shared" si="57"/>
        <v>0.32537313432835829</v>
      </c>
      <c r="M566" s="6">
        <f t="shared" si="58"/>
        <v>0.57611940298507458</v>
      </c>
      <c r="N566" s="6">
        <f t="shared" si="59"/>
        <v>9.8507462686567071E-2</v>
      </c>
      <c r="O566" s="4">
        <f t="shared" si="60"/>
        <v>1687.8381007175053</v>
      </c>
      <c r="P566" s="4">
        <f t="shared" si="61"/>
        <v>2988.5573709952146</v>
      </c>
      <c r="Q566" s="4">
        <f t="shared" si="62"/>
        <v>4676.3954717127199</v>
      </c>
      <c r="V566" s="3"/>
      <c r="W566" s="3"/>
      <c r="Y566" s="7"/>
      <c r="Z566" s="7"/>
      <c r="AA566" s="7"/>
      <c r="AB566" s="7"/>
      <c r="AC566" s="9"/>
      <c r="AD566" s="9"/>
      <c r="AE566" s="9"/>
      <c r="AF566" s="3"/>
      <c r="AG566" s="3"/>
      <c r="AH566" s="3"/>
      <c r="AJ566" t="s">
        <v>987</v>
      </c>
      <c r="AK566" t="s">
        <v>682</v>
      </c>
      <c r="AL566" s="11">
        <f>D557</f>
        <v>40829</v>
      </c>
      <c r="AM566" s="3">
        <f>SUM(E557,E570)</f>
        <v>62</v>
      </c>
      <c r="AN566" s="3">
        <f>(AM566-4*$A$20)*$A$21/(2*$A$22)*$A$23</f>
        <v>4447.2174416302405</v>
      </c>
      <c r="AO566" s="11">
        <f>G557</f>
        <v>40204</v>
      </c>
      <c r="AP566" s="7">
        <f>SUM(H557,H570)</f>
        <v>7.86</v>
      </c>
      <c r="AQ566" s="7">
        <f>SUM(I557,I570)</f>
        <v>15.08</v>
      </c>
      <c r="AR566" s="7">
        <f>SUM(J557,J570)</f>
        <v>7.08</v>
      </c>
      <c r="AS566" s="7">
        <f>SUM(K557,K570)</f>
        <v>12.12</v>
      </c>
      <c r="AT566" s="9">
        <f>(AR566-2*$A$25)/AQ566</f>
        <v>0.33156498673740054</v>
      </c>
      <c r="AU566" s="9">
        <f>(AS566-2*$A$26)/AQ566</f>
        <v>0.57824933687002644</v>
      </c>
      <c r="AV566" s="9">
        <f>1-AT566-AU566</f>
        <v>9.0185676392573022E-2</v>
      </c>
      <c r="AW566" s="3">
        <f>AN566*AT566</f>
        <v>1474.541592052467</v>
      </c>
      <c r="AX566" s="3">
        <f>AN566*AU566</f>
        <v>2571.6005365395022</v>
      </c>
      <c r="AY566" s="3">
        <f>AW566+AX566</f>
        <v>4046.1421285919691</v>
      </c>
    </row>
    <row r="567" spans="1:51" x14ac:dyDescent="0.25">
      <c r="A567">
        <v>534</v>
      </c>
      <c r="B567" s="1" t="s">
        <v>575</v>
      </c>
      <c r="C567" s="1" t="s">
        <v>682</v>
      </c>
      <c r="D567" s="2">
        <v>40829</v>
      </c>
      <c r="E567" s="3">
        <v>32.6</v>
      </c>
      <c r="F567" s="4">
        <f t="shared" si="56"/>
        <v>4693.9424037179097</v>
      </c>
      <c r="G567" s="2">
        <v>40204</v>
      </c>
      <c r="H567" s="7">
        <v>3.18</v>
      </c>
      <c r="I567" s="7">
        <f>H567+H560-2*$A$24</f>
        <v>6.46</v>
      </c>
      <c r="J567" s="7">
        <v>3.16</v>
      </c>
      <c r="K567" s="7">
        <v>5.52</v>
      </c>
      <c r="L567" s="6">
        <f t="shared" si="57"/>
        <v>0.32817337461300311</v>
      </c>
      <c r="M567" s="6">
        <f t="shared" si="58"/>
        <v>0.59133126934984515</v>
      </c>
      <c r="N567" s="6">
        <f t="shared" si="59"/>
        <v>8.0495356037151744E-2</v>
      </c>
      <c r="O567" s="4">
        <f t="shared" si="60"/>
        <v>1540.4269188671778</v>
      </c>
      <c r="P567" s="4">
        <f t="shared" si="61"/>
        <v>2775.674919845575</v>
      </c>
      <c r="Q567" s="4">
        <f t="shared" si="62"/>
        <v>4316.1018387127533</v>
      </c>
      <c r="V567" s="3"/>
      <c r="W567" s="3"/>
      <c r="Y567" s="7"/>
      <c r="Z567" s="7"/>
      <c r="AA567" s="7"/>
      <c r="AB567" s="7"/>
      <c r="AC567" s="9"/>
      <c r="AD567" s="9"/>
      <c r="AE567" s="9"/>
      <c r="AF567" s="3"/>
      <c r="AG567" s="3"/>
      <c r="AH567" s="3"/>
      <c r="AL567" s="11"/>
      <c r="AM567" s="3"/>
      <c r="AN567" s="3"/>
      <c r="AO567" s="11"/>
      <c r="AP567" s="7"/>
      <c r="AQ567" s="7"/>
      <c r="AR567" s="7"/>
      <c r="AS567" s="7"/>
      <c r="AT567" s="9"/>
      <c r="AU567" s="9"/>
      <c r="AV567" s="9"/>
      <c r="AW567" s="3"/>
      <c r="AX567" s="3"/>
      <c r="AY567" s="3"/>
    </row>
    <row r="568" spans="1:51" x14ac:dyDescent="0.25">
      <c r="A568">
        <v>535</v>
      </c>
      <c r="B568" s="1" t="s">
        <v>576</v>
      </c>
      <c r="C568" s="1" t="s">
        <v>682</v>
      </c>
      <c r="D568" s="2">
        <v>40829</v>
      </c>
      <c r="E568" s="3">
        <v>34.6</v>
      </c>
      <c r="F568" s="4">
        <f t="shared" si="56"/>
        <v>5002.3486063274968</v>
      </c>
      <c r="G568" s="2">
        <v>40204</v>
      </c>
      <c r="H568" s="7">
        <v>3.94</v>
      </c>
      <c r="I568" s="7">
        <f>H568+H559-2*$A$24</f>
        <v>6.6999999999999993</v>
      </c>
      <c r="J568" s="7">
        <v>3.24</v>
      </c>
      <c r="K568" s="7">
        <v>5.56</v>
      </c>
      <c r="L568" s="6">
        <f t="shared" si="57"/>
        <v>0.32835820895522394</v>
      </c>
      <c r="M568" s="6">
        <f t="shared" si="58"/>
        <v>0.57611940298507458</v>
      </c>
      <c r="N568" s="6">
        <f t="shared" si="59"/>
        <v>9.552238805970148E-2</v>
      </c>
      <c r="O568" s="4">
        <f t="shared" si="60"/>
        <v>1642.5622289433575</v>
      </c>
      <c r="P568" s="4">
        <f t="shared" si="61"/>
        <v>2881.9500926006172</v>
      </c>
      <c r="Q568" s="4">
        <f t="shared" si="62"/>
        <v>4524.5123215439744</v>
      </c>
      <c r="V568" s="3"/>
      <c r="W568" s="3"/>
      <c r="Y568" s="7"/>
      <c r="Z568" s="7"/>
      <c r="AA568" s="7"/>
      <c r="AB568" s="7"/>
      <c r="AC568" s="9"/>
      <c r="AD568" s="9"/>
      <c r="AE568" s="9"/>
      <c r="AF568" s="3"/>
      <c r="AG568" s="3"/>
      <c r="AH568" s="3"/>
      <c r="AJ568" t="s">
        <v>988</v>
      </c>
      <c r="AK568" t="s">
        <v>682</v>
      </c>
      <c r="AL568" s="11">
        <f>D556</f>
        <v>40829</v>
      </c>
      <c r="AM568" s="3">
        <f>SUM(E556,E571)</f>
        <v>68.8</v>
      </c>
      <c r="AN568" s="3">
        <f>(AM568-4*$A$20)*$A$21/(2*$A$22)*$A$23</f>
        <v>4971.5079860665373</v>
      </c>
      <c r="AO568" s="11">
        <f>G556</f>
        <v>40204</v>
      </c>
      <c r="AP568" s="7">
        <f>SUM(H556,H571)</f>
        <v>7.84</v>
      </c>
      <c r="AQ568" s="7">
        <f>SUM(I556,I571)</f>
        <v>15.04</v>
      </c>
      <c r="AR568" s="7">
        <f>SUM(J556,J571)</f>
        <v>7.04</v>
      </c>
      <c r="AS568" s="7">
        <f>SUM(K556,K571)</f>
        <v>12.04</v>
      </c>
      <c r="AT568" s="9">
        <f>(AR568-2*$A$25)/AQ568</f>
        <v>0.32978723404255322</v>
      </c>
      <c r="AU568" s="9">
        <f>(AS568-2*$A$26)/AQ568</f>
        <v>0.57446808510638292</v>
      </c>
      <c r="AV568" s="9">
        <f>1-AT568-AU568</f>
        <v>9.5744680851063912E-2</v>
      </c>
      <c r="AW568" s="3">
        <f>AN568*AT568</f>
        <v>1639.5398677453477</v>
      </c>
      <c r="AX568" s="3">
        <f>AN568*AU568</f>
        <v>2855.972672846734</v>
      </c>
      <c r="AY568" s="3">
        <f>AW568+AX568</f>
        <v>4495.5125405920817</v>
      </c>
    </row>
    <row r="569" spans="1:51" x14ac:dyDescent="0.25">
      <c r="A569">
        <v>536</v>
      </c>
      <c r="B569" s="1" t="s">
        <v>577</v>
      </c>
      <c r="C569" s="1" t="s">
        <v>682</v>
      </c>
      <c r="D569" s="2">
        <v>40829</v>
      </c>
      <c r="E569" s="3">
        <v>33.799999999999997</v>
      </c>
      <c r="F569" s="4">
        <f t="shared" si="56"/>
        <v>4878.9861252836617</v>
      </c>
      <c r="G569" s="2">
        <v>40204</v>
      </c>
      <c r="H569" s="7">
        <v>3.76</v>
      </c>
      <c r="I569" s="7">
        <f>H569+H558-2*$A$24</f>
        <v>7.3599999999999994</v>
      </c>
      <c r="J569" s="7">
        <v>3.42</v>
      </c>
      <c r="K569" s="7">
        <v>5.88</v>
      </c>
      <c r="L569" s="6">
        <f t="shared" si="57"/>
        <v>0.3233695652173913</v>
      </c>
      <c r="M569" s="6">
        <f t="shared" si="58"/>
        <v>0.56793478260869568</v>
      </c>
      <c r="N569" s="6">
        <f t="shared" si="59"/>
        <v>0.10869565217391297</v>
      </c>
      <c r="O569" s="4">
        <f t="shared" si="60"/>
        <v>1577.7156220346624</v>
      </c>
      <c r="P569" s="4">
        <f t="shared" si="61"/>
        <v>2770.9459244138188</v>
      </c>
      <c r="Q569" s="4">
        <f t="shared" si="62"/>
        <v>4348.6615464484812</v>
      </c>
      <c r="V569" s="3"/>
      <c r="W569" s="3"/>
      <c r="Y569" s="7"/>
      <c r="Z569" s="7"/>
      <c r="AA569" s="7"/>
      <c r="AB569" s="7"/>
      <c r="AC569" s="9"/>
      <c r="AD569" s="9"/>
      <c r="AE569" s="9"/>
      <c r="AF569" s="3"/>
      <c r="AG569" s="3"/>
      <c r="AH569" s="3"/>
      <c r="AL569" s="11"/>
      <c r="AM569" s="3"/>
      <c r="AN569" s="3"/>
      <c r="AO569" s="11"/>
      <c r="AP569" s="7"/>
      <c r="AQ569" s="7"/>
      <c r="AR569" s="7"/>
      <c r="AS569" s="7"/>
      <c r="AT569" s="9"/>
      <c r="AU569" s="9"/>
      <c r="AV569" s="9"/>
      <c r="AW569" s="3"/>
      <c r="AX569" s="3"/>
      <c r="AY569" s="3"/>
    </row>
    <row r="570" spans="1:51" x14ac:dyDescent="0.25">
      <c r="A570">
        <v>537</v>
      </c>
      <c r="B570" s="1" t="s">
        <v>578</v>
      </c>
      <c r="C570" s="1" t="s">
        <v>682</v>
      </c>
      <c r="D570" s="2">
        <v>40829</v>
      </c>
      <c r="E570" s="3">
        <v>32.6</v>
      </c>
      <c r="F570" s="4">
        <f t="shared" si="56"/>
        <v>4693.9424037179097</v>
      </c>
      <c r="G570" s="2">
        <v>40204</v>
      </c>
      <c r="H570" s="7">
        <v>3.46</v>
      </c>
      <c r="I570" s="7">
        <f>H570+H557-2*$A$24</f>
        <v>7.54</v>
      </c>
      <c r="J570" s="7">
        <v>3.54</v>
      </c>
      <c r="K570" s="7">
        <v>6.06</v>
      </c>
      <c r="L570" s="6">
        <f t="shared" si="57"/>
        <v>0.33156498673740054</v>
      </c>
      <c r="M570" s="6">
        <f t="shared" si="58"/>
        <v>0.57824933687002644</v>
      </c>
      <c r="N570" s="6">
        <f t="shared" si="59"/>
        <v>9.0185676392573022E-2</v>
      </c>
      <c r="O570" s="4">
        <f t="shared" si="60"/>
        <v>1556.3469508348508</v>
      </c>
      <c r="P570" s="4">
        <f t="shared" si="61"/>
        <v>2714.2690822559794</v>
      </c>
      <c r="Q570" s="4">
        <f t="shared" si="62"/>
        <v>4270.6160330908297</v>
      </c>
      <c r="V570" s="3"/>
      <c r="W570" s="3"/>
      <c r="Y570" s="7"/>
      <c r="Z570" s="7"/>
      <c r="AA570" s="7"/>
      <c r="AB570" s="7"/>
      <c r="AC570" s="9"/>
      <c r="AD570" s="9"/>
      <c r="AE570" s="9"/>
      <c r="AF570" s="3"/>
      <c r="AG570" s="3"/>
      <c r="AH570" s="3"/>
      <c r="AJ570" t="s">
        <v>989</v>
      </c>
      <c r="AK570" t="s">
        <v>682</v>
      </c>
      <c r="AL570" s="11">
        <f>D555</f>
        <v>40829</v>
      </c>
      <c r="AM570" s="3">
        <f>SUM(E555,E572)</f>
        <v>65.7</v>
      </c>
      <c r="AN570" s="3">
        <f>(AM570-4*$A$20)*$A$21/(2*$A$22)*$A$23</f>
        <v>4732.4931790441087</v>
      </c>
      <c r="AO570" s="11">
        <f>G555</f>
        <v>40204</v>
      </c>
      <c r="AP570" s="7">
        <f>SUM(H555,H572)</f>
        <v>7.24</v>
      </c>
      <c r="AQ570" s="7">
        <f>SUM(I555,I572)</f>
        <v>13.84</v>
      </c>
      <c r="AR570" s="7">
        <f>SUM(J555,J572)</f>
        <v>6.64</v>
      </c>
      <c r="AS570" s="7">
        <f>SUM(K555,K572)</f>
        <v>11.36</v>
      </c>
      <c r="AT570" s="9">
        <f>(AR570-2*$A$25)/AQ570</f>
        <v>0.32947976878612717</v>
      </c>
      <c r="AU570" s="9">
        <f>(AS570-2*$A$26)/AQ570</f>
        <v>0.57514450867052014</v>
      </c>
      <c r="AV570" s="9">
        <f>1-AT570-AU570</f>
        <v>9.5375722543352692E-2</v>
      </c>
      <c r="AW570" s="3">
        <f>AN570*AT570</f>
        <v>1559.2607584133768</v>
      </c>
      <c r="AX570" s="3">
        <f>AN570*AU570</f>
        <v>2721.8674642479118</v>
      </c>
      <c r="AY570" s="3">
        <f>AW570+AX570</f>
        <v>4281.1282226612884</v>
      </c>
    </row>
    <row r="571" spans="1:51" x14ac:dyDescent="0.25">
      <c r="A571">
        <v>538</v>
      </c>
      <c r="B571" s="1" t="s">
        <v>579</v>
      </c>
      <c r="C571" s="1" t="s">
        <v>682</v>
      </c>
      <c r="D571" s="2">
        <v>40829</v>
      </c>
      <c r="E571" s="3">
        <v>35</v>
      </c>
      <c r="F571" s="4">
        <f t="shared" si="56"/>
        <v>5064.0298468494148</v>
      </c>
      <c r="G571" s="2">
        <v>40204</v>
      </c>
      <c r="H571" s="7">
        <v>3.62</v>
      </c>
      <c r="I571" s="7">
        <f>H571+H556-2*$A$24</f>
        <v>7.52</v>
      </c>
      <c r="J571" s="7">
        <v>3.52</v>
      </c>
      <c r="K571" s="7">
        <v>6.02</v>
      </c>
      <c r="L571" s="6">
        <f t="shared" si="57"/>
        <v>0.32978723404255322</v>
      </c>
      <c r="M571" s="6">
        <f t="shared" si="58"/>
        <v>0.57446808510638292</v>
      </c>
      <c r="N571" s="6">
        <f t="shared" si="59"/>
        <v>9.5744680851063912E-2</v>
      </c>
      <c r="O571" s="4">
        <f t="shared" si="60"/>
        <v>1670.052396301403</v>
      </c>
      <c r="P571" s="4">
        <f t="shared" si="61"/>
        <v>2909.1235290411528</v>
      </c>
      <c r="Q571" s="4">
        <f t="shared" si="62"/>
        <v>4579.1759253425553</v>
      </c>
      <c r="V571" s="3"/>
      <c r="W571" s="3"/>
      <c r="Y571" s="7"/>
      <c r="Z571" s="7"/>
      <c r="AA571" s="7"/>
      <c r="AB571" s="7"/>
      <c r="AC571" s="9"/>
      <c r="AD571" s="9"/>
      <c r="AE571" s="9"/>
      <c r="AF571" s="3"/>
      <c r="AG571" s="3"/>
      <c r="AH571" s="3"/>
      <c r="AL571" s="11"/>
      <c r="AM571" s="3"/>
      <c r="AN571" s="3"/>
      <c r="AO571" s="11"/>
      <c r="AP571" s="7"/>
      <c r="AQ571" s="7"/>
      <c r="AR571" s="7"/>
      <c r="AS571" s="7"/>
      <c r="AT571" s="9"/>
      <c r="AU571" s="9"/>
      <c r="AV571" s="9"/>
      <c r="AW571" s="3"/>
      <c r="AX571" s="3"/>
      <c r="AY571" s="3"/>
    </row>
    <row r="572" spans="1:51" x14ac:dyDescent="0.25">
      <c r="A572">
        <v>539</v>
      </c>
      <c r="B572" s="1" t="s">
        <v>580</v>
      </c>
      <c r="C572" s="1" t="s">
        <v>682</v>
      </c>
      <c r="D572" s="2">
        <v>40829</v>
      </c>
      <c r="E572" s="3">
        <v>33.5</v>
      </c>
      <c r="F572" s="4">
        <f t="shared" si="56"/>
        <v>4832.725194892224</v>
      </c>
      <c r="G572" s="2">
        <v>40204</v>
      </c>
      <c r="H572" s="7">
        <v>3.98</v>
      </c>
      <c r="I572" s="7">
        <f>H572+H555-2*$A$24</f>
        <v>6.92</v>
      </c>
      <c r="J572" s="7">
        <v>3.32</v>
      </c>
      <c r="K572" s="7">
        <v>5.68</v>
      </c>
      <c r="L572" s="6">
        <f t="shared" si="57"/>
        <v>0.32947976878612717</v>
      </c>
      <c r="M572" s="6">
        <f t="shared" si="58"/>
        <v>0.57514450867052014</v>
      </c>
      <c r="N572" s="6">
        <f t="shared" si="59"/>
        <v>9.5375722543352692E-2</v>
      </c>
      <c r="O572" s="4">
        <f t="shared" si="60"/>
        <v>1592.2851798199813</v>
      </c>
      <c r="P572" s="4">
        <f t="shared" si="61"/>
        <v>2779.5153577559317</v>
      </c>
      <c r="Q572" s="4">
        <f t="shared" si="62"/>
        <v>4371.800537575913</v>
      </c>
      <c r="V572" s="3"/>
      <c r="W572" s="3"/>
      <c r="Y572" s="7"/>
      <c r="Z572" s="7"/>
      <c r="AA572" s="7"/>
      <c r="AB572" s="7"/>
      <c r="AC572" s="9"/>
      <c r="AD572" s="9"/>
      <c r="AE572" s="9"/>
      <c r="AF572" s="3"/>
      <c r="AG572" s="3"/>
      <c r="AH572" s="3"/>
      <c r="AJ572" t="s">
        <v>990</v>
      </c>
      <c r="AK572" t="s">
        <v>682</v>
      </c>
      <c r="AL572" s="11">
        <f>D554</f>
        <v>40829</v>
      </c>
      <c r="AM572" s="3">
        <f>SUM(E554,E573)</f>
        <v>56.300000000000004</v>
      </c>
      <c r="AN572" s="3">
        <f>(AM572-4*$A$20)*$A$21/(2*$A$22)*$A$23</f>
        <v>4007.7386029115796</v>
      </c>
      <c r="AO572" s="11">
        <f>G554</f>
        <v>40204</v>
      </c>
      <c r="AP572" s="7">
        <f>SUM(H554,H573)</f>
        <v>5.26</v>
      </c>
      <c r="AQ572" s="7">
        <f>SUM(I554,I573)</f>
        <v>9.879999999999999</v>
      </c>
      <c r="AR572" s="7">
        <f>SUM(J554,J573)</f>
        <v>5.2</v>
      </c>
      <c r="AS572" s="7">
        <f>SUM(K554,K573)</f>
        <v>9</v>
      </c>
      <c r="AT572" s="9">
        <f>(AR572-2*$A$25)/AQ572</f>
        <v>0.31578947368421056</v>
      </c>
      <c r="AU572" s="9">
        <f>(AS572-2*$A$26)/AQ572</f>
        <v>0.5668016194331984</v>
      </c>
      <c r="AV572" s="9">
        <f>1-AT572-AU572</f>
        <v>0.11740890688259098</v>
      </c>
      <c r="AW572" s="3">
        <f>AN572*AT572</f>
        <v>1265.6016640773412</v>
      </c>
      <c r="AX572" s="3">
        <f>AN572*AU572</f>
        <v>2271.5927303952276</v>
      </c>
      <c r="AY572" s="3">
        <f>AW572+AX572</f>
        <v>3537.194394472569</v>
      </c>
    </row>
    <row r="573" spans="1:51" x14ac:dyDescent="0.25">
      <c r="A573">
        <v>540</v>
      </c>
      <c r="B573" s="1" t="s">
        <v>581</v>
      </c>
      <c r="C573" s="1" t="s">
        <v>682</v>
      </c>
      <c r="D573" s="2">
        <v>40829</v>
      </c>
      <c r="E573" s="3">
        <v>30.700000000000003</v>
      </c>
      <c r="F573" s="4">
        <f t="shared" si="56"/>
        <v>4400.9565112388036</v>
      </c>
      <c r="G573" s="2">
        <v>40204</v>
      </c>
      <c r="H573" s="7">
        <v>2.76</v>
      </c>
      <c r="I573" s="7">
        <f>H573+H554-2*$A$24</f>
        <v>4.9399999999999995</v>
      </c>
      <c r="J573" s="7">
        <v>2.6</v>
      </c>
      <c r="K573" s="7">
        <v>4.5</v>
      </c>
      <c r="L573" s="6">
        <f t="shared" si="57"/>
        <v>0.31578947368421056</v>
      </c>
      <c r="M573" s="6">
        <f t="shared" si="58"/>
        <v>0.5668016194331984</v>
      </c>
      <c r="N573" s="6">
        <f t="shared" si="59"/>
        <v>0.11740890688259098</v>
      </c>
      <c r="O573" s="4">
        <f t="shared" si="60"/>
        <v>1389.7757403912012</v>
      </c>
      <c r="P573" s="4">
        <f t="shared" si="61"/>
        <v>2494.4692776252327</v>
      </c>
      <c r="Q573" s="4">
        <f t="shared" si="62"/>
        <v>3884.2450180164342</v>
      </c>
      <c r="V573" s="3"/>
      <c r="W573" s="3"/>
      <c r="Y573" s="7"/>
      <c r="Z573" s="7"/>
      <c r="AA573" s="7"/>
      <c r="AB573" s="7"/>
      <c r="AC573" s="9"/>
      <c r="AD573" s="9"/>
      <c r="AE573" s="9"/>
      <c r="AF573" s="3"/>
      <c r="AG573" s="3"/>
      <c r="AH573" s="3"/>
      <c r="AL573" s="11"/>
      <c r="AM573" s="3"/>
      <c r="AN573" s="3"/>
      <c r="AO573" s="11"/>
      <c r="AP573" s="7"/>
      <c r="AQ573" s="7"/>
      <c r="AR573" s="7"/>
      <c r="AS573" s="7"/>
      <c r="AT573" s="9"/>
      <c r="AU573" s="9"/>
      <c r="AV573" s="9"/>
      <c r="AW573" s="3"/>
      <c r="AX573" s="3"/>
      <c r="AY573" s="3"/>
    </row>
    <row r="574" spans="1:51" x14ac:dyDescent="0.25">
      <c r="A574">
        <v>541</v>
      </c>
      <c r="B574" s="1" t="s">
        <v>582</v>
      </c>
      <c r="C574" s="1" t="s">
        <v>682</v>
      </c>
      <c r="D574" s="2">
        <v>40829</v>
      </c>
      <c r="E574" s="3">
        <v>27.6</v>
      </c>
      <c r="F574" s="4">
        <f t="shared" si="56"/>
        <v>3922.9268971939437</v>
      </c>
      <c r="G574" s="2">
        <v>40204</v>
      </c>
      <c r="H574" s="7">
        <v>4.7</v>
      </c>
      <c r="I574" s="7">
        <f>H574+H593-2*$A$24</f>
        <v>8.32</v>
      </c>
      <c r="J574" s="7">
        <v>3.72</v>
      </c>
      <c r="K574" s="7">
        <v>6.5</v>
      </c>
      <c r="L574" s="6">
        <f t="shared" si="57"/>
        <v>0.32211538461538464</v>
      </c>
      <c r="M574" s="6">
        <f t="shared" si="58"/>
        <v>0.57692307692307687</v>
      </c>
      <c r="N574" s="6">
        <f t="shared" si="59"/>
        <v>0.10096153846153855</v>
      </c>
      <c r="O574" s="4">
        <f t="shared" si="60"/>
        <v>1263.6351063076647</v>
      </c>
      <c r="P574" s="4">
        <f t="shared" si="61"/>
        <v>2263.2270560734287</v>
      </c>
      <c r="Q574" s="4">
        <f t="shared" si="62"/>
        <v>3526.8621623810932</v>
      </c>
      <c r="V574" s="3"/>
      <c r="W574" s="3"/>
      <c r="Y574" s="7"/>
      <c r="Z574" s="7"/>
      <c r="AA574" s="7"/>
      <c r="AB574" s="7"/>
      <c r="AC574" s="9"/>
      <c r="AD574" s="9"/>
      <c r="AE574" s="9"/>
      <c r="AF574" s="3"/>
      <c r="AG574" s="3"/>
      <c r="AH574" s="3"/>
      <c r="AJ574" t="s">
        <v>991</v>
      </c>
      <c r="AK574" t="s">
        <v>682</v>
      </c>
      <c r="AL574" s="11">
        <f>D583</f>
        <v>40829</v>
      </c>
      <c r="AM574" s="3">
        <f>SUM(E583,E584)</f>
        <v>53.3</v>
      </c>
      <c r="AN574" s="3">
        <f>(AM574-4*$A$20)*$A$21/(2*$A$22)*$A$23</f>
        <v>3776.4339509543893</v>
      </c>
      <c r="AO574" s="11">
        <f>G583</f>
        <v>40204</v>
      </c>
      <c r="AP574" s="7">
        <f>SUM(H583,H584)</f>
        <v>6.8</v>
      </c>
      <c r="AQ574" s="7">
        <f>SUM(I583,I584)</f>
        <v>12.959999999999999</v>
      </c>
      <c r="AR574" s="7">
        <f>SUM(J583,J584)</f>
        <v>6.28</v>
      </c>
      <c r="AS574" s="7">
        <f>SUM(K583,K584)</f>
        <v>11.04</v>
      </c>
      <c r="AT574" s="9">
        <f>(AR574-2*$A$25)/AQ574</f>
        <v>0.32407407407407413</v>
      </c>
      <c r="AU574" s="9">
        <f>(AS574-2*$A$26)/AQ574</f>
        <v>0.58950617283950613</v>
      </c>
      <c r="AV574" s="9">
        <f>1-AT574-AU574</f>
        <v>8.6419753086419693E-2</v>
      </c>
      <c r="AW574" s="3">
        <f>AN574*AT574</f>
        <v>1223.8443359574412</v>
      </c>
      <c r="AX574" s="3">
        <f>AN574*AU574</f>
        <v>2226.2311254082974</v>
      </c>
      <c r="AY574" s="3">
        <f>AW574+AX574</f>
        <v>3450.0754613657386</v>
      </c>
    </row>
    <row r="575" spans="1:51" x14ac:dyDescent="0.25">
      <c r="A575">
        <v>542</v>
      </c>
      <c r="B575" s="1" t="s">
        <v>583</v>
      </c>
      <c r="C575" s="1" t="s">
        <v>682</v>
      </c>
      <c r="D575" s="2">
        <v>40829</v>
      </c>
      <c r="E575" s="3">
        <v>29.5</v>
      </c>
      <c r="F575" s="4">
        <f t="shared" si="56"/>
        <v>4215.9127896730506</v>
      </c>
      <c r="G575" s="2">
        <v>40204</v>
      </c>
      <c r="H575" s="7"/>
      <c r="I575" s="7">
        <f>H575+H592-1*$A$24</f>
        <v>3.28</v>
      </c>
      <c r="J575" s="7">
        <v>2.1</v>
      </c>
      <c r="K575" s="7">
        <v>3.66</v>
      </c>
      <c r="L575" s="6">
        <f>(J575-$A$25)/I575</f>
        <v>0.32317073170731708</v>
      </c>
      <c r="M575" s="6">
        <f t="shared" si="58"/>
        <v>0.59756097560975618</v>
      </c>
      <c r="N575" s="6">
        <f t="shared" si="59"/>
        <v>7.9268292682926678E-2</v>
      </c>
      <c r="O575" s="4">
        <f t="shared" si="60"/>
        <v>1362.4596210528762</v>
      </c>
      <c r="P575" s="4">
        <f t="shared" si="61"/>
        <v>2519.2649596826768</v>
      </c>
      <c r="Q575" s="4">
        <f t="shared" si="62"/>
        <v>3881.724580735553</v>
      </c>
      <c r="V575" s="3"/>
      <c r="W575" s="3"/>
      <c r="Y575" s="7"/>
      <c r="Z575" s="7"/>
      <c r="AA575" s="7"/>
      <c r="AB575" s="7"/>
      <c r="AC575" s="9"/>
      <c r="AD575" s="9"/>
      <c r="AE575" s="9"/>
      <c r="AF575" s="3"/>
      <c r="AG575" s="3"/>
      <c r="AH575" s="3"/>
      <c r="AL575" s="11"/>
      <c r="AM575" s="3"/>
      <c r="AN575" s="3"/>
      <c r="AO575" s="11"/>
      <c r="AP575" s="7"/>
      <c r="AQ575" s="7"/>
      <c r="AR575" s="7"/>
      <c r="AS575" s="7"/>
      <c r="AT575" s="9"/>
      <c r="AU575" s="9"/>
      <c r="AV575" s="9"/>
      <c r="AW575" s="3"/>
      <c r="AX575" s="3"/>
      <c r="AY575" s="3"/>
    </row>
    <row r="576" spans="1:51" x14ac:dyDescent="0.25">
      <c r="A576">
        <v>543</v>
      </c>
      <c r="B576" s="1" t="s">
        <v>584</v>
      </c>
      <c r="C576" s="1" t="s">
        <v>682</v>
      </c>
      <c r="D576" s="2">
        <v>40829</v>
      </c>
      <c r="E576" s="3">
        <v>30.900000000000002</v>
      </c>
      <c r="F576" s="4">
        <f t="shared" si="56"/>
        <v>4431.7971314997621</v>
      </c>
      <c r="G576" s="2">
        <v>40204</v>
      </c>
      <c r="H576" s="7">
        <v>3.22</v>
      </c>
      <c r="I576" s="7">
        <f>H576+H591-2*$A$24</f>
        <v>6.3</v>
      </c>
      <c r="J576" s="7">
        <v>3.04</v>
      </c>
      <c r="K576" s="7">
        <v>5.32</v>
      </c>
      <c r="L576" s="6">
        <f t="shared" si="57"/>
        <v>0.31746031746031744</v>
      </c>
      <c r="M576" s="6">
        <f t="shared" si="58"/>
        <v>0.57460317460317467</v>
      </c>
      <c r="N576" s="6">
        <f t="shared" si="59"/>
        <v>0.10793650793650789</v>
      </c>
      <c r="O576" s="4">
        <f t="shared" si="60"/>
        <v>1406.9197242856387</v>
      </c>
      <c r="P576" s="4">
        <f t="shared" si="61"/>
        <v>2546.5247009570066</v>
      </c>
      <c r="Q576" s="4">
        <f t="shared" si="62"/>
        <v>3953.4444252426456</v>
      </c>
      <c r="V576" s="3"/>
      <c r="W576" s="3"/>
      <c r="Y576" s="7"/>
      <c r="Z576" s="7"/>
      <c r="AA576" s="7"/>
      <c r="AB576" s="7"/>
      <c r="AC576" s="9"/>
      <c r="AD576" s="9"/>
      <c r="AE576" s="9"/>
      <c r="AF576" s="3"/>
      <c r="AG576" s="3"/>
      <c r="AH576" s="3"/>
      <c r="AJ576" t="s">
        <v>992</v>
      </c>
      <c r="AK576" t="s">
        <v>682</v>
      </c>
      <c r="AL576" s="11">
        <f>D582</f>
        <v>40829</v>
      </c>
      <c r="AM576" s="3">
        <f>SUM(E582,E585)</f>
        <v>60</v>
      </c>
      <c r="AN576" s="3">
        <f>(AM576-4*$A$20)*$A$21/(2*$A$22)*$A$23</f>
        <v>4293.0143403254469</v>
      </c>
      <c r="AO576" s="11">
        <f>G582</f>
        <v>40204</v>
      </c>
      <c r="AP576" s="7">
        <f>SUM(H582,H585)</f>
        <v>6.3000000000000007</v>
      </c>
      <c r="AQ576" s="7">
        <f>SUM(I582,I585)</f>
        <v>11.96</v>
      </c>
      <c r="AR576" s="7">
        <f>SUM(J582,J585)</f>
        <v>6</v>
      </c>
      <c r="AS576" s="7">
        <f>SUM(K582,K585)</f>
        <v>10.48</v>
      </c>
      <c r="AT576" s="9">
        <f>(AR576-2*$A$25)/AQ576</f>
        <v>0.32775919732441466</v>
      </c>
      <c r="AU576" s="9">
        <f>(AS576-2*$A$26)/AQ576</f>
        <v>0.59197324414715713</v>
      </c>
      <c r="AV576" s="9">
        <f>1-AT576-AU576</f>
        <v>8.0267558528428151E-2</v>
      </c>
      <c r="AW576" s="3">
        <f>AN576*AT576</f>
        <v>1407.07493428727</v>
      </c>
      <c r="AX576" s="3">
        <f>AN576*AU576</f>
        <v>2541.3496262127223</v>
      </c>
      <c r="AY576" s="3">
        <f>AW576+AX576</f>
        <v>3948.4245604999924</v>
      </c>
    </row>
    <row r="577" spans="1:51" x14ac:dyDescent="0.25">
      <c r="A577">
        <v>544</v>
      </c>
      <c r="B577" s="1" t="s">
        <v>585</v>
      </c>
      <c r="C577" s="1" t="s">
        <v>682</v>
      </c>
      <c r="D577" s="2">
        <v>40829</v>
      </c>
      <c r="E577" s="3">
        <v>29</v>
      </c>
      <c r="F577" s="4">
        <f t="shared" si="56"/>
        <v>4138.8112390206534</v>
      </c>
      <c r="G577" s="2">
        <v>40204</v>
      </c>
      <c r="H577" s="7">
        <v>3.1</v>
      </c>
      <c r="I577" s="7">
        <f>H577+H590-2*$A$24</f>
        <v>5.84</v>
      </c>
      <c r="J577" s="7">
        <v>2.92</v>
      </c>
      <c r="K577" s="7">
        <v>5.04</v>
      </c>
      <c r="L577" s="6">
        <f t="shared" si="57"/>
        <v>0.32191780821917809</v>
      </c>
      <c r="M577" s="6">
        <f t="shared" si="58"/>
        <v>0.57191780821917804</v>
      </c>
      <c r="N577" s="6">
        <f t="shared" si="59"/>
        <v>0.10616438356164393</v>
      </c>
      <c r="O577" s="4">
        <f t="shared" si="60"/>
        <v>1332.3570426984295</v>
      </c>
      <c r="P577" s="4">
        <f t="shared" si="61"/>
        <v>2367.0598524535926</v>
      </c>
      <c r="Q577" s="4">
        <f t="shared" si="62"/>
        <v>3699.4168951520223</v>
      </c>
      <c r="V577" s="3"/>
      <c r="W577" s="3"/>
      <c r="Y577" s="7"/>
      <c r="Z577" s="7"/>
      <c r="AA577" s="7"/>
      <c r="AB577" s="7"/>
      <c r="AC577" s="9"/>
      <c r="AD577" s="9"/>
      <c r="AE577" s="9"/>
      <c r="AF577" s="3"/>
      <c r="AG577" s="3"/>
      <c r="AH577" s="3"/>
      <c r="AL577" s="11"/>
      <c r="AM577" s="3"/>
      <c r="AN577" s="3"/>
      <c r="AO577" s="11"/>
      <c r="AP577" s="7"/>
      <c r="AQ577" s="7"/>
      <c r="AR577" s="7"/>
      <c r="AS577" s="7"/>
      <c r="AT577" s="9"/>
      <c r="AU577" s="9"/>
      <c r="AV577" s="9"/>
      <c r="AW577" s="3"/>
      <c r="AX577" s="3"/>
      <c r="AY577" s="3"/>
    </row>
    <row r="578" spans="1:51" x14ac:dyDescent="0.25">
      <c r="A578">
        <v>545</v>
      </c>
      <c r="B578" s="1" t="s">
        <v>586</v>
      </c>
      <c r="C578" s="1" t="s">
        <v>682</v>
      </c>
      <c r="D578" s="2">
        <v>40829</v>
      </c>
      <c r="E578" s="3">
        <v>31.6</v>
      </c>
      <c r="F578" s="4">
        <f t="shared" si="56"/>
        <v>4539.739302413117</v>
      </c>
      <c r="G578" s="2">
        <v>40204</v>
      </c>
      <c r="H578" s="7">
        <v>3.46</v>
      </c>
      <c r="I578" s="7">
        <f>H578+H589-2*$A$24</f>
        <v>5.66</v>
      </c>
      <c r="J578" s="7">
        <v>2.92</v>
      </c>
      <c r="K578" s="7">
        <v>5.04</v>
      </c>
      <c r="L578" s="6">
        <f t="shared" si="57"/>
        <v>0.33215547703180209</v>
      </c>
      <c r="M578" s="6">
        <f t="shared" si="58"/>
        <v>0.59010600706713778</v>
      </c>
      <c r="N578" s="6">
        <f t="shared" si="59"/>
        <v>7.7738515901060179E-2</v>
      </c>
      <c r="O578" s="4">
        <f t="shared" si="60"/>
        <v>1507.8992735930494</v>
      </c>
      <c r="P578" s="4">
        <f t="shared" si="61"/>
        <v>2678.9274328727579</v>
      </c>
      <c r="Q578" s="4">
        <f t="shared" si="62"/>
        <v>4186.8267064658075</v>
      </c>
      <c r="V578" s="3"/>
      <c r="W578" s="3"/>
      <c r="Y578" s="7"/>
      <c r="Z578" s="7"/>
      <c r="AA578" s="7"/>
      <c r="AB578" s="7"/>
      <c r="AC578" s="9"/>
      <c r="AD578" s="9"/>
      <c r="AE578" s="9"/>
      <c r="AF578" s="3"/>
      <c r="AG578" s="3"/>
      <c r="AH578" s="3"/>
      <c r="AJ578" t="s">
        <v>993</v>
      </c>
      <c r="AK578" t="s">
        <v>682</v>
      </c>
      <c r="AL578" s="11">
        <f>D581</f>
        <v>40829</v>
      </c>
      <c r="AM578" s="3">
        <f>SUM(E581,E586)</f>
        <v>66.599999999999994</v>
      </c>
      <c r="AN578" s="3">
        <f>(AM578-4*$A$20)*$A$21/(2*$A$22)*$A$23</f>
        <v>4801.8845746312645</v>
      </c>
      <c r="AO578" s="11">
        <f>G581</f>
        <v>40204</v>
      </c>
      <c r="AP578" s="7">
        <f>SUM(H581,H586)</f>
        <v>6.5</v>
      </c>
      <c r="AQ578" s="7">
        <f>SUM(I581,I586)</f>
        <v>12.36</v>
      </c>
      <c r="AR578" s="7">
        <f>SUM(J581,J586)</f>
        <v>6.08</v>
      </c>
      <c r="AS578" s="7">
        <f>SUM(K581,K586)</f>
        <v>10.48</v>
      </c>
      <c r="AT578" s="9">
        <f>(AR578-2*$A$25)/AQ578</f>
        <v>0.3236245954692557</v>
      </c>
      <c r="AU578" s="9">
        <f>(AS578-2*$A$26)/AQ578</f>
        <v>0.5728155339805826</v>
      </c>
      <c r="AV578" s="9">
        <f>1-AT578-AU578</f>
        <v>0.10355987055016169</v>
      </c>
      <c r="AW578" s="3">
        <f>AN578*AT578</f>
        <v>1554.0079529551019</v>
      </c>
      <c r="AX578" s="3">
        <f>AN578*AU578</f>
        <v>2750.5940767305306</v>
      </c>
      <c r="AY578" s="3">
        <f>AW578+AX578</f>
        <v>4304.6020296856323</v>
      </c>
    </row>
    <row r="579" spans="1:51" x14ac:dyDescent="0.25">
      <c r="A579">
        <v>546</v>
      </c>
      <c r="B579" s="1" t="s">
        <v>587</v>
      </c>
      <c r="C579" s="1" t="s">
        <v>682</v>
      </c>
      <c r="D579" s="2">
        <v>40829</v>
      </c>
      <c r="E579" s="3">
        <v>31.3</v>
      </c>
      <c r="F579" s="4">
        <f t="shared" si="56"/>
        <v>4493.4783720216783</v>
      </c>
      <c r="G579" s="2">
        <v>40204</v>
      </c>
      <c r="H579" s="7">
        <v>2.84</v>
      </c>
      <c r="I579" s="7">
        <f>H579+H588-2*$A$24</f>
        <v>5.9399999999999995</v>
      </c>
      <c r="J579" s="7">
        <v>2.98</v>
      </c>
      <c r="K579" s="7">
        <v>5.16</v>
      </c>
      <c r="L579" s="6">
        <f t="shared" si="57"/>
        <v>0.32659932659932661</v>
      </c>
      <c r="M579" s="6">
        <f t="shared" si="58"/>
        <v>0.5824915824915825</v>
      </c>
      <c r="N579" s="6">
        <f t="shared" si="59"/>
        <v>9.0909090909090939E-2</v>
      </c>
      <c r="O579" s="4">
        <f t="shared" si="60"/>
        <v>1467.5670103909185</v>
      </c>
      <c r="P579" s="4">
        <f t="shared" si="61"/>
        <v>2617.4133278106074</v>
      </c>
      <c r="Q579" s="4">
        <f t="shared" si="62"/>
        <v>4084.9803382015261</v>
      </c>
      <c r="V579" s="3"/>
      <c r="W579" s="3"/>
      <c r="Y579" s="7"/>
      <c r="Z579" s="7"/>
      <c r="AA579" s="7"/>
      <c r="AB579" s="7"/>
      <c r="AC579" s="9"/>
      <c r="AD579" s="9"/>
      <c r="AE579" s="9"/>
      <c r="AF579" s="3"/>
      <c r="AG579" s="3"/>
      <c r="AH579" s="3"/>
      <c r="AL579" s="11"/>
      <c r="AM579" s="3"/>
      <c r="AN579" s="3"/>
      <c r="AO579" s="11"/>
      <c r="AP579" s="7"/>
      <c r="AQ579" s="7"/>
      <c r="AR579" s="7"/>
      <c r="AS579" s="7"/>
      <c r="AT579" s="9"/>
      <c r="AU579" s="9"/>
      <c r="AV579" s="9"/>
      <c r="AW579" s="3"/>
      <c r="AX579" s="3"/>
      <c r="AY579" s="3"/>
    </row>
    <row r="580" spans="1:51" x14ac:dyDescent="0.25">
      <c r="A580">
        <v>547</v>
      </c>
      <c r="B580" s="1" t="s">
        <v>588</v>
      </c>
      <c r="C580" s="1" t="s">
        <v>682</v>
      </c>
      <c r="D580" s="2">
        <v>40829</v>
      </c>
      <c r="E580" s="3">
        <v>31.3</v>
      </c>
      <c r="F580" s="4">
        <f t="shared" si="56"/>
        <v>4493.4783720216783</v>
      </c>
      <c r="G580" s="2">
        <v>40204</v>
      </c>
      <c r="H580" s="7">
        <v>3.94</v>
      </c>
      <c r="I580" s="7">
        <f>H580+H587-2*$A$24</f>
        <v>7.32</v>
      </c>
      <c r="J580" s="7">
        <v>3.42</v>
      </c>
      <c r="K580" s="7">
        <v>5.9</v>
      </c>
      <c r="L580" s="6">
        <f t="shared" si="57"/>
        <v>0.3251366120218579</v>
      </c>
      <c r="M580" s="6">
        <f t="shared" si="58"/>
        <v>0.57377049180327866</v>
      </c>
      <c r="N580" s="6">
        <f t="shared" si="59"/>
        <v>0.10109289617486339</v>
      </c>
      <c r="O580" s="4">
        <f t="shared" si="60"/>
        <v>1460.994334072622</v>
      </c>
      <c r="P580" s="4">
        <f t="shared" si="61"/>
        <v>2578.2252954222745</v>
      </c>
      <c r="Q580" s="4">
        <f t="shared" si="62"/>
        <v>4039.2196294948963</v>
      </c>
      <c r="V580" s="3"/>
      <c r="W580" s="3"/>
      <c r="Y580" s="7"/>
      <c r="Z580" s="7"/>
      <c r="AA580" s="7"/>
      <c r="AB580" s="7"/>
      <c r="AC580" s="9"/>
      <c r="AD580" s="9"/>
      <c r="AE580" s="9"/>
      <c r="AF580" s="3"/>
      <c r="AG580" s="3"/>
      <c r="AH580" s="3"/>
      <c r="AJ580" t="s">
        <v>994</v>
      </c>
      <c r="AK580" t="s">
        <v>682</v>
      </c>
      <c r="AL580" s="11">
        <f>D580</f>
        <v>40829</v>
      </c>
      <c r="AM580" s="3">
        <f>SUM(E580,E587)</f>
        <v>61.2</v>
      </c>
      <c r="AN580" s="3">
        <f>(AM580-4*$A$20)*$A$21/(2*$A$22)*$A$23</f>
        <v>4385.5362011083234</v>
      </c>
      <c r="AO580" s="11">
        <f>G580</f>
        <v>40204</v>
      </c>
      <c r="AP580" s="7">
        <f>SUM(H580,H587)</f>
        <v>7.6400000000000006</v>
      </c>
      <c r="AQ580" s="7">
        <f>SUM(I580,I587)</f>
        <v>14.64</v>
      </c>
      <c r="AR580" s="7">
        <f>SUM(J580,J587)</f>
        <v>6.84</v>
      </c>
      <c r="AS580" s="7">
        <f>SUM(K580,K587)</f>
        <v>11.8</v>
      </c>
      <c r="AT580" s="9">
        <f>(AR580-2*$A$25)/AQ580</f>
        <v>0.3251366120218579</v>
      </c>
      <c r="AU580" s="9">
        <f>(AS580-2*$A$26)/AQ580</f>
        <v>0.57377049180327866</v>
      </c>
      <c r="AV580" s="9">
        <f>1-AT580-AU580</f>
        <v>0.10109289617486339</v>
      </c>
      <c r="AW580" s="3">
        <f>AN580*AT580</f>
        <v>1425.8983823275696</v>
      </c>
      <c r="AX580" s="3">
        <f>AN580*AU580</f>
        <v>2516.2912629310053</v>
      </c>
      <c r="AY580" s="3">
        <f>AW580+AX580</f>
        <v>3942.1896452585752</v>
      </c>
    </row>
    <row r="581" spans="1:51" x14ac:dyDescent="0.25">
      <c r="A581">
        <v>548</v>
      </c>
      <c r="B581" s="1" t="s">
        <v>589</v>
      </c>
      <c r="C581" s="1" t="s">
        <v>682</v>
      </c>
      <c r="D581" s="2">
        <v>40829</v>
      </c>
      <c r="E581" s="3">
        <v>34.9</v>
      </c>
      <c r="F581" s="4">
        <f t="shared" si="56"/>
        <v>5048.6095367189346</v>
      </c>
      <c r="G581" s="2">
        <v>40204</v>
      </c>
      <c r="H581" s="7">
        <v>3.64</v>
      </c>
      <c r="I581" s="7">
        <f>H581+H586-2*$A$24</f>
        <v>6.18</v>
      </c>
      <c r="J581" s="7">
        <v>3.04</v>
      </c>
      <c r="K581" s="7">
        <v>5.24</v>
      </c>
      <c r="L581" s="6">
        <f t="shared" si="57"/>
        <v>0.3236245954692557</v>
      </c>
      <c r="M581" s="6">
        <f t="shared" si="58"/>
        <v>0.5728155339805826</v>
      </c>
      <c r="N581" s="6">
        <f t="shared" si="59"/>
        <v>0.10355987055016169</v>
      </c>
      <c r="O581" s="4">
        <f t="shared" si="60"/>
        <v>1633.8542190028916</v>
      </c>
      <c r="P581" s="4">
        <f t="shared" si="61"/>
        <v>2891.9219676351181</v>
      </c>
      <c r="Q581" s="4">
        <f t="shared" si="62"/>
        <v>4525.7761866380097</v>
      </c>
      <c r="V581" s="3"/>
      <c r="W581" s="3"/>
      <c r="Y581" s="7"/>
      <c r="Z581" s="7"/>
      <c r="AA581" s="7"/>
      <c r="AB581" s="7"/>
      <c r="AC581" s="9"/>
      <c r="AD581" s="9"/>
      <c r="AE581" s="9"/>
      <c r="AF581" s="3"/>
      <c r="AG581" s="3"/>
      <c r="AH581" s="3"/>
      <c r="AL581" s="11"/>
      <c r="AM581" s="3"/>
      <c r="AN581" s="3"/>
      <c r="AO581" s="11"/>
      <c r="AP581" s="7"/>
      <c r="AQ581" s="7"/>
      <c r="AR581" s="7"/>
      <c r="AS581" s="7"/>
      <c r="AT581" s="9"/>
      <c r="AU581" s="9"/>
      <c r="AV581" s="9"/>
      <c r="AW581" s="3"/>
      <c r="AX581" s="3"/>
      <c r="AY581" s="3"/>
    </row>
    <row r="582" spans="1:51" x14ac:dyDescent="0.25">
      <c r="A582">
        <v>549</v>
      </c>
      <c r="B582" s="1" t="s">
        <v>590</v>
      </c>
      <c r="C582" s="1" t="s">
        <v>682</v>
      </c>
      <c r="D582" s="2">
        <v>40829</v>
      </c>
      <c r="E582" s="3">
        <v>31.099999999999998</v>
      </c>
      <c r="F582" s="4">
        <f t="shared" si="56"/>
        <v>4462.6377517607189</v>
      </c>
      <c r="G582" s="2">
        <v>40204</v>
      </c>
      <c r="H582" s="7">
        <v>3.7</v>
      </c>
      <c r="I582" s="7">
        <f>H582+H585-2*$A$24</f>
        <v>5.98</v>
      </c>
      <c r="J582" s="7">
        <v>3</v>
      </c>
      <c r="K582" s="7">
        <v>5.24</v>
      </c>
      <c r="L582" s="6">
        <f t="shared" si="57"/>
        <v>0.32775919732441466</v>
      </c>
      <c r="M582" s="6">
        <f t="shared" si="58"/>
        <v>0.59197324414715713</v>
      </c>
      <c r="N582" s="6">
        <f t="shared" si="59"/>
        <v>8.0267558528428151E-2</v>
      </c>
      <c r="O582" s="4">
        <f t="shared" si="60"/>
        <v>1462.6705674667237</v>
      </c>
      <c r="P582" s="4">
        <f t="shared" si="61"/>
        <v>2641.7621473633685</v>
      </c>
      <c r="Q582" s="4">
        <f t="shared" si="62"/>
        <v>4104.4327148300927</v>
      </c>
      <c r="V582" s="3"/>
      <c r="W582" s="3"/>
      <c r="Y582" s="7"/>
      <c r="Z582" s="7"/>
      <c r="AA582" s="7"/>
      <c r="AB582" s="7"/>
      <c r="AC582" s="9"/>
      <c r="AD582" s="9"/>
      <c r="AE582" s="9"/>
      <c r="AF582" s="3"/>
      <c r="AG582" s="3"/>
      <c r="AH582" s="3"/>
      <c r="AJ582" t="s">
        <v>995</v>
      </c>
      <c r="AK582" t="s">
        <v>682</v>
      </c>
      <c r="AL582" s="11">
        <f>D579</f>
        <v>40829</v>
      </c>
      <c r="AM582" s="3">
        <f>SUM(E579,E588)</f>
        <v>60.900000000000006</v>
      </c>
      <c r="AN582" s="3">
        <f>(AM582-4*$A$20)*$A$21/(2*$A$22)*$A$23</f>
        <v>4362.4057359126045</v>
      </c>
      <c r="AO582" s="11">
        <f>G579</f>
        <v>40204</v>
      </c>
      <c r="AP582" s="7">
        <f>SUM(H579,H588)</f>
        <v>6.26</v>
      </c>
      <c r="AQ582" s="7">
        <f>SUM(I579,I588)</f>
        <v>11.879999999999999</v>
      </c>
      <c r="AR582" s="7">
        <f>SUM(J579,J588)</f>
        <v>5.96</v>
      </c>
      <c r="AS582" s="7">
        <f>SUM(K579,K588)</f>
        <v>10.32</v>
      </c>
      <c r="AT582" s="9">
        <f>(AR582-2*$A$25)/AQ582</f>
        <v>0.32659932659932661</v>
      </c>
      <c r="AU582" s="9">
        <f>(AS582-2*$A$26)/AQ582</f>
        <v>0.5824915824915825</v>
      </c>
      <c r="AV582" s="9">
        <f>1-AT582-AU582</f>
        <v>9.0909090909090939E-2</v>
      </c>
      <c r="AW582" s="3">
        <f>AN582*AT582</f>
        <v>1424.7587757020965</v>
      </c>
      <c r="AX582" s="3">
        <f>AN582*AU582</f>
        <v>2541.0646205820894</v>
      </c>
      <c r="AY582" s="3">
        <f>AW582+AX582</f>
        <v>3965.8233962841859</v>
      </c>
    </row>
    <row r="583" spans="1:51" x14ac:dyDescent="0.25">
      <c r="A583">
        <v>550</v>
      </c>
      <c r="B583" s="1" t="s">
        <v>591</v>
      </c>
      <c r="C583" s="1" t="s">
        <v>682</v>
      </c>
      <c r="D583" s="2">
        <v>40829</v>
      </c>
      <c r="E583" s="3">
        <v>27</v>
      </c>
      <c r="F583" s="4">
        <f t="shared" si="56"/>
        <v>3830.4050364110672</v>
      </c>
      <c r="G583" s="2">
        <v>40204</v>
      </c>
      <c r="H583" s="7">
        <v>2.96</v>
      </c>
      <c r="I583" s="7">
        <f>H583+H584-2*$A$24</f>
        <v>6.4799999999999995</v>
      </c>
      <c r="J583" s="7">
        <v>3.14</v>
      </c>
      <c r="K583" s="7">
        <v>5.52</v>
      </c>
      <c r="L583" s="6">
        <f t="shared" si="57"/>
        <v>0.32407407407407413</v>
      </c>
      <c r="M583" s="6">
        <f t="shared" si="58"/>
        <v>0.58950617283950613</v>
      </c>
      <c r="N583" s="6">
        <f t="shared" si="59"/>
        <v>8.6419753086419693E-2</v>
      </c>
      <c r="O583" s="4">
        <f t="shared" si="60"/>
        <v>1241.3349655035868</v>
      </c>
      <c r="P583" s="4">
        <f t="shared" si="61"/>
        <v>2258.0474134398573</v>
      </c>
      <c r="Q583" s="4">
        <f t="shared" si="62"/>
        <v>3499.3823789434441</v>
      </c>
      <c r="V583" s="3"/>
      <c r="W583" s="3"/>
      <c r="Y583" s="7"/>
      <c r="Z583" s="7"/>
      <c r="AA583" s="7"/>
      <c r="AB583" s="7"/>
      <c r="AC583" s="9"/>
      <c r="AD583" s="9"/>
      <c r="AE583" s="9"/>
      <c r="AF583" s="3"/>
      <c r="AG583" s="3"/>
      <c r="AH583" s="3"/>
      <c r="AL583" s="11"/>
      <c r="AM583" s="3"/>
      <c r="AN583" s="3"/>
      <c r="AO583" s="11"/>
      <c r="AP583" s="7"/>
      <c r="AQ583" s="7"/>
      <c r="AR583" s="7"/>
      <c r="AS583" s="7"/>
      <c r="AT583" s="9"/>
      <c r="AU583" s="9"/>
      <c r="AV583" s="9"/>
      <c r="AW583" s="3"/>
      <c r="AX583" s="3"/>
      <c r="AY583" s="3"/>
    </row>
    <row r="584" spans="1:51" x14ac:dyDescent="0.25">
      <c r="A584">
        <v>551</v>
      </c>
      <c r="B584" s="1" t="s">
        <v>592</v>
      </c>
      <c r="C584" s="1" t="s">
        <v>682</v>
      </c>
      <c r="D584" s="2">
        <v>40829</v>
      </c>
      <c r="E584" s="3">
        <v>26.3</v>
      </c>
      <c r="F584" s="4">
        <f t="shared" si="56"/>
        <v>3722.4628654977114</v>
      </c>
      <c r="G584" s="2">
        <v>40204</v>
      </c>
      <c r="H584" s="7">
        <v>3.84</v>
      </c>
      <c r="I584" s="7">
        <f>H584+H583-2*$A$24</f>
        <v>6.4799999999999995</v>
      </c>
      <c r="J584" s="7">
        <v>3.14</v>
      </c>
      <c r="K584" s="7">
        <v>5.52</v>
      </c>
      <c r="L584" s="6">
        <f t="shared" si="57"/>
        <v>0.32407407407407413</v>
      </c>
      <c r="M584" s="6">
        <f t="shared" si="58"/>
        <v>0.58950617283950613</v>
      </c>
      <c r="N584" s="6">
        <f t="shared" si="59"/>
        <v>8.6419753086419693E-2</v>
      </c>
      <c r="O584" s="4">
        <f t="shared" si="60"/>
        <v>1206.3537064112957</v>
      </c>
      <c r="P584" s="4">
        <f t="shared" si="61"/>
        <v>2194.4148373767371</v>
      </c>
      <c r="Q584" s="4">
        <f t="shared" si="62"/>
        <v>3400.7685437880327</v>
      </c>
      <c r="V584" s="3"/>
      <c r="W584" s="3"/>
      <c r="Y584" s="7"/>
      <c r="Z584" s="7"/>
      <c r="AA584" s="7"/>
      <c r="AB584" s="7"/>
      <c r="AC584" s="9"/>
      <c r="AD584" s="9"/>
      <c r="AE584" s="9"/>
      <c r="AF584" s="3"/>
      <c r="AG584" s="3"/>
      <c r="AH584" s="3"/>
      <c r="AJ584" t="s">
        <v>996</v>
      </c>
      <c r="AK584" t="s">
        <v>682</v>
      </c>
      <c r="AL584" s="11">
        <f>D578</f>
        <v>40829</v>
      </c>
      <c r="AM584" s="3">
        <f>SUM(E578,E589)</f>
        <v>61.4</v>
      </c>
      <c r="AN584" s="3">
        <f>(AM584-4*$A$20)*$A$21/(2*$A$22)*$A$23</f>
        <v>4400.9565112388027</v>
      </c>
      <c r="AO584" s="11">
        <f>G578</f>
        <v>40204</v>
      </c>
      <c r="AP584" s="7">
        <f>SUM(H578,H589)</f>
        <v>5.98</v>
      </c>
      <c r="AQ584" s="7">
        <f>SUM(I578,I589)</f>
        <v>11.32</v>
      </c>
      <c r="AR584" s="7">
        <f>SUM(J578,J589)</f>
        <v>5.84</v>
      </c>
      <c r="AS584" s="7">
        <f>SUM(K578,K589)</f>
        <v>10.08</v>
      </c>
      <c r="AT584" s="9">
        <f>(AR584-2*$A$25)/AQ584</f>
        <v>0.33215547703180209</v>
      </c>
      <c r="AU584" s="9">
        <f>(AS584-2*$A$26)/AQ584</f>
        <v>0.59010600706713778</v>
      </c>
      <c r="AV584" s="9">
        <f>1-AT584-AU584</f>
        <v>7.7738515901060179E-2</v>
      </c>
      <c r="AW584" s="3">
        <f>AN584*AT584</f>
        <v>1461.8018093867399</v>
      </c>
      <c r="AX584" s="3">
        <f>AN584*AU584</f>
        <v>2597.0308741232511</v>
      </c>
      <c r="AY584" s="3">
        <f>AW584+AX584</f>
        <v>4058.8326835099911</v>
      </c>
    </row>
    <row r="585" spans="1:51" x14ac:dyDescent="0.25">
      <c r="A585">
        <v>552</v>
      </c>
      <c r="B585" s="1" t="s">
        <v>593</v>
      </c>
      <c r="C585" s="1" t="s">
        <v>682</v>
      </c>
      <c r="D585" s="2">
        <v>40829</v>
      </c>
      <c r="E585" s="3">
        <v>28.9</v>
      </c>
      <c r="F585" s="4">
        <f t="shared" si="56"/>
        <v>4123.3909288901741</v>
      </c>
      <c r="G585" s="2">
        <v>40204</v>
      </c>
      <c r="H585" s="7">
        <v>2.6</v>
      </c>
      <c r="I585" s="7">
        <f>H585+H582-2*$A$24</f>
        <v>5.98</v>
      </c>
      <c r="J585" s="7">
        <v>3</v>
      </c>
      <c r="K585" s="7">
        <v>5.24</v>
      </c>
      <c r="L585" s="6">
        <f t="shared" si="57"/>
        <v>0.32775919732441466</v>
      </c>
      <c r="M585" s="6">
        <f t="shared" si="58"/>
        <v>0.59197324414715713</v>
      </c>
      <c r="N585" s="6">
        <f t="shared" si="59"/>
        <v>8.0267558528428151E-2</v>
      </c>
      <c r="O585" s="4">
        <f t="shared" si="60"/>
        <v>1351.4793011078161</v>
      </c>
      <c r="P585" s="4">
        <f t="shared" si="61"/>
        <v>2440.9371050620762</v>
      </c>
      <c r="Q585" s="4">
        <f t="shared" si="62"/>
        <v>3792.4164061698921</v>
      </c>
      <c r="V585" s="3"/>
      <c r="W585" s="3"/>
      <c r="Y585" s="7"/>
      <c r="Z585" s="7"/>
      <c r="AA585" s="7"/>
      <c r="AB585" s="7"/>
      <c r="AC585" s="9"/>
      <c r="AD585" s="9"/>
      <c r="AE585" s="9"/>
      <c r="AF585" s="3"/>
      <c r="AG585" s="3"/>
      <c r="AH585" s="3"/>
      <c r="AL585" s="11"/>
      <c r="AM585" s="3"/>
      <c r="AN585" s="3"/>
      <c r="AO585" s="11"/>
      <c r="AP585" s="7"/>
      <c r="AQ585" s="7"/>
      <c r="AR585" s="7"/>
      <c r="AS585" s="7"/>
      <c r="AT585" s="9"/>
      <c r="AU585" s="9"/>
      <c r="AV585" s="9"/>
      <c r="AW585" s="3"/>
      <c r="AX585" s="3"/>
      <c r="AY585" s="3"/>
    </row>
    <row r="586" spans="1:51" x14ac:dyDescent="0.25">
      <c r="A586">
        <v>553</v>
      </c>
      <c r="B586" s="1" t="s">
        <v>594</v>
      </c>
      <c r="C586" s="1" t="s">
        <v>682</v>
      </c>
      <c r="D586" s="2">
        <v>40829</v>
      </c>
      <c r="E586" s="3">
        <v>31.7</v>
      </c>
      <c r="F586" s="4">
        <f t="shared" si="56"/>
        <v>4555.1596125435963</v>
      </c>
      <c r="G586" s="2">
        <v>40204</v>
      </c>
      <c r="H586" s="7">
        <v>2.86</v>
      </c>
      <c r="I586" s="7">
        <f>H586+H581-2*$A$24</f>
        <v>6.18</v>
      </c>
      <c r="J586" s="7">
        <v>3.04</v>
      </c>
      <c r="K586" s="7">
        <v>5.24</v>
      </c>
      <c r="L586" s="6">
        <f t="shared" si="57"/>
        <v>0.3236245954692557</v>
      </c>
      <c r="M586" s="6">
        <f t="shared" si="58"/>
        <v>0.5728155339805826</v>
      </c>
      <c r="N586" s="6">
        <f t="shared" si="59"/>
        <v>0.10355987055016169</v>
      </c>
      <c r="O586" s="4">
        <f t="shared" si="60"/>
        <v>1474.161686907313</v>
      </c>
      <c r="P586" s="4">
        <f t="shared" si="61"/>
        <v>2609.2661858259439</v>
      </c>
      <c r="Q586" s="4">
        <f t="shared" si="62"/>
        <v>4083.4278727332567</v>
      </c>
      <c r="V586" s="3"/>
      <c r="W586" s="3"/>
      <c r="Y586" s="7"/>
      <c r="Z586" s="7"/>
      <c r="AA586" s="7"/>
      <c r="AB586" s="7"/>
      <c r="AC586" s="9"/>
      <c r="AD586" s="9"/>
      <c r="AE586" s="9"/>
      <c r="AF586" s="3"/>
      <c r="AG586" s="3"/>
      <c r="AH586" s="3"/>
      <c r="AJ586" t="s">
        <v>997</v>
      </c>
      <c r="AK586" t="s">
        <v>682</v>
      </c>
      <c r="AL586" s="11">
        <f>D577</f>
        <v>40829</v>
      </c>
      <c r="AM586" s="3">
        <f>SUM(E577,E590)</f>
        <v>58.5</v>
      </c>
      <c r="AN586" s="3">
        <f>(AM586-4*$A$20)*$A$21/(2*$A$22)*$A$23</f>
        <v>4177.3620143468524</v>
      </c>
      <c r="AO586" s="11">
        <f>G577</f>
        <v>40204</v>
      </c>
      <c r="AP586" s="7">
        <f>SUM(H577,H590)</f>
        <v>6.16</v>
      </c>
      <c r="AQ586" s="7">
        <f>SUM(I577,I590)</f>
        <v>11.68</v>
      </c>
      <c r="AR586" s="7">
        <f>SUM(J577,J590)</f>
        <v>5.84</v>
      </c>
      <c r="AS586" s="7">
        <f>SUM(K577,K590)</f>
        <v>10.08</v>
      </c>
      <c r="AT586" s="9">
        <f>(AR586-2*$A$25)/AQ586</f>
        <v>0.32191780821917809</v>
      </c>
      <c r="AU586" s="9">
        <f>(AS586-2*$A$26)/AQ586</f>
        <v>0.57191780821917804</v>
      </c>
      <c r="AV586" s="9">
        <f>1-AT586-AU586</f>
        <v>0.10616438356164393</v>
      </c>
      <c r="AW586" s="3">
        <f>AN586*AT586</f>
        <v>1344.7672237965896</v>
      </c>
      <c r="AX586" s="3">
        <f>AN586*AU586</f>
        <v>2389.1077273833025</v>
      </c>
      <c r="AY586" s="3">
        <f>AW586+AX586</f>
        <v>3733.8749511798924</v>
      </c>
    </row>
    <row r="587" spans="1:51" x14ac:dyDescent="0.25">
      <c r="A587">
        <v>554</v>
      </c>
      <c r="B587" s="1" t="s">
        <v>595</v>
      </c>
      <c r="C587" s="1" t="s">
        <v>682</v>
      </c>
      <c r="D587" s="2">
        <v>40829</v>
      </c>
      <c r="E587" s="3">
        <v>29.9</v>
      </c>
      <c r="F587" s="4">
        <f t="shared" si="56"/>
        <v>4277.5940301949677</v>
      </c>
      <c r="G587" s="2">
        <v>40204</v>
      </c>
      <c r="H587" s="7">
        <v>3.7</v>
      </c>
      <c r="I587" s="7">
        <f>H587+H580-2*$A$24</f>
        <v>7.32</v>
      </c>
      <c r="J587" s="7">
        <v>3.42</v>
      </c>
      <c r="K587" s="7">
        <v>5.9</v>
      </c>
      <c r="L587" s="6">
        <f t="shared" si="57"/>
        <v>0.3251366120218579</v>
      </c>
      <c r="M587" s="6">
        <f t="shared" si="58"/>
        <v>0.57377049180327866</v>
      </c>
      <c r="N587" s="6">
        <f t="shared" si="59"/>
        <v>0.10109289617486339</v>
      </c>
      <c r="O587" s="4">
        <f t="shared" si="60"/>
        <v>1390.8024305825168</v>
      </c>
      <c r="P587" s="4">
        <f t="shared" si="61"/>
        <v>2454.3572304397353</v>
      </c>
      <c r="Q587" s="4">
        <f t="shared" si="62"/>
        <v>3845.1596610222523</v>
      </c>
      <c r="V587" s="3"/>
      <c r="W587" s="3"/>
      <c r="Y587" s="7"/>
      <c r="Z587" s="7"/>
      <c r="AA587" s="7"/>
      <c r="AB587" s="7"/>
      <c r="AC587" s="9"/>
      <c r="AD587" s="9"/>
      <c r="AE587" s="9"/>
      <c r="AF587" s="3"/>
      <c r="AG587" s="3"/>
      <c r="AH587" s="3"/>
      <c r="AL587" s="11"/>
      <c r="AM587" s="3"/>
      <c r="AN587" s="3"/>
      <c r="AO587" s="11"/>
      <c r="AP587" s="7"/>
      <c r="AQ587" s="7"/>
      <c r="AR587" s="7"/>
      <c r="AS587" s="7"/>
      <c r="AT587" s="9"/>
      <c r="AU587" s="9"/>
      <c r="AV587" s="9"/>
      <c r="AW587" s="3"/>
      <c r="AX587" s="3"/>
      <c r="AY587" s="3"/>
    </row>
    <row r="588" spans="1:51" x14ac:dyDescent="0.25">
      <c r="A588">
        <v>555</v>
      </c>
      <c r="B588" s="1" t="s">
        <v>596</v>
      </c>
      <c r="C588" s="1" t="s">
        <v>682</v>
      </c>
      <c r="D588" s="2">
        <v>40829</v>
      </c>
      <c r="E588" s="3">
        <v>29.6</v>
      </c>
      <c r="F588" s="4">
        <f t="shared" si="56"/>
        <v>4231.3330998035308</v>
      </c>
      <c r="G588" s="2">
        <v>40204</v>
      </c>
      <c r="H588" s="7">
        <v>3.42</v>
      </c>
      <c r="I588" s="7">
        <f>H588+H579-2*$A$24</f>
        <v>5.9399999999999995</v>
      </c>
      <c r="J588" s="7">
        <v>2.98</v>
      </c>
      <c r="K588" s="7">
        <v>5.16</v>
      </c>
      <c r="L588" s="6">
        <f t="shared" si="57"/>
        <v>0.32659932659932661</v>
      </c>
      <c r="M588" s="6">
        <f t="shared" si="58"/>
        <v>0.5824915824915825</v>
      </c>
      <c r="N588" s="6">
        <f t="shared" si="59"/>
        <v>9.0909090909090939E-2</v>
      </c>
      <c r="O588" s="4">
        <f t="shared" si="60"/>
        <v>1381.9505410132745</v>
      </c>
      <c r="P588" s="4">
        <f t="shared" si="61"/>
        <v>2464.715913353572</v>
      </c>
      <c r="Q588" s="4">
        <f t="shared" si="62"/>
        <v>3846.6664543668467</v>
      </c>
      <c r="V588" s="3"/>
      <c r="W588" s="3"/>
      <c r="Y588" s="7"/>
      <c r="Z588" s="7"/>
      <c r="AA588" s="7"/>
      <c r="AB588" s="7"/>
      <c r="AC588" s="9"/>
      <c r="AD588" s="9"/>
      <c r="AE588" s="9"/>
      <c r="AF588" s="3"/>
      <c r="AG588" s="3"/>
      <c r="AH588" s="3"/>
      <c r="AJ588" t="s">
        <v>998</v>
      </c>
      <c r="AK588" t="s">
        <v>682</v>
      </c>
      <c r="AL588" s="11">
        <f>D576</f>
        <v>40829</v>
      </c>
      <c r="AM588" s="3">
        <f>SUM(E576,E591)</f>
        <v>59.5</v>
      </c>
      <c r="AN588" s="3">
        <f>(AM588-4*$A$20)*$A$21/(2*$A$22)*$A$23</f>
        <v>4254.4635649992488</v>
      </c>
      <c r="AO588" s="11">
        <f>G576</f>
        <v>40204</v>
      </c>
      <c r="AP588" s="7">
        <f>SUM(H576,H591)</f>
        <v>6.62</v>
      </c>
      <c r="AQ588" s="7">
        <f>SUM(I576,I591)</f>
        <v>12.6</v>
      </c>
      <c r="AR588" s="7">
        <f>SUM(J576,J591)</f>
        <v>6.08</v>
      </c>
      <c r="AS588" s="7">
        <f>SUM(K576,K591)</f>
        <v>10.64</v>
      </c>
      <c r="AT588" s="9">
        <f>(AR588-2*$A$25)/AQ588</f>
        <v>0.31746031746031744</v>
      </c>
      <c r="AU588" s="9">
        <f>(AS588-2*$A$26)/AQ588</f>
        <v>0.57460317460317467</v>
      </c>
      <c r="AV588" s="9">
        <f>1-AT588-AU588</f>
        <v>0.10793650793650789</v>
      </c>
      <c r="AW588" s="3">
        <f>AN588*AT588</f>
        <v>1350.6233539680154</v>
      </c>
      <c r="AX588" s="3">
        <f>AN588*AU588</f>
        <v>2444.6282706821085</v>
      </c>
      <c r="AY588" s="3">
        <f>AW588+AX588</f>
        <v>3795.2516246501236</v>
      </c>
    </row>
    <row r="589" spans="1:51" x14ac:dyDescent="0.25">
      <c r="A589">
        <v>556</v>
      </c>
      <c r="B589" s="1" t="s">
        <v>597</v>
      </c>
      <c r="C589" s="1" t="s">
        <v>682</v>
      </c>
      <c r="D589" s="2">
        <v>40829</v>
      </c>
      <c r="E589" s="3">
        <v>29.799999999999997</v>
      </c>
      <c r="F589" s="4">
        <f t="shared" si="56"/>
        <v>4262.1737200644884</v>
      </c>
      <c r="G589" s="2">
        <v>40204</v>
      </c>
      <c r="H589" s="7">
        <v>2.52</v>
      </c>
      <c r="I589" s="7">
        <f>H589+H578-2*$A$24</f>
        <v>5.66</v>
      </c>
      <c r="J589" s="7">
        <v>2.92</v>
      </c>
      <c r="K589" s="7">
        <v>5.04</v>
      </c>
      <c r="L589" s="6">
        <f t="shared" si="57"/>
        <v>0.33215547703180209</v>
      </c>
      <c r="M589" s="6">
        <f t="shared" si="58"/>
        <v>0.59010600706713778</v>
      </c>
      <c r="N589" s="6">
        <f t="shared" si="59"/>
        <v>7.7738515901060179E-2</v>
      </c>
      <c r="O589" s="4">
        <f t="shared" si="60"/>
        <v>1415.7043451804307</v>
      </c>
      <c r="P589" s="4">
        <f t="shared" si="61"/>
        <v>2515.1343153737439</v>
      </c>
      <c r="Q589" s="4">
        <f t="shared" si="62"/>
        <v>3930.8386605541746</v>
      </c>
      <c r="V589" s="3"/>
      <c r="W589" s="3"/>
      <c r="Y589" s="7"/>
      <c r="Z589" s="7"/>
      <c r="AA589" s="7"/>
      <c r="AB589" s="7"/>
      <c r="AC589" s="9"/>
      <c r="AD589" s="9"/>
      <c r="AE589" s="9"/>
      <c r="AF589" s="3"/>
      <c r="AG589" s="3"/>
      <c r="AH589" s="3"/>
      <c r="AL589" s="11"/>
      <c r="AM589" s="3"/>
      <c r="AN589" s="3"/>
      <c r="AO589" s="11"/>
      <c r="AP589" s="7"/>
      <c r="AQ589" s="7"/>
      <c r="AR589" s="7"/>
      <c r="AS589" s="7"/>
      <c r="AT589" s="9"/>
      <c r="AU589" s="9"/>
      <c r="AV589" s="9"/>
      <c r="AW589" s="3"/>
      <c r="AX589" s="3"/>
      <c r="AY589" s="3"/>
    </row>
    <row r="590" spans="1:51" x14ac:dyDescent="0.25">
      <c r="A590">
        <v>557</v>
      </c>
      <c r="B590" s="1" t="s">
        <v>598</v>
      </c>
      <c r="C590" s="1" t="s">
        <v>682</v>
      </c>
      <c r="D590" s="2">
        <v>40829</v>
      </c>
      <c r="E590" s="3">
        <v>29.5</v>
      </c>
      <c r="F590" s="4">
        <f t="shared" si="56"/>
        <v>4215.9127896730506</v>
      </c>
      <c r="G590" s="2">
        <v>40204</v>
      </c>
      <c r="H590" s="7">
        <v>3.06</v>
      </c>
      <c r="I590" s="7">
        <f>H590+H577-2*$A$24</f>
        <v>5.84</v>
      </c>
      <c r="J590" s="7">
        <v>2.92</v>
      </c>
      <c r="K590" s="7">
        <v>5.04</v>
      </c>
      <c r="L590" s="6">
        <f t="shared" si="57"/>
        <v>0.32191780821917809</v>
      </c>
      <c r="M590" s="6">
        <f t="shared" si="58"/>
        <v>0.57191780821917804</v>
      </c>
      <c r="N590" s="6">
        <f t="shared" si="59"/>
        <v>0.10616438356164393</v>
      </c>
      <c r="O590" s="4">
        <f t="shared" si="60"/>
        <v>1357.1774048947493</v>
      </c>
      <c r="P590" s="4">
        <f t="shared" si="61"/>
        <v>2411.1556023130115</v>
      </c>
      <c r="Q590" s="4">
        <f t="shared" si="62"/>
        <v>3768.3330072077606</v>
      </c>
      <c r="V590" s="3"/>
      <c r="W590" s="3"/>
      <c r="Y590" s="7"/>
      <c r="Z590" s="7"/>
      <c r="AA590" s="7"/>
      <c r="AB590" s="7"/>
      <c r="AC590" s="9"/>
      <c r="AD590" s="9"/>
      <c r="AE590" s="9"/>
      <c r="AF590" s="3"/>
      <c r="AG590" s="3"/>
      <c r="AH590" s="3"/>
      <c r="AJ590" t="s">
        <v>999</v>
      </c>
      <c r="AK590" t="s">
        <v>682</v>
      </c>
      <c r="AL590" s="11">
        <f>D575</f>
        <v>40829</v>
      </c>
      <c r="AM590" s="3">
        <f>SUM(E575,E592)</f>
        <v>57.5</v>
      </c>
      <c r="AN590" s="3">
        <f>(AM590-4*$A$20)*$A$21/(2*$A$22)*$A$23</f>
        <v>4100.2604636944552</v>
      </c>
      <c r="AO590" s="11">
        <f>G575</f>
        <v>40204</v>
      </c>
      <c r="AP590" s="7">
        <f>SUM(H575,H592)</f>
        <v>3.44</v>
      </c>
      <c r="AQ590" s="7">
        <f>SUM(I575,I592)</f>
        <v>6.56</v>
      </c>
      <c r="AR590" s="7">
        <f>SUM(J575,J592)</f>
        <v>4.2</v>
      </c>
      <c r="AS590" s="7">
        <f>SUM(K575,K592)</f>
        <v>7.32</v>
      </c>
      <c r="AT590" s="9">
        <f>(AR590-2*$A$25)/AQ590</f>
        <v>0.32317073170731708</v>
      </c>
      <c r="AU590" s="9">
        <f>(AS590-2*$A$26)/AQ590</f>
        <v>0.59756097560975618</v>
      </c>
      <c r="AV590" s="9">
        <f>1-AT590-AU590</f>
        <v>7.9268292682926678E-2</v>
      </c>
      <c r="AW590" s="3">
        <f>AN590*AT590</f>
        <v>1325.0841742427203</v>
      </c>
      <c r="AX590" s="3">
        <f>AN590*AU590</f>
        <v>2450.15564293937</v>
      </c>
      <c r="AY590" s="3">
        <f>AW590+AX590</f>
        <v>3775.2398171820905</v>
      </c>
    </row>
    <row r="591" spans="1:51" x14ac:dyDescent="0.25">
      <c r="A591">
        <v>558</v>
      </c>
      <c r="B591" s="1" t="s">
        <v>599</v>
      </c>
      <c r="C591" s="1" t="s">
        <v>682</v>
      </c>
      <c r="D591" s="2">
        <v>40829</v>
      </c>
      <c r="E591" s="3">
        <v>28.6</v>
      </c>
      <c r="F591" s="4">
        <f t="shared" si="56"/>
        <v>4077.1299984987368</v>
      </c>
      <c r="G591" s="2">
        <v>40204</v>
      </c>
      <c r="H591" s="7">
        <v>3.4</v>
      </c>
      <c r="I591" s="7">
        <f>H591+H576-2*$A$24</f>
        <v>6.3</v>
      </c>
      <c r="J591" s="7">
        <v>3.04</v>
      </c>
      <c r="K591" s="7">
        <v>5.32</v>
      </c>
      <c r="L591" s="6">
        <f t="shared" si="57"/>
        <v>0.31746031746031744</v>
      </c>
      <c r="M591" s="6">
        <f t="shared" si="58"/>
        <v>0.57460317460317467</v>
      </c>
      <c r="N591" s="6">
        <f t="shared" si="59"/>
        <v>0.10793650793650789</v>
      </c>
      <c r="O591" s="4">
        <f t="shared" si="60"/>
        <v>1294.3269836503925</v>
      </c>
      <c r="P591" s="4">
        <f t="shared" si="61"/>
        <v>2342.7318404072107</v>
      </c>
      <c r="Q591" s="4">
        <f t="shared" si="62"/>
        <v>3637.0588240576035</v>
      </c>
      <c r="V591" s="3"/>
      <c r="W591" s="3"/>
      <c r="Y591" s="7"/>
      <c r="Z591" s="7"/>
      <c r="AA591" s="7"/>
      <c r="AB591" s="7"/>
      <c r="AC591" s="9"/>
      <c r="AD591" s="9"/>
      <c r="AE591" s="9"/>
      <c r="AF591" s="3"/>
      <c r="AG591" s="3"/>
      <c r="AH591" s="3"/>
      <c r="AL591" s="11"/>
      <c r="AM591" s="3"/>
      <c r="AN591" s="3"/>
      <c r="AO591" s="11"/>
      <c r="AP591" s="7"/>
      <c r="AQ591" s="7"/>
      <c r="AR591" s="7"/>
      <c r="AS591" s="7"/>
      <c r="AT591" s="9"/>
      <c r="AU591" s="9"/>
      <c r="AV591" s="9"/>
      <c r="AW591" s="3"/>
      <c r="AX591" s="3"/>
      <c r="AY591" s="3"/>
    </row>
    <row r="592" spans="1:51" x14ac:dyDescent="0.25">
      <c r="A592">
        <v>559</v>
      </c>
      <c r="B592" s="1" t="s">
        <v>600</v>
      </c>
      <c r="C592" s="1" t="s">
        <v>682</v>
      </c>
      <c r="D592" s="2">
        <v>40829</v>
      </c>
      <c r="E592" s="3">
        <v>28</v>
      </c>
      <c r="F592" s="4">
        <f t="shared" si="56"/>
        <v>3984.6081377158603</v>
      </c>
      <c r="G592" s="2">
        <v>40204</v>
      </c>
      <c r="H592" s="7">
        <v>3.44</v>
      </c>
      <c r="I592" s="7">
        <f>H592+H575-1*$A$24</f>
        <v>3.28</v>
      </c>
      <c r="J592" s="7">
        <v>2.1</v>
      </c>
      <c r="K592" s="7">
        <v>3.66</v>
      </c>
      <c r="L592" s="6">
        <f>(J592-$A$25)/I592</f>
        <v>0.32317073170731708</v>
      </c>
      <c r="M592" s="6">
        <f>(K592-$A$26)/I592</f>
        <v>0.59756097560975618</v>
      </c>
      <c r="N592" s="6">
        <f t="shared" si="59"/>
        <v>7.9268292682926678E-2</v>
      </c>
      <c r="O592" s="4">
        <f t="shared" si="60"/>
        <v>1287.7087274325647</v>
      </c>
      <c r="P592" s="4">
        <f t="shared" si="61"/>
        <v>2381.0463261960631</v>
      </c>
      <c r="Q592" s="4">
        <f t="shared" si="62"/>
        <v>3668.755053628628</v>
      </c>
      <c r="V592" s="3"/>
      <c r="W592" s="3"/>
      <c r="Y592" s="7"/>
      <c r="Z592" s="7"/>
      <c r="AA592" s="7"/>
      <c r="AB592" s="7"/>
      <c r="AC592" s="9"/>
      <c r="AD592" s="9"/>
      <c r="AE592" s="9"/>
      <c r="AF592" s="3"/>
      <c r="AG592" s="3"/>
      <c r="AH592" s="3"/>
      <c r="AJ592" t="s">
        <v>1000</v>
      </c>
      <c r="AK592" t="s">
        <v>682</v>
      </c>
      <c r="AL592" s="11">
        <f>D574</f>
        <v>40829</v>
      </c>
      <c r="AM592" s="3">
        <f>SUM(E574,E593)</f>
        <v>53.2</v>
      </c>
      <c r="AN592" s="3">
        <f>(AM592-4*$A$20)*$A$21/(2*$A$22)*$A$23</f>
        <v>3768.7237958891496</v>
      </c>
      <c r="AO592" s="11">
        <f>G574</f>
        <v>40204</v>
      </c>
      <c r="AP592" s="7">
        <f>SUM(H574,H593)</f>
        <v>8.64</v>
      </c>
      <c r="AQ592" s="7">
        <f>SUM(I574,I593)</f>
        <v>16.64</v>
      </c>
      <c r="AR592" s="7">
        <f>SUM(J574,J593)</f>
        <v>7.44</v>
      </c>
      <c r="AS592" s="7">
        <f>SUM(K574,K593)</f>
        <v>13</v>
      </c>
      <c r="AT592" s="9">
        <f>(AR592-2*$A$25)/AQ592</f>
        <v>0.32211538461538464</v>
      </c>
      <c r="AU592" s="9">
        <f>(AS592-2*$A$26)/AQ592</f>
        <v>0.57692307692307687</v>
      </c>
      <c r="AV592" s="9">
        <f>1-AT592-AU592</f>
        <v>0.10096153846153855</v>
      </c>
      <c r="AW592" s="3">
        <f>AN592*AT592</f>
        <v>1213.9639150219857</v>
      </c>
      <c r="AX592" s="3">
        <f>AN592*AU592</f>
        <v>2174.263728397586</v>
      </c>
      <c r="AY592" s="3">
        <f>AW592+AX592</f>
        <v>3388.2276434195719</v>
      </c>
    </row>
    <row r="593" spans="1:51" x14ac:dyDescent="0.25">
      <c r="A593">
        <v>560</v>
      </c>
      <c r="B593" s="1" t="s">
        <v>601</v>
      </c>
      <c r="C593" s="1" t="s">
        <v>682</v>
      </c>
      <c r="D593" s="2">
        <v>40829</v>
      </c>
      <c r="E593" s="3">
        <v>25.6</v>
      </c>
      <c r="F593" s="4">
        <f t="shared" si="56"/>
        <v>3614.5206945843565</v>
      </c>
      <c r="G593" s="2">
        <v>40204</v>
      </c>
      <c r="H593" s="7">
        <v>3.94</v>
      </c>
      <c r="I593" s="7">
        <f>H593+H574-2*$A$24</f>
        <v>8.32</v>
      </c>
      <c r="J593" s="7">
        <v>3.72</v>
      </c>
      <c r="K593" s="7">
        <v>6.5</v>
      </c>
      <c r="L593" s="6">
        <f t="shared" si="57"/>
        <v>0.32211538461538464</v>
      </c>
      <c r="M593" s="6">
        <f t="shared" si="58"/>
        <v>0.57692307692307687</v>
      </c>
      <c r="N593" s="6">
        <f t="shared" si="59"/>
        <v>0.10096153846153855</v>
      </c>
      <c r="O593" s="4">
        <f t="shared" si="60"/>
        <v>1164.2927237363072</v>
      </c>
      <c r="P593" s="4">
        <f t="shared" si="61"/>
        <v>2085.3004007217442</v>
      </c>
      <c r="Q593" s="4">
        <f t="shared" si="62"/>
        <v>3249.5931244580515</v>
      </c>
      <c r="V593" s="3"/>
      <c r="W593" s="3"/>
      <c r="Y593" s="7"/>
      <c r="Z593" s="7"/>
      <c r="AA593" s="7"/>
      <c r="AB593" s="7"/>
      <c r="AC593" s="9"/>
      <c r="AD593" s="9"/>
      <c r="AE593" s="9"/>
      <c r="AF593" s="3"/>
      <c r="AG593" s="3"/>
      <c r="AH593" s="3"/>
    </row>
    <row r="594" spans="1:51" x14ac:dyDescent="0.25">
      <c r="A594">
        <v>561</v>
      </c>
      <c r="B594" s="1" t="s">
        <v>602</v>
      </c>
      <c r="C594" s="1" t="s">
        <v>682</v>
      </c>
      <c r="D594" s="2">
        <v>40830</v>
      </c>
      <c r="E594" s="3">
        <v>37.599999999999994</v>
      </c>
      <c r="F594" s="4">
        <f t="shared" si="56"/>
        <v>5464.9579102418766</v>
      </c>
      <c r="G594" s="2">
        <v>40204</v>
      </c>
      <c r="H594" s="7">
        <v>3.92</v>
      </c>
      <c r="I594" s="7">
        <f>H594+H613-2*$A$24</f>
        <v>7.6599999999999993</v>
      </c>
      <c r="J594" s="7">
        <v>3.66</v>
      </c>
      <c r="K594" s="7">
        <v>6.02</v>
      </c>
      <c r="L594" s="6">
        <f t="shared" si="57"/>
        <v>0.34203655352480422</v>
      </c>
      <c r="M594" s="6">
        <f t="shared" si="58"/>
        <v>0.56396866840731064</v>
      </c>
      <c r="N594" s="6">
        <f t="shared" si="59"/>
        <v>9.3994778067885143E-2</v>
      </c>
      <c r="O594" s="4">
        <f t="shared" si="60"/>
        <v>1869.2153687772479</v>
      </c>
      <c r="P594" s="4">
        <f t="shared" si="61"/>
        <v>3082.0650355411103</v>
      </c>
      <c r="Q594" s="4">
        <f t="shared" si="62"/>
        <v>4951.2804043183587</v>
      </c>
      <c r="S594" t="s">
        <v>37</v>
      </c>
      <c r="T594" t="s">
        <v>682</v>
      </c>
      <c r="U594" s="8">
        <f>D594</f>
        <v>40830</v>
      </c>
      <c r="V594" s="3">
        <f>SUM(E594:E633)</f>
        <v>1394.9999999999995</v>
      </c>
      <c r="W594" s="3">
        <f>(V594-80*$A$20)*$A$21/(40*$A$22)*$A$23</f>
        <v>5044.7544591863125</v>
      </c>
      <c r="X594" s="8">
        <f>G594</f>
        <v>40204</v>
      </c>
      <c r="Y594" s="7">
        <f>SUM(H594:H633)</f>
        <v>155.40000000000003</v>
      </c>
      <c r="Z594" s="7">
        <f>SUM(I594:I633)</f>
        <v>297.99999999999994</v>
      </c>
      <c r="AA594" s="7">
        <f>SUM(J594:J633)</f>
        <v>142.16000000000003</v>
      </c>
      <c r="AB594" s="7">
        <f>SUM(K594:K633)</f>
        <v>234.59999999999997</v>
      </c>
      <c r="AC594" s="9">
        <f>(AA594-40*$A$25)/Z594</f>
        <v>0.33744966442953039</v>
      </c>
      <c r="AD594" s="9">
        <f>(AB594-40*$A$26)/Z594</f>
        <v>0.5590604026845637</v>
      </c>
      <c r="AE594" s="9">
        <f>1-AC594-AD594</f>
        <v>0.10348993288590591</v>
      </c>
      <c r="AF594" s="3">
        <f>W594*AC594</f>
        <v>1702.3506993817982</v>
      </c>
      <c r="AG594" s="3">
        <f>W594*AD594</f>
        <v>2820.3224593974483</v>
      </c>
      <c r="AH594" s="3">
        <f>AF594+AG594</f>
        <v>4522.6731587792465</v>
      </c>
      <c r="AJ594" t="s">
        <v>1001</v>
      </c>
      <c r="AK594" t="s">
        <v>682</v>
      </c>
      <c r="AL594" s="11">
        <f>D603</f>
        <v>40830</v>
      </c>
      <c r="AM594" s="3">
        <f>SUM(E603,E604)</f>
        <v>56.1</v>
      </c>
      <c r="AN594" s="3">
        <f>(AM594-4*$A$20)*$A$21/(2*$A$22)*$A$23</f>
        <v>3992.3182927811004</v>
      </c>
      <c r="AO594" s="11">
        <f>G603</f>
        <v>40204</v>
      </c>
      <c r="AP594" s="7">
        <f>SUM(H603,H604)</f>
        <v>8.74</v>
      </c>
      <c r="AQ594" s="7">
        <f>SUM(I603,I604)</f>
        <v>16.84</v>
      </c>
      <c r="AR594" s="7">
        <f>SUM(J603,J604)</f>
        <v>7.84</v>
      </c>
      <c r="AS594" s="7">
        <f>SUM(K603,K604)</f>
        <v>12.8</v>
      </c>
      <c r="AT594" s="9">
        <f>(AR594-2*$A$25)/AQ594</f>
        <v>0.34204275534441803</v>
      </c>
      <c r="AU594" s="9">
        <f>(AS594-2*$A$26)/AQ594</f>
        <v>0.55819477434679332</v>
      </c>
      <c r="AV594" s="9">
        <f>1-AT594-AU594</f>
        <v>9.9762470308788598E-2</v>
      </c>
      <c r="AW594" s="3">
        <f>AN594*AT594</f>
        <v>1365.5435490747705</v>
      </c>
      <c r="AX594" s="3">
        <f>AN594*AU594</f>
        <v>2228.4912085595215</v>
      </c>
      <c r="AY594" s="3">
        <f>AW594+AX594</f>
        <v>3594.034757634292</v>
      </c>
    </row>
    <row r="595" spans="1:51" x14ac:dyDescent="0.25">
      <c r="A595">
        <v>562</v>
      </c>
      <c r="B595" s="1" t="s">
        <v>603</v>
      </c>
      <c r="C595" s="1" t="s">
        <v>682</v>
      </c>
      <c r="D595" s="2">
        <v>40830</v>
      </c>
      <c r="E595" s="3">
        <v>38.9</v>
      </c>
      <c r="F595" s="4">
        <f t="shared" si="56"/>
        <v>5665.421941938107</v>
      </c>
      <c r="G595" s="2">
        <v>40204</v>
      </c>
      <c r="H595" s="7">
        <v>1.74</v>
      </c>
      <c r="I595" s="7">
        <f>H595+H612-2*$A$24</f>
        <v>5.8</v>
      </c>
      <c r="J595" s="7">
        <v>2.94</v>
      </c>
      <c r="K595" s="7">
        <v>4.92</v>
      </c>
      <c r="L595" s="6">
        <f t="shared" si="57"/>
        <v>0.32758620689655171</v>
      </c>
      <c r="M595" s="6">
        <f t="shared" si="58"/>
        <v>0.55517241379310345</v>
      </c>
      <c r="N595" s="6">
        <f t="shared" si="59"/>
        <v>0.11724137931034484</v>
      </c>
      <c r="O595" s="4">
        <f t="shared" si="60"/>
        <v>1855.9140844280005</v>
      </c>
      <c r="P595" s="4">
        <f t="shared" si="61"/>
        <v>3145.2859746621903</v>
      </c>
      <c r="Q595" s="4">
        <f t="shared" si="62"/>
        <v>5001.2000590901907</v>
      </c>
      <c r="V595" s="3"/>
      <c r="W595" s="3"/>
      <c r="Y595" s="7"/>
      <c r="Z595" s="7"/>
      <c r="AA595" s="7"/>
      <c r="AB595" s="7"/>
      <c r="AC595" s="9"/>
      <c r="AD595" s="9"/>
      <c r="AE595" s="9"/>
      <c r="AF595" s="3"/>
      <c r="AG595" s="3"/>
      <c r="AH595" s="3"/>
      <c r="AL595" s="11"/>
      <c r="AM595" s="3"/>
      <c r="AN595" s="3"/>
      <c r="AO595" s="11"/>
      <c r="AP595" s="7"/>
      <c r="AQ595" s="7"/>
      <c r="AR595" s="7"/>
      <c r="AS595" s="7"/>
      <c r="AT595" s="9"/>
      <c r="AU595" s="9"/>
      <c r="AV595" s="9"/>
      <c r="AW595" s="3"/>
      <c r="AX595" s="3"/>
      <c r="AY595" s="3"/>
    </row>
    <row r="596" spans="1:51" x14ac:dyDescent="0.25">
      <c r="A596">
        <v>563</v>
      </c>
      <c r="B596" s="1" t="s">
        <v>604</v>
      </c>
      <c r="C596" s="1" t="s">
        <v>682</v>
      </c>
      <c r="D596" s="2">
        <v>40830</v>
      </c>
      <c r="E596" s="3">
        <v>37.5</v>
      </c>
      <c r="F596" s="4">
        <f t="shared" si="56"/>
        <v>5449.5376001113982</v>
      </c>
      <c r="G596" s="2">
        <v>40204</v>
      </c>
      <c r="H596" s="7">
        <v>4.24</v>
      </c>
      <c r="I596" s="7">
        <f>H596+H611-2*$A$24</f>
        <v>7.66</v>
      </c>
      <c r="J596" s="7">
        <v>3.66</v>
      </c>
      <c r="K596" s="7">
        <v>6.02</v>
      </c>
      <c r="L596" s="6">
        <f t="shared" si="57"/>
        <v>0.34203655352480417</v>
      </c>
      <c r="M596" s="6">
        <f t="shared" si="58"/>
        <v>0.56396866840731064</v>
      </c>
      <c r="N596" s="6">
        <f t="shared" si="59"/>
        <v>9.3994778067885143E-2</v>
      </c>
      <c r="O596" s="4">
        <f t="shared" si="60"/>
        <v>1863.9410590459352</v>
      </c>
      <c r="P596" s="4">
        <f t="shared" si="61"/>
        <v>3073.3684637703964</v>
      </c>
      <c r="Q596" s="4">
        <f t="shared" si="62"/>
        <v>4937.3095228163311</v>
      </c>
      <c r="V596" s="3"/>
      <c r="W596" s="3"/>
      <c r="Y596" s="7"/>
      <c r="Z596" s="7"/>
      <c r="AA596" s="7"/>
      <c r="AB596" s="7"/>
      <c r="AC596" s="9"/>
      <c r="AD596" s="9"/>
      <c r="AE596" s="9"/>
      <c r="AF596" s="3"/>
      <c r="AG596" s="3"/>
      <c r="AH596" s="3"/>
      <c r="AJ596" t="s">
        <v>1002</v>
      </c>
      <c r="AK596" t="s">
        <v>682</v>
      </c>
      <c r="AL596" s="11">
        <f>D602</f>
        <v>40830</v>
      </c>
      <c r="AM596" s="3">
        <f>SUM(E602,E605)</f>
        <v>67.400000000000006</v>
      </c>
      <c r="AN596" s="3">
        <f>(AM596-4*$A$20)*$A$21/(2*$A$22)*$A$23</f>
        <v>4863.5658151531834</v>
      </c>
      <c r="AO596" s="11">
        <f>G602</f>
        <v>40204</v>
      </c>
      <c r="AP596" s="7">
        <f>SUM(H602,H605)</f>
        <v>8.7200000000000006</v>
      </c>
      <c r="AQ596" s="7">
        <f>SUM(I602,I605)</f>
        <v>16.8</v>
      </c>
      <c r="AR596" s="7">
        <f>SUM(J602,J605)</f>
        <v>7.8</v>
      </c>
      <c r="AS596" s="7">
        <f>SUM(K602,K605)</f>
        <v>12.68</v>
      </c>
      <c r="AT596" s="9">
        <f>(AR596-2*$A$25)/AQ596</f>
        <v>0.34047619047619043</v>
      </c>
      <c r="AU596" s="9">
        <f>(AS596-2*$A$26)/AQ596</f>
        <v>0.55238095238095231</v>
      </c>
      <c r="AV596" s="9">
        <f>1-AT596-AU596</f>
        <v>0.10714285714285732</v>
      </c>
      <c r="AW596" s="3">
        <f>AN596*AT596</f>
        <v>1655.9283608735836</v>
      </c>
      <c r="AX596" s="3">
        <f>AN596*AU596</f>
        <v>2686.541116941758</v>
      </c>
      <c r="AY596" s="3">
        <f>AW596+AX596</f>
        <v>4342.4694778153416</v>
      </c>
    </row>
    <row r="597" spans="1:51" x14ac:dyDescent="0.25">
      <c r="A597">
        <v>564</v>
      </c>
      <c r="B597" s="1" t="s">
        <v>605</v>
      </c>
      <c r="C597" s="1" t="s">
        <v>682</v>
      </c>
      <c r="D597" s="2">
        <v>40830</v>
      </c>
      <c r="E597" s="3">
        <v>34.700000000000003</v>
      </c>
      <c r="F597" s="4">
        <f t="shared" si="56"/>
        <v>5017.7689164579779</v>
      </c>
      <c r="G597" s="2">
        <v>40204</v>
      </c>
      <c r="H597" s="7">
        <v>5.08</v>
      </c>
      <c r="I597" s="7">
        <f>H597+H610-2*$A$24</f>
        <v>8.92</v>
      </c>
      <c r="J597" s="7">
        <v>4.0599999999999996</v>
      </c>
      <c r="K597" s="7">
        <v>6.62</v>
      </c>
      <c r="L597" s="6">
        <f t="shared" si="57"/>
        <v>0.33856502242152464</v>
      </c>
      <c r="M597" s="6">
        <f t="shared" si="58"/>
        <v>0.55156950672645744</v>
      </c>
      <c r="N597" s="6">
        <f t="shared" si="59"/>
        <v>0.10986547085201792</v>
      </c>
      <c r="O597" s="4">
        <f t="shared" si="60"/>
        <v>1698.8410457066248</v>
      </c>
      <c r="P597" s="4">
        <f t="shared" si="61"/>
        <v>2767.6483261180779</v>
      </c>
      <c r="Q597" s="4">
        <f t="shared" si="62"/>
        <v>4466.4893718247022</v>
      </c>
      <c r="V597" s="3"/>
      <c r="W597" s="3"/>
      <c r="Y597" s="7"/>
      <c r="Z597" s="7"/>
      <c r="AA597" s="7"/>
      <c r="AB597" s="7"/>
      <c r="AC597" s="9"/>
      <c r="AD597" s="9"/>
      <c r="AE597" s="9"/>
      <c r="AF597" s="3"/>
      <c r="AG597" s="3"/>
      <c r="AH597" s="3"/>
      <c r="AL597" s="11"/>
      <c r="AM597" s="3"/>
      <c r="AN597" s="3"/>
      <c r="AO597" s="11"/>
      <c r="AP597" s="7"/>
      <c r="AQ597" s="7"/>
      <c r="AR597" s="7"/>
      <c r="AS597" s="7"/>
      <c r="AT597" s="9"/>
      <c r="AU597" s="9"/>
      <c r="AV597" s="9"/>
      <c r="AW597" s="3"/>
      <c r="AX597" s="3"/>
      <c r="AY597" s="3"/>
    </row>
    <row r="598" spans="1:51" x14ac:dyDescent="0.25">
      <c r="A598">
        <v>565</v>
      </c>
      <c r="B598" s="1" t="s">
        <v>606</v>
      </c>
      <c r="C598" s="1" t="s">
        <v>682</v>
      </c>
      <c r="D598" s="2">
        <v>40830</v>
      </c>
      <c r="E598" s="3">
        <v>36</v>
      </c>
      <c r="F598" s="4">
        <f t="shared" si="56"/>
        <v>5218.2329481542074</v>
      </c>
      <c r="G598" s="2">
        <v>40204</v>
      </c>
      <c r="H598" s="7">
        <v>3.58</v>
      </c>
      <c r="I598" s="7">
        <f>H598+H609-2*$A$24</f>
        <v>7.08</v>
      </c>
      <c r="J598" s="7">
        <v>3.44</v>
      </c>
      <c r="K598" s="7">
        <v>5.6</v>
      </c>
      <c r="L598" s="6">
        <f t="shared" si="57"/>
        <v>0.33898305084745761</v>
      </c>
      <c r="M598" s="6">
        <f t="shared" si="58"/>
        <v>0.55084745762711851</v>
      </c>
      <c r="N598" s="6">
        <f t="shared" si="59"/>
        <v>0.11016949152542388</v>
      </c>
      <c r="O598" s="4">
        <f t="shared" si="60"/>
        <v>1768.8925247980362</v>
      </c>
      <c r="P598" s="4">
        <f t="shared" si="61"/>
        <v>2874.4503527968086</v>
      </c>
      <c r="Q598" s="4">
        <f t="shared" si="62"/>
        <v>4643.342877594845</v>
      </c>
      <c r="V598" s="3"/>
      <c r="W598" s="3"/>
      <c r="Y598" s="7"/>
      <c r="Z598" s="7"/>
      <c r="AA598" s="7"/>
      <c r="AB598" s="7"/>
      <c r="AC598" s="9"/>
      <c r="AD598" s="9"/>
      <c r="AE598" s="9"/>
      <c r="AF598" s="3"/>
      <c r="AG598" s="3"/>
      <c r="AH598" s="3"/>
      <c r="AJ598" t="s">
        <v>1003</v>
      </c>
      <c r="AK598" t="s">
        <v>682</v>
      </c>
      <c r="AL598" s="11">
        <f>D601</f>
        <v>40830</v>
      </c>
      <c r="AM598" s="3">
        <f>SUM(E601,E606)</f>
        <v>74.400000000000006</v>
      </c>
      <c r="AN598" s="3">
        <f>(AM598-4*$A$20)*$A$21/(2*$A$22)*$A$23</f>
        <v>5403.2766697199604</v>
      </c>
      <c r="AO598" s="11">
        <f>G601</f>
        <v>40204</v>
      </c>
      <c r="AP598" s="7">
        <f>SUM(H601,H606)</f>
        <v>7.72</v>
      </c>
      <c r="AQ598" s="7">
        <f>SUM(I601,I606)</f>
        <v>14.799999999999999</v>
      </c>
      <c r="AR598" s="7">
        <f>SUM(J601,J606)</f>
        <v>7.12</v>
      </c>
      <c r="AS598" s="7">
        <f>SUM(K601,K606)</f>
        <v>11.72</v>
      </c>
      <c r="AT598" s="9">
        <f>(AR598-2*$A$25)/AQ598</f>
        <v>0.34054054054054056</v>
      </c>
      <c r="AU598" s="9">
        <f>(AS598-2*$A$26)/AQ598</f>
        <v>0.56216216216216219</v>
      </c>
      <c r="AV598" s="9">
        <f>1-AT598-AU598</f>
        <v>9.7297297297297192E-2</v>
      </c>
      <c r="AW598" s="3">
        <f>AN598*AT598</f>
        <v>1840.0347577965272</v>
      </c>
      <c r="AX598" s="3">
        <f>AN598*AU598</f>
        <v>3037.5176954101403</v>
      </c>
      <c r="AY598" s="3">
        <f>AW598+AX598</f>
        <v>4877.5524532066675</v>
      </c>
    </row>
    <row r="599" spans="1:51" x14ac:dyDescent="0.25">
      <c r="A599">
        <v>566</v>
      </c>
      <c r="B599" s="1" t="s">
        <v>607</v>
      </c>
      <c r="C599" s="1" t="s">
        <v>682</v>
      </c>
      <c r="D599" s="2">
        <v>40830</v>
      </c>
      <c r="E599" s="3">
        <v>33.299999999999997</v>
      </c>
      <c r="F599" s="4">
        <f t="shared" si="56"/>
        <v>4801.8845746312645</v>
      </c>
      <c r="G599" s="2">
        <v>40204</v>
      </c>
      <c r="H599" s="7">
        <v>3.58</v>
      </c>
      <c r="I599" s="7">
        <f>H599+H608-2*$A$24</f>
        <v>7.24</v>
      </c>
      <c r="J599" s="7">
        <v>3.48</v>
      </c>
      <c r="K599" s="7">
        <v>5.76</v>
      </c>
      <c r="L599" s="6">
        <f t="shared" si="57"/>
        <v>0.33701657458563533</v>
      </c>
      <c r="M599" s="6">
        <f t="shared" si="58"/>
        <v>0.56077348066298338</v>
      </c>
      <c r="N599" s="6">
        <f t="shared" si="59"/>
        <v>0.10220994475138134</v>
      </c>
      <c r="O599" s="4">
        <f t="shared" si="60"/>
        <v>1618.3146908978295</v>
      </c>
      <c r="P599" s="4">
        <f t="shared" si="61"/>
        <v>2692.7695266578635</v>
      </c>
      <c r="Q599" s="4">
        <f t="shared" si="62"/>
        <v>4311.0842175556927</v>
      </c>
      <c r="V599" s="3"/>
      <c r="W599" s="3"/>
      <c r="Y599" s="7"/>
      <c r="Z599" s="7"/>
      <c r="AA599" s="7"/>
      <c r="AB599" s="7"/>
      <c r="AC599" s="9"/>
      <c r="AD599" s="9"/>
      <c r="AE599" s="9"/>
      <c r="AF599" s="3"/>
      <c r="AG599" s="3"/>
      <c r="AH599" s="3"/>
      <c r="AL599" s="11"/>
      <c r="AM599" s="3"/>
      <c r="AN599" s="3"/>
      <c r="AO599" s="11"/>
      <c r="AP599" s="7"/>
      <c r="AQ599" s="7"/>
      <c r="AR599" s="7"/>
      <c r="AS599" s="7"/>
      <c r="AT599" s="9"/>
      <c r="AU599" s="9"/>
      <c r="AV599" s="9"/>
      <c r="AW599" s="3"/>
      <c r="AX599" s="3"/>
      <c r="AY599" s="3"/>
    </row>
    <row r="600" spans="1:51" x14ac:dyDescent="0.25">
      <c r="A600">
        <v>567</v>
      </c>
      <c r="B600" s="1" t="s">
        <v>608</v>
      </c>
      <c r="C600" s="1" t="s">
        <v>682</v>
      </c>
      <c r="D600" s="2">
        <v>40830</v>
      </c>
      <c r="E600" s="3">
        <v>32.400000000000006</v>
      </c>
      <c r="F600" s="4">
        <f t="shared" si="56"/>
        <v>4663.101783456952</v>
      </c>
      <c r="G600" s="2">
        <v>40204</v>
      </c>
      <c r="H600" s="7">
        <v>3.5</v>
      </c>
      <c r="I600" s="7">
        <f>H600+H607-2*$A$24</f>
        <v>7.9399999999999995</v>
      </c>
      <c r="J600" s="7">
        <v>3.7</v>
      </c>
      <c r="K600" s="7">
        <v>6.08</v>
      </c>
      <c r="L600" s="6">
        <f t="shared" si="57"/>
        <v>0.33501259445843834</v>
      </c>
      <c r="M600" s="6">
        <f t="shared" si="58"/>
        <v>0.55163727959697739</v>
      </c>
      <c r="N600" s="6">
        <f t="shared" si="59"/>
        <v>0.11335012594458427</v>
      </c>
      <c r="O600" s="4">
        <f t="shared" si="60"/>
        <v>1562.1978266996844</v>
      </c>
      <c r="P600" s="4">
        <f t="shared" si="61"/>
        <v>2572.3407823100065</v>
      </c>
      <c r="Q600" s="4">
        <f t="shared" si="62"/>
        <v>4134.5386090096908</v>
      </c>
      <c r="V600" s="3"/>
      <c r="W600" s="3"/>
      <c r="Y600" s="7"/>
      <c r="Z600" s="7"/>
      <c r="AA600" s="7"/>
      <c r="AB600" s="7"/>
      <c r="AC600" s="9"/>
      <c r="AD600" s="9"/>
      <c r="AE600" s="9"/>
      <c r="AF600" s="3"/>
      <c r="AG600" s="3"/>
      <c r="AH600" s="3"/>
      <c r="AJ600" t="s">
        <v>1004</v>
      </c>
      <c r="AK600" t="s">
        <v>682</v>
      </c>
      <c r="AL600" s="11">
        <f>D600</f>
        <v>40830</v>
      </c>
      <c r="AM600" s="3">
        <f>SUM(E600,E607)</f>
        <v>69.100000000000009</v>
      </c>
      <c r="AN600" s="3">
        <f>(AM600-4*$A$20)*$A$21/(2*$A$22)*$A$23</f>
        <v>4994.6384512622571</v>
      </c>
      <c r="AO600" s="11">
        <f>G600</f>
        <v>40204</v>
      </c>
      <c r="AP600" s="7">
        <f>SUM(H600,H607)</f>
        <v>8.26</v>
      </c>
      <c r="AQ600" s="7">
        <f>SUM(I600,I607)</f>
        <v>15.879999999999999</v>
      </c>
      <c r="AR600" s="7">
        <f>SUM(J600,J607)</f>
        <v>7.4</v>
      </c>
      <c r="AS600" s="7">
        <f>SUM(K600,K607)</f>
        <v>12.16</v>
      </c>
      <c r="AT600" s="9">
        <f>(AR600-2*$A$25)/AQ600</f>
        <v>0.33501259445843834</v>
      </c>
      <c r="AU600" s="9">
        <f>(AS600-2*$A$26)/AQ600</f>
        <v>0.55163727959697739</v>
      </c>
      <c r="AV600" s="9">
        <f>1-AT600-AU600</f>
        <v>0.11335012594458427</v>
      </c>
      <c r="AW600" s="3">
        <f>AN600*AT600</f>
        <v>1673.2667859392452</v>
      </c>
      <c r="AX600" s="3">
        <f>AN600*AU600</f>
        <v>2755.2287678247717</v>
      </c>
      <c r="AY600" s="3">
        <f>AW600+AX600</f>
        <v>4428.4955537640171</v>
      </c>
    </row>
    <row r="601" spans="1:51" x14ac:dyDescent="0.25">
      <c r="A601">
        <v>568</v>
      </c>
      <c r="B601" s="1" t="s">
        <v>609</v>
      </c>
      <c r="C601" s="1" t="s">
        <v>682</v>
      </c>
      <c r="D601" s="2">
        <v>40830</v>
      </c>
      <c r="E601" s="3">
        <v>36</v>
      </c>
      <c r="F601" s="4">
        <f t="shared" si="56"/>
        <v>5218.2329481542074</v>
      </c>
      <c r="G601" s="2">
        <v>40204</v>
      </c>
      <c r="H601" s="7">
        <v>4.34</v>
      </c>
      <c r="I601" s="7">
        <f>H601+H606-2*$A$24</f>
        <v>7.3999999999999995</v>
      </c>
      <c r="J601" s="7">
        <v>3.56</v>
      </c>
      <c r="K601" s="7">
        <v>5.86</v>
      </c>
      <c r="L601" s="6">
        <f t="shared" si="57"/>
        <v>0.34054054054054056</v>
      </c>
      <c r="M601" s="6">
        <f t="shared" si="58"/>
        <v>0.56216216216216219</v>
      </c>
      <c r="N601" s="6">
        <f t="shared" si="59"/>
        <v>9.7297297297297192E-2</v>
      </c>
      <c r="O601" s="4">
        <f t="shared" si="60"/>
        <v>1777.0198688308924</v>
      </c>
      <c r="P601" s="4">
        <f t="shared" si="61"/>
        <v>2933.4931168002031</v>
      </c>
      <c r="Q601" s="4">
        <f t="shared" si="62"/>
        <v>4710.5129856310959</v>
      </c>
      <c r="V601" s="3"/>
      <c r="W601" s="3"/>
      <c r="Y601" s="7"/>
      <c r="Z601" s="7"/>
      <c r="AA601" s="7"/>
      <c r="AB601" s="7"/>
      <c r="AC601" s="9"/>
      <c r="AD601" s="9"/>
      <c r="AE601" s="9"/>
      <c r="AF601" s="3"/>
      <c r="AG601" s="3"/>
      <c r="AH601" s="3"/>
      <c r="AL601" s="11"/>
      <c r="AM601" s="3"/>
      <c r="AN601" s="3"/>
      <c r="AO601" s="11"/>
      <c r="AP601" s="7"/>
      <c r="AQ601" s="7"/>
      <c r="AR601" s="7"/>
      <c r="AS601" s="7"/>
      <c r="AT601" s="9"/>
      <c r="AU601" s="9"/>
      <c r="AV601" s="9"/>
      <c r="AW601" s="3"/>
      <c r="AX601" s="3"/>
      <c r="AY601" s="3"/>
    </row>
    <row r="602" spans="1:51" x14ac:dyDescent="0.25">
      <c r="A602">
        <v>569</v>
      </c>
      <c r="B602" s="1" t="s">
        <v>610</v>
      </c>
      <c r="C602" s="1" t="s">
        <v>682</v>
      </c>
      <c r="D602" s="2">
        <v>40830</v>
      </c>
      <c r="E602" s="3">
        <v>34</v>
      </c>
      <c r="F602" s="4">
        <f t="shared" si="56"/>
        <v>4909.8267455446203</v>
      </c>
      <c r="G602" s="2">
        <v>40204</v>
      </c>
      <c r="H602" s="7">
        <v>4.9000000000000004</v>
      </c>
      <c r="I602" s="7">
        <f>H602+H605-2*$A$24</f>
        <v>8.4</v>
      </c>
      <c r="J602" s="7">
        <v>3.9</v>
      </c>
      <c r="K602" s="7">
        <v>6.34</v>
      </c>
      <c r="L602" s="6">
        <f t="shared" si="57"/>
        <v>0.34047619047619043</v>
      </c>
      <c r="M602" s="6">
        <f t="shared" si="58"/>
        <v>0.55238095238095231</v>
      </c>
      <c r="N602" s="6">
        <f t="shared" si="59"/>
        <v>0.10714285714285732</v>
      </c>
      <c r="O602" s="4">
        <f t="shared" si="60"/>
        <v>1671.6791062211444</v>
      </c>
      <c r="P602" s="4">
        <f t="shared" si="61"/>
        <v>2712.0947737294091</v>
      </c>
      <c r="Q602" s="4">
        <f t="shared" si="62"/>
        <v>4383.7738799505532</v>
      </c>
      <c r="V602" s="3"/>
      <c r="W602" s="3"/>
      <c r="Y602" s="7"/>
      <c r="Z602" s="7"/>
      <c r="AA602" s="7"/>
      <c r="AB602" s="7"/>
      <c r="AC602" s="9"/>
      <c r="AD602" s="9"/>
      <c r="AE602" s="9"/>
      <c r="AF602" s="3"/>
      <c r="AG602" s="3"/>
      <c r="AH602" s="3"/>
      <c r="AJ602" t="s">
        <v>1005</v>
      </c>
      <c r="AK602" t="s">
        <v>682</v>
      </c>
      <c r="AL602" s="11">
        <f>D599</f>
        <v>40830</v>
      </c>
      <c r="AM602" s="3">
        <f>SUM(E599,E608)</f>
        <v>69.5</v>
      </c>
      <c r="AN602" s="3">
        <f>(AM602-4*$A$20)*$A$21/(2*$A$22)*$A$23</f>
        <v>5025.4790715232166</v>
      </c>
      <c r="AO602" s="11">
        <f>G599</f>
        <v>40204</v>
      </c>
      <c r="AP602" s="7">
        <f>SUM(H599,H608)</f>
        <v>7.5600000000000005</v>
      </c>
      <c r="AQ602" s="7">
        <f>SUM(I599,I608)</f>
        <v>14.48</v>
      </c>
      <c r="AR602" s="7">
        <f>SUM(J599,J608)</f>
        <v>6.96</v>
      </c>
      <c r="AS602" s="7">
        <f>SUM(K599,K608)</f>
        <v>11.52</v>
      </c>
      <c r="AT602" s="9">
        <f>(AR602-2*$A$25)/AQ602</f>
        <v>0.33701657458563533</v>
      </c>
      <c r="AU602" s="9">
        <f>(AS602-2*$A$26)/AQ602</f>
        <v>0.56077348066298338</v>
      </c>
      <c r="AV602" s="9">
        <f>1-AT602-AU602</f>
        <v>0.10220994475138134</v>
      </c>
      <c r="AW602" s="3">
        <f>AN602*AT602</f>
        <v>1693.6697423365536</v>
      </c>
      <c r="AX602" s="3">
        <f>AN602*AU602</f>
        <v>2818.1553909370523</v>
      </c>
      <c r="AY602" s="3">
        <f>AW602+AX602</f>
        <v>4511.8251332736054</v>
      </c>
    </row>
    <row r="603" spans="1:51" x14ac:dyDescent="0.25">
      <c r="A603">
        <v>570</v>
      </c>
      <c r="B603" s="1" t="s">
        <v>611</v>
      </c>
      <c r="C603" s="1" t="s">
        <v>682</v>
      </c>
      <c r="D603" s="2">
        <v>40830</v>
      </c>
      <c r="E603" s="3">
        <v>26.5</v>
      </c>
      <c r="F603" s="4">
        <f t="shared" si="56"/>
        <v>3753.3034857586704</v>
      </c>
      <c r="G603" s="2">
        <v>40204</v>
      </c>
      <c r="H603" s="7">
        <v>4.5</v>
      </c>
      <c r="I603" s="7">
        <f>H603+H604-2*$A$24</f>
        <v>8.42</v>
      </c>
      <c r="J603" s="7">
        <v>3.92</v>
      </c>
      <c r="K603" s="7">
        <v>6.4</v>
      </c>
      <c r="L603" s="6">
        <f t="shared" si="57"/>
        <v>0.34204275534441803</v>
      </c>
      <c r="M603" s="6">
        <f t="shared" si="58"/>
        <v>0.55819477434679332</v>
      </c>
      <c r="N603" s="6">
        <f t="shared" si="59"/>
        <v>9.9762470308788598E-2</v>
      </c>
      <c r="O603" s="4">
        <f t="shared" si="60"/>
        <v>1283.7902659127042</v>
      </c>
      <c r="P603" s="4">
        <f t="shared" si="61"/>
        <v>2095.0743922880938</v>
      </c>
      <c r="Q603" s="4">
        <f t="shared" si="62"/>
        <v>3378.8646582007977</v>
      </c>
      <c r="V603" s="3"/>
      <c r="W603" s="3"/>
      <c r="Y603" s="7"/>
      <c r="Z603" s="7"/>
      <c r="AA603" s="7"/>
      <c r="AB603" s="7"/>
      <c r="AC603" s="9"/>
      <c r="AD603" s="9"/>
      <c r="AE603" s="9"/>
      <c r="AF603" s="3"/>
      <c r="AG603" s="3"/>
      <c r="AH603" s="3"/>
      <c r="AL603" s="11"/>
      <c r="AM603" s="3"/>
      <c r="AN603" s="3"/>
      <c r="AO603" s="11"/>
      <c r="AP603" s="7"/>
      <c r="AQ603" s="7"/>
      <c r="AR603" s="7"/>
      <c r="AS603" s="7"/>
      <c r="AT603" s="9"/>
      <c r="AU603" s="9"/>
      <c r="AV603" s="9"/>
      <c r="AW603" s="3"/>
      <c r="AX603" s="3"/>
      <c r="AY603" s="3"/>
    </row>
    <row r="604" spans="1:51" x14ac:dyDescent="0.25">
      <c r="A604">
        <v>571</v>
      </c>
      <c r="B604" s="1" t="s">
        <v>612</v>
      </c>
      <c r="C604" s="1" t="s">
        <v>682</v>
      </c>
      <c r="D604" s="2">
        <v>40830</v>
      </c>
      <c r="E604" s="3">
        <v>29.6</v>
      </c>
      <c r="F604" s="4">
        <f t="shared" si="56"/>
        <v>4231.3330998035308</v>
      </c>
      <c r="G604" s="2">
        <v>40204</v>
      </c>
      <c r="H604" s="7">
        <v>4.24</v>
      </c>
      <c r="I604" s="7">
        <f>H604+H603-2*$A$24</f>
        <v>8.42</v>
      </c>
      <c r="J604" s="7">
        <v>3.92</v>
      </c>
      <c r="K604" s="7">
        <v>6.4</v>
      </c>
      <c r="L604" s="6">
        <f t="shared" si="57"/>
        <v>0.34204275534441803</v>
      </c>
      <c r="M604" s="6">
        <f t="shared" si="58"/>
        <v>0.55819477434679332</v>
      </c>
      <c r="N604" s="6">
        <f t="shared" si="59"/>
        <v>9.9762470308788598E-2</v>
      </c>
      <c r="O604" s="4">
        <f t="shared" si="60"/>
        <v>1447.296832236837</v>
      </c>
      <c r="P604" s="4">
        <f t="shared" si="61"/>
        <v>2361.9080248309492</v>
      </c>
      <c r="Q604" s="4">
        <f t="shared" si="62"/>
        <v>3809.2048570677862</v>
      </c>
      <c r="V604" s="3"/>
      <c r="W604" s="3"/>
      <c r="Y604" s="7"/>
      <c r="Z604" s="7"/>
      <c r="AA604" s="7"/>
      <c r="AB604" s="7"/>
      <c r="AC604" s="9"/>
      <c r="AD604" s="9"/>
      <c r="AE604" s="9"/>
      <c r="AF604" s="3"/>
      <c r="AG604" s="3"/>
      <c r="AH604" s="3"/>
      <c r="AJ604" t="s">
        <v>1006</v>
      </c>
      <c r="AK604" t="s">
        <v>682</v>
      </c>
      <c r="AL604" s="11">
        <f>D598</f>
        <v>40830</v>
      </c>
      <c r="AM604" s="3">
        <f>SUM(E598,E609)</f>
        <v>71.900000000000006</v>
      </c>
      <c r="AN604" s="3">
        <f>(AM604-4*$A$20)*$A$21/(2*$A$22)*$A$23</f>
        <v>5210.5227930889687</v>
      </c>
      <c r="AO604" s="11">
        <f>G598</f>
        <v>40204</v>
      </c>
      <c r="AP604" s="7">
        <f>SUM(H598,H609)</f>
        <v>7.4</v>
      </c>
      <c r="AQ604" s="7">
        <f>SUM(I598,I609)</f>
        <v>14.16</v>
      </c>
      <c r="AR604" s="7">
        <f>SUM(J598,J609)</f>
        <v>6.88</v>
      </c>
      <c r="AS604" s="7">
        <f>SUM(K598,K609)</f>
        <v>11.2</v>
      </c>
      <c r="AT604" s="9">
        <f>(AR604-2*$A$25)/AQ604</f>
        <v>0.33898305084745761</v>
      </c>
      <c r="AU604" s="9">
        <f>(AS604-2*$A$26)/AQ604</f>
        <v>0.55084745762711851</v>
      </c>
      <c r="AV604" s="9">
        <f>1-AT604-AU604</f>
        <v>0.11016949152542388</v>
      </c>
      <c r="AW604" s="3">
        <f>AN604*AT604</f>
        <v>1766.2789129115147</v>
      </c>
      <c r="AX604" s="3">
        <f>AN604*AU604</f>
        <v>2870.2032334812106</v>
      </c>
      <c r="AY604" s="3">
        <f>AW604+AX604</f>
        <v>4636.4821463927256</v>
      </c>
    </row>
    <row r="605" spans="1:51" x14ac:dyDescent="0.25">
      <c r="A605">
        <v>572</v>
      </c>
      <c r="B605" s="1" t="s">
        <v>613</v>
      </c>
      <c r="C605" s="1" t="s">
        <v>682</v>
      </c>
      <c r="D605" s="2">
        <v>40830</v>
      </c>
      <c r="E605" s="3">
        <v>33.4</v>
      </c>
      <c r="F605" s="4">
        <f t="shared" si="56"/>
        <v>4817.3048847617447</v>
      </c>
      <c r="G605" s="2">
        <v>40204</v>
      </c>
      <c r="H605" s="7">
        <v>3.82</v>
      </c>
      <c r="I605" s="7">
        <f>H605+H602-2*$A$24</f>
        <v>8.4</v>
      </c>
      <c r="J605" s="7">
        <v>3.9</v>
      </c>
      <c r="K605" s="7">
        <v>6.34</v>
      </c>
      <c r="L605" s="6">
        <f t="shared" si="57"/>
        <v>0.34047619047619043</v>
      </c>
      <c r="M605" s="6">
        <f t="shared" si="58"/>
        <v>0.55238095238095231</v>
      </c>
      <c r="N605" s="6">
        <f t="shared" si="59"/>
        <v>0.10714285714285732</v>
      </c>
      <c r="O605" s="4">
        <f t="shared" si="60"/>
        <v>1640.1776155260225</v>
      </c>
      <c r="P605" s="4">
        <f t="shared" si="61"/>
        <v>2660.9874601541064</v>
      </c>
      <c r="Q605" s="4">
        <f t="shared" si="62"/>
        <v>4301.1650756801291</v>
      </c>
      <c r="V605" s="3"/>
      <c r="W605" s="3"/>
      <c r="Y605" s="7"/>
      <c r="Z605" s="7"/>
      <c r="AA605" s="7"/>
      <c r="AB605" s="7"/>
      <c r="AC605" s="9"/>
      <c r="AD605" s="9"/>
      <c r="AE605" s="9"/>
      <c r="AF605" s="3"/>
      <c r="AG605" s="3"/>
      <c r="AH605" s="3"/>
      <c r="AL605" s="11"/>
      <c r="AM605" s="3"/>
      <c r="AN605" s="3"/>
      <c r="AO605" s="11"/>
      <c r="AP605" s="7"/>
      <c r="AQ605" s="7"/>
      <c r="AR605" s="7"/>
      <c r="AS605" s="7"/>
      <c r="AT605" s="9"/>
      <c r="AU605" s="9"/>
      <c r="AV605" s="9"/>
      <c r="AW605" s="3"/>
      <c r="AX605" s="3"/>
      <c r="AY605" s="3"/>
    </row>
    <row r="606" spans="1:51" x14ac:dyDescent="0.25">
      <c r="A606">
        <v>573</v>
      </c>
      <c r="B606" s="1" t="s">
        <v>614</v>
      </c>
      <c r="C606" s="1" t="s">
        <v>682</v>
      </c>
      <c r="D606" s="2">
        <v>40830</v>
      </c>
      <c r="E606" s="3">
        <v>38.400000000000006</v>
      </c>
      <c r="F606" s="4">
        <f t="shared" si="56"/>
        <v>5588.3203912857125</v>
      </c>
      <c r="G606" s="2">
        <v>40204</v>
      </c>
      <c r="H606" s="7">
        <v>3.38</v>
      </c>
      <c r="I606" s="7">
        <f>H606+H601-2*$A$24</f>
        <v>7.3999999999999995</v>
      </c>
      <c r="J606" s="7">
        <v>3.56</v>
      </c>
      <c r="K606" s="7">
        <v>5.86</v>
      </c>
      <c r="L606" s="6">
        <f t="shared" si="57"/>
        <v>0.34054054054054056</v>
      </c>
      <c r="M606" s="6">
        <f t="shared" si="58"/>
        <v>0.56216216216216219</v>
      </c>
      <c r="N606" s="6">
        <f t="shared" si="59"/>
        <v>9.7297297297297192E-2</v>
      </c>
      <c r="O606" s="4">
        <f t="shared" si="60"/>
        <v>1903.0496467621617</v>
      </c>
      <c r="P606" s="4">
        <f t="shared" si="61"/>
        <v>3141.5422740200765</v>
      </c>
      <c r="Q606" s="4">
        <f t="shared" si="62"/>
        <v>5044.591920782238</v>
      </c>
      <c r="V606" s="3"/>
      <c r="W606" s="3"/>
      <c r="Y606" s="7"/>
      <c r="Z606" s="7"/>
      <c r="AA606" s="7"/>
      <c r="AB606" s="7"/>
      <c r="AC606" s="9"/>
      <c r="AD606" s="9"/>
      <c r="AE606" s="9"/>
      <c r="AF606" s="3"/>
      <c r="AG606" s="3"/>
      <c r="AH606" s="3"/>
      <c r="AJ606" t="s">
        <v>1007</v>
      </c>
      <c r="AK606" t="s">
        <v>682</v>
      </c>
      <c r="AL606" s="11">
        <f>D597</f>
        <v>40830</v>
      </c>
      <c r="AM606" s="3">
        <f>SUM(E597,E610)</f>
        <v>71.100000000000009</v>
      </c>
      <c r="AN606" s="3">
        <f>(AM606-4*$A$20)*$A$21/(2*$A$22)*$A$23</f>
        <v>5148.8415525670507</v>
      </c>
      <c r="AO606" s="11">
        <f>G597</f>
        <v>40204</v>
      </c>
      <c r="AP606" s="7">
        <f>SUM(H597,H610)</f>
        <v>9.24</v>
      </c>
      <c r="AQ606" s="7">
        <f>SUM(I597,I610)</f>
        <v>17.84</v>
      </c>
      <c r="AR606" s="7">
        <f>SUM(J597,J610)</f>
        <v>8.1199999999999992</v>
      </c>
      <c r="AS606" s="7">
        <f>SUM(K597,K610)</f>
        <v>13.24</v>
      </c>
      <c r="AT606" s="9">
        <f>(AR606-2*$A$25)/AQ606</f>
        <v>0.33856502242152464</v>
      </c>
      <c r="AU606" s="9">
        <f>(AS606-2*$A$26)/AQ606</f>
        <v>0.55156950672645744</v>
      </c>
      <c r="AV606" s="9">
        <f>1-AT606-AU606</f>
        <v>0.10986547085201792</v>
      </c>
      <c r="AW606" s="3">
        <f>AN606*AT606</f>
        <v>1743.2176556897414</v>
      </c>
      <c r="AX606" s="3">
        <f>AN606*AU606</f>
        <v>2839.9439953620954</v>
      </c>
      <c r="AY606" s="3">
        <f>AW606+AX606</f>
        <v>4583.161651051837</v>
      </c>
    </row>
    <row r="607" spans="1:51" x14ac:dyDescent="0.25">
      <c r="A607">
        <v>574</v>
      </c>
      <c r="B607" s="1" t="s">
        <v>615</v>
      </c>
      <c r="C607" s="1" t="s">
        <v>682</v>
      </c>
      <c r="D607" s="2">
        <v>40830</v>
      </c>
      <c r="E607" s="3">
        <v>36.700000000000003</v>
      </c>
      <c r="F607" s="4">
        <f t="shared" si="56"/>
        <v>5326.1751190675632</v>
      </c>
      <c r="G607" s="2">
        <v>40204</v>
      </c>
      <c r="H607" s="7">
        <v>4.76</v>
      </c>
      <c r="I607" s="7">
        <f>H607+H600-2*$A$24</f>
        <v>7.9399999999999995</v>
      </c>
      <c r="J607" s="7">
        <v>3.7</v>
      </c>
      <c r="K607" s="7">
        <v>6.08</v>
      </c>
      <c r="L607" s="6">
        <f t="shared" si="57"/>
        <v>0.33501259445843834</v>
      </c>
      <c r="M607" s="6">
        <f t="shared" si="58"/>
        <v>0.55163727959697739</v>
      </c>
      <c r="N607" s="6">
        <f t="shared" si="59"/>
        <v>0.11335012594458427</v>
      </c>
      <c r="O607" s="4">
        <f t="shared" si="60"/>
        <v>1784.3357451788061</v>
      </c>
      <c r="P607" s="4">
        <f t="shared" si="61"/>
        <v>2938.1167533395378</v>
      </c>
      <c r="Q607" s="4">
        <f t="shared" si="62"/>
        <v>4722.4524985183434</v>
      </c>
      <c r="V607" s="3"/>
      <c r="W607" s="3"/>
      <c r="Y607" s="7"/>
      <c r="Z607" s="7"/>
      <c r="AA607" s="7"/>
      <c r="AB607" s="7"/>
      <c r="AC607" s="9"/>
      <c r="AD607" s="9"/>
      <c r="AE607" s="9"/>
      <c r="AF607" s="3"/>
      <c r="AG607" s="3"/>
      <c r="AH607" s="3"/>
      <c r="AL607" s="11"/>
      <c r="AM607" s="3"/>
      <c r="AN607" s="3"/>
      <c r="AO607" s="11"/>
      <c r="AP607" s="7"/>
      <c r="AQ607" s="7"/>
      <c r="AR607" s="7"/>
      <c r="AS607" s="7"/>
      <c r="AT607" s="9"/>
      <c r="AU607" s="9"/>
      <c r="AV607" s="9"/>
      <c r="AW607" s="3"/>
      <c r="AX607" s="3"/>
      <c r="AY607" s="3"/>
    </row>
    <row r="608" spans="1:51" x14ac:dyDescent="0.25">
      <c r="A608">
        <v>575</v>
      </c>
      <c r="B608" s="1" t="s">
        <v>616</v>
      </c>
      <c r="C608" s="1" t="s">
        <v>682</v>
      </c>
      <c r="D608" s="2">
        <v>40830</v>
      </c>
      <c r="E608" s="3">
        <v>36.200000000000003</v>
      </c>
      <c r="F608" s="4">
        <f t="shared" si="56"/>
        <v>5249.0735684151668</v>
      </c>
      <c r="G608" s="2">
        <v>40204</v>
      </c>
      <c r="H608" s="7">
        <v>3.98</v>
      </c>
      <c r="I608" s="7">
        <f>H608+H599-2*$A$24</f>
        <v>7.24</v>
      </c>
      <c r="J608" s="7">
        <v>3.48</v>
      </c>
      <c r="K608" s="7">
        <v>5.76</v>
      </c>
      <c r="L608" s="6">
        <f t="shared" si="57"/>
        <v>0.33701657458563533</v>
      </c>
      <c r="M608" s="6">
        <f t="shared" si="58"/>
        <v>0.56077348066298338</v>
      </c>
      <c r="N608" s="6">
        <f t="shared" si="59"/>
        <v>0.10220994475138134</v>
      </c>
      <c r="O608" s="4">
        <f t="shared" si="60"/>
        <v>1769.024793775277</v>
      </c>
      <c r="P608" s="4">
        <f t="shared" si="61"/>
        <v>2943.5412552162397</v>
      </c>
      <c r="Q608" s="4">
        <f t="shared" si="62"/>
        <v>4712.5660489915172</v>
      </c>
      <c r="V608" s="3"/>
      <c r="W608" s="3"/>
      <c r="Y608" s="7"/>
      <c r="Z608" s="7"/>
      <c r="AA608" s="7"/>
      <c r="AB608" s="7"/>
      <c r="AC608" s="9"/>
      <c r="AD608" s="9"/>
      <c r="AE608" s="9"/>
      <c r="AF608" s="3"/>
      <c r="AG608" s="3"/>
      <c r="AH608" s="3"/>
      <c r="AJ608" t="s">
        <v>1008</v>
      </c>
      <c r="AK608" t="s">
        <v>682</v>
      </c>
      <c r="AL608" s="11">
        <f>D596</f>
        <v>40830</v>
      </c>
      <c r="AM608" s="3">
        <f>SUM(E596,E611)</f>
        <v>76.2</v>
      </c>
      <c r="AN608" s="3">
        <f>(AM608-4*$A$20)*$A$21/(2*$A$22)*$A$23</f>
        <v>5542.0594608942729</v>
      </c>
      <c r="AO608" s="11">
        <f>G596</f>
        <v>40204</v>
      </c>
      <c r="AP608" s="7">
        <f>SUM(H596,H611)</f>
        <v>7.98</v>
      </c>
      <c r="AQ608" s="7">
        <f>SUM(I596,I611)</f>
        <v>15.32</v>
      </c>
      <c r="AR608" s="7">
        <f>SUM(J596,J611)</f>
        <v>7.32</v>
      </c>
      <c r="AS608" s="7">
        <f>SUM(K596,K611)</f>
        <v>12.04</v>
      </c>
      <c r="AT608" s="9">
        <f>(AR608-2*$A$25)/AQ608</f>
        <v>0.34203655352480417</v>
      </c>
      <c r="AU608" s="9">
        <f>(AS608-2*$A$26)/AQ608</f>
        <v>0.56396866840731064</v>
      </c>
      <c r="AV608" s="9">
        <f>1-AT608-AU608</f>
        <v>9.3994778067885143E-2</v>
      </c>
      <c r="AW608" s="3">
        <f>AN608*AT608</f>
        <v>1895.5869174338113</v>
      </c>
      <c r="AX608" s="3">
        <f>AN608*AU608</f>
        <v>3125.547894394681</v>
      </c>
      <c r="AY608" s="3">
        <f>AW608+AX608</f>
        <v>5021.1348118284923</v>
      </c>
    </row>
    <row r="609" spans="1:51" x14ac:dyDescent="0.25">
      <c r="A609">
        <v>576</v>
      </c>
      <c r="B609" s="1" t="s">
        <v>617</v>
      </c>
      <c r="C609" s="1" t="s">
        <v>682</v>
      </c>
      <c r="D609" s="2">
        <v>40830</v>
      </c>
      <c r="E609" s="3">
        <v>35.9</v>
      </c>
      <c r="F609" s="4">
        <f t="shared" si="56"/>
        <v>5202.8126380237272</v>
      </c>
      <c r="G609" s="2">
        <v>40204</v>
      </c>
      <c r="H609" s="7">
        <v>3.82</v>
      </c>
      <c r="I609" s="7">
        <f>H609+H598-2*$A$24</f>
        <v>7.08</v>
      </c>
      <c r="J609" s="7">
        <v>3.44</v>
      </c>
      <c r="K609" s="7">
        <v>5.6</v>
      </c>
      <c r="L609" s="6">
        <f t="shared" si="57"/>
        <v>0.33898305084745761</v>
      </c>
      <c r="M609" s="6">
        <f t="shared" si="58"/>
        <v>0.55084745762711851</v>
      </c>
      <c r="N609" s="6">
        <f t="shared" si="59"/>
        <v>0.11016949152542388</v>
      </c>
      <c r="O609" s="4">
        <f t="shared" si="60"/>
        <v>1763.6653010249922</v>
      </c>
      <c r="P609" s="4">
        <f t="shared" si="61"/>
        <v>2865.9561141656118</v>
      </c>
      <c r="Q609" s="4">
        <f t="shared" si="62"/>
        <v>4629.6214151906042</v>
      </c>
      <c r="V609" s="3"/>
      <c r="W609" s="3"/>
      <c r="Y609" s="7"/>
      <c r="Z609" s="7"/>
      <c r="AA609" s="7"/>
      <c r="AB609" s="7"/>
      <c r="AC609" s="9"/>
      <c r="AD609" s="9"/>
      <c r="AE609" s="9"/>
      <c r="AF609" s="3"/>
      <c r="AG609" s="3"/>
      <c r="AH609" s="3"/>
      <c r="AL609" s="11"/>
      <c r="AM609" s="3"/>
      <c r="AN609" s="3"/>
      <c r="AO609" s="11"/>
      <c r="AP609" s="7"/>
      <c r="AQ609" s="7"/>
      <c r="AR609" s="7"/>
      <c r="AS609" s="7"/>
      <c r="AT609" s="9"/>
      <c r="AU609" s="9"/>
      <c r="AV609" s="9"/>
      <c r="AW609" s="3"/>
      <c r="AX609" s="3"/>
      <c r="AY609" s="3"/>
    </row>
    <row r="610" spans="1:51" x14ac:dyDescent="0.25">
      <c r="A610">
        <v>577</v>
      </c>
      <c r="B610" s="1" t="s">
        <v>618</v>
      </c>
      <c r="C610" s="1" t="s">
        <v>682</v>
      </c>
      <c r="D610" s="2">
        <v>40830</v>
      </c>
      <c r="E610" s="3">
        <v>36.400000000000006</v>
      </c>
      <c r="F610" s="4">
        <f t="shared" si="56"/>
        <v>5279.9141886761254</v>
      </c>
      <c r="G610" s="2">
        <v>40204</v>
      </c>
      <c r="H610" s="7">
        <v>4.16</v>
      </c>
      <c r="I610" s="7">
        <f>H610+H597-2*$A$24</f>
        <v>8.92</v>
      </c>
      <c r="J610" s="7">
        <v>4.0599999999999996</v>
      </c>
      <c r="K610" s="7">
        <v>6.62</v>
      </c>
      <c r="L610" s="6">
        <f t="shared" si="57"/>
        <v>0.33856502242152464</v>
      </c>
      <c r="M610" s="6">
        <f t="shared" si="58"/>
        <v>0.55156950672645744</v>
      </c>
      <c r="N610" s="6">
        <f t="shared" si="59"/>
        <v>0.10986547085201792</v>
      </c>
      <c r="O610" s="4">
        <f t="shared" si="60"/>
        <v>1787.5942656728585</v>
      </c>
      <c r="P610" s="4">
        <f t="shared" si="61"/>
        <v>2912.2396646061143</v>
      </c>
      <c r="Q610" s="4">
        <f t="shared" si="62"/>
        <v>4699.8339302789727</v>
      </c>
      <c r="V610" s="3"/>
      <c r="W610" s="3"/>
      <c r="Y610" s="7"/>
      <c r="Z610" s="7"/>
      <c r="AA610" s="7"/>
      <c r="AB610" s="7"/>
      <c r="AC610" s="9"/>
      <c r="AD610" s="9"/>
      <c r="AE610" s="9"/>
      <c r="AF610" s="3"/>
      <c r="AG610" s="3"/>
      <c r="AH610" s="3"/>
      <c r="AJ610" t="s">
        <v>1009</v>
      </c>
      <c r="AK610" t="s">
        <v>682</v>
      </c>
      <c r="AL610" s="11">
        <f>D595</f>
        <v>40830</v>
      </c>
      <c r="AM610" s="3">
        <f>SUM(E595,E612)</f>
        <v>82.3</v>
      </c>
      <c r="AN610" s="3">
        <f>(AM610-4*$A$20)*$A$21/(2*$A$22)*$A$23</f>
        <v>6012.3789198738923</v>
      </c>
      <c r="AO610" s="11">
        <f>G595</f>
        <v>40204</v>
      </c>
      <c r="AP610" s="7">
        <f>SUM(H595,H612)</f>
        <v>6.12</v>
      </c>
      <c r="AQ610" s="7">
        <f>SUM(I595,I612)</f>
        <v>11.6</v>
      </c>
      <c r="AR610" s="7">
        <f>SUM(J595,J612)</f>
        <v>5.88</v>
      </c>
      <c r="AS610" s="7">
        <f>SUM(K595,K612)</f>
        <v>9.84</v>
      </c>
      <c r="AT610" s="9">
        <f>(AR610-2*$A$25)/AQ610</f>
        <v>0.32758620689655171</v>
      </c>
      <c r="AU610" s="9">
        <f>(AS610-2*$A$26)/AQ610</f>
        <v>0.55517241379310345</v>
      </c>
      <c r="AV610" s="9">
        <f>1-AT610-AU610</f>
        <v>0.11724137931034484</v>
      </c>
      <c r="AW610" s="3">
        <f>AN610*AT610</f>
        <v>1969.572404786275</v>
      </c>
      <c r="AX610" s="3">
        <f>AN610*AU610</f>
        <v>3337.906917585161</v>
      </c>
      <c r="AY610" s="3">
        <f>AW610+AX610</f>
        <v>5307.479322371436</v>
      </c>
    </row>
    <row r="611" spans="1:51" x14ac:dyDescent="0.25">
      <c r="A611">
        <v>578</v>
      </c>
      <c r="B611" s="1" t="s">
        <v>619</v>
      </c>
      <c r="C611" s="1" t="s">
        <v>682</v>
      </c>
      <c r="D611" s="2">
        <v>40830</v>
      </c>
      <c r="E611" s="3">
        <v>38.700000000000003</v>
      </c>
      <c r="F611" s="4">
        <f t="shared" ref="F611:F673" si="63">(E611-2*$A$20)*$A$21/$A$22*$A$23</f>
        <v>5634.5813216771503</v>
      </c>
      <c r="G611" s="2">
        <v>40204</v>
      </c>
      <c r="H611" s="7">
        <v>3.74</v>
      </c>
      <c r="I611" s="7">
        <f>H611+H596-2*$A$24</f>
        <v>7.66</v>
      </c>
      <c r="J611" s="7">
        <v>3.66</v>
      </c>
      <c r="K611" s="7">
        <v>6.02</v>
      </c>
      <c r="L611" s="6">
        <f t="shared" ref="L611:L673" si="64">(J611-$A$25)/I611</f>
        <v>0.34203655352480417</v>
      </c>
      <c r="M611" s="6">
        <f t="shared" ref="M611:M673" si="65">(K611-$A$26)/I611</f>
        <v>0.56396866840731064</v>
      </c>
      <c r="N611" s="6">
        <f t="shared" ref="N611:N673" si="66">1-L611-M611</f>
        <v>9.3994778067885143E-2</v>
      </c>
      <c r="O611" s="4">
        <f t="shared" ref="O611:O673" si="67">F611*L611</f>
        <v>1927.2327758216884</v>
      </c>
      <c r="P611" s="4">
        <f t="shared" ref="P611:P673" si="68">F611*M611</f>
        <v>3177.7273250189669</v>
      </c>
      <c r="Q611" s="4">
        <f t="shared" ref="Q611:Q673" si="69">O611+P611</f>
        <v>5104.9601008406553</v>
      </c>
      <c r="V611" s="3"/>
      <c r="W611" s="3"/>
      <c r="Y611" s="7"/>
      <c r="Z611" s="7"/>
      <c r="AA611" s="7"/>
      <c r="AB611" s="7"/>
      <c r="AC611" s="9"/>
      <c r="AD611" s="9"/>
      <c r="AE611" s="9"/>
      <c r="AF611" s="3"/>
      <c r="AG611" s="3"/>
      <c r="AH611" s="3"/>
      <c r="AL611" s="11"/>
      <c r="AM611" s="3"/>
      <c r="AN611" s="3"/>
      <c r="AO611" s="11"/>
      <c r="AP611" s="7"/>
      <c r="AQ611" s="7"/>
      <c r="AR611" s="7"/>
      <c r="AS611" s="7"/>
      <c r="AT611" s="9"/>
      <c r="AU611" s="9"/>
      <c r="AV611" s="9"/>
      <c r="AW611" s="3"/>
      <c r="AX611" s="3"/>
      <c r="AY611" s="3"/>
    </row>
    <row r="612" spans="1:51" x14ac:dyDescent="0.25">
      <c r="A612">
        <v>579</v>
      </c>
      <c r="B612" s="1" t="s">
        <v>620</v>
      </c>
      <c r="C612" s="1" t="s">
        <v>682</v>
      </c>
      <c r="D612" s="2">
        <v>40830</v>
      </c>
      <c r="E612" s="3">
        <v>43.4</v>
      </c>
      <c r="F612" s="4">
        <f t="shared" si="63"/>
        <v>6359.3358978096785</v>
      </c>
      <c r="G612" s="2">
        <v>40204</v>
      </c>
      <c r="H612" s="7">
        <v>4.38</v>
      </c>
      <c r="I612" s="7">
        <f>H612+H595-2*$A$24</f>
        <v>5.8</v>
      </c>
      <c r="J612" s="7">
        <v>2.94</v>
      </c>
      <c r="K612" s="7">
        <v>4.92</v>
      </c>
      <c r="L612" s="6">
        <f t="shared" si="64"/>
        <v>0.32758620689655171</v>
      </c>
      <c r="M612" s="6">
        <f t="shared" si="65"/>
        <v>0.55517241379310345</v>
      </c>
      <c r="N612" s="6">
        <f t="shared" si="66"/>
        <v>0.11724137931034484</v>
      </c>
      <c r="O612" s="4">
        <f t="shared" si="67"/>
        <v>2083.23072514455</v>
      </c>
      <c r="P612" s="4">
        <f t="shared" si="68"/>
        <v>3530.5278605081317</v>
      </c>
      <c r="Q612" s="4">
        <f t="shared" si="69"/>
        <v>5613.7585856526821</v>
      </c>
      <c r="V612" s="3"/>
      <c r="W612" s="3"/>
      <c r="Y612" s="7"/>
      <c r="Z612" s="7"/>
      <c r="AA612" s="7"/>
      <c r="AB612" s="7"/>
      <c r="AC612" s="9"/>
      <c r="AD612" s="9"/>
      <c r="AE612" s="9"/>
      <c r="AF612" s="3"/>
      <c r="AG612" s="3"/>
      <c r="AH612" s="3"/>
      <c r="AJ612" t="s">
        <v>1010</v>
      </c>
      <c r="AK612" t="s">
        <v>682</v>
      </c>
      <c r="AL612" s="11">
        <f>D594</f>
        <v>40830</v>
      </c>
      <c r="AM612" s="3">
        <f>SUM(E594,E613)</f>
        <v>78.899999999999991</v>
      </c>
      <c r="AN612" s="3">
        <f>(AM612-4*$A$20)*$A$21/(2*$A$22)*$A$23</f>
        <v>5750.2336476557439</v>
      </c>
      <c r="AO612" s="11">
        <f>G594</f>
        <v>40204</v>
      </c>
      <c r="AP612" s="7">
        <f>SUM(H594,H613)</f>
        <v>7.9799999999999995</v>
      </c>
      <c r="AQ612" s="7">
        <f>SUM(I594,I613)</f>
        <v>15.319999999999999</v>
      </c>
      <c r="AR612" s="7">
        <f>SUM(J594,J613)</f>
        <v>7.32</v>
      </c>
      <c r="AS612" s="7">
        <f>SUM(K594,K613)</f>
        <v>12.04</v>
      </c>
      <c r="AT612" s="9">
        <f>(AR612-2*$A$25)/AQ612</f>
        <v>0.34203655352480422</v>
      </c>
      <c r="AU612" s="9">
        <f>(AS612-2*$A$26)/AQ612</f>
        <v>0.56396866840731064</v>
      </c>
      <c r="AV612" s="9">
        <f>1-AT612-AU612</f>
        <v>9.3994778067885143E-2</v>
      </c>
      <c r="AW612" s="3">
        <f>AN612*AT612</f>
        <v>1966.7900988065342</v>
      </c>
      <c r="AX612" s="3">
        <f>AN612*AU612</f>
        <v>3242.9516132993226</v>
      </c>
      <c r="AY612" s="3">
        <f>AW612+AX612</f>
        <v>5209.741712105857</v>
      </c>
    </row>
    <row r="613" spans="1:51" x14ac:dyDescent="0.25">
      <c r="A613">
        <v>580</v>
      </c>
      <c r="B613" s="1" t="s">
        <v>621</v>
      </c>
      <c r="C613" s="1" t="s">
        <v>682</v>
      </c>
      <c r="D613" s="2">
        <v>40830</v>
      </c>
      <c r="E613" s="3">
        <v>41.3</v>
      </c>
      <c r="F613" s="4">
        <f t="shared" si="63"/>
        <v>6035.509385069613</v>
      </c>
      <c r="G613" s="2">
        <v>40204</v>
      </c>
      <c r="H613" s="7">
        <v>4.0599999999999996</v>
      </c>
      <c r="I613" s="7">
        <f>H613+H594-2*$A$24</f>
        <v>7.6599999999999993</v>
      </c>
      <c r="J613" s="7">
        <v>3.66</v>
      </c>
      <c r="K613" s="7">
        <v>6.02</v>
      </c>
      <c r="L613" s="6">
        <f t="shared" si="64"/>
        <v>0.34203655352480422</v>
      </c>
      <c r="M613" s="6">
        <f t="shared" si="65"/>
        <v>0.56396866840731064</v>
      </c>
      <c r="N613" s="6">
        <f t="shared" si="66"/>
        <v>9.3994778067885143E-2</v>
      </c>
      <c r="O613" s="4">
        <f t="shared" si="67"/>
        <v>2064.3648288358208</v>
      </c>
      <c r="P613" s="4">
        <f t="shared" si="68"/>
        <v>3403.8381910575358</v>
      </c>
      <c r="Q613" s="4">
        <f t="shared" si="69"/>
        <v>5468.2030198933571</v>
      </c>
      <c r="V613" s="3"/>
      <c r="W613" s="3"/>
      <c r="Y613" s="7"/>
      <c r="Z613" s="7"/>
      <c r="AA613" s="7"/>
      <c r="AB613" s="7"/>
      <c r="AC613" s="9"/>
      <c r="AD613" s="9"/>
      <c r="AE613" s="9"/>
      <c r="AF613" s="3"/>
      <c r="AG613" s="3"/>
      <c r="AH613" s="3"/>
      <c r="AL613" s="11"/>
      <c r="AM613" s="3"/>
      <c r="AN613" s="3"/>
      <c r="AO613" s="11"/>
      <c r="AP613" s="7"/>
      <c r="AQ613" s="7"/>
      <c r="AR613" s="7"/>
      <c r="AS613" s="7"/>
      <c r="AT613" s="9"/>
      <c r="AU613" s="9"/>
      <c r="AV613" s="9"/>
      <c r="AW613" s="3"/>
      <c r="AX613" s="3"/>
      <c r="AY613" s="3"/>
    </row>
    <row r="614" spans="1:51" x14ac:dyDescent="0.25">
      <c r="A614">
        <v>581</v>
      </c>
      <c r="B614" s="1" t="s">
        <v>622</v>
      </c>
      <c r="C614" s="1" t="s">
        <v>682</v>
      </c>
      <c r="D614" s="2">
        <v>40830</v>
      </c>
      <c r="E614" s="3">
        <v>35.1</v>
      </c>
      <c r="F614" s="4">
        <f t="shared" si="63"/>
        <v>5079.4501569798931</v>
      </c>
      <c r="G614" s="2">
        <v>40204</v>
      </c>
      <c r="H614" s="7">
        <v>3.76</v>
      </c>
      <c r="I614" s="7">
        <f>H614+H633-2*$A$24</f>
        <v>7.42</v>
      </c>
      <c r="J614" s="7">
        <v>3.5</v>
      </c>
      <c r="K614" s="7">
        <v>5.88</v>
      </c>
      <c r="L614" s="6">
        <f t="shared" si="64"/>
        <v>0.33153638814016173</v>
      </c>
      <c r="M614" s="6">
        <f t="shared" si="65"/>
        <v>0.56334231805929913</v>
      </c>
      <c r="N614" s="6">
        <f t="shared" si="66"/>
        <v>0.10512129380053914</v>
      </c>
      <c r="O614" s="4">
        <f t="shared" si="67"/>
        <v>1684.0225587830912</v>
      </c>
      <c r="P614" s="4">
        <f t="shared" si="68"/>
        <v>2861.4692258997238</v>
      </c>
      <c r="Q614" s="4">
        <f t="shared" si="69"/>
        <v>4545.4917846828148</v>
      </c>
      <c r="V614" s="3"/>
      <c r="W614" s="3"/>
      <c r="Y614" s="7"/>
      <c r="Z614" s="7"/>
      <c r="AA614" s="7"/>
      <c r="AB614" s="7"/>
      <c r="AC614" s="9"/>
      <c r="AD614" s="9"/>
      <c r="AE614" s="9"/>
      <c r="AF614" s="3"/>
      <c r="AG614" s="3"/>
      <c r="AH614" s="3"/>
      <c r="AJ614" t="s">
        <v>1011</v>
      </c>
      <c r="AK614" t="s">
        <v>682</v>
      </c>
      <c r="AL614" s="11">
        <f>D623</f>
        <v>40830</v>
      </c>
      <c r="AM614" s="3">
        <f>SUM(E623,E624)</f>
        <v>69.400000000000006</v>
      </c>
      <c r="AN614" s="3">
        <f>(AM614-4*$A$20)*$A$21/(2*$A$22)*$A$23</f>
        <v>5017.7689164579779</v>
      </c>
      <c r="AO614" s="11">
        <f>G623</f>
        <v>40204</v>
      </c>
      <c r="AP614" s="7">
        <f>SUM(H623,H624)</f>
        <v>7.66</v>
      </c>
      <c r="AQ614" s="7">
        <f>SUM(I623,I624)</f>
        <v>14.68</v>
      </c>
      <c r="AR614" s="7">
        <f>SUM(J623,J624)</f>
        <v>6.92</v>
      </c>
      <c r="AS614" s="7">
        <f>SUM(K623,K624)</f>
        <v>11.68</v>
      </c>
      <c r="AT614" s="9">
        <f>(AR614-2*$A$25)/AQ614</f>
        <v>0.32970027247956402</v>
      </c>
      <c r="AU614" s="9">
        <f>(AS614-2*$A$26)/AQ614</f>
        <v>0.56403269754768393</v>
      </c>
      <c r="AV614" s="9">
        <f>1-AT614-AU614</f>
        <v>0.10626702997275206</v>
      </c>
      <c r="AW614" s="3">
        <f>AN614*AT614</f>
        <v>1654.3597789956821</v>
      </c>
      <c r="AX614" s="3">
        <f>AN614*AU614</f>
        <v>2830.1857376207122</v>
      </c>
      <c r="AY614" s="3">
        <f>AW614+AX614</f>
        <v>4484.5455166163938</v>
      </c>
    </row>
    <row r="615" spans="1:51" x14ac:dyDescent="0.25">
      <c r="A615">
        <v>582</v>
      </c>
      <c r="B615" s="1" t="s">
        <v>623</v>
      </c>
      <c r="C615" s="1" t="s">
        <v>682</v>
      </c>
      <c r="D615" s="2">
        <v>40830</v>
      </c>
      <c r="E615" s="3">
        <v>40</v>
      </c>
      <c r="F615" s="4">
        <f t="shared" si="63"/>
        <v>5835.0453533733817</v>
      </c>
      <c r="G615" s="2">
        <v>40204</v>
      </c>
      <c r="H615" s="7">
        <v>3.36</v>
      </c>
      <c r="I615" s="7">
        <f>H615+H632-2*$A$24</f>
        <v>7.66</v>
      </c>
      <c r="J615" s="7">
        <v>3.62</v>
      </c>
      <c r="K615" s="7">
        <v>5.98</v>
      </c>
      <c r="L615" s="6">
        <f t="shared" si="64"/>
        <v>0.33681462140992169</v>
      </c>
      <c r="M615" s="6">
        <f t="shared" si="65"/>
        <v>0.55874673629242821</v>
      </c>
      <c r="N615" s="6">
        <f t="shared" si="66"/>
        <v>0.1044386422976501</v>
      </c>
      <c r="O615" s="4">
        <f t="shared" si="67"/>
        <v>1965.3285916061782</v>
      </c>
      <c r="P615" s="4">
        <f t="shared" si="68"/>
        <v>3260.3125473156756</v>
      </c>
      <c r="Q615" s="4">
        <f t="shared" si="69"/>
        <v>5225.6411389218538</v>
      </c>
      <c r="V615" s="3"/>
      <c r="W615" s="3"/>
      <c r="Y615" s="7"/>
      <c r="Z615" s="7"/>
      <c r="AA615" s="7"/>
      <c r="AB615" s="7"/>
      <c r="AC615" s="9"/>
      <c r="AD615" s="9"/>
      <c r="AE615" s="9"/>
      <c r="AF615" s="3"/>
      <c r="AG615" s="3"/>
      <c r="AH615" s="3"/>
      <c r="AL615" s="11"/>
      <c r="AM615" s="3"/>
      <c r="AN615" s="3"/>
      <c r="AO615" s="11"/>
      <c r="AP615" s="7"/>
      <c r="AQ615" s="7"/>
      <c r="AR615" s="7"/>
      <c r="AS615" s="7"/>
      <c r="AT615" s="9"/>
      <c r="AU615" s="9"/>
      <c r="AV615" s="9"/>
      <c r="AW615" s="3"/>
      <c r="AX615" s="3"/>
      <c r="AY615" s="3"/>
    </row>
    <row r="616" spans="1:51" x14ac:dyDescent="0.25">
      <c r="A616">
        <v>583</v>
      </c>
      <c r="B616" s="1" t="s">
        <v>624</v>
      </c>
      <c r="C616" s="1" t="s">
        <v>682</v>
      </c>
      <c r="D616" s="2">
        <v>40830</v>
      </c>
      <c r="E616" s="3">
        <v>34.9</v>
      </c>
      <c r="F616" s="4">
        <f t="shared" si="63"/>
        <v>5048.6095367189346</v>
      </c>
      <c r="G616" s="2">
        <v>40204</v>
      </c>
      <c r="H616" s="7">
        <v>3.42</v>
      </c>
      <c r="I616" s="7">
        <f>H616+H631-2*$A$24</f>
        <v>7.3199999999999994</v>
      </c>
      <c r="J616" s="7">
        <v>3.48</v>
      </c>
      <c r="K616" s="7">
        <v>5.74</v>
      </c>
      <c r="L616" s="6">
        <f t="shared" si="64"/>
        <v>0.33333333333333337</v>
      </c>
      <c r="M616" s="6">
        <f t="shared" si="65"/>
        <v>0.55191256830601099</v>
      </c>
      <c r="N616" s="6">
        <f t="shared" si="66"/>
        <v>0.11475409836065564</v>
      </c>
      <c r="O616" s="4">
        <f t="shared" si="67"/>
        <v>1682.8698455729784</v>
      </c>
      <c r="P616" s="4">
        <f t="shared" si="68"/>
        <v>2786.3910557847676</v>
      </c>
      <c r="Q616" s="4">
        <f t="shared" si="69"/>
        <v>4469.2609013577458</v>
      </c>
      <c r="V616" s="3"/>
      <c r="W616" s="3"/>
      <c r="Y616" s="7"/>
      <c r="Z616" s="7"/>
      <c r="AA616" s="7"/>
      <c r="AB616" s="7"/>
      <c r="AC616" s="9"/>
      <c r="AD616" s="9"/>
      <c r="AE616" s="9"/>
      <c r="AF616" s="3"/>
      <c r="AG616" s="3"/>
      <c r="AH616" s="3"/>
      <c r="AJ616" t="s">
        <v>1012</v>
      </c>
      <c r="AK616" t="s">
        <v>682</v>
      </c>
      <c r="AL616" s="11">
        <f>D622</f>
        <v>40830</v>
      </c>
      <c r="AM616" s="3">
        <f>SUM(E622,E625)</f>
        <v>60.6</v>
      </c>
      <c r="AN616" s="3">
        <f>(AM616-4*$A$20)*$A$21/(2*$A$22)*$A$23</f>
        <v>4339.2752707168856</v>
      </c>
      <c r="AO616" s="11">
        <f>G622</f>
        <v>40204</v>
      </c>
      <c r="AP616" s="7">
        <f>SUM(H622,H625)</f>
        <v>6.36</v>
      </c>
      <c r="AQ616" s="7">
        <f>SUM(I622,I625)</f>
        <v>12.08</v>
      </c>
      <c r="AR616" s="7">
        <f>SUM(J622,J625)</f>
        <v>6.12</v>
      </c>
      <c r="AS616" s="7">
        <f>SUM(K622,K625)</f>
        <v>10.199999999999999</v>
      </c>
      <c r="AT616" s="9">
        <f>(AR616-2*$A$25)/AQ616</f>
        <v>0.33443708609271522</v>
      </c>
      <c r="AU616" s="9">
        <f>(AS616-2*$A$26)/AQ616</f>
        <v>0.56291390728476809</v>
      </c>
      <c r="AV616" s="9">
        <f>1-AT616-AU616</f>
        <v>0.10264900662251664</v>
      </c>
      <c r="AW616" s="3">
        <f>AN616*AT616</f>
        <v>1451.2145772927331</v>
      </c>
      <c r="AX616" s="3">
        <f>AN616*AU616</f>
        <v>2442.6383974234118</v>
      </c>
      <c r="AY616" s="3">
        <f>AW616+AX616</f>
        <v>3893.8529747161447</v>
      </c>
    </row>
    <row r="617" spans="1:51" x14ac:dyDescent="0.25">
      <c r="A617">
        <v>584</v>
      </c>
      <c r="B617" s="1" t="s">
        <v>625</v>
      </c>
      <c r="C617" s="1" t="s">
        <v>682</v>
      </c>
      <c r="D617" s="2">
        <v>40830</v>
      </c>
      <c r="E617" s="3">
        <v>37.700000000000003</v>
      </c>
      <c r="F617" s="4">
        <f t="shared" si="63"/>
        <v>5480.3782203723576</v>
      </c>
      <c r="G617" s="2">
        <v>40204</v>
      </c>
      <c r="H617" s="7">
        <v>4.26</v>
      </c>
      <c r="I617" s="7">
        <f>H617+H630-2*$A$24</f>
        <v>8.3999999999999986</v>
      </c>
      <c r="J617" s="7">
        <v>3.84</v>
      </c>
      <c r="K617" s="7">
        <v>6.42</v>
      </c>
      <c r="L617" s="6">
        <f t="shared" si="64"/>
        <v>0.33333333333333337</v>
      </c>
      <c r="M617" s="6">
        <f t="shared" si="65"/>
        <v>0.56190476190476202</v>
      </c>
      <c r="N617" s="6">
        <f t="shared" si="66"/>
        <v>0.10476190476190461</v>
      </c>
      <c r="O617" s="4">
        <f t="shared" si="67"/>
        <v>1826.7927401241195</v>
      </c>
      <c r="P617" s="4">
        <f t="shared" si="68"/>
        <v>3079.4506190663728</v>
      </c>
      <c r="Q617" s="4">
        <f t="shared" si="69"/>
        <v>4906.2433591904919</v>
      </c>
      <c r="V617" s="3"/>
      <c r="W617" s="3"/>
      <c r="Y617" s="7"/>
      <c r="Z617" s="7"/>
      <c r="AA617" s="7"/>
      <c r="AB617" s="7"/>
      <c r="AC617" s="9"/>
      <c r="AD617" s="9"/>
      <c r="AE617" s="9"/>
      <c r="AF617" s="3"/>
      <c r="AG617" s="3"/>
      <c r="AH617" s="3"/>
      <c r="AL617" s="11"/>
      <c r="AM617" s="3"/>
      <c r="AN617" s="3"/>
      <c r="AO617" s="11"/>
      <c r="AP617" s="7"/>
      <c r="AQ617" s="7"/>
      <c r="AR617" s="7"/>
      <c r="AS617" s="7"/>
      <c r="AT617" s="9"/>
      <c r="AU617" s="9"/>
      <c r="AV617" s="9"/>
      <c r="AW617" s="3"/>
      <c r="AX617" s="3"/>
      <c r="AY617" s="3"/>
    </row>
    <row r="618" spans="1:51" x14ac:dyDescent="0.25">
      <c r="A618">
        <v>585</v>
      </c>
      <c r="B618" s="1" t="s">
        <v>626</v>
      </c>
      <c r="C618" s="1" t="s">
        <v>682</v>
      </c>
      <c r="D618" s="2">
        <v>40830</v>
      </c>
      <c r="E618" s="3">
        <v>33.9</v>
      </c>
      <c r="F618" s="4">
        <f t="shared" si="63"/>
        <v>4894.406435414141</v>
      </c>
      <c r="G618" s="2">
        <v>40204</v>
      </c>
      <c r="H618" s="7">
        <v>3.88</v>
      </c>
      <c r="I618" s="7">
        <f>H618+H629-2*$A$24</f>
        <v>6.42</v>
      </c>
      <c r="J618" s="7">
        <v>3.14</v>
      </c>
      <c r="K618" s="7">
        <v>5.3</v>
      </c>
      <c r="L618" s="6">
        <f t="shared" si="64"/>
        <v>0.32710280373831779</v>
      </c>
      <c r="M618" s="6">
        <f t="shared" si="65"/>
        <v>0.56074766355140182</v>
      </c>
      <c r="N618" s="6">
        <f t="shared" si="66"/>
        <v>0.11214953271028039</v>
      </c>
      <c r="O618" s="4">
        <f t="shared" si="67"/>
        <v>1600.9740676588312</v>
      </c>
      <c r="P618" s="4">
        <f t="shared" si="68"/>
        <v>2744.5269731294247</v>
      </c>
      <c r="Q618" s="4">
        <f t="shared" si="69"/>
        <v>4345.5010407882564</v>
      </c>
      <c r="V618" s="3"/>
      <c r="W618" s="3"/>
      <c r="Y618" s="7"/>
      <c r="Z618" s="7"/>
      <c r="AA618" s="7"/>
      <c r="AB618" s="7"/>
      <c r="AC618" s="9"/>
      <c r="AD618" s="9"/>
      <c r="AE618" s="9"/>
      <c r="AF618" s="3"/>
      <c r="AG618" s="3"/>
      <c r="AH618" s="3"/>
      <c r="AJ618" t="s">
        <v>1013</v>
      </c>
      <c r="AK618" t="s">
        <v>682</v>
      </c>
      <c r="AL618" s="11">
        <f>D621</f>
        <v>40830</v>
      </c>
      <c r="AM618" s="3">
        <f>SUM(E621,E626)</f>
        <v>69.5</v>
      </c>
      <c r="AN618" s="3">
        <f>(AM618-4*$A$20)*$A$21/(2*$A$22)*$A$23</f>
        <v>5025.4790715232166</v>
      </c>
      <c r="AO618" s="11">
        <f>G621</f>
        <v>40204</v>
      </c>
      <c r="AP618" s="7">
        <f>SUM(H621,H626)</f>
        <v>6.88</v>
      </c>
      <c r="AQ618" s="7">
        <f>SUM(I621,I626)</f>
        <v>13.12</v>
      </c>
      <c r="AR618" s="7">
        <f>SUM(J621,J626)</f>
        <v>6.44</v>
      </c>
      <c r="AS618" s="7">
        <f>SUM(K621,K626)</f>
        <v>10.76</v>
      </c>
      <c r="AT618" s="9">
        <f>(AR618-2*$A$25)/AQ618</f>
        <v>0.33231707317073172</v>
      </c>
      <c r="AU618" s="9">
        <f>(AS618-2*$A$26)/AQ618</f>
        <v>0.5609756097560975</v>
      </c>
      <c r="AV618" s="9">
        <f>1-AT618-AU618</f>
        <v>0.10670731707317083</v>
      </c>
      <c r="AW618" s="3">
        <f>AN618*AT618</f>
        <v>1670.0524963293617</v>
      </c>
      <c r="AX618" s="3">
        <f>AN618*AU618</f>
        <v>2819.171186464243</v>
      </c>
      <c r="AY618" s="3">
        <f>AW618+AX618</f>
        <v>4489.2236827936049</v>
      </c>
    </row>
    <row r="619" spans="1:51" x14ac:dyDescent="0.25">
      <c r="A619">
        <v>586</v>
      </c>
      <c r="B619" s="1" t="s">
        <v>627</v>
      </c>
      <c r="C619" s="1" t="s">
        <v>682</v>
      </c>
      <c r="D619" s="2">
        <v>40830</v>
      </c>
      <c r="E619" s="3">
        <v>33.200000000000003</v>
      </c>
      <c r="F619" s="4">
        <f t="shared" si="63"/>
        <v>4786.4642645007862</v>
      </c>
      <c r="G619" s="2">
        <v>40204</v>
      </c>
      <c r="H619" s="7">
        <v>4.28</v>
      </c>
      <c r="I619" s="7">
        <f>H619+H628-2*$A$24</f>
        <v>7.84</v>
      </c>
      <c r="J619" s="7">
        <v>3.9</v>
      </c>
      <c r="K619" s="7">
        <v>6.12</v>
      </c>
      <c r="L619" s="6">
        <f t="shared" si="64"/>
        <v>0.36479591836734693</v>
      </c>
      <c r="M619" s="6">
        <f t="shared" si="65"/>
        <v>0.56377551020408168</v>
      </c>
      <c r="N619" s="6">
        <f t="shared" si="66"/>
        <v>7.1428571428571397E-2</v>
      </c>
      <c r="O619" s="4">
        <f t="shared" si="67"/>
        <v>1746.0826271010521</v>
      </c>
      <c r="P619" s="4">
        <f t="shared" si="68"/>
        <v>2698.4913327925351</v>
      </c>
      <c r="Q619" s="4">
        <f t="shared" si="69"/>
        <v>4444.573959893587</v>
      </c>
      <c r="V619" s="3"/>
      <c r="W619" s="3"/>
      <c r="Y619" s="7"/>
      <c r="Z619" s="7"/>
      <c r="AA619" s="7"/>
      <c r="AB619" s="7"/>
      <c r="AC619" s="9"/>
      <c r="AD619" s="9"/>
      <c r="AE619" s="9"/>
      <c r="AF619" s="3"/>
      <c r="AG619" s="3"/>
      <c r="AH619" s="3"/>
      <c r="AL619" s="11"/>
      <c r="AM619" s="3"/>
      <c r="AN619" s="3"/>
      <c r="AO619" s="11"/>
      <c r="AP619" s="7"/>
      <c r="AQ619" s="7"/>
      <c r="AR619" s="7"/>
      <c r="AS619" s="7"/>
      <c r="AT619" s="9"/>
      <c r="AU619" s="9"/>
      <c r="AV619" s="9"/>
      <c r="AW619" s="3"/>
      <c r="AX619" s="3"/>
      <c r="AY619" s="3"/>
    </row>
    <row r="620" spans="1:51" x14ac:dyDescent="0.25">
      <c r="A620">
        <v>587</v>
      </c>
      <c r="B620" s="1" t="s">
        <v>628</v>
      </c>
      <c r="C620" s="1" t="s">
        <v>682</v>
      </c>
      <c r="D620" s="2">
        <v>40830</v>
      </c>
      <c r="E620" s="3">
        <v>35.6</v>
      </c>
      <c r="F620" s="4">
        <f t="shared" si="63"/>
        <v>5156.5517076322894</v>
      </c>
      <c r="G620" s="2">
        <v>40204</v>
      </c>
      <c r="H620" s="7">
        <v>3.72</v>
      </c>
      <c r="I620" s="7">
        <f>H620+H627-2*$A$24</f>
        <v>7.48</v>
      </c>
      <c r="J620" s="7">
        <v>3.54</v>
      </c>
      <c r="K620" s="7">
        <v>5.92</v>
      </c>
      <c r="L620" s="6">
        <f t="shared" si="64"/>
        <v>0.33422459893048129</v>
      </c>
      <c r="M620" s="6">
        <f t="shared" si="65"/>
        <v>0.56417112299465233</v>
      </c>
      <c r="N620" s="6">
        <f t="shared" si="66"/>
        <v>0.10160427807486638</v>
      </c>
      <c r="O620" s="4">
        <f t="shared" si="67"/>
        <v>1723.4464263476902</v>
      </c>
      <c r="P620" s="4">
        <f t="shared" si="68"/>
        <v>2909.1775676749007</v>
      </c>
      <c r="Q620" s="4">
        <f t="shared" si="69"/>
        <v>4632.6239940225914</v>
      </c>
      <c r="V620" s="3"/>
      <c r="W620" s="3"/>
      <c r="Y620" s="7"/>
      <c r="Z620" s="7"/>
      <c r="AA620" s="7"/>
      <c r="AB620" s="7"/>
      <c r="AC620" s="9"/>
      <c r="AD620" s="9"/>
      <c r="AE620" s="9"/>
      <c r="AF620" s="3"/>
      <c r="AG620" s="3"/>
      <c r="AH620" s="3"/>
      <c r="AJ620" t="s">
        <v>1014</v>
      </c>
      <c r="AK620" t="s">
        <v>682</v>
      </c>
      <c r="AL620" s="11">
        <f>D620</f>
        <v>40830</v>
      </c>
      <c r="AM620" s="3">
        <f>SUM(E620,E627)</f>
        <v>68.7</v>
      </c>
      <c r="AN620" s="3">
        <f>(AM620-4*$A$20)*$A$21/(2*$A$22)*$A$23</f>
        <v>4963.7978310012977</v>
      </c>
      <c r="AO620" s="11">
        <f>G620</f>
        <v>40204</v>
      </c>
      <c r="AP620" s="7">
        <f>SUM(H620,H627)</f>
        <v>7.8000000000000007</v>
      </c>
      <c r="AQ620" s="7">
        <f>SUM(I620,I627)</f>
        <v>14.96</v>
      </c>
      <c r="AR620" s="7">
        <f>SUM(J620,J627)</f>
        <v>7.08</v>
      </c>
      <c r="AS620" s="7">
        <f>SUM(K620,K627)</f>
        <v>11.84</v>
      </c>
      <c r="AT620" s="9">
        <f>(AR620-2*$A$25)/AQ620</f>
        <v>0.33422459893048129</v>
      </c>
      <c r="AU620" s="9">
        <f>(AS620-2*$A$26)/AQ620</f>
        <v>0.56417112299465233</v>
      </c>
      <c r="AV620" s="9">
        <f>1-AT620-AU620</f>
        <v>0.10160427807486638</v>
      </c>
      <c r="AW620" s="3">
        <f>AN620*AT620</f>
        <v>1659.0233392384016</v>
      </c>
      <c r="AX620" s="3">
        <f>AN620*AU620</f>
        <v>2800.4313966344216</v>
      </c>
      <c r="AY620" s="3">
        <f>AW620+AX620</f>
        <v>4459.4547358728232</v>
      </c>
    </row>
    <row r="621" spans="1:51" x14ac:dyDescent="0.25">
      <c r="A621">
        <v>588</v>
      </c>
      <c r="B621" s="1" t="s">
        <v>629</v>
      </c>
      <c r="C621" s="1" t="s">
        <v>682</v>
      </c>
      <c r="D621" s="2">
        <v>40830</v>
      </c>
      <c r="E621" s="3">
        <v>35.700000000000003</v>
      </c>
      <c r="F621" s="4">
        <f t="shared" si="63"/>
        <v>5171.9720177627705</v>
      </c>
      <c r="G621" s="2">
        <v>40204</v>
      </c>
      <c r="H621" s="7">
        <v>3.82</v>
      </c>
      <c r="I621" s="7">
        <f>H621+H626-2*$A$24</f>
        <v>6.56</v>
      </c>
      <c r="J621" s="7">
        <v>3.22</v>
      </c>
      <c r="K621" s="7">
        <v>5.38</v>
      </c>
      <c r="L621" s="6">
        <f t="shared" si="64"/>
        <v>0.33231707317073172</v>
      </c>
      <c r="M621" s="6">
        <f t="shared" si="65"/>
        <v>0.5609756097560975</v>
      </c>
      <c r="N621" s="6">
        <f t="shared" si="66"/>
        <v>0.10670731707317083</v>
      </c>
      <c r="O621" s="4">
        <f t="shared" si="67"/>
        <v>1718.7346034638476</v>
      </c>
      <c r="P621" s="4">
        <f t="shared" si="68"/>
        <v>2901.350156305944</v>
      </c>
      <c r="Q621" s="4">
        <f t="shared" si="69"/>
        <v>4620.0847597697921</v>
      </c>
      <c r="V621" s="3"/>
      <c r="W621" s="3"/>
      <c r="Y621" s="7"/>
      <c r="Z621" s="7"/>
      <c r="AA621" s="7"/>
      <c r="AB621" s="7"/>
      <c r="AC621" s="9"/>
      <c r="AD621" s="9"/>
      <c r="AE621" s="9"/>
      <c r="AF621" s="3"/>
      <c r="AG621" s="3"/>
      <c r="AH621" s="3"/>
      <c r="AL621" s="11"/>
      <c r="AM621" s="3"/>
      <c r="AN621" s="3"/>
      <c r="AO621" s="11"/>
      <c r="AP621" s="7"/>
      <c r="AQ621" s="7"/>
      <c r="AR621" s="7"/>
      <c r="AS621" s="7"/>
      <c r="AT621" s="9"/>
      <c r="AU621" s="9"/>
      <c r="AV621" s="9"/>
      <c r="AW621" s="3"/>
      <c r="AX621" s="3"/>
      <c r="AY621" s="3"/>
    </row>
    <row r="622" spans="1:51" x14ac:dyDescent="0.25">
      <c r="A622">
        <v>589</v>
      </c>
      <c r="B622" s="1" t="s">
        <v>630</v>
      </c>
      <c r="C622" s="1" t="s">
        <v>682</v>
      </c>
      <c r="D622" s="2">
        <v>40830</v>
      </c>
      <c r="E622" s="3">
        <v>32.1</v>
      </c>
      <c r="F622" s="4">
        <f t="shared" si="63"/>
        <v>4616.8408530655133</v>
      </c>
      <c r="G622" s="2">
        <v>40204</v>
      </c>
      <c r="H622" s="7">
        <v>3.66</v>
      </c>
      <c r="I622" s="7">
        <f>H622+H625-2*$A$24</f>
        <v>6.04</v>
      </c>
      <c r="J622" s="7">
        <v>3.06</v>
      </c>
      <c r="K622" s="7">
        <v>5.0999999999999996</v>
      </c>
      <c r="L622" s="6">
        <f t="shared" si="64"/>
        <v>0.33443708609271522</v>
      </c>
      <c r="M622" s="6">
        <f t="shared" si="65"/>
        <v>0.56291390728476809</v>
      </c>
      <c r="N622" s="6">
        <f t="shared" si="66"/>
        <v>0.10264900662251664</v>
      </c>
      <c r="O622" s="4">
        <f t="shared" si="67"/>
        <v>1544.0428018530358</v>
      </c>
      <c r="P622" s="4">
        <f t="shared" si="68"/>
        <v>2598.8839239110498</v>
      </c>
      <c r="Q622" s="4">
        <f t="shared" si="69"/>
        <v>4142.9267257640859</v>
      </c>
      <c r="V622" s="3"/>
      <c r="W622" s="3"/>
      <c r="Y622" s="7"/>
      <c r="Z622" s="7"/>
      <c r="AA622" s="7"/>
      <c r="AB622" s="7"/>
      <c r="AC622" s="9"/>
      <c r="AD622" s="9"/>
      <c r="AE622" s="9"/>
      <c r="AF622" s="3"/>
      <c r="AG622" s="3"/>
      <c r="AH622" s="3"/>
      <c r="AJ622" t="s">
        <v>1015</v>
      </c>
      <c r="AK622" t="s">
        <v>682</v>
      </c>
      <c r="AL622" s="11">
        <f>D619</f>
        <v>40830</v>
      </c>
      <c r="AM622" s="3">
        <f>SUM(E619,E628)</f>
        <v>63.800000000000004</v>
      </c>
      <c r="AN622" s="3">
        <f>(AM622-4*$A$20)*$A$21/(2*$A$22)*$A$23</f>
        <v>4586.0002328045548</v>
      </c>
      <c r="AO622" s="11">
        <f>G619</f>
        <v>40204</v>
      </c>
      <c r="AP622" s="7">
        <f>SUM(H619,H628)</f>
        <v>8.16</v>
      </c>
      <c r="AQ622" s="7">
        <f>SUM(I619,I628)</f>
        <v>15.68</v>
      </c>
      <c r="AR622" s="7">
        <f>SUM(J619,J628)</f>
        <v>7.8</v>
      </c>
      <c r="AS622" s="7">
        <f>SUM(K619,K628)</f>
        <v>12.24</v>
      </c>
      <c r="AT622" s="9">
        <f>(AR622-2*$A$25)/AQ622</f>
        <v>0.36479591836734693</v>
      </c>
      <c r="AU622" s="9">
        <f>(AS622-2*$A$26)/AQ622</f>
        <v>0.56377551020408168</v>
      </c>
      <c r="AV622" s="9">
        <f>1-AT622-AU622</f>
        <v>7.1428571428571397E-2</v>
      </c>
      <c r="AW622" s="3">
        <f>AN622*AT622</f>
        <v>1672.9541665588044</v>
      </c>
      <c r="AX622" s="3">
        <f>AN622*AU622</f>
        <v>2585.474621045425</v>
      </c>
      <c r="AY622" s="3">
        <f>AW622+AX622</f>
        <v>4258.428787604229</v>
      </c>
    </row>
    <row r="623" spans="1:51" x14ac:dyDescent="0.25">
      <c r="A623">
        <v>590</v>
      </c>
      <c r="B623" s="1" t="s">
        <v>631</v>
      </c>
      <c r="C623" s="1" t="s">
        <v>682</v>
      </c>
      <c r="D623" s="2">
        <v>40830</v>
      </c>
      <c r="E623" s="3">
        <v>34.700000000000003</v>
      </c>
      <c r="F623" s="4">
        <f t="shared" si="63"/>
        <v>5017.7689164579779</v>
      </c>
      <c r="G623" s="2">
        <v>40204</v>
      </c>
      <c r="H623" s="7">
        <v>3.54</v>
      </c>
      <c r="I623" s="7">
        <f>H623+H624-2*$A$24</f>
        <v>7.34</v>
      </c>
      <c r="J623" s="7">
        <v>3.46</v>
      </c>
      <c r="K623" s="7">
        <v>5.84</v>
      </c>
      <c r="L623" s="6">
        <f t="shared" si="64"/>
        <v>0.32970027247956402</v>
      </c>
      <c r="M623" s="6">
        <f t="shared" si="65"/>
        <v>0.56403269754768393</v>
      </c>
      <c r="N623" s="6">
        <f t="shared" si="66"/>
        <v>0.10626702997275206</v>
      </c>
      <c r="O623" s="4">
        <f t="shared" si="67"/>
        <v>1654.3597789956821</v>
      </c>
      <c r="P623" s="4">
        <f t="shared" si="68"/>
        <v>2830.1857376207122</v>
      </c>
      <c r="Q623" s="4">
        <f t="shared" si="69"/>
        <v>4484.5455166163938</v>
      </c>
      <c r="V623" s="3"/>
      <c r="W623" s="3"/>
      <c r="Y623" s="7"/>
      <c r="Z623" s="7"/>
      <c r="AA623" s="7"/>
      <c r="AB623" s="7"/>
      <c r="AC623" s="9"/>
      <c r="AD623" s="9"/>
      <c r="AE623" s="9"/>
      <c r="AF623" s="3"/>
      <c r="AG623" s="3"/>
      <c r="AH623" s="3"/>
      <c r="AL623" s="11"/>
      <c r="AM623" s="3"/>
      <c r="AN623" s="3"/>
      <c r="AO623" s="11"/>
      <c r="AP623" s="7"/>
      <c r="AQ623" s="7"/>
      <c r="AR623" s="7"/>
      <c r="AS623" s="7"/>
      <c r="AT623" s="9"/>
      <c r="AU623" s="9"/>
      <c r="AV623" s="9"/>
      <c r="AW623" s="3"/>
      <c r="AX623" s="3"/>
      <c r="AY623" s="3"/>
    </row>
    <row r="624" spans="1:51" x14ac:dyDescent="0.25">
      <c r="A624">
        <v>591</v>
      </c>
      <c r="B624" s="1" t="s">
        <v>632</v>
      </c>
      <c r="C624" s="1" t="s">
        <v>682</v>
      </c>
      <c r="D624" s="2">
        <v>40830</v>
      </c>
      <c r="E624" s="3">
        <v>34.700000000000003</v>
      </c>
      <c r="F624" s="4">
        <f t="shared" si="63"/>
        <v>5017.7689164579779</v>
      </c>
      <c r="G624" s="2">
        <v>40204</v>
      </c>
      <c r="H624" s="7">
        <v>4.12</v>
      </c>
      <c r="I624" s="7">
        <f>H624+H623-2*$A$24</f>
        <v>7.34</v>
      </c>
      <c r="J624" s="7">
        <v>3.46</v>
      </c>
      <c r="K624" s="7">
        <v>5.84</v>
      </c>
      <c r="L624" s="6">
        <f t="shared" si="64"/>
        <v>0.32970027247956402</v>
      </c>
      <c r="M624" s="6">
        <f t="shared" si="65"/>
        <v>0.56403269754768393</v>
      </c>
      <c r="N624" s="6">
        <f t="shared" si="66"/>
        <v>0.10626702997275206</v>
      </c>
      <c r="O624" s="4">
        <f t="shared" si="67"/>
        <v>1654.3597789956821</v>
      </c>
      <c r="P624" s="4">
        <f t="shared" si="68"/>
        <v>2830.1857376207122</v>
      </c>
      <c r="Q624" s="4">
        <f t="shared" si="69"/>
        <v>4484.5455166163938</v>
      </c>
      <c r="V624" s="3"/>
      <c r="W624" s="3"/>
      <c r="Y624" s="7"/>
      <c r="Z624" s="7"/>
      <c r="AA624" s="7"/>
      <c r="AB624" s="7"/>
      <c r="AC624" s="9"/>
      <c r="AD624" s="9"/>
      <c r="AE624" s="9"/>
      <c r="AF624" s="3"/>
      <c r="AG624" s="3"/>
      <c r="AH624" s="3"/>
      <c r="AJ624" t="s">
        <v>1016</v>
      </c>
      <c r="AK624" t="s">
        <v>682</v>
      </c>
      <c r="AL624" s="11">
        <f>D618</f>
        <v>40830</v>
      </c>
      <c r="AM624" s="3">
        <f>SUM(E618,E629)</f>
        <v>66.5</v>
      </c>
      <c r="AN624" s="3">
        <f>(AM624-4*$A$20)*$A$21/(2*$A$22)*$A$23</f>
        <v>4794.1744195660249</v>
      </c>
      <c r="AO624" s="11">
        <f>G618</f>
        <v>40204</v>
      </c>
      <c r="AP624" s="7">
        <f>SUM(H618,H629)</f>
        <v>6.74</v>
      </c>
      <c r="AQ624" s="7">
        <f>SUM(I618,I629)</f>
        <v>12.84</v>
      </c>
      <c r="AR624" s="7">
        <f>SUM(J618,J629)</f>
        <v>6.28</v>
      </c>
      <c r="AS624" s="7">
        <f>SUM(K618,K629)</f>
        <v>10.6</v>
      </c>
      <c r="AT624" s="9">
        <f>(AR624-2*$A$25)/AQ624</f>
        <v>0.32710280373831779</v>
      </c>
      <c r="AU624" s="9">
        <f>(AS624-2*$A$26)/AQ624</f>
        <v>0.56074766355140182</v>
      </c>
      <c r="AV624" s="9">
        <f>1-AT624-AU624</f>
        <v>0.11214953271028039</v>
      </c>
      <c r="AW624" s="3">
        <f>AN624*AT624</f>
        <v>1568.1878942505691</v>
      </c>
      <c r="AX624" s="3">
        <f>AN624*AU624</f>
        <v>2688.3221044295465</v>
      </c>
      <c r="AY624" s="3">
        <f>AW624+AX624</f>
        <v>4256.509998680116</v>
      </c>
    </row>
    <row r="625" spans="1:51" x14ac:dyDescent="0.25">
      <c r="A625">
        <v>592</v>
      </c>
      <c r="B625" s="1" t="s">
        <v>633</v>
      </c>
      <c r="C625" s="1" t="s">
        <v>682</v>
      </c>
      <c r="D625" s="2">
        <v>40830</v>
      </c>
      <c r="E625" s="3">
        <v>28.5</v>
      </c>
      <c r="F625" s="4">
        <f t="shared" si="63"/>
        <v>4061.7096883682575</v>
      </c>
      <c r="G625" s="2">
        <v>40204</v>
      </c>
      <c r="H625" s="7">
        <v>2.7</v>
      </c>
      <c r="I625" s="7">
        <f>H625+H622-2*$A$24</f>
        <v>6.04</v>
      </c>
      <c r="J625" s="7">
        <v>3.06</v>
      </c>
      <c r="K625" s="7">
        <v>5.0999999999999996</v>
      </c>
      <c r="L625" s="6">
        <f t="shared" si="64"/>
        <v>0.33443708609271522</v>
      </c>
      <c r="M625" s="6">
        <f t="shared" si="65"/>
        <v>0.56291390728476809</v>
      </c>
      <c r="N625" s="6">
        <f t="shared" si="66"/>
        <v>0.10264900662251664</v>
      </c>
      <c r="O625" s="4">
        <f t="shared" si="67"/>
        <v>1358.3863527324304</v>
      </c>
      <c r="P625" s="4">
        <f t="shared" si="68"/>
        <v>2286.3928709357738</v>
      </c>
      <c r="Q625" s="4">
        <f t="shared" si="69"/>
        <v>3644.7792236682044</v>
      </c>
      <c r="V625" s="3"/>
      <c r="W625" s="3"/>
      <c r="Y625" s="7"/>
      <c r="Z625" s="7"/>
      <c r="AA625" s="7"/>
      <c r="AB625" s="7"/>
      <c r="AC625" s="9"/>
      <c r="AD625" s="9"/>
      <c r="AE625" s="9"/>
      <c r="AF625" s="3"/>
      <c r="AG625" s="3"/>
      <c r="AH625" s="3"/>
      <c r="AL625" s="11"/>
      <c r="AM625" s="3"/>
      <c r="AN625" s="3"/>
      <c r="AO625" s="11"/>
      <c r="AP625" s="7"/>
      <c r="AQ625" s="7"/>
      <c r="AR625" s="7"/>
      <c r="AS625" s="7"/>
      <c r="AT625" s="9"/>
      <c r="AU625" s="9"/>
      <c r="AV625" s="9"/>
      <c r="AW625" s="3"/>
      <c r="AX625" s="3"/>
      <c r="AY625" s="3"/>
    </row>
    <row r="626" spans="1:51" x14ac:dyDescent="0.25">
      <c r="A626">
        <v>593</v>
      </c>
      <c r="B626" s="1" t="s">
        <v>634</v>
      </c>
      <c r="C626" s="1" t="s">
        <v>682</v>
      </c>
      <c r="D626" s="2">
        <v>40830</v>
      </c>
      <c r="E626" s="3">
        <v>33.799999999999997</v>
      </c>
      <c r="F626" s="4">
        <f t="shared" si="63"/>
        <v>4878.9861252836617</v>
      </c>
      <c r="G626" s="2">
        <v>40204</v>
      </c>
      <c r="H626" s="7">
        <v>3.06</v>
      </c>
      <c r="I626" s="7">
        <f>H626+H621-2*$A$24</f>
        <v>6.56</v>
      </c>
      <c r="J626" s="7">
        <v>3.22</v>
      </c>
      <c r="K626" s="7">
        <v>5.38</v>
      </c>
      <c r="L626" s="6">
        <f t="shared" si="64"/>
        <v>0.33231707317073172</v>
      </c>
      <c r="M626" s="6">
        <f t="shared" si="65"/>
        <v>0.5609756097560975</v>
      </c>
      <c r="N626" s="6">
        <f t="shared" si="66"/>
        <v>0.10670731707317083</v>
      </c>
      <c r="O626" s="4">
        <f t="shared" si="67"/>
        <v>1621.3703891948755</v>
      </c>
      <c r="P626" s="4">
        <f t="shared" si="68"/>
        <v>2736.9922166225415</v>
      </c>
      <c r="Q626" s="4">
        <f t="shared" si="69"/>
        <v>4358.3626058174168</v>
      </c>
      <c r="V626" s="3"/>
      <c r="W626" s="3"/>
      <c r="Y626" s="7"/>
      <c r="Z626" s="7"/>
      <c r="AA626" s="7"/>
      <c r="AB626" s="7"/>
      <c r="AC626" s="9"/>
      <c r="AD626" s="9"/>
      <c r="AE626" s="9"/>
      <c r="AF626" s="3"/>
      <c r="AG626" s="3"/>
      <c r="AH626" s="3"/>
      <c r="AJ626" t="s">
        <v>1017</v>
      </c>
      <c r="AK626" t="s">
        <v>682</v>
      </c>
      <c r="AL626" s="11">
        <f>D617</f>
        <v>40830</v>
      </c>
      <c r="AM626" s="3">
        <f>SUM(E617,E630)</f>
        <v>72.2</v>
      </c>
      <c r="AN626" s="3">
        <f>(AM626-4*$A$20)*$A$21/(2*$A$22)*$A$23</f>
        <v>5233.6532582846858</v>
      </c>
      <c r="AO626" s="11">
        <f>G617</f>
        <v>40204</v>
      </c>
      <c r="AP626" s="7">
        <f>SUM(H617,H630)</f>
        <v>8.7199999999999989</v>
      </c>
      <c r="AQ626" s="7">
        <f>SUM(I617,I630)</f>
        <v>16.799999999999997</v>
      </c>
      <c r="AR626" s="7">
        <f>SUM(J617,J630)</f>
        <v>7.68</v>
      </c>
      <c r="AS626" s="7">
        <f>SUM(K617,K630)</f>
        <v>12.84</v>
      </c>
      <c r="AT626" s="9">
        <f>(AR626-2*$A$25)/AQ626</f>
        <v>0.33333333333333337</v>
      </c>
      <c r="AU626" s="9">
        <f>(AS626-2*$A$26)/AQ626</f>
        <v>0.56190476190476202</v>
      </c>
      <c r="AV626" s="9">
        <f>1-AT626-AU626</f>
        <v>0.10476190476190461</v>
      </c>
      <c r="AW626" s="3">
        <f>AN626*AT626</f>
        <v>1744.5510860948955</v>
      </c>
      <c r="AX626" s="3">
        <f>AN626*AU626</f>
        <v>2940.8146879885385</v>
      </c>
      <c r="AY626" s="3">
        <f>AW626+AX626</f>
        <v>4685.3657740834342</v>
      </c>
    </row>
    <row r="627" spans="1:51" x14ac:dyDescent="0.25">
      <c r="A627">
        <v>594</v>
      </c>
      <c r="B627" s="1" t="s">
        <v>635</v>
      </c>
      <c r="C627" s="1" t="s">
        <v>682</v>
      </c>
      <c r="D627" s="2">
        <v>40830</v>
      </c>
      <c r="E627" s="3">
        <v>33.1</v>
      </c>
      <c r="F627" s="4">
        <f t="shared" si="63"/>
        <v>4771.0439543703069</v>
      </c>
      <c r="G627" s="2">
        <v>40204</v>
      </c>
      <c r="H627" s="7">
        <v>4.08</v>
      </c>
      <c r="I627" s="7">
        <f>H627+H620-2*$A$24</f>
        <v>7.48</v>
      </c>
      <c r="J627" s="7">
        <v>3.54</v>
      </c>
      <c r="K627" s="7">
        <v>5.92</v>
      </c>
      <c r="L627" s="6">
        <f t="shared" si="64"/>
        <v>0.33422459893048129</v>
      </c>
      <c r="M627" s="6">
        <f t="shared" si="65"/>
        <v>0.56417112299465233</v>
      </c>
      <c r="N627" s="6">
        <f t="shared" si="66"/>
        <v>0.10160427807486638</v>
      </c>
      <c r="O627" s="4">
        <f t="shared" si="67"/>
        <v>1594.6002521291132</v>
      </c>
      <c r="P627" s="4">
        <f t="shared" si="68"/>
        <v>2691.685225593943</v>
      </c>
      <c r="Q627" s="4">
        <f t="shared" si="69"/>
        <v>4286.2854777230559</v>
      </c>
      <c r="V627" s="3"/>
      <c r="W627" s="3"/>
      <c r="Y627" s="7"/>
      <c r="Z627" s="7"/>
      <c r="AA627" s="7"/>
      <c r="AB627" s="7"/>
      <c r="AC627" s="9"/>
      <c r="AD627" s="9"/>
      <c r="AE627" s="9"/>
      <c r="AF627" s="3"/>
      <c r="AG627" s="3"/>
      <c r="AH627" s="3"/>
      <c r="AL627" s="11"/>
      <c r="AM627" s="3"/>
      <c r="AN627" s="3"/>
      <c r="AO627" s="11"/>
      <c r="AP627" s="7"/>
      <c r="AQ627" s="7"/>
      <c r="AR627" s="7"/>
      <c r="AS627" s="7"/>
      <c r="AT627" s="9"/>
      <c r="AU627" s="9"/>
      <c r="AV627" s="9"/>
      <c r="AW627" s="3"/>
      <c r="AX627" s="3"/>
      <c r="AY627" s="3"/>
    </row>
    <row r="628" spans="1:51" x14ac:dyDescent="0.25">
      <c r="A628">
        <v>595</v>
      </c>
      <c r="B628" s="1" t="s">
        <v>636</v>
      </c>
      <c r="C628" s="1" t="s">
        <v>682</v>
      </c>
      <c r="D628" s="2">
        <v>40830</v>
      </c>
      <c r="E628" s="3">
        <v>30.6</v>
      </c>
      <c r="F628" s="4">
        <f t="shared" si="63"/>
        <v>4385.5362011083234</v>
      </c>
      <c r="G628" s="2">
        <v>40204</v>
      </c>
      <c r="H628" s="7">
        <v>3.88</v>
      </c>
      <c r="I628" s="7">
        <f>H628+H619-2*$A$24</f>
        <v>7.84</v>
      </c>
      <c r="J628" s="7">
        <v>3.9</v>
      </c>
      <c r="K628" s="7">
        <v>6.12</v>
      </c>
      <c r="L628" s="6">
        <f t="shared" si="64"/>
        <v>0.36479591836734693</v>
      </c>
      <c r="M628" s="6">
        <f t="shared" si="65"/>
        <v>0.56377551020408168</v>
      </c>
      <c r="N628" s="6">
        <f t="shared" si="66"/>
        <v>7.1428571428571397E-2</v>
      </c>
      <c r="O628" s="4">
        <f t="shared" si="67"/>
        <v>1599.8257060165568</v>
      </c>
      <c r="P628" s="4">
        <f t="shared" si="68"/>
        <v>2472.4579092983154</v>
      </c>
      <c r="Q628" s="4">
        <f t="shared" si="69"/>
        <v>4072.2836153148719</v>
      </c>
      <c r="V628" s="3"/>
      <c r="W628" s="3"/>
      <c r="Y628" s="7"/>
      <c r="Z628" s="7"/>
      <c r="AA628" s="7"/>
      <c r="AB628" s="7"/>
      <c r="AC628" s="9"/>
      <c r="AD628" s="9"/>
      <c r="AE628" s="9"/>
      <c r="AF628" s="3"/>
      <c r="AG628" s="3"/>
      <c r="AH628" s="3"/>
      <c r="AJ628" t="s">
        <v>1018</v>
      </c>
      <c r="AK628" t="s">
        <v>682</v>
      </c>
      <c r="AL628" s="11">
        <f>D616</f>
        <v>40830</v>
      </c>
      <c r="AM628" s="3">
        <f>SUM(E616,E631)</f>
        <v>66.5</v>
      </c>
      <c r="AN628" s="3">
        <f>(AM628-4*$A$20)*$A$21/(2*$A$22)*$A$23</f>
        <v>4794.1744195660249</v>
      </c>
      <c r="AO628" s="11">
        <f>G616</f>
        <v>40204</v>
      </c>
      <c r="AP628" s="7">
        <f>SUM(H616,H631)</f>
        <v>7.64</v>
      </c>
      <c r="AQ628" s="7">
        <f>SUM(I616,I631)</f>
        <v>14.639999999999999</v>
      </c>
      <c r="AR628" s="7">
        <f>SUM(J616,J631)</f>
        <v>6.96</v>
      </c>
      <c r="AS628" s="7">
        <f>SUM(K616,K631)</f>
        <v>11.48</v>
      </c>
      <c r="AT628" s="9">
        <f>(AR628-2*$A$25)/AQ628</f>
        <v>0.33333333333333337</v>
      </c>
      <c r="AU628" s="9">
        <f>(AS628-2*$A$26)/AQ628</f>
        <v>0.55191256830601099</v>
      </c>
      <c r="AV628" s="9">
        <f>1-AT628-AU628</f>
        <v>0.11475409836065564</v>
      </c>
      <c r="AW628" s="3">
        <f>AN628*AT628</f>
        <v>1598.0581398553418</v>
      </c>
      <c r="AX628" s="3">
        <f>AN628*AU628</f>
        <v>2645.9651168096643</v>
      </c>
      <c r="AY628" s="3">
        <f>AW628+AX628</f>
        <v>4244.0232566650066</v>
      </c>
    </row>
    <row r="629" spans="1:51" x14ac:dyDescent="0.25">
      <c r="A629">
        <v>596</v>
      </c>
      <c r="B629" s="1" t="s">
        <v>637</v>
      </c>
      <c r="C629" s="1" t="s">
        <v>682</v>
      </c>
      <c r="D629" s="2">
        <v>40830</v>
      </c>
      <c r="E629" s="3">
        <v>32.6</v>
      </c>
      <c r="F629" s="4">
        <f t="shared" si="63"/>
        <v>4693.9424037179097</v>
      </c>
      <c r="G629" s="2">
        <v>40204</v>
      </c>
      <c r="H629" s="7">
        <v>2.86</v>
      </c>
      <c r="I629" s="7">
        <f>H629+H618-2*$A$24</f>
        <v>6.42</v>
      </c>
      <c r="J629" s="7">
        <v>3.14</v>
      </c>
      <c r="K629" s="7">
        <v>5.3</v>
      </c>
      <c r="L629" s="6">
        <f t="shared" si="64"/>
        <v>0.32710280373831779</v>
      </c>
      <c r="M629" s="6">
        <f t="shared" si="65"/>
        <v>0.56074766355140182</v>
      </c>
      <c r="N629" s="6">
        <f t="shared" si="66"/>
        <v>0.11214953271028039</v>
      </c>
      <c r="O629" s="4">
        <f t="shared" si="67"/>
        <v>1535.401720842307</v>
      </c>
      <c r="P629" s="4">
        <f t="shared" si="68"/>
        <v>2632.1172357296687</v>
      </c>
      <c r="Q629" s="4">
        <f t="shared" si="69"/>
        <v>4167.5189565719757</v>
      </c>
      <c r="V629" s="3"/>
      <c r="W629" s="3"/>
      <c r="Y629" s="7"/>
      <c r="Z629" s="7"/>
      <c r="AA629" s="7"/>
      <c r="AB629" s="7"/>
      <c r="AC629" s="9"/>
      <c r="AD629" s="9"/>
      <c r="AE629" s="9"/>
      <c r="AF629" s="3"/>
      <c r="AG629" s="3"/>
      <c r="AH629" s="3"/>
      <c r="AL629" s="11"/>
      <c r="AM629" s="3"/>
      <c r="AN629" s="3"/>
      <c r="AO629" s="11"/>
      <c r="AP629" s="7"/>
      <c r="AQ629" s="7"/>
      <c r="AR629" s="7"/>
      <c r="AS629" s="7"/>
      <c r="AT629" s="9"/>
      <c r="AU629" s="9"/>
      <c r="AV629" s="9"/>
      <c r="AW629" s="3"/>
      <c r="AX629" s="3"/>
      <c r="AY629" s="3"/>
    </row>
    <row r="630" spans="1:51" x14ac:dyDescent="0.25">
      <c r="A630">
        <v>597</v>
      </c>
      <c r="B630" s="1" t="s">
        <v>638</v>
      </c>
      <c r="C630" s="1" t="s">
        <v>682</v>
      </c>
      <c r="D630" s="2">
        <v>40830</v>
      </c>
      <c r="E630" s="3">
        <v>34.5</v>
      </c>
      <c r="F630" s="4">
        <f t="shared" si="63"/>
        <v>4986.9282961970175</v>
      </c>
      <c r="G630" s="2">
        <v>40204</v>
      </c>
      <c r="H630" s="7">
        <v>4.46</v>
      </c>
      <c r="I630" s="7">
        <f>H630+H617-2*$A$24</f>
        <v>8.3999999999999986</v>
      </c>
      <c r="J630" s="7">
        <v>3.84</v>
      </c>
      <c r="K630" s="7">
        <v>6.42</v>
      </c>
      <c r="L630" s="6">
        <f t="shared" si="64"/>
        <v>0.33333333333333337</v>
      </c>
      <c r="M630" s="6">
        <f t="shared" si="65"/>
        <v>0.56190476190476202</v>
      </c>
      <c r="N630" s="6">
        <f t="shared" si="66"/>
        <v>0.10476190476190461</v>
      </c>
      <c r="O630" s="4">
        <f t="shared" si="67"/>
        <v>1662.3094320656726</v>
      </c>
      <c r="P630" s="4">
        <f t="shared" si="68"/>
        <v>2802.1787569107055</v>
      </c>
      <c r="Q630" s="4">
        <f t="shared" si="69"/>
        <v>4464.4881889763783</v>
      </c>
      <c r="V630" s="3"/>
      <c r="W630" s="3"/>
      <c r="Y630" s="7"/>
      <c r="Z630" s="7"/>
      <c r="AA630" s="7"/>
      <c r="AB630" s="7"/>
      <c r="AC630" s="9"/>
      <c r="AD630" s="9"/>
      <c r="AE630" s="9"/>
      <c r="AF630" s="3"/>
      <c r="AG630" s="3"/>
      <c r="AH630" s="3"/>
      <c r="AJ630" t="s">
        <v>1019</v>
      </c>
      <c r="AK630" t="s">
        <v>682</v>
      </c>
      <c r="AL630" s="11">
        <f>D615</f>
        <v>40830</v>
      </c>
      <c r="AM630" s="3">
        <f>SUM(E615,E632)</f>
        <v>74.3</v>
      </c>
      <c r="AN630" s="3">
        <f>(AM630-4*$A$20)*$A$21/(2*$A$22)*$A$23</f>
        <v>5395.566514654719</v>
      </c>
      <c r="AO630" s="11">
        <f>G615</f>
        <v>40204</v>
      </c>
      <c r="AP630" s="7">
        <f>SUM(H615,H632)</f>
        <v>7.98</v>
      </c>
      <c r="AQ630" s="7">
        <f>SUM(I615,I632)</f>
        <v>15.32</v>
      </c>
      <c r="AR630" s="7">
        <f>SUM(J615,J632)</f>
        <v>7.24</v>
      </c>
      <c r="AS630" s="7">
        <f>SUM(K615,K632)</f>
        <v>11.96</v>
      </c>
      <c r="AT630" s="9">
        <f>(AR630-2*$A$25)/AQ630</f>
        <v>0.33681462140992169</v>
      </c>
      <c r="AU630" s="9">
        <f>(AS630-2*$A$26)/AQ630</f>
        <v>0.55874673629242821</v>
      </c>
      <c r="AV630" s="9">
        <f>1-AT630-AU630</f>
        <v>0.1044386422976501</v>
      </c>
      <c r="AW630" s="3">
        <f>AN630*AT630</f>
        <v>1817.3056929254799</v>
      </c>
      <c r="AX630" s="3">
        <f>AN630*AU630</f>
        <v>3014.7551805120361</v>
      </c>
      <c r="AY630" s="3">
        <f>AW630+AX630</f>
        <v>4832.0608734375164</v>
      </c>
    </row>
    <row r="631" spans="1:51" x14ac:dyDescent="0.25">
      <c r="A631">
        <v>598</v>
      </c>
      <c r="B631" s="1" t="s">
        <v>639</v>
      </c>
      <c r="C631" s="1" t="s">
        <v>682</v>
      </c>
      <c r="D631" s="2">
        <v>40830</v>
      </c>
      <c r="E631" s="3">
        <v>31.6</v>
      </c>
      <c r="F631" s="4">
        <f t="shared" si="63"/>
        <v>4539.739302413117</v>
      </c>
      <c r="G631" s="2">
        <v>40204</v>
      </c>
      <c r="H631" s="7">
        <v>4.22</v>
      </c>
      <c r="I631" s="7">
        <f>H631+H616-2*$A$24</f>
        <v>7.3199999999999994</v>
      </c>
      <c r="J631" s="7">
        <v>3.48</v>
      </c>
      <c r="K631" s="7">
        <v>5.74</v>
      </c>
      <c r="L631" s="6">
        <f t="shared" si="64"/>
        <v>0.33333333333333337</v>
      </c>
      <c r="M631" s="6">
        <f t="shared" si="65"/>
        <v>0.55191256830601099</v>
      </c>
      <c r="N631" s="6">
        <f t="shared" si="66"/>
        <v>0.11475409836065564</v>
      </c>
      <c r="O631" s="4">
        <f t="shared" si="67"/>
        <v>1513.2464341377058</v>
      </c>
      <c r="P631" s="4">
        <f t="shared" si="68"/>
        <v>2505.539177834562</v>
      </c>
      <c r="Q631" s="4">
        <f t="shared" si="69"/>
        <v>4018.7856119722678</v>
      </c>
      <c r="V631" s="3"/>
      <c r="W631" s="3"/>
      <c r="Y631" s="7"/>
      <c r="Z631" s="7"/>
      <c r="AA631" s="7"/>
      <c r="AB631" s="7"/>
      <c r="AC631" s="9"/>
      <c r="AD631" s="9"/>
      <c r="AE631" s="9"/>
      <c r="AF631" s="3"/>
      <c r="AG631" s="3"/>
      <c r="AH631" s="3"/>
      <c r="AL631" s="11"/>
      <c r="AM631" s="3"/>
      <c r="AN631" s="3"/>
      <c r="AO631" s="11"/>
      <c r="AP631" s="7"/>
      <c r="AQ631" s="7"/>
      <c r="AR631" s="7"/>
      <c r="AS631" s="7"/>
      <c r="AT631" s="9"/>
      <c r="AU631" s="9"/>
      <c r="AV631" s="9"/>
      <c r="AW631" s="3"/>
      <c r="AX631" s="3"/>
      <c r="AY631" s="3"/>
    </row>
    <row r="632" spans="1:51" x14ac:dyDescent="0.25">
      <c r="A632">
        <v>599</v>
      </c>
      <c r="B632" s="1" t="s">
        <v>640</v>
      </c>
      <c r="C632" s="1" t="s">
        <v>682</v>
      </c>
      <c r="D632" s="2">
        <v>40830</v>
      </c>
      <c r="E632" s="3">
        <v>34.299999999999997</v>
      </c>
      <c r="F632" s="4">
        <f t="shared" si="63"/>
        <v>4956.0876759360581</v>
      </c>
      <c r="G632" s="2">
        <v>40204</v>
      </c>
      <c r="H632" s="7">
        <v>4.62</v>
      </c>
      <c r="I632" s="7">
        <f>H632+H615-2*$A$24</f>
        <v>7.66</v>
      </c>
      <c r="J632" s="7">
        <v>3.62</v>
      </c>
      <c r="K632" s="7">
        <v>5.98</v>
      </c>
      <c r="L632" s="6">
        <f t="shared" si="64"/>
        <v>0.33681462140992169</v>
      </c>
      <c r="M632" s="6">
        <f t="shared" si="65"/>
        <v>0.55874673629242821</v>
      </c>
      <c r="N632" s="6">
        <f t="shared" si="66"/>
        <v>0.1044386422976501</v>
      </c>
      <c r="O632" s="4">
        <f t="shared" si="67"/>
        <v>1669.2827942447821</v>
      </c>
      <c r="P632" s="4">
        <f t="shared" si="68"/>
        <v>2769.1978137083979</v>
      </c>
      <c r="Q632" s="4">
        <f t="shared" si="69"/>
        <v>4438.48060795318</v>
      </c>
      <c r="V632" s="3"/>
      <c r="W632" s="3"/>
      <c r="Y632" s="7"/>
      <c r="Z632" s="7"/>
      <c r="AA632" s="7"/>
      <c r="AB632" s="7"/>
      <c r="AC632" s="9"/>
      <c r="AD632" s="9"/>
      <c r="AE632" s="9"/>
      <c r="AF632" s="3"/>
      <c r="AG632" s="3"/>
      <c r="AH632" s="3"/>
      <c r="AJ632" t="s">
        <v>1020</v>
      </c>
      <c r="AK632" t="s">
        <v>682</v>
      </c>
      <c r="AL632" s="11">
        <f>D614</f>
        <v>40830</v>
      </c>
      <c r="AM632" s="3">
        <f>SUM(E614,E633)</f>
        <v>66.599999999999994</v>
      </c>
      <c r="AN632" s="3">
        <f>(AM632-4*$A$20)*$A$21/(2*$A$22)*$A$23</f>
        <v>4801.8845746312645</v>
      </c>
      <c r="AO632" s="11">
        <f>G614</f>
        <v>40204</v>
      </c>
      <c r="AP632" s="7">
        <f>SUM(H614,H633)</f>
        <v>7.74</v>
      </c>
      <c r="AQ632" s="7">
        <f>SUM(I614,I633)</f>
        <v>14.84</v>
      </c>
      <c r="AR632" s="7">
        <f>SUM(J614,J633)</f>
        <v>7</v>
      </c>
      <c r="AS632" s="7">
        <f>SUM(K614,K633)</f>
        <v>11.76</v>
      </c>
      <c r="AT632" s="9">
        <f>(AR632-2*$A$25)/AQ632</f>
        <v>0.33153638814016173</v>
      </c>
      <c r="AU632" s="9">
        <f>(AS632-2*$A$26)/AQ632</f>
        <v>0.56334231805929913</v>
      </c>
      <c r="AV632" s="9">
        <f>1-AT632-AU632</f>
        <v>0.10512129380053914</v>
      </c>
      <c r="AW632" s="3">
        <f>AN632*AT632</f>
        <v>1591.9994681392063</v>
      </c>
      <c r="AX632" s="3">
        <f>AN632*AU632</f>
        <v>2705.1047873259681</v>
      </c>
      <c r="AY632" s="3">
        <f>AW632+AX632</f>
        <v>4297.104255465174</v>
      </c>
    </row>
    <row r="633" spans="1:51" x14ac:dyDescent="0.25">
      <c r="A633">
        <v>600</v>
      </c>
      <c r="B633" s="1" t="s">
        <v>641</v>
      </c>
      <c r="C633" s="1" t="s">
        <v>682</v>
      </c>
      <c r="D633" s="2">
        <v>40830</v>
      </c>
      <c r="E633" s="3">
        <v>31.5</v>
      </c>
      <c r="F633" s="4">
        <f t="shared" si="63"/>
        <v>4524.3189922826368</v>
      </c>
      <c r="G633" s="2">
        <v>40204</v>
      </c>
      <c r="H633" s="7">
        <v>3.98</v>
      </c>
      <c r="I633" s="7">
        <f>H633+H614-2*$A$24</f>
        <v>7.42</v>
      </c>
      <c r="J633" s="7">
        <v>3.5</v>
      </c>
      <c r="K633" s="7">
        <v>5.88</v>
      </c>
      <c r="L633" s="6">
        <f t="shared" si="64"/>
        <v>0.33153638814016173</v>
      </c>
      <c r="M633" s="6">
        <f t="shared" si="65"/>
        <v>0.56334231805929913</v>
      </c>
      <c r="N633" s="6">
        <f t="shared" si="66"/>
        <v>0.10512129380053914</v>
      </c>
      <c r="O633" s="4">
        <f t="shared" si="67"/>
        <v>1499.9763774953217</v>
      </c>
      <c r="P633" s="4">
        <f t="shared" si="68"/>
        <v>2548.7403487522129</v>
      </c>
      <c r="Q633" s="4">
        <f t="shared" si="69"/>
        <v>4048.7167262475346</v>
      </c>
      <c r="V633" s="3"/>
      <c r="W633" s="3"/>
      <c r="Y633" s="7"/>
      <c r="Z633" s="7"/>
      <c r="AA633" s="7"/>
      <c r="AB633" s="7"/>
      <c r="AC633" s="9"/>
      <c r="AD633" s="9"/>
      <c r="AE633" s="9"/>
      <c r="AF633" s="3"/>
      <c r="AG633" s="3"/>
      <c r="AH633" s="3"/>
    </row>
    <row r="634" spans="1:51" x14ac:dyDescent="0.25">
      <c r="A634">
        <v>601</v>
      </c>
      <c r="B634" s="1" t="s">
        <v>642</v>
      </c>
      <c r="C634" s="1" t="s">
        <v>682</v>
      </c>
      <c r="D634" s="2">
        <v>40830</v>
      </c>
      <c r="E634" s="3">
        <v>30</v>
      </c>
      <c r="F634" s="4">
        <f t="shared" si="63"/>
        <v>4293.0143403254469</v>
      </c>
      <c r="G634" s="2">
        <v>40204</v>
      </c>
      <c r="H634" s="7">
        <v>3.8</v>
      </c>
      <c r="I634" s="7">
        <f>H634+H653-2*$A$24</f>
        <v>7.4799999999999995</v>
      </c>
      <c r="J634" s="7">
        <v>3.58</v>
      </c>
      <c r="K634" s="7">
        <v>5.98</v>
      </c>
      <c r="L634" s="6">
        <f t="shared" si="64"/>
        <v>0.33957219251336901</v>
      </c>
      <c r="M634" s="6">
        <f t="shared" si="65"/>
        <v>0.57219251336898402</v>
      </c>
      <c r="N634" s="6">
        <f t="shared" si="66"/>
        <v>8.8235294117646967E-2</v>
      </c>
      <c r="O634" s="4">
        <f t="shared" si="67"/>
        <v>1457.7882920356465</v>
      </c>
      <c r="P634" s="4">
        <f t="shared" si="68"/>
        <v>2456.4306653199083</v>
      </c>
      <c r="Q634" s="4">
        <f t="shared" si="69"/>
        <v>3914.2189573555547</v>
      </c>
      <c r="S634" t="s">
        <v>38</v>
      </c>
      <c r="T634" t="s">
        <v>682</v>
      </c>
      <c r="U634" s="8">
        <f>D634</f>
        <v>40830</v>
      </c>
      <c r="V634" s="3">
        <f>SUM(E634:E673)</f>
        <v>1047.4100000000001</v>
      </c>
      <c r="W634" s="3">
        <f>(V634-80*$A$20)*$A$21/(40*$A$22)*$A$23</f>
        <v>3704.768059622987</v>
      </c>
      <c r="X634" s="8">
        <f>G634</f>
        <v>40204</v>
      </c>
      <c r="Y634" s="7">
        <f>SUM(H634:H673)</f>
        <v>142.03999999999996</v>
      </c>
      <c r="Z634" s="7">
        <f>SUM(I634:I673)</f>
        <v>271.28000000000003</v>
      </c>
      <c r="AA634" s="7">
        <f>SUM(J634:J673)</f>
        <v>132.96</v>
      </c>
      <c r="AB634" s="7">
        <f>SUM(K634:K673)</f>
        <v>220.92000000000007</v>
      </c>
      <c r="AC634" s="9">
        <f>(AA634-40*$A$25)/Z634</f>
        <v>0.3367738130345031</v>
      </c>
      <c r="AD634" s="9">
        <f>(AB634-40*$A$26)/Z634</f>
        <v>0.56369802418165749</v>
      </c>
      <c r="AE634" s="9">
        <f>1-AC634-AD634</f>
        <v>9.9528162783839469E-2</v>
      </c>
      <c r="AF634" s="3">
        <f>W634*AC634</f>
        <v>1247.6688658476708</v>
      </c>
      <c r="AG634" s="3">
        <f>W634*AD634</f>
        <v>2088.3704352607911</v>
      </c>
      <c r="AH634" s="3">
        <f>AF634+AG634</f>
        <v>3336.0393011084616</v>
      </c>
      <c r="AJ634" t="s">
        <v>1021</v>
      </c>
      <c r="AK634" t="s">
        <v>682</v>
      </c>
      <c r="AL634" s="11">
        <f>D643</f>
        <v>40830</v>
      </c>
      <c r="AM634" s="3">
        <f>SUM(E643,E644)</f>
        <v>53</v>
      </c>
      <c r="AN634" s="3">
        <f>(AM634-4*$A$20)*$A$21/(2*$A$22)*$A$23</f>
        <v>3753.3034857586704</v>
      </c>
      <c r="AO634" s="11">
        <f>G643</f>
        <v>40204</v>
      </c>
      <c r="AP634" s="7">
        <f>SUM(H643,H644)</f>
        <v>7.1</v>
      </c>
      <c r="AQ634" s="7">
        <f>SUM(I643,I644)</f>
        <v>13.559999999999999</v>
      </c>
      <c r="AR634" s="7">
        <f>SUM(J643,J644)</f>
        <v>6.6</v>
      </c>
      <c r="AS634" s="7">
        <f>SUM(K643,K644)</f>
        <v>11.12</v>
      </c>
      <c r="AT634" s="9">
        <f>(AR634-2*$A$25)/AQ634</f>
        <v>0.33333333333333331</v>
      </c>
      <c r="AU634" s="9">
        <f>(AS634-2*$A$26)/AQ634</f>
        <v>0.56932153392330376</v>
      </c>
      <c r="AV634" s="9">
        <f>1-AT634-AU634</f>
        <v>9.7345132743362983E-2</v>
      </c>
      <c r="AW634" s="3">
        <f>AN634*AT634</f>
        <v>1251.1011619195567</v>
      </c>
      <c r="AX634" s="3">
        <f>AN634*AU634</f>
        <v>2136.8364977918091</v>
      </c>
      <c r="AY634" s="3">
        <f>AW634+AX634</f>
        <v>3387.937659711366</v>
      </c>
    </row>
    <row r="635" spans="1:51" x14ac:dyDescent="0.25">
      <c r="A635">
        <v>602</v>
      </c>
      <c r="B635" s="1" t="s">
        <v>643</v>
      </c>
      <c r="C635" s="1" t="s">
        <v>682</v>
      </c>
      <c r="D635" s="2">
        <v>40830</v>
      </c>
      <c r="E635" s="3">
        <v>30.799999999999997</v>
      </c>
      <c r="F635" s="4">
        <f t="shared" si="63"/>
        <v>4416.3768213692811</v>
      </c>
      <c r="G635" s="2">
        <v>40204</v>
      </c>
      <c r="H635" s="7">
        <v>3.52</v>
      </c>
      <c r="I635" s="7">
        <f>H635+H652-2*$A$24</f>
        <v>7.02</v>
      </c>
      <c r="J635" s="7">
        <v>3.44</v>
      </c>
      <c r="K635" s="7">
        <v>5.62</v>
      </c>
      <c r="L635" s="6">
        <f t="shared" si="64"/>
        <v>0.34188034188034189</v>
      </c>
      <c r="M635" s="6">
        <f t="shared" si="65"/>
        <v>0.55840455840455838</v>
      </c>
      <c r="N635" s="6">
        <f t="shared" si="66"/>
        <v>9.9715099715099731E-2</v>
      </c>
      <c r="O635" s="4">
        <f t="shared" si="67"/>
        <v>1509.8724175621473</v>
      </c>
      <c r="P635" s="4">
        <f t="shared" si="68"/>
        <v>2466.1249486848405</v>
      </c>
      <c r="Q635" s="4">
        <f t="shared" si="69"/>
        <v>3975.9973662469879</v>
      </c>
      <c r="V635" s="3"/>
      <c r="W635" s="3"/>
      <c r="Y635" s="7"/>
      <c r="Z635" s="7"/>
      <c r="AA635" s="7"/>
      <c r="AB635" s="7"/>
      <c r="AC635" s="9"/>
      <c r="AD635" s="9"/>
      <c r="AE635" s="9"/>
      <c r="AF635" s="3"/>
      <c r="AG635" s="3"/>
      <c r="AH635" s="3"/>
      <c r="AL635" s="11"/>
      <c r="AM635" s="3"/>
      <c r="AN635" s="3"/>
      <c r="AO635" s="11"/>
      <c r="AP635" s="7"/>
      <c r="AQ635" s="7"/>
      <c r="AR635" s="7"/>
      <c r="AS635" s="7"/>
      <c r="AT635" s="9"/>
      <c r="AU635" s="9"/>
      <c r="AV635" s="9"/>
      <c r="AW635" s="3"/>
      <c r="AX635" s="3"/>
      <c r="AY635" s="3"/>
    </row>
    <row r="636" spans="1:51" x14ac:dyDescent="0.25">
      <c r="A636">
        <v>603</v>
      </c>
      <c r="B636" s="1" t="s">
        <v>644</v>
      </c>
      <c r="C636" s="1" t="s">
        <v>682</v>
      </c>
      <c r="D636" s="2">
        <v>40830</v>
      </c>
      <c r="E636" s="3">
        <v>28.299999999999997</v>
      </c>
      <c r="F636" s="4">
        <f t="shared" si="63"/>
        <v>4030.8690681072981</v>
      </c>
      <c r="G636" s="2">
        <v>40204</v>
      </c>
      <c r="H636" s="7">
        <v>3.9</v>
      </c>
      <c r="I636" s="7">
        <f>H636+H651-2*$A$24</f>
        <v>7.4799999999999995</v>
      </c>
      <c r="J636" s="7">
        <v>3.6</v>
      </c>
      <c r="K636" s="7">
        <v>5.54</v>
      </c>
      <c r="L636" s="6">
        <f t="shared" si="64"/>
        <v>0.34224598930481287</v>
      </c>
      <c r="M636" s="6">
        <f t="shared" si="65"/>
        <v>0.5133689839572193</v>
      </c>
      <c r="N636" s="6">
        <f t="shared" si="66"/>
        <v>0.14438502673796783</v>
      </c>
      <c r="O636" s="4">
        <f t="shared" si="67"/>
        <v>1379.5487719725513</v>
      </c>
      <c r="P636" s="4">
        <f t="shared" si="68"/>
        <v>2069.3231579588269</v>
      </c>
      <c r="Q636" s="4">
        <f t="shared" si="69"/>
        <v>3448.871929931378</v>
      </c>
      <c r="V636" s="3"/>
      <c r="W636" s="3"/>
      <c r="Y636" s="7"/>
      <c r="Z636" s="7"/>
      <c r="AA636" s="7"/>
      <c r="AB636" s="7"/>
      <c r="AC636" s="9"/>
      <c r="AD636" s="9"/>
      <c r="AE636" s="9"/>
      <c r="AF636" s="3"/>
      <c r="AG636" s="3"/>
      <c r="AH636" s="3"/>
      <c r="AJ636" t="s">
        <v>1022</v>
      </c>
      <c r="AK636" t="s">
        <v>682</v>
      </c>
      <c r="AL636" s="11">
        <f>D642</f>
        <v>40830</v>
      </c>
      <c r="AM636" s="3">
        <f>SUM(E642,E645)</f>
        <v>54.300000000000004</v>
      </c>
      <c r="AN636" s="3">
        <f>(AM636-4*$A$20)*$A$21/(2*$A$22)*$A$23</f>
        <v>3853.5355016067861</v>
      </c>
      <c r="AO636" s="11">
        <f>G642</f>
        <v>40204</v>
      </c>
      <c r="AP636" s="7">
        <f>SUM(H642,H645)</f>
        <v>7.72</v>
      </c>
      <c r="AQ636" s="7">
        <f>SUM(I642,I645)</f>
        <v>14.799999999999999</v>
      </c>
      <c r="AR636" s="7">
        <f>SUM(J642,J645)</f>
        <v>7.12</v>
      </c>
      <c r="AS636" s="7">
        <f>SUM(K642,K645)</f>
        <v>12.04</v>
      </c>
      <c r="AT636" s="9">
        <f>(AR636-2*$A$25)/AQ636</f>
        <v>0.34054054054054056</v>
      </c>
      <c r="AU636" s="9">
        <f>(AS636-2*$A$26)/AQ636</f>
        <v>0.58378378378378371</v>
      </c>
      <c r="AV636" s="9">
        <f>1-AT636-AU636</f>
        <v>7.567567567567568E-2</v>
      </c>
      <c r="AW636" s="3">
        <f>AN636*AT636</f>
        <v>1312.285062709338</v>
      </c>
      <c r="AX636" s="3">
        <f>AN636*AU636</f>
        <v>2249.6315360731505</v>
      </c>
      <c r="AY636" s="3">
        <f>AW636+AX636</f>
        <v>3561.9165987824886</v>
      </c>
    </row>
    <row r="637" spans="1:51" x14ac:dyDescent="0.25">
      <c r="A637">
        <v>604</v>
      </c>
      <c r="B637" s="1" t="s">
        <v>645</v>
      </c>
      <c r="C637" s="1" t="s">
        <v>682</v>
      </c>
      <c r="D637" s="2">
        <v>40830</v>
      </c>
      <c r="E637" s="3">
        <v>27.8</v>
      </c>
      <c r="F637" s="4">
        <f t="shared" si="63"/>
        <v>3953.7675174549017</v>
      </c>
      <c r="G637" s="2">
        <v>40204</v>
      </c>
      <c r="H637" s="7">
        <v>3.92</v>
      </c>
      <c r="I637" s="7">
        <f>H637+H650-2*$A$24</f>
        <v>6.66</v>
      </c>
      <c r="J637" s="7">
        <v>3.24</v>
      </c>
      <c r="K637" s="7">
        <v>5.5</v>
      </c>
      <c r="L637" s="6">
        <f t="shared" si="64"/>
        <v>0.33033033033033032</v>
      </c>
      <c r="M637" s="6">
        <f t="shared" si="65"/>
        <v>0.57057057057057048</v>
      </c>
      <c r="N637" s="6">
        <f t="shared" si="66"/>
        <v>9.9099099099099197E-2</v>
      </c>
      <c r="O637" s="4">
        <f t="shared" si="67"/>
        <v>1306.0493300902078</v>
      </c>
      <c r="P637" s="4">
        <f t="shared" si="68"/>
        <v>2255.9033883376314</v>
      </c>
      <c r="Q637" s="4">
        <f t="shared" si="69"/>
        <v>3561.9527184278395</v>
      </c>
      <c r="V637" s="3"/>
      <c r="W637" s="3"/>
      <c r="Y637" s="7"/>
      <c r="Z637" s="7"/>
      <c r="AA637" s="7"/>
      <c r="AB637" s="7"/>
      <c r="AC637" s="9"/>
      <c r="AD637" s="9"/>
      <c r="AE637" s="9"/>
      <c r="AF637" s="3"/>
      <c r="AG637" s="3"/>
      <c r="AH637" s="3"/>
      <c r="AL637" s="11"/>
      <c r="AM637" s="3"/>
      <c r="AN637" s="3"/>
      <c r="AO637" s="11"/>
      <c r="AP637" s="7"/>
      <c r="AQ637" s="7"/>
      <c r="AR637" s="7"/>
      <c r="AS637" s="7"/>
      <c r="AT637" s="9"/>
      <c r="AU637" s="9"/>
      <c r="AV637" s="9"/>
      <c r="AW637" s="3"/>
      <c r="AX637" s="3"/>
      <c r="AY637" s="3"/>
    </row>
    <row r="638" spans="1:51" x14ac:dyDescent="0.25">
      <c r="A638">
        <v>605</v>
      </c>
      <c r="B638" s="1" t="s">
        <v>646</v>
      </c>
      <c r="C638" s="1" t="s">
        <v>682</v>
      </c>
      <c r="D638" s="2">
        <v>40830</v>
      </c>
      <c r="E638" s="3">
        <v>26</v>
      </c>
      <c r="F638" s="4">
        <f t="shared" si="63"/>
        <v>3676.2019351062736</v>
      </c>
      <c r="G638" s="2">
        <v>40204</v>
      </c>
      <c r="H638" s="7">
        <v>3.94</v>
      </c>
      <c r="I638" s="7">
        <f>H638+H649-2*$A$24</f>
        <v>7.5</v>
      </c>
      <c r="J638" s="7">
        <v>3.52</v>
      </c>
      <c r="K638" s="7">
        <v>5.98</v>
      </c>
      <c r="L638" s="6">
        <f t="shared" si="64"/>
        <v>0.33066666666666666</v>
      </c>
      <c r="M638" s="6">
        <f t="shared" si="65"/>
        <v>0.57066666666666666</v>
      </c>
      <c r="N638" s="6">
        <f t="shared" si="66"/>
        <v>9.866666666666668E-2</v>
      </c>
      <c r="O638" s="4">
        <f t="shared" si="67"/>
        <v>1215.5974398751412</v>
      </c>
      <c r="P638" s="4">
        <f t="shared" si="68"/>
        <v>2097.8859043006469</v>
      </c>
      <c r="Q638" s="4">
        <f t="shared" si="69"/>
        <v>3313.4833441757883</v>
      </c>
      <c r="V638" s="3"/>
      <c r="W638" s="3"/>
      <c r="Y638" s="7"/>
      <c r="Z638" s="7"/>
      <c r="AA638" s="7"/>
      <c r="AB638" s="7"/>
      <c r="AC638" s="9"/>
      <c r="AD638" s="9"/>
      <c r="AE638" s="9"/>
      <c r="AF638" s="3"/>
      <c r="AG638" s="3"/>
      <c r="AH638" s="3"/>
      <c r="AJ638" t="s">
        <v>1023</v>
      </c>
      <c r="AK638" t="s">
        <v>682</v>
      </c>
      <c r="AL638" s="11">
        <f>D641</f>
        <v>40830</v>
      </c>
      <c r="AM638" s="3">
        <f>SUM(E641,E646)</f>
        <v>49</v>
      </c>
      <c r="AN638" s="3">
        <f>(AM638-4*$A$20)*$A$21/(2*$A$22)*$A$23</f>
        <v>3444.8972831490837</v>
      </c>
      <c r="AO638" s="11">
        <f>G641</f>
        <v>40204</v>
      </c>
      <c r="AP638" s="7">
        <f>SUM(H641,H646)</f>
        <v>7.38</v>
      </c>
      <c r="AQ638" s="7">
        <f>SUM(I641,I646)</f>
        <v>14.12</v>
      </c>
      <c r="AR638" s="7">
        <f>SUM(J641,J646)</f>
        <v>6.72</v>
      </c>
      <c r="AS638" s="7">
        <f>SUM(K641,K646)</f>
        <v>11.4</v>
      </c>
      <c r="AT638" s="9">
        <f>(AR638-2*$A$25)/AQ638</f>
        <v>0.32861189801699714</v>
      </c>
      <c r="AU638" s="9">
        <f>(AS638-2*$A$26)/AQ638</f>
        <v>0.56657223796033995</v>
      </c>
      <c r="AV638" s="9">
        <f>1-AT638-AU638</f>
        <v>0.10481586402266285</v>
      </c>
      <c r="AW638" s="3">
        <f>AN638*AT638</f>
        <v>1132.0342346892171</v>
      </c>
      <c r="AX638" s="3">
        <f>AN638*AU638</f>
        <v>1951.7831632572713</v>
      </c>
      <c r="AY638" s="3">
        <f>AW638+AX638</f>
        <v>3083.8173979464882</v>
      </c>
    </row>
    <row r="639" spans="1:51" x14ac:dyDescent="0.25">
      <c r="A639">
        <v>606</v>
      </c>
      <c r="B639" s="1" t="s">
        <v>647</v>
      </c>
      <c r="C639" s="1" t="s">
        <v>682</v>
      </c>
      <c r="D639" s="2">
        <v>40830</v>
      </c>
      <c r="E639" s="3">
        <v>26</v>
      </c>
      <c r="F639" s="4">
        <f t="shared" si="63"/>
        <v>3676.2019351062736</v>
      </c>
      <c r="G639" s="2">
        <v>40204</v>
      </c>
      <c r="H639" s="7">
        <v>3.9</v>
      </c>
      <c r="I639" s="7">
        <f>H639+H648-2*$A$24</f>
        <v>7.34</v>
      </c>
      <c r="J639" s="7">
        <v>3.56</v>
      </c>
      <c r="K639" s="7">
        <v>5.64</v>
      </c>
      <c r="L639" s="6">
        <f t="shared" si="64"/>
        <v>0.34332425068119893</v>
      </c>
      <c r="M639" s="6">
        <f t="shared" si="65"/>
        <v>0.5367847411444141</v>
      </c>
      <c r="N639" s="6">
        <f t="shared" si="66"/>
        <v>0.11989100817438703</v>
      </c>
      <c r="O639" s="4">
        <f t="shared" si="67"/>
        <v>1262.1292747231348</v>
      </c>
      <c r="P639" s="4">
        <f t="shared" si="68"/>
        <v>1973.3291041306152</v>
      </c>
      <c r="Q639" s="4">
        <f t="shared" si="69"/>
        <v>3235.4583788537502</v>
      </c>
      <c r="V639" s="3"/>
      <c r="W639" s="3"/>
      <c r="Y639" s="7"/>
      <c r="Z639" s="7"/>
      <c r="AA639" s="7"/>
      <c r="AB639" s="7"/>
      <c r="AC639" s="9"/>
      <c r="AD639" s="9"/>
      <c r="AE639" s="9"/>
      <c r="AF639" s="3"/>
      <c r="AG639" s="3"/>
      <c r="AH639" s="3"/>
      <c r="AL639" s="11"/>
      <c r="AM639" s="3"/>
      <c r="AN639" s="3"/>
      <c r="AO639" s="11"/>
      <c r="AP639" s="7"/>
      <c r="AQ639" s="7"/>
      <c r="AR639" s="7"/>
      <c r="AS639" s="7"/>
      <c r="AT639" s="9"/>
      <c r="AU639" s="9"/>
      <c r="AV639" s="9"/>
      <c r="AW639" s="3"/>
      <c r="AX639" s="3"/>
      <c r="AY639" s="3"/>
    </row>
    <row r="640" spans="1:51" x14ac:dyDescent="0.25">
      <c r="A640">
        <v>607</v>
      </c>
      <c r="B640" s="1" t="s">
        <v>648</v>
      </c>
      <c r="C640" s="1" t="s">
        <v>682</v>
      </c>
      <c r="D640" s="2">
        <v>40830</v>
      </c>
      <c r="E640" s="3">
        <v>23.299999999999997</v>
      </c>
      <c r="F640" s="4">
        <f t="shared" si="63"/>
        <v>3259.8535615833312</v>
      </c>
      <c r="G640" s="2">
        <v>40204</v>
      </c>
      <c r="H640" s="7">
        <v>3.82</v>
      </c>
      <c r="I640" s="7">
        <f>H640+H647-2*$A$24</f>
        <v>6.879999999999999</v>
      </c>
      <c r="J640" s="7">
        <v>3.38</v>
      </c>
      <c r="K640" s="7">
        <v>5.6</v>
      </c>
      <c r="L640" s="6">
        <f t="shared" si="64"/>
        <v>0.34011627906976749</v>
      </c>
      <c r="M640" s="6">
        <f t="shared" si="65"/>
        <v>0.56686046511627908</v>
      </c>
      <c r="N640" s="6">
        <f t="shared" si="66"/>
        <v>9.3023255813953432E-2</v>
      </c>
      <c r="O640" s="4">
        <f t="shared" si="67"/>
        <v>1108.7292636780517</v>
      </c>
      <c r="P640" s="4">
        <f t="shared" si="68"/>
        <v>1847.882106130086</v>
      </c>
      <c r="Q640" s="4">
        <f t="shared" si="69"/>
        <v>2956.6113698081376</v>
      </c>
      <c r="V640" s="3"/>
      <c r="W640" s="3"/>
      <c r="Y640" s="7"/>
      <c r="Z640" s="7"/>
      <c r="AA640" s="7"/>
      <c r="AB640" s="7"/>
      <c r="AC640" s="9"/>
      <c r="AD640" s="9"/>
      <c r="AE640" s="9"/>
      <c r="AF640" s="3"/>
      <c r="AG640" s="3"/>
      <c r="AH640" s="3"/>
      <c r="AJ640" t="s">
        <v>1024</v>
      </c>
      <c r="AK640" t="s">
        <v>682</v>
      </c>
      <c r="AL640" s="11">
        <f>D640</f>
        <v>40830</v>
      </c>
      <c r="AM640" s="3">
        <f>SUM(E640,E647)</f>
        <v>50.4</v>
      </c>
      <c r="AN640" s="3">
        <f>(AM640-4*$A$20)*$A$21/(2*$A$22)*$A$23</f>
        <v>3552.8394540624386</v>
      </c>
      <c r="AO640" s="11">
        <f>G640</f>
        <v>40204</v>
      </c>
      <c r="AP640" s="7">
        <f>SUM(H640,H647)</f>
        <v>7.1999999999999993</v>
      </c>
      <c r="AQ640" s="7">
        <f>SUM(I640,I647)</f>
        <v>13.759999999999998</v>
      </c>
      <c r="AR640" s="7">
        <f>SUM(J640,J647)</f>
        <v>6.76</v>
      </c>
      <c r="AS640" s="7">
        <f>SUM(K640,K647)</f>
        <v>11.2</v>
      </c>
      <c r="AT640" s="9">
        <f>(AR640-2*$A$25)/AQ640</f>
        <v>0.34011627906976749</v>
      </c>
      <c r="AU640" s="9">
        <f>(AS640-2*$A$26)/AQ640</f>
        <v>0.56686046511627908</v>
      </c>
      <c r="AV640" s="9">
        <f>1-AT640-AU640</f>
        <v>9.3023255813953432E-2</v>
      </c>
      <c r="AW640" s="3">
        <f>AN640*AT640</f>
        <v>1208.3785352479808</v>
      </c>
      <c r="AX640" s="3">
        <f>AN640*AU640</f>
        <v>2013.9642254133009</v>
      </c>
      <c r="AY640" s="3">
        <f>AW640+AX640</f>
        <v>3222.3427606612818</v>
      </c>
    </row>
    <row r="641" spans="1:51" x14ac:dyDescent="0.25">
      <c r="A641">
        <v>608</v>
      </c>
      <c r="B641" s="1" t="s">
        <v>649</v>
      </c>
      <c r="C641" s="1" t="s">
        <v>682</v>
      </c>
      <c r="D641" s="2">
        <v>40830</v>
      </c>
      <c r="E641" s="3">
        <v>22</v>
      </c>
      <c r="F641" s="4">
        <f t="shared" si="63"/>
        <v>3059.3895298870998</v>
      </c>
      <c r="G641" s="2">
        <v>40204</v>
      </c>
      <c r="H641" s="7">
        <v>4.08</v>
      </c>
      <c r="I641" s="7">
        <f>H641+H646-2*$A$24</f>
        <v>7.06</v>
      </c>
      <c r="J641" s="7">
        <v>3.36</v>
      </c>
      <c r="K641" s="7">
        <v>5.7</v>
      </c>
      <c r="L641" s="6">
        <f t="shared" si="64"/>
        <v>0.32861189801699714</v>
      </c>
      <c r="M641" s="6">
        <f t="shared" si="65"/>
        <v>0.56657223796033995</v>
      </c>
      <c r="N641" s="6">
        <f t="shared" si="66"/>
        <v>0.10481586402266285</v>
      </c>
      <c r="O641" s="4">
        <f t="shared" si="67"/>
        <v>1005.3518001895285</v>
      </c>
      <c r="P641" s="4">
        <f t="shared" si="68"/>
        <v>1733.3651727405665</v>
      </c>
      <c r="Q641" s="4">
        <f t="shared" si="69"/>
        <v>2738.7169729300949</v>
      </c>
      <c r="V641" s="3"/>
      <c r="W641" s="3"/>
      <c r="Y641" s="7"/>
      <c r="Z641" s="7"/>
      <c r="AA641" s="7"/>
      <c r="AB641" s="7"/>
      <c r="AC641" s="9"/>
      <c r="AD641" s="9"/>
      <c r="AE641" s="9"/>
      <c r="AF641" s="3"/>
      <c r="AG641" s="3"/>
      <c r="AH641" s="3"/>
      <c r="AL641" s="11"/>
      <c r="AM641" s="3"/>
      <c r="AN641" s="3"/>
      <c r="AO641" s="11"/>
      <c r="AP641" s="7"/>
      <c r="AQ641" s="7"/>
      <c r="AR641" s="7"/>
      <c r="AS641" s="7"/>
      <c r="AT641" s="9"/>
      <c r="AU641" s="9"/>
      <c r="AV641" s="9"/>
      <c r="AW641" s="3"/>
      <c r="AX641" s="3"/>
      <c r="AY641" s="3"/>
    </row>
    <row r="642" spans="1:51" x14ac:dyDescent="0.25">
      <c r="A642">
        <v>609</v>
      </c>
      <c r="B642" s="1" t="s">
        <v>650</v>
      </c>
      <c r="C642" s="1" t="s">
        <v>682</v>
      </c>
      <c r="D642" s="2">
        <v>40830</v>
      </c>
      <c r="E642" s="3">
        <v>26.1</v>
      </c>
      <c r="F642" s="4">
        <f t="shared" si="63"/>
        <v>3691.6222452367538</v>
      </c>
      <c r="G642" s="2">
        <v>40204</v>
      </c>
      <c r="H642" s="7">
        <v>3.94</v>
      </c>
      <c r="I642" s="7">
        <f>H642+H645-2*$A$24</f>
        <v>7.3999999999999995</v>
      </c>
      <c r="J642" s="7">
        <v>3.56</v>
      </c>
      <c r="K642" s="7">
        <v>6.02</v>
      </c>
      <c r="L642" s="6">
        <f t="shared" si="64"/>
        <v>0.34054054054054056</v>
      </c>
      <c r="M642" s="6">
        <f t="shared" si="65"/>
        <v>0.58378378378378371</v>
      </c>
      <c r="N642" s="6">
        <f t="shared" si="66"/>
        <v>7.567567567567568E-2</v>
      </c>
      <c r="O642" s="4">
        <f t="shared" si="67"/>
        <v>1257.1470348644082</v>
      </c>
      <c r="P642" s="4">
        <f t="shared" si="68"/>
        <v>2155.1092026246993</v>
      </c>
      <c r="Q642" s="4">
        <f t="shared" si="69"/>
        <v>3412.2562374891077</v>
      </c>
      <c r="V642" s="3"/>
      <c r="W642" s="3"/>
      <c r="Y642" s="7"/>
      <c r="Z642" s="7"/>
      <c r="AA642" s="7"/>
      <c r="AB642" s="7"/>
      <c r="AC642" s="9"/>
      <c r="AD642" s="9"/>
      <c r="AE642" s="9"/>
      <c r="AF642" s="3"/>
      <c r="AG642" s="3"/>
      <c r="AH642" s="3"/>
      <c r="AJ642" t="s">
        <v>1025</v>
      </c>
      <c r="AK642" t="s">
        <v>682</v>
      </c>
      <c r="AL642" s="11">
        <f>D639</f>
        <v>40830</v>
      </c>
      <c r="AM642" s="3">
        <f>SUM(E639,E648)</f>
        <v>54.9</v>
      </c>
      <c r="AN642" s="3">
        <f>(AM642-4*$A$20)*$A$21/(2*$A$22)*$A$23</f>
        <v>3899.7964319982243</v>
      </c>
      <c r="AO642" s="11">
        <f>G639</f>
        <v>40204</v>
      </c>
      <c r="AP642" s="7">
        <f>SUM(H639,H648)</f>
        <v>7.66</v>
      </c>
      <c r="AQ642" s="7">
        <f>SUM(I639,I648)</f>
        <v>14.68</v>
      </c>
      <c r="AR642" s="7">
        <f>SUM(J639,J648)</f>
        <v>7.12</v>
      </c>
      <c r="AS642" s="7">
        <f>SUM(K639,K648)</f>
        <v>11.28</v>
      </c>
      <c r="AT642" s="9">
        <f>(AR642-2*$A$25)/AQ642</f>
        <v>0.34332425068119893</v>
      </c>
      <c r="AU642" s="9">
        <f>(AS642-2*$A$26)/AQ642</f>
        <v>0.5367847411444141</v>
      </c>
      <c r="AV642" s="9">
        <f>1-AT642-AU642</f>
        <v>0.11989100817438703</v>
      </c>
      <c r="AW642" s="3">
        <f>AN642*AT642</f>
        <v>1338.8946878250035</v>
      </c>
      <c r="AX642" s="3">
        <f>AN642*AU642</f>
        <v>2093.3512182660766</v>
      </c>
      <c r="AY642" s="3">
        <f>AW642+AX642</f>
        <v>3432.2459060910801</v>
      </c>
    </row>
    <row r="643" spans="1:51" x14ac:dyDescent="0.25">
      <c r="A643">
        <v>610</v>
      </c>
      <c r="B643" s="1" t="s">
        <v>651</v>
      </c>
      <c r="C643" s="1" t="s">
        <v>682</v>
      </c>
      <c r="D643" s="2">
        <v>40830</v>
      </c>
      <c r="E643" s="3">
        <v>24.3</v>
      </c>
      <c r="F643" s="4">
        <f t="shared" si="63"/>
        <v>3414.0566628881252</v>
      </c>
      <c r="G643" s="2">
        <v>40204</v>
      </c>
      <c r="H643" s="7">
        <v>3.7</v>
      </c>
      <c r="I643" s="7">
        <f>H643+H644-2*$A$24</f>
        <v>6.7799999999999994</v>
      </c>
      <c r="J643" s="7">
        <v>3.3</v>
      </c>
      <c r="K643" s="7">
        <v>5.56</v>
      </c>
      <c r="L643" s="6">
        <f t="shared" si="64"/>
        <v>0.33333333333333331</v>
      </c>
      <c r="M643" s="6">
        <f t="shared" si="65"/>
        <v>0.56932153392330376</v>
      </c>
      <c r="N643" s="6">
        <f t="shared" si="66"/>
        <v>9.7345132743362983E-2</v>
      </c>
      <c r="O643" s="4">
        <f t="shared" si="67"/>
        <v>1138.0188876293751</v>
      </c>
      <c r="P643" s="4">
        <f t="shared" si="68"/>
        <v>1943.6959762165429</v>
      </c>
      <c r="Q643" s="4">
        <f t="shared" si="69"/>
        <v>3081.714863845918</v>
      </c>
      <c r="W643" s="3"/>
      <c r="Y643" s="7"/>
      <c r="Z643" s="7"/>
      <c r="AA643" s="7"/>
      <c r="AB643" s="7"/>
      <c r="AC643" s="9"/>
      <c r="AD643" s="9"/>
      <c r="AE643" s="9"/>
      <c r="AF643" s="3"/>
      <c r="AG643" s="3"/>
      <c r="AH643" s="3"/>
      <c r="AL643" s="11"/>
      <c r="AM643" s="3"/>
      <c r="AN643" s="3"/>
      <c r="AO643" s="11"/>
      <c r="AP643" s="7"/>
      <c r="AQ643" s="7"/>
      <c r="AR643" s="7"/>
      <c r="AS643" s="7"/>
      <c r="AT643" s="9"/>
      <c r="AU643" s="9"/>
      <c r="AV643" s="9"/>
      <c r="AW643" s="3"/>
      <c r="AX643" s="3"/>
      <c r="AY643" s="3"/>
    </row>
    <row r="644" spans="1:51" x14ac:dyDescent="0.25">
      <c r="A644">
        <v>611</v>
      </c>
      <c r="B644" s="1" t="s">
        <v>652</v>
      </c>
      <c r="C644" s="1" t="s">
        <v>682</v>
      </c>
      <c r="D644" s="2">
        <v>40830</v>
      </c>
      <c r="E644" s="3">
        <v>28.700000000000003</v>
      </c>
      <c r="F644" s="4">
        <f t="shared" si="63"/>
        <v>4092.550308629216</v>
      </c>
      <c r="G644" s="2">
        <v>40204</v>
      </c>
      <c r="H644" s="7">
        <v>3.4</v>
      </c>
      <c r="I644" s="7">
        <f>H644+H643-2*$A$24</f>
        <v>6.7799999999999994</v>
      </c>
      <c r="J644" s="7">
        <v>3.3</v>
      </c>
      <c r="K644" s="7">
        <v>5.56</v>
      </c>
      <c r="L644" s="6">
        <f t="shared" si="64"/>
        <v>0.33333333333333331</v>
      </c>
      <c r="M644" s="6">
        <f t="shared" si="65"/>
        <v>0.56932153392330376</v>
      </c>
      <c r="N644" s="6">
        <f t="shared" si="66"/>
        <v>9.7345132743362983E-2</v>
      </c>
      <c r="O644" s="4">
        <f t="shared" si="67"/>
        <v>1364.1834362097386</v>
      </c>
      <c r="P644" s="4">
        <f t="shared" si="68"/>
        <v>2329.9770193670756</v>
      </c>
      <c r="Q644" s="4">
        <f t="shared" si="69"/>
        <v>3694.1604555768145</v>
      </c>
      <c r="W644" s="3"/>
      <c r="Y644" s="7"/>
      <c r="Z644" s="7"/>
      <c r="AA644" s="7"/>
      <c r="AB644" s="7"/>
      <c r="AC644" s="9"/>
      <c r="AD644" s="9"/>
      <c r="AE644" s="9"/>
      <c r="AF644" s="3"/>
      <c r="AG644" s="3"/>
      <c r="AH644" s="3"/>
      <c r="AJ644" t="s">
        <v>1026</v>
      </c>
      <c r="AK644" t="s">
        <v>682</v>
      </c>
      <c r="AL644" s="11">
        <f>D638</f>
        <v>40830</v>
      </c>
      <c r="AM644" s="3">
        <f>SUM(E638,E649)</f>
        <v>54.8</v>
      </c>
      <c r="AN644" s="3">
        <f>(AM644-4*$A$20)*$A$21/(2*$A$22)*$A$23</f>
        <v>3892.0862769329838</v>
      </c>
      <c r="AO644" s="11">
        <f>G638</f>
        <v>40204</v>
      </c>
      <c r="AP644" s="7">
        <f>SUM(H638,H649)</f>
        <v>7.82</v>
      </c>
      <c r="AQ644" s="7">
        <f>SUM(I638,I649)</f>
        <v>15</v>
      </c>
      <c r="AR644" s="7">
        <f>SUM(J638,J649)</f>
        <v>7.04</v>
      </c>
      <c r="AS644" s="7">
        <f>SUM(K638,K649)</f>
        <v>11.96</v>
      </c>
      <c r="AT644" s="9">
        <f>(AR644-2*$A$25)/AQ644</f>
        <v>0.33066666666666666</v>
      </c>
      <c r="AU644" s="9">
        <f>(AS644-2*$A$26)/AQ644</f>
        <v>0.57066666666666666</v>
      </c>
      <c r="AV644" s="9">
        <f>1-AT644-AU644</f>
        <v>9.866666666666668E-2</v>
      </c>
      <c r="AW644" s="3">
        <f>AN644*AT644</f>
        <v>1286.9831955725067</v>
      </c>
      <c r="AX644" s="3">
        <f>AN644*AU644</f>
        <v>2221.0839020364228</v>
      </c>
      <c r="AY644" s="3">
        <f>AW644+AX644</f>
        <v>3508.0670976089295</v>
      </c>
    </row>
    <row r="645" spans="1:51" x14ac:dyDescent="0.25">
      <c r="A645">
        <v>612</v>
      </c>
      <c r="B645" s="1" t="s">
        <v>653</v>
      </c>
      <c r="C645" s="1" t="s">
        <v>682</v>
      </c>
      <c r="D645" s="2">
        <v>40830</v>
      </c>
      <c r="E645" s="3">
        <v>28.200000000000003</v>
      </c>
      <c r="F645" s="4">
        <f t="shared" si="63"/>
        <v>4015.4487579768193</v>
      </c>
      <c r="G645" s="2">
        <v>40204</v>
      </c>
      <c r="H645" s="7">
        <v>3.78</v>
      </c>
      <c r="I645" s="7">
        <f>H645+H642-2*$A$24</f>
        <v>7.3999999999999995</v>
      </c>
      <c r="J645" s="7">
        <v>3.56</v>
      </c>
      <c r="K645" s="7">
        <v>6.02</v>
      </c>
      <c r="L645" s="6">
        <f t="shared" si="64"/>
        <v>0.34054054054054056</v>
      </c>
      <c r="M645" s="6">
        <f t="shared" si="65"/>
        <v>0.58378378378378371</v>
      </c>
      <c r="N645" s="6">
        <f t="shared" si="66"/>
        <v>7.567567567567568E-2</v>
      </c>
      <c r="O645" s="4">
        <f t="shared" si="67"/>
        <v>1367.4230905542684</v>
      </c>
      <c r="P645" s="4">
        <f t="shared" si="68"/>
        <v>2344.1538695216022</v>
      </c>
      <c r="Q645" s="4">
        <f t="shared" si="69"/>
        <v>3711.5769600758704</v>
      </c>
      <c r="W645" s="3"/>
      <c r="Y645" s="7"/>
      <c r="Z645" s="7"/>
      <c r="AA645" s="7"/>
      <c r="AB645" s="7"/>
      <c r="AC645" s="9"/>
      <c r="AD645" s="9"/>
      <c r="AE645" s="9"/>
      <c r="AF645" s="3"/>
      <c r="AG645" s="3"/>
      <c r="AH645" s="3"/>
      <c r="AL645" s="11"/>
      <c r="AM645" s="3"/>
      <c r="AN645" s="3"/>
      <c r="AO645" s="11"/>
      <c r="AP645" s="7"/>
      <c r="AQ645" s="7"/>
      <c r="AR645" s="7"/>
      <c r="AS645" s="7"/>
      <c r="AT645" s="9"/>
      <c r="AU645" s="9"/>
      <c r="AV645" s="9"/>
      <c r="AW645" s="3"/>
      <c r="AX645" s="3"/>
      <c r="AY645" s="3"/>
    </row>
    <row r="646" spans="1:51" x14ac:dyDescent="0.25">
      <c r="A646">
        <v>613</v>
      </c>
      <c r="B646" s="1" t="s">
        <v>654</v>
      </c>
      <c r="C646" s="1" t="s">
        <v>682</v>
      </c>
      <c r="D646" s="2">
        <v>40830</v>
      </c>
      <c r="E646" s="3">
        <v>27</v>
      </c>
      <c r="F646" s="4">
        <f t="shared" si="63"/>
        <v>3830.4050364110672</v>
      </c>
      <c r="G646" s="2">
        <v>40204</v>
      </c>
      <c r="H646" s="7">
        <v>3.3</v>
      </c>
      <c r="I646" s="7">
        <f>H646+H641-2*$A$24</f>
        <v>7.06</v>
      </c>
      <c r="J646" s="7">
        <v>3.36</v>
      </c>
      <c r="K646" s="7">
        <v>5.7</v>
      </c>
      <c r="L646" s="6">
        <f t="shared" si="64"/>
        <v>0.32861189801699714</v>
      </c>
      <c r="M646" s="6">
        <f t="shared" si="65"/>
        <v>0.56657223796033995</v>
      </c>
      <c r="N646" s="6">
        <f t="shared" si="66"/>
        <v>0.10481586402266285</v>
      </c>
      <c r="O646" s="4">
        <f t="shared" si="67"/>
        <v>1258.7166691889058</v>
      </c>
      <c r="P646" s="4">
        <f t="shared" si="68"/>
        <v>2170.2011537739759</v>
      </c>
      <c r="Q646" s="4">
        <f t="shared" si="69"/>
        <v>3428.9178229628815</v>
      </c>
      <c r="W646" s="3"/>
      <c r="Y646" s="7"/>
      <c r="Z646" s="7"/>
      <c r="AA646" s="7"/>
      <c r="AB646" s="7"/>
      <c r="AC646" s="9"/>
      <c r="AD646" s="9"/>
      <c r="AE646" s="9"/>
      <c r="AF646" s="3"/>
      <c r="AG646" s="3"/>
      <c r="AH646" s="3"/>
      <c r="AJ646" t="s">
        <v>1027</v>
      </c>
      <c r="AK646" t="s">
        <v>682</v>
      </c>
      <c r="AL646" s="11">
        <f>D637</f>
        <v>40830</v>
      </c>
      <c r="AM646" s="3">
        <f>SUM(E637,E650)</f>
        <v>59.400000000000006</v>
      </c>
      <c r="AN646" s="3">
        <f>(AM646-4*$A$20)*$A$21/(2*$A$22)*$A$23</f>
        <v>4246.7534099340101</v>
      </c>
      <c r="AO646" s="11">
        <f>G637</f>
        <v>40204</v>
      </c>
      <c r="AP646" s="7">
        <f>SUM(H637,H650)</f>
        <v>6.98</v>
      </c>
      <c r="AQ646" s="7">
        <f>SUM(I637,I650)</f>
        <v>13.32</v>
      </c>
      <c r="AR646" s="7">
        <f>SUM(J637,J650)</f>
        <v>6.48</v>
      </c>
      <c r="AS646" s="7">
        <f>SUM(K637,K650)</f>
        <v>11</v>
      </c>
      <c r="AT646" s="9">
        <f>(AR646-2*$A$25)/AQ646</f>
        <v>0.33033033033033032</v>
      </c>
      <c r="AU646" s="9">
        <f>(AS646-2*$A$26)/AQ646</f>
        <v>0.57057057057057048</v>
      </c>
      <c r="AV646" s="9">
        <f>1-AT646-AU646</f>
        <v>9.9099099099099197E-2</v>
      </c>
      <c r="AW646" s="3">
        <f>AN646*AT646</f>
        <v>1402.8314567349582</v>
      </c>
      <c r="AX646" s="3">
        <f>AN646*AU646</f>
        <v>2423.072516178564</v>
      </c>
      <c r="AY646" s="3">
        <f>AW646+AX646</f>
        <v>3825.903972913522</v>
      </c>
    </row>
    <row r="647" spans="1:51" x14ac:dyDescent="0.25">
      <c r="A647">
        <v>614</v>
      </c>
      <c r="B647" s="1" t="s">
        <v>655</v>
      </c>
      <c r="C647" s="1" t="s">
        <v>682</v>
      </c>
      <c r="D647" s="2">
        <v>40830</v>
      </c>
      <c r="E647" s="3">
        <v>27.1</v>
      </c>
      <c r="F647" s="4">
        <f t="shared" si="63"/>
        <v>3845.8253465415464</v>
      </c>
      <c r="G647" s="2">
        <v>40204</v>
      </c>
      <c r="H647" s="7">
        <v>3.38</v>
      </c>
      <c r="I647" s="7">
        <f>H647+H640-2*$A$24</f>
        <v>6.879999999999999</v>
      </c>
      <c r="J647" s="7">
        <v>3.38</v>
      </c>
      <c r="K647" s="7">
        <v>5.6</v>
      </c>
      <c r="L647" s="6">
        <f t="shared" si="64"/>
        <v>0.34011627906976749</v>
      </c>
      <c r="M647" s="6">
        <f t="shared" si="65"/>
        <v>0.56686046511627908</v>
      </c>
      <c r="N647" s="6">
        <f t="shared" si="66"/>
        <v>9.3023255813953432E-2</v>
      </c>
      <c r="O647" s="4">
        <f t="shared" si="67"/>
        <v>1308.0278068179098</v>
      </c>
      <c r="P647" s="4">
        <f t="shared" si="68"/>
        <v>2180.0463446965164</v>
      </c>
      <c r="Q647" s="4">
        <f t="shared" si="69"/>
        <v>3488.0741515144264</v>
      </c>
      <c r="W647" s="3"/>
      <c r="Y647" s="7"/>
      <c r="Z647" s="7"/>
      <c r="AA647" s="7"/>
      <c r="AB647" s="7"/>
      <c r="AC647" s="9"/>
      <c r="AD647" s="9"/>
      <c r="AE647" s="9"/>
      <c r="AF647" s="3"/>
      <c r="AG647" s="3"/>
      <c r="AH647" s="3"/>
      <c r="AL647" s="11"/>
      <c r="AM647" s="3"/>
      <c r="AN647" s="3"/>
      <c r="AO647" s="11"/>
      <c r="AP647" s="7"/>
      <c r="AQ647" s="7"/>
      <c r="AR647" s="7"/>
      <c r="AS647" s="7"/>
      <c r="AT647" s="9"/>
      <c r="AU647" s="9"/>
      <c r="AV647" s="9"/>
      <c r="AW647" s="3"/>
      <c r="AX647" s="3"/>
      <c r="AY647" s="3"/>
    </row>
    <row r="648" spans="1:51" x14ac:dyDescent="0.25">
      <c r="A648">
        <v>615</v>
      </c>
      <c r="B648" s="1" t="s">
        <v>656</v>
      </c>
      <c r="C648" s="1" t="s">
        <v>682</v>
      </c>
      <c r="D648" s="2">
        <v>40830</v>
      </c>
      <c r="E648" s="3">
        <v>28.9</v>
      </c>
      <c r="F648" s="4">
        <f t="shared" si="63"/>
        <v>4123.3909288901741</v>
      </c>
      <c r="G648" s="2">
        <v>40204</v>
      </c>
      <c r="H648" s="7">
        <v>3.76</v>
      </c>
      <c r="I648" s="7">
        <f>H648+H639-2*$A$24</f>
        <v>7.34</v>
      </c>
      <c r="J648" s="7">
        <v>3.56</v>
      </c>
      <c r="K648" s="7">
        <v>5.64</v>
      </c>
      <c r="L648" s="6">
        <f t="shared" si="64"/>
        <v>0.34332425068119893</v>
      </c>
      <c r="M648" s="6">
        <f t="shared" si="65"/>
        <v>0.5367847411444141</v>
      </c>
      <c r="N648" s="6">
        <f t="shared" si="66"/>
        <v>0.11989100817438703</v>
      </c>
      <c r="O648" s="4">
        <f t="shared" si="67"/>
        <v>1415.6601009268718</v>
      </c>
      <c r="P648" s="4">
        <f t="shared" si="68"/>
        <v>2213.3733324015375</v>
      </c>
      <c r="Q648" s="4">
        <f t="shared" si="69"/>
        <v>3629.033433328409</v>
      </c>
      <c r="W648" s="3"/>
      <c r="Y648" s="7"/>
      <c r="Z648" s="7"/>
      <c r="AA648" s="7"/>
      <c r="AB648" s="7"/>
      <c r="AC648" s="9"/>
      <c r="AD648" s="9"/>
      <c r="AE648" s="9"/>
      <c r="AF648" s="3"/>
      <c r="AG648" s="3"/>
      <c r="AH648" s="3"/>
      <c r="AJ648" t="s">
        <v>1028</v>
      </c>
      <c r="AK648" t="s">
        <v>682</v>
      </c>
      <c r="AL648" s="11">
        <f>D636</f>
        <v>40830</v>
      </c>
      <c r="AM648" s="3">
        <f>SUM(E636,E651)</f>
        <v>61.4</v>
      </c>
      <c r="AN648" s="3">
        <f>(AM648-4*$A$20)*$A$21/(2*$A$22)*$A$23</f>
        <v>4400.9565112388027</v>
      </c>
      <c r="AO648" s="11">
        <f>G636</f>
        <v>40204</v>
      </c>
      <c r="AP648" s="7">
        <f>SUM(H636,H651)</f>
        <v>7.8</v>
      </c>
      <c r="AQ648" s="7">
        <f>SUM(I636,I651)</f>
        <v>14.959999999999999</v>
      </c>
      <c r="AR648" s="7">
        <f>SUM(J636,J651)</f>
        <v>7.2</v>
      </c>
      <c r="AS648" s="7">
        <f>SUM(K636,K651)</f>
        <v>11.08</v>
      </c>
      <c r="AT648" s="9">
        <f>(AR648-2*$A$25)/AQ648</f>
        <v>0.34224598930481287</v>
      </c>
      <c r="AU648" s="9">
        <f>(AS648-2*$A$26)/AQ648</f>
        <v>0.5133689839572193</v>
      </c>
      <c r="AV648" s="9">
        <f>1-AT648-AU648</f>
        <v>0.14438502673796783</v>
      </c>
      <c r="AW648" s="3">
        <f>AN648*AT648</f>
        <v>1506.2097150763818</v>
      </c>
      <c r="AX648" s="3">
        <f>AN648*AU648</f>
        <v>2259.3145726145726</v>
      </c>
      <c r="AY648" s="3">
        <f>AW648+AX648</f>
        <v>3765.5242876909542</v>
      </c>
    </row>
    <row r="649" spans="1:51" x14ac:dyDescent="0.25">
      <c r="A649">
        <v>616</v>
      </c>
      <c r="B649" s="1" t="s">
        <v>657</v>
      </c>
      <c r="C649" s="1" t="s">
        <v>682</v>
      </c>
      <c r="D649" s="2">
        <v>40830</v>
      </c>
      <c r="E649" s="3">
        <v>28.799999999999997</v>
      </c>
      <c r="F649" s="4">
        <f t="shared" si="63"/>
        <v>4107.9706187596948</v>
      </c>
      <c r="G649" s="2">
        <v>40204</v>
      </c>
      <c r="H649" s="7">
        <v>3.88</v>
      </c>
      <c r="I649" s="7">
        <f>H649+H638-2*$A$24</f>
        <v>7.5</v>
      </c>
      <c r="J649" s="7">
        <v>3.52</v>
      </c>
      <c r="K649" s="7">
        <v>5.98</v>
      </c>
      <c r="L649" s="6">
        <f t="shared" si="64"/>
        <v>0.33066666666666666</v>
      </c>
      <c r="M649" s="6">
        <f t="shared" si="65"/>
        <v>0.57066666666666666</v>
      </c>
      <c r="N649" s="6">
        <f t="shared" si="66"/>
        <v>9.866666666666668E-2</v>
      </c>
      <c r="O649" s="4">
        <f t="shared" si="67"/>
        <v>1358.3689512698725</v>
      </c>
      <c r="P649" s="4">
        <f t="shared" si="68"/>
        <v>2344.2818997721993</v>
      </c>
      <c r="Q649" s="4">
        <f t="shared" si="69"/>
        <v>3702.6508510420717</v>
      </c>
      <c r="W649" s="3"/>
      <c r="Y649" s="7"/>
      <c r="Z649" s="7"/>
      <c r="AA649" s="7"/>
      <c r="AB649" s="7"/>
      <c r="AC649" s="9"/>
      <c r="AD649" s="9"/>
      <c r="AE649" s="9"/>
      <c r="AF649" s="3"/>
      <c r="AG649" s="3"/>
      <c r="AH649" s="3"/>
      <c r="AL649" s="11"/>
      <c r="AM649" s="3"/>
      <c r="AN649" s="3"/>
      <c r="AO649" s="11"/>
      <c r="AP649" s="7"/>
      <c r="AQ649" s="7"/>
      <c r="AR649" s="7"/>
      <c r="AS649" s="7"/>
      <c r="AT649" s="9"/>
      <c r="AU649" s="9"/>
      <c r="AV649" s="9"/>
      <c r="AW649" s="3"/>
      <c r="AX649" s="3"/>
      <c r="AY649" s="3"/>
    </row>
    <row r="650" spans="1:51" x14ac:dyDescent="0.25">
      <c r="A650">
        <v>617</v>
      </c>
      <c r="B650" s="1" t="s">
        <v>658</v>
      </c>
      <c r="C650" s="1" t="s">
        <v>682</v>
      </c>
      <c r="D650" s="2">
        <v>40830</v>
      </c>
      <c r="E650" s="3">
        <v>31.6</v>
      </c>
      <c r="F650" s="4">
        <f t="shared" si="63"/>
        <v>4539.739302413117</v>
      </c>
      <c r="G650" s="2">
        <v>40204</v>
      </c>
      <c r="H650" s="7">
        <v>3.06</v>
      </c>
      <c r="I650" s="7">
        <f>H650+H637-2*$A$24</f>
        <v>6.66</v>
      </c>
      <c r="J650" s="7">
        <v>3.24</v>
      </c>
      <c r="K650" s="7">
        <v>5.5</v>
      </c>
      <c r="L650" s="6">
        <f t="shared" si="64"/>
        <v>0.33033033033033032</v>
      </c>
      <c r="M650" s="6">
        <f t="shared" si="65"/>
        <v>0.57057057057057048</v>
      </c>
      <c r="N650" s="6">
        <f t="shared" si="66"/>
        <v>9.9099099099099197E-2</v>
      </c>
      <c r="O650" s="4">
        <f t="shared" si="67"/>
        <v>1499.6135833797082</v>
      </c>
      <c r="P650" s="4">
        <f t="shared" si="68"/>
        <v>2590.2416440194957</v>
      </c>
      <c r="Q650" s="4">
        <f t="shared" si="69"/>
        <v>4089.8552273992036</v>
      </c>
      <c r="W650" s="3"/>
      <c r="Y650" s="7"/>
      <c r="Z650" s="7"/>
      <c r="AA650" s="7"/>
      <c r="AB650" s="7"/>
      <c r="AC650" s="9"/>
      <c r="AD650" s="9"/>
      <c r="AE650" s="9"/>
      <c r="AF650" s="3"/>
      <c r="AG650" s="3"/>
      <c r="AH650" s="3"/>
      <c r="AJ650" t="s">
        <v>1029</v>
      </c>
      <c r="AK650" t="s">
        <v>682</v>
      </c>
      <c r="AL650" s="11">
        <f>D635</f>
        <v>40830</v>
      </c>
      <c r="AM650" s="3">
        <f>SUM(E635,E652)</f>
        <v>62.899999999999991</v>
      </c>
      <c r="AN650" s="3">
        <f>(AM650-4*$A$20)*$A$21/(2*$A$22)*$A$23</f>
        <v>4516.6088372173972</v>
      </c>
      <c r="AO650" s="11">
        <f>G635</f>
        <v>40204</v>
      </c>
      <c r="AP650" s="7">
        <f>SUM(H635,H652)</f>
        <v>7.34</v>
      </c>
      <c r="AQ650" s="7">
        <f>SUM(I635,I652)</f>
        <v>14.04</v>
      </c>
      <c r="AR650" s="7">
        <f>SUM(J635,J652)</f>
        <v>6.88</v>
      </c>
      <c r="AS650" s="7">
        <f>SUM(K635,K652)</f>
        <v>11.24</v>
      </c>
      <c r="AT650" s="9">
        <f>(AR650-2*$A$25)/AQ650</f>
        <v>0.34188034188034189</v>
      </c>
      <c r="AU650" s="9">
        <f>(AS650-2*$A$26)/AQ650</f>
        <v>0.55840455840455838</v>
      </c>
      <c r="AV650" s="9">
        <f>1-AT650-AU650</f>
        <v>9.9715099715099731E-2</v>
      </c>
      <c r="AW650" s="3">
        <f>AN650*AT650</f>
        <v>1544.1397734076572</v>
      </c>
      <c r="AX650" s="3">
        <f>AN650*AU650</f>
        <v>2522.0949632325064</v>
      </c>
      <c r="AY650" s="3">
        <f>AW650+AX650</f>
        <v>4066.2347366401636</v>
      </c>
    </row>
    <row r="651" spans="1:51" x14ac:dyDescent="0.25">
      <c r="A651">
        <v>618</v>
      </c>
      <c r="B651" s="1" t="s">
        <v>659</v>
      </c>
      <c r="C651" s="1" t="s">
        <v>682</v>
      </c>
      <c r="D651" s="2">
        <v>40830</v>
      </c>
      <c r="E651" s="3">
        <v>33.1</v>
      </c>
      <c r="F651" s="4">
        <f t="shared" si="63"/>
        <v>4771.0439543703069</v>
      </c>
      <c r="G651" s="2">
        <v>40204</v>
      </c>
      <c r="H651" s="7">
        <v>3.9</v>
      </c>
      <c r="I651" s="7">
        <f>H651+H636-2*$A$24</f>
        <v>7.4799999999999995</v>
      </c>
      <c r="J651" s="7">
        <v>3.6</v>
      </c>
      <c r="K651" s="7">
        <v>5.54</v>
      </c>
      <c r="L651" s="6">
        <f t="shared" si="64"/>
        <v>0.34224598930481287</v>
      </c>
      <c r="M651" s="6">
        <f t="shared" si="65"/>
        <v>0.5133689839572193</v>
      </c>
      <c r="N651" s="6">
        <f t="shared" si="66"/>
        <v>0.14438502673796783</v>
      </c>
      <c r="O651" s="4">
        <f t="shared" si="67"/>
        <v>1632.8706581802121</v>
      </c>
      <c r="P651" s="4">
        <f t="shared" si="68"/>
        <v>2449.3059872703184</v>
      </c>
      <c r="Q651" s="4">
        <f t="shared" si="69"/>
        <v>4082.1766454505305</v>
      </c>
      <c r="W651" s="3"/>
      <c r="Y651" s="7"/>
      <c r="Z651" s="7"/>
      <c r="AA651" s="7"/>
      <c r="AB651" s="7"/>
      <c r="AC651" s="9"/>
      <c r="AD651" s="9"/>
      <c r="AE651" s="9"/>
      <c r="AF651" s="3"/>
      <c r="AG651" s="3"/>
      <c r="AH651" s="3"/>
      <c r="AL651" s="11"/>
      <c r="AM651" s="3"/>
      <c r="AN651" s="3"/>
      <c r="AO651" s="11"/>
      <c r="AP651" s="7"/>
      <c r="AQ651" s="7"/>
      <c r="AR651" s="7"/>
      <c r="AS651" s="7"/>
      <c r="AT651" s="9"/>
      <c r="AU651" s="9"/>
      <c r="AV651" s="9"/>
      <c r="AW651" s="3"/>
      <c r="AX651" s="3"/>
      <c r="AY651" s="3"/>
    </row>
    <row r="652" spans="1:51" x14ac:dyDescent="0.25">
      <c r="A652">
        <v>619</v>
      </c>
      <c r="B652" s="1" t="s">
        <v>660</v>
      </c>
      <c r="C652" s="1" t="s">
        <v>682</v>
      </c>
      <c r="D652" s="2">
        <v>40830</v>
      </c>
      <c r="E652" s="3">
        <v>32.099999999999994</v>
      </c>
      <c r="F652" s="4">
        <f t="shared" si="63"/>
        <v>4616.8408530655124</v>
      </c>
      <c r="G652" s="2">
        <v>40204</v>
      </c>
      <c r="H652" s="7">
        <v>3.82</v>
      </c>
      <c r="I652" s="7">
        <f>H652+H635-2*$A$24</f>
        <v>7.02</v>
      </c>
      <c r="J652" s="7">
        <v>3.44</v>
      </c>
      <c r="K652" s="7">
        <v>5.62</v>
      </c>
      <c r="L652" s="6">
        <f t="shared" si="64"/>
        <v>0.34188034188034189</v>
      </c>
      <c r="M652" s="6">
        <f t="shared" si="65"/>
        <v>0.55840455840455838</v>
      </c>
      <c r="N652" s="6">
        <f t="shared" si="66"/>
        <v>9.9715099715099731E-2</v>
      </c>
      <c r="O652" s="4">
        <f t="shared" si="67"/>
        <v>1578.4071292531667</v>
      </c>
      <c r="P652" s="4">
        <f t="shared" si="68"/>
        <v>2578.0649777801723</v>
      </c>
      <c r="Q652" s="4">
        <f t="shared" si="69"/>
        <v>4156.4721070333389</v>
      </c>
      <c r="W652" s="3"/>
      <c r="Y652" s="7"/>
      <c r="Z652" s="7"/>
      <c r="AA652" s="7"/>
      <c r="AB652" s="7"/>
      <c r="AC652" s="9"/>
      <c r="AD652" s="9"/>
      <c r="AE652" s="9"/>
      <c r="AF652" s="3"/>
      <c r="AG652" s="3"/>
      <c r="AH652" s="3"/>
      <c r="AJ652" t="s">
        <v>1030</v>
      </c>
      <c r="AK652" t="s">
        <v>682</v>
      </c>
      <c r="AL652" s="11">
        <f>D634</f>
        <v>40830</v>
      </c>
      <c r="AM652" s="3">
        <f>SUM(E634,E653)</f>
        <v>61.2</v>
      </c>
      <c r="AN652" s="3">
        <f>(AM652-4*$A$20)*$A$21/(2*$A$22)*$A$23</f>
        <v>4385.5362011083234</v>
      </c>
      <c r="AO652" s="11">
        <f>G634</f>
        <v>40204</v>
      </c>
      <c r="AP652" s="7">
        <f>SUM(H634,H653)</f>
        <v>7.8</v>
      </c>
      <c r="AQ652" s="7">
        <f>SUM(I634,I653)</f>
        <v>14.959999999999999</v>
      </c>
      <c r="AR652" s="7">
        <f>SUM(J634,J653)</f>
        <v>7.16</v>
      </c>
      <c r="AS652" s="7">
        <f>SUM(K634,K653)</f>
        <v>11.96</v>
      </c>
      <c r="AT652" s="9">
        <f>(AR652-2*$A$25)/AQ652</f>
        <v>0.33957219251336901</v>
      </c>
      <c r="AU652" s="9">
        <f>(AS652-2*$A$26)/AQ652</f>
        <v>0.57219251336898402</v>
      </c>
      <c r="AV652" s="9">
        <f>1-AT652-AU652</f>
        <v>8.8235294117646967E-2</v>
      </c>
      <c r="AW652" s="3">
        <f>AN652*AT652</f>
        <v>1489.2061431571046</v>
      </c>
      <c r="AX652" s="3">
        <f>AN652*AU652</f>
        <v>2509.3709813828377</v>
      </c>
      <c r="AY652" s="3">
        <f>AW652+AX652</f>
        <v>3998.5771245399424</v>
      </c>
    </row>
    <row r="653" spans="1:51" x14ac:dyDescent="0.25">
      <c r="A653">
        <v>620</v>
      </c>
      <c r="B653" s="1" t="s">
        <v>661</v>
      </c>
      <c r="C653" s="1" t="s">
        <v>682</v>
      </c>
      <c r="D653" s="2">
        <v>40830</v>
      </c>
      <c r="E653" s="3">
        <v>31.200000000000003</v>
      </c>
      <c r="F653" s="4">
        <f t="shared" si="63"/>
        <v>4478.0580618911999</v>
      </c>
      <c r="G653" s="2">
        <v>40204</v>
      </c>
      <c r="H653" s="7">
        <v>4</v>
      </c>
      <c r="I653" s="7">
        <f>H653+H634-2*$A$24</f>
        <v>7.4799999999999995</v>
      </c>
      <c r="J653" s="7">
        <v>3.58</v>
      </c>
      <c r="K653" s="7">
        <v>5.98</v>
      </c>
      <c r="L653" s="6">
        <f t="shared" si="64"/>
        <v>0.33957219251336901</v>
      </c>
      <c r="M653" s="6">
        <f t="shared" si="65"/>
        <v>0.57219251336898402</v>
      </c>
      <c r="N653" s="6">
        <f t="shared" si="66"/>
        <v>8.8235294117646967E-2</v>
      </c>
      <c r="O653" s="4">
        <f t="shared" si="67"/>
        <v>1520.6239942785626</v>
      </c>
      <c r="P653" s="4">
        <f t="shared" si="68"/>
        <v>2562.3112974457672</v>
      </c>
      <c r="Q653" s="4">
        <f t="shared" si="69"/>
        <v>4082.9352917243295</v>
      </c>
      <c r="W653" s="3"/>
      <c r="Y653" s="7"/>
      <c r="Z653" s="7"/>
      <c r="AA653" s="7"/>
      <c r="AB653" s="7"/>
      <c r="AC653" s="9"/>
      <c r="AD653" s="9"/>
      <c r="AE653" s="9"/>
      <c r="AF653" s="3"/>
      <c r="AG653" s="3"/>
      <c r="AH653" s="3"/>
      <c r="AL653" s="11"/>
      <c r="AM653" s="3"/>
      <c r="AN653" s="3"/>
      <c r="AO653" s="11"/>
      <c r="AP653" s="7"/>
      <c r="AQ653" s="7"/>
      <c r="AR653" s="7"/>
      <c r="AS653" s="7"/>
      <c r="AT653" s="9"/>
      <c r="AU653" s="9"/>
      <c r="AV653" s="9"/>
      <c r="AW653" s="3"/>
      <c r="AX653" s="3"/>
      <c r="AY653" s="3"/>
    </row>
    <row r="654" spans="1:51" x14ac:dyDescent="0.25">
      <c r="A654">
        <v>621</v>
      </c>
      <c r="B654" s="1" t="s">
        <v>662</v>
      </c>
      <c r="C654" s="1" t="s">
        <v>682</v>
      </c>
      <c r="D654" s="2">
        <v>40830</v>
      </c>
      <c r="E654" s="3">
        <v>25.810000000000002</v>
      </c>
      <c r="F654" s="4">
        <f t="shared" si="63"/>
        <v>3646.903345858364</v>
      </c>
      <c r="G654" s="2">
        <v>40204</v>
      </c>
      <c r="H654" s="7">
        <v>3.8</v>
      </c>
      <c r="I654" s="7">
        <f>H654+H673-2*$A$24</f>
        <v>5.9799999999999995</v>
      </c>
      <c r="J654" s="7">
        <v>3.04</v>
      </c>
      <c r="K654" s="7">
        <v>5.04</v>
      </c>
      <c r="L654" s="6">
        <f t="shared" si="64"/>
        <v>0.33444816053511706</v>
      </c>
      <c r="M654" s="6">
        <f t="shared" si="65"/>
        <v>0.55852842809364556</v>
      </c>
      <c r="N654" s="6">
        <f t="shared" si="66"/>
        <v>0.10702341137123739</v>
      </c>
      <c r="O654" s="4">
        <f t="shared" si="67"/>
        <v>1219.7001156716935</v>
      </c>
      <c r="P654" s="4">
        <f t="shared" si="68"/>
        <v>2036.8991931717287</v>
      </c>
      <c r="Q654" s="4">
        <f t="shared" si="69"/>
        <v>3256.5993088434225</v>
      </c>
      <c r="W654" s="3"/>
      <c r="Y654" s="7"/>
      <c r="Z654" s="7"/>
      <c r="AA654" s="7"/>
      <c r="AB654" s="7"/>
      <c r="AC654" s="9"/>
      <c r="AD654" s="9"/>
      <c r="AE654" s="9"/>
      <c r="AF654" s="3"/>
      <c r="AG654" s="3"/>
      <c r="AH654" s="3"/>
      <c r="AJ654" t="s">
        <v>1031</v>
      </c>
      <c r="AK654" t="s">
        <v>682</v>
      </c>
      <c r="AL654" s="11">
        <f>D663</f>
        <v>40830</v>
      </c>
      <c r="AM654" s="3">
        <f>SUM(E663,E664)</f>
        <v>48.5</v>
      </c>
      <c r="AN654" s="3">
        <f>(AM654-4*$A$20)*$A$21/(2*$A$22)*$A$23</f>
        <v>3406.3465078228855</v>
      </c>
      <c r="AO654" s="11">
        <f>G663</f>
        <v>40204</v>
      </c>
      <c r="AP654" s="7">
        <f>SUM(H663,H664)</f>
        <v>7.68</v>
      </c>
      <c r="AQ654" s="7">
        <f>SUM(I663,I664)</f>
        <v>14.719999999999999</v>
      </c>
      <c r="AR654" s="7">
        <f>SUM(J663,J664)</f>
        <v>7</v>
      </c>
      <c r="AS654" s="7">
        <f>SUM(K663,K664)</f>
        <v>11.76</v>
      </c>
      <c r="AT654" s="9">
        <f>(AR654-2*$A$25)/AQ654</f>
        <v>0.33423913043478265</v>
      </c>
      <c r="AU654" s="9">
        <f>(AS654-2*$A$26)/AQ654</f>
        <v>0.56793478260869568</v>
      </c>
      <c r="AV654" s="9">
        <f>1-AT654-AU654</f>
        <v>9.7826086956521618E-2</v>
      </c>
      <c r="AW654" s="3">
        <f>AN654*AT654</f>
        <v>1138.5342947342799</v>
      </c>
      <c r="AX654" s="3">
        <f>AN654*AU654</f>
        <v>1934.5826634102802</v>
      </c>
      <c r="AY654" s="3">
        <f>AW654+AX654</f>
        <v>3073.1169581445602</v>
      </c>
    </row>
    <row r="655" spans="1:51" x14ac:dyDescent="0.25">
      <c r="A655">
        <v>622</v>
      </c>
      <c r="B655" s="1" t="s">
        <v>663</v>
      </c>
      <c r="C655" s="1" t="s">
        <v>682</v>
      </c>
      <c r="D655" s="2">
        <v>40830</v>
      </c>
      <c r="E655" s="3">
        <v>24.3</v>
      </c>
      <c r="F655" s="4">
        <f t="shared" si="63"/>
        <v>3414.0566628881252</v>
      </c>
      <c r="G655" s="2">
        <v>40204</v>
      </c>
      <c r="H655" s="7">
        <v>3.74</v>
      </c>
      <c r="I655" s="7">
        <f>H655+H672-2*$A$24</f>
        <v>5.82</v>
      </c>
      <c r="J655" s="7">
        <v>2.96</v>
      </c>
      <c r="K655" s="7">
        <v>5.0199999999999996</v>
      </c>
      <c r="L655" s="6">
        <f t="shared" si="64"/>
        <v>0.32989690721649484</v>
      </c>
      <c r="M655" s="6">
        <f t="shared" si="65"/>
        <v>0.57044673539518886</v>
      </c>
      <c r="N655" s="6">
        <f t="shared" si="66"/>
        <v>9.9656357388316352E-2</v>
      </c>
      <c r="O655" s="4">
        <f t="shared" si="67"/>
        <v>1126.2867341486599</v>
      </c>
      <c r="P655" s="4">
        <f t="shared" si="68"/>
        <v>1947.5374777987238</v>
      </c>
      <c r="Q655" s="4">
        <f t="shared" si="69"/>
        <v>3073.8242119473834</v>
      </c>
      <c r="W655" s="3"/>
      <c r="Y655" s="7"/>
      <c r="Z655" s="7"/>
      <c r="AA655" s="7"/>
      <c r="AB655" s="7"/>
      <c r="AC655" s="9"/>
      <c r="AD655" s="9"/>
      <c r="AE655" s="9"/>
      <c r="AF655" s="3"/>
      <c r="AG655" s="3"/>
      <c r="AH655" s="3"/>
      <c r="AL655" s="11"/>
      <c r="AM655" s="3"/>
      <c r="AN655" s="3"/>
      <c r="AO655" s="11"/>
      <c r="AP655" s="7"/>
      <c r="AQ655" s="7"/>
      <c r="AR655" s="7"/>
      <c r="AS655" s="7"/>
      <c r="AT655" s="9"/>
      <c r="AU655" s="9"/>
      <c r="AV655" s="9"/>
      <c r="AW655" s="3"/>
      <c r="AX655" s="3"/>
      <c r="AY655" s="3"/>
    </row>
    <row r="656" spans="1:51" x14ac:dyDescent="0.25">
      <c r="A656">
        <v>623</v>
      </c>
      <c r="B656" s="1" t="s">
        <v>664</v>
      </c>
      <c r="C656" s="1" t="s">
        <v>682</v>
      </c>
      <c r="D656" s="2">
        <v>40830</v>
      </c>
      <c r="E656" s="3">
        <v>27.299999999999997</v>
      </c>
      <c r="F656" s="4">
        <f t="shared" si="63"/>
        <v>3876.6659668025045</v>
      </c>
      <c r="G656" s="2">
        <v>40204</v>
      </c>
      <c r="H656" s="7">
        <v>3.6</v>
      </c>
      <c r="I656" s="7">
        <f>H656+H671-2*$A$24</f>
        <v>7.16</v>
      </c>
      <c r="J656" s="7">
        <v>3.54</v>
      </c>
      <c r="K656" s="7">
        <v>5.76</v>
      </c>
      <c r="L656" s="6">
        <f t="shared" si="64"/>
        <v>0.34916201117318435</v>
      </c>
      <c r="M656" s="6">
        <f t="shared" si="65"/>
        <v>0.56703910614525133</v>
      </c>
      <c r="N656" s="6">
        <f t="shared" si="66"/>
        <v>8.3798882681564324E-2</v>
      </c>
      <c r="O656" s="4">
        <f t="shared" si="67"/>
        <v>1353.5844856153997</v>
      </c>
      <c r="P656" s="4">
        <f t="shared" si="68"/>
        <v>2198.2212046394088</v>
      </c>
      <c r="Q656" s="4">
        <f t="shared" si="69"/>
        <v>3551.8056902548087</v>
      </c>
      <c r="W656" s="3"/>
      <c r="Y656" s="7"/>
      <c r="Z656" s="7"/>
      <c r="AA656" s="7"/>
      <c r="AB656" s="7"/>
      <c r="AC656" s="9"/>
      <c r="AD656" s="9"/>
      <c r="AE656" s="9"/>
      <c r="AF656" s="3"/>
      <c r="AG656" s="3"/>
      <c r="AH656" s="3"/>
      <c r="AJ656" t="s">
        <v>1032</v>
      </c>
      <c r="AK656" t="s">
        <v>682</v>
      </c>
      <c r="AL656" s="11">
        <f>D662</f>
        <v>40830</v>
      </c>
      <c r="AM656" s="3">
        <f>SUM(E662,E665)</f>
        <v>47.4</v>
      </c>
      <c r="AN656" s="3">
        <f>(AM656-4*$A$20)*$A$21/(2*$A$22)*$A$23</f>
        <v>3321.5348021052491</v>
      </c>
      <c r="AO656" s="11">
        <f>G662</f>
        <v>40204</v>
      </c>
      <c r="AP656" s="7">
        <f>SUM(H662,H665)</f>
        <v>5.2</v>
      </c>
      <c r="AQ656" s="7">
        <f>SUM(I662,I665)</f>
        <v>9.76</v>
      </c>
      <c r="AR656" s="7">
        <f>SUM(J662,J665)</f>
        <v>5.28</v>
      </c>
      <c r="AS656" s="7">
        <f>SUM(K662,K665)</f>
        <v>8.92</v>
      </c>
      <c r="AT656" s="9">
        <f>(AR656-2*$A$25)/AQ656</f>
        <v>0.32786885245901642</v>
      </c>
      <c r="AU656" s="9">
        <f>(AS656-2*$A$26)/AQ656</f>
        <v>0.56557377049180324</v>
      </c>
      <c r="AV656" s="9">
        <f>1-AT656-AU656</f>
        <v>0.10655737704918034</v>
      </c>
      <c r="AW656" s="3">
        <f>AN656*AT656</f>
        <v>1089.0278039689342</v>
      </c>
      <c r="AX656" s="3">
        <f>AN656*AU656</f>
        <v>1878.5729618464113</v>
      </c>
      <c r="AY656" s="3">
        <f>AW656+AX656</f>
        <v>2967.6007658153458</v>
      </c>
    </row>
    <row r="657" spans="1:51" x14ac:dyDescent="0.25">
      <c r="A657">
        <v>624</v>
      </c>
      <c r="B657" s="1" t="s">
        <v>665</v>
      </c>
      <c r="C657" s="1" t="s">
        <v>682</v>
      </c>
      <c r="D657" s="2">
        <v>40830</v>
      </c>
      <c r="E657" s="3">
        <v>26.5</v>
      </c>
      <c r="F657" s="4">
        <f t="shared" si="63"/>
        <v>3753.3034857586704</v>
      </c>
      <c r="G657" s="2">
        <v>40204</v>
      </c>
      <c r="H657" s="7">
        <v>3.9</v>
      </c>
      <c r="I657" s="7">
        <f>H657+H670-2*$A$24</f>
        <v>7.3999999999999995</v>
      </c>
      <c r="J657" s="7">
        <v>3.54</v>
      </c>
      <c r="K657" s="7">
        <v>5.92</v>
      </c>
      <c r="L657" s="6">
        <f t="shared" si="64"/>
        <v>0.33783783783783788</v>
      </c>
      <c r="M657" s="6">
        <f t="shared" si="65"/>
        <v>0.57027027027027033</v>
      </c>
      <c r="N657" s="6">
        <f t="shared" si="66"/>
        <v>9.189189189189173E-2</v>
      </c>
      <c r="O657" s="4">
        <f t="shared" si="67"/>
        <v>1268.0079343779294</v>
      </c>
      <c r="P657" s="4">
        <f t="shared" si="68"/>
        <v>2140.3973932299446</v>
      </c>
      <c r="Q657" s="4">
        <f t="shared" si="69"/>
        <v>3408.4053276078739</v>
      </c>
      <c r="W657" s="3"/>
      <c r="Y657" s="7"/>
      <c r="Z657" s="7"/>
      <c r="AA657" s="7"/>
      <c r="AB657" s="7"/>
      <c r="AC657" s="9"/>
      <c r="AD657" s="9"/>
      <c r="AE657" s="9"/>
      <c r="AF657" s="3"/>
      <c r="AG657" s="3"/>
      <c r="AH657" s="3"/>
      <c r="AL657" s="11"/>
      <c r="AM657" s="3"/>
      <c r="AN657" s="3"/>
      <c r="AO657" s="11"/>
      <c r="AP657" s="7"/>
      <c r="AQ657" s="7"/>
      <c r="AR657" s="7"/>
      <c r="AS657" s="7"/>
      <c r="AT657" s="9"/>
      <c r="AU657" s="9"/>
      <c r="AV657" s="9"/>
      <c r="AW657" s="3"/>
      <c r="AX657" s="3"/>
      <c r="AY657" s="3"/>
    </row>
    <row r="658" spans="1:51" x14ac:dyDescent="0.25">
      <c r="A658">
        <v>625</v>
      </c>
      <c r="B658" s="1" t="s">
        <v>666</v>
      </c>
      <c r="C658" s="1" t="s">
        <v>682</v>
      </c>
      <c r="D658" s="2">
        <v>40830</v>
      </c>
      <c r="E658" s="3">
        <v>25.1</v>
      </c>
      <c r="F658" s="4">
        <f t="shared" si="63"/>
        <v>3537.4191439319602</v>
      </c>
      <c r="G658" s="2">
        <v>40204</v>
      </c>
      <c r="H658" s="7">
        <v>3.9</v>
      </c>
      <c r="I658" s="7">
        <f>H658+H669-2*$A$24</f>
        <v>6.4799999999999995</v>
      </c>
      <c r="J658" s="7">
        <v>3.24</v>
      </c>
      <c r="K658" s="7">
        <v>5.4</v>
      </c>
      <c r="L658" s="6">
        <f t="shared" si="64"/>
        <v>0.33950617283950624</v>
      </c>
      <c r="M658" s="6">
        <f t="shared" si="65"/>
        <v>0.57098765432098775</v>
      </c>
      <c r="N658" s="6">
        <f t="shared" si="66"/>
        <v>8.9506172839506015E-2</v>
      </c>
      <c r="O658" s="4">
        <f t="shared" si="67"/>
        <v>1200.9756352855422</v>
      </c>
      <c r="P658" s="4">
        <f t="shared" si="68"/>
        <v>2019.8226593438665</v>
      </c>
      <c r="Q658" s="4">
        <f t="shared" si="69"/>
        <v>3220.7982946294087</v>
      </c>
      <c r="W658" s="3"/>
      <c r="Y658" s="7"/>
      <c r="Z658" s="7"/>
      <c r="AA658" s="7"/>
      <c r="AB658" s="7"/>
      <c r="AC658" s="9"/>
      <c r="AD658" s="9"/>
      <c r="AE658" s="9"/>
      <c r="AF658" s="3"/>
      <c r="AG658" s="3"/>
      <c r="AH658" s="3"/>
      <c r="AJ658" t="s">
        <v>1033</v>
      </c>
      <c r="AK658" t="s">
        <v>682</v>
      </c>
      <c r="AL658" s="11">
        <f>D661</f>
        <v>40830</v>
      </c>
      <c r="AM658" s="3">
        <f>SUM(E661,E666)</f>
        <v>42.7</v>
      </c>
      <c r="AN658" s="3">
        <f>(AM658-4*$A$20)*$A$21/(2*$A$22)*$A$23</f>
        <v>2959.1575140389846</v>
      </c>
      <c r="AO658" s="11">
        <f>G661</f>
        <v>40204</v>
      </c>
      <c r="AP658" s="7">
        <f>SUM(H661,H666)</f>
        <v>7.5600000000000005</v>
      </c>
      <c r="AQ658" s="7">
        <f>SUM(I661,I666)</f>
        <v>14.48</v>
      </c>
      <c r="AR658" s="7">
        <f>SUM(J661,J666)</f>
        <v>6.96</v>
      </c>
      <c r="AS658" s="7">
        <f>SUM(K661,K666)</f>
        <v>11.72</v>
      </c>
      <c r="AT658" s="9">
        <f>(AR658-2*$A$25)/AQ658</f>
        <v>0.33701657458563533</v>
      </c>
      <c r="AU658" s="9">
        <f>(AS658-2*$A$26)/AQ658</f>
        <v>0.574585635359116</v>
      </c>
      <c r="AV658" s="9">
        <f>1-AT658-AU658</f>
        <v>8.8397790055248726E-2</v>
      </c>
      <c r="AW658" s="3">
        <f>AN658*AT658</f>
        <v>997.28512904076263</v>
      </c>
      <c r="AX658" s="3">
        <f>AN658*AU658</f>
        <v>1700.2894003317922</v>
      </c>
      <c r="AY658" s="3">
        <f>AW658+AX658</f>
        <v>2697.5745293725549</v>
      </c>
    </row>
    <row r="659" spans="1:51" x14ac:dyDescent="0.25">
      <c r="A659">
        <v>626</v>
      </c>
      <c r="B659" s="1" t="s">
        <v>667</v>
      </c>
      <c r="C659" s="1" t="s">
        <v>682</v>
      </c>
      <c r="D659" s="2">
        <v>40830</v>
      </c>
      <c r="E659" s="3">
        <v>23</v>
      </c>
      <c r="F659" s="4">
        <f t="shared" si="63"/>
        <v>3213.5926311918938</v>
      </c>
      <c r="G659" s="2">
        <v>40204</v>
      </c>
      <c r="H659" s="7">
        <v>3.24</v>
      </c>
      <c r="I659" s="7">
        <f>H659+H668-2*$A$24</f>
        <v>6.48</v>
      </c>
      <c r="J659" s="7">
        <v>3.2</v>
      </c>
      <c r="K659" s="7">
        <v>5.3</v>
      </c>
      <c r="L659" s="6">
        <f t="shared" si="64"/>
        <v>0.33333333333333331</v>
      </c>
      <c r="M659" s="6">
        <f t="shared" si="65"/>
        <v>0.55555555555555547</v>
      </c>
      <c r="N659" s="6">
        <f t="shared" si="66"/>
        <v>0.11111111111111127</v>
      </c>
      <c r="O659" s="4">
        <f t="shared" si="67"/>
        <v>1071.1975437306312</v>
      </c>
      <c r="P659" s="4">
        <f t="shared" si="68"/>
        <v>1785.3292395510518</v>
      </c>
      <c r="Q659" s="4">
        <f t="shared" si="69"/>
        <v>2856.526783281683</v>
      </c>
      <c r="W659" s="3"/>
      <c r="Y659" s="7"/>
      <c r="Z659" s="7"/>
      <c r="AA659" s="7"/>
      <c r="AB659" s="7"/>
      <c r="AC659" s="9"/>
      <c r="AD659" s="9"/>
      <c r="AE659" s="9"/>
      <c r="AF659" s="3"/>
      <c r="AG659" s="3"/>
      <c r="AH659" s="3"/>
      <c r="AL659" s="11"/>
      <c r="AM659" s="3"/>
      <c r="AN659" s="3"/>
      <c r="AO659" s="11"/>
      <c r="AP659" s="7"/>
      <c r="AQ659" s="7"/>
      <c r="AR659" s="7"/>
      <c r="AS659" s="7"/>
      <c r="AT659" s="9"/>
      <c r="AU659" s="9"/>
      <c r="AV659" s="9"/>
      <c r="AW659" s="3"/>
      <c r="AX659" s="3"/>
      <c r="AY659" s="3"/>
    </row>
    <row r="660" spans="1:51" x14ac:dyDescent="0.25">
      <c r="A660">
        <v>627</v>
      </c>
      <c r="B660" s="1" t="s">
        <v>668</v>
      </c>
      <c r="C660" s="1" t="s">
        <v>682</v>
      </c>
      <c r="D660" s="2">
        <v>40830</v>
      </c>
      <c r="E660" s="3">
        <v>22.1</v>
      </c>
      <c r="F660" s="4">
        <f t="shared" si="63"/>
        <v>3074.80984001758</v>
      </c>
      <c r="G660" s="2">
        <v>40204</v>
      </c>
      <c r="H660" s="7">
        <v>2.8</v>
      </c>
      <c r="I660" s="7">
        <f>H660+H667-2*$A$24</f>
        <v>5.2399999999999993</v>
      </c>
      <c r="J660" s="7">
        <v>2.8</v>
      </c>
      <c r="K660" s="7">
        <v>4.68</v>
      </c>
      <c r="L660" s="6">
        <f t="shared" si="64"/>
        <v>0.33587786259541985</v>
      </c>
      <c r="M660" s="6">
        <f t="shared" si="65"/>
        <v>0.56870229007633588</v>
      </c>
      <c r="N660" s="6">
        <f t="shared" si="66"/>
        <v>9.5419847328244267E-2</v>
      </c>
      <c r="O660" s="4">
        <f t="shared" si="67"/>
        <v>1032.7605569524696</v>
      </c>
      <c r="P660" s="4">
        <f t="shared" si="68"/>
        <v>1748.6513975672497</v>
      </c>
      <c r="Q660" s="4">
        <f t="shared" si="69"/>
        <v>2781.4119545197191</v>
      </c>
      <c r="W660" s="3"/>
      <c r="Y660" s="7"/>
      <c r="Z660" s="7"/>
      <c r="AA660" s="7"/>
      <c r="AB660" s="7"/>
      <c r="AC660" s="9"/>
      <c r="AD660" s="9"/>
      <c r="AE660" s="9"/>
      <c r="AF660" s="3"/>
      <c r="AG660" s="3"/>
      <c r="AH660" s="3"/>
      <c r="AJ660" t="s">
        <v>1034</v>
      </c>
      <c r="AK660" t="s">
        <v>682</v>
      </c>
      <c r="AL660" s="11">
        <f>D660</f>
        <v>40830</v>
      </c>
      <c r="AM660" s="3">
        <f>SUM(E660,E667)</f>
        <v>43.7</v>
      </c>
      <c r="AN660" s="3">
        <f>(AM660-4*$A$20)*$A$21/(2*$A$22)*$A$23</f>
        <v>3036.2590646913818</v>
      </c>
      <c r="AO660" s="11">
        <f>G660</f>
        <v>40204</v>
      </c>
      <c r="AP660" s="7">
        <f>SUM(H660,H667)</f>
        <v>5.56</v>
      </c>
      <c r="AQ660" s="7">
        <f>SUM(I660,I667)</f>
        <v>10.479999999999999</v>
      </c>
      <c r="AR660" s="7">
        <f>SUM(J660,J667)</f>
        <v>5.6</v>
      </c>
      <c r="AS660" s="7">
        <f>SUM(K660,K667)</f>
        <v>9.36</v>
      </c>
      <c r="AT660" s="9">
        <f>(AR660-2*$A$25)/AQ660</f>
        <v>0.33587786259541985</v>
      </c>
      <c r="AU660" s="9">
        <f>(AS660-2*$A$26)/AQ660</f>
        <v>0.56870229007633588</v>
      </c>
      <c r="AV660" s="9">
        <f>1-AT660-AU660</f>
        <v>9.5419847328244267E-2</v>
      </c>
      <c r="AW660" s="3">
        <f>AN660*AT660</f>
        <v>1019.81220493451</v>
      </c>
      <c r="AX660" s="3">
        <f>AN660*AU660</f>
        <v>1726.7274833550225</v>
      </c>
      <c r="AY660" s="3">
        <f>AW660+AX660</f>
        <v>2746.5396882895325</v>
      </c>
    </row>
    <row r="661" spans="1:51" x14ac:dyDescent="0.25">
      <c r="A661">
        <v>628</v>
      </c>
      <c r="B661" s="1" t="s">
        <v>669</v>
      </c>
      <c r="C661" s="1" t="s">
        <v>682</v>
      </c>
      <c r="D661" s="2">
        <v>40830</v>
      </c>
      <c r="E661" s="3">
        <v>21.9</v>
      </c>
      <c r="F661" s="4">
        <f t="shared" si="63"/>
        <v>3043.969219756621</v>
      </c>
      <c r="G661" s="2">
        <v>40204</v>
      </c>
      <c r="H661" s="7">
        <v>3.64</v>
      </c>
      <c r="I661" s="7">
        <f>H661+H666-2*$A$24</f>
        <v>7.24</v>
      </c>
      <c r="J661" s="7">
        <v>3.48</v>
      </c>
      <c r="K661" s="7">
        <v>5.86</v>
      </c>
      <c r="L661" s="6">
        <f t="shared" si="64"/>
        <v>0.33701657458563533</v>
      </c>
      <c r="M661" s="6">
        <f t="shared" si="65"/>
        <v>0.574585635359116</v>
      </c>
      <c r="N661" s="6">
        <f t="shared" si="66"/>
        <v>8.8397790055248726E-2</v>
      </c>
      <c r="O661" s="4">
        <f t="shared" si="67"/>
        <v>1025.8680795864855</v>
      </c>
      <c r="P661" s="4">
        <f t="shared" si="68"/>
        <v>1749.0209881474507</v>
      </c>
      <c r="Q661" s="4">
        <f t="shared" si="69"/>
        <v>2774.8890677339359</v>
      </c>
      <c r="W661" s="3"/>
      <c r="Y661" s="7"/>
      <c r="Z661" s="7"/>
      <c r="AA661" s="7"/>
      <c r="AB661" s="7"/>
      <c r="AC661" s="9"/>
      <c r="AD661" s="9"/>
      <c r="AE661" s="9"/>
      <c r="AF661" s="3"/>
      <c r="AG661" s="3"/>
      <c r="AH661" s="3"/>
      <c r="AL661" s="11"/>
      <c r="AM661" s="3"/>
      <c r="AN661" s="3"/>
      <c r="AO661" s="11"/>
      <c r="AP661" s="7"/>
      <c r="AQ661" s="7"/>
      <c r="AR661" s="7"/>
      <c r="AS661" s="7"/>
      <c r="AT661" s="9"/>
      <c r="AU661" s="9"/>
      <c r="AV661" s="9"/>
      <c r="AW661" s="3"/>
      <c r="AX661" s="3"/>
      <c r="AY661" s="3"/>
    </row>
    <row r="662" spans="1:51" x14ac:dyDescent="0.25">
      <c r="A662">
        <v>629</v>
      </c>
      <c r="B662" s="1" t="s">
        <v>670</v>
      </c>
      <c r="C662" s="1" t="s">
        <v>682</v>
      </c>
      <c r="D662" s="2">
        <v>40830</v>
      </c>
      <c r="E662" s="3">
        <v>24.7</v>
      </c>
      <c r="F662" s="4">
        <f t="shared" si="63"/>
        <v>3475.7379034100422</v>
      </c>
      <c r="G662" s="2">
        <v>40204</v>
      </c>
      <c r="H662" s="7">
        <v>2.6</v>
      </c>
      <c r="I662" s="7">
        <f>H662+H665-2*$A$24</f>
        <v>4.88</v>
      </c>
      <c r="J662" s="7">
        <v>2.64</v>
      </c>
      <c r="K662" s="7">
        <v>4.46</v>
      </c>
      <c r="L662" s="6">
        <f t="shared" si="64"/>
        <v>0.32786885245901642</v>
      </c>
      <c r="M662" s="6">
        <f t="shared" si="65"/>
        <v>0.56557377049180324</v>
      </c>
      <c r="N662" s="6">
        <f t="shared" si="66"/>
        <v>0.10655737704918034</v>
      </c>
      <c r="O662" s="4">
        <f t="shared" si="67"/>
        <v>1139.5861978393582</v>
      </c>
      <c r="P662" s="4">
        <f t="shared" si="68"/>
        <v>1965.7861912728927</v>
      </c>
      <c r="Q662" s="4">
        <f t="shared" si="69"/>
        <v>3105.3723891122509</v>
      </c>
      <c r="W662" s="3"/>
      <c r="Y662" s="7"/>
      <c r="Z662" s="7"/>
      <c r="AA662" s="7"/>
      <c r="AB662" s="7"/>
      <c r="AC662" s="9"/>
      <c r="AD662" s="9"/>
      <c r="AE662" s="9"/>
      <c r="AF662" s="3"/>
      <c r="AG662" s="3"/>
      <c r="AH662" s="3"/>
      <c r="AJ662" t="s">
        <v>1035</v>
      </c>
      <c r="AK662" t="s">
        <v>682</v>
      </c>
      <c r="AL662" s="11">
        <f>D659</f>
        <v>40830</v>
      </c>
      <c r="AM662" s="3">
        <f>SUM(E659,E668)</f>
        <v>45</v>
      </c>
      <c r="AN662" s="3">
        <f>(AM662-4*$A$20)*$A$21/(2*$A$22)*$A$23</f>
        <v>3136.491080539497</v>
      </c>
      <c r="AO662" s="11">
        <f>G659</f>
        <v>40204</v>
      </c>
      <c r="AP662" s="7">
        <f>SUM(H659,H668)</f>
        <v>6.8000000000000007</v>
      </c>
      <c r="AQ662" s="7">
        <f>SUM(I659,I668)</f>
        <v>12.96</v>
      </c>
      <c r="AR662" s="7">
        <f>SUM(J659,J668)</f>
        <v>6.4</v>
      </c>
      <c r="AS662" s="7">
        <f>SUM(K659,K668)</f>
        <v>10.6</v>
      </c>
      <c r="AT662" s="9">
        <f>(AR662-2*$A$25)/AQ662</f>
        <v>0.33333333333333331</v>
      </c>
      <c r="AU662" s="9">
        <f>(AS662-2*$A$26)/AQ662</f>
        <v>0.55555555555555547</v>
      </c>
      <c r="AV662" s="9">
        <f>1-AT662-AU662</f>
        <v>0.11111111111111127</v>
      </c>
      <c r="AW662" s="3">
        <f>AN662*AT662</f>
        <v>1045.497026846499</v>
      </c>
      <c r="AX662" s="3">
        <f>AN662*AU662</f>
        <v>1742.4950447441647</v>
      </c>
      <c r="AY662" s="3">
        <f>AW662+AX662</f>
        <v>2787.9920715906637</v>
      </c>
    </row>
    <row r="663" spans="1:51" x14ac:dyDescent="0.25">
      <c r="A663">
        <v>630</v>
      </c>
      <c r="B663" s="1" t="s">
        <v>671</v>
      </c>
      <c r="C663" s="1" t="s">
        <v>682</v>
      </c>
      <c r="D663" s="2">
        <v>40830</v>
      </c>
      <c r="E663" s="3">
        <v>24.6</v>
      </c>
      <c r="F663" s="4">
        <f t="shared" si="63"/>
        <v>3460.3175932795634</v>
      </c>
      <c r="G663" s="2">
        <v>40204</v>
      </c>
      <c r="H663" s="7">
        <v>4.24</v>
      </c>
      <c r="I663" s="7">
        <f>H663+H664-2*$A$24</f>
        <v>7.3599999999999994</v>
      </c>
      <c r="J663" s="7">
        <v>3.5</v>
      </c>
      <c r="K663" s="7">
        <v>5.88</v>
      </c>
      <c r="L663" s="6">
        <f t="shared" si="64"/>
        <v>0.33423913043478265</v>
      </c>
      <c r="M663" s="6">
        <f t="shared" si="65"/>
        <v>0.56793478260869568</v>
      </c>
      <c r="N663" s="6">
        <f t="shared" si="66"/>
        <v>9.7826086956521618E-2</v>
      </c>
      <c r="O663" s="4">
        <f t="shared" si="67"/>
        <v>1156.5735434059411</v>
      </c>
      <c r="P663" s="4">
        <f t="shared" si="68"/>
        <v>1965.2347200962738</v>
      </c>
      <c r="Q663" s="4">
        <f t="shared" si="69"/>
        <v>3121.8082635022147</v>
      </c>
      <c r="W663" s="3"/>
      <c r="Y663" s="7"/>
      <c r="Z663" s="7"/>
      <c r="AA663" s="7"/>
      <c r="AB663" s="7"/>
      <c r="AC663" s="9"/>
      <c r="AD663" s="9"/>
      <c r="AE663" s="9"/>
      <c r="AF663" s="3"/>
      <c r="AG663" s="3"/>
      <c r="AH663" s="3"/>
      <c r="AL663" s="11"/>
      <c r="AM663" s="3"/>
      <c r="AN663" s="3"/>
      <c r="AO663" s="11"/>
      <c r="AP663" s="7"/>
      <c r="AQ663" s="7"/>
      <c r="AR663" s="7"/>
      <c r="AS663" s="7"/>
      <c r="AT663" s="9"/>
      <c r="AU663" s="9"/>
      <c r="AV663" s="9"/>
      <c r="AW663" s="3"/>
      <c r="AX663" s="3"/>
      <c r="AY663" s="3"/>
    </row>
    <row r="664" spans="1:51" x14ac:dyDescent="0.25">
      <c r="A664">
        <v>631</v>
      </c>
      <c r="B664" s="1" t="s">
        <v>672</v>
      </c>
      <c r="C664" s="1" t="s">
        <v>682</v>
      </c>
      <c r="D664" s="2">
        <v>40830</v>
      </c>
      <c r="E664" s="3">
        <v>23.9</v>
      </c>
      <c r="F664" s="4">
        <f t="shared" si="63"/>
        <v>3352.3754223662072</v>
      </c>
      <c r="G664" s="2">
        <v>40204</v>
      </c>
      <c r="H664" s="7">
        <v>3.44</v>
      </c>
      <c r="I664" s="7">
        <f>H664+H663-2*$A$24</f>
        <v>7.3599999999999994</v>
      </c>
      <c r="J664" s="7">
        <v>3.5</v>
      </c>
      <c r="K664" s="7">
        <v>5.88</v>
      </c>
      <c r="L664" s="6">
        <f t="shared" si="64"/>
        <v>0.33423913043478265</v>
      </c>
      <c r="M664" s="6">
        <f t="shared" si="65"/>
        <v>0.56793478260869568</v>
      </c>
      <c r="N664" s="6">
        <f t="shared" si="66"/>
        <v>9.7826086956521618E-2</v>
      </c>
      <c r="O664" s="4">
        <f t="shared" si="67"/>
        <v>1120.4950460626183</v>
      </c>
      <c r="P664" s="4">
        <f t="shared" si="68"/>
        <v>1903.9306067242862</v>
      </c>
      <c r="Q664" s="4">
        <f t="shared" si="69"/>
        <v>3024.4256527869047</v>
      </c>
      <c r="W664" s="3"/>
      <c r="Y664" s="7"/>
      <c r="Z664" s="7"/>
      <c r="AA664" s="7"/>
      <c r="AB664" s="7"/>
      <c r="AC664" s="9"/>
      <c r="AD664" s="9"/>
      <c r="AE664" s="9"/>
      <c r="AF664" s="3"/>
      <c r="AG664" s="3"/>
      <c r="AH664" s="3"/>
      <c r="AJ664" t="s">
        <v>1036</v>
      </c>
      <c r="AK664" t="s">
        <v>682</v>
      </c>
      <c r="AL664" s="11">
        <f>D658</f>
        <v>40830</v>
      </c>
      <c r="AM664" s="3">
        <f>SUM(E658,E669)</f>
        <v>50.2</v>
      </c>
      <c r="AN664" s="3">
        <f>(AM664-4*$A$20)*$A$21/(2*$A$22)*$A$23</f>
        <v>3537.4191439319602</v>
      </c>
      <c r="AO664" s="11">
        <f>G658</f>
        <v>40204</v>
      </c>
      <c r="AP664" s="7">
        <f>SUM(H658,H669)</f>
        <v>6.8</v>
      </c>
      <c r="AQ664" s="7">
        <f>SUM(I658,I669)</f>
        <v>12.959999999999999</v>
      </c>
      <c r="AR664" s="7">
        <f>SUM(J658,J669)</f>
        <v>6.48</v>
      </c>
      <c r="AS664" s="7">
        <f>SUM(K658,K669)</f>
        <v>10.8</v>
      </c>
      <c r="AT664" s="9">
        <f>(AR664-2*$A$25)/AQ664</f>
        <v>0.33950617283950624</v>
      </c>
      <c r="AU664" s="9">
        <f>(AS664-2*$A$26)/AQ664</f>
        <v>0.57098765432098775</v>
      </c>
      <c r="AV664" s="9">
        <f>1-AT664-AU664</f>
        <v>8.9506172839506015E-2</v>
      </c>
      <c r="AW664" s="3">
        <f>AN664*AT664</f>
        <v>1200.9756352855422</v>
      </c>
      <c r="AX664" s="3">
        <f>AN664*AU664</f>
        <v>2019.8226593438665</v>
      </c>
      <c r="AY664" s="3">
        <f>AW664+AX664</f>
        <v>3220.7982946294087</v>
      </c>
    </row>
    <row r="665" spans="1:51" x14ac:dyDescent="0.25">
      <c r="A665">
        <v>632</v>
      </c>
      <c r="B665" s="1" t="s">
        <v>673</v>
      </c>
      <c r="C665" s="1" t="s">
        <v>682</v>
      </c>
      <c r="D665" s="2">
        <v>40830</v>
      </c>
      <c r="E665" s="3">
        <v>22.7</v>
      </c>
      <c r="F665" s="4">
        <f t="shared" si="63"/>
        <v>3167.331700800456</v>
      </c>
      <c r="G665" s="2">
        <v>40204</v>
      </c>
      <c r="H665" s="7">
        <v>2.6</v>
      </c>
      <c r="I665" s="7">
        <f>H665+H662-2*$A$24</f>
        <v>4.88</v>
      </c>
      <c r="J665" s="7">
        <v>2.64</v>
      </c>
      <c r="K665" s="7">
        <v>4.46</v>
      </c>
      <c r="L665" s="6">
        <f t="shared" si="64"/>
        <v>0.32786885245901642</v>
      </c>
      <c r="M665" s="6">
        <f t="shared" si="65"/>
        <v>0.56557377049180324</v>
      </c>
      <c r="N665" s="6">
        <f t="shared" si="66"/>
        <v>0.10655737704918034</v>
      </c>
      <c r="O665" s="4">
        <f t="shared" si="67"/>
        <v>1038.4694100985103</v>
      </c>
      <c r="P665" s="4">
        <f t="shared" si="68"/>
        <v>1791.35973241993</v>
      </c>
      <c r="Q665" s="4">
        <f t="shared" si="69"/>
        <v>2829.8291425184402</v>
      </c>
      <c r="W665" s="3"/>
      <c r="Y665" s="7"/>
      <c r="Z665" s="7"/>
      <c r="AA665" s="7"/>
      <c r="AB665" s="7"/>
      <c r="AC665" s="9"/>
      <c r="AD665" s="9"/>
      <c r="AE665" s="9"/>
      <c r="AF665" s="3"/>
      <c r="AG665" s="3"/>
      <c r="AH665" s="3"/>
      <c r="AL665" s="11"/>
      <c r="AM665" s="3"/>
      <c r="AN665" s="3"/>
      <c r="AO665" s="11"/>
      <c r="AP665" s="7"/>
      <c r="AQ665" s="7"/>
      <c r="AR665" s="7"/>
      <c r="AS665" s="7"/>
      <c r="AT665" s="9"/>
      <c r="AU665" s="9"/>
      <c r="AV665" s="9"/>
      <c r="AW665" s="3"/>
      <c r="AX665" s="3"/>
      <c r="AY665" s="3"/>
    </row>
    <row r="666" spans="1:51" x14ac:dyDescent="0.25">
      <c r="A666">
        <v>633</v>
      </c>
      <c r="B666" s="1" t="s">
        <v>674</v>
      </c>
      <c r="C666" s="1" t="s">
        <v>682</v>
      </c>
      <c r="D666" s="2">
        <v>40830</v>
      </c>
      <c r="E666" s="3">
        <v>20.8</v>
      </c>
      <c r="F666" s="4">
        <f t="shared" si="63"/>
        <v>2874.3458083213486</v>
      </c>
      <c r="G666" s="2">
        <v>40204</v>
      </c>
      <c r="H666" s="7">
        <v>3.92</v>
      </c>
      <c r="I666" s="7">
        <f>H666+H661-2*$A$24</f>
        <v>7.24</v>
      </c>
      <c r="J666" s="7">
        <v>3.48</v>
      </c>
      <c r="K666" s="7">
        <v>5.86</v>
      </c>
      <c r="L666" s="6">
        <f t="shared" si="64"/>
        <v>0.33701657458563533</v>
      </c>
      <c r="M666" s="6">
        <f t="shared" si="65"/>
        <v>0.574585635359116</v>
      </c>
      <c r="N666" s="6">
        <f t="shared" si="66"/>
        <v>8.8397790055248726E-2</v>
      </c>
      <c r="O666" s="4">
        <f t="shared" si="67"/>
        <v>968.70217849504002</v>
      </c>
      <c r="P666" s="4">
        <f t="shared" si="68"/>
        <v>1651.5578125161339</v>
      </c>
      <c r="Q666" s="4">
        <f t="shared" si="69"/>
        <v>2620.259991011174</v>
      </c>
      <c r="W666" s="3"/>
      <c r="Y666" s="7"/>
      <c r="Z666" s="7"/>
      <c r="AA666" s="7"/>
      <c r="AB666" s="7"/>
      <c r="AC666" s="9"/>
      <c r="AD666" s="9"/>
      <c r="AE666" s="9"/>
      <c r="AF666" s="3"/>
      <c r="AG666" s="3"/>
      <c r="AH666" s="3"/>
      <c r="AJ666" t="s">
        <v>1037</v>
      </c>
      <c r="AK666" t="s">
        <v>682</v>
      </c>
      <c r="AL666" s="11">
        <f>D657</f>
        <v>40830</v>
      </c>
      <c r="AM666" s="3">
        <f>SUM(E657,E670)</f>
        <v>51.7</v>
      </c>
      <c r="AN666" s="3">
        <f>(AM666-4*$A$20)*$A$21/(2*$A$22)*$A$23</f>
        <v>3653.0714699105556</v>
      </c>
      <c r="AO666" s="11">
        <f>G657</f>
        <v>40204</v>
      </c>
      <c r="AP666" s="7">
        <f>SUM(H657,H670)</f>
        <v>7.72</v>
      </c>
      <c r="AQ666" s="7">
        <f>SUM(I657,I670)</f>
        <v>14.799999999999999</v>
      </c>
      <c r="AR666" s="7">
        <f>SUM(J657,J670)</f>
        <v>7.08</v>
      </c>
      <c r="AS666" s="7">
        <f>SUM(K657,K670)</f>
        <v>11.84</v>
      </c>
      <c r="AT666" s="9">
        <f>(AR666-2*$A$25)/AQ666</f>
        <v>0.33783783783783788</v>
      </c>
      <c r="AU666" s="9">
        <f>(AS666-2*$A$26)/AQ666</f>
        <v>0.57027027027027033</v>
      </c>
      <c r="AV666" s="9">
        <f>1-AT666-AU666</f>
        <v>9.189189189189173E-2</v>
      </c>
      <c r="AW666" s="3">
        <f>AN666*AT666</f>
        <v>1234.1457668616745</v>
      </c>
      <c r="AX666" s="3">
        <f>AN666*AU666</f>
        <v>2083.2380544625062</v>
      </c>
      <c r="AY666" s="3">
        <f>AW666+AX666</f>
        <v>3317.3838213241806</v>
      </c>
    </row>
    <row r="667" spans="1:51" x14ac:dyDescent="0.25">
      <c r="A667">
        <v>634</v>
      </c>
      <c r="B667" s="1" t="s">
        <v>675</v>
      </c>
      <c r="C667" s="1" t="s">
        <v>682</v>
      </c>
      <c r="D667" s="2">
        <v>40830</v>
      </c>
      <c r="E667" s="3">
        <v>21.6</v>
      </c>
      <c r="F667" s="4">
        <f t="shared" si="63"/>
        <v>2997.7082893651836</v>
      </c>
      <c r="G667" s="2">
        <v>40204</v>
      </c>
      <c r="H667" s="7">
        <v>2.76</v>
      </c>
      <c r="I667" s="7">
        <f>H667+H660-2*$A$24</f>
        <v>5.2399999999999993</v>
      </c>
      <c r="J667" s="7">
        <v>2.8</v>
      </c>
      <c r="K667" s="7">
        <v>4.68</v>
      </c>
      <c r="L667" s="6">
        <f t="shared" si="64"/>
        <v>0.33587786259541985</v>
      </c>
      <c r="M667" s="6">
        <f t="shared" si="65"/>
        <v>0.56870229007633588</v>
      </c>
      <c r="N667" s="6">
        <f t="shared" si="66"/>
        <v>9.5419847328244267E-2</v>
      </c>
      <c r="O667" s="4">
        <f t="shared" si="67"/>
        <v>1006.8638529165503</v>
      </c>
      <c r="P667" s="4">
        <f t="shared" si="68"/>
        <v>1704.8035691427954</v>
      </c>
      <c r="Q667" s="4">
        <f t="shared" si="69"/>
        <v>2711.6674220593459</v>
      </c>
      <c r="W667" s="3"/>
      <c r="Y667" s="7"/>
      <c r="Z667" s="7"/>
      <c r="AA667" s="7"/>
      <c r="AB667" s="7"/>
      <c r="AC667" s="9"/>
      <c r="AD667" s="9"/>
      <c r="AE667" s="9"/>
      <c r="AF667" s="3"/>
      <c r="AG667" s="3"/>
      <c r="AH667" s="3"/>
      <c r="AL667" s="11"/>
      <c r="AM667" s="3"/>
      <c r="AN667" s="3"/>
      <c r="AO667" s="11"/>
      <c r="AP667" s="7"/>
      <c r="AQ667" s="7"/>
      <c r="AR667" s="7"/>
      <c r="AS667" s="7"/>
      <c r="AT667" s="9"/>
      <c r="AU667" s="9"/>
      <c r="AV667" s="9"/>
      <c r="AW667" s="3"/>
      <c r="AX667" s="3"/>
      <c r="AY667" s="3"/>
    </row>
    <row r="668" spans="1:51" x14ac:dyDescent="0.25">
      <c r="A668">
        <v>635</v>
      </c>
      <c r="B668" s="1" t="s">
        <v>676</v>
      </c>
      <c r="C668" s="1" t="s">
        <v>682</v>
      </c>
      <c r="D668" s="2">
        <v>40830</v>
      </c>
      <c r="E668" s="3">
        <v>22</v>
      </c>
      <c r="F668" s="4">
        <f t="shared" si="63"/>
        <v>3059.3895298870998</v>
      </c>
      <c r="G668" s="2">
        <v>40204</v>
      </c>
      <c r="H668" s="7">
        <v>3.56</v>
      </c>
      <c r="I668" s="7">
        <f>H668+H659-2*$A$24</f>
        <v>6.48</v>
      </c>
      <c r="J668" s="7">
        <v>3.2</v>
      </c>
      <c r="K668" s="7">
        <v>5.3</v>
      </c>
      <c r="L668" s="6">
        <f t="shared" si="64"/>
        <v>0.33333333333333331</v>
      </c>
      <c r="M668" s="6">
        <f t="shared" si="65"/>
        <v>0.55555555555555547</v>
      </c>
      <c r="N668" s="6">
        <f t="shared" si="66"/>
        <v>0.11111111111111127</v>
      </c>
      <c r="O668" s="4">
        <f t="shared" si="67"/>
        <v>1019.7965099623666</v>
      </c>
      <c r="P668" s="4">
        <f t="shared" si="68"/>
        <v>1699.6608499372774</v>
      </c>
      <c r="Q668" s="4">
        <f t="shared" si="69"/>
        <v>2719.457359899644</v>
      </c>
      <c r="W668" s="3"/>
      <c r="Y668" s="7"/>
      <c r="Z668" s="7"/>
      <c r="AA668" s="7"/>
      <c r="AB668" s="7"/>
      <c r="AC668" s="9"/>
      <c r="AD668" s="9"/>
      <c r="AE668" s="9"/>
      <c r="AF668" s="3"/>
      <c r="AG668" s="3"/>
      <c r="AH668" s="3"/>
      <c r="AJ668" t="s">
        <v>1038</v>
      </c>
      <c r="AK668" t="s">
        <v>682</v>
      </c>
      <c r="AL668" s="11">
        <f>D656</f>
        <v>40830</v>
      </c>
      <c r="AM668" s="3">
        <f>SUM(E656,E671)</f>
        <v>53.099999999999994</v>
      </c>
      <c r="AN668" s="3">
        <f>(AM668-4*$A$20)*$A$21/(2*$A$22)*$A$23</f>
        <v>3761.0136408239091</v>
      </c>
      <c r="AO668" s="11">
        <f>G656</f>
        <v>40204</v>
      </c>
      <c r="AP668" s="7">
        <f>SUM(H656,H671)</f>
        <v>7.48</v>
      </c>
      <c r="AQ668" s="7">
        <f>SUM(I656,I671)</f>
        <v>14.32</v>
      </c>
      <c r="AR668" s="7">
        <f>SUM(J656,J671)</f>
        <v>7.08</v>
      </c>
      <c r="AS668" s="7">
        <f>SUM(K656,K671)</f>
        <v>11.52</v>
      </c>
      <c r="AT668" s="9">
        <f>(AR668-2*$A$25)/AQ668</f>
        <v>0.34916201117318435</v>
      </c>
      <c r="AU668" s="9">
        <f>(AS668-2*$A$26)/AQ668</f>
        <v>0.56703910614525133</v>
      </c>
      <c r="AV668" s="9">
        <f>1-AT668-AU668</f>
        <v>8.3798882681564324E-2</v>
      </c>
      <c r="AW668" s="3">
        <f>AN668*AT668</f>
        <v>1313.2030868798565</v>
      </c>
      <c r="AX668" s="3">
        <f>AN668*AU668</f>
        <v>2132.6418130928869</v>
      </c>
      <c r="AY668" s="3">
        <f>AW668+AX668</f>
        <v>3445.8448999727434</v>
      </c>
    </row>
    <row r="669" spans="1:51" x14ac:dyDescent="0.25">
      <c r="A669">
        <v>636</v>
      </c>
      <c r="B669" s="1" t="s">
        <v>677</v>
      </c>
      <c r="C669" s="1" t="s">
        <v>682</v>
      </c>
      <c r="D669" s="2">
        <v>40830</v>
      </c>
      <c r="E669" s="3">
        <v>25.1</v>
      </c>
      <c r="F669" s="4">
        <f t="shared" si="63"/>
        <v>3537.4191439319602</v>
      </c>
      <c r="G669" s="2">
        <v>40204</v>
      </c>
      <c r="H669" s="7">
        <v>2.9</v>
      </c>
      <c r="I669" s="7">
        <f>H669+H658-2*$A$24</f>
        <v>6.4799999999999995</v>
      </c>
      <c r="J669" s="7">
        <v>3.24</v>
      </c>
      <c r="K669" s="7">
        <v>5.4</v>
      </c>
      <c r="L669" s="6">
        <f t="shared" si="64"/>
        <v>0.33950617283950624</v>
      </c>
      <c r="M669" s="6">
        <f t="shared" si="65"/>
        <v>0.57098765432098775</v>
      </c>
      <c r="N669" s="6">
        <f t="shared" si="66"/>
        <v>8.9506172839506015E-2</v>
      </c>
      <c r="O669" s="4">
        <f t="shared" si="67"/>
        <v>1200.9756352855422</v>
      </c>
      <c r="P669" s="4">
        <f t="shared" si="68"/>
        <v>2019.8226593438665</v>
      </c>
      <c r="Q669" s="4">
        <f t="shared" si="69"/>
        <v>3220.7982946294087</v>
      </c>
      <c r="W669" s="3"/>
      <c r="Y669" s="7"/>
      <c r="Z669" s="7"/>
      <c r="AA669" s="7"/>
      <c r="AB669" s="7"/>
      <c r="AC669" s="9"/>
      <c r="AD669" s="9"/>
      <c r="AE669" s="9"/>
      <c r="AF669" s="3"/>
      <c r="AG669" s="3"/>
      <c r="AH669" s="3"/>
      <c r="AL669" s="11"/>
      <c r="AM669" s="3"/>
      <c r="AN669" s="3"/>
      <c r="AO669" s="11"/>
      <c r="AP669" s="7"/>
      <c r="AQ669" s="7"/>
      <c r="AR669" s="7"/>
      <c r="AS669" s="7"/>
      <c r="AT669" s="9"/>
      <c r="AU669" s="9"/>
      <c r="AV669" s="9"/>
      <c r="AW669" s="3"/>
      <c r="AX669" s="3"/>
      <c r="AY669" s="3"/>
    </row>
    <row r="670" spans="1:51" x14ac:dyDescent="0.25">
      <c r="A670">
        <v>637</v>
      </c>
      <c r="B670" s="1" t="s">
        <v>678</v>
      </c>
      <c r="C670" s="1" t="s">
        <v>682</v>
      </c>
      <c r="D670" s="2">
        <v>40830</v>
      </c>
      <c r="E670" s="3">
        <v>25.200000000000003</v>
      </c>
      <c r="F670" s="4">
        <f t="shared" si="63"/>
        <v>3552.839454062439</v>
      </c>
      <c r="G670" s="2">
        <v>40204</v>
      </c>
      <c r="H670" s="7">
        <v>3.82</v>
      </c>
      <c r="I670" s="7">
        <f>H670+H657-2*$A$24</f>
        <v>7.3999999999999995</v>
      </c>
      <c r="J670" s="7">
        <v>3.54</v>
      </c>
      <c r="K670" s="7">
        <v>5.92</v>
      </c>
      <c r="L670" s="6">
        <f t="shared" si="64"/>
        <v>0.33783783783783788</v>
      </c>
      <c r="M670" s="6">
        <f t="shared" si="65"/>
        <v>0.57027027027027033</v>
      </c>
      <c r="N670" s="6">
        <f t="shared" si="66"/>
        <v>9.189189189189173E-2</v>
      </c>
      <c r="O670" s="4">
        <f t="shared" si="67"/>
        <v>1200.2835993454187</v>
      </c>
      <c r="P670" s="4">
        <f t="shared" si="68"/>
        <v>2026.0787156950669</v>
      </c>
      <c r="Q670" s="4">
        <f t="shared" si="69"/>
        <v>3226.3623150404856</v>
      </c>
      <c r="W670" s="3"/>
      <c r="Y670" s="7"/>
      <c r="Z670" s="7"/>
      <c r="AA670" s="7"/>
      <c r="AB670" s="7"/>
      <c r="AC670" s="9"/>
      <c r="AD670" s="9"/>
      <c r="AE670" s="9"/>
      <c r="AF670" s="3"/>
      <c r="AG670" s="3"/>
      <c r="AH670" s="3"/>
      <c r="AJ670" t="s">
        <v>1039</v>
      </c>
      <c r="AK670" t="s">
        <v>682</v>
      </c>
      <c r="AL670" s="11">
        <f>D655</f>
        <v>40830</v>
      </c>
      <c r="AM670" s="3">
        <f>SUM(E655,E672)</f>
        <v>49.900000000000006</v>
      </c>
      <c r="AN670" s="3">
        <f>(AM670-4*$A$20)*$A$21/(2*$A$22)*$A$23</f>
        <v>3514.2886787362409</v>
      </c>
      <c r="AO670" s="11">
        <f>G655</f>
        <v>40204</v>
      </c>
      <c r="AP670" s="7">
        <f>SUM(H655,H672)</f>
        <v>6.1400000000000006</v>
      </c>
      <c r="AQ670" s="7">
        <f>SUM(I655,I672)</f>
        <v>11.64</v>
      </c>
      <c r="AR670" s="7">
        <f>SUM(J655,J672)</f>
        <v>5.92</v>
      </c>
      <c r="AS670" s="7">
        <f>SUM(K655,K672)</f>
        <v>10.039999999999999</v>
      </c>
      <c r="AT670" s="9">
        <f>(AR670-2*$A$25)/AQ670</f>
        <v>0.32989690721649484</v>
      </c>
      <c r="AU670" s="9">
        <f>(AS670-2*$A$26)/AQ670</f>
        <v>0.57044673539518886</v>
      </c>
      <c r="AV670" s="9">
        <f>1-AT670-AU670</f>
        <v>9.9656357388316352E-2</v>
      </c>
      <c r="AW670" s="3">
        <f>AN670*AT670</f>
        <v>1159.3529661810278</v>
      </c>
      <c r="AX670" s="3">
        <f>AN670*AU670</f>
        <v>2004.7145040213602</v>
      </c>
      <c r="AY670" s="3">
        <f>AW670+AX670</f>
        <v>3164.067470202388</v>
      </c>
    </row>
    <row r="671" spans="1:51" x14ac:dyDescent="0.25">
      <c r="A671">
        <v>638</v>
      </c>
      <c r="B671" s="1" t="s">
        <v>679</v>
      </c>
      <c r="C671" s="1" t="s">
        <v>682</v>
      </c>
      <c r="D671" s="2">
        <v>40830</v>
      </c>
      <c r="E671" s="3">
        <v>25.8</v>
      </c>
      <c r="F671" s="4">
        <f t="shared" si="63"/>
        <v>3645.3613148453151</v>
      </c>
      <c r="G671" s="2">
        <v>40204</v>
      </c>
      <c r="H671" s="7">
        <v>3.88</v>
      </c>
      <c r="I671" s="7">
        <f>H671+H656-2*$A$24</f>
        <v>7.16</v>
      </c>
      <c r="J671" s="7">
        <v>3.54</v>
      </c>
      <c r="K671" s="7">
        <v>5.76</v>
      </c>
      <c r="L671" s="6">
        <f t="shared" si="64"/>
        <v>0.34916201117318435</v>
      </c>
      <c r="M671" s="6">
        <f t="shared" si="65"/>
        <v>0.56703910614525133</v>
      </c>
      <c r="N671" s="6">
        <f t="shared" si="66"/>
        <v>8.3798882681564324E-2</v>
      </c>
      <c r="O671" s="4">
        <f t="shared" si="67"/>
        <v>1272.8216881443138</v>
      </c>
      <c r="P671" s="4">
        <f t="shared" si="68"/>
        <v>2067.0624215463654</v>
      </c>
      <c r="Q671" s="4">
        <f t="shared" si="69"/>
        <v>3339.884109690679</v>
      </c>
      <c r="W671" s="3"/>
      <c r="Y671" s="7"/>
      <c r="Z671" s="7"/>
      <c r="AA671" s="7"/>
      <c r="AB671" s="7"/>
      <c r="AC671" s="9"/>
      <c r="AD671" s="9"/>
      <c r="AE671" s="9"/>
      <c r="AF671" s="3"/>
      <c r="AG671" s="3"/>
      <c r="AH671" s="3"/>
      <c r="AL671" s="11"/>
      <c r="AM671" s="3"/>
      <c r="AN671" s="3"/>
      <c r="AO671" s="11"/>
      <c r="AP671" s="7"/>
      <c r="AQ671" s="7"/>
      <c r="AR671" s="7"/>
      <c r="AS671" s="7"/>
      <c r="AT671" s="9"/>
      <c r="AU671" s="9"/>
      <c r="AV671" s="9"/>
      <c r="AW671" s="3"/>
      <c r="AX671" s="3"/>
      <c r="AY671" s="3"/>
    </row>
    <row r="672" spans="1:51" x14ac:dyDescent="0.25">
      <c r="A672">
        <v>639</v>
      </c>
      <c r="B672" s="1" t="s">
        <v>680</v>
      </c>
      <c r="C672" s="1" t="s">
        <v>682</v>
      </c>
      <c r="D672" s="2">
        <v>40830</v>
      </c>
      <c r="E672" s="3">
        <v>25.6</v>
      </c>
      <c r="F672" s="4">
        <f t="shared" si="63"/>
        <v>3614.5206945843565</v>
      </c>
      <c r="G672" s="2">
        <v>40204</v>
      </c>
      <c r="H672" s="7">
        <v>2.4</v>
      </c>
      <c r="I672" s="7">
        <f>H672+H655-2*$A$24</f>
        <v>5.82</v>
      </c>
      <c r="J672" s="7">
        <v>2.96</v>
      </c>
      <c r="K672" s="7">
        <v>5.0199999999999996</v>
      </c>
      <c r="L672" s="6">
        <f t="shared" si="64"/>
        <v>0.32989690721649484</v>
      </c>
      <c r="M672" s="6">
        <f t="shared" si="65"/>
        <v>0.57044673539518886</v>
      </c>
      <c r="N672" s="6">
        <f t="shared" si="66"/>
        <v>9.9656357388316352E-2</v>
      </c>
      <c r="O672" s="4">
        <f t="shared" si="67"/>
        <v>1192.4191982133959</v>
      </c>
      <c r="P672" s="4">
        <f t="shared" si="68"/>
        <v>2061.8915302439968</v>
      </c>
      <c r="Q672" s="4">
        <f t="shared" si="69"/>
        <v>3254.3107284573925</v>
      </c>
      <c r="W672" s="3"/>
      <c r="Y672" s="7"/>
      <c r="Z672" s="7"/>
      <c r="AA672" s="7"/>
      <c r="AB672" s="7"/>
      <c r="AC672" s="9"/>
      <c r="AD672" s="9"/>
      <c r="AE672" s="9"/>
      <c r="AF672" s="3"/>
      <c r="AG672" s="3"/>
      <c r="AH672" s="3"/>
      <c r="AJ672" t="s">
        <v>1040</v>
      </c>
      <c r="AK672" t="s">
        <v>682</v>
      </c>
      <c r="AL672" s="11">
        <f>D654</f>
        <v>40830</v>
      </c>
      <c r="AM672" s="3">
        <f>SUM(E654,E673)</f>
        <v>53.910000000000004</v>
      </c>
      <c r="AN672" s="3">
        <f>(AM672-4*$A$20)*$A$21/(2*$A$22)*$A$23</f>
        <v>3823.4658968523518</v>
      </c>
      <c r="AO672" s="11">
        <f>G654</f>
        <v>40204</v>
      </c>
      <c r="AP672" s="7">
        <f>SUM(H654,H673)</f>
        <v>6.3</v>
      </c>
      <c r="AQ672" s="7">
        <f>SUM(I654,I673)</f>
        <v>11.959999999999999</v>
      </c>
      <c r="AR672" s="7">
        <f>SUM(J654,J673)</f>
        <v>6.08</v>
      </c>
      <c r="AS672" s="7">
        <f>SUM(K654,K673)</f>
        <v>10.08</v>
      </c>
      <c r="AT672" s="9">
        <f>(AR672-2*$A$25)/AQ672</f>
        <v>0.33444816053511706</v>
      </c>
      <c r="AU672" s="9">
        <f>(AS672-2*$A$26)/AQ672</f>
        <v>0.55852842809364556</v>
      </c>
      <c r="AV672" s="9">
        <f>1-AT672-AU672</f>
        <v>0.10702341137123739</v>
      </c>
      <c r="AW672" s="3">
        <f>AN672*AT672</f>
        <v>1278.7511360710207</v>
      </c>
      <c r="AX672" s="3">
        <f>AN672*AU672</f>
        <v>2135.5143972386049</v>
      </c>
      <c r="AY672" s="3">
        <f>AW672+AX672</f>
        <v>3414.2655333096254</v>
      </c>
    </row>
    <row r="673" spans="1:34" x14ac:dyDescent="0.25">
      <c r="A673">
        <v>640</v>
      </c>
      <c r="B673" s="1" t="s">
        <v>681</v>
      </c>
      <c r="C673" s="1" t="s">
        <v>682</v>
      </c>
      <c r="D673" s="2">
        <v>40830</v>
      </c>
      <c r="E673" s="3">
        <v>28.1</v>
      </c>
      <c r="F673" s="4">
        <f t="shared" si="63"/>
        <v>4000.02844784634</v>
      </c>
      <c r="G673" s="2">
        <v>40204</v>
      </c>
      <c r="H673" s="7">
        <v>2.5</v>
      </c>
      <c r="I673" s="7">
        <f>H673+H654-2*$A$24</f>
        <v>5.9799999999999995</v>
      </c>
      <c r="J673" s="7">
        <v>3.04</v>
      </c>
      <c r="K673" s="7">
        <v>5.04</v>
      </c>
      <c r="L673" s="6">
        <f t="shared" si="64"/>
        <v>0.33444816053511706</v>
      </c>
      <c r="M673" s="6">
        <f t="shared" si="65"/>
        <v>0.55852842809364556</v>
      </c>
      <c r="N673" s="6">
        <f t="shared" si="66"/>
        <v>0.10702341137123739</v>
      </c>
      <c r="O673" s="4">
        <f t="shared" si="67"/>
        <v>1337.8021564703479</v>
      </c>
      <c r="P673" s="4">
        <f t="shared" si="68"/>
        <v>2234.1296013054812</v>
      </c>
      <c r="Q673" s="4">
        <f t="shared" si="69"/>
        <v>3571.9317577758293</v>
      </c>
      <c r="W673" s="3"/>
      <c r="Y673" s="7"/>
      <c r="Z673" s="7"/>
      <c r="AA673" s="7"/>
      <c r="AB673" s="7"/>
      <c r="AC673" s="9"/>
      <c r="AD673" s="9"/>
      <c r="AE673" s="9"/>
      <c r="AF673" s="3"/>
      <c r="AG673" s="3"/>
      <c r="AH67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42BDE-BC57-4328-8857-03350A9630AD}">
  <dimension ref="A1:P326"/>
  <sheetViews>
    <sheetView workbookViewId="0"/>
  </sheetViews>
  <sheetFormatPr defaultRowHeight="15" x14ac:dyDescent="0.25"/>
  <cols>
    <col min="3" max="3" width="10.5703125" bestFit="1" customWidth="1"/>
    <col min="6" max="6" width="10.5703125" bestFit="1" customWidth="1"/>
  </cols>
  <sheetData>
    <row r="1" spans="1:16" x14ac:dyDescent="0.25">
      <c r="A1" s="1"/>
      <c r="B1" s="1" t="s">
        <v>0</v>
      </c>
      <c r="C1" s="1" t="s">
        <v>0</v>
      </c>
      <c r="D1" t="s">
        <v>0</v>
      </c>
      <c r="E1" s="1" t="s">
        <v>0</v>
      </c>
      <c r="F1" s="1" t="s">
        <v>7</v>
      </c>
      <c r="G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15</v>
      </c>
      <c r="O1" s="1" t="s">
        <v>15</v>
      </c>
      <c r="P1" s="1" t="s">
        <v>15</v>
      </c>
    </row>
    <row r="2" spans="1:16" x14ac:dyDescent="0.25">
      <c r="A2" s="1"/>
      <c r="B2" s="1"/>
      <c r="C2" s="1"/>
      <c r="E2" s="1"/>
      <c r="F2" s="1"/>
      <c r="H2" t="s">
        <v>690</v>
      </c>
      <c r="I2" t="s">
        <v>690</v>
      </c>
      <c r="J2" t="s">
        <v>690</v>
      </c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t="s">
        <v>1</v>
      </c>
      <c r="E3" s="1"/>
      <c r="F3" s="1" t="s">
        <v>23</v>
      </c>
      <c r="G3" t="s">
        <v>8</v>
      </c>
      <c r="H3" t="s">
        <v>8</v>
      </c>
      <c r="I3" t="s">
        <v>9</v>
      </c>
      <c r="J3" t="s">
        <v>10</v>
      </c>
      <c r="K3" s="1"/>
      <c r="L3" s="1"/>
      <c r="M3" s="1"/>
      <c r="N3" s="1"/>
      <c r="O3" s="1"/>
      <c r="P3" s="1"/>
    </row>
    <row r="4" spans="1:16" x14ac:dyDescent="0.25">
      <c r="A4" s="1" t="s">
        <v>720</v>
      </c>
      <c r="B4" s="1" t="s">
        <v>20</v>
      </c>
      <c r="C4" s="1" t="s">
        <v>2</v>
      </c>
      <c r="D4" t="s">
        <v>685</v>
      </c>
      <c r="E4" s="1" t="s">
        <v>3</v>
      </c>
      <c r="F4" s="1" t="s">
        <v>24</v>
      </c>
      <c r="G4" t="s">
        <v>709</v>
      </c>
      <c r="H4" t="s">
        <v>691</v>
      </c>
      <c r="I4" t="s">
        <v>709</v>
      </c>
      <c r="J4" t="s">
        <v>710</v>
      </c>
      <c r="K4" s="1" t="s">
        <v>11</v>
      </c>
      <c r="L4" s="1" t="s">
        <v>12</v>
      </c>
      <c r="M4" s="1" t="s">
        <v>13</v>
      </c>
      <c r="N4" s="1" t="s">
        <v>16</v>
      </c>
      <c r="O4" s="1" t="s">
        <v>17</v>
      </c>
      <c r="P4" s="1" t="s">
        <v>18</v>
      </c>
    </row>
    <row r="5" spans="1:16" x14ac:dyDescent="0.25">
      <c r="A5" s="1"/>
      <c r="B5" s="1"/>
      <c r="C5" s="1"/>
      <c r="D5" t="s">
        <v>683</v>
      </c>
      <c r="E5" s="1" t="s">
        <v>4</v>
      </c>
      <c r="F5" s="1"/>
      <c r="G5" t="s">
        <v>683</v>
      </c>
      <c r="H5" t="s">
        <v>683</v>
      </c>
      <c r="I5" t="s">
        <v>683</v>
      </c>
      <c r="J5" t="s">
        <v>683</v>
      </c>
      <c r="K5" s="1" t="s">
        <v>14</v>
      </c>
      <c r="L5" s="1" t="s">
        <v>14</v>
      </c>
      <c r="M5" s="1" t="s">
        <v>14</v>
      </c>
      <c r="N5" s="1" t="s">
        <v>4</v>
      </c>
      <c r="O5" s="1" t="s">
        <v>4</v>
      </c>
      <c r="P5" s="1" t="s">
        <v>4</v>
      </c>
    </row>
    <row r="6" spans="1:16" x14ac:dyDescent="0.25">
      <c r="A6" s="1" t="s">
        <v>720</v>
      </c>
      <c r="B6" s="1" t="s">
        <v>20</v>
      </c>
      <c r="C6" s="1" t="s">
        <v>2</v>
      </c>
      <c r="E6" s="1" t="s">
        <v>3</v>
      </c>
      <c r="F6" s="1" t="s">
        <v>24</v>
      </c>
      <c r="K6" s="1" t="s">
        <v>11</v>
      </c>
      <c r="L6" s="1" t="s">
        <v>12</v>
      </c>
      <c r="M6" s="1" t="s">
        <v>13</v>
      </c>
      <c r="N6" s="1" t="s">
        <v>16</v>
      </c>
      <c r="O6" s="1" t="s">
        <v>17</v>
      </c>
      <c r="P6" s="1" t="s">
        <v>18</v>
      </c>
    </row>
    <row r="7" spans="1:16" x14ac:dyDescent="0.25">
      <c r="A7" s="1" t="s">
        <v>721</v>
      </c>
      <c r="B7" s="1" t="s">
        <v>682</v>
      </c>
      <c r="C7" s="10">
        <v>40827</v>
      </c>
      <c r="D7" s="3">
        <v>53.1</v>
      </c>
      <c r="E7" s="4">
        <v>3761.0136408239105</v>
      </c>
      <c r="F7" s="10">
        <v>40200</v>
      </c>
      <c r="G7" s="7">
        <v>6.62</v>
      </c>
      <c r="H7" s="7">
        <v>12.6</v>
      </c>
      <c r="I7" s="7">
        <v>6.48</v>
      </c>
      <c r="J7" s="7">
        <v>10.44</v>
      </c>
      <c r="K7" s="6">
        <v>0.34920634920634924</v>
      </c>
      <c r="L7" s="6">
        <v>0.55873015873015863</v>
      </c>
      <c r="M7" s="6">
        <v>9.2063492063492069E-2</v>
      </c>
      <c r="N7" s="4">
        <v>1313.3698428273974</v>
      </c>
      <c r="O7" s="4">
        <v>2101.3917485238353</v>
      </c>
      <c r="P7" s="4">
        <v>3414.7615913512327</v>
      </c>
    </row>
    <row r="8" spans="1:16" x14ac:dyDescent="0.25">
      <c r="A8" s="1" t="s">
        <v>722</v>
      </c>
      <c r="B8" s="1" t="s">
        <v>682</v>
      </c>
      <c r="C8" s="10">
        <v>40827</v>
      </c>
      <c r="D8" s="3">
        <v>48.4</v>
      </c>
      <c r="E8" s="4">
        <v>3398.636352757645</v>
      </c>
      <c r="F8" s="10">
        <v>40200</v>
      </c>
      <c r="G8" s="7">
        <v>5.98</v>
      </c>
      <c r="H8" s="7">
        <v>11.32</v>
      </c>
      <c r="I8" s="7">
        <v>5.92</v>
      </c>
      <c r="J8" s="7">
        <v>9.7200000000000006</v>
      </c>
      <c r="K8" s="6">
        <v>0.33922261484098937</v>
      </c>
      <c r="L8" s="6">
        <v>0.55830388692579502</v>
      </c>
      <c r="M8" s="6">
        <v>0.10247349823321561</v>
      </c>
      <c r="N8" s="4">
        <v>1152.8943104760915</v>
      </c>
      <c r="O8" s="4">
        <v>1897.4718859919005</v>
      </c>
      <c r="P8" s="4">
        <v>3050.3661964679923</v>
      </c>
    </row>
    <row r="9" spans="1:16" x14ac:dyDescent="0.25">
      <c r="A9" s="1" t="s">
        <v>723</v>
      </c>
      <c r="B9" s="1" t="s">
        <v>682</v>
      </c>
      <c r="C9" s="10">
        <v>40827</v>
      </c>
      <c r="D9" s="3">
        <v>55.900000000000006</v>
      </c>
      <c r="E9" s="4">
        <v>3976.8979826506211</v>
      </c>
      <c r="F9" s="10">
        <v>40200</v>
      </c>
      <c r="G9" s="7">
        <v>6.4399999999999995</v>
      </c>
      <c r="H9" s="7">
        <v>12.239999999999998</v>
      </c>
      <c r="I9" s="7">
        <v>6.52</v>
      </c>
      <c r="J9" s="7">
        <v>10.24</v>
      </c>
      <c r="K9" s="6">
        <v>0.36274509803921567</v>
      </c>
      <c r="L9" s="6">
        <v>0.55882352941176472</v>
      </c>
      <c r="M9" s="6">
        <v>7.8431372549019551E-2</v>
      </c>
      <c r="N9" s="4">
        <v>1442.6002486085586</v>
      </c>
      <c r="O9" s="4">
        <v>2222.3841667753472</v>
      </c>
      <c r="P9" s="4">
        <v>3664.9844153839058</v>
      </c>
    </row>
    <row r="10" spans="1:16" x14ac:dyDescent="0.25">
      <c r="A10" s="1" t="s">
        <v>724</v>
      </c>
      <c r="B10" s="1" t="s">
        <v>682</v>
      </c>
      <c r="C10" s="10">
        <v>40827</v>
      </c>
      <c r="D10" s="3">
        <v>60.7</v>
      </c>
      <c r="E10" s="4">
        <v>4346.9854257821253</v>
      </c>
      <c r="F10" s="10">
        <v>40200</v>
      </c>
      <c r="G10" s="7">
        <v>6.96</v>
      </c>
      <c r="H10" s="7">
        <v>13.28</v>
      </c>
      <c r="I10" s="7">
        <v>6.64</v>
      </c>
      <c r="J10" s="7">
        <v>10.72</v>
      </c>
      <c r="K10" s="6">
        <v>0.34337349397590361</v>
      </c>
      <c r="L10" s="6">
        <v>0.55120481927710852</v>
      </c>
      <c r="M10" s="6">
        <v>0.10542168674698782</v>
      </c>
      <c r="N10" s="4">
        <v>1492.6395739131394</v>
      </c>
      <c r="O10" s="4">
        <v>2396.0793160184608</v>
      </c>
      <c r="P10" s="4">
        <v>3888.7188899316002</v>
      </c>
    </row>
    <row r="11" spans="1:16" x14ac:dyDescent="0.25">
      <c r="A11" s="1" t="s">
        <v>725</v>
      </c>
      <c r="B11" s="1" t="s">
        <v>682</v>
      </c>
      <c r="C11" s="10">
        <v>40827</v>
      </c>
      <c r="D11" s="3">
        <v>58.599999999999994</v>
      </c>
      <c r="E11" s="4">
        <v>4185.0721694120921</v>
      </c>
      <c r="F11" s="10">
        <v>40200</v>
      </c>
      <c r="G11" s="7">
        <v>7.3999999999999995</v>
      </c>
      <c r="H11" s="7">
        <v>14.159999999999998</v>
      </c>
      <c r="I11" s="7">
        <v>7.08</v>
      </c>
      <c r="J11" s="7">
        <v>11.28</v>
      </c>
      <c r="K11" s="6">
        <v>0.35310734463276838</v>
      </c>
      <c r="L11" s="6">
        <v>0.55649717514124297</v>
      </c>
      <c r="M11" s="6">
        <v>9.0395480225988645E-2</v>
      </c>
      <c r="N11" s="4">
        <v>1477.7797208376032</v>
      </c>
      <c r="O11" s="4">
        <v>2328.9808400400625</v>
      </c>
      <c r="P11" s="4">
        <v>3806.7605608776657</v>
      </c>
    </row>
    <row r="12" spans="1:16" x14ac:dyDescent="0.25">
      <c r="A12" s="1" t="s">
        <v>726</v>
      </c>
      <c r="B12" s="1" t="s">
        <v>682</v>
      </c>
      <c r="C12" s="10">
        <v>40827</v>
      </c>
      <c r="D12" s="3">
        <v>55.6</v>
      </c>
      <c r="E12" s="4">
        <v>3953.7675174549017</v>
      </c>
      <c r="F12" s="10">
        <v>40200</v>
      </c>
      <c r="G12" s="7">
        <v>5.8</v>
      </c>
      <c r="H12" s="7">
        <v>10.959999999999999</v>
      </c>
      <c r="I12" s="7">
        <v>5.96</v>
      </c>
      <c r="J12" s="7">
        <v>9.56</v>
      </c>
      <c r="K12" s="6">
        <v>0.354014598540146</v>
      </c>
      <c r="L12" s="6">
        <v>0.56204379562043805</v>
      </c>
      <c r="M12" s="6">
        <v>8.3941605839416011E-2</v>
      </c>
      <c r="N12" s="4">
        <v>1399.6914204128668</v>
      </c>
      <c r="O12" s="4">
        <v>2222.1905025111496</v>
      </c>
      <c r="P12" s="4">
        <v>3621.8819229240162</v>
      </c>
    </row>
    <row r="13" spans="1:16" x14ac:dyDescent="0.25">
      <c r="A13" s="1" t="s">
        <v>727</v>
      </c>
      <c r="B13" s="1" t="s">
        <v>682</v>
      </c>
      <c r="C13" s="10">
        <v>40827</v>
      </c>
      <c r="D13" s="3">
        <v>61.2</v>
      </c>
      <c r="E13" s="4">
        <v>4385.5362011083234</v>
      </c>
      <c r="F13" s="10">
        <v>40200</v>
      </c>
      <c r="G13" s="7">
        <v>5.84</v>
      </c>
      <c r="H13" s="7">
        <v>11.04</v>
      </c>
      <c r="I13" s="7">
        <v>5.88</v>
      </c>
      <c r="J13" s="7">
        <v>9.6</v>
      </c>
      <c r="K13" s="6">
        <v>0.34420289855072467</v>
      </c>
      <c r="L13" s="6">
        <v>0.56159420289855067</v>
      </c>
      <c r="M13" s="6">
        <v>9.4202898550724723E-2</v>
      </c>
      <c r="N13" s="4">
        <v>1509.5142721206187</v>
      </c>
      <c r="O13" s="4">
        <v>2462.891707144167</v>
      </c>
      <c r="P13" s="4">
        <v>3972.4059792647859</v>
      </c>
    </row>
    <row r="14" spans="1:16" x14ac:dyDescent="0.25">
      <c r="A14" s="1" t="s">
        <v>728</v>
      </c>
      <c r="B14" s="1" t="s">
        <v>682</v>
      </c>
      <c r="C14" s="10">
        <v>40827</v>
      </c>
      <c r="D14" s="3">
        <v>52.7</v>
      </c>
      <c r="E14" s="4">
        <v>3730.1730205629515</v>
      </c>
      <c r="F14" s="10">
        <v>40200</v>
      </c>
      <c r="G14" s="7">
        <v>6.9399999999999995</v>
      </c>
      <c r="H14" s="7">
        <v>13.239999999999998</v>
      </c>
      <c r="I14" s="7">
        <v>6.76</v>
      </c>
      <c r="J14" s="7">
        <v>10.72</v>
      </c>
      <c r="K14" s="6">
        <v>0.35347432024169184</v>
      </c>
      <c r="L14" s="6">
        <v>0.55287009063444115</v>
      </c>
      <c r="M14" s="6">
        <v>9.3655589123866956E-2</v>
      </c>
      <c r="N14" s="4">
        <v>1318.5203728273877</v>
      </c>
      <c r="O14" s="4">
        <v>2062.3010959607859</v>
      </c>
      <c r="P14" s="4">
        <v>3380.8214687881737</v>
      </c>
    </row>
    <row r="15" spans="1:16" x14ac:dyDescent="0.25">
      <c r="A15" s="1" t="s">
        <v>729</v>
      </c>
      <c r="B15" s="1" t="s">
        <v>682</v>
      </c>
      <c r="C15" s="10">
        <v>40827</v>
      </c>
      <c r="D15" s="3">
        <v>49.6</v>
      </c>
      <c r="E15" s="4">
        <v>3491.1582135405224</v>
      </c>
      <c r="F15" s="10">
        <v>40200</v>
      </c>
      <c r="G15" s="7">
        <v>6.32</v>
      </c>
      <c r="H15" s="7">
        <v>12</v>
      </c>
      <c r="I15" s="7">
        <v>6.28</v>
      </c>
      <c r="J15" s="7">
        <v>9.9600000000000009</v>
      </c>
      <c r="K15" s="6">
        <v>0.35000000000000003</v>
      </c>
      <c r="L15" s="6">
        <v>0.54666666666666675</v>
      </c>
      <c r="M15" s="6">
        <v>0.10333333333333317</v>
      </c>
      <c r="N15" s="4">
        <v>1221.9053747391829</v>
      </c>
      <c r="O15" s="4">
        <v>1908.4998234021525</v>
      </c>
      <c r="P15" s="4">
        <v>3130.4051981413354</v>
      </c>
    </row>
    <row r="16" spans="1:16" x14ac:dyDescent="0.25">
      <c r="A16" s="1" t="s">
        <v>730</v>
      </c>
      <c r="B16" s="1" t="s">
        <v>682</v>
      </c>
      <c r="C16" s="10">
        <v>40827</v>
      </c>
      <c r="D16" s="3">
        <v>45.9</v>
      </c>
      <c r="E16" s="4">
        <v>3205.8824761266542</v>
      </c>
      <c r="F16" s="10">
        <v>40200</v>
      </c>
      <c r="G16" s="7">
        <v>6.3</v>
      </c>
      <c r="H16" s="7">
        <v>11.959999999999999</v>
      </c>
      <c r="I16" s="7">
        <v>6.32</v>
      </c>
      <c r="J16" s="7">
        <v>10.08</v>
      </c>
      <c r="K16" s="6">
        <v>0.35451505016722412</v>
      </c>
      <c r="L16" s="6">
        <v>0.55852842809364556</v>
      </c>
      <c r="M16" s="6">
        <v>8.6956521739130377E-2</v>
      </c>
      <c r="N16" s="4">
        <v>1136.5335868542654</v>
      </c>
      <c r="O16" s="4">
        <v>1790.5765000439844</v>
      </c>
      <c r="P16" s="4">
        <v>2927.1100868982498</v>
      </c>
    </row>
    <row r="17" spans="1:16" x14ac:dyDescent="0.25">
      <c r="A17" s="1" t="s">
        <v>731</v>
      </c>
      <c r="B17" s="1" t="s">
        <v>682</v>
      </c>
      <c r="C17" s="10">
        <v>40827</v>
      </c>
      <c r="D17" s="3">
        <v>55.900000000000006</v>
      </c>
      <c r="E17" s="4">
        <v>3976.8979826506211</v>
      </c>
      <c r="F17" s="10">
        <v>40200</v>
      </c>
      <c r="G17" s="7">
        <v>6.32</v>
      </c>
      <c r="H17" s="7">
        <v>12</v>
      </c>
      <c r="I17" s="7">
        <v>6.2</v>
      </c>
      <c r="J17" s="7">
        <v>10.24</v>
      </c>
      <c r="K17" s="6">
        <v>0.34333333333333332</v>
      </c>
      <c r="L17" s="6">
        <v>0.56999999999999995</v>
      </c>
      <c r="M17" s="6">
        <v>8.6666666666666781E-2</v>
      </c>
      <c r="N17" s="4">
        <v>1365.4016407100464</v>
      </c>
      <c r="O17" s="4">
        <v>2266.8318501108538</v>
      </c>
      <c r="P17" s="4">
        <v>3632.2334908209004</v>
      </c>
    </row>
    <row r="18" spans="1:16" x14ac:dyDescent="0.25">
      <c r="A18" s="1" t="s">
        <v>732</v>
      </c>
      <c r="B18" s="1" t="s">
        <v>682</v>
      </c>
      <c r="C18" s="10">
        <v>40827</v>
      </c>
      <c r="D18" s="3">
        <v>58.099999999999994</v>
      </c>
      <c r="E18" s="4">
        <v>4146.521394085893</v>
      </c>
      <c r="F18" s="10">
        <v>40200</v>
      </c>
      <c r="G18" s="7">
        <v>6.82</v>
      </c>
      <c r="H18" s="7">
        <v>13</v>
      </c>
      <c r="I18" s="7">
        <v>6.56</v>
      </c>
      <c r="J18" s="7">
        <v>10.52</v>
      </c>
      <c r="K18" s="6">
        <v>0.3446153846153846</v>
      </c>
      <c r="L18" s="6">
        <v>0.54769230769230759</v>
      </c>
      <c r="M18" s="6">
        <v>0.10769230769230786</v>
      </c>
      <c r="N18" s="4">
        <v>1428.9550650388308</v>
      </c>
      <c r="O18" s="4">
        <v>2271.0178712224269</v>
      </c>
      <c r="P18" s="4">
        <v>3699.9729362612579</v>
      </c>
    </row>
    <row r="19" spans="1:16" x14ac:dyDescent="0.25">
      <c r="A19" s="1" t="s">
        <v>733</v>
      </c>
      <c r="B19" s="1" t="s">
        <v>682</v>
      </c>
      <c r="C19" s="10">
        <v>40827</v>
      </c>
      <c r="D19" s="3">
        <v>52.4</v>
      </c>
      <c r="E19" s="4">
        <v>3707.0425553672321</v>
      </c>
      <c r="F19" s="10">
        <v>40200</v>
      </c>
      <c r="G19" s="7">
        <v>6.26</v>
      </c>
      <c r="H19" s="7">
        <v>11.879999999999999</v>
      </c>
      <c r="I19" s="7">
        <v>6.2</v>
      </c>
      <c r="J19" s="7">
        <v>9.92</v>
      </c>
      <c r="K19" s="6">
        <v>0.34680134680134683</v>
      </c>
      <c r="L19" s="6">
        <v>0.54882154882154888</v>
      </c>
      <c r="M19" s="6">
        <v>0.10437710437710424</v>
      </c>
      <c r="N19" s="4">
        <v>1285.6073508512625</v>
      </c>
      <c r="O19" s="4">
        <v>2034.5048367840368</v>
      </c>
      <c r="P19" s="4">
        <v>3320.1121876352991</v>
      </c>
    </row>
    <row r="20" spans="1:16" x14ac:dyDescent="0.25">
      <c r="A20" s="1" t="s">
        <v>734</v>
      </c>
      <c r="B20" s="1" t="s">
        <v>682</v>
      </c>
      <c r="C20" s="10">
        <v>40827</v>
      </c>
      <c r="D20" s="3">
        <v>67</v>
      </c>
      <c r="E20" s="4">
        <v>4832.725194892224</v>
      </c>
      <c r="F20" s="10">
        <v>40200</v>
      </c>
      <c r="G20" s="7">
        <v>6.3</v>
      </c>
      <c r="H20" s="7">
        <v>11.959999999999999</v>
      </c>
      <c r="I20" s="7">
        <v>6.28</v>
      </c>
      <c r="J20" s="7">
        <v>10.199999999999999</v>
      </c>
      <c r="K20" s="6">
        <v>0.35117056856187295</v>
      </c>
      <c r="L20" s="6">
        <v>0.56856187290969895</v>
      </c>
      <c r="M20" s="6">
        <v>8.0267558528428151E-2</v>
      </c>
      <c r="N20" s="4">
        <v>1697.1108543935907</v>
      </c>
      <c r="O20" s="4">
        <v>2747.7032880658126</v>
      </c>
      <c r="P20" s="4">
        <v>4444.8141424594032</v>
      </c>
    </row>
    <row r="21" spans="1:16" x14ac:dyDescent="0.25">
      <c r="A21" s="1" t="s">
        <v>735</v>
      </c>
      <c r="B21" s="1" t="s">
        <v>682</v>
      </c>
      <c r="C21" s="10">
        <v>40827</v>
      </c>
      <c r="D21" s="3">
        <v>66.5</v>
      </c>
      <c r="E21" s="4">
        <v>4794.1744195660249</v>
      </c>
      <c r="F21" s="10">
        <v>40200</v>
      </c>
      <c r="G21" s="7">
        <v>7.08</v>
      </c>
      <c r="H21" s="7">
        <v>13.52</v>
      </c>
      <c r="I21" s="7">
        <v>6.72</v>
      </c>
      <c r="J21" s="7">
        <v>10.92</v>
      </c>
      <c r="K21" s="6">
        <v>0.34319526627218933</v>
      </c>
      <c r="L21" s="6">
        <v>0.55621301775147924</v>
      </c>
      <c r="M21" s="6">
        <v>0.10059171597633143</v>
      </c>
      <c r="N21" s="4">
        <v>1645.3379664782806</v>
      </c>
      <c r="O21" s="4">
        <v>2666.5822215337653</v>
      </c>
      <c r="P21" s="4">
        <v>4311.9201880120454</v>
      </c>
    </row>
    <row r="22" spans="1:16" x14ac:dyDescent="0.25">
      <c r="A22" s="1" t="s">
        <v>736</v>
      </c>
      <c r="B22" s="1" t="s">
        <v>682</v>
      </c>
      <c r="C22" s="10">
        <v>40827</v>
      </c>
      <c r="D22" s="3">
        <v>62.800000000000004</v>
      </c>
      <c r="E22" s="4">
        <v>4508.8986821521585</v>
      </c>
      <c r="F22" s="10">
        <v>40200</v>
      </c>
      <c r="G22" s="7">
        <v>6.62</v>
      </c>
      <c r="H22" s="7">
        <v>12.6</v>
      </c>
      <c r="I22" s="7">
        <v>6.36</v>
      </c>
      <c r="J22" s="7">
        <v>10.36</v>
      </c>
      <c r="K22" s="6">
        <v>0.3396825396825397</v>
      </c>
      <c r="L22" s="6">
        <v>0.55238095238095231</v>
      </c>
      <c r="M22" s="6">
        <v>0.107936507936508</v>
      </c>
      <c r="N22" s="4">
        <v>1531.5941555247016</v>
      </c>
      <c r="O22" s="4">
        <v>2490.6297482364303</v>
      </c>
      <c r="P22" s="4">
        <v>4022.2239037611316</v>
      </c>
    </row>
    <row r="23" spans="1:16" x14ac:dyDescent="0.25">
      <c r="A23" s="1" t="s">
        <v>737</v>
      </c>
      <c r="B23" s="1" t="s">
        <v>682</v>
      </c>
      <c r="C23" s="10">
        <v>40827</v>
      </c>
      <c r="D23" s="3">
        <v>65</v>
      </c>
      <c r="E23" s="4">
        <v>4678.5220935874313</v>
      </c>
      <c r="F23" s="10">
        <v>40200</v>
      </c>
      <c r="G23" s="7">
        <v>5.5</v>
      </c>
      <c r="H23" s="7">
        <v>10.36</v>
      </c>
      <c r="I23" s="7">
        <v>5.64</v>
      </c>
      <c r="J23" s="7">
        <v>9.24</v>
      </c>
      <c r="K23" s="6">
        <v>0.34362934362934361</v>
      </c>
      <c r="L23" s="6">
        <v>0.56370656370656369</v>
      </c>
      <c r="M23" s="6">
        <v>9.2664092664092701E-2</v>
      </c>
      <c r="N23" s="4">
        <v>1607.6774761748316</v>
      </c>
      <c r="O23" s="4">
        <v>2637.3136126014092</v>
      </c>
      <c r="P23" s="4">
        <v>4244.9910887762408</v>
      </c>
    </row>
    <row r="24" spans="1:16" x14ac:dyDescent="0.25">
      <c r="A24" s="1" t="s">
        <v>738</v>
      </c>
      <c r="B24" s="1" t="s">
        <v>682</v>
      </c>
      <c r="C24" s="10">
        <v>40827</v>
      </c>
      <c r="D24" s="3">
        <v>54.800000000000004</v>
      </c>
      <c r="E24" s="4">
        <v>3892.0862769329847</v>
      </c>
      <c r="F24" s="10">
        <v>40200</v>
      </c>
      <c r="G24" s="7">
        <v>6.6999999999999993</v>
      </c>
      <c r="H24" s="7">
        <v>12.759999999999998</v>
      </c>
      <c r="I24" s="7">
        <v>6.44</v>
      </c>
      <c r="J24" s="7">
        <v>10.44</v>
      </c>
      <c r="K24" s="6">
        <v>0.3416927899686521</v>
      </c>
      <c r="L24" s="6">
        <v>0.55172413793103448</v>
      </c>
      <c r="M24" s="6">
        <v>0.10658307210031337</v>
      </c>
      <c r="N24" s="4">
        <v>1329.8978187639354</v>
      </c>
      <c r="O24" s="4">
        <v>2147.3579458940603</v>
      </c>
      <c r="P24" s="4">
        <v>3477.2557646579958</v>
      </c>
    </row>
    <row r="25" spans="1:16" x14ac:dyDescent="0.25">
      <c r="A25" s="1" t="s">
        <v>739</v>
      </c>
      <c r="B25" s="1" t="s">
        <v>682</v>
      </c>
      <c r="C25" s="10">
        <v>40827</v>
      </c>
      <c r="D25" s="3">
        <v>58.3</v>
      </c>
      <c r="E25" s="4">
        <v>4161.9417042163723</v>
      </c>
      <c r="F25" s="10">
        <v>40200</v>
      </c>
      <c r="G25" s="7">
        <v>7.1400000000000006</v>
      </c>
      <c r="H25" s="7">
        <v>13.64</v>
      </c>
      <c r="I25" s="7">
        <v>6.8</v>
      </c>
      <c r="J25" s="7">
        <v>10.96</v>
      </c>
      <c r="K25" s="6">
        <v>0.34604105571847504</v>
      </c>
      <c r="L25" s="6">
        <v>0.5542521994134898</v>
      </c>
      <c r="M25" s="6">
        <v>9.9706744868035213E-2</v>
      </c>
      <c r="N25" s="4">
        <v>1440.2027011657826</v>
      </c>
      <c r="O25" s="4">
        <v>2306.7653433926525</v>
      </c>
      <c r="P25" s="4">
        <v>3746.9680445584354</v>
      </c>
    </row>
    <row r="26" spans="1:16" x14ac:dyDescent="0.25">
      <c r="A26" s="1" t="s">
        <v>740</v>
      </c>
      <c r="B26" s="1" t="s">
        <v>682</v>
      </c>
      <c r="C26" s="10">
        <v>40827</v>
      </c>
      <c r="D26" s="3">
        <v>47.9</v>
      </c>
      <c r="E26" s="4">
        <v>3360.0855774314477</v>
      </c>
      <c r="F26" s="10">
        <v>40200</v>
      </c>
      <c r="G26" s="7">
        <v>6.98</v>
      </c>
      <c r="H26" s="7">
        <v>13.32</v>
      </c>
      <c r="I26" s="7">
        <v>6.68</v>
      </c>
      <c r="J26" s="7">
        <v>10.84</v>
      </c>
      <c r="K26" s="6">
        <v>0.34534534534534533</v>
      </c>
      <c r="L26" s="6">
        <v>0.55855855855855852</v>
      </c>
      <c r="M26" s="6">
        <v>9.6096096096096151E-2</v>
      </c>
      <c r="N26" s="4">
        <v>1160.3899141279774</v>
      </c>
      <c r="O26" s="4">
        <v>1876.8045567635113</v>
      </c>
      <c r="P26" s="4">
        <v>3037.1944708914889</v>
      </c>
    </row>
    <row r="27" spans="1:16" x14ac:dyDescent="0.25">
      <c r="A27" s="1" t="s">
        <v>741</v>
      </c>
      <c r="B27" s="1" t="s">
        <v>682</v>
      </c>
      <c r="C27" s="10">
        <v>40827</v>
      </c>
      <c r="D27" s="3">
        <v>65.099999999999994</v>
      </c>
      <c r="E27" s="4">
        <v>4686.23224865267</v>
      </c>
      <c r="F27" s="10">
        <v>40200</v>
      </c>
      <c r="G27" s="7">
        <v>7.88</v>
      </c>
      <c r="H27" s="7">
        <v>15.12</v>
      </c>
      <c r="I27" s="7">
        <v>7.12</v>
      </c>
      <c r="J27" s="7">
        <v>12.12</v>
      </c>
      <c r="K27" s="6">
        <v>0.33333333333333337</v>
      </c>
      <c r="L27" s="6">
        <v>0.57671957671957663</v>
      </c>
      <c r="M27" s="6">
        <v>8.9947089947089998E-2</v>
      </c>
      <c r="N27" s="4">
        <v>1562.0774162175569</v>
      </c>
      <c r="O27" s="4">
        <v>2702.6418788525975</v>
      </c>
      <c r="P27" s="4">
        <v>4264.7192950701547</v>
      </c>
    </row>
    <row r="28" spans="1:16" x14ac:dyDescent="0.25">
      <c r="A28" s="1" t="s">
        <v>742</v>
      </c>
      <c r="B28" s="1" t="s">
        <v>682</v>
      </c>
      <c r="C28" s="10">
        <v>40827</v>
      </c>
      <c r="D28" s="3">
        <v>72.599999999999994</v>
      </c>
      <c r="E28" s="4">
        <v>5264.4938785456452</v>
      </c>
      <c r="F28" s="10">
        <v>40200</v>
      </c>
      <c r="G28" s="7">
        <v>7.28</v>
      </c>
      <c r="H28" s="7">
        <v>13.92</v>
      </c>
      <c r="I28" s="7">
        <v>6.84</v>
      </c>
      <c r="J28" s="7">
        <v>11.6</v>
      </c>
      <c r="K28" s="6">
        <v>0.34195402298850575</v>
      </c>
      <c r="L28" s="6">
        <v>0.58908045977011492</v>
      </c>
      <c r="M28" s="6">
        <v>6.8965517241379337E-2</v>
      </c>
      <c r="N28" s="4">
        <v>1800.2148607670454</v>
      </c>
      <c r="O28" s="4">
        <v>3101.2104744306243</v>
      </c>
      <c r="P28" s="4">
        <v>4901.4253351976695</v>
      </c>
    </row>
    <row r="29" spans="1:16" x14ac:dyDescent="0.25">
      <c r="A29" s="1" t="s">
        <v>743</v>
      </c>
      <c r="B29" s="1" t="s">
        <v>682</v>
      </c>
      <c r="C29" s="10">
        <v>40827</v>
      </c>
      <c r="D29" s="3">
        <v>63.1</v>
      </c>
      <c r="E29" s="4">
        <v>4532.0291473478765</v>
      </c>
      <c r="F29" s="10">
        <v>40200</v>
      </c>
      <c r="G29" s="7">
        <v>7.3000000000000007</v>
      </c>
      <c r="H29" s="7">
        <v>13.96</v>
      </c>
      <c r="I29" s="7">
        <v>6.72</v>
      </c>
      <c r="J29" s="7">
        <v>11.48</v>
      </c>
      <c r="K29" s="6">
        <v>0.33237822349570195</v>
      </c>
      <c r="L29" s="6">
        <v>0.57879656160458448</v>
      </c>
      <c r="M29" s="6">
        <v>8.8825214899713512E-2</v>
      </c>
      <c r="N29" s="4">
        <v>1506.347796826228</v>
      </c>
      <c r="O29" s="4">
        <v>2623.1228875767079</v>
      </c>
      <c r="P29" s="4">
        <v>4129.4706844029361</v>
      </c>
    </row>
    <row r="30" spans="1:16" x14ac:dyDescent="0.25">
      <c r="A30" s="1" t="s">
        <v>744</v>
      </c>
      <c r="B30" s="1" t="s">
        <v>682</v>
      </c>
      <c r="C30" s="10">
        <v>40827</v>
      </c>
      <c r="D30" s="3">
        <v>56.5</v>
      </c>
      <c r="E30" s="4">
        <v>4023.1589130420593</v>
      </c>
      <c r="F30" s="10">
        <v>40200</v>
      </c>
      <c r="G30" s="7">
        <v>6.58</v>
      </c>
      <c r="H30" s="7">
        <v>12.52</v>
      </c>
      <c r="I30" s="7">
        <v>6.24</v>
      </c>
      <c r="J30" s="7">
        <v>10.64</v>
      </c>
      <c r="K30" s="6">
        <v>0.3322683706070288</v>
      </c>
      <c r="L30" s="6">
        <v>0.57827476038338665</v>
      </c>
      <c r="M30" s="6">
        <v>8.9456869009584494E-2</v>
      </c>
      <c r="N30" s="4">
        <v>1336.7684567296301</v>
      </c>
      <c r="O30" s="4">
        <v>2326.4912564236834</v>
      </c>
      <c r="P30" s="4">
        <v>3663.2597131533134</v>
      </c>
    </row>
    <row r="31" spans="1:16" x14ac:dyDescent="0.25">
      <c r="A31" s="1" t="s">
        <v>745</v>
      </c>
      <c r="B31" s="1" t="s">
        <v>682</v>
      </c>
      <c r="C31" s="10">
        <v>40827</v>
      </c>
      <c r="D31" s="3">
        <v>66.2</v>
      </c>
      <c r="E31" s="4">
        <v>4771.0439543703069</v>
      </c>
      <c r="F31" s="10">
        <v>40200</v>
      </c>
      <c r="G31" s="7">
        <v>6.68</v>
      </c>
      <c r="H31" s="7">
        <v>12.719999999999999</v>
      </c>
      <c r="I31" s="7">
        <v>6.32</v>
      </c>
      <c r="J31" s="7">
        <v>10.8</v>
      </c>
      <c r="K31" s="6">
        <v>0.33333333333333337</v>
      </c>
      <c r="L31" s="6">
        <v>0.58176100628930827</v>
      </c>
      <c r="M31" s="6">
        <v>8.4905660377358361E-2</v>
      </c>
      <c r="N31" s="4">
        <v>1590.3479847901024</v>
      </c>
      <c r="O31" s="4">
        <v>2775.6073319449902</v>
      </c>
      <c r="P31" s="4">
        <v>4365.9553167350923</v>
      </c>
    </row>
    <row r="32" spans="1:16" x14ac:dyDescent="0.25">
      <c r="A32" s="1" t="s">
        <v>746</v>
      </c>
      <c r="B32" s="1" t="s">
        <v>682</v>
      </c>
      <c r="C32" s="10">
        <v>40827</v>
      </c>
      <c r="D32" s="3">
        <v>65.099999999999994</v>
      </c>
      <c r="E32" s="4">
        <v>4686.23224865267</v>
      </c>
      <c r="F32" s="10">
        <v>40200</v>
      </c>
      <c r="G32" s="7">
        <v>6.58</v>
      </c>
      <c r="H32" s="7">
        <v>12.52</v>
      </c>
      <c r="I32" s="7">
        <v>6.08</v>
      </c>
      <c r="J32" s="7">
        <v>10.56</v>
      </c>
      <c r="K32" s="6">
        <v>0.31948881789137379</v>
      </c>
      <c r="L32" s="6">
        <v>0.5718849840255591</v>
      </c>
      <c r="M32" s="6">
        <v>0.10862619808306717</v>
      </c>
      <c r="N32" s="4">
        <v>1497.198801486476</v>
      </c>
      <c r="O32" s="4">
        <v>2679.985854660792</v>
      </c>
      <c r="P32" s="4">
        <v>4177.1846561472685</v>
      </c>
    </row>
    <row r="33" spans="1:16" x14ac:dyDescent="0.25">
      <c r="A33" s="1" t="s">
        <v>747</v>
      </c>
      <c r="B33" s="1" t="s">
        <v>682</v>
      </c>
      <c r="C33" s="10">
        <v>40827</v>
      </c>
      <c r="D33" s="3">
        <v>63.900000000000006</v>
      </c>
      <c r="E33" s="4">
        <v>4593.7103878697944</v>
      </c>
      <c r="F33" s="10">
        <v>40200</v>
      </c>
      <c r="G33" s="7">
        <v>7.38</v>
      </c>
      <c r="H33" s="7">
        <v>14.12</v>
      </c>
      <c r="I33" s="7">
        <v>6.76</v>
      </c>
      <c r="J33" s="7">
        <v>11.52</v>
      </c>
      <c r="K33" s="6">
        <v>0.33144475920679889</v>
      </c>
      <c r="L33" s="6">
        <v>0.57507082152974498</v>
      </c>
      <c r="M33" s="6">
        <v>9.3484419263456187E-2</v>
      </c>
      <c r="N33" s="4">
        <v>1522.5612333732747</v>
      </c>
      <c r="O33" s="4">
        <v>2641.7088066220063</v>
      </c>
      <c r="P33" s="4">
        <v>4164.270039995281</v>
      </c>
    </row>
    <row r="34" spans="1:16" x14ac:dyDescent="0.25">
      <c r="A34" s="1" t="s">
        <v>748</v>
      </c>
      <c r="B34" s="1" t="s">
        <v>682</v>
      </c>
      <c r="C34" s="10">
        <v>40827</v>
      </c>
      <c r="D34" s="3">
        <v>62.3</v>
      </c>
      <c r="E34" s="4">
        <v>4470.3479068259594</v>
      </c>
      <c r="F34" s="10">
        <v>40200</v>
      </c>
      <c r="G34" s="7">
        <v>7.1400000000000006</v>
      </c>
      <c r="H34" s="7">
        <v>13.64</v>
      </c>
      <c r="I34" s="7">
        <v>6.52</v>
      </c>
      <c r="J34" s="7">
        <v>11.12</v>
      </c>
      <c r="K34" s="6">
        <v>0.32551319648093835</v>
      </c>
      <c r="L34" s="6">
        <v>0.56598240469208205</v>
      </c>
      <c r="M34" s="6">
        <v>0.1085043988269796</v>
      </c>
      <c r="N34" s="4">
        <v>1455.15723653279</v>
      </c>
      <c r="O34" s="4">
        <v>2530.1382581155722</v>
      </c>
      <c r="P34" s="4">
        <v>3985.2954946483624</v>
      </c>
    </row>
    <row r="35" spans="1:16" x14ac:dyDescent="0.25">
      <c r="A35" s="1" t="s">
        <v>749</v>
      </c>
      <c r="B35" s="1" t="s">
        <v>682</v>
      </c>
      <c r="C35" s="10">
        <v>40827</v>
      </c>
      <c r="D35" s="3">
        <v>66.8</v>
      </c>
      <c r="E35" s="4">
        <v>4817.3048847617447</v>
      </c>
      <c r="F35" s="10">
        <v>40200</v>
      </c>
      <c r="G35" s="7">
        <v>6.96</v>
      </c>
      <c r="H35" s="7">
        <v>13.28</v>
      </c>
      <c r="I35" s="7">
        <v>6.52</v>
      </c>
      <c r="J35" s="7">
        <v>11.08</v>
      </c>
      <c r="K35" s="6">
        <v>0.33433734939759036</v>
      </c>
      <c r="L35" s="6">
        <v>0.57831325301204817</v>
      </c>
      <c r="M35" s="6">
        <v>8.7349397590361533E-2</v>
      </c>
      <c r="N35" s="4">
        <v>1610.6049464113062</v>
      </c>
      <c r="O35" s="4">
        <v>2785.9112586573942</v>
      </c>
      <c r="P35" s="4">
        <v>4396.5162050687004</v>
      </c>
    </row>
    <row r="36" spans="1:16" x14ac:dyDescent="0.25">
      <c r="A36" s="1" t="s">
        <v>750</v>
      </c>
      <c r="B36" s="1" t="s">
        <v>682</v>
      </c>
      <c r="C36" s="10">
        <v>40827</v>
      </c>
      <c r="D36" s="3">
        <v>56.6</v>
      </c>
      <c r="E36" s="4">
        <v>4030.869068107299</v>
      </c>
      <c r="F36" s="10">
        <v>40200</v>
      </c>
      <c r="G36" s="7">
        <v>6.84</v>
      </c>
      <c r="H36" s="7">
        <v>13.04</v>
      </c>
      <c r="I36" s="7">
        <v>6.44</v>
      </c>
      <c r="J36" s="7">
        <v>10.76</v>
      </c>
      <c r="K36" s="6">
        <v>0.33435582822085896</v>
      </c>
      <c r="L36" s="6">
        <v>0.56441717791411039</v>
      </c>
      <c r="M36" s="6">
        <v>0.10122699386503065</v>
      </c>
      <c r="N36" s="4">
        <v>1347.744565716858</v>
      </c>
      <c r="O36" s="4">
        <v>2275.0917439624018</v>
      </c>
      <c r="P36" s="4">
        <v>3622.83630967926</v>
      </c>
    </row>
    <row r="37" spans="1:16" x14ac:dyDescent="0.25">
      <c r="A37" s="1" t="s">
        <v>751</v>
      </c>
      <c r="B37" s="1" t="s">
        <v>682</v>
      </c>
      <c r="C37" s="10">
        <v>40827</v>
      </c>
      <c r="D37" s="3">
        <v>70.099999999999994</v>
      </c>
      <c r="E37" s="4">
        <v>5071.7400019146544</v>
      </c>
      <c r="F37" s="10">
        <v>40200</v>
      </c>
      <c r="G37" s="7">
        <v>7.32</v>
      </c>
      <c r="H37" s="7">
        <v>14</v>
      </c>
      <c r="I37" s="7">
        <v>6.84</v>
      </c>
      <c r="J37" s="7">
        <v>11.52</v>
      </c>
      <c r="K37" s="6">
        <v>0.33999999999999997</v>
      </c>
      <c r="L37" s="6">
        <v>0.57999999999999996</v>
      </c>
      <c r="M37" s="6">
        <v>8.0000000000000071E-2</v>
      </c>
      <c r="N37" s="4">
        <v>1724.3916006509824</v>
      </c>
      <c r="O37" s="4">
        <v>2941.6092011104993</v>
      </c>
      <c r="P37" s="4">
        <v>4666.0008017614819</v>
      </c>
    </row>
    <row r="38" spans="1:16" x14ac:dyDescent="0.25">
      <c r="A38" s="1" t="s">
        <v>752</v>
      </c>
      <c r="B38" s="1" t="s">
        <v>682</v>
      </c>
      <c r="C38" s="10">
        <v>40827</v>
      </c>
      <c r="D38" s="3">
        <v>72.199999999999989</v>
      </c>
      <c r="E38" s="4">
        <v>5233.6532582846858</v>
      </c>
      <c r="F38" s="10">
        <v>40200</v>
      </c>
      <c r="G38" s="7">
        <v>6.52</v>
      </c>
      <c r="H38" s="7">
        <v>12.399999999999999</v>
      </c>
      <c r="I38" s="7">
        <v>6.16</v>
      </c>
      <c r="J38" s="7">
        <v>10.52</v>
      </c>
      <c r="K38" s="6">
        <v>0.32903225806451619</v>
      </c>
      <c r="L38" s="6">
        <v>0.5741935483870968</v>
      </c>
      <c r="M38" s="6">
        <v>9.6774193548387011E-2</v>
      </c>
      <c r="N38" s="4">
        <v>1722.0407495001227</v>
      </c>
      <c r="O38" s="4">
        <v>3005.1299354021744</v>
      </c>
      <c r="P38" s="4">
        <v>4727.1706849022976</v>
      </c>
    </row>
    <row r="39" spans="1:16" x14ac:dyDescent="0.25">
      <c r="A39" s="1" t="s">
        <v>753</v>
      </c>
      <c r="B39" s="1" t="s">
        <v>682</v>
      </c>
      <c r="C39" s="10">
        <v>40827</v>
      </c>
      <c r="D39" s="3">
        <v>66.7</v>
      </c>
      <c r="E39" s="4">
        <v>4809.5947296965051</v>
      </c>
      <c r="F39" s="10">
        <v>40200</v>
      </c>
      <c r="G39" s="7">
        <v>6.8599999999999994</v>
      </c>
      <c r="H39" s="7">
        <v>13.079999999999998</v>
      </c>
      <c r="I39" s="7">
        <v>6.44</v>
      </c>
      <c r="J39" s="7">
        <v>11</v>
      </c>
      <c r="K39" s="6">
        <v>0.33333333333333343</v>
      </c>
      <c r="L39" s="6">
        <v>0.58103975535168195</v>
      </c>
      <c r="M39" s="6">
        <v>8.5626911314984566E-2</v>
      </c>
      <c r="N39" s="4">
        <v>1603.1982432321688</v>
      </c>
      <c r="O39" s="4">
        <v>2794.5657450835961</v>
      </c>
      <c r="P39" s="4">
        <v>4397.7639883157644</v>
      </c>
    </row>
    <row r="40" spans="1:16" x14ac:dyDescent="0.25">
      <c r="A40" s="1" t="s">
        <v>754</v>
      </c>
      <c r="B40" s="1" t="s">
        <v>682</v>
      </c>
      <c r="C40" s="10">
        <v>40827</v>
      </c>
      <c r="D40" s="3">
        <v>65.400000000000006</v>
      </c>
      <c r="E40" s="4">
        <v>4709.3627138483898</v>
      </c>
      <c r="F40" s="10">
        <v>40200</v>
      </c>
      <c r="G40" s="7">
        <v>7.2799999999999994</v>
      </c>
      <c r="H40" s="7">
        <v>13.919999999999998</v>
      </c>
      <c r="I40" s="7">
        <v>6.68</v>
      </c>
      <c r="J40" s="7">
        <v>11.32</v>
      </c>
      <c r="K40" s="6">
        <v>0.33045977011494254</v>
      </c>
      <c r="L40" s="6">
        <v>0.56896551724137934</v>
      </c>
      <c r="M40" s="6">
        <v>0.10057471264367812</v>
      </c>
      <c r="N40" s="4">
        <v>1556.2549198062209</v>
      </c>
      <c r="O40" s="4">
        <v>2679.464992362015</v>
      </c>
      <c r="P40" s="4">
        <v>4235.7199121682361</v>
      </c>
    </row>
    <row r="41" spans="1:16" x14ac:dyDescent="0.25">
      <c r="A41" s="1" t="s">
        <v>755</v>
      </c>
      <c r="B41" s="1" t="s">
        <v>682</v>
      </c>
      <c r="C41" s="10">
        <v>40827</v>
      </c>
      <c r="D41" s="3">
        <v>62.2</v>
      </c>
      <c r="E41" s="4">
        <v>4462.6377517607198</v>
      </c>
      <c r="F41" s="10">
        <v>40200</v>
      </c>
      <c r="G41" s="7">
        <v>6.4</v>
      </c>
      <c r="H41" s="7">
        <v>12.16</v>
      </c>
      <c r="I41" s="7">
        <v>6.08</v>
      </c>
      <c r="J41" s="7">
        <v>10.44</v>
      </c>
      <c r="K41" s="6">
        <v>0.32894736842105265</v>
      </c>
      <c r="L41" s="6">
        <v>0.57894736842105254</v>
      </c>
      <c r="M41" s="6">
        <v>9.2105263157894801E-2</v>
      </c>
      <c r="N41" s="4">
        <v>1467.9729446581316</v>
      </c>
      <c r="O41" s="4">
        <v>2583.6323825983109</v>
      </c>
      <c r="P41" s="4">
        <v>4051.6053272564423</v>
      </c>
    </row>
    <row r="42" spans="1:16" x14ac:dyDescent="0.25">
      <c r="A42" s="1" t="s">
        <v>756</v>
      </c>
      <c r="B42" s="1" t="s">
        <v>682</v>
      </c>
      <c r="C42" s="10">
        <v>40827</v>
      </c>
      <c r="D42" s="3">
        <v>75.3</v>
      </c>
      <c r="E42" s="4">
        <v>5472.6680653071162</v>
      </c>
      <c r="F42" s="10">
        <v>40200</v>
      </c>
      <c r="G42" s="7">
        <v>7.8999999999999995</v>
      </c>
      <c r="H42" s="7">
        <v>15.159999999999998</v>
      </c>
      <c r="I42" s="7">
        <v>7.08</v>
      </c>
      <c r="J42" s="7">
        <v>12.12</v>
      </c>
      <c r="K42" s="6">
        <v>0.3298153034300792</v>
      </c>
      <c r="L42" s="6">
        <v>0.57519788918205805</v>
      </c>
      <c r="M42" s="6">
        <v>9.4986807387862693E-2</v>
      </c>
      <c r="N42" s="4">
        <v>1804.9696785313711</v>
      </c>
      <c r="O42" s="4">
        <v>3147.8671193587106</v>
      </c>
      <c r="P42" s="4">
        <v>4952.8367978900815</v>
      </c>
    </row>
    <row r="43" spans="1:16" x14ac:dyDescent="0.25">
      <c r="A43" s="1" t="s">
        <v>757</v>
      </c>
      <c r="B43" s="1" t="s">
        <v>682</v>
      </c>
      <c r="C43" s="10">
        <v>40827</v>
      </c>
      <c r="D43" s="3">
        <v>68.7</v>
      </c>
      <c r="E43" s="4">
        <v>4963.7978310012977</v>
      </c>
      <c r="F43" s="10">
        <v>40200</v>
      </c>
      <c r="G43" s="7">
        <v>7</v>
      </c>
      <c r="H43" s="7">
        <v>13.36</v>
      </c>
      <c r="I43" s="7">
        <v>6.44</v>
      </c>
      <c r="J43" s="7">
        <v>10.96</v>
      </c>
      <c r="K43" s="6">
        <v>0.32634730538922158</v>
      </c>
      <c r="L43" s="6">
        <v>0.56586826347305397</v>
      </c>
      <c r="M43" s="6">
        <v>0.1077844311377244</v>
      </c>
      <c r="N43" s="4">
        <v>1619.9220466441361</v>
      </c>
      <c r="O43" s="4">
        <v>2808.8556588600163</v>
      </c>
      <c r="P43" s="4">
        <v>4428.7777055041524</v>
      </c>
    </row>
    <row r="44" spans="1:16" x14ac:dyDescent="0.25">
      <c r="A44" s="1" t="s">
        <v>758</v>
      </c>
      <c r="B44" s="1" t="s">
        <v>682</v>
      </c>
      <c r="C44" s="10">
        <v>40827</v>
      </c>
      <c r="D44" s="3">
        <v>65</v>
      </c>
      <c r="E44" s="4">
        <v>4678.5220935874313</v>
      </c>
      <c r="F44" s="10">
        <v>40200</v>
      </c>
      <c r="G44" s="7">
        <v>7.7200000000000006</v>
      </c>
      <c r="H44" s="7">
        <v>14.8</v>
      </c>
      <c r="I44" s="7">
        <v>7</v>
      </c>
      <c r="J44" s="7">
        <v>11.96</v>
      </c>
      <c r="K44" s="6">
        <v>0.33243243243243242</v>
      </c>
      <c r="L44" s="6">
        <v>0.57837837837837835</v>
      </c>
      <c r="M44" s="6">
        <v>8.9189189189189277E-2</v>
      </c>
      <c r="N44" s="4">
        <v>1555.2924797601461</v>
      </c>
      <c r="O44" s="4">
        <v>2705.9560216965142</v>
      </c>
      <c r="P44" s="4">
        <v>4261.2485014566601</v>
      </c>
    </row>
    <row r="45" spans="1:16" x14ac:dyDescent="0.25">
      <c r="A45" s="1" t="s">
        <v>759</v>
      </c>
      <c r="B45" s="1" t="s">
        <v>682</v>
      </c>
      <c r="C45" s="10">
        <v>40827</v>
      </c>
      <c r="D45" s="3">
        <v>69.099999999999994</v>
      </c>
      <c r="E45" s="4">
        <v>4994.6384512622571</v>
      </c>
      <c r="F45" s="10">
        <v>40200</v>
      </c>
      <c r="G45" s="7">
        <v>7.6</v>
      </c>
      <c r="H45" s="7">
        <v>14.559999999999999</v>
      </c>
      <c r="I45" s="7">
        <v>6.76</v>
      </c>
      <c r="J45" s="7">
        <v>11.8</v>
      </c>
      <c r="K45" s="6">
        <v>0.32142857142857145</v>
      </c>
      <c r="L45" s="6">
        <v>0.57692307692307698</v>
      </c>
      <c r="M45" s="6">
        <v>0.10164835164835162</v>
      </c>
      <c r="N45" s="4">
        <v>1605.41950219144</v>
      </c>
      <c r="O45" s="4">
        <v>2881.5221834205331</v>
      </c>
      <c r="P45" s="4">
        <v>4486.9416856119733</v>
      </c>
    </row>
    <row r="46" spans="1:16" x14ac:dyDescent="0.25">
      <c r="A46" s="1" t="s">
        <v>760</v>
      </c>
      <c r="B46" s="1" t="s">
        <v>682</v>
      </c>
      <c r="C46" s="10">
        <v>40827</v>
      </c>
      <c r="D46" s="3">
        <v>57.300000000000004</v>
      </c>
      <c r="E46" s="4">
        <v>4084.8401535639769</v>
      </c>
      <c r="F46" s="10">
        <v>40200</v>
      </c>
      <c r="G46" s="7">
        <v>7.08</v>
      </c>
      <c r="H46" s="7">
        <v>13.52</v>
      </c>
      <c r="I46" s="7">
        <v>6.6</v>
      </c>
      <c r="J46" s="7">
        <v>11.2</v>
      </c>
      <c r="K46" s="6">
        <v>0.33431952662721892</v>
      </c>
      <c r="L46" s="6">
        <v>0.57692307692307687</v>
      </c>
      <c r="M46" s="6">
        <v>8.8757396449704151E-2</v>
      </c>
      <c r="N46" s="4">
        <v>1365.6418264873651</v>
      </c>
      <c r="O46" s="4">
        <v>2356.6385501330633</v>
      </c>
      <c r="P46" s="4">
        <v>3722.2803766204283</v>
      </c>
    </row>
    <row r="47" spans="1:16" x14ac:dyDescent="0.25">
      <c r="A47" s="1" t="s">
        <v>761</v>
      </c>
      <c r="B47" s="1" t="s">
        <v>682</v>
      </c>
      <c r="C47" s="10">
        <v>40827</v>
      </c>
      <c r="D47" s="3">
        <v>52.1</v>
      </c>
      <c r="E47" s="4">
        <v>3683.9120901715132</v>
      </c>
      <c r="F47" s="10">
        <v>40200</v>
      </c>
      <c r="G47" s="7">
        <v>6.8000000000000007</v>
      </c>
      <c r="H47" s="7">
        <v>12.96</v>
      </c>
      <c r="I47" s="7">
        <v>6.32</v>
      </c>
      <c r="J47" s="7">
        <v>10.8</v>
      </c>
      <c r="K47" s="6">
        <v>0.3271604938271605</v>
      </c>
      <c r="L47" s="6">
        <v>0.57098765432098764</v>
      </c>
      <c r="M47" s="6">
        <v>0.10185185185185186</v>
      </c>
      <c r="N47" s="4">
        <v>1205.2304986363592</v>
      </c>
      <c r="O47" s="4">
        <v>2103.468323091759</v>
      </c>
      <c r="P47" s="4">
        <v>3308.6988217281182</v>
      </c>
    </row>
    <row r="48" spans="1:16" x14ac:dyDescent="0.25">
      <c r="A48" s="1" t="s">
        <v>762</v>
      </c>
      <c r="B48" s="1" t="s">
        <v>682</v>
      </c>
      <c r="C48" s="10">
        <v>40827</v>
      </c>
      <c r="D48" s="3">
        <v>66.099999999999994</v>
      </c>
      <c r="E48" s="4">
        <v>4763.3337993050663</v>
      </c>
      <c r="F48" s="10">
        <v>40200</v>
      </c>
      <c r="G48" s="7">
        <v>6.42</v>
      </c>
      <c r="H48" s="7">
        <v>12.2</v>
      </c>
      <c r="I48" s="7">
        <v>6.2</v>
      </c>
      <c r="J48" s="7">
        <v>10.32</v>
      </c>
      <c r="K48" s="6">
        <v>0.3377049180327869</v>
      </c>
      <c r="L48" s="6">
        <v>0.56721311475409841</v>
      </c>
      <c r="M48" s="6">
        <v>9.5081967213114682E-2</v>
      </c>
      <c r="N48" s="4">
        <v>1608.6012502571209</v>
      </c>
      <c r="O48" s="4">
        <v>2701.8254009173002</v>
      </c>
      <c r="P48" s="4">
        <v>4310.4266511744208</v>
      </c>
    </row>
    <row r="49" spans="1:16" x14ac:dyDescent="0.25">
      <c r="A49" s="1" t="s">
        <v>763</v>
      </c>
      <c r="B49" s="1" t="s">
        <v>682</v>
      </c>
      <c r="C49" s="10">
        <v>40827</v>
      </c>
      <c r="D49" s="3">
        <v>62.7</v>
      </c>
      <c r="E49" s="4">
        <v>4501.1885270869188</v>
      </c>
      <c r="F49" s="10">
        <v>40200</v>
      </c>
      <c r="G49" s="7">
        <v>5.92</v>
      </c>
      <c r="H49" s="7">
        <v>11.2</v>
      </c>
      <c r="I49" s="7">
        <v>5.88</v>
      </c>
      <c r="J49" s="7">
        <v>9.9600000000000009</v>
      </c>
      <c r="K49" s="6">
        <v>0.3392857142857143</v>
      </c>
      <c r="L49" s="6">
        <v>0.58571428571428574</v>
      </c>
      <c r="M49" s="6">
        <v>7.4999999999999956E-2</v>
      </c>
      <c r="N49" s="4">
        <v>1527.1889645473475</v>
      </c>
      <c r="O49" s="4">
        <v>2636.4104230080525</v>
      </c>
      <c r="P49" s="4">
        <v>4163.5993875553995</v>
      </c>
    </row>
    <row r="50" spans="1:16" x14ac:dyDescent="0.25">
      <c r="A50" s="1" t="s">
        <v>764</v>
      </c>
      <c r="B50" s="1" t="s">
        <v>682</v>
      </c>
      <c r="C50" s="10">
        <v>40827</v>
      </c>
      <c r="D50" s="3">
        <v>62.400000000000006</v>
      </c>
      <c r="E50" s="4">
        <v>4478.0580618911999</v>
      </c>
      <c r="F50" s="10">
        <v>40200</v>
      </c>
      <c r="G50" s="7">
        <v>6.22</v>
      </c>
      <c r="H50" s="7">
        <v>11.799999999999999</v>
      </c>
      <c r="I50" s="7">
        <v>5.92</v>
      </c>
      <c r="J50" s="7">
        <v>10.24</v>
      </c>
      <c r="K50" s="6">
        <v>0.32542372881355935</v>
      </c>
      <c r="L50" s="6">
        <v>0.57966101694915262</v>
      </c>
      <c r="M50" s="6">
        <v>9.4915254237288083E-2</v>
      </c>
      <c r="N50" s="4">
        <v>1457.266352344255</v>
      </c>
      <c r="O50" s="4">
        <v>2595.7556901132043</v>
      </c>
      <c r="P50" s="4">
        <v>4053.0220424574591</v>
      </c>
    </row>
    <row r="51" spans="1:16" x14ac:dyDescent="0.25">
      <c r="A51" s="1" t="s">
        <v>765</v>
      </c>
      <c r="B51" s="1" t="s">
        <v>682</v>
      </c>
      <c r="C51" s="10">
        <v>40827</v>
      </c>
      <c r="D51" s="3">
        <v>56.099999999999994</v>
      </c>
      <c r="E51" s="4">
        <v>3992.3182927810994</v>
      </c>
      <c r="F51" s="10">
        <v>40200</v>
      </c>
      <c r="G51" s="7">
        <v>6.46</v>
      </c>
      <c r="H51" s="7">
        <v>12.28</v>
      </c>
      <c r="I51" s="7">
        <v>6.04</v>
      </c>
      <c r="J51" s="7">
        <v>10.52</v>
      </c>
      <c r="K51" s="6">
        <v>0.32247557003257332</v>
      </c>
      <c r="L51" s="6">
        <v>0.57980456026058624</v>
      </c>
      <c r="M51" s="6">
        <v>9.7719869706840434E-2</v>
      </c>
      <c r="N51" s="4">
        <v>1287.425117216055</v>
      </c>
      <c r="O51" s="4">
        <v>2314.7643521662399</v>
      </c>
      <c r="P51" s="4">
        <v>3602.1894693822951</v>
      </c>
    </row>
    <row r="52" spans="1:16" x14ac:dyDescent="0.25">
      <c r="A52" s="1" t="s">
        <v>766</v>
      </c>
      <c r="B52" s="1" t="s">
        <v>682</v>
      </c>
      <c r="C52" s="10">
        <v>40827</v>
      </c>
      <c r="D52" s="3">
        <v>61.3</v>
      </c>
      <c r="E52" s="4">
        <v>4393.2463561735631</v>
      </c>
      <c r="F52" s="10">
        <v>40200</v>
      </c>
      <c r="G52" s="7">
        <v>6</v>
      </c>
      <c r="H52" s="7">
        <v>11.36</v>
      </c>
      <c r="I52" s="7">
        <v>5.8</v>
      </c>
      <c r="J52" s="7">
        <v>10.08</v>
      </c>
      <c r="K52" s="6">
        <v>0.32746478873239437</v>
      </c>
      <c r="L52" s="6">
        <v>0.5880281690140845</v>
      </c>
      <c r="M52" s="6">
        <v>8.4507042253521125E-2</v>
      </c>
      <c r="N52" s="4">
        <v>1438.6334898737373</v>
      </c>
      <c r="O52" s="4">
        <v>2583.3526108485389</v>
      </c>
      <c r="P52" s="4">
        <v>4021.9861007222762</v>
      </c>
    </row>
    <row r="53" spans="1:16" x14ac:dyDescent="0.25">
      <c r="A53" s="1" t="s">
        <v>767</v>
      </c>
      <c r="B53" s="1" t="s">
        <v>682</v>
      </c>
      <c r="C53" s="10">
        <v>40827</v>
      </c>
      <c r="D53" s="3">
        <v>59.7</v>
      </c>
      <c r="E53" s="4">
        <v>4269.8838751297289</v>
      </c>
      <c r="F53" s="10">
        <v>40200</v>
      </c>
      <c r="G53" s="7">
        <v>6.62</v>
      </c>
      <c r="H53" s="7">
        <v>12.6</v>
      </c>
      <c r="I53" s="7">
        <v>6.24</v>
      </c>
      <c r="J53" s="7">
        <v>10.76</v>
      </c>
      <c r="K53" s="6">
        <v>0.33015873015873021</v>
      </c>
      <c r="L53" s="6">
        <v>0.58412698412698405</v>
      </c>
      <c r="M53" s="6">
        <v>8.5714285714285743E-2</v>
      </c>
      <c r="N53" s="4">
        <v>1409.7394381380695</v>
      </c>
      <c r="O53" s="4">
        <v>2494.1543905519684</v>
      </c>
      <c r="P53" s="4">
        <v>3903.8938286900379</v>
      </c>
    </row>
    <row r="54" spans="1:16" x14ac:dyDescent="0.25">
      <c r="A54" s="1" t="s">
        <v>768</v>
      </c>
      <c r="B54" s="1" t="s">
        <v>682</v>
      </c>
      <c r="C54" s="10">
        <v>40827</v>
      </c>
      <c r="D54" s="3">
        <v>54.5</v>
      </c>
      <c r="E54" s="4">
        <v>3868.9558117372658</v>
      </c>
      <c r="F54" s="10">
        <v>40200</v>
      </c>
      <c r="G54" s="7">
        <v>6.66</v>
      </c>
      <c r="H54" s="7">
        <v>12.68</v>
      </c>
      <c r="I54" s="7">
        <v>6.28</v>
      </c>
      <c r="J54" s="7">
        <v>10.72</v>
      </c>
      <c r="K54" s="6">
        <v>0.33123028391167192</v>
      </c>
      <c r="L54" s="6">
        <v>0.57728706624605686</v>
      </c>
      <c r="M54" s="6">
        <v>9.148264984227128E-2</v>
      </c>
      <c r="N54" s="4">
        <v>1281.5153319634476</v>
      </c>
      <c r="O54" s="4">
        <v>2233.4981499934374</v>
      </c>
      <c r="P54" s="4">
        <v>3515.0134819568848</v>
      </c>
    </row>
    <row r="55" spans="1:16" x14ac:dyDescent="0.25">
      <c r="A55" s="1" t="s">
        <v>769</v>
      </c>
      <c r="B55" s="1" t="s">
        <v>682</v>
      </c>
      <c r="C55" s="10">
        <v>40827</v>
      </c>
      <c r="D55" s="3">
        <v>62.5</v>
      </c>
      <c r="E55" s="4">
        <v>4485.7682169564387</v>
      </c>
      <c r="F55" s="10">
        <v>40200</v>
      </c>
      <c r="G55" s="7">
        <v>6.5600000000000005</v>
      </c>
      <c r="H55" s="7">
        <v>12.48</v>
      </c>
      <c r="I55" s="7">
        <v>6.12</v>
      </c>
      <c r="J55" s="7">
        <v>10.64</v>
      </c>
      <c r="K55" s="6">
        <v>0.32371794871794873</v>
      </c>
      <c r="L55" s="6">
        <v>0.58012820512820518</v>
      </c>
      <c r="M55" s="6">
        <v>9.6153846153846145E-2</v>
      </c>
      <c r="N55" s="4">
        <v>1452.1236856173086</v>
      </c>
      <c r="O55" s="4">
        <v>2602.3206643240878</v>
      </c>
      <c r="P55" s="4">
        <v>4054.4443499413965</v>
      </c>
    </row>
    <row r="56" spans="1:16" x14ac:dyDescent="0.25">
      <c r="A56" s="1" t="s">
        <v>770</v>
      </c>
      <c r="B56" s="1" t="s">
        <v>682</v>
      </c>
      <c r="C56" s="10">
        <v>40827</v>
      </c>
      <c r="D56" s="3">
        <v>38.799999999999997</v>
      </c>
      <c r="E56" s="4">
        <v>2658.4614664946371</v>
      </c>
      <c r="F56" s="10">
        <v>40200</v>
      </c>
      <c r="G56" s="7">
        <v>5.58</v>
      </c>
      <c r="H56" s="7">
        <v>10.52</v>
      </c>
      <c r="I56" s="7">
        <v>5.56</v>
      </c>
      <c r="J56" s="7">
        <v>9.36</v>
      </c>
      <c r="K56" s="6">
        <v>0.33079847908745247</v>
      </c>
      <c r="L56" s="6">
        <v>0.56653992395437258</v>
      </c>
      <c r="M56" s="6">
        <v>0.10266159695817489</v>
      </c>
      <c r="N56" s="4">
        <v>879.41500982902437</v>
      </c>
      <c r="O56" s="4">
        <v>1506.1245570635015</v>
      </c>
      <c r="P56" s="4">
        <v>2385.5395668925257</v>
      </c>
    </row>
    <row r="57" spans="1:16" x14ac:dyDescent="0.25">
      <c r="A57" s="1" t="s">
        <v>771</v>
      </c>
      <c r="B57" s="1" t="s">
        <v>682</v>
      </c>
      <c r="C57" s="10">
        <v>40827</v>
      </c>
      <c r="D57" s="3">
        <v>54.400000000000006</v>
      </c>
      <c r="E57" s="4">
        <v>3861.2456566720266</v>
      </c>
      <c r="F57" s="10">
        <v>40200</v>
      </c>
      <c r="G57" s="7">
        <v>6.74</v>
      </c>
      <c r="H57" s="7">
        <v>12.84</v>
      </c>
      <c r="I57" s="7">
        <v>6.4</v>
      </c>
      <c r="J57" s="7">
        <v>10.88</v>
      </c>
      <c r="K57" s="6">
        <v>0.33644859813084116</v>
      </c>
      <c r="L57" s="6">
        <v>0.58255451713395645</v>
      </c>
      <c r="M57" s="6">
        <v>8.099688473520239E-2</v>
      </c>
      <c r="N57" s="4">
        <v>1299.1106882261026</v>
      </c>
      <c r="O57" s="4">
        <v>2249.3860990581588</v>
      </c>
      <c r="P57" s="4">
        <v>3548.4967872842617</v>
      </c>
    </row>
    <row r="58" spans="1:16" x14ac:dyDescent="0.25">
      <c r="A58" s="1" t="s">
        <v>772</v>
      </c>
      <c r="B58" s="1" t="s">
        <v>682</v>
      </c>
      <c r="C58" s="10">
        <v>40827</v>
      </c>
      <c r="D58" s="3">
        <v>64.3</v>
      </c>
      <c r="E58" s="4">
        <v>4624.5510081307521</v>
      </c>
      <c r="F58" s="10">
        <v>40200</v>
      </c>
      <c r="G58" s="7">
        <v>6.54</v>
      </c>
      <c r="H58" s="7">
        <v>12.44</v>
      </c>
      <c r="I58" s="7">
        <v>6.24</v>
      </c>
      <c r="J58" s="7">
        <v>10.44</v>
      </c>
      <c r="K58" s="6">
        <v>0.33440514469453381</v>
      </c>
      <c r="L58" s="6">
        <v>0.56591639871382637</v>
      </c>
      <c r="M58" s="6">
        <v>9.9678456591639875E-2</v>
      </c>
      <c r="N58" s="4">
        <v>1546.4736490212163</v>
      </c>
      <c r="O58" s="4">
        <v>2617.1092521897504</v>
      </c>
      <c r="P58" s="4">
        <v>4163.5829012109662</v>
      </c>
    </row>
    <row r="59" spans="1:16" x14ac:dyDescent="0.25">
      <c r="A59" s="1" t="s">
        <v>773</v>
      </c>
      <c r="B59" s="1" t="s">
        <v>682</v>
      </c>
      <c r="C59" s="10">
        <v>40827</v>
      </c>
      <c r="D59" s="3">
        <v>64</v>
      </c>
      <c r="E59" s="4">
        <v>4601.4205429350341</v>
      </c>
      <c r="F59" s="10">
        <v>40200</v>
      </c>
      <c r="G59" s="7">
        <v>5.82</v>
      </c>
      <c r="H59" s="7">
        <v>11</v>
      </c>
      <c r="I59" s="7">
        <v>5.76</v>
      </c>
      <c r="J59" s="7">
        <v>9.8000000000000007</v>
      </c>
      <c r="K59" s="6">
        <v>0.33454545454545453</v>
      </c>
      <c r="L59" s="6">
        <v>0.5818181818181819</v>
      </c>
      <c r="M59" s="6">
        <v>8.363636363636362E-2</v>
      </c>
      <c r="N59" s="4">
        <v>1539.3843270909931</v>
      </c>
      <c r="O59" s="4">
        <v>2677.190134071293</v>
      </c>
      <c r="P59" s="4">
        <v>4216.5744611622858</v>
      </c>
    </row>
    <row r="60" spans="1:16" x14ac:dyDescent="0.25">
      <c r="A60" s="1" t="s">
        <v>774</v>
      </c>
      <c r="B60" s="1" t="s">
        <v>682</v>
      </c>
      <c r="C60" s="10">
        <v>40827</v>
      </c>
      <c r="D60" s="3">
        <v>67.3</v>
      </c>
      <c r="E60" s="4">
        <v>4855.8556600879429</v>
      </c>
      <c r="F60" s="10">
        <v>40200</v>
      </c>
      <c r="G60" s="7">
        <v>7.16</v>
      </c>
      <c r="H60" s="7">
        <v>13.68</v>
      </c>
      <c r="I60" s="7">
        <v>6.64</v>
      </c>
      <c r="J60" s="7">
        <v>11.16</v>
      </c>
      <c r="K60" s="6">
        <v>0.33333333333333331</v>
      </c>
      <c r="L60" s="6">
        <v>0.56725146198830412</v>
      </c>
      <c r="M60" s="6">
        <v>9.9415204678362623E-2</v>
      </c>
      <c r="N60" s="4">
        <v>1618.6185533626476</v>
      </c>
      <c r="O60" s="4">
        <v>2754.4912223890669</v>
      </c>
      <c r="P60" s="4">
        <v>4373.1097757517146</v>
      </c>
    </row>
    <row r="61" spans="1:16" x14ac:dyDescent="0.25">
      <c r="A61" s="1" t="s">
        <v>775</v>
      </c>
      <c r="B61" s="1" t="s">
        <v>682</v>
      </c>
      <c r="C61" s="10">
        <v>40827</v>
      </c>
      <c r="D61" s="3">
        <v>58.3</v>
      </c>
      <c r="E61" s="4">
        <v>4161.9417042163723</v>
      </c>
      <c r="F61" s="10">
        <v>40200</v>
      </c>
      <c r="G61" s="7">
        <v>6.9</v>
      </c>
      <c r="H61" s="7">
        <v>13.16</v>
      </c>
      <c r="I61" s="7">
        <v>6.32</v>
      </c>
      <c r="J61" s="7">
        <v>11.12</v>
      </c>
      <c r="K61" s="6">
        <v>0.32218844984802431</v>
      </c>
      <c r="L61" s="6">
        <v>0.58662613981762912</v>
      </c>
      <c r="M61" s="6">
        <v>9.1185410334346573E-2</v>
      </c>
      <c r="N61" s="4">
        <v>1340.9295460393175</v>
      </c>
      <c r="O61" s="4">
        <v>2441.5037960904551</v>
      </c>
      <c r="P61" s="4">
        <v>3782.4333421297724</v>
      </c>
    </row>
    <row r="62" spans="1:16" x14ac:dyDescent="0.25">
      <c r="A62" s="1" t="s">
        <v>776</v>
      </c>
      <c r="B62" s="1" t="s">
        <v>682</v>
      </c>
      <c r="C62" s="10">
        <v>40827</v>
      </c>
      <c r="D62" s="3">
        <v>63.4</v>
      </c>
      <c r="E62" s="4">
        <v>4555.1596125435963</v>
      </c>
      <c r="F62" s="10">
        <v>40200</v>
      </c>
      <c r="G62" s="7">
        <v>6.62</v>
      </c>
      <c r="H62" s="7">
        <v>12.6</v>
      </c>
      <c r="I62" s="7">
        <v>6.16</v>
      </c>
      <c r="J62" s="7">
        <v>10.68</v>
      </c>
      <c r="K62" s="6">
        <v>0.32380952380952382</v>
      </c>
      <c r="L62" s="6">
        <v>0.57777777777777772</v>
      </c>
      <c r="M62" s="6">
        <v>9.8412698412698507E-2</v>
      </c>
      <c r="N62" s="4">
        <v>1475.004065014117</v>
      </c>
      <c r="O62" s="4">
        <v>2631.869998358522</v>
      </c>
      <c r="P62" s="4">
        <v>4106.8740633726393</v>
      </c>
    </row>
    <row r="63" spans="1:16" x14ac:dyDescent="0.25">
      <c r="A63" s="1" t="s">
        <v>777</v>
      </c>
      <c r="B63" s="1" t="s">
        <v>682</v>
      </c>
      <c r="C63" s="10">
        <v>40827</v>
      </c>
      <c r="D63" s="3">
        <v>55.3</v>
      </c>
      <c r="E63" s="4">
        <v>3930.6370522591819</v>
      </c>
      <c r="F63" s="10">
        <v>40200</v>
      </c>
      <c r="G63" s="7">
        <v>6.5</v>
      </c>
      <c r="H63" s="7">
        <v>12.36</v>
      </c>
      <c r="I63" s="7">
        <v>6.04</v>
      </c>
      <c r="J63" s="7">
        <v>10.68</v>
      </c>
      <c r="K63" s="6">
        <v>0.32038834951456313</v>
      </c>
      <c r="L63" s="6">
        <v>0.5889967637540453</v>
      </c>
      <c r="M63" s="6">
        <v>9.0614886731391509E-2</v>
      </c>
      <c r="N63" s="4">
        <v>1259.330317714107</v>
      </c>
      <c r="O63" s="4">
        <v>2315.1325032723985</v>
      </c>
      <c r="P63" s="4">
        <v>3574.4628209865054</v>
      </c>
    </row>
    <row r="64" spans="1:16" x14ac:dyDescent="0.25">
      <c r="A64" s="1" t="s">
        <v>778</v>
      </c>
      <c r="B64" s="1" t="s">
        <v>682</v>
      </c>
      <c r="C64" s="10">
        <v>40827</v>
      </c>
      <c r="D64" s="3">
        <v>53</v>
      </c>
      <c r="E64" s="4">
        <v>3753.3034857586704</v>
      </c>
      <c r="F64" s="10">
        <v>40200</v>
      </c>
      <c r="G64" s="7">
        <v>6.3800000000000008</v>
      </c>
      <c r="H64" s="7">
        <v>12.120000000000001</v>
      </c>
      <c r="I64" s="7">
        <v>6.16</v>
      </c>
      <c r="J64" s="7">
        <v>10.44</v>
      </c>
      <c r="K64" s="6">
        <v>0.3366336633663366</v>
      </c>
      <c r="L64" s="6">
        <v>0.58085808580858078</v>
      </c>
      <c r="M64" s="6">
        <v>8.2508250825082619E-2</v>
      </c>
      <c r="N64" s="4">
        <v>1263.488302136582</v>
      </c>
      <c r="O64" s="4">
        <v>2180.1366781964553</v>
      </c>
      <c r="P64" s="4">
        <v>3443.6249803330375</v>
      </c>
    </row>
    <row r="65" spans="1:16" x14ac:dyDescent="0.25">
      <c r="A65" s="1" t="s">
        <v>779</v>
      </c>
      <c r="B65" s="1" t="s">
        <v>682</v>
      </c>
      <c r="C65" s="10">
        <v>40827</v>
      </c>
      <c r="D65" s="3">
        <v>64.5</v>
      </c>
      <c r="E65" s="4">
        <v>4639.9713182612322</v>
      </c>
      <c r="F65" s="10">
        <v>40200</v>
      </c>
      <c r="G65" s="7">
        <v>6.44</v>
      </c>
      <c r="H65" s="7">
        <v>12.24</v>
      </c>
      <c r="I65" s="7">
        <v>6.16</v>
      </c>
      <c r="J65" s="7">
        <v>10.48</v>
      </c>
      <c r="K65" s="6">
        <v>0.33333333333333331</v>
      </c>
      <c r="L65" s="6">
        <v>0.57843137254901955</v>
      </c>
      <c r="M65" s="6">
        <v>8.8235294117647189E-2</v>
      </c>
      <c r="N65" s="4">
        <v>1546.6571060870774</v>
      </c>
      <c r="O65" s="4">
        <v>2683.9049782099282</v>
      </c>
      <c r="P65" s="4">
        <v>4230.5620842970056</v>
      </c>
    </row>
    <row r="66" spans="1:16" x14ac:dyDescent="0.25">
      <c r="A66" s="1" t="s">
        <v>780</v>
      </c>
      <c r="B66" s="1" t="s">
        <v>682</v>
      </c>
      <c r="C66" s="10">
        <v>40827</v>
      </c>
      <c r="D66" s="3">
        <v>39.200000000000003</v>
      </c>
      <c r="E66" s="4">
        <v>2689.3020867555961</v>
      </c>
      <c r="F66" s="10">
        <v>40200</v>
      </c>
      <c r="G66" s="7">
        <v>6.3800000000000008</v>
      </c>
      <c r="H66" s="7">
        <v>12.120000000000001</v>
      </c>
      <c r="I66" s="7">
        <v>6.24</v>
      </c>
      <c r="J66" s="7">
        <v>10.52</v>
      </c>
      <c r="K66" s="6">
        <v>0.34323432343234322</v>
      </c>
      <c r="L66" s="6">
        <v>0.58745874587458735</v>
      </c>
      <c r="M66" s="6">
        <v>6.930693069306948E-2</v>
      </c>
      <c r="N66" s="4">
        <v>923.06078225274587</v>
      </c>
      <c r="O66" s="4">
        <v>1579.8540311633533</v>
      </c>
      <c r="P66" s="4">
        <v>2502.9148134160992</v>
      </c>
    </row>
    <row r="67" spans="1:16" x14ac:dyDescent="0.25">
      <c r="A67" s="1" t="s">
        <v>781</v>
      </c>
      <c r="B67" s="1" t="s">
        <v>682</v>
      </c>
      <c r="C67" s="10">
        <v>40827</v>
      </c>
      <c r="D67" s="3">
        <v>63.1</v>
      </c>
      <c r="E67" s="4">
        <v>4532.0291473478765</v>
      </c>
      <c r="F67" s="10">
        <v>40205</v>
      </c>
      <c r="G67" s="7">
        <v>6.2799999999999994</v>
      </c>
      <c r="H67" s="7">
        <v>11.919999999999998</v>
      </c>
      <c r="I67" s="7">
        <v>5.8</v>
      </c>
      <c r="J67" s="7">
        <v>10.28</v>
      </c>
      <c r="K67" s="6">
        <v>0.31208053691275173</v>
      </c>
      <c r="L67" s="6">
        <v>0.57718120805369133</v>
      </c>
      <c r="M67" s="6">
        <v>0.11073825503355694</v>
      </c>
      <c r="N67" s="4">
        <v>1414.3580896085657</v>
      </c>
      <c r="O67" s="4">
        <v>2615.802058200788</v>
      </c>
      <c r="P67" s="4">
        <v>4030.1601478093535</v>
      </c>
    </row>
    <row r="68" spans="1:16" x14ac:dyDescent="0.25">
      <c r="A68" s="1" t="s">
        <v>782</v>
      </c>
      <c r="B68" s="1" t="s">
        <v>682</v>
      </c>
      <c r="C68" s="10">
        <v>40827</v>
      </c>
      <c r="D68" s="3">
        <v>73.900000000000006</v>
      </c>
      <c r="E68" s="4">
        <v>5364.7258943937613</v>
      </c>
      <c r="F68" s="10">
        <v>40205</v>
      </c>
      <c r="G68" s="7">
        <v>5.7</v>
      </c>
      <c r="H68" s="7">
        <v>10.76</v>
      </c>
      <c r="I68" s="7">
        <v>5.72</v>
      </c>
      <c r="J68" s="7">
        <v>9.7200000000000006</v>
      </c>
      <c r="K68" s="6">
        <v>0.33828996282527879</v>
      </c>
      <c r="L68" s="6">
        <v>0.58736059479553904</v>
      </c>
      <c r="M68" s="6">
        <v>7.4349442379182173E-2</v>
      </c>
      <c r="N68" s="4">
        <v>1814.832923382276</v>
      </c>
      <c r="O68" s="4">
        <v>3151.0285922461499</v>
      </c>
      <c r="P68" s="4">
        <v>4965.8615156284259</v>
      </c>
    </row>
    <row r="69" spans="1:16" x14ac:dyDescent="0.25">
      <c r="A69" s="1" t="s">
        <v>783</v>
      </c>
      <c r="B69" s="1" t="s">
        <v>682</v>
      </c>
      <c r="C69" s="10">
        <v>40827</v>
      </c>
      <c r="D69" s="3">
        <v>73.7</v>
      </c>
      <c r="E69" s="4">
        <v>5349.3055842632821</v>
      </c>
      <c r="F69" s="10">
        <v>40205</v>
      </c>
      <c r="G69" s="7">
        <v>5.68</v>
      </c>
      <c r="H69" s="7">
        <v>10.719999999999999</v>
      </c>
      <c r="I69" s="7">
        <v>5.52</v>
      </c>
      <c r="J69" s="7">
        <v>9.48</v>
      </c>
      <c r="K69" s="6">
        <v>0.32089552238805968</v>
      </c>
      <c r="L69" s="6">
        <v>0.56716417910447769</v>
      </c>
      <c r="M69" s="6">
        <v>0.11194029850746268</v>
      </c>
      <c r="N69" s="4">
        <v>1716.5682098755308</v>
      </c>
      <c r="O69" s="4">
        <v>3033.934510477683</v>
      </c>
      <c r="P69" s="4">
        <v>4750.5027203532136</v>
      </c>
    </row>
    <row r="70" spans="1:16" x14ac:dyDescent="0.25">
      <c r="A70" s="1" t="s">
        <v>784</v>
      </c>
      <c r="B70" s="1" t="s">
        <v>682</v>
      </c>
      <c r="C70" s="10">
        <v>40827</v>
      </c>
      <c r="D70" s="3">
        <v>83.399999999999991</v>
      </c>
      <c r="E70" s="4">
        <v>6097.1906255915283</v>
      </c>
      <c r="F70" s="10">
        <v>40205</v>
      </c>
      <c r="G70" s="7">
        <v>6.1</v>
      </c>
      <c r="H70" s="7">
        <v>11.559999999999999</v>
      </c>
      <c r="I70" s="7">
        <v>5.92</v>
      </c>
      <c r="J70" s="7">
        <v>10.039999999999999</v>
      </c>
      <c r="K70" s="6">
        <v>0.33217993079584779</v>
      </c>
      <c r="L70" s="6">
        <v>0.57439446366781999</v>
      </c>
      <c r="M70" s="6">
        <v>9.3425605536332279E-2</v>
      </c>
      <c r="N70" s="4">
        <v>2025.3643600580858</v>
      </c>
      <c r="O70" s="4">
        <v>3502.1925392671055</v>
      </c>
      <c r="P70" s="4">
        <v>5527.5568993251909</v>
      </c>
    </row>
    <row r="71" spans="1:16" x14ac:dyDescent="0.25">
      <c r="A71" s="1" t="s">
        <v>785</v>
      </c>
      <c r="B71" s="1" t="s">
        <v>682</v>
      </c>
      <c r="C71" s="10">
        <v>40827</v>
      </c>
      <c r="D71" s="3">
        <v>78.400000000000006</v>
      </c>
      <c r="E71" s="4">
        <v>5711.6828723295475</v>
      </c>
      <c r="F71" s="10">
        <v>40205</v>
      </c>
      <c r="G71" s="7">
        <v>6.34</v>
      </c>
      <c r="H71" s="7">
        <v>12.04</v>
      </c>
      <c r="I71" s="7">
        <v>6.08</v>
      </c>
      <c r="J71" s="7">
        <v>10.32</v>
      </c>
      <c r="K71" s="6">
        <v>0.33222591362126247</v>
      </c>
      <c r="L71" s="6">
        <v>0.57475083056478404</v>
      </c>
      <c r="M71" s="6">
        <v>9.3023255813953543E-2</v>
      </c>
      <c r="N71" s="4">
        <v>1897.5690605746006</v>
      </c>
      <c r="O71" s="4">
        <v>3282.7944747940587</v>
      </c>
      <c r="P71" s="4">
        <v>5180.3635353686595</v>
      </c>
    </row>
    <row r="72" spans="1:16" x14ac:dyDescent="0.25">
      <c r="A72" s="1" t="s">
        <v>786</v>
      </c>
      <c r="B72" s="1" t="s">
        <v>682</v>
      </c>
      <c r="C72" s="10">
        <v>40827</v>
      </c>
      <c r="D72" s="3">
        <v>79.3</v>
      </c>
      <c r="E72" s="4">
        <v>5781.0742679167015</v>
      </c>
      <c r="F72" s="10">
        <v>40205</v>
      </c>
      <c r="G72" s="7">
        <v>6.76</v>
      </c>
      <c r="H72" s="7">
        <v>12.879999999999999</v>
      </c>
      <c r="I72" s="7">
        <v>6.36</v>
      </c>
      <c r="J72" s="7">
        <v>10.64</v>
      </c>
      <c r="K72" s="6">
        <v>0.3322981366459628</v>
      </c>
      <c r="L72" s="6">
        <v>0.56211180124223603</v>
      </c>
      <c r="M72" s="6">
        <v>0.10559006211180122</v>
      </c>
      <c r="N72" s="4">
        <v>1921.0402070406435</v>
      </c>
      <c r="O72" s="4">
        <v>3249.610069853798</v>
      </c>
      <c r="P72" s="4">
        <v>5170.650276894441</v>
      </c>
    </row>
    <row r="73" spans="1:16" x14ac:dyDescent="0.25">
      <c r="A73" s="1" t="s">
        <v>787</v>
      </c>
      <c r="B73" s="1" t="s">
        <v>682</v>
      </c>
      <c r="C73" s="10">
        <v>40827</v>
      </c>
      <c r="D73" s="3">
        <v>74</v>
      </c>
      <c r="E73" s="4">
        <v>5372.436049459001</v>
      </c>
      <c r="F73" s="10">
        <v>40205</v>
      </c>
      <c r="G73" s="7">
        <v>6.72</v>
      </c>
      <c r="H73" s="7">
        <v>12.799999999999999</v>
      </c>
      <c r="I73" s="7">
        <v>6.32</v>
      </c>
      <c r="J73" s="7">
        <v>10.8</v>
      </c>
      <c r="K73" s="6">
        <v>0.33125000000000004</v>
      </c>
      <c r="L73" s="6">
        <v>0.57812500000000011</v>
      </c>
      <c r="M73" s="6">
        <v>9.0624999999999845E-2</v>
      </c>
      <c r="N73" s="4">
        <v>1779.6194413832943</v>
      </c>
      <c r="O73" s="4">
        <v>3105.9395910934854</v>
      </c>
      <c r="P73" s="4">
        <v>4885.55903247678</v>
      </c>
    </row>
    <row r="74" spans="1:16" x14ac:dyDescent="0.25">
      <c r="A74" s="1" t="s">
        <v>788</v>
      </c>
      <c r="B74" s="1" t="s">
        <v>682</v>
      </c>
      <c r="C74" s="10">
        <v>40827</v>
      </c>
      <c r="D74" s="3">
        <v>70.400000000000006</v>
      </c>
      <c r="E74" s="4">
        <v>5094.8704671103742</v>
      </c>
      <c r="F74" s="10">
        <v>40205</v>
      </c>
      <c r="G74" s="7">
        <v>6.8599999999999994</v>
      </c>
      <c r="H74" s="7">
        <v>13.079999999999998</v>
      </c>
      <c r="I74" s="7">
        <v>6.48</v>
      </c>
      <c r="J74" s="7">
        <v>10.88</v>
      </c>
      <c r="K74" s="6">
        <v>0.33639143730886856</v>
      </c>
      <c r="L74" s="6">
        <v>0.57186544342507661</v>
      </c>
      <c r="M74" s="6">
        <v>9.1743119266054829E-2</v>
      </c>
      <c r="N74" s="4">
        <v>1713.8707993337653</v>
      </c>
      <c r="O74" s="4">
        <v>2913.5803588674012</v>
      </c>
      <c r="P74" s="4">
        <v>4627.4511582011664</v>
      </c>
    </row>
    <row r="75" spans="1:16" x14ac:dyDescent="0.25">
      <c r="A75" s="1" t="s">
        <v>789</v>
      </c>
      <c r="B75" s="1" t="s">
        <v>682</v>
      </c>
      <c r="C75" s="10">
        <v>40827</v>
      </c>
      <c r="D75" s="3">
        <v>69.8</v>
      </c>
      <c r="E75" s="4">
        <v>5048.6095367189346</v>
      </c>
      <c r="F75" s="10">
        <v>40205</v>
      </c>
      <c r="G75" s="7">
        <v>6.6999999999999993</v>
      </c>
      <c r="H75" s="7">
        <v>12.759999999999998</v>
      </c>
      <c r="I75" s="7">
        <v>6.32</v>
      </c>
      <c r="J75" s="7">
        <v>10.64</v>
      </c>
      <c r="K75" s="6">
        <v>0.33228840125391856</v>
      </c>
      <c r="L75" s="6">
        <v>0.56739811912225713</v>
      </c>
      <c r="M75" s="6">
        <v>0.10031347962382431</v>
      </c>
      <c r="N75" s="4">
        <v>1677.5943915116213</v>
      </c>
      <c r="O75" s="4">
        <v>2864.5715553170135</v>
      </c>
      <c r="P75" s="4">
        <v>4542.1659468286343</v>
      </c>
    </row>
    <row r="76" spans="1:16" x14ac:dyDescent="0.25">
      <c r="A76" s="1" t="s">
        <v>790</v>
      </c>
      <c r="B76" s="1" t="s">
        <v>682</v>
      </c>
      <c r="C76" s="10">
        <v>40827</v>
      </c>
      <c r="D76" s="3">
        <v>55.4</v>
      </c>
      <c r="E76" s="4">
        <v>3938.3472073244225</v>
      </c>
      <c r="F76" s="10">
        <v>40205</v>
      </c>
      <c r="G76" s="7">
        <v>5.82</v>
      </c>
      <c r="H76" s="7">
        <v>11</v>
      </c>
      <c r="I76" s="7">
        <v>5.72</v>
      </c>
      <c r="J76" s="7">
        <v>9.8000000000000007</v>
      </c>
      <c r="K76" s="6">
        <v>0.33090909090909087</v>
      </c>
      <c r="L76" s="6">
        <v>0.5818181818181819</v>
      </c>
      <c r="M76" s="6">
        <v>8.727272727272728E-2</v>
      </c>
      <c r="N76" s="4">
        <v>1303.2348940600814</v>
      </c>
      <c r="O76" s="4">
        <v>2291.4020115342096</v>
      </c>
      <c r="P76" s="4">
        <v>3594.636905594291</v>
      </c>
    </row>
    <row r="77" spans="1:16" x14ac:dyDescent="0.25">
      <c r="A77" s="1" t="s">
        <v>791</v>
      </c>
      <c r="B77" s="1" t="s">
        <v>682</v>
      </c>
      <c r="C77" s="10">
        <v>40827</v>
      </c>
      <c r="D77" s="3">
        <v>62.8</v>
      </c>
      <c r="E77" s="4">
        <v>4508.8986821521576</v>
      </c>
      <c r="F77" s="10">
        <v>40205</v>
      </c>
      <c r="G77" s="7">
        <v>6.02</v>
      </c>
      <c r="H77" s="7">
        <v>11.399999999999999</v>
      </c>
      <c r="I77" s="7">
        <v>5.72</v>
      </c>
      <c r="J77" s="7">
        <v>9.92</v>
      </c>
      <c r="K77" s="6">
        <v>0.31929824561403508</v>
      </c>
      <c r="L77" s="6">
        <v>0.57192982456140351</v>
      </c>
      <c r="M77" s="6">
        <v>0.10877192982456141</v>
      </c>
      <c r="N77" s="4">
        <v>1439.6834388626187</v>
      </c>
      <c r="O77" s="4">
        <v>2578.773632248427</v>
      </c>
      <c r="P77" s="4">
        <v>4018.4570711110455</v>
      </c>
    </row>
    <row r="78" spans="1:16" x14ac:dyDescent="0.25">
      <c r="A78" s="1" t="s">
        <v>792</v>
      </c>
      <c r="B78" s="1" t="s">
        <v>682</v>
      </c>
      <c r="C78" s="10">
        <v>40827</v>
      </c>
      <c r="D78" s="3">
        <v>71.800000000000011</v>
      </c>
      <c r="E78" s="4">
        <v>5202.8126380237291</v>
      </c>
      <c r="F78" s="10">
        <v>40205</v>
      </c>
      <c r="G78" s="7">
        <v>5.9</v>
      </c>
      <c r="H78" s="7">
        <v>11.16</v>
      </c>
      <c r="I78" s="7">
        <v>5.72</v>
      </c>
      <c r="J78" s="7">
        <v>9.8000000000000007</v>
      </c>
      <c r="K78" s="6">
        <v>0.3261648745519713</v>
      </c>
      <c r="L78" s="6">
        <v>0.57347670250896055</v>
      </c>
      <c r="M78" s="6">
        <v>0.10035842293906816</v>
      </c>
      <c r="N78" s="4">
        <v>1696.9747313984203</v>
      </c>
      <c r="O78" s="4">
        <v>2983.6918354257941</v>
      </c>
      <c r="P78" s="4">
        <v>4680.6665668242149</v>
      </c>
    </row>
    <row r="79" spans="1:16" x14ac:dyDescent="0.25">
      <c r="A79" s="1" t="s">
        <v>793</v>
      </c>
      <c r="B79" s="1" t="s">
        <v>682</v>
      </c>
      <c r="C79" s="10">
        <v>40827</v>
      </c>
      <c r="D79" s="3">
        <v>74.199999999999989</v>
      </c>
      <c r="E79" s="4">
        <v>5387.8563595894802</v>
      </c>
      <c r="F79" s="10">
        <v>40205</v>
      </c>
      <c r="G79" s="7">
        <v>5.92</v>
      </c>
      <c r="H79" s="7">
        <v>11.2</v>
      </c>
      <c r="I79" s="7">
        <v>5.8</v>
      </c>
      <c r="J79" s="7">
        <v>9.68</v>
      </c>
      <c r="K79" s="6">
        <v>0.33214285714285713</v>
      </c>
      <c r="L79" s="6">
        <v>0.56071428571428572</v>
      </c>
      <c r="M79" s="6">
        <v>0.10714285714285721</v>
      </c>
      <c r="N79" s="4">
        <v>1789.538005149363</v>
      </c>
      <c r="O79" s="4">
        <v>3021.0480301983871</v>
      </c>
      <c r="P79" s="4">
        <v>4810.5860353477501</v>
      </c>
    </row>
    <row r="80" spans="1:16" x14ac:dyDescent="0.25">
      <c r="A80" s="1" t="s">
        <v>794</v>
      </c>
      <c r="B80" s="1" t="s">
        <v>682</v>
      </c>
      <c r="C80" s="10">
        <v>40827</v>
      </c>
      <c r="D80" s="3">
        <v>81.7</v>
      </c>
      <c r="E80" s="4">
        <v>5966.1179894824545</v>
      </c>
      <c r="F80" s="10">
        <v>40205</v>
      </c>
      <c r="G80" s="7">
        <v>6.1</v>
      </c>
      <c r="H80" s="7">
        <v>11.559999999999999</v>
      </c>
      <c r="I80" s="7">
        <v>5.84</v>
      </c>
      <c r="J80" s="7">
        <v>10</v>
      </c>
      <c r="K80" s="6">
        <v>0.3252595155709343</v>
      </c>
      <c r="L80" s="6">
        <v>0.57093425605536341</v>
      </c>
      <c r="M80" s="6">
        <v>0.10380622837370224</v>
      </c>
      <c r="N80" s="4">
        <v>1940.5366470980996</v>
      </c>
      <c r="O80" s="4">
        <v>3406.2611358636855</v>
      </c>
      <c r="P80" s="4">
        <v>5346.7977829617848</v>
      </c>
    </row>
    <row r="81" spans="1:16" x14ac:dyDescent="0.25">
      <c r="A81" s="1" t="s">
        <v>795</v>
      </c>
      <c r="B81" s="1" t="s">
        <v>682</v>
      </c>
      <c r="C81" s="10">
        <v>40827</v>
      </c>
      <c r="D81" s="3">
        <v>83.8</v>
      </c>
      <c r="E81" s="4">
        <v>6128.0312458524877</v>
      </c>
      <c r="F81" s="10">
        <v>40205</v>
      </c>
      <c r="G81" s="7">
        <v>6.04</v>
      </c>
      <c r="H81" s="7">
        <v>11.44</v>
      </c>
      <c r="I81" s="7">
        <v>5.92</v>
      </c>
      <c r="J81" s="7">
        <v>9.8800000000000008</v>
      </c>
      <c r="K81" s="6">
        <v>0.33566433566433568</v>
      </c>
      <c r="L81" s="6">
        <v>0.56643356643356646</v>
      </c>
      <c r="M81" s="6">
        <v>9.7902097902097918E-2</v>
      </c>
      <c r="N81" s="4">
        <v>2056.9615370693664</v>
      </c>
      <c r="O81" s="4">
        <v>3471.1225938045563</v>
      </c>
      <c r="P81" s="4">
        <v>5528.0841308739227</v>
      </c>
    </row>
    <row r="82" spans="1:16" x14ac:dyDescent="0.25">
      <c r="A82" s="1" t="s">
        <v>796</v>
      </c>
      <c r="B82" s="1" t="s">
        <v>682</v>
      </c>
      <c r="C82" s="10">
        <v>40827</v>
      </c>
      <c r="D82" s="3">
        <v>70</v>
      </c>
      <c r="E82" s="4">
        <v>5064.0298468494148</v>
      </c>
      <c r="F82" s="10">
        <v>40205</v>
      </c>
      <c r="G82" s="7">
        <v>6.24</v>
      </c>
      <c r="H82" s="7">
        <v>11.84</v>
      </c>
      <c r="I82" s="7">
        <v>6.04</v>
      </c>
      <c r="J82" s="7">
        <v>10.24</v>
      </c>
      <c r="K82" s="6">
        <v>0.33445945945945948</v>
      </c>
      <c r="L82" s="6">
        <v>0.57770270270270274</v>
      </c>
      <c r="M82" s="6">
        <v>8.7837837837837829E-2</v>
      </c>
      <c r="N82" s="4">
        <v>1693.7126852638246</v>
      </c>
      <c r="O82" s="4">
        <v>2925.5037290920609</v>
      </c>
      <c r="P82" s="4">
        <v>4619.2164143558857</v>
      </c>
    </row>
    <row r="83" spans="1:16" x14ac:dyDescent="0.25">
      <c r="A83" s="1" t="s">
        <v>797</v>
      </c>
      <c r="B83" s="1" t="s">
        <v>682</v>
      </c>
      <c r="C83" s="10">
        <v>40827</v>
      </c>
      <c r="D83" s="3">
        <v>75.2</v>
      </c>
      <c r="E83" s="4">
        <v>5464.9579102418766</v>
      </c>
      <c r="F83" s="10">
        <v>40205</v>
      </c>
      <c r="G83" s="7">
        <v>6.6199999999999992</v>
      </c>
      <c r="H83" s="7">
        <v>12.599999999999998</v>
      </c>
      <c r="I83" s="7">
        <v>6.28</v>
      </c>
      <c r="J83" s="7">
        <v>10.6</v>
      </c>
      <c r="K83" s="6">
        <v>0.33333333333333343</v>
      </c>
      <c r="L83" s="6">
        <v>0.57142857142857151</v>
      </c>
      <c r="M83" s="6">
        <v>9.5238095238095011E-2</v>
      </c>
      <c r="N83" s="4">
        <v>1821.6526367472927</v>
      </c>
      <c r="O83" s="4">
        <v>3122.8330915667871</v>
      </c>
      <c r="P83" s="4">
        <v>4944.48572831408</v>
      </c>
    </row>
    <row r="84" spans="1:16" x14ac:dyDescent="0.25">
      <c r="A84" s="1" t="s">
        <v>798</v>
      </c>
      <c r="B84" s="1" t="s">
        <v>682</v>
      </c>
      <c r="C84" s="10">
        <v>40827</v>
      </c>
      <c r="D84" s="3">
        <v>66.599999999999994</v>
      </c>
      <c r="E84" s="4">
        <v>4801.8845746312645</v>
      </c>
      <c r="F84" s="10">
        <v>40205</v>
      </c>
      <c r="G84" s="7">
        <v>5.7200000000000006</v>
      </c>
      <c r="H84" s="7">
        <v>10.8</v>
      </c>
      <c r="I84" s="7">
        <v>5.52</v>
      </c>
      <c r="J84" s="7">
        <v>9.68</v>
      </c>
      <c r="K84" s="6">
        <v>0.31851851851851848</v>
      </c>
      <c r="L84" s="6">
        <v>0.58148148148148138</v>
      </c>
      <c r="M84" s="6">
        <v>0.1000000000000002</v>
      </c>
      <c r="N84" s="4">
        <v>1529.4891608084768</v>
      </c>
      <c r="O84" s="4">
        <v>2792.2069563596606</v>
      </c>
      <c r="P84" s="4">
        <v>4321.6961171681378</v>
      </c>
    </row>
    <row r="85" spans="1:16" x14ac:dyDescent="0.25">
      <c r="A85" s="1" t="s">
        <v>799</v>
      </c>
      <c r="B85" s="1" t="s">
        <v>682</v>
      </c>
      <c r="C85" s="10">
        <v>40827</v>
      </c>
      <c r="D85" s="3">
        <v>62.6</v>
      </c>
      <c r="E85" s="4">
        <v>4493.4783720216783</v>
      </c>
      <c r="F85" s="10">
        <v>40205</v>
      </c>
      <c r="G85" s="7">
        <v>6.0600000000000005</v>
      </c>
      <c r="H85" s="7">
        <v>11.48</v>
      </c>
      <c r="I85" s="7">
        <v>5.84</v>
      </c>
      <c r="J85" s="7">
        <v>10.039999999999999</v>
      </c>
      <c r="K85" s="6">
        <v>0.32752613240418116</v>
      </c>
      <c r="L85" s="6">
        <v>0.57839721254355392</v>
      </c>
      <c r="M85" s="6">
        <v>9.4076655052264924E-2</v>
      </c>
      <c r="N85" s="4">
        <v>1471.7315922300966</v>
      </c>
      <c r="O85" s="4">
        <v>2599.0153650020852</v>
      </c>
      <c r="P85" s="4">
        <v>4070.7469572321816</v>
      </c>
    </row>
    <row r="86" spans="1:16" x14ac:dyDescent="0.25">
      <c r="A86" s="1" t="s">
        <v>800</v>
      </c>
      <c r="B86" s="1" t="s">
        <v>682</v>
      </c>
      <c r="C86" s="10">
        <v>40827</v>
      </c>
      <c r="D86" s="3">
        <v>49.9</v>
      </c>
      <c r="E86" s="4">
        <v>3514.2886787362404</v>
      </c>
      <c r="F86" s="10">
        <v>40205</v>
      </c>
      <c r="G86" s="7">
        <v>6.32</v>
      </c>
      <c r="H86" s="7">
        <v>12</v>
      </c>
      <c r="I86" s="7">
        <v>5.92</v>
      </c>
      <c r="J86" s="7">
        <v>10.48</v>
      </c>
      <c r="K86" s="6">
        <v>0.32</v>
      </c>
      <c r="L86" s="6">
        <v>0.59</v>
      </c>
      <c r="M86" s="6">
        <v>8.9999999999999969E-2</v>
      </c>
      <c r="N86" s="4">
        <v>1124.572377195597</v>
      </c>
      <c r="O86" s="4">
        <v>2073.4303204543817</v>
      </c>
      <c r="P86" s="4">
        <v>3198.0026976499785</v>
      </c>
    </row>
    <row r="87" spans="1:16" x14ac:dyDescent="0.25">
      <c r="A87" s="1" t="s">
        <v>801</v>
      </c>
      <c r="B87" s="1" t="s">
        <v>682</v>
      </c>
      <c r="C87" s="10">
        <v>40827</v>
      </c>
      <c r="D87" s="3">
        <v>71.800000000000011</v>
      </c>
      <c r="E87" s="4">
        <v>5202.8126380237291</v>
      </c>
      <c r="F87" s="10">
        <v>40205</v>
      </c>
      <c r="G87" s="7">
        <v>5.76</v>
      </c>
      <c r="H87" s="7">
        <v>10.879999999999999</v>
      </c>
      <c r="I87" s="7">
        <v>5.72</v>
      </c>
      <c r="J87" s="7">
        <v>9.48</v>
      </c>
      <c r="K87" s="6">
        <v>0.33455882352941174</v>
      </c>
      <c r="L87" s="6">
        <v>0.55882352941176472</v>
      </c>
      <c r="M87" s="6">
        <v>0.10661764705882359</v>
      </c>
      <c r="N87" s="4">
        <v>1740.646875221174</v>
      </c>
      <c r="O87" s="4">
        <v>2907.4541212485547</v>
      </c>
      <c r="P87" s="4">
        <v>4648.1009964697287</v>
      </c>
    </row>
    <row r="88" spans="1:16" x14ac:dyDescent="0.25">
      <c r="A88" s="1" t="s">
        <v>802</v>
      </c>
      <c r="B88" s="1" t="s">
        <v>682</v>
      </c>
      <c r="C88" s="10">
        <v>40827</v>
      </c>
      <c r="D88" s="3">
        <v>75.3</v>
      </c>
      <c r="E88" s="4">
        <v>5472.6680653071162</v>
      </c>
      <c r="F88" s="10">
        <v>40205</v>
      </c>
      <c r="G88" s="7">
        <v>5.58</v>
      </c>
      <c r="H88" s="7">
        <v>10.52</v>
      </c>
      <c r="I88" s="7">
        <v>5.56</v>
      </c>
      <c r="J88" s="7">
        <v>9.32</v>
      </c>
      <c r="K88" s="6">
        <v>0.33079847908745247</v>
      </c>
      <c r="L88" s="6">
        <v>0.56273764258555137</v>
      </c>
      <c r="M88" s="6">
        <v>0.10646387832699611</v>
      </c>
      <c r="N88" s="4">
        <v>1810.350272554065</v>
      </c>
      <c r="O88" s="4">
        <v>3079.6763257241569</v>
      </c>
      <c r="P88" s="4">
        <v>4890.0265982782221</v>
      </c>
    </row>
    <row r="89" spans="1:16" x14ac:dyDescent="0.25">
      <c r="A89" s="1" t="s">
        <v>803</v>
      </c>
      <c r="B89" s="1" t="s">
        <v>682</v>
      </c>
      <c r="C89" s="10">
        <v>40827</v>
      </c>
      <c r="D89" s="3">
        <v>71.099999999999994</v>
      </c>
      <c r="E89" s="4">
        <v>5148.8415525670507</v>
      </c>
      <c r="F89" s="10">
        <v>40205</v>
      </c>
      <c r="G89" s="7">
        <v>5.42</v>
      </c>
      <c r="H89" s="7">
        <v>10.199999999999999</v>
      </c>
      <c r="I89" s="7">
        <v>5.52</v>
      </c>
      <c r="J89" s="7">
        <v>9.08</v>
      </c>
      <c r="K89" s="6">
        <v>0.33725490196078428</v>
      </c>
      <c r="L89" s="6">
        <v>0.55686274509803924</v>
      </c>
      <c r="M89" s="6">
        <v>0.10588235294117654</v>
      </c>
      <c r="N89" s="4">
        <v>1736.472053022613</v>
      </c>
      <c r="O89" s="4">
        <v>2867.198041037338</v>
      </c>
      <c r="P89" s="4">
        <v>4603.6700940599512</v>
      </c>
    </row>
    <row r="90" spans="1:16" x14ac:dyDescent="0.25">
      <c r="A90" s="1" t="s">
        <v>804</v>
      </c>
      <c r="B90" s="1" t="s">
        <v>682</v>
      </c>
      <c r="C90" s="10">
        <v>40827</v>
      </c>
      <c r="D90" s="3">
        <v>70.3</v>
      </c>
      <c r="E90" s="4">
        <v>5087.1603120451327</v>
      </c>
      <c r="F90" s="10">
        <v>40205</v>
      </c>
      <c r="G90" s="7">
        <v>5.5600000000000005</v>
      </c>
      <c r="H90" s="7">
        <v>10.48</v>
      </c>
      <c r="I90" s="7">
        <v>5.64</v>
      </c>
      <c r="J90" s="7">
        <v>9.36</v>
      </c>
      <c r="K90" s="6">
        <v>0.33969465648854957</v>
      </c>
      <c r="L90" s="6">
        <v>0.56870229007633577</v>
      </c>
      <c r="M90" s="6">
        <v>9.1603053435114656E-2</v>
      </c>
      <c r="N90" s="4">
        <v>1728.081174702354</v>
      </c>
      <c r="O90" s="4">
        <v>2893.079719445514</v>
      </c>
      <c r="P90" s="4">
        <v>4621.160894147868</v>
      </c>
    </row>
    <row r="91" spans="1:16" x14ac:dyDescent="0.25">
      <c r="A91" s="1" t="s">
        <v>805</v>
      </c>
      <c r="B91" s="1" t="s">
        <v>682</v>
      </c>
      <c r="C91" s="10">
        <v>40827</v>
      </c>
      <c r="D91" s="3">
        <v>75.900000000000006</v>
      </c>
      <c r="E91" s="4">
        <v>5518.9289956985558</v>
      </c>
      <c r="F91" s="10">
        <v>40205</v>
      </c>
      <c r="G91" s="7">
        <v>5.5600000000000005</v>
      </c>
      <c r="H91" s="7">
        <v>10.48</v>
      </c>
      <c r="I91" s="7">
        <v>5.6</v>
      </c>
      <c r="J91" s="7">
        <v>9.1999999999999993</v>
      </c>
      <c r="K91" s="6">
        <v>0.3358778625954198</v>
      </c>
      <c r="L91" s="6">
        <v>0.55343511450381666</v>
      </c>
      <c r="M91" s="6">
        <v>0.1106870229007636</v>
      </c>
      <c r="N91" s="4">
        <v>1853.6860748911176</v>
      </c>
      <c r="O91" s="4">
        <v>3054.3691006728641</v>
      </c>
      <c r="P91" s="4">
        <v>4908.0551755639817</v>
      </c>
    </row>
    <row r="92" spans="1:16" x14ac:dyDescent="0.25">
      <c r="A92" s="1" t="s">
        <v>806</v>
      </c>
      <c r="B92" s="1" t="s">
        <v>682</v>
      </c>
      <c r="C92" s="10">
        <v>40827</v>
      </c>
      <c r="D92" s="3">
        <v>77.8</v>
      </c>
      <c r="E92" s="4">
        <v>5665.421941938107</v>
      </c>
      <c r="F92" s="10">
        <v>40205</v>
      </c>
      <c r="G92" s="7">
        <v>5.82</v>
      </c>
      <c r="H92" s="7">
        <v>11</v>
      </c>
      <c r="I92" s="7">
        <v>5.72</v>
      </c>
      <c r="J92" s="7">
        <v>9.64</v>
      </c>
      <c r="K92" s="6">
        <v>0.33090909090909087</v>
      </c>
      <c r="L92" s="6">
        <v>0.56727272727272726</v>
      </c>
      <c r="M92" s="6">
        <v>0.10181818181818192</v>
      </c>
      <c r="N92" s="4">
        <v>1874.7396244231552</v>
      </c>
      <c r="O92" s="4">
        <v>3213.8393561539806</v>
      </c>
      <c r="P92" s="4">
        <v>5088.5789805771356</v>
      </c>
    </row>
    <row r="93" spans="1:16" x14ac:dyDescent="0.25">
      <c r="A93" s="1" t="s">
        <v>807</v>
      </c>
      <c r="B93" s="1" t="s">
        <v>682</v>
      </c>
      <c r="C93" s="10">
        <v>40827</v>
      </c>
      <c r="D93" s="3">
        <v>65.5</v>
      </c>
      <c r="E93" s="4">
        <v>4717.0728689136295</v>
      </c>
      <c r="F93" s="10">
        <v>40205</v>
      </c>
      <c r="G93" s="7">
        <v>5.74</v>
      </c>
      <c r="H93" s="7">
        <v>10.84</v>
      </c>
      <c r="I93" s="7">
        <v>5.6</v>
      </c>
      <c r="J93" s="7">
        <v>9.48</v>
      </c>
      <c r="K93" s="6">
        <v>0.32472324723247231</v>
      </c>
      <c r="L93" s="6">
        <v>0.56088560885608862</v>
      </c>
      <c r="M93" s="6">
        <v>0.11439114391143901</v>
      </c>
      <c r="N93" s="4">
        <v>1531.7432194258279</v>
      </c>
      <c r="O93" s="4">
        <v>2645.7382880991577</v>
      </c>
      <c r="P93" s="4">
        <v>4177.4815075249853</v>
      </c>
    </row>
    <row r="94" spans="1:16" x14ac:dyDescent="0.25">
      <c r="A94" s="1" t="s">
        <v>808</v>
      </c>
      <c r="B94" s="1" t="s">
        <v>682</v>
      </c>
      <c r="C94" s="10">
        <v>40827</v>
      </c>
      <c r="D94" s="3">
        <v>77.599999999999994</v>
      </c>
      <c r="E94" s="4">
        <v>5650.0016318076287</v>
      </c>
      <c r="F94" s="10">
        <v>40205</v>
      </c>
      <c r="G94" s="7">
        <v>6.3</v>
      </c>
      <c r="H94" s="7">
        <v>11.959999999999999</v>
      </c>
      <c r="I94" s="7">
        <v>5.92</v>
      </c>
      <c r="J94" s="7">
        <v>10.039999999999999</v>
      </c>
      <c r="K94" s="6">
        <v>0.32107023411371238</v>
      </c>
      <c r="L94" s="6">
        <v>0.55518394648829428</v>
      </c>
      <c r="M94" s="6">
        <v>0.12374581939799334</v>
      </c>
      <c r="N94" s="4">
        <v>1814.0473466673322</v>
      </c>
      <c r="O94" s="4">
        <v>3136.7902036122618</v>
      </c>
      <c r="P94" s="4">
        <v>4950.8375502795943</v>
      </c>
    </row>
    <row r="95" spans="1:16" x14ac:dyDescent="0.25">
      <c r="A95" s="1" t="s">
        <v>809</v>
      </c>
      <c r="B95" s="1" t="s">
        <v>682</v>
      </c>
      <c r="C95" s="10">
        <v>40827</v>
      </c>
      <c r="D95" s="3">
        <v>72.8</v>
      </c>
      <c r="E95" s="4">
        <v>5279.9141886761236</v>
      </c>
      <c r="F95" s="10">
        <v>40205</v>
      </c>
      <c r="G95" s="7">
        <v>5.68</v>
      </c>
      <c r="H95" s="7">
        <v>10.719999999999999</v>
      </c>
      <c r="I95" s="7">
        <v>5.64</v>
      </c>
      <c r="J95" s="7">
        <v>9.56</v>
      </c>
      <c r="K95" s="6">
        <v>0.33208955223880599</v>
      </c>
      <c r="L95" s="6">
        <v>0.5746268656716419</v>
      </c>
      <c r="M95" s="6">
        <v>9.3283582089552119E-2</v>
      </c>
      <c r="N95" s="4">
        <v>1753.4043387767724</v>
      </c>
      <c r="O95" s="4">
        <v>3033.9805412541909</v>
      </c>
      <c r="P95" s="4">
        <v>4787.3848800309634</v>
      </c>
    </row>
    <row r="96" spans="1:16" x14ac:dyDescent="0.25">
      <c r="A96" s="1" t="s">
        <v>810</v>
      </c>
      <c r="B96" s="1" t="s">
        <v>682</v>
      </c>
      <c r="C96" s="10">
        <v>40827</v>
      </c>
      <c r="D96" s="3">
        <v>62.3</v>
      </c>
      <c r="E96" s="4">
        <v>4470.3479068259594</v>
      </c>
      <c r="F96" s="10">
        <v>40205</v>
      </c>
      <c r="G96" s="7">
        <v>5.9</v>
      </c>
      <c r="H96" s="7">
        <v>11.16</v>
      </c>
      <c r="I96" s="7">
        <v>5.76</v>
      </c>
      <c r="J96" s="7">
        <v>9.8000000000000007</v>
      </c>
      <c r="K96" s="6">
        <v>0.32974910394265228</v>
      </c>
      <c r="L96" s="6">
        <v>0.57347670250896055</v>
      </c>
      <c r="M96" s="6">
        <v>9.6774193548387122E-2</v>
      </c>
      <c r="N96" s="4">
        <v>1474.0932165877714</v>
      </c>
      <c r="O96" s="4">
        <v>2563.6403766743852</v>
      </c>
      <c r="P96" s="4">
        <v>4037.7335932621563</v>
      </c>
    </row>
    <row r="97" spans="1:16" x14ac:dyDescent="0.25">
      <c r="A97" s="1" t="s">
        <v>811</v>
      </c>
      <c r="B97" s="1" t="s">
        <v>682</v>
      </c>
      <c r="C97" s="10">
        <v>40827</v>
      </c>
      <c r="D97" s="3">
        <v>68.599999999999994</v>
      </c>
      <c r="E97" s="4">
        <v>4956.0876759360581</v>
      </c>
      <c r="F97" s="10">
        <v>40205</v>
      </c>
      <c r="G97" s="7">
        <v>6.2</v>
      </c>
      <c r="H97" s="7">
        <v>11.76</v>
      </c>
      <c r="I97" s="7">
        <v>5.92</v>
      </c>
      <c r="J97" s="7">
        <v>10</v>
      </c>
      <c r="K97" s="6">
        <v>0.32653061224489793</v>
      </c>
      <c r="L97" s="6">
        <v>0.56122448979591832</v>
      </c>
      <c r="M97" s="6">
        <v>0.1122448979591838</v>
      </c>
      <c r="N97" s="4">
        <v>1618.3143431627943</v>
      </c>
      <c r="O97" s="4">
        <v>2781.4777773110527</v>
      </c>
      <c r="P97" s="4">
        <v>4399.7921204738468</v>
      </c>
    </row>
    <row r="98" spans="1:16" x14ac:dyDescent="0.25">
      <c r="A98" s="1" t="s">
        <v>812</v>
      </c>
      <c r="B98" s="1" t="s">
        <v>682</v>
      </c>
      <c r="C98" s="10">
        <v>40827</v>
      </c>
      <c r="D98" s="3">
        <v>71.3</v>
      </c>
      <c r="E98" s="4">
        <v>5164.2618626975291</v>
      </c>
      <c r="F98" s="10">
        <v>40205</v>
      </c>
      <c r="G98" s="7">
        <v>5.5</v>
      </c>
      <c r="H98" s="7">
        <v>10.36</v>
      </c>
      <c r="I98" s="7">
        <v>5.52</v>
      </c>
      <c r="J98" s="7">
        <v>9.2799999999999994</v>
      </c>
      <c r="K98" s="6">
        <v>0.33204633204633199</v>
      </c>
      <c r="L98" s="6">
        <v>0.56756756756756754</v>
      </c>
      <c r="M98" s="6">
        <v>0.10038610038610041</v>
      </c>
      <c r="N98" s="4">
        <v>1714.7742092354727</v>
      </c>
      <c r="O98" s="4">
        <v>2931.067543693192</v>
      </c>
      <c r="P98" s="4">
        <v>4645.8417529286644</v>
      </c>
    </row>
    <row r="99" spans="1:16" x14ac:dyDescent="0.25">
      <c r="A99" s="1" t="s">
        <v>813</v>
      </c>
      <c r="B99" s="1" t="s">
        <v>682</v>
      </c>
      <c r="C99" s="10">
        <v>40827</v>
      </c>
      <c r="D99" s="3">
        <v>69.900000000000006</v>
      </c>
      <c r="E99" s="4">
        <v>5056.319691784176</v>
      </c>
      <c r="F99" s="10">
        <v>40205</v>
      </c>
      <c r="G99" s="7">
        <v>5.7200000000000006</v>
      </c>
      <c r="H99" s="7">
        <v>10.8</v>
      </c>
      <c r="I99" s="7">
        <v>5.68</v>
      </c>
      <c r="J99" s="7">
        <v>9.6</v>
      </c>
      <c r="K99" s="6">
        <v>0.33333333333333326</v>
      </c>
      <c r="L99" s="6">
        <v>0.57407407407407396</v>
      </c>
      <c r="M99" s="6">
        <v>9.2592592592592782E-2</v>
      </c>
      <c r="N99" s="4">
        <v>1685.4398972613917</v>
      </c>
      <c r="O99" s="4">
        <v>2902.7020452835077</v>
      </c>
      <c r="P99" s="4">
        <v>4588.1419425448994</v>
      </c>
    </row>
    <row r="100" spans="1:16" x14ac:dyDescent="0.25">
      <c r="A100" s="1" t="s">
        <v>814</v>
      </c>
      <c r="B100" s="1" t="s">
        <v>682</v>
      </c>
      <c r="C100" s="10">
        <v>40827</v>
      </c>
      <c r="D100" s="3">
        <v>70</v>
      </c>
      <c r="E100" s="4">
        <v>5064.0298468494148</v>
      </c>
      <c r="F100" s="10">
        <v>40205</v>
      </c>
      <c r="G100" s="7">
        <v>5.24</v>
      </c>
      <c r="H100" s="7">
        <v>9.84</v>
      </c>
      <c r="I100" s="7">
        <v>5.44</v>
      </c>
      <c r="J100" s="7">
        <v>9</v>
      </c>
      <c r="K100" s="6">
        <v>0.34146341463414637</v>
      </c>
      <c r="L100" s="6">
        <v>0.56910569105691056</v>
      </c>
      <c r="M100" s="6">
        <v>8.9430894308943021E-2</v>
      </c>
      <c r="N100" s="4">
        <v>1729.1809233144345</v>
      </c>
      <c r="O100" s="4">
        <v>2881.9682055240573</v>
      </c>
      <c r="P100" s="4">
        <v>4611.1491288384914</v>
      </c>
    </row>
    <row r="101" spans="1:16" x14ac:dyDescent="0.25">
      <c r="A101" s="1" t="s">
        <v>815</v>
      </c>
      <c r="B101" s="1" t="s">
        <v>682</v>
      </c>
      <c r="C101" s="10">
        <v>40827</v>
      </c>
      <c r="D101" s="3">
        <v>75.599999999999994</v>
      </c>
      <c r="E101" s="4">
        <v>5495.798530502836</v>
      </c>
      <c r="F101" s="10">
        <v>40205</v>
      </c>
      <c r="G101" s="7">
        <v>5.4</v>
      </c>
      <c r="H101" s="7">
        <v>10.16</v>
      </c>
      <c r="I101" s="7">
        <v>5.44</v>
      </c>
      <c r="J101" s="7">
        <v>9.16</v>
      </c>
      <c r="K101" s="6">
        <v>0.33070866141732286</v>
      </c>
      <c r="L101" s="6">
        <v>0.56692913385826771</v>
      </c>
      <c r="M101" s="6">
        <v>0.10236220472440938</v>
      </c>
      <c r="N101" s="4">
        <v>1817.5081754418829</v>
      </c>
      <c r="O101" s="4">
        <v>3115.7283007575134</v>
      </c>
      <c r="P101" s="4">
        <v>4933.2364761993958</v>
      </c>
    </row>
    <row r="102" spans="1:16" x14ac:dyDescent="0.25">
      <c r="A102" s="1" t="s">
        <v>816</v>
      </c>
      <c r="B102" s="1" t="s">
        <v>682</v>
      </c>
      <c r="C102" s="10">
        <v>40827</v>
      </c>
      <c r="D102" s="3">
        <v>73.3</v>
      </c>
      <c r="E102" s="4">
        <v>5318.4649640023217</v>
      </c>
      <c r="F102" s="10">
        <v>40205</v>
      </c>
      <c r="G102" s="7">
        <v>6.1</v>
      </c>
      <c r="H102" s="7">
        <v>11.559999999999999</v>
      </c>
      <c r="I102" s="7">
        <v>5.96</v>
      </c>
      <c r="J102" s="7">
        <v>9.84</v>
      </c>
      <c r="K102" s="6">
        <v>0.33564013840830453</v>
      </c>
      <c r="L102" s="6">
        <v>0.55709342560553632</v>
      </c>
      <c r="M102" s="6">
        <v>0.10726643598615915</v>
      </c>
      <c r="N102" s="4">
        <v>1785.0903166374576</v>
      </c>
      <c r="O102" s="4">
        <v>2962.8818657590787</v>
      </c>
      <c r="P102" s="4">
        <v>4747.9721823965365</v>
      </c>
    </row>
    <row r="103" spans="1:16" x14ac:dyDescent="0.25">
      <c r="A103" s="1" t="s">
        <v>817</v>
      </c>
      <c r="B103" s="1" t="s">
        <v>682</v>
      </c>
      <c r="C103" s="10">
        <v>40827</v>
      </c>
      <c r="D103" s="3">
        <v>75.5</v>
      </c>
      <c r="E103" s="4">
        <v>5488.0883754375964</v>
      </c>
      <c r="F103" s="10">
        <v>40205</v>
      </c>
      <c r="G103" s="7">
        <v>5.5</v>
      </c>
      <c r="H103" s="7">
        <v>10.36</v>
      </c>
      <c r="I103" s="7">
        <v>5.48</v>
      </c>
      <c r="J103" s="7">
        <v>9.1999999999999993</v>
      </c>
      <c r="K103" s="6">
        <v>0.32818532818532825</v>
      </c>
      <c r="L103" s="6">
        <v>0.55984555984555973</v>
      </c>
      <c r="M103" s="6">
        <v>0.11196911196911208</v>
      </c>
      <c r="N103" s="4">
        <v>1801.1100846030724</v>
      </c>
      <c r="O103" s="4">
        <v>3072.4819090287697</v>
      </c>
      <c r="P103" s="4">
        <v>4873.5919936318423</v>
      </c>
    </row>
    <row r="104" spans="1:16" x14ac:dyDescent="0.25">
      <c r="A104" s="1" t="s">
        <v>818</v>
      </c>
      <c r="B104" s="1" t="s">
        <v>682</v>
      </c>
      <c r="C104" s="10">
        <v>40827</v>
      </c>
      <c r="D104" s="3">
        <v>65.7</v>
      </c>
      <c r="E104" s="4">
        <v>4732.4931790441087</v>
      </c>
      <c r="F104" s="10">
        <v>40205</v>
      </c>
      <c r="G104" s="7">
        <v>5.38</v>
      </c>
      <c r="H104" s="7">
        <v>10.119999999999999</v>
      </c>
      <c r="I104" s="7">
        <v>5.44</v>
      </c>
      <c r="J104" s="7">
        <v>9.1199999999999992</v>
      </c>
      <c r="K104" s="6">
        <v>0.33201581027667992</v>
      </c>
      <c r="L104" s="6">
        <v>0.56521739130434778</v>
      </c>
      <c r="M104" s="6">
        <v>0.10276679841897229</v>
      </c>
      <c r="N104" s="4">
        <v>1571.2625574691906</v>
      </c>
      <c r="O104" s="4">
        <v>2674.8874490249309</v>
      </c>
      <c r="P104" s="4">
        <v>4246.150006494121</v>
      </c>
    </row>
    <row r="105" spans="1:16" x14ac:dyDescent="0.25">
      <c r="A105" s="1" t="s">
        <v>819</v>
      </c>
      <c r="B105" s="1" t="s">
        <v>682</v>
      </c>
      <c r="C105" s="10">
        <v>40827</v>
      </c>
      <c r="D105" s="3">
        <v>67.900000000000006</v>
      </c>
      <c r="E105" s="4">
        <v>4902.1165904793816</v>
      </c>
      <c r="F105" s="10">
        <v>40205</v>
      </c>
      <c r="G105" s="7">
        <v>6.02</v>
      </c>
      <c r="H105" s="7">
        <v>11.399999999999999</v>
      </c>
      <c r="I105" s="7">
        <v>5.84</v>
      </c>
      <c r="J105" s="7">
        <v>9.76</v>
      </c>
      <c r="K105" s="6">
        <v>0.3298245614035088</v>
      </c>
      <c r="L105" s="6">
        <v>0.55789473684210533</v>
      </c>
      <c r="M105" s="6">
        <v>0.11228070175438587</v>
      </c>
      <c r="N105" s="4">
        <v>1616.838454403726</v>
      </c>
      <c r="O105" s="4">
        <v>2734.8650452148131</v>
      </c>
      <c r="P105" s="4">
        <v>4351.7034996185394</v>
      </c>
    </row>
    <row r="106" spans="1:16" x14ac:dyDescent="0.25">
      <c r="A106" s="1" t="s">
        <v>820</v>
      </c>
      <c r="B106" s="1" t="s">
        <v>682</v>
      </c>
      <c r="C106" s="10">
        <v>40827</v>
      </c>
      <c r="D106" s="3">
        <v>60.9</v>
      </c>
      <c r="E106" s="4">
        <v>4362.4057359126036</v>
      </c>
      <c r="F106" s="10">
        <v>40205</v>
      </c>
      <c r="G106" s="7">
        <v>5.38</v>
      </c>
      <c r="H106" s="7">
        <v>10.119999999999999</v>
      </c>
      <c r="I106" s="7">
        <v>5.52</v>
      </c>
      <c r="J106" s="7">
        <v>9.1199999999999992</v>
      </c>
      <c r="K106" s="6">
        <v>0.33992094861660077</v>
      </c>
      <c r="L106" s="6">
        <v>0.56521739130434778</v>
      </c>
      <c r="M106" s="6">
        <v>9.4861660079051391E-2</v>
      </c>
      <c r="N106" s="4">
        <v>1482.8730960019127</v>
      </c>
      <c r="O106" s="4">
        <v>2465.7075898636454</v>
      </c>
      <c r="P106" s="4">
        <v>3948.5806858655578</v>
      </c>
    </row>
    <row r="107" spans="1:16" x14ac:dyDescent="0.25">
      <c r="A107" s="1" t="s">
        <v>821</v>
      </c>
      <c r="B107" s="1" t="s">
        <v>682</v>
      </c>
      <c r="C107" s="10">
        <v>40828</v>
      </c>
      <c r="D107" s="3">
        <v>53.6</v>
      </c>
      <c r="E107" s="4">
        <v>3799.5644161501086</v>
      </c>
      <c r="F107" s="10">
        <v>40205</v>
      </c>
      <c r="G107" s="7">
        <v>7.86</v>
      </c>
      <c r="H107" s="7">
        <v>15.08</v>
      </c>
      <c r="I107" s="7">
        <v>6.96</v>
      </c>
      <c r="J107" s="7">
        <v>11.72</v>
      </c>
      <c r="K107" s="6">
        <v>0.32360742705570289</v>
      </c>
      <c r="L107" s="6">
        <v>0.55172413793103448</v>
      </c>
      <c r="M107" s="6">
        <v>0.12466843501326264</v>
      </c>
      <c r="N107" s="4">
        <v>1229.5672646427406</v>
      </c>
      <c r="O107" s="4">
        <v>2096.3114020138528</v>
      </c>
      <c r="P107" s="4">
        <v>3325.8786666565934</v>
      </c>
    </row>
    <row r="108" spans="1:16" x14ac:dyDescent="0.25">
      <c r="A108" s="1" t="s">
        <v>822</v>
      </c>
      <c r="B108" s="1" t="s">
        <v>682</v>
      </c>
      <c r="C108" s="10">
        <v>40828</v>
      </c>
      <c r="D108" s="3">
        <v>69.399999999999991</v>
      </c>
      <c r="E108" s="4">
        <v>5017.7689164579751</v>
      </c>
      <c r="F108" s="10">
        <v>40205</v>
      </c>
      <c r="G108" s="7">
        <v>7.7</v>
      </c>
      <c r="H108" s="7">
        <v>14.76</v>
      </c>
      <c r="I108" s="7">
        <v>7.04</v>
      </c>
      <c r="J108" s="7">
        <v>11.8</v>
      </c>
      <c r="K108" s="6">
        <v>0.33604336043360433</v>
      </c>
      <c r="L108" s="6">
        <v>0.56910569105691056</v>
      </c>
      <c r="M108" s="6">
        <v>9.4850948509485056E-2</v>
      </c>
      <c r="N108" s="4">
        <v>1686.1879285658235</v>
      </c>
      <c r="O108" s="4">
        <v>2855.6408467647011</v>
      </c>
      <c r="P108" s="4">
        <v>4541.8287753305249</v>
      </c>
    </row>
    <row r="109" spans="1:16" x14ac:dyDescent="0.25">
      <c r="A109" s="1" t="s">
        <v>823</v>
      </c>
      <c r="B109" s="1" t="s">
        <v>682</v>
      </c>
      <c r="C109" s="10">
        <v>40828</v>
      </c>
      <c r="D109" s="3">
        <v>73.400000000000006</v>
      </c>
      <c r="E109" s="4">
        <v>5326.1751190675632</v>
      </c>
      <c r="F109" s="10">
        <v>40205</v>
      </c>
      <c r="G109" s="7">
        <v>6.4399999999999995</v>
      </c>
      <c r="H109" s="7">
        <v>12.239999999999998</v>
      </c>
      <c r="I109" s="7">
        <v>6.16</v>
      </c>
      <c r="J109" s="7">
        <v>10.4</v>
      </c>
      <c r="K109" s="6">
        <v>0.33333333333333337</v>
      </c>
      <c r="L109" s="6">
        <v>0.57189542483660138</v>
      </c>
      <c r="M109" s="6">
        <v>9.4771241830065245E-2</v>
      </c>
      <c r="N109" s="4">
        <v>1775.3917063558547</v>
      </c>
      <c r="O109" s="4">
        <v>3046.0151824732802</v>
      </c>
      <c r="P109" s="4">
        <v>4821.4068888291349</v>
      </c>
    </row>
    <row r="110" spans="1:16" x14ac:dyDescent="0.25">
      <c r="A110" s="1" t="s">
        <v>824</v>
      </c>
      <c r="B110" s="1" t="s">
        <v>682</v>
      </c>
      <c r="C110" s="10">
        <v>40828</v>
      </c>
      <c r="D110" s="3">
        <v>72.3</v>
      </c>
      <c r="E110" s="4">
        <v>5241.3634133499254</v>
      </c>
      <c r="F110" s="10">
        <v>40205</v>
      </c>
      <c r="G110" s="7">
        <v>6.78</v>
      </c>
      <c r="H110" s="7">
        <v>12.92</v>
      </c>
      <c r="I110" s="7">
        <v>6.4</v>
      </c>
      <c r="J110" s="7">
        <v>10.84</v>
      </c>
      <c r="K110" s="6">
        <v>0.33436532507739941</v>
      </c>
      <c r="L110" s="6">
        <v>0.57585139318885448</v>
      </c>
      <c r="M110" s="6">
        <v>8.9783281733746056E-2</v>
      </c>
      <c r="N110" s="4">
        <v>1752.5301815535356</v>
      </c>
      <c r="O110" s="4">
        <v>3018.2464237866443</v>
      </c>
      <c r="P110" s="4">
        <v>4770.7766053401801</v>
      </c>
    </row>
    <row r="111" spans="1:16" x14ac:dyDescent="0.25">
      <c r="A111" s="1" t="s">
        <v>825</v>
      </c>
      <c r="B111" s="1" t="s">
        <v>682</v>
      </c>
      <c r="C111" s="10">
        <v>40828</v>
      </c>
      <c r="D111" s="3">
        <v>77</v>
      </c>
      <c r="E111" s="4">
        <v>5603.7407014161909</v>
      </c>
      <c r="F111" s="10">
        <v>40205</v>
      </c>
      <c r="G111" s="7">
        <v>5.9</v>
      </c>
      <c r="H111" s="7">
        <v>11.16</v>
      </c>
      <c r="I111" s="7">
        <v>5.72</v>
      </c>
      <c r="J111" s="7">
        <v>9.68</v>
      </c>
      <c r="K111" s="6">
        <v>0.3261648745519713</v>
      </c>
      <c r="L111" s="6">
        <v>0.56272401433691754</v>
      </c>
      <c r="M111" s="6">
        <v>0.11111111111111116</v>
      </c>
      <c r="N111" s="4">
        <v>1827.7433828991875</v>
      </c>
      <c r="O111" s="4">
        <v>3153.3594628040928</v>
      </c>
      <c r="P111" s="4">
        <v>4981.1028457032808</v>
      </c>
    </row>
    <row r="112" spans="1:16" x14ac:dyDescent="0.25">
      <c r="A112" s="1" t="s">
        <v>826</v>
      </c>
      <c r="B112" s="1" t="s">
        <v>682</v>
      </c>
      <c r="C112" s="10">
        <v>40828</v>
      </c>
      <c r="D112" s="3">
        <v>76.099999999999994</v>
      </c>
      <c r="E112" s="4">
        <v>5534.3493058290342</v>
      </c>
      <c r="F112" s="10">
        <v>40205</v>
      </c>
      <c r="G112" s="7">
        <v>6.3</v>
      </c>
      <c r="H112" s="7">
        <v>11.959999999999999</v>
      </c>
      <c r="I112" s="7">
        <v>6.04</v>
      </c>
      <c r="J112" s="7">
        <v>10.24</v>
      </c>
      <c r="K112" s="6">
        <v>0.33110367892976589</v>
      </c>
      <c r="L112" s="6">
        <v>0.57190635451505023</v>
      </c>
      <c r="M112" s="6">
        <v>9.6989966555183882E-2</v>
      </c>
      <c r="N112" s="4">
        <v>1832.4434156423893</v>
      </c>
      <c r="O112" s="4">
        <v>3165.1295361095817</v>
      </c>
      <c r="P112" s="4">
        <v>4997.5729517519712</v>
      </c>
    </row>
    <row r="113" spans="1:16" x14ac:dyDescent="0.25">
      <c r="A113" s="1" t="s">
        <v>827</v>
      </c>
      <c r="B113" s="1" t="s">
        <v>682</v>
      </c>
      <c r="C113" s="10">
        <v>40828</v>
      </c>
      <c r="D113" s="3">
        <v>68.800000000000011</v>
      </c>
      <c r="E113" s="4">
        <v>4971.5079860665392</v>
      </c>
      <c r="F113" s="10">
        <v>40205</v>
      </c>
      <c r="G113" s="7">
        <v>6.5</v>
      </c>
      <c r="H113" s="7">
        <v>12.36</v>
      </c>
      <c r="I113" s="7">
        <v>6.16</v>
      </c>
      <c r="J113" s="7">
        <v>10.32</v>
      </c>
      <c r="K113" s="6">
        <v>0.3300970873786408</v>
      </c>
      <c r="L113" s="6">
        <v>0.55987055016181231</v>
      </c>
      <c r="M113" s="6">
        <v>0.11003236245954684</v>
      </c>
      <c r="N113" s="4">
        <v>1641.0803060802168</v>
      </c>
      <c r="O113" s="4">
        <v>2783.4009112929166</v>
      </c>
      <c r="P113" s="4">
        <v>4424.4812173731334</v>
      </c>
    </row>
    <row r="114" spans="1:16" x14ac:dyDescent="0.25">
      <c r="A114" s="1" t="s">
        <v>828</v>
      </c>
      <c r="B114" s="1" t="s">
        <v>682</v>
      </c>
      <c r="C114" s="10">
        <v>40828</v>
      </c>
      <c r="D114" s="3">
        <v>68.400000000000006</v>
      </c>
      <c r="E114" s="4">
        <v>4940.6673658055806</v>
      </c>
      <c r="F114" s="10">
        <v>40205</v>
      </c>
      <c r="G114" s="7">
        <v>6.18</v>
      </c>
      <c r="H114" s="7">
        <v>11.719999999999999</v>
      </c>
      <c r="I114" s="7">
        <v>6.04</v>
      </c>
      <c r="J114" s="7">
        <v>9.9600000000000009</v>
      </c>
      <c r="K114" s="6">
        <v>0.33788395904436863</v>
      </c>
      <c r="L114" s="6">
        <v>0.559726962457338</v>
      </c>
      <c r="M114" s="6">
        <v>0.10238907849829337</v>
      </c>
      <c r="N114" s="4">
        <v>1669.3722498797015</v>
      </c>
      <c r="O114" s="4">
        <v>2765.4247371744555</v>
      </c>
      <c r="P114" s="4">
        <v>4434.7969870541565</v>
      </c>
    </row>
    <row r="115" spans="1:16" x14ac:dyDescent="0.25">
      <c r="A115" s="1" t="s">
        <v>829</v>
      </c>
      <c r="B115" s="1" t="s">
        <v>682</v>
      </c>
      <c r="C115" s="10">
        <v>40828</v>
      </c>
      <c r="D115" s="3">
        <v>63.4</v>
      </c>
      <c r="E115" s="4">
        <v>4555.1596125435963</v>
      </c>
      <c r="F115" s="10">
        <v>40205</v>
      </c>
      <c r="G115" s="7">
        <v>6.68</v>
      </c>
      <c r="H115" s="7">
        <v>12.719999999999999</v>
      </c>
      <c r="I115" s="7">
        <v>6.32</v>
      </c>
      <c r="J115" s="7">
        <v>10.64</v>
      </c>
      <c r="K115" s="6">
        <v>0.33333333333333337</v>
      </c>
      <c r="L115" s="6">
        <v>0.56918238993710701</v>
      </c>
      <c r="M115" s="6">
        <v>9.7484276729559616E-2</v>
      </c>
      <c r="N115" s="4">
        <v>1518.3865375145322</v>
      </c>
      <c r="O115" s="4">
        <v>2592.7166348125506</v>
      </c>
      <c r="P115" s="4">
        <v>4111.1031723270826</v>
      </c>
    </row>
    <row r="116" spans="1:16" x14ac:dyDescent="0.25">
      <c r="A116" s="1" t="s">
        <v>830</v>
      </c>
      <c r="B116" s="1" t="s">
        <v>682</v>
      </c>
      <c r="C116" s="10">
        <v>40828</v>
      </c>
      <c r="D116" s="3">
        <v>61.8</v>
      </c>
      <c r="E116" s="4">
        <v>4431.7971314997612</v>
      </c>
      <c r="F116" s="10">
        <v>40205</v>
      </c>
      <c r="G116" s="7">
        <v>7.9600000000000009</v>
      </c>
      <c r="H116" s="7">
        <v>15.280000000000001</v>
      </c>
      <c r="I116" s="7">
        <v>7.16</v>
      </c>
      <c r="J116" s="7">
        <v>11.88</v>
      </c>
      <c r="K116" s="6">
        <v>0.33246073298429318</v>
      </c>
      <c r="L116" s="6">
        <v>0.55497382198952883</v>
      </c>
      <c r="M116" s="6">
        <v>0.11256544502617793</v>
      </c>
      <c r="N116" s="4">
        <v>1473.3985227760986</v>
      </c>
      <c r="O116" s="4">
        <v>2459.5313923506528</v>
      </c>
      <c r="P116" s="4">
        <v>3932.9299151267514</v>
      </c>
    </row>
    <row r="117" spans="1:16" x14ac:dyDescent="0.25">
      <c r="A117" s="1" t="s">
        <v>831</v>
      </c>
      <c r="B117" s="1" t="s">
        <v>682</v>
      </c>
      <c r="C117" s="10">
        <v>40828</v>
      </c>
      <c r="D117" s="3">
        <v>53.4</v>
      </c>
      <c r="E117" s="4">
        <v>3784.1441060196289</v>
      </c>
      <c r="F117" s="10">
        <v>40205</v>
      </c>
      <c r="G117" s="7">
        <v>6.54</v>
      </c>
      <c r="H117" s="7">
        <v>12.44</v>
      </c>
      <c r="I117" s="7">
        <v>6.16</v>
      </c>
      <c r="J117" s="7">
        <v>10.6</v>
      </c>
      <c r="K117" s="6">
        <v>0.32797427652733119</v>
      </c>
      <c r="L117" s="6">
        <v>0.5787781350482315</v>
      </c>
      <c r="M117" s="6">
        <v>9.3247588424437255E-2</v>
      </c>
      <c r="N117" s="4">
        <v>1241.1019254469522</v>
      </c>
      <c r="O117" s="4">
        <v>2190.1798684357982</v>
      </c>
      <c r="P117" s="4">
        <v>3431.2817938827502</v>
      </c>
    </row>
    <row r="118" spans="1:16" x14ac:dyDescent="0.25">
      <c r="A118" s="1" t="s">
        <v>832</v>
      </c>
      <c r="B118" s="1" t="s">
        <v>682</v>
      </c>
      <c r="C118" s="10">
        <v>40828</v>
      </c>
      <c r="D118" s="3">
        <v>64.3</v>
      </c>
      <c r="E118" s="4">
        <v>4624.5510081307521</v>
      </c>
      <c r="F118" s="10">
        <v>40205</v>
      </c>
      <c r="G118" s="7">
        <v>6.7200000000000006</v>
      </c>
      <c r="H118" s="7">
        <v>12.8</v>
      </c>
      <c r="I118" s="7">
        <v>6.32</v>
      </c>
      <c r="J118" s="7">
        <v>10.76</v>
      </c>
      <c r="K118" s="6">
        <v>0.33124999999999999</v>
      </c>
      <c r="L118" s="6">
        <v>0.57499999999999996</v>
      </c>
      <c r="M118" s="6">
        <v>9.375E-2</v>
      </c>
      <c r="N118" s="4">
        <v>1531.8825214433116</v>
      </c>
      <c r="O118" s="4">
        <v>2659.1168296751821</v>
      </c>
      <c r="P118" s="4">
        <v>4190.9993511184939</v>
      </c>
    </row>
    <row r="119" spans="1:16" x14ac:dyDescent="0.25">
      <c r="A119" s="1" t="s">
        <v>833</v>
      </c>
      <c r="B119" s="1" t="s">
        <v>682</v>
      </c>
      <c r="C119" s="10">
        <v>40828</v>
      </c>
      <c r="D119" s="3">
        <v>73.2</v>
      </c>
      <c r="E119" s="4">
        <v>5310.754808937083</v>
      </c>
      <c r="F119" s="10">
        <v>40205</v>
      </c>
      <c r="G119" s="7">
        <v>6.4399999999999995</v>
      </c>
      <c r="H119" s="7">
        <v>12.239999999999998</v>
      </c>
      <c r="I119" s="7">
        <v>6.16</v>
      </c>
      <c r="J119" s="7">
        <v>10.36</v>
      </c>
      <c r="K119" s="6">
        <v>0.33333333333333337</v>
      </c>
      <c r="L119" s="6">
        <v>0.56862745098039214</v>
      </c>
      <c r="M119" s="6">
        <v>9.8039215686274495E-2</v>
      </c>
      <c r="N119" s="4">
        <v>1770.2516029790279</v>
      </c>
      <c r="O119" s="4">
        <v>3019.8409697877528</v>
      </c>
      <c r="P119" s="4">
        <v>4790.0925727667809</v>
      </c>
    </row>
    <row r="120" spans="1:16" x14ac:dyDescent="0.25">
      <c r="A120" s="1" t="s">
        <v>834</v>
      </c>
      <c r="B120" s="1" t="s">
        <v>682</v>
      </c>
      <c r="C120" s="10">
        <v>40828</v>
      </c>
      <c r="D120" s="3">
        <v>68.199999999999989</v>
      </c>
      <c r="E120" s="4">
        <v>4925.2470556750995</v>
      </c>
      <c r="F120" s="10">
        <v>40205</v>
      </c>
      <c r="G120" s="7">
        <v>6.22</v>
      </c>
      <c r="H120" s="7">
        <v>11.799999999999999</v>
      </c>
      <c r="I120" s="7">
        <v>5.88</v>
      </c>
      <c r="J120" s="7">
        <v>10.119999999999999</v>
      </c>
      <c r="K120" s="6">
        <v>0.32203389830508478</v>
      </c>
      <c r="L120" s="6">
        <v>0.56949152542372872</v>
      </c>
      <c r="M120" s="6">
        <v>0.10847457627118651</v>
      </c>
      <c r="N120" s="4">
        <v>1586.0965094546932</v>
      </c>
      <c r="O120" s="4">
        <v>2804.8864588251408</v>
      </c>
      <c r="P120" s="4">
        <v>4390.9829682798336</v>
      </c>
    </row>
    <row r="121" spans="1:16" x14ac:dyDescent="0.25">
      <c r="A121" s="1" t="s">
        <v>835</v>
      </c>
      <c r="B121" s="1" t="s">
        <v>682</v>
      </c>
      <c r="C121" s="10">
        <v>40828</v>
      </c>
      <c r="D121" s="3">
        <v>74.599999999999994</v>
      </c>
      <c r="E121" s="4">
        <v>5418.6969798504388</v>
      </c>
      <c r="F121" s="10">
        <v>40205</v>
      </c>
      <c r="G121" s="7">
        <v>5.7799999999999994</v>
      </c>
      <c r="H121" s="7">
        <v>10.919999999999998</v>
      </c>
      <c r="I121" s="7">
        <v>5.72</v>
      </c>
      <c r="J121" s="7">
        <v>9.64</v>
      </c>
      <c r="K121" s="6">
        <v>0.33333333333333337</v>
      </c>
      <c r="L121" s="6">
        <v>0.57142857142857151</v>
      </c>
      <c r="M121" s="6">
        <v>9.5238095238095122E-2</v>
      </c>
      <c r="N121" s="4">
        <v>1806.2323266168132</v>
      </c>
      <c r="O121" s="4">
        <v>3096.3982742002513</v>
      </c>
      <c r="P121" s="4">
        <v>4902.630600817065</v>
      </c>
    </row>
    <row r="122" spans="1:16" x14ac:dyDescent="0.25">
      <c r="A122" s="1" t="s">
        <v>836</v>
      </c>
      <c r="B122" s="1" t="s">
        <v>682</v>
      </c>
      <c r="C122" s="10">
        <v>40828</v>
      </c>
      <c r="D122" s="3">
        <v>68.400000000000006</v>
      </c>
      <c r="E122" s="4">
        <v>4940.6673658055806</v>
      </c>
      <c r="F122" s="10">
        <v>40205</v>
      </c>
      <c r="G122" s="7">
        <v>6.98</v>
      </c>
      <c r="H122" s="7">
        <v>13.32</v>
      </c>
      <c r="I122" s="7">
        <v>6.64</v>
      </c>
      <c r="J122" s="7">
        <v>11.04</v>
      </c>
      <c r="K122" s="6">
        <v>0.34234234234234229</v>
      </c>
      <c r="L122" s="6">
        <v>0.57357357357357353</v>
      </c>
      <c r="M122" s="6">
        <v>8.4084084084084187E-2</v>
      </c>
      <c r="N122" s="4">
        <v>1691.3996387442526</v>
      </c>
      <c r="O122" s="4">
        <v>2833.8362368434409</v>
      </c>
      <c r="P122" s="4">
        <v>4525.235875587694</v>
      </c>
    </row>
    <row r="123" spans="1:16" x14ac:dyDescent="0.25">
      <c r="A123" s="1" t="s">
        <v>837</v>
      </c>
      <c r="B123" s="1" t="s">
        <v>682</v>
      </c>
      <c r="C123" s="10">
        <v>40828</v>
      </c>
      <c r="D123" s="3">
        <v>65.899999999999991</v>
      </c>
      <c r="E123" s="4">
        <v>4747.9134891745871</v>
      </c>
      <c r="F123" s="10">
        <v>40205</v>
      </c>
      <c r="G123" s="7">
        <v>6.18</v>
      </c>
      <c r="H123" s="7">
        <v>11.719999999999999</v>
      </c>
      <c r="I123" s="7">
        <v>5.88</v>
      </c>
      <c r="J123" s="7">
        <v>9.8800000000000008</v>
      </c>
      <c r="K123" s="6">
        <v>0.32423208191126279</v>
      </c>
      <c r="L123" s="6">
        <v>0.5529010238907851</v>
      </c>
      <c r="M123" s="6">
        <v>0.12286689419795216</v>
      </c>
      <c r="N123" s="4">
        <v>1539.4258753296442</v>
      </c>
      <c r="O123" s="4">
        <v>2625.1262295094994</v>
      </c>
      <c r="P123" s="4">
        <v>4164.5521048391438</v>
      </c>
    </row>
    <row r="124" spans="1:16" x14ac:dyDescent="0.25">
      <c r="A124" s="1" t="s">
        <v>838</v>
      </c>
      <c r="B124" s="1" t="s">
        <v>682</v>
      </c>
      <c r="C124" s="10">
        <v>40828</v>
      </c>
      <c r="D124" s="3">
        <v>63.5</v>
      </c>
      <c r="E124" s="4">
        <v>4562.8697676088359</v>
      </c>
      <c r="F124" s="10">
        <v>40205</v>
      </c>
      <c r="G124" s="7">
        <v>6.08</v>
      </c>
      <c r="H124" s="7">
        <v>11.52</v>
      </c>
      <c r="I124" s="7">
        <v>5.88</v>
      </c>
      <c r="J124" s="7">
        <v>10.119999999999999</v>
      </c>
      <c r="K124" s="6">
        <v>0.3298611111111111</v>
      </c>
      <c r="L124" s="6">
        <v>0.58333333333333326</v>
      </c>
      <c r="M124" s="6">
        <v>8.680555555555558E-2</v>
      </c>
      <c r="N124" s="4">
        <v>1505.1132913987478</v>
      </c>
      <c r="O124" s="4">
        <v>2661.674031105154</v>
      </c>
      <c r="P124" s="4">
        <v>4166.787322503902</v>
      </c>
    </row>
    <row r="125" spans="1:16" x14ac:dyDescent="0.25">
      <c r="A125" s="1" t="s">
        <v>839</v>
      </c>
      <c r="B125" s="1" t="s">
        <v>682</v>
      </c>
      <c r="C125" s="10">
        <v>40828</v>
      </c>
      <c r="D125" s="3">
        <v>62.8</v>
      </c>
      <c r="E125" s="4">
        <v>4508.8986821521576</v>
      </c>
      <c r="F125" s="10">
        <v>40205</v>
      </c>
      <c r="G125" s="7">
        <v>6.96</v>
      </c>
      <c r="H125" s="7">
        <v>13.28</v>
      </c>
      <c r="I125" s="7">
        <v>6.52</v>
      </c>
      <c r="J125" s="7">
        <v>10.84</v>
      </c>
      <c r="K125" s="6">
        <v>0.33433734939759036</v>
      </c>
      <c r="L125" s="6">
        <v>0.56024096385542166</v>
      </c>
      <c r="M125" s="6">
        <v>0.10542168674698804</v>
      </c>
      <c r="N125" s="4">
        <v>1507.4932340930407</v>
      </c>
      <c r="O125" s="4">
        <v>2526.069743615365</v>
      </c>
      <c r="P125" s="4">
        <v>4033.5629777084059</v>
      </c>
    </row>
    <row r="126" spans="1:16" x14ac:dyDescent="0.25">
      <c r="A126" s="1" t="s">
        <v>840</v>
      </c>
      <c r="B126" s="1" t="s">
        <v>682</v>
      </c>
      <c r="C126" s="10">
        <v>40828</v>
      </c>
      <c r="D126" s="3">
        <v>57.5</v>
      </c>
      <c r="E126" s="4">
        <v>4100.2604636944552</v>
      </c>
      <c r="F126" s="10">
        <v>40205</v>
      </c>
      <c r="G126" s="7">
        <v>6.34</v>
      </c>
      <c r="H126" s="7">
        <v>12.04</v>
      </c>
      <c r="I126" s="7">
        <v>6.08</v>
      </c>
      <c r="J126" s="7">
        <v>10.28</v>
      </c>
      <c r="K126" s="6">
        <v>0.33222591362126247</v>
      </c>
      <c r="L126" s="6">
        <v>0.5714285714285714</v>
      </c>
      <c r="M126" s="6">
        <v>9.6345514950166189E-2</v>
      </c>
      <c r="N126" s="4">
        <v>1362.2127786360318</v>
      </c>
      <c r="O126" s="4">
        <v>2343.0059792539741</v>
      </c>
      <c r="P126" s="4">
        <v>3705.2187578900057</v>
      </c>
    </row>
    <row r="127" spans="1:16" x14ac:dyDescent="0.25">
      <c r="A127" s="1" t="s">
        <v>841</v>
      </c>
      <c r="B127" s="1" t="s">
        <v>682</v>
      </c>
      <c r="C127" s="10">
        <v>40828</v>
      </c>
      <c r="D127" s="3">
        <v>68.7</v>
      </c>
      <c r="E127" s="4">
        <v>4963.7978310012977</v>
      </c>
      <c r="F127" s="10">
        <v>40204</v>
      </c>
      <c r="G127" s="7">
        <v>7.66</v>
      </c>
      <c r="H127" s="7">
        <v>14.68</v>
      </c>
      <c r="I127" s="7">
        <v>7</v>
      </c>
      <c r="J127" s="7">
        <v>11.84</v>
      </c>
      <c r="K127" s="6">
        <v>0.33514986376021799</v>
      </c>
      <c r="L127" s="6">
        <v>0.57493188010899177</v>
      </c>
      <c r="M127" s="6">
        <v>8.9918256130790297E-2</v>
      </c>
      <c r="N127" s="4">
        <v>1663.6161667933504</v>
      </c>
      <c r="O127" s="4">
        <v>2853.8456194585115</v>
      </c>
      <c r="P127" s="4">
        <v>4517.4617862518617</v>
      </c>
    </row>
    <row r="128" spans="1:16" x14ac:dyDescent="0.25">
      <c r="A128" s="1" t="s">
        <v>842</v>
      </c>
      <c r="B128" s="1" t="s">
        <v>682</v>
      </c>
      <c r="C128" s="10">
        <v>40828</v>
      </c>
      <c r="D128" s="3">
        <v>70.199999999999989</v>
      </c>
      <c r="E128" s="4">
        <v>5079.4501569798931</v>
      </c>
      <c r="F128" s="10">
        <v>40204</v>
      </c>
      <c r="G128" s="7">
        <v>7.16</v>
      </c>
      <c r="H128" s="7">
        <v>13.68</v>
      </c>
      <c r="I128" s="7">
        <v>6.56</v>
      </c>
      <c r="J128" s="7">
        <v>11.2</v>
      </c>
      <c r="K128" s="6">
        <v>0.32748538011695905</v>
      </c>
      <c r="L128" s="6">
        <v>0.57017543859649111</v>
      </c>
      <c r="M128" s="6">
        <v>0.10233918128654984</v>
      </c>
      <c r="N128" s="4">
        <v>1663.4456654437076</v>
      </c>
      <c r="O128" s="4">
        <v>2896.1777210850264</v>
      </c>
      <c r="P128" s="4">
        <v>4559.623386528734</v>
      </c>
    </row>
    <row r="129" spans="1:16" x14ac:dyDescent="0.25">
      <c r="A129" s="1" t="s">
        <v>843</v>
      </c>
      <c r="B129" s="1" t="s">
        <v>682</v>
      </c>
      <c r="C129" s="10">
        <v>40828</v>
      </c>
      <c r="D129" s="3">
        <v>75.900000000000006</v>
      </c>
      <c r="E129" s="4">
        <v>5518.9289956985558</v>
      </c>
      <c r="F129" s="10">
        <v>40204</v>
      </c>
      <c r="G129" s="7">
        <v>5.9</v>
      </c>
      <c r="H129" s="7">
        <v>11.16</v>
      </c>
      <c r="I129" s="7">
        <v>5.72</v>
      </c>
      <c r="J129" s="7">
        <v>9.7200000000000006</v>
      </c>
      <c r="K129" s="6">
        <v>0.3261648745519713</v>
      </c>
      <c r="L129" s="6">
        <v>0.56630824372759858</v>
      </c>
      <c r="M129" s="6">
        <v>0.10752688172043012</v>
      </c>
      <c r="N129" s="4">
        <v>1800.0807835432563</v>
      </c>
      <c r="O129" s="4">
        <v>3125.4149868113686</v>
      </c>
      <c r="P129" s="4">
        <v>4925.4957703546252</v>
      </c>
    </row>
    <row r="130" spans="1:16" x14ac:dyDescent="0.25">
      <c r="A130" s="1" t="s">
        <v>844</v>
      </c>
      <c r="B130" s="1" t="s">
        <v>682</v>
      </c>
      <c r="C130" s="10">
        <v>40828</v>
      </c>
      <c r="D130" s="3">
        <v>78.2</v>
      </c>
      <c r="E130" s="4">
        <v>5696.2625621990674</v>
      </c>
      <c r="F130" s="10">
        <v>40204</v>
      </c>
      <c r="G130" s="7">
        <v>6.16</v>
      </c>
      <c r="H130" s="7">
        <v>11.68</v>
      </c>
      <c r="I130" s="7">
        <v>5.92</v>
      </c>
      <c r="J130" s="7">
        <v>9.9600000000000009</v>
      </c>
      <c r="K130" s="6">
        <v>0.32876712328767121</v>
      </c>
      <c r="L130" s="6">
        <v>0.56164383561643838</v>
      </c>
      <c r="M130" s="6">
        <v>0.1095890410958904</v>
      </c>
      <c r="N130" s="4">
        <v>1872.7438560654466</v>
      </c>
      <c r="O130" s="4">
        <v>3199.2707541118052</v>
      </c>
      <c r="P130" s="4">
        <v>5072.0146101772516</v>
      </c>
    </row>
    <row r="131" spans="1:16" x14ac:dyDescent="0.25">
      <c r="A131" s="1" t="s">
        <v>845</v>
      </c>
      <c r="B131" s="1" t="s">
        <v>682</v>
      </c>
      <c r="C131" s="10">
        <v>40828</v>
      </c>
      <c r="D131" s="3">
        <v>71.199999999999989</v>
      </c>
      <c r="E131" s="4">
        <v>5156.5517076322894</v>
      </c>
      <c r="F131" s="10">
        <v>40204</v>
      </c>
      <c r="G131" s="7">
        <v>6.5600000000000005</v>
      </c>
      <c r="H131" s="7">
        <v>12.48</v>
      </c>
      <c r="I131" s="7">
        <v>6.16</v>
      </c>
      <c r="J131" s="7">
        <v>10.64</v>
      </c>
      <c r="K131" s="6">
        <v>0.32692307692307693</v>
      </c>
      <c r="L131" s="6">
        <v>0.58012820512820518</v>
      </c>
      <c r="M131" s="6">
        <v>9.2948717948717952E-2</v>
      </c>
      <c r="N131" s="4">
        <v>1685.7957505720947</v>
      </c>
      <c r="O131" s="4">
        <v>2991.4610867995016</v>
      </c>
      <c r="P131" s="4">
        <v>4677.2568373715967</v>
      </c>
    </row>
    <row r="132" spans="1:16" x14ac:dyDescent="0.25">
      <c r="A132" s="1" t="s">
        <v>846</v>
      </c>
      <c r="B132" s="1" t="s">
        <v>682</v>
      </c>
      <c r="C132" s="10">
        <v>40828</v>
      </c>
      <c r="D132" s="3">
        <v>63.3</v>
      </c>
      <c r="E132" s="4">
        <v>4547.4494574783557</v>
      </c>
      <c r="F132" s="10">
        <v>40204</v>
      </c>
      <c r="G132" s="7">
        <v>5.5</v>
      </c>
      <c r="H132" s="7">
        <v>10.36</v>
      </c>
      <c r="I132" s="7">
        <v>5.4</v>
      </c>
      <c r="J132" s="7">
        <v>9.48</v>
      </c>
      <c r="K132" s="6">
        <v>0.32046332046332049</v>
      </c>
      <c r="L132" s="6">
        <v>0.58687258687258692</v>
      </c>
      <c r="M132" s="6">
        <v>9.266409266409259E-2</v>
      </c>
      <c r="N132" s="4">
        <v>1457.2907527826392</v>
      </c>
      <c r="O132" s="4">
        <v>2668.7734267826645</v>
      </c>
      <c r="P132" s="4">
        <v>4126.0641795653037</v>
      </c>
    </row>
    <row r="133" spans="1:16" x14ac:dyDescent="0.25">
      <c r="A133" s="1" t="s">
        <v>847</v>
      </c>
      <c r="B133" s="1" t="s">
        <v>682</v>
      </c>
      <c r="C133" s="10">
        <v>40828</v>
      </c>
      <c r="D133" s="3">
        <v>63.800000000000004</v>
      </c>
      <c r="E133" s="4">
        <v>4586.0002328045548</v>
      </c>
      <c r="F133" s="10">
        <v>40204</v>
      </c>
      <c r="G133" s="7">
        <v>6.0600000000000005</v>
      </c>
      <c r="H133" s="7">
        <v>11.48</v>
      </c>
      <c r="I133" s="7">
        <v>5.8</v>
      </c>
      <c r="J133" s="7">
        <v>9.8800000000000008</v>
      </c>
      <c r="K133" s="6">
        <v>0.32404181184668984</v>
      </c>
      <c r="L133" s="6">
        <v>0.56445993031358888</v>
      </c>
      <c r="M133" s="6">
        <v>0.11149825783972123</v>
      </c>
      <c r="N133" s="4">
        <v>1486.0558245673294</v>
      </c>
      <c r="O133" s="4">
        <v>2588.6133718269612</v>
      </c>
      <c r="P133" s="4">
        <v>4074.6691963942903</v>
      </c>
    </row>
    <row r="134" spans="1:16" x14ac:dyDescent="0.25">
      <c r="A134" s="1" t="s">
        <v>848</v>
      </c>
      <c r="B134" s="1" t="s">
        <v>682</v>
      </c>
      <c r="C134" s="10">
        <v>40828</v>
      </c>
      <c r="D134" s="3">
        <v>68.599999999999994</v>
      </c>
      <c r="E134" s="4">
        <v>4956.0876759360581</v>
      </c>
      <c r="F134" s="10">
        <v>40204</v>
      </c>
      <c r="G134" s="7">
        <v>6.4</v>
      </c>
      <c r="H134" s="7">
        <v>12.16</v>
      </c>
      <c r="I134" s="7">
        <v>6.08</v>
      </c>
      <c r="J134" s="7">
        <v>10.44</v>
      </c>
      <c r="K134" s="6">
        <v>0.32894736842105265</v>
      </c>
      <c r="L134" s="6">
        <v>0.57894736842105254</v>
      </c>
      <c r="M134" s="6">
        <v>9.2105263157894801E-2</v>
      </c>
      <c r="N134" s="4">
        <v>1630.2919986631771</v>
      </c>
      <c r="O134" s="4">
        <v>2869.3139176471909</v>
      </c>
      <c r="P134" s="4">
        <v>4499.6059163103682</v>
      </c>
    </row>
    <row r="135" spans="1:16" x14ac:dyDescent="0.25">
      <c r="A135" s="1" t="s">
        <v>849</v>
      </c>
      <c r="B135" s="1" t="s">
        <v>682</v>
      </c>
      <c r="C135" s="10">
        <v>40828</v>
      </c>
      <c r="D135" s="3">
        <v>67.099999999999994</v>
      </c>
      <c r="E135" s="4">
        <v>4840.4353499574636</v>
      </c>
      <c r="F135" s="10">
        <v>40204</v>
      </c>
      <c r="G135" s="7">
        <v>5.9</v>
      </c>
      <c r="H135" s="7">
        <v>11.16</v>
      </c>
      <c r="I135" s="7">
        <v>5.8</v>
      </c>
      <c r="J135" s="7">
        <v>9.84</v>
      </c>
      <c r="K135" s="6">
        <v>0.33333333333333331</v>
      </c>
      <c r="L135" s="6">
        <v>0.57706093189964147</v>
      </c>
      <c r="M135" s="6">
        <v>8.9605734767025269E-2</v>
      </c>
      <c r="N135" s="4">
        <v>1613.478449985821</v>
      </c>
      <c r="O135" s="4">
        <v>2793.2261338464209</v>
      </c>
      <c r="P135" s="4">
        <v>4406.704583832242</v>
      </c>
    </row>
    <row r="136" spans="1:16" x14ac:dyDescent="0.25">
      <c r="A136" s="1" t="s">
        <v>850</v>
      </c>
      <c r="B136" s="1" t="s">
        <v>682</v>
      </c>
      <c r="C136" s="10">
        <v>40828</v>
      </c>
      <c r="D136" s="3">
        <v>64.300000000000011</v>
      </c>
      <c r="E136" s="4">
        <v>4624.5510081307539</v>
      </c>
      <c r="F136" s="10">
        <v>40204</v>
      </c>
      <c r="G136" s="7">
        <v>7.02</v>
      </c>
      <c r="H136" s="7">
        <v>13.399999999999999</v>
      </c>
      <c r="I136" s="7">
        <v>6.6</v>
      </c>
      <c r="J136" s="7">
        <v>10.96</v>
      </c>
      <c r="K136" s="6">
        <v>0.33731343283582088</v>
      </c>
      <c r="L136" s="6">
        <v>0.56417910447761199</v>
      </c>
      <c r="M136" s="6">
        <v>9.8507462686567071E-2</v>
      </c>
      <c r="N136" s="4">
        <v>1559.9231758769408</v>
      </c>
      <c r="O136" s="4">
        <v>2609.0750463782465</v>
      </c>
      <c r="P136" s="4">
        <v>4168.9982222551871</v>
      </c>
    </row>
    <row r="137" spans="1:16" x14ac:dyDescent="0.25">
      <c r="A137" s="1" t="s">
        <v>851</v>
      </c>
      <c r="B137" s="1" t="s">
        <v>682</v>
      </c>
      <c r="C137" s="10">
        <v>40828</v>
      </c>
      <c r="D137" s="3">
        <v>68.099999999999994</v>
      </c>
      <c r="E137" s="4">
        <v>4917.5369006098599</v>
      </c>
      <c r="F137" s="10">
        <v>40204</v>
      </c>
      <c r="G137" s="7">
        <v>7.08</v>
      </c>
      <c r="H137" s="7">
        <v>13.52</v>
      </c>
      <c r="I137" s="7">
        <v>6.32</v>
      </c>
      <c r="J137" s="7">
        <v>11.12</v>
      </c>
      <c r="K137" s="6">
        <v>0.31360946745562135</v>
      </c>
      <c r="L137" s="6">
        <v>0.57100591715976323</v>
      </c>
      <c r="M137" s="6">
        <v>0.11538461538461542</v>
      </c>
      <c r="N137" s="4">
        <v>1542.186128593625</v>
      </c>
      <c r="O137" s="4">
        <v>2807.9426680997126</v>
      </c>
      <c r="P137" s="4">
        <v>4350.1287966933378</v>
      </c>
    </row>
    <row r="138" spans="1:16" x14ac:dyDescent="0.25">
      <c r="A138" s="1" t="s">
        <v>852</v>
      </c>
      <c r="B138" s="1" t="s">
        <v>682</v>
      </c>
      <c r="C138" s="10">
        <v>40828</v>
      </c>
      <c r="D138" s="3">
        <v>73.3</v>
      </c>
      <c r="E138" s="4">
        <v>5318.4649640023217</v>
      </c>
      <c r="F138" s="10">
        <v>40204</v>
      </c>
      <c r="G138" s="7">
        <v>6.76</v>
      </c>
      <c r="H138" s="7">
        <v>12.879999999999999</v>
      </c>
      <c r="I138" s="7">
        <v>6.32</v>
      </c>
      <c r="J138" s="7">
        <v>10.76</v>
      </c>
      <c r="K138" s="6">
        <v>0.329192546583851</v>
      </c>
      <c r="L138" s="6">
        <v>0.5714285714285714</v>
      </c>
      <c r="M138" s="6">
        <v>9.9378881987577605E-2</v>
      </c>
      <c r="N138" s="4">
        <v>1750.7990254169138</v>
      </c>
      <c r="O138" s="4">
        <v>3039.1228365727552</v>
      </c>
      <c r="P138" s="4">
        <v>4789.9218619896692</v>
      </c>
    </row>
    <row r="139" spans="1:16" x14ac:dyDescent="0.25">
      <c r="A139" s="1" t="s">
        <v>853</v>
      </c>
      <c r="B139" s="1" t="s">
        <v>682</v>
      </c>
      <c r="C139" s="10">
        <v>40828</v>
      </c>
      <c r="D139" s="3">
        <v>78.2</v>
      </c>
      <c r="E139" s="4">
        <v>5696.2625621990674</v>
      </c>
      <c r="F139" s="10">
        <v>40204</v>
      </c>
      <c r="G139" s="7">
        <v>6</v>
      </c>
      <c r="H139" s="7">
        <v>11.36</v>
      </c>
      <c r="I139" s="7">
        <v>5.84</v>
      </c>
      <c r="J139" s="7">
        <v>9.92</v>
      </c>
      <c r="K139" s="6">
        <v>0.33098591549295775</v>
      </c>
      <c r="L139" s="6">
        <v>0.573943661971831</v>
      </c>
      <c r="M139" s="6">
        <v>9.5070422535211252E-2</v>
      </c>
      <c r="N139" s="4">
        <v>1885.3826790377195</v>
      </c>
      <c r="O139" s="4">
        <v>3269.3337945015774</v>
      </c>
      <c r="P139" s="4">
        <v>5154.7164735392971</v>
      </c>
    </row>
    <row r="140" spans="1:16" x14ac:dyDescent="0.25">
      <c r="A140" s="1" t="s">
        <v>854</v>
      </c>
      <c r="B140" s="1" t="s">
        <v>682</v>
      </c>
      <c r="C140" s="10">
        <v>40828</v>
      </c>
      <c r="D140" s="3">
        <v>80.099999999999994</v>
      </c>
      <c r="E140" s="4">
        <v>5842.7555084386204</v>
      </c>
      <c r="F140" s="10">
        <v>40204</v>
      </c>
      <c r="G140" s="7">
        <v>6.9399999999999995</v>
      </c>
      <c r="H140" s="7">
        <v>13.239999999999998</v>
      </c>
      <c r="I140" s="7">
        <v>6.52</v>
      </c>
      <c r="J140" s="7">
        <v>10.92</v>
      </c>
      <c r="K140" s="6">
        <v>0.33534743202416917</v>
      </c>
      <c r="L140" s="6">
        <v>0.56797583081571001</v>
      </c>
      <c r="M140" s="6">
        <v>9.6676737160120818E-2</v>
      </c>
      <c r="N140" s="4">
        <v>1959.3530556999601</v>
      </c>
      <c r="O140" s="4">
        <v>3318.5439141584916</v>
      </c>
      <c r="P140" s="4">
        <v>5277.8969698584515</v>
      </c>
    </row>
    <row r="141" spans="1:16" x14ac:dyDescent="0.25">
      <c r="A141" s="1" t="s">
        <v>855</v>
      </c>
      <c r="B141" s="1" t="s">
        <v>682</v>
      </c>
      <c r="C141" s="10">
        <v>40828</v>
      </c>
      <c r="D141" s="3">
        <v>75.800000000000011</v>
      </c>
      <c r="E141" s="4">
        <v>5511.2188406333162</v>
      </c>
      <c r="F141" s="10">
        <v>40204</v>
      </c>
      <c r="G141" s="7">
        <v>7.1400000000000006</v>
      </c>
      <c r="H141" s="7">
        <v>13.64</v>
      </c>
      <c r="I141" s="7">
        <v>6.6</v>
      </c>
      <c r="J141" s="7">
        <v>11.24</v>
      </c>
      <c r="K141" s="6">
        <v>0.33137829912023453</v>
      </c>
      <c r="L141" s="6">
        <v>0.57478005865102633</v>
      </c>
      <c r="M141" s="6">
        <v>9.3841642228739142E-2</v>
      </c>
      <c r="N141" s="4">
        <v>1826.2983254884591</v>
      </c>
      <c r="O141" s="4">
        <v>3167.7386884578586</v>
      </c>
      <c r="P141" s="4">
        <v>4994.0370139463175</v>
      </c>
    </row>
    <row r="142" spans="1:16" x14ac:dyDescent="0.25">
      <c r="A142" s="1" t="s">
        <v>856</v>
      </c>
      <c r="B142" s="1" t="s">
        <v>682</v>
      </c>
      <c r="C142" s="10">
        <v>40828</v>
      </c>
      <c r="D142" s="3">
        <v>68.099999999999994</v>
      </c>
      <c r="E142" s="4">
        <v>4917.5369006098599</v>
      </c>
      <c r="F142" s="10">
        <v>40204</v>
      </c>
      <c r="G142" s="7">
        <v>6.68</v>
      </c>
      <c r="H142" s="7">
        <v>12.719999999999999</v>
      </c>
      <c r="I142" s="7">
        <v>6.16</v>
      </c>
      <c r="J142" s="7">
        <v>10.6</v>
      </c>
      <c r="K142" s="6">
        <v>0.32075471698113212</v>
      </c>
      <c r="L142" s="6">
        <v>0.56603773584905659</v>
      </c>
      <c r="M142" s="6">
        <v>0.1132075471698113</v>
      </c>
      <c r="N142" s="4">
        <v>1577.3231567993892</v>
      </c>
      <c r="O142" s="4">
        <v>2783.5114531753925</v>
      </c>
      <c r="P142" s="4">
        <v>4360.8346099747814</v>
      </c>
    </row>
    <row r="143" spans="1:16" x14ac:dyDescent="0.25">
      <c r="A143" s="1" t="s">
        <v>857</v>
      </c>
      <c r="B143" s="1" t="s">
        <v>682</v>
      </c>
      <c r="C143" s="10">
        <v>40828</v>
      </c>
      <c r="D143" s="3">
        <v>64.2</v>
      </c>
      <c r="E143" s="4">
        <v>4616.8408530655133</v>
      </c>
      <c r="F143" s="10">
        <v>40204</v>
      </c>
      <c r="G143" s="7">
        <v>6.46</v>
      </c>
      <c r="H143" s="7">
        <v>12.28</v>
      </c>
      <c r="I143" s="7">
        <v>6.04</v>
      </c>
      <c r="J143" s="7">
        <v>10.4</v>
      </c>
      <c r="K143" s="6">
        <v>0.32247557003257332</v>
      </c>
      <c r="L143" s="6">
        <v>0.57003257328990231</v>
      </c>
      <c r="M143" s="6">
        <v>0.10749185667752437</v>
      </c>
      <c r="N143" s="4">
        <v>1488.8183858419734</v>
      </c>
      <c r="O143" s="4">
        <v>2631.7496719428823</v>
      </c>
      <c r="P143" s="4">
        <v>4120.5680577848561</v>
      </c>
    </row>
    <row r="144" spans="1:16" x14ac:dyDescent="0.25">
      <c r="A144" s="1" t="s">
        <v>858</v>
      </c>
      <c r="B144" s="1" t="s">
        <v>682</v>
      </c>
      <c r="C144" s="10">
        <v>40828</v>
      </c>
      <c r="D144" s="3">
        <v>72.599999999999994</v>
      </c>
      <c r="E144" s="4">
        <v>5264.4938785456452</v>
      </c>
      <c r="F144" s="10">
        <v>40204</v>
      </c>
      <c r="G144" s="7">
        <v>7</v>
      </c>
      <c r="H144" s="7">
        <v>13.36</v>
      </c>
      <c r="I144" s="7">
        <v>6.28</v>
      </c>
      <c r="J144" s="7">
        <v>10.68</v>
      </c>
      <c r="K144" s="6">
        <v>0.31437125748502998</v>
      </c>
      <c r="L144" s="6">
        <v>0.54491017964071853</v>
      </c>
      <c r="M144" s="6">
        <v>0.14071856287425155</v>
      </c>
      <c r="N144" s="4">
        <v>1655.0055606206372</v>
      </c>
      <c r="O144" s="4">
        <v>2868.6763050757704</v>
      </c>
      <c r="P144" s="4">
        <v>4523.6818656964078</v>
      </c>
    </row>
    <row r="145" spans="1:16" x14ac:dyDescent="0.25">
      <c r="A145" s="1" t="s">
        <v>859</v>
      </c>
      <c r="B145" s="1" t="s">
        <v>682</v>
      </c>
      <c r="C145" s="10">
        <v>40828</v>
      </c>
      <c r="D145" s="3">
        <v>73.900000000000006</v>
      </c>
      <c r="E145" s="4">
        <v>5364.7258943937613</v>
      </c>
      <c r="F145" s="10">
        <v>40204</v>
      </c>
      <c r="G145" s="7">
        <v>6.04</v>
      </c>
      <c r="H145" s="7">
        <v>11.44</v>
      </c>
      <c r="I145" s="7">
        <v>5.84</v>
      </c>
      <c r="J145" s="7">
        <v>10.08</v>
      </c>
      <c r="K145" s="6">
        <v>0.32867132867132864</v>
      </c>
      <c r="L145" s="6">
        <v>0.58391608391608396</v>
      </c>
      <c r="M145" s="6">
        <v>8.7412587412587395E-2</v>
      </c>
      <c r="N145" s="4">
        <v>1763.2315876678795</v>
      </c>
      <c r="O145" s="4">
        <v>3132.549735537616</v>
      </c>
      <c r="P145" s="4">
        <v>4895.7813232054959</v>
      </c>
    </row>
    <row r="146" spans="1:16" x14ac:dyDescent="0.25">
      <c r="A146" s="1" t="s">
        <v>860</v>
      </c>
      <c r="B146" s="1" t="s">
        <v>682</v>
      </c>
      <c r="C146" s="10">
        <v>40828</v>
      </c>
      <c r="D146" s="3">
        <v>65.3</v>
      </c>
      <c r="E146" s="4">
        <v>4701.6525587831493</v>
      </c>
      <c r="F146" s="10">
        <v>40204</v>
      </c>
      <c r="G146" s="7">
        <v>6.4399999999999995</v>
      </c>
      <c r="H146" s="7">
        <v>12.239999999999998</v>
      </c>
      <c r="I146" s="7">
        <v>6.12</v>
      </c>
      <c r="J146" s="7">
        <v>10.36</v>
      </c>
      <c r="K146" s="6">
        <v>0.33006535947712423</v>
      </c>
      <c r="L146" s="6">
        <v>0.56862745098039214</v>
      </c>
      <c r="M146" s="6">
        <v>0.10130718954248363</v>
      </c>
      <c r="N146" s="4">
        <v>1551.8526419513012</v>
      </c>
      <c r="O146" s="4">
        <v>2673.4887098963004</v>
      </c>
      <c r="P146" s="4">
        <v>4225.3413518476018</v>
      </c>
    </row>
    <row r="147" spans="1:16" x14ac:dyDescent="0.25">
      <c r="A147" s="1" t="s">
        <v>861</v>
      </c>
      <c r="B147" s="1" t="s">
        <v>682</v>
      </c>
      <c r="C147" s="10">
        <v>40828</v>
      </c>
      <c r="D147" s="3">
        <v>70.300000000000011</v>
      </c>
      <c r="E147" s="4">
        <v>5087.1603120451346</v>
      </c>
      <c r="F147" s="10">
        <v>40204</v>
      </c>
      <c r="G147" s="7">
        <v>7.64</v>
      </c>
      <c r="H147" s="7">
        <v>14.639999999999999</v>
      </c>
      <c r="I147" s="7">
        <v>6.96</v>
      </c>
      <c r="J147" s="7">
        <v>11.64</v>
      </c>
      <c r="K147" s="6">
        <v>0.33333333333333337</v>
      </c>
      <c r="L147" s="6">
        <v>0.56284153005464488</v>
      </c>
      <c r="M147" s="6">
        <v>0.10382513661202175</v>
      </c>
      <c r="N147" s="4">
        <v>1695.7201040150451</v>
      </c>
      <c r="O147" s="4">
        <v>2863.2650936647483</v>
      </c>
      <c r="P147" s="4">
        <v>4558.9851976797936</v>
      </c>
    </row>
    <row r="148" spans="1:16" x14ac:dyDescent="0.25">
      <c r="A148" s="1" t="s">
        <v>862</v>
      </c>
      <c r="B148" s="1" t="s">
        <v>682</v>
      </c>
      <c r="C148" s="10">
        <v>40828</v>
      </c>
      <c r="D148" s="3">
        <v>75.699999999999989</v>
      </c>
      <c r="E148" s="4">
        <v>5503.5086855680747</v>
      </c>
      <c r="F148" s="10">
        <v>40204</v>
      </c>
      <c r="G148" s="7">
        <v>7.5600000000000005</v>
      </c>
      <c r="H148" s="7">
        <v>14.48</v>
      </c>
      <c r="I148" s="7">
        <v>6.88</v>
      </c>
      <c r="J148" s="7">
        <v>11.6</v>
      </c>
      <c r="K148" s="6">
        <v>0.33149171270718231</v>
      </c>
      <c r="L148" s="6">
        <v>0.56629834254143641</v>
      </c>
      <c r="M148" s="6">
        <v>0.10220994475138123</v>
      </c>
      <c r="N148" s="4">
        <v>1824.3675200778148</v>
      </c>
      <c r="O148" s="4">
        <v>3116.6278467995999</v>
      </c>
      <c r="P148" s="4">
        <v>4940.9953668774142</v>
      </c>
    </row>
    <row r="149" spans="1:16" x14ac:dyDescent="0.25">
      <c r="A149" s="1" t="s">
        <v>863</v>
      </c>
      <c r="B149" s="1" t="s">
        <v>682</v>
      </c>
      <c r="C149" s="10">
        <v>40828</v>
      </c>
      <c r="D149" s="3">
        <v>74.7</v>
      </c>
      <c r="E149" s="4">
        <v>5426.4071349156784</v>
      </c>
      <c r="F149" s="10">
        <v>40204</v>
      </c>
      <c r="G149" s="7">
        <v>6.2799999999999994</v>
      </c>
      <c r="H149" s="7">
        <v>11.919999999999998</v>
      </c>
      <c r="I149" s="7">
        <v>6.12</v>
      </c>
      <c r="J149" s="7">
        <v>10.119999999999999</v>
      </c>
      <c r="K149" s="6">
        <v>0.33892617449664436</v>
      </c>
      <c r="L149" s="6">
        <v>0.56375838926174493</v>
      </c>
      <c r="M149" s="6">
        <v>9.7315436241610764E-2</v>
      </c>
      <c r="N149" s="4">
        <v>1839.1514114982672</v>
      </c>
      <c r="O149" s="4">
        <v>3059.1825458585031</v>
      </c>
      <c r="P149" s="4">
        <v>4898.33395735677</v>
      </c>
    </row>
    <row r="150" spans="1:16" x14ac:dyDescent="0.25">
      <c r="A150" s="1" t="s">
        <v>864</v>
      </c>
      <c r="B150" s="1" t="s">
        <v>682</v>
      </c>
      <c r="C150" s="10">
        <v>40828</v>
      </c>
      <c r="D150" s="3">
        <v>78.900000000000006</v>
      </c>
      <c r="E150" s="4">
        <v>5750.2336476557457</v>
      </c>
      <c r="F150" s="10">
        <v>40204</v>
      </c>
      <c r="G150" s="7">
        <v>6.54</v>
      </c>
      <c r="H150" s="7">
        <v>12.44</v>
      </c>
      <c r="I150" s="7">
        <v>6.28</v>
      </c>
      <c r="J150" s="7">
        <v>10.4</v>
      </c>
      <c r="K150" s="6">
        <v>0.33762057877813506</v>
      </c>
      <c r="L150" s="6">
        <v>0.56270096463022512</v>
      </c>
      <c r="M150" s="6">
        <v>9.9678456591639875E-2</v>
      </c>
      <c r="N150" s="4">
        <v>1941.3972122310397</v>
      </c>
      <c r="O150" s="4">
        <v>3235.6620203850662</v>
      </c>
      <c r="P150" s="4">
        <v>5177.0592326161059</v>
      </c>
    </row>
    <row r="151" spans="1:16" x14ac:dyDescent="0.25">
      <c r="A151" s="1" t="s">
        <v>865</v>
      </c>
      <c r="B151" s="1" t="s">
        <v>682</v>
      </c>
      <c r="C151" s="10">
        <v>40828</v>
      </c>
      <c r="D151" s="3">
        <v>82.1</v>
      </c>
      <c r="E151" s="4">
        <v>5996.9586097434149</v>
      </c>
      <c r="F151" s="10">
        <v>40204</v>
      </c>
      <c r="G151" s="7">
        <v>6.36</v>
      </c>
      <c r="H151" s="7">
        <v>12.08</v>
      </c>
      <c r="I151" s="7">
        <v>6.2</v>
      </c>
      <c r="J151" s="7">
        <v>10.199999999999999</v>
      </c>
      <c r="K151" s="6">
        <v>0.34105960264900664</v>
      </c>
      <c r="L151" s="6">
        <v>0.56291390728476809</v>
      </c>
      <c r="M151" s="6">
        <v>9.6026490066225212E-2</v>
      </c>
      <c r="N151" s="4">
        <v>2045.3203205416285</v>
      </c>
      <c r="O151" s="4">
        <v>3375.7714028356963</v>
      </c>
      <c r="P151" s="4">
        <v>5421.0917233773253</v>
      </c>
    </row>
    <row r="152" spans="1:16" x14ac:dyDescent="0.25">
      <c r="A152" s="1" t="s">
        <v>866</v>
      </c>
      <c r="B152" s="1" t="s">
        <v>682</v>
      </c>
      <c r="C152" s="10">
        <v>40828</v>
      </c>
      <c r="D152" s="3">
        <v>70.8</v>
      </c>
      <c r="E152" s="4">
        <v>5125.7110873713309</v>
      </c>
      <c r="F152" s="10">
        <v>40204</v>
      </c>
      <c r="G152" s="7">
        <v>6.8599999999999994</v>
      </c>
      <c r="H152" s="7">
        <v>13.079999999999998</v>
      </c>
      <c r="I152" s="7">
        <v>6.64</v>
      </c>
      <c r="J152" s="7">
        <v>10.68</v>
      </c>
      <c r="K152" s="6">
        <v>0.34862385321100919</v>
      </c>
      <c r="L152" s="6">
        <v>0.55657492354740068</v>
      </c>
      <c r="M152" s="6">
        <v>9.4801223241590127E-2</v>
      </c>
      <c r="N152" s="4">
        <v>1786.9451497257851</v>
      </c>
      <c r="O152" s="4">
        <v>2852.8422565797623</v>
      </c>
      <c r="P152" s="4">
        <v>4639.7874063055478</v>
      </c>
    </row>
    <row r="153" spans="1:16" x14ac:dyDescent="0.25">
      <c r="A153" s="1" t="s">
        <v>867</v>
      </c>
      <c r="B153" s="1" t="s">
        <v>682</v>
      </c>
      <c r="C153" s="10">
        <v>40828</v>
      </c>
      <c r="D153" s="3">
        <v>68.8</v>
      </c>
      <c r="E153" s="4">
        <v>4971.5079860665373</v>
      </c>
      <c r="F153" s="10">
        <v>40204</v>
      </c>
      <c r="G153" s="7">
        <v>6.6400000000000006</v>
      </c>
      <c r="H153" s="7">
        <v>12.64</v>
      </c>
      <c r="I153" s="7">
        <v>6.44</v>
      </c>
      <c r="J153" s="7">
        <v>10.56</v>
      </c>
      <c r="K153" s="6">
        <v>0.3449367088607595</v>
      </c>
      <c r="L153" s="6">
        <v>0.56645569620253167</v>
      </c>
      <c r="M153" s="6">
        <v>8.8607594936708778E-2</v>
      </c>
      <c r="N153" s="4">
        <v>1714.8556027887739</v>
      </c>
      <c r="O153" s="4">
        <v>2816.1390174237663</v>
      </c>
      <c r="P153" s="4">
        <v>4530.9946202125402</v>
      </c>
    </row>
    <row r="154" spans="1:16" x14ac:dyDescent="0.25">
      <c r="A154" s="1" t="s">
        <v>868</v>
      </c>
      <c r="B154" s="1" t="s">
        <v>682</v>
      </c>
      <c r="C154" s="10">
        <v>40828</v>
      </c>
      <c r="D154" s="3">
        <v>68.800000000000011</v>
      </c>
      <c r="E154" s="4">
        <v>4971.5079860665392</v>
      </c>
      <c r="F154" s="10">
        <v>40204</v>
      </c>
      <c r="G154" s="7">
        <v>6.62</v>
      </c>
      <c r="H154" s="7">
        <v>12.6</v>
      </c>
      <c r="I154" s="7">
        <v>6.48</v>
      </c>
      <c r="J154" s="7">
        <v>10.44</v>
      </c>
      <c r="K154" s="6">
        <v>0.34920634920634924</v>
      </c>
      <c r="L154" s="6">
        <v>0.55873015873015863</v>
      </c>
      <c r="M154" s="6">
        <v>9.2063492063492069E-2</v>
      </c>
      <c r="N154" s="4">
        <v>1736.0821538645059</v>
      </c>
      <c r="O154" s="4">
        <v>2777.7314461832088</v>
      </c>
      <c r="P154" s="4">
        <v>4513.8136000477152</v>
      </c>
    </row>
    <row r="155" spans="1:16" x14ac:dyDescent="0.25">
      <c r="A155" s="1" t="s">
        <v>869</v>
      </c>
      <c r="B155" s="1" t="s">
        <v>682</v>
      </c>
      <c r="C155" s="10">
        <v>40828</v>
      </c>
      <c r="D155" s="3">
        <v>66.099999999999994</v>
      </c>
      <c r="E155" s="4">
        <v>4763.3337993050663</v>
      </c>
      <c r="F155" s="10">
        <v>40204</v>
      </c>
      <c r="G155" s="7">
        <v>7.16</v>
      </c>
      <c r="H155" s="7">
        <v>13.68</v>
      </c>
      <c r="I155" s="7">
        <v>6.72</v>
      </c>
      <c r="J155" s="7">
        <v>11.04</v>
      </c>
      <c r="K155" s="6">
        <v>0.33918128654970758</v>
      </c>
      <c r="L155" s="6">
        <v>0.55847953216374258</v>
      </c>
      <c r="M155" s="6">
        <v>0.10233918128654984</v>
      </c>
      <c r="N155" s="4">
        <v>1615.6336863139991</v>
      </c>
      <c r="O155" s="4">
        <v>2660.2244317756358</v>
      </c>
      <c r="P155" s="4">
        <v>4275.8581180896344</v>
      </c>
    </row>
    <row r="156" spans="1:16" x14ac:dyDescent="0.25">
      <c r="A156" s="1" t="s">
        <v>870</v>
      </c>
      <c r="B156" s="1" t="s">
        <v>682</v>
      </c>
      <c r="C156" s="10">
        <v>40828</v>
      </c>
      <c r="D156" s="3">
        <v>58.400000000000006</v>
      </c>
      <c r="E156" s="4">
        <v>4169.6518592816128</v>
      </c>
      <c r="F156" s="10">
        <v>40204</v>
      </c>
      <c r="G156" s="7">
        <v>5.8599999999999994</v>
      </c>
      <c r="H156" s="7">
        <v>11.079999999999998</v>
      </c>
      <c r="I156" s="7">
        <v>5.92</v>
      </c>
      <c r="J156" s="7">
        <v>9.7200000000000006</v>
      </c>
      <c r="K156" s="6">
        <v>0.3465703971119134</v>
      </c>
      <c r="L156" s="6">
        <v>0.57039711191335751</v>
      </c>
      <c r="M156" s="6">
        <v>8.303249097472909E-2</v>
      </c>
      <c r="N156" s="4">
        <v>1445.0779006896566</v>
      </c>
      <c r="O156" s="4">
        <v>2378.3573782183935</v>
      </c>
      <c r="P156" s="4">
        <v>3823.4352789080503</v>
      </c>
    </row>
    <row r="157" spans="1:16" x14ac:dyDescent="0.25">
      <c r="A157" s="1" t="s">
        <v>871</v>
      </c>
      <c r="B157" s="1" t="s">
        <v>682</v>
      </c>
      <c r="C157" s="10">
        <v>40828</v>
      </c>
      <c r="D157" s="3">
        <v>71.599999999999994</v>
      </c>
      <c r="E157" s="4">
        <v>5187.3923278932489</v>
      </c>
      <c r="F157" s="10">
        <v>40204</v>
      </c>
      <c r="G157" s="7">
        <v>6.0600000000000005</v>
      </c>
      <c r="H157" s="7">
        <v>11.48</v>
      </c>
      <c r="I157" s="7">
        <v>5.84</v>
      </c>
      <c r="J157" s="7">
        <v>9.76</v>
      </c>
      <c r="K157" s="6">
        <v>0.32752613240418116</v>
      </c>
      <c r="L157" s="6">
        <v>0.55400696864111487</v>
      </c>
      <c r="M157" s="6">
        <v>0.11846689895470397</v>
      </c>
      <c r="N157" s="4">
        <v>1699.0065464179977</v>
      </c>
      <c r="O157" s="4">
        <v>2873.8514987283152</v>
      </c>
      <c r="P157" s="4">
        <v>4572.8580451463131</v>
      </c>
    </row>
    <row r="158" spans="1:16" x14ac:dyDescent="0.25">
      <c r="A158" s="1" t="s">
        <v>872</v>
      </c>
      <c r="B158" s="1" t="s">
        <v>682</v>
      </c>
      <c r="C158" s="10">
        <v>40828</v>
      </c>
      <c r="D158" s="3">
        <v>68.599999999999994</v>
      </c>
      <c r="E158" s="4">
        <v>4956.0876759360581</v>
      </c>
      <c r="F158" s="10">
        <v>40204</v>
      </c>
      <c r="G158" s="7">
        <v>5.92</v>
      </c>
      <c r="H158" s="7">
        <v>11.2</v>
      </c>
      <c r="I158" s="7">
        <v>5.88</v>
      </c>
      <c r="J158" s="7">
        <v>9.7200000000000006</v>
      </c>
      <c r="K158" s="6">
        <v>0.3392857142857143</v>
      </c>
      <c r="L158" s="6">
        <v>0.56428571428571439</v>
      </c>
      <c r="M158" s="6">
        <v>9.6428571428571308E-2</v>
      </c>
      <c r="N158" s="4">
        <v>1681.5297471925912</v>
      </c>
      <c r="O158" s="4">
        <v>2796.6494742782047</v>
      </c>
      <c r="P158" s="4">
        <v>4478.1792214707957</v>
      </c>
    </row>
    <row r="159" spans="1:16" x14ac:dyDescent="0.25">
      <c r="A159" s="1" t="s">
        <v>873</v>
      </c>
      <c r="B159" s="1" t="s">
        <v>682</v>
      </c>
      <c r="C159" s="10">
        <v>40828</v>
      </c>
      <c r="D159" s="3">
        <v>68.599999999999994</v>
      </c>
      <c r="E159" s="4">
        <v>4956.0876759360581</v>
      </c>
      <c r="F159" s="10">
        <v>40204</v>
      </c>
      <c r="G159" s="7">
        <v>6.04</v>
      </c>
      <c r="H159" s="7">
        <v>11.44</v>
      </c>
      <c r="I159" s="7">
        <v>5.88</v>
      </c>
      <c r="J159" s="7">
        <v>9.68</v>
      </c>
      <c r="K159" s="6">
        <v>0.33216783216783219</v>
      </c>
      <c r="L159" s="6">
        <v>0.54895104895104896</v>
      </c>
      <c r="M159" s="6">
        <v>0.11888111888111885</v>
      </c>
      <c r="N159" s="4">
        <v>1646.25289934939</v>
      </c>
      <c r="O159" s="4">
        <v>2720.6495283984655</v>
      </c>
      <c r="P159" s="4">
        <v>4366.9024277478557</v>
      </c>
    </row>
    <row r="160" spans="1:16" x14ac:dyDescent="0.25">
      <c r="A160" s="1" t="s">
        <v>874</v>
      </c>
      <c r="B160" s="1" t="s">
        <v>682</v>
      </c>
      <c r="C160" s="10">
        <v>40828</v>
      </c>
      <c r="D160" s="3">
        <v>80.8</v>
      </c>
      <c r="E160" s="4">
        <v>5896.7265938952969</v>
      </c>
      <c r="F160" s="10">
        <v>40204</v>
      </c>
      <c r="G160" s="7">
        <v>5.6199999999999992</v>
      </c>
      <c r="H160" s="7">
        <v>10.599999999999998</v>
      </c>
      <c r="I160" s="7">
        <v>5.72</v>
      </c>
      <c r="J160" s="7">
        <v>9.4</v>
      </c>
      <c r="K160" s="6">
        <v>0.34339622641509437</v>
      </c>
      <c r="L160" s="6">
        <v>0.5660377358490567</v>
      </c>
      <c r="M160" s="6">
        <v>9.0566037735848925E-2</v>
      </c>
      <c r="N160" s="4">
        <v>2024.9136605451777</v>
      </c>
      <c r="O160" s="4">
        <v>3337.7697701294137</v>
      </c>
      <c r="P160" s="4">
        <v>5362.6834306745914</v>
      </c>
    </row>
    <row r="161" spans="1:16" x14ac:dyDescent="0.25">
      <c r="A161" s="1" t="s">
        <v>875</v>
      </c>
      <c r="B161" s="1" t="s">
        <v>682</v>
      </c>
      <c r="C161" s="10">
        <v>40828</v>
      </c>
      <c r="D161" s="3">
        <v>79.400000000000006</v>
      </c>
      <c r="E161" s="4">
        <v>5788.7844229819439</v>
      </c>
      <c r="F161" s="10">
        <v>40204</v>
      </c>
      <c r="G161" s="7">
        <v>5.42</v>
      </c>
      <c r="H161" s="7">
        <v>10.199999999999999</v>
      </c>
      <c r="I161" s="7">
        <v>5.6</v>
      </c>
      <c r="J161" s="7">
        <v>9.1199999999999992</v>
      </c>
      <c r="K161" s="6">
        <v>0.34509803921568627</v>
      </c>
      <c r="L161" s="6">
        <v>0.56078431372549009</v>
      </c>
      <c r="M161" s="6">
        <v>9.4117647058823639E-2</v>
      </c>
      <c r="N161" s="4">
        <v>1997.6981538133766</v>
      </c>
      <c r="O161" s="4">
        <v>3246.2594999467365</v>
      </c>
      <c r="P161" s="4">
        <v>5243.9576537601133</v>
      </c>
    </row>
    <row r="162" spans="1:16" x14ac:dyDescent="0.25">
      <c r="A162" s="1" t="s">
        <v>876</v>
      </c>
      <c r="B162" s="1" t="s">
        <v>682</v>
      </c>
      <c r="C162" s="10">
        <v>40828</v>
      </c>
      <c r="D162" s="3">
        <v>75</v>
      </c>
      <c r="E162" s="4">
        <v>5449.5376001113982</v>
      </c>
      <c r="F162" s="10">
        <v>40204</v>
      </c>
      <c r="G162" s="7">
        <v>7.26</v>
      </c>
      <c r="H162" s="7">
        <v>13.879999999999999</v>
      </c>
      <c r="I162" s="7">
        <v>6.84</v>
      </c>
      <c r="J162" s="7">
        <v>11.24</v>
      </c>
      <c r="K162" s="6">
        <v>0.34293948126801155</v>
      </c>
      <c r="L162" s="6">
        <v>0.56484149855907784</v>
      </c>
      <c r="M162" s="6">
        <v>9.2219020172910615E-2</v>
      </c>
      <c r="N162" s="4">
        <v>1868.8615977327274</v>
      </c>
      <c r="O162" s="4">
        <v>3078.1249845009629</v>
      </c>
      <c r="P162" s="4">
        <v>4946.9865822336906</v>
      </c>
    </row>
    <row r="163" spans="1:16" x14ac:dyDescent="0.25">
      <c r="A163" s="1" t="s">
        <v>877</v>
      </c>
      <c r="B163" s="1" t="s">
        <v>682</v>
      </c>
      <c r="C163" s="10">
        <v>40828</v>
      </c>
      <c r="D163" s="3">
        <v>72.300000000000011</v>
      </c>
      <c r="E163" s="4">
        <v>5241.3634133499272</v>
      </c>
      <c r="F163" s="10">
        <v>40204</v>
      </c>
      <c r="G163" s="7">
        <v>6.72</v>
      </c>
      <c r="H163" s="7">
        <v>12.799999999999999</v>
      </c>
      <c r="I163" s="7">
        <v>6.36</v>
      </c>
      <c r="J163" s="7">
        <v>10.48</v>
      </c>
      <c r="K163" s="6">
        <v>0.33437500000000003</v>
      </c>
      <c r="L163" s="6">
        <v>0.55312500000000009</v>
      </c>
      <c r="M163" s="6">
        <v>0.11249999999999982</v>
      </c>
      <c r="N163" s="4">
        <v>1752.5808913388821</v>
      </c>
      <c r="O163" s="4">
        <v>2899.1291380091789</v>
      </c>
      <c r="P163" s="4">
        <v>4651.7100293480607</v>
      </c>
    </row>
    <row r="164" spans="1:16" x14ac:dyDescent="0.25">
      <c r="A164" s="1" t="s">
        <v>878</v>
      </c>
      <c r="B164" s="1" t="s">
        <v>682</v>
      </c>
      <c r="C164" s="10">
        <v>40828</v>
      </c>
      <c r="D164" s="3">
        <v>73</v>
      </c>
      <c r="E164" s="4">
        <v>5295.3344988066046</v>
      </c>
      <c r="F164" s="10">
        <v>40204</v>
      </c>
      <c r="G164" s="7">
        <v>4.96</v>
      </c>
      <c r="H164" s="7">
        <v>9.2799999999999994</v>
      </c>
      <c r="I164" s="7">
        <v>5.28</v>
      </c>
      <c r="J164" s="7">
        <v>8.76</v>
      </c>
      <c r="K164" s="6">
        <v>0.34482758620689657</v>
      </c>
      <c r="L164" s="6">
        <v>0.57758620689655171</v>
      </c>
      <c r="M164" s="6">
        <v>7.7586206896551713E-2</v>
      </c>
      <c r="N164" s="4">
        <v>1825.9774133815879</v>
      </c>
      <c r="O164" s="4">
        <v>3058.5121674141596</v>
      </c>
      <c r="P164" s="4">
        <v>4884.4895807957473</v>
      </c>
    </row>
    <row r="165" spans="1:16" x14ac:dyDescent="0.25">
      <c r="A165" s="1" t="s">
        <v>879</v>
      </c>
      <c r="B165" s="1" t="s">
        <v>682</v>
      </c>
      <c r="C165" s="10">
        <v>40828</v>
      </c>
      <c r="D165" s="3">
        <v>66.300000000000011</v>
      </c>
      <c r="E165" s="4">
        <v>4778.7541094355474</v>
      </c>
      <c r="F165" s="10">
        <v>40204</v>
      </c>
      <c r="G165" s="7">
        <v>6.76</v>
      </c>
      <c r="H165" s="7">
        <v>12.879999999999999</v>
      </c>
      <c r="I165" s="7">
        <v>6.48</v>
      </c>
      <c r="J165" s="7">
        <v>10.68</v>
      </c>
      <c r="K165" s="6">
        <v>0.34161490683229817</v>
      </c>
      <c r="L165" s="6">
        <v>0.56521739130434778</v>
      </c>
      <c r="M165" s="6">
        <v>9.3167701863353991E-2</v>
      </c>
      <c r="N165" s="4">
        <v>1632.4936398692867</v>
      </c>
      <c r="O165" s="4">
        <v>2701.0349314200917</v>
      </c>
      <c r="P165" s="4">
        <v>4333.5285712893783</v>
      </c>
    </row>
    <row r="166" spans="1:16" x14ac:dyDescent="0.25">
      <c r="A166" s="1" t="s">
        <v>880</v>
      </c>
      <c r="B166" s="1" t="s">
        <v>682</v>
      </c>
      <c r="C166" s="10">
        <v>40828</v>
      </c>
      <c r="D166" s="3">
        <v>56.099999999999994</v>
      </c>
      <c r="E166" s="4">
        <v>3992.3182927810994</v>
      </c>
      <c r="F166" s="10">
        <v>40204</v>
      </c>
      <c r="G166" s="7">
        <v>6.18</v>
      </c>
      <c r="H166" s="7">
        <v>11.719999999999999</v>
      </c>
      <c r="I166" s="7">
        <v>6.04</v>
      </c>
      <c r="J166" s="7">
        <v>10.039999999999999</v>
      </c>
      <c r="K166" s="6">
        <v>0.33788395904436863</v>
      </c>
      <c r="L166" s="6">
        <v>0.56655290102389078</v>
      </c>
      <c r="M166" s="6">
        <v>9.5563139931740593E-2</v>
      </c>
      <c r="N166" s="4">
        <v>1348.9403105301326</v>
      </c>
      <c r="O166" s="4">
        <v>2261.859510585879</v>
      </c>
      <c r="P166" s="4">
        <v>3610.7998211160116</v>
      </c>
    </row>
    <row r="167" spans="1:16" x14ac:dyDescent="0.25">
      <c r="A167" s="1" t="s">
        <v>881</v>
      </c>
      <c r="B167" s="1" t="s">
        <v>682</v>
      </c>
      <c r="C167" s="10">
        <v>40828</v>
      </c>
      <c r="D167" s="3">
        <v>71.699999999999989</v>
      </c>
      <c r="E167" s="4">
        <v>5195.1024829584876</v>
      </c>
      <c r="F167" s="10">
        <v>40205</v>
      </c>
      <c r="G167" s="7">
        <v>6.26</v>
      </c>
      <c r="H167" s="7">
        <v>11.879999999999999</v>
      </c>
      <c r="I167" s="7">
        <v>6.12</v>
      </c>
      <c r="J167" s="7">
        <v>10.119999999999999</v>
      </c>
      <c r="K167" s="6">
        <v>0.34006734006734007</v>
      </c>
      <c r="L167" s="6">
        <v>0.56565656565656564</v>
      </c>
      <c r="M167" s="6">
        <v>9.4276094276094291E-2</v>
      </c>
      <c r="N167" s="4">
        <v>1766.6846827569268</v>
      </c>
      <c r="O167" s="4">
        <v>2938.6438287441947</v>
      </c>
      <c r="P167" s="4">
        <v>4705.3285115011213</v>
      </c>
    </row>
    <row r="168" spans="1:16" x14ac:dyDescent="0.25">
      <c r="A168" s="1" t="s">
        <v>882</v>
      </c>
      <c r="B168" s="1" t="s">
        <v>682</v>
      </c>
      <c r="C168" s="10">
        <v>40828</v>
      </c>
      <c r="D168" s="3">
        <v>64.400000000000006</v>
      </c>
      <c r="E168" s="4">
        <v>4632.2611631959926</v>
      </c>
      <c r="F168" s="10">
        <v>40205</v>
      </c>
      <c r="G168" s="7">
        <v>5.92</v>
      </c>
      <c r="H168" s="7">
        <v>11.2</v>
      </c>
      <c r="I168" s="7">
        <v>6</v>
      </c>
      <c r="J168" s="7">
        <v>9.7200000000000006</v>
      </c>
      <c r="K168" s="6">
        <v>0.35000000000000003</v>
      </c>
      <c r="L168" s="6">
        <v>0.56428571428571439</v>
      </c>
      <c r="M168" s="6">
        <v>8.5714285714285521E-2</v>
      </c>
      <c r="N168" s="4">
        <v>1621.2914071185976</v>
      </c>
      <c r="O168" s="4">
        <v>2613.9187992320249</v>
      </c>
      <c r="P168" s="4">
        <v>4235.2102063506227</v>
      </c>
    </row>
    <row r="169" spans="1:16" x14ac:dyDescent="0.25">
      <c r="A169" s="1" t="s">
        <v>883</v>
      </c>
      <c r="B169" s="1" t="s">
        <v>682</v>
      </c>
      <c r="C169" s="10">
        <v>40828</v>
      </c>
      <c r="D169" s="3">
        <v>66.099999999999994</v>
      </c>
      <c r="E169" s="4">
        <v>4763.3337993050663</v>
      </c>
      <c r="F169" s="10">
        <v>40205</v>
      </c>
      <c r="G169" s="7">
        <v>6.4399999999999995</v>
      </c>
      <c r="H169" s="7">
        <v>12.239999999999998</v>
      </c>
      <c r="I169" s="7">
        <v>6.16</v>
      </c>
      <c r="J169" s="7">
        <v>10.16</v>
      </c>
      <c r="K169" s="6">
        <v>0.33333333333333337</v>
      </c>
      <c r="L169" s="6">
        <v>0.55228758169934644</v>
      </c>
      <c r="M169" s="6">
        <v>0.11437908496732019</v>
      </c>
      <c r="N169" s="4">
        <v>1587.7779331016889</v>
      </c>
      <c r="O169" s="4">
        <v>2630.7301048449549</v>
      </c>
      <c r="P169" s="4">
        <v>4218.5080379466435</v>
      </c>
    </row>
    <row r="170" spans="1:16" x14ac:dyDescent="0.25">
      <c r="A170" s="1" t="s">
        <v>884</v>
      </c>
      <c r="B170" s="1" t="s">
        <v>682</v>
      </c>
      <c r="C170" s="10">
        <v>40828</v>
      </c>
      <c r="D170" s="3">
        <v>64.300000000000011</v>
      </c>
      <c r="E170" s="4">
        <v>4624.5510081307539</v>
      </c>
      <c r="F170" s="10">
        <v>40205</v>
      </c>
      <c r="G170" s="7">
        <v>5.5600000000000005</v>
      </c>
      <c r="H170" s="7">
        <v>10.48</v>
      </c>
      <c r="I170" s="7">
        <v>5.64</v>
      </c>
      <c r="J170" s="7">
        <v>9.08</v>
      </c>
      <c r="K170" s="6">
        <v>0.33969465648854957</v>
      </c>
      <c r="L170" s="6">
        <v>0.54198473282442738</v>
      </c>
      <c r="M170" s="6">
        <v>0.11832061068702304</v>
      </c>
      <c r="N170" s="4">
        <v>1570.935266120752</v>
      </c>
      <c r="O170" s="4">
        <v>2506.4360425746831</v>
      </c>
      <c r="P170" s="4">
        <v>4077.3713086954349</v>
      </c>
    </row>
    <row r="171" spans="1:16" x14ac:dyDescent="0.25">
      <c r="A171" s="1" t="s">
        <v>885</v>
      </c>
      <c r="B171" s="1" t="s">
        <v>682</v>
      </c>
      <c r="C171" s="10">
        <v>40828</v>
      </c>
      <c r="D171" s="3">
        <v>65.300000000000011</v>
      </c>
      <c r="E171" s="4">
        <v>4701.6525587831502</v>
      </c>
      <c r="F171" s="10">
        <v>40205</v>
      </c>
      <c r="G171" s="7">
        <v>6.9</v>
      </c>
      <c r="H171" s="7">
        <v>13.16</v>
      </c>
      <c r="I171" s="7">
        <v>6.52</v>
      </c>
      <c r="J171" s="7">
        <v>10.6</v>
      </c>
      <c r="K171" s="6">
        <v>0.33738601823708203</v>
      </c>
      <c r="L171" s="6">
        <v>0.54711246200607899</v>
      </c>
      <c r="M171" s="6">
        <v>0.11550151975683898</v>
      </c>
      <c r="N171" s="4">
        <v>1586.2718359420353</v>
      </c>
      <c r="O171" s="4">
        <v>2572.3327069330303</v>
      </c>
      <c r="P171" s="4">
        <v>4158.6045428750658</v>
      </c>
    </row>
    <row r="172" spans="1:16" x14ac:dyDescent="0.25">
      <c r="A172" s="1" t="s">
        <v>886</v>
      </c>
      <c r="B172" s="1" t="s">
        <v>682</v>
      </c>
      <c r="C172" s="10">
        <v>40828</v>
      </c>
      <c r="D172" s="3">
        <v>58</v>
      </c>
      <c r="E172" s="4">
        <v>4138.8112390206534</v>
      </c>
      <c r="F172" s="10">
        <v>40205</v>
      </c>
      <c r="G172" s="7">
        <v>5.58</v>
      </c>
      <c r="H172" s="7">
        <v>10.52</v>
      </c>
      <c r="I172" s="7">
        <v>5.64</v>
      </c>
      <c r="J172" s="7">
        <v>9.4</v>
      </c>
      <c r="K172" s="6">
        <v>0.33840304182509501</v>
      </c>
      <c r="L172" s="6">
        <v>0.57034220532319391</v>
      </c>
      <c r="M172" s="6">
        <v>9.1254752851711141E-2</v>
      </c>
      <c r="N172" s="4">
        <v>1400.5863128244794</v>
      </c>
      <c r="O172" s="4">
        <v>2360.53872947946</v>
      </c>
      <c r="P172" s="4">
        <v>3761.1250423039392</v>
      </c>
    </row>
    <row r="173" spans="1:16" x14ac:dyDescent="0.25">
      <c r="A173" s="1" t="s">
        <v>887</v>
      </c>
      <c r="B173" s="1" t="s">
        <v>682</v>
      </c>
      <c r="C173" s="10">
        <v>40828</v>
      </c>
      <c r="D173" s="3">
        <v>59.1</v>
      </c>
      <c r="E173" s="4">
        <v>4223.6229447382902</v>
      </c>
      <c r="F173" s="10">
        <v>40205</v>
      </c>
      <c r="G173" s="7">
        <v>6.54</v>
      </c>
      <c r="H173" s="7">
        <v>12.44</v>
      </c>
      <c r="I173" s="7">
        <v>6.4</v>
      </c>
      <c r="J173" s="7">
        <v>10.48</v>
      </c>
      <c r="K173" s="6">
        <v>0.34726688102893893</v>
      </c>
      <c r="L173" s="6">
        <v>0.56913183279742763</v>
      </c>
      <c r="M173" s="6">
        <v>8.3601286173633382E-2</v>
      </c>
      <c r="N173" s="4">
        <v>1466.7243666615286</v>
      </c>
      <c r="O173" s="4">
        <v>2403.7982675841713</v>
      </c>
      <c r="P173" s="4">
        <v>3870.5226342456999</v>
      </c>
    </row>
    <row r="174" spans="1:16" x14ac:dyDescent="0.25">
      <c r="A174" s="1" t="s">
        <v>888</v>
      </c>
      <c r="B174" s="1" t="s">
        <v>682</v>
      </c>
      <c r="C174" s="10">
        <v>40828</v>
      </c>
      <c r="D174" s="3">
        <v>61.6</v>
      </c>
      <c r="E174" s="4">
        <v>4416.376821369282</v>
      </c>
      <c r="F174" s="10">
        <v>40205</v>
      </c>
      <c r="G174" s="7">
        <v>5.92</v>
      </c>
      <c r="H174" s="7">
        <v>11.2</v>
      </c>
      <c r="I174" s="7">
        <v>5.96</v>
      </c>
      <c r="J174" s="7">
        <v>9.8000000000000007</v>
      </c>
      <c r="K174" s="6">
        <v>0.34642857142857142</v>
      </c>
      <c r="L174" s="6">
        <v>0.57142857142857151</v>
      </c>
      <c r="M174" s="6">
        <v>8.2142857142857073E-2</v>
      </c>
      <c r="N174" s="4">
        <v>1529.9591131172156</v>
      </c>
      <c r="O174" s="4">
        <v>2523.6438979253044</v>
      </c>
      <c r="P174" s="4">
        <v>4053.6030110425199</v>
      </c>
    </row>
    <row r="175" spans="1:16" x14ac:dyDescent="0.25">
      <c r="A175" s="1" t="s">
        <v>889</v>
      </c>
      <c r="B175" s="1" t="s">
        <v>682</v>
      </c>
      <c r="C175" s="10">
        <v>40828</v>
      </c>
      <c r="D175" s="3">
        <v>50.6</v>
      </c>
      <c r="E175" s="4">
        <v>3568.2597641929187</v>
      </c>
      <c r="F175" s="10">
        <v>40205</v>
      </c>
      <c r="G175" s="7">
        <v>7.92</v>
      </c>
      <c r="H175" s="7">
        <v>15.2</v>
      </c>
      <c r="I175" s="7">
        <v>7.24</v>
      </c>
      <c r="J175" s="7">
        <v>11.84</v>
      </c>
      <c r="K175" s="6">
        <v>0.33947368421052632</v>
      </c>
      <c r="L175" s="6">
        <v>0.55526315789473679</v>
      </c>
      <c r="M175" s="6">
        <v>0.10526315789473684</v>
      </c>
      <c r="N175" s="4">
        <v>1211.330288370754</v>
      </c>
      <c r="O175" s="4">
        <v>1981.323184854489</v>
      </c>
      <c r="P175" s="4">
        <v>3192.653473225243</v>
      </c>
    </row>
    <row r="176" spans="1:16" x14ac:dyDescent="0.25">
      <c r="A176" s="1" t="s">
        <v>890</v>
      </c>
      <c r="B176" s="1" t="s">
        <v>682</v>
      </c>
      <c r="C176" s="10">
        <v>40828</v>
      </c>
      <c r="D176" s="3">
        <v>40.599999999999994</v>
      </c>
      <c r="E176" s="4">
        <v>2797.2442576689509</v>
      </c>
      <c r="F176" s="10">
        <v>40205</v>
      </c>
      <c r="G176" s="7">
        <v>6.74</v>
      </c>
      <c r="H176" s="7">
        <v>12.84</v>
      </c>
      <c r="I176" s="7">
        <v>6.44</v>
      </c>
      <c r="J176" s="7">
        <v>10.64</v>
      </c>
      <c r="K176" s="6">
        <v>0.33956386292834895</v>
      </c>
      <c r="L176" s="6">
        <v>0.56386292834890972</v>
      </c>
      <c r="M176" s="6">
        <v>9.6573208722741333E-2</v>
      </c>
      <c r="N176" s="4">
        <v>949.8430656882108</v>
      </c>
      <c r="O176" s="4">
        <v>1577.2623384363869</v>
      </c>
      <c r="P176" s="4">
        <v>2527.105404124598</v>
      </c>
    </row>
    <row r="177" spans="1:16" x14ac:dyDescent="0.25">
      <c r="A177" s="1" t="s">
        <v>891</v>
      </c>
      <c r="B177" s="1" t="s">
        <v>682</v>
      </c>
      <c r="C177" s="10">
        <v>40828</v>
      </c>
      <c r="D177" s="3">
        <v>61</v>
      </c>
      <c r="E177" s="4">
        <v>4370.1158909778433</v>
      </c>
      <c r="F177" s="10">
        <v>40205</v>
      </c>
      <c r="G177" s="7">
        <v>6.48</v>
      </c>
      <c r="H177" s="7">
        <v>12.32</v>
      </c>
      <c r="I177" s="7">
        <v>6.24</v>
      </c>
      <c r="J177" s="7">
        <v>10.4</v>
      </c>
      <c r="K177" s="6">
        <v>0.33766233766233766</v>
      </c>
      <c r="L177" s="6">
        <v>0.56818181818181812</v>
      </c>
      <c r="M177" s="6">
        <v>9.4155844155844215E-2</v>
      </c>
      <c r="N177" s="4">
        <v>1475.623547602908</v>
      </c>
      <c r="O177" s="4">
        <v>2483.0203926010472</v>
      </c>
      <c r="P177" s="4">
        <v>3958.643940203955</v>
      </c>
    </row>
    <row r="178" spans="1:16" x14ac:dyDescent="0.25">
      <c r="A178" s="1" t="s">
        <v>892</v>
      </c>
      <c r="B178" s="1" t="s">
        <v>682</v>
      </c>
      <c r="C178" s="10">
        <v>40828</v>
      </c>
      <c r="D178" s="3">
        <v>62.2</v>
      </c>
      <c r="E178" s="4">
        <v>4462.6377517607198</v>
      </c>
      <c r="F178" s="10">
        <v>40205</v>
      </c>
      <c r="G178" s="7">
        <v>5.98</v>
      </c>
      <c r="H178" s="7">
        <v>11.32</v>
      </c>
      <c r="I178" s="7">
        <v>6</v>
      </c>
      <c r="J178" s="7">
        <v>9.76</v>
      </c>
      <c r="K178" s="6">
        <v>0.34628975265017664</v>
      </c>
      <c r="L178" s="6">
        <v>0.56183745583038858</v>
      </c>
      <c r="M178" s="6">
        <v>9.1872791519434727E-2</v>
      </c>
      <c r="N178" s="4">
        <v>1545.36572322456</v>
      </c>
      <c r="O178" s="4">
        <v>2507.277040741888</v>
      </c>
      <c r="P178" s="4">
        <v>4052.642763966448</v>
      </c>
    </row>
    <row r="179" spans="1:16" x14ac:dyDescent="0.25">
      <c r="A179" s="1" t="s">
        <v>893</v>
      </c>
      <c r="B179" s="1" t="s">
        <v>682</v>
      </c>
      <c r="C179" s="10">
        <v>40828</v>
      </c>
      <c r="D179" s="3">
        <v>67.2</v>
      </c>
      <c r="E179" s="4">
        <v>4848.1455050227032</v>
      </c>
      <c r="F179" s="10">
        <v>40205</v>
      </c>
      <c r="G179" s="7">
        <v>4.5</v>
      </c>
      <c r="H179" s="7">
        <v>8.36</v>
      </c>
      <c r="I179" s="7">
        <v>4.88</v>
      </c>
      <c r="J179" s="7">
        <v>8.16</v>
      </c>
      <c r="K179" s="6">
        <v>0.3349282296650718</v>
      </c>
      <c r="L179" s="6">
        <v>0.56937799043062198</v>
      </c>
      <c r="M179" s="6">
        <v>9.5693779904306275E-2</v>
      </c>
      <c r="N179" s="4">
        <v>1623.7807911559294</v>
      </c>
      <c r="O179" s="4">
        <v>2760.4273449650796</v>
      </c>
      <c r="P179" s="4">
        <v>4384.2081361210094</v>
      </c>
    </row>
    <row r="180" spans="1:16" x14ac:dyDescent="0.25">
      <c r="A180" s="1" t="s">
        <v>894</v>
      </c>
      <c r="B180" s="1" t="s">
        <v>682</v>
      </c>
      <c r="C180" s="10">
        <v>40828</v>
      </c>
      <c r="D180" s="3">
        <v>65.5</v>
      </c>
      <c r="E180" s="4">
        <v>4717.0728689136295</v>
      </c>
      <c r="F180" s="10">
        <v>40205</v>
      </c>
      <c r="G180" s="7">
        <v>5.04</v>
      </c>
      <c r="H180" s="7">
        <v>9.44</v>
      </c>
      <c r="I180" s="7">
        <v>5.32</v>
      </c>
      <c r="J180" s="7">
        <v>8.76</v>
      </c>
      <c r="K180" s="6">
        <v>0.34322033898305088</v>
      </c>
      <c r="L180" s="6">
        <v>0.56779661016949146</v>
      </c>
      <c r="M180" s="6">
        <v>8.8983050847457723E-2</v>
      </c>
      <c r="N180" s="4">
        <v>1618.9953490762882</v>
      </c>
      <c r="O180" s="4">
        <v>2678.3379848916366</v>
      </c>
      <c r="P180" s="4">
        <v>4297.3333339679248</v>
      </c>
    </row>
    <row r="181" spans="1:16" x14ac:dyDescent="0.25">
      <c r="A181" s="1" t="s">
        <v>895</v>
      </c>
      <c r="B181" s="1" t="s">
        <v>682</v>
      </c>
      <c r="C181" s="10">
        <v>40828</v>
      </c>
      <c r="D181" s="3">
        <v>64</v>
      </c>
      <c r="E181" s="4">
        <v>4601.4205429350341</v>
      </c>
      <c r="F181" s="10">
        <v>40205</v>
      </c>
      <c r="G181" s="7">
        <v>5.58</v>
      </c>
      <c r="H181" s="7">
        <v>10.52</v>
      </c>
      <c r="I181" s="7">
        <v>5.64</v>
      </c>
      <c r="J181" s="7">
        <v>9.36</v>
      </c>
      <c r="K181" s="6">
        <v>0.33840304182509501</v>
      </c>
      <c r="L181" s="6">
        <v>0.56653992395437258</v>
      </c>
      <c r="M181" s="6">
        <v>9.5057034220532466E-2</v>
      </c>
      <c r="N181" s="4">
        <v>1557.1347084456957</v>
      </c>
      <c r="O181" s="4">
        <v>2606.8884444765022</v>
      </c>
      <c r="P181" s="4">
        <v>4164.0231529221983</v>
      </c>
    </row>
    <row r="182" spans="1:16" x14ac:dyDescent="0.25">
      <c r="A182" s="1" t="s">
        <v>896</v>
      </c>
      <c r="B182" s="1" t="s">
        <v>682</v>
      </c>
      <c r="C182" s="10">
        <v>40828</v>
      </c>
      <c r="D182" s="3">
        <v>56.5</v>
      </c>
      <c r="E182" s="4">
        <v>4023.1589130420593</v>
      </c>
      <c r="F182" s="10">
        <v>40205</v>
      </c>
      <c r="G182" s="7">
        <v>6.0600000000000005</v>
      </c>
      <c r="H182" s="7">
        <v>11.48</v>
      </c>
      <c r="I182" s="7">
        <v>6</v>
      </c>
      <c r="J182" s="7">
        <v>9.9600000000000009</v>
      </c>
      <c r="K182" s="6">
        <v>0.34146341463414631</v>
      </c>
      <c r="L182" s="6">
        <v>0.5714285714285714</v>
      </c>
      <c r="M182" s="6">
        <v>8.7108013937282291E-2</v>
      </c>
      <c r="N182" s="4">
        <v>1373.761580063142</v>
      </c>
      <c r="O182" s="4">
        <v>2298.9479503097482</v>
      </c>
      <c r="P182" s="4">
        <v>3672.7095303728902</v>
      </c>
    </row>
    <row r="183" spans="1:16" x14ac:dyDescent="0.25">
      <c r="A183" s="1" t="s">
        <v>897</v>
      </c>
      <c r="B183" s="1" t="s">
        <v>682</v>
      </c>
      <c r="C183" s="10">
        <v>40828</v>
      </c>
      <c r="D183" s="3">
        <v>58.9</v>
      </c>
      <c r="E183" s="4">
        <v>4208.2026346078101</v>
      </c>
      <c r="F183" s="10">
        <v>40205</v>
      </c>
      <c r="G183" s="7">
        <v>6.34</v>
      </c>
      <c r="H183" s="7">
        <v>12.04</v>
      </c>
      <c r="I183" s="7">
        <v>6.2</v>
      </c>
      <c r="J183" s="7">
        <v>10.28</v>
      </c>
      <c r="K183" s="6">
        <v>0.34219269102990035</v>
      </c>
      <c r="L183" s="6">
        <v>0.5714285714285714</v>
      </c>
      <c r="M183" s="6">
        <v>8.637873754152825E-2</v>
      </c>
      <c r="N183" s="4">
        <v>1440.016183935563</v>
      </c>
      <c r="O183" s="4">
        <v>2404.6872197758912</v>
      </c>
      <c r="P183" s="4">
        <v>3844.7034037114545</v>
      </c>
    </row>
    <row r="184" spans="1:16" x14ac:dyDescent="0.25">
      <c r="A184" s="1" t="s">
        <v>898</v>
      </c>
      <c r="B184" s="1" t="s">
        <v>682</v>
      </c>
      <c r="C184" s="10">
        <v>40828</v>
      </c>
      <c r="D184" s="3">
        <v>66.7</v>
      </c>
      <c r="E184" s="4">
        <v>4809.5947296965051</v>
      </c>
      <c r="F184" s="10">
        <v>40205</v>
      </c>
      <c r="G184" s="7">
        <v>6.1</v>
      </c>
      <c r="H184" s="7">
        <v>11.559999999999999</v>
      </c>
      <c r="I184" s="7">
        <v>6.04</v>
      </c>
      <c r="J184" s="7">
        <v>9.9600000000000009</v>
      </c>
      <c r="K184" s="6">
        <v>0.34256055363321802</v>
      </c>
      <c r="L184" s="6">
        <v>0.56747404844290672</v>
      </c>
      <c r="M184" s="6">
        <v>8.9965397923875257E-2</v>
      </c>
      <c r="N184" s="4">
        <v>1647.5774333562424</v>
      </c>
      <c r="O184" s="4">
        <v>2729.3201926305433</v>
      </c>
      <c r="P184" s="4">
        <v>4376.8976259867859</v>
      </c>
    </row>
    <row r="185" spans="1:16" x14ac:dyDescent="0.25">
      <c r="A185" s="1" t="s">
        <v>899</v>
      </c>
      <c r="B185" s="1" t="s">
        <v>682</v>
      </c>
      <c r="C185" s="10">
        <v>40828</v>
      </c>
      <c r="D185" s="3">
        <v>54.4</v>
      </c>
      <c r="E185" s="4">
        <v>3861.2456566720261</v>
      </c>
      <c r="F185" s="10">
        <v>40205</v>
      </c>
      <c r="G185" s="7">
        <v>4.62</v>
      </c>
      <c r="H185" s="7">
        <v>8.6</v>
      </c>
      <c r="I185" s="7">
        <v>4.92</v>
      </c>
      <c r="J185" s="7">
        <v>8.24</v>
      </c>
      <c r="K185" s="6">
        <v>0.33023255813953489</v>
      </c>
      <c r="L185" s="6">
        <v>0.56279069767441858</v>
      </c>
      <c r="M185" s="6">
        <v>0.10697674418604652</v>
      </c>
      <c r="N185" s="4">
        <v>1275.1090308079715</v>
      </c>
      <c r="O185" s="4">
        <v>2173.0731370107683</v>
      </c>
      <c r="P185" s="4">
        <v>3448.1821678187398</v>
      </c>
    </row>
    <row r="186" spans="1:16" x14ac:dyDescent="0.25">
      <c r="A186" s="1" t="s">
        <v>900</v>
      </c>
      <c r="B186" s="1" t="s">
        <v>682</v>
      </c>
      <c r="C186" s="10">
        <v>40828</v>
      </c>
      <c r="D186" s="3">
        <v>42.900000000000006</v>
      </c>
      <c r="E186" s="4">
        <v>2974.5778241694643</v>
      </c>
      <c r="F186" s="10">
        <v>40205</v>
      </c>
      <c r="G186" s="7">
        <v>4.9800000000000004</v>
      </c>
      <c r="H186" s="7">
        <v>9.32</v>
      </c>
      <c r="I186" s="7">
        <v>5.16</v>
      </c>
      <c r="J186" s="7">
        <v>8.68</v>
      </c>
      <c r="K186" s="6">
        <v>0.33047210300429186</v>
      </c>
      <c r="L186" s="6">
        <v>0.56652360515021449</v>
      </c>
      <c r="M186" s="6">
        <v>0.10300429184549365</v>
      </c>
      <c r="N186" s="4">
        <v>983.01498910321357</v>
      </c>
      <c r="O186" s="4">
        <v>1685.1685527483658</v>
      </c>
      <c r="P186" s="4">
        <v>2668.1835418515793</v>
      </c>
    </row>
    <row r="187" spans="1:16" x14ac:dyDescent="0.25">
      <c r="A187" s="1" t="s">
        <v>901</v>
      </c>
      <c r="B187" s="1" t="s">
        <v>682</v>
      </c>
      <c r="C187" s="10">
        <v>40828</v>
      </c>
      <c r="D187" s="3">
        <v>82</v>
      </c>
      <c r="E187" s="4">
        <v>5989.2484546781743</v>
      </c>
      <c r="F187" s="10">
        <v>40204</v>
      </c>
      <c r="G187" s="7">
        <v>6.52</v>
      </c>
      <c r="H187" s="7">
        <v>12.399999999999999</v>
      </c>
      <c r="I187" s="7">
        <v>6.2</v>
      </c>
      <c r="J187" s="7">
        <v>10.52</v>
      </c>
      <c r="K187" s="6">
        <v>0.3322580645161291</v>
      </c>
      <c r="L187" s="6">
        <v>0.5741935483870968</v>
      </c>
      <c r="M187" s="6">
        <v>9.3548387096774155E-2</v>
      </c>
      <c r="N187" s="4">
        <v>1989.9760994575875</v>
      </c>
      <c r="O187" s="4">
        <v>3438.9878223635969</v>
      </c>
      <c r="P187" s="4">
        <v>5428.9639218211842</v>
      </c>
    </row>
    <row r="188" spans="1:16" x14ac:dyDescent="0.25">
      <c r="A188" s="1" t="s">
        <v>902</v>
      </c>
      <c r="B188" s="1" t="s">
        <v>682</v>
      </c>
      <c r="C188" s="10">
        <v>40828</v>
      </c>
      <c r="D188" s="3">
        <v>76.599999999999994</v>
      </c>
      <c r="E188" s="4">
        <v>5572.9000811552323</v>
      </c>
      <c r="F188" s="10">
        <v>40204</v>
      </c>
      <c r="G188" s="7">
        <v>6.26</v>
      </c>
      <c r="H188" s="7">
        <v>11.879999999999999</v>
      </c>
      <c r="I188" s="7">
        <v>5.96</v>
      </c>
      <c r="J188" s="7">
        <v>10.039999999999999</v>
      </c>
      <c r="K188" s="6">
        <v>0.32659932659932661</v>
      </c>
      <c r="L188" s="6">
        <v>0.55892255892255882</v>
      </c>
      <c r="M188" s="6">
        <v>0.11447811447811462</v>
      </c>
      <c r="N188" s="4">
        <v>1820.1054137106314</v>
      </c>
      <c r="O188" s="4">
        <v>3114.8195739790181</v>
      </c>
      <c r="P188" s="4">
        <v>4934.9249876896492</v>
      </c>
    </row>
    <row r="189" spans="1:16" x14ac:dyDescent="0.25">
      <c r="A189" s="1" t="s">
        <v>903</v>
      </c>
      <c r="B189" s="1" t="s">
        <v>682</v>
      </c>
      <c r="C189" s="10">
        <v>40828</v>
      </c>
      <c r="D189" s="3">
        <v>85.9</v>
      </c>
      <c r="E189" s="4">
        <v>6289.9445022225218</v>
      </c>
      <c r="F189" s="10">
        <v>40204</v>
      </c>
      <c r="G189" s="7">
        <v>5.8</v>
      </c>
      <c r="H189" s="7">
        <v>10.959999999999999</v>
      </c>
      <c r="I189" s="7">
        <v>5.68</v>
      </c>
      <c r="J189" s="7">
        <v>9.76</v>
      </c>
      <c r="K189" s="6">
        <v>0.32846715328467152</v>
      </c>
      <c r="L189" s="6">
        <v>0.58029197080291972</v>
      </c>
      <c r="M189" s="6">
        <v>9.1240875912408814E-2</v>
      </c>
      <c r="N189" s="4">
        <v>2066.0401649636019</v>
      </c>
      <c r="O189" s="4">
        <v>3650.0042914356973</v>
      </c>
      <c r="P189" s="4">
        <v>5716.0444563992987</v>
      </c>
    </row>
    <row r="190" spans="1:16" x14ac:dyDescent="0.25">
      <c r="A190" s="1" t="s">
        <v>904</v>
      </c>
      <c r="B190" s="1" t="s">
        <v>682</v>
      </c>
      <c r="C190" s="10">
        <v>40828</v>
      </c>
      <c r="D190" s="3">
        <v>79.5</v>
      </c>
      <c r="E190" s="4">
        <v>5796.4945780471826</v>
      </c>
      <c r="F190" s="10">
        <v>40204</v>
      </c>
      <c r="G190" s="7">
        <v>5.84</v>
      </c>
      <c r="H190" s="7">
        <v>11.04</v>
      </c>
      <c r="I190" s="7">
        <v>5.64</v>
      </c>
      <c r="J190" s="7">
        <v>9.68</v>
      </c>
      <c r="K190" s="6">
        <v>0.32246376811594202</v>
      </c>
      <c r="L190" s="6">
        <v>0.5688405797101449</v>
      </c>
      <c r="M190" s="6">
        <v>0.10869565217391308</v>
      </c>
      <c r="N190" s="4">
        <v>1869.1594835007218</v>
      </c>
      <c r="O190" s="4">
        <v>3297.2813360630712</v>
      </c>
      <c r="P190" s="4">
        <v>5166.4408195637934</v>
      </c>
    </row>
    <row r="191" spans="1:16" x14ac:dyDescent="0.25">
      <c r="A191" s="1" t="s">
        <v>905</v>
      </c>
      <c r="B191" s="1" t="s">
        <v>682</v>
      </c>
      <c r="C191" s="10">
        <v>40828</v>
      </c>
      <c r="D191" s="3">
        <v>77.100000000000009</v>
      </c>
      <c r="E191" s="4">
        <v>5611.4508564814305</v>
      </c>
      <c r="F191" s="10">
        <v>40204</v>
      </c>
      <c r="G191" s="7">
        <v>4.62</v>
      </c>
      <c r="H191" s="7">
        <v>8.6</v>
      </c>
      <c r="I191" s="7">
        <v>4.92</v>
      </c>
      <c r="J191" s="7">
        <v>8.36</v>
      </c>
      <c r="K191" s="6">
        <v>0.33023255813953489</v>
      </c>
      <c r="L191" s="6">
        <v>0.57674418604651156</v>
      </c>
      <c r="M191" s="6">
        <v>9.3023255813953543E-2</v>
      </c>
      <c r="N191" s="4">
        <v>1853.0837712101468</v>
      </c>
      <c r="O191" s="4">
        <v>3236.3716567613828</v>
      </c>
      <c r="P191" s="4">
        <v>5089.4554279715294</v>
      </c>
    </row>
    <row r="192" spans="1:16" x14ac:dyDescent="0.25">
      <c r="A192" s="1" t="s">
        <v>906</v>
      </c>
      <c r="B192" s="1" t="s">
        <v>682</v>
      </c>
      <c r="C192" s="10">
        <v>40828</v>
      </c>
      <c r="D192" s="3">
        <v>77.7</v>
      </c>
      <c r="E192" s="4">
        <v>5657.7117868728692</v>
      </c>
      <c r="F192" s="10">
        <v>40204</v>
      </c>
      <c r="G192" s="7">
        <v>5.84</v>
      </c>
      <c r="H192" s="7">
        <v>11.04</v>
      </c>
      <c r="I192" s="7">
        <v>5.68</v>
      </c>
      <c r="J192" s="7">
        <v>9.6</v>
      </c>
      <c r="K192" s="6">
        <v>0.32608695652173914</v>
      </c>
      <c r="L192" s="6">
        <v>0.56159420289855067</v>
      </c>
      <c r="M192" s="6">
        <v>0.1123188405797102</v>
      </c>
      <c r="N192" s="4">
        <v>1844.9060174585443</v>
      </c>
      <c r="O192" s="4">
        <v>3177.3381411786036</v>
      </c>
      <c r="P192" s="4">
        <v>5022.2441586371478</v>
      </c>
    </row>
    <row r="193" spans="1:16" x14ac:dyDescent="0.25">
      <c r="A193" s="1" t="s">
        <v>907</v>
      </c>
      <c r="B193" s="1" t="s">
        <v>682</v>
      </c>
      <c r="C193" s="10">
        <v>40828</v>
      </c>
      <c r="D193" s="3">
        <v>75.400000000000006</v>
      </c>
      <c r="E193" s="4">
        <v>5480.3782203723576</v>
      </c>
      <c r="F193" s="10">
        <v>40204</v>
      </c>
      <c r="G193" s="7">
        <v>5.2799999999999994</v>
      </c>
      <c r="H193" s="7">
        <v>9.9199999999999982</v>
      </c>
      <c r="I193" s="7">
        <v>5.28</v>
      </c>
      <c r="J193" s="7">
        <v>8.92</v>
      </c>
      <c r="K193" s="6">
        <v>0.32258064516129042</v>
      </c>
      <c r="L193" s="6">
        <v>0.55645161290322587</v>
      </c>
      <c r="M193" s="6">
        <v>0.12096774193548365</v>
      </c>
      <c r="N193" s="4">
        <v>1767.8639420555999</v>
      </c>
      <c r="O193" s="4">
        <v>3049.5653000459092</v>
      </c>
      <c r="P193" s="4">
        <v>4817.4292421015089</v>
      </c>
    </row>
    <row r="194" spans="1:16" x14ac:dyDescent="0.25">
      <c r="A194" s="1" t="s">
        <v>908</v>
      </c>
      <c r="B194" s="1" t="s">
        <v>682</v>
      </c>
      <c r="C194" s="10">
        <v>40828</v>
      </c>
      <c r="D194" s="3">
        <v>80.599999999999994</v>
      </c>
      <c r="E194" s="4">
        <v>5881.3062837648185</v>
      </c>
      <c r="F194" s="10">
        <v>40204</v>
      </c>
      <c r="G194" s="7">
        <v>6.32</v>
      </c>
      <c r="H194" s="7">
        <v>12</v>
      </c>
      <c r="I194" s="7">
        <v>6.04</v>
      </c>
      <c r="J194" s="7">
        <v>10.16</v>
      </c>
      <c r="K194" s="6">
        <v>0.33</v>
      </c>
      <c r="L194" s="6">
        <v>0.56333333333333335</v>
      </c>
      <c r="M194" s="6">
        <v>0.10666666666666658</v>
      </c>
      <c r="N194" s="4">
        <v>1940.8310736423903</v>
      </c>
      <c r="O194" s="4">
        <v>3313.1358731875143</v>
      </c>
      <c r="P194" s="4">
        <v>5253.9669468299044</v>
      </c>
    </row>
    <row r="195" spans="1:16" x14ac:dyDescent="0.25">
      <c r="A195" s="1" t="s">
        <v>909</v>
      </c>
      <c r="B195" s="1" t="s">
        <v>682</v>
      </c>
      <c r="C195" s="10">
        <v>40828</v>
      </c>
      <c r="D195" s="3">
        <v>73.800000000000011</v>
      </c>
      <c r="E195" s="4">
        <v>5357.0157393285235</v>
      </c>
      <c r="F195" s="10">
        <v>40204</v>
      </c>
      <c r="G195" s="7">
        <v>6.3000000000000007</v>
      </c>
      <c r="H195" s="7">
        <v>11.96</v>
      </c>
      <c r="I195" s="7">
        <v>5.92</v>
      </c>
      <c r="J195" s="7">
        <v>10.119999999999999</v>
      </c>
      <c r="K195" s="6">
        <v>0.32107023411371233</v>
      </c>
      <c r="L195" s="6">
        <v>0.5618729096989965</v>
      </c>
      <c r="M195" s="6">
        <v>0.11705685618729111</v>
      </c>
      <c r="N195" s="4">
        <v>1719.9782975770509</v>
      </c>
      <c r="O195" s="4">
        <v>3009.9620207598387</v>
      </c>
      <c r="P195" s="4">
        <v>4729.9403183368895</v>
      </c>
    </row>
    <row r="196" spans="1:16" x14ac:dyDescent="0.25">
      <c r="A196" s="1" t="s">
        <v>910</v>
      </c>
      <c r="B196" s="1" t="s">
        <v>682</v>
      </c>
      <c r="C196" s="10">
        <v>40828</v>
      </c>
      <c r="D196" s="3">
        <v>73.599999999999994</v>
      </c>
      <c r="E196" s="4">
        <v>5341.5954291980424</v>
      </c>
      <c r="F196" s="10">
        <v>40204</v>
      </c>
      <c r="G196" s="7">
        <v>5.52</v>
      </c>
      <c r="H196" s="7">
        <v>10.399999999999999</v>
      </c>
      <c r="I196" s="7">
        <v>5.52</v>
      </c>
      <c r="J196" s="7">
        <v>9.2799999999999994</v>
      </c>
      <c r="K196" s="6">
        <v>0.33076923076923076</v>
      </c>
      <c r="L196" s="6">
        <v>0.56538461538461537</v>
      </c>
      <c r="M196" s="6">
        <v>0.10384615384615392</v>
      </c>
      <c r="N196" s="4">
        <v>1766.8354111962756</v>
      </c>
      <c r="O196" s="4">
        <v>3020.0558772773547</v>
      </c>
      <c r="P196" s="4">
        <v>4786.8912884736301</v>
      </c>
    </row>
    <row r="197" spans="1:16" x14ac:dyDescent="0.25">
      <c r="A197" s="1" t="s">
        <v>911</v>
      </c>
      <c r="B197" s="1" t="s">
        <v>682</v>
      </c>
      <c r="C197" s="10">
        <v>40828</v>
      </c>
      <c r="D197" s="3">
        <v>79.900000000000006</v>
      </c>
      <c r="E197" s="4">
        <v>5827.335198308142</v>
      </c>
      <c r="F197" s="10">
        <v>40204</v>
      </c>
      <c r="G197" s="7">
        <v>7.0600000000000005</v>
      </c>
      <c r="H197" s="7">
        <v>13.48</v>
      </c>
      <c r="I197" s="7">
        <v>6.56</v>
      </c>
      <c r="J197" s="7">
        <v>10.96</v>
      </c>
      <c r="K197" s="6">
        <v>0.33234421364985156</v>
      </c>
      <c r="L197" s="6">
        <v>0.56083086053412468</v>
      </c>
      <c r="M197" s="6">
        <v>0.10682492581602376</v>
      </c>
      <c r="N197" s="4">
        <v>1936.6811341558212</v>
      </c>
      <c r="O197" s="4">
        <v>3268.1494138879493</v>
      </c>
      <c r="P197" s="4">
        <v>5204.8305480437702</v>
      </c>
    </row>
    <row r="198" spans="1:16" x14ac:dyDescent="0.25">
      <c r="A198" s="1" t="s">
        <v>912</v>
      </c>
      <c r="B198" s="1" t="s">
        <v>682</v>
      </c>
      <c r="C198" s="10">
        <v>40828</v>
      </c>
      <c r="D198" s="3">
        <v>72.599999999999994</v>
      </c>
      <c r="E198" s="4">
        <v>5264.4938785456452</v>
      </c>
      <c r="F198" s="10">
        <v>40204</v>
      </c>
      <c r="G198" s="7">
        <v>7.98</v>
      </c>
      <c r="H198" s="7">
        <v>15.32</v>
      </c>
      <c r="I198" s="7">
        <v>7.2</v>
      </c>
      <c r="J198" s="7">
        <v>11.96</v>
      </c>
      <c r="K198" s="6">
        <v>0.33420365535248042</v>
      </c>
      <c r="L198" s="6">
        <v>0.55874673629242821</v>
      </c>
      <c r="M198" s="6">
        <v>0.10704960835509136</v>
      </c>
      <c r="N198" s="4">
        <v>1759.4130977907118</v>
      </c>
      <c r="O198" s="4">
        <v>2941.5187728688461</v>
      </c>
      <c r="P198" s="4">
        <v>4700.9318706595577</v>
      </c>
    </row>
    <row r="199" spans="1:16" x14ac:dyDescent="0.25">
      <c r="A199" s="1" t="s">
        <v>913</v>
      </c>
      <c r="B199" s="1" t="s">
        <v>682</v>
      </c>
      <c r="C199" s="10">
        <v>40828</v>
      </c>
      <c r="D199" s="3">
        <v>88.4</v>
      </c>
      <c r="E199" s="4">
        <v>6482.6983788535144</v>
      </c>
      <c r="F199" s="10">
        <v>40204</v>
      </c>
      <c r="G199" s="7">
        <v>7.52</v>
      </c>
      <c r="H199" s="7">
        <v>14.399999999999999</v>
      </c>
      <c r="I199" s="7">
        <v>6.92</v>
      </c>
      <c r="J199" s="7">
        <v>11.52</v>
      </c>
      <c r="K199" s="6">
        <v>0.33611111111111114</v>
      </c>
      <c r="L199" s="6">
        <v>0.56388888888888888</v>
      </c>
      <c r="M199" s="6">
        <v>9.9999999999999978E-2</v>
      </c>
      <c r="N199" s="4">
        <v>2178.9069551146536</v>
      </c>
      <c r="O199" s="4">
        <v>3655.5215858535094</v>
      </c>
      <c r="P199" s="4">
        <v>5834.4285409681634</v>
      </c>
    </row>
    <row r="200" spans="1:16" x14ac:dyDescent="0.25">
      <c r="A200" s="1" t="s">
        <v>914</v>
      </c>
      <c r="B200" s="1" t="s">
        <v>682</v>
      </c>
      <c r="C200" s="10">
        <v>40828</v>
      </c>
      <c r="D200" s="3">
        <v>86.4</v>
      </c>
      <c r="E200" s="4">
        <v>6328.49527754872</v>
      </c>
      <c r="F200" s="10">
        <v>40204</v>
      </c>
      <c r="G200" s="7">
        <v>6.42</v>
      </c>
      <c r="H200" s="7">
        <v>12.2</v>
      </c>
      <c r="I200" s="7">
        <v>6.16</v>
      </c>
      <c r="J200" s="7">
        <v>10.32</v>
      </c>
      <c r="K200" s="6">
        <v>0.33442622950819673</v>
      </c>
      <c r="L200" s="6">
        <v>0.56721311475409841</v>
      </c>
      <c r="M200" s="6">
        <v>9.8360655737704805E-2</v>
      </c>
      <c r="N200" s="4">
        <v>2116.4148141310475</v>
      </c>
      <c r="O200" s="4">
        <v>3589.6055180850121</v>
      </c>
      <c r="P200" s="4">
        <v>5706.0203322160596</v>
      </c>
    </row>
    <row r="201" spans="1:16" x14ac:dyDescent="0.25">
      <c r="A201" s="1" t="s">
        <v>915</v>
      </c>
      <c r="B201" s="1" t="s">
        <v>682</v>
      </c>
      <c r="C201" s="10">
        <v>40828</v>
      </c>
      <c r="D201" s="3">
        <v>81.2</v>
      </c>
      <c r="E201" s="4">
        <v>5927.5672141562573</v>
      </c>
      <c r="F201" s="10">
        <v>40204</v>
      </c>
      <c r="G201" s="7">
        <v>7.72</v>
      </c>
      <c r="H201" s="7">
        <v>14.799999999999999</v>
      </c>
      <c r="I201" s="7">
        <v>7.08</v>
      </c>
      <c r="J201" s="7">
        <v>11.8</v>
      </c>
      <c r="K201" s="6">
        <v>0.33783783783783788</v>
      </c>
      <c r="L201" s="6">
        <v>0.56756756756756765</v>
      </c>
      <c r="M201" s="6">
        <v>9.4594594594594406E-2</v>
      </c>
      <c r="N201" s="4">
        <v>2002.5564912690061</v>
      </c>
      <c r="O201" s="4">
        <v>3364.2949053319303</v>
      </c>
      <c r="P201" s="4">
        <v>5366.8513966009359</v>
      </c>
    </row>
    <row r="202" spans="1:16" x14ac:dyDescent="0.25">
      <c r="A202" s="1" t="s">
        <v>916</v>
      </c>
      <c r="B202" s="1" t="s">
        <v>682</v>
      </c>
      <c r="C202" s="10">
        <v>40828</v>
      </c>
      <c r="D202" s="3">
        <v>85.3</v>
      </c>
      <c r="E202" s="4">
        <v>6243.6835718310822</v>
      </c>
      <c r="F202" s="10">
        <v>40204</v>
      </c>
      <c r="G202" s="7">
        <v>7.84</v>
      </c>
      <c r="H202" s="7">
        <v>15.04</v>
      </c>
      <c r="I202" s="7">
        <v>7.04</v>
      </c>
      <c r="J202" s="7">
        <v>11.88</v>
      </c>
      <c r="K202" s="6">
        <v>0.32978723404255322</v>
      </c>
      <c r="L202" s="6">
        <v>0.56382978723404265</v>
      </c>
      <c r="M202" s="6">
        <v>0.10638297872340419</v>
      </c>
      <c r="N202" s="4">
        <v>2059.0871353911016</v>
      </c>
      <c r="O202" s="4">
        <v>3520.3747798622067</v>
      </c>
      <c r="P202" s="4">
        <v>5579.4619152533087</v>
      </c>
    </row>
    <row r="203" spans="1:16" x14ac:dyDescent="0.25">
      <c r="A203" s="1" t="s">
        <v>917</v>
      </c>
      <c r="B203" s="1" t="s">
        <v>682</v>
      </c>
      <c r="C203" s="10">
        <v>40828</v>
      </c>
      <c r="D203" s="3">
        <v>78.400000000000006</v>
      </c>
      <c r="E203" s="4">
        <v>5711.6828723295475</v>
      </c>
      <c r="F203" s="10">
        <v>40204</v>
      </c>
      <c r="G203" s="7">
        <v>7.1199999999999992</v>
      </c>
      <c r="H203" s="7">
        <v>13.599999999999998</v>
      </c>
      <c r="I203" s="7">
        <v>6.56</v>
      </c>
      <c r="J203" s="7">
        <v>11.24</v>
      </c>
      <c r="K203" s="6">
        <v>0.32941176470588235</v>
      </c>
      <c r="L203" s="6">
        <v>0.57647058823529418</v>
      </c>
      <c r="M203" s="6">
        <v>9.4117647058823528E-2</v>
      </c>
      <c r="N203" s="4">
        <v>1881.4955344144391</v>
      </c>
      <c r="O203" s="4">
        <v>3292.6171852252687</v>
      </c>
      <c r="P203" s="4">
        <v>5174.1127196397083</v>
      </c>
    </row>
    <row r="204" spans="1:16" x14ac:dyDescent="0.25">
      <c r="A204" s="1" t="s">
        <v>918</v>
      </c>
      <c r="B204" s="1" t="s">
        <v>682</v>
      </c>
      <c r="C204" s="10">
        <v>40828</v>
      </c>
      <c r="D204" s="3">
        <v>87.5</v>
      </c>
      <c r="E204" s="4">
        <v>6413.3069832663568</v>
      </c>
      <c r="F204" s="10">
        <v>40204</v>
      </c>
      <c r="G204" s="7">
        <v>7.16</v>
      </c>
      <c r="H204" s="7">
        <v>13.68</v>
      </c>
      <c r="I204" s="7">
        <v>6.6</v>
      </c>
      <c r="J204" s="7">
        <v>11.16</v>
      </c>
      <c r="K204" s="6">
        <v>0.33040935672514615</v>
      </c>
      <c r="L204" s="6">
        <v>0.56725146198830412</v>
      </c>
      <c r="M204" s="6">
        <v>0.10233918128654973</v>
      </c>
      <c r="N204" s="4">
        <v>2119.0166348219245</v>
      </c>
      <c r="O204" s="4">
        <v>3637.9577624376411</v>
      </c>
      <c r="P204" s="4">
        <v>5756.9743972595661</v>
      </c>
    </row>
    <row r="205" spans="1:16" x14ac:dyDescent="0.25">
      <c r="A205" s="1" t="s">
        <v>919</v>
      </c>
      <c r="B205" s="1" t="s">
        <v>682</v>
      </c>
      <c r="C205" s="10">
        <v>40828</v>
      </c>
      <c r="D205" s="3">
        <v>82</v>
      </c>
      <c r="E205" s="4">
        <v>5989.2484546781743</v>
      </c>
      <c r="F205" s="10">
        <v>40204</v>
      </c>
      <c r="G205" s="7">
        <v>6.7200000000000006</v>
      </c>
      <c r="H205" s="7">
        <v>12.8</v>
      </c>
      <c r="I205" s="7">
        <v>6.2</v>
      </c>
      <c r="J205" s="7">
        <v>10.68</v>
      </c>
      <c r="K205" s="6">
        <v>0.32187499999999997</v>
      </c>
      <c r="L205" s="6">
        <v>0.56874999999999987</v>
      </c>
      <c r="M205" s="6">
        <v>0.10937500000000022</v>
      </c>
      <c r="N205" s="4">
        <v>1927.7893463495373</v>
      </c>
      <c r="O205" s="4">
        <v>3406.3850585982109</v>
      </c>
      <c r="P205" s="4">
        <v>5334.1744049477484</v>
      </c>
    </row>
    <row r="206" spans="1:16" x14ac:dyDescent="0.25">
      <c r="A206" s="1" t="s">
        <v>920</v>
      </c>
      <c r="B206" s="1" t="s">
        <v>682</v>
      </c>
      <c r="C206" s="10">
        <v>40828</v>
      </c>
      <c r="D206" s="3">
        <v>73.599999999999994</v>
      </c>
      <c r="E206" s="4">
        <v>5341.5954291980424</v>
      </c>
      <c r="F206" s="10">
        <v>40204</v>
      </c>
      <c r="G206" s="7">
        <v>6.84</v>
      </c>
      <c r="H206" s="7">
        <v>13.04</v>
      </c>
      <c r="I206" s="7">
        <v>6.52</v>
      </c>
      <c r="J206" s="7">
        <v>10.84</v>
      </c>
      <c r="K206" s="6">
        <v>0.34049079754601225</v>
      </c>
      <c r="L206" s="6">
        <v>0.57055214723926384</v>
      </c>
      <c r="M206" s="6">
        <v>8.8957055214723857E-2</v>
      </c>
      <c r="N206" s="4">
        <v>1818.764087855775</v>
      </c>
      <c r="O206" s="4">
        <v>3047.6587418123804</v>
      </c>
      <c r="P206" s="4">
        <v>4866.4228296681558</v>
      </c>
    </row>
    <row r="207" spans="1:16" x14ac:dyDescent="0.25">
      <c r="A207" s="1" t="s">
        <v>921</v>
      </c>
      <c r="B207" s="1" t="s">
        <v>682</v>
      </c>
      <c r="C207" s="10">
        <v>40829</v>
      </c>
      <c r="D207" s="3">
        <v>62</v>
      </c>
      <c r="E207" s="4">
        <v>4447.2174416302405</v>
      </c>
      <c r="F207" s="10">
        <v>40200</v>
      </c>
      <c r="G207" s="7">
        <v>7.32</v>
      </c>
      <c r="H207" s="7">
        <v>14</v>
      </c>
      <c r="I207" s="7">
        <v>6.92</v>
      </c>
      <c r="J207" s="7">
        <v>11.28</v>
      </c>
      <c r="K207" s="6">
        <v>0.3457142857142857</v>
      </c>
      <c r="L207" s="6">
        <v>0.56285714285714283</v>
      </c>
      <c r="M207" s="6">
        <v>9.1428571428571526E-2</v>
      </c>
      <c r="N207" s="4">
        <v>1537.4666012493117</v>
      </c>
      <c r="O207" s="4">
        <v>2503.1481028604494</v>
      </c>
      <c r="P207" s="4">
        <v>4040.6147041097611</v>
      </c>
    </row>
    <row r="208" spans="1:16" x14ac:dyDescent="0.25">
      <c r="A208" s="1" t="s">
        <v>922</v>
      </c>
      <c r="B208" s="1" t="s">
        <v>682</v>
      </c>
      <c r="C208" s="10">
        <v>40829</v>
      </c>
      <c r="D208" s="3">
        <v>70.699999999999989</v>
      </c>
      <c r="E208" s="4">
        <v>5118.0009323060913</v>
      </c>
      <c r="F208" s="10">
        <v>40200</v>
      </c>
      <c r="G208" s="7">
        <v>7.12</v>
      </c>
      <c r="H208" s="7">
        <v>13.6</v>
      </c>
      <c r="I208" s="7">
        <v>6.6</v>
      </c>
      <c r="J208" s="7">
        <v>11.08</v>
      </c>
      <c r="K208" s="6">
        <v>0.33235294117647057</v>
      </c>
      <c r="L208" s="6">
        <v>0.56470588235294117</v>
      </c>
      <c r="M208" s="6">
        <v>0.10294117647058831</v>
      </c>
      <c r="N208" s="4">
        <v>1700.982662795848</v>
      </c>
      <c r="O208" s="4">
        <v>2890.165232361087</v>
      </c>
      <c r="P208" s="4">
        <v>4591.1478951569352</v>
      </c>
    </row>
    <row r="209" spans="1:16" x14ac:dyDescent="0.25">
      <c r="A209" s="1" t="s">
        <v>923</v>
      </c>
      <c r="B209" s="1" t="s">
        <v>682</v>
      </c>
      <c r="C209" s="10">
        <v>40829</v>
      </c>
      <c r="D209" s="3">
        <v>78.800000000000011</v>
      </c>
      <c r="E209" s="4">
        <v>5742.5234925905052</v>
      </c>
      <c r="F209" s="10">
        <v>40200</v>
      </c>
      <c r="G209" s="7">
        <v>6.3599999999999994</v>
      </c>
      <c r="H209" s="7">
        <v>12.079999999999998</v>
      </c>
      <c r="I209" s="7">
        <v>6.04</v>
      </c>
      <c r="J209" s="7">
        <v>10.24</v>
      </c>
      <c r="K209" s="6">
        <v>0.32781456953642391</v>
      </c>
      <c r="L209" s="6">
        <v>0.56622516556291402</v>
      </c>
      <c r="M209" s="6">
        <v>0.10596026490066213</v>
      </c>
      <c r="N209" s="4">
        <v>1882.4828667763579</v>
      </c>
      <c r="O209" s="4">
        <v>3251.5613153409822</v>
      </c>
      <c r="P209" s="4">
        <v>5134.0441821173399</v>
      </c>
    </row>
    <row r="210" spans="1:16" x14ac:dyDescent="0.25">
      <c r="A210" s="1" t="s">
        <v>924</v>
      </c>
      <c r="B210" s="1" t="s">
        <v>682</v>
      </c>
      <c r="C210" s="10">
        <v>40829</v>
      </c>
      <c r="D210" s="3">
        <v>82.4</v>
      </c>
      <c r="E210" s="4">
        <v>6020.0890749391347</v>
      </c>
      <c r="F210" s="10">
        <v>40200</v>
      </c>
      <c r="G210" s="7">
        <v>7.92</v>
      </c>
      <c r="H210" s="7">
        <v>15.2</v>
      </c>
      <c r="I210" s="7">
        <v>7.08</v>
      </c>
      <c r="J210" s="7">
        <v>11.96</v>
      </c>
      <c r="K210" s="6">
        <v>0.32894736842105265</v>
      </c>
      <c r="L210" s="6">
        <v>0.56315789473684219</v>
      </c>
      <c r="M210" s="6">
        <v>0.10789473684210515</v>
      </c>
      <c r="N210" s="4">
        <v>1980.2924588615576</v>
      </c>
      <c r="O210" s="4">
        <v>3390.2606895709869</v>
      </c>
      <c r="P210" s="4">
        <v>5370.5531484325447</v>
      </c>
    </row>
    <row r="211" spans="1:16" x14ac:dyDescent="0.25">
      <c r="A211" s="1" t="s">
        <v>925</v>
      </c>
      <c r="B211" s="1" t="s">
        <v>682</v>
      </c>
      <c r="C211" s="10">
        <v>40829</v>
      </c>
      <c r="D211" s="3">
        <v>71.7</v>
      </c>
      <c r="E211" s="4">
        <v>5195.1024829584876</v>
      </c>
      <c r="F211" s="10">
        <v>40200</v>
      </c>
      <c r="G211" s="7">
        <v>7.04</v>
      </c>
      <c r="H211" s="7">
        <v>13.44</v>
      </c>
      <c r="I211" s="7">
        <v>6.56</v>
      </c>
      <c r="J211" s="7">
        <v>10.92</v>
      </c>
      <c r="K211" s="6">
        <v>0.33333333333333331</v>
      </c>
      <c r="L211" s="6">
        <v>0.55952380952380953</v>
      </c>
      <c r="M211" s="6">
        <v>0.10714285714285721</v>
      </c>
      <c r="N211" s="4">
        <v>1731.700827652829</v>
      </c>
      <c r="O211" s="4">
        <v>2906.7835321315347</v>
      </c>
      <c r="P211" s="4">
        <v>4638.4843597843637</v>
      </c>
    </row>
    <row r="212" spans="1:16" x14ac:dyDescent="0.25">
      <c r="A212" s="1" t="s">
        <v>926</v>
      </c>
      <c r="B212" s="1" t="s">
        <v>682</v>
      </c>
      <c r="C212" s="10">
        <v>40829</v>
      </c>
      <c r="D212" s="3">
        <v>77.099999999999994</v>
      </c>
      <c r="E212" s="4">
        <v>5611.4508564814305</v>
      </c>
      <c r="F212" s="10">
        <v>40200</v>
      </c>
      <c r="G212" s="7">
        <v>8.3000000000000007</v>
      </c>
      <c r="H212" s="7">
        <v>15.96</v>
      </c>
      <c r="I212" s="7">
        <v>7.48</v>
      </c>
      <c r="J212" s="7">
        <v>12.32</v>
      </c>
      <c r="K212" s="6">
        <v>0.33834586466165412</v>
      </c>
      <c r="L212" s="6">
        <v>0.55889724310776934</v>
      </c>
      <c r="M212" s="6">
        <v>0.10275689223057649</v>
      </c>
      <c r="N212" s="4">
        <v>1898.6111920425892</v>
      </c>
      <c r="O212" s="4">
        <v>3136.2244135222027</v>
      </c>
      <c r="P212" s="4">
        <v>5034.8356055647919</v>
      </c>
    </row>
    <row r="213" spans="1:16" x14ac:dyDescent="0.25">
      <c r="A213" s="1" t="s">
        <v>927</v>
      </c>
      <c r="B213" s="1" t="s">
        <v>682</v>
      </c>
      <c r="C213" s="10">
        <v>40829</v>
      </c>
      <c r="D213" s="3">
        <v>75.900000000000006</v>
      </c>
      <c r="E213" s="4">
        <v>5518.9289956985558</v>
      </c>
      <c r="F213" s="10">
        <v>40200</v>
      </c>
      <c r="G213" s="7">
        <v>6.76</v>
      </c>
      <c r="H213" s="7">
        <v>12.879999999999999</v>
      </c>
      <c r="I213" s="7">
        <v>6.36</v>
      </c>
      <c r="J213" s="7">
        <v>10.84</v>
      </c>
      <c r="K213" s="6">
        <v>0.3322981366459628</v>
      </c>
      <c r="L213" s="6">
        <v>0.57763975155279501</v>
      </c>
      <c r="M213" s="6">
        <v>9.0062111801242239E-2</v>
      </c>
      <c r="N213" s="4">
        <v>1833.929821552005</v>
      </c>
      <c r="O213" s="4">
        <v>3187.9527739128303</v>
      </c>
      <c r="P213" s="4">
        <v>5021.8825954648355</v>
      </c>
    </row>
    <row r="214" spans="1:16" x14ac:dyDescent="0.25">
      <c r="A214" s="1" t="s">
        <v>928</v>
      </c>
      <c r="B214" s="1" t="s">
        <v>682</v>
      </c>
      <c r="C214" s="10">
        <v>40829</v>
      </c>
      <c r="D214" s="3">
        <v>69.800000000000011</v>
      </c>
      <c r="E214" s="4">
        <v>5048.6095367189355</v>
      </c>
      <c r="F214" s="10">
        <v>40200</v>
      </c>
      <c r="G214" s="7">
        <v>7.5</v>
      </c>
      <c r="H214" s="7">
        <v>14.36</v>
      </c>
      <c r="I214" s="7">
        <v>6.68</v>
      </c>
      <c r="J214" s="7">
        <v>11.52</v>
      </c>
      <c r="K214" s="6">
        <v>0.3203342618384401</v>
      </c>
      <c r="L214" s="6">
        <v>0.56545961002785516</v>
      </c>
      <c r="M214" s="6">
        <v>0.11420612813370468</v>
      </c>
      <c r="N214" s="4">
        <v>1617.2426092553692</v>
      </c>
      <c r="O214" s="4">
        <v>2854.7847798159996</v>
      </c>
      <c r="P214" s="4">
        <v>4472.0273890713688</v>
      </c>
    </row>
    <row r="215" spans="1:16" x14ac:dyDescent="0.25">
      <c r="A215" s="1" t="s">
        <v>929</v>
      </c>
      <c r="B215" s="1" t="s">
        <v>682</v>
      </c>
      <c r="C215" s="10">
        <v>40829</v>
      </c>
      <c r="D215" s="3">
        <v>73.600000000000009</v>
      </c>
      <c r="E215" s="4">
        <v>5341.5954291980424</v>
      </c>
      <c r="F215" s="10">
        <v>40200</v>
      </c>
      <c r="G215" s="7">
        <v>7.3599999999999994</v>
      </c>
      <c r="H215" s="7">
        <v>14.079999999999998</v>
      </c>
      <c r="I215" s="7">
        <v>6.84</v>
      </c>
      <c r="J215" s="7">
        <v>11.52</v>
      </c>
      <c r="K215" s="6">
        <v>0.33806818181818182</v>
      </c>
      <c r="L215" s="6">
        <v>0.57670454545454541</v>
      </c>
      <c r="M215" s="6">
        <v>8.5227272727272707E-2</v>
      </c>
      <c r="N215" s="4">
        <v>1805.8234547572929</v>
      </c>
      <c r="O215" s="4">
        <v>3080.5223639977344</v>
      </c>
      <c r="P215" s="4">
        <v>4886.3458187550277</v>
      </c>
    </row>
    <row r="216" spans="1:16" x14ac:dyDescent="0.25">
      <c r="A216" s="1" t="s">
        <v>930</v>
      </c>
      <c r="B216" s="1" t="s">
        <v>682</v>
      </c>
      <c r="C216" s="10">
        <v>40829</v>
      </c>
      <c r="D216" s="3">
        <v>63.5</v>
      </c>
      <c r="E216" s="4">
        <v>4562.8697676088359</v>
      </c>
      <c r="F216" s="10">
        <v>40200</v>
      </c>
      <c r="G216" s="7">
        <v>7.6400000000000006</v>
      </c>
      <c r="H216" s="7">
        <v>14.64</v>
      </c>
      <c r="I216" s="7">
        <v>7</v>
      </c>
      <c r="J216" s="7">
        <v>11.88</v>
      </c>
      <c r="K216" s="6">
        <v>0.33606557377049179</v>
      </c>
      <c r="L216" s="6">
        <v>0.57923497267759561</v>
      </c>
      <c r="M216" s="6">
        <v>8.4699453551912551E-2</v>
      </c>
      <c r="N216" s="4">
        <v>1533.4234464914939</v>
      </c>
      <c r="O216" s="4">
        <v>2642.9737451723313</v>
      </c>
      <c r="P216" s="4">
        <v>4176.3971916638257</v>
      </c>
    </row>
    <row r="217" spans="1:16" x14ac:dyDescent="0.25">
      <c r="A217" s="1" t="s">
        <v>931</v>
      </c>
      <c r="B217" s="1" t="s">
        <v>682</v>
      </c>
      <c r="C217" s="10">
        <v>40829</v>
      </c>
      <c r="D217" s="3">
        <v>60.2</v>
      </c>
      <c r="E217" s="4">
        <v>4308.4346504559271</v>
      </c>
      <c r="F217" s="10">
        <v>40200</v>
      </c>
      <c r="G217" s="7">
        <v>6.36</v>
      </c>
      <c r="H217" s="7">
        <v>12.08</v>
      </c>
      <c r="I217" s="7">
        <v>6.04</v>
      </c>
      <c r="J217" s="7">
        <v>10</v>
      </c>
      <c r="K217" s="6">
        <v>0.32781456953642385</v>
      </c>
      <c r="L217" s="6">
        <v>0.54635761589403975</v>
      </c>
      <c r="M217" s="6">
        <v>0.1258278145695364</v>
      </c>
      <c r="N217" s="4">
        <v>1412.3676503150225</v>
      </c>
      <c r="O217" s="4">
        <v>2353.9460838583709</v>
      </c>
      <c r="P217" s="4">
        <v>3766.3137341733936</v>
      </c>
    </row>
    <row r="218" spans="1:16" x14ac:dyDescent="0.25">
      <c r="A218" s="1" t="s">
        <v>932</v>
      </c>
      <c r="B218" s="1" t="s">
        <v>682</v>
      </c>
      <c r="C218" s="10">
        <v>40829</v>
      </c>
      <c r="D218" s="3">
        <v>69.099999999999994</v>
      </c>
      <c r="E218" s="4">
        <v>4994.6384512622571</v>
      </c>
      <c r="F218" s="10">
        <v>40200</v>
      </c>
      <c r="G218" s="7">
        <v>6.02</v>
      </c>
      <c r="H218" s="7">
        <v>11.399999999999999</v>
      </c>
      <c r="I218" s="7">
        <v>6.04</v>
      </c>
      <c r="J218" s="7">
        <v>10</v>
      </c>
      <c r="K218" s="6">
        <v>0.3473684210526316</v>
      </c>
      <c r="L218" s="6">
        <v>0.57894736842105265</v>
      </c>
      <c r="M218" s="6">
        <v>7.3684210526315796E-2</v>
      </c>
      <c r="N218" s="4">
        <v>1734.9796725437316</v>
      </c>
      <c r="O218" s="4">
        <v>2891.6327875728857</v>
      </c>
      <c r="P218" s="4">
        <v>4626.6124601166175</v>
      </c>
    </row>
    <row r="219" spans="1:16" x14ac:dyDescent="0.25">
      <c r="A219" s="1" t="s">
        <v>933</v>
      </c>
      <c r="B219" s="1" t="s">
        <v>682</v>
      </c>
      <c r="C219" s="10">
        <v>40829</v>
      </c>
      <c r="D219" s="3">
        <v>78</v>
      </c>
      <c r="E219" s="4">
        <v>5680.8422520685872</v>
      </c>
      <c r="F219" s="10">
        <v>40200</v>
      </c>
      <c r="G219" s="7">
        <v>8.5</v>
      </c>
      <c r="H219" s="7">
        <v>16.36</v>
      </c>
      <c r="I219" s="7">
        <v>7.48</v>
      </c>
      <c r="J219" s="7">
        <v>12.48</v>
      </c>
      <c r="K219" s="6">
        <v>0.33007334963325186</v>
      </c>
      <c r="L219" s="6">
        <v>0.55501222493887536</v>
      </c>
      <c r="M219" s="6">
        <v>0.11491442542787278</v>
      </c>
      <c r="N219" s="4">
        <v>1875.0946308783846</v>
      </c>
      <c r="O219" s="4">
        <v>3152.9368978473581</v>
      </c>
      <c r="P219" s="4">
        <v>5028.0315287257426</v>
      </c>
    </row>
    <row r="220" spans="1:16" x14ac:dyDescent="0.25">
      <c r="A220" s="1" t="s">
        <v>934</v>
      </c>
      <c r="B220" s="1" t="s">
        <v>682</v>
      </c>
      <c r="C220" s="10">
        <v>40829</v>
      </c>
      <c r="D220" s="3">
        <v>82.199999999999989</v>
      </c>
      <c r="E220" s="4">
        <v>6004.6687648086527</v>
      </c>
      <c r="F220" s="10">
        <v>40200</v>
      </c>
      <c r="G220" s="7">
        <v>6.9</v>
      </c>
      <c r="H220" s="7">
        <v>13.16</v>
      </c>
      <c r="I220" s="7">
        <v>6.48</v>
      </c>
      <c r="J220" s="7">
        <v>10.96</v>
      </c>
      <c r="K220" s="6">
        <v>0.33434650455927056</v>
      </c>
      <c r="L220" s="6">
        <v>0.57446808510638303</v>
      </c>
      <c r="M220" s="6">
        <v>9.1185410334346351E-2</v>
      </c>
      <c r="N220" s="4">
        <v>2007.6400125500056</v>
      </c>
      <c r="O220" s="4">
        <v>3449.4905670177368</v>
      </c>
      <c r="P220" s="4">
        <v>5457.1305795677426</v>
      </c>
    </row>
    <row r="221" spans="1:16" x14ac:dyDescent="0.25">
      <c r="A221" s="1" t="s">
        <v>935</v>
      </c>
      <c r="B221" s="1" t="s">
        <v>682</v>
      </c>
      <c r="C221" s="10">
        <v>40829</v>
      </c>
      <c r="D221" s="3">
        <v>70.5</v>
      </c>
      <c r="E221" s="4">
        <v>5102.5806221756129</v>
      </c>
      <c r="F221" s="10">
        <v>40200</v>
      </c>
      <c r="G221" s="7">
        <v>6.82</v>
      </c>
      <c r="H221" s="7">
        <v>13</v>
      </c>
      <c r="I221" s="7">
        <v>6.64</v>
      </c>
      <c r="J221" s="7">
        <v>10.64</v>
      </c>
      <c r="K221" s="6">
        <v>0.35076923076923072</v>
      </c>
      <c r="L221" s="6">
        <v>0.55692307692307697</v>
      </c>
      <c r="M221" s="6">
        <v>9.2307692307692313E-2</v>
      </c>
      <c r="N221" s="4">
        <v>1789.8282797785225</v>
      </c>
      <c r="O221" s="4">
        <v>2841.7449003501106</v>
      </c>
      <c r="P221" s="4">
        <v>4631.5731801286329</v>
      </c>
    </row>
    <row r="222" spans="1:16" x14ac:dyDescent="0.25">
      <c r="A222" s="1" t="s">
        <v>936</v>
      </c>
      <c r="B222" s="1" t="s">
        <v>682</v>
      </c>
      <c r="C222" s="10">
        <v>40829</v>
      </c>
      <c r="D222" s="3">
        <v>77.8</v>
      </c>
      <c r="E222" s="4">
        <v>5665.421941938107</v>
      </c>
      <c r="F222" s="10">
        <v>40200</v>
      </c>
      <c r="G222" s="7">
        <v>7.98</v>
      </c>
      <c r="H222" s="7">
        <v>15.32</v>
      </c>
      <c r="I222" s="7">
        <v>7.28</v>
      </c>
      <c r="J222" s="7">
        <v>12.24</v>
      </c>
      <c r="K222" s="6">
        <v>0.33942558746736295</v>
      </c>
      <c r="L222" s="6">
        <v>0.57702349869451697</v>
      </c>
      <c r="M222" s="6">
        <v>8.3550913838120078E-2</v>
      </c>
      <c r="N222" s="4">
        <v>1922.9891708928303</v>
      </c>
      <c r="O222" s="4">
        <v>3269.081590517811</v>
      </c>
      <c r="P222" s="4">
        <v>5192.0707614106414</v>
      </c>
    </row>
    <row r="223" spans="1:16" x14ac:dyDescent="0.25">
      <c r="A223" s="1" t="s">
        <v>937</v>
      </c>
      <c r="B223" s="1" t="s">
        <v>682</v>
      </c>
      <c r="C223" s="10">
        <v>40829</v>
      </c>
      <c r="D223" s="3">
        <v>75.400000000000006</v>
      </c>
      <c r="E223" s="4">
        <v>5480.3782203723576</v>
      </c>
      <c r="F223" s="10">
        <v>40200</v>
      </c>
      <c r="G223" s="7">
        <v>7.8</v>
      </c>
      <c r="H223" s="7">
        <v>14.959999999999999</v>
      </c>
      <c r="I223" s="7">
        <v>6.92</v>
      </c>
      <c r="J223" s="7">
        <v>11.68</v>
      </c>
      <c r="K223" s="6">
        <v>0.3235294117647059</v>
      </c>
      <c r="L223" s="6">
        <v>0.553475935828877</v>
      </c>
      <c r="M223" s="6">
        <v>0.12299465240641716</v>
      </c>
      <c r="N223" s="4">
        <v>1773.0635418851746</v>
      </c>
      <c r="O223" s="4">
        <v>3033.257464216786</v>
      </c>
      <c r="P223" s="4">
        <v>4806.3210061019608</v>
      </c>
    </row>
    <row r="224" spans="1:16" x14ac:dyDescent="0.25">
      <c r="A224" s="1" t="s">
        <v>938</v>
      </c>
      <c r="B224" s="1" t="s">
        <v>682</v>
      </c>
      <c r="C224" s="10">
        <v>40829</v>
      </c>
      <c r="D224" s="3">
        <v>75.599999999999994</v>
      </c>
      <c r="E224" s="4">
        <v>5495.798530502836</v>
      </c>
      <c r="F224" s="10">
        <v>40200</v>
      </c>
      <c r="G224" s="7">
        <v>7.8599999999999994</v>
      </c>
      <c r="H224" s="7">
        <v>15.079999999999998</v>
      </c>
      <c r="I224" s="7">
        <v>7.2</v>
      </c>
      <c r="J224" s="7">
        <v>12.16</v>
      </c>
      <c r="K224" s="6">
        <v>0.33952254641909818</v>
      </c>
      <c r="L224" s="6">
        <v>0.58090185676392581</v>
      </c>
      <c r="M224" s="6">
        <v>7.9575596816976013E-2</v>
      </c>
      <c r="N224" s="4">
        <v>1865.9475116826607</v>
      </c>
      <c r="O224" s="4">
        <v>3192.5195707695525</v>
      </c>
      <c r="P224" s="4">
        <v>5058.4670824522127</v>
      </c>
    </row>
    <row r="225" spans="1:16" x14ac:dyDescent="0.25">
      <c r="A225" s="1" t="s">
        <v>939</v>
      </c>
      <c r="B225" s="1" t="s">
        <v>682</v>
      </c>
      <c r="C225" s="10">
        <v>40829</v>
      </c>
      <c r="D225" s="3">
        <v>73.900000000000006</v>
      </c>
      <c r="E225" s="4">
        <v>5364.7258943937613</v>
      </c>
      <c r="F225" s="10">
        <v>40200</v>
      </c>
      <c r="G225" s="7">
        <v>6.2799999999999994</v>
      </c>
      <c r="H225" s="7">
        <v>11.919999999999998</v>
      </c>
      <c r="I225" s="7">
        <v>5.92</v>
      </c>
      <c r="J225" s="7">
        <v>10.119999999999999</v>
      </c>
      <c r="K225" s="6">
        <v>0.32214765100671144</v>
      </c>
      <c r="L225" s="6">
        <v>0.56375838926174493</v>
      </c>
      <c r="M225" s="6">
        <v>0.11409395973154368</v>
      </c>
      <c r="N225" s="4">
        <v>1728.2338451738294</v>
      </c>
      <c r="O225" s="4">
        <v>3024.4092290542008</v>
      </c>
      <c r="P225" s="4">
        <v>4752.6430742280299</v>
      </c>
    </row>
    <row r="226" spans="1:16" x14ac:dyDescent="0.25">
      <c r="A226" s="1" t="s">
        <v>940</v>
      </c>
      <c r="B226" s="1" t="s">
        <v>682</v>
      </c>
      <c r="C226" s="10">
        <v>40829</v>
      </c>
      <c r="D226" s="3">
        <v>57.1</v>
      </c>
      <c r="E226" s="4">
        <v>4069.4198434334971</v>
      </c>
      <c r="F226" s="10">
        <v>40200</v>
      </c>
      <c r="G226" s="7">
        <v>8.06</v>
      </c>
      <c r="H226" s="7">
        <v>15.48</v>
      </c>
      <c r="I226" s="7">
        <v>7.44</v>
      </c>
      <c r="J226" s="7">
        <v>12.32</v>
      </c>
      <c r="K226" s="6">
        <v>0.34625322997416019</v>
      </c>
      <c r="L226" s="6">
        <v>0.57622739018087854</v>
      </c>
      <c r="M226" s="6">
        <v>7.7519379844961267E-2</v>
      </c>
      <c r="N226" s="4">
        <v>1409.0497649097897</v>
      </c>
      <c r="O226" s="4">
        <v>2344.9111759319635</v>
      </c>
      <c r="P226" s="4">
        <v>3753.9609408417532</v>
      </c>
    </row>
    <row r="227" spans="1:16" x14ac:dyDescent="0.25">
      <c r="A227" s="1" t="s">
        <v>941</v>
      </c>
      <c r="B227" s="1" t="s">
        <v>682</v>
      </c>
      <c r="C227" s="10">
        <v>40829</v>
      </c>
      <c r="D227" s="3">
        <v>55.9</v>
      </c>
      <c r="E227" s="4">
        <v>3976.8979826506211</v>
      </c>
      <c r="F227" s="10">
        <v>40200</v>
      </c>
      <c r="G227" s="7">
        <v>7.38</v>
      </c>
      <c r="H227" s="7">
        <v>14.12</v>
      </c>
      <c r="I227" s="7">
        <v>6.6</v>
      </c>
      <c r="J227" s="7">
        <v>11.56</v>
      </c>
      <c r="K227" s="6">
        <v>0.32011331444759206</v>
      </c>
      <c r="L227" s="6">
        <v>0.57790368271954673</v>
      </c>
      <c r="M227" s="6">
        <v>0.10198300283286121</v>
      </c>
      <c r="N227" s="4">
        <v>1273.0579944462327</v>
      </c>
      <c r="O227" s="4">
        <v>2298.2639899737301</v>
      </c>
      <c r="P227" s="4">
        <v>3571.321984419963</v>
      </c>
    </row>
    <row r="228" spans="1:16" x14ac:dyDescent="0.25">
      <c r="A228" s="1" t="s">
        <v>942</v>
      </c>
      <c r="B228" s="1" t="s">
        <v>682</v>
      </c>
      <c r="C228" s="10">
        <v>40829</v>
      </c>
      <c r="D228" s="3">
        <v>65.199999999999989</v>
      </c>
      <c r="E228" s="4">
        <v>4693.9424037179087</v>
      </c>
      <c r="F228" s="10">
        <v>40200</v>
      </c>
      <c r="G228" s="7">
        <v>5.6400000000000006</v>
      </c>
      <c r="H228" s="7">
        <v>10.64</v>
      </c>
      <c r="I228" s="7">
        <v>5.48</v>
      </c>
      <c r="J228" s="7">
        <v>9.48</v>
      </c>
      <c r="K228" s="6">
        <v>0.31954887218045114</v>
      </c>
      <c r="L228" s="6">
        <v>0.5714285714285714</v>
      </c>
      <c r="M228" s="6">
        <v>0.10902255639097747</v>
      </c>
      <c r="N228" s="4">
        <v>1499.9440011880536</v>
      </c>
      <c r="O228" s="4">
        <v>2682.2528021245193</v>
      </c>
      <c r="P228" s="4">
        <v>4182.1968033125731</v>
      </c>
    </row>
    <row r="229" spans="1:16" x14ac:dyDescent="0.25">
      <c r="A229" s="1" t="s">
        <v>943</v>
      </c>
      <c r="B229" s="1" t="s">
        <v>682</v>
      </c>
      <c r="C229" s="10">
        <v>40829</v>
      </c>
      <c r="D229" s="3">
        <v>71.400000000000006</v>
      </c>
      <c r="E229" s="4">
        <v>5171.9720177627705</v>
      </c>
      <c r="F229" s="10">
        <v>40200</v>
      </c>
      <c r="G229" s="7">
        <v>6.9799999999999995</v>
      </c>
      <c r="H229" s="7">
        <v>13.319999999999999</v>
      </c>
      <c r="I229" s="7">
        <v>6.4</v>
      </c>
      <c r="J229" s="7">
        <v>11.04</v>
      </c>
      <c r="K229" s="6">
        <v>0.3243243243243244</v>
      </c>
      <c r="L229" s="6">
        <v>0.57357357357357353</v>
      </c>
      <c r="M229" s="6">
        <v>0.10210210210210213</v>
      </c>
      <c r="N229" s="4">
        <v>1677.3963300852233</v>
      </c>
      <c r="O229" s="4">
        <v>2966.506472650718</v>
      </c>
      <c r="P229" s="4">
        <v>4643.9028027359418</v>
      </c>
    </row>
    <row r="230" spans="1:16" x14ac:dyDescent="0.25">
      <c r="A230" s="1" t="s">
        <v>944</v>
      </c>
      <c r="B230" s="1" t="s">
        <v>682</v>
      </c>
      <c r="C230" s="10">
        <v>40829</v>
      </c>
      <c r="D230" s="3">
        <v>67.400000000000006</v>
      </c>
      <c r="E230" s="4">
        <v>4863.5658151531834</v>
      </c>
      <c r="F230" s="10">
        <v>40200</v>
      </c>
      <c r="G230" s="7">
        <v>6.38</v>
      </c>
      <c r="H230" s="7">
        <v>12.12</v>
      </c>
      <c r="I230" s="7">
        <v>6.04</v>
      </c>
      <c r="J230" s="7">
        <v>10.36</v>
      </c>
      <c r="K230" s="6">
        <v>0.32673267326732675</v>
      </c>
      <c r="L230" s="6">
        <v>0.57425742574257421</v>
      </c>
      <c r="M230" s="6">
        <v>9.9009900990098987E-2</v>
      </c>
      <c r="N230" s="4">
        <v>1589.0858603965846</v>
      </c>
      <c r="O230" s="4">
        <v>2792.9387849394516</v>
      </c>
      <c r="P230" s="4">
        <v>4382.024645336036</v>
      </c>
    </row>
    <row r="231" spans="1:16" x14ac:dyDescent="0.25">
      <c r="A231" s="1" t="s">
        <v>945</v>
      </c>
      <c r="B231" s="1" t="s">
        <v>682</v>
      </c>
      <c r="C231" s="10">
        <v>40829</v>
      </c>
      <c r="D231" s="3">
        <v>62.4</v>
      </c>
      <c r="E231" s="4">
        <v>4478.058061891199</v>
      </c>
      <c r="F231" s="10">
        <v>40200</v>
      </c>
      <c r="G231" s="7">
        <v>7.16</v>
      </c>
      <c r="H231" s="7">
        <v>13.68</v>
      </c>
      <c r="I231" s="7">
        <v>6.56</v>
      </c>
      <c r="J231" s="7">
        <v>11.2</v>
      </c>
      <c r="K231" s="6">
        <v>0.32748538011695905</v>
      </c>
      <c r="L231" s="6">
        <v>0.57017543859649111</v>
      </c>
      <c r="M231" s="6">
        <v>0.10233918128654984</v>
      </c>
      <c r="N231" s="4">
        <v>1466.4985465842522</v>
      </c>
      <c r="O231" s="4">
        <v>2553.2787194993675</v>
      </c>
      <c r="P231" s="4">
        <v>4019.7772660836199</v>
      </c>
    </row>
    <row r="232" spans="1:16" x14ac:dyDescent="0.25">
      <c r="A232" s="1" t="s">
        <v>946</v>
      </c>
      <c r="B232" s="1" t="s">
        <v>682</v>
      </c>
      <c r="C232" s="10">
        <v>40829</v>
      </c>
      <c r="D232" s="3">
        <v>69.3</v>
      </c>
      <c r="E232" s="4">
        <v>5010.0587613927364</v>
      </c>
      <c r="F232" s="10">
        <v>40200</v>
      </c>
      <c r="G232" s="7">
        <v>6.1400000000000006</v>
      </c>
      <c r="H232" s="7">
        <v>11.64</v>
      </c>
      <c r="I232" s="7">
        <v>5.88</v>
      </c>
      <c r="J232" s="7">
        <v>10.16</v>
      </c>
      <c r="K232" s="6">
        <v>0.32646048109965631</v>
      </c>
      <c r="L232" s="6">
        <v>0.5807560137457044</v>
      </c>
      <c r="M232" s="6">
        <v>9.278350515463929E-2</v>
      </c>
      <c r="N232" s="4">
        <v>1635.5861935818209</v>
      </c>
      <c r="O232" s="4">
        <v>2909.6217548981867</v>
      </c>
      <c r="P232" s="4">
        <v>4545.2079484800079</v>
      </c>
    </row>
    <row r="233" spans="1:16" x14ac:dyDescent="0.25">
      <c r="A233" s="1" t="s">
        <v>947</v>
      </c>
      <c r="B233" s="1" t="s">
        <v>682</v>
      </c>
      <c r="C233" s="10">
        <v>40829</v>
      </c>
      <c r="D233" s="3">
        <v>66</v>
      </c>
      <c r="E233" s="4">
        <v>4755.6236442398267</v>
      </c>
      <c r="F233" s="10">
        <v>40200</v>
      </c>
      <c r="G233" s="7">
        <v>6.98</v>
      </c>
      <c r="H233" s="7">
        <v>13.32</v>
      </c>
      <c r="I233" s="7">
        <v>6.52</v>
      </c>
      <c r="J233" s="7">
        <v>11.12</v>
      </c>
      <c r="K233" s="6">
        <v>0.33333333333333331</v>
      </c>
      <c r="L233" s="6">
        <v>0.57957957957957951</v>
      </c>
      <c r="M233" s="6">
        <v>8.7087087087087234E-2</v>
      </c>
      <c r="N233" s="4">
        <v>1585.2078814132756</v>
      </c>
      <c r="O233" s="4">
        <v>2756.2623523672264</v>
      </c>
      <c r="P233" s="4">
        <v>4341.470233780502</v>
      </c>
    </row>
    <row r="234" spans="1:16" x14ac:dyDescent="0.25">
      <c r="A234" s="1" t="s">
        <v>948</v>
      </c>
      <c r="B234" s="1" t="s">
        <v>682</v>
      </c>
      <c r="C234" s="10">
        <v>40829</v>
      </c>
      <c r="D234" s="3">
        <v>60.2</v>
      </c>
      <c r="E234" s="4">
        <v>4308.4346504559271</v>
      </c>
      <c r="F234" s="10">
        <v>40200</v>
      </c>
      <c r="G234" s="7">
        <v>7.2799999999999994</v>
      </c>
      <c r="H234" s="7">
        <v>13.919999999999998</v>
      </c>
      <c r="I234" s="7">
        <v>6.64</v>
      </c>
      <c r="J234" s="7">
        <v>11.36</v>
      </c>
      <c r="K234" s="6">
        <v>0.32758620689655171</v>
      </c>
      <c r="L234" s="6">
        <v>0.57183908045977017</v>
      </c>
      <c r="M234" s="6">
        <v>0.10057471264367812</v>
      </c>
      <c r="N234" s="4">
        <v>1411.3837648045278</v>
      </c>
      <c r="O234" s="4">
        <v>2463.7313087377288</v>
      </c>
      <c r="P234" s="4">
        <v>3875.1150735422566</v>
      </c>
    </row>
    <row r="235" spans="1:16" x14ac:dyDescent="0.25">
      <c r="A235" s="1" t="s">
        <v>949</v>
      </c>
      <c r="B235" s="1" t="s">
        <v>682</v>
      </c>
      <c r="C235" s="10">
        <v>40829</v>
      </c>
      <c r="D235" s="3">
        <v>65.7</v>
      </c>
      <c r="E235" s="4">
        <v>4732.4931790441087</v>
      </c>
      <c r="F235" s="10">
        <v>40200</v>
      </c>
      <c r="G235" s="7">
        <v>6.62</v>
      </c>
      <c r="H235" s="7">
        <v>12.6</v>
      </c>
      <c r="I235" s="7">
        <v>6.24</v>
      </c>
      <c r="J235" s="7">
        <v>10.48</v>
      </c>
      <c r="K235" s="6">
        <v>0.33015873015873021</v>
      </c>
      <c r="L235" s="6">
        <v>0.56190476190476191</v>
      </c>
      <c r="M235" s="6">
        <v>0.10793650793650789</v>
      </c>
      <c r="N235" s="4">
        <v>1562.4739384780551</v>
      </c>
      <c r="O235" s="4">
        <v>2659.2104529866897</v>
      </c>
      <c r="P235" s="4">
        <v>4221.6843914647452</v>
      </c>
    </row>
    <row r="236" spans="1:16" x14ac:dyDescent="0.25">
      <c r="A236" s="1" t="s">
        <v>950</v>
      </c>
      <c r="B236" s="1" t="s">
        <v>682</v>
      </c>
      <c r="C236" s="10">
        <v>40829</v>
      </c>
      <c r="D236" s="3">
        <v>47.7</v>
      </c>
      <c r="E236" s="4">
        <v>3344.665267300968</v>
      </c>
      <c r="F236" s="10">
        <v>40200</v>
      </c>
      <c r="G236" s="7">
        <v>8.26</v>
      </c>
      <c r="H236" s="7">
        <v>15.879999999999999</v>
      </c>
      <c r="I236" s="7">
        <v>7.24</v>
      </c>
      <c r="J236" s="7">
        <v>12.36</v>
      </c>
      <c r="K236" s="6">
        <v>0.32493702770780858</v>
      </c>
      <c r="L236" s="6">
        <v>0.5642317380352645</v>
      </c>
      <c r="M236" s="6">
        <v>0.11083123425692698</v>
      </c>
      <c r="N236" s="4">
        <v>1086.8055906343197</v>
      </c>
      <c r="O236" s="4">
        <v>1887.1662969154077</v>
      </c>
      <c r="P236" s="4">
        <v>2973.9718875497274</v>
      </c>
    </row>
    <row r="237" spans="1:16" x14ac:dyDescent="0.25">
      <c r="A237" s="1" t="s">
        <v>951</v>
      </c>
      <c r="B237" s="1" t="s">
        <v>682</v>
      </c>
      <c r="C237" s="10">
        <v>40829</v>
      </c>
      <c r="D237" s="3">
        <v>52.900000000000006</v>
      </c>
      <c r="E237" s="4">
        <v>3745.5933306934312</v>
      </c>
      <c r="F237" s="10">
        <v>40200</v>
      </c>
      <c r="G237" s="7">
        <v>6.1</v>
      </c>
      <c r="H237" s="7">
        <v>11.559999999999999</v>
      </c>
      <c r="I237" s="7">
        <v>5.88</v>
      </c>
      <c r="J237" s="7">
        <v>10</v>
      </c>
      <c r="K237" s="6">
        <v>0.32871972318339104</v>
      </c>
      <c r="L237" s="6">
        <v>0.57093425605536341</v>
      </c>
      <c r="M237" s="6">
        <v>0.10034602076124555</v>
      </c>
      <c r="N237" s="4">
        <v>1231.2504028231003</v>
      </c>
      <c r="O237" s="4">
        <v>2138.487541745385</v>
      </c>
      <c r="P237" s="4">
        <v>3369.7379445684855</v>
      </c>
    </row>
    <row r="238" spans="1:16" x14ac:dyDescent="0.25">
      <c r="A238" s="1" t="s">
        <v>952</v>
      </c>
      <c r="B238" s="1" t="s">
        <v>682</v>
      </c>
      <c r="C238" s="10">
        <v>40829</v>
      </c>
      <c r="D238" s="3">
        <v>54.9</v>
      </c>
      <c r="E238" s="4">
        <v>3899.7964319982243</v>
      </c>
      <c r="F238" s="10">
        <v>40200</v>
      </c>
      <c r="G238" s="7">
        <v>7.9399999999999995</v>
      </c>
      <c r="H238" s="7">
        <v>15.239999999999998</v>
      </c>
      <c r="I238" s="7">
        <v>6.92</v>
      </c>
      <c r="J238" s="7">
        <v>12.04</v>
      </c>
      <c r="K238" s="6">
        <v>0.31758530183727035</v>
      </c>
      <c r="L238" s="6">
        <v>0.56692913385826771</v>
      </c>
      <c r="M238" s="6">
        <v>0.115485564304462</v>
      </c>
      <c r="N238" s="4">
        <v>1238.518026960066</v>
      </c>
      <c r="O238" s="4">
        <v>2210.9082134163159</v>
      </c>
      <c r="P238" s="4">
        <v>3449.4262403763819</v>
      </c>
    </row>
    <row r="239" spans="1:16" x14ac:dyDescent="0.25">
      <c r="A239" s="1" t="s">
        <v>953</v>
      </c>
      <c r="B239" s="1" t="s">
        <v>682</v>
      </c>
      <c r="C239" s="10">
        <v>40829</v>
      </c>
      <c r="D239" s="3">
        <v>61.099999999999994</v>
      </c>
      <c r="E239" s="4">
        <v>4377.8260460430829</v>
      </c>
      <c r="F239" s="10">
        <v>40200</v>
      </c>
      <c r="G239" s="7">
        <v>6.96</v>
      </c>
      <c r="H239" s="7">
        <v>13.28</v>
      </c>
      <c r="I239" s="7">
        <v>6.32</v>
      </c>
      <c r="J239" s="7">
        <v>10.92</v>
      </c>
      <c r="K239" s="6">
        <v>0.31927710843373497</v>
      </c>
      <c r="L239" s="6">
        <v>0.5662650602409639</v>
      </c>
      <c r="M239" s="6">
        <v>0.11445783132530118</v>
      </c>
      <c r="N239" s="4">
        <v>1397.7396412065266</v>
      </c>
      <c r="O239" s="4">
        <v>2479.0099296870471</v>
      </c>
      <c r="P239" s="4">
        <v>3876.7495708935739</v>
      </c>
    </row>
    <row r="240" spans="1:16" x14ac:dyDescent="0.25">
      <c r="A240" s="1" t="s">
        <v>954</v>
      </c>
      <c r="B240" s="1" t="s">
        <v>682</v>
      </c>
      <c r="C240" s="10">
        <v>40829</v>
      </c>
      <c r="D240" s="3">
        <v>62.099999999999994</v>
      </c>
      <c r="E240" s="4">
        <v>4454.9275966954801</v>
      </c>
      <c r="F240" s="10">
        <v>40200</v>
      </c>
      <c r="G240" s="7">
        <v>7.24</v>
      </c>
      <c r="H240" s="7">
        <v>13.84</v>
      </c>
      <c r="I240" s="7">
        <v>6.68</v>
      </c>
      <c r="J240" s="7">
        <v>11.48</v>
      </c>
      <c r="K240" s="6">
        <v>0.33236994219653176</v>
      </c>
      <c r="L240" s="6">
        <v>0.58381502890173409</v>
      </c>
      <c r="M240" s="6">
        <v>8.381502890173409E-2</v>
      </c>
      <c r="N240" s="4">
        <v>1480.6840278034108</v>
      </c>
      <c r="O240" s="4">
        <v>2600.8536836199046</v>
      </c>
      <c r="P240" s="4">
        <v>4081.5377114233152</v>
      </c>
    </row>
    <row r="241" spans="1:16" x14ac:dyDescent="0.25">
      <c r="A241" s="1" t="s">
        <v>955</v>
      </c>
      <c r="B241" s="1" t="s">
        <v>682</v>
      </c>
      <c r="C241" s="10">
        <v>40829</v>
      </c>
      <c r="D241" s="3">
        <v>51.400000000000006</v>
      </c>
      <c r="E241" s="4">
        <v>3629.9410047148363</v>
      </c>
      <c r="F241" s="10">
        <v>40200</v>
      </c>
      <c r="G241" s="7">
        <v>8.06</v>
      </c>
      <c r="H241" s="7">
        <v>15.48</v>
      </c>
      <c r="I241" s="7">
        <v>7.12</v>
      </c>
      <c r="J241" s="7">
        <v>12.36</v>
      </c>
      <c r="K241" s="6">
        <v>0.32558139534883718</v>
      </c>
      <c r="L241" s="6">
        <v>0.57881136950904388</v>
      </c>
      <c r="M241" s="6">
        <v>9.5607235142118996E-2</v>
      </c>
      <c r="N241" s="4">
        <v>1181.8412573490164</v>
      </c>
      <c r="O241" s="4">
        <v>2101.0511241760291</v>
      </c>
      <c r="P241" s="4">
        <v>3282.8923815250455</v>
      </c>
    </row>
    <row r="242" spans="1:16" x14ac:dyDescent="0.25">
      <c r="A242" s="1" t="s">
        <v>956</v>
      </c>
      <c r="B242" s="1" t="s">
        <v>682</v>
      </c>
      <c r="C242" s="10">
        <v>40829</v>
      </c>
      <c r="D242" s="3">
        <v>56.7</v>
      </c>
      <c r="E242" s="4">
        <v>4038.5792231725381</v>
      </c>
      <c r="F242" s="10">
        <v>40200</v>
      </c>
      <c r="G242" s="7">
        <v>7.18</v>
      </c>
      <c r="H242" s="7">
        <v>13.719999999999999</v>
      </c>
      <c r="I242" s="7">
        <v>6.52</v>
      </c>
      <c r="J242" s="7">
        <v>11.36</v>
      </c>
      <c r="K242" s="6">
        <v>0.32361516034985421</v>
      </c>
      <c r="L242" s="6">
        <v>0.58017492711370255</v>
      </c>
      <c r="M242" s="6">
        <v>9.6209912536443176E-2</v>
      </c>
      <c r="N242" s="4">
        <v>1306.9454628925705</v>
      </c>
      <c r="O242" s="4">
        <v>2343.0824064470407</v>
      </c>
      <c r="P242" s="4">
        <v>3650.0278693396112</v>
      </c>
    </row>
    <row r="243" spans="1:16" x14ac:dyDescent="0.25">
      <c r="A243" s="1" t="s">
        <v>957</v>
      </c>
      <c r="B243" s="1" t="s">
        <v>682</v>
      </c>
      <c r="C243" s="10">
        <v>40829</v>
      </c>
      <c r="D243" s="3">
        <v>59.3</v>
      </c>
      <c r="E243" s="4">
        <v>4239.0432548687695</v>
      </c>
      <c r="F243" s="10">
        <v>40200</v>
      </c>
      <c r="G243" s="7">
        <v>6.1</v>
      </c>
      <c r="H243" s="7">
        <v>11.559999999999999</v>
      </c>
      <c r="I243" s="7">
        <v>5.8</v>
      </c>
      <c r="J243" s="7">
        <v>9.92</v>
      </c>
      <c r="K243" s="6">
        <v>0.3217993079584775</v>
      </c>
      <c r="L243" s="6">
        <v>0.56401384083044981</v>
      </c>
      <c r="M243" s="6">
        <v>0.11418685121107264</v>
      </c>
      <c r="N243" s="4">
        <v>1364.1211858228219</v>
      </c>
      <c r="O243" s="4">
        <v>2390.8790676249459</v>
      </c>
      <c r="P243" s="4">
        <v>3755.000253447768</v>
      </c>
    </row>
    <row r="244" spans="1:16" x14ac:dyDescent="0.25">
      <c r="A244" s="1" t="s">
        <v>958</v>
      </c>
      <c r="B244" s="1" t="s">
        <v>682</v>
      </c>
      <c r="C244" s="10">
        <v>40829</v>
      </c>
      <c r="D244" s="3">
        <v>59.2</v>
      </c>
      <c r="E244" s="4">
        <v>4231.3330998035308</v>
      </c>
      <c r="F244" s="10">
        <v>40200</v>
      </c>
      <c r="G244" s="7">
        <v>8.26</v>
      </c>
      <c r="H244" s="7">
        <v>15.879999999999999</v>
      </c>
      <c r="I244" s="7">
        <v>7.16</v>
      </c>
      <c r="J244" s="7">
        <v>12.56</v>
      </c>
      <c r="K244" s="6">
        <v>0.31989924433249373</v>
      </c>
      <c r="L244" s="6">
        <v>0.57682619647355171</v>
      </c>
      <c r="M244" s="6">
        <v>0.10327455919395456</v>
      </c>
      <c r="N244" s="4">
        <v>1353.6002611462177</v>
      </c>
      <c r="O244" s="4">
        <v>2440.7437779723141</v>
      </c>
      <c r="P244" s="4">
        <v>3794.3440391185318</v>
      </c>
    </row>
    <row r="245" spans="1:16" x14ac:dyDescent="0.25">
      <c r="A245" s="1" t="s">
        <v>959</v>
      </c>
      <c r="B245" s="1" t="s">
        <v>682</v>
      </c>
      <c r="C245" s="10">
        <v>40829</v>
      </c>
      <c r="D245" s="3">
        <v>57.6</v>
      </c>
      <c r="E245" s="4">
        <v>4107.9706187596958</v>
      </c>
      <c r="F245" s="10">
        <v>40200</v>
      </c>
      <c r="G245" s="7">
        <v>7.6400000000000006</v>
      </c>
      <c r="H245" s="7">
        <v>14.64</v>
      </c>
      <c r="I245" s="7">
        <v>6.84</v>
      </c>
      <c r="J245" s="7">
        <v>11.88</v>
      </c>
      <c r="K245" s="6">
        <v>0.3251366120218579</v>
      </c>
      <c r="L245" s="6">
        <v>0.57923497267759561</v>
      </c>
      <c r="M245" s="6">
        <v>9.5628415300546443E-2</v>
      </c>
      <c r="N245" s="4">
        <v>1335.6516492688627</v>
      </c>
      <c r="O245" s="4">
        <v>2379.4802491176379</v>
      </c>
      <c r="P245" s="4">
        <v>3715.1318983865003</v>
      </c>
    </row>
    <row r="246" spans="1:16" x14ac:dyDescent="0.25">
      <c r="A246" s="1" t="s">
        <v>960</v>
      </c>
      <c r="B246" s="1" t="s">
        <v>682</v>
      </c>
      <c r="C246" s="10">
        <v>40829</v>
      </c>
      <c r="D246" s="3">
        <v>43.2</v>
      </c>
      <c r="E246" s="4">
        <v>2997.7082893651836</v>
      </c>
      <c r="F246" s="10">
        <v>40200</v>
      </c>
      <c r="G246" s="7">
        <v>7.26</v>
      </c>
      <c r="H246" s="7">
        <v>13.879999999999999</v>
      </c>
      <c r="I246" s="7">
        <v>6.64</v>
      </c>
      <c r="J246" s="7">
        <v>11.56</v>
      </c>
      <c r="K246" s="6">
        <v>0.32853025936599423</v>
      </c>
      <c r="L246" s="6">
        <v>0.58789625360230557</v>
      </c>
      <c r="M246" s="6">
        <v>8.35734870317002E-2</v>
      </c>
      <c r="N246" s="4">
        <v>984.83788180873466</v>
      </c>
      <c r="O246" s="4">
        <v>1762.3414727103677</v>
      </c>
      <c r="P246" s="4">
        <v>2747.1793545191022</v>
      </c>
    </row>
    <row r="247" spans="1:16" x14ac:dyDescent="0.25">
      <c r="A247" s="1" t="s">
        <v>961</v>
      </c>
      <c r="B247" s="1" t="s">
        <v>682</v>
      </c>
      <c r="C247" s="10">
        <v>40829</v>
      </c>
      <c r="D247" s="3">
        <v>57.400000000000006</v>
      </c>
      <c r="E247" s="4">
        <v>4092.550308629216</v>
      </c>
      <c r="F247" s="10">
        <v>40204</v>
      </c>
      <c r="G247" s="7">
        <v>7.1400000000000006</v>
      </c>
      <c r="H247" s="7">
        <v>13.64</v>
      </c>
      <c r="I247" s="7">
        <v>6.68</v>
      </c>
      <c r="J247" s="7">
        <v>11.16</v>
      </c>
      <c r="K247" s="6">
        <v>0.33724340175953077</v>
      </c>
      <c r="L247" s="6">
        <v>0.56891495601173014</v>
      </c>
      <c r="M247" s="6">
        <v>9.3841642228739142E-2</v>
      </c>
      <c r="N247" s="4">
        <v>1380.1855879541345</v>
      </c>
      <c r="O247" s="4">
        <v>2328.3130788095832</v>
      </c>
      <c r="P247" s="4">
        <v>3708.4986667637177</v>
      </c>
    </row>
    <row r="248" spans="1:16" x14ac:dyDescent="0.25">
      <c r="A248" s="1" t="s">
        <v>962</v>
      </c>
      <c r="B248" s="1" t="s">
        <v>682</v>
      </c>
      <c r="C248" s="10">
        <v>40829</v>
      </c>
      <c r="D248" s="3">
        <v>61.7</v>
      </c>
      <c r="E248" s="4">
        <v>4424.0869764345216</v>
      </c>
      <c r="F248" s="10">
        <v>40204</v>
      </c>
      <c r="G248" s="7">
        <v>7.32</v>
      </c>
      <c r="H248" s="7">
        <v>14</v>
      </c>
      <c r="I248" s="7">
        <v>6.76</v>
      </c>
      <c r="J248" s="7">
        <v>11.44</v>
      </c>
      <c r="K248" s="6">
        <v>0.33428571428571424</v>
      </c>
      <c r="L248" s="6">
        <v>0.57428571428571418</v>
      </c>
      <c r="M248" s="6">
        <v>9.1428571428571526E-2</v>
      </c>
      <c r="N248" s="4">
        <v>1478.9090749795398</v>
      </c>
      <c r="O248" s="4">
        <v>2540.6899493238247</v>
      </c>
      <c r="P248" s="4">
        <v>4019.5990243033648</v>
      </c>
    </row>
    <row r="249" spans="1:16" x14ac:dyDescent="0.25">
      <c r="A249" s="1" t="s">
        <v>963</v>
      </c>
      <c r="B249" s="1" t="s">
        <v>682</v>
      </c>
      <c r="C249" s="10">
        <v>40829</v>
      </c>
      <c r="D249" s="3">
        <v>70.399999999999991</v>
      </c>
      <c r="E249" s="4">
        <v>5094.8704671103715</v>
      </c>
      <c r="F249" s="10">
        <v>40204</v>
      </c>
      <c r="G249" s="7">
        <v>6.7200000000000006</v>
      </c>
      <c r="H249" s="7">
        <v>12.8</v>
      </c>
      <c r="I249" s="7">
        <v>6.48</v>
      </c>
      <c r="J249" s="7">
        <v>10.84</v>
      </c>
      <c r="K249" s="6">
        <v>0.34375</v>
      </c>
      <c r="L249" s="6">
        <v>0.58124999999999993</v>
      </c>
      <c r="M249" s="6">
        <v>7.5000000000000067E-2</v>
      </c>
      <c r="N249" s="4">
        <v>1751.3617230691902</v>
      </c>
      <c r="O249" s="4">
        <v>2961.3934590079029</v>
      </c>
      <c r="P249" s="4">
        <v>4712.7551820770932</v>
      </c>
    </row>
    <row r="250" spans="1:16" x14ac:dyDescent="0.25">
      <c r="A250" s="1" t="s">
        <v>964</v>
      </c>
      <c r="B250" s="1" t="s">
        <v>682</v>
      </c>
      <c r="C250" s="10">
        <v>40829</v>
      </c>
      <c r="D250" s="3">
        <v>61.5</v>
      </c>
      <c r="E250" s="4">
        <v>4408.6666663040423</v>
      </c>
      <c r="F250" s="10">
        <v>40204</v>
      </c>
      <c r="G250" s="7">
        <v>6.9399999999999995</v>
      </c>
      <c r="H250" s="7">
        <v>13.239999999999998</v>
      </c>
      <c r="I250" s="7">
        <v>6.6</v>
      </c>
      <c r="J250" s="7">
        <v>10.96</v>
      </c>
      <c r="K250" s="6">
        <v>0.34138972809667673</v>
      </c>
      <c r="L250" s="6">
        <v>0.57099697885196388</v>
      </c>
      <c r="M250" s="6">
        <v>8.7613293051359453E-2</v>
      </c>
      <c r="N250" s="4">
        <v>1505.0735144784192</v>
      </c>
      <c r="O250" s="4">
        <v>2517.3353472249673</v>
      </c>
      <c r="P250" s="4">
        <v>4022.4088617033867</v>
      </c>
    </row>
    <row r="251" spans="1:16" x14ac:dyDescent="0.25">
      <c r="A251" s="1" t="s">
        <v>965</v>
      </c>
      <c r="B251" s="1" t="s">
        <v>682</v>
      </c>
      <c r="C251" s="10">
        <v>40829</v>
      </c>
      <c r="D251" s="3">
        <v>65.7</v>
      </c>
      <c r="E251" s="4">
        <v>4732.4931790441087</v>
      </c>
      <c r="F251" s="10">
        <v>40204</v>
      </c>
      <c r="G251" s="7">
        <v>8.1999999999999993</v>
      </c>
      <c r="H251" s="7">
        <v>15.759999999999998</v>
      </c>
      <c r="I251" s="7">
        <v>7.36</v>
      </c>
      <c r="J251" s="7">
        <v>12.48</v>
      </c>
      <c r="K251" s="6">
        <v>0.33502538071065996</v>
      </c>
      <c r="L251" s="6">
        <v>0.57614213197969555</v>
      </c>
      <c r="M251" s="6">
        <v>8.8832487309644437E-2</v>
      </c>
      <c r="N251" s="4">
        <v>1585.5053290198539</v>
      </c>
      <c r="O251" s="4">
        <v>2726.5887097538398</v>
      </c>
      <c r="P251" s="4">
        <v>4312.0940387736937</v>
      </c>
    </row>
    <row r="252" spans="1:16" x14ac:dyDescent="0.25">
      <c r="A252" s="1" t="s">
        <v>966</v>
      </c>
      <c r="B252" s="1" t="s">
        <v>682</v>
      </c>
      <c r="C252" s="10">
        <v>40829</v>
      </c>
      <c r="D252" s="3">
        <v>82.199999999999989</v>
      </c>
      <c r="E252" s="4">
        <v>6004.6687648086527</v>
      </c>
      <c r="F252" s="10">
        <v>40204</v>
      </c>
      <c r="G252" s="7">
        <v>6.76</v>
      </c>
      <c r="H252" s="7">
        <v>12.879999999999999</v>
      </c>
      <c r="I252" s="7">
        <v>6.48</v>
      </c>
      <c r="J252" s="7">
        <v>10.8</v>
      </c>
      <c r="K252" s="6">
        <v>0.34161490683229817</v>
      </c>
      <c r="L252" s="6">
        <v>0.57453416149068326</v>
      </c>
      <c r="M252" s="6">
        <v>8.3850931677018514E-2</v>
      </c>
      <c r="N252" s="4">
        <v>2051.2843606489187</v>
      </c>
      <c r="O252" s="4">
        <v>3449.8873338186359</v>
      </c>
      <c r="P252" s="4">
        <v>5501.1716944675545</v>
      </c>
    </row>
    <row r="253" spans="1:16" x14ac:dyDescent="0.25">
      <c r="A253" s="1" t="s">
        <v>967</v>
      </c>
      <c r="B253" s="1" t="s">
        <v>682</v>
      </c>
      <c r="C253" s="10">
        <v>40829</v>
      </c>
      <c r="D253" s="3">
        <v>53</v>
      </c>
      <c r="E253" s="4">
        <v>3753.3034857586704</v>
      </c>
      <c r="F253" s="10">
        <v>40204</v>
      </c>
      <c r="G253" s="7">
        <v>7.879999999999999</v>
      </c>
      <c r="H253" s="7">
        <v>15.119999999999997</v>
      </c>
      <c r="I253" s="7">
        <v>7.24</v>
      </c>
      <c r="J253" s="7">
        <v>12.12</v>
      </c>
      <c r="K253" s="6">
        <v>0.34126984126984133</v>
      </c>
      <c r="L253" s="6">
        <v>0.57671957671957674</v>
      </c>
      <c r="M253" s="6">
        <v>8.2010582010581867E-2</v>
      </c>
      <c r="N253" s="4">
        <v>1280.8892848224036</v>
      </c>
      <c r="O253" s="4">
        <v>2164.6035976068524</v>
      </c>
      <c r="P253" s="4">
        <v>3445.492882429256</v>
      </c>
    </row>
    <row r="254" spans="1:16" x14ac:dyDescent="0.25">
      <c r="A254" s="1" t="s">
        <v>968</v>
      </c>
      <c r="B254" s="1" t="s">
        <v>682</v>
      </c>
      <c r="C254" s="10">
        <v>40829</v>
      </c>
      <c r="D254" s="3">
        <v>66.8</v>
      </c>
      <c r="E254" s="4">
        <v>4817.3048847617447</v>
      </c>
      <c r="F254" s="10">
        <v>40204</v>
      </c>
      <c r="G254" s="7">
        <v>6.6400000000000006</v>
      </c>
      <c r="H254" s="7">
        <v>12.64</v>
      </c>
      <c r="I254" s="7">
        <v>6.32</v>
      </c>
      <c r="J254" s="7">
        <v>10.72</v>
      </c>
      <c r="K254" s="6">
        <v>0.33544303797468356</v>
      </c>
      <c r="L254" s="6">
        <v>0.57911392405063289</v>
      </c>
      <c r="M254" s="6">
        <v>8.5443037974683556E-2</v>
      </c>
      <c r="N254" s="4">
        <v>1615.9313853947624</v>
      </c>
      <c r="O254" s="4">
        <v>2789.7683351626561</v>
      </c>
      <c r="P254" s="4">
        <v>4405.6997205574189</v>
      </c>
    </row>
    <row r="255" spans="1:16" x14ac:dyDescent="0.25">
      <c r="A255" s="1" t="s">
        <v>969</v>
      </c>
      <c r="B255" s="1" t="s">
        <v>682</v>
      </c>
      <c r="C255" s="10">
        <v>40829</v>
      </c>
      <c r="D255" s="3">
        <v>63.400000000000006</v>
      </c>
      <c r="E255" s="4">
        <v>4555.1596125435963</v>
      </c>
      <c r="F255" s="10">
        <v>40204</v>
      </c>
      <c r="G255" s="7">
        <v>6.98</v>
      </c>
      <c r="H255" s="7">
        <v>13.32</v>
      </c>
      <c r="I255" s="7">
        <v>6.52</v>
      </c>
      <c r="J255" s="7">
        <v>11.32</v>
      </c>
      <c r="K255" s="6">
        <v>0.33333333333333331</v>
      </c>
      <c r="L255" s="6">
        <v>0.59459459459459463</v>
      </c>
      <c r="M255" s="6">
        <v>7.2072072072072113E-2</v>
      </c>
      <c r="N255" s="4">
        <v>1518.3865375145319</v>
      </c>
      <c r="O255" s="4">
        <v>2708.4732831340302</v>
      </c>
      <c r="P255" s="4">
        <v>4226.8598206485622</v>
      </c>
    </row>
    <row r="256" spans="1:16" x14ac:dyDescent="0.25">
      <c r="A256" s="1" t="s">
        <v>970</v>
      </c>
      <c r="B256" s="1" t="s">
        <v>682</v>
      </c>
      <c r="C256" s="10">
        <v>40829</v>
      </c>
      <c r="D256" s="3">
        <v>65.8</v>
      </c>
      <c r="E256" s="4">
        <v>4740.2033341093475</v>
      </c>
      <c r="F256" s="10">
        <v>40204</v>
      </c>
      <c r="G256" s="7">
        <v>6.66</v>
      </c>
      <c r="H256" s="7">
        <v>12.68</v>
      </c>
      <c r="I256" s="7">
        <v>6.32</v>
      </c>
      <c r="J256" s="7">
        <v>10.8</v>
      </c>
      <c r="K256" s="6">
        <v>0.33438485804416407</v>
      </c>
      <c r="L256" s="6">
        <v>0.58359621451104104</v>
      </c>
      <c r="M256" s="6">
        <v>8.2018927444794887E-2</v>
      </c>
      <c r="N256" s="4">
        <v>1585.0522189766273</v>
      </c>
      <c r="O256" s="4">
        <v>2766.3647217988305</v>
      </c>
      <c r="P256" s="4">
        <v>4351.416940775458</v>
      </c>
    </row>
    <row r="257" spans="1:16" x14ac:dyDescent="0.25">
      <c r="A257" s="1" t="s">
        <v>971</v>
      </c>
      <c r="B257" s="1" t="s">
        <v>682</v>
      </c>
      <c r="C257" s="10">
        <v>40829</v>
      </c>
      <c r="D257" s="3">
        <v>55.7</v>
      </c>
      <c r="E257" s="4">
        <v>3961.4776725201418</v>
      </c>
      <c r="F257" s="10">
        <v>40204</v>
      </c>
      <c r="G257" s="7">
        <v>7.5</v>
      </c>
      <c r="H257" s="7">
        <v>14.36</v>
      </c>
      <c r="I257" s="7">
        <v>6.88</v>
      </c>
      <c r="J257" s="7">
        <v>11.52</v>
      </c>
      <c r="K257" s="6">
        <v>0.33426183844011143</v>
      </c>
      <c r="L257" s="6">
        <v>0.56545961002785516</v>
      </c>
      <c r="M257" s="6">
        <v>0.10027855153203336</v>
      </c>
      <c r="N257" s="4">
        <v>1324.1708097560363</v>
      </c>
      <c r="O257" s="4">
        <v>2240.0556198372947</v>
      </c>
      <c r="P257" s="4">
        <v>3564.226429593331</v>
      </c>
    </row>
    <row r="258" spans="1:16" x14ac:dyDescent="0.25">
      <c r="A258" s="1" t="s">
        <v>972</v>
      </c>
      <c r="B258" s="1" t="s">
        <v>682</v>
      </c>
      <c r="C258" s="10">
        <v>40829</v>
      </c>
      <c r="D258" s="3">
        <v>53</v>
      </c>
      <c r="E258" s="4">
        <v>3753.3034857586704</v>
      </c>
      <c r="F258" s="10">
        <v>40204</v>
      </c>
      <c r="G258" s="7">
        <v>6.8599999999999994</v>
      </c>
      <c r="H258" s="7">
        <v>13.079999999999998</v>
      </c>
      <c r="I258" s="7">
        <v>6.4</v>
      </c>
      <c r="J258" s="7">
        <v>10.96</v>
      </c>
      <c r="K258" s="6">
        <v>0.33027522935779824</v>
      </c>
      <c r="L258" s="6">
        <v>0.57798165137614688</v>
      </c>
      <c r="M258" s="6">
        <v>9.174311926605494E-2</v>
      </c>
      <c r="N258" s="4">
        <v>1239.6231696083685</v>
      </c>
      <c r="O258" s="4">
        <v>2169.3405468146448</v>
      </c>
      <c r="P258" s="4">
        <v>3408.9637164230135</v>
      </c>
    </row>
    <row r="259" spans="1:16" x14ac:dyDescent="0.25">
      <c r="A259" s="1" t="s">
        <v>973</v>
      </c>
      <c r="B259" s="1" t="s">
        <v>682</v>
      </c>
      <c r="C259" s="10">
        <v>40829</v>
      </c>
      <c r="D259" s="3">
        <v>67.599999999999994</v>
      </c>
      <c r="E259" s="4">
        <v>4878.9861252836617</v>
      </c>
      <c r="F259" s="10">
        <v>40204</v>
      </c>
      <c r="G259" s="7">
        <v>7.3599999999999994</v>
      </c>
      <c r="H259" s="7">
        <v>14.079999999999998</v>
      </c>
      <c r="I259" s="7">
        <v>6.84</v>
      </c>
      <c r="J259" s="7">
        <v>11.56</v>
      </c>
      <c r="K259" s="6">
        <v>0.33806818181818182</v>
      </c>
      <c r="L259" s="6">
        <v>0.57954545454545459</v>
      </c>
      <c r="M259" s="6">
        <v>8.2386363636363535E-2</v>
      </c>
      <c r="N259" s="4">
        <v>1649.4299684907835</v>
      </c>
      <c r="O259" s="4">
        <v>2827.5942316984861</v>
      </c>
      <c r="P259" s="4">
        <v>4477.0242001892693</v>
      </c>
    </row>
    <row r="260" spans="1:16" x14ac:dyDescent="0.25">
      <c r="A260" s="1" t="s">
        <v>974</v>
      </c>
      <c r="B260" s="1" t="s">
        <v>682</v>
      </c>
      <c r="C260" s="10">
        <v>40829</v>
      </c>
      <c r="D260" s="3">
        <v>61.3</v>
      </c>
      <c r="E260" s="4">
        <v>4393.2463561735631</v>
      </c>
      <c r="F260" s="10">
        <v>40204</v>
      </c>
      <c r="G260" s="7">
        <v>6.9</v>
      </c>
      <c r="H260" s="7">
        <v>13.16</v>
      </c>
      <c r="I260" s="7">
        <v>6.56</v>
      </c>
      <c r="J260" s="7">
        <v>11.04</v>
      </c>
      <c r="K260" s="6">
        <v>0.34042553191489355</v>
      </c>
      <c r="L260" s="6">
        <v>0.58054711246200597</v>
      </c>
      <c r="M260" s="6">
        <v>7.9027355623100481E-2</v>
      </c>
      <c r="N260" s="4">
        <v>1495.5732276335532</v>
      </c>
      <c r="O260" s="4">
        <v>2550.4864864107913</v>
      </c>
      <c r="P260" s="4">
        <v>4046.0597140443442</v>
      </c>
    </row>
    <row r="261" spans="1:16" x14ac:dyDescent="0.25">
      <c r="A261" s="1" t="s">
        <v>975</v>
      </c>
      <c r="B261" s="1" t="s">
        <v>682</v>
      </c>
      <c r="C261" s="10">
        <v>40829</v>
      </c>
      <c r="D261" s="3">
        <v>64.7</v>
      </c>
      <c r="E261" s="4">
        <v>4655.3916283917115</v>
      </c>
      <c r="F261" s="10">
        <v>40204</v>
      </c>
      <c r="G261" s="7">
        <v>7.6400000000000006</v>
      </c>
      <c r="H261" s="7">
        <v>14.64</v>
      </c>
      <c r="I261" s="7">
        <v>6.96</v>
      </c>
      <c r="J261" s="7">
        <v>11.88</v>
      </c>
      <c r="K261" s="6">
        <v>0.33333333333333331</v>
      </c>
      <c r="L261" s="6">
        <v>0.57923497267759561</v>
      </c>
      <c r="M261" s="6">
        <v>8.7431693989071135E-2</v>
      </c>
      <c r="N261" s="4">
        <v>1551.7972094639038</v>
      </c>
      <c r="O261" s="4">
        <v>2696.5656426749802</v>
      </c>
      <c r="P261" s="4">
        <v>4248.3628521388837</v>
      </c>
    </row>
    <row r="262" spans="1:16" x14ac:dyDescent="0.25">
      <c r="A262" s="1" t="s">
        <v>976</v>
      </c>
      <c r="B262" s="1" t="s">
        <v>682</v>
      </c>
      <c r="C262" s="10">
        <v>40829</v>
      </c>
      <c r="D262" s="3">
        <v>57.400000000000006</v>
      </c>
      <c r="E262" s="4">
        <v>4092.550308629216</v>
      </c>
      <c r="F262" s="10">
        <v>40204</v>
      </c>
      <c r="G262" s="7">
        <v>6.76</v>
      </c>
      <c r="H262" s="7">
        <v>12.879999999999999</v>
      </c>
      <c r="I262" s="7">
        <v>6.36</v>
      </c>
      <c r="J262" s="7">
        <v>10.8</v>
      </c>
      <c r="K262" s="6">
        <v>0.3322981366459628</v>
      </c>
      <c r="L262" s="6">
        <v>0.57453416149068326</v>
      </c>
      <c r="M262" s="6">
        <v>9.3167701863353991E-2</v>
      </c>
      <c r="N262" s="4">
        <v>1359.9468416873485</v>
      </c>
      <c r="O262" s="4">
        <v>2351.3099599267234</v>
      </c>
      <c r="P262" s="4">
        <v>3711.2568016140722</v>
      </c>
    </row>
    <row r="263" spans="1:16" x14ac:dyDescent="0.25">
      <c r="A263" s="1" t="s">
        <v>977</v>
      </c>
      <c r="B263" s="1" t="s">
        <v>682</v>
      </c>
      <c r="C263" s="10">
        <v>40829</v>
      </c>
      <c r="D263" s="3">
        <v>62.199999999999996</v>
      </c>
      <c r="E263" s="4">
        <v>4462.6377517607189</v>
      </c>
      <c r="F263" s="10">
        <v>40204</v>
      </c>
      <c r="G263" s="7">
        <v>7.5399999999999991</v>
      </c>
      <c r="H263" s="7">
        <v>14.439999999999998</v>
      </c>
      <c r="I263" s="7">
        <v>6.88</v>
      </c>
      <c r="J263" s="7">
        <v>11.72</v>
      </c>
      <c r="K263" s="6">
        <v>0.33240997229916902</v>
      </c>
      <c r="L263" s="6">
        <v>0.57617728531855972</v>
      </c>
      <c r="M263" s="6">
        <v>9.1412742382271261E-2</v>
      </c>
      <c r="N263" s="4">
        <v>1483.4252914440065</v>
      </c>
      <c r="O263" s="4">
        <v>2571.2705051696116</v>
      </c>
      <c r="P263" s="4">
        <v>4054.6957966136179</v>
      </c>
    </row>
    <row r="264" spans="1:16" x14ac:dyDescent="0.25">
      <c r="A264" s="1" t="s">
        <v>978</v>
      </c>
      <c r="B264" s="1" t="s">
        <v>682</v>
      </c>
      <c r="C264" s="10">
        <v>40829</v>
      </c>
      <c r="D264" s="3">
        <v>60.7</v>
      </c>
      <c r="E264" s="4">
        <v>4346.9854257821253</v>
      </c>
      <c r="F264" s="10">
        <v>40204</v>
      </c>
      <c r="G264" s="7">
        <v>7.34</v>
      </c>
      <c r="H264" s="7">
        <v>14.04</v>
      </c>
      <c r="I264" s="7">
        <v>6.68</v>
      </c>
      <c r="J264" s="7">
        <v>11.52</v>
      </c>
      <c r="K264" s="6">
        <v>0.32763532763532766</v>
      </c>
      <c r="L264" s="6">
        <v>0.57834757834757833</v>
      </c>
      <c r="M264" s="6">
        <v>9.4017094017094016E-2</v>
      </c>
      <c r="N264" s="4">
        <v>1424.225994202121</v>
      </c>
      <c r="O264" s="4">
        <v>2514.068494113309</v>
      </c>
      <c r="P264" s="4">
        <v>3938.29448831543</v>
      </c>
    </row>
    <row r="265" spans="1:16" x14ac:dyDescent="0.25">
      <c r="A265" s="1" t="s">
        <v>979</v>
      </c>
      <c r="B265" s="1" t="s">
        <v>682</v>
      </c>
      <c r="C265" s="10">
        <v>40829</v>
      </c>
      <c r="D265" s="3">
        <v>57.9</v>
      </c>
      <c r="E265" s="4">
        <v>4131.1010839554137</v>
      </c>
      <c r="F265" s="10">
        <v>40204</v>
      </c>
      <c r="G265" s="7">
        <v>7.3</v>
      </c>
      <c r="H265" s="7">
        <v>13.959999999999999</v>
      </c>
      <c r="I265" s="7">
        <v>6.8</v>
      </c>
      <c r="J265" s="7">
        <v>11.6</v>
      </c>
      <c r="K265" s="6">
        <v>0.33810888252148996</v>
      </c>
      <c r="L265" s="6">
        <v>0.58739255014326641</v>
      </c>
      <c r="M265" s="6">
        <v>7.4498567335243626E-2</v>
      </c>
      <c r="N265" s="4">
        <v>1396.7619710794809</v>
      </c>
      <c r="O265" s="4">
        <v>2426.5780006041828</v>
      </c>
      <c r="P265" s="4">
        <v>3823.3399716836639</v>
      </c>
    </row>
    <row r="266" spans="1:16" x14ac:dyDescent="0.25">
      <c r="A266" s="1" t="s">
        <v>980</v>
      </c>
      <c r="B266" s="1" t="s">
        <v>682</v>
      </c>
      <c r="C266" s="10">
        <v>40829</v>
      </c>
      <c r="D266" s="3">
        <v>51.1</v>
      </c>
      <c r="E266" s="4">
        <v>3606.8105395191164</v>
      </c>
      <c r="F266" s="10">
        <v>40204</v>
      </c>
      <c r="G266" s="7">
        <v>8</v>
      </c>
      <c r="H266" s="7">
        <v>15.36</v>
      </c>
      <c r="I266" s="7">
        <v>7.04</v>
      </c>
      <c r="J266" s="7">
        <v>12.28</v>
      </c>
      <c r="K266" s="6">
        <v>0.32291666666666669</v>
      </c>
      <c r="L266" s="6">
        <v>0.578125</v>
      </c>
      <c r="M266" s="6">
        <v>9.8958333333333259E-2</v>
      </c>
      <c r="N266" s="4">
        <v>1164.6992367197147</v>
      </c>
      <c r="O266" s="4">
        <v>2085.187343159489</v>
      </c>
      <c r="P266" s="4">
        <v>3249.886579879204</v>
      </c>
    </row>
    <row r="267" spans="1:16" x14ac:dyDescent="0.25">
      <c r="A267" s="1" t="s">
        <v>981</v>
      </c>
      <c r="B267" s="1" t="s">
        <v>682</v>
      </c>
      <c r="C267" s="10">
        <v>40829</v>
      </c>
      <c r="D267" s="3">
        <v>59.9</v>
      </c>
      <c r="E267" s="4">
        <v>4285.3041852602073</v>
      </c>
      <c r="F267" s="10">
        <v>40204</v>
      </c>
      <c r="G267" s="7">
        <v>6.52</v>
      </c>
      <c r="H267" s="7">
        <v>12.399999999999999</v>
      </c>
      <c r="I267" s="7">
        <v>6.16</v>
      </c>
      <c r="J267" s="7">
        <v>10.68</v>
      </c>
      <c r="K267" s="6">
        <v>0.32903225806451619</v>
      </c>
      <c r="L267" s="6">
        <v>0.58709677419354844</v>
      </c>
      <c r="M267" s="6">
        <v>8.3870967741935365E-2</v>
      </c>
      <c r="N267" s="4">
        <v>1410.0033125694879</v>
      </c>
      <c r="O267" s="4">
        <v>2515.88826360438</v>
      </c>
      <c r="P267" s="4">
        <v>3925.8915761738681</v>
      </c>
    </row>
    <row r="268" spans="1:16" x14ac:dyDescent="0.25">
      <c r="A268" s="1" t="s">
        <v>982</v>
      </c>
      <c r="B268" s="1" t="s">
        <v>682</v>
      </c>
      <c r="C268" s="10">
        <v>40829</v>
      </c>
      <c r="D268" s="3">
        <v>64</v>
      </c>
      <c r="E268" s="4">
        <v>4601.4205429350341</v>
      </c>
      <c r="F268" s="10">
        <v>40204</v>
      </c>
      <c r="G268" s="7">
        <v>8.0599999999999987</v>
      </c>
      <c r="H268" s="7">
        <v>15.479999999999997</v>
      </c>
      <c r="I268" s="7">
        <v>7.12</v>
      </c>
      <c r="J268" s="7">
        <v>12.24</v>
      </c>
      <c r="K268" s="6">
        <v>0.32558139534883729</v>
      </c>
      <c r="L268" s="6">
        <v>0.57105943152454786</v>
      </c>
      <c r="M268" s="6">
        <v>0.1033591731266148</v>
      </c>
      <c r="N268" s="4">
        <v>1498.1369209555928</v>
      </c>
      <c r="O268" s="4">
        <v>2627.6845994538571</v>
      </c>
      <c r="P268" s="4">
        <v>4125.8215204094504</v>
      </c>
    </row>
    <row r="269" spans="1:16" x14ac:dyDescent="0.25">
      <c r="A269" s="1" t="s">
        <v>983</v>
      </c>
      <c r="B269" s="1" t="s">
        <v>682</v>
      </c>
      <c r="C269" s="10">
        <v>40829</v>
      </c>
      <c r="D269" s="3">
        <v>69</v>
      </c>
      <c r="E269" s="4">
        <v>4986.9282961970175</v>
      </c>
      <c r="F269" s="10">
        <v>40204</v>
      </c>
      <c r="G269" s="7">
        <v>7.02</v>
      </c>
      <c r="H269" s="7">
        <v>13.399999999999999</v>
      </c>
      <c r="I269" s="7">
        <v>6.44</v>
      </c>
      <c r="J269" s="7">
        <v>11.12</v>
      </c>
      <c r="K269" s="6">
        <v>0.32537313432835829</v>
      </c>
      <c r="L269" s="6">
        <v>0.57611940298507458</v>
      </c>
      <c r="M269" s="6">
        <v>9.8507462686567071E-2</v>
      </c>
      <c r="N269" s="4">
        <v>1622.6124904044032</v>
      </c>
      <c r="O269" s="4">
        <v>2873.0661527344009</v>
      </c>
      <c r="P269" s="4">
        <v>4495.6786431388045</v>
      </c>
    </row>
    <row r="270" spans="1:16" x14ac:dyDescent="0.25">
      <c r="A270" s="1" t="s">
        <v>984</v>
      </c>
      <c r="B270" s="1" t="s">
        <v>682</v>
      </c>
      <c r="C270" s="10">
        <v>40829</v>
      </c>
      <c r="D270" s="3">
        <v>63.5</v>
      </c>
      <c r="E270" s="4">
        <v>4562.8697676088359</v>
      </c>
      <c r="F270" s="10">
        <v>40204</v>
      </c>
      <c r="G270" s="7">
        <v>6.78</v>
      </c>
      <c r="H270" s="7">
        <v>12.92</v>
      </c>
      <c r="I270" s="7">
        <v>6.32</v>
      </c>
      <c r="J270" s="7">
        <v>11.04</v>
      </c>
      <c r="K270" s="6">
        <v>0.32817337461300311</v>
      </c>
      <c r="L270" s="6">
        <v>0.59133126934984515</v>
      </c>
      <c r="M270" s="6">
        <v>8.0495356037151744E-2</v>
      </c>
      <c r="N270" s="4">
        <v>1497.412369555841</v>
      </c>
      <c r="O270" s="4">
        <v>2698.1675715581659</v>
      </c>
      <c r="P270" s="4">
        <v>4195.5799411140069</v>
      </c>
    </row>
    <row r="271" spans="1:16" x14ac:dyDescent="0.25">
      <c r="A271" s="1" t="s">
        <v>985</v>
      </c>
      <c r="B271" s="1" t="s">
        <v>682</v>
      </c>
      <c r="C271" s="10">
        <v>40829</v>
      </c>
      <c r="D271" s="3">
        <v>66.400000000000006</v>
      </c>
      <c r="E271" s="4">
        <v>4786.4642645007862</v>
      </c>
      <c r="F271" s="10">
        <v>40204</v>
      </c>
      <c r="G271" s="7">
        <v>7.02</v>
      </c>
      <c r="H271" s="7">
        <v>13.399999999999999</v>
      </c>
      <c r="I271" s="7">
        <v>6.48</v>
      </c>
      <c r="J271" s="7">
        <v>11.12</v>
      </c>
      <c r="K271" s="6">
        <v>0.32835820895522394</v>
      </c>
      <c r="L271" s="6">
        <v>0.57611940298507458</v>
      </c>
      <c r="M271" s="6">
        <v>9.552238805970148E-2</v>
      </c>
      <c r="N271" s="4">
        <v>1571.6748331196613</v>
      </c>
      <c r="O271" s="4">
        <v>2757.5749344735868</v>
      </c>
      <c r="P271" s="4">
        <v>4329.2497675932482</v>
      </c>
    </row>
    <row r="272" spans="1:16" x14ac:dyDescent="0.25">
      <c r="A272" s="1" t="s">
        <v>986</v>
      </c>
      <c r="B272" s="1" t="s">
        <v>682</v>
      </c>
      <c r="C272" s="10">
        <v>40829</v>
      </c>
      <c r="D272" s="3">
        <v>64.899999999999991</v>
      </c>
      <c r="E272" s="4">
        <v>4670.8119385221908</v>
      </c>
      <c r="F272" s="10">
        <v>40204</v>
      </c>
      <c r="G272" s="7">
        <v>7.68</v>
      </c>
      <c r="H272" s="7">
        <v>14.719999999999999</v>
      </c>
      <c r="I272" s="7">
        <v>6.84</v>
      </c>
      <c r="J272" s="7">
        <v>11.76</v>
      </c>
      <c r="K272" s="6">
        <v>0.3233695652173913</v>
      </c>
      <c r="L272" s="6">
        <v>0.56793478260869568</v>
      </c>
      <c r="M272" s="6">
        <v>0.10869565217391297</v>
      </c>
      <c r="N272" s="4">
        <v>1510.3984257721215</v>
      </c>
      <c r="O272" s="4">
        <v>2652.7165629107008</v>
      </c>
      <c r="P272" s="4">
        <v>4163.1149886828225</v>
      </c>
    </row>
    <row r="273" spans="1:16" x14ac:dyDescent="0.25">
      <c r="A273" s="1" t="s">
        <v>987</v>
      </c>
      <c r="B273" s="1" t="s">
        <v>682</v>
      </c>
      <c r="C273" s="10">
        <v>40829</v>
      </c>
      <c r="D273" s="3">
        <v>62</v>
      </c>
      <c r="E273" s="4">
        <v>4447.2174416302405</v>
      </c>
      <c r="F273" s="10">
        <v>40204</v>
      </c>
      <c r="G273" s="7">
        <v>7.86</v>
      </c>
      <c r="H273" s="7">
        <v>15.08</v>
      </c>
      <c r="I273" s="7">
        <v>7.08</v>
      </c>
      <c r="J273" s="7">
        <v>12.12</v>
      </c>
      <c r="K273" s="6">
        <v>0.33156498673740054</v>
      </c>
      <c r="L273" s="6">
        <v>0.57824933687002644</v>
      </c>
      <c r="M273" s="6">
        <v>9.0185676392573022E-2</v>
      </c>
      <c r="N273" s="4">
        <v>1474.541592052467</v>
      </c>
      <c r="O273" s="4">
        <v>2571.6005365395022</v>
      </c>
      <c r="P273" s="4">
        <v>4046.1421285919691</v>
      </c>
    </row>
    <row r="274" spans="1:16" x14ac:dyDescent="0.25">
      <c r="A274" s="1" t="s">
        <v>988</v>
      </c>
      <c r="B274" s="1" t="s">
        <v>682</v>
      </c>
      <c r="C274" s="10">
        <v>40829</v>
      </c>
      <c r="D274" s="3">
        <v>68.8</v>
      </c>
      <c r="E274" s="4">
        <v>4971.5079860665373</v>
      </c>
      <c r="F274" s="10">
        <v>40204</v>
      </c>
      <c r="G274" s="7">
        <v>7.84</v>
      </c>
      <c r="H274" s="7">
        <v>15.04</v>
      </c>
      <c r="I274" s="7">
        <v>7.04</v>
      </c>
      <c r="J274" s="7">
        <v>12.04</v>
      </c>
      <c r="K274" s="6">
        <v>0.32978723404255322</v>
      </c>
      <c r="L274" s="6">
        <v>0.57446808510638292</v>
      </c>
      <c r="M274" s="6">
        <v>9.5744680851063912E-2</v>
      </c>
      <c r="N274" s="4">
        <v>1639.5398677453477</v>
      </c>
      <c r="O274" s="4">
        <v>2855.972672846734</v>
      </c>
      <c r="P274" s="4">
        <v>4495.5125405920817</v>
      </c>
    </row>
    <row r="275" spans="1:16" x14ac:dyDescent="0.25">
      <c r="A275" s="1" t="s">
        <v>989</v>
      </c>
      <c r="B275" s="1" t="s">
        <v>682</v>
      </c>
      <c r="C275" s="10">
        <v>40829</v>
      </c>
      <c r="D275" s="3">
        <v>65.7</v>
      </c>
      <c r="E275" s="4">
        <v>4732.4931790441087</v>
      </c>
      <c r="F275" s="10">
        <v>40204</v>
      </c>
      <c r="G275" s="7">
        <v>7.24</v>
      </c>
      <c r="H275" s="7">
        <v>13.84</v>
      </c>
      <c r="I275" s="7">
        <v>6.64</v>
      </c>
      <c r="J275" s="7">
        <v>11.36</v>
      </c>
      <c r="K275" s="6">
        <v>0.32947976878612717</v>
      </c>
      <c r="L275" s="6">
        <v>0.57514450867052014</v>
      </c>
      <c r="M275" s="6">
        <v>9.5375722543352692E-2</v>
      </c>
      <c r="N275" s="4">
        <v>1559.2607584133768</v>
      </c>
      <c r="O275" s="4">
        <v>2721.8674642479118</v>
      </c>
      <c r="P275" s="4">
        <v>4281.1282226612884</v>
      </c>
    </row>
    <row r="276" spans="1:16" x14ac:dyDescent="0.25">
      <c r="A276" s="1" t="s">
        <v>990</v>
      </c>
      <c r="B276" s="1" t="s">
        <v>682</v>
      </c>
      <c r="C276" s="10">
        <v>40829</v>
      </c>
      <c r="D276" s="3">
        <v>56.300000000000004</v>
      </c>
      <c r="E276" s="4">
        <v>4007.7386029115796</v>
      </c>
      <c r="F276" s="10">
        <v>40204</v>
      </c>
      <c r="G276" s="7">
        <v>5.26</v>
      </c>
      <c r="H276" s="7">
        <v>9.879999999999999</v>
      </c>
      <c r="I276" s="7">
        <v>5.2</v>
      </c>
      <c r="J276" s="7">
        <v>9</v>
      </c>
      <c r="K276" s="6">
        <v>0.31578947368421056</v>
      </c>
      <c r="L276" s="6">
        <v>0.5668016194331984</v>
      </c>
      <c r="M276" s="6">
        <v>0.11740890688259098</v>
      </c>
      <c r="N276" s="4">
        <v>1265.6016640773412</v>
      </c>
      <c r="O276" s="4">
        <v>2271.5927303952276</v>
      </c>
      <c r="P276" s="4">
        <v>3537.194394472569</v>
      </c>
    </row>
    <row r="277" spans="1:16" x14ac:dyDescent="0.25">
      <c r="A277" s="1" t="s">
        <v>991</v>
      </c>
      <c r="B277" s="1" t="s">
        <v>682</v>
      </c>
      <c r="C277" s="10">
        <v>40829</v>
      </c>
      <c r="D277" s="3">
        <v>53.3</v>
      </c>
      <c r="E277" s="4">
        <v>3776.4339509543893</v>
      </c>
      <c r="F277" s="10">
        <v>40204</v>
      </c>
      <c r="G277" s="7">
        <v>6.8</v>
      </c>
      <c r="H277" s="7">
        <v>12.959999999999999</v>
      </c>
      <c r="I277" s="7">
        <v>6.28</v>
      </c>
      <c r="J277" s="7">
        <v>11.04</v>
      </c>
      <c r="K277" s="6">
        <v>0.32407407407407413</v>
      </c>
      <c r="L277" s="6">
        <v>0.58950617283950613</v>
      </c>
      <c r="M277" s="6">
        <v>8.6419753086419693E-2</v>
      </c>
      <c r="N277" s="4">
        <v>1223.8443359574412</v>
      </c>
      <c r="O277" s="4">
        <v>2226.2311254082974</v>
      </c>
      <c r="P277" s="4">
        <v>3450.0754613657386</v>
      </c>
    </row>
    <row r="278" spans="1:16" x14ac:dyDescent="0.25">
      <c r="A278" s="1" t="s">
        <v>992</v>
      </c>
      <c r="B278" s="1" t="s">
        <v>682</v>
      </c>
      <c r="C278" s="10">
        <v>40829</v>
      </c>
      <c r="D278" s="3">
        <v>60</v>
      </c>
      <c r="E278" s="4">
        <v>4293.0143403254469</v>
      </c>
      <c r="F278" s="10">
        <v>40204</v>
      </c>
      <c r="G278" s="7">
        <v>6.3000000000000007</v>
      </c>
      <c r="H278" s="7">
        <v>11.96</v>
      </c>
      <c r="I278" s="7">
        <v>6</v>
      </c>
      <c r="J278" s="7">
        <v>10.48</v>
      </c>
      <c r="K278" s="6">
        <v>0.32775919732441466</v>
      </c>
      <c r="L278" s="6">
        <v>0.59197324414715713</v>
      </c>
      <c r="M278" s="6">
        <v>8.0267558528428151E-2</v>
      </c>
      <c r="N278" s="4">
        <v>1407.07493428727</v>
      </c>
      <c r="O278" s="4">
        <v>2541.3496262127223</v>
      </c>
      <c r="P278" s="4">
        <v>3948.4245604999924</v>
      </c>
    </row>
    <row r="279" spans="1:16" x14ac:dyDescent="0.25">
      <c r="A279" s="1" t="s">
        <v>993</v>
      </c>
      <c r="B279" s="1" t="s">
        <v>682</v>
      </c>
      <c r="C279" s="10">
        <v>40829</v>
      </c>
      <c r="D279" s="3">
        <v>66.599999999999994</v>
      </c>
      <c r="E279" s="4">
        <v>4801.8845746312645</v>
      </c>
      <c r="F279" s="10">
        <v>40204</v>
      </c>
      <c r="G279" s="7">
        <v>6.5</v>
      </c>
      <c r="H279" s="7">
        <v>12.36</v>
      </c>
      <c r="I279" s="7">
        <v>6.08</v>
      </c>
      <c r="J279" s="7">
        <v>10.48</v>
      </c>
      <c r="K279" s="6">
        <v>0.3236245954692557</v>
      </c>
      <c r="L279" s="6">
        <v>0.5728155339805826</v>
      </c>
      <c r="M279" s="6">
        <v>0.10355987055016169</v>
      </c>
      <c r="N279" s="4">
        <v>1554.0079529551019</v>
      </c>
      <c r="O279" s="4">
        <v>2750.5940767305306</v>
      </c>
      <c r="P279" s="4">
        <v>4304.6020296856323</v>
      </c>
    </row>
    <row r="280" spans="1:16" x14ac:dyDescent="0.25">
      <c r="A280" s="1" t="s">
        <v>994</v>
      </c>
      <c r="B280" s="1" t="s">
        <v>682</v>
      </c>
      <c r="C280" s="10">
        <v>40829</v>
      </c>
      <c r="D280" s="3">
        <v>61.2</v>
      </c>
      <c r="E280" s="4">
        <v>4385.5362011083234</v>
      </c>
      <c r="F280" s="10">
        <v>40204</v>
      </c>
      <c r="G280" s="7">
        <v>7.6400000000000006</v>
      </c>
      <c r="H280" s="7">
        <v>14.64</v>
      </c>
      <c r="I280" s="7">
        <v>6.84</v>
      </c>
      <c r="J280" s="7">
        <v>11.8</v>
      </c>
      <c r="K280" s="6">
        <v>0.3251366120218579</v>
      </c>
      <c r="L280" s="6">
        <v>0.57377049180327866</v>
      </c>
      <c r="M280" s="6">
        <v>0.10109289617486339</v>
      </c>
      <c r="N280" s="4">
        <v>1425.8983823275696</v>
      </c>
      <c r="O280" s="4">
        <v>2516.2912629310053</v>
      </c>
      <c r="P280" s="4">
        <v>3942.1896452585752</v>
      </c>
    </row>
    <row r="281" spans="1:16" x14ac:dyDescent="0.25">
      <c r="A281" s="1" t="s">
        <v>995</v>
      </c>
      <c r="B281" s="1" t="s">
        <v>682</v>
      </c>
      <c r="C281" s="10">
        <v>40829</v>
      </c>
      <c r="D281" s="3">
        <v>60.900000000000006</v>
      </c>
      <c r="E281" s="4">
        <v>4362.4057359126045</v>
      </c>
      <c r="F281" s="10">
        <v>40204</v>
      </c>
      <c r="G281" s="7">
        <v>6.26</v>
      </c>
      <c r="H281" s="7">
        <v>11.879999999999999</v>
      </c>
      <c r="I281" s="7">
        <v>5.96</v>
      </c>
      <c r="J281" s="7">
        <v>10.32</v>
      </c>
      <c r="K281" s="6">
        <v>0.32659932659932661</v>
      </c>
      <c r="L281" s="6">
        <v>0.5824915824915825</v>
      </c>
      <c r="M281" s="6">
        <v>9.0909090909090939E-2</v>
      </c>
      <c r="N281" s="4">
        <v>1424.7587757020965</v>
      </c>
      <c r="O281" s="4">
        <v>2541.0646205820894</v>
      </c>
      <c r="P281" s="4">
        <v>3965.8233962841859</v>
      </c>
    </row>
    <row r="282" spans="1:16" x14ac:dyDescent="0.25">
      <c r="A282" s="1" t="s">
        <v>996</v>
      </c>
      <c r="B282" s="1" t="s">
        <v>682</v>
      </c>
      <c r="C282" s="10">
        <v>40829</v>
      </c>
      <c r="D282" s="3">
        <v>61.4</v>
      </c>
      <c r="E282" s="4">
        <v>4400.9565112388027</v>
      </c>
      <c r="F282" s="10">
        <v>40204</v>
      </c>
      <c r="G282" s="7">
        <v>5.98</v>
      </c>
      <c r="H282" s="7">
        <v>11.32</v>
      </c>
      <c r="I282" s="7">
        <v>5.84</v>
      </c>
      <c r="J282" s="7">
        <v>10.08</v>
      </c>
      <c r="K282" s="6">
        <v>0.33215547703180209</v>
      </c>
      <c r="L282" s="6">
        <v>0.59010600706713778</v>
      </c>
      <c r="M282" s="6">
        <v>7.7738515901060179E-2</v>
      </c>
      <c r="N282" s="4">
        <v>1461.8018093867399</v>
      </c>
      <c r="O282" s="4">
        <v>2597.0308741232511</v>
      </c>
      <c r="P282" s="4">
        <v>4058.8326835099911</v>
      </c>
    </row>
    <row r="283" spans="1:16" x14ac:dyDescent="0.25">
      <c r="A283" s="1" t="s">
        <v>997</v>
      </c>
      <c r="B283" s="1" t="s">
        <v>682</v>
      </c>
      <c r="C283" s="10">
        <v>40829</v>
      </c>
      <c r="D283" s="3">
        <v>58.5</v>
      </c>
      <c r="E283" s="4">
        <v>4177.3620143468524</v>
      </c>
      <c r="F283" s="10">
        <v>40204</v>
      </c>
      <c r="G283" s="7">
        <v>6.16</v>
      </c>
      <c r="H283" s="7">
        <v>11.68</v>
      </c>
      <c r="I283" s="7">
        <v>5.84</v>
      </c>
      <c r="J283" s="7">
        <v>10.08</v>
      </c>
      <c r="K283" s="6">
        <v>0.32191780821917809</v>
      </c>
      <c r="L283" s="6">
        <v>0.57191780821917804</v>
      </c>
      <c r="M283" s="6">
        <v>0.10616438356164393</v>
      </c>
      <c r="N283" s="4">
        <v>1344.7672237965896</v>
      </c>
      <c r="O283" s="4">
        <v>2389.1077273833025</v>
      </c>
      <c r="P283" s="4">
        <v>3733.8749511798924</v>
      </c>
    </row>
    <row r="284" spans="1:16" x14ac:dyDescent="0.25">
      <c r="A284" s="1" t="s">
        <v>998</v>
      </c>
      <c r="B284" s="1" t="s">
        <v>682</v>
      </c>
      <c r="C284" s="10">
        <v>40829</v>
      </c>
      <c r="D284" s="3">
        <v>59.5</v>
      </c>
      <c r="E284" s="4">
        <v>4254.4635649992488</v>
      </c>
      <c r="F284" s="10">
        <v>40204</v>
      </c>
      <c r="G284" s="7">
        <v>6.62</v>
      </c>
      <c r="H284" s="7">
        <v>12.6</v>
      </c>
      <c r="I284" s="7">
        <v>6.08</v>
      </c>
      <c r="J284" s="7">
        <v>10.64</v>
      </c>
      <c r="K284" s="6">
        <v>0.31746031746031744</v>
      </c>
      <c r="L284" s="6">
        <v>0.57460317460317467</v>
      </c>
      <c r="M284" s="6">
        <v>0.10793650793650789</v>
      </c>
      <c r="N284" s="4">
        <v>1350.6233539680154</v>
      </c>
      <c r="O284" s="4">
        <v>2444.6282706821085</v>
      </c>
      <c r="P284" s="4">
        <v>3795.2516246501236</v>
      </c>
    </row>
    <row r="285" spans="1:16" x14ac:dyDescent="0.25">
      <c r="A285" s="1" t="s">
        <v>999</v>
      </c>
      <c r="B285" s="1" t="s">
        <v>682</v>
      </c>
      <c r="C285" s="10">
        <v>40829</v>
      </c>
      <c r="D285" s="3">
        <v>57.5</v>
      </c>
      <c r="E285" s="4">
        <v>4100.2604636944552</v>
      </c>
      <c r="F285" s="10">
        <v>40204</v>
      </c>
      <c r="G285" s="7">
        <v>3.44</v>
      </c>
      <c r="H285" s="7">
        <v>6.56</v>
      </c>
      <c r="I285" s="7">
        <v>4.2</v>
      </c>
      <c r="J285" s="7">
        <v>7.32</v>
      </c>
      <c r="K285" s="6">
        <v>0.32317073170731708</v>
      </c>
      <c r="L285" s="6">
        <v>0.59756097560975618</v>
      </c>
      <c r="M285" s="6">
        <v>7.9268292682926678E-2</v>
      </c>
      <c r="N285" s="4">
        <v>1325.0841742427203</v>
      </c>
      <c r="O285" s="4">
        <v>2450.15564293937</v>
      </c>
      <c r="P285" s="4">
        <v>3775.2398171820905</v>
      </c>
    </row>
    <row r="286" spans="1:16" x14ac:dyDescent="0.25">
      <c r="A286" s="1" t="s">
        <v>1000</v>
      </c>
      <c r="B286" s="1" t="s">
        <v>682</v>
      </c>
      <c r="C286" s="10">
        <v>40829</v>
      </c>
      <c r="D286" s="3">
        <v>53.2</v>
      </c>
      <c r="E286" s="4">
        <v>3768.7237958891496</v>
      </c>
      <c r="F286" s="10">
        <v>40204</v>
      </c>
      <c r="G286" s="7">
        <v>8.64</v>
      </c>
      <c r="H286" s="7">
        <v>16.64</v>
      </c>
      <c r="I286" s="7">
        <v>7.44</v>
      </c>
      <c r="J286" s="7">
        <v>13</v>
      </c>
      <c r="K286" s="6">
        <v>0.32211538461538464</v>
      </c>
      <c r="L286" s="6">
        <v>0.57692307692307687</v>
      </c>
      <c r="M286" s="6">
        <v>0.10096153846153855</v>
      </c>
      <c r="N286" s="4">
        <v>1213.9639150219857</v>
      </c>
      <c r="O286" s="4">
        <v>2174.263728397586</v>
      </c>
      <c r="P286" s="4">
        <v>3388.2276434195719</v>
      </c>
    </row>
    <row r="287" spans="1:16" x14ac:dyDescent="0.25">
      <c r="A287" s="1" t="s">
        <v>1001</v>
      </c>
      <c r="B287" s="1" t="s">
        <v>682</v>
      </c>
      <c r="C287" s="10">
        <v>40830</v>
      </c>
      <c r="D287" s="3">
        <v>56.1</v>
      </c>
      <c r="E287" s="4">
        <v>3992.3182927811004</v>
      </c>
      <c r="F287" s="10">
        <v>40204</v>
      </c>
      <c r="G287" s="7">
        <v>8.74</v>
      </c>
      <c r="H287" s="7">
        <v>16.84</v>
      </c>
      <c r="I287" s="7">
        <v>7.84</v>
      </c>
      <c r="J287" s="7">
        <v>12.8</v>
      </c>
      <c r="K287" s="6">
        <v>0.34204275534441803</v>
      </c>
      <c r="L287" s="6">
        <v>0.55819477434679332</v>
      </c>
      <c r="M287" s="6">
        <v>9.9762470308788598E-2</v>
      </c>
      <c r="N287" s="4">
        <v>1365.5435490747705</v>
      </c>
      <c r="O287" s="4">
        <v>2228.4912085595215</v>
      </c>
      <c r="P287" s="4">
        <v>3594.034757634292</v>
      </c>
    </row>
    <row r="288" spans="1:16" x14ac:dyDescent="0.25">
      <c r="A288" s="1" t="s">
        <v>1002</v>
      </c>
      <c r="B288" s="1" t="s">
        <v>682</v>
      </c>
      <c r="C288" s="10">
        <v>40830</v>
      </c>
      <c r="D288" s="3">
        <v>67.400000000000006</v>
      </c>
      <c r="E288" s="4">
        <v>4863.5658151531834</v>
      </c>
      <c r="F288" s="10">
        <v>40204</v>
      </c>
      <c r="G288" s="7">
        <v>8.7200000000000006</v>
      </c>
      <c r="H288" s="7">
        <v>16.8</v>
      </c>
      <c r="I288" s="7">
        <v>7.8</v>
      </c>
      <c r="J288" s="7">
        <v>12.68</v>
      </c>
      <c r="K288" s="6">
        <v>0.34047619047619043</v>
      </c>
      <c r="L288" s="6">
        <v>0.55238095238095231</v>
      </c>
      <c r="M288" s="6">
        <v>0.10714285714285732</v>
      </c>
      <c r="N288" s="4">
        <v>1655.9283608735836</v>
      </c>
      <c r="O288" s="4">
        <v>2686.541116941758</v>
      </c>
      <c r="P288" s="4">
        <v>4342.4694778153416</v>
      </c>
    </row>
    <row r="289" spans="1:16" x14ac:dyDescent="0.25">
      <c r="A289" s="1" t="s">
        <v>1003</v>
      </c>
      <c r="B289" s="1" t="s">
        <v>682</v>
      </c>
      <c r="C289" s="10">
        <v>40830</v>
      </c>
      <c r="D289" s="3">
        <v>74.400000000000006</v>
      </c>
      <c r="E289" s="4">
        <v>5403.2766697199604</v>
      </c>
      <c r="F289" s="10">
        <v>40204</v>
      </c>
      <c r="G289" s="7">
        <v>7.72</v>
      </c>
      <c r="H289" s="7">
        <v>14.799999999999999</v>
      </c>
      <c r="I289" s="7">
        <v>7.12</v>
      </c>
      <c r="J289" s="7">
        <v>11.72</v>
      </c>
      <c r="K289" s="6">
        <v>0.34054054054054056</v>
      </c>
      <c r="L289" s="6">
        <v>0.56216216216216219</v>
      </c>
      <c r="M289" s="6">
        <v>9.7297297297297192E-2</v>
      </c>
      <c r="N289" s="4">
        <v>1840.0347577965272</v>
      </c>
      <c r="O289" s="4">
        <v>3037.5176954101403</v>
      </c>
      <c r="P289" s="4">
        <v>4877.5524532066675</v>
      </c>
    </row>
    <row r="290" spans="1:16" x14ac:dyDescent="0.25">
      <c r="A290" s="1" t="s">
        <v>1004</v>
      </c>
      <c r="B290" s="1" t="s">
        <v>682</v>
      </c>
      <c r="C290" s="10">
        <v>40830</v>
      </c>
      <c r="D290" s="3">
        <v>69.100000000000009</v>
      </c>
      <c r="E290" s="4">
        <v>4994.6384512622571</v>
      </c>
      <c r="F290" s="10">
        <v>40204</v>
      </c>
      <c r="G290" s="7">
        <v>8.26</v>
      </c>
      <c r="H290" s="7">
        <v>15.879999999999999</v>
      </c>
      <c r="I290" s="7">
        <v>7.4</v>
      </c>
      <c r="J290" s="7">
        <v>12.16</v>
      </c>
      <c r="K290" s="6">
        <v>0.33501259445843834</v>
      </c>
      <c r="L290" s="6">
        <v>0.55163727959697739</v>
      </c>
      <c r="M290" s="6">
        <v>0.11335012594458427</v>
      </c>
      <c r="N290" s="4">
        <v>1673.2667859392452</v>
      </c>
      <c r="O290" s="4">
        <v>2755.2287678247717</v>
      </c>
      <c r="P290" s="4">
        <v>4428.4955537640171</v>
      </c>
    </row>
    <row r="291" spans="1:16" x14ac:dyDescent="0.25">
      <c r="A291" s="1" t="s">
        <v>1005</v>
      </c>
      <c r="B291" s="1" t="s">
        <v>682</v>
      </c>
      <c r="C291" s="10">
        <v>40830</v>
      </c>
      <c r="D291" s="3">
        <v>69.5</v>
      </c>
      <c r="E291" s="4">
        <v>5025.4790715232166</v>
      </c>
      <c r="F291" s="10">
        <v>40204</v>
      </c>
      <c r="G291" s="7">
        <v>7.5600000000000005</v>
      </c>
      <c r="H291" s="7">
        <v>14.48</v>
      </c>
      <c r="I291" s="7">
        <v>6.96</v>
      </c>
      <c r="J291" s="7">
        <v>11.52</v>
      </c>
      <c r="K291" s="6">
        <v>0.33701657458563533</v>
      </c>
      <c r="L291" s="6">
        <v>0.56077348066298338</v>
      </c>
      <c r="M291" s="6">
        <v>0.10220994475138134</v>
      </c>
      <c r="N291" s="4">
        <v>1693.6697423365536</v>
      </c>
      <c r="O291" s="4">
        <v>2818.1553909370523</v>
      </c>
      <c r="P291" s="4">
        <v>4511.8251332736054</v>
      </c>
    </row>
    <row r="292" spans="1:16" x14ac:dyDescent="0.25">
      <c r="A292" s="1" t="s">
        <v>1006</v>
      </c>
      <c r="B292" s="1" t="s">
        <v>682</v>
      </c>
      <c r="C292" s="10">
        <v>40830</v>
      </c>
      <c r="D292" s="3">
        <v>71.900000000000006</v>
      </c>
      <c r="E292" s="4">
        <v>5210.5227930889687</v>
      </c>
      <c r="F292" s="10">
        <v>40204</v>
      </c>
      <c r="G292" s="7">
        <v>7.4</v>
      </c>
      <c r="H292" s="7">
        <v>14.16</v>
      </c>
      <c r="I292" s="7">
        <v>6.88</v>
      </c>
      <c r="J292" s="7">
        <v>11.2</v>
      </c>
      <c r="K292" s="6">
        <v>0.33898305084745761</v>
      </c>
      <c r="L292" s="6">
        <v>0.55084745762711851</v>
      </c>
      <c r="M292" s="6">
        <v>0.11016949152542388</v>
      </c>
      <c r="N292" s="4">
        <v>1766.2789129115147</v>
      </c>
      <c r="O292" s="4">
        <v>2870.2032334812106</v>
      </c>
      <c r="P292" s="4">
        <v>4636.4821463927256</v>
      </c>
    </row>
    <row r="293" spans="1:16" x14ac:dyDescent="0.25">
      <c r="A293" s="1" t="s">
        <v>1007</v>
      </c>
      <c r="B293" s="1" t="s">
        <v>682</v>
      </c>
      <c r="C293" s="10">
        <v>40830</v>
      </c>
      <c r="D293" s="3">
        <v>71.100000000000009</v>
      </c>
      <c r="E293" s="4">
        <v>5148.8415525670507</v>
      </c>
      <c r="F293" s="10">
        <v>40204</v>
      </c>
      <c r="G293" s="7">
        <v>9.24</v>
      </c>
      <c r="H293" s="7">
        <v>17.84</v>
      </c>
      <c r="I293" s="7">
        <v>8.1199999999999992</v>
      </c>
      <c r="J293" s="7">
        <v>13.24</v>
      </c>
      <c r="K293" s="6">
        <v>0.33856502242152464</v>
      </c>
      <c r="L293" s="6">
        <v>0.55156950672645744</v>
      </c>
      <c r="M293" s="6">
        <v>0.10986547085201792</v>
      </c>
      <c r="N293" s="4">
        <v>1743.2176556897414</v>
      </c>
      <c r="O293" s="4">
        <v>2839.9439953620954</v>
      </c>
      <c r="P293" s="4">
        <v>4583.161651051837</v>
      </c>
    </row>
    <row r="294" spans="1:16" x14ac:dyDescent="0.25">
      <c r="A294" s="1" t="s">
        <v>1008</v>
      </c>
      <c r="B294" s="1" t="s">
        <v>682</v>
      </c>
      <c r="C294" s="10">
        <v>40830</v>
      </c>
      <c r="D294" s="3">
        <v>76.2</v>
      </c>
      <c r="E294" s="4">
        <v>5542.0594608942729</v>
      </c>
      <c r="F294" s="10">
        <v>40204</v>
      </c>
      <c r="G294" s="7">
        <v>7.98</v>
      </c>
      <c r="H294" s="7">
        <v>15.32</v>
      </c>
      <c r="I294" s="7">
        <v>7.32</v>
      </c>
      <c r="J294" s="7">
        <v>12.04</v>
      </c>
      <c r="K294" s="6">
        <v>0.34203655352480417</v>
      </c>
      <c r="L294" s="6">
        <v>0.56396866840731064</v>
      </c>
      <c r="M294" s="6">
        <v>9.3994778067885143E-2</v>
      </c>
      <c r="N294" s="4">
        <v>1895.5869174338113</v>
      </c>
      <c r="O294" s="4">
        <v>3125.547894394681</v>
      </c>
      <c r="P294" s="4">
        <v>5021.1348118284923</v>
      </c>
    </row>
    <row r="295" spans="1:16" x14ac:dyDescent="0.25">
      <c r="A295" s="1" t="s">
        <v>1009</v>
      </c>
      <c r="B295" s="1" t="s">
        <v>682</v>
      </c>
      <c r="C295" s="10">
        <v>40830</v>
      </c>
      <c r="D295" s="3">
        <v>82.3</v>
      </c>
      <c r="E295" s="4">
        <v>6012.3789198738923</v>
      </c>
      <c r="F295" s="10">
        <v>40204</v>
      </c>
      <c r="G295" s="7">
        <v>6.12</v>
      </c>
      <c r="H295" s="7">
        <v>11.6</v>
      </c>
      <c r="I295" s="7">
        <v>5.88</v>
      </c>
      <c r="J295" s="7">
        <v>9.84</v>
      </c>
      <c r="K295" s="6">
        <v>0.32758620689655171</v>
      </c>
      <c r="L295" s="6">
        <v>0.55517241379310345</v>
      </c>
      <c r="M295" s="6">
        <v>0.11724137931034484</v>
      </c>
      <c r="N295" s="4">
        <v>1969.572404786275</v>
      </c>
      <c r="O295" s="4">
        <v>3337.906917585161</v>
      </c>
      <c r="P295" s="4">
        <v>5307.479322371436</v>
      </c>
    </row>
    <row r="296" spans="1:16" x14ac:dyDescent="0.25">
      <c r="A296" s="1" t="s">
        <v>1010</v>
      </c>
      <c r="B296" s="1" t="s">
        <v>682</v>
      </c>
      <c r="C296" s="10">
        <v>40830</v>
      </c>
      <c r="D296" s="3">
        <v>78.899999999999991</v>
      </c>
      <c r="E296" s="4">
        <v>5750.2336476557439</v>
      </c>
      <c r="F296" s="10">
        <v>40204</v>
      </c>
      <c r="G296" s="7">
        <v>7.9799999999999995</v>
      </c>
      <c r="H296" s="7">
        <v>15.319999999999999</v>
      </c>
      <c r="I296" s="7">
        <v>7.32</v>
      </c>
      <c r="J296" s="7">
        <v>12.04</v>
      </c>
      <c r="K296" s="6">
        <v>0.34203655352480422</v>
      </c>
      <c r="L296" s="6">
        <v>0.56396866840731064</v>
      </c>
      <c r="M296" s="6">
        <v>9.3994778067885143E-2</v>
      </c>
      <c r="N296" s="4">
        <v>1966.7900988065342</v>
      </c>
      <c r="O296" s="4">
        <v>3242.9516132993226</v>
      </c>
      <c r="P296" s="4">
        <v>5209.741712105857</v>
      </c>
    </row>
    <row r="297" spans="1:16" x14ac:dyDescent="0.25">
      <c r="A297" s="1" t="s">
        <v>1011</v>
      </c>
      <c r="B297" s="1" t="s">
        <v>682</v>
      </c>
      <c r="C297" s="10">
        <v>40830</v>
      </c>
      <c r="D297" s="3">
        <v>69.400000000000006</v>
      </c>
      <c r="E297" s="4">
        <v>5017.7689164579779</v>
      </c>
      <c r="F297" s="10">
        <v>40204</v>
      </c>
      <c r="G297" s="7">
        <v>7.66</v>
      </c>
      <c r="H297" s="7">
        <v>14.68</v>
      </c>
      <c r="I297" s="7">
        <v>6.92</v>
      </c>
      <c r="J297" s="7">
        <v>11.68</v>
      </c>
      <c r="K297" s="6">
        <v>0.32970027247956402</v>
      </c>
      <c r="L297" s="6">
        <v>0.56403269754768393</v>
      </c>
      <c r="M297" s="6">
        <v>0.10626702997275206</v>
      </c>
      <c r="N297" s="4">
        <v>1654.3597789956821</v>
      </c>
      <c r="O297" s="4">
        <v>2830.1857376207122</v>
      </c>
      <c r="P297" s="4">
        <v>4484.5455166163938</v>
      </c>
    </row>
    <row r="298" spans="1:16" x14ac:dyDescent="0.25">
      <c r="A298" s="1" t="s">
        <v>1012</v>
      </c>
      <c r="B298" s="1" t="s">
        <v>682</v>
      </c>
      <c r="C298" s="10">
        <v>40830</v>
      </c>
      <c r="D298" s="3">
        <v>60.6</v>
      </c>
      <c r="E298" s="4">
        <v>4339.2752707168856</v>
      </c>
      <c r="F298" s="10">
        <v>40204</v>
      </c>
      <c r="G298" s="7">
        <v>6.36</v>
      </c>
      <c r="H298" s="7">
        <v>12.08</v>
      </c>
      <c r="I298" s="7">
        <v>6.12</v>
      </c>
      <c r="J298" s="7">
        <v>10.199999999999999</v>
      </c>
      <c r="K298" s="6">
        <v>0.33443708609271522</v>
      </c>
      <c r="L298" s="6">
        <v>0.56291390728476809</v>
      </c>
      <c r="M298" s="6">
        <v>0.10264900662251664</v>
      </c>
      <c r="N298" s="4">
        <v>1451.2145772927331</v>
      </c>
      <c r="O298" s="4">
        <v>2442.6383974234118</v>
      </c>
      <c r="P298" s="4">
        <v>3893.8529747161447</v>
      </c>
    </row>
    <row r="299" spans="1:16" x14ac:dyDescent="0.25">
      <c r="A299" s="1" t="s">
        <v>1013</v>
      </c>
      <c r="B299" s="1" t="s">
        <v>682</v>
      </c>
      <c r="C299" s="10">
        <v>40830</v>
      </c>
      <c r="D299" s="3">
        <v>69.5</v>
      </c>
      <c r="E299" s="4">
        <v>5025.4790715232166</v>
      </c>
      <c r="F299" s="10">
        <v>40204</v>
      </c>
      <c r="G299" s="7">
        <v>6.88</v>
      </c>
      <c r="H299" s="7">
        <v>13.12</v>
      </c>
      <c r="I299" s="7">
        <v>6.44</v>
      </c>
      <c r="J299" s="7">
        <v>10.76</v>
      </c>
      <c r="K299" s="6">
        <v>0.33231707317073172</v>
      </c>
      <c r="L299" s="6">
        <v>0.5609756097560975</v>
      </c>
      <c r="M299" s="6">
        <v>0.10670731707317083</v>
      </c>
      <c r="N299" s="4">
        <v>1670.0524963293617</v>
      </c>
      <c r="O299" s="4">
        <v>2819.171186464243</v>
      </c>
      <c r="P299" s="4">
        <v>4489.2236827936049</v>
      </c>
    </row>
    <row r="300" spans="1:16" x14ac:dyDescent="0.25">
      <c r="A300" s="1" t="s">
        <v>1014</v>
      </c>
      <c r="B300" s="1" t="s">
        <v>682</v>
      </c>
      <c r="C300" s="10">
        <v>40830</v>
      </c>
      <c r="D300" s="3">
        <v>68.7</v>
      </c>
      <c r="E300" s="4">
        <v>4963.7978310012977</v>
      </c>
      <c r="F300" s="10">
        <v>40204</v>
      </c>
      <c r="G300" s="7">
        <v>7.8000000000000007</v>
      </c>
      <c r="H300" s="7">
        <v>14.96</v>
      </c>
      <c r="I300" s="7">
        <v>7.08</v>
      </c>
      <c r="J300" s="7">
        <v>11.84</v>
      </c>
      <c r="K300" s="6">
        <v>0.33422459893048129</v>
      </c>
      <c r="L300" s="6">
        <v>0.56417112299465233</v>
      </c>
      <c r="M300" s="6">
        <v>0.10160427807486638</v>
      </c>
      <c r="N300" s="4">
        <v>1659.0233392384016</v>
      </c>
      <c r="O300" s="4">
        <v>2800.4313966344216</v>
      </c>
      <c r="P300" s="4">
        <v>4459.4547358728232</v>
      </c>
    </row>
    <row r="301" spans="1:16" x14ac:dyDescent="0.25">
      <c r="A301" s="1" t="s">
        <v>1015</v>
      </c>
      <c r="B301" s="1" t="s">
        <v>682</v>
      </c>
      <c r="C301" s="10">
        <v>40830</v>
      </c>
      <c r="D301" s="3">
        <v>63.800000000000004</v>
      </c>
      <c r="E301" s="4">
        <v>4586.0002328045548</v>
      </c>
      <c r="F301" s="10">
        <v>40204</v>
      </c>
      <c r="G301" s="7">
        <v>8.16</v>
      </c>
      <c r="H301" s="7">
        <v>15.68</v>
      </c>
      <c r="I301" s="7">
        <v>7.8</v>
      </c>
      <c r="J301" s="7">
        <v>12.24</v>
      </c>
      <c r="K301" s="6">
        <v>0.36479591836734693</v>
      </c>
      <c r="L301" s="6">
        <v>0.56377551020408168</v>
      </c>
      <c r="M301" s="6">
        <v>7.1428571428571397E-2</v>
      </c>
      <c r="N301" s="4">
        <v>1672.9541665588044</v>
      </c>
      <c r="O301" s="4">
        <v>2585.474621045425</v>
      </c>
      <c r="P301" s="4">
        <v>4258.428787604229</v>
      </c>
    </row>
    <row r="302" spans="1:16" x14ac:dyDescent="0.25">
      <c r="A302" s="1" t="s">
        <v>1016</v>
      </c>
      <c r="B302" s="1" t="s">
        <v>682</v>
      </c>
      <c r="C302" s="10">
        <v>40830</v>
      </c>
      <c r="D302" s="3">
        <v>66.5</v>
      </c>
      <c r="E302" s="4">
        <v>4794.1744195660249</v>
      </c>
      <c r="F302" s="10">
        <v>40204</v>
      </c>
      <c r="G302" s="7">
        <v>6.74</v>
      </c>
      <c r="H302" s="7">
        <v>12.84</v>
      </c>
      <c r="I302" s="7">
        <v>6.28</v>
      </c>
      <c r="J302" s="7">
        <v>10.6</v>
      </c>
      <c r="K302" s="6">
        <v>0.32710280373831779</v>
      </c>
      <c r="L302" s="6">
        <v>0.56074766355140182</v>
      </c>
      <c r="M302" s="6">
        <v>0.11214953271028039</v>
      </c>
      <c r="N302" s="4">
        <v>1568.1878942505691</v>
      </c>
      <c r="O302" s="4">
        <v>2688.3221044295465</v>
      </c>
      <c r="P302" s="4">
        <v>4256.509998680116</v>
      </c>
    </row>
    <row r="303" spans="1:16" x14ac:dyDescent="0.25">
      <c r="A303" s="1" t="s">
        <v>1017</v>
      </c>
      <c r="B303" s="1" t="s">
        <v>682</v>
      </c>
      <c r="C303" s="10">
        <v>40830</v>
      </c>
      <c r="D303" s="3">
        <v>72.2</v>
      </c>
      <c r="E303" s="4">
        <v>5233.6532582846858</v>
      </c>
      <c r="F303" s="10">
        <v>40204</v>
      </c>
      <c r="G303" s="7">
        <v>8.7199999999999989</v>
      </c>
      <c r="H303" s="7">
        <v>16.799999999999997</v>
      </c>
      <c r="I303" s="7">
        <v>7.68</v>
      </c>
      <c r="J303" s="7">
        <v>12.84</v>
      </c>
      <c r="K303" s="6">
        <v>0.33333333333333337</v>
      </c>
      <c r="L303" s="6">
        <v>0.56190476190476202</v>
      </c>
      <c r="M303" s="6">
        <v>0.10476190476190461</v>
      </c>
      <c r="N303" s="4">
        <v>1744.5510860948955</v>
      </c>
      <c r="O303" s="4">
        <v>2940.8146879885385</v>
      </c>
      <c r="P303" s="4">
        <v>4685.3657740834342</v>
      </c>
    </row>
    <row r="304" spans="1:16" x14ac:dyDescent="0.25">
      <c r="A304" s="1" t="s">
        <v>1018</v>
      </c>
      <c r="B304" s="1" t="s">
        <v>682</v>
      </c>
      <c r="C304" s="10">
        <v>40830</v>
      </c>
      <c r="D304" s="3">
        <v>66.5</v>
      </c>
      <c r="E304" s="4">
        <v>4794.1744195660249</v>
      </c>
      <c r="F304" s="10">
        <v>40204</v>
      </c>
      <c r="G304" s="7">
        <v>7.64</v>
      </c>
      <c r="H304" s="7">
        <v>14.639999999999999</v>
      </c>
      <c r="I304" s="7">
        <v>6.96</v>
      </c>
      <c r="J304" s="7">
        <v>11.48</v>
      </c>
      <c r="K304" s="6">
        <v>0.33333333333333337</v>
      </c>
      <c r="L304" s="6">
        <v>0.55191256830601099</v>
      </c>
      <c r="M304" s="6">
        <v>0.11475409836065564</v>
      </c>
      <c r="N304" s="4">
        <v>1598.0581398553418</v>
      </c>
      <c r="O304" s="4">
        <v>2645.9651168096643</v>
      </c>
      <c r="P304" s="4">
        <v>4244.0232566650066</v>
      </c>
    </row>
    <row r="305" spans="1:16" x14ac:dyDescent="0.25">
      <c r="A305" s="1" t="s">
        <v>1019</v>
      </c>
      <c r="B305" s="1" t="s">
        <v>682</v>
      </c>
      <c r="C305" s="10">
        <v>40830</v>
      </c>
      <c r="D305" s="3">
        <v>74.3</v>
      </c>
      <c r="E305" s="4">
        <v>5395.566514654719</v>
      </c>
      <c r="F305" s="10">
        <v>40204</v>
      </c>
      <c r="G305" s="7">
        <v>7.98</v>
      </c>
      <c r="H305" s="7">
        <v>15.32</v>
      </c>
      <c r="I305" s="7">
        <v>7.24</v>
      </c>
      <c r="J305" s="7">
        <v>11.96</v>
      </c>
      <c r="K305" s="6">
        <v>0.33681462140992169</v>
      </c>
      <c r="L305" s="6">
        <v>0.55874673629242821</v>
      </c>
      <c r="M305" s="6">
        <v>0.1044386422976501</v>
      </c>
      <c r="N305" s="4">
        <v>1817.3056929254799</v>
      </c>
      <c r="O305" s="4">
        <v>3014.7551805120361</v>
      </c>
      <c r="P305" s="4">
        <v>4832.0608734375164</v>
      </c>
    </row>
    <row r="306" spans="1:16" x14ac:dyDescent="0.25">
      <c r="A306" s="1" t="s">
        <v>1020</v>
      </c>
      <c r="B306" s="1" t="s">
        <v>682</v>
      </c>
      <c r="C306" s="10">
        <v>40830</v>
      </c>
      <c r="D306" s="3">
        <v>66.599999999999994</v>
      </c>
      <c r="E306" s="4">
        <v>4801.8845746312645</v>
      </c>
      <c r="F306" s="10">
        <v>40204</v>
      </c>
      <c r="G306" s="7">
        <v>7.74</v>
      </c>
      <c r="H306" s="7">
        <v>14.84</v>
      </c>
      <c r="I306" s="7">
        <v>7</v>
      </c>
      <c r="J306" s="7">
        <v>11.76</v>
      </c>
      <c r="K306" s="6">
        <v>0.33153638814016173</v>
      </c>
      <c r="L306" s="6">
        <v>0.56334231805929913</v>
      </c>
      <c r="M306" s="6">
        <v>0.10512129380053914</v>
      </c>
      <c r="N306" s="4">
        <v>1591.9994681392063</v>
      </c>
      <c r="O306" s="4">
        <v>2705.1047873259681</v>
      </c>
      <c r="P306" s="4">
        <v>4297.104255465174</v>
      </c>
    </row>
    <row r="307" spans="1:16" x14ac:dyDescent="0.25">
      <c r="A307" s="1" t="s">
        <v>1021</v>
      </c>
      <c r="B307" s="1" t="s">
        <v>682</v>
      </c>
      <c r="C307" s="10">
        <v>40830</v>
      </c>
      <c r="D307" s="3">
        <v>53</v>
      </c>
      <c r="E307" s="4">
        <v>3753.3034857586704</v>
      </c>
      <c r="F307" s="10">
        <v>40204</v>
      </c>
      <c r="G307" s="7">
        <v>7.1</v>
      </c>
      <c r="H307" s="7">
        <v>13.559999999999999</v>
      </c>
      <c r="I307" s="7">
        <v>6.6</v>
      </c>
      <c r="J307" s="7">
        <v>11.12</v>
      </c>
      <c r="K307" s="6">
        <v>0.33333333333333331</v>
      </c>
      <c r="L307" s="6">
        <v>0.56932153392330376</v>
      </c>
      <c r="M307" s="6">
        <v>9.7345132743362983E-2</v>
      </c>
      <c r="N307" s="4">
        <v>1251.1011619195567</v>
      </c>
      <c r="O307" s="4">
        <v>2136.8364977918091</v>
      </c>
      <c r="P307" s="4">
        <v>3387.937659711366</v>
      </c>
    </row>
    <row r="308" spans="1:16" x14ac:dyDescent="0.25">
      <c r="A308" s="1" t="s">
        <v>1022</v>
      </c>
      <c r="B308" s="1" t="s">
        <v>682</v>
      </c>
      <c r="C308" s="10">
        <v>40830</v>
      </c>
      <c r="D308" s="3">
        <v>54.300000000000004</v>
      </c>
      <c r="E308" s="4">
        <v>3853.5355016067861</v>
      </c>
      <c r="F308" s="10">
        <v>40204</v>
      </c>
      <c r="G308" s="7">
        <v>7.72</v>
      </c>
      <c r="H308" s="7">
        <v>14.799999999999999</v>
      </c>
      <c r="I308" s="7">
        <v>7.12</v>
      </c>
      <c r="J308" s="7">
        <v>12.04</v>
      </c>
      <c r="K308" s="6">
        <v>0.34054054054054056</v>
      </c>
      <c r="L308" s="6">
        <v>0.58378378378378371</v>
      </c>
      <c r="M308" s="6">
        <v>7.567567567567568E-2</v>
      </c>
      <c r="N308" s="4">
        <v>1312.285062709338</v>
      </c>
      <c r="O308" s="4">
        <v>2249.6315360731505</v>
      </c>
      <c r="P308" s="4">
        <v>3561.9165987824886</v>
      </c>
    </row>
    <row r="309" spans="1:16" x14ac:dyDescent="0.25">
      <c r="A309" s="1" t="s">
        <v>1023</v>
      </c>
      <c r="B309" s="1" t="s">
        <v>682</v>
      </c>
      <c r="C309" s="10">
        <v>40830</v>
      </c>
      <c r="D309" s="3">
        <v>49</v>
      </c>
      <c r="E309" s="4">
        <v>3444.8972831490837</v>
      </c>
      <c r="F309" s="10">
        <v>40204</v>
      </c>
      <c r="G309" s="7">
        <v>7.38</v>
      </c>
      <c r="H309" s="7">
        <v>14.12</v>
      </c>
      <c r="I309" s="7">
        <v>6.72</v>
      </c>
      <c r="J309" s="7">
        <v>11.4</v>
      </c>
      <c r="K309" s="6">
        <v>0.32861189801699714</v>
      </c>
      <c r="L309" s="6">
        <v>0.56657223796033995</v>
      </c>
      <c r="M309" s="6">
        <v>0.10481586402266285</v>
      </c>
      <c r="N309" s="4">
        <v>1132.0342346892171</v>
      </c>
      <c r="O309" s="4">
        <v>1951.7831632572713</v>
      </c>
      <c r="P309" s="4">
        <v>3083.8173979464882</v>
      </c>
    </row>
    <row r="310" spans="1:16" x14ac:dyDescent="0.25">
      <c r="A310" s="1" t="s">
        <v>1024</v>
      </c>
      <c r="B310" s="1" t="s">
        <v>682</v>
      </c>
      <c r="C310" s="10">
        <v>40830</v>
      </c>
      <c r="D310" s="3">
        <v>50.4</v>
      </c>
      <c r="E310" s="4">
        <v>3552.8394540624386</v>
      </c>
      <c r="F310" s="10">
        <v>40204</v>
      </c>
      <c r="G310" s="7">
        <v>7.1999999999999993</v>
      </c>
      <c r="H310" s="7">
        <v>13.759999999999998</v>
      </c>
      <c r="I310" s="7">
        <v>6.76</v>
      </c>
      <c r="J310" s="7">
        <v>11.2</v>
      </c>
      <c r="K310" s="6">
        <v>0.34011627906976749</v>
      </c>
      <c r="L310" s="6">
        <v>0.56686046511627908</v>
      </c>
      <c r="M310" s="6">
        <v>9.3023255813953432E-2</v>
      </c>
      <c r="N310" s="4">
        <v>1208.3785352479808</v>
      </c>
      <c r="O310" s="4">
        <v>2013.9642254133009</v>
      </c>
      <c r="P310" s="4">
        <v>3222.3427606612818</v>
      </c>
    </row>
    <row r="311" spans="1:16" x14ac:dyDescent="0.25">
      <c r="A311" s="1" t="s">
        <v>1025</v>
      </c>
      <c r="B311" s="1" t="s">
        <v>682</v>
      </c>
      <c r="C311" s="10">
        <v>40830</v>
      </c>
      <c r="D311" s="3">
        <v>54.9</v>
      </c>
      <c r="E311" s="4">
        <v>3899.7964319982243</v>
      </c>
      <c r="F311" s="10">
        <v>40204</v>
      </c>
      <c r="G311" s="7">
        <v>7.66</v>
      </c>
      <c r="H311" s="7">
        <v>14.68</v>
      </c>
      <c r="I311" s="7">
        <v>7.12</v>
      </c>
      <c r="J311" s="7">
        <v>11.28</v>
      </c>
      <c r="K311" s="6">
        <v>0.34332425068119893</v>
      </c>
      <c r="L311" s="6">
        <v>0.5367847411444141</v>
      </c>
      <c r="M311" s="6">
        <v>0.11989100817438703</v>
      </c>
      <c r="N311" s="4">
        <v>1338.8946878250035</v>
      </c>
      <c r="O311" s="4">
        <v>2093.3512182660766</v>
      </c>
      <c r="P311" s="4">
        <v>3432.2459060910801</v>
      </c>
    </row>
    <row r="312" spans="1:16" x14ac:dyDescent="0.25">
      <c r="A312" s="1" t="s">
        <v>1026</v>
      </c>
      <c r="B312" s="1" t="s">
        <v>682</v>
      </c>
      <c r="C312" s="10">
        <v>40830</v>
      </c>
      <c r="D312" s="3">
        <v>54.8</v>
      </c>
      <c r="E312" s="4">
        <v>3892.0862769329838</v>
      </c>
      <c r="F312" s="10">
        <v>40204</v>
      </c>
      <c r="G312" s="7">
        <v>7.82</v>
      </c>
      <c r="H312" s="7">
        <v>15</v>
      </c>
      <c r="I312" s="7">
        <v>7.04</v>
      </c>
      <c r="J312" s="7">
        <v>11.96</v>
      </c>
      <c r="K312" s="6">
        <v>0.33066666666666666</v>
      </c>
      <c r="L312" s="6">
        <v>0.57066666666666666</v>
      </c>
      <c r="M312" s="6">
        <v>9.866666666666668E-2</v>
      </c>
      <c r="N312" s="4">
        <v>1286.9831955725067</v>
      </c>
      <c r="O312" s="4">
        <v>2221.0839020364228</v>
      </c>
      <c r="P312" s="4">
        <v>3508.0670976089295</v>
      </c>
    </row>
    <row r="313" spans="1:16" x14ac:dyDescent="0.25">
      <c r="A313" s="1" t="s">
        <v>1027</v>
      </c>
      <c r="B313" s="1" t="s">
        <v>682</v>
      </c>
      <c r="C313" s="10">
        <v>40830</v>
      </c>
      <c r="D313" s="3">
        <v>59.400000000000006</v>
      </c>
      <c r="E313" s="4">
        <v>4246.7534099340101</v>
      </c>
      <c r="F313" s="10">
        <v>40204</v>
      </c>
      <c r="G313" s="7">
        <v>6.98</v>
      </c>
      <c r="H313" s="7">
        <v>13.32</v>
      </c>
      <c r="I313" s="7">
        <v>6.48</v>
      </c>
      <c r="J313" s="7">
        <v>11</v>
      </c>
      <c r="K313" s="6">
        <v>0.33033033033033032</v>
      </c>
      <c r="L313" s="6">
        <v>0.57057057057057048</v>
      </c>
      <c r="M313" s="6">
        <v>9.9099099099099197E-2</v>
      </c>
      <c r="N313" s="4">
        <v>1402.8314567349582</v>
      </c>
      <c r="O313" s="4">
        <v>2423.072516178564</v>
      </c>
      <c r="P313" s="4">
        <v>3825.903972913522</v>
      </c>
    </row>
    <row r="314" spans="1:16" x14ac:dyDescent="0.25">
      <c r="A314" s="1" t="s">
        <v>1028</v>
      </c>
      <c r="B314" s="1" t="s">
        <v>682</v>
      </c>
      <c r="C314" s="10">
        <v>40830</v>
      </c>
      <c r="D314" s="3">
        <v>61.4</v>
      </c>
      <c r="E314" s="4">
        <v>4400.9565112388027</v>
      </c>
      <c r="F314" s="10">
        <v>40204</v>
      </c>
      <c r="G314" s="7">
        <v>7.8</v>
      </c>
      <c r="H314" s="7">
        <v>14.959999999999999</v>
      </c>
      <c r="I314" s="7">
        <v>7.2</v>
      </c>
      <c r="J314" s="7">
        <v>11.08</v>
      </c>
      <c r="K314" s="6">
        <v>0.34224598930481287</v>
      </c>
      <c r="L314" s="6">
        <v>0.5133689839572193</v>
      </c>
      <c r="M314" s="6">
        <v>0.14438502673796783</v>
      </c>
      <c r="N314" s="4">
        <v>1506.2097150763818</v>
      </c>
      <c r="O314" s="4">
        <v>2259.3145726145726</v>
      </c>
      <c r="P314" s="4">
        <v>3765.5242876909542</v>
      </c>
    </row>
    <row r="315" spans="1:16" x14ac:dyDescent="0.25">
      <c r="A315" s="1" t="s">
        <v>1029</v>
      </c>
      <c r="B315" s="1" t="s">
        <v>682</v>
      </c>
      <c r="C315" s="10">
        <v>40830</v>
      </c>
      <c r="D315" s="3">
        <v>62.899999999999991</v>
      </c>
      <c r="E315" s="4">
        <v>4516.6088372173972</v>
      </c>
      <c r="F315" s="10">
        <v>40204</v>
      </c>
      <c r="G315" s="7">
        <v>7.34</v>
      </c>
      <c r="H315" s="7">
        <v>14.04</v>
      </c>
      <c r="I315" s="7">
        <v>6.88</v>
      </c>
      <c r="J315" s="7">
        <v>11.24</v>
      </c>
      <c r="K315" s="6">
        <v>0.34188034188034189</v>
      </c>
      <c r="L315" s="6">
        <v>0.55840455840455838</v>
      </c>
      <c r="M315" s="6">
        <v>9.9715099715099731E-2</v>
      </c>
      <c r="N315" s="4">
        <v>1544.1397734076572</v>
      </c>
      <c r="O315" s="4">
        <v>2522.0949632325064</v>
      </c>
      <c r="P315" s="4">
        <v>4066.2347366401636</v>
      </c>
    </row>
    <row r="316" spans="1:16" x14ac:dyDescent="0.25">
      <c r="A316" s="1" t="s">
        <v>1030</v>
      </c>
      <c r="B316" s="1" t="s">
        <v>682</v>
      </c>
      <c r="C316" s="10">
        <v>40830</v>
      </c>
      <c r="D316" s="3">
        <v>61.2</v>
      </c>
      <c r="E316" s="4">
        <v>4385.5362011083234</v>
      </c>
      <c r="F316" s="10">
        <v>40204</v>
      </c>
      <c r="G316" s="7">
        <v>7.8</v>
      </c>
      <c r="H316" s="7">
        <v>14.959999999999999</v>
      </c>
      <c r="I316" s="7">
        <v>7.16</v>
      </c>
      <c r="J316" s="7">
        <v>11.96</v>
      </c>
      <c r="K316" s="6">
        <v>0.33957219251336901</v>
      </c>
      <c r="L316" s="6">
        <v>0.57219251336898402</v>
      </c>
      <c r="M316" s="6">
        <v>8.8235294117646967E-2</v>
      </c>
      <c r="N316" s="4">
        <v>1489.2061431571046</v>
      </c>
      <c r="O316" s="4">
        <v>2509.3709813828377</v>
      </c>
      <c r="P316" s="4">
        <v>3998.5771245399424</v>
      </c>
    </row>
    <row r="317" spans="1:16" x14ac:dyDescent="0.25">
      <c r="A317" s="1" t="s">
        <v>1031</v>
      </c>
      <c r="B317" s="1" t="s">
        <v>682</v>
      </c>
      <c r="C317" s="10">
        <v>40830</v>
      </c>
      <c r="D317" s="3">
        <v>48.5</v>
      </c>
      <c r="E317" s="4">
        <v>3406.3465078228855</v>
      </c>
      <c r="F317" s="10">
        <v>40204</v>
      </c>
      <c r="G317" s="7">
        <v>7.68</v>
      </c>
      <c r="H317" s="7">
        <v>14.719999999999999</v>
      </c>
      <c r="I317" s="7">
        <v>7</v>
      </c>
      <c r="J317" s="7">
        <v>11.76</v>
      </c>
      <c r="K317" s="6">
        <v>0.33423913043478265</v>
      </c>
      <c r="L317" s="6">
        <v>0.56793478260869568</v>
      </c>
      <c r="M317" s="6">
        <v>9.7826086956521618E-2</v>
      </c>
      <c r="N317" s="4">
        <v>1138.5342947342799</v>
      </c>
      <c r="O317" s="4">
        <v>1934.5826634102802</v>
      </c>
      <c r="P317" s="4">
        <v>3073.1169581445602</v>
      </c>
    </row>
    <row r="318" spans="1:16" x14ac:dyDescent="0.25">
      <c r="A318" s="1" t="s">
        <v>1032</v>
      </c>
      <c r="B318" s="1" t="s">
        <v>682</v>
      </c>
      <c r="C318" s="10">
        <v>40830</v>
      </c>
      <c r="D318" s="3">
        <v>47.4</v>
      </c>
      <c r="E318" s="4">
        <v>3321.5348021052491</v>
      </c>
      <c r="F318" s="10">
        <v>40204</v>
      </c>
      <c r="G318" s="7">
        <v>5.2</v>
      </c>
      <c r="H318" s="7">
        <v>9.76</v>
      </c>
      <c r="I318" s="7">
        <v>5.28</v>
      </c>
      <c r="J318" s="7">
        <v>8.92</v>
      </c>
      <c r="K318" s="6">
        <v>0.32786885245901642</v>
      </c>
      <c r="L318" s="6">
        <v>0.56557377049180324</v>
      </c>
      <c r="M318" s="6">
        <v>0.10655737704918034</v>
      </c>
      <c r="N318" s="4">
        <v>1089.0278039689342</v>
      </c>
      <c r="O318" s="4">
        <v>1878.5729618464113</v>
      </c>
      <c r="P318" s="4">
        <v>2967.6007658153458</v>
      </c>
    </row>
    <row r="319" spans="1:16" x14ac:dyDescent="0.25">
      <c r="A319" s="1" t="s">
        <v>1033</v>
      </c>
      <c r="B319" s="1" t="s">
        <v>682</v>
      </c>
      <c r="C319" s="10">
        <v>40830</v>
      </c>
      <c r="D319" s="3">
        <v>42.7</v>
      </c>
      <c r="E319" s="4">
        <v>2959.1575140389846</v>
      </c>
      <c r="F319" s="10">
        <v>40204</v>
      </c>
      <c r="G319" s="7">
        <v>7.5600000000000005</v>
      </c>
      <c r="H319" s="7">
        <v>14.48</v>
      </c>
      <c r="I319" s="7">
        <v>6.96</v>
      </c>
      <c r="J319" s="7">
        <v>11.72</v>
      </c>
      <c r="K319" s="6">
        <v>0.33701657458563533</v>
      </c>
      <c r="L319" s="6">
        <v>0.574585635359116</v>
      </c>
      <c r="M319" s="6">
        <v>8.8397790055248726E-2</v>
      </c>
      <c r="N319" s="4">
        <v>997.28512904076263</v>
      </c>
      <c r="O319" s="4">
        <v>1700.2894003317922</v>
      </c>
      <c r="P319" s="4">
        <v>2697.5745293725549</v>
      </c>
    </row>
    <row r="320" spans="1:16" x14ac:dyDescent="0.25">
      <c r="A320" s="1" t="s">
        <v>1034</v>
      </c>
      <c r="B320" s="1" t="s">
        <v>682</v>
      </c>
      <c r="C320" s="10">
        <v>40830</v>
      </c>
      <c r="D320" s="3">
        <v>43.7</v>
      </c>
      <c r="E320" s="4">
        <v>3036.2590646913818</v>
      </c>
      <c r="F320" s="10">
        <v>40204</v>
      </c>
      <c r="G320" s="7">
        <v>5.56</v>
      </c>
      <c r="H320" s="7">
        <v>10.479999999999999</v>
      </c>
      <c r="I320" s="7">
        <v>5.6</v>
      </c>
      <c r="J320" s="7">
        <v>9.36</v>
      </c>
      <c r="K320" s="6">
        <v>0.33587786259541985</v>
      </c>
      <c r="L320" s="6">
        <v>0.56870229007633588</v>
      </c>
      <c r="M320" s="6">
        <v>9.5419847328244267E-2</v>
      </c>
      <c r="N320" s="4">
        <v>1019.81220493451</v>
      </c>
      <c r="O320" s="4">
        <v>1726.7274833550225</v>
      </c>
      <c r="P320" s="4">
        <v>2746.5396882895325</v>
      </c>
    </row>
    <row r="321" spans="1:16" x14ac:dyDescent="0.25">
      <c r="A321" s="1" t="s">
        <v>1035</v>
      </c>
      <c r="B321" s="1" t="s">
        <v>682</v>
      </c>
      <c r="C321" s="10">
        <v>40830</v>
      </c>
      <c r="D321" s="3">
        <v>45</v>
      </c>
      <c r="E321" s="4">
        <v>3136.491080539497</v>
      </c>
      <c r="F321" s="10">
        <v>40204</v>
      </c>
      <c r="G321" s="7">
        <v>6.8000000000000007</v>
      </c>
      <c r="H321" s="7">
        <v>12.96</v>
      </c>
      <c r="I321" s="7">
        <v>6.4</v>
      </c>
      <c r="J321" s="7">
        <v>10.6</v>
      </c>
      <c r="K321" s="6">
        <v>0.33333333333333331</v>
      </c>
      <c r="L321" s="6">
        <v>0.55555555555555547</v>
      </c>
      <c r="M321" s="6">
        <v>0.11111111111111127</v>
      </c>
      <c r="N321" s="4">
        <v>1045.497026846499</v>
      </c>
      <c r="O321" s="4">
        <v>1742.4950447441647</v>
      </c>
      <c r="P321" s="4">
        <v>2787.9920715906637</v>
      </c>
    </row>
    <row r="322" spans="1:16" x14ac:dyDescent="0.25">
      <c r="A322" s="1" t="s">
        <v>1036</v>
      </c>
      <c r="B322" s="1" t="s">
        <v>682</v>
      </c>
      <c r="C322" s="10">
        <v>40830</v>
      </c>
      <c r="D322" s="3">
        <v>50.2</v>
      </c>
      <c r="E322" s="4">
        <v>3537.4191439319602</v>
      </c>
      <c r="F322" s="10">
        <v>40204</v>
      </c>
      <c r="G322" s="7">
        <v>6.8</v>
      </c>
      <c r="H322" s="7">
        <v>12.959999999999999</v>
      </c>
      <c r="I322" s="7">
        <v>6.48</v>
      </c>
      <c r="J322" s="7">
        <v>10.8</v>
      </c>
      <c r="K322" s="6">
        <v>0.33950617283950624</v>
      </c>
      <c r="L322" s="6">
        <v>0.57098765432098775</v>
      </c>
      <c r="M322" s="6">
        <v>8.9506172839506015E-2</v>
      </c>
      <c r="N322" s="4">
        <v>1200.9756352855422</v>
      </c>
      <c r="O322" s="4">
        <v>2019.8226593438665</v>
      </c>
      <c r="P322" s="4">
        <v>3220.7982946294087</v>
      </c>
    </row>
    <row r="323" spans="1:16" x14ac:dyDescent="0.25">
      <c r="A323" s="1" t="s">
        <v>1037</v>
      </c>
      <c r="B323" s="1" t="s">
        <v>682</v>
      </c>
      <c r="C323" s="10">
        <v>40830</v>
      </c>
      <c r="D323" s="3">
        <v>51.7</v>
      </c>
      <c r="E323" s="4">
        <v>3653.0714699105556</v>
      </c>
      <c r="F323" s="10">
        <v>40204</v>
      </c>
      <c r="G323" s="7">
        <v>7.72</v>
      </c>
      <c r="H323" s="7">
        <v>14.799999999999999</v>
      </c>
      <c r="I323" s="7">
        <v>7.08</v>
      </c>
      <c r="J323" s="7">
        <v>11.84</v>
      </c>
      <c r="K323" s="6">
        <v>0.33783783783783788</v>
      </c>
      <c r="L323" s="6">
        <v>0.57027027027027033</v>
      </c>
      <c r="M323" s="6">
        <v>9.189189189189173E-2</v>
      </c>
      <c r="N323" s="4">
        <v>1234.1457668616745</v>
      </c>
      <c r="O323" s="4">
        <v>2083.2380544625062</v>
      </c>
      <c r="P323" s="4">
        <v>3317.3838213241806</v>
      </c>
    </row>
    <row r="324" spans="1:16" x14ac:dyDescent="0.25">
      <c r="A324" s="1" t="s">
        <v>1038</v>
      </c>
      <c r="B324" s="1" t="s">
        <v>682</v>
      </c>
      <c r="C324" s="10">
        <v>40830</v>
      </c>
      <c r="D324" s="3">
        <v>53.099999999999994</v>
      </c>
      <c r="E324" s="4">
        <v>3761.0136408239091</v>
      </c>
      <c r="F324" s="10">
        <v>40204</v>
      </c>
      <c r="G324" s="7">
        <v>7.48</v>
      </c>
      <c r="H324" s="7">
        <v>14.32</v>
      </c>
      <c r="I324" s="7">
        <v>7.08</v>
      </c>
      <c r="J324" s="7">
        <v>11.52</v>
      </c>
      <c r="K324" s="6">
        <v>0.34916201117318435</v>
      </c>
      <c r="L324" s="6">
        <v>0.56703910614525133</v>
      </c>
      <c r="M324" s="6">
        <v>8.3798882681564324E-2</v>
      </c>
      <c r="N324" s="4">
        <v>1313.2030868798565</v>
      </c>
      <c r="O324" s="4">
        <v>2132.6418130928869</v>
      </c>
      <c r="P324" s="4">
        <v>3445.8448999727434</v>
      </c>
    </row>
    <row r="325" spans="1:16" x14ac:dyDescent="0.25">
      <c r="A325" s="1" t="s">
        <v>1039</v>
      </c>
      <c r="B325" s="1" t="s">
        <v>682</v>
      </c>
      <c r="C325" s="10">
        <v>40830</v>
      </c>
      <c r="D325" s="3">
        <v>49.900000000000006</v>
      </c>
      <c r="E325" s="4">
        <v>3514.2886787362409</v>
      </c>
      <c r="F325" s="10">
        <v>40204</v>
      </c>
      <c r="G325" s="7">
        <v>6.1400000000000006</v>
      </c>
      <c r="H325" s="7">
        <v>11.64</v>
      </c>
      <c r="I325" s="7">
        <v>5.92</v>
      </c>
      <c r="J325" s="7">
        <v>10.039999999999999</v>
      </c>
      <c r="K325" s="6">
        <v>0.32989690721649484</v>
      </c>
      <c r="L325" s="6">
        <v>0.57044673539518886</v>
      </c>
      <c r="M325" s="6">
        <v>9.9656357388316352E-2</v>
      </c>
      <c r="N325" s="4">
        <v>1159.3529661810278</v>
      </c>
      <c r="O325" s="4">
        <v>2004.7145040213602</v>
      </c>
      <c r="P325" s="4">
        <v>3164.067470202388</v>
      </c>
    </row>
    <row r="326" spans="1:16" x14ac:dyDescent="0.25">
      <c r="A326" s="1" t="s">
        <v>1040</v>
      </c>
      <c r="B326" s="1" t="s">
        <v>682</v>
      </c>
      <c r="C326" s="10">
        <v>40830</v>
      </c>
      <c r="D326" s="3">
        <v>53.910000000000004</v>
      </c>
      <c r="E326" s="4">
        <v>3823.4658968523518</v>
      </c>
      <c r="F326" s="10">
        <v>40204</v>
      </c>
      <c r="G326" s="7">
        <v>6.3</v>
      </c>
      <c r="H326" s="7">
        <v>11.959999999999999</v>
      </c>
      <c r="I326" s="7">
        <v>6.08</v>
      </c>
      <c r="J326" s="7">
        <v>10.08</v>
      </c>
      <c r="K326" s="6">
        <v>0.33444816053511706</v>
      </c>
      <c r="L326" s="6">
        <v>0.55852842809364556</v>
      </c>
      <c r="M326" s="6">
        <v>0.10702341137123739</v>
      </c>
      <c r="N326" s="4">
        <v>1278.7511360710207</v>
      </c>
      <c r="O326" s="4">
        <v>2135.5143972386049</v>
      </c>
      <c r="P326" s="4">
        <v>3414.2655333096254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74ED-B270-4962-A7F2-21DE7C85D8A3}">
  <dimension ref="A1:Q22"/>
  <sheetViews>
    <sheetView workbookViewId="0"/>
  </sheetViews>
  <sheetFormatPr defaultRowHeight="15" x14ac:dyDescent="0.25"/>
  <cols>
    <col min="3" max="3" width="10.5703125" bestFit="1" customWidth="1"/>
    <col min="4" max="5" width="8.85546875" customWidth="1"/>
    <col min="6" max="6" width="10.5703125" bestFit="1" customWidth="1"/>
    <col min="8" max="8" width="8.85546875" customWidth="1"/>
    <col min="17" max="17" width="9.5703125" bestFit="1" customWidth="1"/>
  </cols>
  <sheetData>
    <row r="1" spans="1:17" x14ac:dyDescent="0.25">
      <c r="A1" s="1"/>
      <c r="B1" s="1" t="s">
        <v>0</v>
      </c>
      <c r="C1" s="1" t="s">
        <v>0</v>
      </c>
      <c r="D1" t="s">
        <v>0</v>
      </c>
      <c r="E1" s="1" t="s">
        <v>0</v>
      </c>
      <c r="F1" s="1" t="s">
        <v>7</v>
      </c>
      <c r="G1" t="s">
        <v>7</v>
      </c>
      <c r="H1" t="s">
        <v>7</v>
      </c>
      <c r="I1" t="s">
        <v>7</v>
      </c>
      <c r="J1" t="s">
        <v>7</v>
      </c>
      <c r="K1" s="1" t="s">
        <v>7</v>
      </c>
      <c r="L1" s="1" t="s">
        <v>7</v>
      </c>
      <c r="M1" s="1" t="s">
        <v>7</v>
      </c>
      <c r="N1" s="1" t="s">
        <v>15</v>
      </c>
      <c r="O1" s="1" t="s">
        <v>15</v>
      </c>
      <c r="P1" s="1" t="s">
        <v>15</v>
      </c>
    </row>
    <row r="2" spans="1:17" x14ac:dyDescent="0.25">
      <c r="A2" s="1"/>
      <c r="B2" s="1"/>
      <c r="C2" s="1"/>
      <c r="E2" s="1"/>
      <c r="F2" s="1"/>
      <c r="H2" t="s">
        <v>690</v>
      </c>
      <c r="I2" t="s">
        <v>690</v>
      </c>
      <c r="J2" t="s">
        <v>690</v>
      </c>
      <c r="K2" s="1"/>
      <c r="L2" s="1"/>
      <c r="M2" s="1"/>
      <c r="N2" s="1"/>
      <c r="O2" s="1"/>
      <c r="P2" s="1"/>
    </row>
    <row r="3" spans="1:17" x14ac:dyDescent="0.25">
      <c r="A3" s="1"/>
      <c r="B3" s="1"/>
      <c r="C3" s="1"/>
      <c r="D3" t="s">
        <v>1</v>
      </c>
      <c r="E3" s="1"/>
      <c r="F3" s="1" t="s">
        <v>23</v>
      </c>
      <c r="G3" t="s">
        <v>8</v>
      </c>
      <c r="H3" t="s">
        <v>8</v>
      </c>
      <c r="I3" t="s">
        <v>9</v>
      </c>
      <c r="J3" t="s">
        <v>10</v>
      </c>
      <c r="K3" s="1"/>
      <c r="L3" s="1"/>
      <c r="M3" s="1"/>
      <c r="N3" s="1"/>
      <c r="O3" s="1"/>
      <c r="P3" s="1"/>
    </row>
    <row r="4" spans="1:17" x14ac:dyDescent="0.25">
      <c r="A4" s="1" t="s">
        <v>19</v>
      </c>
      <c r="B4" s="1" t="s">
        <v>20</v>
      </c>
      <c r="C4" s="1" t="s">
        <v>2</v>
      </c>
      <c r="D4" t="s">
        <v>685</v>
      </c>
      <c r="E4" s="1" t="s">
        <v>3</v>
      </c>
      <c r="F4" s="1" t="s">
        <v>24</v>
      </c>
      <c r="G4" t="s">
        <v>709</v>
      </c>
      <c r="H4" t="s">
        <v>691</v>
      </c>
      <c r="I4" t="s">
        <v>709</v>
      </c>
      <c r="J4" t="s">
        <v>710</v>
      </c>
      <c r="K4" s="1" t="s">
        <v>11</v>
      </c>
      <c r="L4" s="1" t="s">
        <v>12</v>
      </c>
      <c r="M4" s="1" t="s">
        <v>13</v>
      </c>
      <c r="N4" s="1" t="s">
        <v>16</v>
      </c>
      <c r="O4" s="1" t="s">
        <v>17</v>
      </c>
      <c r="P4" s="1" t="s">
        <v>18</v>
      </c>
    </row>
    <row r="5" spans="1:17" x14ac:dyDescent="0.25">
      <c r="A5" s="1"/>
      <c r="B5" s="1"/>
      <c r="C5" s="1"/>
      <c r="D5" t="s">
        <v>683</v>
      </c>
      <c r="E5" s="1" t="s">
        <v>4</v>
      </c>
      <c r="F5" s="1"/>
      <c r="G5" t="s">
        <v>683</v>
      </c>
      <c r="H5" t="s">
        <v>683</v>
      </c>
      <c r="I5" t="s">
        <v>683</v>
      </c>
      <c r="J5" t="s">
        <v>683</v>
      </c>
      <c r="K5" s="1" t="s">
        <v>14</v>
      </c>
      <c r="L5" s="5" t="s">
        <v>14</v>
      </c>
      <c r="M5" s="5" t="s">
        <v>14</v>
      </c>
      <c r="N5" s="5" t="s">
        <v>4</v>
      </c>
      <c r="O5" s="5" t="s">
        <v>4</v>
      </c>
      <c r="P5" s="5" t="s">
        <v>4</v>
      </c>
    </row>
    <row r="6" spans="1:17" x14ac:dyDescent="0.25">
      <c r="A6" s="1" t="s">
        <v>19</v>
      </c>
      <c r="B6" s="1" t="s">
        <v>20</v>
      </c>
      <c r="C6" s="1" t="s">
        <v>2</v>
      </c>
      <c r="E6" s="1" t="s">
        <v>3</v>
      </c>
      <c r="F6" s="1" t="s">
        <v>24</v>
      </c>
      <c r="K6" s="1" t="s">
        <v>11</v>
      </c>
      <c r="L6" s="1" t="s">
        <v>12</v>
      </c>
      <c r="M6" s="1" t="s">
        <v>13</v>
      </c>
      <c r="N6" s="1" t="s">
        <v>16</v>
      </c>
      <c r="O6" s="1" t="s">
        <v>17</v>
      </c>
      <c r="P6" s="1" t="s">
        <v>18</v>
      </c>
    </row>
    <row r="7" spans="1:17" x14ac:dyDescent="0.25">
      <c r="A7" s="1" t="s">
        <v>705</v>
      </c>
      <c r="B7" s="1" t="s">
        <v>682</v>
      </c>
      <c r="C7" s="10">
        <v>40827</v>
      </c>
      <c r="D7" s="3">
        <v>1130.4000000000003</v>
      </c>
      <c r="E7" s="4">
        <v>4024.700944055106</v>
      </c>
      <c r="F7" s="10">
        <v>40200</v>
      </c>
      <c r="G7" s="7">
        <v>130.31999999999996</v>
      </c>
      <c r="H7" s="7">
        <v>247.83999999999997</v>
      </c>
      <c r="I7" s="7">
        <v>127.72</v>
      </c>
      <c r="J7" s="7">
        <v>205.96</v>
      </c>
      <c r="K7" s="6">
        <v>0.34748224661071664</v>
      </c>
      <c r="L7" s="6">
        <v>0.55664945125887677</v>
      </c>
      <c r="M7" s="6">
        <v>9.5868302130406646E-2</v>
      </c>
      <c r="N7" s="4">
        <v>1398.5121259765403</v>
      </c>
      <c r="O7" s="4">
        <v>2240.3475719893581</v>
      </c>
      <c r="P7" s="4">
        <v>3638.8596979658987</v>
      </c>
      <c r="Q7" s="3"/>
    </row>
    <row r="8" spans="1:17" x14ac:dyDescent="0.25">
      <c r="A8" s="1" t="s">
        <v>27</v>
      </c>
      <c r="B8" s="1" t="s">
        <v>682</v>
      </c>
      <c r="C8" s="10">
        <v>40827</v>
      </c>
      <c r="D8" s="3">
        <v>1310.1999999999996</v>
      </c>
      <c r="E8" s="4">
        <v>4717.8438844201519</v>
      </c>
      <c r="F8" s="10">
        <v>40200</v>
      </c>
      <c r="G8" s="7">
        <v>142.30000000000004</v>
      </c>
      <c r="H8" s="7">
        <v>271.8</v>
      </c>
      <c r="I8" s="7">
        <v>131.64000000000004</v>
      </c>
      <c r="J8" s="7">
        <v>224.51999999999992</v>
      </c>
      <c r="K8" s="6">
        <v>0.33127299484915396</v>
      </c>
      <c r="L8" s="6">
        <v>0.57586460632818215</v>
      </c>
      <c r="M8" s="6">
        <v>9.2862398822663894E-2</v>
      </c>
      <c r="N8" s="4">
        <v>1562.8942728226295</v>
      </c>
      <c r="O8" s="4">
        <v>2716.8393112194326</v>
      </c>
      <c r="P8" s="4">
        <v>4279.7335840420619</v>
      </c>
    </row>
    <row r="9" spans="1:17" x14ac:dyDescent="0.25">
      <c r="A9" s="1" t="s">
        <v>706</v>
      </c>
      <c r="B9" s="1" t="s">
        <v>682</v>
      </c>
      <c r="C9" s="10">
        <v>40827</v>
      </c>
      <c r="D9" s="3">
        <v>1159.9000000000001</v>
      </c>
      <c r="E9" s="4">
        <v>4138.4257312673917</v>
      </c>
      <c r="F9" s="10">
        <v>40200</v>
      </c>
      <c r="G9" s="7">
        <v>128.72000000000003</v>
      </c>
      <c r="H9" s="7">
        <v>244.64000000000004</v>
      </c>
      <c r="I9" s="7">
        <v>122.47999999999998</v>
      </c>
      <c r="J9" s="7">
        <v>209.60000000000005</v>
      </c>
      <c r="K9" s="6">
        <v>0.33060824068018291</v>
      </c>
      <c r="L9" s="6">
        <v>0.57880967952910412</v>
      </c>
      <c r="M9" s="6">
        <v>9.0582079790712977E-2</v>
      </c>
      <c r="N9" s="4">
        <v>1368.1976501999118</v>
      </c>
      <c r="O9" s="4">
        <v>2395.3608712698774</v>
      </c>
      <c r="P9" s="4">
        <v>3763.5585214697894</v>
      </c>
    </row>
    <row r="10" spans="1:17" x14ac:dyDescent="0.25">
      <c r="A10" s="1" t="s">
        <v>28</v>
      </c>
      <c r="B10" s="1" t="s">
        <v>682</v>
      </c>
      <c r="C10" s="10">
        <v>40827</v>
      </c>
      <c r="D10" s="3">
        <v>1420.0000000000005</v>
      </c>
      <c r="E10" s="4">
        <v>5141.1313975018093</v>
      </c>
      <c r="F10" s="10">
        <v>40205</v>
      </c>
      <c r="G10" s="7">
        <v>123.89999999999996</v>
      </c>
      <c r="H10" s="7">
        <v>235</v>
      </c>
      <c r="I10" s="7">
        <v>118.83999999999999</v>
      </c>
      <c r="J10" s="7">
        <v>202.92000000000004</v>
      </c>
      <c r="K10" s="6">
        <v>0.32868085106382972</v>
      </c>
      <c r="L10" s="6">
        <v>0.57412765957446832</v>
      </c>
      <c r="M10" s="6">
        <v>9.7191489361701966E-2</v>
      </c>
      <c r="N10" s="4">
        <v>1689.7914431618708</v>
      </c>
      <c r="O10" s="4">
        <v>2951.6657368125293</v>
      </c>
      <c r="P10" s="4">
        <v>4641.4571799743999</v>
      </c>
    </row>
    <row r="11" spans="1:17" x14ac:dyDescent="0.25">
      <c r="A11" s="1" t="s">
        <v>29</v>
      </c>
      <c r="B11" s="1" t="s">
        <v>682</v>
      </c>
      <c r="C11" s="10">
        <v>40827</v>
      </c>
      <c r="D11" s="3">
        <v>1419.1</v>
      </c>
      <c r="E11" s="4">
        <v>5137.6618277224534</v>
      </c>
      <c r="F11" s="10">
        <v>40205</v>
      </c>
      <c r="G11" s="7">
        <v>113.75999999999998</v>
      </c>
      <c r="H11" s="7">
        <v>214.72</v>
      </c>
      <c r="I11" s="7">
        <v>112.92</v>
      </c>
      <c r="J11" s="7">
        <v>189.03999999999996</v>
      </c>
      <c r="K11" s="6">
        <v>0.33215350223546941</v>
      </c>
      <c r="L11" s="6">
        <v>0.56371087928464958</v>
      </c>
      <c r="M11" s="6">
        <v>0.10413561847988106</v>
      </c>
      <c r="N11" s="4">
        <v>1706.4923693794958</v>
      </c>
      <c r="O11" s="4">
        <v>2896.1558663726041</v>
      </c>
      <c r="P11" s="4">
        <v>4602.6482357520999</v>
      </c>
    </row>
    <row r="12" spans="1:17" x14ac:dyDescent="0.25">
      <c r="A12" s="1" t="s">
        <v>30</v>
      </c>
      <c r="B12" s="1" t="s">
        <v>682</v>
      </c>
      <c r="C12" s="10">
        <v>40828</v>
      </c>
      <c r="D12" s="3">
        <v>1335.9999999999998</v>
      </c>
      <c r="E12" s="4">
        <v>4817.3048847617456</v>
      </c>
      <c r="F12" s="10">
        <v>40205</v>
      </c>
      <c r="G12" s="7">
        <v>132.54</v>
      </c>
      <c r="H12" s="7">
        <v>252.28</v>
      </c>
      <c r="I12" s="7">
        <v>125.23999999999998</v>
      </c>
      <c r="J12" s="7">
        <v>211.12000000000003</v>
      </c>
      <c r="K12" s="6">
        <v>0.33153638814016168</v>
      </c>
      <c r="L12" s="6">
        <v>0.56730616775011899</v>
      </c>
      <c r="M12" s="6">
        <v>0.10115744410971939</v>
      </c>
      <c r="N12" s="4">
        <v>1597.111862063867</v>
      </c>
      <c r="O12" s="4">
        <v>2732.8867730581146</v>
      </c>
      <c r="P12" s="4">
        <v>4329.9986351219814</v>
      </c>
    </row>
    <row r="13" spans="1:17" x14ac:dyDescent="0.25">
      <c r="A13" s="1" t="s">
        <v>31</v>
      </c>
      <c r="B13" s="1" t="s">
        <v>682</v>
      </c>
      <c r="C13" s="10">
        <v>40828</v>
      </c>
      <c r="D13" s="3">
        <v>1410.9</v>
      </c>
      <c r="E13" s="4">
        <v>5106.0501919549697</v>
      </c>
      <c r="F13" s="10">
        <v>40204</v>
      </c>
      <c r="G13" s="7">
        <v>130.85999999999999</v>
      </c>
      <c r="H13" s="7">
        <v>248.92</v>
      </c>
      <c r="I13" s="7">
        <v>123.07999999999998</v>
      </c>
      <c r="J13" s="7">
        <v>210.04000000000008</v>
      </c>
      <c r="K13" s="6">
        <v>0.32733408323959501</v>
      </c>
      <c r="L13" s="6">
        <v>0.57062510043387471</v>
      </c>
      <c r="M13" s="6">
        <v>0.10204081632653028</v>
      </c>
      <c r="N13" s="4">
        <v>1671.3842585589382</v>
      </c>
      <c r="O13" s="4">
        <v>2913.6404036047097</v>
      </c>
      <c r="P13" s="4">
        <v>4585.0246621636479</v>
      </c>
    </row>
    <row r="14" spans="1:17" x14ac:dyDescent="0.25">
      <c r="A14" s="1" t="s">
        <v>32</v>
      </c>
      <c r="B14" s="1" t="s">
        <v>682</v>
      </c>
      <c r="C14" s="10">
        <v>40828</v>
      </c>
      <c r="D14" s="3">
        <v>1426.3000000000002</v>
      </c>
      <c r="E14" s="4">
        <v>5165.4183859573168</v>
      </c>
      <c r="F14" s="10">
        <v>40204</v>
      </c>
      <c r="G14" s="7">
        <v>128.46000000000004</v>
      </c>
      <c r="H14" s="7">
        <v>244.12</v>
      </c>
      <c r="I14" s="7">
        <v>124.55999999999999</v>
      </c>
      <c r="J14" s="7">
        <v>205.28000000000003</v>
      </c>
      <c r="K14" s="6">
        <v>0.33983286908077986</v>
      </c>
      <c r="L14" s="6">
        <v>0.56234638702277584</v>
      </c>
      <c r="M14" s="6">
        <v>9.782074389644424E-2</v>
      </c>
      <c r="N14" s="4">
        <v>1755.378950102486</v>
      </c>
      <c r="O14" s="4">
        <v>2904.7543668041153</v>
      </c>
      <c r="P14" s="4">
        <v>4660.1333169066011</v>
      </c>
    </row>
    <row r="15" spans="1:17" x14ac:dyDescent="0.25">
      <c r="A15" s="1" t="s">
        <v>707</v>
      </c>
      <c r="B15" s="1" t="s">
        <v>682</v>
      </c>
      <c r="C15" s="10">
        <v>40828</v>
      </c>
      <c r="D15" s="3">
        <v>1201.0000000000005</v>
      </c>
      <c r="E15" s="4">
        <v>4296.8694178580681</v>
      </c>
      <c r="F15" s="10">
        <v>40205</v>
      </c>
      <c r="G15" s="7">
        <v>119.45999999999998</v>
      </c>
      <c r="H15" s="7">
        <v>226.12</v>
      </c>
      <c r="I15" s="7">
        <v>118.51999999999994</v>
      </c>
      <c r="J15" s="7">
        <v>195.39999999999998</v>
      </c>
      <c r="K15" s="6">
        <v>0.34017335927825904</v>
      </c>
      <c r="L15" s="6">
        <v>0.56341765434282676</v>
      </c>
      <c r="M15" s="6">
        <v>9.6408986378914263E-2</v>
      </c>
      <c r="N15" s="4">
        <v>1461.6805042527963</v>
      </c>
      <c r="O15" s="4">
        <v>2420.9320884270201</v>
      </c>
      <c r="P15" s="4">
        <v>3882.6125926798163</v>
      </c>
    </row>
    <row r="16" spans="1:17" x14ac:dyDescent="0.25">
      <c r="A16" s="1" t="s">
        <v>708</v>
      </c>
      <c r="B16" s="1" t="s">
        <v>682</v>
      </c>
      <c r="C16" s="10">
        <v>40828</v>
      </c>
      <c r="D16" s="3">
        <v>1597.5000000000002</v>
      </c>
      <c r="E16" s="4">
        <v>5825.407659541831</v>
      </c>
      <c r="F16" s="10">
        <v>40204</v>
      </c>
      <c r="G16" s="7">
        <v>130.68000000000004</v>
      </c>
      <c r="H16" s="7">
        <v>248.56000000000003</v>
      </c>
      <c r="I16" s="7">
        <v>123.67999999999999</v>
      </c>
      <c r="J16" s="7">
        <v>208.79999999999995</v>
      </c>
      <c r="K16" s="6">
        <v>0.33022207917605395</v>
      </c>
      <c r="L16" s="6">
        <v>0.56646282587705155</v>
      </c>
      <c r="M16" s="6">
        <v>0.1033150949468945</v>
      </c>
      <c r="N16" s="4">
        <v>1923.6782293820136</v>
      </c>
      <c r="O16" s="4">
        <v>3299.8768847098868</v>
      </c>
      <c r="P16" s="4">
        <v>5223.5551140919006</v>
      </c>
    </row>
    <row r="17" spans="1:16" x14ac:dyDescent="0.25">
      <c r="A17" s="1" t="s">
        <v>33</v>
      </c>
      <c r="B17" s="1" t="s">
        <v>682</v>
      </c>
      <c r="C17" s="10">
        <v>40829</v>
      </c>
      <c r="D17" s="3">
        <v>1445.3</v>
      </c>
      <c r="E17" s="4">
        <v>5238.6648590770938</v>
      </c>
      <c r="F17" s="10">
        <v>40200</v>
      </c>
      <c r="G17" s="7">
        <v>145.90000000000003</v>
      </c>
      <c r="H17" s="7">
        <v>278.99999999999994</v>
      </c>
      <c r="I17" s="7">
        <v>134.99999999999994</v>
      </c>
      <c r="J17" s="7">
        <v>226.16000000000003</v>
      </c>
      <c r="K17" s="6">
        <v>0.3347670250896056</v>
      </c>
      <c r="L17" s="6">
        <v>0.56688172043010776</v>
      </c>
      <c r="M17" s="6">
        <v>9.8351254480286698E-2</v>
      </c>
      <c r="N17" s="4">
        <v>1753.7322503146966</v>
      </c>
      <c r="O17" s="4">
        <v>2969.7033480703708</v>
      </c>
      <c r="P17" s="4">
        <v>4723.4355983850674</v>
      </c>
    </row>
    <row r="18" spans="1:16" x14ac:dyDescent="0.25">
      <c r="A18" s="1" t="s">
        <v>34</v>
      </c>
      <c r="B18" s="1" t="s">
        <v>682</v>
      </c>
      <c r="C18" s="10">
        <v>40829</v>
      </c>
      <c r="D18" s="3">
        <v>1189.6000000000001</v>
      </c>
      <c r="E18" s="4">
        <v>4252.9215339862003</v>
      </c>
      <c r="F18" s="10">
        <v>40200</v>
      </c>
      <c r="G18" s="7">
        <v>141.55999999999997</v>
      </c>
      <c r="H18" s="7">
        <v>270.32</v>
      </c>
      <c r="I18" s="7">
        <v>129.48000000000002</v>
      </c>
      <c r="J18" s="7">
        <v>223.20000000000007</v>
      </c>
      <c r="K18" s="6">
        <v>0.32509618230245646</v>
      </c>
      <c r="L18" s="6">
        <v>0.57413435927789314</v>
      </c>
      <c r="M18" s="6">
        <v>0.10076945841965035</v>
      </c>
      <c r="N18" s="4">
        <v>1382.6085543308207</v>
      </c>
      <c r="O18" s="4">
        <v>2441.7483799743213</v>
      </c>
      <c r="P18" s="4">
        <v>3824.3569343051422</v>
      </c>
    </row>
    <row r="19" spans="1:16" x14ac:dyDescent="0.25">
      <c r="A19" s="1" t="s">
        <v>35</v>
      </c>
      <c r="B19" s="1" t="s">
        <v>682</v>
      </c>
      <c r="C19" s="10">
        <v>40829</v>
      </c>
      <c r="D19" s="3">
        <v>1239.5</v>
      </c>
      <c r="E19" s="4">
        <v>4445.2899028639313</v>
      </c>
      <c r="F19" s="10">
        <v>40204</v>
      </c>
      <c r="G19" s="7">
        <v>144.44</v>
      </c>
      <c r="H19" s="7">
        <v>276.08</v>
      </c>
      <c r="I19" s="7">
        <v>134.16000000000005</v>
      </c>
      <c r="J19" s="7">
        <v>227.52</v>
      </c>
      <c r="K19" s="6">
        <v>0.33526514053897444</v>
      </c>
      <c r="L19" s="6">
        <v>0.57780353520718641</v>
      </c>
      <c r="M19" s="6">
        <v>8.6931324253839204E-2</v>
      </c>
      <c r="N19" s="4">
        <v>1490.3507440201599</v>
      </c>
      <c r="O19" s="4">
        <v>2568.5042208955897</v>
      </c>
      <c r="P19" s="4">
        <v>4058.8549649157494</v>
      </c>
    </row>
    <row r="20" spans="1:16" x14ac:dyDescent="0.25">
      <c r="A20" s="1" t="s">
        <v>36</v>
      </c>
      <c r="B20" s="1" t="s">
        <v>682</v>
      </c>
      <c r="C20" s="10">
        <v>40829</v>
      </c>
      <c r="D20" s="3">
        <v>1232.5999999999997</v>
      </c>
      <c r="E20" s="4">
        <v>4418.6898678888547</v>
      </c>
      <c r="F20" s="10">
        <v>40204</v>
      </c>
      <c r="G20" s="7">
        <v>135.61999999999998</v>
      </c>
      <c r="H20" s="7">
        <v>258.76</v>
      </c>
      <c r="I20" s="7">
        <v>125.88000000000002</v>
      </c>
      <c r="J20" s="7">
        <v>217.72</v>
      </c>
      <c r="K20" s="6">
        <v>0.32972638738599486</v>
      </c>
      <c r="L20" s="6">
        <v>0.58517545215643851</v>
      </c>
      <c r="M20" s="6">
        <v>8.5098160457566685E-2</v>
      </c>
      <c r="N20" s="4">
        <v>1456.958647118091</v>
      </c>
      <c r="O20" s="4">
        <v>2585.7088413809342</v>
      </c>
      <c r="P20" s="4">
        <v>4042.6674884990252</v>
      </c>
    </row>
    <row r="21" spans="1:16" x14ac:dyDescent="0.25">
      <c r="A21" s="1" t="s">
        <v>37</v>
      </c>
      <c r="B21" s="1" t="s">
        <v>682</v>
      </c>
      <c r="C21" s="10">
        <v>40830</v>
      </c>
      <c r="D21" s="3">
        <v>1394.9999999999995</v>
      </c>
      <c r="E21" s="4">
        <v>5044.7544591863161</v>
      </c>
      <c r="F21" s="10">
        <v>40204</v>
      </c>
      <c r="G21" s="7">
        <v>155.40000000000003</v>
      </c>
      <c r="H21" s="7">
        <v>297.99999999999994</v>
      </c>
      <c r="I21" s="7">
        <v>142.16000000000003</v>
      </c>
      <c r="J21" s="7">
        <v>234.59999999999997</v>
      </c>
      <c r="K21" s="6">
        <v>0.33744966442953039</v>
      </c>
      <c r="L21" s="6">
        <v>0.5590604026845637</v>
      </c>
      <c r="M21" s="6">
        <v>0.10348993288590591</v>
      </c>
      <c r="N21" s="4">
        <v>1702.3506993817994</v>
      </c>
      <c r="O21" s="4">
        <v>2820.3224593974501</v>
      </c>
      <c r="P21" s="4">
        <v>4522.6731587792492</v>
      </c>
    </row>
    <row r="22" spans="1:16" x14ac:dyDescent="0.25">
      <c r="A22" s="1" t="s">
        <v>38</v>
      </c>
      <c r="B22" s="1" t="s">
        <v>682</v>
      </c>
      <c r="C22" s="10">
        <v>40830</v>
      </c>
      <c r="D22" s="3">
        <v>1047.4100000000001</v>
      </c>
      <c r="E22" s="4">
        <v>3704.7680596229861</v>
      </c>
      <c r="F22" s="10">
        <v>40204</v>
      </c>
      <c r="G22" s="7">
        <v>142.03999999999996</v>
      </c>
      <c r="H22" s="7">
        <v>271.28000000000003</v>
      </c>
      <c r="I22" s="7">
        <v>132.96</v>
      </c>
      <c r="J22" s="7">
        <v>220.92000000000007</v>
      </c>
      <c r="K22" s="6">
        <v>0.3367738130345031</v>
      </c>
      <c r="L22" s="6">
        <v>0.56369802418165749</v>
      </c>
      <c r="M22" s="6">
        <v>9.9528162783839469E-2</v>
      </c>
      <c r="N22" s="4">
        <v>1247.6688658476703</v>
      </c>
      <c r="O22" s="4">
        <v>2088.3704352607901</v>
      </c>
      <c r="P22" s="4">
        <v>3336.0393011084607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E23EC-6553-4F40-BB07-8C4418C70151}">
  <dimension ref="A1:N22"/>
  <sheetViews>
    <sheetView workbookViewId="0"/>
  </sheetViews>
  <sheetFormatPr defaultRowHeight="15" x14ac:dyDescent="0.25"/>
  <sheetData>
    <row r="1" spans="1:14" x14ac:dyDescent="0.25">
      <c r="B1" t="s">
        <v>714</v>
      </c>
      <c r="C1" t="s">
        <v>714</v>
      </c>
    </row>
    <row r="2" spans="1:14" x14ac:dyDescent="0.25">
      <c r="B2" t="s">
        <v>715</v>
      </c>
      <c r="C2" t="s">
        <v>715</v>
      </c>
    </row>
    <row r="4" spans="1:14" x14ac:dyDescent="0.25">
      <c r="B4" t="s">
        <v>712</v>
      </c>
      <c r="C4" t="s">
        <v>713</v>
      </c>
      <c r="N4">
        <v>0</v>
      </c>
    </row>
    <row r="5" spans="1:14" x14ac:dyDescent="0.25">
      <c r="N5">
        <v>3500</v>
      </c>
    </row>
    <row r="6" spans="1:14" x14ac:dyDescent="0.25">
      <c r="A6" t="s">
        <v>711</v>
      </c>
    </row>
    <row r="7" spans="1:14" x14ac:dyDescent="0.25">
      <c r="A7">
        <v>1</v>
      </c>
      <c r="B7">
        <v>1398.6065288048458</v>
      </c>
      <c r="C7">
        <v>2242.6001811130582</v>
      </c>
    </row>
    <row r="8" spans="1:14" x14ac:dyDescent="0.25">
      <c r="A8">
        <v>2</v>
      </c>
      <c r="B8">
        <v>1563.1484883531657</v>
      </c>
      <c r="C8">
        <v>2718.8597970125725</v>
      </c>
    </row>
    <row r="9" spans="1:14" x14ac:dyDescent="0.25">
      <c r="A9">
        <v>3</v>
      </c>
      <c r="B9">
        <v>1368.5258833864855</v>
      </c>
      <c r="C9">
        <v>2397.7731849181546</v>
      </c>
    </row>
    <row r="10" spans="1:14" x14ac:dyDescent="0.25">
      <c r="A10">
        <v>4</v>
      </c>
      <c r="B10">
        <v>1692.14509569343</v>
      </c>
      <c r="C10">
        <v>2953.0622135714511</v>
      </c>
    </row>
    <row r="11" spans="1:14" x14ac:dyDescent="0.25">
      <c r="A11">
        <v>5</v>
      </c>
      <c r="B11">
        <v>1708.5412207535396</v>
      </c>
      <c r="C11">
        <v>2897.4368952200848</v>
      </c>
    </row>
    <row r="12" spans="1:14" x14ac:dyDescent="0.25">
      <c r="A12">
        <v>6</v>
      </c>
      <c r="B12">
        <v>1598.2501105034166</v>
      </c>
      <c r="C12">
        <v>2736.6998273171448</v>
      </c>
    </row>
    <row r="13" spans="1:14" x14ac:dyDescent="0.25">
      <c r="A13">
        <v>7</v>
      </c>
      <c r="B13">
        <v>1671.2312276847435</v>
      </c>
      <c r="C13">
        <v>2915.0885965382577</v>
      </c>
    </row>
    <row r="14" spans="1:14" x14ac:dyDescent="0.25">
      <c r="A14">
        <v>8</v>
      </c>
      <c r="B14">
        <v>1757.1442338004388</v>
      </c>
      <c r="C14">
        <v>2906.907742607068</v>
      </c>
    </row>
    <row r="15" spans="1:14" x14ac:dyDescent="0.25">
      <c r="A15">
        <v>9</v>
      </c>
      <c r="B15">
        <v>1461.4396484272722</v>
      </c>
      <c r="C15">
        <v>2423.1886204961952</v>
      </c>
    </row>
    <row r="16" spans="1:14" x14ac:dyDescent="0.25">
      <c r="A16">
        <v>10</v>
      </c>
      <c r="B16">
        <v>1923.54030760053</v>
      </c>
      <c r="C16">
        <v>3303.5234845536324</v>
      </c>
    </row>
    <row r="17" spans="1:14" x14ac:dyDescent="0.25">
      <c r="A17">
        <v>11</v>
      </c>
      <c r="B17">
        <v>1753.7772285655806</v>
      </c>
      <c r="C17">
        <v>2971.2179574674101</v>
      </c>
    </row>
    <row r="18" spans="1:14" x14ac:dyDescent="0.25">
      <c r="A18">
        <v>12</v>
      </c>
      <c r="B18">
        <v>1383.6940820598359</v>
      </c>
      <c r="C18">
        <v>2442.412209780111</v>
      </c>
    </row>
    <row r="19" spans="1:14" x14ac:dyDescent="0.25">
      <c r="A19">
        <v>13</v>
      </c>
      <c r="B19">
        <v>1492.2575836385186</v>
      </c>
      <c r="C19">
        <v>2570.5247515433839</v>
      </c>
    </row>
    <row r="20" spans="1:14" x14ac:dyDescent="0.25">
      <c r="A20">
        <v>14</v>
      </c>
      <c r="B20">
        <v>1443.0982688602539</v>
      </c>
      <c r="C20">
        <v>2566.8154409297954</v>
      </c>
      <c r="N20">
        <v>0</v>
      </c>
    </row>
    <row r="21" spans="1:14" x14ac:dyDescent="0.25">
      <c r="A21">
        <v>15</v>
      </c>
      <c r="B21">
        <v>1701.0724058575749</v>
      </c>
      <c r="C21">
        <v>2822.4012835863527</v>
      </c>
      <c r="N21">
        <v>3500</v>
      </c>
    </row>
    <row r="22" spans="1:14" x14ac:dyDescent="0.25">
      <c r="A22">
        <v>16</v>
      </c>
      <c r="B22">
        <v>1247.3843570900185</v>
      </c>
      <c r="C22">
        <v>2088.1321819857026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411E-6D63-4FB7-8043-47072BF18F2A}">
  <sheetPr>
    <pageSetUpPr fitToPage="1"/>
  </sheetPr>
  <dimension ref="A2:K27"/>
  <sheetViews>
    <sheetView topLeftCell="A11" zoomScaleNormal="100" workbookViewId="0">
      <selection activeCell="K25" sqref="K25"/>
    </sheetView>
  </sheetViews>
  <sheetFormatPr defaultRowHeight="15" x14ac:dyDescent="0.25"/>
  <cols>
    <col min="2" max="2" width="10" style="12" customWidth="1"/>
    <col min="3" max="6" width="8.7109375" customWidth="1"/>
  </cols>
  <sheetData>
    <row r="2" spans="1:11" x14ac:dyDescent="0.25">
      <c r="C2" t="s">
        <v>1056</v>
      </c>
    </row>
    <row r="3" spans="1:11" x14ac:dyDescent="0.25">
      <c r="C3" t="s">
        <v>1055</v>
      </c>
    </row>
    <row r="4" spans="1:11" x14ac:dyDescent="0.25">
      <c r="C4" t="s">
        <v>1054</v>
      </c>
    </row>
    <row r="6" spans="1:11" x14ac:dyDescent="0.25">
      <c r="C6" t="s">
        <v>1053</v>
      </c>
    </row>
    <row r="7" spans="1:11" x14ac:dyDescent="0.25">
      <c r="D7" t="s">
        <v>1052</v>
      </c>
    </row>
    <row r="9" spans="1:11" x14ac:dyDescent="0.25">
      <c r="C9" t="s">
        <v>1051</v>
      </c>
    </row>
    <row r="10" spans="1:11" x14ac:dyDescent="0.25">
      <c r="C10" t="s">
        <v>1050</v>
      </c>
    </row>
    <row r="11" spans="1:11" ht="21.95" customHeight="1" x14ac:dyDescent="0.25"/>
    <row r="12" spans="1:11" ht="18.75" x14ac:dyDescent="0.3">
      <c r="B12" s="38" t="s">
        <v>1049</v>
      </c>
      <c r="C12" s="38"/>
      <c r="D12" s="38"/>
      <c r="E12" s="38"/>
      <c r="F12" s="38"/>
      <c r="G12" s="38"/>
    </row>
    <row r="13" spans="1:11" ht="41.45" customHeight="1" thickBot="1" x14ac:dyDescent="0.45">
      <c r="C13" s="37" t="s">
        <v>1048</v>
      </c>
      <c r="D13" s="37" t="s">
        <v>1047</v>
      </c>
      <c r="E13" s="37" t="s">
        <v>1048</v>
      </c>
      <c r="F13" s="37" t="s">
        <v>1047</v>
      </c>
      <c r="H13" s="36" t="s">
        <v>1046</v>
      </c>
      <c r="J13" s="31" t="s">
        <v>1045</v>
      </c>
      <c r="K13" s="31"/>
    </row>
    <row r="14" spans="1:11" ht="15" customHeight="1" thickTop="1" thickBot="1" x14ac:dyDescent="0.3">
      <c r="B14" s="35"/>
      <c r="C14" s="34" t="s">
        <v>1044</v>
      </c>
      <c r="D14" s="33" t="s">
        <v>1044</v>
      </c>
      <c r="E14" s="34" t="s">
        <v>1044</v>
      </c>
      <c r="F14" s="33" t="s">
        <v>1044</v>
      </c>
      <c r="G14" s="32"/>
      <c r="J14" s="31"/>
      <c r="K14" s="31"/>
    </row>
    <row r="15" spans="1:11" ht="45.2" customHeight="1" thickBot="1" x14ac:dyDescent="0.3">
      <c r="A15" s="30"/>
      <c r="B15" s="26"/>
      <c r="C15" s="29">
        <v>40</v>
      </c>
      <c r="D15" s="27">
        <v>21</v>
      </c>
      <c r="E15" s="28">
        <v>20</v>
      </c>
      <c r="F15" s="27">
        <v>1</v>
      </c>
      <c r="G15" s="22"/>
      <c r="J15" s="21">
        <v>20</v>
      </c>
      <c r="K15" s="21">
        <v>10</v>
      </c>
    </row>
    <row r="16" spans="1:11" ht="45.2" customHeight="1" thickBot="1" x14ac:dyDescent="0.3">
      <c r="B16" s="26"/>
      <c r="C16" s="25">
        <v>39</v>
      </c>
      <c r="D16" s="23">
        <v>22</v>
      </c>
      <c r="E16" s="24">
        <v>19</v>
      </c>
      <c r="F16" s="23">
        <v>2</v>
      </c>
      <c r="G16" s="22"/>
      <c r="J16" s="21">
        <v>19</v>
      </c>
      <c r="K16" s="21">
        <v>9</v>
      </c>
    </row>
    <row r="17" spans="2:11" ht="45.2" customHeight="1" thickBot="1" x14ac:dyDescent="0.3">
      <c r="B17" s="26"/>
      <c r="C17" s="25">
        <v>38</v>
      </c>
      <c r="D17" s="23">
        <v>23</v>
      </c>
      <c r="E17" s="24">
        <v>18</v>
      </c>
      <c r="F17" s="23">
        <v>3</v>
      </c>
      <c r="G17" s="22"/>
      <c r="J17" s="21">
        <v>18</v>
      </c>
      <c r="K17" s="21">
        <v>8</v>
      </c>
    </row>
    <row r="18" spans="2:11" ht="45.2" customHeight="1" thickBot="1" x14ac:dyDescent="0.3">
      <c r="B18" s="26"/>
      <c r="C18" s="25">
        <v>37</v>
      </c>
      <c r="D18" s="23">
        <v>24</v>
      </c>
      <c r="E18" s="24">
        <v>17</v>
      </c>
      <c r="F18" s="23">
        <v>4</v>
      </c>
      <c r="G18" s="22"/>
      <c r="J18" s="21">
        <v>17</v>
      </c>
      <c r="K18" s="21">
        <v>7</v>
      </c>
    </row>
    <row r="19" spans="2:11" ht="45.2" customHeight="1" thickBot="1" x14ac:dyDescent="0.3">
      <c r="B19" s="26"/>
      <c r="C19" s="25">
        <v>36</v>
      </c>
      <c r="D19" s="23">
        <v>25</v>
      </c>
      <c r="E19" s="24">
        <v>16</v>
      </c>
      <c r="F19" s="23">
        <v>5</v>
      </c>
      <c r="G19" s="22"/>
      <c r="J19" s="21">
        <v>16</v>
      </c>
      <c r="K19" s="21">
        <v>6</v>
      </c>
    </row>
    <row r="20" spans="2:11" ht="45.2" customHeight="1" thickBot="1" x14ac:dyDescent="0.3">
      <c r="B20" s="26"/>
      <c r="C20" s="25">
        <v>35</v>
      </c>
      <c r="D20" s="23">
        <v>26</v>
      </c>
      <c r="E20" s="24">
        <v>15</v>
      </c>
      <c r="F20" s="23">
        <v>6</v>
      </c>
      <c r="G20" s="22"/>
      <c r="J20" s="21">
        <v>15</v>
      </c>
      <c r="K20" s="21">
        <v>5</v>
      </c>
    </row>
    <row r="21" spans="2:11" ht="45.2" customHeight="1" thickBot="1" x14ac:dyDescent="0.3">
      <c r="B21" s="26"/>
      <c r="C21" s="25">
        <v>34</v>
      </c>
      <c r="D21" s="23">
        <v>27</v>
      </c>
      <c r="E21" s="24">
        <v>14</v>
      </c>
      <c r="F21" s="23">
        <v>7</v>
      </c>
      <c r="G21" s="22"/>
      <c r="J21" s="21">
        <v>14</v>
      </c>
      <c r="K21" s="21">
        <v>4</v>
      </c>
    </row>
    <row r="22" spans="2:11" ht="45.2" customHeight="1" thickBot="1" x14ac:dyDescent="0.3">
      <c r="B22" s="26"/>
      <c r="C22" s="25">
        <v>33</v>
      </c>
      <c r="D22" s="23">
        <v>28</v>
      </c>
      <c r="E22" s="24">
        <v>13</v>
      </c>
      <c r="F22" s="23">
        <v>8</v>
      </c>
      <c r="G22" s="22"/>
      <c r="J22" s="21">
        <v>13</v>
      </c>
      <c r="K22" s="21">
        <v>3</v>
      </c>
    </row>
    <row r="23" spans="2:11" ht="45.2" customHeight="1" thickBot="1" x14ac:dyDescent="0.3">
      <c r="B23" s="26"/>
      <c r="C23" s="25">
        <v>32</v>
      </c>
      <c r="D23" s="23">
        <v>29</v>
      </c>
      <c r="E23" s="24">
        <v>12</v>
      </c>
      <c r="F23" s="23">
        <v>9</v>
      </c>
      <c r="G23" s="22"/>
      <c r="J23" s="21">
        <v>12</v>
      </c>
      <c r="K23" s="21">
        <v>2</v>
      </c>
    </row>
    <row r="24" spans="2:11" ht="45.2" customHeight="1" thickBot="1" x14ac:dyDescent="0.3">
      <c r="B24" s="26"/>
      <c r="C24" s="25">
        <v>31</v>
      </c>
      <c r="D24" s="23">
        <v>30</v>
      </c>
      <c r="E24" s="24">
        <v>11</v>
      </c>
      <c r="F24" s="23">
        <v>10</v>
      </c>
      <c r="G24" s="22"/>
      <c r="J24" s="21">
        <v>11</v>
      </c>
      <c r="K24" s="21">
        <v>1</v>
      </c>
    </row>
    <row r="25" spans="2:11" ht="16.350000000000001" customHeight="1" thickBot="1" x14ac:dyDescent="0.3">
      <c r="B25" s="20"/>
      <c r="C25" s="19" t="s">
        <v>1044</v>
      </c>
      <c r="D25" s="18" t="s">
        <v>1044</v>
      </c>
      <c r="E25" s="19" t="s">
        <v>1044</v>
      </c>
      <c r="F25" s="18" t="s">
        <v>1044</v>
      </c>
      <c r="G25" s="17"/>
    </row>
    <row r="26" spans="2:11" ht="15.75" thickTop="1" x14ac:dyDescent="0.25">
      <c r="B26" s="16" t="s">
        <v>1042</v>
      </c>
      <c r="C26" s="15" t="s">
        <v>1043</v>
      </c>
      <c r="D26" s="15" t="s">
        <v>1043</v>
      </c>
      <c r="E26" s="15" t="s">
        <v>1043</v>
      </c>
      <c r="F26" s="15" t="s">
        <v>1043</v>
      </c>
      <c r="G26" s="15" t="s">
        <v>1042</v>
      </c>
    </row>
    <row r="27" spans="2:11" x14ac:dyDescent="0.25">
      <c r="C27" s="14" t="s">
        <v>1041</v>
      </c>
      <c r="D27" s="13"/>
      <c r="E27" s="14" t="s">
        <v>1041</v>
      </c>
      <c r="F27" s="13"/>
    </row>
  </sheetData>
  <printOptions horizontalCentered="1" verticalCentered="1"/>
  <pageMargins left="0.7" right="0.7" top="0.3" bottom="0.27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1C416-5B5E-4789-BFDB-9C2BD5F82EE8}">
  <dimension ref="A1:AU153"/>
  <sheetViews>
    <sheetView topLeftCell="A41" zoomScale="75" zoomScaleNormal="75" workbookViewId="0">
      <selection activeCell="G64" sqref="G64"/>
    </sheetView>
  </sheetViews>
  <sheetFormatPr defaultColWidth="9.7109375" defaultRowHeight="15" x14ac:dyDescent="0.25"/>
  <cols>
    <col min="1" max="1" width="7.28515625" style="39" customWidth="1"/>
    <col min="2" max="7" width="9.7109375" style="39" customWidth="1"/>
    <col min="8" max="16384" width="9.7109375" style="39"/>
  </cols>
  <sheetData>
    <row r="1" spans="1:40" ht="18.75" x14ac:dyDescent="0.3">
      <c r="A1" s="75" t="s">
        <v>1084</v>
      </c>
    </row>
    <row r="3" spans="1:40" ht="15.75" x14ac:dyDescent="0.25">
      <c r="A3" s="72" t="s">
        <v>1083</v>
      </c>
    </row>
    <row r="4" spans="1:40" ht="15.75" x14ac:dyDescent="0.25">
      <c r="A4" s="72" t="s">
        <v>1082</v>
      </c>
    </row>
    <row r="5" spans="1:40" ht="15.75" x14ac:dyDescent="0.25">
      <c r="A5" s="72"/>
      <c r="B5" s="39" t="s">
        <v>1081</v>
      </c>
    </row>
    <row r="6" spans="1:40" ht="15.75" x14ac:dyDescent="0.25">
      <c r="A6" s="72"/>
      <c r="B6" s="39" t="s">
        <v>1080</v>
      </c>
    </row>
    <row r="7" spans="1:40" ht="15.75" x14ac:dyDescent="0.25">
      <c r="A7" s="72"/>
    </row>
    <row r="8" spans="1:40" ht="15.75" x14ac:dyDescent="0.25">
      <c r="A8" s="72"/>
      <c r="B8" s="74" t="s">
        <v>1079</v>
      </c>
    </row>
    <row r="9" spans="1:40" ht="15.75" x14ac:dyDescent="0.25">
      <c r="A9" s="72"/>
      <c r="B9" s="73"/>
    </row>
    <row r="10" spans="1:40" ht="15.75" x14ac:dyDescent="0.25">
      <c r="A10" s="72"/>
      <c r="B10" s="73" t="s">
        <v>1078</v>
      </c>
    </row>
    <row r="11" spans="1:40" ht="15.75" x14ac:dyDescent="0.25">
      <c r="A11" s="72"/>
      <c r="B11" s="73"/>
    </row>
    <row r="12" spans="1:40" ht="15.75" x14ac:dyDescent="0.25">
      <c r="A12" s="72"/>
      <c r="B12" s="71" t="s">
        <v>1077</v>
      </c>
    </row>
    <row r="14" spans="1:40" ht="23.25" x14ac:dyDescent="0.35">
      <c r="C14" s="59" t="s">
        <v>1070</v>
      </c>
      <c r="D14" s="61">
        <v>1</v>
      </c>
      <c r="E14" s="57" t="s">
        <v>1072</v>
      </c>
      <c r="F14" s="57"/>
      <c r="H14" s="59" t="s">
        <v>1070</v>
      </c>
      <c r="I14" s="61">
        <v>2</v>
      </c>
      <c r="J14" s="57" t="s">
        <v>1071</v>
      </c>
      <c r="M14" s="59" t="s">
        <v>1070</v>
      </c>
      <c r="N14" s="61">
        <v>3</v>
      </c>
      <c r="O14" s="57" t="s">
        <v>1074</v>
      </c>
      <c r="R14" s="59" t="s">
        <v>1070</v>
      </c>
      <c r="S14" s="61">
        <v>4</v>
      </c>
      <c r="T14" s="57" t="s">
        <v>1073</v>
      </c>
      <c r="W14" s="59" t="s">
        <v>1070</v>
      </c>
      <c r="X14" s="61">
        <v>5</v>
      </c>
      <c r="Y14" s="57" t="s">
        <v>1072</v>
      </c>
      <c r="AB14" s="59" t="s">
        <v>1070</v>
      </c>
      <c r="AC14" s="61">
        <v>6</v>
      </c>
      <c r="AD14" s="57" t="s">
        <v>1074</v>
      </c>
      <c r="AG14" s="59" t="s">
        <v>1070</v>
      </c>
      <c r="AH14" s="61">
        <v>7</v>
      </c>
      <c r="AI14" s="57" t="s">
        <v>1073</v>
      </c>
      <c r="AL14" s="59" t="s">
        <v>1070</v>
      </c>
      <c r="AM14" s="61">
        <v>8</v>
      </c>
      <c r="AN14" s="57" t="s">
        <v>1071</v>
      </c>
    </row>
    <row r="15" spans="1:40" ht="21" x14ac:dyDescent="0.35">
      <c r="C15" s="59" t="s">
        <v>1076</v>
      </c>
      <c r="D15" s="58">
        <v>40827</v>
      </c>
      <c r="E15" s="57"/>
      <c r="F15" s="57"/>
      <c r="H15" s="59" t="s">
        <v>1067</v>
      </c>
      <c r="I15" s="58">
        <v>40827</v>
      </c>
      <c r="J15" s="57"/>
      <c r="M15" s="59" t="s">
        <v>1067</v>
      </c>
      <c r="N15" s="58">
        <v>40827</v>
      </c>
      <c r="O15" s="57"/>
      <c r="R15" s="59" t="s">
        <v>1067</v>
      </c>
      <c r="S15" s="58">
        <v>40827</v>
      </c>
      <c r="T15" s="41"/>
      <c r="W15" s="59" t="s">
        <v>1067</v>
      </c>
      <c r="X15" s="58">
        <v>40827</v>
      </c>
      <c r="Y15" s="57"/>
      <c r="AB15" s="59" t="s">
        <v>1067</v>
      </c>
      <c r="AC15" s="58">
        <v>40828</v>
      </c>
      <c r="AD15" s="41"/>
      <c r="AG15" s="59" t="s">
        <v>1067</v>
      </c>
      <c r="AH15" s="58">
        <v>40828</v>
      </c>
      <c r="AI15" s="57"/>
      <c r="AL15" s="59" t="s">
        <v>1067</v>
      </c>
      <c r="AM15" s="58">
        <v>40828</v>
      </c>
      <c r="AN15" s="57"/>
    </row>
    <row r="16" spans="1:40" x14ac:dyDescent="0.25">
      <c r="S16" s="58"/>
      <c r="T16" s="41"/>
      <c r="AC16" s="58"/>
      <c r="AD16" s="41"/>
    </row>
    <row r="17" spans="2:40" ht="19.7" customHeight="1" x14ac:dyDescent="0.25">
      <c r="G17" s="70"/>
      <c r="H17" s="70"/>
      <c r="I17" s="70"/>
      <c r="J17" s="70"/>
      <c r="Q17" s="56"/>
      <c r="R17" s="56"/>
      <c r="S17" s="56"/>
      <c r="T17" s="56"/>
      <c r="V17" s="70"/>
      <c r="W17" s="70"/>
      <c r="X17" s="70"/>
      <c r="Y17" s="70"/>
      <c r="AC17" s="58"/>
      <c r="AD17" s="41"/>
      <c r="AK17" s="70"/>
      <c r="AL17" s="70"/>
      <c r="AM17" s="70"/>
      <c r="AN17" s="70"/>
    </row>
    <row r="18" spans="2:40" ht="45" x14ac:dyDescent="0.25">
      <c r="B18" s="54" t="s">
        <v>1065</v>
      </c>
      <c r="C18" s="54" t="s">
        <v>1064</v>
      </c>
      <c r="D18" s="54" t="s">
        <v>1063</v>
      </c>
      <c r="E18" s="53" t="s">
        <v>1062</v>
      </c>
      <c r="F18" s="65"/>
      <c r="G18" s="54" t="s">
        <v>1065</v>
      </c>
      <c r="H18" s="54" t="s">
        <v>1064</v>
      </c>
      <c r="I18" s="54" t="s">
        <v>1063</v>
      </c>
      <c r="J18" s="53" t="s">
        <v>1062</v>
      </c>
      <c r="L18" s="54" t="s">
        <v>1065</v>
      </c>
      <c r="M18" s="54" t="s">
        <v>1064</v>
      </c>
      <c r="N18" s="54" t="s">
        <v>1063</v>
      </c>
      <c r="O18" s="53" t="s">
        <v>1062</v>
      </c>
      <c r="Q18" s="54" t="s">
        <v>1065</v>
      </c>
      <c r="R18" s="54" t="s">
        <v>1064</v>
      </c>
      <c r="S18" s="54" t="s">
        <v>1063</v>
      </c>
      <c r="T18" s="53" t="s">
        <v>1062</v>
      </c>
      <c r="V18" s="54" t="s">
        <v>1065</v>
      </c>
      <c r="W18" s="54" t="s">
        <v>1064</v>
      </c>
      <c r="X18" s="54" t="s">
        <v>1063</v>
      </c>
      <c r="Y18" s="53" t="s">
        <v>1062</v>
      </c>
      <c r="AA18" s="54" t="s">
        <v>1065</v>
      </c>
      <c r="AB18" s="54" t="s">
        <v>1064</v>
      </c>
      <c r="AC18" s="54" t="s">
        <v>1063</v>
      </c>
      <c r="AD18" s="53" t="s">
        <v>1062</v>
      </c>
      <c r="AF18" s="54" t="s">
        <v>1065</v>
      </c>
      <c r="AG18" s="54" t="s">
        <v>1064</v>
      </c>
      <c r="AH18" s="54" t="s">
        <v>1063</v>
      </c>
      <c r="AI18" s="53" t="s">
        <v>1062</v>
      </c>
      <c r="AK18" s="54" t="s">
        <v>1065</v>
      </c>
      <c r="AL18" s="54" t="s">
        <v>1064</v>
      </c>
      <c r="AM18" s="54" t="s">
        <v>1063</v>
      </c>
      <c r="AN18" s="53" t="s">
        <v>1062</v>
      </c>
    </row>
    <row r="19" spans="2:40" ht="18.75" x14ac:dyDescent="0.25">
      <c r="B19" s="52">
        <v>1</v>
      </c>
      <c r="C19" s="46">
        <v>7.8</v>
      </c>
      <c r="D19" s="46">
        <v>11.2</v>
      </c>
      <c r="E19" s="44">
        <f>C19+D19</f>
        <v>19</v>
      </c>
      <c r="F19" s="65"/>
      <c r="G19" s="52">
        <v>1</v>
      </c>
      <c r="H19" s="46">
        <v>13.7</v>
      </c>
      <c r="I19" s="46">
        <v>13</v>
      </c>
      <c r="J19" s="44">
        <f>H19+I19</f>
        <v>26.7</v>
      </c>
      <c r="L19" s="52">
        <v>1</v>
      </c>
      <c r="M19" s="46">
        <v>7.5</v>
      </c>
      <c r="N19" s="46">
        <v>10.5</v>
      </c>
      <c r="O19" s="44">
        <f>M19+N19</f>
        <v>18</v>
      </c>
      <c r="Q19" s="52">
        <v>1</v>
      </c>
      <c r="R19" s="46">
        <v>12.9</v>
      </c>
      <c r="S19" s="46">
        <v>14.1</v>
      </c>
      <c r="T19" s="44">
        <f>R19+S19</f>
        <v>27</v>
      </c>
      <c r="V19" s="52">
        <v>1</v>
      </c>
      <c r="W19" s="46">
        <v>14.3</v>
      </c>
      <c r="X19" s="46">
        <v>15.5</v>
      </c>
      <c r="Y19" s="44">
        <f>W19+X19</f>
        <v>29.8</v>
      </c>
      <c r="AA19" s="52">
        <v>1</v>
      </c>
      <c r="AB19" s="46">
        <v>16.600000000000001</v>
      </c>
      <c r="AC19" s="46">
        <v>12.4</v>
      </c>
      <c r="AD19" s="44">
        <f>AB19+AC19</f>
        <v>29</v>
      </c>
      <c r="AF19" s="52">
        <v>1</v>
      </c>
      <c r="AG19" s="46">
        <v>11.8</v>
      </c>
      <c r="AH19" s="46">
        <v>18.600000000000001</v>
      </c>
      <c r="AI19" s="44">
        <f>AG19+AH19</f>
        <v>30.400000000000002</v>
      </c>
      <c r="AK19" s="52">
        <v>1</v>
      </c>
      <c r="AL19" s="46">
        <v>12.3</v>
      </c>
      <c r="AM19" s="46">
        <v>15.8</v>
      </c>
      <c r="AN19" s="44">
        <f>AL19+AM19</f>
        <v>28.1</v>
      </c>
    </row>
    <row r="20" spans="2:40" ht="18.75" x14ac:dyDescent="0.25">
      <c r="B20" s="52">
        <v>2</v>
      </c>
      <c r="C20" s="46">
        <v>9</v>
      </c>
      <c r="D20" s="46">
        <v>13</v>
      </c>
      <c r="E20" s="44">
        <f>C20+D20</f>
        <v>22</v>
      </c>
      <c r="F20" s="65"/>
      <c r="G20" s="52">
        <v>2</v>
      </c>
      <c r="H20" s="46">
        <v>15.2</v>
      </c>
      <c r="I20" s="46">
        <v>16.8</v>
      </c>
      <c r="J20" s="44">
        <f>H20+I20</f>
        <v>32</v>
      </c>
      <c r="L20" s="52">
        <v>2</v>
      </c>
      <c r="M20" s="46">
        <v>13.9</v>
      </c>
      <c r="N20" s="46">
        <v>15.7</v>
      </c>
      <c r="O20" s="44">
        <f>M20+N20</f>
        <v>29.6</v>
      </c>
      <c r="Q20" s="52">
        <v>2</v>
      </c>
      <c r="R20" s="46">
        <v>17.399999999999999</v>
      </c>
      <c r="S20" s="46">
        <v>17.600000000000001</v>
      </c>
      <c r="T20" s="44">
        <f>R20+S20</f>
        <v>35</v>
      </c>
      <c r="V20" s="52">
        <v>2</v>
      </c>
      <c r="W20" s="46">
        <v>16.399999999999999</v>
      </c>
      <c r="X20" s="46">
        <v>20.9</v>
      </c>
      <c r="Y20" s="44">
        <f>W20+X20</f>
        <v>37.299999999999997</v>
      </c>
      <c r="AA20" s="52">
        <v>2</v>
      </c>
      <c r="AB20" s="46">
        <v>15.2</v>
      </c>
      <c r="AC20" s="46">
        <v>14.6</v>
      </c>
      <c r="AD20" s="44">
        <f>AB20+AC20</f>
        <v>29.799999999999997</v>
      </c>
      <c r="AF20" s="52">
        <v>2</v>
      </c>
      <c r="AG20" s="46">
        <v>14.8</v>
      </c>
      <c r="AH20" s="46">
        <v>16.3</v>
      </c>
      <c r="AI20" s="44">
        <f>AG20+AH20</f>
        <v>31.1</v>
      </c>
      <c r="AK20" s="52">
        <v>2</v>
      </c>
      <c r="AL20" s="46">
        <v>14.6</v>
      </c>
      <c r="AM20" s="46">
        <v>17.3</v>
      </c>
      <c r="AN20" s="44">
        <f>AL20+AM20</f>
        <v>31.9</v>
      </c>
    </row>
    <row r="21" spans="2:40" ht="18.75" x14ac:dyDescent="0.25">
      <c r="B21" s="52">
        <v>3</v>
      </c>
      <c r="C21" s="46">
        <v>10.3</v>
      </c>
      <c r="D21" s="46">
        <v>12.4</v>
      </c>
      <c r="E21" s="44">
        <f>C21+D21</f>
        <v>22.700000000000003</v>
      </c>
      <c r="F21" s="65"/>
      <c r="G21" s="52">
        <v>3</v>
      </c>
      <c r="H21" s="46">
        <v>14.9</v>
      </c>
      <c r="I21" s="46">
        <v>13.9</v>
      </c>
      <c r="J21" s="44">
        <f>H21+I21</f>
        <v>28.8</v>
      </c>
      <c r="L21" s="52">
        <v>3</v>
      </c>
      <c r="M21" s="46">
        <v>13.2</v>
      </c>
      <c r="N21" s="46">
        <v>13.4</v>
      </c>
      <c r="O21" s="44">
        <f>M21+N21</f>
        <v>26.6</v>
      </c>
      <c r="Q21" s="52">
        <v>3</v>
      </c>
      <c r="R21" s="46">
        <v>16.5</v>
      </c>
      <c r="S21" s="46">
        <v>17.2</v>
      </c>
      <c r="T21" s="44">
        <f>R21+S21</f>
        <v>33.700000000000003</v>
      </c>
      <c r="V21" s="69">
        <v>3</v>
      </c>
      <c r="W21" s="50">
        <v>16.3</v>
      </c>
      <c r="X21" s="50">
        <v>27.3</v>
      </c>
      <c r="Y21" s="49">
        <f>W21+X21</f>
        <v>43.6</v>
      </c>
      <c r="AA21" s="52">
        <v>3</v>
      </c>
      <c r="AB21" s="46">
        <v>14.5</v>
      </c>
      <c r="AC21" s="46">
        <v>17.5</v>
      </c>
      <c r="AD21" s="44">
        <f>AB21+AC21</f>
        <v>32</v>
      </c>
      <c r="AF21" s="52">
        <v>3</v>
      </c>
      <c r="AG21" s="46">
        <v>14.7</v>
      </c>
      <c r="AH21" s="46">
        <v>18.3</v>
      </c>
      <c r="AI21" s="44">
        <f>AG21+AH21</f>
        <v>33</v>
      </c>
      <c r="AK21" s="52">
        <v>3</v>
      </c>
      <c r="AL21" s="46">
        <v>14.3</v>
      </c>
      <c r="AM21" s="46">
        <v>16.3</v>
      </c>
      <c r="AN21" s="44">
        <f>AL21+AM21</f>
        <v>30.6</v>
      </c>
    </row>
    <row r="22" spans="2:40" ht="18.75" x14ac:dyDescent="0.25">
      <c r="B22" s="52">
        <v>4</v>
      </c>
      <c r="C22" s="46">
        <v>11.4</v>
      </c>
      <c r="D22" s="46">
        <v>15.2</v>
      </c>
      <c r="E22" s="44">
        <f>C22+D22</f>
        <v>26.6</v>
      </c>
      <c r="F22" s="65"/>
      <c r="G22" s="52">
        <v>4</v>
      </c>
      <c r="H22" s="46">
        <v>14.2</v>
      </c>
      <c r="I22" s="46">
        <v>15.3</v>
      </c>
      <c r="J22" s="44">
        <f>H22+I22</f>
        <v>29.5</v>
      </c>
      <c r="L22" s="52">
        <v>4</v>
      </c>
      <c r="M22" s="46">
        <v>13.5</v>
      </c>
      <c r="N22" s="46">
        <v>14.1</v>
      </c>
      <c r="O22" s="44">
        <f>M22+N22</f>
        <v>27.6</v>
      </c>
      <c r="Q22" s="52">
        <v>4</v>
      </c>
      <c r="R22" s="46">
        <v>17.5</v>
      </c>
      <c r="S22" s="46">
        <v>18</v>
      </c>
      <c r="T22" s="44">
        <f>R22+S22</f>
        <v>35.5</v>
      </c>
      <c r="V22" s="69">
        <v>4</v>
      </c>
      <c r="W22" s="50">
        <v>10.9</v>
      </c>
      <c r="X22" s="50">
        <v>16.7</v>
      </c>
      <c r="Y22" s="49">
        <f>W22+X22</f>
        <v>27.6</v>
      </c>
      <c r="AA22" s="52">
        <v>4</v>
      </c>
      <c r="AB22" s="46">
        <v>13.5</v>
      </c>
      <c r="AC22" s="46">
        <v>17.600000000000001</v>
      </c>
      <c r="AD22" s="44">
        <f>AB22+AC22</f>
        <v>31.1</v>
      </c>
      <c r="AF22" s="52">
        <v>4</v>
      </c>
      <c r="AG22" s="46">
        <v>18.100000000000001</v>
      </c>
      <c r="AH22" s="46">
        <v>12.5</v>
      </c>
      <c r="AI22" s="44">
        <f>AG22+AH22</f>
        <v>30.6</v>
      </c>
      <c r="AK22" s="52">
        <v>4</v>
      </c>
      <c r="AL22" s="46">
        <v>15.3</v>
      </c>
      <c r="AM22" s="46">
        <v>17.5</v>
      </c>
      <c r="AN22" s="44">
        <f>AL22+AM22</f>
        <v>32.799999999999997</v>
      </c>
    </row>
    <row r="23" spans="2:40" ht="18.75" x14ac:dyDescent="0.25">
      <c r="B23" s="52">
        <v>5</v>
      </c>
      <c r="C23" s="46">
        <v>12.9</v>
      </c>
      <c r="D23" s="46">
        <v>12.7</v>
      </c>
      <c r="E23" s="44">
        <f>C23+D23</f>
        <v>25.6</v>
      </c>
      <c r="F23" s="65"/>
      <c r="G23" s="52">
        <v>5</v>
      </c>
      <c r="H23" s="46">
        <v>14.8</v>
      </c>
      <c r="I23" s="46">
        <v>14.7</v>
      </c>
      <c r="J23" s="44">
        <f>H23+I23</f>
        <v>29.5</v>
      </c>
      <c r="L23" s="52">
        <v>5</v>
      </c>
      <c r="M23" s="46">
        <v>17.2</v>
      </c>
      <c r="N23" s="46">
        <v>12.4</v>
      </c>
      <c r="O23" s="44">
        <f>M23+N23</f>
        <v>29.6</v>
      </c>
      <c r="Q23" s="52">
        <v>5</v>
      </c>
      <c r="R23" s="46">
        <v>18.600000000000001</v>
      </c>
      <c r="S23" s="46">
        <v>21.2</v>
      </c>
      <c r="T23" s="44">
        <f>R23+S23</f>
        <v>39.799999999999997</v>
      </c>
      <c r="V23" s="52">
        <v>5</v>
      </c>
      <c r="W23" s="46">
        <v>18.7</v>
      </c>
      <c r="X23" s="46">
        <v>17.7</v>
      </c>
      <c r="Y23" s="44">
        <f>W23+X23</f>
        <v>36.4</v>
      </c>
      <c r="AA23" s="52">
        <v>5</v>
      </c>
      <c r="AB23" s="46">
        <v>16.2</v>
      </c>
      <c r="AC23" s="46">
        <v>19.5</v>
      </c>
      <c r="AD23" s="44">
        <f>AB23+AC23</f>
        <v>35.700000000000003</v>
      </c>
      <c r="AF23" s="52">
        <v>5</v>
      </c>
      <c r="AG23" s="46">
        <v>14.7</v>
      </c>
      <c r="AH23" s="46">
        <v>14.5</v>
      </c>
      <c r="AI23" s="44">
        <f>AG23+AH23</f>
        <v>29.2</v>
      </c>
      <c r="AK23" s="52">
        <v>5</v>
      </c>
      <c r="AL23" s="46">
        <v>15.7</v>
      </c>
      <c r="AM23" s="46">
        <v>18.100000000000001</v>
      </c>
      <c r="AN23" s="44">
        <f>AL23+AM23</f>
        <v>33.799999999999997</v>
      </c>
    </row>
    <row r="24" spans="2:40" ht="18.75" x14ac:dyDescent="0.25">
      <c r="B24" s="52">
        <v>6</v>
      </c>
      <c r="C24" s="46">
        <v>13.5</v>
      </c>
      <c r="D24" s="46">
        <v>13.2</v>
      </c>
      <c r="E24" s="44">
        <f>C24+D24</f>
        <v>26.7</v>
      </c>
      <c r="F24" s="65"/>
      <c r="G24" s="52">
        <v>6</v>
      </c>
      <c r="H24" s="46">
        <v>15.3</v>
      </c>
      <c r="I24" s="46">
        <v>16.7</v>
      </c>
      <c r="J24" s="44">
        <f>H24+I24</f>
        <v>32</v>
      </c>
      <c r="L24" s="52">
        <v>6</v>
      </c>
      <c r="M24" s="46">
        <v>13.9</v>
      </c>
      <c r="N24" s="46">
        <v>13.9</v>
      </c>
      <c r="O24" s="44">
        <f>M24+N24</f>
        <v>27.8</v>
      </c>
      <c r="Q24" s="52">
        <v>6</v>
      </c>
      <c r="R24" s="46">
        <v>17.899999999999999</v>
      </c>
      <c r="S24" s="46">
        <v>19.600000000000001</v>
      </c>
      <c r="T24" s="44">
        <f>R24+S24</f>
        <v>37.5</v>
      </c>
      <c r="V24" s="52">
        <v>6</v>
      </c>
      <c r="W24" s="46">
        <v>18.100000000000001</v>
      </c>
      <c r="X24" s="46">
        <v>19</v>
      </c>
      <c r="Y24" s="44">
        <f>W24+X24</f>
        <v>37.1</v>
      </c>
      <c r="AA24" s="52">
        <v>6</v>
      </c>
      <c r="AB24" s="46">
        <v>16.600000000000001</v>
      </c>
      <c r="AC24" s="46">
        <v>20.399999999999999</v>
      </c>
      <c r="AD24" s="44">
        <f>AB24+AC24</f>
        <v>37</v>
      </c>
      <c r="AF24" s="52">
        <v>6</v>
      </c>
      <c r="AG24" s="46">
        <v>13.6</v>
      </c>
      <c r="AH24" s="46">
        <v>18.3</v>
      </c>
      <c r="AI24" s="44">
        <f>AG24+AH24</f>
        <v>31.9</v>
      </c>
      <c r="AK24" s="52">
        <v>6</v>
      </c>
      <c r="AL24" s="46">
        <v>16.600000000000001</v>
      </c>
      <c r="AM24" s="46">
        <v>23.9</v>
      </c>
      <c r="AN24" s="44">
        <f>AL24+AM24</f>
        <v>40.5</v>
      </c>
    </row>
    <row r="25" spans="2:40" ht="18.75" x14ac:dyDescent="0.25">
      <c r="B25" s="52">
        <v>7</v>
      </c>
      <c r="C25" s="46">
        <v>13.8</v>
      </c>
      <c r="D25" s="46">
        <v>13.7</v>
      </c>
      <c r="E25" s="44">
        <f>C25+D25</f>
        <v>27.5</v>
      </c>
      <c r="F25" s="65"/>
      <c r="G25" s="52">
        <v>7</v>
      </c>
      <c r="H25" s="46">
        <v>14.4</v>
      </c>
      <c r="I25" s="46">
        <v>11.8</v>
      </c>
      <c r="J25" s="44">
        <f>H25+I25</f>
        <v>26.200000000000003</v>
      </c>
      <c r="L25" s="52">
        <v>7</v>
      </c>
      <c r="M25" s="46">
        <v>14.3</v>
      </c>
      <c r="N25" s="46">
        <v>14.4</v>
      </c>
      <c r="O25" s="44">
        <f>M25+N25</f>
        <v>28.700000000000003</v>
      </c>
      <c r="Q25" s="52">
        <v>7</v>
      </c>
      <c r="R25" s="46">
        <v>17.899999999999999</v>
      </c>
      <c r="S25" s="46">
        <v>21.7</v>
      </c>
      <c r="T25" s="44">
        <f>R25+S25</f>
        <v>39.599999999999994</v>
      </c>
      <c r="V25" s="52">
        <v>7</v>
      </c>
      <c r="W25" s="46">
        <v>15.7</v>
      </c>
      <c r="X25" s="46">
        <v>19.3</v>
      </c>
      <c r="Y25" s="44">
        <f>W25+X25</f>
        <v>35</v>
      </c>
      <c r="AA25" s="52">
        <v>7</v>
      </c>
      <c r="AB25" s="46">
        <v>16.2</v>
      </c>
      <c r="AC25" s="46">
        <v>17.899999999999999</v>
      </c>
      <c r="AD25" s="44">
        <f>AB25+AC25</f>
        <v>34.099999999999994</v>
      </c>
      <c r="AF25" s="52">
        <v>7</v>
      </c>
      <c r="AG25" s="46">
        <v>16.2</v>
      </c>
      <c r="AH25" s="46">
        <v>19.5</v>
      </c>
      <c r="AI25" s="44">
        <f>AG25+AH25</f>
        <v>35.700000000000003</v>
      </c>
      <c r="AK25" s="52">
        <v>7</v>
      </c>
      <c r="AL25" s="46">
        <v>18.600000000000001</v>
      </c>
      <c r="AM25" s="46">
        <v>19.399999999999999</v>
      </c>
      <c r="AN25" s="44">
        <f>AL25+AM25</f>
        <v>38</v>
      </c>
    </row>
    <row r="26" spans="2:40" ht="18.75" x14ac:dyDescent="0.25">
      <c r="B26" s="52">
        <v>8</v>
      </c>
      <c r="C26" s="46">
        <v>14.4</v>
      </c>
      <c r="D26" s="46">
        <v>11.9</v>
      </c>
      <c r="E26" s="44">
        <f>C26+D26</f>
        <v>26.3</v>
      </c>
      <c r="F26" s="65"/>
      <c r="G26" s="52">
        <v>8</v>
      </c>
      <c r="H26" s="46">
        <v>17.5</v>
      </c>
      <c r="I26" s="46">
        <v>11.4</v>
      </c>
      <c r="J26" s="44">
        <f>H26+I26</f>
        <v>28.9</v>
      </c>
      <c r="L26" s="52">
        <v>8</v>
      </c>
      <c r="M26" s="46">
        <v>14.3</v>
      </c>
      <c r="N26" s="46">
        <v>14.5</v>
      </c>
      <c r="O26" s="44">
        <f>M26+N26</f>
        <v>28.8</v>
      </c>
      <c r="Q26" s="52">
        <v>8</v>
      </c>
      <c r="R26" s="46">
        <v>18.3</v>
      </c>
      <c r="S26" s="46">
        <v>17.399999999999999</v>
      </c>
      <c r="T26" s="44">
        <f>R26+S26</f>
        <v>35.700000000000003</v>
      </c>
      <c r="V26" s="52">
        <v>8</v>
      </c>
      <c r="W26" s="46">
        <v>16.899999999999999</v>
      </c>
      <c r="X26" s="46">
        <v>17.600000000000001</v>
      </c>
      <c r="Y26" s="44">
        <f>W26+X26</f>
        <v>34.5</v>
      </c>
      <c r="AA26" s="52">
        <v>8</v>
      </c>
      <c r="AB26" s="46">
        <v>17.3</v>
      </c>
      <c r="AC26" s="46">
        <v>17.8</v>
      </c>
      <c r="AD26" s="44">
        <f>AB26+AC26</f>
        <v>35.1</v>
      </c>
      <c r="AF26" s="52">
        <v>8</v>
      </c>
      <c r="AG26" s="46">
        <v>16.2</v>
      </c>
      <c r="AH26" s="46">
        <v>18.8</v>
      </c>
      <c r="AI26" s="44">
        <f>AG26+AH26</f>
        <v>35</v>
      </c>
      <c r="AK26" s="52">
        <v>8</v>
      </c>
      <c r="AL26" s="46">
        <v>15.4</v>
      </c>
      <c r="AM26" s="46">
        <v>19.7</v>
      </c>
      <c r="AN26" s="44">
        <f>AL26+AM26</f>
        <v>35.1</v>
      </c>
    </row>
    <row r="27" spans="2:40" ht="18.75" x14ac:dyDescent="0.25">
      <c r="B27" s="52">
        <v>9</v>
      </c>
      <c r="C27" s="46">
        <v>10.6</v>
      </c>
      <c r="D27" s="46">
        <v>10.8</v>
      </c>
      <c r="E27" s="44">
        <f>C27+D27</f>
        <v>21.4</v>
      </c>
      <c r="F27" s="65"/>
      <c r="G27" s="52">
        <v>9</v>
      </c>
      <c r="H27" s="46">
        <v>16.600000000000001</v>
      </c>
      <c r="I27" s="46">
        <v>18.2</v>
      </c>
      <c r="J27" s="44">
        <f>H27+I27</f>
        <v>34.799999999999997</v>
      </c>
      <c r="L27" s="52">
        <v>9</v>
      </c>
      <c r="M27" s="46">
        <v>13.3</v>
      </c>
      <c r="N27" s="46">
        <v>16.899999999999999</v>
      </c>
      <c r="O27" s="44">
        <f>M27+N27</f>
        <v>30.2</v>
      </c>
      <c r="Q27" s="52">
        <v>9</v>
      </c>
      <c r="R27" s="46">
        <v>16.7</v>
      </c>
      <c r="S27" s="46">
        <v>18.5</v>
      </c>
      <c r="T27" s="44">
        <f>R27+S27</f>
        <v>35.200000000000003</v>
      </c>
      <c r="V27" s="52">
        <v>9</v>
      </c>
      <c r="W27" s="46">
        <v>17.399999999999999</v>
      </c>
      <c r="X27" s="46">
        <v>18.7</v>
      </c>
      <c r="Y27" s="44">
        <f>W27+X27</f>
        <v>36.099999999999994</v>
      </c>
      <c r="AA27" s="52">
        <v>9</v>
      </c>
      <c r="AB27" s="46">
        <v>14.3</v>
      </c>
      <c r="AC27" s="46">
        <v>17.5</v>
      </c>
      <c r="AD27" s="44">
        <f>AB27+AC27</f>
        <v>31.8</v>
      </c>
      <c r="AF27" s="52">
        <v>9</v>
      </c>
      <c r="AG27" s="46">
        <v>15</v>
      </c>
      <c r="AH27" s="46">
        <v>17.8</v>
      </c>
      <c r="AI27" s="44">
        <f>AG27+AH27</f>
        <v>32.799999999999997</v>
      </c>
      <c r="AK27" s="52">
        <v>9</v>
      </c>
      <c r="AL27" s="46">
        <v>17</v>
      </c>
      <c r="AM27" s="46">
        <v>19.8</v>
      </c>
      <c r="AN27" s="44">
        <f>AL27+AM27</f>
        <v>36.799999999999997</v>
      </c>
    </row>
    <row r="28" spans="2:40" ht="18.75" x14ac:dyDescent="0.25">
      <c r="B28" s="47">
        <v>10</v>
      </c>
      <c r="C28" s="46">
        <v>11.7</v>
      </c>
      <c r="D28" s="46">
        <v>11.2</v>
      </c>
      <c r="E28" s="44">
        <f>C28+D28</f>
        <v>22.9</v>
      </c>
      <c r="F28" s="65"/>
      <c r="G28" s="47">
        <v>10</v>
      </c>
      <c r="H28" s="46">
        <v>17.100000000000001</v>
      </c>
      <c r="I28" s="46">
        <v>14.2</v>
      </c>
      <c r="J28" s="44">
        <f>H28+I28</f>
        <v>31.3</v>
      </c>
      <c r="L28" s="47">
        <v>10</v>
      </c>
      <c r="M28" s="46">
        <v>12.1</v>
      </c>
      <c r="N28" s="46">
        <v>10.3</v>
      </c>
      <c r="O28" s="44">
        <f>M28+N28</f>
        <v>22.4</v>
      </c>
      <c r="Q28" s="47">
        <v>10</v>
      </c>
      <c r="R28" s="46">
        <v>14</v>
      </c>
      <c r="S28" s="46">
        <v>15.4</v>
      </c>
      <c r="T28" s="44">
        <f>R28+S28</f>
        <v>29.4</v>
      </c>
      <c r="V28" s="47">
        <v>10</v>
      </c>
      <c r="W28" s="46">
        <v>19.399999999999999</v>
      </c>
      <c r="X28" s="46">
        <v>15.8</v>
      </c>
      <c r="Y28" s="44">
        <f>W28+X28</f>
        <v>35.200000000000003</v>
      </c>
      <c r="AA28" s="47">
        <v>10</v>
      </c>
      <c r="AB28" s="46">
        <v>13.7</v>
      </c>
      <c r="AC28" s="46">
        <v>12.3</v>
      </c>
      <c r="AD28" s="44">
        <f>AB28+AC28</f>
        <v>26</v>
      </c>
      <c r="AF28" s="47">
        <v>10</v>
      </c>
      <c r="AG28" s="46">
        <v>16.600000000000001</v>
      </c>
      <c r="AH28" s="46">
        <v>16.5</v>
      </c>
      <c r="AI28" s="44">
        <f>AG28+AH28</f>
        <v>33.1</v>
      </c>
      <c r="AK28" s="47">
        <v>10</v>
      </c>
      <c r="AL28" s="46">
        <v>16.3</v>
      </c>
      <c r="AM28" s="46">
        <v>18.3</v>
      </c>
      <c r="AN28" s="44">
        <f>AL28+AM28</f>
        <v>34.6</v>
      </c>
    </row>
    <row r="29" spans="2:40" ht="18.75" x14ac:dyDescent="0.25">
      <c r="B29" s="47">
        <v>11</v>
      </c>
      <c r="C29" s="46">
        <v>16.100000000000001</v>
      </c>
      <c r="D29" s="46">
        <v>14.1</v>
      </c>
      <c r="E29" s="44">
        <f>C29+D29</f>
        <v>30.200000000000003</v>
      </c>
      <c r="F29" s="65"/>
      <c r="G29" s="47">
        <v>11</v>
      </c>
      <c r="H29" s="46">
        <v>20.6</v>
      </c>
      <c r="I29" s="46">
        <v>13.2</v>
      </c>
      <c r="J29" s="44">
        <f>H29+I29</f>
        <v>33.799999999999997</v>
      </c>
      <c r="L29" s="47">
        <v>11</v>
      </c>
      <c r="M29" s="46">
        <v>11.9</v>
      </c>
      <c r="N29" s="46">
        <v>17.8</v>
      </c>
      <c r="O29" s="44">
        <f>M29+N29</f>
        <v>29.700000000000003</v>
      </c>
      <c r="Q29" s="47">
        <v>11</v>
      </c>
      <c r="R29" s="46">
        <v>15.6</v>
      </c>
      <c r="S29" s="46">
        <v>18.100000000000001</v>
      </c>
      <c r="T29" s="44">
        <f>R29+S29</f>
        <v>33.700000000000003</v>
      </c>
      <c r="V29" s="47">
        <v>11</v>
      </c>
      <c r="W29" s="46">
        <v>16.8</v>
      </c>
      <c r="X29" s="46">
        <v>19.8</v>
      </c>
      <c r="Y29" s="44">
        <f>W29+X29</f>
        <v>36.6</v>
      </c>
      <c r="AA29" s="47">
        <v>11</v>
      </c>
      <c r="AB29" s="46">
        <v>11.1</v>
      </c>
      <c r="AC29" s="46">
        <v>16.5</v>
      </c>
      <c r="AD29" s="44">
        <f>AB29+AC29</f>
        <v>27.6</v>
      </c>
      <c r="AF29" s="47">
        <v>11</v>
      </c>
      <c r="AG29" s="46">
        <v>15.5</v>
      </c>
      <c r="AH29" s="46">
        <v>20.100000000000001</v>
      </c>
      <c r="AI29" s="44">
        <f>AG29+AH29</f>
        <v>35.6</v>
      </c>
      <c r="AK29" s="47">
        <v>11</v>
      </c>
      <c r="AL29" s="46">
        <v>16</v>
      </c>
      <c r="AM29" s="46">
        <v>19.7</v>
      </c>
      <c r="AN29" s="44">
        <f>AL29+AM29</f>
        <v>35.700000000000003</v>
      </c>
    </row>
    <row r="30" spans="2:40" ht="18.75" x14ac:dyDescent="0.25">
      <c r="B30" s="47">
        <v>12</v>
      </c>
      <c r="C30" s="46">
        <v>15.1</v>
      </c>
      <c r="D30" s="46">
        <v>11.9</v>
      </c>
      <c r="E30" s="44">
        <f>C30+D30</f>
        <v>27</v>
      </c>
      <c r="F30" s="65"/>
      <c r="G30" s="47">
        <v>12</v>
      </c>
      <c r="H30" s="46">
        <v>17.5</v>
      </c>
      <c r="I30" s="46">
        <v>20.3</v>
      </c>
      <c r="J30" s="44">
        <f>H30+I30</f>
        <v>37.799999999999997</v>
      </c>
      <c r="L30" s="47">
        <v>12</v>
      </c>
      <c r="M30" s="46">
        <v>16.899999999999999</v>
      </c>
      <c r="N30" s="46">
        <v>19</v>
      </c>
      <c r="O30" s="44">
        <f>M30+N30</f>
        <v>35.9</v>
      </c>
      <c r="Q30" s="47">
        <v>12</v>
      </c>
      <c r="R30" s="46">
        <v>17.7</v>
      </c>
      <c r="S30" s="46">
        <v>21</v>
      </c>
      <c r="T30" s="44">
        <f>R30+S30</f>
        <v>38.700000000000003</v>
      </c>
      <c r="V30" s="47">
        <v>12</v>
      </c>
      <c r="W30" s="46">
        <v>18.899999999999999</v>
      </c>
      <c r="X30" s="46">
        <v>20.3</v>
      </c>
      <c r="Y30" s="44">
        <f>W30+X30</f>
        <v>39.200000000000003</v>
      </c>
      <c r="AA30" s="47">
        <v>12</v>
      </c>
      <c r="AB30" s="46">
        <v>17.899999999999999</v>
      </c>
      <c r="AC30" s="46">
        <v>19.7</v>
      </c>
      <c r="AD30" s="44">
        <f>AB30+AC30</f>
        <v>37.599999999999994</v>
      </c>
      <c r="AF30" s="47">
        <v>12</v>
      </c>
      <c r="AG30" s="46">
        <v>16.2</v>
      </c>
      <c r="AH30" s="46">
        <v>21.2</v>
      </c>
      <c r="AI30" s="44">
        <f>AG30+AH30</f>
        <v>37.4</v>
      </c>
      <c r="AK30" s="47">
        <v>12</v>
      </c>
      <c r="AL30" s="46">
        <v>18.899999999999999</v>
      </c>
      <c r="AM30" s="46">
        <v>20</v>
      </c>
      <c r="AN30" s="44">
        <f>AL30+AM30</f>
        <v>38.9</v>
      </c>
    </row>
    <row r="31" spans="2:40" ht="18.75" x14ac:dyDescent="0.25">
      <c r="B31" s="68">
        <v>13</v>
      </c>
      <c r="C31" s="67">
        <v>14.2</v>
      </c>
      <c r="D31" s="67">
        <v>15.4</v>
      </c>
      <c r="E31" s="66">
        <f>C31+D31</f>
        <v>29.6</v>
      </c>
      <c r="F31" s="65"/>
      <c r="G31" s="47">
        <v>13</v>
      </c>
      <c r="H31" s="46">
        <v>16.7</v>
      </c>
      <c r="I31" s="46">
        <v>17.5</v>
      </c>
      <c r="J31" s="44">
        <f>H31+I31</f>
        <v>34.200000000000003</v>
      </c>
      <c r="L31" s="47">
        <v>13</v>
      </c>
      <c r="M31" s="46">
        <v>15.8</v>
      </c>
      <c r="N31" s="46">
        <v>18.100000000000001</v>
      </c>
      <c r="O31" s="44">
        <f>M31+N31</f>
        <v>33.900000000000006</v>
      </c>
      <c r="Q31" s="47">
        <v>13</v>
      </c>
      <c r="R31" s="46">
        <v>18.8</v>
      </c>
      <c r="S31" s="46">
        <v>19.2</v>
      </c>
      <c r="T31" s="44">
        <f>R31+S31</f>
        <v>38</v>
      </c>
      <c r="V31" s="47">
        <v>13</v>
      </c>
      <c r="W31" s="46">
        <v>20.3</v>
      </c>
      <c r="X31" s="46">
        <v>16.3</v>
      </c>
      <c r="Y31" s="44">
        <f>W31+X31</f>
        <v>36.6</v>
      </c>
      <c r="AA31" s="47">
        <v>13</v>
      </c>
      <c r="AB31" s="46">
        <v>18.3</v>
      </c>
      <c r="AC31" s="46">
        <v>20</v>
      </c>
      <c r="AD31" s="44">
        <f>AB31+AC31</f>
        <v>38.299999999999997</v>
      </c>
      <c r="AF31" s="47">
        <v>13</v>
      </c>
      <c r="AG31" s="46">
        <v>21.3</v>
      </c>
      <c r="AH31" s="46">
        <v>19.600000000000001</v>
      </c>
      <c r="AI31" s="44">
        <f>AG31+AH31</f>
        <v>40.900000000000006</v>
      </c>
      <c r="AK31" s="47">
        <v>13</v>
      </c>
      <c r="AL31" s="46">
        <v>17.600000000000001</v>
      </c>
      <c r="AM31" s="46">
        <v>22</v>
      </c>
      <c r="AN31" s="44">
        <f>AL31+AM31</f>
        <v>39.6</v>
      </c>
    </row>
    <row r="32" spans="2:40" ht="18.75" x14ac:dyDescent="0.25">
      <c r="B32" s="68">
        <v>14</v>
      </c>
      <c r="C32" s="67">
        <v>20.9</v>
      </c>
      <c r="D32" s="67">
        <v>12.3</v>
      </c>
      <c r="E32" s="66">
        <f>C32+D32</f>
        <v>33.200000000000003</v>
      </c>
      <c r="F32" s="65"/>
      <c r="G32" s="47">
        <v>14</v>
      </c>
      <c r="H32" s="46">
        <v>13.9</v>
      </c>
      <c r="I32" s="46">
        <v>16.399999999999999</v>
      </c>
      <c r="J32" s="44">
        <f>H32+I32</f>
        <v>30.299999999999997</v>
      </c>
      <c r="L32" s="47">
        <v>14</v>
      </c>
      <c r="M32" s="46">
        <v>15.3</v>
      </c>
      <c r="N32" s="46">
        <v>18.399999999999999</v>
      </c>
      <c r="O32" s="44">
        <f>M32+N32</f>
        <v>33.700000000000003</v>
      </c>
      <c r="Q32" s="47">
        <v>14</v>
      </c>
      <c r="R32" s="46">
        <v>19.7</v>
      </c>
      <c r="S32" s="46">
        <v>24.1</v>
      </c>
      <c r="T32" s="44">
        <f>R32+S32</f>
        <v>43.8</v>
      </c>
      <c r="V32" s="47">
        <v>14</v>
      </c>
      <c r="W32" s="46">
        <v>18.2</v>
      </c>
      <c r="X32" s="46">
        <v>17.100000000000001</v>
      </c>
      <c r="Y32" s="44">
        <f>W32+X32</f>
        <v>35.299999999999997</v>
      </c>
      <c r="AA32" s="47">
        <v>14</v>
      </c>
      <c r="AB32" s="46">
        <v>18.7</v>
      </c>
      <c r="AC32" s="46">
        <v>19.5</v>
      </c>
      <c r="AD32" s="44">
        <f>AB32+AC32</f>
        <v>38.200000000000003</v>
      </c>
      <c r="AF32" s="47">
        <v>14</v>
      </c>
      <c r="AG32" s="46">
        <v>25.6</v>
      </c>
      <c r="AH32" s="46">
        <v>16.899999999999999</v>
      </c>
      <c r="AI32" s="44">
        <f>AG32+AH32</f>
        <v>42.5</v>
      </c>
      <c r="AK32" s="47">
        <v>14</v>
      </c>
      <c r="AL32" s="46">
        <v>20.100000000000001</v>
      </c>
      <c r="AM32" s="46">
        <v>20.8</v>
      </c>
      <c r="AN32" s="44">
        <f>AL32+AM32</f>
        <v>40.900000000000006</v>
      </c>
    </row>
    <row r="33" spans="2:40" ht="18.75" x14ac:dyDescent="0.25">
      <c r="B33" s="47">
        <v>15</v>
      </c>
      <c r="C33" s="46">
        <v>17.3</v>
      </c>
      <c r="D33" s="46">
        <v>14.6</v>
      </c>
      <c r="E33" s="44">
        <f>C33+D33</f>
        <v>31.9</v>
      </c>
      <c r="F33" s="65"/>
      <c r="G33" s="47">
        <v>15</v>
      </c>
      <c r="H33" s="46">
        <v>18</v>
      </c>
      <c r="I33" s="46">
        <v>16.2</v>
      </c>
      <c r="J33" s="44">
        <f>H33+I33</f>
        <v>34.200000000000003</v>
      </c>
      <c r="L33" s="47">
        <v>15</v>
      </c>
      <c r="M33" s="46">
        <v>14.6</v>
      </c>
      <c r="N33" s="46">
        <v>13.7</v>
      </c>
      <c r="O33" s="44">
        <f>M33+N33</f>
        <v>28.299999999999997</v>
      </c>
      <c r="Q33" s="47">
        <v>15</v>
      </c>
      <c r="R33" s="46">
        <v>20.6</v>
      </c>
      <c r="S33" s="46">
        <v>20.3</v>
      </c>
      <c r="T33" s="44">
        <f>R33+S33</f>
        <v>40.900000000000006</v>
      </c>
      <c r="V33" s="47">
        <v>15</v>
      </c>
      <c r="W33" s="46">
        <v>19</v>
      </c>
      <c r="X33" s="46">
        <v>19.8</v>
      </c>
      <c r="Y33" s="44">
        <f>W33+X33</f>
        <v>38.799999999999997</v>
      </c>
      <c r="AA33" s="47">
        <v>15</v>
      </c>
      <c r="AB33" s="46">
        <v>17.399999999999999</v>
      </c>
      <c r="AC33" s="46">
        <v>22.6</v>
      </c>
      <c r="AD33" s="44">
        <f>AB33+AC33</f>
        <v>40</v>
      </c>
      <c r="AF33" s="47">
        <v>15</v>
      </c>
      <c r="AG33" s="46">
        <v>18.5</v>
      </c>
      <c r="AH33" s="46">
        <v>20.8</v>
      </c>
      <c r="AI33" s="44">
        <f>AG33+AH33</f>
        <v>39.299999999999997</v>
      </c>
      <c r="AK33" s="47">
        <v>15</v>
      </c>
      <c r="AL33" s="46">
        <v>18.5</v>
      </c>
      <c r="AM33" s="46">
        <v>23.1</v>
      </c>
      <c r="AN33" s="44">
        <f>AL33+AM33</f>
        <v>41.6</v>
      </c>
    </row>
    <row r="34" spans="2:40" ht="18.75" x14ac:dyDescent="0.25">
      <c r="B34" s="47">
        <v>16</v>
      </c>
      <c r="C34" s="46">
        <v>17</v>
      </c>
      <c r="D34" s="46">
        <v>13</v>
      </c>
      <c r="E34" s="44">
        <f>C34+D34</f>
        <v>30</v>
      </c>
      <c r="F34" s="65"/>
      <c r="G34" s="47">
        <v>16</v>
      </c>
      <c r="H34" s="46">
        <v>17.2</v>
      </c>
      <c r="I34" s="46">
        <v>18.399999999999999</v>
      </c>
      <c r="J34" s="44">
        <f>H34+I34</f>
        <v>35.599999999999994</v>
      </c>
      <c r="L34" s="47">
        <v>16</v>
      </c>
      <c r="M34" s="46">
        <v>15</v>
      </c>
      <c r="N34" s="46">
        <v>16.7</v>
      </c>
      <c r="O34" s="44">
        <f>M34+N34</f>
        <v>31.7</v>
      </c>
      <c r="Q34" s="47">
        <v>16</v>
      </c>
      <c r="R34" s="46">
        <v>19.2</v>
      </c>
      <c r="S34" s="46">
        <v>20.3</v>
      </c>
      <c r="T34" s="44">
        <f>R34+S34</f>
        <v>39.5</v>
      </c>
      <c r="V34" s="47">
        <v>16</v>
      </c>
      <c r="W34" s="46">
        <v>21.5</v>
      </c>
      <c r="X34" s="46">
        <v>19.899999999999999</v>
      </c>
      <c r="Y34" s="44">
        <f>W34+X34</f>
        <v>41.4</v>
      </c>
      <c r="AA34" s="47">
        <v>16</v>
      </c>
      <c r="AB34" s="46">
        <v>19.2</v>
      </c>
      <c r="AC34" s="46">
        <v>21.2</v>
      </c>
      <c r="AD34" s="44">
        <f>AB34+AC34</f>
        <v>40.4</v>
      </c>
      <c r="AF34" s="47">
        <v>16</v>
      </c>
      <c r="AG34" s="46">
        <v>16.600000000000001</v>
      </c>
      <c r="AH34" s="46">
        <v>17.5</v>
      </c>
      <c r="AI34" s="44">
        <f>AG34+AH34</f>
        <v>34.1</v>
      </c>
      <c r="AK34" s="47">
        <v>16</v>
      </c>
      <c r="AL34" s="46">
        <v>17.3</v>
      </c>
      <c r="AM34" s="46">
        <v>19.7</v>
      </c>
      <c r="AN34" s="44">
        <f>AL34+AM34</f>
        <v>37</v>
      </c>
    </row>
    <row r="35" spans="2:40" ht="18.75" x14ac:dyDescent="0.25">
      <c r="B35" s="47">
        <v>17</v>
      </c>
      <c r="C35" s="46">
        <v>16.5</v>
      </c>
      <c r="D35" s="46">
        <v>18.100000000000001</v>
      </c>
      <c r="E35" s="44">
        <f>C35+D35</f>
        <v>34.6</v>
      </c>
      <c r="F35" s="65"/>
      <c r="G35" s="47">
        <v>17</v>
      </c>
      <c r="H35" s="46">
        <v>19.100000000000001</v>
      </c>
      <c r="I35" s="46">
        <v>15.3</v>
      </c>
      <c r="J35" s="44">
        <f>H35+I35</f>
        <v>34.400000000000006</v>
      </c>
      <c r="L35" s="47">
        <v>17</v>
      </c>
      <c r="M35" s="46">
        <v>15.6</v>
      </c>
      <c r="N35" s="46">
        <v>16.5</v>
      </c>
      <c r="O35" s="44">
        <f>M35+N35</f>
        <v>32.1</v>
      </c>
      <c r="Q35" s="47">
        <v>17</v>
      </c>
      <c r="R35" s="46">
        <v>18.7</v>
      </c>
      <c r="S35" s="46">
        <v>19.8</v>
      </c>
      <c r="T35" s="44">
        <f>R35+S35</f>
        <v>38.5</v>
      </c>
      <c r="V35" s="47">
        <v>17</v>
      </c>
      <c r="W35" s="46">
        <v>22.4</v>
      </c>
      <c r="X35" s="46">
        <v>15.5</v>
      </c>
      <c r="Y35" s="44">
        <f>W35+X35</f>
        <v>37.9</v>
      </c>
      <c r="AA35" s="47">
        <v>17</v>
      </c>
      <c r="AB35" s="46">
        <v>17.5</v>
      </c>
      <c r="AC35" s="46">
        <v>20.2</v>
      </c>
      <c r="AD35" s="44">
        <f>AB35+AC35</f>
        <v>37.700000000000003</v>
      </c>
      <c r="AF35" s="47">
        <v>17</v>
      </c>
      <c r="AG35" s="46">
        <v>15.6</v>
      </c>
      <c r="AH35" s="46">
        <v>17.600000000000001</v>
      </c>
      <c r="AI35" s="44">
        <f>AG35+AH35</f>
        <v>33.200000000000003</v>
      </c>
      <c r="AK35" s="47">
        <v>17</v>
      </c>
      <c r="AL35" s="46">
        <v>17.399999999999999</v>
      </c>
      <c r="AM35" s="46">
        <v>18.600000000000001</v>
      </c>
      <c r="AN35" s="44">
        <f>AL35+AM35</f>
        <v>36</v>
      </c>
    </row>
    <row r="36" spans="2:40" ht="18.75" x14ac:dyDescent="0.25">
      <c r="B36" s="47">
        <v>18</v>
      </c>
      <c r="C36" s="46">
        <v>15.8</v>
      </c>
      <c r="D36" s="46">
        <v>14.2</v>
      </c>
      <c r="E36" s="44">
        <f>C36+D36</f>
        <v>30</v>
      </c>
      <c r="F36" s="65"/>
      <c r="G36" s="47">
        <v>18</v>
      </c>
      <c r="H36" s="46">
        <v>16.399999999999999</v>
      </c>
      <c r="I36" s="46">
        <v>17.100000000000001</v>
      </c>
      <c r="J36" s="44">
        <f>H36+I36</f>
        <v>33.5</v>
      </c>
      <c r="L36" s="47">
        <v>18</v>
      </c>
      <c r="M36" s="46">
        <v>14.3</v>
      </c>
      <c r="N36" s="46">
        <v>13.6</v>
      </c>
      <c r="O36" s="44">
        <f>M36+N36</f>
        <v>27.9</v>
      </c>
      <c r="Q36" s="47">
        <v>18</v>
      </c>
      <c r="R36" s="46">
        <v>19.2</v>
      </c>
      <c r="S36" s="46">
        <v>17.5</v>
      </c>
      <c r="T36" s="44">
        <f>R36+S36</f>
        <v>36.700000000000003</v>
      </c>
      <c r="V36" s="47">
        <v>18</v>
      </c>
      <c r="W36" s="46">
        <v>15.8</v>
      </c>
      <c r="X36" s="46">
        <v>18.2</v>
      </c>
      <c r="Y36" s="44">
        <f>W36+X36</f>
        <v>34</v>
      </c>
      <c r="AA36" s="47">
        <v>18</v>
      </c>
      <c r="AB36" s="46">
        <v>17.600000000000001</v>
      </c>
      <c r="AC36" s="46">
        <v>18.8</v>
      </c>
      <c r="AD36" s="44">
        <f>AB36+AC36</f>
        <v>36.400000000000006</v>
      </c>
      <c r="AF36" s="47">
        <v>18</v>
      </c>
      <c r="AG36" s="46">
        <v>19.2</v>
      </c>
      <c r="AH36" s="46">
        <v>16.399999999999999</v>
      </c>
      <c r="AI36" s="44">
        <f>AG36+AH36</f>
        <v>35.599999999999994</v>
      </c>
      <c r="AK36" s="47">
        <v>18</v>
      </c>
      <c r="AL36" s="46">
        <v>18.7</v>
      </c>
      <c r="AM36" s="46">
        <v>19.5</v>
      </c>
      <c r="AN36" s="44">
        <f>AL36+AM36</f>
        <v>38.200000000000003</v>
      </c>
    </row>
    <row r="37" spans="2:40" ht="18.75" x14ac:dyDescent="0.25">
      <c r="B37" s="47">
        <v>19</v>
      </c>
      <c r="C37" s="46">
        <v>14.2</v>
      </c>
      <c r="D37" s="46">
        <v>13.4</v>
      </c>
      <c r="E37" s="44">
        <f>C37+D37</f>
        <v>27.6</v>
      </c>
      <c r="F37" s="65"/>
      <c r="G37" s="47">
        <v>19</v>
      </c>
      <c r="H37" s="46">
        <v>20.5</v>
      </c>
      <c r="I37" s="46">
        <v>14.3</v>
      </c>
      <c r="J37" s="44">
        <f>H37+I37</f>
        <v>34.799999999999997</v>
      </c>
      <c r="L37" s="47">
        <v>19</v>
      </c>
      <c r="M37" s="46">
        <v>14.9</v>
      </c>
      <c r="N37" s="46">
        <v>18</v>
      </c>
      <c r="O37" s="44">
        <f>M37+N37</f>
        <v>32.9</v>
      </c>
      <c r="Q37" s="47">
        <v>19</v>
      </c>
      <c r="R37" s="46">
        <v>17.100000000000001</v>
      </c>
      <c r="S37" s="46">
        <v>17.7</v>
      </c>
      <c r="T37" s="44">
        <f>R37+S37</f>
        <v>34.799999999999997</v>
      </c>
      <c r="V37" s="47">
        <v>19</v>
      </c>
      <c r="W37" s="46">
        <v>16</v>
      </c>
      <c r="X37" s="46">
        <v>19.5</v>
      </c>
      <c r="Y37" s="44">
        <f>W37+X37</f>
        <v>35.5</v>
      </c>
      <c r="AA37" s="47">
        <v>19</v>
      </c>
      <c r="AB37" s="46">
        <v>15.5</v>
      </c>
      <c r="AC37" s="46">
        <v>18.100000000000001</v>
      </c>
      <c r="AD37" s="44">
        <f>AB37+AC37</f>
        <v>33.6</v>
      </c>
      <c r="AF37" s="47">
        <v>19</v>
      </c>
      <c r="AG37" s="46">
        <v>17.8</v>
      </c>
      <c r="AH37" s="46">
        <v>18.2</v>
      </c>
      <c r="AI37" s="44">
        <f>AG37+AH37</f>
        <v>36</v>
      </c>
      <c r="AK37" s="47">
        <v>19</v>
      </c>
      <c r="AL37" s="46">
        <v>18.2</v>
      </c>
      <c r="AM37" s="46">
        <v>16</v>
      </c>
      <c r="AN37" s="44">
        <f>AL37+AM37</f>
        <v>34.200000000000003</v>
      </c>
    </row>
    <row r="38" spans="2:40" ht="18.75" x14ac:dyDescent="0.25">
      <c r="B38" s="47">
        <v>20</v>
      </c>
      <c r="C38" s="46">
        <v>13.6</v>
      </c>
      <c r="D38" s="46">
        <v>13.3</v>
      </c>
      <c r="E38" s="44">
        <f>C38+D38</f>
        <v>26.9</v>
      </c>
      <c r="F38" s="65"/>
      <c r="G38" s="47">
        <v>20</v>
      </c>
      <c r="H38" s="46">
        <v>17.100000000000001</v>
      </c>
      <c r="I38" s="46">
        <v>12.8</v>
      </c>
      <c r="J38" s="44">
        <f>H38+I38</f>
        <v>29.900000000000002</v>
      </c>
      <c r="L38" s="47">
        <v>20</v>
      </c>
      <c r="M38" s="46">
        <v>12.8</v>
      </c>
      <c r="N38" s="46">
        <v>8</v>
      </c>
      <c r="O38" s="44">
        <f>M38+N38</f>
        <v>20.8</v>
      </c>
      <c r="Q38" s="47">
        <v>20</v>
      </c>
      <c r="R38" s="46">
        <v>16</v>
      </c>
      <c r="S38" s="46">
        <v>12.4</v>
      </c>
      <c r="T38" s="44">
        <f>R38+S38</f>
        <v>28.4</v>
      </c>
      <c r="V38" s="47">
        <v>20</v>
      </c>
      <c r="W38" s="46">
        <v>15.9</v>
      </c>
      <c r="X38" s="46">
        <v>16.600000000000001</v>
      </c>
      <c r="Y38" s="44">
        <f>W38+X38</f>
        <v>32.5</v>
      </c>
      <c r="AA38" s="47">
        <v>20</v>
      </c>
      <c r="AB38" s="46">
        <v>15.6</v>
      </c>
      <c r="AC38" s="46">
        <v>17.2</v>
      </c>
      <c r="AD38" s="44">
        <f>AB38+AC38</f>
        <v>32.799999999999997</v>
      </c>
      <c r="AF38" s="47">
        <v>20</v>
      </c>
      <c r="AG38" s="46">
        <v>16.3</v>
      </c>
      <c r="AH38" s="46">
        <v>17.600000000000001</v>
      </c>
      <c r="AI38" s="44">
        <f>AG38+AH38</f>
        <v>33.900000000000006</v>
      </c>
      <c r="AK38" s="47">
        <v>20</v>
      </c>
      <c r="AL38" s="46">
        <v>15.5</v>
      </c>
      <c r="AM38" s="46">
        <v>14.8</v>
      </c>
      <c r="AN38" s="44">
        <f>AL38+AM38</f>
        <v>30.3</v>
      </c>
    </row>
    <row r="39" spans="2:40" ht="18.75" x14ac:dyDescent="0.3">
      <c r="B39" s="47">
        <v>21</v>
      </c>
      <c r="C39" s="46">
        <v>14.2</v>
      </c>
      <c r="D39" s="45">
        <v>11.5</v>
      </c>
      <c r="E39" s="44">
        <f>C39+D39</f>
        <v>25.7</v>
      </c>
      <c r="G39" s="47">
        <v>21</v>
      </c>
      <c r="H39" s="46">
        <v>17.3</v>
      </c>
      <c r="I39" s="45">
        <v>11.4</v>
      </c>
      <c r="J39" s="44">
        <f>H39+I39</f>
        <v>28.700000000000003</v>
      </c>
      <c r="L39" s="47">
        <v>21</v>
      </c>
      <c r="M39" s="46">
        <v>8.4</v>
      </c>
      <c r="N39" s="45">
        <v>12.3</v>
      </c>
      <c r="O39" s="44">
        <f>M39+N39</f>
        <v>20.700000000000003</v>
      </c>
      <c r="Q39" s="47">
        <v>21</v>
      </c>
      <c r="R39" s="46">
        <v>11.2</v>
      </c>
      <c r="S39" s="45">
        <v>14.5</v>
      </c>
      <c r="T39" s="44">
        <f>R39+S39</f>
        <v>25.7</v>
      </c>
      <c r="V39" s="47">
        <v>21</v>
      </c>
      <c r="W39" s="46">
        <v>13.8</v>
      </c>
      <c r="X39" s="45">
        <v>16.7</v>
      </c>
      <c r="Y39" s="44">
        <f>W39+X39</f>
        <v>30.5</v>
      </c>
      <c r="AA39" s="47">
        <v>21</v>
      </c>
      <c r="AB39" s="46">
        <v>12.6</v>
      </c>
      <c r="AC39" s="45">
        <v>17.8</v>
      </c>
      <c r="AD39" s="44">
        <f>AB39+AC39</f>
        <v>30.4</v>
      </c>
      <c r="AF39" s="47">
        <v>21</v>
      </c>
      <c r="AG39" s="46">
        <v>13.5</v>
      </c>
      <c r="AH39" s="45">
        <v>19.2</v>
      </c>
      <c r="AI39" s="44">
        <f>AG39+AH39</f>
        <v>32.700000000000003</v>
      </c>
      <c r="AK39" s="47">
        <v>21</v>
      </c>
      <c r="AL39" s="46">
        <v>10.9</v>
      </c>
      <c r="AM39" s="45">
        <v>18.5</v>
      </c>
      <c r="AN39" s="44">
        <f>AL39+AM39</f>
        <v>29.4</v>
      </c>
    </row>
    <row r="40" spans="2:40" ht="18.75" x14ac:dyDescent="0.3">
      <c r="B40" s="47">
        <v>22</v>
      </c>
      <c r="C40" s="46">
        <v>15.7</v>
      </c>
      <c r="D40" s="45">
        <v>14.5</v>
      </c>
      <c r="E40" s="44">
        <f>C40+D40</f>
        <v>30.2</v>
      </c>
      <c r="G40" s="47">
        <v>22</v>
      </c>
      <c r="H40" s="46">
        <v>16.2</v>
      </c>
      <c r="I40" s="45">
        <v>19.3</v>
      </c>
      <c r="J40" s="44">
        <f>H40+I40</f>
        <v>35.5</v>
      </c>
      <c r="L40" s="47">
        <v>22</v>
      </c>
      <c r="M40" s="46">
        <v>14.5</v>
      </c>
      <c r="N40" s="45">
        <v>18</v>
      </c>
      <c r="O40" s="44">
        <f>M40+N40</f>
        <v>32.5</v>
      </c>
      <c r="Q40" s="47">
        <v>22</v>
      </c>
      <c r="R40" s="46">
        <v>14.4</v>
      </c>
      <c r="S40" s="45">
        <v>16.3</v>
      </c>
      <c r="T40" s="44">
        <f>R40+S40</f>
        <v>30.700000000000003</v>
      </c>
      <c r="V40" s="47">
        <v>22</v>
      </c>
      <c r="W40" s="46">
        <v>19.100000000000001</v>
      </c>
      <c r="X40" s="45">
        <v>16.899999999999999</v>
      </c>
      <c r="Y40" s="44">
        <f>W40+X40</f>
        <v>36</v>
      </c>
      <c r="AA40" s="47">
        <v>22</v>
      </c>
      <c r="AB40" s="46">
        <v>15.2</v>
      </c>
      <c r="AC40" s="45">
        <v>18.3</v>
      </c>
      <c r="AD40" s="44">
        <f>AB40+AC40</f>
        <v>33.5</v>
      </c>
      <c r="AF40" s="47">
        <v>22</v>
      </c>
      <c r="AG40" s="46">
        <v>18.3</v>
      </c>
      <c r="AH40" s="45">
        <v>18.899999999999999</v>
      </c>
      <c r="AI40" s="44">
        <f>AG40+AH40</f>
        <v>37.200000000000003</v>
      </c>
      <c r="AK40" s="47">
        <v>22</v>
      </c>
      <c r="AL40" s="46">
        <v>16.3</v>
      </c>
      <c r="AM40" s="45">
        <v>17.600000000000001</v>
      </c>
      <c r="AN40" s="44">
        <f>AL40+AM40</f>
        <v>33.900000000000006</v>
      </c>
    </row>
    <row r="41" spans="2:40" ht="18.75" x14ac:dyDescent="0.3">
      <c r="B41" s="47">
        <v>23</v>
      </c>
      <c r="C41" s="46">
        <v>13.8</v>
      </c>
      <c r="D41" s="45">
        <v>14.4</v>
      </c>
      <c r="E41" s="44">
        <f>C41+D41</f>
        <v>28.200000000000003</v>
      </c>
      <c r="G41" s="47">
        <v>23</v>
      </c>
      <c r="H41" s="46">
        <v>17.8</v>
      </c>
      <c r="I41" s="45">
        <v>15.2</v>
      </c>
      <c r="J41" s="44">
        <f>H41+I41</f>
        <v>33</v>
      </c>
      <c r="L41" s="47">
        <v>23</v>
      </c>
      <c r="M41" s="46">
        <v>15.6</v>
      </c>
      <c r="N41" s="45">
        <v>12.2</v>
      </c>
      <c r="O41" s="44">
        <f>M41+N41</f>
        <v>27.799999999999997</v>
      </c>
      <c r="Q41" s="47">
        <v>23</v>
      </c>
      <c r="R41" s="46">
        <v>15.9</v>
      </c>
      <c r="S41" s="45">
        <v>17.8</v>
      </c>
      <c r="T41" s="44">
        <f>R41+S41</f>
        <v>33.700000000000003</v>
      </c>
      <c r="V41" s="47">
        <v>23</v>
      </c>
      <c r="W41" s="46">
        <v>14.4</v>
      </c>
      <c r="X41" s="45">
        <v>17.899999999999999</v>
      </c>
      <c r="Y41" s="44">
        <f>W41+X41</f>
        <v>32.299999999999997</v>
      </c>
      <c r="AA41" s="47">
        <v>23</v>
      </c>
      <c r="AB41" s="46">
        <v>15.9</v>
      </c>
      <c r="AC41" s="45">
        <v>18</v>
      </c>
      <c r="AD41" s="44">
        <f>AB41+AC41</f>
        <v>33.9</v>
      </c>
      <c r="AF41" s="47">
        <v>23</v>
      </c>
      <c r="AG41" s="46">
        <v>20</v>
      </c>
      <c r="AH41" s="45">
        <v>16.100000000000001</v>
      </c>
      <c r="AI41" s="44">
        <f>AG41+AH41</f>
        <v>36.1</v>
      </c>
      <c r="AK41" s="47">
        <v>23</v>
      </c>
      <c r="AL41" s="46">
        <v>16.3</v>
      </c>
      <c r="AM41" s="45">
        <v>21.5</v>
      </c>
      <c r="AN41" s="44">
        <f>AL41+AM41</f>
        <v>37.799999999999997</v>
      </c>
    </row>
    <row r="42" spans="2:40" ht="18.75" x14ac:dyDescent="0.3">
      <c r="B42" s="47">
        <v>24</v>
      </c>
      <c r="C42" s="46">
        <v>15.8</v>
      </c>
      <c r="D42" s="45">
        <v>17.2</v>
      </c>
      <c r="E42" s="44">
        <f>C42+D42</f>
        <v>33</v>
      </c>
      <c r="G42" s="47">
        <v>24</v>
      </c>
      <c r="H42" s="46">
        <v>15.3</v>
      </c>
      <c r="I42" s="45">
        <v>18.8</v>
      </c>
      <c r="J42" s="44">
        <f>H42+I42</f>
        <v>34.1</v>
      </c>
      <c r="L42" s="47">
        <v>24</v>
      </c>
      <c r="M42" s="46">
        <v>12.7</v>
      </c>
      <c r="N42" s="45">
        <v>16.600000000000001</v>
      </c>
      <c r="O42" s="44">
        <f>M42+N42</f>
        <v>29.3</v>
      </c>
      <c r="Q42" s="47">
        <v>24</v>
      </c>
      <c r="R42" s="46">
        <v>17.100000000000001</v>
      </c>
      <c r="S42" s="45">
        <v>21</v>
      </c>
      <c r="T42" s="44">
        <f>R42+S42</f>
        <v>38.1</v>
      </c>
      <c r="U42" s="64"/>
      <c r="V42" s="47">
        <v>24</v>
      </c>
      <c r="W42" s="46">
        <v>16.100000000000001</v>
      </c>
      <c r="X42" s="45">
        <v>21.2</v>
      </c>
      <c r="Y42" s="44">
        <f>W42+X42</f>
        <v>37.299999999999997</v>
      </c>
      <c r="AA42" s="47">
        <v>24</v>
      </c>
      <c r="AB42" s="46">
        <v>15.7</v>
      </c>
      <c r="AC42" s="45">
        <v>18.899999999999999</v>
      </c>
      <c r="AD42" s="44">
        <f>AB42+AC42</f>
        <v>34.599999999999994</v>
      </c>
      <c r="AF42" s="47">
        <v>24</v>
      </c>
      <c r="AG42" s="46">
        <v>14.5</v>
      </c>
      <c r="AH42" s="45">
        <v>17.3</v>
      </c>
      <c r="AI42" s="44">
        <f>AG42+AH42</f>
        <v>31.8</v>
      </c>
      <c r="AK42" s="47">
        <v>24</v>
      </c>
      <c r="AL42" s="46">
        <v>19.3</v>
      </c>
      <c r="AM42" s="45">
        <v>17.100000000000001</v>
      </c>
      <c r="AN42" s="44">
        <f>AL42+AM42</f>
        <v>36.400000000000006</v>
      </c>
    </row>
    <row r="43" spans="2:40" ht="18.75" x14ac:dyDescent="0.3">
      <c r="B43" s="47">
        <v>25</v>
      </c>
      <c r="C43" s="46">
        <v>16.8</v>
      </c>
      <c r="D43" s="45">
        <v>15.4</v>
      </c>
      <c r="E43" s="44">
        <f>C43+D43</f>
        <v>32.200000000000003</v>
      </c>
      <c r="G43" s="47">
        <v>25</v>
      </c>
      <c r="H43" s="46">
        <v>18.100000000000001</v>
      </c>
      <c r="I43" s="45">
        <v>20.399999999999999</v>
      </c>
      <c r="J43" s="44">
        <f>H43+I43</f>
        <v>38.5</v>
      </c>
      <c r="L43" s="47">
        <v>25</v>
      </c>
      <c r="M43" s="46">
        <v>15.6</v>
      </c>
      <c r="N43" s="45">
        <v>15.5</v>
      </c>
      <c r="O43" s="44">
        <f>M43+N43</f>
        <v>31.1</v>
      </c>
      <c r="Q43" s="47">
        <v>25</v>
      </c>
      <c r="R43" s="46">
        <v>22.2</v>
      </c>
      <c r="S43" s="45">
        <v>14.2</v>
      </c>
      <c r="T43" s="44">
        <f>R43+S43</f>
        <v>36.4</v>
      </c>
      <c r="U43" s="63"/>
      <c r="V43" s="47">
        <v>25</v>
      </c>
      <c r="W43" s="46">
        <v>18.8</v>
      </c>
      <c r="X43" s="45">
        <v>17.2</v>
      </c>
      <c r="Y43" s="44">
        <f>W43+X43</f>
        <v>36</v>
      </c>
      <c r="AA43" s="47">
        <v>25</v>
      </c>
      <c r="AB43" s="46">
        <v>15.8</v>
      </c>
      <c r="AC43" s="45">
        <v>19.600000000000001</v>
      </c>
      <c r="AD43" s="44">
        <f>AB43+AC43</f>
        <v>35.400000000000006</v>
      </c>
      <c r="AF43" s="47">
        <v>25</v>
      </c>
      <c r="AG43" s="46">
        <v>15.1</v>
      </c>
      <c r="AH43" s="45">
        <v>19.3</v>
      </c>
      <c r="AI43" s="44">
        <f>AG43+AH43</f>
        <v>34.4</v>
      </c>
      <c r="AK43" s="47">
        <v>25</v>
      </c>
      <c r="AL43" s="46">
        <v>18.5</v>
      </c>
      <c r="AM43" s="45">
        <v>18.8</v>
      </c>
      <c r="AN43" s="44">
        <f>AL43+AM43</f>
        <v>37.299999999999997</v>
      </c>
    </row>
    <row r="44" spans="2:40" ht="18.75" x14ac:dyDescent="0.3">
      <c r="B44" s="47">
        <v>26</v>
      </c>
      <c r="C44" s="46">
        <v>17.8</v>
      </c>
      <c r="D44" s="45">
        <v>16.899999999999999</v>
      </c>
      <c r="E44" s="44">
        <f>C44+D44</f>
        <v>34.700000000000003</v>
      </c>
      <c r="G44" s="47">
        <v>26</v>
      </c>
      <c r="H44" s="46">
        <v>16.2</v>
      </c>
      <c r="I44" s="45">
        <v>15.2</v>
      </c>
      <c r="J44" s="44">
        <f>H44+I44</f>
        <v>31.4</v>
      </c>
      <c r="L44" s="47">
        <v>26</v>
      </c>
      <c r="M44" s="46">
        <v>15.1</v>
      </c>
      <c r="N44" s="45">
        <v>14.1</v>
      </c>
      <c r="O44" s="44">
        <f>M44+N44</f>
        <v>29.2</v>
      </c>
      <c r="Q44" s="47">
        <v>26</v>
      </c>
      <c r="R44" s="46">
        <v>20.3</v>
      </c>
      <c r="S44" s="45">
        <v>21.9</v>
      </c>
      <c r="T44" s="44">
        <f>R44+S44</f>
        <v>42.2</v>
      </c>
      <c r="V44" s="47">
        <v>26</v>
      </c>
      <c r="W44" s="46">
        <v>19.3</v>
      </c>
      <c r="X44" s="45">
        <v>19</v>
      </c>
      <c r="Y44" s="44">
        <f>W44+X44</f>
        <v>38.299999999999997</v>
      </c>
      <c r="AA44" s="47">
        <v>26</v>
      </c>
      <c r="AB44" s="46">
        <v>17.5</v>
      </c>
      <c r="AC44" s="45">
        <v>21.4</v>
      </c>
      <c r="AD44" s="44">
        <f>AB44+AC44</f>
        <v>38.9</v>
      </c>
      <c r="AF44" s="47">
        <v>26</v>
      </c>
      <c r="AG44" s="46">
        <v>17</v>
      </c>
      <c r="AH44" s="45">
        <v>21.6</v>
      </c>
      <c r="AI44" s="44">
        <f>AG44+AH44</f>
        <v>38.6</v>
      </c>
      <c r="AK44" s="47">
        <v>26</v>
      </c>
      <c r="AL44" s="46">
        <v>19.5</v>
      </c>
      <c r="AM44" s="45">
        <v>18.899999999999999</v>
      </c>
      <c r="AN44" s="44">
        <f>AL44+AM44</f>
        <v>38.4</v>
      </c>
    </row>
    <row r="45" spans="2:40" ht="18.75" x14ac:dyDescent="0.3">
      <c r="B45" s="47">
        <v>27</v>
      </c>
      <c r="C45" s="46">
        <v>16.899999999999999</v>
      </c>
      <c r="D45" s="45">
        <v>17.5</v>
      </c>
      <c r="E45" s="44">
        <f>C45+D45</f>
        <v>34.4</v>
      </c>
      <c r="G45" s="47">
        <v>27</v>
      </c>
      <c r="H45" s="46">
        <v>16.2</v>
      </c>
      <c r="I45" s="45">
        <v>17.100000000000001</v>
      </c>
      <c r="J45" s="44">
        <f>H45+I45</f>
        <v>33.299999999999997</v>
      </c>
      <c r="L45" s="47">
        <v>27</v>
      </c>
      <c r="M45" s="46">
        <v>24.4</v>
      </c>
      <c r="N45" s="45">
        <v>10.7</v>
      </c>
      <c r="O45" s="44">
        <f>M45+N45</f>
        <v>35.099999999999994</v>
      </c>
      <c r="Q45" s="47">
        <v>27</v>
      </c>
      <c r="R45" s="46">
        <v>20.5</v>
      </c>
      <c r="S45" s="45">
        <v>22</v>
      </c>
      <c r="T45" s="44">
        <f>R45+S45</f>
        <v>42.5</v>
      </c>
      <c r="V45" s="47">
        <v>27</v>
      </c>
      <c r="W45" s="46">
        <v>16.399999999999999</v>
      </c>
      <c r="X45" s="45">
        <v>19.399999999999999</v>
      </c>
      <c r="Y45" s="44">
        <f>W45+X45</f>
        <v>35.799999999999997</v>
      </c>
      <c r="AA45" s="47">
        <v>27</v>
      </c>
      <c r="AB45" s="46">
        <v>16.2</v>
      </c>
      <c r="AC45" s="45">
        <v>18.899999999999999</v>
      </c>
      <c r="AD45" s="44">
        <f>AB45+AC45</f>
        <v>35.099999999999994</v>
      </c>
      <c r="AF45" s="47">
        <v>27</v>
      </c>
      <c r="AG45" s="46">
        <v>18.8</v>
      </c>
      <c r="AH45" s="45">
        <v>20.7</v>
      </c>
      <c r="AI45" s="44">
        <f>AG45+AH45</f>
        <v>39.5</v>
      </c>
      <c r="AK45" s="51">
        <v>27</v>
      </c>
      <c r="AL45" s="50">
        <v>18.399999999999999</v>
      </c>
      <c r="AM45" s="62">
        <v>27</v>
      </c>
      <c r="AN45" s="49">
        <f>AL45+AM45</f>
        <v>45.4</v>
      </c>
    </row>
    <row r="46" spans="2:40" ht="18.75" x14ac:dyDescent="0.3">
      <c r="B46" s="47">
        <v>28</v>
      </c>
      <c r="C46" s="46">
        <v>16.399999999999999</v>
      </c>
      <c r="D46" s="45">
        <v>11.3</v>
      </c>
      <c r="E46" s="44">
        <f>C46+D46</f>
        <v>27.7</v>
      </c>
      <c r="G46" s="47">
        <v>28</v>
      </c>
      <c r="H46" s="46">
        <v>15.7</v>
      </c>
      <c r="I46" s="45">
        <v>17.600000000000001</v>
      </c>
      <c r="J46" s="44">
        <f>H46+I46</f>
        <v>33.299999999999997</v>
      </c>
      <c r="L46" s="47">
        <v>28</v>
      </c>
      <c r="M46" s="46">
        <v>15.8</v>
      </c>
      <c r="N46" s="45">
        <v>17.8</v>
      </c>
      <c r="O46" s="44">
        <f>M46+N46</f>
        <v>33.6</v>
      </c>
      <c r="Q46" s="47">
        <v>28</v>
      </c>
      <c r="R46" s="46">
        <v>17.100000000000001</v>
      </c>
      <c r="S46" s="45">
        <v>20</v>
      </c>
      <c r="T46" s="44">
        <f>R46+S46</f>
        <v>37.1</v>
      </c>
      <c r="V46" s="47">
        <v>28</v>
      </c>
      <c r="W46" s="46">
        <v>15</v>
      </c>
      <c r="X46" s="45">
        <v>18.899999999999999</v>
      </c>
      <c r="Y46" s="44">
        <f>W46+X46</f>
        <v>33.9</v>
      </c>
      <c r="AA46" s="47">
        <v>28</v>
      </c>
      <c r="AB46" s="46">
        <v>16.5</v>
      </c>
      <c r="AC46" s="45">
        <v>21.5</v>
      </c>
      <c r="AD46" s="44">
        <f>AB46+AC46</f>
        <v>38</v>
      </c>
      <c r="AF46" s="47">
        <v>28</v>
      </c>
      <c r="AG46" s="46">
        <v>16.7</v>
      </c>
      <c r="AH46" s="45">
        <v>22</v>
      </c>
      <c r="AI46" s="44">
        <f>AG46+AH46</f>
        <v>38.700000000000003</v>
      </c>
      <c r="AK46" s="51">
        <v>28</v>
      </c>
      <c r="AL46" s="50">
        <v>24.6</v>
      </c>
      <c r="AM46" s="62">
        <v>5.5</v>
      </c>
      <c r="AN46" s="49">
        <f>AL46+AM46</f>
        <v>30.1</v>
      </c>
    </row>
    <row r="47" spans="2:40" ht="18.75" x14ac:dyDescent="0.3">
      <c r="B47" s="47">
        <v>29</v>
      </c>
      <c r="C47" s="46">
        <v>14.1</v>
      </c>
      <c r="D47" s="45">
        <v>15.1</v>
      </c>
      <c r="E47" s="44">
        <f>C47+D47</f>
        <v>29.2</v>
      </c>
      <c r="G47" s="47">
        <v>29</v>
      </c>
      <c r="H47" s="46">
        <v>16.3</v>
      </c>
      <c r="I47" s="45">
        <v>19.3</v>
      </c>
      <c r="J47" s="44">
        <f>H47+I47</f>
        <v>35.6</v>
      </c>
      <c r="L47" s="47">
        <v>29</v>
      </c>
      <c r="M47" s="46">
        <v>16.399999999999999</v>
      </c>
      <c r="N47" s="45">
        <v>18.100000000000001</v>
      </c>
      <c r="O47" s="44">
        <f>M47+N47</f>
        <v>34.5</v>
      </c>
      <c r="Q47" s="47">
        <v>29</v>
      </c>
      <c r="R47" s="46">
        <v>18.7</v>
      </c>
      <c r="S47" s="45">
        <v>18.7</v>
      </c>
      <c r="T47" s="44">
        <f>R47+S47</f>
        <v>37.4</v>
      </c>
      <c r="V47" s="47">
        <v>29</v>
      </c>
      <c r="W47" s="46">
        <v>18.600000000000001</v>
      </c>
      <c r="X47" s="45">
        <v>18.7</v>
      </c>
      <c r="Y47" s="44">
        <f>W47+X47</f>
        <v>37.299999999999997</v>
      </c>
      <c r="AA47" s="47">
        <v>29</v>
      </c>
      <c r="AB47" s="46">
        <v>16.399999999999999</v>
      </c>
      <c r="AC47" s="45">
        <v>17.7</v>
      </c>
      <c r="AD47" s="44">
        <f>AB47+AC47</f>
        <v>34.099999999999994</v>
      </c>
      <c r="AF47" s="47">
        <v>29</v>
      </c>
      <c r="AG47" s="46">
        <v>19.100000000000001</v>
      </c>
      <c r="AH47" s="45">
        <v>17.7</v>
      </c>
      <c r="AI47" s="44">
        <f>AG47+AH47</f>
        <v>36.799999999999997</v>
      </c>
      <c r="AK47" s="47">
        <v>29</v>
      </c>
      <c r="AL47" s="46">
        <v>15.8</v>
      </c>
      <c r="AM47" s="45">
        <v>18.7</v>
      </c>
      <c r="AN47" s="44">
        <f>AL47+AM47</f>
        <v>34.5</v>
      </c>
    </row>
    <row r="48" spans="2:40" ht="18.75" x14ac:dyDescent="0.3">
      <c r="B48" s="47">
        <v>30</v>
      </c>
      <c r="C48" s="46">
        <v>15.9</v>
      </c>
      <c r="D48" s="45">
        <v>13.3</v>
      </c>
      <c r="E48" s="44">
        <f>C48+D48</f>
        <v>29.200000000000003</v>
      </c>
      <c r="G48" s="47">
        <v>30</v>
      </c>
      <c r="H48" s="46">
        <v>17.5</v>
      </c>
      <c r="I48" s="45">
        <v>17.600000000000001</v>
      </c>
      <c r="J48" s="44">
        <f>H48+I48</f>
        <v>35.1</v>
      </c>
      <c r="L48" s="47">
        <v>30</v>
      </c>
      <c r="M48" s="46">
        <v>16.3</v>
      </c>
      <c r="N48" s="45">
        <v>13.9</v>
      </c>
      <c r="O48" s="44">
        <f>M48+N48</f>
        <v>30.200000000000003</v>
      </c>
      <c r="Q48" s="47">
        <v>30</v>
      </c>
      <c r="R48" s="46">
        <v>15.4</v>
      </c>
      <c r="S48" s="45">
        <v>17.5</v>
      </c>
      <c r="T48" s="44">
        <f>R48+S48</f>
        <v>32.9</v>
      </c>
      <c r="V48" s="47">
        <v>30</v>
      </c>
      <c r="W48" s="46">
        <v>17.8</v>
      </c>
      <c r="X48" s="45">
        <v>18.7</v>
      </c>
      <c r="Y48" s="44">
        <f>W48+X48</f>
        <v>36.5</v>
      </c>
      <c r="AA48" s="47">
        <v>30</v>
      </c>
      <c r="AB48" s="46">
        <v>14.6</v>
      </c>
      <c r="AC48" s="45">
        <v>13.7</v>
      </c>
      <c r="AD48" s="44">
        <f>AB48+AC48</f>
        <v>28.299999999999997</v>
      </c>
      <c r="AF48" s="47">
        <v>30</v>
      </c>
      <c r="AG48" s="46">
        <v>16.2</v>
      </c>
      <c r="AH48" s="45">
        <v>18.899999999999999</v>
      </c>
      <c r="AI48" s="44">
        <f>AG48+AH48</f>
        <v>35.099999999999994</v>
      </c>
      <c r="AK48" s="47">
        <v>30</v>
      </c>
      <c r="AL48" s="46">
        <v>15.9</v>
      </c>
      <c r="AM48" s="45">
        <v>20.9</v>
      </c>
      <c r="AN48" s="44">
        <f>AL48+AM48</f>
        <v>36.799999999999997</v>
      </c>
    </row>
    <row r="49" spans="1:45" ht="18.75" x14ac:dyDescent="0.3">
      <c r="B49" s="47">
        <v>31</v>
      </c>
      <c r="C49" s="46">
        <v>12.1</v>
      </c>
      <c r="D49" s="45">
        <v>14.6</v>
      </c>
      <c r="E49" s="44">
        <f>C49+D49</f>
        <v>26.7</v>
      </c>
      <c r="G49" s="47">
        <v>31</v>
      </c>
      <c r="H49" s="46">
        <v>17.3</v>
      </c>
      <c r="I49" s="45">
        <v>17.7</v>
      </c>
      <c r="J49" s="44">
        <f>H49+I49</f>
        <v>35</v>
      </c>
      <c r="L49" s="47">
        <v>31</v>
      </c>
      <c r="M49" s="46">
        <v>10</v>
      </c>
      <c r="N49" s="45">
        <v>14.2</v>
      </c>
      <c r="O49" s="44">
        <f>M49+N49</f>
        <v>24.2</v>
      </c>
      <c r="Q49" s="47">
        <v>31</v>
      </c>
      <c r="R49" s="46">
        <v>13.7</v>
      </c>
      <c r="S49" s="45">
        <v>16.2</v>
      </c>
      <c r="T49" s="44">
        <f>R49+S49</f>
        <v>29.9</v>
      </c>
      <c r="V49" s="47">
        <v>31</v>
      </c>
      <c r="W49" s="46">
        <v>15.7</v>
      </c>
      <c r="X49" s="45">
        <v>16.399999999999999</v>
      </c>
      <c r="Y49" s="44">
        <f>W49+X49</f>
        <v>32.099999999999994</v>
      </c>
      <c r="AA49" s="47">
        <v>31</v>
      </c>
      <c r="AB49" s="46">
        <v>7.8</v>
      </c>
      <c r="AC49" s="45">
        <v>17.3</v>
      </c>
      <c r="AD49" s="44">
        <f>AB49+AC49</f>
        <v>25.1</v>
      </c>
      <c r="AF49" s="47">
        <v>31</v>
      </c>
      <c r="AG49" s="46">
        <v>13.9</v>
      </c>
      <c r="AH49" s="45">
        <v>19.100000000000001</v>
      </c>
      <c r="AI49" s="44">
        <f>AG49+AH49</f>
        <v>33</v>
      </c>
      <c r="AK49" s="47">
        <v>31</v>
      </c>
      <c r="AL49" s="46">
        <v>14</v>
      </c>
      <c r="AM49" s="45">
        <v>20.8</v>
      </c>
      <c r="AN49" s="44">
        <f>AL49+AM49</f>
        <v>34.799999999999997</v>
      </c>
    </row>
    <row r="50" spans="1:45" ht="18.75" x14ac:dyDescent="0.3">
      <c r="B50" s="47">
        <v>32</v>
      </c>
      <c r="C50" s="46">
        <v>14.6</v>
      </c>
      <c r="D50" s="45">
        <v>14.3</v>
      </c>
      <c r="E50" s="44">
        <f>C50+D50</f>
        <v>28.9</v>
      </c>
      <c r="G50" s="47">
        <v>32</v>
      </c>
      <c r="H50" s="46">
        <v>18.2</v>
      </c>
      <c r="I50" s="45">
        <v>18.399999999999999</v>
      </c>
      <c r="J50" s="44">
        <f>H50+I50</f>
        <v>36.599999999999994</v>
      </c>
      <c r="L50" s="47">
        <v>32</v>
      </c>
      <c r="M50" s="46">
        <v>12.6</v>
      </c>
      <c r="N50" s="45">
        <v>17.2</v>
      </c>
      <c r="O50" s="44">
        <f>M50+N50</f>
        <v>29.799999999999997</v>
      </c>
      <c r="Q50" s="47">
        <v>32</v>
      </c>
      <c r="R50" s="46">
        <v>16.600000000000001</v>
      </c>
      <c r="S50" s="45">
        <v>17.8</v>
      </c>
      <c r="T50" s="44">
        <f>R50+S50</f>
        <v>34.400000000000006</v>
      </c>
      <c r="V50" s="47">
        <v>32</v>
      </c>
      <c r="W50" s="46">
        <v>16.8</v>
      </c>
      <c r="X50" s="45">
        <v>17.2</v>
      </c>
      <c r="Y50" s="44">
        <f>W50+X50</f>
        <v>34</v>
      </c>
      <c r="AA50" s="47">
        <v>32</v>
      </c>
      <c r="AB50" s="46">
        <v>15.3</v>
      </c>
      <c r="AC50" s="45">
        <v>14.9</v>
      </c>
      <c r="AD50" s="44">
        <f>AB50+AC50</f>
        <v>30.200000000000003</v>
      </c>
      <c r="AF50" s="47">
        <v>32</v>
      </c>
      <c r="AG50" s="46">
        <v>17.5</v>
      </c>
      <c r="AH50" s="45">
        <v>19</v>
      </c>
      <c r="AI50" s="44">
        <f>AG50+AH50</f>
        <v>36.5</v>
      </c>
      <c r="AK50" s="47">
        <v>32</v>
      </c>
      <c r="AL50" s="46">
        <v>17.2</v>
      </c>
      <c r="AM50" s="45">
        <v>16.899999999999999</v>
      </c>
      <c r="AN50" s="44">
        <f>AL50+AM50</f>
        <v>34.099999999999994</v>
      </c>
    </row>
    <row r="51" spans="1:45" ht="18.75" x14ac:dyDescent="0.3">
      <c r="B51" s="47">
        <v>33</v>
      </c>
      <c r="C51" s="46">
        <v>11.7</v>
      </c>
      <c r="D51" s="45">
        <v>13</v>
      </c>
      <c r="E51" s="44">
        <f>C51+D51</f>
        <v>24.7</v>
      </c>
      <c r="G51" s="47">
        <v>33</v>
      </c>
      <c r="H51" s="46">
        <v>16.600000000000001</v>
      </c>
      <c r="I51" s="45">
        <v>16.8</v>
      </c>
      <c r="J51" s="44">
        <f>H51+I51</f>
        <v>33.400000000000006</v>
      </c>
      <c r="L51" s="47">
        <v>33</v>
      </c>
      <c r="M51" s="46">
        <v>15.2</v>
      </c>
      <c r="N51" s="45">
        <v>15.2</v>
      </c>
      <c r="O51" s="44">
        <f>M51+N51</f>
        <v>30.4</v>
      </c>
      <c r="Q51" s="47">
        <v>33</v>
      </c>
      <c r="R51" s="46">
        <v>18.2</v>
      </c>
      <c r="S51" s="45">
        <v>18.899999999999999</v>
      </c>
      <c r="T51" s="44">
        <f>R51+S51</f>
        <v>37.099999999999994</v>
      </c>
      <c r="V51" s="47">
        <v>33</v>
      </c>
      <c r="W51" s="46">
        <v>18.2</v>
      </c>
      <c r="X51" s="45">
        <v>17.8</v>
      </c>
      <c r="Y51" s="44">
        <f>W51+X51</f>
        <v>36</v>
      </c>
      <c r="AA51" s="47">
        <v>33</v>
      </c>
      <c r="AB51" s="46">
        <v>17</v>
      </c>
      <c r="AC51" s="45">
        <v>18.2</v>
      </c>
      <c r="AD51" s="44">
        <f>AB51+AC51</f>
        <v>35.200000000000003</v>
      </c>
      <c r="AF51" s="47">
        <v>33</v>
      </c>
      <c r="AG51" s="46">
        <v>19.3</v>
      </c>
      <c r="AH51" s="45">
        <v>20.2</v>
      </c>
      <c r="AI51" s="44">
        <f>AG51+AH51</f>
        <v>39.5</v>
      </c>
      <c r="AK51" s="47">
        <v>33</v>
      </c>
      <c r="AL51" s="46">
        <v>17.899999999999999</v>
      </c>
      <c r="AM51" s="45">
        <v>20.6</v>
      </c>
      <c r="AN51" s="44">
        <f>AL51+AM51</f>
        <v>38.5</v>
      </c>
    </row>
    <row r="52" spans="1:45" ht="18.75" x14ac:dyDescent="0.3">
      <c r="B52" s="47">
        <v>34</v>
      </c>
      <c r="C52" s="46">
        <v>16</v>
      </c>
      <c r="D52" s="45">
        <v>16.600000000000001</v>
      </c>
      <c r="E52" s="44">
        <f>C52+D52</f>
        <v>32.6</v>
      </c>
      <c r="G52" s="47">
        <v>34</v>
      </c>
      <c r="H52" s="46">
        <v>14</v>
      </c>
      <c r="I52" s="45">
        <v>18.100000000000001</v>
      </c>
      <c r="J52" s="44">
        <f>H52+I52</f>
        <v>32.1</v>
      </c>
      <c r="L52" s="47">
        <v>34</v>
      </c>
      <c r="M52" s="46">
        <v>18</v>
      </c>
      <c r="N52" s="45">
        <v>14.2</v>
      </c>
      <c r="O52" s="44">
        <f>M52+N52</f>
        <v>32.200000000000003</v>
      </c>
      <c r="Q52" s="47">
        <v>34</v>
      </c>
      <c r="R52" s="46">
        <v>18.2</v>
      </c>
      <c r="S52" s="45">
        <v>21</v>
      </c>
      <c r="T52" s="44">
        <f>R52+S52</f>
        <v>39.200000000000003</v>
      </c>
      <c r="V52" s="47">
        <v>34</v>
      </c>
      <c r="W52" s="46">
        <v>16</v>
      </c>
      <c r="X52" s="45">
        <v>18.2</v>
      </c>
      <c r="Y52" s="44">
        <f>W52+X52</f>
        <v>34.200000000000003</v>
      </c>
      <c r="AA52" s="47">
        <v>34</v>
      </c>
      <c r="AB52" s="46">
        <v>15.9</v>
      </c>
      <c r="AC52" s="45">
        <v>17.2</v>
      </c>
      <c r="AD52" s="44">
        <f>AB52+AC52</f>
        <v>33.1</v>
      </c>
      <c r="AF52" s="47">
        <v>34</v>
      </c>
      <c r="AG52" s="46">
        <v>20.3</v>
      </c>
      <c r="AH52" s="45">
        <v>20.3</v>
      </c>
      <c r="AI52" s="44">
        <f>AG52+AH52</f>
        <v>40.6</v>
      </c>
      <c r="AK52" s="47">
        <v>34</v>
      </c>
      <c r="AL52" s="46">
        <v>17</v>
      </c>
      <c r="AM52" s="45">
        <v>18.399999999999999</v>
      </c>
      <c r="AN52" s="44">
        <f>AL52+AM52</f>
        <v>35.4</v>
      </c>
    </row>
    <row r="53" spans="1:45" ht="18.75" x14ac:dyDescent="0.3">
      <c r="B53" s="47">
        <v>35</v>
      </c>
      <c r="C53" s="46">
        <v>17.399999999999999</v>
      </c>
      <c r="D53" s="45">
        <v>14.4</v>
      </c>
      <c r="E53" s="44">
        <f>C53+D53</f>
        <v>31.799999999999997</v>
      </c>
      <c r="G53" s="47">
        <v>35</v>
      </c>
      <c r="H53" s="46">
        <v>17.3</v>
      </c>
      <c r="I53" s="45">
        <v>13.5</v>
      </c>
      <c r="J53" s="44">
        <f>H53+I53</f>
        <v>30.8</v>
      </c>
      <c r="L53" s="47">
        <v>35</v>
      </c>
      <c r="M53" s="46">
        <v>12.8</v>
      </c>
      <c r="N53" s="45">
        <v>16.3</v>
      </c>
      <c r="O53" s="44">
        <f>M53+N53</f>
        <v>29.1</v>
      </c>
      <c r="Q53" s="47">
        <v>35</v>
      </c>
      <c r="R53" s="46">
        <v>19.899999999999999</v>
      </c>
      <c r="S53" s="45">
        <v>21.7</v>
      </c>
      <c r="T53" s="44">
        <f>R53+S53</f>
        <v>41.599999999999994</v>
      </c>
      <c r="V53" s="47">
        <v>35</v>
      </c>
      <c r="W53" s="46">
        <v>17.600000000000001</v>
      </c>
      <c r="X53" s="45">
        <v>19.7</v>
      </c>
      <c r="Y53" s="44">
        <f>W53+X53</f>
        <v>37.299999999999997</v>
      </c>
      <c r="AA53" s="47">
        <v>35</v>
      </c>
      <c r="AB53" s="46">
        <v>16.399999999999999</v>
      </c>
      <c r="AC53" s="45">
        <v>19.3</v>
      </c>
      <c r="AD53" s="44">
        <f>AB53+AC53</f>
        <v>35.700000000000003</v>
      </c>
      <c r="AF53" s="47">
        <v>35</v>
      </c>
      <c r="AG53" s="46">
        <v>17.7</v>
      </c>
      <c r="AH53" s="45">
        <v>19.5</v>
      </c>
      <c r="AI53" s="44">
        <f>AG53+AH53</f>
        <v>37.200000000000003</v>
      </c>
      <c r="AK53" s="47">
        <v>35</v>
      </c>
      <c r="AL53" s="46">
        <v>20.399999999999999</v>
      </c>
      <c r="AM53" s="45">
        <v>20.6</v>
      </c>
      <c r="AN53" s="44">
        <f>AL53+AM53</f>
        <v>41</v>
      </c>
    </row>
    <row r="54" spans="1:45" ht="18.75" x14ac:dyDescent="0.3">
      <c r="B54" s="47">
        <v>36</v>
      </c>
      <c r="C54" s="46">
        <v>15.7</v>
      </c>
      <c r="D54" s="45">
        <v>14.9</v>
      </c>
      <c r="E54" s="44">
        <f>C54+D54</f>
        <v>30.6</v>
      </c>
      <c r="G54" s="47">
        <v>36</v>
      </c>
      <c r="H54" s="46">
        <v>16.399999999999999</v>
      </c>
      <c r="I54" s="45">
        <v>20.399999999999999</v>
      </c>
      <c r="J54" s="44">
        <f>H54+I54</f>
        <v>36.799999999999997</v>
      </c>
      <c r="L54" s="47">
        <v>36</v>
      </c>
      <c r="M54" s="46">
        <v>16.100000000000001</v>
      </c>
      <c r="N54" s="45">
        <v>16.2</v>
      </c>
      <c r="O54" s="44">
        <f>M54+N54</f>
        <v>32.299999999999997</v>
      </c>
      <c r="Q54" s="47">
        <v>36</v>
      </c>
      <c r="R54" s="46">
        <v>17.3</v>
      </c>
      <c r="S54" s="45">
        <v>16.3</v>
      </c>
      <c r="T54" s="44">
        <f>R54+S54</f>
        <v>33.6</v>
      </c>
      <c r="V54" s="47">
        <v>36</v>
      </c>
      <c r="W54" s="46">
        <v>19.600000000000001</v>
      </c>
      <c r="X54" s="45">
        <v>17.7</v>
      </c>
      <c r="Y54" s="44">
        <f>W54+X54</f>
        <v>37.299999999999997</v>
      </c>
      <c r="AA54" s="47">
        <v>36</v>
      </c>
      <c r="AB54" s="46">
        <v>16.3</v>
      </c>
      <c r="AC54" s="45">
        <v>16.7</v>
      </c>
      <c r="AD54" s="44">
        <f>AB54+AC54</f>
        <v>33</v>
      </c>
      <c r="AF54" s="47">
        <v>36</v>
      </c>
      <c r="AG54" s="46">
        <v>15.6</v>
      </c>
      <c r="AH54" s="45">
        <v>18.100000000000001</v>
      </c>
      <c r="AI54" s="44">
        <f>AG54+AH54</f>
        <v>33.700000000000003</v>
      </c>
      <c r="AK54" s="47">
        <v>36</v>
      </c>
      <c r="AL54" s="46">
        <v>18.8</v>
      </c>
      <c r="AM54" s="45">
        <v>18.899999999999999</v>
      </c>
      <c r="AN54" s="44">
        <f>AL54+AM54</f>
        <v>37.700000000000003</v>
      </c>
    </row>
    <row r="55" spans="1:45" ht="18.75" x14ac:dyDescent="0.3">
      <c r="B55" s="47">
        <v>37</v>
      </c>
      <c r="C55" s="46">
        <v>15.8</v>
      </c>
      <c r="D55" s="45">
        <v>16.2</v>
      </c>
      <c r="E55" s="44">
        <f>C55+D55</f>
        <v>32</v>
      </c>
      <c r="G55" s="47">
        <v>37</v>
      </c>
      <c r="H55" s="46">
        <v>17.100000000000001</v>
      </c>
      <c r="I55" s="45">
        <v>17.5</v>
      </c>
      <c r="J55" s="44">
        <f>H55+I55</f>
        <v>34.6</v>
      </c>
      <c r="L55" s="47">
        <v>37</v>
      </c>
      <c r="M55" s="46">
        <v>14.4</v>
      </c>
      <c r="N55" s="45">
        <v>11.6</v>
      </c>
      <c r="O55" s="44">
        <f>M55+N55</f>
        <v>26</v>
      </c>
      <c r="Q55" s="47">
        <v>37</v>
      </c>
      <c r="R55" s="46">
        <v>17.5</v>
      </c>
      <c r="S55" s="45">
        <v>19.600000000000001</v>
      </c>
      <c r="T55" s="44">
        <f>R55+S55</f>
        <v>37.1</v>
      </c>
      <c r="V55" s="47">
        <v>37</v>
      </c>
      <c r="W55" s="46">
        <v>17.5</v>
      </c>
      <c r="X55" s="45">
        <v>20.7</v>
      </c>
      <c r="Y55" s="44">
        <f>W55+X55</f>
        <v>38.200000000000003</v>
      </c>
      <c r="AA55" s="47">
        <v>37</v>
      </c>
      <c r="AB55" s="46">
        <v>16.100000000000001</v>
      </c>
      <c r="AC55" s="45">
        <v>15.2</v>
      </c>
      <c r="AD55" s="44">
        <f>AB55+AC55</f>
        <v>31.3</v>
      </c>
      <c r="AF55" s="47">
        <v>37</v>
      </c>
      <c r="AG55" s="46">
        <v>14.9</v>
      </c>
      <c r="AH55" s="45">
        <v>17.5</v>
      </c>
      <c r="AI55" s="44">
        <f>AG55+AH55</f>
        <v>32.4</v>
      </c>
      <c r="AK55" s="47">
        <v>37</v>
      </c>
      <c r="AL55" s="46">
        <v>17.7</v>
      </c>
      <c r="AM55" s="45">
        <v>18.2</v>
      </c>
      <c r="AN55" s="44">
        <f>AL55+AM55</f>
        <v>35.9</v>
      </c>
    </row>
    <row r="56" spans="1:45" ht="18.75" x14ac:dyDescent="0.3">
      <c r="B56" s="47">
        <v>38</v>
      </c>
      <c r="C56" s="46">
        <v>13.5</v>
      </c>
      <c r="D56" s="45">
        <v>13.1</v>
      </c>
      <c r="E56" s="44">
        <f>C56+D56</f>
        <v>26.6</v>
      </c>
      <c r="G56" s="47">
        <v>38</v>
      </c>
      <c r="H56" s="46">
        <v>15.5</v>
      </c>
      <c r="I56" s="45">
        <v>16.5</v>
      </c>
      <c r="J56" s="44">
        <f>H56+I56</f>
        <v>32</v>
      </c>
      <c r="L56" s="47">
        <v>38</v>
      </c>
      <c r="M56" s="46">
        <v>11.6</v>
      </c>
      <c r="N56" s="45">
        <v>13.6</v>
      </c>
      <c r="O56" s="44">
        <f>M56+N56</f>
        <v>25.2</v>
      </c>
      <c r="Q56" s="47">
        <v>38</v>
      </c>
      <c r="R56" s="46">
        <v>17</v>
      </c>
      <c r="S56" s="45">
        <v>15.9</v>
      </c>
      <c r="T56" s="44">
        <f>R56+S56</f>
        <v>32.9</v>
      </c>
      <c r="V56" s="47">
        <v>38</v>
      </c>
      <c r="W56" s="46">
        <v>17.100000000000001</v>
      </c>
      <c r="X56" s="45">
        <v>16.3</v>
      </c>
      <c r="Y56" s="44">
        <f>W56+X56</f>
        <v>33.400000000000006</v>
      </c>
      <c r="AA56" s="47">
        <v>38</v>
      </c>
      <c r="AB56" s="46">
        <v>13.4</v>
      </c>
      <c r="AC56" s="45">
        <v>16.2</v>
      </c>
      <c r="AD56" s="44">
        <f>AB56+AC56</f>
        <v>29.6</v>
      </c>
      <c r="AF56" s="47">
        <v>38</v>
      </c>
      <c r="AG56" s="46">
        <v>18.100000000000001</v>
      </c>
      <c r="AH56" s="45">
        <v>18.399999999999999</v>
      </c>
      <c r="AI56" s="44">
        <f>AG56+AH56</f>
        <v>36.5</v>
      </c>
      <c r="AK56" s="47">
        <v>38</v>
      </c>
      <c r="AL56" s="46">
        <v>16.8</v>
      </c>
      <c r="AM56" s="45">
        <v>18.399999999999999</v>
      </c>
      <c r="AN56" s="44">
        <f>AL56+AM56</f>
        <v>35.200000000000003</v>
      </c>
    </row>
    <row r="57" spans="1:45" ht="18.75" x14ac:dyDescent="0.3">
      <c r="B57" s="47">
        <v>39</v>
      </c>
      <c r="C57" s="46">
        <v>13.1</v>
      </c>
      <c r="D57" s="45">
        <v>15</v>
      </c>
      <c r="E57" s="44">
        <f>C57+D57</f>
        <v>28.1</v>
      </c>
      <c r="G57" s="47">
        <v>39</v>
      </c>
      <c r="H57" s="46">
        <v>16.5</v>
      </c>
      <c r="I57" s="45">
        <v>17.100000000000001</v>
      </c>
      <c r="J57" s="44">
        <f>H57+I57</f>
        <v>33.6</v>
      </c>
      <c r="L57" s="47">
        <v>39</v>
      </c>
      <c r="M57" s="46">
        <v>12.8</v>
      </c>
      <c r="N57" s="45">
        <v>19.2</v>
      </c>
      <c r="O57" s="44">
        <f>M57+N57</f>
        <v>32</v>
      </c>
      <c r="Q57" s="47">
        <v>39</v>
      </c>
      <c r="R57" s="46">
        <v>15</v>
      </c>
      <c r="S57" s="45">
        <v>16.899999999999999</v>
      </c>
      <c r="T57" s="44">
        <f>R57+S57</f>
        <v>31.9</v>
      </c>
      <c r="V57" s="47">
        <v>39</v>
      </c>
      <c r="W57" s="46">
        <v>15.8</v>
      </c>
      <c r="X57" s="45">
        <v>16.100000000000001</v>
      </c>
      <c r="Y57" s="44">
        <f>W57+X57</f>
        <v>31.900000000000002</v>
      </c>
      <c r="AA57" s="47">
        <v>39</v>
      </c>
      <c r="AB57" s="46">
        <v>13.5</v>
      </c>
      <c r="AC57" s="45">
        <v>15.8</v>
      </c>
      <c r="AD57" s="44">
        <f>AB57+AC57</f>
        <v>29.3</v>
      </c>
      <c r="AF57" s="47">
        <v>39</v>
      </c>
      <c r="AG57" s="46">
        <v>17.100000000000001</v>
      </c>
      <c r="AH57" s="45">
        <v>19.600000000000001</v>
      </c>
      <c r="AI57" s="44">
        <f>AG57+AH57</f>
        <v>36.700000000000003</v>
      </c>
      <c r="AK57" s="47">
        <v>39</v>
      </c>
      <c r="AL57" s="46">
        <v>16.3</v>
      </c>
      <c r="AM57" s="45">
        <v>16.100000000000001</v>
      </c>
      <c r="AN57" s="44">
        <f>AL57+AM57</f>
        <v>32.400000000000006</v>
      </c>
    </row>
    <row r="58" spans="1:45" ht="18.75" x14ac:dyDescent="0.3">
      <c r="B58" s="47">
        <v>40</v>
      </c>
      <c r="C58" s="46">
        <v>10.7</v>
      </c>
      <c r="D58" s="45">
        <v>11.5</v>
      </c>
      <c r="E58" s="44">
        <f>C58+D58</f>
        <v>22.2</v>
      </c>
      <c r="G58" s="47">
        <v>40</v>
      </c>
      <c r="H58" s="46">
        <v>18.3</v>
      </c>
      <c r="I58" s="45">
        <v>10.3</v>
      </c>
      <c r="J58" s="44">
        <f>H58+I58</f>
        <v>28.6</v>
      </c>
      <c r="L58" s="47">
        <v>40</v>
      </c>
      <c r="M58" s="46">
        <v>10.7</v>
      </c>
      <c r="N58" s="45">
        <v>7.8</v>
      </c>
      <c r="O58" s="44">
        <f>M58+N58</f>
        <v>18.5</v>
      </c>
      <c r="Q58" s="47">
        <v>40</v>
      </c>
      <c r="R58" s="46">
        <v>12.7</v>
      </c>
      <c r="S58" s="45">
        <v>11.5</v>
      </c>
      <c r="T58" s="44">
        <f>R58+S58</f>
        <v>24.2</v>
      </c>
      <c r="V58" s="47">
        <v>40</v>
      </c>
      <c r="W58" s="46">
        <v>15.4</v>
      </c>
      <c r="X58" s="45">
        <v>15</v>
      </c>
      <c r="Y58" s="44">
        <f>W58+X58</f>
        <v>30.4</v>
      </c>
      <c r="AA58" s="47">
        <v>40</v>
      </c>
      <c r="AB58" s="46">
        <v>12.6</v>
      </c>
      <c r="AC58" s="45">
        <v>14.5</v>
      </c>
      <c r="AD58" s="44">
        <f>AB58+AC58</f>
        <v>27.1</v>
      </c>
      <c r="AF58" s="47">
        <v>40</v>
      </c>
      <c r="AG58" s="46">
        <v>16.399999999999999</v>
      </c>
      <c r="AH58" s="45">
        <v>16.2</v>
      </c>
      <c r="AI58" s="44">
        <f>AG58+AH58</f>
        <v>32.599999999999994</v>
      </c>
      <c r="AK58" s="47">
        <v>40</v>
      </c>
      <c r="AL58" s="46">
        <v>13.7</v>
      </c>
      <c r="AM58" s="45">
        <v>13</v>
      </c>
      <c r="AN58" s="44">
        <f>AL58+AM58</f>
        <v>26.7</v>
      </c>
    </row>
    <row r="59" spans="1:45" ht="35.450000000000003" customHeight="1" x14ac:dyDescent="0.25">
      <c r="D59" s="43" t="s">
        <v>1061</v>
      </c>
      <c r="E59" s="42">
        <f>AVERAGE(E19:E58)</f>
        <v>28.260000000000009</v>
      </c>
      <c r="I59" s="43" t="s">
        <v>1061</v>
      </c>
      <c r="J59" s="42">
        <f>AVERAGE(J19:J58)</f>
        <v>32.754999999999988</v>
      </c>
      <c r="N59" s="43" t="s">
        <v>1061</v>
      </c>
      <c r="O59" s="42">
        <f>AVERAGE(O19:O58)</f>
        <v>28.997500000000002</v>
      </c>
      <c r="S59" s="43" t="s">
        <v>1061</v>
      </c>
      <c r="T59" s="42">
        <f>AVERAGE(T19:T58)</f>
        <v>35.500000000000014</v>
      </c>
      <c r="X59" s="43" t="s">
        <v>1061</v>
      </c>
      <c r="Y59" s="42">
        <f>AVERAGE(Y19:Y58)</f>
        <v>35.477499999999999</v>
      </c>
      <c r="AC59" s="43" t="s">
        <v>1061</v>
      </c>
      <c r="AD59" s="42">
        <f>AVERAGE(AD19:AD58)</f>
        <v>33.399999999999991</v>
      </c>
      <c r="AH59" s="43" t="s">
        <v>1061</v>
      </c>
      <c r="AI59" s="42">
        <f>AVERAGE(AI19:AI58)</f>
        <v>35.272500000000001</v>
      </c>
      <c r="AM59" s="43" t="s">
        <v>1061</v>
      </c>
      <c r="AN59" s="42">
        <f>AVERAGE(AN19:AN58)</f>
        <v>35.657500000000006</v>
      </c>
    </row>
    <row r="61" spans="1:45" ht="21" x14ac:dyDescent="0.35">
      <c r="C61" s="59"/>
      <c r="D61" s="58"/>
      <c r="E61" s="41"/>
      <c r="H61" s="59"/>
      <c r="I61" s="60"/>
      <c r="J61" s="57"/>
      <c r="M61" s="59"/>
      <c r="N61" s="58"/>
      <c r="O61" s="57"/>
      <c r="R61" s="59"/>
      <c r="S61" s="58"/>
      <c r="T61" s="57"/>
      <c r="W61" s="59"/>
      <c r="X61" s="58"/>
      <c r="Y61" s="41"/>
      <c r="AB61" s="59"/>
      <c r="AC61" s="58"/>
      <c r="AD61" s="57"/>
      <c r="AG61" s="59"/>
      <c r="AH61" s="58"/>
      <c r="AI61" s="57"/>
      <c r="AL61" s="59"/>
      <c r="AM61" s="58"/>
      <c r="AN61" s="57"/>
      <c r="AQ61" s="59"/>
      <c r="AR61" s="58"/>
      <c r="AS61" s="57"/>
    </row>
    <row r="62" spans="1:45" ht="21" x14ac:dyDescent="0.35">
      <c r="A62" s="39" t="s">
        <v>1075</v>
      </c>
      <c r="C62" s="59"/>
      <c r="D62" s="58"/>
      <c r="E62" s="41" t="s">
        <v>1060</v>
      </c>
      <c r="F62" s="39" t="s">
        <v>1059</v>
      </c>
      <c r="G62" s="39" t="s">
        <v>1058</v>
      </c>
      <c r="H62" s="59"/>
      <c r="I62" s="60"/>
      <c r="J62" s="41" t="s">
        <v>1060</v>
      </c>
      <c r="K62" s="39" t="s">
        <v>1059</v>
      </c>
      <c r="L62" s="39" t="s">
        <v>1058</v>
      </c>
      <c r="M62" s="59"/>
      <c r="N62" s="58"/>
      <c r="O62" s="41" t="s">
        <v>1060</v>
      </c>
      <c r="P62" s="39" t="s">
        <v>1059</v>
      </c>
      <c r="Q62" s="39" t="s">
        <v>1058</v>
      </c>
      <c r="R62" s="59"/>
      <c r="S62" s="58"/>
      <c r="T62" s="41" t="s">
        <v>1060</v>
      </c>
      <c r="U62" s="39" t="s">
        <v>1059</v>
      </c>
      <c r="V62" s="39" t="s">
        <v>1058</v>
      </c>
      <c r="W62" s="59"/>
      <c r="X62" s="58"/>
      <c r="Y62" s="41" t="s">
        <v>1060</v>
      </c>
      <c r="Z62" s="39" t="s">
        <v>1059</v>
      </c>
      <c r="AA62" s="39" t="s">
        <v>1058</v>
      </c>
      <c r="AB62" s="59"/>
      <c r="AC62" s="58"/>
      <c r="AD62" s="41" t="s">
        <v>1060</v>
      </c>
      <c r="AE62" s="39" t="s">
        <v>1059</v>
      </c>
      <c r="AF62" s="39" t="s">
        <v>1058</v>
      </c>
      <c r="AG62" s="59"/>
      <c r="AH62" s="58"/>
      <c r="AI62" s="41" t="s">
        <v>1060</v>
      </c>
      <c r="AJ62" s="39" t="s">
        <v>1059</v>
      </c>
      <c r="AK62" s="39" t="s">
        <v>1058</v>
      </c>
      <c r="AL62" s="59"/>
      <c r="AM62" s="58"/>
      <c r="AN62" s="41" t="s">
        <v>1060</v>
      </c>
      <c r="AO62" s="39" t="s">
        <v>1059</v>
      </c>
      <c r="AP62" s="39" t="s">
        <v>1058</v>
      </c>
      <c r="AQ62" s="59"/>
      <c r="AR62" s="58"/>
      <c r="AS62" s="57"/>
    </row>
    <row r="63" spans="1:45" ht="21" x14ac:dyDescent="0.35">
      <c r="A63" s="39">
        <v>1</v>
      </c>
      <c r="C63" s="59"/>
      <c r="D63" s="58"/>
      <c r="E63" s="40">
        <f>SUM('Field Harvest'!E28:E29)-2*1.06-2*1.1</f>
        <v>48.78</v>
      </c>
      <c r="F63" s="39">
        <f>E63/2.2046226218</f>
        <v>22.126235809089529</v>
      </c>
      <c r="G63" s="39">
        <f>F63/58.8*10000</f>
        <v>3762.9652736546818</v>
      </c>
      <c r="H63" s="59"/>
      <c r="I63" s="60"/>
      <c r="J63" s="40">
        <f>SUM('Field Harvest'!J28:J29)-2*1.06-2*1.1</f>
        <v>60.779999999999994</v>
      </c>
      <c r="K63" s="39">
        <f>J63/2.2046226218</f>
        <v>27.569344249209951</v>
      </c>
      <c r="L63" s="39">
        <f>K63/58.8*10000</f>
        <v>4688.6639879608765</v>
      </c>
      <c r="M63" s="59"/>
      <c r="N63" s="58"/>
      <c r="O63" s="40">
        <f>SUM('Field Harvest'!O28:O29)-2*1.06-2*1.1</f>
        <v>47.78</v>
      </c>
      <c r="P63" s="39">
        <f>O63/2.2046226218</f>
        <v>21.672643439079494</v>
      </c>
      <c r="Q63" s="39">
        <f>P63/58.8*10000</f>
        <v>3685.8237141291656</v>
      </c>
      <c r="R63" s="59"/>
      <c r="S63" s="58"/>
      <c r="T63" s="40">
        <f>SUM('Field Harvest'!T28:T29)-2*1.06-2*1.1</f>
        <v>58.78</v>
      </c>
      <c r="U63" s="39">
        <f>T63/2.2046226218</f>
        <v>26.662159509189884</v>
      </c>
      <c r="V63" s="39">
        <f>U63/58.8*10000</f>
        <v>4534.380868909845</v>
      </c>
      <c r="W63" s="59"/>
      <c r="X63" s="58"/>
      <c r="Y63" s="40">
        <f>SUM('Field Harvest'!Y28:Y29)-2*1.06-2*1.1</f>
        <v>67.48</v>
      </c>
      <c r="Z63" s="39">
        <f>Y63/2.2046226218</f>
        <v>30.608413128277192</v>
      </c>
      <c r="AA63" s="39">
        <f>Z63/58.8*10000</f>
        <v>5205.5124367818362</v>
      </c>
      <c r="AB63" s="59"/>
      <c r="AC63" s="58"/>
      <c r="AD63" s="40">
        <f>SUM('Field Harvest'!AD28:AD29)-2*1.06-2*1.1</f>
        <v>49.28</v>
      </c>
      <c r="AE63" s="39">
        <f>AD63/2.2046226218</f>
        <v>22.353031994094547</v>
      </c>
      <c r="AF63" s="39">
        <f>AE63/58.8*10000</f>
        <v>3801.5360534174401</v>
      </c>
      <c r="AG63" s="59"/>
      <c r="AH63" s="58"/>
      <c r="AI63" s="40">
        <f>SUM('Field Harvest'!AI28:AI29)-2*1.06-2*1.1</f>
        <v>64.38</v>
      </c>
      <c r="AJ63" s="39">
        <f>AI63/2.2046226218</f>
        <v>29.202276781246077</v>
      </c>
      <c r="AK63" s="39">
        <f>AJ63/58.8*10000</f>
        <v>4966.3736022527346</v>
      </c>
      <c r="AL63" s="59"/>
      <c r="AM63" s="58"/>
      <c r="AN63" s="40">
        <f>SUM('Field Harvest'!AN28:AN29)-2*1.06-2*1.1</f>
        <v>65.98</v>
      </c>
      <c r="AO63" s="39">
        <f>AN63/2.2046226218</f>
        <v>29.928024573262139</v>
      </c>
      <c r="AP63" s="39">
        <f>AO63/58.8*10000</f>
        <v>5089.8000974935612</v>
      </c>
      <c r="AQ63" s="59"/>
      <c r="AR63" s="58"/>
      <c r="AS63" s="57"/>
    </row>
    <row r="64" spans="1:45" ht="21" x14ac:dyDescent="0.35">
      <c r="A64" s="39">
        <v>2</v>
      </c>
      <c r="C64" s="59"/>
      <c r="D64" s="58"/>
      <c r="E64" s="40">
        <f>SUM('Field Harvest'!E30,'Field Harvest'!E27)-2*1.06-2*1.1</f>
        <v>44.08</v>
      </c>
      <c r="F64" s="39">
        <f>E64/2.2046226218</f>
        <v>19.994351670042359</v>
      </c>
      <c r="G64" s="39">
        <f>F64/58.8*10000</f>
        <v>3400.3999438847554</v>
      </c>
      <c r="H64" s="59"/>
      <c r="I64" s="60"/>
      <c r="J64" s="40">
        <f>SUM('Field Harvest'!J30,'Field Harvest'!J27)-2*1.06-2*1.1</f>
        <v>68.279999999999987</v>
      </c>
      <c r="K64" s="39">
        <f>J64/2.2046226218</f>
        <v>30.971287024285214</v>
      </c>
      <c r="L64" s="39">
        <f>K64/58.8*10000</f>
        <v>5267.2256844022477</v>
      </c>
      <c r="M64" s="59"/>
      <c r="N64" s="58"/>
      <c r="O64" s="40">
        <f>SUM('Field Harvest'!O30,'Field Harvest'!O27)-2*1.06-2*1.1</f>
        <v>61.779999999999994</v>
      </c>
      <c r="P64" s="39">
        <f>O64/2.2046226218</f>
        <v>28.022936619219987</v>
      </c>
      <c r="Q64" s="39">
        <f>P64/58.8*10000</f>
        <v>4765.8055474863922</v>
      </c>
      <c r="R64" s="59"/>
      <c r="S64" s="58"/>
      <c r="T64" s="40">
        <f>SUM('Field Harvest'!T30,'Field Harvest'!T27)-2*1.06-2*1.1</f>
        <v>69.58</v>
      </c>
      <c r="U64" s="39">
        <f>T64/2.2046226218</f>
        <v>31.560957105298264</v>
      </c>
      <c r="V64" s="39">
        <f>U64/58.8*10000</f>
        <v>5367.5097117854202</v>
      </c>
      <c r="W64" s="59"/>
      <c r="X64" s="58"/>
      <c r="Y64" s="40">
        <f>SUM('Field Harvest'!Y30,'Field Harvest'!Y27)-2*1.06-2*1.1</f>
        <v>70.97999999999999</v>
      </c>
      <c r="Z64" s="39">
        <f>Y64/2.2046226218</f>
        <v>32.195986423312313</v>
      </c>
      <c r="AA64" s="39">
        <f>Z64/58.8*10000</f>
        <v>5475.5078951211426</v>
      </c>
      <c r="AB64" s="59"/>
      <c r="AC64" s="58"/>
      <c r="AD64" s="40">
        <f>SUM('Field Harvest'!AD30,'Field Harvest'!AD27)-2*1.06-2*1.1</f>
        <v>65.079999999999984</v>
      </c>
      <c r="AE64" s="39">
        <f>AD64/2.2046226218</f>
        <v>29.519791440253098</v>
      </c>
      <c r="AF64" s="39">
        <f>AE64/58.8*10000</f>
        <v>5020.3726939205953</v>
      </c>
      <c r="AG64" s="59"/>
      <c r="AH64" s="58"/>
      <c r="AI64" s="40">
        <f>SUM('Field Harvest'!AI30,'Field Harvest'!AI27)-2*1.06-2*1.1</f>
        <v>65.879999999999981</v>
      </c>
      <c r="AJ64" s="39">
        <f>AI64/2.2046226218</f>
        <v>29.882665336261127</v>
      </c>
      <c r="AK64" s="39">
        <f>AJ64/58.8*10000</f>
        <v>5082.0859415410077</v>
      </c>
      <c r="AL64" s="59"/>
      <c r="AM64" s="58"/>
      <c r="AN64" s="40">
        <f>SUM('Field Harvest'!AN30,'Field Harvest'!AN27)-2*1.06-2*1.1</f>
        <v>71.379999999999981</v>
      </c>
      <c r="AO64" s="39">
        <f>AN64/2.2046226218</f>
        <v>32.377423371316318</v>
      </c>
      <c r="AP64" s="39">
        <f>AO64/58.8*10000</f>
        <v>5506.3645189313474</v>
      </c>
      <c r="AQ64" s="59"/>
      <c r="AR64" s="58"/>
      <c r="AS64" s="57"/>
    </row>
    <row r="65" spans="1:45" ht="21" x14ac:dyDescent="0.35">
      <c r="A65" s="39">
        <v>3</v>
      </c>
      <c r="C65" s="59"/>
      <c r="D65" s="58"/>
      <c r="E65" s="40">
        <f>SUM(E26,E31)-2*1.06-2*1.1</f>
        <v>51.580000000000005</v>
      </c>
      <c r="F65" s="39">
        <f>E65/2.2046226218</f>
        <v>23.396294445117629</v>
      </c>
      <c r="G65" s="39">
        <f>F65/58.8*10000</f>
        <v>3978.9616403261275</v>
      </c>
      <c r="H65" s="59"/>
      <c r="I65" s="60"/>
      <c r="J65" s="40">
        <f>SUM(J26,J31)-2*1.06-2*1.1</f>
        <v>58.78</v>
      </c>
      <c r="K65" s="39">
        <f>J65/2.2046226218</f>
        <v>26.662159509189884</v>
      </c>
      <c r="L65" s="39">
        <f>K65/58.8*10000</f>
        <v>4534.380868909845</v>
      </c>
      <c r="M65" s="59"/>
      <c r="N65" s="58"/>
      <c r="O65" s="40">
        <f>SUM(O26,O31)-2*1.06-2*1.1</f>
        <v>58.38</v>
      </c>
      <c r="P65" s="39">
        <f>O65/2.2046226218</f>
        <v>26.480722561185868</v>
      </c>
      <c r="Q65" s="39">
        <f>P65/58.8*10000</f>
        <v>4503.5242450996375</v>
      </c>
      <c r="R65" s="59"/>
      <c r="S65" s="58"/>
      <c r="T65" s="40">
        <f>SUM(T26,T31)-2*1.06-2*1.1</f>
        <v>69.38</v>
      </c>
      <c r="U65" s="39">
        <f>T65/2.2046226218</f>
        <v>31.470238631296255</v>
      </c>
      <c r="V65" s="39">
        <f>U65/58.8*10000</f>
        <v>5352.0813998803151</v>
      </c>
      <c r="W65" s="59"/>
      <c r="X65" s="58"/>
      <c r="Y65" s="40">
        <f>SUM(Y26,Y31)-2*1.06-2*1.1</f>
        <v>66.779999999999987</v>
      </c>
      <c r="Z65" s="39">
        <f>Y65/2.2046226218</f>
        <v>30.290898469270161</v>
      </c>
      <c r="AA65" s="39">
        <f>Z65/58.8*10000</f>
        <v>5151.5133451139727</v>
      </c>
      <c r="AB65" s="59"/>
      <c r="AC65" s="58"/>
      <c r="AD65" s="40">
        <f>SUM(AD26,AD31)-2*1.06-2*1.1</f>
        <v>69.08</v>
      </c>
      <c r="AE65" s="39">
        <f>AD65/2.2046226218</f>
        <v>31.334160920293247</v>
      </c>
      <c r="AF65" s="39">
        <f>AE65/58.8*10000</f>
        <v>5328.938932022661</v>
      </c>
      <c r="AG65" s="59"/>
      <c r="AH65" s="58"/>
      <c r="AI65" s="40">
        <f>SUM(AI26,AI31)-2*1.06-2*1.1</f>
        <v>71.58</v>
      </c>
      <c r="AJ65" s="39">
        <f>AI65/2.2046226218</f>
        <v>32.468141845318335</v>
      </c>
      <c r="AK65" s="39">
        <f>AJ65/58.8*10000</f>
        <v>5521.7928308364517</v>
      </c>
      <c r="AL65" s="59"/>
      <c r="AM65" s="58"/>
      <c r="AN65" s="40">
        <f>SUM(AN26,AN31)-2*1.06-2*1.1</f>
        <v>70.38</v>
      </c>
      <c r="AO65" s="39">
        <f>AN65/2.2046226218</f>
        <v>31.92383100130629</v>
      </c>
      <c r="AP65" s="39">
        <f>AO65/58.8*10000</f>
        <v>5429.2229594058317</v>
      </c>
      <c r="AQ65" s="59"/>
      <c r="AR65" s="58"/>
      <c r="AS65" s="57"/>
    </row>
    <row r="66" spans="1:45" ht="21" x14ac:dyDescent="0.35">
      <c r="A66" s="39">
        <v>4</v>
      </c>
      <c r="C66" s="59"/>
      <c r="D66" s="58"/>
      <c r="E66" s="40">
        <f>SUM(E25,E32)-2*1.06-2*1.1</f>
        <v>56.38</v>
      </c>
      <c r="F66" s="39">
        <f>E66/2.2046226218</f>
        <v>25.5735378211658</v>
      </c>
      <c r="G66" s="39">
        <f>F66/58.8*10000</f>
        <v>4349.241126048606</v>
      </c>
      <c r="H66" s="59"/>
      <c r="I66" s="60"/>
      <c r="J66" s="40">
        <f>SUM(J25,J32)-2*1.06-2*1.1</f>
        <v>52.18</v>
      </c>
      <c r="K66" s="39">
        <f>J66/2.2046226218</f>
        <v>23.668449867123648</v>
      </c>
      <c r="L66" s="39">
        <f>K66/58.8*10000</f>
        <v>4025.246576041437</v>
      </c>
      <c r="M66" s="59"/>
      <c r="N66" s="58"/>
      <c r="O66" s="40">
        <f>SUM(O25,O32)-2*1.06-2*1.1</f>
        <v>58.080000000000005</v>
      </c>
      <c r="P66" s="39">
        <f>O66/2.2046226218</f>
        <v>26.34464485018286</v>
      </c>
      <c r="Q66" s="39">
        <f>P66/58.8*10000</f>
        <v>4480.3817772419825</v>
      </c>
      <c r="R66" s="59"/>
      <c r="S66" s="58"/>
      <c r="T66" s="40">
        <f>SUM(T25,T32)-2*1.06-2*1.1</f>
        <v>79.079999999999984</v>
      </c>
      <c r="U66" s="39">
        <f>T66/2.2046226218</f>
        <v>35.870084620393591</v>
      </c>
      <c r="V66" s="39">
        <f>U66/58.8*10000</f>
        <v>6100.354527277821</v>
      </c>
      <c r="W66" s="59"/>
      <c r="X66" s="58"/>
      <c r="Y66" s="40">
        <f>SUM(Y25,Y32)-2*1.06-2*1.1</f>
        <v>65.97999999999999</v>
      </c>
      <c r="Z66" s="39">
        <f>Y66/2.2046226218</f>
        <v>29.928024573262132</v>
      </c>
      <c r="AA66" s="39">
        <f>Z66/58.8*10000</f>
        <v>5089.8000974935594</v>
      </c>
      <c r="AB66" s="59"/>
      <c r="AC66" s="58"/>
      <c r="AD66" s="40">
        <f>SUM(AD25,AD32)-2*1.06-2*1.1</f>
        <v>67.97999999999999</v>
      </c>
      <c r="AE66" s="39">
        <f>AD66/2.2046226218</f>
        <v>30.835209313282203</v>
      </c>
      <c r="AF66" s="39">
        <f>AE66/58.8*10000</f>
        <v>5244.0832165445927</v>
      </c>
      <c r="AG66" s="59"/>
      <c r="AH66" s="58"/>
      <c r="AI66" s="40">
        <f>SUM(AI25,AI32)-2*1.06-2*1.1</f>
        <v>73.88</v>
      </c>
      <c r="AJ66" s="39">
        <f>AI66/2.2046226218</f>
        <v>33.511404296341418</v>
      </c>
      <c r="AK66" s="39">
        <f>AJ66/58.8*10000</f>
        <v>5699.218417745139</v>
      </c>
      <c r="AL66" s="59"/>
      <c r="AM66" s="58"/>
      <c r="AN66" s="40">
        <f>SUM(AN25,AN32)-2*1.06-2*1.1</f>
        <v>74.58</v>
      </c>
      <c r="AO66" s="39">
        <f>AN66/2.2046226218</f>
        <v>33.828918955348442</v>
      </c>
      <c r="AP66" s="39">
        <f>AO66/58.8*10000</f>
        <v>5753.2175094130007</v>
      </c>
      <c r="AQ66" s="59"/>
      <c r="AR66" s="58"/>
      <c r="AS66" s="57"/>
    </row>
    <row r="67" spans="1:45" ht="21" x14ac:dyDescent="0.35">
      <c r="A67" s="39">
        <v>5</v>
      </c>
      <c r="C67" s="59"/>
      <c r="D67" s="58"/>
      <c r="E67" s="40">
        <f>SUM(E24,E33)-2*1.06-2*1.1</f>
        <v>54.279999999999994</v>
      </c>
      <c r="F67" s="39">
        <f>E67/2.2046226218</f>
        <v>24.620993844144721</v>
      </c>
      <c r="G67" s="39">
        <f>F67/58.8*10000</f>
        <v>4187.2438510450202</v>
      </c>
      <c r="H67" s="59"/>
      <c r="I67" s="60"/>
      <c r="J67" s="40">
        <f>SUM(J24,J33)-2*1.06-2*1.1</f>
        <v>61.879999999999995</v>
      </c>
      <c r="K67" s="39">
        <f>J67/2.2046226218</f>
        <v>28.068295856220988</v>
      </c>
      <c r="L67" s="39">
        <f>K67/58.8*10000</f>
        <v>4773.5197034389439</v>
      </c>
      <c r="M67" s="59"/>
      <c r="N67" s="58"/>
      <c r="O67" s="40">
        <f>SUM(O24,O33)-2*1.06-2*1.1</f>
        <v>51.779999999999994</v>
      </c>
      <c r="P67" s="39">
        <f>O67/2.2046226218</f>
        <v>23.487012919119632</v>
      </c>
      <c r="Q67" s="39">
        <f>P67/58.8*10000</f>
        <v>3994.3899522312304</v>
      </c>
      <c r="R67" s="59"/>
      <c r="S67" s="58"/>
      <c r="T67" s="40">
        <f>SUM(T24,T33)-2*1.06-2*1.1</f>
        <v>74.08</v>
      </c>
      <c r="U67" s="39">
        <f>T67/2.2046226218</f>
        <v>33.602122770343421</v>
      </c>
      <c r="V67" s="39">
        <f>U67/58.8*10000</f>
        <v>5714.6467296502424</v>
      </c>
      <c r="W67" s="59"/>
      <c r="X67" s="58"/>
      <c r="Y67" s="40">
        <f>SUM(Y24,Y33)-2*1.06-2*1.1</f>
        <v>71.58</v>
      </c>
      <c r="Z67" s="39">
        <f>Y67/2.2046226218</f>
        <v>32.468141845318335</v>
      </c>
      <c r="AA67" s="39">
        <f>Z67/58.8*10000</f>
        <v>5521.7928308364517</v>
      </c>
      <c r="AB67" s="59"/>
      <c r="AC67" s="58"/>
      <c r="AD67" s="40">
        <f>SUM(AD24,AD33)-2*1.06-2*1.1</f>
        <v>72.679999999999993</v>
      </c>
      <c r="AE67" s="39">
        <f>AD67/2.2046226218</f>
        <v>32.967093452329372</v>
      </c>
      <c r="AF67" s="39">
        <f>AE67/58.8*10000</f>
        <v>5606.64854631452</v>
      </c>
      <c r="AG67" s="59"/>
      <c r="AH67" s="58"/>
      <c r="AI67" s="40">
        <f>SUM(AI24,AI33)-2*1.06-2*1.1</f>
        <v>66.879999999999981</v>
      </c>
      <c r="AJ67" s="39">
        <f>AI67/2.2046226218</f>
        <v>30.336257706271162</v>
      </c>
      <c r="AK67" s="39">
        <f>AJ67/58.8*10000</f>
        <v>5159.2275010665244</v>
      </c>
      <c r="AL67" s="59"/>
      <c r="AM67" s="58"/>
      <c r="AN67" s="40">
        <f>SUM(AN24,AN33)-2*1.06-2*1.1</f>
        <v>77.779999999999987</v>
      </c>
      <c r="AO67" s="39">
        <f>AN67/2.2046226218</f>
        <v>35.280414539380551</v>
      </c>
      <c r="AP67" s="39">
        <f>AO67/58.8*10000</f>
        <v>6000.0704998946521</v>
      </c>
      <c r="AQ67" s="59"/>
      <c r="AR67" s="58"/>
      <c r="AS67" s="57"/>
    </row>
    <row r="68" spans="1:45" ht="21" x14ac:dyDescent="0.35">
      <c r="A68" s="39">
        <v>6</v>
      </c>
      <c r="C68" s="59"/>
      <c r="D68" s="58"/>
      <c r="E68" s="40">
        <f>SUM(E23,E34)-2*1.06-2*1.1</f>
        <v>51.28</v>
      </c>
      <c r="F68" s="39">
        <f>E68/2.2046226218</f>
        <v>23.260216734114618</v>
      </c>
      <c r="G68" s="39">
        <f>F68/58.8*10000</f>
        <v>3955.8191724684725</v>
      </c>
      <c r="H68" s="59"/>
      <c r="I68" s="60"/>
      <c r="J68" s="40">
        <f>SUM(J23,J34)-2*1.06-2*1.1</f>
        <v>60.779999999999994</v>
      </c>
      <c r="K68" s="39">
        <f>J68/2.2046226218</f>
        <v>27.569344249209951</v>
      </c>
      <c r="L68" s="39">
        <f>K68/58.8*10000</f>
        <v>4688.6639879608765</v>
      </c>
      <c r="M68" s="59"/>
      <c r="N68" s="58"/>
      <c r="O68" s="40">
        <f>SUM(O23,O34)-2*1.06-2*1.1</f>
        <v>56.98</v>
      </c>
      <c r="P68" s="39">
        <f>O68/2.2046226218</f>
        <v>25.845693243171816</v>
      </c>
      <c r="Q68" s="39">
        <f>P68/58.8*10000</f>
        <v>4395.5260617639151</v>
      </c>
      <c r="R68" s="59"/>
      <c r="S68" s="58"/>
      <c r="T68" s="40">
        <f>SUM(T23,T34)-2*1.06-2*1.1</f>
        <v>74.97999999999999</v>
      </c>
      <c r="U68" s="39">
        <f>T68/2.2046226218</f>
        <v>34.010355903352455</v>
      </c>
      <c r="V68" s="39">
        <f>U68/58.8*10000</f>
        <v>5784.0741332232074</v>
      </c>
      <c r="W68" s="59"/>
      <c r="X68" s="58"/>
      <c r="Y68" s="40">
        <f>SUM(Y23,Y34)-2*1.06-2*1.1</f>
        <v>73.47999999999999</v>
      </c>
      <c r="Z68" s="39">
        <f>Y68/2.2046226218</f>
        <v>33.329967348337398</v>
      </c>
      <c r="AA68" s="39">
        <f>Z68/58.8*10000</f>
        <v>5668.3617939349315</v>
      </c>
      <c r="AB68" s="59"/>
      <c r="AC68" s="58"/>
      <c r="AD68" s="40">
        <f>SUM(AD23,AD34)-2*1.06-2*1.1</f>
        <v>71.779999999999987</v>
      </c>
      <c r="AE68" s="39">
        <f>AD68/2.2046226218</f>
        <v>32.558860319320338</v>
      </c>
      <c r="AF68" s="39">
        <f>AE68/58.8*10000</f>
        <v>5537.2211427415541</v>
      </c>
      <c r="AG68" s="59"/>
      <c r="AH68" s="58"/>
      <c r="AI68" s="40">
        <f>SUM(AI23,AI34)-2*1.06-2*1.1</f>
        <v>58.98</v>
      </c>
      <c r="AJ68" s="39">
        <f>AI68/2.2046226218</f>
        <v>26.752877983191887</v>
      </c>
      <c r="AK68" s="39">
        <f>AJ68/58.8*10000</f>
        <v>4549.8091808149475</v>
      </c>
      <c r="AL68" s="59"/>
      <c r="AM68" s="58"/>
      <c r="AN68" s="40">
        <f>SUM(AN23,AN34)-2*1.06-2*1.1</f>
        <v>66.47999999999999</v>
      </c>
      <c r="AO68" s="39">
        <f>AN68/2.2046226218</f>
        <v>30.154820758267149</v>
      </c>
      <c r="AP68" s="39">
        <f>AO68/58.8*10000</f>
        <v>5128.3708772563186</v>
      </c>
      <c r="AQ68" s="59"/>
      <c r="AR68" s="58"/>
      <c r="AS68" s="57"/>
    </row>
    <row r="69" spans="1:45" ht="21" x14ac:dyDescent="0.35">
      <c r="A69" s="39">
        <v>7</v>
      </c>
      <c r="C69" s="59"/>
      <c r="D69" s="58"/>
      <c r="E69" s="40">
        <f>SUM(E22,E35)-2*1.06-2*1.1</f>
        <v>56.88</v>
      </c>
      <c r="F69" s="39">
        <f>E69/2.2046226218</f>
        <v>25.800334006170818</v>
      </c>
      <c r="G69" s="39">
        <f>F69/58.8*10000</f>
        <v>4387.8119058113643</v>
      </c>
      <c r="H69" s="59"/>
      <c r="I69" s="60"/>
      <c r="J69" s="40">
        <f>SUM(J22,J35)-2*1.06-2*1.1</f>
        <v>59.580000000000005</v>
      </c>
      <c r="K69" s="39">
        <f>J69/2.2046226218</f>
        <v>27.025033405197913</v>
      </c>
      <c r="L69" s="39">
        <f>K69/58.8*10000</f>
        <v>4596.0941165302575</v>
      </c>
      <c r="M69" s="59"/>
      <c r="N69" s="58"/>
      <c r="O69" s="40">
        <f>SUM(O22,O35)-2*1.06-2*1.1</f>
        <v>55.38</v>
      </c>
      <c r="P69" s="39">
        <f>O69/2.2046226218</f>
        <v>25.119945451155765</v>
      </c>
      <c r="Q69" s="39">
        <f>P69/58.8*10000</f>
        <v>4272.0995665230894</v>
      </c>
      <c r="R69" s="59"/>
      <c r="S69" s="58"/>
      <c r="T69" s="40">
        <f>SUM(T22,T35)-2*1.06-2*1.1</f>
        <v>69.679999999999993</v>
      </c>
      <c r="U69" s="39">
        <f>T69/2.2046226218</f>
        <v>31.606316342299266</v>
      </c>
      <c r="V69" s="39">
        <f>U69/58.8*10000</f>
        <v>5375.2238677379701</v>
      </c>
      <c r="W69" s="59"/>
      <c r="X69" s="58"/>
      <c r="Y69" s="40">
        <f>SUM(Y22,Y35)-2*1.06-2*1.1</f>
        <v>61.18</v>
      </c>
      <c r="Z69" s="39">
        <f>Y69/2.2046226218</f>
        <v>27.750781197213968</v>
      </c>
      <c r="AA69" s="39">
        <f>Z69/58.8*10000</f>
        <v>4719.5206117710832</v>
      </c>
      <c r="AB69" s="59"/>
      <c r="AC69" s="58"/>
      <c r="AD69" s="40">
        <f>SUM(AD22,AD35)-2*1.06-2*1.1</f>
        <v>64.48</v>
      </c>
      <c r="AE69" s="39">
        <f>AD69/2.2046226218</f>
        <v>29.247636018247086</v>
      </c>
      <c r="AF69" s="39">
        <f>AE69/58.8*10000</f>
        <v>4974.0877582052863</v>
      </c>
      <c r="AG69" s="59"/>
      <c r="AH69" s="58"/>
      <c r="AI69" s="40">
        <f>SUM(AI22,AI35)-2*1.06-2*1.1</f>
        <v>59.480000000000004</v>
      </c>
      <c r="AJ69" s="39">
        <f>AI69/2.2046226218</f>
        <v>26.979674168196908</v>
      </c>
      <c r="AK69" s="39">
        <f>AJ69/58.8*10000</f>
        <v>4588.3799605777058</v>
      </c>
      <c r="AL69" s="59"/>
      <c r="AM69" s="58"/>
      <c r="AN69" s="40">
        <f>SUM(AN22,AN35)-2*1.06-2*1.1</f>
        <v>64.47999999999999</v>
      </c>
      <c r="AO69" s="39">
        <f>AN69/2.2046226218</f>
        <v>29.247636018247078</v>
      </c>
      <c r="AP69" s="39">
        <f>AO69/58.8*10000</f>
        <v>4974.0877582052854</v>
      </c>
      <c r="AQ69" s="59"/>
      <c r="AR69" s="58"/>
      <c r="AS69" s="57"/>
    </row>
    <row r="70" spans="1:45" ht="21" x14ac:dyDescent="0.35">
      <c r="A70" s="39">
        <v>8</v>
      </c>
      <c r="C70" s="59"/>
      <c r="D70" s="58"/>
      <c r="E70" s="40">
        <f>SUM(E21,E36)-2*1.06-2*1.1</f>
        <v>48.38</v>
      </c>
      <c r="F70" s="39">
        <f>E70/2.2046226218</f>
        <v>21.944798861085516</v>
      </c>
      <c r="G70" s="39">
        <f>F70/58.8*10000</f>
        <v>3732.1086498444756</v>
      </c>
      <c r="H70" s="59"/>
      <c r="I70" s="60"/>
      <c r="J70" s="40">
        <f>SUM(J21,J36)-2*1.06-2*1.1</f>
        <v>57.98</v>
      </c>
      <c r="K70" s="39">
        <f>J70/2.2046226218</f>
        <v>26.299285613181851</v>
      </c>
      <c r="L70" s="39">
        <f>K70/58.8*10000</f>
        <v>4472.6676212894308</v>
      </c>
      <c r="M70" s="59"/>
      <c r="N70" s="58"/>
      <c r="O70" s="40">
        <f>SUM(O21,O36)-2*1.06-2*1.1</f>
        <v>50.18</v>
      </c>
      <c r="P70" s="39">
        <f>O70/2.2046226218</f>
        <v>22.761265127103577</v>
      </c>
      <c r="Q70" s="39">
        <f>P70/58.8*10000</f>
        <v>3870.9634569904047</v>
      </c>
      <c r="R70" s="59"/>
      <c r="S70" s="58"/>
      <c r="T70" s="40">
        <f>SUM(T21,T36)-2*1.06-2*1.1</f>
        <v>66.08</v>
      </c>
      <c r="U70" s="39">
        <f>T70/2.2046226218</f>
        <v>29.97338381026314</v>
      </c>
      <c r="V70" s="39">
        <f>U70/58.8*10000</f>
        <v>5097.5142534461129</v>
      </c>
      <c r="W70" s="59"/>
      <c r="X70" s="58"/>
      <c r="Y70" s="40">
        <f>SUM(Y21,Y36)-2*1.06-2*1.1</f>
        <v>73.279999999999987</v>
      </c>
      <c r="Z70" s="39">
        <f>Y70/2.2046226218</f>
        <v>33.239248874335388</v>
      </c>
      <c r="AA70" s="39">
        <f>Z70/58.8*10000</f>
        <v>5652.9334820298282</v>
      </c>
      <c r="AB70" s="59"/>
      <c r="AC70" s="58"/>
      <c r="AD70" s="40">
        <f>SUM(AD21,AD36)-2*1.06-2*1.1</f>
        <v>64.08</v>
      </c>
      <c r="AE70" s="39">
        <f>AD70/2.2046226218</f>
        <v>29.066199070243069</v>
      </c>
      <c r="AF70" s="39">
        <f>AE70/58.8*10000</f>
        <v>4943.2311343950805</v>
      </c>
      <c r="AG70" s="59"/>
      <c r="AH70" s="58"/>
      <c r="AI70" s="40">
        <f>SUM(AI21,AI36)-2*1.06-2*1.1</f>
        <v>64.279999999999987</v>
      </c>
      <c r="AJ70" s="39">
        <f>AI70/2.2046226218</f>
        <v>29.156917544245072</v>
      </c>
      <c r="AK70" s="39">
        <f>AJ70/58.8*10000</f>
        <v>4958.6594463001829</v>
      </c>
      <c r="AL70" s="59"/>
      <c r="AM70" s="58"/>
      <c r="AN70" s="40">
        <f>SUM(AN21,AN36)-2*1.06-2*1.1</f>
        <v>64.48</v>
      </c>
      <c r="AO70" s="39">
        <f>AN70/2.2046226218</f>
        <v>29.247636018247086</v>
      </c>
      <c r="AP70" s="39">
        <f>AO70/58.8*10000</f>
        <v>4974.0877582052863</v>
      </c>
      <c r="AQ70" s="59"/>
      <c r="AR70" s="58"/>
      <c r="AS70" s="57"/>
    </row>
    <row r="71" spans="1:45" ht="21" x14ac:dyDescent="0.35">
      <c r="A71" s="39">
        <v>9</v>
      </c>
      <c r="C71" s="59"/>
      <c r="D71" s="58"/>
      <c r="E71" s="40">
        <f>SUM(E20,E37)-2*1.06-2*1.1</f>
        <v>45.28</v>
      </c>
      <c r="F71" s="39">
        <f>E71/2.2046226218</f>
        <v>20.538662514054405</v>
      </c>
      <c r="G71" s="39">
        <f>F71/58.8*10000</f>
        <v>3492.9698153153749</v>
      </c>
      <c r="H71" s="59"/>
      <c r="I71" s="60"/>
      <c r="J71" s="40">
        <f>SUM(J20,J37)-2*1.06-2*1.1</f>
        <v>62.47999999999999</v>
      </c>
      <c r="K71" s="39">
        <f>J71/2.2046226218</f>
        <v>28.340451278227007</v>
      </c>
      <c r="L71" s="39">
        <f>K71/58.8*10000</f>
        <v>4819.804639154253</v>
      </c>
      <c r="M71" s="59"/>
      <c r="N71" s="58"/>
      <c r="O71" s="40">
        <f>SUM(O20,O37)-2*1.06-2*1.1</f>
        <v>58.18</v>
      </c>
      <c r="P71" s="39">
        <f>O71/2.2046226218</f>
        <v>26.390004087183861</v>
      </c>
      <c r="Q71" s="39">
        <f>P71/58.8*10000</f>
        <v>4488.0959331945351</v>
      </c>
      <c r="R71" s="59"/>
      <c r="S71" s="58"/>
      <c r="T71" s="40">
        <f>SUM(T20,T37)-2*1.06-2*1.1</f>
        <v>65.47999999999999</v>
      </c>
      <c r="U71" s="39">
        <f>T71/2.2046226218</f>
        <v>29.701228388257114</v>
      </c>
      <c r="V71" s="39">
        <f>U71/58.8*10000</f>
        <v>5051.229317730802</v>
      </c>
      <c r="W71" s="59"/>
      <c r="X71" s="58"/>
      <c r="Y71" s="40">
        <f>SUM(Y20,Y37)-2*1.06-2*1.1</f>
        <v>68.47999999999999</v>
      </c>
      <c r="Z71" s="39">
        <f>Y71/2.2046226218</f>
        <v>31.06200549828722</v>
      </c>
      <c r="AA71" s="39">
        <f>Z71/58.8*10000</f>
        <v>5282.6539963073501</v>
      </c>
      <c r="AB71" s="59"/>
      <c r="AC71" s="58"/>
      <c r="AD71" s="40">
        <f>SUM(AD20,AD37)-2*1.06-2*1.1</f>
        <v>59.08</v>
      </c>
      <c r="AE71" s="39">
        <f>AD71/2.2046226218</f>
        <v>26.798237220192892</v>
      </c>
      <c r="AF71" s="39">
        <f>AE71/58.8*10000</f>
        <v>4557.5233367674991</v>
      </c>
      <c r="AG71" s="59"/>
      <c r="AH71" s="58"/>
      <c r="AI71" s="40">
        <f>SUM(AI20,AI37)-2*1.06-2*1.1</f>
        <v>62.779999999999987</v>
      </c>
      <c r="AJ71" s="39">
        <f>AI71/2.2046226218</f>
        <v>28.476528989230019</v>
      </c>
      <c r="AK71" s="39">
        <f>AJ71/58.8*10000</f>
        <v>4842.9471070119089</v>
      </c>
      <c r="AL71" s="59"/>
      <c r="AM71" s="58"/>
      <c r="AN71" s="40">
        <f>SUM(AN20,AN37)-2*1.06-2*1.1</f>
        <v>61.779999999999994</v>
      </c>
      <c r="AO71" s="39">
        <f>AN71/2.2046226218</f>
        <v>28.022936619219987</v>
      </c>
      <c r="AP71" s="39">
        <f>AO71/58.8*10000</f>
        <v>4765.8055474863922</v>
      </c>
      <c r="AQ71" s="59"/>
      <c r="AR71" s="58"/>
      <c r="AS71" s="57"/>
    </row>
    <row r="72" spans="1:45" ht="21" x14ac:dyDescent="0.35">
      <c r="A72" s="39">
        <v>10</v>
      </c>
      <c r="C72" s="59"/>
      <c r="D72" s="58"/>
      <c r="E72" s="40">
        <f>SUM(E19,E38)-2*1.06-2*1.1</f>
        <v>41.58</v>
      </c>
      <c r="F72" s="39">
        <f>E72/2.2046226218</f>
        <v>18.860370745017271</v>
      </c>
      <c r="G72" s="39">
        <f>F72/58.8*10000</f>
        <v>3207.5460450709647</v>
      </c>
      <c r="H72" s="59"/>
      <c r="I72" s="60"/>
      <c r="J72" s="40">
        <f>SUM(J19,J38)-2*1.06-2*1.1</f>
        <v>52.28</v>
      </c>
      <c r="K72" s="39">
        <f>J72/2.2046226218</f>
        <v>23.713809104124653</v>
      </c>
      <c r="L72" s="39">
        <f>K72/58.8*10000</f>
        <v>4032.9607319939887</v>
      </c>
      <c r="M72" s="59"/>
      <c r="N72" s="58"/>
      <c r="O72" s="40">
        <f>SUM(O19,O38)-2*1.06-2*1.1</f>
        <v>34.479999999999997</v>
      </c>
      <c r="P72" s="39">
        <f>O72/2.2046226218</f>
        <v>15.639864917946021</v>
      </c>
      <c r="Q72" s="39">
        <f>P72/58.8*10000</f>
        <v>2659.8409724397998</v>
      </c>
      <c r="R72" s="59"/>
      <c r="S72" s="58"/>
      <c r="T72" s="40">
        <f>SUM(T19,T38)-2*1.06-2*1.1</f>
        <v>51.08</v>
      </c>
      <c r="U72" s="39">
        <f>T72/2.2046226218</f>
        <v>23.169498260112608</v>
      </c>
      <c r="V72" s="39">
        <f>U72/58.8*10000</f>
        <v>3940.3908605633687</v>
      </c>
      <c r="W72" s="59"/>
      <c r="X72" s="58"/>
      <c r="Y72" s="40">
        <f>SUM(Y19,Y38)-2*1.06-2*1.1</f>
        <v>57.98</v>
      </c>
      <c r="Z72" s="39">
        <f>Y72/2.2046226218</f>
        <v>26.299285613181851</v>
      </c>
      <c r="AA72" s="39">
        <f>Z72/58.8*10000</f>
        <v>4472.6676212894308</v>
      </c>
      <c r="AB72" s="59"/>
      <c r="AC72" s="58"/>
      <c r="AD72" s="40">
        <f>SUM(AD19,AD38)-2*1.06-2*1.1</f>
        <v>57.48</v>
      </c>
      <c r="AE72" s="39">
        <f>AD72/2.2046226218</f>
        <v>26.072489428176834</v>
      </c>
      <c r="AF72" s="39">
        <f>AE72/58.8*10000</f>
        <v>4434.0968415266725</v>
      </c>
      <c r="AG72" s="59"/>
      <c r="AH72" s="58"/>
      <c r="AI72" s="40">
        <f>SUM(AI19,AI38)-2*1.06-2*1.1</f>
        <v>59.980000000000011</v>
      </c>
      <c r="AJ72" s="39">
        <f>AI72/2.2046226218</f>
        <v>27.206470353201929</v>
      </c>
      <c r="AK72" s="39">
        <f>AJ72/58.8*10000</f>
        <v>4626.9507403404641</v>
      </c>
      <c r="AL72" s="59"/>
      <c r="AM72" s="58"/>
      <c r="AN72" s="40">
        <f>SUM(AN19,AN38)-2*1.06-2*1.1</f>
        <v>54.080000000000005</v>
      </c>
      <c r="AO72" s="39">
        <f>AN72/2.2046226218</f>
        <v>24.530275370142718</v>
      </c>
      <c r="AP72" s="39">
        <f>AO72/58.8*10000</f>
        <v>4171.8155391399177</v>
      </c>
      <c r="AQ72" s="59"/>
      <c r="AR72" s="58"/>
      <c r="AS72" s="57"/>
    </row>
    <row r="73" spans="1:45" ht="21" x14ac:dyDescent="0.35">
      <c r="A73" s="39">
        <v>11</v>
      </c>
      <c r="C73" s="59"/>
      <c r="D73" s="58"/>
      <c r="E73" s="40">
        <f>SUM(E48:E49)-2*1.06-2*1.1</f>
        <v>51.580000000000005</v>
      </c>
      <c r="F73" s="39">
        <f>E73/2.2046226218</f>
        <v>23.396294445117629</v>
      </c>
      <c r="G73" s="39">
        <f>F73/58.8*10000</f>
        <v>3978.9616403261275</v>
      </c>
      <c r="H73" s="59"/>
      <c r="I73" s="60"/>
      <c r="J73" s="40">
        <f>SUM(J48:J49)-2*1.06-2*1.1</f>
        <v>65.779999999999987</v>
      </c>
      <c r="K73" s="39">
        <f>J73/2.2046226218</f>
        <v>29.837306099260125</v>
      </c>
      <c r="L73" s="39">
        <f>K73/58.8*10000</f>
        <v>5074.371785588457</v>
      </c>
      <c r="M73" s="59"/>
      <c r="N73" s="58"/>
      <c r="O73" s="40">
        <f>SUM(O48:O49)-2*1.06-2*1.1</f>
        <v>50.080000000000005</v>
      </c>
      <c r="P73" s="39">
        <f>O73/2.2046226218</f>
        <v>22.715905890102576</v>
      </c>
      <c r="Q73" s="39">
        <f>P73/58.8*10000</f>
        <v>3863.2493010378535</v>
      </c>
      <c r="R73" s="59"/>
      <c r="S73" s="58"/>
      <c r="T73" s="40">
        <f>SUM(T48:T49)-2*1.06-2*1.1</f>
        <v>58.48</v>
      </c>
      <c r="U73" s="39">
        <f>T73/2.2046226218</f>
        <v>26.526081798186869</v>
      </c>
      <c r="V73" s="39">
        <f>U73/58.8*10000</f>
        <v>4511.2384010521891</v>
      </c>
      <c r="W73" s="59"/>
      <c r="X73" s="58"/>
      <c r="Y73" s="40">
        <f>SUM(Y48:Y49)-2*1.06-2*1.1</f>
        <v>64.279999999999987</v>
      </c>
      <c r="Z73" s="39">
        <f>Y73/2.2046226218</f>
        <v>29.156917544245072</v>
      </c>
      <c r="AA73" s="39">
        <f>Z73/58.8*10000</f>
        <v>4958.6594463001829</v>
      </c>
      <c r="AB73" s="59"/>
      <c r="AC73" s="58"/>
      <c r="AD73" s="40">
        <f>SUM(AD48:AD49)-2*1.06-2*1.1</f>
        <v>49.08</v>
      </c>
      <c r="AE73" s="39">
        <f>AD73/2.2046226218</f>
        <v>22.262313520092537</v>
      </c>
      <c r="AF73" s="39">
        <f>AE73/58.8*10000</f>
        <v>3786.1077415123364</v>
      </c>
      <c r="AG73" s="59"/>
      <c r="AH73" s="58"/>
      <c r="AI73" s="40">
        <f>SUM(AI48:AI49)-2*1.06-2*1.1</f>
        <v>63.779999999999987</v>
      </c>
      <c r="AJ73" s="39">
        <f>AI73/2.2046226218</f>
        <v>28.930121359240054</v>
      </c>
      <c r="AK73" s="39">
        <f>AJ73/58.8*10000</f>
        <v>4920.0886665374246</v>
      </c>
      <c r="AL73" s="59"/>
      <c r="AM73" s="58"/>
      <c r="AN73" s="40">
        <f>SUM(AN48:AN49)-2*1.06-2*1.1</f>
        <v>67.279999999999987</v>
      </c>
      <c r="AO73" s="39">
        <f>AN73/2.2046226218</f>
        <v>30.517694654275179</v>
      </c>
      <c r="AP73" s="39">
        <f>AO73/58.8*10000</f>
        <v>5190.0841248767319</v>
      </c>
      <c r="AQ73" s="59"/>
      <c r="AR73" s="58"/>
      <c r="AS73" s="57"/>
    </row>
    <row r="74" spans="1:45" ht="21" x14ac:dyDescent="0.35">
      <c r="A74" s="39">
        <v>12</v>
      </c>
      <c r="C74" s="59"/>
      <c r="D74" s="58"/>
      <c r="E74" s="40">
        <f>SUM(E47,E50)-2*1.06-2*1.1</f>
        <v>53.779999999999994</v>
      </c>
      <c r="F74" s="39">
        <f>E74/2.2046226218</f>
        <v>24.394197659139703</v>
      </c>
      <c r="G74" s="39">
        <f>F74/58.8*10000</f>
        <v>4148.6730712822628</v>
      </c>
      <c r="H74" s="59"/>
      <c r="I74" s="60"/>
      <c r="J74" s="40">
        <f>SUM(J47,J50)-2*1.06-2*1.1</f>
        <v>67.879999999999981</v>
      </c>
      <c r="K74" s="39">
        <f>J74/2.2046226218</f>
        <v>30.789850076281198</v>
      </c>
      <c r="L74" s="39">
        <f>K74/58.8*10000</f>
        <v>5236.369060592041</v>
      </c>
      <c r="M74" s="59"/>
      <c r="N74" s="58"/>
      <c r="O74" s="40">
        <f>SUM(O47,O50)-2*1.06-2*1.1</f>
        <v>59.98</v>
      </c>
      <c r="P74" s="39">
        <f>O74/2.2046226218</f>
        <v>27.206470353201922</v>
      </c>
      <c r="Q74" s="39">
        <f>P74/58.8*10000</f>
        <v>4626.9507403404632</v>
      </c>
      <c r="R74" s="59"/>
      <c r="S74" s="58"/>
      <c r="T74" s="40">
        <f>SUM(T47,T50)-2*1.06-2*1.1</f>
        <v>67.48</v>
      </c>
      <c r="U74" s="39">
        <f>T74/2.2046226218</f>
        <v>30.608413128277192</v>
      </c>
      <c r="V74" s="39">
        <f>U74/58.8*10000</f>
        <v>5205.5124367818362</v>
      </c>
      <c r="W74" s="59"/>
      <c r="X74" s="58"/>
      <c r="Y74" s="40">
        <f>SUM(Y47,Y50)-2*1.06-2*1.1</f>
        <v>66.97999999999999</v>
      </c>
      <c r="Z74" s="39">
        <f>Y74/2.2046226218</f>
        <v>30.381616943272167</v>
      </c>
      <c r="AA74" s="39">
        <f>Z74/58.8*10000</f>
        <v>5166.941657019076</v>
      </c>
      <c r="AB74" s="59"/>
      <c r="AC74" s="58"/>
      <c r="AD74" s="40">
        <f>SUM(AD47,AD50)-2*1.06-2*1.1</f>
        <v>59.98</v>
      </c>
      <c r="AE74" s="39">
        <f>AD74/2.2046226218</f>
        <v>27.206470353201922</v>
      </c>
      <c r="AF74" s="39">
        <f>AE74/58.8*10000</f>
        <v>4626.9507403404632</v>
      </c>
      <c r="AG74" s="59"/>
      <c r="AH74" s="58"/>
      <c r="AI74" s="40">
        <f>SUM(AI47,AI50)-2*1.06-2*1.1</f>
        <v>68.97999999999999</v>
      </c>
      <c r="AJ74" s="39">
        <f>AI74/2.2046226218</f>
        <v>31.288801683292238</v>
      </c>
      <c r="AK74" s="39">
        <f>AJ74/58.8*10000</f>
        <v>5321.2247760701093</v>
      </c>
      <c r="AL74" s="59"/>
      <c r="AM74" s="58"/>
      <c r="AN74" s="40">
        <f>SUM(AN47,AN50)-2*1.06-2*1.1</f>
        <v>64.279999999999987</v>
      </c>
      <c r="AO74" s="39">
        <f>AN74/2.2046226218</f>
        <v>29.156917544245072</v>
      </c>
      <c r="AP74" s="39">
        <f>AO74/58.8*10000</f>
        <v>4958.6594463001829</v>
      </c>
      <c r="AQ74" s="59"/>
      <c r="AR74" s="58"/>
      <c r="AS74" s="57"/>
    </row>
    <row r="75" spans="1:45" ht="21" x14ac:dyDescent="0.35">
      <c r="A75" s="39">
        <v>13</v>
      </c>
      <c r="C75" s="59"/>
      <c r="D75" s="58"/>
      <c r="E75" s="40">
        <f>SUM(E46,E51)-2*1.06-2*1.1</f>
        <v>48.08</v>
      </c>
      <c r="F75" s="39">
        <f>E75/2.2046226218</f>
        <v>21.808721150082501</v>
      </c>
      <c r="G75" s="39">
        <f>F75/58.8*10000</f>
        <v>3708.9661819868202</v>
      </c>
      <c r="H75" s="59"/>
      <c r="I75" s="60"/>
      <c r="J75" s="40">
        <f>SUM(J46,J51)-2*1.06-2*1.1</f>
        <v>62.379999999999995</v>
      </c>
      <c r="K75" s="39">
        <f>J75/2.2046226218</f>
        <v>28.295092041226006</v>
      </c>
      <c r="L75" s="39">
        <f>K75/58.8*10000</f>
        <v>4812.0904832017022</v>
      </c>
      <c r="M75" s="59"/>
      <c r="N75" s="58"/>
      <c r="O75" s="40">
        <f>SUM(O46,O51)-2*1.06-2*1.1</f>
        <v>59.68</v>
      </c>
      <c r="P75" s="39">
        <f>O75/2.2046226218</f>
        <v>27.070392642198915</v>
      </c>
      <c r="Q75" s="39">
        <f>P75/58.8*10000</f>
        <v>4603.8082724828091</v>
      </c>
      <c r="R75" s="59"/>
      <c r="S75" s="58"/>
      <c r="T75" s="40">
        <f>SUM(T46,T51)-2*1.06-2*1.1</f>
        <v>69.879999999999981</v>
      </c>
      <c r="U75" s="39">
        <f>T75/2.2046226218</f>
        <v>31.697034816301269</v>
      </c>
      <c r="V75" s="39">
        <f>U75/58.8*10000</f>
        <v>5390.6521796430725</v>
      </c>
      <c r="W75" s="59"/>
      <c r="X75" s="58"/>
      <c r="Y75" s="40">
        <f>SUM(Y46,Y51)-2*1.06-2*1.1</f>
        <v>65.58</v>
      </c>
      <c r="Z75" s="39">
        <f>Y75/2.2046226218</f>
        <v>29.746587625258123</v>
      </c>
      <c r="AA75" s="39">
        <f>Z75/58.8*10000</f>
        <v>5058.9434736833546</v>
      </c>
      <c r="AB75" s="59"/>
      <c r="AC75" s="58"/>
      <c r="AD75" s="40">
        <f>SUM(AD46,AD51)-2*1.06-2*1.1</f>
        <v>68.88</v>
      </c>
      <c r="AE75" s="39">
        <f>AD75/2.2046226218</f>
        <v>31.243442446291237</v>
      </c>
      <c r="AF75" s="39">
        <f>AE75/58.8*10000</f>
        <v>5313.5106201175577</v>
      </c>
      <c r="AG75" s="59"/>
      <c r="AH75" s="58"/>
      <c r="AI75" s="40">
        <f>SUM(AI46,AI51)-2*1.06-2*1.1</f>
        <v>73.88</v>
      </c>
      <c r="AJ75" s="39">
        <f>AI75/2.2046226218</f>
        <v>33.511404296341418</v>
      </c>
      <c r="AK75" s="39">
        <f>AJ75/58.8*10000</f>
        <v>5699.218417745139</v>
      </c>
      <c r="AL75" s="59"/>
      <c r="AM75" s="58"/>
      <c r="AN75" s="40">
        <f>SUM(AN46,AN51)-2*1.06-2*1.1</f>
        <v>64.279999999999987</v>
      </c>
      <c r="AO75" s="39">
        <f>AN75/2.2046226218</f>
        <v>29.156917544245072</v>
      </c>
      <c r="AP75" s="39">
        <f>AO75/58.8*10000</f>
        <v>4958.6594463001829</v>
      </c>
      <c r="AQ75" s="59"/>
      <c r="AR75" s="58"/>
      <c r="AS75" s="57"/>
    </row>
    <row r="76" spans="1:45" ht="21" x14ac:dyDescent="0.35">
      <c r="A76" s="39">
        <v>14</v>
      </c>
      <c r="C76" s="59"/>
      <c r="D76" s="58"/>
      <c r="E76" s="40">
        <f>SUM(E45,E52)-2*1.06-2*1.1</f>
        <v>62.679999999999993</v>
      </c>
      <c r="F76" s="39">
        <f>E76/2.2046226218</f>
        <v>28.431169752229017</v>
      </c>
      <c r="G76" s="39">
        <f>F76/58.8*10000</f>
        <v>4835.2329510593563</v>
      </c>
      <c r="H76" s="59"/>
      <c r="I76" s="60"/>
      <c r="J76" s="40">
        <f>SUM(J45,J52)-2*1.06-2*1.1</f>
        <v>61.080000000000005</v>
      </c>
      <c r="K76" s="39">
        <f>J76/2.2046226218</f>
        <v>27.705421960212966</v>
      </c>
      <c r="L76" s="39">
        <f>K76/58.8*10000</f>
        <v>4711.8064558185315</v>
      </c>
      <c r="M76" s="59"/>
      <c r="N76" s="58"/>
      <c r="O76" s="40">
        <f>SUM(O45,O52)-2*1.06-2*1.1</f>
        <v>62.97999999999999</v>
      </c>
      <c r="P76" s="39">
        <f>O76/2.2046226218</f>
        <v>28.567247463232025</v>
      </c>
      <c r="Q76" s="39">
        <f>P76/58.8*10000</f>
        <v>4858.3754189170113</v>
      </c>
      <c r="R76" s="59"/>
      <c r="S76" s="58"/>
      <c r="T76" s="40">
        <f>SUM(T45,T52)-2*1.06-2*1.1</f>
        <v>77.38</v>
      </c>
      <c r="U76" s="39">
        <f>T76/2.2046226218</f>
        <v>35.098977591376538</v>
      </c>
      <c r="V76" s="39">
        <f>U76/58.8*10000</f>
        <v>5969.2138760844464</v>
      </c>
      <c r="W76" s="59"/>
      <c r="X76" s="58"/>
      <c r="Y76" s="40">
        <f>SUM(Y45,Y52)-2*1.06-2*1.1</f>
        <v>65.679999999999993</v>
      </c>
      <c r="Z76" s="39">
        <f>Y76/2.2046226218</f>
        <v>29.791946862259124</v>
      </c>
      <c r="AA76" s="39">
        <f>Z76/58.8*10000</f>
        <v>5066.6576296359053</v>
      </c>
      <c r="AB76" s="59"/>
      <c r="AC76" s="58"/>
      <c r="AD76" s="40">
        <f>SUM(AD45,AD52)-2*1.06-2*1.1</f>
        <v>63.879999999999981</v>
      </c>
      <c r="AE76" s="39">
        <f>AD76/2.2046226218</f>
        <v>28.975480596241056</v>
      </c>
      <c r="AF76" s="39">
        <f>AE76/58.8*10000</f>
        <v>4927.8028224899754</v>
      </c>
      <c r="AG76" s="59"/>
      <c r="AH76" s="58"/>
      <c r="AI76" s="40">
        <f>SUM(AI45,AI52)-2*1.06-2*1.1</f>
        <v>75.779999999999987</v>
      </c>
      <c r="AJ76" s="39">
        <f>AI76/2.2046226218</f>
        <v>34.37322979936048</v>
      </c>
      <c r="AK76" s="39">
        <f>AJ76/58.8*10000</f>
        <v>5845.7873808436188</v>
      </c>
      <c r="AL76" s="59"/>
      <c r="AM76" s="58"/>
      <c r="AN76" s="40">
        <f>SUM(AN45,AN52)-2*1.06-2*1.1</f>
        <v>76.47999999999999</v>
      </c>
      <c r="AO76" s="39">
        <f>AN76/2.2046226218</f>
        <v>34.690744458367504</v>
      </c>
      <c r="AP76" s="39">
        <f>AO76/58.8*10000</f>
        <v>5899.7864725114805</v>
      </c>
      <c r="AQ76" s="59"/>
      <c r="AR76" s="58"/>
      <c r="AS76" s="57"/>
    </row>
    <row r="77" spans="1:45" ht="21" x14ac:dyDescent="0.35">
      <c r="A77" s="39">
        <v>15</v>
      </c>
      <c r="C77" s="59"/>
      <c r="D77" s="58"/>
      <c r="E77" s="40">
        <f>SUM(E44,E53)-2*1.06-2*1.1</f>
        <v>62.179999999999993</v>
      </c>
      <c r="F77" s="39">
        <f>E77/2.2046226218</f>
        <v>28.204373567224</v>
      </c>
      <c r="G77" s="39">
        <f>F77/58.8*10000</f>
        <v>4796.6621712965989</v>
      </c>
      <c r="H77" s="59"/>
      <c r="I77" s="60"/>
      <c r="J77" s="40">
        <f>SUM(J44,J53)-2*1.06-2*1.1</f>
        <v>57.88</v>
      </c>
      <c r="K77" s="39">
        <f>J77/2.2046226218</f>
        <v>26.25392637618085</v>
      </c>
      <c r="L77" s="39">
        <f>K77/58.8*10000</f>
        <v>4464.9534653368792</v>
      </c>
      <c r="M77" s="59"/>
      <c r="N77" s="58"/>
      <c r="O77" s="40">
        <f>SUM(O44,O53)-2*1.06-2*1.1</f>
        <v>53.98</v>
      </c>
      <c r="P77" s="39">
        <f>O77/2.2046226218</f>
        <v>24.484916133141709</v>
      </c>
      <c r="Q77" s="39">
        <f>P77/58.8*10000</f>
        <v>4164.1013831873661</v>
      </c>
      <c r="R77" s="59"/>
      <c r="S77" s="58"/>
      <c r="T77" s="40">
        <f>SUM(T44,T53)-2*1.06-2*1.1</f>
        <v>79.47999999999999</v>
      </c>
      <c r="U77" s="39">
        <f>T77/2.2046226218</f>
        <v>36.051521568397611</v>
      </c>
      <c r="V77" s="39">
        <f>U77/58.8*10000</f>
        <v>6131.2111510880295</v>
      </c>
      <c r="W77" s="59"/>
      <c r="X77" s="58"/>
      <c r="Y77" s="40">
        <f>SUM(Y44,Y53)-2*1.06-2*1.1</f>
        <v>71.279999999999987</v>
      </c>
      <c r="Z77" s="39">
        <f>Y77/2.2046226218</f>
        <v>32.332064134315317</v>
      </c>
      <c r="AA77" s="39">
        <f>Z77/58.8*10000</f>
        <v>5498.6503629787949</v>
      </c>
      <c r="AB77" s="59"/>
      <c r="AC77" s="58"/>
      <c r="AD77" s="40">
        <f>SUM(AD44,AD53)-2*1.06-2*1.1</f>
        <v>70.279999999999987</v>
      </c>
      <c r="AE77" s="39">
        <f>AD77/2.2046226218</f>
        <v>31.878471764305285</v>
      </c>
      <c r="AF77" s="39">
        <f>AE77/58.8*10000</f>
        <v>5421.5088034532801</v>
      </c>
      <c r="AG77" s="59"/>
      <c r="AH77" s="58"/>
      <c r="AI77" s="40">
        <f>SUM(AI44,AI53)-2*1.06-2*1.1</f>
        <v>71.48</v>
      </c>
      <c r="AJ77" s="39">
        <f>AI77/2.2046226218</f>
        <v>32.422782608317334</v>
      </c>
      <c r="AK77" s="39">
        <f>AJ77/58.8*10000</f>
        <v>5514.0786748839009</v>
      </c>
      <c r="AL77" s="59"/>
      <c r="AM77" s="58"/>
      <c r="AN77" s="40">
        <f>SUM(AN44,AN53)-2*1.06-2*1.1</f>
        <v>75.08</v>
      </c>
      <c r="AO77" s="39">
        <f>AN77/2.2046226218</f>
        <v>34.055715140353456</v>
      </c>
      <c r="AP77" s="39">
        <f>AO77/58.8*10000</f>
        <v>5791.7882891757581</v>
      </c>
      <c r="AQ77" s="59"/>
      <c r="AR77" s="58"/>
      <c r="AS77" s="57"/>
    </row>
    <row r="78" spans="1:45" ht="21" x14ac:dyDescent="0.35">
      <c r="A78" s="39">
        <v>16</v>
      </c>
      <c r="C78" s="59"/>
      <c r="D78" s="58"/>
      <c r="E78" s="40">
        <f>SUM(E43,E54)-2*1.06-2*1.1</f>
        <v>58.480000000000004</v>
      </c>
      <c r="F78" s="39">
        <f>E78/2.2046226218</f>
        <v>26.526081798186873</v>
      </c>
      <c r="G78" s="39">
        <f>F78/58.8*10000</f>
        <v>4511.2384010521891</v>
      </c>
      <c r="H78" s="59"/>
      <c r="I78" s="60"/>
      <c r="J78" s="40">
        <f>SUM(J43,J54)-2*1.06-2*1.1</f>
        <v>70.97999999999999</v>
      </c>
      <c r="K78" s="39">
        <f>J78/2.2046226218</f>
        <v>32.195986423312313</v>
      </c>
      <c r="L78" s="39">
        <f>K78/58.8*10000</f>
        <v>5475.5078951211426</v>
      </c>
      <c r="M78" s="59"/>
      <c r="N78" s="58"/>
      <c r="O78" s="40">
        <f>SUM(O43,O54)-2*1.06-2*1.1</f>
        <v>59.08</v>
      </c>
      <c r="P78" s="39">
        <f>O78/2.2046226218</f>
        <v>26.798237220192892</v>
      </c>
      <c r="Q78" s="39">
        <f>P78/58.8*10000</f>
        <v>4557.5233367674991</v>
      </c>
      <c r="R78" s="59"/>
      <c r="S78" s="58"/>
      <c r="T78" s="40">
        <f>SUM(T43,T54)-2*1.06-2*1.1</f>
        <v>65.679999999999993</v>
      </c>
      <c r="U78" s="39">
        <f>T78/2.2046226218</f>
        <v>29.791946862259124</v>
      </c>
      <c r="V78" s="39">
        <f>U78/58.8*10000</f>
        <v>5066.6576296359053</v>
      </c>
      <c r="W78" s="59"/>
      <c r="X78" s="58"/>
      <c r="Y78" s="40">
        <f>SUM(Y43,Y54)-2*1.06-2*1.1</f>
        <v>68.97999999999999</v>
      </c>
      <c r="Z78" s="39">
        <f>Y78/2.2046226218</f>
        <v>31.288801683292238</v>
      </c>
      <c r="AA78" s="39">
        <f>Z78/58.8*10000</f>
        <v>5321.2247760701093</v>
      </c>
      <c r="AB78" s="59"/>
      <c r="AC78" s="58"/>
      <c r="AD78" s="40">
        <f>SUM(AD43,AD54)-2*1.06-2*1.1</f>
        <v>64.08</v>
      </c>
      <c r="AE78" s="39">
        <f>AD78/2.2046226218</f>
        <v>29.066199070243069</v>
      </c>
      <c r="AF78" s="39">
        <f>AE78/58.8*10000</f>
        <v>4943.2311343950805</v>
      </c>
      <c r="AG78" s="59"/>
      <c r="AH78" s="58"/>
      <c r="AI78" s="40">
        <f>SUM(AI43,AI54)-2*1.06-2*1.1</f>
        <v>63.779999999999987</v>
      </c>
      <c r="AJ78" s="39">
        <f>AI78/2.2046226218</f>
        <v>28.930121359240054</v>
      </c>
      <c r="AK78" s="39">
        <f>AJ78/58.8*10000</f>
        <v>4920.0886665374246</v>
      </c>
      <c r="AL78" s="59"/>
      <c r="AM78" s="58"/>
      <c r="AN78" s="40">
        <f>SUM(AN43,AN54)-2*1.06-2*1.1</f>
        <v>70.679999999999993</v>
      </c>
      <c r="AO78" s="39">
        <f>AN78/2.2046226218</f>
        <v>32.059908712309301</v>
      </c>
      <c r="AP78" s="39">
        <f>AO78/58.8*10000</f>
        <v>5452.3654272634867</v>
      </c>
      <c r="AQ78" s="59"/>
      <c r="AR78" s="58"/>
      <c r="AS78" s="57"/>
    </row>
    <row r="79" spans="1:45" ht="21" x14ac:dyDescent="0.35">
      <c r="A79" s="39">
        <v>17</v>
      </c>
      <c r="C79" s="59"/>
      <c r="D79" s="58"/>
      <c r="E79" s="40">
        <f>SUM(E42,E55)-2*1.06-2*1.1</f>
        <v>60.68</v>
      </c>
      <c r="F79" s="39">
        <f>E79/2.2046226218</f>
        <v>27.52398501220895</v>
      </c>
      <c r="G79" s="39">
        <f>F79/58.8*10000</f>
        <v>4680.9498320083248</v>
      </c>
      <c r="H79" s="59"/>
      <c r="I79" s="60"/>
      <c r="J79" s="40">
        <f>SUM(J42,J55)-2*1.06-2*1.1</f>
        <v>64.38</v>
      </c>
      <c r="K79" s="39">
        <f>J79/2.2046226218</f>
        <v>29.202276781246077</v>
      </c>
      <c r="L79" s="39">
        <f>K79/58.8*10000</f>
        <v>4966.3736022527346</v>
      </c>
      <c r="M79" s="59"/>
      <c r="N79" s="58"/>
      <c r="O79" s="40">
        <f>SUM(O42,O55)-2*1.06-2*1.1</f>
        <v>50.98</v>
      </c>
      <c r="P79" s="39">
        <f>O79/2.2046226218</f>
        <v>23.124139023111603</v>
      </c>
      <c r="Q79" s="39">
        <f>P79/58.8*10000</f>
        <v>3932.6767046108171</v>
      </c>
      <c r="R79" s="59"/>
      <c r="S79" s="58"/>
      <c r="T79" s="40">
        <f>SUM(T42,T55)-2*1.06-2*1.1</f>
        <v>70.88</v>
      </c>
      <c r="U79" s="39">
        <f>T79/2.2046226218</f>
        <v>32.150627186311311</v>
      </c>
      <c r="V79" s="39">
        <f>U79/58.8*10000</f>
        <v>5467.79373916859</v>
      </c>
      <c r="W79" s="59"/>
      <c r="X79" s="58"/>
      <c r="Y79" s="40">
        <f>SUM(Y42,Y55)-2*1.06-2*1.1</f>
        <v>71.179999999999993</v>
      </c>
      <c r="Z79" s="39">
        <f>Y79/2.2046226218</f>
        <v>32.286704897314316</v>
      </c>
      <c r="AA79" s="39">
        <f>Z79/58.8*10000</f>
        <v>5490.936207026245</v>
      </c>
      <c r="AB79" s="59"/>
      <c r="AC79" s="58"/>
      <c r="AD79" s="40">
        <f>SUM(AD42,AD55)-2*1.06-2*1.1</f>
        <v>61.579999999999991</v>
      </c>
      <c r="AE79" s="39">
        <f>AD79/2.2046226218</f>
        <v>27.932218145217977</v>
      </c>
      <c r="AF79" s="39">
        <f>AE79/58.8*10000</f>
        <v>4750.3772355812889</v>
      </c>
      <c r="AG79" s="59"/>
      <c r="AH79" s="58"/>
      <c r="AI79" s="40">
        <f>SUM(AI42,AI55)-2*1.06-2*1.1</f>
        <v>59.88</v>
      </c>
      <c r="AJ79" s="39">
        <f>AI79/2.2046226218</f>
        <v>27.161111116200921</v>
      </c>
      <c r="AK79" s="39">
        <f>AJ79/58.8*10000</f>
        <v>4619.2365843879115</v>
      </c>
      <c r="AL79" s="59"/>
      <c r="AM79" s="58"/>
      <c r="AN79" s="40">
        <f>SUM(AN42,AN55)-2*1.06-2*1.1</f>
        <v>67.98</v>
      </c>
      <c r="AO79" s="39">
        <f>AN79/2.2046226218</f>
        <v>30.83520931328221</v>
      </c>
      <c r="AP79" s="39">
        <f>AO79/58.8*10000</f>
        <v>5244.0832165445936</v>
      </c>
      <c r="AQ79" s="59"/>
      <c r="AR79" s="58"/>
      <c r="AS79" s="57"/>
    </row>
    <row r="80" spans="1:45" ht="21" x14ac:dyDescent="0.35">
      <c r="A80" s="39">
        <v>18</v>
      </c>
      <c r="C80" s="59"/>
      <c r="D80" s="58"/>
      <c r="E80" s="40">
        <f>SUM(E41,E56)-2*1.06-2*1.1</f>
        <v>50.480000000000004</v>
      </c>
      <c r="F80" s="39">
        <f>E80/2.2046226218</f>
        <v>22.897342838106589</v>
      </c>
      <c r="G80" s="39">
        <f>F80/58.8*10000</f>
        <v>3894.1059248480597</v>
      </c>
      <c r="H80" s="59"/>
      <c r="I80" s="60"/>
      <c r="J80" s="40">
        <f>SUM(J41,J56)-2*1.06-2*1.1</f>
        <v>60.68</v>
      </c>
      <c r="K80" s="39">
        <f>J80/2.2046226218</f>
        <v>27.52398501220895</v>
      </c>
      <c r="L80" s="39">
        <f>K80/58.8*10000</f>
        <v>4680.9498320083248</v>
      </c>
      <c r="M80" s="59"/>
      <c r="N80" s="58"/>
      <c r="O80" s="40">
        <f>SUM(O41,O56)-2*1.06-2*1.1</f>
        <v>48.68</v>
      </c>
      <c r="P80" s="39">
        <f>O80/2.2046226218</f>
        <v>22.080876572088524</v>
      </c>
      <c r="Q80" s="39">
        <f>P80/58.8*10000</f>
        <v>3755.2511177021302</v>
      </c>
      <c r="R80" s="59"/>
      <c r="S80" s="58"/>
      <c r="T80" s="40">
        <f>SUM(T41,T56)-2*1.06-2*1.1</f>
        <v>62.279999999999987</v>
      </c>
      <c r="U80" s="39">
        <f>T80/2.2046226218</f>
        <v>28.249732804225001</v>
      </c>
      <c r="V80" s="39">
        <f>U80/58.8*10000</f>
        <v>4804.3763272491506</v>
      </c>
      <c r="W80" s="59"/>
      <c r="X80" s="58"/>
      <c r="Y80" s="40">
        <f>SUM(Y41,Y56)-2*1.06-2*1.1</f>
        <v>61.38</v>
      </c>
      <c r="Z80" s="39">
        <f>Y80/2.2046226218</f>
        <v>27.841499671215974</v>
      </c>
      <c r="AA80" s="39">
        <f>Z80/58.8*10000</f>
        <v>4734.9489236761865</v>
      </c>
      <c r="AB80" s="59"/>
      <c r="AC80" s="58"/>
      <c r="AD80" s="40">
        <f>SUM(AD41,AD56)-2*1.06-2*1.1</f>
        <v>59.18</v>
      </c>
      <c r="AE80" s="39">
        <f>AD80/2.2046226218</f>
        <v>26.843596457193897</v>
      </c>
      <c r="AF80" s="39">
        <f>AE80/58.8*10000</f>
        <v>4565.2374927200508</v>
      </c>
      <c r="AG80" s="59"/>
      <c r="AH80" s="58"/>
      <c r="AI80" s="40">
        <f>SUM(AI41,AI56)-2*1.06-2*1.1</f>
        <v>68.279999999999987</v>
      </c>
      <c r="AJ80" s="39">
        <f>AI80/2.2046226218</f>
        <v>30.971287024285214</v>
      </c>
      <c r="AK80" s="39">
        <f>AJ80/58.8*10000</f>
        <v>5267.2256844022477</v>
      </c>
      <c r="AL80" s="59"/>
      <c r="AM80" s="58"/>
      <c r="AN80" s="40">
        <f>SUM(AN41,AN56)-2*1.06-2*1.1</f>
        <v>68.679999999999993</v>
      </c>
      <c r="AO80" s="39">
        <f>AN80/2.2046226218</f>
        <v>31.15272397228923</v>
      </c>
      <c r="AP80" s="39">
        <f>AO80/58.8*10000</f>
        <v>5298.0823082124543</v>
      </c>
      <c r="AQ80" s="59"/>
      <c r="AR80" s="58"/>
      <c r="AS80" s="57"/>
    </row>
    <row r="81" spans="1:45" ht="21" x14ac:dyDescent="0.35">
      <c r="A81" s="39">
        <v>19</v>
      </c>
      <c r="C81" s="59"/>
      <c r="D81" s="58"/>
      <c r="E81" s="40">
        <f>SUM(E40,E57)-2*1.06-2*1.1</f>
        <v>53.98</v>
      </c>
      <c r="F81" s="39">
        <f>E81/2.2046226218</f>
        <v>24.484916133141709</v>
      </c>
      <c r="G81" s="39">
        <f>F81/58.8*10000</f>
        <v>4164.1013831873661</v>
      </c>
      <c r="H81" s="59"/>
      <c r="I81" s="60"/>
      <c r="J81" s="40">
        <f>SUM(J40,J57)-2*1.06-2*1.1</f>
        <v>64.779999999999987</v>
      </c>
      <c r="K81" s="39">
        <f>J81/2.2046226218</f>
        <v>29.38371372925009</v>
      </c>
      <c r="L81" s="39">
        <f>K81/58.8*10000</f>
        <v>4997.2302260629413</v>
      </c>
      <c r="M81" s="59"/>
      <c r="N81" s="58"/>
      <c r="O81" s="40">
        <f>SUM(O40,O57)-2*1.06-2*1.1</f>
        <v>60.18</v>
      </c>
      <c r="P81" s="39">
        <f>O81/2.2046226218</f>
        <v>27.297188827203932</v>
      </c>
      <c r="Q81" s="39">
        <f>P81/58.8*10000</f>
        <v>4642.3790522455674</v>
      </c>
      <c r="R81" s="59"/>
      <c r="S81" s="58"/>
      <c r="T81" s="40">
        <f>SUM(T40,T57)-2*1.06-2*1.1</f>
        <v>58.28</v>
      </c>
      <c r="U81" s="39">
        <f>T81/2.2046226218</f>
        <v>26.435363324184866</v>
      </c>
      <c r="V81" s="39">
        <f>U81/58.8*10000</f>
        <v>4495.8100891470867</v>
      </c>
      <c r="W81" s="59"/>
      <c r="X81" s="58"/>
      <c r="Y81" s="40">
        <f>SUM(Y40,Y57)-2*1.06-2*1.1</f>
        <v>63.58</v>
      </c>
      <c r="Z81" s="39">
        <f>Y81/2.2046226218</f>
        <v>28.839402885238052</v>
      </c>
      <c r="AA81" s="39">
        <f>Z81/58.8*10000</f>
        <v>4904.6603546323222</v>
      </c>
      <c r="AB81" s="59"/>
      <c r="AC81" s="58"/>
      <c r="AD81" s="40">
        <f>SUM(AD40,AD57)-2*1.06-2*1.1</f>
        <v>58.48</v>
      </c>
      <c r="AE81" s="39">
        <f>AD81/2.2046226218</f>
        <v>26.526081798186869</v>
      </c>
      <c r="AF81" s="39">
        <f>AE81/58.8*10000</f>
        <v>4511.2384010521891</v>
      </c>
      <c r="AG81" s="59"/>
      <c r="AH81" s="58"/>
      <c r="AI81" s="40">
        <f>SUM(AI40,AI57)-2*1.06-2*1.1</f>
        <v>69.58</v>
      </c>
      <c r="AJ81" s="39">
        <f>AI81/2.2046226218</f>
        <v>31.560957105298264</v>
      </c>
      <c r="AK81" s="39">
        <f>AJ81/58.8*10000</f>
        <v>5367.5097117854202</v>
      </c>
      <c r="AL81" s="59"/>
      <c r="AM81" s="58"/>
      <c r="AN81" s="40">
        <f>SUM(AN40,AN57)-2*1.06-2*1.1</f>
        <v>61.980000000000004</v>
      </c>
      <c r="AO81" s="39">
        <f>AN81/2.2046226218</f>
        <v>28.113655093221997</v>
      </c>
      <c r="AP81" s="39">
        <f>AO81/58.8*10000</f>
        <v>4781.2338593914965</v>
      </c>
      <c r="AQ81" s="59"/>
      <c r="AR81" s="58"/>
      <c r="AS81" s="57"/>
    </row>
    <row r="82" spans="1:45" ht="21" x14ac:dyDescent="0.35">
      <c r="A82" s="39">
        <v>20</v>
      </c>
      <c r="C82" s="59"/>
      <c r="D82" s="58"/>
      <c r="E82" s="40">
        <f>SUM(E39,E58)-2*1.06-2*1.1</f>
        <v>43.58</v>
      </c>
      <c r="F82" s="39">
        <f>E82/2.2046226218</f>
        <v>19.767555485037342</v>
      </c>
      <c r="G82" s="39">
        <f>F82/58.8*10000</f>
        <v>3361.8291641219971</v>
      </c>
      <c r="H82" s="59"/>
      <c r="I82" s="60"/>
      <c r="J82" s="40">
        <f>SUM(J39,J58)-2*1.06-2*1.1</f>
        <v>52.980000000000004</v>
      </c>
      <c r="K82" s="39">
        <f>J82/2.2046226218</f>
        <v>24.031323763131677</v>
      </c>
      <c r="L82" s="39">
        <f>K82/58.8*10000</f>
        <v>4086.9598236618499</v>
      </c>
      <c r="M82" s="59"/>
      <c r="N82" s="58"/>
      <c r="O82" s="40">
        <f>SUM(O39,O58)-2*1.06-2*1.1</f>
        <v>34.880000000000003</v>
      </c>
      <c r="P82" s="39">
        <f>O82/2.2046226218</f>
        <v>15.821301865950037</v>
      </c>
      <c r="Q82" s="39">
        <f>P82/58.8*10000</f>
        <v>2690.6975962500064</v>
      </c>
      <c r="R82" s="59"/>
      <c r="S82" s="58"/>
      <c r="T82" s="40">
        <f>SUM(T39,T58)-2*1.06-2*1.1</f>
        <v>45.58</v>
      </c>
      <c r="U82" s="39">
        <f>T82/2.2046226218</f>
        <v>20.674740225057413</v>
      </c>
      <c r="V82" s="39">
        <f>U82/58.8*10000</f>
        <v>3516.1122831730295</v>
      </c>
      <c r="W82" s="59"/>
      <c r="X82" s="58"/>
      <c r="Y82" s="40">
        <f>SUM(Y39,Y58)-2*1.06-2*1.1</f>
        <v>56.58</v>
      </c>
      <c r="Z82" s="39">
        <f>Y82/2.2046226218</f>
        <v>25.664256295167803</v>
      </c>
      <c r="AA82" s="39">
        <f>Z82/58.8*10000</f>
        <v>4364.6694379537084</v>
      </c>
      <c r="AB82" s="59"/>
      <c r="AC82" s="58"/>
      <c r="AD82" s="40">
        <f>SUM(AD39,AD58)-2*1.06-2*1.1</f>
        <v>53.18</v>
      </c>
      <c r="AE82" s="39">
        <f>AD82/2.2046226218</f>
        <v>24.122042237133684</v>
      </c>
      <c r="AF82" s="39">
        <f>AE82/58.8*10000</f>
        <v>4102.3881355669537</v>
      </c>
      <c r="AG82" s="59"/>
      <c r="AH82" s="58"/>
      <c r="AI82" s="40">
        <f>SUM(AI39,AI58)-2*1.06-2*1.1</f>
        <v>60.98</v>
      </c>
      <c r="AJ82" s="39">
        <f>AI82/2.2046226218</f>
        <v>27.660062723211958</v>
      </c>
      <c r="AK82" s="39">
        <f>AJ82/58.8*10000</f>
        <v>4704.0922998659798</v>
      </c>
      <c r="AL82" s="59"/>
      <c r="AM82" s="58"/>
      <c r="AN82" s="40">
        <f>SUM(AN39,AN58)-2*1.06-2*1.1</f>
        <v>51.779999999999994</v>
      </c>
      <c r="AO82" s="39">
        <f>AN82/2.2046226218</f>
        <v>23.487012919119632</v>
      </c>
      <c r="AP82" s="39">
        <f>AO82/58.8*10000</f>
        <v>3994.3899522312304</v>
      </c>
      <c r="AQ82" s="59"/>
      <c r="AR82" s="58"/>
      <c r="AS82" s="57"/>
    </row>
    <row r="83" spans="1:45" x14ac:dyDescent="0.25">
      <c r="D83" s="58"/>
      <c r="E83" s="41"/>
      <c r="X83" s="58"/>
      <c r="Y83" s="41"/>
    </row>
    <row r="84" spans="1:45" ht="23.25" x14ac:dyDescent="0.35">
      <c r="C84" s="59" t="s">
        <v>1070</v>
      </c>
      <c r="D84" s="61">
        <v>9</v>
      </c>
      <c r="E84" s="57" t="s">
        <v>1074</v>
      </c>
      <c r="H84" s="59" t="s">
        <v>1070</v>
      </c>
      <c r="I84" s="61">
        <v>10</v>
      </c>
      <c r="J84" s="57" t="s">
        <v>1071</v>
      </c>
      <c r="M84" s="59" t="s">
        <v>1070</v>
      </c>
      <c r="N84" s="61">
        <v>11</v>
      </c>
      <c r="O84" s="57" t="s">
        <v>1072</v>
      </c>
      <c r="R84" s="59" t="s">
        <v>1070</v>
      </c>
      <c r="S84" s="61">
        <v>12</v>
      </c>
      <c r="T84" s="57" t="s">
        <v>1073</v>
      </c>
      <c r="W84" s="59" t="s">
        <v>1070</v>
      </c>
      <c r="X84" s="61">
        <v>13</v>
      </c>
      <c r="Y84" s="57" t="s">
        <v>1074</v>
      </c>
      <c r="AB84" s="59" t="s">
        <v>1070</v>
      </c>
      <c r="AC84" s="61">
        <v>14</v>
      </c>
      <c r="AD84" s="57" t="s">
        <v>1073</v>
      </c>
      <c r="AG84" s="59" t="s">
        <v>1070</v>
      </c>
      <c r="AH84" s="61">
        <v>15</v>
      </c>
      <c r="AI84" s="57" t="s">
        <v>1072</v>
      </c>
      <c r="AL84" s="59" t="s">
        <v>1070</v>
      </c>
      <c r="AM84" s="61">
        <v>16</v>
      </c>
      <c r="AN84" s="57" t="s">
        <v>1071</v>
      </c>
      <c r="AQ84" s="59" t="s">
        <v>1070</v>
      </c>
      <c r="AR84" s="61">
        <v>17</v>
      </c>
      <c r="AS84" s="57" t="s">
        <v>1069</v>
      </c>
    </row>
    <row r="85" spans="1:45" ht="21" x14ac:dyDescent="0.35">
      <c r="C85" s="59" t="s">
        <v>1067</v>
      </c>
      <c r="D85" s="58">
        <v>40828</v>
      </c>
      <c r="E85" s="41"/>
      <c r="H85" s="59" t="s">
        <v>1067</v>
      </c>
      <c r="I85" s="60" t="s">
        <v>1068</v>
      </c>
      <c r="J85" s="57"/>
      <c r="M85" s="59" t="s">
        <v>1067</v>
      </c>
      <c r="N85" s="58">
        <v>40829</v>
      </c>
      <c r="O85" s="57"/>
      <c r="R85" s="59" t="s">
        <v>1067</v>
      </c>
      <c r="S85" s="58">
        <v>40829</v>
      </c>
      <c r="T85" s="57"/>
      <c r="W85" s="59" t="s">
        <v>1067</v>
      </c>
      <c r="X85" s="58">
        <v>40829</v>
      </c>
      <c r="Y85" s="41"/>
      <c r="AB85" s="59" t="s">
        <v>1067</v>
      </c>
      <c r="AC85" s="58">
        <v>40829</v>
      </c>
      <c r="AD85" s="57"/>
      <c r="AG85" s="59" t="s">
        <v>1067</v>
      </c>
      <c r="AH85" s="58">
        <v>40830</v>
      </c>
      <c r="AI85" s="57"/>
      <c r="AL85" s="59" t="s">
        <v>1067</v>
      </c>
      <c r="AM85" s="58">
        <v>40830</v>
      </c>
      <c r="AN85" s="57"/>
      <c r="AQ85" s="59" t="s">
        <v>1067</v>
      </c>
      <c r="AR85" s="58">
        <v>40830</v>
      </c>
      <c r="AS85" s="57"/>
    </row>
    <row r="86" spans="1:45" ht="25.7" customHeight="1" x14ac:dyDescent="0.25">
      <c r="B86" s="56"/>
      <c r="C86" s="56"/>
      <c r="D86" s="56"/>
      <c r="E86" s="56"/>
      <c r="AP86" s="55" t="s">
        <v>1066</v>
      </c>
      <c r="AQ86" s="55"/>
      <c r="AR86" s="55"/>
      <c r="AS86" s="55"/>
    </row>
    <row r="87" spans="1:45" ht="45" x14ac:dyDescent="0.25">
      <c r="B87" s="54" t="s">
        <v>1065</v>
      </c>
      <c r="C87" s="54" t="s">
        <v>1064</v>
      </c>
      <c r="D87" s="54" t="s">
        <v>1063</v>
      </c>
      <c r="E87" s="53" t="s">
        <v>1062</v>
      </c>
      <c r="G87" s="54" t="s">
        <v>1065</v>
      </c>
      <c r="H87" s="54" t="s">
        <v>1064</v>
      </c>
      <c r="I87" s="54" t="s">
        <v>1063</v>
      </c>
      <c r="J87" s="53" t="s">
        <v>1062</v>
      </c>
      <c r="L87" s="54" t="s">
        <v>1065</v>
      </c>
      <c r="M87" s="54" t="s">
        <v>1064</v>
      </c>
      <c r="N87" s="54" t="s">
        <v>1063</v>
      </c>
      <c r="O87" s="53" t="s">
        <v>1062</v>
      </c>
      <c r="Q87" s="54" t="s">
        <v>1065</v>
      </c>
      <c r="R87" s="54" t="s">
        <v>1064</v>
      </c>
      <c r="S87" s="54" t="s">
        <v>1063</v>
      </c>
      <c r="T87" s="53" t="s">
        <v>1062</v>
      </c>
      <c r="V87" s="54" t="s">
        <v>1065</v>
      </c>
      <c r="W87" s="54" t="s">
        <v>1064</v>
      </c>
      <c r="X87" s="54" t="s">
        <v>1063</v>
      </c>
      <c r="Y87" s="53" t="s">
        <v>1062</v>
      </c>
      <c r="AA87" s="54" t="s">
        <v>1065</v>
      </c>
      <c r="AB87" s="54" t="s">
        <v>1064</v>
      </c>
      <c r="AC87" s="54" t="s">
        <v>1063</v>
      </c>
      <c r="AD87" s="53" t="s">
        <v>1062</v>
      </c>
      <c r="AF87" s="54" t="s">
        <v>1065</v>
      </c>
      <c r="AG87" s="54" t="s">
        <v>1064</v>
      </c>
      <c r="AH87" s="54" t="s">
        <v>1063</v>
      </c>
      <c r="AI87" s="53" t="s">
        <v>1062</v>
      </c>
      <c r="AK87" s="54" t="s">
        <v>1065</v>
      </c>
      <c r="AL87" s="54" t="s">
        <v>1064</v>
      </c>
      <c r="AM87" s="54" t="s">
        <v>1063</v>
      </c>
      <c r="AN87" s="53" t="s">
        <v>1062</v>
      </c>
      <c r="AP87" s="54" t="s">
        <v>1065</v>
      </c>
      <c r="AQ87" s="54" t="s">
        <v>1064</v>
      </c>
      <c r="AR87" s="54" t="s">
        <v>1063</v>
      </c>
      <c r="AS87" s="53" t="s">
        <v>1062</v>
      </c>
    </row>
    <row r="88" spans="1:45" ht="18.75" x14ac:dyDescent="0.25">
      <c r="B88" s="52">
        <v>1</v>
      </c>
      <c r="C88" s="46">
        <v>7</v>
      </c>
      <c r="D88" s="46">
        <v>10.4</v>
      </c>
      <c r="E88" s="44">
        <f>C88+D88</f>
        <v>17.399999999999999</v>
      </c>
      <c r="G88" s="52">
        <v>1</v>
      </c>
      <c r="H88" s="46">
        <v>16.3</v>
      </c>
      <c r="I88" s="46">
        <v>19.7</v>
      </c>
      <c r="J88" s="44">
        <f>H88+I88</f>
        <v>36</v>
      </c>
      <c r="L88" s="52">
        <v>1</v>
      </c>
      <c r="M88" s="46">
        <v>12.6</v>
      </c>
      <c r="N88" s="46">
        <v>16.5</v>
      </c>
      <c r="O88" s="44">
        <f>M88+N88</f>
        <v>29.1</v>
      </c>
      <c r="Q88" s="52">
        <v>1</v>
      </c>
      <c r="R88" s="46">
        <v>11.3</v>
      </c>
      <c r="S88" s="46">
        <v>12.7</v>
      </c>
      <c r="T88" s="44">
        <f>R88+S88</f>
        <v>24</v>
      </c>
      <c r="V88" s="52">
        <v>1</v>
      </c>
      <c r="W88" s="46">
        <v>13.1</v>
      </c>
      <c r="X88" s="46">
        <v>16.8</v>
      </c>
      <c r="Y88" s="44">
        <f>W88+X88</f>
        <v>29.9</v>
      </c>
      <c r="AA88" s="52">
        <v>1</v>
      </c>
      <c r="AB88" s="46">
        <v>10.5</v>
      </c>
      <c r="AC88" s="46">
        <v>15.1</v>
      </c>
      <c r="AD88" s="44">
        <f>AB88+AC88</f>
        <v>25.6</v>
      </c>
      <c r="AF88" s="52">
        <v>1</v>
      </c>
      <c r="AG88" s="46">
        <v>16.399999999999999</v>
      </c>
      <c r="AH88" s="46">
        <v>21.2</v>
      </c>
      <c r="AI88" s="44">
        <f>AG88+AH88</f>
        <v>37.599999999999994</v>
      </c>
      <c r="AK88" s="52">
        <v>1</v>
      </c>
      <c r="AL88" s="46">
        <v>11.4</v>
      </c>
      <c r="AM88" s="46">
        <v>18.600000000000001</v>
      </c>
      <c r="AN88" s="44">
        <f>AL88+AM88</f>
        <v>30</v>
      </c>
      <c r="AP88" s="52">
        <v>1</v>
      </c>
      <c r="AQ88" s="46">
        <v>12</v>
      </c>
      <c r="AR88" s="46"/>
      <c r="AS88" s="44">
        <f>AQ88+AR88</f>
        <v>12</v>
      </c>
    </row>
    <row r="89" spans="1:45" ht="18.75" x14ac:dyDescent="0.25">
      <c r="B89" s="52">
        <v>2</v>
      </c>
      <c r="C89" s="46">
        <v>11</v>
      </c>
      <c r="D89" s="46">
        <v>12</v>
      </c>
      <c r="E89" s="44">
        <f>C89+D89</f>
        <v>23</v>
      </c>
      <c r="G89" s="52">
        <v>2</v>
      </c>
      <c r="H89" s="46">
        <v>16.2</v>
      </c>
      <c r="I89" s="46">
        <v>18.5</v>
      </c>
      <c r="J89" s="44">
        <f>H89+I89</f>
        <v>34.700000000000003</v>
      </c>
      <c r="L89" s="52">
        <v>2</v>
      </c>
      <c r="M89" s="46">
        <v>15.8</v>
      </c>
      <c r="N89" s="46">
        <v>19.100000000000001</v>
      </c>
      <c r="O89" s="44">
        <f>M89+N89</f>
        <v>34.900000000000006</v>
      </c>
      <c r="Q89" s="52">
        <v>2</v>
      </c>
      <c r="R89" s="46">
        <v>13.7</v>
      </c>
      <c r="S89" s="46">
        <v>18</v>
      </c>
      <c r="T89" s="44">
        <f>R89+S89</f>
        <v>31.7</v>
      </c>
      <c r="V89" s="52">
        <v>2</v>
      </c>
      <c r="W89" s="46">
        <v>15.2</v>
      </c>
      <c r="X89" s="46">
        <v>14.5</v>
      </c>
      <c r="Y89" s="44">
        <f>W89+X89</f>
        <v>29.7</v>
      </c>
      <c r="AA89" s="52">
        <v>2</v>
      </c>
      <c r="AB89" s="46">
        <v>15.8</v>
      </c>
      <c r="AC89" s="46">
        <v>16.399999999999999</v>
      </c>
      <c r="AD89" s="44">
        <f>AB89+AC89</f>
        <v>32.200000000000003</v>
      </c>
      <c r="AF89" s="52">
        <v>2</v>
      </c>
      <c r="AG89" s="46">
        <v>18.7</v>
      </c>
      <c r="AH89" s="46">
        <v>20.2</v>
      </c>
      <c r="AI89" s="44">
        <f>AG89+AH89</f>
        <v>38.9</v>
      </c>
      <c r="AK89" s="52">
        <v>2</v>
      </c>
      <c r="AL89" s="46">
        <v>15.6</v>
      </c>
      <c r="AM89" s="46">
        <v>15.2</v>
      </c>
      <c r="AN89" s="44">
        <f>AL89+AM89</f>
        <v>30.799999999999997</v>
      </c>
      <c r="AP89" s="52">
        <v>2</v>
      </c>
      <c r="AQ89" s="46">
        <v>10.4</v>
      </c>
      <c r="AR89" s="46"/>
      <c r="AS89" s="44">
        <f>AQ89+AR89</f>
        <v>10.4</v>
      </c>
    </row>
    <row r="90" spans="1:45" ht="18.75" x14ac:dyDescent="0.25">
      <c r="B90" s="52">
        <v>3</v>
      </c>
      <c r="C90" s="46">
        <v>13.1</v>
      </c>
      <c r="D90" s="46">
        <v>14.9</v>
      </c>
      <c r="E90" s="44">
        <f>C90+D90</f>
        <v>28</v>
      </c>
      <c r="G90" s="52">
        <v>3</v>
      </c>
      <c r="H90" s="46">
        <v>17.3</v>
      </c>
      <c r="I90" s="46">
        <v>22</v>
      </c>
      <c r="J90" s="44">
        <f>H90+I90</f>
        <v>39.299999999999997</v>
      </c>
      <c r="L90" s="52">
        <v>3</v>
      </c>
      <c r="M90" s="46">
        <v>18</v>
      </c>
      <c r="N90" s="46">
        <v>16.100000000000001</v>
      </c>
      <c r="O90" s="44">
        <f>M90+N90</f>
        <v>34.1</v>
      </c>
      <c r="Q90" s="52">
        <v>3</v>
      </c>
      <c r="R90" s="46">
        <v>13.1</v>
      </c>
      <c r="S90" s="46">
        <v>15</v>
      </c>
      <c r="T90" s="44">
        <f>R90+S90</f>
        <v>28.1</v>
      </c>
      <c r="V90" s="52">
        <v>3</v>
      </c>
      <c r="W90" s="46">
        <v>15.6</v>
      </c>
      <c r="X90" s="46">
        <v>14.6</v>
      </c>
      <c r="Y90" s="44">
        <f>W90+X90</f>
        <v>30.2</v>
      </c>
      <c r="AA90" s="52">
        <v>3</v>
      </c>
      <c r="AB90" s="46">
        <v>15.3</v>
      </c>
      <c r="AC90" s="46">
        <v>18.5</v>
      </c>
      <c r="AD90" s="44">
        <f>AB90+AC90</f>
        <v>33.799999999999997</v>
      </c>
      <c r="AF90" s="52">
        <v>3</v>
      </c>
      <c r="AG90" s="46">
        <v>16.899999999999999</v>
      </c>
      <c r="AH90" s="46">
        <v>20.6</v>
      </c>
      <c r="AI90" s="44">
        <f>AG90+AH90</f>
        <v>37.5</v>
      </c>
      <c r="AK90" s="52">
        <v>3</v>
      </c>
      <c r="AL90" s="46">
        <v>13.6</v>
      </c>
      <c r="AM90" s="46">
        <v>14.7</v>
      </c>
      <c r="AN90" s="44">
        <f>AL90+AM90</f>
        <v>28.299999999999997</v>
      </c>
      <c r="AP90" s="52">
        <v>3</v>
      </c>
      <c r="AQ90" s="46">
        <v>13.4</v>
      </c>
      <c r="AR90" s="46"/>
      <c r="AS90" s="44">
        <f>AQ90+AR90</f>
        <v>13.4</v>
      </c>
    </row>
    <row r="91" spans="1:45" ht="18.75" x14ac:dyDescent="0.25">
      <c r="B91" s="52">
        <v>4</v>
      </c>
      <c r="C91" s="46">
        <v>12</v>
      </c>
      <c r="D91" s="46">
        <v>14.5</v>
      </c>
      <c r="E91" s="44">
        <f>C91+D91</f>
        <v>26.5</v>
      </c>
      <c r="G91" s="52">
        <v>4</v>
      </c>
      <c r="H91" s="46">
        <v>17</v>
      </c>
      <c r="I91" s="46">
        <v>19.7</v>
      </c>
      <c r="J91" s="44">
        <f>H91+I91</f>
        <v>36.700000000000003</v>
      </c>
      <c r="L91" s="52">
        <v>4</v>
      </c>
      <c r="M91" s="46">
        <v>17.5</v>
      </c>
      <c r="N91" s="46">
        <v>18.600000000000001</v>
      </c>
      <c r="O91" s="44">
        <f>M91+N91</f>
        <v>36.1</v>
      </c>
      <c r="Q91" s="52">
        <v>4</v>
      </c>
      <c r="R91" s="46">
        <v>15.7</v>
      </c>
      <c r="S91" s="46">
        <v>13.4</v>
      </c>
      <c r="T91" s="44">
        <f>R91+S91</f>
        <v>29.1</v>
      </c>
      <c r="V91" s="52">
        <v>4</v>
      </c>
      <c r="W91" s="46">
        <v>14</v>
      </c>
      <c r="X91" s="46">
        <v>15.7</v>
      </c>
      <c r="Y91" s="44">
        <f>W91+X91</f>
        <v>29.7</v>
      </c>
      <c r="AA91" s="52">
        <v>4</v>
      </c>
      <c r="AB91" s="46">
        <v>14</v>
      </c>
      <c r="AC91" s="46">
        <v>15.4</v>
      </c>
      <c r="AD91" s="44">
        <f>AB91+AC91</f>
        <v>29.4</v>
      </c>
      <c r="AF91" s="52">
        <v>4</v>
      </c>
      <c r="AG91" s="46">
        <v>17.600000000000001</v>
      </c>
      <c r="AH91" s="46">
        <v>17.100000000000001</v>
      </c>
      <c r="AI91" s="44">
        <f>AG91+AH91</f>
        <v>34.700000000000003</v>
      </c>
      <c r="AK91" s="52">
        <v>4</v>
      </c>
      <c r="AL91" s="46">
        <v>12.4</v>
      </c>
      <c r="AM91" s="46">
        <v>15.4</v>
      </c>
      <c r="AN91" s="44">
        <f>AL91+AM91</f>
        <v>27.8</v>
      </c>
      <c r="AP91" s="52">
        <v>4</v>
      </c>
      <c r="AQ91" s="46">
        <v>9.6</v>
      </c>
      <c r="AR91" s="46"/>
      <c r="AS91" s="44">
        <f>AQ91+AR91</f>
        <v>9.6</v>
      </c>
    </row>
    <row r="92" spans="1:45" ht="18.75" x14ac:dyDescent="0.25">
      <c r="B92" s="52">
        <v>5</v>
      </c>
      <c r="C92" s="46">
        <v>13.1</v>
      </c>
      <c r="D92" s="46">
        <v>13.6</v>
      </c>
      <c r="E92" s="44">
        <f>C92+D92</f>
        <v>26.7</v>
      </c>
      <c r="G92" s="52">
        <v>5</v>
      </c>
      <c r="H92" s="46">
        <v>18.100000000000001</v>
      </c>
      <c r="I92" s="46">
        <v>19.899999999999999</v>
      </c>
      <c r="J92" s="44">
        <f>H92+I92</f>
        <v>38</v>
      </c>
      <c r="L92" s="52">
        <v>5</v>
      </c>
      <c r="M92" s="46">
        <v>16.899999999999999</v>
      </c>
      <c r="N92" s="46">
        <v>19.7</v>
      </c>
      <c r="O92" s="44">
        <f>M92+N92</f>
        <v>36.599999999999994</v>
      </c>
      <c r="Q92" s="52">
        <v>5</v>
      </c>
      <c r="R92" s="46">
        <v>15.7</v>
      </c>
      <c r="S92" s="46">
        <v>17.7</v>
      </c>
      <c r="T92" s="44">
        <f>R92+S92</f>
        <v>33.4</v>
      </c>
      <c r="V92" s="52">
        <v>5</v>
      </c>
      <c r="W92" s="46">
        <v>14.1</v>
      </c>
      <c r="X92" s="46">
        <v>16.8</v>
      </c>
      <c r="Y92" s="44">
        <f>W92+X92</f>
        <v>30.9</v>
      </c>
      <c r="AA92" s="52">
        <v>5</v>
      </c>
      <c r="AB92" s="46">
        <v>14.2</v>
      </c>
      <c r="AC92" s="46">
        <v>16.899999999999999</v>
      </c>
      <c r="AD92" s="44">
        <f>AB92+AC92</f>
        <v>31.099999999999998</v>
      </c>
      <c r="AF92" s="52">
        <v>5</v>
      </c>
      <c r="AG92" s="46">
        <v>17.5</v>
      </c>
      <c r="AH92" s="46">
        <v>18.5</v>
      </c>
      <c r="AI92" s="44">
        <f>AG92+AH92</f>
        <v>36</v>
      </c>
      <c r="AK92" s="52">
        <v>5</v>
      </c>
      <c r="AL92" s="46">
        <v>15</v>
      </c>
      <c r="AM92" s="46">
        <v>11</v>
      </c>
      <c r="AN92" s="44">
        <f>AL92+AM92</f>
        <v>26</v>
      </c>
      <c r="AP92" s="52">
        <v>5</v>
      </c>
      <c r="AQ92" s="46">
        <v>10.9</v>
      </c>
      <c r="AR92" s="46"/>
      <c r="AS92" s="44">
        <f>AQ92+AR92</f>
        <v>10.9</v>
      </c>
    </row>
    <row r="93" spans="1:45" ht="18.75" x14ac:dyDescent="0.25">
      <c r="B93" s="52">
        <v>6</v>
      </c>
      <c r="C93" s="46">
        <v>12.4</v>
      </c>
      <c r="D93" s="46">
        <v>18.2</v>
      </c>
      <c r="E93" s="44">
        <f>C93+D93</f>
        <v>30.6</v>
      </c>
      <c r="G93" s="52">
        <v>6</v>
      </c>
      <c r="H93" s="46">
        <v>16.100000000000001</v>
      </c>
      <c r="I93" s="46">
        <v>21.3</v>
      </c>
      <c r="J93" s="44">
        <f>H93+I93</f>
        <v>37.400000000000006</v>
      </c>
      <c r="L93" s="52">
        <v>6</v>
      </c>
      <c r="M93" s="46">
        <v>19.600000000000001</v>
      </c>
      <c r="N93" s="46">
        <v>14.1</v>
      </c>
      <c r="O93" s="44">
        <f>M93+N93</f>
        <v>33.700000000000003</v>
      </c>
      <c r="Q93" s="52">
        <v>6</v>
      </c>
      <c r="R93" s="46">
        <v>14.6</v>
      </c>
      <c r="S93" s="46">
        <v>14.7</v>
      </c>
      <c r="T93" s="44">
        <f>R93+S93</f>
        <v>29.299999999999997</v>
      </c>
      <c r="V93" s="52">
        <v>6</v>
      </c>
      <c r="W93" s="46">
        <v>14.4</v>
      </c>
      <c r="X93" s="46">
        <v>14.8</v>
      </c>
      <c r="Y93" s="44">
        <f>W93+X93</f>
        <v>29.200000000000003</v>
      </c>
      <c r="AA93" s="52">
        <v>6</v>
      </c>
      <c r="AB93" s="46">
        <v>13.8</v>
      </c>
      <c r="AC93" s="46">
        <v>18</v>
      </c>
      <c r="AD93" s="44">
        <f>AB93+AC93</f>
        <v>31.8</v>
      </c>
      <c r="AF93" s="52">
        <v>6</v>
      </c>
      <c r="AG93" s="46">
        <v>15.2</v>
      </c>
      <c r="AH93" s="46">
        <v>18.100000000000001</v>
      </c>
      <c r="AI93" s="44">
        <f>AG93+AH93</f>
        <v>33.299999999999997</v>
      </c>
      <c r="AK93" s="52">
        <v>6</v>
      </c>
      <c r="AL93" s="46">
        <v>11</v>
      </c>
      <c r="AM93" s="46">
        <v>15</v>
      </c>
      <c r="AN93" s="44">
        <f>AL93+AM93</f>
        <v>26</v>
      </c>
      <c r="AP93" s="52">
        <v>6</v>
      </c>
      <c r="AQ93" s="46">
        <v>10.199999999999999</v>
      </c>
      <c r="AR93" s="46"/>
      <c r="AS93" s="44">
        <f>AQ93+AR93</f>
        <v>10.199999999999999</v>
      </c>
    </row>
    <row r="94" spans="1:45" ht="18.75" x14ac:dyDescent="0.25">
      <c r="B94" s="52">
        <v>7</v>
      </c>
      <c r="C94" s="46">
        <v>15.8</v>
      </c>
      <c r="D94" s="46">
        <v>14.4</v>
      </c>
      <c r="E94" s="44">
        <f>C94+D94</f>
        <v>30.200000000000003</v>
      </c>
      <c r="G94" s="52">
        <v>7</v>
      </c>
      <c r="H94" s="46">
        <v>17.899999999999999</v>
      </c>
      <c r="I94" s="46">
        <v>21.6</v>
      </c>
      <c r="J94" s="44">
        <f>H94+I94</f>
        <v>39.5</v>
      </c>
      <c r="L94" s="52">
        <v>7</v>
      </c>
      <c r="M94" s="46">
        <v>16.600000000000001</v>
      </c>
      <c r="N94" s="46">
        <v>22.4</v>
      </c>
      <c r="O94" s="44">
        <f>M94+N94</f>
        <v>39</v>
      </c>
      <c r="Q94" s="52">
        <v>7</v>
      </c>
      <c r="R94" s="46">
        <v>14.1</v>
      </c>
      <c r="S94" s="46">
        <v>17.7</v>
      </c>
      <c r="T94" s="44">
        <f>R94+S94</f>
        <v>31.799999999999997</v>
      </c>
      <c r="V94" s="52">
        <v>7</v>
      </c>
      <c r="W94" s="46">
        <v>11.4</v>
      </c>
      <c r="X94" s="46">
        <v>14.9</v>
      </c>
      <c r="Y94" s="44">
        <f>W94+X94</f>
        <v>26.3</v>
      </c>
      <c r="AA94" s="52">
        <v>7</v>
      </c>
      <c r="AB94" s="46">
        <v>15.1</v>
      </c>
      <c r="AC94" s="46">
        <v>15.8</v>
      </c>
      <c r="AD94" s="44">
        <f>AB94+AC94</f>
        <v>30.9</v>
      </c>
      <c r="AF94" s="52">
        <v>7</v>
      </c>
      <c r="AG94" s="46">
        <v>15.8</v>
      </c>
      <c r="AH94" s="46">
        <v>16.600000000000001</v>
      </c>
      <c r="AI94" s="44">
        <f>AG94+AH94</f>
        <v>32.400000000000006</v>
      </c>
      <c r="AK94" s="52">
        <v>7</v>
      </c>
      <c r="AL94" s="46">
        <v>11.6</v>
      </c>
      <c r="AM94" s="46">
        <v>11.7</v>
      </c>
      <c r="AN94" s="44">
        <f>AL94+AM94</f>
        <v>23.299999999999997</v>
      </c>
      <c r="AP94" s="52">
        <v>7</v>
      </c>
      <c r="AQ94" s="46">
        <v>11.9</v>
      </c>
      <c r="AR94" s="46"/>
      <c r="AS94" s="44">
        <f>AQ94+AR94</f>
        <v>11.9</v>
      </c>
    </row>
    <row r="95" spans="1:45" ht="18.75" x14ac:dyDescent="0.25">
      <c r="B95" s="52">
        <v>8</v>
      </c>
      <c r="C95" s="46">
        <v>15.1</v>
      </c>
      <c r="D95" s="46">
        <v>16.399999999999999</v>
      </c>
      <c r="E95" s="44">
        <f>C95+D95</f>
        <v>31.5</v>
      </c>
      <c r="G95" s="52">
        <v>8</v>
      </c>
      <c r="H95" s="46">
        <v>20.3</v>
      </c>
      <c r="I95" s="46">
        <v>22</v>
      </c>
      <c r="J95" s="44">
        <f>H95+I95</f>
        <v>42.3</v>
      </c>
      <c r="L95" s="52">
        <v>8</v>
      </c>
      <c r="M95" s="46">
        <v>16.100000000000001</v>
      </c>
      <c r="N95" s="46">
        <v>20.100000000000001</v>
      </c>
      <c r="O95" s="44">
        <f>M95+N95</f>
        <v>36.200000000000003</v>
      </c>
      <c r="Q95" s="52">
        <v>8</v>
      </c>
      <c r="R95" s="46">
        <v>15.7</v>
      </c>
      <c r="S95" s="46">
        <v>19</v>
      </c>
      <c r="T95" s="44">
        <f>R95+S95</f>
        <v>34.700000000000003</v>
      </c>
      <c r="V95" s="52">
        <v>8</v>
      </c>
      <c r="W95" s="46">
        <v>13.9</v>
      </c>
      <c r="X95" s="46">
        <v>18.399999999999999</v>
      </c>
      <c r="Y95" s="44">
        <f>W95+X95</f>
        <v>32.299999999999997</v>
      </c>
      <c r="AA95" s="52">
        <v>8</v>
      </c>
      <c r="AB95" s="46">
        <v>13.4</v>
      </c>
      <c r="AC95" s="46">
        <v>19.8</v>
      </c>
      <c r="AD95" s="44">
        <f>AB95+AC95</f>
        <v>33.200000000000003</v>
      </c>
      <c r="AF95" s="52">
        <v>8</v>
      </c>
      <c r="AG95" s="46">
        <v>14.5</v>
      </c>
      <c r="AH95" s="46">
        <v>21.5</v>
      </c>
      <c r="AI95" s="44">
        <f>AG95+AH95</f>
        <v>36</v>
      </c>
      <c r="AK95" s="52">
        <v>8</v>
      </c>
      <c r="AL95" s="46">
        <v>10.5</v>
      </c>
      <c r="AM95" s="46">
        <v>11.5</v>
      </c>
      <c r="AN95" s="44">
        <f>AL95+AM95</f>
        <v>22</v>
      </c>
      <c r="AP95" s="52">
        <v>8</v>
      </c>
      <c r="AQ95" s="46">
        <v>11.2</v>
      </c>
      <c r="AR95" s="46"/>
      <c r="AS95" s="44">
        <f>AQ95+AR95</f>
        <v>11.2</v>
      </c>
    </row>
    <row r="96" spans="1:45" ht="18.75" x14ac:dyDescent="0.25">
      <c r="B96" s="52">
        <v>9</v>
      </c>
      <c r="C96" s="46">
        <v>17</v>
      </c>
      <c r="D96" s="46">
        <v>15.8</v>
      </c>
      <c r="E96" s="44">
        <f>C96+D96</f>
        <v>32.799999999999997</v>
      </c>
      <c r="G96" s="52">
        <v>9</v>
      </c>
      <c r="H96" s="46">
        <v>20.6</v>
      </c>
      <c r="I96" s="46">
        <v>17.600000000000001</v>
      </c>
      <c r="J96" s="44">
        <f>H96+I96</f>
        <v>38.200000000000003</v>
      </c>
      <c r="L96" s="52">
        <v>9</v>
      </c>
      <c r="M96" s="46">
        <v>16.5</v>
      </c>
      <c r="N96" s="46">
        <v>15.4</v>
      </c>
      <c r="O96" s="44">
        <f>M96+N96</f>
        <v>31.9</v>
      </c>
      <c r="Q96" s="52">
        <v>9</v>
      </c>
      <c r="R96" s="46">
        <v>15.6</v>
      </c>
      <c r="S96" s="46">
        <v>15.2</v>
      </c>
      <c r="T96" s="44">
        <f>R96+S96</f>
        <v>30.799999999999997</v>
      </c>
      <c r="V96" s="52">
        <v>9</v>
      </c>
      <c r="W96" s="46">
        <v>13.5</v>
      </c>
      <c r="X96" s="46">
        <v>15.8</v>
      </c>
      <c r="Y96" s="44">
        <f>W96+X96</f>
        <v>29.3</v>
      </c>
      <c r="AA96" s="52">
        <v>9</v>
      </c>
      <c r="AB96" s="46">
        <v>15.3</v>
      </c>
      <c r="AC96" s="46">
        <v>15.3</v>
      </c>
      <c r="AD96" s="44">
        <f>AB96+AC96</f>
        <v>30.6</v>
      </c>
      <c r="AF96" s="52">
        <v>9</v>
      </c>
      <c r="AG96" s="46">
        <v>18.3</v>
      </c>
      <c r="AH96" s="46">
        <v>15.7</v>
      </c>
      <c r="AI96" s="44">
        <f>AG96+AH96</f>
        <v>34</v>
      </c>
      <c r="AK96" s="52">
        <v>9</v>
      </c>
      <c r="AL96" s="46">
        <v>15.9</v>
      </c>
      <c r="AM96" s="46">
        <v>10.199999999999999</v>
      </c>
      <c r="AN96" s="44">
        <f>AL96+AM96</f>
        <v>26.1</v>
      </c>
      <c r="AP96" s="52">
        <v>9</v>
      </c>
      <c r="AQ96" s="46">
        <v>14.3</v>
      </c>
      <c r="AR96" s="46"/>
      <c r="AS96" s="44">
        <f>AQ96+AR96</f>
        <v>14.3</v>
      </c>
    </row>
    <row r="97" spans="2:45" ht="18.75" x14ac:dyDescent="0.25">
      <c r="B97" s="47">
        <v>10</v>
      </c>
      <c r="C97" s="46">
        <v>16.7</v>
      </c>
      <c r="D97" s="46">
        <v>19.2</v>
      </c>
      <c r="E97" s="44">
        <f>C97+D97</f>
        <v>35.9</v>
      </c>
      <c r="G97" s="47">
        <v>10</v>
      </c>
      <c r="H97" s="46">
        <v>17.8</v>
      </c>
      <c r="I97" s="46">
        <v>23.5</v>
      </c>
      <c r="J97" s="44">
        <f>H97+I97</f>
        <v>41.3</v>
      </c>
      <c r="L97" s="47">
        <v>10</v>
      </c>
      <c r="M97" s="46">
        <v>14.3</v>
      </c>
      <c r="N97" s="46">
        <v>12.8</v>
      </c>
      <c r="O97" s="44">
        <f>M97+N97</f>
        <v>27.1</v>
      </c>
      <c r="Q97" s="47">
        <v>10</v>
      </c>
      <c r="R97" s="46">
        <v>16.5</v>
      </c>
      <c r="S97" s="46">
        <v>8.6999999999999993</v>
      </c>
      <c r="T97" s="44">
        <f>R97+S97</f>
        <v>25.2</v>
      </c>
      <c r="V97" s="47">
        <v>10</v>
      </c>
      <c r="W97" s="46">
        <v>13</v>
      </c>
      <c r="X97" s="46">
        <v>12.2</v>
      </c>
      <c r="Y97" s="44">
        <f>W97+X97</f>
        <v>25.2</v>
      </c>
      <c r="AA97" s="47">
        <v>10</v>
      </c>
      <c r="AB97" s="46">
        <v>14</v>
      </c>
      <c r="AC97" s="46">
        <v>16</v>
      </c>
      <c r="AD97" s="44">
        <f>AB97+AC97</f>
        <v>30</v>
      </c>
      <c r="AF97" s="47">
        <v>10</v>
      </c>
      <c r="AG97" s="46">
        <v>12.5</v>
      </c>
      <c r="AH97" s="46">
        <v>14</v>
      </c>
      <c r="AI97" s="44">
        <f>AG97+AH97</f>
        <v>26.5</v>
      </c>
      <c r="AK97" s="47">
        <v>10</v>
      </c>
      <c r="AL97" s="46">
        <v>11.5</v>
      </c>
      <c r="AM97" s="46">
        <v>12.8</v>
      </c>
      <c r="AN97" s="44">
        <f>AL97+AM97</f>
        <v>24.3</v>
      </c>
      <c r="AP97" s="47">
        <v>10</v>
      </c>
      <c r="AQ97" s="46">
        <v>13.3</v>
      </c>
      <c r="AR97" s="46"/>
      <c r="AS97" s="44">
        <f>AQ97+AR97</f>
        <v>13.3</v>
      </c>
    </row>
    <row r="98" spans="2:45" ht="18.75" x14ac:dyDescent="0.25">
      <c r="B98" s="47">
        <v>11</v>
      </c>
      <c r="C98" s="46">
        <v>17.600000000000001</v>
      </c>
      <c r="D98" s="46">
        <v>18.2</v>
      </c>
      <c r="E98" s="44">
        <f>C98+D98</f>
        <v>35.799999999999997</v>
      </c>
      <c r="G98" s="47">
        <v>11</v>
      </c>
      <c r="H98" s="46">
        <v>16.8</v>
      </c>
      <c r="I98" s="46">
        <v>23.9</v>
      </c>
      <c r="J98" s="44">
        <f>H98+I98</f>
        <v>40.700000000000003</v>
      </c>
      <c r="L98" s="47">
        <v>11</v>
      </c>
      <c r="M98" s="46">
        <v>14.1</v>
      </c>
      <c r="N98" s="46">
        <v>20.8</v>
      </c>
      <c r="O98" s="44">
        <f>M98+N98</f>
        <v>34.9</v>
      </c>
      <c r="Q98" s="47">
        <v>11</v>
      </c>
      <c r="R98" s="46">
        <v>12.3</v>
      </c>
      <c r="S98" s="46">
        <v>18.399999999999999</v>
      </c>
      <c r="T98" s="44">
        <f>R98+S98</f>
        <v>30.7</v>
      </c>
      <c r="V98" s="47">
        <v>11</v>
      </c>
      <c r="W98" s="46">
        <v>13.4</v>
      </c>
      <c r="X98" s="46">
        <v>18.8</v>
      </c>
      <c r="Y98" s="44">
        <f>W98+X98</f>
        <v>32.200000000000003</v>
      </c>
      <c r="AA98" s="47">
        <v>11</v>
      </c>
      <c r="AB98" s="46">
        <v>11.4</v>
      </c>
      <c r="AC98" s="46">
        <v>18.5</v>
      </c>
      <c r="AD98" s="44">
        <f>AB98+AC98</f>
        <v>29.9</v>
      </c>
      <c r="AF98" s="47">
        <v>11</v>
      </c>
      <c r="AG98" s="46">
        <v>13.9</v>
      </c>
      <c r="AH98" s="46">
        <v>15.7</v>
      </c>
      <c r="AI98" s="44">
        <f>AG98+AH98</f>
        <v>29.6</v>
      </c>
      <c r="AK98" s="47">
        <v>11</v>
      </c>
      <c r="AL98" s="46">
        <v>12.4</v>
      </c>
      <c r="AM98" s="46">
        <v>16.3</v>
      </c>
      <c r="AN98" s="44">
        <f>AL98+AM98</f>
        <v>28.700000000000003</v>
      </c>
      <c r="AP98" s="47">
        <v>11</v>
      </c>
      <c r="AQ98" s="46">
        <v>13.5</v>
      </c>
      <c r="AR98" s="46"/>
      <c r="AS98" s="44">
        <f>AQ98+AR98</f>
        <v>13.5</v>
      </c>
    </row>
    <row r="99" spans="2:45" ht="18.75" x14ac:dyDescent="0.25">
      <c r="B99" s="47">
        <v>12</v>
      </c>
      <c r="C99" s="46">
        <v>15.1</v>
      </c>
      <c r="D99" s="46">
        <v>16.5</v>
      </c>
      <c r="E99" s="44">
        <f>C99+D99</f>
        <v>31.6</v>
      </c>
      <c r="G99" s="47">
        <v>12</v>
      </c>
      <c r="H99" s="46">
        <v>20.2</v>
      </c>
      <c r="I99" s="46">
        <v>18.2</v>
      </c>
      <c r="J99" s="44">
        <f>H99+I99</f>
        <v>38.4</v>
      </c>
      <c r="L99" s="47">
        <v>12</v>
      </c>
      <c r="M99" s="46">
        <v>18.7</v>
      </c>
      <c r="N99" s="46">
        <v>20.100000000000001</v>
      </c>
      <c r="O99" s="44">
        <f>M99+N99</f>
        <v>38.799999999999997</v>
      </c>
      <c r="Q99" s="47">
        <v>12</v>
      </c>
      <c r="R99" s="46">
        <v>15.6</v>
      </c>
      <c r="S99" s="46">
        <v>18.8</v>
      </c>
      <c r="T99" s="44">
        <f>R99+S99</f>
        <v>34.4</v>
      </c>
      <c r="V99" s="47">
        <v>12</v>
      </c>
      <c r="W99" s="46">
        <v>14.5</v>
      </c>
      <c r="X99" s="46">
        <v>17.899999999999999</v>
      </c>
      <c r="Y99" s="44">
        <f>W99+X99</f>
        <v>32.4</v>
      </c>
      <c r="AA99" s="47">
        <v>12</v>
      </c>
      <c r="AB99" s="46">
        <v>15.5</v>
      </c>
      <c r="AC99" s="46">
        <v>17.899999999999999</v>
      </c>
      <c r="AD99" s="44">
        <f>AB99+AC99</f>
        <v>33.4</v>
      </c>
      <c r="AF99" s="47">
        <v>12</v>
      </c>
      <c r="AG99" s="46">
        <v>16.2</v>
      </c>
      <c r="AH99" s="46">
        <v>17.2</v>
      </c>
      <c r="AI99" s="44">
        <f>AG99+AH99</f>
        <v>33.4</v>
      </c>
      <c r="AK99" s="47">
        <v>12</v>
      </c>
      <c r="AL99" s="46">
        <v>13.3</v>
      </c>
      <c r="AM99" s="46">
        <v>14.9</v>
      </c>
      <c r="AN99" s="44">
        <f>AL99+AM99</f>
        <v>28.200000000000003</v>
      </c>
      <c r="AP99" s="47">
        <v>12</v>
      </c>
      <c r="AQ99" s="46">
        <v>14.5</v>
      </c>
      <c r="AR99" s="46"/>
      <c r="AS99" s="44">
        <f>AQ99+AR99</f>
        <v>14.5</v>
      </c>
    </row>
    <row r="100" spans="2:45" ht="18.75" x14ac:dyDescent="0.25">
      <c r="B100" s="47">
        <v>13</v>
      </c>
      <c r="C100" s="46">
        <v>15.3</v>
      </c>
      <c r="D100" s="46">
        <v>19.3</v>
      </c>
      <c r="E100" s="44">
        <f>C100+D100</f>
        <v>34.6</v>
      </c>
      <c r="G100" s="47">
        <v>13</v>
      </c>
      <c r="H100" s="46">
        <v>18.3</v>
      </c>
      <c r="I100" s="46">
        <v>25.3</v>
      </c>
      <c r="J100" s="44">
        <f>H100+I100</f>
        <v>43.6</v>
      </c>
      <c r="L100" s="47">
        <v>13</v>
      </c>
      <c r="M100" s="46">
        <v>19.100000000000001</v>
      </c>
      <c r="N100" s="46">
        <v>23.5</v>
      </c>
      <c r="O100" s="44">
        <f>M100+N100</f>
        <v>42.6</v>
      </c>
      <c r="Q100" s="47">
        <v>13</v>
      </c>
      <c r="R100" s="46">
        <v>17.600000000000001</v>
      </c>
      <c r="S100" s="46">
        <v>19.100000000000001</v>
      </c>
      <c r="T100" s="44">
        <f>R100+S100</f>
        <v>36.700000000000003</v>
      </c>
      <c r="V100" s="47">
        <v>13</v>
      </c>
      <c r="W100" s="46">
        <v>19.7</v>
      </c>
      <c r="X100" s="46">
        <v>18.399999999999999</v>
      </c>
      <c r="Y100" s="44">
        <f>W100+X100</f>
        <v>38.099999999999994</v>
      </c>
      <c r="AA100" s="47">
        <v>13</v>
      </c>
      <c r="AB100" s="46">
        <v>15</v>
      </c>
      <c r="AC100" s="46">
        <v>20.8</v>
      </c>
      <c r="AD100" s="44">
        <f>AB100+AC100</f>
        <v>35.799999999999997</v>
      </c>
      <c r="AF100" s="47">
        <v>13</v>
      </c>
      <c r="AG100" s="46">
        <v>18.600000000000001</v>
      </c>
      <c r="AH100" s="46">
        <v>19.8</v>
      </c>
      <c r="AI100" s="44">
        <f>AG100+AH100</f>
        <v>38.400000000000006</v>
      </c>
      <c r="AK100" s="47">
        <v>13</v>
      </c>
      <c r="AL100" s="46">
        <v>13.1</v>
      </c>
      <c r="AM100" s="46">
        <v>13.9</v>
      </c>
      <c r="AN100" s="44">
        <f>AL100+AM100</f>
        <v>27</v>
      </c>
      <c r="AP100" s="47">
        <v>13</v>
      </c>
      <c r="AQ100" s="46">
        <v>13.9</v>
      </c>
      <c r="AR100" s="46"/>
      <c r="AS100" s="44">
        <f>AQ100+AR100</f>
        <v>13.9</v>
      </c>
    </row>
    <row r="101" spans="2:45" ht="18.75" x14ac:dyDescent="0.25">
      <c r="B101" s="47">
        <v>14</v>
      </c>
      <c r="C101" s="46">
        <v>15.8</v>
      </c>
      <c r="D101" s="46">
        <v>18.3</v>
      </c>
      <c r="E101" s="44">
        <f>C101+D101</f>
        <v>34.1</v>
      </c>
      <c r="G101" s="47">
        <v>14</v>
      </c>
      <c r="H101" s="46">
        <v>20.7</v>
      </c>
      <c r="I101" s="46">
        <v>19.3</v>
      </c>
      <c r="J101" s="44">
        <f>H101+I101</f>
        <v>40</v>
      </c>
      <c r="L101" s="47">
        <v>14</v>
      </c>
      <c r="M101" s="46">
        <v>19.899999999999999</v>
      </c>
      <c r="N101" s="46">
        <v>23.5</v>
      </c>
      <c r="O101" s="44">
        <f>M101+N101</f>
        <v>43.4</v>
      </c>
      <c r="Q101" s="47">
        <v>14</v>
      </c>
      <c r="R101" s="46">
        <v>17.3</v>
      </c>
      <c r="S101" s="46">
        <v>18.3</v>
      </c>
      <c r="T101" s="44">
        <f>R101+S101</f>
        <v>35.6</v>
      </c>
      <c r="V101" s="47">
        <v>14</v>
      </c>
      <c r="W101" s="46">
        <v>16.899999999999999</v>
      </c>
      <c r="X101" s="46">
        <v>18.3</v>
      </c>
      <c r="Y101" s="44">
        <f>W101+X101</f>
        <v>35.200000000000003</v>
      </c>
      <c r="AA101" s="47">
        <v>14</v>
      </c>
      <c r="AB101" s="46">
        <v>14.3</v>
      </c>
      <c r="AC101" s="46">
        <v>18.3</v>
      </c>
      <c r="AD101" s="44">
        <f>AB101+AC101</f>
        <v>32.6</v>
      </c>
      <c r="AF101" s="47">
        <v>14</v>
      </c>
      <c r="AG101" s="46">
        <v>17</v>
      </c>
      <c r="AH101" s="46">
        <v>19.7</v>
      </c>
      <c r="AI101" s="44">
        <f>AG101+AH101</f>
        <v>36.700000000000003</v>
      </c>
      <c r="AK101" s="47">
        <v>14</v>
      </c>
      <c r="AL101" s="46">
        <v>14.2</v>
      </c>
      <c r="AM101" s="46">
        <v>12.9</v>
      </c>
      <c r="AN101" s="44">
        <f>AL101+AM101</f>
        <v>27.1</v>
      </c>
      <c r="AP101" s="47">
        <v>14</v>
      </c>
      <c r="AQ101" s="46">
        <v>10.6</v>
      </c>
      <c r="AR101" s="46"/>
      <c r="AS101" s="44">
        <f>AQ101+AR101</f>
        <v>10.6</v>
      </c>
    </row>
    <row r="102" spans="2:45" ht="18.75" x14ac:dyDescent="0.25">
      <c r="B102" s="47">
        <v>15</v>
      </c>
      <c r="C102" s="46">
        <v>16.399999999999999</v>
      </c>
      <c r="D102" s="46">
        <v>18.3</v>
      </c>
      <c r="E102" s="44">
        <f>C102+D102</f>
        <v>34.700000000000003</v>
      </c>
      <c r="G102" s="47">
        <v>15</v>
      </c>
      <c r="H102" s="46">
        <v>19.5</v>
      </c>
      <c r="I102" s="46">
        <v>20.2</v>
      </c>
      <c r="J102" s="44">
        <f>H102+I102</f>
        <v>39.700000000000003</v>
      </c>
      <c r="L102" s="47">
        <v>15</v>
      </c>
      <c r="M102" s="46">
        <v>18.3</v>
      </c>
      <c r="N102" s="46">
        <v>19.7</v>
      </c>
      <c r="O102" s="44">
        <f>M102+N102</f>
        <v>38</v>
      </c>
      <c r="Q102" s="47">
        <v>15</v>
      </c>
      <c r="R102" s="46">
        <v>16.5</v>
      </c>
      <c r="S102" s="46">
        <v>16.600000000000001</v>
      </c>
      <c r="T102" s="44">
        <f>R102+S102</f>
        <v>33.1</v>
      </c>
      <c r="V102" s="47">
        <v>15</v>
      </c>
      <c r="W102" s="46">
        <v>15.5</v>
      </c>
      <c r="X102" s="46">
        <v>21</v>
      </c>
      <c r="Y102" s="44">
        <f>W102+X102</f>
        <v>36.5</v>
      </c>
      <c r="AA102" s="47">
        <v>15</v>
      </c>
      <c r="AB102" s="46">
        <v>17.8</v>
      </c>
      <c r="AC102" s="46">
        <v>16.8</v>
      </c>
      <c r="AD102" s="44">
        <f>AB102+AC102</f>
        <v>34.6</v>
      </c>
      <c r="AF102" s="47">
        <v>15</v>
      </c>
      <c r="AG102" s="46">
        <v>16.7</v>
      </c>
      <c r="AH102" s="46">
        <v>19.5</v>
      </c>
      <c r="AI102" s="44">
        <f>AG102+AH102</f>
        <v>36.200000000000003</v>
      </c>
      <c r="AK102" s="47">
        <v>15</v>
      </c>
      <c r="AL102" s="46">
        <v>13.4</v>
      </c>
      <c r="AM102" s="46">
        <v>15.5</v>
      </c>
      <c r="AN102" s="44">
        <f>AL102+AM102</f>
        <v>28.9</v>
      </c>
      <c r="AP102" s="47">
        <v>15</v>
      </c>
      <c r="AQ102" s="46">
        <v>12</v>
      </c>
      <c r="AR102" s="46"/>
      <c r="AS102" s="44">
        <f>AQ102+AR102</f>
        <v>12</v>
      </c>
    </row>
    <row r="103" spans="2:45" ht="18.75" x14ac:dyDescent="0.25">
      <c r="B103" s="47">
        <v>16</v>
      </c>
      <c r="C103" s="46">
        <v>15.2</v>
      </c>
      <c r="D103" s="46">
        <v>16.100000000000001</v>
      </c>
      <c r="E103" s="44">
        <f>C103+D103</f>
        <v>31.3</v>
      </c>
      <c r="G103" s="47">
        <v>16</v>
      </c>
      <c r="H103" s="46">
        <v>17.899999999999999</v>
      </c>
      <c r="I103" s="46">
        <v>21.8</v>
      </c>
      <c r="J103" s="44">
        <f>H103+I103</f>
        <v>39.700000000000003</v>
      </c>
      <c r="L103" s="47">
        <v>16</v>
      </c>
      <c r="M103" s="46">
        <v>18.600000000000001</v>
      </c>
      <c r="N103" s="46">
        <v>21.9</v>
      </c>
      <c r="O103" s="44">
        <f>M103+N103</f>
        <v>40.5</v>
      </c>
      <c r="Q103" s="47">
        <v>16</v>
      </c>
      <c r="R103" s="46">
        <v>16.7</v>
      </c>
      <c r="S103" s="46">
        <v>19.2</v>
      </c>
      <c r="T103" s="44">
        <f>R103+S103</f>
        <v>35.9</v>
      </c>
      <c r="V103" s="51">
        <v>16</v>
      </c>
      <c r="W103" s="50">
        <v>20.3</v>
      </c>
      <c r="X103" s="50">
        <v>31</v>
      </c>
      <c r="Y103" s="49">
        <f>W103+X103</f>
        <v>51.3</v>
      </c>
      <c r="AA103" s="47">
        <v>16</v>
      </c>
      <c r="AB103" s="46">
        <v>15.6</v>
      </c>
      <c r="AC103" s="46">
        <v>18.2</v>
      </c>
      <c r="AD103" s="44">
        <f>AB103+AC103</f>
        <v>33.799999999999997</v>
      </c>
      <c r="AF103" s="47">
        <v>16</v>
      </c>
      <c r="AG103" s="46">
        <v>17.5</v>
      </c>
      <c r="AH103" s="46">
        <v>18.399999999999999</v>
      </c>
      <c r="AI103" s="44">
        <f>AG103+AH103</f>
        <v>35.9</v>
      </c>
      <c r="AK103" s="47">
        <v>16</v>
      </c>
      <c r="AL103" s="46">
        <v>12.4</v>
      </c>
      <c r="AM103" s="46">
        <v>16.399999999999999</v>
      </c>
      <c r="AN103" s="44">
        <f>AL103+AM103</f>
        <v>28.799999999999997</v>
      </c>
      <c r="AP103" s="47">
        <v>16</v>
      </c>
      <c r="AQ103" s="46">
        <v>14.3</v>
      </c>
      <c r="AR103" s="46"/>
      <c r="AS103" s="44">
        <f>AQ103+AR103</f>
        <v>14.3</v>
      </c>
    </row>
    <row r="104" spans="2:45" ht="18.75" x14ac:dyDescent="0.25">
      <c r="B104" s="47">
        <v>17</v>
      </c>
      <c r="C104" s="46">
        <v>15.1</v>
      </c>
      <c r="D104" s="46">
        <v>17.5</v>
      </c>
      <c r="E104" s="44">
        <f>C104+D104</f>
        <v>32.6</v>
      </c>
      <c r="G104" s="47">
        <v>17</v>
      </c>
      <c r="H104" s="46">
        <v>18.8</v>
      </c>
      <c r="I104" s="46">
        <v>19.899999999999999</v>
      </c>
      <c r="J104" s="44">
        <f>H104+I104</f>
        <v>38.700000000000003</v>
      </c>
      <c r="L104" s="47">
        <v>17</v>
      </c>
      <c r="M104" s="46">
        <v>18.899999999999999</v>
      </c>
      <c r="N104" s="46">
        <v>20.9</v>
      </c>
      <c r="O104" s="44">
        <f>M104+N104</f>
        <v>39.799999999999997</v>
      </c>
      <c r="Q104" s="47">
        <v>17</v>
      </c>
      <c r="R104" s="46">
        <v>15.2</v>
      </c>
      <c r="S104" s="46">
        <v>21.7</v>
      </c>
      <c r="T104" s="44">
        <f>R104+S104</f>
        <v>36.9</v>
      </c>
      <c r="V104" s="51">
        <v>17</v>
      </c>
      <c r="W104" s="50">
        <v>14.4</v>
      </c>
      <c r="X104" s="50">
        <v>8.9</v>
      </c>
      <c r="Y104" s="49">
        <f>W104+X104</f>
        <v>23.3</v>
      </c>
      <c r="AA104" s="47">
        <v>17</v>
      </c>
      <c r="AB104" s="46">
        <v>15.4</v>
      </c>
      <c r="AC104" s="46">
        <v>17.2</v>
      </c>
      <c r="AD104" s="44">
        <f>AB104+AC104</f>
        <v>32.6</v>
      </c>
      <c r="AF104" s="47">
        <v>17</v>
      </c>
      <c r="AG104" s="46">
        <v>16.600000000000001</v>
      </c>
      <c r="AH104" s="46">
        <v>19.8</v>
      </c>
      <c r="AI104" s="44">
        <f>AG104+AH104</f>
        <v>36.400000000000006</v>
      </c>
      <c r="AK104" s="47">
        <v>17</v>
      </c>
      <c r="AL104" s="46">
        <v>14.5</v>
      </c>
      <c r="AM104" s="46">
        <v>17.100000000000001</v>
      </c>
      <c r="AN104" s="44">
        <f>AL104+AM104</f>
        <v>31.6</v>
      </c>
      <c r="AP104" s="47">
        <v>17</v>
      </c>
      <c r="AQ104" s="46">
        <v>10.3</v>
      </c>
      <c r="AR104" s="46"/>
      <c r="AS104" s="44">
        <f>AQ104+AR104</f>
        <v>10.3</v>
      </c>
    </row>
    <row r="105" spans="2:45" ht="18.75" x14ac:dyDescent="0.25">
      <c r="B105" s="47">
        <v>18</v>
      </c>
      <c r="C105" s="46">
        <v>15.4</v>
      </c>
      <c r="D105" s="46">
        <v>18.2</v>
      </c>
      <c r="E105" s="44">
        <f>C105+D105</f>
        <v>33.6</v>
      </c>
      <c r="G105" s="47">
        <v>18</v>
      </c>
      <c r="H105" s="46">
        <v>19.899999999999999</v>
      </c>
      <c r="I105" s="46">
        <v>21.4</v>
      </c>
      <c r="J105" s="44">
        <f>H105+I105</f>
        <v>41.3</v>
      </c>
      <c r="L105" s="47">
        <v>18</v>
      </c>
      <c r="M105" s="46">
        <v>16.899999999999999</v>
      </c>
      <c r="N105" s="46">
        <v>18.8</v>
      </c>
      <c r="O105" s="44">
        <f>M105+N105</f>
        <v>35.700000000000003</v>
      </c>
      <c r="Q105" s="47">
        <v>18</v>
      </c>
      <c r="R105" s="46">
        <v>16.3</v>
      </c>
      <c r="S105" s="46">
        <v>15.8</v>
      </c>
      <c r="T105" s="44">
        <f>R105+S105</f>
        <v>32.1</v>
      </c>
      <c r="V105" s="47">
        <v>18</v>
      </c>
      <c r="W105" s="46">
        <v>16.7</v>
      </c>
      <c r="X105" s="46">
        <v>19.899999999999999</v>
      </c>
      <c r="Y105" s="44">
        <f>W105+X105</f>
        <v>36.599999999999994</v>
      </c>
      <c r="AA105" s="47">
        <v>18</v>
      </c>
      <c r="AB105" s="46">
        <v>17.899999999999999</v>
      </c>
      <c r="AC105" s="46">
        <v>17.100000000000001</v>
      </c>
      <c r="AD105" s="44">
        <f>AB105+AC105</f>
        <v>35</v>
      </c>
      <c r="AF105" s="47">
        <v>18</v>
      </c>
      <c r="AG105" s="46">
        <v>20.2</v>
      </c>
      <c r="AH105" s="46">
        <v>18.5</v>
      </c>
      <c r="AI105" s="44">
        <f>AG105+AH105</f>
        <v>38.700000000000003</v>
      </c>
      <c r="AK105" s="47">
        <v>18</v>
      </c>
      <c r="AL105" s="46">
        <v>17.3</v>
      </c>
      <c r="AM105" s="46">
        <v>15.8</v>
      </c>
      <c r="AN105" s="44">
        <f>AL105+AM105</f>
        <v>33.1</v>
      </c>
      <c r="AP105" s="47">
        <v>18</v>
      </c>
      <c r="AQ105" s="46">
        <v>16.600000000000001</v>
      </c>
      <c r="AR105" s="46"/>
      <c r="AS105" s="44">
        <f>AQ105+AR105</f>
        <v>16.600000000000001</v>
      </c>
    </row>
    <row r="106" spans="2:45" ht="18.75" x14ac:dyDescent="0.25">
      <c r="B106" s="47">
        <v>19</v>
      </c>
      <c r="C106" s="46">
        <v>15.1</v>
      </c>
      <c r="D106" s="46">
        <v>12.5</v>
      </c>
      <c r="E106" s="44">
        <f>C106+D106</f>
        <v>27.6</v>
      </c>
      <c r="G106" s="47">
        <v>19</v>
      </c>
      <c r="H106" s="46">
        <v>17.5</v>
      </c>
      <c r="I106" s="46">
        <v>21.6</v>
      </c>
      <c r="J106" s="44">
        <f>H106+I106</f>
        <v>39.1</v>
      </c>
      <c r="L106" s="47">
        <v>19</v>
      </c>
      <c r="M106" s="46">
        <v>19.5</v>
      </c>
      <c r="N106" s="46">
        <v>19.2</v>
      </c>
      <c r="O106" s="44">
        <f>M106+N106</f>
        <v>38.700000000000003</v>
      </c>
      <c r="Q106" s="47">
        <v>19</v>
      </c>
      <c r="R106" s="46">
        <v>15.9</v>
      </c>
      <c r="S106" s="46">
        <v>18.100000000000001</v>
      </c>
      <c r="T106" s="44">
        <f>R106+S106</f>
        <v>34</v>
      </c>
      <c r="V106" s="47">
        <v>19</v>
      </c>
      <c r="W106" s="46">
        <v>13.9</v>
      </c>
      <c r="X106" s="46">
        <v>19.8</v>
      </c>
      <c r="Y106" s="44">
        <f>W106+X106</f>
        <v>33.700000000000003</v>
      </c>
      <c r="AA106" s="47">
        <v>19</v>
      </c>
      <c r="AB106" s="46">
        <v>15.3</v>
      </c>
      <c r="AC106" s="46">
        <v>18.2</v>
      </c>
      <c r="AD106" s="44">
        <f>AB106+AC106</f>
        <v>33.5</v>
      </c>
      <c r="AF106" s="47">
        <v>19</v>
      </c>
      <c r="AG106" s="46">
        <v>19</v>
      </c>
      <c r="AH106" s="46">
        <v>24.4</v>
      </c>
      <c r="AI106" s="44">
        <f>AG106+AH106</f>
        <v>43.4</v>
      </c>
      <c r="AK106" s="47">
        <v>19</v>
      </c>
      <c r="AL106" s="46">
        <v>15.7</v>
      </c>
      <c r="AM106" s="46">
        <v>16.399999999999999</v>
      </c>
      <c r="AN106" s="44">
        <f>AL106+AM106</f>
        <v>32.099999999999994</v>
      </c>
      <c r="AP106" s="47">
        <v>19</v>
      </c>
      <c r="AQ106" s="46">
        <v>11.5</v>
      </c>
      <c r="AR106" s="46"/>
      <c r="AS106" s="44">
        <f>AQ106+AR106</f>
        <v>11.5</v>
      </c>
    </row>
    <row r="107" spans="2:45" ht="18.75" x14ac:dyDescent="0.25">
      <c r="B107" s="47">
        <v>20</v>
      </c>
      <c r="C107" s="46">
        <v>12.1</v>
      </c>
      <c r="D107" s="46">
        <v>11.1</v>
      </c>
      <c r="E107" s="44">
        <f>C107+D107</f>
        <v>23.2</v>
      </c>
      <c r="G107" s="47">
        <v>20</v>
      </c>
      <c r="H107" s="46">
        <v>18.100000000000001</v>
      </c>
      <c r="I107" s="46">
        <v>19.5</v>
      </c>
      <c r="J107" s="44">
        <f>H107+I107</f>
        <v>37.6</v>
      </c>
      <c r="L107" s="47">
        <v>20</v>
      </c>
      <c r="M107" s="46">
        <v>17.7</v>
      </c>
      <c r="N107" s="46">
        <v>16.7</v>
      </c>
      <c r="O107" s="44">
        <f>M107+N107</f>
        <v>34.4</v>
      </c>
      <c r="Q107" s="47">
        <v>20</v>
      </c>
      <c r="R107" s="46">
        <v>12.4</v>
      </c>
      <c r="S107" s="46">
        <v>11.3</v>
      </c>
      <c r="T107" s="44">
        <f>R107+S107</f>
        <v>23.700000000000003</v>
      </c>
      <c r="V107" s="47">
        <v>20</v>
      </c>
      <c r="W107" s="46">
        <v>18.5</v>
      </c>
      <c r="X107" s="46">
        <v>17.399999999999999</v>
      </c>
      <c r="Y107" s="44">
        <f>W107+X107</f>
        <v>35.9</v>
      </c>
      <c r="AA107" s="47">
        <v>20</v>
      </c>
      <c r="AB107" s="46">
        <v>14.6</v>
      </c>
      <c r="AC107" s="46">
        <v>16.100000000000001</v>
      </c>
      <c r="AD107" s="44">
        <f>AB107+AC107</f>
        <v>30.700000000000003</v>
      </c>
      <c r="AF107" s="47">
        <v>20</v>
      </c>
      <c r="AG107" s="46">
        <v>19.8</v>
      </c>
      <c r="AH107" s="46">
        <v>21.5</v>
      </c>
      <c r="AI107" s="44">
        <f>AG107+AH107</f>
        <v>41.3</v>
      </c>
      <c r="AK107" s="47">
        <v>20</v>
      </c>
      <c r="AL107" s="46">
        <v>16.3</v>
      </c>
      <c r="AM107" s="46">
        <v>14.9</v>
      </c>
      <c r="AN107" s="44">
        <f>AL107+AM107</f>
        <v>31.200000000000003</v>
      </c>
      <c r="AP107" s="47">
        <v>20</v>
      </c>
      <c r="AQ107" s="46">
        <v>13.3</v>
      </c>
      <c r="AR107" s="46"/>
      <c r="AS107" s="44">
        <f>AQ107+AR107</f>
        <v>13.3</v>
      </c>
    </row>
    <row r="108" spans="2:45" ht="18.75" x14ac:dyDescent="0.3">
      <c r="B108" s="47">
        <v>21</v>
      </c>
      <c r="C108" s="46">
        <v>9</v>
      </c>
      <c r="D108" s="45">
        <v>12.8</v>
      </c>
      <c r="E108" s="44">
        <f>C108+D108</f>
        <v>21.8</v>
      </c>
      <c r="F108" s="48"/>
      <c r="G108" s="47">
        <v>21</v>
      </c>
      <c r="H108" s="46">
        <v>15.7</v>
      </c>
      <c r="I108" s="45">
        <v>21.2</v>
      </c>
      <c r="J108" s="44">
        <f>H108+I108</f>
        <v>36.9</v>
      </c>
      <c r="L108" s="47">
        <v>21</v>
      </c>
      <c r="M108" s="46">
        <v>12.5</v>
      </c>
      <c r="N108" s="45">
        <v>15.8</v>
      </c>
      <c r="O108" s="44">
        <f>M108+N108</f>
        <v>28.3</v>
      </c>
      <c r="Q108" s="47">
        <v>21</v>
      </c>
      <c r="R108" s="46">
        <v>9.3000000000000007</v>
      </c>
      <c r="S108" s="45">
        <v>13.5</v>
      </c>
      <c r="T108" s="44">
        <f>R108+S108</f>
        <v>22.8</v>
      </c>
      <c r="V108" s="47">
        <v>21</v>
      </c>
      <c r="W108" s="46">
        <v>11.5</v>
      </c>
      <c r="X108" s="45">
        <v>15.6</v>
      </c>
      <c r="Y108" s="44">
        <f>W108+X108</f>
        <v>27.1</v>
      </c>
      <c r="AA108" s="47">
        <v>21</v>
      </c>
      <c r="AB108" s="46">
        <v>12</v>
      </c>
      <c r="AC108" s="45">
        <v>15.6</v>
      </c>
      <c r="AD108" s="44">
        <f>AB108+AC108</f>
        <v>27.6</v>
      </c>
      <c r="AF108" s="47">
        <v>21</v>
      </c>
      <c r="AG108" s="46">
        <v>15.9</v>
      </c>
      <c r="AH108" s="45">
        <v>19.2</v>
      </c>
      <c r="AI108" s="44">
        <f>AG108+AH108</f>
        <v>35.1</v>
      </c>
      <c r="AK108" s="47">
        <v>21</v>
      </c>
      <c r="AL108" s="46">
        <v>10.4</v>
      </c>
      <c r="AM108" s="45">
        <v>15.41</v>
      </c>
      <c r="AN108" s="44">
        <f>AL108+AM108</f>
        <v>25.810000000000002</v>
      </c>
      <c r="AP108" s="47">
        <v>21</v>
      </c>
      <c r="AQ108" s="46">
        <v>9.9</v>
      </c>
      <c r="AR108" s="45"/>
      <c r="AS108" s="44">
        <f>AQ108+AR108</f>
        <v>9.9</v>
      </c>
    </row>
    <row r="109" spans="2:45" ht="18.75" x14ac:dyDescent="0.3">
      <c r="B109" s="47">
        <v>22</v>
      </c>
      <c r="C109" s="46">
        <v>13</v>
      </c>
      <c r="D109" s="45">
        <v>16</v>
      </c>
      <c r="E109" s="44">
        <f>C109+D109</f>
        <v>29</v>
      </c>
      <c r="F109" s="48"/>
      <c r="G109" s="47">
        <v>22</v>
      </c>
      <c r="H109" s="46">
        <v>18.399999999999999</v>
      </c>
      <c r="I109" s="45">
        <v>22.3</v>
      </c>
      <c r="J109" s="44">
        <f>H109+I109</f>
        <v>40.700000000000003</v>
      </c>
      <c r="L109" s="47">
        <v>22</v>
      </c>
      <c r="M109" s="46">
        <v>16.399999999999999</v>
      </c>
      <c r="N109" s="45">
        <v>20.5</v>
      </c>
      <c r="O109" s="44">
        <f>M109+N109</f>
        <v>36.9</v>
      </c>
      <c r="Q109" s="47">
        <v>22</v>
      </c>
      <c r="R109" s="46">
        <v>13.4</v>
      </c>
      <c r="S109" s="45">
        <v>16.2</v>
      </c>
      <c r="T109" s="44">
        <f>R109+S109</f>
        <v>29.6</v>
      </c>
      <c r="V109" s="47">
        <v>22</v>
      </c>
      <c r="W109" s="46">
        <v>15.3</v>
      </c>
      <c r="X109" s="45">
        <v>13.6</v>
      </c>
      <c r="Y109" s="44">
        <f>W109+X109</f>
        <v>28.9</v>
      </c>
      <c r="AA109" s="47">
        <v>22</v>
      </c>
      <c r="AB109" s="46">
        <v>12.3</v>
      </c>
      <c r="AC109" s="45">
        <v>17.2</v>
      </c>
      <c r="AD109" s="44">
        <f>AB109+AC109</f>
        <v>29.5</v>
      </c>
      <c r="AF109" s="47">
        <v>22</v>
      </c>
      <c r="AG109" s="46">
        <v>19.899999999999999</v>
      </c>
      <c r="AH109" s="45">
        <v>20.100000000000001</v>
      </c>
      <c r="AI109" s="44">
        <f>AG109+AH109</f>
        <v>40</v>
      </c>
      <c r="AK109" s="47">
        <v>22</v>
      </c>
      <c r="AL109" s="46">
        <v>11.5</v>
      </c>
      <c r="AM109" s="45">
        <v>12.8</v>
      </c>
      <c r="AN109" s="44">
        <f>AL109+AM109</f>
        <v>24.3</v>
      </c>
      <c r="AP109" s="47">
        <v>22</v>
      </c>
      <c r="AQ109" s="46">
        <v>8.5</v>
      </c>
      <c r="AR109" s="45"/>
      <c r="AS109" s="44">
        <f>AQ109+AR109</f>
        <v>8.5</v>
      </c>
    </row>
    <row r="110" spans="2:45" ht="18.75" x14ac:dyDescent="0.3">
      <c r="B110" s="47">
        <v>23</v>
      </c>
      <c r="C110" s="46">
        <v>19.2</v>
      </c>
      <c r="D110" s="45">
        <v>15.3</v>
      </c>
      <c r="E110" s="44">
        <f>C110+D110</f>
        <v>34.5</v>
      </c>
      <c r="F110" s="48"/>
      <c r="G110" s="47">
        <v>23</v>
      </c>
      <c r="H110" s="46">
        <v>18.5</v>
      </c>
      <c r="I110" s="45">
        <v>26.8</v>
      </c>
      <c r="J110" s="44">
        <f>H110+I110</f>
        <v>45.3</v>
      </c>
      <c r="L110" s="47">
        <v>23</v>
      </c>
      <c r="M110" s="46">
        <v>19.7</v>
      </c>
      <c r="N110" s="45">
        <v>17.8</v>
      </c>
      <c r="O110" s="44">
        <f>M110+N110</f>
        <v>37.5</v>
      </c>
      <c r="Q110" s="47">
        <v>23</v>
      </c>
      <c r="R110" s="46">
        <v>14.3</v>
      </c>
      <c r="S110" s="45">
        <v>17.7</v>
      </c>
      <c r="T110" s="44">
        <f>R110+S110</f>
        <v>32</v>
      </c>
      <c r="V110" s="47">
        <v>23</v>
      </c>
      <c r="W110" s="46">
        <v>14.2</v>
      </c>
      <c r="X110" s="45">
        <v>16.100000000000001</v>
      </c>
      <c r="Y110" s="44">
        <f>W110+X110</f>
        <v>30.3</v>
      </c>
      <c r="AA110" s="47">
        <v>23</v>
      </c>
      <c r="AB110" s="46">
        <v>14.3</v>
      </c>
      <c r="AC110" s="45">
        <v>16.600000000000001</v>
      </c>
      <c r="AD110" s="44">
        <f>AB110+AC110</f>
        <v>30.900000000000002</v>
      </c>
      <c r="AF110" s="47">
        <v>23</v>
      </c>
      <c r="AG110" s="46">
        <v>19.399999999999999</v>
      </c>
      <c r="AH110" s="45">
        <v>15.5</v>
      </c>
      <c r="AI110" s="44">
        <f>AG110+AH110</f>
        <v>34.9</v>
      </c>
      <c r="AK110" s="47">
        <v>23</v>
      </c>
      <c r="AL110" s="46">
        <v>13.1</v>
      </c>
      <c r="AM110" s="45">
        <v>14.2</v>
      </c>
      <c r="AN110" s="44">
        <f>AL110+AM110</f>
        <v>27.299999999999997</v>
      </c>
      <c r="AP110" s="47">
        <v>23</v>
      </c>
      <c r="AQ110" s="46">
        <v>14.6</v>
      </c>
      <c r="AR110" s="45"/>
      <c r="AS110" s="44">
        <f>AQ110+AR110</f>
        <v>14.6</v>
      </c>
    </row>
    <row r="111" spans="2:45" ht="18.75" x14ac:dyDescent="0.3">
      <c r="B111" s="47">
        <v>24</v>
      </c>
      <c r="C111" s="46">
        <v>14.2</v>
      </c>
      <c r="D111" s="45">
        <v>16.3</v>
      </c>
      <c r="E111" s="44">
        <f>C111+D111</f>
        <v>30.5</v>
      </c>
      <c r="F111" s="48"/>
      <c r="G111" s="47">
        <v>24</v>
      </c>
      <c r="H111" s="46">
        <v>15.5</v>
      </c>
      <c r="I111" s="45">
        <v>20</v>
      </c>
      <c r="J111" s="44">
        <f>H111+I111</f>
        <v>35.5</v>
      </c>
      <c r="L111" s="47">
        <v>24</v>
      </c>
      <c r="M111" s="46">
        <v>16.8</v>
      </c>
      <c r="N111" s="45">
        <v>21.4</v>
      </c>
      <c r="O111" s="44">
        <f>M111+N111</f>
        <v>38.200000000000003</v>
      </c>
      <c r="Q111" s="47">
        <v>24</v>
      </c>
      <c r="R111" s="46">
        <v>16.600000000000001</v>
      </c>
      <c r="S111" s="45">
        <v>15.2</v>
      </c>
      <c r="T111" s="44">
        <f>R111+S111</f>
        <v>31.8</v>
      </c>
      <c r="V111" s="47">
        <v>24</v>
      </c>
      <c r="W111" s="46">
        <v>15.8</v>
      </c>
      <c r="X111" s="45">
        <v>17.5</v>
      </c>
      <c r="Y111" s="44">
        <f>W111+X111</f>
        <v>33.299999999999997</v>
      </c>
      <c r="AA111" s="47">
        <v>24</v>
      </c>
      <c r="AB111" s="46">
        <v>14.3</v>
      </c>
      <c r="AC111" s="45">
        <v>14.7</v>
      </c>
      <c r="AD111" s="44">
        <f>AB111+AC111</f>
        <v>29</v>
      </c>
      <c r="AF111" s="47">
        <v>24</v>
      </c>
      <c r="AG111" s="46">
        <v>16.7</v>
      </c>
      <c r="AH111" s="45">
        <v>21</v>
      </c>
      <c r="AI111" s="44">
        <f>AG111+AH111</f>
        <v>37.700000000000003</v>
      </c>
      <c r="AK111" s="47">
        <v>24</v>
      </c>
      <c r="AL111" s="46">
        <v>11.3</v>
      </c>
      <c r="AM111" s="45">
        <v>15.2</v>
      </c>
      <c r="AN111" s="44">
        <f>AL111+AM111</f>
        <v>26.5</v>
      </c>
      <c r="AP111" s="47">
        <v>24</v>
      </c>
      <c r="AQ111" s="46">
        <v>8.6999999999999993</v>
      </c>
      <c r="AR111" s="45"/>
      <c r="AS111" s="44">
        <f>AQ111+AR111</f>
        <v>8.6999999999999993</v>
      </c>
    </row>
    <row r="112" spans="2:45" ht="18.75" x14ac:dyDescent="0.3">
      <c r="B112" s="47">
        <v>25</v>
      </c>
      <c r="C112" s="46">
        <v>13.8</v>
      </c>
      <c r="D112" s="45">
        <v>16</v>
      </c>
      <c r="E112" s="44">
        <f>C112+D112</f>
        <v>29.8</v>
      </c>
      <c r="F112" s="48"/>
      <c r="G112" s="47">
        <v>25</v>
      </c>
      <c r="H112" s="46">
        <v>19.3</v>
      </c>
      <c r="I112" s="45">
        <v>23</v>
      </c>
      <c r="J112" s="44">
        <f>H112+I112</f>
        <v>42.3</v>
      </c>
      <c r="L112" s="47">
        <v>25</v>
      </c>
      <c r="M112" s="46">
        <v>17.7</v>
      </c>
      <c r="N112" s="45">
        <v>21.9</v>
      </c>
      <c r="O112" s="44">
        <f>M112+N112</f>
        <v>39.599999999999994</v>
      </c>
      <c r="Q112" s="47">
        <v>25</v>
      </c>
      <c r="R112" s="46">
        <v>13.4</v>
      </c>
      <c r="S112" s="45">
        <v>15.8</v>
      </c>
      <c r="T112" s="44">
        <f>R112+S112</f>
        <v>29.200000000000003</v>
      </c>
      <c r="V112" s="47">
        <v>25</v>
      </c>
      <c r="W112" s="46">
        <v>13.8</v>
      </c>
      <c r="X112" s="45">
        <v>17.100000000000001</v>
      </c>
      <c r="Y112" s="44">
        <f>W112+X112</f>
        <v>30.900000000000002</v>
      </c>
      <c r="AA112" s="47">
        <v>25</v>
      </c>
      <c r="AB112" s="46">
        <v>12.8</v>
      </c>
      <c r="AC112" s="45">
        <v>18.8</v>
      </c>
      <c r="AD112" s="44">
        <f>AB112+AC112</f>
        <v>31.6</v>
      </c>
      <c r="AF112" s="47">
        <v>25</v>
      </c>
      <c r="AG112" s="46">
        <v>16.2</v>
      </c>
      <c r="AH112" s="45">
        <v>17.7</v>
      </c>
      <c r="AI112" s="44">
        <f>AG112+AH112</f>
        <v>33.9</v>
      </c>
      <c r="AK112" s="47">
        <v>25</v>
      </c>
      <c r="AL112" s="46">
        <v>12.6</v>
      </c>
      <c r="AM112" s="45">
        <v>12.5</v>
      </c>
      <c r="AN112" s="44">
        <f>AL112+AM112</f>
        <v>25.1</v>
      </c>
      <c r="AP112" s="47">
        <v>25</v>
      </c>
      <c r="AQ112" s="46">
        <v>12.3</v>
      </c>
      <c r="AR112" s="45"/>
      <c r="AS112" s="44">
        <f>AQ112+AR112</f>
        <v>12.3</v>
      </c>
    </row>
    <row r="113" spans="2:45" ht="18.75" x14ac:dyDescent="0.3">
      <c r="B113" s="47">
        <v>26</v>
      </c>
      <c r="C113" s="46">
        <v>15.3</v>
      </c>
      <c r="D113" s="45">
        <v>18.7</v>
      </c>
      <c r="E113" s="44">
        <f>C113+D113</f>
        <v>34</v>
      </c>
      <c r="F113" s="48"/>
      <c r="G113" s="47">
        <v>26</v>
      </c>
      <c r="H113" s="46">
        <v>19.3</v>
      </c>
      <c r="I113" s="45">
        <v>20.2</v>
      </c>
      <c r="J113" s="44">
        <f>H113+I113</f>
        <v>39.5</v>
      </c>
      <c r="L113" s="47">
        <v>26</v>
      </c>
      <c r="M113" s="46">
        <v>18.3</v>
      </c>
      <c r="N113" s="45">
        <v>18.399999999999999</v>
      </c>
      <c r="O113" s="44">
        <f>M113+N113</f>
        <v>36.700000000000003</v>
      </c>
      <c r="Q113" s="47">
        <v>26</v>
      </c>
      <c r="R113" s="46">
        <v>15.7</v>
      </c>
      <c r="S113" s="45">
        <v>12.4</v>
      </c>
      <c r="T113" s="44">
        <f>R113+S113</f>
        <v>28.1</v>
      </c>
      <c r="V113" s="47">
        <v>26</v>
      </c>
      <c r="W113" s="46">
        <v>15.4</v>
      </c>
      <c r="X113" s="45">
        <v>18.7</v>
      </c>
      <c r="Y113" s="44">
        <f>W113+X113</f>
        <v>34.1</v>
      </c>
      <c r="AA113" s="47">
        <v>26</v>
      </c>
      <c r="AB113" s="46">
        <v>13.7</v>
      </c>
      <c r="AC113" s="45">
        <v>17.600000000000001</v>
      </c>
      <c r="AD113" s="44">
        <f>AB113+AC113</f>
        <v>31.3</v>
      </c>
      <c r="AF113" s="47">
        <v>26</v>
      </c>
      <c r="AG113" s="46">
        <v>15.8</v>
      </c>
      <c r="AH113" s="45">
        <v>17.399999999999999</v>
      </c>
      <c r="AI113" s="44">
        <f>AG113+AH113</f>
        <v>33.200000000000003</v>
      </c>
      <c r="AK113" s="47">
        <v>26</v>
      </c>
      <c r="AL113" s="46">
        <v>10.7</v>
      </c>
      <c r="AM113" s="45">
        <v>12.3</v>
      </c>
      <c r="AN113" s="44">
        <f>AL113+AM113</f>
        <v>23</v>
      </c>
      <c r="AP113" s="47">
        <v>26</v>
      </c>
      <c r="AQ113" s="46">
        <v>11.6</v>
      </c>
      <c r="AR113" s="45"/>
      <c r="AS113" s="44">
        <f>AQ113+AR113</f>
        <v>11.6</v>
      </c>
    </row>
    <row r="114" spans="2:45" ht="18.75" x14ac:dyDescent="0.3">
      <c r="B114" s="47">
        <v>27</v>
      </c>
      <c r="C114" s="46">
        <v>16.399999999999999</v>
      </c>
      <c r="D114" s="45">
        <v>18.8</v>
      </c>
      <c r="E114" s="44">
        <f>C114+D114</f>
        <v>35.200000000000003</v>
      </c>
      <c r="F114" s="48"/>
      <c r="G114" s="47">
        <v>27</v>
      </c>
      <c r="H114" s="46">
        <v>21.4</v>
      </c>
      <c r="I114" s="45">
        <v>21.6</v>
      </c>
      <c r="J114" s="44">
        <f>H114+I114</f>
        <v>43</v>
      </c>
      <c r="L114" s="47">
        <v>27</v>
      </c>
      <c r="M114" s="46">
        <v>18.7</v>
      </c>
      <c r="N114" s="45">
        <v>23.6</v>
      </c>
      <c r="O114" s="44">
        <f>M114+N114</f>
        <v>42.3</v>
      </c>
      <c r="Q114" s="47">
        <v>27</v>
      </c>
      <c r="R114" s="46">
        <v>14.2</v>
      </c>
      <c r="S114" s="45">
        <v>18.899999999999999</v>
      </c>
      <c r="T114" s="44">
        <f>R114+S114</f>
        <v>33.099999999999994</v>
      </c>
      <c r="V114" s="47">
        <v>27</v>
      </c>
      <c r="W114" s="46">
        <v>15.5</v>
      </c>
      <c r="X114" s="45">
        <v>16.8</v>
      </c>
      <c r="Y114" s="44">
        <f>W114+X114</f>
        <v>32.299999999999997</v>
      </c>
      <c r="AA114" s="47">
        <v>27</v>
      </c>
      <c r="AB114" s="46">
        <v>14.2</v>
      </c>
      <c r="AC114" s="45">
        <v>17.100000000000001</v>
      </c>
      <c r="AD114" s="44">
        <f>AB114+AC114</f>
        <v>31.3</v>
      </c>
      <c r="AF114" s="47">
        <v>27</v>
      </c>
      <c r="AG114" s="46">
        <v>15.9</v>
      </c>
      <c r="AH114" s="45">
        <v>19.7</v>
      </c>
      <c r="AI114" s="44">
        <f>AG114+AH114</f>
        <v>35.6</v>
      </c>
      <c r="AK114" s="47">
        <v>27</v>
      </c>
      <c r="AL114" s="46">
        <v>9.5</v>
      </c>
      <c r="AM114" s="45">
        <v>12.6</v>
      </c>
      <c r="AN114" s="44">
        <f>AL114+AM114</f>
        <v>22.1</v>
      </c>
      <c r="AP114" s="47">
        <v>27</v>
      </c>
      <c r="AQ114" s="46">
        <v>9.8000000000000007</v>
      </c>
      <c r="AR114" s="45"/>
      <c r="AS114" s="44">
        <f>AQ114+AR114</f>
        <v>9.8000000000000007</v>
      </c>
    </row>
    <row r="115" spans="2:45" ht="18.75" x14ac:dyDescent="0.3">
      <c r="B115" s="47">
        <v>28</v>
      </c>
      <c r="C115" s="46">
        <v>17.7</v>
      </c>
      <c r="D115" s="45">
        <v>17.8</v>
      </c>
      <c r="E115" s="44">
        <f>C115+D115</f>
        <v>35.5</v>
      </c>
      <c r="F115" s="48"/>
      <c r="G115" s="47">
        <v>28</v>
      </c>
      <c r="H115" s="46">
        <v>21.5</v>
      </c>
      <c r="I115" s="45">
        <v>23.3</v>
      </c>
      <c r="J115" s="44">
        <f>H115+I115</f>
        <v>44.8</v>
      </c>
      <c r="L115" s="47">
        <v>28</v>
      </c>
      <c r="M115" s="46">
        <v>16.3</v>
      </c>
      <c r="N115" s="45">
        <v>22.2</v>
      </c>
      <c r="O115" s="44">
        <f>M115+N115</f>
        <v>38.5</v>
      </c>
      <c r="Q115" s="47">
        <v>28</v>
      </c>
      <c r="R115" s="46">
        <v>13.3</v>
      </c>
      <c r="S115" s="45">
        <v>17.899999999999999</v>
      </c>
      <c r="T115" s="44">
        <f>R115+S115</f>
        <v>31.2</v>
      </c>
      <c r="V115" s="47">
        <v>28</v>
      </c>
      <c r="W115" s="46">
        <v>16.2</v>
      </c>
      <c r="X115" s="45">
        <v>19</v>
      </c>
      <c r="Y115" s="44">
        <f>W115+X115</f>
        <v>35.200000000000003</v>
      </c>
      <c r="AA115" s="47">
        <v>28</v>
      </c>
      <c r="AB115" s="46">
        <v>14.2</v>
      </c>
      <c r="AC115" s="45">
        <v>20.7</v>
      </c>
      <c r="AD115" s="44">
        <f>AB115+AC115</f>
        <v>34.9</v>
      </c>
      <c r="AF115" s="47">
        <v>28</v>
      </c>
      <c r="AG115" s="46">
        <v>16.5</v>
      </c>
      <c r="AH115" s="45">
        <v>19.2</v>
      </c>
      <c r="AI115" s="44">
        <f>AG115+AH115</f>
        <v>35.700000000000003</v>
      </c>
      <c r="AK115" s="47">
        <v>28</v>
      </c>
      <c r="AL115" s="46">
        <v>9.1</v>
      </c>
      <c r="AM115" s="45">
        <v>12.8</v>
      </c>
      <c r="AN115" s="44">
        <f>AL115+AM115</f>
        <v>21.9</v>
      </c>
      <c r="AP115" s="47">
        <v>28</v>
      </c>
      <c r="AQ115" s="46">
        <v>12.1</v>
      </c>
      <c r="AR115" s="45"/>
      <c r="AS115" s="44">
        <f>AQ115+AR115</f>
        <v>12.1</v>
      </c>
    </row>
    <row r="116" spans="2:45" ht="18.75" x14ac:dyDescent="0.3">
      <c r="B116" s="47">
        <v>29</v>
      </c>
      <c r="C116" s="46">
        <v>15.6</v>
      </c>
      <c r="D116" s="45">
        <v>18</v>
      </c>
      <c r="E116" s="44">
        <f>C116+D116</f>
        <v>33.6</v>
      </c>
      <c r="G116" s="47">
        <v>29</v>
      </c>
      <c r="H116" s="46">
        <v>18.3</v>
      </c>
      <c r="I116" s="45">
        <v>17.8</v>
      </c>
      <c r="J116" s="44">
        <f>H116+I116</f>
        <v>36.1</v>
      </c>
      <c r="L116" s="47">
        <v>29</v>
      </c>
      <c r="M116" s="46">
        <v>19.7</v>
      </c>
      <c r="N116" s="45">
        <v>16.3</v>
      </c>
      <c r="O116" s="44">
        <f>M116+N116</f>
        <v>36</v>
      </c>
      <c r="Q116" s="47">
        <v>29</v>
      </c>
      <c r="R116" s="46">
        <v>13.1</v>
      </c>
      <c r="S116" s="45">
        <v>14.9</v>
      </c>
      <c r="T116" s="44">
        <f>R116+S116</f>
        <v>28</v>
      </c>
      <c r="V116" s="47">
        <v>29</v>
      </c>
      <c r="W116" s="46">
        <v>14.9</v>
      </c>
      <c r="X116" s="45">
        <v>13.7</v>
      </c>
      <c r="Y116" s="44">
        <f>W116+X116</f>
        <v>28.6</v>
      </c>
      <c r="AA116" s="47">
        <v>29</v>
      </c>
      <c r="AB116" s="46">
        <v>16.399999999999999</v>
      </c>
      <c r="AC116" s="45">
        <v>14.7</v>
      </c>
      <c r="AD116" s="44">
        <f>AB116+AC116</f>
        <v>31.099999999999998</v>
      </c>
      <c r="AF116" s="47">
        <v>29</v>
      </c>
      <c r="AG116" s="46">
        <v>16.7</v>
      </c>
      <c r="AH116" s="45">
        <v>15.4</v>
      </c>
      <c r="AI116" s="44">
        <f>AG116+AH116</f>
        <v>32.1</v>
      </c>
      <c r="AK116" s="47">
        <v>29</v>
      </c>
      <c r="AL116" s="46">
        <v>11.5</v>
      </c>
      <c r="AM116" s="45">
        <v>13.2</v>
      </c>
      <c r="AN116" s="44">
        <f>AL116+AM116</f>
        <v>24.7</v>
      </c>
      <c r="AP116" s="47">
        <v>29</v>
      </c>
      <c r="AQ116" s="46">
        <v>11.6</v>
      </c>
      <c r="AR116" s="45"/>
      <c r="AS116" s="44">
        <f>AQ116+AR116</f>
        <v>11.6</v>
      </c>
    </row>
    <row r="117" spans="2:45" ht="18.75" x14ac:dyDescent="0.3">
      <c r="B117" s="47">
        <v>30</v>
      </c>
      <c r="C117" s="46">
        <v>15.9</v>
      </c>
      <c r="D117" s="45">
        <v>19</v>
      </c>
      <c r="E117" s="44">
        <f>C117+D117</f>
        <v>34.9</v>
      </c>
      <c r="G117" s="47">
        <v>30</v>
      </c>
      <c r="H117" s="46">
        <v>18.899999999999999</v>
      </c>
      <c r="I117" s="45">
        <v>21.6</v>
      </c>
      <c r="J117" s="44">
        <f>H117+I117</f>
        <v>40.5</v>
      </c>
      <c r="L117" s="47">
        <v>30</v>
      </c>
      <c r="M117" s="46">
        <v>14.7</v>
      </c>
      <c r="N117" s="45">
        <v>17.2</v>
      </c>
      <c r="O117" s="44">
        <f>M117+N117</f>
        <v>31.9</v>
      </c>
      <c r="Q117" s="47">
        <v>30</v>
      </c>
      <c r="R117" s="46">
        <v>13.3</v>
      </c>
      <c r="S117" s="45">
        <v>14</v>
      </c>
      <c r="T117" s="44">
        <f>R117+S117</f>
        <v>27.3</v>
      </c>
      <c r="V117" s="47">
        <v>30</v>
      </c>
      <c r="W117" s="46">
        <v>14.1</v>
      </c>
      <c r="X117" s="45">
        <v>15.1</v>
      </c>
      <c r="Y117" s="44">
        <f>W117+X117</f>
        <v>29.2</v>
      </c>
      <c r="AA117" s="47">
        <v>30</v>
      </c>
      <c r="AB117" s="46">
        <v>13</v>
      </c>
      <c r="AC117" s="45">
        <v>14</v>
      </c>
      <c r="AD117" s="44">
        <f>AB117+AC117</f>
        <v>27</v>
      </c>
      <c r="AF117" s="47">
        <v>30</v>
      </c>
      <c r="AG117" s="46">
        <v>16.2</v>
      </c>
      <c r="AH117" s="45">
        <v>18.5</v>
      </c>
      <c r="AI117" s="44">
        <f>AG117+AH117</f>
        <v>34.700000000000003</v>
      </c>
      <c r="AK117" s="47">
        <v>30</v>
      </c>
      <c r="AL117" s="46">
        <v>12.7</v>
      </c>
      <c r="AM117" s="45">
        <v>11.9</v>
      </c>
      <c r="AN117" s="44">
        <f>AL117+AM117</f>
        <v>24.6</v>
      </c>
      <c r="AP117" s="47">
        <v>30</v>
      </c>
      <c r="AQ117" s="46">
        <v>11</v>
      </c>
      <c r="AR117" s="45"/>
      <c r="AS117" s="44">
        <f>AQ117+AR117</f>
        <v>11</v>
      </c>
    </row>
    <row r="118" spans="2:45" ht="18.75" x14ac:dyDescent="0.3">
      <c r="B118" s="47">
        <v>31</v>
      </c>
      <c r="C118" s="46">
        <v>10.1</v>
      </c>
      <c r="D118" s="45">
        <v>16</v>
      </c>
      <c r="E118" s="44">
        <f>C118+D118</f>
        <v>26.1</v>
      </c>
      <c r="G118" s="47">
        <v>31</v>
      </c>
      <c r="H118" s="46">
        <v>17.5</v>
      </c>
      <c r="I118" s="45">
        <v>21.9</v>
      </c>
      <c r="J118" s="44">
        <f>H118+I118</f>
        <v>39.4</v>
      </c>
      <c r="L118" s="47">
        <v>31</v>
      </c>
      <c r="M118" s="46">
        <v>10.7</v>
      </c>
      <c r="N118" s="45">
        <v>17.600000000000001</v>
      </c>
      <c r="O118" s="44">
        <f>M118+N118</f>
        <v>28.3</v>
      </c>
      <c r="Q118" s="47">
        <v>31</v>
      </c>
      <c r="R118" s="46">
        <v>11.3</v>
      </c>
      <c r="S118" s="45">
        <v>14.3</v>
      </c>
      <c r="T118" s="44">
        <f>R118+S118</f>
        <v>25.6</v>
      </c>
      <c r="V118" s="47">
        <v>31</v>
      </c>
      <c r="W118" s="46">
        <v>10.8</v>
      </c>
      <c r="X118" s="45">
        <v>15.7</v>
      </c>
      <c r="Y118" s="44">
        <f>W118+X118</f>
        <v>26.5</v>
      </c>
      <c r="AA118" s="47">
        <v>31</v>
      </c>
      <c r="AB118" s="46">
        <v>11.3</v>
      </c>
      <c r="AC118" s="45">
        <v>15</v>
      </c>
      <c r="AD118" s="44">
        <f>AB118+AC118</f>
        <v>26.3</v>
      </c>
      <c r="AF118" s="47">
        <v>31</v>
      </c>
      <c r="AG118" s="46">
        <v>15.7</v>
      </c>
      <c r="AH118" s="45">
        <v>19</v>
      </c>
      <c r="AI118" s="44">
        <f>AG118+AH118</f>
        <v>34.700000000000003</v>
      </c>
      <c r="AK118" s="47">
        <v>31</v>
      </c>
      <c r="AL118" s="46">
        <v>9.1999999999999993</v>
      </c>
      <c r="AM118" s="45">
        <v>14.7</v>
      </c>
      <c r="AN118" s="44">
        <f>AL118+AM118</f>
        <v>23.9</v>
      </c>
      <c r="AP118" s="47">
        <v>31</v>
      </c>
      <c r="AQ118" s="46">
        <v>8.1999999999999993</v>
      </c>
      <c r="AR118" s="45"/>
      <c r="AS118" s="44">
        <f>AQ118+AR118</f>
        <v>8.1999999999999993</v>
      </c>
    </row>
    <row r="119" spans="2:45" ht="18.75" x14ac:dyDescent="0.3">
      <c r="B119" s="47">
        <v>32</v>
      </c>
      <c r="C119" s="46">
        <v>13.7</v>
      </c>
      <c r="D119" s="45">
        <v>14.9</v>
      </c>
      <c r="E119" s="44">
        <f>C119+D119</f>
        <v>28.6</v>
      </c>
      <c r="G119" s="47">
        <v>32</v>
      </c>
      <c r="H119" s="46">
        <v>20.7</v>
      </c>
      <c r="I119" s="45">
        <v>15.8</v>
      </c>
      <c r="J119" s="44">
        <f>H119+I119</f>
        <v>36.5</v>
      </c>
      <c r="L119" s="47">
        <v>32</v>
      </c>
      <c r="M119" s="46">
        <v>14.9</v>
      </c>
      <c r="N119" s="45">
        <v>18.2</v>
      </c>
      <c r="O119" s="44">
        <f>M119+N119</f>
        <v>33.1</v>
      </c>
      <c r="Q119" s="47">
        <v>32</v>
      </c>
      <c r="R119" s="46">
        <v>15.8</v>
      </c>
      <c r="S119" s="45">
        <v>11.1</v>
      </c>
      <c r="T119" s="44">
        <f>R119+S119</f>
        <v>26.9</v>
      </c>
      <c r="V119" s="47">
        <v>32</v>
      </c>
      <c r="W119" s="46">
        <v>11.5</v>
      </c>
      <c r="X119" s="45">
        <v>12.9</v>
      </c>
      <c r="Y119" s="44">
        <f>W119+X119</f>
        <v>24.4</v>
      </c>
      <c r="AA119" s="47">
        <v>32</v>
      </c>
      <c r="AB119" s="46">
        <v>13.3</v>
      </c>
      <c r="AC119" s="45">
        <v>15.6</v>
      </c>
      <c r="AD119" s="44">
        <f>AB119+AC119</f>
        <v>28.9</v>
      </c>
      <c r="AF119" s="47">
        <v>32</v>
      </c>
      <c r="AG119" s="46">
        <v>15.3</v>
      </c>
      <c r="AH119" s="45">
        <v>13.2</v>
      </c>
      <c r="AI119" s="44">
        <f>AG119+AH119</f>
        <v>28.5</v>
      </c>
      <c r="AK119" s="47">
        <v>32</v>
      </c>
      <c r="AL119" s="46">
        <v>12.6</v>
      </c>
      <c r="AM119" s="45">
        <v>10.1</v>
      </c>
      <c r="AN119" s="44">
        <f>AL119+AM119</f>
        <v>22.7</v>
      </c>
      <c r="AP119" s="47">
        <v>32</v>
      </c>
      <c r="AQ119" s="46">
        <v>10.8</v>
      </c>
      <c r="AR119" s="45"/>
      <c r="AS119" s="44">
        <f>AQ119+AR119</f>
        <v>10.8</v>
      </c>
    </row>
    <row r="120" spans="2:45" ht="18.75" x14ac:dyDescent="0.3">
      <c r="B120" s="47">
        <v>33</v>
      </c>
      <c r="C120" s="46">
        <v>15.2</v>
      </c>
      <c r="D120" s="45">
        <v>16.5</v>
      </c>
      <c r="E120" s="44">
        <f>C120+D120</f>
        <v>31.7</v>
      </c>
      <c r="G120" s="47">
        <v>33</v>
      </c>
      <c r="H120" s="46">
        <v>22.5</v>
      </c>
      <c r="I120" s="45">
        <v>21.1</v>
      </c>
      <c r="J120" s="44">
        <f>H120+I120</f>
        <v>43.6</v>
      </c>
      <c r="L120" s="47">
        <v>33</v>
      </c>
      <c r="M120" s="46">
        <v>20.3</v>
      </c>
      <c r="N120" s="45">
        <v>19.2</v>
      </c>
      <c r="O120" s="44">
        <f>M120+N120</f>
        <v>39.5</v>
      </c>
      <c r="Q120" s="47">
        <v>33</v>
      </c>
      <c r="R120" s="46">
        <v>14.1</v>
      </c>
      <c r="S120" s="45">
        <v>15.8</v>
      </c>
      <c r="T120" s="44">
        <f>R120+S120</f>
        <v>29.9</v>
      </c>
      <c r="V120" s="47">
        <v>33</v>
      </c>
      <c r="W120" s="46">
        <v>15.2</v>
      </c>
      <c r="X120" s="45">
        <v>17.2</v>
      </c>
      <c r="Y120" s="44">
        <f>W120+X120</f>
        <v>32.4</v>
      </c>
      <c r="AA120" s="47">
        <v>33</v>
      </c>
      <c r="AB120" s="46">
        <v>15.2</v>
      </c>
      <c r="AC120" s="45">
        <v>16.5</v>
      </c>
      <c r="AD120" s="44">
        <f>AB120+AC120</f>
        <v>31.7</v>
      </c>
      <c r="AF120" s="47">
        <v>33</v>
      </c>
      <c r="AG120" s="46">
        <v>15.3</v>
      </c>
      <c r="AH120" s="45">
        <v>18.5</v>
      </c>
      <c r="AI120" s="44">
        <f>AG120+AH120</f>
        <v>33.799999999999997</v>
      </c>
      <c r="AK120" s="47">
        <v>33</v>
      </c>
      <c r="AL120" s="46">
        <v>10.9</v>
      </c>
      <c r="AM120" s="45">
        <v>9.9</v>
      </c>
      <c r="AN120" s="44">
        <f>AL120+AM120</f>
        <v>20.8</v>
      </c>
      <c r="AP120" s="47">
        <v>33</v>
      </c>
      <c r="AQ120" s="46">
        <v>10.9</v>
      </c>
      <c r="AR120" s="45"/>
      <c r="AS120" s="44">
        <f>AQ120+AR120</f>
        <v>10.9</v>
      </c>
    </row>
    <row r="121" spans="2:45" ht="18.75" x14ac:dyDescent="0.3">
      <c r="B121" s="47">
        <v>34</v>
      </c>
      <c r="C121" s="46">
        <v>10.1</v>
      </c>
      <c r="D121" s="45">
        <v>20.2</v>
      </c>
      <c r="E121" s="44">
        <f>C121+D121</f>
        <v>30.299999999999997</v>
      </c>
      <c r="G121" s="47">
        <v>34</v>
      </c>
      <c r="H121" s="46">
        <v>20.2</v>
      </c>
      <c r="I121" s="45">
        <v>23.2</v>
      </c>
      <c r="J121" s="44">
        <f>H121+I121</f>
        <v>43.4</v>
      </c>
      <c r="L121" s="47">
        <v>34</v>
      </c>
      <c r="M121" s="46">
        <v>16.899999999999999</v>
      </c>
      <c r="N121" s="45">
        <v>23</v>
      </c>
      <c r="O121" s="44">
        <f>M121+N121</f>
        <v>39.9</v>
      </c>
      <c r="Q121" s="47">
        <v>34</v>
      </c>
      <c r="R121" s="46">
        <v>13.1</v>
      </c>
      <c r="S121" s="45">
        <v>15.9</v>
      </c>
      <c r="T121" s="44">
        <f>R121+S121</f>
        <v>29</v>
      </c>
      <c r="V121" s="47">
        <v>34</v>
      </c>
      <c r="W121" s="46">
        <v>14.4</v>
      </c>
      <c r="X121" s="45">
        <v>14.6</v>
      </c>
      <c r="Y121" s="44">
        <f>W121+X121</f>
        <v>29</v>
      </c>
      <c r="AA121" s="47">
        <v>34</v>
      </c>
      <c r="AB121" s="46">
        <v>15.1</v>
      </c>
      <c r="AC121" s="45">
        <v>14.8</v>
      </c>
      <c r="AD121" s="44">
        <f>AB121+AC121</f>
        <v>29.9</v>
      </c>
      <c r="AF121" s="47">
        <v>34</v>
      </c>
      <c r="AG121" s="46">
        <v>19.7</v>
      </c>
      <c r="AH121" s="45">
        <v>13.4</v>
      </c>
      <c r="AI121" s="44">
        <f>AG121+AH121</f>
        <v>33.1</v>
      </c>
      <c r="AK121" s="47">
        <v>34</v>
      </c>
      <c r="AL121" s="46">
        <v>10.199999999999999</v>
      </c>
      <c r="AM121" s="45">
        <v>11.4</v>
      </c>
      <c r="AN121" s="44">
        <f>AL121+AM121</f>
        <v>21.6</v>
      </c>
      <c r="AP121" s="47">
        <v>34</v>
      </c>
      <c r="AQ121" s="46">
        <v>8.4</v>
      </c>
      <c r="AR121" s="45"/>
      <c r="AS121" s="44">
        <f>AQ121+AR121</f>
        <v>8.4</v>
      </c>
    </row>
    <row r="122" spans="2:45" ht="18.75" x14ac:dyDescent="0.3">
      <c r="B122" s="47">
        <v>35</v>
      </c>
      <c r="C122" s="46">
        <v>13.9</v>
      </c>
      <c r="D122" s="45">
        <v>16.100000000000001</v>
      </c>
      <c r="E122" s="44">
        <f>C122+D122</f>
        <v>30</v>
      </c>
      <c r="G122" s="47">
        <v>35</v>
      </c>
      <c r="H122" s="46">
        <v>20.9</v>
      </c>
      <c r="I122" s="45">
        <v>20.8</v>
      </c>
      <c r="J122" s="44">
        <f>H122+I122</f>
        <v>41.7</v>
      </c>
      <c r="L122" s="47">
        <v>35</v>
      </c>
      <c r="M122" s="46">
        <v>18.3</v>
      </c>
      <c r="N122" s="45">
        <v>15.5</v>
      </c>
      <c r="O122" s="44">
        <f>M122+N122</f>
        <v>33.799999999999997</v>
      </c>
      <c r="Q122" s="47">
        <v>35</v>
      </c>
      <c r="R122" s="46">
        <v>11.8</v>
      </c>
      <c r="S122" s="45">
        <v>11.5</v>
      </c>
      <c r="T122" s="44">
        <f>R122+S122</f>
        <v>23.3</v>
      </c>
      <c r="V122" s="47">
        <v>35</v>
      </c>
      <c r="W122" s="46">
        <v>15.5</v>
      </c>
      <c r="X122" s="45">
        <v>15.1</v>
      </c>
      <c r="Y122" s="44">
        <f>W122+X122</f>
        <v>30.6</v>
      </c>
      <c r="AA122" s="47">
        <v>35</v>
      </c>
      <c r="AB122" s="46">
        <v>13.1</v>
      </c>
      <c r="AC122" s="45">
        <v>16.5</v>
      </c>
      <c r="AD122" s="44">
        <f>AB122+AC122</f>
        <v>29.6</v>
      </c>
      <c r="AF122" s="47">
        <v>35</v>
      </c>
      <c r="AG122" s="46">
        <v>12.8</v>
      </c>
      <c r="AH122" s="45">
        <v>17.8</v>
      </c>
      <c r="AI122" s="44">
        <f>AG122+AH122</f>
        <v>30.6</v>
      </c>
      <c r="AK122" s="47">
        <v>35</v>
      </c>
      <c r="AL122" s="46">
        <v>10.8</v>
      </c>
      <c r="AM122" s="45">
        <v>11.2</v>
      </c>
      <c r="AN122" s="44">
        <f>AL122+AM122</f>
        <v>22</v>
      </c>
      <c r="AP122" s="47">
        <v>35</v>
      </c>
      <c r="AQ122" s="46">
        <v>10.8</v>
      </c>
      <c r="AR122" s="45"/>
      <c r="AS122" s="44">
        <f>AQ122+AR122</f>
        <v>10.8</v>
      </c>
    </row>
    <row r="123" spans="2:45" ht="18.75" x14ac:dyDescent="0.3">
      <c r="B123" s="47">
        <v>36</v>
      </c>
      <c r="C123" s="46">
        <v>12.1</v>
      </c>
      <c r="D123" s="45">
        <v>14.6</v>
      </c>
      <c r="E123" s="44">
        <f>C123+D123</f>
        <v>26.7</v>
      </c>
      <c r="G123" s="47">
        <v>36</v>
      </c>
      <c r="H123" s="46">
        <v>20.2</v>
      </c>
      <c r="I123" s="45">
        <v>22.8</v>
      </c>
      <c r="J123" s="44">
        <f>H123+I123</f>
        <v>43</v>
      </c>
      <c r="L123" s="47">
        <v>36</v>
      </c>
      <c r="M123" s="46">
        <v>16.399999999999999</v>
      </c>
      <c r="N123" s="45">
        <v>21.8</v>
      </c>
      <c r="O123" s="44">
        <f>M123+N123</f>
        <v>38.200000000000003</v>
      </c>
      <c r="Q123" s="47">
        <v>36</v>
      </c>
      <c r="R123" s="46">
        <v>12.7</v>
      </c>
      <c r="S123" s="45">
        <v>14.8</v>
      </c>
      <c r="T123" s="44">
        <f>R123+S123</f>
        <v>27.5</v>
      </c>
      <c r="V123" s="47">
        <v>36</v>
      </c>
      <c r="W123" s="46">
        <v>13.6</v>
      </c>
      <c r="X123" s="45">
        <v>12.9</v>
      </c>
      <c r="Y123" s="44">
        <f>W123+X123</f>
        <v>26.5</v>
      </c>
      <c r="AA123" s="47">
        <v>36</v>
      </c>
      <c r="AB123" s="46">
        <v>14.2</v>
      </c>
      <c r="AC123" s="45">
        <v>15.6</v>
      </c>
      <c r="AD123" s="44">
        <f>AB123+AC123</f>
        <v>29.799999999999997</v>
      </c>
      <c r="AF123" s="47">
        <v>36</v>
      </c>
      <c r="AG123" s="46">
        <v>15.4</v>
      </c>
      <c r="AH123" s="45">
        <v>17.2</v>
      </c>
      <c r="AI123" s="44">
        <f>AG123+AH123</f>
        <v>32.6</v>
      </c>
      <c r="AK123" s="47">
        <v>36</v>
      </c>
      <c r="AL123" s="46">
        <v>10.6</v>
      </c>
      <c r="AM123" s="45">
        <v>14.5</v>
      </c>
      <c r="AN123" s="44">
        <f>AL123+AM123</f>
        <v>25.1</v>
      </c>
      <c r="AP123" s="47">
        <v>36</v>
      </c>
      <c r="AQ123" s="46">
        <v>9.9</v>
      </c>
      <c r="AR123" s="45"/>
      <c r="AS123" s="44">
        <f>AQ123+AR123</f>
        <v>9.9</v>
      </c>
    </row>
    <row r="124" spans="2:45" ht="18.75" x14ac:dyDescent="0.3">
      <c r="B124" s="47">
        <v>37</v>
      </c>
      <c r="C124" s="46">
        <v>12.7</v>
      </c>
      <c r="D124" s="45">
        <v>15.7</v>
      </c>
      <c r="E124" s="44">
        <f>C124+D124</f>
        <v>28.4</v>
      </c>
      <c r="G124" s="47">
        <v>37</v>
      </c>
      <c r="H124" s="46">
        <v>21.7</v>
      </c>
      <c r="I124" s="45">
        <v>21.2</v>
      </c>
      <c r="J124" s="44">
        <f>H124+I124</f>
        <v>42.9</v>
      </c>
      <c r="L124" s="47">
        <v>37</v>
      </c>
      <c r="M124" s="46">
        <v>17.399999999999999</v>
      </c>
      <c r="N124" s="45">
        <v>19.8</v>
      </c>
      <c r="O124" s="44">
        <f>M124+N124</f>
        <v>37.200000000000003</v>
      </c>
      <c r="Q124" s="47">
        <v>37</v>
      </c>
      <c r="R124" s="46">
        <v>12.7</v>
      </c>
      <c r="S124" s="45">
        <v>14.8</v>
      </c>
      <c r="T124" s="44">
        <f>R124+S124</f>
        <v>27.5</v>
      </c>
      <c r="V124" s="47">
        <v>37</v>
      </c>
      <c r="W124" s="46">
        <v>13.5</v>
      </c>
      <c r="X124" s="45">
        <v>15.4</v>
      </c>
      <c r="Y124" s="44">
        <f>W124+X124</f>
        <v>28.9</v>
      </c>
      <c r="AA124" s="47">
        <v>37</v>
      </c>
      <c r="AB124" s="46">
        <v>14.8</v>
      </c>
      <c r="AC124" s="45">
        <v>14.7</v>
      </c>
      <c r="AD124" s="44">
        <f>AB124+AC124</f>
        <v>29.5</v>
      </c>
      <c r="AF124" s="47">
        <v>37</v>
      </c>
      <c r="AG124" s="46">
        <v>15.8</v>
      </c>
      <c r="AH124" s="45">
        <v>18.7</v>
      </c>
      <c r="AI124" s="44">
        <f>AG124+AH124</f>
        <v>34.5</v>
      </c>
      <c r="AK124" s="47">
        <v>37</v>
      </c>
      <c r="AL124" s="46">
        <v>12.3</v>
      </c>
      <c r="AM124" s="45">
        <v>12.9</v>
      </c>
      <c r="AN124" s="44">
        <f>AL124+AM124</f>
        <v>25.200000000000003</v>
      </c>
      <c r="AP124" s="47">
        <v>37</v>
      </c>
      <c r="AQ124" s="46">
        <v>8.9</v>
      </c>
      <c r="AR124" s="45"/>
      <c r="AS124" s="44">
        <f>AQ124+AR124</f>
        <v>8.9</v>
      </c>
    </row>
    <row r="125" spans="2:45" ht="18.75" x14ac:dyDescent="0.3">
      <c r="B125" s="47">
        <v>38</v>
      </c>
      <c r="C125" s="46">
        <v>15.1</v>
      </c>
      <c r="D125" s="45">
        <v>17.100000000000001</v>
      </c>
      <c r="E125" s="44">
        <f>C125+D125</f>
        <v>32.200000000000003</v>
      </c>
      <c r="G125" s="47">
        <v>38</v>
      </c>
      <c r="H125" s="46">
        <v>19.100000000000001</v>
      </c>
      <c r="I125" s="45">
        <v>23.1</v>
      </c>
      <c r="J125" s="44">
        <f>H125+I125</f>
        <v>42.2</v>
      </c>
      <c r="L125" s="47">
        <v>38</v>
      </c>
      <c r="M125" s="46">
        <v>18</v>
      </c>
      <c r="N125" s="45">
        <v>20.100000000000001</v>
      </c>
      <c r="O125" s="44">
        <f>M125+N125</f>
        <v>38.1</v>
      </c>
      <c r="Q125" s="47">
        <v>38</v>
      </c>
      <c r="R125" s="46">
        <v>14</v>
      </c>
      <c r="S125" s="45">
        <v>13.2</v>
      </c>
      <c r="T125" s="44">
        <f>R125+S125</f>
        <v>27.2</v>
      </c>
      <c r="V125" s="47">
        <v>38</v>
      </c>
      <c r="W125" s="46">
        <v>14</v>
      </c>
      <c r="X125" s="45">
        <v>16.399999999999999</v>
      </c>
      <c r="Y125" s="44">
        <f>W125+X125</f>
        <v>30.4</v>
      </c>
      <c r="AA125" s="47">
        <v>38</v>
      </c>
      <c r="AB125" s="46">
        <v>15.1</v>
      </c>
      <c r="AC125" s="45">
        <v>13.5</v>
      </c>
      <c r="AD125" s="44">
        <f>AB125+AC125</f>
        <v>28.6</v>
      </c>
      <c r="AF125" s="47">
        <v>38</v>
      </c>
      <c r="AG125" s="46">
        <v>15.3</v>
      </c>
      <c r="AH125" s="45">
        <v>16.3</v>
      </c>
      <c r="AI125" s="44">
        <f>AG125+AH125</f>
        <v>31.6</v>
      </c>
      <c r="AK125" s="47">
        <v>38</v>
      </c>
      <c r="AL125" s="46">
        <v>12.8</v>
      </c>
      <c r="AM125" s="45">
        <v>13</v>
      </c>
      <c r="AN125" s="44">
        <f>AL125+AM125</f>
        <v>25.8</v>
      </c>
      <c r="AP125" s="47">
        <v>38</v>
      </c>
      <c r="AQ125" s="46">
        <v>11.7</v>
      </c>
      <c r="AR125" s="45"/>
      <c r="AS125" s="44">
        <f>AQ125+AR125</f>
        <v>11.7</v>
      </c>
    </row>
    <row r="126" spans="2:45" ht="18.75" x14ac:dyDescent="0.3">
      <c r="B126" s="47">
        <v>39</v>
      </c>
      <c r="C126" s="46">
        <v>11.8</v>
      </c>
      <c r="D126" s="45">
        <v>13.6</v>
      </c>
      <c r="E126" s="44">
        <f>C126+D126</f>
        <v>25.4</v>
      </c>
      <c r="G126" s="47">
        <v>39</v>
      </c>
      <c r="H126" s="46">
        <v>20.399999999999999</v>
      </c>
      <c r="I126" s="45">
        <v>20.9</v>
      </c>
      <c r="J126" s="44">
        <f>H126+I126</f>
        <v>41.3</v>
      </c>
      <c r="L126" s="47">
        <v>39</v>
      </c>
      <c r="M126" s="46">
        <v>17.100000000000001</v>
      </c>
      <c r="N126" s="45">
        <v>19.899999999999999</v>
      </c>
      <c r="O126" s="44">
        <f>M126+N126</f>
        <v>37</v>
      </c>
      <c r="Q126" s="47">
        <v>39</v>
      </c>
      <c r="R126" s="46">
        <v>12.9</v>
      </c>
      <c r="S126" s="45">
        <v>15.1</v>
      </c>
      <c r="T126" s="44">
        <f>R126+S126</f>
        <v>28</v>
      </c>
      <c r="V126" s="47">
        <v>39</v>
      </c>
      <c r="W126" s="46">
        <v>13.2</v>
      </c>
      <c r="X126" s="45">
        <v>15.8</v>
      </c>
      <c r="Y126" s="44">
        <f>W126+X126</f>
        <v>29</v>
      </c>
      <c r="AA126" s="47">
        <v>39</v>
      </c>
      <c r="AB126" s="46">
        <v>12.7</v>
      </c>
      <c r="AC126" s="45">
        <v>15.3</v>
      </c>
      <c r="AD126" s="44">
        <f>AB126+AC126</f>
        <v>28</v>
      </c>
      <c r="AF126" s="47">
        <v>39</v>
      </c>
      <c r="AG126" s="46">
        <v>14.9</v>
      </c>
      <c r="AH126" s="45">
        <v>19.399999999999999</v>
      </c>
      <c r="AI126" s="44">
        <f>AG126+AH126</f>
        <v>34.299999999999997</v>
      </c>
      <c r="AK126" s="47">
        <v>39</v>
      </c>
      <c r="AL126" s="46">
        <v>12</v>
      </c>
      <c r="AM126" s="45">
        <v>13.6</v>
      </c>
      <c r="AN126" s="44">
        <f>AL126+AM126</f>
        <v>25.6</v>
      </c>
      <c r="AP126" s="47">
        <v>39</v>
      </c>
      <c r="AQ126" s="46">
        <v>7.7</v>
      </c>
      <c r="AR126" s="45"/>
      <c r="AS126" s="44">
        <f>AQ126+AR126</f>
        <v>7.7</v>
      </c>
    </row>
    <row r="127" spans="2:45" ht="18.75" x14ac:dyDescent="0.3">
      <c r="B127" s="47">
        <v>40</v>
      </c>
      <c r="C127" s="46">
        <v>10.4</v>
      </c>
      <c r="D127" s="45">
        <v>10.7</v>
      </c>
      <c r="E127" s="44">
        <f>C127+D127</f>
        <v>21.1</v>
      </c>
      <c r="G127" s="47">
        <v>40</v>
      </c>
      <c r="H127" s="46">
        <v>20.100000000000001</v>
      </c>
      <c r="I127" s="45">
        <v>16.600000000000001</v>
      </c>
      <c r="J127" s="44">
        <f>H127+I127</f>
        <v>36.700000000000003</v>
      </c>
      <c r="L127" s="47">
        <v>40</v>
      </c>
      <c r="M127" s="46">
        <v>16</v>
      </c>
      <c r="N127" s="45">
        <v>12.8</v>
      </c>
      <c r="O127" s="44">
        <f>M127+N127</f>
        <v>28.8</v>
      </c>
      <c r="Q127" s="47">
        <v>40</v>
      </c>
      <c r="R127" s="46">
        <v>10.5</v>
      </c>
      <c r="S127" s="45">
        <v>9.9</v>
      </c>
      <c r="T127" s="44">
        <f>R127+S127</f>
        <v>20.399999999999999</v>
      </c>
      <c r="V127" s="47">
        <v>40</v>
      </c>
      <c r="W127" s="46">
        <v>12.2</v>
      </c>
      <c r="X127" s="45">
        <v>11.8</v>
      </c>
      <c r="Y127" s="44">
        <f>W127+X127</f>
        <v>24</v>
      </c>
      <c r="AA127" s="47">
        <v>40</v>
      </c>
      <c r="AB127" s="46">
        <v>12.6</v>
      </c>
      <c r="AC127" s="45">
        <v>13</v>
      </c>
      <c r="AD127" s="44">
        <f>AB127+AC127</f>
        <v>25.6</v>
      </c>
      <c r="AF127" s="47">
        <v>40</v>
      </c>
      <c r="AG127" s="46">
        <v>15.1</v>
      </c>
      <c r="AH127" s="45">
        <v>16.399999999999999</v>
      </c>
      <c r="AI127" s="44">
        <f>AG127+AH127</f>
        <v>31.5</v>
      </c>
      <c r="AK127" s="47">
        <v>40</v>
      </c>
      <c r="AL127" s="46">
        <v>15.1</v>
      </c>
      <c r="AM127" s="45">
        <v>13</v>
      </c>
      <c r="AN127" s="44">
        <f>AL127+AM127</f>
        <v>28.1</v>
      </c>
      <c r="AP127" s="47">
        <v>40</v>
      </c>
      <c r="AQ127" s="46">
        <v>7.2</v>
      </c>
      <c r="AR127" s="45"/>
      <c r="AS127" s="44">
        <f>AQ127+AR127</f>
        <v>7.2</v>
      </c>
    </row>
    <row r="128" spans="2:45" ht="35.450000000000003" customHeight="1" x14ac:dyDescent="0.25">
      <c r="D128" s="43" t="s">
        <v>1061</v>
      </c>
      <c r="E128" s="42">
        <f>AVERAGE(E88:E127)</f>
        <v>30.025000000000013</v>
      </c>
      <c r="I128" s="43" t="s">
        <v>1061</v>
      </c>
      <c r="J128" s="42">
        <f>AVERAGE(J88:J127)</f>
        <v>39.937500000000007</v>
      </c>
      <c r="N128" s="43" t="s">
        <v>1061</v>
      </c>
      <c r="O128" s="42">
        <f>AVERAGE(O88:O127)</f>
        <v>36.1325</v>
      </c>
      <c r="S128" s="43" t="s">
        <v>1061</v>
      </c>
      <c r="T128" s="42">
        <f>AVERAGE(T88:T127)</f>
        <v>29.740000000000002</v>
      </c>
      <c r="X128" s="43" t="s">
        <v>1061</v>
      </c>
      <c r="Y128" s="42">
        <f>AVERAGE(Y88:Y127)</f>
        <v>30.987500000000001</v>
      </c>
      <c r="AC128" s="43" t="s">
        <v>1061</v>
      </c>
      <c r="AD128" s="42">
        <f>AVERAGE(AD88:AD127)</f>
        <v>30.814999999999991</v>
      </c>
      <c r="AH128" s="43" t="s">
        <v>1061</v>
      </c>
      <c r="AI128" s="42">
        <f>AVERAGE(AI88:AI127)</f>
        <v>34.874999999999986</v>
      </c>
      <c r="AM128" s="43" t="s">
        <v>1061</v>
      </c>
      <c r="AN128" s="42">
        <f>AVERAGE(AN88:AN127)</f>
        <v>26.185250000000003</v>
      </c>
      <c r="AR128" s="43" t="s">
        <v>1061</v>
      </c>
      <c r="AS128" s="42">
        <f>AVERAGE(AS88:AS127)</f>
        <v>11.307500000000001</v>
      </c>
    </row>
    <row r="133" spans="1:47" x14ac:dyDescent="0.25">
      <c r="E133" s="41" t="s">
        <v>1060</v>
      </c>
      <c r="F133" s="39" t="s">
        <v>1059</v>
      </c>
      <c r="G133" s="39" t="s">
        <v>1058</v>
      </c>
      <c r="J133" s="41" t="s">
        <v>1060</v>
      </c>
      <c r="K133" s="39" t="s">
        <v>1059</v>
      </c>
      <c r="L133" s="39" t="s">
        <v>1058</v>
      </c>
      <c r="O133" s="41" t="s">
        <v>1060</v>
      </c>
      <c r="P133" s="39" t="s">
        <v>1059</v>
      </c>
      <c r="Q133" s="39" t="s">
        <v>1058</v>
      </c>
      <c r="T133" s="41" t="s">
        <v>1060</v>
      </c>
      <c r="U133" s="39" t="s">
        <v>1059</v>
      </c>
      <c r="V133" s="39" t="s">
        <v>1058</v>
      </c>
      <c r="Y133" s="41" t="s">
        <v>1060</v>
      </c>
      <c r="Z133" s="39" t="s">
        <v>1059</v>
      </c>
      <c r="AA133" s="39" t="s">
        <v>1058</v>
      </c>
      <c r="AD133" s="41" t="s">
        <v>1060</v>
      </c>
      <c r="AE133" s="39" t="s">
        <v>1059</v>
      </c>
      <c r="AF133" s="39" t="s">
        <v>1058</v>
      </c>
      <c r="AI133" s="41" t="s">
        <v>1060</v>
      </c>
      <c r="AJ133" s="39" t="s">
        <v>1059</v>
      </c>
      <c r="AK133" s="39" t="s">
        <v>1058</v>
      </c>
      <c r="AN133" s="41" t="s">
        <v>1060</v>
      </c>
      <c r="AO133" s="39" t="s">
        <v>1059</v>
      </c>
      <c r="AP133" s="39" t="s">
        <v>1058</v>
      </c>
      <c r="AS133" s="41" t="s">
        <v>1060</v>
      </c>
      <c r="AT133" s="39" t="s">
        <v>1059</v>
      </c>
      <c r="AU133" s="39" t="s">
        <v>1058</v>
      </c>
    </row>
    <row r="134" spans="1:47" x14ac:dyDescent="0.25">
      <c r="E134" s="40">
        <f>SUM('Field Harvest'!E97:E98)-2*1.06-2*1.1</f>
        <v>67.379999999999981</v>
      </c>
      <c r="F134" s="39">
        <f>E134/2.2046226218</f>
        <v>30.56305389127618</v>
      </c>
      <c r="G134" s="39">
        <f>F134/58.8*10000</f>
        <v>5197.7982808292818</v>
      </c>
      <c r="J134" s="40">
        <f>SUM('Field Harvest'!J97:J98)-2*1.06-2*1.1</f>
        <v>77.679999999999993</v>
      </c>
      <c r="K134" s="39">
        <f>J134/2.2046226218</f>
        <v>35.23505530237955</v>
      </c>
      <c r="L134" s="39">
        <f>K134/58.8*10000</f>
        <v>5992.3563439421005</v>
      </c>
      <c r="O134" s="40">
        <f>SUM('Field Harvest'!O97:O98)-2*1.06-2*1.1</f>
        <v>57.68</v>
      </c>
      <c r="P134" s="39">
        <f>O134/2.2046226218</f>
        <v>26.163207902178844</v>
      </c>
      <c r="Q134" s="39">
        <f>P134/58.8*10000</f>
        <v>4449.5251534317767</v>
      </c>
      <c r="T134" s="40">
        <f>SUM('Field Harvest'!T97:T98)-2*1.06-2*1.1</f>
        <v>51.58</v>
      </c>
      <c r="U134" s="39">
        <f>T134/2.2046226218</f>
        <v>23.396294445117626</v>
      </c>
      <c r="V134" s="39">
        <f>U134/58.8*10000</f>
        <v>3978.9616403261271</v>
      </c>
      <c r="Y134" s="40">
        <f>SUM('Field Harvest'!Y97:Y98)-2*1.06-2*1.1</f>
        <v>53.080000000000005</v>
      </c>
      <c r="Z134" s="39">
        <f>Y134/2.2046226218</f>
        <v>24.076683000132682</v>
      </c>
      <c r="AA134" s="39">
        <f>Z134/58.8*10000</f>
        <v>4094.673979614402</v>
      </c>
      <c r="AD134" s="40">
        <f>SUM('Field Harvest'!AD97:AD98)-2*1.06-2*1.1</f>
        <v>55.58</v>
      </c>
      <c r="AE134" s="39">
        <f>AD134/2.2046226218</f>
        <v>25.210663925157768</v>
      </c>
      <c r="AF134" s="39">
        <f>AE134/58.8*10000</f>
        <v>4287.5278784281918</v>
      </c>
      <c r="AI134" s="40">
        <f>SUM('Field Harvest'!AI97:AI98)-2*1.06-2*1.1</f>
        <v>51.78</v>
      </c>
      <c r="AJ134" s="39">
        <f>AI134/2.2046226218</f>
        <v>23.487012919119636</v>
      </c>
      <c r="AK134" s="39">
        <f>AJ134/58.8*10000</f>
        <v>3994.3899522312308</v>
      </c>
      <c r="AN134" s="40">
        <f>SUM('Field Harvest'!AN97:AN98)-2*1.06-2*1.1</f>
        <v>48.68</v>
      </c>
      <c r="AO134" s="39">
        <f>AN134/2.2046226218</f>
        <v>22.080876572088524</v>
      </c>
      <c r="AP134" s="39">
        <f>AO134/58.8*10000</f>
        <v>3755.2511177021302</v>
      </c>
      <c r="AS134" s="40">
        <f>SUM('Field Harvest'!AS97:AS98)-2*1.06-2*1.1</f>
        <v>22.48</v>
      </c>
      <c r="AT134" s="39">
        <f>AS134/2.2046226218</f>
        <v>10.196756477825597</v>
      </c>
      <c r="AU134" s="39">
        <f>AT134/58.8*10000</f>
        <v>1734.1422581336049</v>
      </c>
    </row>
    <row r="135" spans="1:47" x14ac:dyDescent="0.25">
      <c r="E135" s="40">
        <f>SUM('Field Harvest'!E99,'Field Harvest'!E96)-2*1.06-2*1.1</f>
        <v>60.080000000000005</v>
      </c>
      <c r="F135" s="39">
        <f>E135/2.2046226218</f>
        <v>27.251829590202931</v>
      </c>
      <c r="G135" s="39">
        <f>F135/58.8*10000</f>
        <v>4634.6648962930158</v>
      </c>
      <c r="J135" s="40">
        <f>SUM('Field Harvest'!J99,'Field Harvest'!J96)-2*1.06-2*1.1</f>
        <v>72.279999999999987</v>
      </c>
      <c r="K135" s="39">
        <f>J135/2.2046226218</f>
        <v>32.785656504325353</v>
      </c>
      <c r="L135" s="39">
        <f>K135/58.8*10000</f>
        <v>5575.7919225043115</v>
      </c>
      <c r="O135" s="40">
        <f>SUM('Field Harvest'!O99,'Field Harvest'!O96)-2*1.06-2*1.1</f>
        <v>66.379999999999981</v>
      </c>
      <c r="P135" s="39">
        <f>O135/2.2046226218</f>
        <v>30.109461521266145</v>
      </c>
      <c r="Q135" s="39">
        <f>P135/58.8*10000</f>
        <v>5120.656721303767</v>
      </c>
      <c r="T135" s="40">
        <f>SUM('Field Harvest'!T99,'Field Harvest'!T96)-2*1.06-2*1.1</f>
        <v>60.879999999999988</v>
      </c>
      <c r="U135" s="39">
        <f>T135/2.2046226218</f>
        <v>27.614703486210953</v>
      </c>
      <c r="V135" s="39">
        <f>U135/58.8*10000</f>
        <v>4696.3781439134282</v>
      </c>
      <c r="Y135" s="40">
        <f>SUM('Field Harvest'!Y99,'Field Harvest'!Y96)-2*1.06-2*1.1</f>
        <v>57.38</v>
      </c>
      <c r="Z135" s="39">
        <f>Y135/2.2046226218</f>
        <v>26.027130191175832</v>
      </c>
      <c r="AA135" s="39">
        <f>Z135/58.8*10000</f>
        <v>4426.3826855741208</v>
      </c>
      <c r="AD135" s="40">
        <f>SUM('Field Harvest'!AD99,'Field Harvest'!AD96)-2*1.06-2*1.1</f>
        <v>59.68</v>
      </c>
      <c r="AE135" s="39">
        <f>AD135/2.2046226218</f>
        <v>27.070392642198915</v>
      </c>
      <c r="AF135" s="39">
        <f>AE135/58.8*10000</f>
        <v>4603.8082724828091</v>
      </c>
      <c r="AI135" s="40">
        <f>SUM('Field Harvest'!AI99,'Field Harvest'!AI96)-2*1.06-2*1.1</f>
        <v>63.08</v>
      </c>
      <c r="AJ135" s="39">
        <f>AI135/2.2046226218</f>
        <v>28.612606700233034</v>
      </c>
      <c r="AK135" s="39">
        <f>AJ135/58.8*10000</f>
        <v>4866.0895748695639</v>
      </c>
      <c r="AN135" s="40">
        <f>SUM('Field Harvest'!AN99,'Field Harvest'!AN96)-2*1.06-2*1.1</f>
        <v>49.980000000000004</v>
      </c>
      <c r="AO135" s="39">
        <f>AN135/2.2046226218</f>
        <v>22.670546653101571</v>
      </c>
      <c r="AP135" s="39">
        <f>AO135/58.8*10000</f>
        <v>3855.5351450853013</v>
      </c>
      <c r="AS135" s="40">
        <f>SUM('Field Harvest'!AS99,'Field Harvest'!AS96)-2*1.06-2*1.1</f>
        <v>24.48</v>
      </c>
      <c r="AT135" s="39">
        <f>AS135/2.2046226218</f>
        <v>11.103941217845668</v>
      </c>
      <c r="AU135" s="39">
        <f>AT135/58.8*10000</f>
        <v>1888.4253771846375</v>
      </c>
    </row>
    <row r="136" spans="1:47" x14ac:dyDescent="0.25">
      <c r="A136" s="39" t="s">
        <v>1057</v>
      </c>
      <c r="E136" s="40">
        <f>SUM(E95,E100)-2*1.06-2*1.1</f>
        <v>61.779999999999994</v>
      </c>
      <c r="F136" s="39">
        <f>E136/2.2046226218</f>
        <v>28.022936619219987</v>
      </c>
      <c r="G136" s="39">
        <f>F136/58.8*10000</f>
        <v>4765.8055474863922</v>
      </c>
      <c r="J136" s="40">
        <f>SUM(J95,J100)-2*1.06-2*1.1</f>
        <v>81.58</v>
      </c>
      <c r="K136" s="39">
        <f>J136/2.2046226218</f>
        <v>37.00406554541869</v>
      </c>
      <c r="L136" s="39">
        <f>K136/58.8*10000</f>
        <v>6293.2084260916145</v>
      </c>
      <c r="O136" s="40">
        <f>SUM(O95,O100)-2*1.06-2*1.1</f>
        <v>74.48</v>
      </c>
      <c r="P136" s="39">
        <f>O136/2.2046226218</f>
        <v>33.783559718347441</v>
      </c>
      <c r="Q136" s="39">
        <f>P136/58.8*10000</f>
        <v>5745.503353460449</v>
      </c>
      <c r="T136" s="40">
        <f>SUM(T95,T100)-2*1.06-2*1.1</f>
        <v>67.08</v>
      </c>
      <c r="U136" s="39">
        <f>T136/2.2046226218</f>
        <v>30.426976180273176</v>
      </c>
      <c r="V136" s="39">
        <f>U136/58.8*10000</f>
        <v>5174.6558129716295</v>
      </c>
      <c r="Y136" s="40">
        <f>SUM(Y95,Y100)-2*1.06-2*1.1</f>
        <v>66.079999999999984</v>
      </c>
      <c r="Z136" s="39">
        <f>Y136/2.2046226218</f>
        <v>29.973383810263133</v>
      </c>
      <c r="AA136" s="39">
        <f>Z136/58.8*10000</f>
        <v>5097.514253446112</v>
      </c>
      <c r="AD136" s="40">
        <f>SUM(AD95,AD100)-2*1.06-2*1.1</f>
        <v>64.679999999999993</v>
      </c>
      <c r="AE136" s="39">
        <f>AD136/2.2046226218</f>
        <v>29.338354492249088</v>
      </c>
      <c r="AF136" s="39">
        <f>AE136/58.8*10000</f>
        <v>4989.5160701103896</v>
      </c>
      <c r="AI136" s="40">
        <f>SUM(AI95,AI100)-2*1.06-2*1.1</f>
        <v>70.08</v>
      </c>
      <c r="AJ136" s="39">
        <f>AI136/2.2046226218</f>
        <v>31.787753290303282</v>
      </c>
      <c r="AK136" s="39">
        <f>AJ136/58.8*10000</f>
        <v>5406.0804915481776</v>
      </c>
      <c r="AN136" s="40">
        <f>SUM(AN95,AN100)-2*1.06-2*1.1</f>
        <v>44.68</v>
      </c>
      <c r="AO136" s="39">
        <f>AN136/2.2046226218</f>
        <v>20.266507092048382</v>
      </c>
      <c r="AP136" s="39">
        <f>AO136/58.8*10000</f>
        <v>3446.6848796000654</v>
      </c>
      <c r="AS136" s="40">
        <f>SUM(AS95,AS100)-2*1.06-2*1.1</f>
        <v>20.78</v>
      </c>
      <c r="AT136" s="39">
        <f>AS136/2.2046226218</f>
        <v>9.4256494488085369</v>
      </c>
      <c r="AU136" s="39">
        <f>AT136/58.8*10000</f>
        <v>1603.0016069402275</v>
      </c>
    </row>
    <row r="137" spans="1:47" x14ac:dyDescent="0.25">
      <c r="E137" s="40">
        <f>SUM(E94,E101)-2*1.06-2*1.1</f>
        <v>59.980000000000011</v>
      </c>
      <c r="F137" s="39">
        <f>E137/2.2046226218</f>
        <v>27.206470353201929</v>
      </c>
      <c r="G137" s="39">
        <f>F137/58.8*10000</f>
        <v>4626.9507403404641</v>
      </c>
      <c r="J137" s="40">
        <f>SUM(J94,J101)-2*1.06-2*1.1</f>
        <v>75.179999999999993</v>
      </c>
      <c r="K137" s="39">
        <f>J137/2.2046226218</f>
        <v>34.101074377354458</v>
      </c>
      <c r="L137" s="39">
        <f>K137/58.8*10000</f>
        <v>5799.5024451283098</v>
      </c>
      <c r="O137" s="40">
        <f>SUM(O94,O101)-2*1.06-2*1.1</f>
        <v>78.08</v>
      </c>
      <c r="P137" s="39">
        <f>O137/2.2046226218</f>
        <v>35.416492250383563</v>
      </c>
      <c r="Q137" s="39">
        <f>P137/58.8*10000</f>
        <v>6023.2129677523071</v>
      </c>
      <c r="T137" s="40">
        <f>SUM(T94,T101)-2*1.06-2*1.1</f>
        <v>63.08</v>
      </c>
      <c r="U137" s="39">
        <f>T137/2.2046226218</f>
        <v>28.612606700233034</v>
      </c>
      <c r="V137" s="39">
        <f>U137/58.8*10000</f>
        <v>4866.0895748695639</v>
      </c>
      <c r="Y137" s="40">
        <f>SUM(Y94,Y101)-2*1.06-2*1.1</f>
        <v>57.18</v>
      </c>
      <c r="Z137" s="39">
        <f>Y137/2.2046226218</f>
        <v>25.936411717173826</v>
      </c>
      <c r="AA137" s="39">
        <f>Z137/58.8*10000</f>
        <v>4410.9543736690184</v>
      </c>
      <c r="AD137" s="40">
        <f>SUM(AD94,AD101)-2*1.06-2*1.1</f>
        <v>59.18</v>
      </c>
      <c r="AE137" s="39">
        <f>AD137/2.2046226218</f>
        <v>26.843596457193897</v>
      </c>
      <c r="AF137" s="39">
        <f>AE137/58.8*10000</f>
        <v>4565.2374927200508</v>
      </c>
      <c r="AI137" s="40">
        <f>SUM(AI94,AI101)-2*1.06-2*1.1</f>
        <v>64.78</v>
      </c>
      <c r="AJ137" s="39">
        <f>AI137/2.2046226218</f>
        <v>29.383713729250097</v>
      </c>
      <c r="AK137" s="39">
        <f>AJ137/58.8*10000</f>
        <v>4997.2302260629422</v>
      </c>
      <c r="AN137" s="40">
        <f>SUM(AN94,AN101)-2*1.06-2*1.1</f>
        <v>46.08</v>
      </c>
      <c r="AO137" s="39">
        <f>AN137/2.2046226218</f>
        <v>20.90153641006243</v>
      </c>
      <c r="AP137" s="39">
        <f>AO137/58.8*10000</f>
        <v>3554.6830629357878</v>
      </c>
      <c r="AS137" s="40">
        <f>SUM(AS94,AS101)-2*1.06-2*1.1</f>
        <v>18.18</v>
      </c>
      <c r="AT137" s="39">
        <f>AS137/2.2046226218</f>
        <v>8.2463092867824432</v>
      </c>
      <c r="AU137" s="39">
        <f>AT137/58.8*10000</f>
        <v>1402.4335521738851</v>
      </c>
    </row>
    <row r="138" spans="1:47" x14ac:dyDescent="0.25">
      <c r="E138" s="40">
        <f>SUM(E93,E102)-2*1.06-2*1.1</f>
        <v>60.980000000000011</v>
      </c>
      <c r="F138" s="39">
        <f>E138/2.2046226218</f>
        <v>27.660062723211965</v>
      </c>
      <c r="G138" s="39">
        <f>F138/58.8*10000</f>
        <v>4704.0922998659807</v>
      </c>
      <c r="J138" s="40">
        <f>SUM(J93,J102)-2*1.06-2*1.1</f>
        <v>72.78</v>
      </c>
      <c r="K138" s="39">
        <f>J138/2.2046226218</f>
        <v>33.012452689330381</v>
      </c>
      <c r="L138" s="39">
        <f>K138/58.8*10000</f>
        <v>5614.3627022670717</v>
      </c>
      <c r="O138" s="40">
        <f>SUM(O93,O102)-2*1.06-2*1.1</f>
        <v>67.38</v>
      </c>
      <c r="P138" s="39">
        <f>O138/2.2046226218</f>
        <v>30.563053891276184</v>
      </c>
      <c r="Q138" s="39">
        <f>P138/58.8*10000</f>
        <v>5197.7982808292836</v>
      </c>
      <c r="T138" s="40">
        <f>SUM(T93,T102)-2*1.06-2*1.1</f>
        <v>58.08</v>
      </c>
      <c r="U138" s="39">
        <f>T138/2.2046226218</f>
        <v>26.344644850182856</v>
      </c>
      <c r="V138" s="39">
        <f>U138/58.8*10000</f>
        <v>4480.3817772419825</v>
      </c>
      <c r="Y138" s="40">
        <f>SUM(Y93,Y102)-2*1.06-2*1.1</f>
        <v>61.38</v>
      </c>
      <c r="Z138" s="39">
        <f>Y138/2.2046226218</f>
        <v>27.841499671215974</v>
      </c>
      <c r="AA138" s="39">
        <f>Z138/58.8*10000</f>
        <v>4734.9489236761865</v>
      </c>
      <c r="AD138" s="40">
        <f>SUM(AD93,AD102)-2*1.06-2*1.1</f>
        <v>62.08</v>
      </c>
      <c r="AE138" s="39">
        <f>AD138/2.2046226218</f>
        <v>28.159014330222998</v>
      </c>
      <c r="AF138" s="39">
        <f>AE138/58.8*10000</f>
        <v>4788.9480153440481</v>
      </c>
      <c r="AI138" s="40">
        <f>SUM(AI93,AI102)-2*1.06-2*1.1</f>
        <v>65.179999999999993</v>
      </c>
      <c r="AJ138" s="39">
        <f>AI138/2.2046226218</f>
        <v>29.565150677254106</v>
      </c>
      <c r="AK138" s="39">
        <f>AJ138/58.8*10000</f>
        <v>5028.0868498731479</v>
      </c>
      <c r="AN138" s="40">
        <f>SUM(AN93,AN102)-2*1.06-2*1.1</f>
        <v>50.58</v>
      </c>
      <c r="AO138" s="39">
        <f>AN138/2.2046226218</f>
        <v>22.94270207510759</v>
      </c>
      <c r="AP138" s="39">
        <f>AO138/58.8*10000</f>
        <v>3901.8200808006109</v>
      </c>
      <c r="AS138" s="40">
        <f>SUM(AS93,AS102)-2*1.06-2*1.1</f>
        <v>17.88</v>
      </c>
      <c r="AT138" s="39">
        <f>AS138/2.2046226218</f>
        <v>8.1102315757794337</v>
      </c>
      <c r="AU138" s="39">
        <f>AT138/58.8*10000</f>
        <v>1379.2910843162304</v>
      </c>
    </row>
    <row r="139" spans="1:47" x14ac:dyDescent="0.25">
      <c r="E139" s="40">
        <f>SUM(E92,E103)-2*1.06-2*1.1</f>
        <v>53.68</v>
      </c>
      <c r="F139" s="39">
        <f>E139/2.2046226218</f>
        <v>24.348838422138702</v>
      </c>
      <c r="G139" s="39">
        <f>F139/58.8*10000</f>
        <v>4140.958915329712</v>
      </c>
      <c r="J139" s="40">
        <f>SUM(J92,J103)-2*1.06-2*1.1</f>
        <v>73.38</v>
      </c>
      <c r="K139" s="39">
        <f>J139/2.2046226218</f>
        <v>33.284608111336397</v>
      </c>
      <c r="L139" s="39">
        <f>K139/58.8*10000</f>
        <v>5660.6476379823807</v>
      </c>
      <c r="O139" s="40">
        <f>SUM(O92,O103)-2*1.06-2*1.1</f>
        <v>72.779999999999987</v>
      </c>
      <c r="P139" s="39">
        <f>O139/2.2046226218</f>
        <v>33.012452689330374</v>
      </c>
      <c r="Q139" s="39">
        <f>P139/58.8*10000</f>
        <v>5614.3627022670707</v>
      </c>
      <c r="T139" s="40">
        <f>SUM(T92,T103)-2*1.06-2*1.1</f>
        <v>64.97999999999999</v>
      </c>
      <c r="U139" s="39">
        <f>T139/2.2046226218</f>
        <v>29.474432203252096</v>
      </c>
      <c r="V139" s="39">
        <f>U139/58.8*10000</f>
        <v>5012.6585379680437</v>
      </c>
      <c r="Y139" s="40">
        <f>SUM(Y92,Y103)-2*1.06-2*1.1</f>
        <v>77.879999999999981</v>
      </c>
      <c r="Z139" s="39">
        <f>Y139/2.2046226218</f>
        <v>35.325773776381553</v>
      </c>
      <c r="AA139" s="39">
        <f>Z139/58.8*10000</f>
        <v>6007.7846558472038</v>
      </c>
      <c r="AD139" s="40">
        <f>SUM(AD92,AD103)-2*1.06-2*1.1</f>
        <v>60.579999999999991</v>
      </c>
      <c r="AE139" s="39">
        <f>AD139/2.2046226218</f>
        <v>27.478625775207941</v>
      </c>
      <c r="AF139" s="39">
        <f>AE139/58.8*10000</f>
        <v>4673.2356760557723</v>
      </c>
      <c r="AI139" s="40">
        <f>SUM(AI92,AI103)-2*1.06-2*1.1</f>
        <v>67.58</v>
      </c>
      <c r="AJ139" s="39">
        <f>AI139/2.2046226218</f>
        <v>30.653772365278193</v>
      </c>
      <c r="AK139" s="39">
        <f>AJ139/58.8*10000</f>
        <v>5213.2265927343869</v>
      </c>
      <c r="AN139" s="40">
        <f>SUM(AN92,AN103)-2*1.06-2*1.1</f>
        <v>50.48</v>
      </c>
      <c r="AO139" s="39">
        <f>AN139/2.2046226218</f>
        <v>22.897342838106589</v>
      </c>
      <c r="AP139" s="39">
        <f>AO139/58.8*10000</f>
        <v>3894.1059248480597</v>
      </c>
      <c r="AS139" s="40">
        <f>SUM(AS92,AS103)-2*1.06-2*1.1</f>
        <v>20.880000000000003</v>
      </c>
      <c r="AT139" s="39">
        <f>AS139/2.2046226218</f>
        <v>9.4710086858095401</v>
      </c>
      <c r="AU139" s="39">
        <f>AT139/58.8*10000</f>
        <v>1610.7157628927789</v>
      </c>
    </row>
    <row r="140" spans="1:47" x14ac:dyDescent="0.25">
      <c r="E140" s="40">
        <f>SUM(E91,E104)-2*1.06-2*1.1</f>
        <v>54.78</v>
      </c>
      <c r="F140" s="39">
        <f>E140/2.2046226218</f>
        <v>24.847790029149742</v>
      </c>
      <c r="G140" s="39">
        <f>F140/58.8*10000</f>
        <v>4225.8146308077794</v>
      </c>
      <c r="J140" s="40">
        <f>SUM(J91,J104)-2*1.06-2*1.1</f>
        <v>71.08</v>
      </c>
      <c r="K140" s="39">
        <f>J140/2.2046226218</f>
        <v>32.241345660313314</v>
      </c>
      <c r="L140" s="39">
        <f>K140/58.8*10000</f>
        <v>5483.2220510736925</v>
      </c>
      <c r="O140" s="40">
        <f>SUM(O91,O104)-2*1.06-2*1.1</f>
        <v>71.58</v>
      </c>
      <c r="P140" s="39">
        <f>O140/2.2046226218</f>
        <v>32.468141845318335</v>
      </c>
      <c r="Q140" s="39">
        <f>P140/58.8*10000</f>
        <v>5521.7928308364517</v>
      </c>
      <c r="T140" s="40">
        <f>SUM(T91,T104)-2*1.06-2*1.1</f>
        <v>61.68</v>
      </c>
      <c r="U140" s="39">
        <f>T140/2.2046226218</f>
        <v>27.977577382218985</v>
      </c>
      <c r="V140" s="39">
        <f>U140/58.8*10000</f>
        <v>4758.0913915338415</v>
      </c>
      <c r="Y140" s="40">
        <f>SUM(Y91,Y104)-2*1.06-2*1.1</f>
        <v>48.68</v>
      </c>
      <c r="Z140" s="39">
        <f>Y140/2.2046226218</f>
        <v>22.080876572088524</v>
      </c>
      <c r="AA140" s="39">
        <f>Z140/58.8*10000</f>
        <v>3755.2511177021302</v>
      </c>
      <c r="AD140" s="40">
        <f>SUM(AD91,AD104)-2*1.06-2*1.1</f>
        <v>57.68</v>
      </c>
      <c r="AE140" s="39">
        <f>AD140/2.2046226218</f>
        <v>26.163207902178844</v>
      </c>
      <c r="AF140" s="39">
        <f>AE140/58.8*10000</f>
        <v>4449.5251534317767</v>
      </c>
      <c r="AI140" s="40">
        <f>SUM(AI91,AI104)-2*1.06-2*1.1</f>
        <v>66.78</v>
      </c>
      <c r="AJ140" s="39">
        <f>AI140/2.2046226218</f>
        <v>30.290898469270168</v>
      </c>
      <c r="AK140" s="39">
        <f>AJ140/58.8*10000</f>
        <v>5151.5133451139736</v>
      </c>
      <c r="AN140" s="40">
        <f>SUM(AN91,AN104)-2*1.06-2*1.1</f>
        <v>55.080000000000005</v>
      </c>
      <c r="AO140" s="39">
        <f>AN140/2.2046226218</f>
        <v>24.983867740152753</v>
      </c>
      <c r="AP140" s="39">
        <f>AO140/58.8*10000</f>
        <v>4248.9570986654344</v>
      </c>
      <c r="AS140" s="40">
        <f>SUM(AS91,AS104)-2*1.06-2*1.1</f>
        <v>15.579999999999998</v>
      </c>
      <c r="AT140" s="39">
        <f>AS140/2.2046226218</f>
        <v>7.0669691247563513</v>
      </c>
      <c r="AU140" s="39">
        <f>AT140/58.8*10000</f>
        <v>1201.8654974075428</v>
      </c>
    </row>
    <row r="141" spans="1:47" x14ac:dyDescent="0.25">
      <c r="E141" s="40">
        <f>SUM(E90,E105)-2*1.06-2*1.1</f>
        <v>57.28</v>
      </c>
      <c r="F141" s="39">
        <f>E141/2.2046226218</f>
        <v>25.981770954174831</v>
      </c>
      <c r="G141" s="39">
        <f>F141/58.8*10000</f>
        <v>4418.6685296215701</v>
      </c>
      <c r="J141" s="40">
        <f>SUM(J90,J105)-2*1.06-2*1.1</f>
        <v>76.279999999999987</v>
      </c>
      <c r="K141" s="39">
        <f>J141/2.2046226218</f>
        <v>34.600025984365494</v>
      </c>
      <c r="L141" s="39">
        <f>K141/58.8*10000</f>
        <v>5884.3581606063763</v>
      </c>
      <c r="O141" s="40">
        <f>SUM(O90,O105)-2*1.06-2*1.1</f>
        <v>65.48</v>
      </c>
      <c r="P141" s="39">
        <f>O141/2.2046226218</f>
        <v>29.701228388257121</v>
      </c>
      <c r="Q141" s="39">
        <f>P141/58.8*10000</f>
        <v>5051.2293177308029</v>
      </c>
      <c r="T141" s="40">
        <f>SUM(T90,T105)-2*1.06-2*1.1</f>
        <v>55.88</v>
      </c>
      <c r="U141" s="39">
        <f>T141/2.2046226218</f>
        <v>25.346741636160782</v>
      </c>
      <c r="V141" s="39">
        <f>U141/58.8*10000</f>
        <v>4310.6703462858477</v>
      </c>
      <c r="Y141" s="40">
        <f>SUM(Y90,Y105)-2*1.06-2*1.1</f>
        <v>62.47999999999999</v>
      </c>
      <c r="Z141" s="39">
        <f>Y141/2.2046226218</f>
        <v>28.340451278227007</v>
      </c>
      <c r="AA141" s="39">
        <f>Z141/58.8*10000</f>
        <v>4819.804639154253</v>
      </c>
      <c r="AD141" s="40">
        <f>SUM(AD90,AD105)-2*1.06-2*1.1</f>
        <v>64.47999999999999</v>
      </c>
      <c r="AE141" s="39">
        <f>AD141/2.2046226218</f>
        <v>29.247636018247078</v>
      </c>
      <c r="AF141" s="39">
        <f>AE141/58.8*10000</f>
        <v>4974.0877582052854</v>
      </c>
      <c r="AI141" s="40">
        <f>SUM(AI90,AI105)-2*1.06-2*1.1</f>
        <v>71.88</v>
      </c>
      <c r="AJ141" s="39">
        <f>AI141/2.2046226218</f>
        <v>32.604219556321347</v>
      </c>
      <c r="AK141" s="39">
        <f>AJ141/58.8*10000</f>
        <v>5544.9352986941067</v>
      </c>
      <c r="AN141" s="40">
        <f>SUM(AN90,AN105)-2*1.06-2*1.1</f>
        <v>57.08</v>
      </c>
      <c r="AO141" s="39">
        <f>AN141/2.2046226218</f>
        <v>25.891052480172821</v>
      </c>
      <c r="AP141" s="39">
        <f>AO141/58.8*10000</f>
        <v>4403.2402177164668</v>
      </c>
      <c r="AS141" s="40">
        <f>SUM(AS90,AS105)-2*1.06-2*1.1</f>
        <v>25.68</v>
      </c>
      <c r="AT141" s="39">
        <f>AS141/2.2046226218</f>
        <v>11.648252061857709</v>
      </c>
      <c r="AU141" s="39">
        <f>AT141/58.8*10000</f>
        <v>1980.9952486152567</v>
      </c>
    </row>
    <row r="142" spans="1:47" x14ac:dyDescent="0.25">
      <c r="E142" s="40">
        <f>SUM(E89,E106)-2*1.06-2*1.1</f>
        <v>46.28</v>
      </c>
      <c r="F142" s="39">
        <f>E142/2.2046226218</f>
        <v>20.99225488406444</v>
      </c>
      <c r="G142" s="39">
        <f>F142/58.8*10000</f>
        <v>3570.1113748408916</v>
      </c>
      <c r="J142" s="40">
        <f>SUM(J89,J106)-2*1.06-2*1.1</f>
        <v>69.48</v>
      </c>
      <c r="K142" s="39">
        <f>J142/2.2046226218</f>
        <v>31.515597868297263</v>
      </c>
      <c r="L142" s="39">
        <f>K142/58.8*10000</f>
        <v>5359.7955558328676</v>
      </c>
      <c r="O142" s="40">
        <f>SUM(O89,O106)-2*1.06-2*1.1</f>
        <v>69.28</v>
      </c>
      <c r="P142" s="39">
        <f>O142/2.2046226218</f>
        <v>31.424879394295253</v>
      </c>
      <c r="Q142" s="39">
        <f>P142/58.8*10000</f>
        <v>5344.3672439277643</v>
      </c>
      <c r="T142" s="40">
        <f>SUM(T89,T106)-2*1.06-2*1.1</f>
        <v>61.38</v>
      </c>
      <c r="U142" s="39">
        <f>T142/2.2046226218</f>
        <v>27.841499671215974</v>
      </c>
      <c r="V142" s="39">
        <f>U142/58.8*10000</f>
        <v>4734.9489236761865</v>
      </c>
      <c r="Y142" s="40">
        <f>SUM(Y89,Y106)-2*1.06-2*1.1</f>
        <v>59.080000000000005</v>
      </c>
      <c r="Z142" s="39">
        <f>Y142/2.2046226218</f>
        <v>26.798237220192895</v>
      </c>
      <c r="AA142" s="39">
        <f>Z142/58.8*10000</f>
        <v>4557.5233367674991</v>
      </c>
      <c r="AD142" s="40">
        <f>SUM(AD89,AD106)-2*1.06-2*1.1</f>
        <v>61.38</v>
      </c>
      <c r="AE142" s="39">
        <f>AD142/2.2046226218</f>
        <v>27.841499671215974</v>
      </c>
      <c r="AF142" s="39">
        <f>AE142/58.8*10000</f>
        <v>4734.9489236761865</v>
      </c>
      <c r="AI142" s="40">
        <f>SUM(AI89,AI106)-2*1.06-2*1.1</f>
        <v>77.97999999999999</v>
      </c>
      <c r="AJ142" s="39">
        <f>AI142/2.2046226218</f>
        <v>35.371133013382561</v>
      </c>
      <c r="AK142" s="39">
        <f>AJ142/58.8*10000</f>
        <v>6015.4988117997555</v>
      </c>
      <c r="AN142" s="40">
        <f>SUM(AN89,AN106)-2*1.06-2*1.1</f>
        <v>58.579999999999991</v>
      </c>
      <c r="AO142" s="39">
        <f>AN142/2.2046226218</f>
        <v>26.57144103518787</v>
      </c>
      <c r="AP142" s="39">
        <f>AO142/58.8*10000</f>
        <v>4518.9525570047399</v>
      </c>
      <c r="AS142" s="40">
        <f>SUM(AS89,AS106)-2*1.06-2*1.1</f>
        <v>17.579999999999998</v>
      </c>
      <c r="AT142" s="39">
        <f>AS142/2.2046226218</f>
        <v>7.9741538647764223</v>
      </c>
      <c r="AU142" s="39">
        <f>AT142/58.8*10000</f>
        <v>1356.1486164585754</v>
      </c>
    </row>
    <row r="143" spans="1:47" x14ac:dyDescent="0.25">
      <c r="E143" s="40">
        <f>SUM(E88,E107)-2*1.06-2*1.1</f>
        <v>36.279999999999994</v>
      </c>
      <c r="F143" s="39">
        <f>E143/2.2046226218</f>
        <v>16.456331183964082</v>
      </c>
      <c r="G143" s="39">
        <f>F143/58.8*10000</f>
        <v>2798.6957795857279</v>
      </c>
      <c r="J143" s="40">
        <f>SUM(J88,J107)-2*1.06-2*1.1</f>
        <v>69.279999999999987</v>
      </c>
      <c r="K143" s="39">
        <f>J143/2.2046226218</f>
        <v>31.42487939429525</v>
      </c>
      <c r="L143" s="39">
        <f>K143/58.8*10000</f>
        <v>5344.3672439277634</v>
      </c>
      <c r="O143" s="40">
        <f>SUM(O88,O107)-2*1.06-2*1.1</f>
        <v>59.18</v>
      </c>
      <c r="P143" s="39">
        <f>O143/2.2046226218</f>
        <v>26.843596457193897</v>
      </c>
      <c r="Q143" s="39">
        <f>P143/58.8*10000</f>
        <v>4565.2374927200508</v>
      </c>
      <c r="T143" s="40">
        <f>SUM(T88,T107)-2*1.06-2*1.1</f>
        <v>43.38</v>
      </c>
      <c r="U143" s="39">
        <f>T143/2.2046226218</f>
        <v>19.676837011035339</v>
      </c>
      <c r="V143" s="39">
        <f>U143/58.8*10000</f>
        <v>3346.4008522168947</v>
      </c>
      <c r="Y143" s="40">
        <f>SUM(Y88,Y107)-2*1.06-2*1.1</f>
        <v>61.48</v>
      </c>
      <c r="Z143" s="39">
        <f>Y143/2.2046226218</f>
        <v>27.886858908216976</v>
      </c>
      <c r="AA143" s="39">
        <f>Z143/58.8*10000</f>
        <v>4742.6630796287382</v>
      </c>
      <c r="AD143" s="40">
        <f>SUM(AD88,AD107)-2*1.06-2*1.1</f>
        <v>51.980000000000004</v>
      </c>
      <c r="AE143" s="39">
        <f>AD143/2.2046226218</f>
        <v>23.577731393121642</v>
      </c>
      <c r="AF143" s="39">
        <f>AE143/58.8*10000</f>
        <v>4009.8182641363337</v>
      </c>
      <c r="AI143" s="40">
        <f>SUM(AI88,AI107)-2*1.06-2*1.1</f>
        <v>74.579999999999984</v>
      </c>
      <c r="AJ143" s="39">
        <f>AI143/2.2046226218</f>
        <v>33.828918955348435</v>
      </c>
      <c r="AK143" s="39">
        <f>AJ143/58.8*10000</f>
        <v>5753.2175094129989</v>
      </c>
      <c r="AN143" s="40">
        <f>SUM(AN88,AN107)-2*1.06-2*1.1</f>
        <v>56.88</v>
      </c>
      <c r="AO143" s="39">
        <f>AN143/2.2046226218</f>
        <v>25.800334006170818</v>
      </c>
      <c r="AP143" s="39">
        <f>AO143/58.8*10000</f>
        <v>4387.8119058113643</v>
      </c>
      <c r="AS143" s="40">
        <f>SUM(AS88,AS107)-2*1.06-2*1.1</f>
        <v>20.98</v>
      </c>
      <c r="AT143" s="39">
        <f>AS143/2.2046226218</f>
        <v>9.5163679228105433</v>
      </c>
      <c r="AU143" s="39">
        <f>AT143/58.8*10000</f>
        <v>1618.4299188453306</v>
      </c>
    </row>
    <row r="144" spans="1:47" x14ac:dyDescent="0.25">
      <c r="E144" s="40">
        <f>SUM(E117:E118)-2*1.06-2*1.1</f>
        <v>56.68</v>
      </c>
      <c r="F144" s="39">
        <f>E144/2.2046226218</f>
        <v>25.709615532168808</v>
      </c>
      <c r="G144" s="39">
        <f>F144/58.8*10000</f>
        <v>4372.3835939062601</v>
      </c>
      <c r="J144" s="40">
        <f>SUM(J117:J118)-2*1.06-2*1.1</f>
        <v>75.58</v>
      </c>
      <c r="K144" s="39">
        <f>J144/2.2046226218</f>
        <v>34.282511325358477</v>
      </c>
      <c r="L144" s="39">
        <f>K144/58.8*10000</f>
        <v>5830.3590689385164</v>
      </c>
      <c r="O144" s="40">
        <f>SUM(O117:O118)-2*1.06-2*1.1</f>
        <v>55.88</v>
      </c>
      <c r="P144" s="39">
        <f>O144/2.2046226218</f>
        <v>25.346741636160782</v>
      </c>
      <c r="Q144" s="39">
        <f>P144/58.8*10000</f>
        <v>4310.6703462858477</v>
      </c>
      <c r="T144" s="40">
        <f>SUM(T117:T118)-2*1.06-2*1.1</f>
        <v>48.580000000000005</v>
      </c>
      <c r="U144" s="39">
        <f>T144/2.2046226218</f>
        <v>22.035517335087523</v>
      </c>
      <c r="V144" s="39">
        <f>U144/58.8*10000</f>
        <v>3747.5369617495789</v>
      </c>
      <c r="Y144" s="40">
        <f>SUM(Y117:Y118)-2*1.06-2*1.1</f>
        <v>51.38</v>
      </c>
      <c r="Z144" s="39">
        <f>Y144/2.2046226218</f>
        <v>23.305575971115623</v>
      </c>
      <c r="AA144" s="39">
        <f>Z144/58.8*10000</f>
        <v>3963.5333284210246</v>
      </c>
      <c r="AD144" s="40">
        <f>SUM(AD117:AD118)-2*1.06-2*1.1</f>
        <v>48.98</v>
      </c>
      <c r="AE144" s="39">
        <f>AD144/2.2046226218</f>
        <v>22.216954283091535</v>
      </c>
      <c r="AF144" s="39">
        <f>AE144/58.8*10000</f>
        <v>3778.3935855597852</v>
      </c>
      <c r="AI144" s="40">
        <f>SUM(AI117:AI118)-2*1.06-2*1.1</f>
        <v>65.08</v>
      </c>
      <c r="AJ144" s="39">
        <f>AI144/2.2046226218</f>
        <v>29.519791440253105</v>
      </c>
      <c r="AK144" s="39">
        <f>AJ144/58.8*10000</f>
        <v>5020.3726939205962</v>
      </c>
      <c r="AN144" s="40">
        <f>SUM(AN117:AN118)-2*1.06-2*1.1</f>
        <v>44.18</v>
      </c>
      <c r="AO144" s="39">
        <f>AN144/2.2046226218</f>
        <v>20.039710907043364</v>
      </c>
      <c r="AP144" s="39">
        <f>AO144/58.8*10000</f>
        <v>3408.1140998373071</v>
      </c>
      <c r="AS144" s="40">
        <f>SUM(AS117:AS118)-2*1.06-2*1.1</f>
        <v>14.879999999999999</v>
      </c>
      <c r="AT144" s="39">
        <f>AS144/2.2046226218</f>
        <v>6.7494544657493263</v>
      </c>
      <c r="AU144" s="39">
        <f>AT144/58.8*10000</f>
        <v>1147.8664057396816</v>
      </c>
    </row>
    <row r="145" spans="5:47" x14ac:dyDescent="0.25">
      <c r="E145" s="40">
        <f>SUM(E116,E119)-2*1.06-2*1.1</f>
        <v>57.88</v>
      </c>
      <c r="F145" s="39">
        <f>E145/2.2046226218</f>
        <v>26.25392637618085</v>
      </c>
      <c r="G145" s="39">
        <f>F145/58.8*10000</f>
        <v>4464.9534653368792</v>
      </c>
      <c r="J145" s="40">
        <f>SUM(J116,J119)-2*1.06-2*1.1</f>
        <v>68.279999999999987</v>
      </c>
      <c r="K145" s="39">
        <f>J145/2.2046226218</f>
        <v>30.971287024285214</v>
      </c>
      <c r="L145" s="39">
        <f>K145/58.8*10000</f>
        <v>5267.2256844022477</v>
      </c>
      <c r="O145" s="40">
        <f>SUM(O116,O119)-2*1.06-2*1.1</f>
        <v>64.779999999999987</v>
      </c>
      <c r="P145" s="39">
        <f>O145/2.2046226218</f>
        <v>29.38371372925009</v>
      </c>
      <c r="Q145" s="39">
        <f>P145/58.8*10000</f>
        <v>4997.2302260629413</v>
      </c>
      <c r="T145" s="40">
        <f>SUM(T116,T119)-2*1.06-2*1.1</f>
        <v>50.58</v>
      </c>
      <c r="U145" s="39">
        <f>T145/2.2046226218</f>
        <v>22.94270207510759</v>
      </c>
      <c r="V145" s="39">
        <f>U145/58.8*10000</f>
        <v>3901.8200808006109</v>
      </c>
      <c r="Y145" s="40">
        <f>SUM(Y116,Y119)-2*1.06-2*1.1</f>
        <v>48.68</v>
      </c>
      <c r="Z145" s="39">
        <f>Y145/2.2046226218</f>
        <v>22.080876572088524</v>
      </c>
      <c r="AA145" s="39">
        <f>Z145/58.8*10000</f>
        <v>3755.2511177021302</v>
      </c>
      <c r="AD145" s="40">
        <f>SUM(AD116,AD119)-2*1.06-2*1.1</f>
        <v>55.68</v>
      </c>
      <c r="AE145" s="39">
        <f>AD145/2.2046226218</f>
        <v>25.256023162158773</v>
      </c>
      <c r="AF145" s="39">
        <f>AE145/58.8*10000</f>
        <v>4295.2420343807444</v>
      </c>
      <c r="AI145" s="40">
        <f>SUM(AI116,AI119)-2*1.06-2*1.1</f>
        <v>56.28</v>
      </c>
      <c r="AJ145" s="39">
        <f>AI145/2.2046226218</f>
        <v>25.528178584164795</v>
      </c>
      <c r="AK145" s="39">
        <f>AJ145/58.8*10000</f>
        <v>4341.5269700960544</v>
      </c>
      <c r="AN145" s="40">
        <f>SUM(AN116,AN119)-2*1.06-2*1.1</f>
        <v>43.08</v>
      </c>
      <c r="AO145" s="39">
        <f>AN145/2.2046226218</f>
        <v>19.540759300032324</v>
      </c>
      <c r="AP145" s="39">
        <f>AO145/58.8*10000</f>
        <v>3323.2583843592388</v>
      </c>
      <c r="AS145" s="40">
        <f>SUM(AS116,AS119)-2*1.06-2*1.1</f>
        <v>18.079999999999998</v>
      </c>
      <c r="AT145" s="39">
        <f>AS145/2.2046226218</f>
        <v>8.20095004978144</v>
      </c>
      <c r="AU145" s="39">
        <f>AT145/58.8*10000</f>
        <v>1394.7193962213332</v>
      </c>
    </row>
    <row r="146" spans="5:47" x14ac:dyDescent="0.25">
      <c r="E146" s="40">
        <f>SUM(E115,E120)-2*1.06-2*1.1</f>
        <v>62.879999999999995</v>
      </c>
      <c r="F146" s="39">
        <f>E146/2.2046226218</f>
        <v>28.521888226231024</v>
      </c>
      <c r="G146" s="39">
        <f>F146/58.8*10000</f>
        <v>4850.6612629644605</v>
      </c>
      <c r="J146" s="40">
        <f>SUM(J115,J120)-2*1.06-2*1.1</f>
        <v>84.08</v>
      </c>
      <c r="K146" s="39">
        <f>J146/2.2046226218</f>
        <v>38.138046470443776</v>
      </c>
      <c r="L146" s="39">
        <f>K146/58.8*10000</f>
        <v>6486.0623249054042</v>
      </c>
      <c r="O146" s="40">
        <f>SUM(O115,O120)-2*1.06-2*1.1</f>
        <v>73.679999999999993</v>
      </c>
      <c r="P146" s="39">
        <f>O146/2.2046226218</f>
        <v>33.420685822339408</v>
      </c>
      <c r="Q146" s="39">
        <f>P146/58.8*10000</f>
        <v>5683.7901058400357</v>
      </c>
      <c r="T146" s="40">
        <f>SUM(T115,T120)-2*1.06-2*1.1</f>
        <v>56.779999999999994</v>
      </c>
      <c r="U146" s="39">
        <f>T146/2.2046226218</f>
        <v>25.754974769169809</v>
      </c>
      <c r="V146" s="39">
        <f>U146/58.8*10000</f>
        <v>4380.0977498588109</v>
      </c>
      <c r="Y146" s="40">
        <f>SUM(Y115,Y120)-2*1.06-2*1.1</f>
        <v>63.279999999999987</v>
      </c>
      <c r="Z146" s="39">
        <f>Y146/2.2046226218</f>
        <v>28.703325174235037</v>
      </c>
      <c r="AA146" s="39">
        <f>Z146/58.8*10000</f>
        <v>4881.5178867746663</v>
      </c>
      <c r="AD146" s="40">
        <f>SUM(AD115,AD120)-2*1.06-2*1.1</f>
        <v>62.279999999999987</v>
      </c>
      <c r="AE146" s="39">
        <f>AD146/2.2046226218</f>
        <v>28.249732804225001</v>
      </c>
      <c r="AF146" s="39">
        <f>AE146/58.8*10000</f>
        <v>4804.3763272491506</v>
      </c>
      <c r="AI146" s="40">
        <f>SUM(AI115,AI120)-2*1.06-2*1.1</f>
        <v>65.179999999999993</v>
      </c>
      <c r="AJ146" s="39">
        <f>AI146/2.2046226218</f>
        <v>29.565150677254106</v>
      </c>
      <c r="AK146" s="39">
        <f>AJ146/58.8*10000</f>
        <v>5028.0868498731479</v>
      </c>
      <c r="AN146" s="40">
        <f>SUM(AN115,AN120)-2*1.06-2*1.1</f>
        <v>38.380000000000003</v>
      </c>
      <c r="AO146" s="39">
        <f>AN146/2.2046226218</f>
        <v>17.408875160985161</v>
      </c>
      <c r="AP146" s="39">
        <f>AO146/58.8*10000</f>
        <v>2960.6930545893133</v>
      </c>
      <c r="AS146" s="40">
        <f>SUM(AS115,AS120)-2*1.06-2*1.1</f>
        <v>18.68</v>
      </c>
      <c r="AT146" s="39">
        <f>AS146/2.2046226218</f>
        <v>8.473105471787461</v>
      </c>
      <c r="AU146" s="39">
        <f>AT146/58.8*10000</f>
        <v>1441.004331936643</v>
      </c>
    </row>
    <row r="147" spans="5:47" x14ac:dyDescent="0.25">
      <c r="E147" s="40">
        <f>SUM(E114,E121)-2*1.06-2*1.1</f>
        <v>61.18</v>
      </c>
      <c r="F147" s="39">
        <f>E147/2.2046226218</f>
        <v>27.750781197213968</v>
      </c>
      <c r="G147" s="39">
        <f>F147/58.8*10000</f>
        <v>4719.5206117710832</v>
      </c>
      <c r="J147" s="40">
        <f>SUM(J114,J121)-2*1.06-2*1.1</f>
        <v>82.08</v>
      </c>
      <c r="K147" s="39">
        <f>J147/2.2046226218</f>
        <v>37.230861730423705</v>
      </c>
      <c r="L147" s="39">
        <f>K147/58.8*10000</f>
        <v>6331.7792058543719</v>
      </c>
      <c r="O147" s="40">
        <f>SUM(O114,O121)-2*1.06-2*1.1</f>
        <v>77.879999999999981</v>
      </c>
      <c r="P147" s="39">
        <f>O147/2.2046226218</f>
        <v>35.325773776381553</v>
      </c>
      <c r="Q147" s="39">
        <f>P147/58.8*10000</f>
        <v>6007.7846558472038</v>
      </c>
      <c r="T147" s="40">
        <f>SUM(T114,T121)-2*1.06-2*1.1</f>
        <v>57.779999999999994</v>
      </c>
      <c r="U147" s="39">
        <f>T147/2.2046226218</f>
        <v>26.208567139179845</v>
      </c>
      <c r="V147" s="39">
        <f>U147/58.8*10000</f>
        <v>4457.2393093843275</v>
      </c>
      <c r="Y147" s="40">
        <f>SUM(Y114,Y121)-2*1.06-2*1.1</f>
        <v>56.98</v>
      </c>
      <c r="Z147" s="39">
        <f>Y147/2.2046226218</f>
        <v>25.845693243171816</v>
      </c>
      <c r="AA147" s="39">
        <f>Z147/58.8*10000</f>
        <v>4395.5260617639151</v>
      </c>
      <c r="AD147" s="40">
        <f>SUM(AD114,AD121)-2*1.06-2*1.1</f>
        <v>56.88</v>
      </c>
      <c r="AE147" s="39">
        <f>AD147/2.2046226218</f>
        <v>25.800334006170818</v>
      </c>
      <c r="AF147" s="39">
        <f>AE147/58.8*10000</f>
        <v>4387.8119058113643</v>
      </c>
      <c r="AI147" s="40">
        <f>SUM(AI114,AI121)-2*1.06-2*1.1</f>
        <v>64.38</v>
      </c>
      <c r="AJ147" s="39">
        <f>AI147/2.2046226218</f>
        <v>29.202276781246077</v>
      </c>
      <c r="AK147" s="39">
        <f>AJ147/58.8*10000</f>
        <v>4966.3736022527346</v>
      </c>
      <c r="AN147" s="40">
        <f>SUM(AN114,AN121)-2*1.06-2*1.1</f>
        <v>39.380000000000003</v>
      </c>
      <c r="AO147" s="39">
        <f>AN147/2.2046226218</f>
        <v>17.862467530995197</v>
      </c>
      <c r="AP147" s="39">
        <f>AO147/58.8*10000</f>
        <v>3037.8346141148295</v>
      </c>
      <c r="AS147" s="40">
        <f>SUM(AS114,AS121)-2*1.06-2*1.1</f>
        <v>13.880000000000003</v>
      </c>
      <c r="AT147" s="39">
        <f>AS147/2.2046226218</f>
        <v>6.2958620957392926</v>
      </c>
      <c r="AU147" s="39">
        <f>AT147/58.8*10000</f>
        <v>1070.7248462141654</v>
      </c>
    </row>
    <row r="148" spans="5:47" x14ac:dyDescent="0.25">
      <c r="E148" s="40">
        <f>SUM(E113,E122)-2*1.06-2*1.1</f>
        <v>59.68</v>
      </c>
      <c r="F148" s="39">
        <f>E148/2.2046226218</f>
        <v>27.070392642198915</v>
      </c>
      <c r="G148" s="39">
        <f>F148/58.8*10000</f>
        <v>4603.8082724828091</v>
      </c>
      <c r="J148" s="40">
        <f>SUM(J113,J122)-2*1.06-2*1.1</f>
        <v>76.88</v>
      </c>
      <c r="K148" s="39">
        <f>J148/2.2046226218</f>
        <v>34.872181406371524</v>
      </c>
      <c r="L148" s="39">
        <f>K148/58.8*10000</f>
        <v>5930.6430963216881</v>
      </c>
      <c r="O148" s="40">
        <f>SUM(O113,O122)-2*1.06-2*1.1</f>
        <v>66.179999999999993</v>
      </c>
      <c r="P148" s="39">
        <f>O148/2.2046226218</f>
        <v>30.018743047264142</v>
      </c>
      <c r="Q148" s="39">
        <f>P148/58.8*10000</f>
        <v>5105.2284093986636</v>
      </c>
      <c r="T148" s="40">
        <f>SUM(T113,T122)-2*1.06-2*1.1</f>
        <v>47.080000000000005</v>
      </c>
      <c r="U148" s="39">
        <f>T148/2.2046226218</f>
        <v>21.355128780072469</v>
      </c>
      <c r="V148" s="39">
        <f>U148/58.8*10000</f>
        <v>3631.8246224613044</v>
      </c>
      <c r="Y148" s="40">
        <f>SUM(Y113,Y122)-2*1.06-2*1.1</f>
        <v>60.38</v>
      </c>
      <c r="Z148" s="39">
        <f>Y148/2.2046226218</f>
        <v>27.387907301205939</v>
      </c>
      <c r="AA148" s="39">
        <f>Z148/58.8*10000</f>
        <v>4657.8073641506699</v>
      </c>
      <c r="AD148" s="40">
        <f>SUM(AD113,AD122)-2*1.06-2*1.1</f>
        <v>56.580000000000005</v>
      </c>
      <c r="AE148" s="39">
        <f>AD148/2.2046226218</f>
        <v>25.664256295167807</v>
      </c>
      <c r="AF148" s="39">
        <f>AE148/58.8*10000</f>
        <v>4364.6694379537084</v>
      </c>
      <c r="AI148" s="40">
        <f>SUM(AI113,AI122)-2*1.06-2*1.1</f>
        <v>59.480000000000004</v>
      </c>
      <c r="AJ148" s="39">
        <f>AI148/2.2046226218</f>
        <v>26.979674168196908</v>
      </c>
      <c r="AK148" s="39">
        <f>AJ148/58.8*10000</f>
        <v>4588.3799605777058</v>
      </c>
      <c r="AN148" s="40">
        <f>SUM(AN113,AN122)-2*1.06-2*1.1</f>
        <v>40.68</v>
      </c>
      <c r="AO148" s="39">
        <f>AN148/2.2046226218</f>
        <v>18.45213761200824</v>
      </c>
      <c r="AP148" s="39">
        <f>AO148/58.8*10000</f>
        <v>3138.1186414980002</v>
      </c>
      <c r="AS148" s="40">
        <f>SUM(AS113,AS122)-2*1.06-2*1.1</f>
        <v>18.079999999999998</v>
      </c>
      <c r="AT148" s="39">
        <f>AS148/2.2046226218</f>
        <v>8.20095004978144</v>
      </c>
      <c r="AU148" s="39">
        <f>AT148/58.8*10000</f>
        <v>1394.7193962213332</v>
      </c>
    </row>
    <row r="149" spans="5:47" x14ac:dyDescent="0.25">
      <c r="E149" s="40">
        <f>SUM(E112,E123)-2*1.06-2*1.1</f>
        <v>52.18</v>
      </c>
      <c r="F149" s="39">
        <f>E149/2.2046226218</f>
        <v>23.668449867123648</v>
      </c>
      <c r="G149" s="39">
        <f>F149/58.8*10000</f>
        <v>4025.246576041437</v>
      </c>
      <c r="J149" s="40">
        <f>SUM(J112,J123)-2*1.06-2*1.1</f>
        <v>80.97999999999999</v>
      </c>
      <c r="K149" s="39">
        <f>J149/2.2046226218</f>
        <v>36.731910123412668</v>
      </c>
      <c r="L149" s="39">
        <f>K149/58.8*10000</f>
        <v>6246.9234903763036</v>
      </c>
      <c r="O149" s="40">
        <f>SUM(O112,O123)-2*1.06-2*1.1</f>
        <v>73.47999999999999</v>
      </c>
      <c r="P149" s="39">
        <f>O149/2.2046226218</f>
        <v>33.329967348337398</v>
      </c>
      <c r="Q149" s="39">
        <f>P149/58.8*10000</f>
        <v>5668.3617939349315</v>
      </c>
      <c r="T149" s="40">
        <f>SUM(T112,T123)-2*1.06-2*1.1</f>
        <v>52.38</v>
      </c>
      <c r="U149" s="39">
        <f>T149/2.2046226218</f>
        <v>23.759168341125658</v>
      </c>
      <c r="V149" s="39">
        <f>U149/58.8*10000</f>
        <v>4040.6748879465408</v>
      </c>
      <c r="Y149" s="40">
        <f>SUM(Y112,Y123)-2*1.06-2*1.1</f>
        <v>53.080000000000005</v>
      </c>
      <c r="Z149" s="39">
        <f>Y149/2.2046226218</f>
        <v>24.076683000132682</v>
      </c>
      <c r="AA149" s="39">
        <f>Z149/58.8*10000</f>
        <v>4094.673979614402</v>
      </c>
      <c r="AD149" s="40">
        <f>SUM(AD112,AD123)-2*1.06-2*1.1</f>
        <v>57.08</v>
      </c>
      <c r="AE149" s="39">
        <f>AD149/2.2046226218</f>
        <v>25.891052480172821</v>
      </c>
      <c r="AF149" s="39">
        <f>AE149/58.8*10000</f>
        <v>4403.2402177164668</v>
      </c>
      <c r="AI149" s="40">
        <f>SUM(AI112,AI123)-2*1.06-2*1.1</f>
        <v>62.179999999999993</v>
      </c>
      <c r="AJ149" s="39">
        <f>AI149/2.2046226218</f>
        <v>28.204373567224</v>
      </c>
      <c r="AK149" s="39">
        <f>AJ149/58.8*10000</f>
        <v>4796.6621712965989</v>
      </c>
      <c r="AN149" s="40">
        <f>SUM(AN112,AN123)-2*1.06-2*1.1</f>
        <v>45.88</v>
      </c>
      <c r="AO149" s="39">
        <f>AN149/2.2046226218</f>
        <v>20.810817936060428</v>
      </c>
      <c r="AP149" s="39">
        <f>AO149/58.8*10000</f>
        <v>3539.2547510306849</v>
      </c>
      <c r="AS149" s="40">
        <f>SUM(AS112,AS123)-2*1.06-2*1.1</f>
        <v>17.880000000000003</v>
      </c>
      <c r="AT149" s="39">
        <f>AS149/2.2046226218</f>
        <v>8.1102315757794354</v>
      </c>
      <c r="AU149" s="39">
        <f>AT149/58.8*10000</f>
        <v>1379.2910843162306</v>
      </c>
    </row>
    <row r="150" spans="5:47" x14ac:dyDescent="0.25">
      <c r="E150" s="40">
        <f>SUM(E111,E124)-2*1.06-2*1.1</f>
        <v>54.58</v>
      </c>
      <c r="F150" s="39">
        <f>E150/2.2046226218</f>
        <v>24.757071555147732</v>
      </c>
      <c r="G150" s="39">
        <f>F150/58.8*10000</f>
        <v>4210.3863189026761</v>
      </c>
      <c r="J150" s="40">
        <f>SUM(J111,J124)-2*1.06-2*1.1</f>
        <v>74.08</v>
      </c>
      <c r="K150" s="39">
        <f>J150/2.2046226218</f>
        <v>33.602122770343421</v>
      </c>
      <c r="L150" s="39">
        <f>K150/58.8*10000</f>
        <v>5714.6467296502424</v>
      </c>
      <c r="O150" s="40">
        <f>SUM(O111,O124)-2*1.06-2*1.1</f>
        <v>71.08</v>
      </c>
      <c r="P150" s="39">
        <f>O150/2.2046226218</f>
        <v>32.241345660313314</v>
      </c>
      <c r="Q150" s="39">
        <f>P150/58.8*10000</f>
        <v>5483.2220510736925</v>
      </c>
      <c r="T150" s="40">
        <f>SUM(T111,T124)-2*1.06-2*1.1</f>
        <v>54.98</v>
      </c>
      <c r="U150" s="39">
        <f>T150/2.2046226218</f>
        <v>24.938508503151745</v>
      </c>
      <c r="V150" s="39">
        <f>U150/58.8*10000</f>
        <v>4241.2429427128818</v>
      </c>
      <c r="Y150" s="40">
        <f>SUM(Y111,Y124)-2*1.06-2*1.1</f>
        <v>57.879999999999995</v>
      </c>
      <c r="Z150" s="39">
        <f>Y150/2.2046226218</f>
        <v>26.25392637618085</v>
      </c>
      <c r="AA150" s="39">
        <f>Z150/58.8*10000</f>
        <v>4464.9534653368792</v>
      </c>
      <c r="AD150" s="40">
        <f>SUM(AD111,AD124)-2*1.06-2*1.1</f>
        <v>54.18</v>
      </c>
      <c r="AE150" s="39">
        <f>AD150/2.2046226218</f>
        <v>24.575634607143719</v>
      </c>
      <c r="AF150" s="39">
        <f>AE150/58.8*10000</f>
        <v>4179.5296950924694</v>
      </c>
      <c r="AI150" s="40">
        <f>SUM(AI111,AI124)-2*1.06-2*1.1</f>
        <v>67.88</v>
      </c>
      <c r="AJ150" s="39">
        <f>AI150/2.2046226218</f>
        <v>30.789850076281201</v>
      </c>
      <c r="AK150" s="39">
        <f>AJ150/58.8*10000</f>
        <v>5236.369060592041</v>
      </c>
      <c r="AN150" s="40">
        <f>SUM(AN111,AN124)-2*1.06-2*1.1</f>
        <v>47.38</v>
      </c>
      <c r="AO150" s="39">
        <f>AN150/2.2046226218</f>
        <v>21.491206491075481</v>
      </c>
      <c r="AP150" s="39">
        <f>AO150/58.8*10000</f>
        <v>3654.9670903189594</v>
      </c>
      <c r="AS150" s="40">
        <f>SUM(AS111,AS124)-2*1.06-2*1.1</f>
        <v>13.280000000000001</v>
      </c>
      <c r="AT150" s="39">
        <f>AS150/2.2046226218</f>
        <v>6.0237066737332707</v>
      </c>
      <c r="AU150" s="39">
        <f>AT150/58.8*10000</f>
        <v>1024.4399104988556</v>
      </c>
    </row>
    <row r="151" spans="5:47" x14ac:dyDescent="0.25">
      <c r="E151" s="40">
        <f>SUM(E110,E125)-2*1.06-2*1.1</f>
        <v>62.379999999999995</v>
      </c>
      <c r="F151" s="39">
        <f>E151/2.2046226218</f>
        <v>28.295092041226006</v>
      </c>
      <c r="G151" s="39">
        <f>F151/58.8*10000</f>
        <v>4812.0904832017022</v>
      </c>
      <c r="J151" s="40">
        <f>SUM(J110,J125)-2*1.06-2*1.1</f>
        <v>83.179999999999993</v>
      </c>
      <c r="K151" s="39">
        <f>J151/2.2046226218</f>
        <v>37.729813337434742</v>
      </c>
      <c r="L151" s="39">
        <f>K151/58.8*10000</f>
        <v>6416.6349213324393</v>
      </c>
      <c r="O151" s="40">
        <f>SUM(O110,O125)-2*1.06-2*1.1</f>
        <v>71.279999999999987</v>
      </c>
      <c r="P151" s="39">
        <f>O151/2.2046226218</f>
        <v>32.332064134315317</v>
      </c>
      <c r="Q151" s="39">
        <f>P151/58.8*10000</f>
        <v>5498.6503629787949</v>
      </c>
      <c r="T151" s="40">
        <f>SUM(T110,T125)-2*1.06-2*1.1</f>
        <v>54.88</v>
      </c>
      <c r="U151" s="39">
        <f>T151/2.2046226218</f>
        <v>24.893149266150747</v>
      </c>
      <c r="V151" s="39">
        <f>U151/58.8*10000</f>
        <v>4233.5287867603311</v>
      </c>
      <c r="Y151" s="40">
        <f>SUM(Y110,Y125)-2*1.06-2*1.1</f>
        <v>56.38</v>
      </c>
      <c r="Z151" s="39">
        <f>Y151/2.2046226218</f>
        <v>25.5735378211658</v>
      </c>
      <c r="AA151" s="39">
        <f>Z151/58.8*10000</f>
        <v>4349.241126048606</v>
      </c>
      <c r="AD151" s="40">
        <f>SUM(AD110,AD125)-2*1.06-2*1.1</f>
        <v>55.18</v>
      </c>
      <c r="AE151" s="39">
        <f>AD151/2.2046226218</f>
        <v>25.029226977153755</v>
      </c>
      <c r="AF151" s="39">
        <f>AE151/58.8*10000</f>
        <v>4256.6712546179861</v>
      </c>
      <c r="AI151" s="40">
        <f>SUM(AI110,AI125)-2*1.06-2*1.1</f>
        <v>62.179999999999993</v>
      </c>
      <c r="AJ151" s="39">
        <f>AI151/2.2046226218</f>
        <v>28.204373567224</v>
      </c>
      <c r="AK151" s="39">
        <f>AJ151/58.8*10000</f>
        <v>4796.6621712965989</v>
      </c>
      <c r="AN151" s="40">
        <f>SUM(AN110,AN125)-2*1.06-2*1.1</f>
        <v>48.779999999999994</v>
      </c>
      <c r="AO151" s="39">
        <f>AN151/2.2046226218</f>
        <v>22.126235809089525</v>
      </c>
      <c r="AP151" s="39">
        <f>AO151/58.8*10000</f>
        <v>3762.9652736546814</v>
      </c>
      <c r="AS151" s="40">
        <f>SUM(AS110,AS125)-2*1.06-2*1.1</f>
        <v>21.979999999999997</v>
      </c>
      <c r="AT151" s="39">
        <f>AS151/2.2046226218</f>
        <v>9.9699602928205771</v>
      </c>
      <c r="AU151" s="39">
        <f>AT151/58.8*10000</f>
        <v>1695.5714783708465</v>
      </c>
    </row>
    <row r="152" spans="5:47" x14ac:dyDescent="0.25">
      <c r="E152" s="40">
        <f>SUM(E109,E126)-2*1.06-2*1.1</f>
        <v>50.08</v>
      </c>
      <c r="F152" s="39">
        <f>E152/2.2046226218</f>
        <v>22.715905890102572</v>
      </c>
      <c r="G152" s="39">
        <f>F152/58.8*10000</f>
        <v>3863.2493010378525</v>
      </c>
      <c r="J152" s="40">
        <f>SUM(J109,J126)-2*1.06-2*1.1</f>
        <v>77.679999999999993</v>
      </c>
      <c r="K152" s="39">
        <f>J152/2.2046226218</f>
        <v>35.23505530237955</v>
      </c>
      <c r="L152" s="39">
        <f>K152/58.8*10000</f>
        <v>5992.3563439421005</v>
      </c>
      <c r="O152" s="40">
        <f>SUM(O109,O126)-2*1.06-2*1.1</f>
        <v>69.58</v>
      </c>
      <c r="P152" s="39">
        <f>O152/2.2046226218</f>
        <v>31.560957105298264</v>
      </c>
      <c r="Q152" s="39">
        <f>P152/58.8*10000</f>
        <v>5367.5097117854202</v>
      </c>
      <c r="T152" s="40">
        <f>SUM(T109,T126)-2*1.06-2*1.1</f>
        <v>53.28</v>
      </c>
      <c r="U152" s="39">
        <f>T152/2.2046226218</f>
        <v>24.167401474134689</v>
      </c>
      <c r="V152" s="39">
        <f>U152/58.8*10000</f>
        <v>4110.1022915195053</v>
      </c>
      <c r="Y152" s="40">
        <f>SUM(Y109,Y126)-2*1.06-2*1.1</f>
        <v>53.58</v>
      </c>
      <c r="Z152" s="39">
        <f>Y152/2.2046226218</f>
        <v>24.303479185137697</v>
      </c>
      <c r="AA152" s="39">
        <f>Z152/58.8*10000</f>
        <v>4133.2447593771594</v>
      </c>
      <c r="AD152" s="40">
        <f>SUM(AD109,AD126)-2*1.06-2*1.1</f>
        <v>53.18</v>
      </c>
      <c r="AE152" s="39">
        <f>AD152/2.2046226218</f>
        <v>24.122042237133684</v>
      </c>
      <c r="AF152" s="39">
        <f>AE152/58.8*10000</f>
        <v>4102.3881355669537</v>
      </c>
      <c r="AI152" s="40">
        <f>SUM(AI109,AI126)-2*1.06-2*1.1</f>
        <v>69.97999999999999</v>
      </c>
      <c r="AJ152" s="39">
        <f>AI152/2.2046226218</f>
        <v>31.742394053302274</v>
      </c>
      <c r="AK152" s="39">
        <f>AJ152/58.8*10000</f>
        <v>5398.3663355956251</v>
      </c>
      <c r="AN152" s="40">
        <f>SUM(AN109,AN126)-2*1.06-2*1.1</f>
        <v>45.580000000000005</v>
      </c>
      <c r="AO152" s="39">
        <f>AN152/2.2046226218</f>
        <v>20.674740225057416</v>
      </c>
      <c r="AP152" s="39">
        <f>AO152/58.8*10000</f>
        <v>3516.1122831730299</v>
      </c>
      <c r="AS152" s="40">
        <f>SUM(AS109,AS126)-2*1.06-2*1.1</f>
        <v>11.879999999999999</v>
      </c>
      <c r="AT152" s="39">
        <f>AS152/2.2046226218</f>
        <v>5.3886773557192207</v>
      </c>
      <c r="AU152" s="39">
        <f>AT152/58.8*10000</f>
        <v>916.44172716313278</v>
      </c>
    </row>
    <row r="153" spans="5:47" x14ac:dyDescent="0.25">
      <c r="E153" s="40">
        <f>SUM(E108,E127)-2*1.06-2*1.1</f>
        <v>38.580000000000005</v>
      </c>
      <c r="F153" s="39">
        <f>E153/2.2046226218</f>
        <v>17.499593634987168</v>
      </c>
      <c r="G153" s="39">
        <f>F153/58.8*10000</f>
        <v>2976.1213664944162</v>
      </c>
      <c r="J153" s="40">
        <f>SUM(J108,J127)-2*1.06-2*1.1</f>
        <v>69.279999999999987</v>
      </c>
      <c r="K153" s="39">
        <f>J153/2.2046226218</f>
        <v>31.42487939429525</v>
      </c>
      <c r="L153" s="39">
        <f>K153/58.8*10000</f>
        <v>5344.3672439277634</v>
      </c>
      <c r="O153" s="40">
        <f>SUM(O108,O127)-2*1.06-2*1.1</f>
        <v>52.78</v>
      </c>
      <c r="P153" s="39">
        <f>O153/2.2046226218</f>
        <v>23.940605289129671</v>
      </c>
      <c r="Q153" s="39">
        <f>P153/58.8*10000</f>
        <v>4071.531511756747</v>
      </c>
      <c r="T153" s="40">
        <f>SUM(T108,T127)-2*1.06-2*1.1</f>
        <v>38.880000000000003</v>
      </c>
      <c r="U153" s="39">
        <f>T153/2.2046226218</f>
        <v>17.635671345990179</v>
      </c>
      <c r="V153" s="39">
        <f>U153/58.8*10000</f>
        <v>2999.2638343520716</v>
      </c>
      <c r="Y153" s="40">
        <f>SUM(Y108,Y127)-2*1.06-2*1.1</f>
        <v>46.78</v>
      </c>
      <c r="Z153" s="39">
        <f>Y153/2.2046226218</f>
        <v>21.219051069069458</v>
      </c>
      <c r="AA153" s="39">
        <f>Z153/58.8*10000</f>
        <v>3608.6821546036495</v>
      </c>
      <c r="AD153" s="40">
        <f>SUM(AD108,AD127)-2*1.06-2*1.1</f>
        <v>48.88</v>
      </c>
      <c r="AE153" s="39">
        <f>AD153/2.2046226218</f>
        <v>22.171595046090534</v>
      </c>
      <c r="AF153" s="39">
        <f>AE153/58.8*10000</f>
        <v>3770.6794296072339</v>
      </c>
      <c r="AI153" s="40">
        <f>SUM(AI108,AI127)-2*1.06-2*1.1</f>
        <v>62.279999999999987</v>
      </c>
      <c r="AJ153" s="39">
        <f>AI153/2.2046226218</f>
        <v>28.249732804225001</v>
      </c>
      <c r="AK153" s="39">
        <f>AJ153/58.8*10000</f>
        <v>4804.3763272491506</v>
      </c>
      <c r="AN153" s="40">
        <f>SUM(AN108,AN127)-2*1.06-2*1.1</f>
        <v>49.59</v>
      </c>
      <c r="AO153" s="39">
        <f>AN153/2.2046226218</f>
        <v>22.493645628797658</v>
      </c>
      <c r="AP153" s="39">
        <f>AO153/58.8*10000</f>
        <v>3825.4499368703505</v>
      </c>
      <c r="AS153" s="40">
        <f>SUM(AS108,AS127)-2*1.06-2*1.1</f>
        <v>12.780000000000001</v>
      </c>
      <c r="AT153" s="39">
        <f>AS153/2.2046226218</f>
        <v>5.796910488728253</v>
      </c>
      <c r="AU153" s="39">
        <f>AT153/58.8*10000</f>
        <v>985.86913073609753</v>
      </c>
    </row>
  </sheetData>
  <mergeCells count="6">
    <mergeCell ref="U42:U43"/>
    <mergeCell ref="AK17:AN17"/>
    <mergeCell ref="B86:E86"/>
    <mergeCell ref="Q17:T17"/>
    <mergeCell ref="G17:J17"/>
    <mergeCell ref="V17:Y17"/>
  </mergeCells>
  <pageMargins left="0.2" right="0.2" top="0.2" bottom="0.2" header="0" footer="0"/>
  <pageSetup scale="15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E55F-C5A9-4063-9B1E-6F4204248397}">
  <dimension ref="B1:BN75"/>
  <sheetViews>
    <sheetView topLeftCell="A16" zoomScale="70" zoomScaleNormal="70" workbookViewId="0">
      <selection activeCell="C64" sqref="C64"/>
    </sheetView>
  </sheetViews>
  <sheetFormatPr defaultRowHeight="15" x14ac:dyDescent="0.25"/>
  <cols>
    <col min="1" max="1" width="1.7109375" customWidth="1"/>
    <col min="2" max="2" width="10.7109375" customWidth="1"/>
    <col min="3" max="3" width="15.7109375" customWidth="1"/>
    <col min="4" max="4" width="7.85546875" customWidth="1"/>
    <col min="5" max="5" width="10.7109375" customWidth="1"/>
    <col min="6" max="6" width="15.7109375" customWidth="1"/>
    <col min="7" max="7" width="7.85546875" customWidth="1"/>
    <col min="8" max="8" width="10.7109375" customWidth="1"/>
    <col min="9" max="9" width="15.7109375" customWidth="1"/>
    <col min="10" max="10" width="7.85546875" customWidth="1"/>
    <col min="11" max="11" width="10.7109375" customWidth="1"/>
    <col min="12" max="12" width="15.7109375" customWidth="1"/>
    <col min="13" max="13" width="7.85546875" customWidth="1"/>
    <col min="14" max="14" width="10.7109375" customWidth="1"/>
    <col min="15" max="15" width="15.7109375" customWidth="1"/>
    <col min="16" max="16" width="7.85546875" customWidth="1"/>
    <col min="17" max="17" width="10.7109375" customWidth="1"/>
    <col min="18" max="18" width="15.7109375" customWidth="1"/>
    <col min="19" max="19" width="7.85546875" customWidth="1"/>
    <col min="20" max="20" width="10.7109375" customWidth="1"/>
    <col min="21" max="21" width="15.7109375" customWidth="1"/>
    <col min="22" max="22" width="7.85546875" customWidth="1"/>
    <col min="23" max="23" width="10.7109375" customWidth="1"/>
    <col min="24" max="24" width="15.7109375" customWidth="1"/>
    <col min="25" max="25" width="7.85546875" customWidth="1"/>
    <col min="26" max="26" width="10.7109375" customWidth="1"/>
    <col min="27" max="27" width="15.7109375" customWidth="1"/>
    <col min="28" max="28" width="7.85546875" customWidth="1"/>
    <col min="29" max="29" width="10.7109375" customWidth="1"/>
    <col min="30" max="30" width="15.7109375" customWidth="1"/>
    <col min="31" max="31" width="7.85546875" customWidth="1"/>
    <col min="32" max="32" width="10.7109375" customWidth="1"/>
    <col min="33" max="33" width="15.7109375" customWidth="1"/>
    <col min="34" max="34" width="7.85546875" customWidth="1"/>
    <col min="35" max="35" width="10.7109375" customWidth="1"/>
    <col min="36" max="36" width="15.7109375" customWidth="1"/>
    <col min="37" max="37" width="7.85546875" customWidth="1"/>
    <col min="38" max="38" width="10.7109375" customWidth="1"/>
    <col min="39" max="39" width="15.7109375" customWidth="1"/>
    <col min="40" max="40" width="7.85546875" customWidth="1"/>
    <col min="41" max="41" width="10.7109375" customWidth="1"/>
    <col min="42" max="42" width="15.7109375" customWidth="1"/>
    <col min="43" max="43" width="7.85546875" customWidth="1"/>
    <col min="44" max="44" width="10.7109375" customWidth="1"/>
    <col min="45" max="45" width="15.7109375" customWidth="1"/>
    <col min="46" max="46" width="7.85546875" customWidth="1"/>
    <col min="47" max="47" width="10.7109375" customWidth="1"/>
    <col min="48" max="48" width="15.7109375" customWidth="1"/>
    <col min="49" max="49" width="7.85546875" customWidth="1"/>
    <col min="50" max="50" width="10.7109375" customWidth="1"/>
    <col min="51" max="51" width="15.7109375" customWidth="1"/>
    <col min="52" max="52" width="7.85546875" customWidth="1"/>
  </cols>
  <sheetData>
    <row r="1" spans="2:66" ht="18.75" x14ac:dyDescent="0.3">
      <c r="B1" s="94" t="s">
        <v>1084</v>
      </c>
      <c r="K1" s="94" t="s">
        <v>1084</v>
      </c>
      <c r="T1" s="94" t="s">
        <v>1084</v>
      </c>
      <c r="AC1" s="94" t="s">
        <v>1084</v>
      </c>
      <c r="AL1" s="94" t="s">
        <v>1084</v>
      </c>
      <c r="AU1" s="94" t="s">
        <v>1084</v>
      </c>
    </row>
    <row r="2" spans="2:66" ht="8.65" customHeight="1" x14ac:dyDescent="0.25"/>
    <row r="3" spans="2:66" ht="15.75" x14ac:dyDescent="0.25">
      <c r="B3" s="93" t="s">
        <v>1083</v>
      </c>
      <c r="K3" s="93" t="s">
        <v>1083</v>
      </c>
      <c r="T3" s="93" t="s">
        <v>1083</v>
      </c>
      <c r="AC3" s="93" t="s">
        <v>1083</v>
      </c>
      <c r="AL3" s="93" t="s">
        <v>1083</v>
      </c>
      <c r="AU3" s="93" t="s">
        <v>1083</v>
      </c>
    </row>
    <row r="4" spans="2:66" ht="15.75" x14ac:dyDescent="0.25">
      <c r="B4" s="92" t="s">
        <v>1090</v>
      </c>
      <c r="K4" s="92" t="s">
        <v>1090</v>
      </c>
      <c r="T4" s="92" t="s">
        <v>1090</v>
      </c>
      <c r="AC4" s="92" t="s">
        <v>1090</v>
      </c>
      <c r="AL4" s="92" t="s">
        <v>1090</v>
      </c>
      <c r="AU4" s="92" t="s">
        <v>1090</v>
      </c>
    </row>
    <row r="5" spans="2:66" ht="20.65" customHeight="1" x14ac:dyDescent="0.35">
      <c r="B5" s="91" t="s">
        <v>1089</v>
      </c>
      <c r="E5" s="90"/>
      <c r="F5" s="89"/>
      <c r="G5" s="89"/>
      <c r="H5" s="89"/>
      <c r="I5" s="89"/>
      <c r="J5" s="89"/>
      <c r="K5" s="89"/>
      <c r="L5" s="89"/>
      <c r="M5" s="89"/>
      <c r="N5" s="89"/>
      <c r="O5" s="89"/>
    </row>
    <row r="6" spans="2:66" ht="16.899999999999999" customHeight="1" x14ac:dyDescent="0.25"/>
    <row r="7" spans="2:66" ht="23.25" x14ac:dyDescent="0.35">
      <c r="B7" s="88" t="s">
        <v>1070</v>
      </c>
      <c r="C7" s="87">
        <v>1</v>
      </c>
      <c r="D7" s="86"/>
      <c r="E7" s="88" t="s">
        <v>1070</v>
      </c>
      <c r="F7" s="87">
        <v>2</v>
      </c>
      <c r="H7" s="88" t="s">
        <v>1070</v>
      </c>
      <c r="I7" s="87">
        <v>3</v>
      </c>
      <c r="J7" s="86"/>
      <c r="K7" s="88" t="s">
        <v>1070</v>
      </c>
      <c r="L7" s="87">
        <v>4</v>
      </c>
      <c r="N7" s="88" t="s">
        <v>1070</v>
      </c>
      <c r="O7" s="87">
        <v>5</v>
      </c>
      <c r="P7" s="86"/>
      <c r="Q7" s="88" t="s">
        <v>1070</v>
      </c>
      <c r="R7" s="87">
        <v>6</v>
      </c>
      <c r="T7" s="88" t="s">
        <v>1070</v>
      </c>
      <c r="U7" s="87">
        <v>7</v>
      </c>
      <c r="V7" s="86"/>
      <c r="W7" s="88" t="s">
        <v>1070</v>
      </c>
      <c r="X7" s="87">
        <v>8</v>
      </c>
      <c r="Z7" s="88" t="s">
        <v>1070</v>
      </c>
      <c r="AA7" s="87">
        <v>9</v>
      </c>
      <c r="AB7" s="86"/>
      <c r="AC7" s="88" t="s">
        <v>1070</v>
      </c>
      <c r="AD7" s="87">
        <v>10</v>
      </c>
      <c r="AF7" s="88" t="s">
        <v>1070</v>
      </c>
      <c r="AG7" s="87">
        <v>11</v>
      </c>
      <c r="AH7" s="86"/>
      <c r="AI7" s="88" t="s">
        <v>1070</v>
      </c>
      <c r="AJ7" s="87">
        <v>12</v>
      </c>
      <c r="AL7" s="88" t="s">
        <v>1070</v>
      </c>
      <c r="AM7" s="87">
        <v>13</v>
      </c>
      <c r="AN7" s="86"/>
      <c r="AO7" s="88" t="s">
        <v>1070</v>
      </c>
      <c r="AP7" s="87">
        <v>14</v>
      </c>
      <c r="AR7" s="88" t="s">
        <v>1070</v>
      </c>
      <c r="AS7" s="87">
        <v>15</v>
      </c>
      <c r="AT7" s="86"/>
      <c r="AU7" s="88" t="s">
        <v>1070</v>
      </c>
      <c r="AV7" s="87">
        <v>16</v>
      </c>
      <c r="AW7" s="86"/>
      <c r="AX7" s="88" t="s">
        <v>1070</v>
      </c>
      <c r="AY7" s="87">
        <v>17</v>
      </c>
    </row>
    <row r="8" spans="2:66" ht="21" x14ac:dyDescent="0.35">
      <c r="B8" s="85"/>
      <c r="C8" s="85"/>
      <c r="D8" s="86"/>
      <c r="E8" s="85"/>
      <c r="F8" s="85"/>
      <c r="H8" s="85"/>
      <c r="I8" s="85"/>
      <c r="J8" s="86"/>
      <c r="K8" s="85"/>
      <c r="L8" s="85"/>
      <c r="N8" s="85"/>
      <c r="O8" s="85"/>
      <c r="P8" s="86"/>
      <c r="Q8" s="85"/>
      <c r="R8" s="85"/>
      <c r="T8" s="85"/>
      <c r="U8" s="85"/>
      <c r="V8" s="86"/>
      <c r="W8" s="85"/>
      <c r="X8" s="85"/>
      <c r="Z8" s="85"/>
      <c r="AA8" s="85"/>
      <c r="AB8" s="86"/>
      <c r="AC8" s="85"/>
      <c r="AD8" s="85"/>
      <c r="AF8" s="85"/>
      <c r="AG8" s="85"/>
      <c r="AH8" s="86"/>
      <c r="AI8" s="85"/>
      <c r="AJ8" s="85"/>
      <c r="AL8" s="85"/>
      <c r="AM8" s="85"/>
      <c r="AN8" s="86"/>
      <c r="AO8" s="85"/>
      <c r="AP8" s="85"/>
      <c r="AR8" s="85"/>
      <c r="AS8" s="85"/>
      <c r="AT8" s="86"/>
      <c r="AU8" s="85"/>
      <c r="AV8" s="85"/>
      <c r="AW8" s="86"/>
      <c r="AX8" s="85"/>
      <c r="AY8" s="85"/>
    </row>
    <row r="9" spans="2:66" ht="31.5" x14ac:dyDescent="0.25">
      <c r="B9" s="84" t="s">
        <v>1065</v>
      </c>
      <c r="C9" s="83" t="s">
        <v>1088</v>
      </c>
      <c r="D9" s="77"/>
      <c r="E9" s="84" t="s">
        <v>1065</v>
      </c>
      <c r="F9" s="83" t="s">
        <v>1088</v>
      </c>
      <c r="H9" s="84" t="s">
        <v>1065</v>
      </c>
      <c r="I9" s="83" t="s">
        <v>1088</v>
      </c>
      <c r="J9" s="77"/>
      <c r="K9" s="84" t="s">
        <v>1065</v>
      </c>
      <c r="L9" s="83" t="s">
        <v>1088</v>
      </c>
      <c r="N9" s="84" t="s">
        <v>1065</v>
      </c>
      <c r="O9" s="83" t="s">
        <v>1088</v>
      </c>
      <c r="P9" s="77"/>
      <c r="Q9" s="84" t="s">
        <v>1065</v>
      </c>
      <c r="R9" s="83" t="s">
        <v>1088</v>
      </c>
      <c r="T9" s="84" t="s">
        <v>1065</v>
      </c>
      <c r="U9" s="83" t="s">
        <v>1088</v>
      </c>
      <c r="V9" s="77"/>
      <c r="W9" s="84" t="s">
        <v>1065</v>
      </c>
      <c r="X9" s="83" t="s">
        <v>1088</v>
      </c>
      <c r="Z9" s="84" t="s">
        <v>1065</v>
      </c>
      <c r="AA9" s="83" t="s">
        <v>1088</v>
      </c>
      <c r="AB9" s="77"/>
      <c r="AC9" s="84" t="s">
        <v>1065</v>
      </c>
      <c r="AD9" s="83" t="s">
        <v>1088</v>
      </c>
      <c r="AF9" s="84" t="s">
        <v>1065</v>
      </c>
      <c r="AG9" s="83" t="s">
        <v>1088</v>
      </c>
      <c r="AH9" s="77"/>
      <c r="AI9" s="84" t="s">
        <v>1065</v>
      </c>
      <c r="AJ9" s="83" t="s">
        <v>1088</v>
      </c>
      <c r="AL9" s="84" t="s">
        <v>1065</v>
      </c>
      <c r="AM9" s="83" t="s">
        <v>1088</v>
      </c>
      <c r="AN9" s="77"/>
      <c r="AO9" s="84" t="s">
        <v>1065</v>
      </c>
      <c r="AP9" s="83" t="s">
        <v>1088</v>
      </c>
      <c r="AR9" s="84" t="s">
        <v>1065</v>
      </c>
      <c r="AS9" s="83" t="s">
        <v>1088</v>
      </c>
      <c r="AT9" s="77"/>
      <c r="AU9" s="84" t="s">
        <v>1065</v>
      </c>
      <c r="AV9" s="83" t="s">
        <v>1088</v>
      </c>
      <c r="AW9" s="77"/>
      <c r="AX9" s="84" t="s">
        <v>1065</v>
      </c>
      <c r="AY9" s="83" t="s">
        <v>1088</v>
      </c>
    </row>
    <row r="10" spans="2:66" ht="20.100000000000001" customHeight="1" x14ac:dyDescent="0.25">
      <c r="B10" s="52">
        <v>1</v>
      </c>
      <c r="C10" s="80">
        <v>3.02</v>
      </c>
      <c r="D10" s="65"/>
      <c r="E10" s="52">
        <v>1</v>
      </c>
      <c r="F10" s="80">
        <v>3.36</v>
      </c>
      <c r="G10" s="39"/>
      <c r="H10" s="52">
        <v>1</v>
      </c>
      <c r="I10" s="80">
        <v>2.7</v>
      </c>
      <c r="J10" s="65"/>
      <c r="K10" s="52">
        <v>1</v>
      </c>
      <c r="L10" s="80">
        <v>2.76</v>
      </c>
      <c r="M10" s="39"/>
      <c r="N10" s="52">
        <v>1</v>
      </c>
      <c r="O10" s="80">
        <v>3.12</v>
      </c>
      <c r="P10" s="65"/>
      <c r="Q10" s="52">
        <v>1</v>
      </c>
      <c r="R10" s="80">
        <v>4.32</v>
      </c>
      <c r="S10" s="39"/>
      <c r="T10" s="52">
        <v>1</v>
      </c>
      <c r="U10" s="80">
        <v>3.36</v>
      </c>
      <c r="V10" s="65"/>
      <c r="W10" s="52">
        <v>1</v>
      </c>
      <c r="X10" s="80">
        <v>3.04</v>
      </c>
      <c r="Y10" s="39"/>
      <c r="Z10" s="52">
        <v>1</v>
      </c>
      <c r="AA10" s="80">
        <v>3.5</v>
      </c>
      <c r="AB10" s="65"/>
      <c r="AC10" s="52">
        <v>1</v>
      </c>
      <c r="AD10" s="80">
        <v>3.04</v>
      </c>
      <c r="AE10" s="39"/>
      <c r="AF10" s="52">
        <v>1</v>
      </c>
      <c r="AG10" s="80">
        <v>3.22</v>
      </c>
      <c r="AH10" s="65"/>
      <c r="AI10" s="52">
        <v>1</v>
      </c>
      <c r="AJ10" s="80">
        <v>3.62</v>
      </c>
      <c r="AK10" s="39"/>
      <c r="AL10" s="52">
        <v>1</v>
      </c>
      <c r="AM10" s="80">
        <v>3.48</v>
      </c>
      <c r="AN10" s="65"/>
      <c r="AO10" s="52">
        <v>1</v>
      </c>
      <c r="AP10" s="80">
        <v>2.5</v>
      </c>
      <c r="AQ10" s="39"/>
      <c r="AR10" s="52">
        <v>1</v>
      </c>
      <c r="AS10" s="80">
        <v>3.92</v>
      </c>
      <c r="AT10" s="65"/>
      <c r="AU10" s="52">
        <v>1</v>
      </c>
      <c r="AV10" s="80">
        <v>3.8</v>
      </c>
      <c r="AW10" s="65"/>
      <c r="AX10" s="52">
        <v>1</v>
      </c>
      <c r="AY10" s="80">
        <v>3.98</v>
      </c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</row>
    <row r="11" spans="2:66" ht="20.100000000000001" customHeight="1" x14ac:dyDescent="0.25">
      <c r="B11" s="52">
        <v>2</v>
      </c>
      <c r="C11" s="80">
        <v>3.28</v>
      </c>
      <c r="D11" s="65"/>
      <c r="E11" s="52">
        <v>2</v>
      </c>
      <c r="F11" s="80">
        <v>3.32</v>
      </c>
      <c r="G11" s="39"/>
      <c r="H11" s="52">
        <v>2</v>
      </c>
      <c r="I11" s="80">
        <v>3.34</v>
      </c>
      <c r="J11" s="65"/>
      <c r="K11" s="52">
        <v>2</v>
      </c>
      <c r="L11" s="80">
        <v>3.34</v>
      </c>
      <c r="M11" s="39"/>
      <c r="N11" s="52">
        <v>2</v>
      </c>
      <c r="O11" s="80">
        <v>2.54</v>
      </c>
      <c r="P11" s="65"/>
      <c r="Q11" s="52">
        <v>2</v>
      </c>
      <c r="R11" s="80">
        <v>3.06</v>
      </c>
      <c r="S11" s="39"/>
      <c r="T11" s="52">
        <v>2</v>
      </c>
      <c r="U11" s="80">
        <v>2.48</v>
      </c>
      <c r="V11" s="65"/>
      <c r="W11" s="52">
        <v>2</v>
      </c>
      <c r="X11" s="80">
        <v>3.72</v>
      </c>
      <c r="Y11" s="39"/>
      <c r="Z11" s="52">
        <v>2</v>
      </c>
      <c r="AA11" s="80">
        <v>4.0199999999999996</v>
      </c>
      <c r="AB11" s="65"/>
      <c r="AC11" s="52">
        <v>2</v>
      </c>
      <c r="AD11" s="80">
        <v>2.72</v>
      </c>
      <c r="AE11" s="39"/>
      <c r="AF11" s="52">
        <v>2</v>
      </c>
      <c r="AG11" s="80">
        <v>3.1</v>
      </c>
      <c r="AH11" s="65"/>
      <c r="AI11" s="52">
        <v>2</v>
      </c>
      <c r="AJ11" s="80">
        <v>3.46</v>
      </c>
      <c r="AK11" s="39"/>
      <c r="AL11" s="52">
        <v>2</v>
      </c>
      <c r="AM11" s="80">
        <v>3.22</v>
      </c>
      <c r="AN11" s="65"/>
      <c r="AO11" s="52">
        <v>2</v>
      </c>
      <c r="AP11" s="80">
        <v>3.26</v>
      </c>
      <c r="AQ11" s="39"/>
      <c r="AR11" s="52">
        <v>2</v>
      </c>
      <c r="AS11" s="80">
        <v>1.74</v>
      </c>
      <c r="AT11" s="65"/>
      <c r="AU11" s="52">
        <v>2</v>
      </c>
      <c r="AV11" s="80">
        <v>3.52</v>
      </c>
      <c r="AW11" s="65"/>
      <c r="AX11" s="52">
        <v>2</v>
      </c>
      <c r="AY11" s="80">
        <v>4.34</v>
      </c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</row>
    <row r="12" spans="2:66" ht="20.100000000000001" customHeight="1" x14ac:dyDescent="0.25">
      <c r="B12" s="52">
        <v>3</v>
      </c>
      <c r="C12" s="80">
        <v>3.26</v>
      </c>
      <c r="D12" s="65"/>
      <c r="E12" s="52">
        <v>3</v>
      </c>
      <c r="F12" s="80">
        <v>3.2</v>
      </c>
      <c r="G12" s="39"/>
      <c r="H12" s="52">
        <v>3</v>
      </c>
      <c r="I12" s="80">
        <v>3.3</v>
      </c>
      <c r="J12" s="65"/>
      <c r="K12" s="52">
        <v>3</v>
      </c>
      <c r="L12" s="80">
        <v>3.56</v>
      </c>
      <c r="M12" s="39"/>
      <c r="N12" s="52">
        <v>3</v>
      </c>
      <c r="O12" s="80">
        <v>3.54</v>
      </c>
      <c r="P12" s="65"/>
      <c r="Q12" s="52">
        <v>3</v>
      </c>
      <c r="R12" s="80">
        <v>2.92</v>
      </c>
      <c r="S12" s="39"/>
      <c r="T12" s="52">
        <v>3</v>
      </c>
      <c r="U12" s="80">
        <v>3.14</v>
      </c>
      <c r="V12" s="65"/>
      <c r="W12" s="52">
        <v>3</v>
      </c>
      <c r="X12" s="80">
        <v>3.64</v>
      </c>
      <c r="Y12" s="39"/>
      <c r="Z12" s="52">
        <v>3</v>
      </c>
      <c r="AA12" s="80">
        <v>2.98</v>
      </c>
      <c r="AB12" s="65"/>
      <c r="AC12" s="52">
        <v>3</v>
      </c>
      <c r="AD12" s="80">
        <v>2.66</v>
      </c>
      <c r="AE12" s="39"/>
      <c r="AF12" s="52">
        <v>3</v>
      </c>
      <c r="AG12" s="80">
        <v>4.16</v>
      </c>
      <c r="AH12" s="65"/>
      <c r="AI12" s="52">
        <v>3</v>
      </c>
      <c r="AJ12" s="80">
        <v>3.42</v>
      </c>
      <c r="AK12" s="39"/>
      <c r="AL12" s="52">
        <v>3</v>
      </c>
      <c r="AM12" s="80">
        <v>3.46</v>
      </c>
      <c r="AN12" s="65"/>
      <c r="AO12" s="52">
        <v>3</v>
      </c>
      <c r="AP12" s="80">
        <v>4.22</v>
      </c>
      <c r="AQ12" s="39"/>
      <c r="AR12" s="52">
        <v>3</v>
      </c>
      <c r="AS12" s="80">
        <v>4.24</v>
      </c>
      <c r="AT12" s="65"/>
      <c r="AU12" s="52">
        <v>3</v>
      </c>
      <c r="AV12" s="80">
        <v>3.9</v>
      </c>
      <c r="AW12" s="65"/>
      <c r="AX12" s="52">
        <v>3</v>
      </c>
      <c r="AY12" s="80">
        <v>4.4800000000000004</v>
      </c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</row>
    <row r="13" spans="2:66" ht="20.100000000000001" customHeight="1" x14ac:dyDescent="0.25">
      <c r="B13" s="52">
        <v>4</v>
      </c>
      <c r="C13" s="80">
        <v>3.02</v>
      </c>
      <c r="D13" s="65"/>
      <c r="E13" s="52">
        <v>4</v>
      </c>
      <c r="F13" s="80">
        <v>3.42</v>
      </c>
      <c r="G13" s="39"/>
      <c r="H13" s="52">
        <v>4</v>
      </c>
      <c r="I13" s="80">
        <v>3.46</v>
      </c>
      <c r="J13" s="65"/>
      <c r="K13" s="52">
        <v>4</v>
      </c>
      <c r="L13" s="80">
        <v>3.82</v>
      </c>
      <c r="M13" s="39"/>
      <c r="N13" s="52">
        <v>4</v>
      </c>
      <c r="O13" s="80">
        <v>3.16</v>
      </c>
      <c r="P13" s="65"/>
      <c r="Q13" s="52">
        <v>4</v>
      </c>
      <c r="R13" s="80">
        <v>3.3</v>
      </c>
      <c r="S13" s="39"/>
      <c r="T13" s="52">
        <v>4</v>
      </c>
      <c r="U13" s="80">
        <v>2.68</v>
      </c>
      <c r="V13" s="65"/>
      <c r="W13" s="52">
        <v>4</v>
      </c>
      <c r="X13" s="80">
        <v>3.5</v>
      </c>
      <c r="Y13" s="39"/>
      <c r="Z13" s="52">
        <v>4</v>
      </c>
      <c r="AA13" s="80">
        <v>3.72</v>
      </c>
      <c r="AB13" s="65"/>
      <c r="AC13" s="52">
        <v>4</v>
      </c>
      <c r="AD13" s="80">
        <v>2.84</v>
      </c>
      <c r="AE13" s="39"/>
      <c r="AF13" s="52">
        <v>4</v>
      </c>
      <c r="AG13" s="80">
        <v>3.14</v>
      </c>
      <c r="AH13" s="65"/>
      <c r="AI13" s="52">
        <v>4</v>
      </c>
      <c r="AJ13" s="80">
        <v>3.34</v>
      </c>
      <c r="AK13" s="39"/>
      <c r="AL13" s="52">
        <v>4</v>
      </c>
      <c r="AM13" s="80">
        <v>4.0199999999999996</v>
      </c>
      <c r="AN13" s="65"/>
      <c r="AO13" s="52">
        <v>4</v>
      </c>
      <c r="AP13" s="80">
        <v>4.4000000000000004</v>
      </c>
      <c r="AQ13" s="39"/>
      <c r="AR13" s="52">
        <v>4</v>
      </c>
      <c r="AS13" s="80">
        <v>5.08</v>
      </c>
      <c r="AT13" s="65"/>
      <c r="AU13" s="52">
        <v>4</v>
      </c>
      <c r="AV13" s="80">
        <v>3.92</v>
      </c>
      <c r="AW13" s="65"/>
      <c r="AX13" s="52">
        <v>4</v>
      </c>
      <c r="AY13" s="80">
        <v>3.24</v>
      </c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</row>
    <row r="14" spans="2:66" ht="20.100000000000001" customHeight="1" x14ac:dyDescent="0.25">
      <c r="B14" s="52">
        <v>5</v>
      </c>
      <c r="C14" s="80">
        <v>3.3</v>
      </c>
      <c r="D14" s="65"/>
      <c r="E14" s="52">
        <v>5</v>
      </c>
      <c r="F14" s="80">
        <v>3.58</v>
      </c>
      <c r="G14" s="39"/>
      <c r="H14" s="52">
        <v>5</v>
      </c>
      <c r="I14" s="80">
        <v>3.26</v>
      </c>
      <c r="J14" s="65"/>
      <c r="K14" s="52">
        <v>5</v>
      </c>
      <c r="L14" s="80">
        <v>3.28</v>
      </c>
      <c r="M14" s="39"/>
      <c r="N14" s="52">
        <v>5</v>
      </c>
      <c r="O14" s="80">
        <v>2.96</v>
      </c>
      <c r="P14" s="65"/>
      <c r="Q14" s="52">
        <v>5</v>
      </c>
      <c r="R14" s="80">
        <v>3</v>
      </c>
      <c r="S14" s="39"/>
      <c r="T14" s="52">
        <v>5</v>
      </c>
      <c r="U14" s="80">
        <v>2.38</v>
      </c>
      <c r="V14" s="65"/>
      <c r="W14" s="52">
        <v>5</v>
      </c>
      <c r="X14" s="80">
        <v>3.3</v>
      </c>
      <c r="Y14" s="39"/>
      <c r="Z14" s="52">
        <v>5</v>
      </c>
      <c r="AA14" s="80">
        <v>2.66</v>
      </c>
      <c r="AB14" s="65"/>
      <c r="AC14" s="52">
        <v>5</v>
      </c>
      <c r="AD14" s="80">
        <v>3.2</v>
      </c>
      <c r="AE14" s="39"/>
      <c r="AF14" s="52">
        <v>5</v>
      </c>
      <c r="AG14" s="80">
        <v>4.34</v>
      </c>
      <c r="AH14" s="65"/>
      <c r="AI14" s="52">
        <v>5</v>
      </c>
      <c r="AJ14" s="80">
        <v>2.66</v>
      </c>
      <c r="AK14" s="39"/>
      <c r="AL14" s="52">
        <v>5</v>
      </c>
      <c r="AM14" s="80">
        <v>2.86</v>
      </c>
      <c r="AN14" s="65"/>
      <c r="AO14" s="52">
        <v>5</v>
      </c>
      <c r="AP14" s="80">
        <v>3.92</v>
      </c>
      <c r="AQ14" s="39"/>
      <c r="AR14" s="52">
        <v>5</v>
      </c>
      <c r="AS14" s="80">
        <v>3.58</v>
      </c>
      <c r="AT14" s="65"/>
      <c r="AU14" s="52">
        <v>5</v>
      </c>
      <c r="AV14" s="80">
        <v>3.94</v>
      </c>
      <c r="AW14" s="65"/>
      <c r="AX14" s="52">
        <v>5</v>
      </c>
      <c r="AY14" s="80">
        <v>3.2</v>
      </c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</row>
    <row r="15" spans="2:66" ht="20.100000000000001" customHeight="1" x14ac:dyDescent="0.25">
      <c r="B15" s="52">
        <v>6</v>
      </c>
      <c r="C15" s="80">
        <v>3.38</v>
      </c>
      <c r="D15" s="65"/>
      <c r="E15" s="52">
        <v>6</v>
      </c>
      <c r="F15" s="80">
        <v>3.28</v>
      </c>
      <c r="G15" s="39"/>
      <c r="H15" s="52">
        <v>6</v>
      </c>
      <c r="I15" s="80">
        <v>3.56</v>
      </c>
      <c r="J15" s="65"/>
      <c r="K15" s="52">
        <v>6</v>
      </c>
      <c r="L15" s="80">
        <v>3.08</v>
      </c>
      <c r="M15" s="39"/>
      <c r="N15" s="52">
        <v>6</v>
      </c>
      <c r="O15" s="80">
        <v>2.88</v>
      </c>
      <c r="P15" s="65"/>
      <c r="Q15" s="52">
        <v>6</v>
      </c>
      <c r="R15" s="80">
        <v>2.9</v>
      </c>
      <c r="S15" s="39"/>
      <c r="T15" s="52">
        <v>6</v>
      </c>
      <c r="U15" s="80">
        <v>3.46</v>
      </c>
      <c r="V15" s="65"/>
      <c r="W15" s="52">
        <v>6</v>
      </c>
      <c r="X15" s="80">
        <v>3.12</v>
      </c>
      <c r="Y15" s="39"/>
      <c r="Z15" s="52">
        <v>6</v>
      </c>
      <c r="AA15" s="80">
        <v>3.08</v>
      </c>
      <c r="AB15" s="65"/>
      <c r="AC15" s="52">
        <v>6</v>
      </c>
      <c r="AD15" s="80">
        <v>2.54</v>
      </c>
      <c r="AE15" s="39"/>
      <c r="AF15" s="52">
        <v>6</v>
      </c>
      <c r="AG15" s="80">
        <v>3.74</v>
      </c>
      <c r="AH15" s="65"/>
      <c r="AI15" s="52">
        <v>6</v>
      </c>
      <c r="AJ15" s="80">
        <v>3.76</v>
      </c>
      <c r="AK15" s="39"/>
      <c r="AL15" s="52">
        <v>6</v>
      </c>
      <c r="AM15" s="80">
        <v>4.32</v>
      </c>
      <c r="AN15" s="65"/>
      <c r="AO15" s="52">
        <v>6</v>
      </c>
      <c r="AP15" s="80">
        <v>3.08</v>
      </c>
      <c r="AQ15" s="39"/>
      <c r="AR15" s="52">
        <v>6</v>
      </c>
      <c r="AS15" s="80">
        <v>3.58</v>
      </c>
      <c r="AT15" s="65"/>
      <c r="AU15" s="52">
        <v>6</v>
      </c>
      <c r="AV15" s="80">
        <v>3.9</v>
      </c>
      <c r="AW15" s="65"/>
      <c r="AX15" s="52">
        <v>6</v>
      </c>
      <c r="AY15" s="80">
        <v>2.98</v>
      </c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</row>
    <row r="16" spans="2:66" ht="20.100000000000001" customHeight="1" x14ac:dyDescent="0.25">
      <c r="B16" s="52">
        <v>7</v>
      </c>
      <c r="C16" s="80">
        <v>3.18</v>
      </c>
      <c r="D16" s="65"/>
      <c r="E16" s="52">
        <v>7</v>
      </c>
      <c r="F16" s="80">
        <v>3.14</v>
      </c>
      <c r="G16" s="39"/>
      <c r="H16" s="52">
        <v>7</v>
      </c>
      <c r="I16" s="80">
        <v>2.96</v>
      </c>
      <c r="J16" s="65"/>
      <c r="K16" s="52">
        <v>7</v>
      </c>
      <c r="L16" s="80">
        <v>2.72</v>
      </c>
      <c r="M16" s="39"/>
      <c r="N16" s="52">
        <v>7</v>
      </c>
      <c r="O16" s="80">
        <v>2.6</v>
      </c>
      <c r="P16" s="65"/>
      <c r="Q16" s="52">
        <v>7</v>
      </c>
      <c r="R16" s="80">
        <v>3.22</v>
      </c>
      <c r="S16" s="39"/>
      <c r="T16" s="52">
        <v>7</v>
      </c>
      <c r="U16" s="80">
        <v>2.52</v>
      </c>
      <c r="V16" s="65"/>
      <c r="W16" s="52">
        <v>7</v>
      </c>
      <c r="X16" s="80">
        <v>3.52</v>
      </c>
      <c r="Y16" s="39"/>
      <c r="Z16" s="52">
        <v>7</v>
      </c>
      <c r="AA16" s="80">
        <v>3.04</v>
      </c>
      <c r="AB16" s="65"/>
      <c r="AC16" s="52">
        <v>7</v>
      </c>
      <c r="AD16" s="80">
        <v>3.4</v>
      </c>
      <c r="AE16" s="39"/>
      <c r="AF16" s="52">
        <v>7</v>
      </c>
      <c r="AG16" s="80">
        <v>3.66</v>
      </c>
      <c r="AH16" s="65"/>
      <c r="AI16" s="52">
        <v>7</v>
      </c>
      <c r="AJ16" s="80">
        <v>2.86</v>
      </c>
      <c r="AK16" s="39"/>
      <c r="AL16" s="52">
        <v>7</v>
      </c>
      <c r="AM16" s="80">
        <v>3.58</v>
      </c>
      <c r="AN16" s="65"/>
      <c r="AO16" s="52">
        <v>7</v>
      </c>
      <c r="AP16" s="80">
        <v>3.6</v>
      </c>
      <c r="AQ16" s="39"/>
      <c r="AR16" s="52">
        <v>7</v>
      </c>
      <c r="AS16" s="80">
        <v>3.5</v>
      </c>
      <c r="AT16" s="65"/>
      <c r="AU16" s="52">
        <v>7</v>
      </c>
      <c r="AV16" s="80">
        <v>3.82</v>
      </c>
      <c r="AW16" s="65"/>
      <c r="AX16" s="52">
        <v>7</v>
      </c>
      <c r="AY16" s="80">
        <v>3.82</v>
      </c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</row>
    <row r="17" spans="2:66" ht="20.100000000000001" customHeight="1" x14ac:dyDescent="0.25">
      <c r="B17" s="52">
        <v>8</v>
      </c>
      <c r="C17" s="80">
        <v>2.9</v>
      </c>
      <c r="D17" s="65"/>
      <c r="E17" s="52">
        <v>8</v>
      </c>
      <c r="F17" s="80">
        <v>3.6</v>
      </c>
      <c r="G17" s="39"/>
      <c r="H17" s="52">
        <v>8</v>
      </c>
      <c r="I17" s="80">
        <v>2.92</v>
      </c>
      <c r="J17" s="65"/>
      <c r="K17" s="52">
        <v>8</v>
      </c>
      <c r="L17" s="80">
        <v>2.62</v>
      </c>
      <c r="M17" s="39"/>
      <c r="N17" s="52">
        <v>8</v>
      </c>
      <c r="O17" s="80">
        <v>2.44</v>
      </c>
      <c r="P17" s="65"/>
      <c r="Q17" s="52">
        <v>8</v>
      </c>
      <c r="R17" s="80">
        <v>3.04</v>
      </c>
      <c r="S17" s="39"/>
      <c r="T17" s="52">
        <v>8</v>
      </c>
      <c r="U17" s="80">
        <v>2.44</v>
      </c>
      <c r="V17" s="65"/>
      <c r="W17" s="52">
        <v>8</v>
      </c>
      <c r="X17" s="80">
        <v>2.76</v>
      </c>
      <c r="Y17" s="39"/>
      <c r="Z17" s="52">
        <v>8</v>
      </c>
      <c r="AA17" s="80">
        <v>2.9</v>
      </c>
      <c r="AB17" s="65"/>
      <c r="AC17" s="52">
        <v>8</v>
      </c>
      <c r="AD17" s="80">
        <v>3.02</v>
      </c>
      <c r="AE17" s="39"/>
      <c r="AF17" s="52">
        <v>8</v>
      </c>
      <c r="AG17" s="80">
        <v>3.26</v>
      </c>
      <c r="AH17" s="65"/>
      <c r="AI17" s="52">
        <v>8</v>
      </c>
      <c r="AJ17" s="80">
        <v>4.0199999999999996</v>
      </c>
      <c r="AK17" s="39"/>
      <c r="AL17" s="52">
        <v>8</v>
      </c>
      <c r="AM17" s="80">
        <v>3.7</v>
      </c>
      <c r="AN17" s="65"/>
      <c r="AO17" s="52">
        <v>8</v>
      </c>
      <c r="AP17" s="80">
        <v>3.36</v>
      </c>
      <c r="AQ17" s="39"/>
      <c r="AR17" s="52">
        <v>8</v>
      </c>
      <c r="AS17" s="80">
        <v>4.34</v>
      </c>
      <c r="AT17" s="65"/>
      <c r="AU17" s="52">
        <v>8</v>
      </c>
      <c r="AV17" s="80">
        <v>4.08</v>
      </c>
      <c r="AW17" s="65"/>
      <c r="AX17" s="52">
        <v>8</v>
      </c>
      <c r="AY17" s="80">
        <v>3.36</v>
      </c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</row>
    <row r="18" spans="2:66" ht="20.100000000000001" customHeight="1" x14ac:dyDescent="0.25">
      <c r="B18" s="52">
        <v>9</v>
      </c>
      <c r="C18" s="80">
        <v>2.86</v>
      </c>
      <c r="D18" s="65"/>
      <c r="E18" s="52">
        <v>9</v>
      </c>
      <c r="F18" s="80">
        <v>3.62</v>
      </c>
      <c r="G18" s="39"/>
      <c r="H18" s="52">
        <v>9</v>
      </c>
      <c r="I18" s="80">
        <v>3.2</v>
      </c>
      <c r="J18" s="65"/>
      <c r="K18" s="52">
        <v>9</v>
      </c>
      <c r="L18" s="80">
        <v>2.64</v>
      </c>
      <c r="M18" s="39"/>
      <c r="N18" s="52">
        <v>9</v>
      </c>
      <c r="O18" s="80">
        <v>2.88</v>
      </c>
      <c r="P18" s="65"/>
      <c r="Q18" s="52">
        <v>9</v>
      </c>
      <c r="R18" s="80">
        <v>4.2</v>
      </c>
      <c r="S18" s="39"/>
      <c r="T18" s="52">
        <v>9</v>
      </c>
      <c r="U18" s="80">
        <v>3.52</v>
      </c>
      <c r="V18" s="65"/>
      <c r="W18" s="52">
        <v>9</v>
      </c>
      <c r="X18" s="80">
        <v>3.74</v>
      </c>
      <c r="Y18" s="39"/>
      <c r="Z18" s="52">
        <v>9</v>
      </c>
      <c r="AA18" s="80">
        <v>2.76</v>
      </c>
      <c r="AB18" s="65"/>
      <c r="AC18" s="52">
        <v>9</v>
      </c>
      <c r="AD18" s="80">
        <v>3.18</v>
      </c>
      <c r="AE18" s="39"/>
      <c r="AF18" s="52">
        <v>9</v>
      </c>
      <c r="AG18" s="80">
        <v>3.52</v>
      </c>
      <c r="AH18" s="65"/>
      <c r="AI18" s="52">
        <v>9</v>
      </c>
      <c r="AJ18" s="80">
        <v>2.9</v>
      </c>
      <c r="AK18" s="39"/>
      <c r="AL18" s="52">
        <v>9</v>
      </c>
      <c r="AM18" s="80">
        <v>3.74</v>
      </c>
      <c r="AN18" s="65"/>
      <c r="AO18" s="52">
        <v>9</v>
      </c>
      <c r="AP18" s="80">
        <v>3.84</v>
      </c>
      <c r="AQ18" s="39"/>
      <c r="AR18" s="52">
        <v>9</v>
      </c>
      <c r="AS18" s="80">
        <v>4.9000000000000004</v>
      </c>
      <c r="AT18" s="65"/>
      <c r="AU18" s="52">
        <v>9</v>
      </c>
      <c r="AV18" s="80">
        <v>3.94</v>
      </c>
      <c r="AW18" s="65"/>
      <c r="AX18" s="52">
        <v>9</v>
      </c>
      <c r="AY18" s="80">
        <v>3.94</v>
      </c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</row>
    <row r="19" spans="2:66" ht="20.100000000000001" customHeight="1" x14ac:dyDescent="0.25">
      <c r="B19" s="47">
        <v>10</v>
      </c>
      <c r="C19" s="80">
        <v>3.68</v>
      </c>
      <c r="D19" s="65"/>
      <c r="E19" s="47">
        <v>10</v>
      </c>
      <c r="F19" s="80">
        <v>3.94</v>
      </c>
      <c r="G19" s="39"/>
      <c r="H19" s="47">
        <v>10</v>
      </c>
      <c r="I19" s="80">
        <v>3.56</v>
      </c>
      <c r="J19" s="65"/>
      <c r="K19" s="47">
        <v>10</v>
      </c>
      <c r="L19" s="80">
        <v>3.46</v>
      </c>
      <c r="M19" s="39"/>
      <c r="N19" s="47">
        <v>10</v>
      </c>
      <c r="O19" s="80">
        <v>2.68</v>
      </c>
      <c r="P19" s="65"/>
      <c r="Q19" s="47">
        <v>10</v>
      </c>
      <c r="R19" s="80">
        <v>3.7</v>
      </c>
      <c r="S19" s="39"/>
      <c r="T19" s="47">
        <v>10</v>
      </c>
      <c r="U19" s="80">
        <v>3.92</v>
      </c>
      <c r="V19" s="65"/>
      <c r="W19" s="47">
        <v>10</v>
      </c>
      <c r="X19" s="80">
        <v>3.84</v>
      </c>
      <c r="Y19" s="39"/>
      <c r="Z19" s="47">
        <v>10</v>
      </c>
      <c r="AA19" s="80">
        <v>3.26</v>
      </c>
      <c r="AB19" s="65"/>
      <c r="AC19" s="47">
        <v>10</v>
      </c>
      <c r="AD19" s="80">
        <v>3.12</v>
      </c>
      <c r="AE19" s="39"/>
      <c r="AF19" s="47">
        <v>10</v>
      </c>
      <c r="AG19" s="80">
        <v>4.1399999999999997</v>
      </c>
      <c r="AH19" s="65"/>
      <c r="AI19" s="47">
        <v>10</v>
      </c>
      <c r="AJ19" s="80">
        <v>3.84</v>
      </c>
      <c r="AK19" s="39"/>
      <c r="AL19" s="47">
        <v>10</v>
      </c>
      <c r="AM19" s="80">
        <v>3.58</v>
      </c>
      <c r="AN19" s="65"/>
      <c r="AO19" s="47">
        <v>10</v>
      </c>
      <c r="AP19" s="80">
        <v>2.9</v>
      </c>
      <c r="AQ19" s="39"/>
      <c r="AR19" s="47">
        <v>10</v>
      </c>
      <c r="AS19" s="80">
        <v>4.5</v>
      </c>
      <c r="AT19" s="65"/>
      <c r="AU19" s="47">
        <v>10</v>
      </c>
      <c r="AV19" s="80">
        <v>3.7</v>
      </c>
      <c r="AW19" s="65"/>
      <c r="AX19" s="47">
        <v>10</v>
      </c>
      <c r="AY19" s="80">
        <v>3.98</v>
      </c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</row>
    <row r="20" spans="2:66" ht="20.100000000000001" customHeight="1" x14ac:dyDescent="0.25">
      <c r="B20" s="47">
        <v>11</v>
      </c>
      <c r="C20" s="80">
        <v>2.94</v>
      </c>
      <c r="D20" s="65"/>
      <c r="E20" s="47">
        <v>11</v>
      </c>
      <c r="F20" s="80">
        <v>3.94</v>
      </c>
      <c r="G20" s="39"/>
      <c r="H20" s="47">
        <v>11</v>
      </c>
      <c r="I20" s="80">
        <v>3.24</v>
      </c>
      <c r="J20" s="65"/>
      <c r="K20" s="47">
        <v>11</v>
      </c>
      <c r="L20" s="80">
        <v>2.82</v>
      </c>
      <c r="M20" s="39"/>
      <c r="N20" s="47">
        <v>11</v>
      </c>
      <c r="O20" s="80">
        <v>3.08</v>
      </c>
      <c r="P20" s="65"/>
      <c r="Q20" s="47">
        <v>11</v>
      </c>
      <c r="R20" s="80">
        <v>4.16</v>
      </c>
      <c r="S20" s="39"/>
      <c r="T20" s="47">
        <v>11</v>
      </c>
      <c r="U20" s="80">
        <v>3.74</v>
      </c>
      <c r="V20" s="65"/>
      <c r="W20" s="47">
        <v>11</v>
      </c>
      <c r="X20" s="80">
        <v>3.8</v>
      </c>
      <c r="Y20" s="39"/>
      <c r="Z20" s="47">
        <v>11</v>
      </c>
      <c r="AA20" s="80">
        <v>3</v>
      </c>
      <c r="AB20" s="65"/>
      <c r="AC20" s="47">
        <v>11</v>
      </c>
      <c r="AD20" s="80">
        <v>3.4</v>
      </c>
      <c r="AE20" s="39"/>
      <c r="AF20" s="47">
        <v>11</v>
      </c>
      <c r="AG20" s="80">
        <v>3.18</v>
      </c>
      <c r="AH20" s="65"/>
      <c r="AI20" s="47">
        <v>11</v>
      </c>
      <c r="AJ20" s="80">
        <v>3.54</v>
      </c>
      <c r="AK20" s="39"/>
      <c r="AL20" s="47">
        <v>11</v>
      </c>
      <c r="AM20" s="80">
        <v>3.56</v>
      </c>
      <c r="AN20" s="65"/>
      <c r="AO20" s="47">
        <v>11</v>
      </c>
      <c r="AP20" s="80">
        <v>3.62</v>
      </c>
      <c r="AQ20" s="39"/>
      <c r="AR20" s="47">
        <v>11</v>
      </c>
      <c r="AS20" s="80">
        <v>4.24</v>
      </c>
      <c r="AT20" s="65"/>
      <c r="AU20" s="47">
        <v>11</v>
      </c>
      <c r="AV20" s="80">
        <v>3.4</v>
      </c>
      <c r="AW20" s="65"/>
      <c r="AX20" s="47">
        <v>11</v>
      </c>
      <c r="AY20" s="80">
        <v>3.5</v>
      </c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</row>
    <row r="21" spans="2:66" ht="20.100000000000001" customHeight="1" x14ac:dyDescent="0.25">
      <c r="B21" s="47">
        <v>12</v>
      </c>
      <c r="C21" s="80">
        <v>3.12</v>
      </c>
      <c r="D21" s="65"/>
      <c r="E21" s="47">
        <v>12</v>
      </c>
      <c r="F21" s="80">
        <v>3.66</v>
      </c>
      <c r="G21" s="39"/>
      <c r="H21" s="47">
        <v>12</v>
      </c>
      <c r="I21" s="80">
        <v>3.22</v>
      </c>
      <c r="J21" s="65"/>
      <c r="K21" s="47">
        <v>12</v>
      </c>
      <c r="L21" s="80">
        <v>3.06</v>
      </c>
      <c r="M21" s="39"/>
      <c r="N21" s="47">
        <v>12</v>
      </c>
      <c r="O21" s="80">
        <v>2.7</v>
      </c>
      <c r="P21" s="65"/>
      <c r="Q21" s="47">
        <v>12</v>
      </c>
      <c r="R21" s="80">
        <v>3.5</v>
      </c>
      <c r="S21" s="39"/>
      <c r="T21" s="47">
        <v>12</v>
      </c>
      <c r="U21" s="80">
        <v>3.64</v>
      </c>
      <c r="V21" s="65"/>
      <c r="W21" s="47">
        <v>12</v>
      </c>
      <c r="X21" s="80">
        <v>3.82</v>
      </c>
      <c r="Y21" s="39"/>
      <c r="Z21" s="47">
        <v>12</v>
      </c>
      <c r="AA21" s="80">
        <v>3.16</v>
      </c>
      <c r="AB21" s="65"/>
      <c r="AC21" s="47">
        <v>12</v>
      </c>
      <c r="AD21" s="80">
        <v>3.08</v>
      </c>
      <c r="AE21" s="39"/>
      <c r="AF21" s="47">
        <v>12</v>
      </c>
      <c r="AG21" s="80">
        <v>3.6</v>
      </c>
      <c r="AH21" s="65"/>
      <c r="AI21" s="47">
        <v>12</v>
      </c>
      <c r="AJ21" s="80">
        <v>2.74</v>
      </c>
      <c r="AK21" s="39"/>
      <c r="AL21" s="47">
        <v>12</v>
      </c>
      <c r="AM21" s="80">
        <v>3.58</v>
      </c>
      <c r="AN21" s="65"/>
      <c r="AO21" s="47">
        <v>12</v>
      </c>
      <c r="AP21" s="80">
        <v>4.22</v>
      </c>
      <c r="AQ21" s="39"/>
      <c r="AR21" s="47">
        <v>12</v>
      </c>
      <c r="AS21" s="80">
        <v>3.82</v>
      </c>
      <c r="AT21" s="65"/>
      <c r="AU21" s="47">
        <v>12</v>
      </c>
      <c r="AV21" s="80">
        <v>3.78</v>
      </c>
      <c r="AW21" s="65"/>
      <c r="AX21" s="47">
        <v>12</v>
      </c>
      <c r="AY21" s="80">
        <v>2.8</v>
      </c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</row>
    <row r="22" spans="2:66" ht="20.100000000000001" customHeight="1" x14ac:dyDescent="0.25">
      <c r="B22" s="47">
        <v>13</v>
      </c>
      <c r="C22" s="80">
        <v>3.54</v>
      </c>
      <c r="D22" s="65"/>
      <c r="E22" s="47">
        <v>13</v>
      </c>
      <c r="F22" s="80">
        <v>3.7</v>
      </c>
      <c r="G22" s="39"/>
      <c r="H22" s="47">
        <v>13</v>
      </c>
      <c r="I22" s="80">
        <v>3</v>
      </c>
      <c r="J22" s="65"/>
      <c r="K22" s="47">
        <v>13</v>
      </c>
      <c r="L22" s="80">
        <v>3.06</v>
      </c>
      <c r="M22" s="39"/>
      <c r="N22" s="47">
        <v>13</v>
      </c>
      <c r="O22" s="80">
        <v>2.98</v>
      </c>
      <c r="P22" s="65"/>
      <c r="Q22" s="47">
        <v>13</v>
      </c>
      <c r="R22" s="80">
        <v>3.4</v>
      </c>
      <c r="S22" s="39"/>
      <c r="T22" s="47">
        <v>13</v>
      </c>
      <c r="U22" s="80">
        <v>3.46</v>
      </c>
      <c r="V22" s="65"/>
      <c r="W22" s="47">
        <v>13</v>
      </c>
      <c r="X22" s="80">
        <v>3.52</v>
      </c>
      <c r="Y22" s="39"/>
      <c r="Z22" s="47">
        <v>13</v>
      </c>
      <c r="AA22" s="80">
        <v>3.54</v>
      </c>
      <c r="AB22" s="65"/>
      <c r="AC22" s="47">
        <v>13</v>
      </c>
      <c r="AD22" s="80">
        <v>2.78</v>
      </c>
      <c r="AE22" s="39"/>
      <c r="AF22" s="47">
        <v>13</v>
      </c>
      <c r="AG22" s="80">
        <v>3.1</v>
      </c>
      <c r="AH22" s="65"/>
      <c r="AI22" s="47">
        <v>13</v>
      </c>
      <c r="AJ22" s="80">
        <v>2.96</v>
      </c>
      <c r="AK22" s="39"/>
      <c r="AL22" s="47">
        <v>13</v>
      </c>
      <c r="AM22" s="80">
        <v>3.02</v>
      </c>
      <c r="AN22" s="65"/>
      <c r="AO22" s="47">
        <v>13</v>
      </c>
      <c r="AP22" s="80">
        <v>3.66</v>
      </c>
      <c r="AQ22" s="39"/>
      <c r="AR22" s="47">
        <v>13</v>
      </c>
      <c r="AS22" s="80">
        <v>3.38</v>
      </c>
      <c r="AT22" s="65"/>
      <c r="AU22" s="47">
        <v>13</v>
      </c>
      <c r="AV22" s="80">
        <v>3.3</v>
      </c>
      <c r="AW22" s="65"/>
      <c r="AX22" s="47">
        <v>13</v>
      </c>
      <c r="AY22" s="80">
        <v>3.64</v>
      </c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</row>
    <row r="23" spans="2:66" ht="20.100000000000001" customHeight="1" x14ac:dyDescent="0.25">
      <c r="B23" s="47">
        <v>14</v>
      </c>
      <c r="C23" s="80">
        <v>3.78</v>
      </c>
      <c r="D23" s="65"/>
      <c r="E23" s="47">
        <v>14</v>
      </c>
      <c r="F23" s="80">
        <v>3.44</v>
      </c>
      <c r="G23" s="39"/>
      <c r="H23" s="47">
        <v>14</v>
      </c>
      <c r="I23" s="80">
        <v>3.26</v>
      </c>
      <c r="J23" s="65"/>
      <c r="K23" s="47">
        <v>14</v>
      </c>
      <c r="L23" s="80">
        <v>3.38</v>
      </c>
      <c r="M23" s="39"/>
      <c r="N23" s="47">
        <v>14</v>
      </c>
      <c r="O23" s="80">
        <v>2.96</v>
      </c>
      <c r="P23" s="65"/>
      <c r="Q23" s="47">
        <v>14</v>
      </c>
      <c r="R23" s="80">
        <v>3.56</v>
      </c>
      <c r="S23" s="39"/>
      <c r="T23" s="47">
        <v>14</v>
      </c>
      <c r="U23" s="80">
        <v>3.64</v>
      </c>
      <c r="V23" s="65"/>
      <c r="W23" s="47">
        <v>14</v>
      </c>
      <c r="X23" s="80">
        <v>3.02</v>
      </c>
      <c r="Y23" s="39"/>
      <c r="Z23" s="47">
        <v>14</v>
      </c>
      <c r="AA23" s="80">
        <v>2.52</v>
      </c>
      <c r="AB23" s="65"/>
      <c r="AC23" s="47">
        <v>14</v>
      </c>
      <c r="AD23" s="80">
        <v>2.44</v>
      </c>
      <c r="AE23" s="39"/>
      <c r="AF23" s="47">
        <v>14</v>
      </c>
      <c r="AG23" s="80">
        <v>4.26</v>
      </c>
      <c r="AH23" s="65"/>
      <c r="AI23" s="47">
        <v>14</v>
      </c>
      <c r="AJ23" s="80">
        <v>3.52</v>
      </c>
      <c r="AK23" s="39"/>
      <c r="AL23" s="47">
        <v>14</v>
      </c>
      <c r="AM23" s="80">
        <v>3.36</v>
      </c>
      <c r="AN23" s="65"/>
      <c r="AO23" s="47">
        <v>14</v>
      </c>
      <c r="AP23" s="80">
        <v>3.18</v>
      </c>
      <c r="AQ23" s="39"/>
      <c r="AR23" s="47">
        <v>14</v>
      </c>
      <c r="AS23" s="80">
        <v>4.76</v>
      </c>
      <c r="AT23" s="65"/>
      <c r="AU23" s="47">
        <v>14</v>
      </c>
      <c r="AV23" s="80">
        <v>3.38</v>
      </c>
      <c r="AW23" s="65"/>
      <c r="AX23" s="47">
        <v>14</v>
      </c>
      <c r="AY23" s="80">
        <v>3.84</v>
      </c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</row>
    <row r="24" spans="2:66" ht="20.100000000000001" customHeight="1" x14ac:dyDescent="0.25">
      <c r="B24" s="47">
        <v>15</v>
      </c>
      <c r="C24" s="80">
        <v>4.0199999999999996</v>
      </c>
      <c r="D24" s="65"/>
      <c r="E24" s="47">
        <v>15</v>
      </c>
      <c r="F24" s="80">
        <v>3.4</v>
      </c>
      <c r="G24" s="39"/>
      <c r="H24" s="47">
        <v>15</v>
      </c>
      <c r="I24" s="80">
        <v>2.9</v>
      </c>
      <c r="J24" s="65"/>
      <c r="K24" s="47">
        <v>15</v>
      </c>
      <c r="L24" s="80">
        <v>3.26</v>
      </c>
      <c r="M24" s="39"/>
      <c r="N24" s="47">
        <v>15</v>
      </c>
      <c r="O24" s="80">
        <v>2.68</v>
      </c>
      <c r="P24" s="65"/>
      <c r="Q24" s="47">
        <v>15</v>
      </c>
      <c r="R24" s="80">
        <v>3</v>
      </c>
      <c r="S24" s="39"/>
      <c r="T24" s="47">
        <v>15</v>
      </c>
      <c r="U24" s="80">
        <v>3.1</v>
      </c>
      <c r="V24" s="65"/>
      <c r="W24" s="47">
        <v>15</v>
      </c>
      <c r="X24" s="80">
        <v>3.24</v>
      </c>
      <c r="Y24" s="39"/>
      <c r="Z24" s="47">
        <v>15</v>
      </c>
      <c r="AA24" s="80">
        <v>3.82</v>
      </c>
      <c r="AB24" s="65"/>
      <c r="AC24" s="47">
        <v>15</v>
      </c>
      <c r="AD24" s="80">
        <v>2.08</v>
      </c>
      <c r="AE24" s="39"/>
      <c r="AF24" s="47">
        <v>15</v>
      </c>
      <c r="AG24" s="80">
        <v>3.3</v>
      </c>
      <c r="AH24" s="65"/>
      <c r="AI24" s="47">
        <v>15</v>
      </c>
      <c r="AJ24" s="80">
        <v>3.4</v>
      </c>
      <c r="AK24" s="39"/>
      <c r="AL24" s="47">
        <v>15</v>
      </c>
      <c r="AM24" s="80">
        <v>3.88</v>
      </c>
      <c r="AN24" s="65"/>
      <c r="AO24" s="47">
        <v>15</v>
      </c>
      <c r="AP24" s="80">
        <v>3.94</v>
      </c>
      <c r="AQ24" s="39"/>
      <c r="AR24" s="47">
        <v>15</v>
      </c>
      <c r="AS24" s="80">
        <v>3.98</v>
      </c>
      <c r="AT24" s="65"/>
      <c r="AU24" s="47">
        <v>15</v>
      </c>
      <c r="AV24" s="80">
        <v>3.76</v>
      </c>
      <c r="AW24" s="65"/>
      <c r="AX24" s="47">
        <v>15</v>
      </c>
      <c r="AY24" s="80">
        <v>3.18</v>
      </c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</row>
    <row r="25" spans="2:66" ht="20.100000000000001" customHeight="1" x14ac:dyDescent="0.25">
      <c r="B25" s="47">
        <v>16</v>
      </c>
      <c r="C25" s="80">
        <v>2.5</v>
      </c>
      <c r="D25" s="65"/>
      <c r="E25" s="47">
        <v>16</v>
      </c>
      <c r="F25" s="80">
        <v>3</v>
      </c>
      <c r="G25" s="39"/>
      <c r="H25" s="47">
        <v>16</v>
      </c>
      <c r="I25" s="80">
        <v>2.74</v>
      </c>
      <c r="J25" s="65"/>
      <c r="K25" s="47">
        <v>16</v>
      </c>
      <c r="L25" s="80">
        <v>3.48</v>
      </c>
      <c r="M25" s="39"/>
      <c r="N25" s="47">
        <v>16</v>
      </c>
      <c r="O25" s="80">
        <v>2.86</v>
      </c>
      <c r="P25" s="65"/>
      <c r="Q25" s="47">
        <v>16</v>
      </c>
      <c r="R25" s="80">
        <v>3.3</v>
      </c>
      <c r="S25" s="39"/>
      <c r="T25" s="47">
        <v>16</v>
      </c>
      <c r="U25" s="80">
        <v>3.12</v>
      </c>
      <c r="V25" s="65"/>
      <c r="W25" s="47">
        <v>16</v>
      </c>
      <c r="X25" s="80">
        <v>3.56</v>
      </c>
      <c r="Y25" s="39"/>
      <c r="Z25" s="47">
        <v>16</v>
      </c>
      <c r="AA25" s="80">
        <v>2.92</v>
      </c>
      <c r="AB25" s="65"/>
      <c r="AC25" s="47">
        <v>16</v>
      </c>
      <c r="AD25" s="80">
        <v>2.64</v>
      </c>
      <c r="AE25" s="39"/>
      <c r="AF25" s="47">
        <v>16</v>
      </c>
      <c r="AG25" s="80">
        <v>3.96</v>
      </c>
      <c r="AH25" s="65"/>
      <c r="AI25" s="47">
        <v>16</v>
      </c>
      <c r="AJ25" s="80">
        <v>3.48</v>
      </c>
      <c r="AK25" s="39"/>
      <c r="AL25" s="47">
        <v>16</v>
      </c>
      <c r="AM25" s="80">
        <v>3.9</v>
      </c>
      <c r="AN25" s="65"/>
      <c r="AO25" s="47">
        <v>16</v>
      </c>
      <c r="AP25" s="80">
        <v>3.76</v>
      </c>
      <c r="AQ25" s="39"/>
      <c r="AR25" s="47">
        <v>16</v>
      </c>
      <c r="AS25" s="80">
        <v>3.82</v>
      </c>
      <c r="AT25" s="65"/>
      <c r="AU25" s="47">
        <v>16</v>
      </c>
      <c r="AV25" s="80">
        <v>3.88</v>
      </c>
      <c r="AW25" s="65"/>
      <c r="AX25" s="47">
        <v>16</v>
      </c>
      <c r="AY25" s="80">
        <v>3.84</v>
      </c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</row>
    <row r="26" spans="2:66" ht="20.100000000000001" customHeight="1" x14ac:dyDescent="0.25">
      <c r="B26" s="47">
        <v>17</v>
      </c>
      <c r="C26" s="80">
        <v>2.82</v>
      </c>
      <c r="D26" s="65"/>
      <c r="E26" s="47">
        <v>17</v>
      </c>
      <c r="F26" s="80">
        <v>3.96</v>
      </c>
      <c r="G26" s="39"/>
      <c r="H26" s="47">
        <v>17</v>
      </c>
      <c r="I26" s="80">
        <v>3.16</v>
      </c>
      <c r="J26" s="65"/>
      <c r="K26" s="47">
        <v>17</v>
      </c>
      <c r="L26" s="80">
        <v>2.9</v>
      </c>
      <c r="M26" s="39"/>
      <c r="N26" s="47">
        <v>17</v>
      </c>
      <c r="O26" s="80">
        <v>2.58</v>
      </c>
      <c r="P26" s="65"/>
      <c r="Q26" s="47">
        <v>17</v>
      </c>
      <c r="R26" s="80">
        <v>3.2</v>
      </c>
      <c r="S26" s="39"/>
      <c r="T26" s="47">
        <v>17</v>
      </c>
      <c r="U26" s="80">
        <v>3.38</v>
      </c>
      <c r="V26" s="65"/>
      <c r="W26" s="47">
        <v>17</v>
      </c>
      <c r="X26" s="80">
        <v>3.14</v>
      </c>
      <c r="Y26" s="39"/>
      <c r="Z26" s="47">
        <v>17</v>
      </c>
      <c r="AA26" s="80">
        <v>2.82</v>
      </c>
      <c r="AB26" s="65"/>
      <c r="AC26" s="47">
        <v>17</v>
      </c>
      <c r="AD26" s="80">
        <v>2.44</v>
      </c>
      <c r="AE26" s="39"/>
      <c r="AF26" s="47">
        <v>17</v>
      </c>
      <c r="AG26" s="80">
        <v>3.62</v>
      </c>
      <c r="AH26" s="65"/>
      <c r="AI26" s="47">
        <v>17</v>
      </c>
      <c r="AJ26" s="80">
        <v>3.64</v>
      </c>
      <c r="AK26" s="39"/>
      <c r="AL26" s="47">
        <v>17</v>
      </c>
      <c r="AM26" s="80">
        <v>3.86</v>
      </c>
      <c r="AN26" s="65"/>
      <c r="AO26" s="47">
        <v>17</v>
      </c>
      <c r="AP26" s="80">
        <v>3.46</v>
      </c>
      <c r="AQ26" s="39"/>
      <c r="AR26" s="47">
        <v>17</v>
      </c>
      <c r="AS26" s="80">
        <v>4.16</v>
      </c>
      <c r="AT26" s="65"/>
      <c r="AU26" s="47">
        <v>17</v>
      </c>
      <c r="AV26" s="80">
        <v>3.06</v>
      </c>
      <c r="AW26" s="65"/>
      <c r="AX26" s="47">
        <v>17</v>
      </c>
      <c r="AY26" s="80">
        <v>3.22</v>
      </c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</row>
    <row r="27" spans="2:66" ht="20.100000000000001" customHeight="1" x14ac:dyDescent="0.25">
      <c r="B27" s="47">
        <v>18</v>
      </c>
      <c r="C27" s="80">
        <v>3.68</v>
      </c>
      <c r="D27" s="65"/>
      <c r="E27" s="47">
        <v>18</v>
      </c>
      <c r="F27" s="80">
        <v>3.94</v>
      </c>
      <c r="G27" s="39"/>
      <c r="H27" s="47">
        <v>18</v>
      </c>
      <c r="I27" s="80">
        <v>3.36</v>
      </c>
      <c r="J27" s="65"/>
      <c r="K27" s="47">
        <v>18</v>
      </c>
      <c r="L27" s="80">
        <v>3.3</v>
      </c>
      <c r="M27" s="39"/>
      <c r="N27" s="47">
        <v>18</v>
      </c>
      <c r="O27" s="80">
        <v>2.76</v>
      </c>
      <c r="P27" s="65"/>
      <c r="Q27" s="47">
        <v>18</v>
      </c>
      <c r="R27" s="80">
        <v>3.26</v>
      </c>
      <c r="S27" s="39"/>
      <c r="T27" s="47">
        <v>18</v>
      </c>
      <c r="U27" s="80">
        <v>3.26</v>
      </c>
      <c r="V27" s="65"/>
      <c r="W27" s="47">
        <v>18</v>
      </c>
      <c r="X27" s="80">
        <v>2.98</v>
      </c>
      <c r="Y27" s="39"/>
      <c r="Z27" s="47">
        <v>18</v>
      </c>
      <c r="AA27" s="80">
        <v>2.94</v>
      </c>
      <c r="AB27" s="65"/>
      <c r="AC27" s="47">
        <v>18</v>
      </c>
      <c r="AD27" s="80">
        <v>3.66</v>
      </c>
      <c r="AE27" s="39"/>
      <c r="AF27" s="47">
        <v>18</v>
      </c>
      <c r="AG27" s="80">
        <v>3.34</v>
      </c>
      <c r="AH27" s="65"/>
      <c r="AI27" s="47">
        <v>18</v>
      </c>
      <c r="AJ27" s="80">
        <v>3.86</v>
      </c>
      <c r="AK27" s="39"/>
      <c r="AL27" s="47">
        <v>18</v>
      </c>
      <c r="AM27" s="80">
        <v>3.18</v>
      </c>
      <c r="AN27" s="65"/>
      <c r="AO27" s="47">
        <v>18</v>
      </c>
      <c r="AP27" s="80">
        <v>3.62</v>
      </c>
      <c r="AQ27" s="39"/>
      <c r="AR27" s="47">
        <v>18</v>
      </c>
      <c r="AS27" s="80">
        <v>3.74</v>
      </c>
      <c r="AT27" s="65"/>
      <c r="AU27" s="47">
        <v>18</v>
      </c>
      <c r="AV27" s="80">
        <v>3.9</v>
      </c>
      <c r="AW27" s="65"/>
      <c r="AX27" s="47">
        <v>18</v>
      </c>
      <c r="AY27" s="80">
        <v>4.1399999999999997</v>
      </c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</row>
    <row r="28" spans="2:66" ht="20.100000000000001" customHeight="1" x14ac:dyDescent="0.25">
      <c r="B28" s="47">
        <v>19</v>
      </c>
      <c r="C28" s="80">
        <v>3.04</v>
      </c>
      <c r="D28" s="65"/>
      <c r="E28" s="47">
        <v>19</v>
      </c>
      <c r="F28" s="80">
        <v>3.64</v>
      </c>
      <c r="G28" s="39"/>
      <c r="H28" s="47">
        <v>19</v>
      </c>
      <c r="I28" s="80">
        <v>3.22</v>
      </c>
      <c r="J28" s="65"/>
      <c r="K28" s="47">
        <v>19</v>
      </c>
      <c r="L28" s="80">
        <v>3.36</v>
      </c>
      <c r="M28" s="39"/>
      <c r="N28" s="47">
        <v>19</v>
      </c>
      <c r="O28" s="80">
        <v>3.14</v>
      </c>
      <c r="P28" s="65"/>
      <c r="Q28" s="47">
        <v>19</v>
      </c>
      <c r="R28" s="80">
        <v>3.62</v>
      </c>
      <c r="S28" s="39"/>
      <c r="T28" s="47">
        <v>19</v>
      </c>
      <c r="U28" s="80">
        <v>3.42</v>
      </c>
      <c r="V28" s="65"/>
      <c r="W28" s="47">
        <v>19</v>
      </c>
      <c r="X28" s="80">
        <v>3.44</v>
      </c>
      <c r="Y28" s="39"/>
      <c r="Z28" s="47">
        <v>19</v>
      </c>
      <c r="AA28" s="80">
        <v>3.9</v>
      </c>
      <c r="AB28" s="65"/>
      <c r="AC28" s="47">
        <v>19</v>
      </c>
      <c r="AD28" s="80">
        <v>3.58</v>
      </c>
      <c r="AE28" s="39"/>
      <c r="AF28" s="47">
        <v>19</v>
      </c>
      <c r="AG28" s="80">
        <v>4.26</v>
      </c>
      <c r="AH28" s="65"/>
      <c r="AI28" s="47">
        <v>19</v>
      </c>
      <c r="AJ28" s="80">
        <v>3.16</v>
      </c>
      <c r="AK28" s="39"/>
      <c r="AL28" s="47">
        <v>19</v>
      </c>
      <c r="AM28" s="80">
        <v>3.76</v>
      </c>
      <c r="AN28" s="65"/>
      <c r="AO28" s="47">
        <v>19</v>
      </c>
      <c r="AP28" s="80">
        <v>3.98</v>
      </c>
      <c r="AQ28" s="39"/>
      <c r="AR28" s="47">
        <v>19</v>
      </c>
      <c r="AS28" s="80">
        <v>4.38</v>
      </c>
      <c r="AT28" s="65"/>
      <c r="AU28" s="47">
        <v>19</v>
      </c>
      <c r="AV28" s="80">
        <v>3.82</v>
      </c>
      <c r="AW28" s="65"/>
      <c r="AX28" s="47">
        <v>19</v>
      </c>
      <c r="AY28" s="80">
        <v>4.34</v>
      </c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</row>
    <row r="29" spans="2:66" ht="20.100000000000001" customHeight="1" x14ac:dyDescent="0.25">
      <c r="B29" s="47">
        <v>20</v>
      </c>
      <c r="C29" s="80">
        <v>3.28</v>
      </c>
      <c r="D29" s="65"/>
      <c r="E29" s="47">
        <v>20</v>
      </c>
      <c r="F29" s="80">
        <v>3.48</v>
      </c>
      <c r="G29" s="39"/>
      <c r="H29" s="47">
        <v>20</v>
      </c>
      <c r="I29" s="80">
        <v>2.88</v>
      </c>
      <c r="J29" s="65"/>
      <c r="K29" s="47">
        <v>20</v>
      </c>
      <c r="L29" s="80">
        <v>3.06</v>
      </c>
      <c r="M29" s="39"/>
      <c r="N29" s="47">
        <v>20</v>
      </c>
      <c r="O29" s="80">
        <v>2.78</v>
      </c>
      <c r="P29" s="65"/>
      <c r="Q29" s="47">
        <v>20</v>
      </c>
      <c r="R29" s="80">
        <v>3.64</v>
      </c>
      <c r="S29" s="39"/>
      <c r="T29" s="47">
        <v>20</v>
      </c>
      <c r="U29" s="80">
        <v>3.66</v>
      </c>
      <c r="V29" s="65"/>
      <c r="W29" s="47">
        <v>20</v>
      </c>
      <c r="X29" s="80">
        <v>2.82</v>
      </c>
      <c r="Y29" s="39"/>
      <c r="Z29" s="47">
        <v>20</v>
      </c>
      <c r="AA29" s="80">
        <v>3.24</v>
      </c>
      <c r="AB29" s="65"/>
      <c r="AC29" s="47">
        <v>20</v>
      </c>
      <c r="AD29" s="80">
        <v>2.48</v>
      </c>
      <c r="AE29" s="39"/>
      <c r="AF29" s="47">
        <v>20</v>
      </c>
      <c r="AG29" s="80">
        <v>4.42</v>
      </c>
      <c r="AH29" s="65"/>
      <c r="AI29" s="47">
        <v>20</v>
      </c>
      <c r="AJ29" s="80">
        <v>4.6399999999999997</v>
      </c>
      <c r="AK29" s="39"/>
      <c r="AL29" s="47">
        <v>20</v>
      </c>
      <c r="AM29" s="80">
        <v>3.18</v>
      </c>
      <c r="AN29" s="65"/>
      <c r="AO29" s="47">
        <v>20</v>
      </c>
      <c r="AP29" s="80">
        <v>2.76</v>
      </c>
      <c r="AQ29" s="39"/>
      <c r="AR29" s="47">
        <v>20</v>
      </c>
      <c r="AS29" s="80">
        <v>4.0599999999999996</v>
      </c>
      <c r="AT29" s="65"/>
      <c r="AU29" s="47">
        <v>20</v>
      </c>
      <c r="AV29" s="80">
        <v>4</v>
      </c>
      <c r="AW29" s="65"/>
      <c r="AX29" s="47">
        <v>20</v>
      </c>
      <c r="AY29" s="80">
        <v>2.92</v>
      </c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</row>
    <row r="30" spans="2:66" ht="20.100000000000001" customHeight="1" x14ac:dyDescent="0.25">
      <c r="B30" s="47">
        <v>21</v>
      </c>
      <c r="C30" s="80">
        <v>3.66</v>
      </c>
      <c r="D30" s="39"/>
      <c r="E30" s="47">
        <v>21</v>
      </c>
      <c r="F30" s="80">
        <v>3.66</v>
      </c>
      <c r="G30" s="39"/>
      <c r="H30" s="47">
        <v>21</v>
      </c>
      <c r="I30" s="80">
        <v>2.72</v>
      </c>
      <c r="J30" s="39"/>
      <c r="K30" s="47">
        <v>21</v>
      </c>
      <c r="L30" s="80">
        <v>2.9</v>
      </c>
      <c r="M30" s="39"/>
      <c r="N30" s="47">
        <v>21</v>
      </c>
      <c r="O30" s="80">
        <v>2.48</v>
      </c>
      <c r="P30" s="39"/>
      <c r="Q30" s="47">
        <v>21</v>
      </c>
      <c r="R30" s="80">
        <v>3.46</v>
      </c>
      <c r="S30" s="39"/>
      <c r="T30" s="47">
        <v>21</v>
      </c>
      <c r="U30" s="80">
        <v>2.84</v>
      </c>
      <c r="V30" s="39"/>
      <c r="W30" s="47">
        <v>21</v>
      </c>
      <c r="X30" s="80">
        <v>3.32</v>
      </c>
      <c r="Y30" s="39"/>
      <c r="Z30" s="47">
        <v>21</v>
      </c>
      <c r="AA30" s="80">
        <v>2.62</v>
      </c>
      <c r="AB30" s="39"/>
      <c r="AC30" s="47">
        <v>21</v>
      </c>
      <c r="AD30" s="80">
        <v>3.34</v>
      </c>
      <c r="AE30" s="39"/>
      <c r="AF30" s="47">
        <v>21</v>
      </c>
      <c r="AG30" s="80">
        <v>3.68</v>
      </c>
      <c r="AH30" s="39"/>
      <c r="AI30" s="47">
        <v>21</v>
      </c>
      <c r="AJ30" s="80">
        <v>3.54</v>
      </c>
      <c r="AK30" s="39"/>
      <c r="AL30" s="47">
        <v>21</v>
      </c>
      <c r="AM30" s="80">
        <v>4.24</v>
      </c>
      <c r="AN30" s="39"/>
      <c r="AO30" s="47">
        <v>21</v>
      </c>
      <c r="AP30" s="80">
        <v>4.7</v>
      </c>
      <c r="AQ30" s="39"/>
      <c r="AR30" s="47">
        <v>21</v>
      </c>
      <c r="AS30" s="80">
        <v>3.76</v>
      </c>
      <c r="AT30" s="39"/>
      <c r="AU30" s="47">
        <v>21</v>
      </c>
      <c r="AV30" s="80">
        <v>3.8</v>
      </c>
      <c r="AW30" s="39"/>
      <c r="AX30" s="47">
        <v>21</v>
      </c>
      <c r="AY30" s="80">
        <v>3.3</v>
      </c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</row>
    <row r="31" spans="2:66" ht="20.100000000000001" customHeight="1" x14ac:dyDescent="0.25">
      <c r="B31" s="47">
        <v>22</v>
      </c>
      <c r="C31" s="80">
        <v>3.48</v>
      </c>
      <c r="D31" s="39"/>
      <c r="E31" s="47">
        <v>22</v>
      </c>
      <c r="F31" s="80">
        <v>3.94</v>
      </c>
      <c r="G31" s="39"/>
      <c r="H31" s="47">
        <v>22</v>
      </c>
      <c r="I31" s="80">
        <v>3.24</v>
      </c>
      <c r="J31" s="39"/>
      <c r="K31" s="47">
        <v>22</v>
      </c>
      <c r="L31" s="80">
        <v>3.24</v>
      </c>
      <c r="M31" s="39"/>
      <c r="N31" s="47">
        <v>22</v>
      </c>
      <c r="O31" s="80">
        <v>2.72</v>
      </c>
      <c r="P31" s="39"/>
      <c r="Q31" s="47">
        <v>22</v>
      </c>
      <c r="R31" s="80">
        <v>3.68</v>
      </c>
      <c r="S31" s="39"/>
      <c r="T31" s="47">
        <v>22</v>
      </c>
      <c r="U31" s="80">
        <v>3.52</v>
      </c>
      <c r="V31" s="39"/>
      <c r="W31" s="47">
        <v>22</v>
      </c>
      <c r="X31" s="80">
        <v>3.26</v>
      </c>
      <c r="Y31" s="39"/>
      <c r="Z31" s="47">
        <v>22</v>
      </c>
      <c r="AA31" s="80">
        <v>2.42</v>
      </c>
      <c r="AB31" s="39"/>
      <c r="AC31" s="47">
        <v>22</v>
      </c>
      <c r="AD31" s="80">
        <v>3.54</v>
      </c>
      <c r="AE31" s="39"/>
      <c r="AF31" s="47">
        <v>22</v>
      </c>
      <c r="AG31" s="80">
        <v>3</v>
      </c>
      <c r="AH31" s="39"/>
      <c r="AI31" s="47">
        <v>22</v>
      </c>
      <c r="AJ31" s="80">
        <v>3.74</v>
      </c>
      <c r="AK31" s="39"/>
      <c r="AL31" s="47">
        <v>22</v>
      </c>
      <c r="AM31" s="80">
        <v>3.38</v>
      </c>
      <c r="AN31" s="39"/>
      <c r="AO31" s="51">
        <v>22</v>
      </c>
      <c r="AP31" s="82"/>
      <c r="AQ31" s="81" t="s">
        <v>1087</v>
      </c>
      <c r="AR31" s="47">
        <v>22</v>
      </c>
      <c r="AS31" s="80">
        <v>3.36</v>
      </c>
      <c r="AT31" s="39"/>
      <c r="AU31" s="47">
        <v>22</v>
      </c>
      <c r="AV31" s="80">
        <v>3.74</v>
      </c>
      <c r="AW31" s="39"/>
      <c r="AX31" s="47">
        <v>22</v>
      </c>
      <c r="AY31" s="80">
        <v>2.86</v>
      </c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</row>
    <row r="32" spans="2:66" ht="20.100000000000001" customHeight="1" x14ac:dyDescent="0.25">
      <c r="B32" s="47">
        <v>23</v>
      </c>
      <c r="C32" s="80">
        <v>2.88</v>
      </c>
      <c r="D32" s="39"/>
      <c r="E32" s="47">
        <v>23</v>
      </c>
      <c r="F32" s="80">
        <v>4.4800000000000004</v>
      </c>
      <c r="G32" s="39"/>
      <c r="H32" s="47">
        <v>23</v>
      </c>
      <c r="I32" s="80">
        <v>3.18</v>
      </c>
      <c r="J32" s="39"/>
      <c r="K32" s="47">
        <v>23</v>
      </c>
      <c r="L32" s="80">
        <v>2.52</v>
      </c>
      <c r="M32" s="39"/>
      <c r="N32" s="47">
        <v>23</v>
      </c>
      <c r="O32" s="80">
        <v>2.6</v>
      </c>
      <c r="P32" s="39"/>
      <c r="Q32" s="47">
        <v>23</v>
      </c>
      <c r="R32" s="80">
        <v>2.82</v>
      </c>
      <c r="S32" s="39"/>
      <c r="T32" s="47">
        <v>23</v>
      </c>
      <c r="U32" s="80">
        <v>3.56</v>
      </c>
      <c r="V32" s="39"/>
      <c r="W32" s="47">
        <v>23</v>
      </c>
      <c r="X32" s="80">
        <v>2.4</v>
      </c>
      <c r="Y32" s="39"/>
      <c r="Z32" s="47">
        <v>23</v>
      </c>
      <c r="AA32" s="80">
        <v>2.5</v>
      </c>
      <c r="AB32" s="39"/>
      <c r="AC32" s="47">
        <v>23</v>
      </c>
      <c r="AD32" s="80">
        <v>2.84</v>
      </c>
      <c r="AE32" s="39"/>
      <c r="AF32" s="47">
        <v>23</v>
      </c>
      <c r="AG32" s="80">
        <v>3.9</v>
      </c>
      <c r="AH32" s="39"/>
      <c r="AI32" s="47">
        <v>23</v>
      </c>
      <c r="AJ32" s="80">
        <v>4.26</v>
      </c>
      <c r="AK32" s="39"/>
      <c r="AL32" s="47">
        <v>23</v>
      </c>
      <c r="AM32" s="80">
        <v>4.0199999999999996</v>
      </c>
      <c r="AN32" s="39"/>
      <c r="AO32" s="47">
        <v>23</v>
      </c>
      <c r="AP32" s="80">
        <v>3.22</v>
      </c>
      <c r="AQ32" s="81"/>
      <c r="AR32" s="47">
        <v>23</v>
      </c>
      <c r="AS32" s="80">
        <v>3.42</v>
      </c>
      <c r="AT32" s="39"/>
      <c r="AU32" s="47">
        <v>23</v>
      </c>
      <c r="AV32" s="80">
        <v>3.6</v>
      </c>
      <c r="AW32" s="39"/>
      <c r="AX32" s="47">
        <v>23</v>
      </c>
      <c r="AY32" s="80">
        <v>3.48</v>
      </c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</row>
    <row r="33" spans="2:66" ht="20.100000000000001" customHeight="1" x14ac:dyDescent="0.25">
      <c r="B33" s="47">
        <v>24</v>
      </c>
      <c r="C33" s="80">
        <v>2.58</v>
      </c>
      <c r="D33" s="39"/>
      <c r="E33" s="47">
        <v>24</v>
      </c>
      <c r="F33" s="80">
        <v>3.7</v>
      </c>
      <c r="G33" s="39"/>
      <c r="H33" s="47">
        <v>24</v>
      </c>
      <c r="I33" s="80">
        <v>3.24</v>
      </c>
      <c r="J33" s="39"/>
      <c r="K33" s="47">
        <v>24</v>
      </c>
      <c r="L33" s="80">
        <v>3.28</v>
      </c>
      <c r="M33" s="39"/>
      <c r="N33" s="47">
        <v>24</v>
      </c>
      <c r="O33" s="80">
        <v>2.3199999999999998</v>
      </c>
      <c r="P33" s="39"/>
      <c r="Q33" s="47">
        <v>24</v>
      </c>
      <c r="R33" s="80">
        <v>3.34</v>
      </c>
      <c r="S33" s="39"/>
      <c r="T33" s="47">
        <v>24</v>
      </c>
      <c r="U33" s="80">
        <v>2.8</v>
      </c>
      <c r="V33" s="39"/>
      <c r="W33" s="47">
        <v>24</v>
      </c>
      <c r="X33" s="80">
        <v>3.38</v>
      </c>
      <c r="Y33" s="39"/>
      <c r="Z33" s="47">
        <v>24</v>
      </c>
      <c r="AA33" s="80">
        <v>3.56</v>
      </c>
      <c r="AB33" s="39"/>
      <c r="AC33" s="47">
        <v>24</v>
      </c>
      <c r="AD33" s="80">
        <v>4.0599999999999996</v>
      </c>
      <c r="AE33" s="39"/>
      <c r="AF33" s="47">
        <v>24</v>
      </c>
      <c r="AG33" s="80">
        <v>3.5</v>
      </c>
      <c r="AH33" s="39"/>
      <c r="AI33" s="47">
        <v>24</v>
      </c>
      <c r="AJ33" s="80">
        <v>2.74</v>
      </c>
      <c r="AK33" s="39"/>
      <c r="AL33" s="47">
        <v>24</v>
      </c>
      <c r="AM33" s="80">
        <v>4.18</v>
      </c>
      <c r="AN33" s="39"/>
      <c r="AO33" s="47">
        <v>24</v>
      </c>
      <c r="AP33" s="80">
        <v>3.1</v>
      </c>
      <c r="AQ33" s="81"/>
      <c r="AR33" s="47">
        <v>24</v>
      </c>
      <c r="AS33" s="80">
        <v>4.26</v>
      </c>
      <c r="AT33" s="39"/>
      <c r="AU33" s="47">
        <v>24</v>
      </c>
      <c r="AV33" s="80">
        <v>3.9</v>
      </c>
      <c r="AW33" s="39"/>
      <c r="AX33" s="47">
        <v>24</v>
      </c>
      <c r="AY33" s="80">
        <v>2.92</v>
      </c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</row>
    <row r="34" spans="2:66" ht="20.100000000000001" customHeight="1" x14ac:dyDescent="0.25">
      <c r="B34" s="47">
        <v>25</v>
      </c>
      <c r="C34" s="80">
        <v>3.5</v>
      </c>
      <c r="D34" s="39"/>
      <c r="E34" s="47">
        <v>25</v>
      </c>
      <c r="F34" s="80">
        <v>3.76</v>
      </c>
      <c r="G34" s="39"/>
      <c r="H34" s="47">
        <v>25</v>
      </c>
      <c r="I34" s="80">
        <v>3.66</v>
      </c>
      <c r="J34" s="39"/>
      <c r="K34" s="47">
        <v>25</v>
      </c>
      <c r="L34" s="80">
        <v>3.1</v>
      </c>
      <c r="M34" s="39"/>
      <c r="N34" s="47">
        <v>25</v>
      </c>
      <c r="O34" s="80">
        <v>2.52</v>
      </c>
      <c r="P34" s="39"/>
      <c r="Q34" s="47">
        <v>25</v>
      </c>
      <c r="R34" s="80">
        <v>3.64</v>
      </c>
      <c r="S34" s="39"/>
      <c r="T34" s="47">
        <v>25</v>
      </c>
      <c r="U34" s="80">
        <v>3.02</v>
      </c>
      <c r="V34" s="39"/>
      <c r="W34" s="47">
        <v>25</v>
      </c>
      <c r="X34" s="80">
        <v>3.48</v>
      </c>
      <c r="Y34" s="39"/>
      <c r="Z34" s="47">
        <v>25</v>
      </c>
      <c r="AA34" s="80">
        <v>3.38</v>
      </c>
      <c r="AB34" s="39"/>
      <c r="AC34" s="47">
        <v>25</v>
      </c>
      <c r="AD34" s="80">
        <v>3.64</v>
      </c>
      <c r="AE34" s="39"/>
      <c r="AF34" s="47">
        <v>25</v>
      </c>
      <c r="AG34" s="80">
        <v>3.5</v>
      </c>
      <c r="AH34" s="39"/>
      <c r="AI34" s="47">
        <v>25</v>
      </c>
      <c r="AJ34" s="80">
        <v>3.8</v>
      </c>
      <c r="AK34" s="39"/>
      <c r="AL34" s="47">
        <v>25</v>
      </c>
      <c r="AM34" s="80">
        <v>3.14</v>
      </c>
      <c r="AN34" s="39"/>
      <c r="AO34" s="47">
        <v>25</v>
      </c>
      <c r="AP34" s="80">
        <v>3.46</v>
      </c>
      <c r="AQ34" s="81"/>
      <c r="AR34" s="47">
        <v>25</v>
      </c>
      <c r="AS34" s="80">
        <v>3.88</v>
      </c>
      <c r="AT34" s="39"/>
      <c r="AU34" s="47">
        <v>25</v>
      </c>
      <c r="AV34" s="80">
        <v>3.9</v>
      </c>
      <c r="AW34" s="39"/>
      <c r="AX34" s="47">
        <v>25</v>
      </c>
      <c r="AY34" s="80">
        <v>3.68</v>
      </c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</row>
    <row r="35" spans="2:66" ht="20.100000000000001" customHeight="1" x14ac:dyDescent="0.25">
      <c r="B35" s="47">
        <v>26</v>
      </c>
      <c r="C35" s="80">
        <v>3.48</v>
      </c>
      <c r="D35" s="39"/>
      <c r="E35" s="47">
        <v>26</v>
      </c>
      <c r="F35" s="80">
        <v>2.9</v>
      </c>
      <c r="G35" s="39"/>
      <c r="H35" s="47">
        <v>26</v>
      </c>
      <c r="I35" s="80">
        <v>3.16</v>
      </c>
      <c r="J35" s="39"/>
      <c r="K35" s="47">
        <v>26</v>
      </c>
      <c r="L35" s="80">
        <v>2.94</v>
      </c>
      <c r="M35" s="39"/>
      <c r="N35" s="47">
        <v>26</v>
      </c>
      <c r="O35" s="80">
        <v>2.58</v>
      </c>
      <c r="P35" s="39"/>
      <c r="Q35" s="47">
        <v>26</v>
      </c>
      <c r="R35" s="80">
        <v>2.88</v>
      </c>
      <c r="S35" s="39"/>
      <c r="T35" s="47">
        <v>26</v>
      </c>
      <c r="U35" s="80">
        <v>3.16</v>
      </c>
      <c r="V35" s="39"/>
      <c r="W35" s="47">
        <v>26</v>
      </c>
      <c r="X35" s="80">
        <v>2.84</v>
      </c>
      <c r="Y35" s="39"/>
      <c r="Z35" s="47">
        <v>26</v>
      </c>
      <c r="AA35" s="80">
        <v>2.42</v>
      </c>
      <c r="AB35" s="39"/>
      <c r="AC35" s="47">
        <v>26</v>
      </c>
      <c r="AD35" s="80">
        <v>4.0199999999999996</v>
      </c>
      <c r="AE35" s="39"/>
      <c r="AF35" s="47">
        <v>26</v>
      </c>
      <c r="AG35" s="80">
        <v>3.18</v>
      </c>
      <c r="AH35" s="39"/>
      <c r="AI35" s="47">
        <v>26</v>
      </c>
      <c r="AJ35" s="80">
        <v>4.42</v>
      </c>
      <c r="AK35" s="39"/>
      <c r="AL35" s="47">
        <v>26</v>
      </c>
      <c r="AM35" s="80">
        <v>3.92</v>
      </c>
      <c r="AN35" s="39"/>
      <c r="AO35" s="47">
        <v>26</v>
      </c>
      <c r="AP35" s="80">
        <v>2.84</v>
      </c>
      <c r="AQ35" s="81"/>
      <c r="AR35" s="47">
        <v>26</v>
      </c>
      <c r="AS35" s="80">
        <v>4.28</v>
      </c>
      <c r="AT35" s="39"/>
      <c r="AU35" s="47">
        <v>26</v>
      </c>
      <c r="AV35" s="80">
        <v>3.24</v>
      </c>
      <c r="AW35" s="39"/>
      <c r="AX35" s="47">
        <v>26</v>
      </c>
      <c r="AY35" s="80">
        <v>3.68</v>
      </c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</row>
    <row r="36" spans="2:66" ht="20.100000000000001" customHeight="1" x14ac:dyDescent="0.25">
      <c r="B36" s="47">
        <v>27</v>
      </c>
      <c r="C36" s="80">
        <v>3.36</v>
      </c>
      <c r="D36" s="39"/>
      <c r="E36" s="47">
        <v>27</v>
      </c>
      <c r="F36" s="80">
        <v>4.0999999999999996</v>
      </c>
      <c r="G36" s="39"/>
      <c r="H36" s="47">
        <v>27</v>
      </c>
      <c r="I36" s="80">
        <v>3.18</v>
      </c>
      <c r="J36" s="39"/>
      <c r="K36" s="47">
        <v>27</v>
      </c>
      <c r="L36" s="80">
        <v>3.14</v>
      </c>
      <c r="M36" s="39"/>
      <c r="N36" s="47">
        <v>27</v>
      </c>
      <c r="O36" s="80">
        <v>2.44</v>
      </c>
      <c r="P36" s="39"/>
      <c r="Q36" s="47">
        <v>27</v>
      </c>
      <c r="R36" s="80">
        <v>2.84</v>
      </c>
      <c r="S36" s="39"/>
      <c r="T36" s="47">
        <v>27</v>
      </c>
      <c r="U36" s="80">
        <v>3.88</v>
      </c>
      <c r="V36" s="39"/>
      <c r="W36" s="47">
        <v>27</v>
      </c>
      <c r="X36" s="80">
        <v>3.26</v>
      </c>
      <c r="Y36" s="39"/>
      <c r="Z36" s="47">
        <v>27</v>
      </c>
      <c r="AA36" s="80">
        <v>2.72</v>
      </c>
      <c r="AB36" s="39"/>
      <c r="AC36" s="47">
        <v>27</v>
      </c>
      <c r="AD36" s="80">
        <v>3.38</v>
      </c>
      <c r="AE36" s="39"/>
      <c r="AF36" s="47">
        <v>27</v>
      </c>
      <c r="AG36" s="80">
        <v>3.46</v>
      </c>
      <c r="AH36" s="39"/>
      <c r="AI36" s="47">
        <v>27</v>
      </c>
      <c r="AJ36" s="80">
        <v>3.66</v>
      </c>
      <c r="AK36" s="39"/>
      <c r="AL36" s="47">
        <v>27</v>
      </c>
      <c r="AM36" s="80">
        <v>3.5</v>
      </c>
      <c r="AN36" s="39"/>
      <c r="AO36" s="47">
        <v>27</v>
      </c>
      <c r="AP36" s="80">
        <v>3.94</v>
      </c>
      <c r="AQ36" s="81"/>
      <c r="AR36" s="47">
        <v>27</v>
      </c>
      <c r="AS36" s="80">
        <v>3.72</v>
      </c>
      <c r="AT36" s="39"/>
      <c r="AU36" s="47">
        <v>27</v>
      </c>
      <c r="AV36" s="80">
        <v>2.8</v>
      </c>
      <c r="AW36" s="39"/>
      <c r="AX36" s="47">
        <v>27</v>
      </c>
      <c r="AY36" s="80">
        <v>4.12</v>
      </c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</row>
    <row r="37" spans="2:66" ht="20.100000000000001" customHeight="1" x14ac:dyDescent="0.25">
      <c r="B37" s="47">
        <v>28</v>
      </c>
      <c r="C37" s="80">
        <v>2.92</v>
      </c>
      <c r="D37" s="39"/>
      <c r="E37" s="47">
        <v>28</v>
      </c>
      <c r="F37" s="80">
        <v>3.48</v>
      </c>
      <c r="G37" s="39"/>
      <c r="H37" s="47">
        <v>28</v>
      </c>
      <c r="I37" s="80">
        <v>2.76</v>
      </c>
      <c r="J37" s="39"/>
      <c r="K37" s="47">
        <v>28</v>
      </c>
      <c r="L37" s="80">
        <v>3.34</v>
      </c>
      <c r="M37" s="39"/>
      <c r="N37" s="47">
        <v>28</v>
      </c>
      <c r="O37" s="80">
        <v>2.72</v>
      </c>
      <c r="P37" s="39"/>
      <c r="Q37" s="47">
        <v>28</v>
      </c>
      <c r="R37" s="80">
        <v>3.34</v>
      </c>
      <c r="S37" s="39"/>
      <c r="T37" s="47">
        <v>28</v>
      </c>
      <c r="U37" s="80">
        <v>2.92</v>
      </c>
      <c r="V37" s="39"/>
      <c r="W37" s="47">
        <v>28</v>
      </c>
      <c r="X37" s="80">
        <v>3.44</v>
      </c>
      <c r="Y37" s="39"/>
      <c r="Z37" s="47">
        <v>28</v>
      </c>
      <c r="AA37" s="80">
        <v>1.98</v>
      </c>
      <c r="AB37" s="39"/>
      <c r="AC37" s="47">
        <v>28</v>
      </c>
      <c r="AD37" s="80">
        <v>3.48</v>
      </c>
      <c r="AE37" s="39"/>
      <c r="AF37" s="47">
        <v>28</v>
      </c>
      <c r="AG37" s="80">
        <v>4.4400000000000004</v>
      </c>
      <c r="AH37" s="39"/>
      <c r="AI37" s="47">
        <v>28</v>
      </c>
      <c r="AJ37" s="80">
        <v>3.46</v>
      </c>
      <c r="AK37" s="39"/>
      <c r="AL37" s="47">
        <v>28</v>
      </c>
      <c r="AM37" s="80">
        <v>3.5</v>
      </c>
      <c r="AN37" s="39"/>
      <c r="AO37" s="47">
        <v>28</v>
      </c>
      <c r="AP37" s="80">
        <v>3.64</v>
      </c>
      <c r="AQ37" s="81"/>
      <c r="AR37" s="47">
        <v>28</v>
      </c>
      <c r="AS37" s="80">
        <v>3.82</v>
      </c>
      <c r="AT37" s="39"/>
      <c r="AU37" s="47">
        <v>28</v>
      </c>
      <c r="AV37" s="80">
        <v>3.64</v>
      </c>
      <c r="AW37" s="39"/>
      <c r="AX37" s="47">
        <v>28</v>
      </c>
      <c r="AY37" s="80">
        <v>3.68</v>
      </c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</row>
    <row r="38" spans="2:66" ht="20.100000000000001" customHeight="1" x14ac:dyDescent="0.25">
      <c r="B38" s="47">
        <v>29</v>
      </c>
      <c r="C38" s="80">
        <v>3.4</v>
      </c>
      <c r="D38" s="39"/>
      <c r="E38" s="47">
        <v>29</v>
      </c>
      <c r="F38" s="80">
        <v>3.62</v>
      </c>
      <c r="G38" s="39"/>
      <c r="H38" s="47">
        <v>29</v>
      </c>
      <c r="I38" s="80">
        <v>3.4</v>
      </c>
      <c r="J38" s="39"/>
      <c r="K38" s="47">
        <v>29</v>
      </c>
      <c r="L38" s="80">
        <v>3.1</v>
      </c>
      <c r="M38" s="39"/>
      <c r="N38" s="47">
        <v>29</v>
      </c>
      <c r="O38" s="80">
        <v>2.2400000000000002</v>
      </c>
      <c r="P38" s="39"/>
      <c r="Q38" s="47">
        <v>29</v>
      </c>
      <c r="R38" s="80">
        <v>3.08</v>
      </c>
      <c r="S38" s="39"/>
      <c r="T38" s="47">
        <v>29</v>
      </c>
      <c r="U38" s="80">
        <v>3.48</v>
      </c>
      <c r="V38" s="39"/>
      <c r="W38" s="47">
        <v>29</v>
      </c>
      <c r="X38" s="80">
        <v>3.04</v>
      </c>
      <c r="Y38" s="39"/>
      <c r="Z38" s="47">
        <v>29</v>
      </c>
      <c r="AA38" s="80">
        <v>2.3199999999999998</v>
      </c>
      <c r="AB38" s="39"/>
      <c r="AC38" s="47">
        <v>29</v>
      </c>
      <c r="AD38" s="80">
        <v>3.62</v>
      </c>
      <c r="AE38" s="39"/>
      <c r="AF38" s="47">
        <v>29</v>
      </c>
      <c r="AG38" s="80">
        <v>2.88</v>
      </c>
      <c r="AH38" s="39"/>
      <c r="AI38" s="47">
        <v>29</v>
      </c>
      <c r="AJ38" s="80">
        <v>3.8</v>
      </c>
      <c r="AK38" s="39"/>
      <c r="AL38" s="47">
        <v>29</v>
      </c>
      <c r="AM38" s="80">
        <v>2.86</v>
      </c>
      <c r="AN38" s="39"/>
      <c r="AO38" s="47">
        <v>29</v>
      </c>
      <c r="AP38" s="80">
        <v>3.7</v>
      </c>
      <c r="AQ38" s="39"/>
      <c r="AR38" s="47">
        <v>29</v>
      </c>
      <c r="AS38" s="80">
        <v>3.66</v>
      </c>
      <c r="AT38" s="39"/>
      <c r="AU38" s="47">
        <v>29</v>
      </c>
      <c r="AV38" s="80">
        <v>2.6</v>
      </c>
      <c r="AW38" s="39"/>
      <c r="AX38" s="47">
        <v>29</v>
      </c>
      <c r="AY38" s="80">
        <v>3.14</v>
      </c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</row>
    <row r="39" spans="2:66" ht="20.100000000000001" customHeight="1" x14ac:dyDescent="0.25">
      <c r="B39" s="47">
        <v>30</v>
      </c>
      <c r="C39" s="80">
        <v>3.02</v>
      </c>
      <c r="D39" s="39"/>
      <c r="E39" s="47">
        <v>30</v>
      </c>
      <c r="F39" s="80">
        <v>3.84</v>
      </c>
      <c r="G39" s="39"/>
      <c r="H39" s="47">
        <v>30</v>
      </c>
      <c r="I39" s="80">
        <v>3.36</v>
      </c>
      <c r="J39" s="39"/>
      <c r="K39" s="47">
        <v>30</v>
      </c>
      <c r="L39" s="80">
        <v>3</v>
      </c>
      <c r="M39" s="39"/>
      <c r="N39" s="47">
        <v>30</v>
      </c>
      <c r="O39" s="80">
        <v>2.48</v>
      </c>
      <c r="P39" s="39"/>
      <c r="Q39" s="47">
        <v>30</v>
      </c>
      <c r="R39" s="80">
        <v>3.6</v>
      </c>
      <c r="S39" s="39"/>
      <c r="T39" s="47">
        <v>30</v>
      </c>
      <c r="U39" s="80">
        <v>3.56</v>
      </c>
      <c r="V39" s="39"/>
      <c r="W39" s="47">
        <v>30</v>
      </c>
      <c r="X39" s="80">
        <v>2.64</v>
      </c>
      <c r="Y39" s="39"/>
      <c r="Z39" s="47">
        <v>30</v>
      </c>
      <c r="AA39" s="80">
        <v>3.32</v>
      </c>
      <c r="AB39" s="39"/>
      <c r="AC39" s="47">
        <v>30</v>
      </c>
      <c r="AD39" s="80">
        <v>3.56</v>
      </c>
      <c r="AE39" s="39"/>
      <c r="AF39" s="47">
        <v>30</v>
      </c>
      <c r="AG39" s="80">
        <v>3.24</v>
      </c>
      <c r="AH39" s="39"/>
      <c r="AI39" s="47">
        <v>30</v>
      </c>
      <c r="AJ39" s="80">
        <v>3.08</v>
      </c>
      <c r="AK39" s="39"/>
      <c r="AL39" s="47">
        <v>30</v>
      </c>
      <c r="AM39" s="80">
        <v>4.38</v>
      </c>
      <c r="AN39" s="39"/>
      <c r="AO39" s="47">
        <v>30</v>
      </c>
      <c r="AP39" s="80">
        <v>2.96</v>
      </c>
      <c r="AQ39" s="39"/>
      <c r="AR39" s="47">
        <v>30</v>
      </c>
      <c r="AS39" s="80">
        <v>3.54</v>
      </c>
      <c r="AT39" s="39"/>
      <c r="AU39" s="47">
        <v>30</v>
      </c>
      <c r="AV39" s="80">
        <v>4.24</v>
      </c>
      <c r="AW39" s="39"/>
      <c r="AX39" s="47">
        <v>30</v>
      </c>
      <c r="AY39" s="80">
        <v>3.82</v>
      </c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</row>
    <row r="40" spans="2:66" ht="20.100000000000001" customHeight="1" x14ac:dyDescent="0.25">
      <c r="B40" s="47">
        <v>31</v>
      </c>
      <c r="C40" s="80">
        <v>3.3</v>
      </c>
      <c r="D40" s="39"/>
      <c r="E40" s="47">
        <v>31</v>
      </c>
      <c r="F40" s="80">
        <v>3.48</v>
      </c>
      <c r="G40" s="39"/>
      <c r="H40" s="47">
        <v>31</v>
      </c>
      <c r="I40" s="80">
        <v>3.38</v>
      </c>
      <c r="J40" s="39"/>
      <c r="K40" s="47">
        <v>31</v>
      </c>
      <c r="L40" s="80">
        <v>3.02</v>
      </c>
      <c r="M40" s="39"/>
      <c r="N40" s="47">
        <v>31</v>
      </c>
      <c r="O40" s="80">
        <v>3.72</v>
      </c>
      <c r="P40" s="39"/>
      <c r="Q40" s="47">
        <v>31</v>
      </c>
      <c r="R40" s="80">
        <v>2.94</v>
      </c>
      <c r="S40" s="39"/>
      <c r="T40" s="47">
        <v>31</v>
      </c>
      <c r="U40" s="80">
        <v>3.52</v>
      </c>
      <c r="V40" s="39"/>
      <c r="W40" s="47">
        <v>31</v>
      </c>
      <c r="X40" s="80">
        <v>3.42</v>
      </c>
      <c r="Y40" s="39"/>
      <c r="Z40" s="47">
        <v>31</v>
      </c>
      <c r="AA40" s="80">
        <v>3.16</v>
      </c>
      <c r="AB40" s="39"/>
      <c r="AC40" s="47">
        <v>31</v>
      </c>
      <c r="AD40" s="80">
        <v>3.5</v>
      </c>
      <c r="AE40" s="39"/>
      <c r="AF40" s="47">
        <v>31</v>
      </c>
      <c r="AG40" s="80">
        <v>3.12</v>
      </c>
      <c r="AH40" s="39"/>
      <c r="AI40" s="47">
        <v>31</v>
      </c>
      <c r="AJ40" s="80">
        <v>3.02</v>
      </c>
      <c r="AK40" s="39"/>
      <c r="AL40" s="47">
        <v>31</v>
      </c>
      <c r="AM40" s="80">
        <v>3.12</v>
      </c>
      <c r="AN40" s="39"/>
      <c r="AO40" s="47">
        <v>31</v>
      </c>
      <c r="AP40" s="80">
        <v>3.84</v>
      </c>
      <c r="AQ40" s="39"/>
      <c r="AR40" s="47">
        <v>31</v>
      </c>
      <c r="AS40" s="80">
        <v>4.12</v>
      </c>
      <c r="AT40" s="39"/>
      <c r="AU40" s="47">
        <v>31</v>
      </c>
      <c r="AV40" s="80">
        <v>3.44</v>
      </c>
      <c r="AW40" s="39"/>
      <c r="AX40" s="47">
        <v>31</v>
      </c>
      <c r="AY40" s="80">
        <v>3.74</v>
      </c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</row>
    <row r="41" spans="2:66" ht="20.100000000000001" customHeight="1" x14ac:dyDescent="0.25">
      <c r="B41" s="47">
        <v>32</v>
      </c>
      <c r="C41" s="80">
        <v>3.42</v>
      </c>
      <c r="D41" s="39"/>
      <c r="E41" s="47">
        <v>32</v>
      </c>
      <c r="F41" s="80">
        <v>2.9</v>
      </c>
      <c r="G41" s="39"/>
      <c r="H41" s="47">
        <v>32</v>
      </c>
      <c r="I41" s="80">
        <v>3.14</v>
      </c>
      <c r="J41" s="39"/>
      <c r="K41" s="47">
        <v>32</v>
      </c>
      <c r="L41" s="80">
        <v>2.8</v>
      </c>
      <c r="M41" s="39"/>
      <c r="N41" s="47">
        <v>32</v>
      </c>
      <c r="O41" s="80">
        <v>3.26</v>
      </c>
      <c r="P41" s="39"/>
      <c r="Q41" s="47">
        <v>32</v>
      </c>
      <c r="R41" s="80">
        <v>3.64</v>
      </c>
      <c r="S41" s="39"/>
      <c r="T41" s="47">
        <v>32</v>
      </c>
      <c r="U41" s="80">
        <v>3.28</v>
      </c>
      <c r="V41" s="39"/>
      <c r="W41" s="47">
        <v>32</v>
      </c>
      <c r="X41" s="80">
        <v>2.88</v>
      </c>
      <c r="Y41" s="39"/>
      <c r="Z41" s="47">
        <v>32</v>
      </c>
      <c r="AA41" s="80">
        <v>3.66</v>
      </c>
      <c r="AB41" s="39"/>
      <c r="AC41" s="47">
        <v>32</v>
      </c>
      <c r="AD41" s="80">
        <v>4.3600000000000003</v>
      </c>
      <c r="AE41" s="39"/>
      <c r="AF41" s="47">
        <v>32</v>
      </c>
      <c r="AG41" s="80">
        <v>3.14</v>
      </c>
      <c r="AH41" s="39"/>
      <c r="AI41" s="47">
        <v>32</v>
      </c>
      <c r="AJ41" s="80">
        <v>4.1399999999999997</v>
      </c>
      <c r="AK41" s="39"/>
      <c r="AL41" s="47">
        <v>32</v>
      </c>
      <c r="AM41" s="80">
        <v>4</v>
      </c>
      <c r="AN41" s="39"/>
      <c r="AO41" s="47">
        <v>32</v>
      </c>
      <c r="AP41" s="80">
        <v>2.6</v>
      </c>
      <c r="AQ41" s="39"/>
      <c r="AR41" s="47">
        <v>32</v>
      </c>
      <c r="AS41" s="80">
        <v>2.7</v>
      </c>
      <c r="AT41" s="39"/>
      <c r="AU41" s="47">
        <v>32</v>
      </c>
      <c r="AV41" s="80">
        <v>2.6</v>
      </c>
      <c r="AW41" s="39"/>
      <c r="AX41" s="47">
        <v>32</v>
      </c>
      <c r="AY41" s="80">
        <v>3.28</v>
      </c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</row>
    <row r="42" spans="2:66" ht="20.100000000000001" customHeight="1" x14ac:dyDescent="0.25">
      <c r="B42" s="47">
        <v>33</v>
      </c>
      <c r="C42" s="80">
        <v>3.34</v>
      </c>
      <c r="D42" s="39"/>
      <c r="E42" s="47">
        <v>33</v>
      </c>
      <c r="F42" s="80">
        <v>3.38</v>
      </c>
      <c r="G42" s="39"/>
      <c r="H42" s="47">
        <v>33</v>
      </c>
      <c r="I42" s="80">
        <v>3.06</v>
      </c>
      <c r="J42" s="39"/>
      <c r="K42" s="47">
        <v>33</v>
      </c>
      <c r="L42" s="80">
        <v>2.58</v>
      </c>
      <c r="M42" s="39"/>
      <c r="N42" s="47">
        <v>33</v>
      </c>
      <c r="O42" s="80">
        <v>3</v>
      </c>
      <c r="P42" s="39"/>
      <c r="Q42" s="47">
        <v>33</v>
      </c>
      <c r="R42" s="80">
        <v>3.1</v>
      </c>
      <c r="S42" s="39"/>
      <c r="T42" s="47">
        <v>33</v>
      </c>
      <c r="U42" s="80">
        <v>3.08</v>
      </c>
      <c r="V42" s="39"/>
      <c r="W42" s="47">
        <v>33</v>
      </c>
      <c r="X42" s="80">
        <v>2.6</v>
      </c>
      <c r="Y42" s="39"/>
      <c r="Z42" s="47">
        <v>33</v>
      </c>
      <c r="AA42" s="80">
        <v>2.52</v>
      </c>
      <c r="AB42" s="39"/>
      <c r="AC42" s="47">
        <v>33</v>
      </c>
      <c r="AD42" s="80">
        <v>4.04</v>
      </c>
      <c r="AE42" s="39"/>
      <c r="AF42" s="47">
        <v>33</v>
      </c>
      <c r="AG42" s="80">
        <v>4.0599999999999996</v>
      </c>
      <c r="AH42" s="39"/>
      <c r="AI42" s="47">
        <v>33</v>
      </c>
      <c r="AJ42" s="80">
        <v>3.5</v>
      </c>
      <c r="AK42" s="39"/>
      <c r="AL42" s="47">
        <v>33</v>
      </c>
      <c r="AM42" s="80">
        <v>3.86</v>
      </c>
      <c r="AN42" s="39"/>
      <c r="AO42" s="47">
        <v>33</v>
      </c>
      <c r="AP42" s="80">
        <v>2.86</v>
      </c>
      <c r="AQ42" s="39"/>
      <c r="AR42" s="47">
        <v>33</v>
      </c>
      <c r="AS42" s="80">
        <v>3.06</v>
      </c>
      <c r="AT42" s="39"/>
      <c r="AU42" s="47">
        <v>33</v>
      </c>
      <c r="AV42" s="80">
        <v>3.92</v>
      </c>
      <c r="AW42" s="39"/>
      <c r="AX42" s="47">
        <v>33</v>
      </c>
      <c r="AY42" s="80">
        <v>4.04</v>
      </c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</row>
    <row r="43" spans="2:66" ht="20.100000000000001" customHeight="1" x14ac:dyDescent="0.25">
      <c r="B43" s="47">
        <v>34</v>
      </c>
      <c r="C43" s="80">
        <v>2.94</v>
      </c>
      <c r="D43" s="39"/>
      <c r="E43" s="47">
        <v>34</v>
      </c>
      <c r="F43" s="80">
        <v>3.18</v>
      </c>
      <c r="G43" s="39"/>
      <c r="H43" s="47">
        <v>34</v>
      </c>
      <c r="I43" s="80">
        <v>3.98</v>
      </c>
      <c r="J43" s="39"/>
      <c r="K43" s="47">
        <v>34</v>
      </c>
      <c r="L43" s="80">
        <v>2.96</v>
      </c>
      <c r="M43" s="39"/>
      <c r="N43" s="47">
        <v>34</v>
      </c>
      <c r="O43" s="80">
        <v>2.8</v>
      </c>
      <c r="P43" s="39"/>
      <c r="Q43" s="47">
        <v>34</v>
      </c>
      <c r="R43" s="80">
        <v>3.38</v>
      </c>
      <c r="S43" s="39"/>
      <c r="T43" s="47">
        <v>34</v>
      </c>
      <c r="U43" s="80">
        <v>3.06</v>
      </c>
      <c r="V43" s="39"/>
      <c r="W43" s="47">
        <v>34</v>
      </c>
      <c r="X43" s="80">
        <v>2.36</v>
      </c>
      <c r="Y43" s="39"/>
      <c r="Z43" s="47">
        <v>34</v>
      </c>
      <c r="AA43" s="80">
        <v>2.3199999999999998</v>
      </c>
      <c r="AB43" s="39"/>
      <c r="AC43" s="47">
        <v>34</v>
      </c>
      <c r="AD43" s="80">
        <v>3.04</v>
      </c>
      <c r="AE43" s="39"/>
      <c r="AF43" s="47">
        <v>34</v>
      </c>
      <c r="AG43" s="80">
        <v>3.44</v>
      </c>
      <c r="AH43" s="39"/>
      <c r="AI43" s="47">
        <v>34</v>
      </c>
      <c r="AJ43" s="80">
        <v>3.58</v>
      </c>
      <c r="AK43" s="39"/>
      <c r="AL43" s="47">
        <v>34</v>
      </c>
      <c r="AM43" s="80">
        <v>3.4</v>
      </c>
      <c r="AN43" s="39"/>
      <c r="AO43" s="47">
        <v>34</v>
      </c>
      <c r="AP43" s="80">
        <v>3.7</v>
      </c>
      <c r="AQ43" s="39"/>
      <c r="AR43" s="47">
        <v>34</v>
      </c>
      <c r="AS43" s="80">
        <v>4.08</v>
      </c>
      <c r="AT43" s="39"/>
      <c r="AU43" s="47">
        <v>34</v>
      </c>
      <c r="AV43" s="80">
        <v>2.76</v>
      </c>
      <c r="AW43" s="39"/>
      <c r="AX43" s="47">
        <v>34</v>
      </c>
      <c r="AY43" s="80">
        <v>3.22</v>
      </c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</row>
    <row r="44" spans="2:66" ht="20.100000000000001" customHeight="1" x14ac:dyDescent="0.25">
      <c r="B44" s="47">
        <v>35</v>
      </c>
      <c r="C44" s="80">
        <v>3.6</v>
      </c>
      <c r="D44" s="39"/>
      <c r="E44" s="47">
        <v>35</v>
      </c>
      <c r="F44" s="80">
        <v>3.5</v>
      </c>
      <c r="G44" s="39"/>
      <c r="H44" s="47">
        <v>35</v>
      </c>
      <c r="I44" s="80">
        <v>3.74</v>
      </c>
      <c r="J44" s="39"/>
      <c r="K44" s="47">
        <v>35</v>
      </c>
      <c r="L44" s="80">
        <v>3.1</v>
      </c>
      <c r="M44" s="39"/>
      <c r="N44" s="47">
        <v>35</v>
      </c>
      <c r="O44" s="80">
        <v>2.82</v>
      </c>
      <c r="P44" s="39"/>
      <c r="Q44" s="47">
        <v>35</v>
      </c>
      <c r="R44" s="80">
        <v>2.9</v>
      </c>
      <c r="S44" s="39"/>
      <c r="T44" s="47">
        <v>35</v>
      </c>
      <c r="U44" s="80">
        <v>3.98</v>
      </c>
      <c r="V44" s="39"/>
      <c r="W44" s="47">
        <v>35</v>
      </c>
      <c r="X44" s="80">
        <v>2.58</v>
      </c>
      <c r="Y44" s="39"/>
      <c r="Z44" s="47">
        <v>35</v>
      </c>
      <c r="AA44" s="80">
        <v>3.16</v>
      </c>
      <c r="AB44" s="39"/>
      <c r="AC44" s="47">
        <v>35</v>
      </c>
      <c r="AD44" s="80">
        <v>3.7</v>
      </c>
      <c r="AE44" s="39"/>
      <c r="AF44" s="47">
        <v>35</v>
      </c>
      <c r="AG44" s="80">
        <v>3.64</v>
      </c>
      <c r="AH44" s="39"/>
      <c r="AI44" s="47">
        <v>35</v>
      </c>
      <c r="AJ44" s="80">
        <v>3.64</v>
      </c>
      <c r="AK44" s="39"/>
      <c r="AL44" s="47">
        <v>35</v>
      </c>
      <c r="AM44" s="80">
        <v>3.72</v>
      </c>
      <c r="AN44" s="39"/>
      <c r="AO44" s="47">
        <v>35</v>
      </c>
      <c r="AP44" s="80">
        <v>3.42</v>
      </c>
      <c r="AQ44" s="39"/>
      <c r="AR44" s="47">
        <v>35</v>
      </c>
      <c r="AS44" s="80">
        <v>3.88</v>
      </c>
      <c r="AT44" s="39"/>
      <c r="AU44" s="47">
        <v>35</v>
      </c>
      <c r="AV44" s="80">
        <v>3.56</v>
      </c>
      <c r="AW44" s="39"/>
      <c r="AX44" s="47">
        <v>35</v>
      </c>
      <c r="AY44" s="80">
        <v>3.94</v>
      </c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</row>
    <row r="45" spans="2:66" ht="20.100000000000001" customHeight="1" x14ac:dyDescent="0.25">
      <c r="B45" s="47">
        <v>36</v>
      </c>
      <c r="C45" s="80">
        <v>3.12</v>
      </c>
      <c r="D45" s="39"/>
      <c r="E45" s="47">
        <v>36</v>
      </c>
      <c r="F45" s="80">
        <v>4.1399999999999997</v>
      </c>
      <c r="G45" s="39"/>
      <c r="H45" s="47">
        <v>36</v>
      </c>
      <c r="I45" s="80">
        <v>2.96</v>
      </c>
      <c r="J45" s="39"/>
      <c r="K45" s="47">
        <v>36</v>
      </c>
      <c r="L45" s="80">
        <v>3.14</v>
      </c>
      <c r="M45" s="39"/>
      <c r="N45" s="47">
        <v>36</v>
      </c>
      <c r="O45" s="80">
        <v>3.58</v>
      </c>
      <c r="P45" s="39"/>
      <c r="Q45" s="47">
        <v>36</v>
      </c>
      <c r="R45" s="80">
        <v>3.34</v>
      </c>
      <c r="S45" s="39"/>
      <c r="T45" s="47">
        <v>36</v>
      </c>
      <c r="U45" s="80">
        <v>3.66</v>
      </c>
      <c r="V45" s="39"/>
      <c r="W45" s="47">
        <v>36</v>
      </c>
      <c r="X45" s="80">
        <v>3.78</v>
      </c>
      <c r="Y45" s="39"/>
      <c r="Z45" s="47">
        <v>36</v>
      </c>
      <c r="AA45" s="80">
        <v>2.68</v>
      </c>
      <c r="AB45" s="39"/>
      <c r="AC45" s="47">
        <v>36</v>
      </c>
      <c r="AD45" s="80">
        <v>4.2</v>
      </c>
      <c r="AE45" s="39"/>
      <c r="AF45" s="47">
        <v>36</v>
      </c>
      <c r="AG45" s="80">
        <v>4.4800000000000004</v>
      </c>
      <c r="AH45" s="39"/>
      <c r="AI45" s="47">
        <v>36</v>
      </c>
      <c r="AJ45" s="80">
        <v>3.38</v>
      </c>
      <c r="AK45" s="39"/>
      <c r="AL45" s="47">
        <v>36</v>
      </c>
      <c r="AM45" s="80">
        <v>3.62</v>
      </c>
      <c r="AN45" s="39"/>
      <c r="AO45" s="47">
        <v>36</v>
      </c>
      <c r="AP45" s="80">
        <v>2.52</v>
      </c>
      <c r="AQ45" s="39"/>
      <c r="AR45" s="47">
        <v>36</v>
      </c>
      <c r="AS45" s="80">
        <v>2.86</v>
      </c>
      <c r="AT45" s="39"/>
      <c r="AU45" s="47">
        <v>36</v>
      </c>
      <c r="AV45" s="80">
        <v>2.9</v>
      </c>
      <c r="AW45" s="39"/>
      <c r="AX45" s="47">
        <v>36</v>
      </c>
      <c r="AY45" s="80">
        <v>3.74</v>
      </c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</row>
    <row r="46" spans="2:66" ht="20.100000000000001" customHeight="1" x14ac:dyDescent="0.25">
      <c r="B46" s="47">
        <v>37</v>
      </c>
      <c r="C46" s="80">
        <v>2.92</v>
      </c>
      <c r="D46" s="39"/>
      <c r="E46" s="47">
        <v>37</v>
      </c>
      <c r="F46" s="80">
        <v>3.3</v>
      </c>
      <c r="G46" s="39"/>
      <c r="H46" s="47">
        <v>37</v>
      </c>
      <c r="I46" s="80">
        <v>3.26</v>
      </c>
      <c r="J46" s="39"/>
      <c r="K46" s="47">
        <v>37</v>
      </c>
      <c r="L46" s="80">
        <v>3.34</v>
      </c>
      <c r="M46" s="39"/>
      <c r="N46" s="47">
        <v>37</v>
      </c>
      <c r="O46" s="80">
        <v>3.18</v>
      </c>
      <c r="P46" s="39"/>
      <c r="Q46" s="47">
        <v>37</v>
      </c>
      <c r="R46" s="80">
        <v>2.84</v>
      </c>
      <c r="S46" s="39"/>
      <c r="T46" s="47">
        <v>37</v>
      </c>
      <c r="U46" s="80">
        <v>3.66</v>
      </c>
      <c r="V46" s="39"/>
      <c r="W46" s="47">
        <v>37</v>
      </c>
      <c r="X46" s="80">
        <v>3.34</v>
      </c>
      <c r="Y46" s="39"/>
      <c r="Z46" s="47">
        <v>37</v>
      </c>
      <c r="AA46" s="80">
        <v>2.78</v>
      </c>
      <c r="AB46" s="39"/>
      <c r="AC46" s="47">
        <v>37</v>
      </c>
      <c r="AD46" s="80">
        <v>3.06</v>
      </c>
      <c r="AE46" s="39"/>
      <c r="AF46" s="47">
        <v>37</v>
      </c>
      <c r="AG46" s="80">
        <v>4.3</v>
      </c>
      <c r="AH46" s="39"/>
      <c r="AI46" s="47">
        <v>37</v>
      </c>
      <c r="AJ46" s="80">
        <v>3.36</v>
      </c>
      <c r="AK46" s="39"/>
      <c r="AL46" s="47">
        <v>37</v>
      </c>
      <c r="AM46" s="80">
        <v>3.36</v>
      </c>
      <c r="AN46" s="39"/>
      <c r="AO46" s="47">
        <v>37</v>
      </c>
      <c r="AP46" s="80">
        <v>3.06</v>
      </c>
      <c r="AQ46" s="39"/>
      <c r="AR46" s="47">
        <v>37</v>
      </c>
      <c r="AS46" s="80">
        <v>4.46</v>
      </c>
      <c r="AT46" s="39"/>
      <c r="AU46" s="47">
        <v>37</v>
      </c>
      <c r="AV46" s="80">
        <v>3.82</v>
      </c>
      <c r="AW46" s="39"/>
      <c r="AX46" s="47">
        <v>37</v>
      </c>
      <c r="AY46" s="80">
        <v>4.32</v>
      </c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</row>
    <row r="47" spans="2:66" ht="20.100000000000001" customHeight="1" x14ac:dyDescent="0.25">
      <c r="B47" s="47">
        <v>38</v>
      </c>
      <c r="C47" s="80">
        <v>3.82</v>
      </c>
      <c r="D47" s="39"/>
      <c r="E47" s="47">
        <v>38</v>
      </c>
      <c r="F47" s="80">
        <v>3.24</v>
      </c>
      <c r="G47" s="39"/>
      <c r="H47" s="47">
        <v>38</v>
      </c>
      <c r="I47" s="80">
        <v>3.2</v>
      </c>
      <c r="J47" s="39"/>
      <c r="K47" s="47">
        <v>38</v>
      </c>
      <c r="L47" s="80">
        <v>3.2</v>
      </c>
      <c r="M47" s="39"/>
      <c r="N47" s="47">
        <v>38</v>
      </c>
      <c r="O47" s="80">
        <v>2.78</v>
      </c>
      <c r="P47" s="39"/>
      <c r="Q47" s="47">
        <v>38</v>
      </c>
      <c r="R47" s="80">
        <v>3.26</v>
      </c>
      <c r="S47" s="39"/>
      <c r="T47" s="47">
        <v>38</v>
      </c>
      <c r="U47" s="80">
        <v>3.44</v>
      </c>
      <c r="V47" s="39"/>
      <c r="W47" s="47">
        <v>38</v>
      </c>
      <c r="X47" s="80">
        <v>2.56</v>
      </c>
      <c r="Y47" s="39"/>
      <c r="Z47" s="47">
        <v>38</v>
      </c>
      <c r="AA47" s="80">
        <v>3.6</v>
      </c>
      <c r="AB47" s="39"/>
      <c r="AC47" s="47">
        <v>38</v>
      </c>
      <c r="AD47" s="80">
        <v>4.32</v>
      </c>
      <c r="AE47" s="39"/>
      <c r="AF47" s="47">
        <v>38</v>
      </c>
      <c r="AG47" s="80">
        <v>3.96</v>
      </c>
      <c r="AH47" s="39"/>
      <c r="AI47" s="47">
        <v>38</v>
      </c>
      <c r="AJ47" s="80">
        <v>4</v>
      </c>
      <c r="AK47" s="39"/>
      <c r="AL47" s="47">
        <v>38</v>
      </c>
      <c r="AM47" s="80">
        <v>3.32</v>
      </c>
      <c r="AN47" s="39"/>
      <c r="AO47" s="47">
        <v>38</v>
      </c>
      <c r="AP47" s="80">
        <v>3.4</v>
      </c>
      <c r="AQ47" s="39"/>
      <c r="AR47" s="47">
        <v>38</v>
      </c>
      <c r="AS47" s="80">
        <v>4.22</v>
      </c>
      <c r="AT47" s="39"/>
      <c r="AU47" s="47">
        <v>38</v>
      </c>
      <c r="AV47" s="80">
        <v>3.88</v>
      </c>
      <c r="AW47" s="39"/>
      <c r="AX47" s="47">
        <v>38</v>
      </c>
      <c r="AY47" s="80">
        <v>4.12</v>
      </c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</row>
    <row r="48" spans="2:66" ht="20.100000000000001" customHeight="1" x14ac:dyDescent="0.25">
      <c r="B48" s="47">
        <v>39</v>
      </c>
      <c r="C48" s="80">
        <v>3.66</v>
      </c>
      <c r="D48" s="39"/>
      <c r="E48" s="47">
        <v>39</v>
      </c>
      <c r="F48" s="80">
        <v>3.66</v>
      </c>
      <c r="G48" s="39"/>
      <c r="H48" s="47">
        <v>39</v>
      </c>
      <c r="I48" s="80">
        <v>3.2</v>
      </c>
      <c r="J48" s="39"/>
      <c r="K48" s="47">
        <v>39</v>
      </c>
      <c r="L48" s="80">
        <v>2.82</v>
      </c>
      <c r="M48" s="39"/>
      <c r="N48" s="47">
        <v>39</v>
      </c>
      <c r="O48" s="80">
        <v>3.3</v>
      </c>
      <c r="P48" s="39"/>
      <c r="Q48" s="47">
        <v>39</v>
      </c>
      <c r="R48" s="80">
        <v>3.28</v>
      </c>
      <c r="S48" s="39"/>
      <c r="T48" s="47">
        <v>39</v>
      </c>
      <c r="U48" s="80">
        <v>2.52</v>
      </c>
      <c r="V48" s="39"/>
      <c r="W48" s="47">
        <v>39</v>
      </c>
      <c r="X48" s="80">
        <v>3.5</v>
      </c>
      <c r="Y48" s="39"/>
      <c r="Z48" s="47">
        <v>39</v>
      </c>
      <c r="AA48" s="80">
        <v>2.2000000000000002</v>
      </c>
      <c r="AB48" s="39"/>
      <c r="AC48" s="47">
        <v>39</v>
      </c>
      <c r="AD48" s="80">
        <v>3.18</v>
      </c>
      <c r="AE48" s="39"/>
      <c r="AF48" s="47">
        <v>39</v>
      </c>
      <c r="AG48" s="80">
        <v>3.28</v>
      </c>
      <c r="AH48" s="39"/>
      <c r="AI48" s="47">
        <v>39</v>
      </c>
      <c r="AJ48" s="80">
        <v>3.9</v>
      </c>
      <c r="AK48" s="39"/>
      <c r="AL48" s="47">
        <v>39</v>
      </c>
      <c r="AM48" s="80">
        <v>3.92</v>
      </c>
      <c r="AN48" s="39"/>
      <c r="AO48" s="47">
        <v>39</v>
      </c>
      <c r="AP48" s="80">
        <v>3.44</v>
      </c>
      <c r="AQ48" s="39"/>
      <c r="AR48" s="47">
        <v>39</v>
      </c>
      <c r="AS48" s="80">
        <v>4.62</v>
      </c>
      <c r="AT48" s="39"/>
      <c r="AU48" s="47">
        <v>39</v>
      </c>
      <c r="AV48" s="80">
        <v>2.4</v>
      </c>
      <c r="AW48" s="39"/>
      <c r="AX48" s="47">
        <v>39</v>
      </c>
      <c r="AY48" s="80">
        <v>3.52</v>
      </c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</row>
    <row r="49" spans="2:66" ht="20.100000000000001" customHeight="1" x14ac:dyDescent="0.25">
      <c r="B49" s="47">
        <v>40</v>
      </c>
      <c r="C49" s="80">
        <v>3.32</v>
      </c>
      <c r="D49" s="39"/>
      <c r="E49" s="47">
        <v>40</v>
      </c>
      <c r="F49" s="80">
        <v>3.42</v>
      </c>
      <c r="G49" s="39"/>
      <c r="H49" s="47">
        <v>40</v>
      </c>
      <c r="I49" s="80">
        <v>3.66</v>
      </c>
      <c r="J49" s="39"/>
      <c r="K49" s="47">
        <v>40</v>
      </c>
      <c r="L49" s="80">
        <v>3.42</v>
      </c>
      <c r="M49" s="39"/>
      <c r="N49" s="47">
        <v>40</v>
      </c>
      <c r="O49" s="80">
        <v>2.9</v>
      </c>
      <c r="P49" s="39"/>
      <c r="Q49" s="47">
        <v>40</v>
      </c>
      <c r="R49" s="80">
        <v>2.88</v>
      </c>
      <c r="S49" s="39"/>
      <c r="T49" s="47">
        <v>40</v>
      </c>
      <c r="U49" s="80">
        <v>3.6</v>
      </c>
      <c r="V49" s="39"/>
      <c r="W49" s="47">
        <v>40</v>
      </c>
      <c r="X49" s="80">
        <v>2.86</v>
      </c>
      <c r="Y49" s="39"/>
      <c r="Z49" s="47">
        <v>40</v>
      </c>
      <c r="AA49" s="80">
        <v>2.36</v>
      </c>
      <c r="AB49" s="39"/>
      <c r="AC49" s="47">
        <v>40</v>
      </c>
      <c r="AD49" s="80">
        <v>3.5</v>
      </c>
      <c r="AE49" s="39"/>
      <c r="AF49" s="47">
        <v>40</v>
      </c>
      <c r="AG49" s="80">
        <v>4.38</v>
      </c>
      <c r="AH49" s="39"/>
      <c r="AI49" s="47">
        <v>40</v>
      </c>
      <c r="AJ49" s="80">
        <v>3.72</v>
      </c>
      <c r="AK49" s="39"/>
      <c r="AL49" s="47">
        <v>40</v>
      </c>
      <c r="AM49" s="80">
        <v>3.76</v>
      </c>
      <c r="AN49" s="39"/>
      <c r="AO49" s="47">
        <v>40</v>
      </c>
      <c r="AP49" s="80">
        <v>3.94</v>
      </c>
      <c r="AQ49" s="39"/>
      <c r="AR49" s="47">
        <v>40</v>
      </c>
      <c r="AS49" s="80">
        <v>3.98</v>
      </c>
      <c r="AT49" s="39"/>
      <c r="AU49" s="47">
        <v>40</v>
      </c>
      <c r="AV49" s="80">
        <v>2.5</v>
      </c>
      <c r="AW49" s="39"/>
      <c r="AX49" s="47">
        <v>40</v>
      </c>
      <c r="AY49" s="80">
        <v>3.18</v>
      </c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</row>
    <row r="51" spans="2:66" ht="48.2" customHeight="1" x14ac:dyDescent="0.35">
      <c r="B51" s="79" t="s">
        <v>1086</v>
      </c>
      <c r="C51" s="78" t="s">
        <v>1085</v>
      </c>
      <c r="E51" s="78" t="s">
        <v>1086</v>
      </c>
      <c r="F51" s="78" t="s">
        <v>1085</v>
      </c>
      <c r="H51" s="78" t="s">
        <v>1086</v>
      </c>
      <c r="I51" s="78" t="s">
        <v>1085</v>
      </c>
      <c r="K51" s="78" t="s">
        <v>1086</v>
      </c>
      <c r="L51" s="78" t="s">
        <v>1085</v>
      </c>
      <c r="N51" s="78" t="s">
        <v>1086</v>
      </c>
      <c r="O51" s="78" t="s">
        <v>1085</v>
      </c>
      <c r="Q51" s="78" t="s">
        <v>1086</v>
      </c>
      <c r="R51" s="78" t="s">
        <v>1085</v>
      </c>
      <c r="T51" s="78" t="s">
        <v>1086</v>
      </c>
      <c r="U51" s="78" t="s">
        <v>1085</v>
      </c>
      <c r="W51" s="78" t="s">
        <v>1086</v>
      </c>
      <c r="X51" s="78" t="s">
        <v>1085</v>
      </c>
      <c r="Z51" s="78" t="s">
        <v>1086</v>
      </c>
      <c r="AA51" s="78" t="s">
        <v>1085</v>
      </c>
      <c r="AC51" s="78" t="s">
        <v>1086</v>
      </c>
      <c r="AD51" s="78" t="s">
        <v>1085</v>
      </c>
      <c r="AF51" s="78" t="s">
        <v>1086</v>
      </c>
      <c r="AG51" s="78" t="s">
        <v>1085</v>
      </c>
      <c r="AI51" s="78" t="s">
        <v>1086</v>
      </c>
      <c r="AJ51" s="78" t="s">
        <v>1085</v>
      </c>
      <c r="AL51" s="78" t="s">
        <v>1086</v>
      </c>
      <c r="AM51" s="78" t="s">
        <v>1085</v>
      </c>
      <c r="AO51" s="78" t="s">
        <v>1086</v>
      </c>
      <c r="AP51" s="78" t="s">
        <v>1085</v>
      </c>
      <c r="AR51" s="78" t="s">
        <v>1086</v>
      </c>
      <c r="AS51" s="78" t="s">
        <v>1085</v>
      </c>
      <c r="AU51" s="78" t="s">
        <v>1086</v>
      </c>
      <c r="AV51" s="78" t="s">
        <v>1085</v>
      </c>
      <c r="AX51" s="78" t="s">
        <v>1086</v>
      </c>
      <c r="AY51" s="78" t="s">
        <v>1085</v>
      </c>
    </row>
    <row r="52" spans="2:66" ht="18.75" x14ac:dyDescent="0.25">
      <c r="B52" s="77">
        <v>1</v>
      </c>
      <c r="C52" s="76">
        <f>(C10+C29)-(2*0.16)</f>
        <v>5.9799999999999995</v>
      </c>
      <c r="E52" s="77">
        <v>1</v>
      </c>
      <c r="F52" s="76">
        <f>(F10+F29)-(2*0.16)</f>
        <v>6.52</v>
      </c>
      <c r="H52" s="77">
        <v>1</v>
      </c>
      <c r="I52" s="76">
        <f>(I10+I29)-(2*0.16)</f>
        <v>5.26</v>
      </c>
      <c r="K52" s="77">
        <v>1</v>
      </c>
      <c r="L52" s="76">
        <f>(L10+L29)-(2*0.16)</f>
        <v>5.5</v>
      </c>
      <c r="N52" s="77">
        <v>1</v>
      </c>
      <c r="O52" s="76">
        <f>(O10+O29)-(2*0.16)</f>
        <v>5.58</v>
      </c>
      <c r="Q52" s="77">
        <v>1</v>
      </c>
      <c r="R52" s="76">
        <f>(R10+R29)-(2*0.16)</f>
        <v>7.6400000000000006</v>
      </c>
      <c r="T52" s="77">
        <v>1</v>
      </c>
      <c r="U52" s="76">
        <f>(U10+U29)-(2*0.16)</f>
        <v>6.6999999999999993</v>
      </c>
      <c r="W52" s="77">
        <v>1</v>
      </c>
      <c r="X52" s="76">
        <f>(X10+X29)-(2*0.16)</f>
        <v>5.5399999999999991</v>
      </c>
      <c r="Z52" s="77">
        <v>1</v>
      </c>
      <c r="AA52" s="76">
        <f>(AA10+AA29)-(2*0.16)</f>
        <v>6.42</v>
      </c>
      <c r="AC52" s="77">
        <v>1</v>
      </c>
      <c r="AD52" s="76">
        <f>(AD10+AD29)-(2*0.16)</f>
        <v>5.1999999999999993</v>
      </c>
      <c r="AF52" s="77">
        <v>1</v>
      </c>
      <c r="AG52" s="76">
        <f>(AG10+AG29)-(2*0.16)</f>
        <v>7.32</v>
      </c>
      <c r="AI52" s="77">
        <v>1</v>
      </c>
      <c r="AJ52" s="76">
        <f>(AJ10+AJ29)-(2*0.16)</f>
        <v>7.9399999999999995</v>
      </c>
      <c r="AL52" s="77">
        <v>1</v>
      </c>
      <c r="AM52" s="76">
        <f>(AM10+AM29)-(2*0.16)</f>
        <v>6.34</v>
      </c>
      <c r="AO52" s="77">
        <v>1</v>
      </c>
      <c r="AP52" s="76">
        <f>(AP10+AP29)-(2*0.16)</f>
        <v>4.9399999999999995</v>
      </c>
      <c r="AR52" s="77">
        <v>1</v>
      </c>
      <c r="AS52" s="76">
        <f>(AS10+AS29)-(2*0.16)</f>
        <v>7.6599999999999993</v>
      </c>
      <c r="AU52" s="77">
        <v>1</v>
      </c>
      <c r="AV52" s="76">
        <f>(AV10+AV29)-(2*0.16)</f>
        <v>7.4799999999999995</v>
      </c>
      <c r="AX52" s="77">
        <v>1</v>
      </c>
      <c r="AY52" s="76">
        <f>(AY10+AY29)-(2*0.16)</f>
        <v>6.58</v>
      </c>
    </row>
    <row r="53" spans="2:66" ht="18.75" x14ac:dyDescent="0.25">
      <c r="B53" s="77">
        <v>2</v>
      </c>
      <c r="C53" s="76">
        <f>(C11+C28)-(2*0.16)</f>
        <v>6</v>
      </c>
      <c r="E53" s="77">
        <v>2</v>
      </c>
      <c r="F53" s="76">
        <f>(F11+F28)-(2*0.16)</f>
        <v>6.64</v>
      </c>
      <c r="H53" s="77">
        <v>2</v>
      </c>
      <c r="I53" s="76">
        <f>(I11+I28)-(2*0.16)</f>
        <v>6.24</v>
      </c>
      <c r="K53" s="77">
        <v>2</v>
      </c>
      <c r="L53" s="76">
        <f>(L11+L28)-(2*0.16)</f>
        <v>6.379999999999999</v>
      </c>
      <c r="N53" s="77">
        <v>2</v>
      </c>
      <c r="O53" s="76">
        <f>(O11+O28)-(2*0.16)</f>
        <v>5.3599999999999994</v>
      </c>
      <c r="Q53" s="77">
        <v>2</v>
      </c>
      <c r="R53" s="76">
        <f>(R11+R28)-(2*0.16)</f>
        <v>6.3599999999999994</v>
      </c>
      <c r="T53" s="77">
        <v>2</v>
      </c>
      <c r="U53" s="76">
        <f>(U11+U28)-(2*0.16)</f>
        <v>5.58</v>
      </c>
      <c r="W53" s="77">
        <v>2</v>
      </c>
      <c r="X53" s="76">
        <f>(X11+X28)-(2*0.16)</f>
        <v>6.84</v>
      </c>
      <c r="Z53" s="77">
        <v>2</v>
      </c>
      <c r="AA53" s="76">
        <f>(AA11+AA28)-(2*0.16)</f>
        <v>7.6</v>
      </c>
      <c r="AC53" s="77">
        <v>2</v>
      </c>
      <c r="AD53" s="76">
        <f>(AD11+AD28)-(2*0.16)</f>
        <v>5.98</v>
      </c>
      <c r="AF53" s="77">
        <v>2</v>
      </c>
      <c r="AG53" s="76">
        <f>(AG11+AG28)-(2*0.16)</f>
        <v>7.0399999999999991</v>
      </c>
      <c r="AI53" s="77">
        <v>2</v>
      </c>
      <c r="AJ53" s="76">
        <f>(AJ11+AJ28)-(2*0.16)</f>
        <v>6.3</v>
      </c>
      <c r="AL53" s="77">
        <v>2</v>
      </c>
      <c r="AM53" s="76">
        <f>(AM11+AM28)-(2*0.16)</f>
        <v>6.66</v>
      </c>
      <c r="AO53" s="77">
        <v>2</v>
      </c>
      <c r="AP53" s="76">
        <f>(AP11+AP28)-(2*0.16)</f>
        <v>6.92</v>
      </c>
      <c r="AR53" s="77">
        <v>2</v>
      </c>
      <c r="AS53" s="76">
        <f>(AS11+AS28)-(2*0.16)</f>
        <v>5.8</v>
      </c>
      <c r="AU53" s="77">
        <v>2</v>
      </c>
      <c r="AV53" s="76">
        <f>(AV11+AV28)-(2*0.16)</f>
        <v>7.02</v>
      </c>
      <c r="AX53" s="77">
        <v>2</v>
      </c>
      <c r="AY53" s="76">
        <f>(AY11+AY28)-(2*0.16)</f>
        <v>8.36</v>
      </c>
    </row>
    <row r="54" spans="2:66" ht="18.75" x14ac:dyDescent="0.25">
      <c r="B54" s="77">
        <v>3</v>
      </c>
      <c r="C54" s="76">
        <f>(C12+C27)-(2*0.16)</f>
        <v>6.6199999999999992</v>
      </c>
      <c r="E54" s="77">
        <v>3</v>
      </c>
      <c r="F54" s="76">
        <f>(F12+F27)-(2*0.16)</f>
        <v>6.82</v>
      </c>
      <c r="H54" s="77">
        <v>3</v>
      </c>
      <c r="I54" s="76">
        <f>(I12+I27)-(2*0.16)</f>
        <v>6.34</v>
      </c>
      <c r="K54" s="77">
        <v>3</v>
      </c>
      <c r="L54" s="76">
        <f>(L12+L27)-(2*0.16)</f>
        <v>6.5399999999999991</v>
      </c>
      <c r="N54" s="77">
        <v>3</v>
      </c>
      <c r="O54" s="76">
        <f>(O12+O27)-(2*0.16)</f>
        <v>5.9799999999999995</v>
      </c>
      <c r="Q54" s="77">
        <v>3</v>
      </c>
      <c r="R54" s="76">
        <f>(R12+R27)-(2*0.16)</f>
        <v>5.8599999999999994</v>
      </c>
      <c r="T54" s="77">
        <v>3</v>
      </c>
      <c r="U54" s="76">
        <f>(U12+U27)-(2*0.16)</f>
        <v>6.08</v>
      </c>
      <c r="W54" s="77">
        <v>3</v>
      </c>
      <c r="X54" s="76">
        <f>(X12+X27)-(2*0.16)</f>
        <v>6.3</v>
      </c>
      <c r="Z54" s="77">
        <v>3</v>
      </c>
      <c r="AA54" s="76">
        <f>(AA12+AA27)-(2*0.16)</f>
        <v>5.6</v>
      </c>
      <c r="AC54" s="77">
        <v>3</v>
      </c>
      <c r="AD54" s="76">
        <f>(AD12+AD27)-(2*0.16)</f>
        <v>6</v>
      </c>
      <c r="AF54" s="77">
        <v>3</v>
      </c>
      <c r="AG54" s="76">
        <f>(AG12+AG27)-(2*0.16)</f>
        <v>7.18</v>
      </c>
      <c r="AI54" s="77">
        <v>3</v>
      </c>
      <c r="AJ54" s="76">
        <f>(AJ12+AJ27)-(2*0.16)</f>
        <v>6.9599999999999991</v>
      </c>
      <c r="AL54" s="77">
        <v>3</v>
      </c>
      <c r="AM54" s="76">
        <f>(AM12+AM27)-(2*0.16)</f>
        <v>6.32</v>
      </c>
      <c r="AO54" s="77">
        <v>3</v>
      </c>
      <c r="AP54" s="76">
        <f>(AP12+AP27)-(2*0.16)</f>
        <v>7.52</v>
      </c>
      <c r="AR54" s="77">
        <v>3</v>
      </c>
      <c r="AS54" s="76">
        <f>(AS12+AS27)-(2*0.16)</f>
        <v>7.66</v>
      </c>
      <c r="AU54" s="77">
        <v>3</v>
      </c>
      <c r="AV54" s="76">
        <f>(AV12+AV27)-(2*0.16)</f>
        <v>7.4799999999999995</v>
      </c>
      <c r="AX54" s="77">
        <v>3</v>
      </c>
      <c r="AY54" s="76">
        <f>(AY12+AY27)-(2*0.16)</f>
        <v>8.3000000000000007</v>
      </c>
    </row>
    <row r="55" spans="2:66" ht="18.75" x14ac:dyDescent="0.25">
      <c r="B55" s="77">
        <v>4</v>
      </c>
      <c r="C55" s="76">
        <f>(C13+C26)-(2*0.16)</f>
        <v>5.52</v>
      </c>
      <c r="E55" s="77">
        <v>4</v>
      </c>
      <c r="F55" s="76">
        <f>(F13+F26)-(2*0.16)</f>
        <v>7.06</v>
      </c>
      <c r="H55" s="77">
        <v>4</v>
      </c>
      <c r="I55" s="76">
        <f>(I13+I26)-(2*0.16)</f>
        <v>6.3</v>
      </c>
      <c r="K55" s="77">
        <v>4</v>
      </c>
      <c r="L55" s="76">
        <f>(L13+L26)-(2*0.16)</f>
        <v>6.3999999999999995</v>
      </c>
      <c r="N55" s="77">
        <v>4</v>
      </c>
      <c r="O55" s="76">
        <f>(O13+O26)-(2*0.16)</f>
        <v>5.42</v>
      </c>
      <c r="Q55" s="77">
        <v>4</v>
      </c>
      <c r="R55" s="76">
        <f>(R13+R26)-(2*0.16)</f>
        <v>6.18</v>
      </c>
      <c r="T55" s="77">
        <v>4</v>
      </c>
      <c r="U55" s="76">
        <f>(U13+U26)-(2*0.16)</f>
        <v>5.74</v>
      </c>
      <c r="W55" s="77">
        <v>4</v>
      </c>
      <c r="X55" s="76">
        <f>(X13+X26)-(2*0.16)</f>
        <v>6.32</v>
      </c>
      <c r="Z55" s="77">
        <v>4</v>
      </c>
      <c r="AA55" s="76">
        <f>(AA13+AA26)-(2*0.16)</f>
        <v>6.22</v>
      </c>
      <c r="AC55" s="77">
        <v>4</v>
      </c>
      <c r="AD55" s="76">
        <f>(AD13+AD26)-(2*0.16)</f>
        <v>4.9599999999999991</v>
      </c>
      <c r="AF55" s="77">
        <v>4</v>
      </c>
      <c r="AG55" s="76">
        <f>(AG13+AG26)-(2*0.16)</f>
        <v>6.4399999999999995</v>
      </c>
      <c r="AI55" s="77">
        <v>4</v>
      </c>
      <c r="AJ55" s="76">
        <f>(AJ13+AJ26)-(2*0.16)</f>
        <v>6.66</v>
      </c>
      <c r="AL55" s="77">
        <v>4</v>
      </c>
      <c r="AM55" s="76">
        <f>(AM13+AM26)-(2*0.16)</f>
        <v>7.5599999999999987</v>
      </c>
      <c r="AO55" s="77">
        <v>4</v>
      </c>
      <c r="AP55" s="76">
        <f>(AP13+AP26)-(2*0.16)</f>
        <v>7.54</v>
      </c>
      <c r="AR55" s="77">
        <v>4</v>
      </c>
      <c r="AS55" s="76">
        <f>(AS13+AS26)-(2*0.16)</f>
        <v>8.92</v>
      </c>
      <c r="AU55" s="77">
        <v>4</v>
      </c>
      <c r="AV55" s="76">
        <f>(AV13+AV26)-(2*0.16)</f>
        <v>6.66</v>
      </c>
      <c r="AX55" s="77">
        <v>4</v>
      </c>
      <c r="AY55" s="76">
        <f>(AY13+AY26)-(2*0.16)</f>
        <v>6.1400000000000006</v>
      </c>
    </row>
    <row r="56" spans="2:66" ht="18.75" x14ac:dyDescent="0.25">
      <c r="B56" s="77">
        <v>5</v>
      </c>
      <c r="C56" s="76">
        <f>(C14+C25)-(2*0.16)</f>
        <v>5.4799999999999995</v>
      </c>
      <c r="E56" s="77">
        <v>5</v>
      </c>
      <c r="F56" s="76">
        <f>(F14+F25)-(2*0.16)</f>
        <v>6.26</v>
      </c>
      <c r="H56" s="77">
        <v>5</v>
      </c>
      <c r="I56" s="76">
        <f>(I14+I25)-(2*0.16)</f>
        <v>5.68</v>
      </c>
      <c r="K56" s="77">
        <v>5</v>
      </c>
      <c r="L56" s="76">
        <f>(L14+L25)-(2*0.16)</f>
        <v>6.4399999999999995</v>
      </c>
      <c r="N56" s="77">
        <v>5</v>
      </c>
      <c r="O56" s="76">
        <f>(O14+O25)-(2*0.16)</f>
        <v>5.5</v>
      </c>
      <c r="Q56" s="77">
        <v>5</v>
      </c>
      <c r="R56" s="76">
        <f>(R14+R25)-(2*0.16)</f>
        <v>5.9799999999999995</v>
      </c>
      <c r="T56" s="77">
        <v>5</v>
      </c>
      <c r="U56" s="76">
        <f>(U14+U25)-(2*0.16)</f>
        <v>5.18</v>
      </c>
      <c r="W56" s="77">
        <v>5</v>
      </c>
      <c r="X56" s="76">
        <f>(X14+X25)-(2*0.16)</f>
        <v>6.5399999999999991</v>
      </c>
      <c r="Z56" s="77">
        <v>5</v>
      </c>
      <c r="AA56" s="76">
        <f>(AA14+AA25)-(2*0.16)</f>
        <v>5.26</v>
      </c>
      <c r="AC56" s="77">
        <v>5</v>
      </c>
      <c r="AD56" s="76">
        <f>(AD14+AD25)-(2*0.16)</f>
        <v>5.52</v>
      </c>
      <c r="AF56" s="77">
        <v>5</v>
      </c>
      <c r="AG56" s="76">
        <f>(AG14+AG25)-(2*0.16)</f>
        <v>7.98</v>
      </c>
      <c r="AI56" s="77">
        <v>5</v>
      </c>
      <c r="AJ56" s="76">
        <f>(AJ14+AJ25)-(2*0.16)</f>
        <v>5.82</v>
      </c>
      <c r="AL56" s="77">
        <v>5</v>
      </c>
      <c r="AM56" s="76">
        <f>(AM14+AM25)-(2*0.16)</f>
        <v>6.4399999999999995</v>
      </c>
      <c r="AO56" s="77">
        <v>5</v>
      </c>
      <c r="AP56" s="76">
        <f>(AP14+AP25)-(2*0.16)</f>
        <v>7.3599999999999994</v>
      </c>
      <c r="AR56" s="77">
        <v>5</v>
      </c>
      <c r="AS56" s="76">
        <f>(AS14+AS25)-(2*0.16)</f>
        <v>7.08</v>
      </c>
      <c r="AU56" s="77">
        <v>5</v>
      </c>
      <c r="AV56" s="76">
        <f>(AV14+AV25)-(2*0.16)</f>
        <v>7.5</v>
      </c>
      <c r="AX56" s="77">
        <v>5</v>
      </c>
      <c r="AY56" s="76">
        <f>(AY14+AY25)-(2*0.16)</f>
        <v>6.72</v>
      </c>
    </row>
    <row r="57" spans="2:66" ht="18.75" x14ac:dyDescent="0.25">
      <c r="B57" s="77">
        <v>6</v>
      </c>
      <c r="C57" s="76">
        <f>(C15+C24)-(2*0.16)</f>
        <v>7.0799999999999992</v>
      </c>
      <c r="E57" s="77">
        <v>6</v>
      </c>
      <c r="F57" s="76">
        <f>(F15+F24)-(2*0.16)</f>
        <v>6.3599999999999994</v>
      </c>
      <c r="H57" s="77">
        <v>6</v>
      </c>
      <c r="I57" s="76">
        <f>(I15+I24)-(2*0.16)</f>
        <v>6.14</v>
      </c>
      <c r="K57" s="77">
        <v>6</v>
      </c>
      <c r="L57" s="76">
        <f>(L15+L24)-(2*0.16)</f>
        <v>6.02</v>
      </c>
      <c r="N57" s="77">
        <v>6</v>
      </c>
      <c r="O57" s="76">
        <f>(O15+O24)-(2*0.16)</f>
        <v>5.24</v>
      </c>
      <c r="Q57" s="77">
        <v>6</v>
      </c>
      <c r="R57" s="76">
        <f>(R15+R24)-(2*0.16)</f>
        <v>5.58</v>
      </c>
      <c r="T57" s="77">
        <v>6</v>
      </c>
      <c r="U57" s="76">
        <f>(U15+U24)-(2*0.16)</f>
        <v>6.24</v>
      </c>
      <c r="W57" s="77">
        <v>6</v>
      </c>
      <c r="X57" s="76">
        <f>(X15+X24)-(2*0.16)</f>
        <v>6.04</v>
      </c>
      <c r="Z57" s="77">
        <v>6</v>
      </c>
      <c r="AA57" s="76">
        <f>(AA15+AA24)-(2*0.16)</f>
        <v>6.58</v>
      </c>
      <c r="AC57" s="77">
        <v>6</v>
      </c>
      <c r="AD57" s="76">
        <f>(AD15+AD24)-(2*0.16)</f>
        <v>4.3</v>
      </c>
      <c r="AF57" s="77">
        <v>6</v>
      </c>
      <c r="AG57" s="76">
        <f>(AG15+AG24)-(2*0.16)</f>
        <v>6.72</v>
      </c>
      <c r="AI57" s="77">
        <v>6</v>
      </c>
      <c r="AJ57" s="76">
        <f>(AJ15+AJ24)-(2*0.16)</f>
        <v>6.84</v>
      </c>
      <c r="AL57" s="77">
        <v>6</v>
      </c>
      <c r="AM57" s="76">
        <f>(AM15+AM24)-(2*0.16)</f>
        <v>7.879999999999999</v>
      </c>
      <c r="AO57" s="77">
        <v>6</v>
      </c>
      <c r="AP57" s="76">
        <f>(AP15+AP24)-(2*0.16)</f>
        <v>6.6999999999999993</v>
      </c>
      <c r="AR57" s="77">
        <v>6</v>
      </c>
      <c r="AS57" s="76">
        <f>(AS15+AS24)-(2*0.16)</f>
        <v>7.24</v>
      </c>
      <c r="AU57" s="77">
        <v>6</v>
      </c>
      <c r="AV57" s="76">
        <f>(AV15+AV24)-(2*0.16)</f>
        <v>7.34</v>
      </c>
      <c r="AX57" s="77">
        <v>6</v>
      </c>
      <c r="AY57" s="76">
        <f>(AY15+AY24)-(2*0.16)</f>
        <v>5.84</v>
      </c>
    </row>
    <row r="58" spans="2:66" ht="18.75" x14ac:dyDescent="0.25">
      <c r="B58" s="77">
        <v>7</v>
      </c>
      <c r="C58" s="76">
        <f>(C16+C23)-(2*0.16)</f>
        <v>6.64</v>
      </c>
      <c r="E58" s="77">
        <v>7</v>
      </c>
      <c r="F58" s="76">
        <f>(F16+F23)-(2*0.16)</f>
        <v>6.26</v>
      </c>
      <c r="H58" s="77">
        <v>7</v>
      </c>
      <c r="I58" s="76">
        <f>(I16+I23)-(2*0.16)</f>
        <v>5.8999999999999995</v>
      </c>
      <c r="K58" s="77">
        <v>7</v>
      </c>
      <c r="L58" s="76">
        <f>(L16+L23)-(2*0.16)</f>
        <v>5.7799999999999994</v>
      </c>
      <c r="N58" s="77">
        <v>7</v>
      </c>
      <c r="O58" s="76">
        <f>(O16+O23)-(2*0.16)</f>
        <v>5.24</v>
      </c>
      <c r="Q58" s="77">
        <v>7</v>
      </c>
      <c r="R58" s="76">
        <f>(R16+R23)-(2*0.16)</f>
        <v>6.46</v>
      </c>
      <c r="T58" s="77">
        <v>7</v>
      </c>
      <c r="U58" s="76">
        <f>(U16+U23)-(2*0.16)</f>
        <v>5.84</v>
      </c>
      <c r="W58" s="77">
        <v>7</v>
      </c>
      <c r="X58" s="76">
        <f>(X16+X23)-(2*0.16)</f>
        <v>6.22</v>
      </c>
      <c r="Z58" s="77">
        <v>7</v>
      </c>
      <c r="AA58" s="76">
        <f>(AA16+AA23)-(2*0.16)</f>
        <v>5.24</v>
      </c>
      <c r="AC58" s="77">
        <v>7</v>
      </c>
      <c r="AD58" s="76">
        <f>(AD16+AD23)-(2*0.16)</f>
        <v>5.52</v>
      </c>
      <c r="AF58" s="77">
        <v>7</v>
      </c>
      <c r="AG58" s="76">
        <f>(AG16+AG23)-(2*0.16)</f>
        <v>7.6</v>
      </c>
      <c r="AI58" s="77">
        <v>7</v>
      </c>
      <c r="AJ58" s="76">
        <f>(AJ16+AJ23)-(2*0.16)</f>
        <v>6.06</v>
      </c>
      <c r="AL58" s="77">
        <v>7</v>
      </c>
      <c r="AM58" s="76">
        <f>(AM16+AM23)-(2*0.16)</f>
        <v>6.6199999999999992</v>
      </c>
      <c r="AO58" s="77">
        <v>7</v>
      </c>
      <c r="AP58" s="76">
        <f>(AP16+AP23)-(2*0.16)</f>
        <v>6.46</v>
      </c>
      <c r="AR58" s="77">
        <v>7</v>
      </c>
      <c r="AS58" s="76">
        <f>(AS16+AS23)-(2*0.16)</f>
        <v>7.9399999999999995</v>
      </c>
      <c r="AU58" s="77">
        <v>7</v>
      </c>
      <c r="AV58" s="76">
        <f>(AV16+AV23)-(2*0.16)</f>
        <v>6.879999999999999</v>
      </c>
      <c r="AX58" s="77">
        <v>7</v>
      </c>
      <c r="AY58" s="76">
        <f>(AY16+AY23)-(2*0.16)</f>
        <v>7.34</v>
      </c>
    </row>
    <row r="59" spans="2:66" ht="18.75" x14ac:dyDescent="0.25">
      <c r="B59" s="77">
        <v>8</v>
      </c>
      <c r="C59" s="76">
        <f>(C17+C22)-(2*0.16)</f>
        <v>6.1199999999999992</v>
      </c>
      <c r="E59" s="77">
        <v>8</v>
      </c>
      <c r="F59" s="76">
        <f>(F17+F22)-(2*0.16)</f>
        <v>6.98</v>
      </c>
      <c r="H59" s="77">
        <v>8</v>
      </c>
      <c r="I59" s="76">
        <f>(I17+I22)-(2*0.16)</f>
        <v>5.6</v>
      </c>
      <c r="K59" s="77">
        <v>8</v>
      </c>
      <c r="L59" s="76">
        <f>(L17+L22)-(2*0.16)</f>
        <v>5.3599999999999994</v>
      </c>
      <c r="N59" s="77">
        <v>8</v>
      </c>
      <c r="O59" s="76">
        <f>(O17+O22)-(2*0.16)</f>
        <v>5.0999999999999996</v>
      </c>
      <c r="Q59" s="77">
        <v>8</v>
      </c>
      <c r="R59" s="76">
        <f>(R17+R22)-(2*0.16)</f>
        <v>6.1199999999999992</v>
      </c>
      <c r="T59" s="77">
        <v>8</v>
      </c>
      <c r="U59" s="76">
        <f>(U17+U22)-(2*0.16)</f>
        <v>5.58</v>
      </c>
      <c r="W59" s="77">
        <v>8</v>
      </c>
      <c r="X59" s="76">
        <f>(X17+X22)-(2*0.16)</f>
        <v>5.9599999999999991</v>
      </c>
      <c r="Z59" s="77">
        <v>8</v>
      </c>
      <c r="AA59" s="76">
        <f>(AA17+AA22)-(2*0.16)</f>
        <v>6.1199999999999992</v>
      </c>
      <c r="AC59" s="77">
        <v>8</v>
      </c>
      <c r="AD59" s="76">
        <f>(AD17+AD22)-(2*0.16)</f>
        <v>5.4799999999999995</v>
      </c>
      <c r="AF59" s="77">
        <v>8</v>
      </c>
      <c r="AG59" s="76">
        <f>(AG17+AG22)-(2*0.16)</f>
        <v>6.0399999999999991</v>
      </c>
      <c r="AI59" s="77">
        <v>8</v>
      </c>
      <c r="AJ59" s="76">
        <f>(AJ17+AJ22)-(2*0.16)</f>
        <v>6.6599999999999993</v>
      </c>
      <c r="AL59" s="77">
        <v>8</v>
      </c>
      <c r="AM59" s="76">
        <f>(AM17+AM22)-(2*0.16)</f>
        <v>6.4</v>
      </c>
      <c r="AO59" s="77">
        <v>8</v>
      </c>
      <c r="AP59" s="76">
        <f>(AP17+AP22)-(2*0.16)</f>
        <v>6.6999999999999993</v>
      </c>
      <c r="AR59" s="77">
        <v>8</v>
      </c>
      <c r="AS59" s="76">
        <f>(AS17+AS22)-(2*0.16)</f>
        <v>7.3999999999999995</v>
      </c>
      <c r="AU59" s="77">
        <v>8</v>
      </c>
      <c r="AV59" s="76">
        <f>(AV17+AV22)-(2*0.16)</f>
        <v>7.06</v>
      </c>
      <c r="AX59" s="77">
        <v>8</v>
      </c>
      <c r="AY59" s="76">
        <f>(AY17+AY22)-(2*0.16)</f>
        <v>6.68</v>
      </c>
    </row>
    <row r="60" spans="2:66" ht="18.75" x14ac:dyDescent="0.25">
      <c r="B60" s="77">
        <v>9</v>
      </c>
      <c r="C60" s="76">
        <f>(C18+C21)-(2*0.16)</f>
        <v>5.66</v>
      </c>
      <c r="E60" s="77">
        <v>9</v>
      </c>
      <c r="F60" s="76">
        <f>(F18+F21)-(2*0.16)</f>
        <v>6.96</v>
      </c>
      <c r="H60" s="77">
        <v>9</v>
      </c>
      <c r="I60" s="76">
        <f>(I18+I21)-(2*0.16)</f>
        <v>6.1</v>
      </c>
      <c r="K60" s="77">
        <v>9</v>
      </c>
      <c r="L60" s="76">
        <f>(L18+L21)-(2*0.16)</f>
        <v>5.38</v>
      </c>
      <c r="N60" s="77">
        <v>9</v>
      </c>
      <c r="O60" s="76">
        <f>(O18+O21)-(2*0.16)</f>
        <v>5.26</v>
      </c>
      <c r="Q60" s="77">
        <v>9</v>
      </c>
      <c r="R60" s="76">
        <f>(R18+R21)-(2*0.16)</f>
        <v>7.38</v>
      </c>
      <c r="T60" s="77">
        <v>9</v>
      </c>
      <c r="U60" s="76">
        <f>(U18+U21)-(2*0.16)</f>
        <v>6.84</v>
      </c>
      <c r="W60" s="77">
        <v>9</v>
      </c>
      <c r="X60" s="76">
        <f>(X18+X21)-(2*0.16)</f>
        <v>7.24</v>
      </c>
      <c r="Z60" s="77">
        <v>9</v>
      </c>
      <c r="AA60" s="76">
        <f>(AA18+AA21)-(2*0.16)</f>
        <v>5.6</v>
      </c>
      <c r="AC60" s="77">
        <v>9</v>
      </c>
      <c r="AD60" s="76">
        <f>(AD18+AD21)-(2*0.16)</f>
        <v>5.9399999999999995</v>
      </c>
      <c r="AF60" s="77">
        <v>9</v>
      </c>
      <c r="AG60" s="76">
        <f>(AG18+AG21)-(2*0.16)</f>
        <v>6.8</v>
      </c>
      <c r="AI60" s="77">
        <v>9</v>
      </c>
      <c r="AJ60" s="76">
        <f>(AJ18+AJ21)-(2*0.16)</f>
        <v>5.32</v>
      </c>
      <c r="AL60" s="77">
        <v>9</v>
      </c>
      <c r="AM60" s="76">
        <f>(AM18+AM21)-(2*0.16)</f>
        <v>7</v>
      </c>
      <c r="AO60" s="77">
        <v>9</v>
      </c>
      <c r="AP60" s="76">
        <f>(AP18+AP21)-(2*0.16)</f>
        <v>7.7399999999999984</v>
      </c>
      <c r="AR60" s="77">
        <v>9</v>
      </c>
      <c r="AS60" s="76">
        <f>(AS18+AS21)-(2*0.16)</f>
        <v>8.4</v>
      </c>
      <c r="AU60" s="77">
        <v>9</v>
      </c>
      <c r="AV60" s="76">
        <f>(AV18+AV21)-(2*0.16)</f>
        <v>7.3999999999999995</v>
      </c>
      <c r="AX60" s="77">
        <v>9</v>
      </c>
      <c r="AY60" s="76">
        <f>(AY18+AY21)-(2*0.16)</f>
        <v>6.42</v>
      </c>
    </row>
    <row r="61" spans="2:66" ht="18.75" x14ac:dyDescent="0.25">
      <c r="B61" s="77">
        <v>10</v>
      </c>
      <c r="C61" s="76">
        <f>(C19+C20)-(2*0.16)</f>
        <v>6.3</v>
      </c>
      <c r="E61" s="77">
        <v>10</v>
      </c>
      <c r="F61" s="76">
        <f>(F19+F20)-(2*0.16)</f>
        <v>7.56</v>
      </c>
      <c r="H61" s="77">
        <v>10</v>
      </c>
      <c r="I61" s="76">
        <f>(I19+I20)-(2*0.16)</f>
        <v>6.48</v>
      </c>
      <c r="K61" s="77">
        <v>10</v>
      </c>
      <c r="L61" s="76">
        <f>(L19+L20)-(2*0.16)</f>
        <v>5.9599999999999991</v>
      </c>
      <c r="N61" s="77">
        <v>10</v>
      </c>
      <c r="O61" s="76">
        <f>(O19+O20)-(2*0.16)</f>
        <v>5.4399999999999995</v>
      </c>
      <c r="Q61" s="77">
        <v>10</v>
      </c>
      <c r="R61" s="76">
        <f>(R19+R20)-(2*0.16)</f>
        <v>7.54</v>
      </c>
      <c r="T61" s="77">
        <v>10</v>
      </c>
      <c r="U61" s="76">
        <f>(U19+U20)-(2*0.16)</f>
        <v>7.34</v>
      </c>
      <c r="W61" s="77">
        <v>10</v>
      </c>
      <c r="X61" s="76">
        <f>(X19+X20)-(2*0.16)</f>
        <v>7.3199999999999994</v>
      </c>
      <c r="Z61" s="77">
        <v>10</v>
      </c>
      <c r="AA61" s="76">
        <f>(AA19+AA20)-(2*0.16)</f>
        <v>5.9399999999999995</v>
      </c>
      <c r="AC61" s="77">
        <v>10</v>
      </c>
      <c r="AD61" s="76">
        <f>(AD19+AD20)-(2*0.16)</f>
        <v>6.1999999999999993</v>
      </c>
      <c r="AF61" s="77">
        <v>10</v>
      </c>
      <c r="AG61" s="76">
        <f>(AG19+AG20)-(2*0.16)</f>
        <v>7</v>
      </c>
      <c r="AI61" s="77">
        <v>10</v>
      </c>
      <c r="AJ61" s="76">
        <f>(AJ19+AJ20)-(2*0.16)</f>
        <v>7.06</v>
      </c>
      <c r="AL61" s="77">
        <v>10</v>
      </c>
      <c r="AM61" s="76">
        <f>(AM19+AM20)-(2*0.16)</f>
        <v>6.82</v>
      </c>
      <c r="AO61" s="77">
        <v>10</v>
      </c>
      <c r="AP61" s="76">
        <f>(AP19+AP20)-(2*0.16)</f>
        <v>6.1999999999999993</v>
      </c>
      <c r="AR61" s="77">
        <v>10</v>
      </c>
      <c r="AS61" s="76">
        <f>(AS19+AS20)-(2*0.16)</f>
        <v>8.42</v>
      </c>
      <c r="AU61" s="77">
        <v>10</v>
      </c>
      <c r="AV61" s="76">
        <f>(AV19+AV20)-(2*0.16)</f>
        <v>6.7799999999999994</v>
      </c>
      <c r="AX61" s="77">
        <v>10</v>
      </c>
      <c r="AY61" s="76">
        <f>(AY19+AY20)-(2*0.16)</f>
        <v>7.16</v>
      </c>
    </row>
    <row r="62" spans="2:66" ht="18.75" x14ac:dyDescent="0.25">
      <c r="B62" s="77">
        <v>11</v>
      </c>
      <c r="C62" s="76">
        <f>(C30+C49)-(2*0.16)</f>
        <v>6.66</v>
      </c>
      <c r="E62" s="77">
        <v>11</v>
      </c>
      <c r="F62" s="76">
        <f>(F30+F49)-(2*0.16)</f>
        <v>6.76</v>
      </c>
      <c r="H62" s="77">
        <v>11</v>
      </c>
      <c r="I62" s="76">
        <f>(I30+I49)-(2*0.16)</f>
        <v>6.0600000000000005</v>
      </c>
      <c r="K62" s="77">
        <v>11</v>
      </c>
      <c r="L62" s="76">
        <f>(L30+L49)-(2*0.16)</f>
        <v>6</v>
      </c>
      <c r="N62" s="77">
        <v>11</v>
      </c>
      <c r="O62" s="76">
        <f>(O30+O49)-(2*0.16)</f>
        <v>5.0599999999999996</v>
      </c>
      <c r="Q62" s="77">
        <v>11</v>
      </c>
      <c r="R62" s="76">
        <f>(R30+R49)-(2*0.16)</f>
        <v>6.02</v>
      </c>
      <c r="T62" s="77">
        <v>11</v>
      </c>
      <c r="U62" s="76">
        <f>(U30+U49)-(2*0.16)</f>
        <v>6.1199999999999992</v>
      </c>
      <c r="W62" s="77">
        <v>11</v>
      </c>
      <c r="X62" s="76">
        <f>(X30+X49)-(2*0.16)</f>
        <v>5.8599999999999994</v>
      </c>
      <c r="Z62" s="77">
        <v>11</v>
      </c>
      <c r="AA62" s="76">
        <f>(AA30+AA49)-(2*0.16)</f>
        <v>4.66</v>
      </c>
      <c r="AC62" s="77">
        <v>11</v>
      </c>
      <c r="AD62" s="76">
        <f>(AD30+AD49)-(2*0.16)</f>
        <v>6.52</v>
      </c>
      <c r="AF62" s="77">
        <v>11</v>
      </c>
      <c r="AG62" s="76">
        <f>(AG30+AG49)-(2*0.16)</f>
        <v>7.74</v>
      </c>
      <c r="AI62" s="77">
        <v>11</v>
      </c>
      <c r="AJ62" s="76">
        <f>(AJ30+AJ49)-(2*0.16)</f>
        <v>6.9399999999999995</v>
      </c>
      <c r="AL62" s="77">
        <v>11</v>
      </c>
      <c r="AM62" s="76">
        <f>(AM30+AM49)-(2*0.16)</f>
        <v>7.68</v>
      </c>
      <c r="AO62" s="77">
        <v>11</v>
      </c>
      <c r="AP62" s="76">
        <f>(AP30+AP49)-(2*0.16)</f>
        <v>8.32</v>
      </c>
      <c r="AR62" s="77">
        <v>11</v>
      </c>
      <c r="AS62" s="76">
        <f>(AS30+AS49)-(2*0.16)</f>
        <v>7.42</v>
      </c>
      <c r="AU62" s="77">
        <v>11</v>
      </c>
      <c r="AV62" s="76">
        <f>(AV30+AV49)-(2*0.16)</f>
        <v>5.9799999999999995</v>
      </c>
      <c r="AX62" s="77">
        <v>11</v>
      </c>
      <c r="AY62" s="76">
        <f>(AY30+AY49)-(2*0.16)</f>
        <v>6.16</v>
      </c>
    </row>
    <row r="63" spans="2:66" ht="18.75" x14ac:dyDescent="0.25">
      <c r="B63" s="77">
        <v>12</v>
      </c>
      <c r="C63" s="76">
        <f>(C31+C48)-(2*0.16)</f>
        <v>6.82</v>
      </c>
      <c r="E63" s="77">
        <v>12</v>
      </c>
      <c r="F63" s="76">
        <f>(F31+F48)-(2*0.16)</f>
        <v>7.2799999999999994</v>
      </c>
      <c r="H63" s="77">
        <v>12</v>
      </c>
      <c r="I63" s="76">
        <f>(I31+I48)-(2*0.16)</f>
        <v>6.12</v>
      </c>
      <c r="K63" s="77">
        <v>12</v>
      </c>
      <c r="L63" s="76">
        <f>(L31+L48)-(2*0.16)</f>
        <v>5.74</v>
      </c>
      <c r="N63" s="77">
        <v>12</v>
      </c>
      <c r="O63" s="76">
        <f>(O31+O48)-(2*0.16)</f>
        <v>5.6999999999999993</v>
      </c>
      <c r="Q63" s="77">
        <v>12</v>
      </c>
      <c r="R63" s="76">
        <f>(R31+R48)-(2*0.16)</f>
        <v>6.64</v>
      </c>
      <c r="T63" s="77">
        <v>12</v>
      </c>
      <c r="U63" s="76">
        <f>(U31+U48)-(2*0.16)</f>
        <v>5.72</v>
      </c>
      <c r="W63" s="77">
        <v>12</v>
      </c>
      <c r="X63" s="76">
        <f>(X31+X48)-(2*0.16)</f>
        <v>6.4399999999999995</v>
      </c>
      <c r="Z63" s="77">
        <v>12</v>
      </c>
      <c r="AA63" s="76">
        <f>(AA31+AA48)-(2*0.16)</f>
        <v>4.3</v>
      </c>
      <c r="AC63" s="77">
        <v>12</v>
      </c>
      <c r="AD63" s="76">
        <f>(AD31+AD48)-(2*0.16)</f>
        <v>6.4</v>
      </c>
      <c r="AF63" s="77">
        <v>12</v>
      </c>
      <c r="AG63" s="76">
        <f>(AG31+AG48)-(2*0.16)</f>
        <v>5.9599999999999991</v>
      </c>
      <c r="AI63" s="77">
        <v>12</v>
      </c>
      <c r="AJ63" s="76">
        <f>(AJ31+AJ48)-(2*0.16)</f>
        <v>7.32</v>
      </c>
      <c r="AL63" s="77">
        <v>12</v>
      </c>
      <c r="AM63" s="76">
        <f>(AM31+AM48)-(2*0.16)</f>
        <v>6.9799999999999995</v>
      </c>
      <c r="AO63" s="77">
        <v>12</v>
      </c>
      <c r="AP63" s="76">
        <f>(AP31+AP48)-(2*0.16)</f>
        <v>3.12</v>
      </c>
      <c r="AR63" s="77">
        <v>12</v>
      </c>
      <c r="AS63" s="76">
        <f>(AS31+AS48)-(2*0.16)</f>
        <v>7.66</v>
      </c>
      <c r="AU63" s="77">
        <v>12</v>
      </c>
      <c r="AV63" s="76">
        <f>(AV31+AV48)-(2*0.16)</f>
        <v>5.82</v>
      </c>
      <c r="AX63" s="77">
        <v>12</v>
      </c>
      <c r="AY63" s="76">
        <f>(AY31+AY48)-(2*0.16)</f>
        <v>6.06</v>
      </c>
    </row>
    <row r="64" spans="2:66" ht="18.75" x14ac:dyDescent="0.25">
      <c r="B64" s="77">
        <v>13</v>
      </c>
      <c r="C64" s="76">
        <f>(C32+C47)-(2*0.16)</f>
        <v>6.379999999999999</v>
      </c>
      <c r="E64" s="77">
        <v>13</v>
      </c>
      <c r="F64" s="76">
        <f>(F32+F47)-(2*0.16)</f>
        <v>7.4</v>
      </c>
      <c r="H64" s="77">
        <v>13</v>
      </c>
      <c r="I64" s="76">
        <f>(I32+I47)-(2*0.16)</f>
        <v>6.0600000000000005</v>
      </c>
      <c r="K64" s="77">
        <v>13</v>
      </c>
      <c r="L64" s="76">
        <f>(L32+L47)-(2*0.16)</f>
        <v>5.4</v>
      </c>
      <c r="N64" s="77">
        <v>13</v>
      </c>
      <c r="O64" s="76">
        <f>(O32+O47)-(2*0.16)</f>
        <v>5.0599999999999996</v>
      </c>
      <c r="Q64" s="77">
        <v>13</v>
      </c>
      <c r="R64" s="76">
        <f>(R32+R47)-(2*0.16)</f>
        <v>5.76</v>
      </c>
      <c r="T64" s="77">
        <v>13</v>
      </c>
      <c r="U64" s="76">
        <f>(U32+U47)-(2*0.16)</f>
        <v>6.68</v>
      </c>
      <c r="W64" s="77">
        <v>13</v>
      </c>
      <c r="X64" s="76">
        <f>(X32+X47)-(2*0.16)</f>
        <v>4.6399999999999997</v>
      </c>
      <c r="Z64" s="77">
        <v>13</v>
      </c>
      <c r="AA64" s="76">
        <f>(AA32+AA47)-(2*0.16)</f>
        <v>5.7799999999999994</v>
      </c>
      <c r="AC64" s="77">
        <v>13</v>
      </c>
      <c r="AD64" s="76">
        <f>(AD32+AD47)-(2*0.16)</f>
        <v>6.84</v>
      </c>
      <c r="AF64" s="77">
        <v>13</v>
      </c>
      <c r="AG64" s="76">
        <f>(AG32+AG47)-(2*0.16)</f>
        <v>7.5399999999999991</v>
      </c>
      <c r="AI64" s="77">
        <v>13</v>
      </c>
      <c r="AJ64" s="76">
        <f>(AJ32+AJ47)-(2*0.16)</f>
        <v>7.9399999999999995</v>
      </c>
      <c r="AL64" s="77">
        <v>13</v>
      </c>
      <c r="AM64" s="76">
        <f>(AM32+AM47)-(2*0.16)</f>
        <v>7.02</v>
      </c>
      <c r="AO64" s="77">
        <v>13</v>
      </c>
      <c r="AP64" s="76">
        <f>(AP32+AP47)-(2*0.16)</f>
        <v>6.3</v>
      </c>
      <c r="AR64" s="77">
        <v>13</v>
      </c>
      <c r="AS64" s="76">
        <f>(AS32+AS47)-(2*0.16)</f>
        <v>7.3199999999999994</v>
      </c>
      <c r="AU64" s="77">
        <v>13</v>
      </c>
      <c r="AV64" s="76">
        <f>(AV32+AV47)-(2*0.16)</f>
        <v>7.16</v>
      </c>
      <c r="AX64" s="77">
        <v>13</v>
      </c>
      <c r="AY64" s="76">
        <f>(AY32+AY47)-(2*0.16)</f>
        <v>7.2799999999999994</v>
      </c>
    </row>
    <row r="65" spans="2:51" ht="18.75" x14ac:dyDescent="0.25">
      <c r="B65" s="77">
        <v>14</v>
      </c>
      <c r="C65" s="76">
        <f>(C33+C46)-(2*0.16)</f>
        <v>5.18</v>
      </c>
      <c r="E65" s="77">
        <v>14</v>
      </c>
      <c r="F65" s="76">
        <f>(F33+F46)-(2*0.16)</f>
        <v>6.68</v>
      </c>
      <c r="H65" s="77">
        <v>14</v>
      </c>
      <c r="I65" s="76">
        <f>(I33+I46)-(2*0.16)</f>
        <v>6.18</v>
      </c>
      <c r="K65" s="77">
        <v>14</v>
      </c>
      <c r="L65" s="76">
        <f>(L33+L46)-(2*0.16)</f>
        <v>6.2999999999999989</v>
      </c>
      <c r="N65" s="77">
        <v>14</v>
      </c>
      <c r="O65" s="76">
        <f>(O33+O46)-(2*0.16)</f>
        <v>5.18</v>
      </c>
      <c r="Q65" s="77">
        <v>14</v>
      </c>
      <c r="R65" s="76">
        <f>(R33+R46)-(2*0.16)</f>
        <v>5.8599999999999994</v>
      </c>
      <c r="T65" s="77">
        <v>14</v>
      </c>
      <c r="U65" s="76">
        <f>(U33+U46)-(2*0.16)</f>
        <v>6.14</v>
      </c>
      <c r="W65" s="77">
        <v>14</v>
      </c>
      <c r="X65" s="76">
        <f>(X33+X46)-(2*0.16)</f>
        <v>6.3999999999999995</v>
      </c>
      <c r="Z65" s="77">
        <v>14</v>
      </c>
      <c r="AA65" s="76">
        <f>(AA33+AA46)-(2*0.16)</f>
        <v>6.02</v>
      </c>
      <c r="AC65" s="77">
        <v>14</v>
      </c>
      <c r="AD65" s="76">
        <f>(AD33+AD46)-(2*0.16)</f>
        <v>6.7999999999999989</v>
      </c>
      <c r="AF65" s="77">
        <v>14</v>
      </c>
      <c r="AG65" s="76">
        <f>(AG33+AG46)-(2*0.16)</f>
        <v>7.4799999999999995</v>
      </c>
      <c r="AI65" s="77">
        <v>14</v>
      </c>
      <c r="AJ65" s="76">
        <f>(AJ33+AJ46)-(2*0.16)</f>
        <v>5.7799999999999994</v>
      </c>
      <c r="AL65" s="77">
        <v>14</v>
      </c>
      <c r="AM65" s="76">
        <f>(AM33+AM46)-(2*0.16)</f>
        <v>7.2199999999999989</v>
      </c>
      <c r="AO65" s="77">
        <v>14</v>
      </c>
      <c r="AP65" s="76">
        <f>(AP33+AP46)-(2*0.16)</f>
        <v>5.84</v>
      </c>
      <c r="AR65" s="77">
        <v>14</v>
      </c>
      <c r="AS65" s="76">
        <f>(AS33+AS46)-(2*0.16)</f>
        <v>8.3999999999999986</v>
      </c>
      <c r="AU65" s="77">
        <v>14</v>
      </c>
      <c r="AV65" s="76">
        <f>(AV33+AV46)-(2*0.16)</f>
        <v>7.3999999999999995</v>
      </c>
      <c r="AX65" s="77">
        <v>14</v>
      </c>
      <c r="AY65" s="76">
        <f>(AY33+AY46)-(2*0.16)</f>
        <v>6.92</v>
      </c>
    </row>
    <row r="66" spans="2:51" ht="18.75" x14ac:dyDescent="0.25">
      <c r="B66" s="77">
        <v>15</v>
      </c>
      <c r="C66" s="76">
        <f>(C34+C45)-(2*0.16)</f>
        <v>6.3</v>
      </c>
      <c r="E66" s="77">
        <v>15</v>
      </c>
      <c r="F66" s="76">
        <f>(F34+F45)-(2*0.16)</f>
        <v>7.5799999999999992</v>
      </c>
      <c r="H66" s="77">
        <v>15</v>
      </c>
      <c r="I66" s="76">
        <f>(I34+I45)-(2*0.16)</f>
        <v>6.3</v>
      </c>
      <c r="K66" s="77">
        <v>15</v>
      </c>
      <c r="L66" s="76">
        <f>(L34+L45)-(2*0.16)</f>
        <v>5.92</v>
      </c>
      <c r="N66" s="77">
        <v>15</v>
      </c>
      <c r="O66" s="76">
        <f>(O34+O45)-(2*0.16)</f>
        <v>5.7799999999999994</v>
      </c>
      <c r="Q66" s="77">
        <v>15</v>
      </c>
      <c r="R66" s="76">
        <f>(R34+R45)-(2*0.16)</f>
        <v>6.66</v>
      </c>
      <c r="T66" s="77">
        <v>15</v>
      </c>
      <c r="U66" s="76">
        <f>(U34+U45)-(2*0.16)</f>
        <v>6.3599999999999994</v>
      </c>
      <c r="W66" s="77">
        <v>15</v>
      </c>
      <c r="X66" s="76">
        <f>(X34+X45)-(2*0.16)</f>
        <v>6.9399999999999995</v>
      </c>
      <c r="Z66" s="77">
        <v>15</v>
      </c>
      <c r="AA66" s="76">
        <f>(AA34+AA45)-(2*0.16)</f>
        <v>5.74</v>
      </c>
      <c r="AC66" s="77">
        <v>15</v>
      </c>
      <c r="AD66" s="76">
        <f>(AD34+AD45)-(2*0.16)</f>
        <v>7.52</v>
      </c>
      <c r="AF66" s="77">
        <v>15</v>
      </c>
      <c r="AG66" s="76">
        <f>(AG34+AG45)-(2*0.16)</f>
        <v>7.66</v>
      </c>
      <c r="AI66" s="77">
        <v>15</v>
      </c>
      <c r="AJ66" s="76">
        <f>(AJ34+AJ45)-(2*0.16)</f>
        <v>6.8599999999999994</v>
      </c>
      <c r="AL66" s="77">
        <v>15</v>
      </c>
      <c r="AM66" s="76">
        <f>(AM34+AM45)-(2*0.16)</f>
        <v>6.4399999999999995</v>
      </c>
      <c r="AO66" s="77">
        <v>15</v>
      </c>
      <c r="AP66" s="76">
        <f>(AP34+AP45)-(2*0.16)</f>
        <v>5.66</v>
      </c>
      <c r="AR66" s="77">
        <v>15</v>
      </c>
      <c r="AS66" s="76">
        <f>(AS34+AS45)-(2*0.16)</f>
        <v>6.42</v>
      </c>
      <c r="AU66" s="77">
        <v>15</v>
      </c>
      <c r="AV66" s="76">
        <f>(AV34+AV45)-(2*0.16)</f>
        <v>6.4799999999999995</v>
      </c>
      <c r="AX66" s="77">
        <v>15</v>
      </c>
      <c r="AY66" s="76">
        <f>(AY34+AY45)-(2*0.16)</f>
        <v>7.1</v>
      </c>
    </row>
    <row r="67" spans="2:51" ht="18.75" x14ac:dyDescent="0.25">
      <c r="B67" s="77">
        <v>16</v>
      </c>
      <c r="C67" s="76">
        <f>(C35+C44)-(2*0.16)</f>
        <v>6.76</v>
      </c>
      <c r="E67" s="77">
        <v>16</v>
      </c>
      <c r="F67" s="76">
        <f>(F35+F44)-(2*0.16)</f>
        <v>6.08</v>
      </c>
      <c r="H67" s="77">
        <v>16</v>
      </c>
      <c r="I67" s="76">
        <f>(I35+I44)-(2*0.16)</f>
        <v>6.58</v>
      </c>
      <c r="K67" s="77">
        <v>16</v>
      </c>
      <c r="L67" s="76">
        <f>(L35+L44)-(2*0.16)</f>
        <v>5.72</v>
      </c>
      <c r="N67" s="77">
        <v>16</v>
      </c>
      <c r="O67" s="76">
        <f>(O35+O44)-(2*0.16)</f>
        <v>5.08</v>
      </c>
      <c r="Q67" s="77">
        <v>16</v>
      </c>
      <c r="R67" s="76">
        <f>(R35+R44)-(2*0.16)</f>
        <v>5.4599999999999991</v>
      </c>
      <c r="T67" s="77">
        <v>16</v>
      </c>
      <c r="U67" s="76">
        <f>(U35+U44)-(2*0.16)</f>
        <v>6.82</v>
      </c>
      <c r="W67" s="77">
        <v>16</v>
      </c>
      <c r="X67" s="76">
        <f>(X35+X44)-(2*0.16)</f>
        <v>5.0999999999999996</v>
      </c>
      <c r="Z67" s="77">
        <v>16</v>
      </c>
      <c r="AA67" s="76">
        <f>(AA35+AA44)-(2*0.16)</f>
        <v>5.26</v>
      </c>
      <c r="AC67" s="77">
        <v>16</v>
      </c>
      <c r="AD67" s="76">
        <f>(AD35+AD44)-(2*0.16)</f>
        <v>7.3999999999999995</v>
      </c>
      <c r="AF67" s="77">
        <v>16</v>
      </c>
      <c r="AG67" s="76">
        <f>(AG35+AG44)-(2*0.16)</f>
        <v>6.5</v>
      </c>
      <c r="AI67" s="77">
        <v>16</v>
      </c>
      <c r="AJ67" s="76">
        <f>(AJ35+AJ44)-(2*0.16)</f>
        <v>7.74</v>
      </c>
      <c r="AL67" s="77">
        <v>16</v>
      </c>
      <c r="AM67" s="76">
        <f>(AM35+AM44)-(2*0.16)</f>
        <v>7.32</v>
      </c>
      <c r="AO67" s="77">
        <v>16</v>
      </c>
      <c r="AP67" s="76">
        <f>(AP35+AP44)-(2*0.16)</f>
        <v>5.9399999999999995</v>
      </c>
      <c r="AR67" s="77">
        <v>16</v>
      </c>
      <c r="AS67" s="76">
        <f>(AS35+AS44)-(2*0.16)</f>
        <v>7.84</v>
      </c>
      <c r="AU67" s="77">
        <v>16</v>
      </c>
      <c r="AV67" s="76">
        <f>(AV35+AV44)-(2*0.16)</f>
        <v>6.48</v>
      </c>
      <c r="AX67" s="77">
        <v>16</v>
      </c>
      <c r="AY67" s="76">
        <f>(AY35+AY44)-(2*0.16)</f>
        <v>7.3</v>
      </c>
    </row>
    <row r="68" spans="2:51" ht="18.75" x14ac:dyDescent="0.25">
      <c r="B68" s="77">
        <v>17</v>
      </c>
      <c r="C68" s="76">
        <f>(C36+C43)-(2*0.16)</f>
        <v>5.9799999999999995</v>
      </c>
      <c r="E68" s="77">
        <v>17</v>
      </c>
      <c r="F68" s="76">
        <f>(F36+F43)-(2*0.16)</f>
        <v>6.9599999999999991</v>
      </c>
      <c r="H68" s="77">
        <v>17</v>
      </c>
      <c r="I68" s="76">
        <f>(I36+I43)-(2*0.16)</f>
        <v>6.84</v>
      </c>
      <c r="K68" s="77">
        <v>17</v>
      </c>
      <c r="L68" s="76">
        <f>(L36+L43)-(2*0.16)</f>
        <v>5.7799999999999994</v>
      </c>
      <c r="N68" s="77">
        <v>17</v>
      </c>
      <c r="O68" s="76">
        <f>(O36+O43)-(2*0.16)</f>
        <v>4.92</v>
      </c>
      <c r="Q68" s="77">
        <v>17</v>
      </c>
      <c r="R68" s="76">
        <f>(R36+R43)-(2*0.16)</f>
        <v>5.8999999999999995</v>
      </c>
      <c r="T68" s="77">
        <v>17</v>
      </c>
      <c r="U68" s="76">
        <f>(U36+U43)-(2*0.16)</f>
        <v>6.6199999999999992</v>
      </c>
      <c r="W68" s="77">
        <v>17</v>
      </c>
      <c r="X68" s="76">
        <f>(X36+X43)-(2*0.16)</f>
        <v>5.2999999999999989</v>
      </c>
      <c r="Z68" s="77">
        <v>17</v>
      </c>
      <c r="AA68" s="76">
        <f>(AA36+AA43)-(2*0.16)</f>
        <v>4.72</v>
      </c>
      <c r="AC68" s="77">
        <v>17</v>
      </c>
      <c r="AD68" s="76">
        <f>(AD36+AD43)-(2*0.16)</f>
        <v>6.1</v>
      </c>
      <c r="AF68" s="77">
        <v>17</v>
      </c>
      <c r="AG68" s="76">
        <f>(AG36+AG43)-(2*0.16)</f>
        <v>6.58</v>
      </c>
      <c r="AI68" s="77">
        <v>17</v>
      </c>
      <c r="AJ68" s="76">
        <f>(AJ36+AJ43)-(2*0.16)</f>
        <v>6.92</v>
      </c>
      <c r="AL68" s="77">
        <v>17</v>
      </c>
      <c r="AM68" s="76">
        <f>(AM36+AM43)-(2*0.16)</f>
        <v>6.58</v>
      </c>
      <c r="AO68" s="77">
        <v>17</v>
      </c>
      <c r="AP68" s="76">
        <f>(AP36+AP43)-(2*0.16)</f>
        <v>7.32</v>
      </c>
      <c r="AR68" s="77">
        <v>17</v>
      </c>
      <c r="AS68" s="76">
        <f>(AS36+AS43)-(2*0.16)</f>
        <v>7.48</v>
      </c>
      <c r="AU68" s="77">
        <v>17</v>
      </c>
      <c r="AV68" s="76">
        <f>(AV36+AV43)-(2*0.16)</f>
        <v>5.2399999999999993</v>
      </c>
      <c r="AX68" s="77">
        <v>17</v>
      </c>
      <c r="AY68" s="76">
        <f>(AY36+AY43)-(2*0.16)</f>
        <v>7.02</v>
      </c>
    </row>
    <row r="69" spans="2:51" ht="18.75" x14ac:dyDescent="0.25">
      <c r="B69" s="77">
        <v>18</v>
      </c>
      <c r="C69" s="76">
        <f>(C37+C42)-(2*0.16)</f>
        <v>5.9399999999999995</v>
      </c>
      <c r="E69" s="77">
        <v>18</v>
      </c>
      <c r="F69" s="76">
        <f>(F37+F42)-(2*0.16)</f>
        <v>6.5399999999999991</v>
      </c>
      <c r="H69" s="77">
        <v>18</v>
      </c>
      <c r="I69" s="76">
        <f>(I37+I42)-(2*0.16)</f>
        <v>5.5</v>
      </c>
      <c r="K69" s="77">
        <v>18</v>
      </c>
      <c r="L69" s="76">
        <f>(L37+L42)-(2*0.16)</f>
        <v>5.6</v>
      </c>
      <c r="N69" s="77">
        <v>18</v>
      </c>
      <c r="O69" s="76">
        <f>(O37+O42)-(2*0.16)</f>
        <v>5.4</v>
      </c>
      <c r="Q69" s="77">
        <v>18</v>
      </c>
      <c r="R69" s="76">
        <f>(R37+R42)-(2*0.16)</f>
        <v>6.1199999999999992</v>
      </c>
      <c r="T69" s="77">
        <v>18</v>
      </c>
      <c r="U69" s="76">
        <f>(U37+U42)-(2*0.16)</f>
        <v>5.68</v>
      </c>
      <c r="W69" s="77">
        <v>18</v>
      </c>
      <c r="X69" s="76">
        <f>(X37+X42)-(2*0.16)</f>
        <v>5.72</v>
      </c>
      <c r="Z69" s="77">
        <v>18</v>
      </c>
      <c r="AA69" s="76">
        <f>(AA37+AA42)-(2*0.16)</f>
        <v>4.18</v>
      </c>
      <c r="AC69" s="77">
        <v>18</v>
      </c>
      <c r="AD69" s="76">
        <f>(AD37+AD42)-(2*0.16)</f>
        <v>7.1999999999999993</v>
      </c>
      <c r="AF69" s="77">
        <v>18</v>
      </c>
      <c r="AG69" s="76">
        <f>(AG37+AG42)-(2*0.16)</f>
        <v>8.18</v>
      </c>
      <c r="AI69" s="77">
        <v>18</v>
      </c>
      <c r="AJ69" s="76">
        <f>(AJ37+AJ42)-(2*0.16)</f>
        <v>6.64</v>
      </c>
      <c r="AL69" s="77">
        <v>18</v>
      </c>
      <c r="AM69" s="76">
        <f>(AM37+AM42)-(2*0.16)</f>
        <v>7.0399999999999991</v>
      </c>
      <c r="AO69" s="77">
        <v>18</v>
      </c>
      <c r="AP69" s="76">
        <f>(AP37+AP42)-(2*0.16)</f>
        <v>6.18</v>
      </c>
      <c r="AR69" s="77">
        <v>18</v>
      </c>
      <c r="AS69" s="76">
        <f>(AS37+AS42)-(2*0.16)</f>
        <v>6.56</v>
      </c>
      <c r="AU69" s="77">
        <v>18</v>
      </c>
      <c r="AV69" s="76">
        <f>(AV37+AV42)-(2*0.16)</f>
        <v>7.24</v>
      </c>
      <c r="AX69" s="77">
        <v>18</v>
      </c>
      <c r="AY69" s="76">
        <f>(AY37+AY42)-(2*0.16)</f>
        <v>7.4</v>
      </c>
    </row>
    <row r="70" spans="2:51" ht="18.75" x14ac:dyDescent="0.25">
      <c r="B70" s="77">
        <v>19</v>
      </c>
      <c r="C70" s="76">
        <f>(C38+C41)-(2*0.16)</f>
        <v>6.5</v>
      </c>
      <c r="E70" s="77">
        <v>19</v>
      </c>
      <c r="F70" s="76">
        <f>(F38+F41)-(2*0.16)</f>
        <v>6.1999999999999993</v>
      </c>
      <c r="H70" s="77">
        <v>19</v>
      </c>
      <c r="I70" s="76">
        <f>(I38+I41)-(2*0.16)</f>
        <v>6.22</v>
      </c>
      <c r="K70" s="77">
        <v>19</v>
      </c>
      <c r="L70" s="76">
        <f>(L38+L41)-(2*0.16)</f>
        <v>5.58</v>
      </c>
      <c r="N70" s="77">
        <v>19</v>
      </c>
      <c r="O70" s="76">
        <f>(O38+O41)-(2*0.16)</f>
        <v>5.18</v>
      </c>
      <c r="Q70" s="77">
        <v>19</v>
      </c>
      <c r="R70" s="76">
        <f>(R38+R41)-(2*0.16)</f>
        <v>6.4</v>
      </c>
      <c r="T70" s="77">
        <v>19</v>
      </c>
      <c r="U70" s="76">
        <f>(U38+U41)-(2*0.16)</f>
        <v>6.4399999999999995</v>
      </c>
      <c r="W70" s="77">
        <v>19</v>
      </c>
      <c r="X70" s="76">
        <f>(X38+X41)-(2*0.16)</f>
        <v>5.6</v>
      </c>
      <c r="Z70" s="77">
        <v>19</v>
      </c>
      <c r="AA70" s="76">
        <f>(AA38+AA41)-(2*0.16)</f>
        <v>5.66</v>
      </c>
      <c r="AC70" s="77">
        <v>19</v>
      </c>
      <c r="AD70" s="76">
        <f>(AD38+AD41)-(2*0.16)</f>
        <v>7.66</v>
      </c>
      <c r="AF70" s="77">
        <v>19</v>
      </c>
      <c r="AG70" s="76">
        <f>(AG38+AG41)-(2*0.16)</f>
        <v>5.6999999999999993</v>
      </c>
      <c r="AI70" s="77">
        <v>19</v>
      </c>
      <c r="AJ70" s="76">
        <f>(AJ38+AJ41)-(2*0.16)</f>
        <v>7.6199999999999992</v>
      </c>
      <c r="AL70" s="77">
        <v>19</v>
      </c>
      <c r="AM70" s="76">
        <f>(AM38+AM41)-(2*0.16)</f>
        <v>6.5399999999999991</v>
      </c>
      <c r="AO70" s="77">
        <v>19</v>
      </c>
      <c r="AP70" s="76">
        <f>(AP38+AP41)-(2*0.16)</f>
        <v>5.98</v>
      </c>
      <c r="AR70" s="77">
        <v>19</v>
      </c>
      <c r="AS70" s="76">
        <f>(AS38+AS41)-(2*0.16)</f>
        <v>6.04</v>
      </c>
      <c r="AU70" s="77">
        <v>19</v>
      </c>
      <c r="AV70" s="76">
        <f>(AV38+AV41)-(2*0.16)</f>
        <v>4.88</v>
      </c>
      <c r="AX70" s="77">
        <v>19</v>
      </c>
      <c r="AY70" s="76">
        <f>(AY38+AY41)-(2*0.16)</f>
        <v>6.1</v>
      </c>
    </row>
    <row r="71" spans="2:51" ht="18.75" x14ac:dyDescent="0.25">
      <c r="B71" s="77">
        <v>20</v>
      </c>
      <c r="C71" s="76">
        <f>(C39+C40)-(2*0.16)</f>
        <v>6</v>
      </c>
      <c r="E71" s="77">
        <v>20</v>
      </c>
      <c r="F71" s="76">
        <f>(F39+F40)-(2*0.16)</f>
        <v>7</v>
      </c>
      <c r="H71" s="77">
        <v>20</v>
      </c>
      <c r="I71" s="76">
        <f>(I39+I40)-(2*0.16)</f>
        <v>6.42</v>
      </c>
      <c r="K71" s="77">
        <v>20</v>
      </c>
      <c r="L71" s="76">
        <f>(L39+L40)-(2*0.16)</f>
        <v>5.6999999999999993</v>
      </c>
      <c r="N71" s="77">
        <v>20</v>
      </c>
      <c r="O71" s="76">
        <f>(O39+O40)-(2*0.16)</f>
        <v>5.88</v>
      </c>
      <c r="Q71" s="77">
        <v>20</v>
      </c>
      <c r="R71" s="76">
        <f>(R39+R40)-(2*0.16)</f>
        <v>6.22</v>
      </c>
      <c r="T71" s="77">
        <v>20</v>
      </c>
      <c r="U71" s="76">
        <f>(U39+U40)-(2*0.16)</f>
        <v>6.76</v>
      </c>
      <c r="W71" s="77">
        <v>20</v>
      </c>
      <c r="X71" s="76">
        <f>(X39+X40)-(2*0.16)</f>
        <v>5.74</v>
      </c>
      <c r="Z71" s="77">
        <v>20</v>
      </c>
      <c r="AA71" s="76">
        <f>(AA39+AA40)-(2*0.16)</f>
        <v>6.16</v>
      </c>
      <c r="AC71" s="77">
        <v>20</v>
      </c>
      <c r="AD71" s="76">
        <f>(AD39+AD40)-(2*0.16)</f>
        <v>6.74</v>
      </c>
      <c r="AF71" s="77">
        <v>20</v>
      </c>
      <c r="AG71" s="76">
        <f>(AG39+AG40)-(2*0.16)</f>
        <v>6.04</v>
      </c>
      <c r="AI71" s="77">
        <v>20</v>
      </c>
      <c r="AJ71" s="76">
        <f>(AJ39+AJ40)-(2*0.16)</f>
        <v>5.7799999999999994</v>
      </c>
      <c r="AL71" s="77">
        <v>20</v>
      </c>
      <c r="AM71" s="76">
        <f>(AM39+AM40)-(2*0.16)</f>
        <v>7.18</v>
      </c>
      <c r="AO71" s="77">
        <v>20</v>
      </c>
      <c r="AP71" s="76">
        <f>(AP39+AP40)-(2*0.16)</f>
        <v>6.4799999999999995</v>
      </c>
      <c r="AR71" s="77">
        <v>20</v>
      </c>
      <c r="AS71" s="76">
        <f>(AS39+AS40)-(2*0.16)</f>
        <v>7.34</v>
      </c>
      <c r="AU71" s="77">
        <v>20</v>
      </c>
      <c r="AV71" s="76">
        <f>(AV39+AV40)-(2*0.16)</f>
        <v>7.3599999999999994</v>
      </c>
      <c r="AX71" s="77">
        <v>20</v>
      </c>
      <c r="AY71" s="76">
        <f>(AY39+AY40)-(2*0.16)</f>
        <v>7.24</v>
      </c>
    </row>
    <row r="75" spans="2:51" x14ac:dyDescent="0.25">
      <c r="C75" s="7"/>
    </row>
  </sheetData>
  <mergeCells count="1">
    <mergeCell ref="AQ31:AQ37"/>
  </mergeCells>
  <printOptions horizontalCentered="1"/>
  <pageMargins left="0.2" right="0.2" top="0.2" bottom="0.2" header="0" footer="0"/>
  <pageSetup scale="81" fitToWidth="5" orientation="portrait" r:id="rId1"/>
  <colBreaks count="5" manualBreakCount="5">
    <brk id="9" max="50" man="1"/>
    <brk id="18" max="50" man="1"/>
    <brk id="27" max="50" man="1"/>
    <brk id="36" max="50" man="1"/>
    <brk id="45" max="5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0688F-53AB-41EC-8041-3BB38FF21D9D}">
  <dimension ref="A1:CC68"/>
  <sheetViews>
    <sheetView topLeftCell="A31" zoomScale="70" zoomScaleNormal="70" workbookViewId="0">
      <selection activeCell="BQ44" sqref="BQ44"/>
    </sheetView>
  </sheetViews>
  <sheetFormatPr defaultColWidth="12" defaultRowHeight="15" x14ac:dyDescent="0.25"/>
  <sheetData>
    <row r="1" spans="1:74" ht="18.75" x14ac:dyDescent="0.3">
      <c r="A1" s="94" t="s">
        <v>1128</v>
      </c>
    </row>
    <row r="3" spans="1:74" ht="15.75" x14ac:dyDescent="0.25">
      <c r="A3" s="93" t="s">
        <v>1127</v>
      </c>
    </row>
    <row r="4" spans="1:74" ht="15.75" x14ac:dyDescent="0.25">
      <c r="A4" s="93"/>
      <c r="B4" s="93" t="s">
        <v>1126</v>
      </c>
    </row>
    <row r="5" spans="1:74" ht="15.75" x14ac:dyDescent="0.25">
      <c r="A5" s="93"/>
      <c r="B5" s="93"/>
    </row>
    <row r="6" spans="1:74" ht="18.75" x14ac:dyDescent="0.3">
      <c r="A6" s="93"/>
      <c r="B6" s="75" t="s">
        <v>1125</v>
      </c>
    </row>
    <row r="7" spans="1:74" ht="18.75" x14ac:dyDescent="0.3">
      <c r="A7" s="93"/>
      <c r="B7" s="75" t="s">
        <v>1124</v>
      </c>
      <c r="H7" s="71" t="s">
        <v>1123</v>
      </c>
    </row>
    <row r="8" spans="1:74" ht="18.75" x14ac:dyDescent="0.3">
      <c r="A8" s="93"/>
      <c r="B8" s="75" t="s">
        <v>1122</v>
      </c>
    </row>
    <row r="9" spans="1:74" ht="18.75" x14ac:dyDescent="0.3">
      <c r="A9" s="93"/>
      <c r="B9" s="128"/>
      <c r="E9" s="127" t="s">
        <v>1121</v>
      </c>
    </row>
    <row r="11" spans="1:74" ht="23.25" x14ac:dyDescent="0.35">
      <c r="C11" s="88" t="s">
        <v>1070</v>
      </c>
      <c r="D11" s="87">
        <v>1</v>
      </c>
      <c r="E11" s="86" t="s">
        <v>1072</v>
      </c>
      <c r="F11" s="86"/>
      <c r="G11" s="86"/>
      <c r="H11" s="86"/>
      <c r="I11" s="86"/>
      <c r="J11" s="86"/>
      <c r="L11" s="88" t="s">
        <v>1070</v>
      </c>
      <c r="M11" s="87">
        <v>2</v>
      </c>
      <c r="N11" s="86" t="s">
        <v>1071</v>
      </c>
      <c r="O11" s="86"/>
      <c r="P11" s="86"/>
      <c r="Q11" s="86"/>
      <c r="R11" s="86"/>
      <c r="U11" s="88" t="s">
        <v>1070</v>
      </c>
      <c r="V11" s="87">
        <v>3</v>
      </c>
      <c r="W11" s="86" t="s">
        <v>1074</v>
      </c>
      <c r="X11" s="86"/>
      <c r="Y11" s="86"/>
      <c r="Z11" s="86"/>
      <c r="AA11" s="86"/>
      <c r="AD11" s="88" t="s">
        <v>1070</v>
      </c>
      <c r="AE11" s="87">
        <v>4</v>
      </c>
      <c r="AF11" s="86" t="s">
        <v>1073</v>
      </c>
      <c r="AG11" s="86"/>
      <c r="AH11" s="86"/>
      <c r="AI11" s="86"/>
      <c r="AJ11" s="86"/>
      <c r="AM11" s="88" t="s">
        <v>1070</v>
      </c>
      <c r="AN11" s="87">
        <v>5</v>
      </c>
      <c r="AO11" s="86" t="s">
        <v>1072</v>
      </c>
      <c r="AP11" s="86"/>
      <c r="AQ11" s="86"/>
      <c r="AR11" s="86"/>
      <c r="AS11" s="86"/>
      <c r="AV11" s="88" t="s">
        <v>1070</v>
      </c>
      <c r="AW11" s="87">
        <v>6</v>
      </c>
      <c r="AX11" s="86" t="s">
        <v>1074</v>
      </c>
      <c r="AY11" s="86"/>
      <c r="AZ11" s="86"/>
      <c r="BA11" s="86"/>
      <c r="BB11" s="86"/>
      <c r="BE11" s="88" t="s">
        <v>1070</v>
      </c>
      <c r="BF11" s="87">
        <v>7</v>
      </c>
      <c r="BG11" s="86" t="s">
        <v>1073</v>
      </c>
      <c r="BH11" s="86"/>
      <c r="BI11" s="86"/>
      <c r="BJ11" s="86"/>
      <c r="BK11" s="86"/>
      <c r="BN11" s="88" t="s">
        <v>1070</v>
      </c>
      <c r="BO11" s="87">
        <v>8</v>
      </c>
      <c r="BP11" s="86" t="s">
        <v>1071</v>
      </c>
      <c r="BQ11" s="86"/>
      <c r="BR11" s="86"/>
      <c r="BS11" s="86"/>
      <c r="BT11" s="86"/>
    </row>
    <row r="12" spans="1:74" ht="21" x14ac:dyDescent="0.35">
      <c r="C12" s="88" t="s">
        <v>1067</v>
      </c>
      <c r="D12" s="117">
        <v>40844</v>
      </c>
      <c r="E12" s="86"/>
      <c r="F12" s="86"/>
      <c r="G12" s="86"/>
      <c r="H12" s="86"/>
      <c r="I12" s="86"/>
      <c r="J12" s="86"/>
      <c r="L12" s="88" t="s">
        <v>1067</v>
      </c>
      <c r="M12" s="117">
        <v>40842</v>
      </c>
      <c r="N12" s="86"/>
      <c r="O12" s="86"/>
      <c r="P12" s="86"/>
      <c r="Q12" s="86"/>
      <c r="R12" s="86"/>
      <c r="U12" s="88" t="s">
        <v>1067</v>
      </c>
      <c r="V12" s="117">
        <v>40842</v>
      </c>
      <c r="W12" s="86"/>
      <c r="X12" s="86"/>
      <c r="Y12" s="86"/>
      <c r="Z12" s="86"/>
      <c r="AA12" s="86"/>
      <c r="AD12" s="88" t="s">
        <v>1067</v>
      </c>
      <c r="AE12" s="117">
        <v>40842</v>
      </c>
      <c r="AF12" s="116"/>
      <c r="AG12" s="116"/>
      <c r="AH12" s="116"/>
      <c r="AI12" s="116"/>
      <c r="AJ12" s="116"/>
      <c r="AM12" s="88" t="s">
        <v>1067</v>
      </c>
      <c r="AN12" s="117">
        <v>40841</v>
      </c>
      <c r="AO12" s="86"/>
      <c r="AP12" s="86"/>
      <c r="AQ12" s="86"/>
      <c r="AR12" s="86"/>
      <c r="AS12" s="86"/>
      <c r="AV12" s="88" t="s">
        <v>1067</v>
      </c>
      <c r="AW12" s="117">
        <v>40843</v>
      </c>
      <c r="AX12" s="116"/>
      <c r="AY12" s="116"/>
      <c r="AZ12" s="116"/>
      <c r="BA12" s="116"/>
      <c r="BB12" s="116"/>
      <c r="BE12" s="88" t="s">
        <v>1067</v>
      </c>
      <c r="BF12" s="117">
        <v>40841</v>
      </c>
      <c r="BG12" s="86"/>
      <c r="BH12" s="86"/>
      <c r="BI12" s="86"/>
      <c r="BJ12" s="86"/>
      <c r="BK12" s="86"/>
      <c r="BN12" s="88" t="s">
        <v>1067</v>
      </c>
      <c r="BO12" s="117">
        <v>40844</v>
      </c>
      <c r="BP12" s="86"/>
      <c r="BQ12" s="86"/>
      <c r="BR12" s="86"/>
      <c r="BS12" s="86"/>
      <c r="BT12" s="86"/>
    </row>
    <row r="13" spans="1:74" x14ac:dyDescent="0.25">
      <c r="AF13" s="117"/>
      <c r="AG13" s="117"/>
      <c r="AH13" s="117"/>
      <c r="AI13" s="117"/>
      <c r="AJ13" s="116"/>
      <c r="AK13" s="116"/>
      <c r="AX13" s="117"/>
      <c r="AY13" s="117"/>
      <c r="AZ13" s="117"/>
      <c r="BA13" s="117"/>
      <c r="BB13" s="116"/>
      <c r="BC13" s="116"/>
    </row>
    <row r="14" spans="1:74" ht="15.6" customHeight="1" x14ac:dyDescent="0.25">
      <c r="M14" s="126"/>
      <c r="N14" s="126"/>
      <c r="O14" s="126"/>
      <c r="P14" s="126"/>
      <c r="Q14" s="126"/>
      <c r="R14" s="126"/>
      <c r="S14" s="126"/>
      <c r="T14" s="125"/>
      <c r="AE14" s="115"/>
      <c r="AF14" s="115"/>
      <c r="AG14" s="115"/>
      <c r="AH14" s="115"/>
      <c r="AI14" s="115"/>
      <c r="AJ14" s="115"/>
      <c r="AK14" s="115"/>
      <c r="AL14" s="114"/>
      <c r="AN14" s="126"/>
      <c r="AO14" s="126"/>
      <c r="AP14" s="126"/>
      <c r="AQ14" s="126"/>
      <c r="AR14" s="126"/>
      <c r="AS14" s="126"/>
      <c r="AT14" s="126"/>
      <c r="AU14" s="125"/>
      <c r="BB14" s="117"/>
      <c r="BC14" s="116"/>
      <c r="BD14" s="116"/>
      <c r="BO14" s="126"/>
      <c r="BP14" s="126"/>
      <c r="BQ14" s="126"/>
      <c r="BR14" s="126"/>
      <c r="BS14" s="126"/>
      <c r="BT14" s="126"/>
      <c r="BU14" s="126"/>
      <c r="BV14" s="125"/>
    </row>
    <row r="15" spans="1:74" ht="66.95" customHeight="1" x14ac:dyDescent="0.3">
      <c r="B15" s="124" t="s">
        <v>1119</v>
      </c>
      <c r="C15" s="124" t="s">
        <v>1118</v>
      </c>
      <c r="D15" s="111" t="s">
        <v>1117</v>
      </c>
      <c r="E15" s="110" t="s">
        <v>1116</v>
      </c>
      <c r="F15" s="109" t="s">
        <v>1115</v>
      </c>
      <c r="G15" s="109" t="s">
        <v>1114</v>
      </c>
      <c r="H15" s="109" t="s">
        <v>1113</v>
      </c>
      <c r="I15" s="108" t="s">
        <v>1112</v>
      </c>
      <c r="J15" s="77"/>
      <c r="K15" s="113" t="s">
        <v>1119</v>
      </c>
      <c r="L15" s="112" t="s">
        <v>1118</v>
      </c>
      <c r="M15" s="111" t="s">
        <v>1117</v>
      </c>
      <c r="N15" s="110" t="s">
        <v>1116</v>
      </c>
      <c r="O15" s="109" t="s">
        <v>1115</v>
      </c>
      <c r="P15" s="109" t="s">
        <v>1114</v>
      </c>
      <c r="Q15" s="109" t="s">
        <v>1113</v>
      </c>
      <c r="R15" s="108" t="s">
        <v>1112</v>
      </c>
      <c r="T15" s="113" t="s">
        <v>1119</v>
      </c>
      <c r="U15" s="112" t="s">
        <v>1118</v>
      </c>
      <c r="V15" s="111" t="s">
        <v>1117</v>
      </c>
      <c r="W15" s="110" t="s">
        <v>1116</v>
      </c>
      <c r="X15" s="109" t="s">
        <v>1115</v>
      </c>
      <c r="Y15" s="109" t="s">
        <v>1114</v>
      </c>
      <c r="Z15" s="109" t="s">
        <v>1113</v>
      </c>
      <c r="AA15" s="108" t="s">
        <v>1112</v>
      </c>
      <c r="AC15" s="113" t="s">
        <v>1119</v>
      </c>
      <c r="AD15" s="112" t="s">
        <v>1118</v>
      </c>
      <c r="AE15" s="111" t="s">
        <v>1117</v>
      </c>
      <c r="AF15" s="110" t="s">
        <v>1116</v>
      </c>
      <c r="AG15" s="109" t="s">
        <v>1115</v>
      </c>
      <c r="AH15" s="109" t="s">
        <v>1114</v>
      </c>
      <c r="AI15" s="109" t="s">
        <v>1113</v>
      </c>
      <c r="AJ15" s="108" t="s">
        <v>1112</v>
      </c>
      <c r="AL15" s="113" t="s">
        <v>1119</v>
      </c>
      <c r="AM15" s="112" t="s">
        <v>1118</v>
      </c>
      <c r="AN15" s="111" t="s">
        <v>1117</v>
      </c>
      <c r="AO15" s="110" t="s">
        <v>1116</v>
      </c>
      <c r="AP15" s="109" t="s">
        <v>1115</v>
      </c>
      <c r="AQ15" s="109" t="s">
        <v>1114</v>
      </c>
      <c r="AR15" s="109" t="s">
        <v>1113</v>
      </c>
      <c r="AS15" s="108" t="s">
        <v>1112</v>
      </c>
      <c r="AU15" s="113" t="s">
        <v>1119</v>
      </c>
      <c r="AV15" s="112" t="s">
        <v>1118</v>
      </c>
      <c r="AW15" s="111" t="s">
        <v>1117</v>
      </c>
      <c r="AX15" s="110" t="s">
        <v>1116</v>
      </c>
      <c r="AY15" s="109" t="s">
        <v>1115</v>
      </c>
      <c r="AZ15" s="109" t="s">
        <v>1114</v>
      </c>
      <c r="BA15" s="109" t="s">
        <v>1113</v>
      </c>
      <c r="BB15" s="108" t="s">
        <v>1112</v>
      </c>
      <c r="BD15" s="113" t="s">
        <v>1119</v>
      </c>
      <c r="BE15" s="112" t="s">
        <v>1118</v>
      </c>
      <c r="BF15" s="111" t="s">
        <v>1117</v>
      </c>
      <c r="BG15" s="110" t="s">
        <v>1116</v>
      </c>
      <c r="BH15" s="109" t="s">
        <v>1115</v>
      </c>
      <c r="BI15" s="109" t="s">
        <v>1114</v>
      </c>
      <c r="BJ15" s="109" t="s">
        <v>1113</v>
      </c>
      <c r="BK15" s="108" t="s">
        <v>1112</v>
      </c>
      <c r="BM15" s="113" t="s">
        <v>1119</v>
      </c>
      <c r="BN15" s="112" t="s">
        <v>1118</v>
      </c>
      <c r="BO15" s="111" t="s">
        <v>1117</v>
      </c>
      <c r="BP15" s="110" t="s">
        <v>1116</v>
      </c>
      <c r="BQ15" s="109" t="s">
        <v>1115</v>
      </c>
      <c r="BR15" s="109" t="s">
        <v>1114</v>
      </c>
      <c r="BS15" s="109" t="s">
        <v>1113</v>
      </c>
      <c r="BT15" s="108" t="s">
        <v>1112</v>
      </c>
    </row>
    <row r="16" spans="1:74" ht="22.5" x14ac:dyDescent="0.25">
      <c r="B16" s="107">
        <v>1</v>
      </c>
      <c r="C16" s="101" t="s">
        <v>1111</v>
      </c>
      <c r="D16" s="122">
        <v>3.16</v>
      </c>
      <c r="E16" s="100">
        <v>5.04</v>
      </c>
      <c r="F16" s="100">
        <f>(D16-1.04)/'Subsample weights'!C52</f>
        <v>0.35451505016722412</v>
      </c>
      <c r="G16" s="100">
        <f>(E16-1.7)/'Subsample weights'!C52</f>
        <v>0.55852842809364556</v>
      </c>
      <c r="H16" s="100">
        <f>('Subsample weights'!C52-((Ginning!D16-1.04)+(Ginning!E16-1.7)))/'Subsample weights'!C52</f>
        <v>8.6956521739130377E-2</v>
      </c>
      <c r="I16" s="119"/>
      <c r="J16" s="77"/>
      <c r="K16" s="107">
        <v>1</v>
      </c>
      <c r="L16" s="101" t="s">
        <v>1111</v>
      </c>
      <c r="M16" s="100">
        <v>3.22</v>
      </c>
      <c r="N16" s="100">
        <v>5.38</v>
      </c>
      <c r="O16" s="100">
        <f>(M16-1.04)/'Subsample weights'!F52</f>
        <v>0.33435582822085896</v>
      </c>
      <c r="P16" s="100">
        <f>(N16-1.7)/'Subsample weights'!F52</f>
        <v>0.56441717791411039</v>
      </c>
      <c r="Q16" s="100">
        <f>('Subsample weights'!F52-((Ginning!M16-1.04)+(Ginning!N16-1.7)))/'Subsample weights'!F52</f>
        <v>0.1012269938650307</v>
      </c>
      <c r="R16" s="119"/>
      <c r="T16" s="107">
        <v>1</v>
      </c>
      <c r="U16" s="101" t="s">
        <v>1111</v>
      </c>
      <c r="V16" s="100">
        <v>2.78</v>
      </c>
      <c r="W16" s="100">
        <v>4.68</v>
      </c>
      <c r="X16" s="100">
        <f>(V16-1.04)/'Subsample weights'!I52</f>
        <v>0.33079847908745247</v>
      </c>
      <c r="Y16" s="100">
        <f>(W16-1.7)/'Subsample weights'!I52</f>
        <v>0.56653992395437258</v>
      </c>
      <c r="Z16" s="100">
        <f>('Subsample weights'!I52-((Ginning!V16-1.04)+(Ginning!W16-1.7)))/'Subsample weights'!I52</f>
        <v>0.10266159695817509</v>
      </c>
      <c r="AA16" s="100"/>
      <c r="AC16" s="107">
        <v>1</v>
      </c>
      <c r="AD16" s="101" t="s">
        <v>1111</v>
      </c>
      <c r="AE16" s="100">
        <v>2.86</v>
      </c>
      <c r="AF16" s="100">
        <v>4.9000000000000004</v>
      </c>
      <c r="AG16" s="100">
        <f>(AE16-1.04)/'Subsample weights'!L52</f>
        <v>0.33090909090909087</v>
      </c>
      <c r="AH16" s="100">
        <f>(AF16-1.7)/'Subsample weights'!L52</f>
        <v>0.5818181818181819</v>
      </c>
      <c r="AI16" s="100">
        <f>('Subsample weights'!L52-((Ginning!AE16-1.04)+(Ginning!AF16-1.7)))/'Subsample weights'!L52</f>
        <v>8.7272727272727349E-2</v>
      </c>
      <c r="AJ16" s="119"/>
      <c r="AL16" s="107">
        <v>1</v>
      </c>
      <c r="AM16" s="101" t="s">
        <v>1111</v>
      </c>
      <c r="AN16" s="100">
        <v>2.88</v>
      </c>
      <c r="AO16" s="100">
        <v>4.9000000000000004</v>
      </c>
      <c r="AP16" s="100">
        <f>(AN16-1.04)/'Subsample weights'!O52</f>
        <v>0.32974910394265228</v>
      </c>
      <c r="AQ16" s="100">
        <f>(AO16-1.7)/'Subsample weights'!O52</f>
        <v>0.57347670250896055</v>
      </c>
      <c r="AR16" s="100">
        <f>('Subsample weights'!O52-((Ginning!AN16-1.04)+(Ginning!AO16-1.7)))/'Subsample weights'!O52</f>
        <v>9.6774193548387108E-2</v>
      </c>
      <c r="AS16" s="99"/>
      <c r="AU16" s="107">
        <v>1</v>
      </c>
      <c r="AV16" s="101" t="s">
        <v>1111</v>
      </c>
      <c r="AW16" s="100">
        <v>3.58</v>
      </c>
      <c r="AX16" s="100">
        <v>5.94</v>
      </c>
      <c r="AY16" s="100">
        <f>(AW16-1.04)/'Subsample weights'!R52</f>
        <v>0.33246073298429318</v>
      </c>
      <c r="AZ16" s="100">
        <f>(AX16-1.7)/'Subsample weights'!R52</f>
        <v>0.55497382198952883</v>
      </c>
      <c r="BA16" s="100">
        <f>('Subsample weights'!R52-((Ginning!AW16-1.04)+(Ginning!AX16-1.7)))/'Subsample weights'!R52</f>
        <v>0.11256544502617805</v>
      </c>
      <c r="BB16" s="103"/>
      <c r="BD16" s="107">
        <v>1</v>
      </c>
      <c r="BE16" s="101" t="s">
        <v>1111</v>
      </c>
      <c r="BF16" s="100">
        <v>3.3</v>
      </c>
      <c r="BG16" s="100">
        <v>5.48</v>
      </c>
      <c r="BH16" s="100">
        <f>(BF16-1.04)/'Subsample weights'!U52</f>
        <v>0.33731343283582088</v>
      </c>
      <c r="BI16" s="100">
        <f>(BG16-1.7)/'Subsample weights'!U52</f>
        <v>0.56417910447761199</v>
      </c>
      <c r="BJ16" s="100">
        <f>('Subsample weights'!U52-((Ginning!BF16-1.04)+(Ginning!BG16-1.7)))/'Subsample weights'!U52</f>
        <v>9.8507462686567057E-2</v>
      </c>
      <c r="BK16" s="103"/>
      <c r="BM16" s="107">
        <v>1</v>
      </c>
      <c r="BN16" s="101" t="s">
        <v>1111</v>
      </c>
      <c r="BO16" s="100">
        <v>2.96</v>
      </c>
      <c r="BP16" s="100">
        <v>4.8600000000000003</v>
      </c>
      <c r="BQ16" s="100">
        <f>(BO16-1.04)/'Subsample weights'!X52</f>
        <v>0.3465703971119134</v>
      </c>
      <c r="BR16" s="100">
        <f>(BP16-1.7)/'Subsample weights'!X52</f>
        <v>0.57039711191335751</v>
      </c>
      <c r="BS16" s="100">
        <f>('Subsample weights'!X52-((Ginning!BO16-1.04)+(Ginning!BP16-1.7)))/'Subsample weights'!X52</f>
        <v>8.303249097472909E-2</v>
      </c>
      <c r="BT16" s="103"/>
    </row>
    <row r="17" spans="2:72" ht="22.5" x14ac:dyDescent="0.25">
      <c r="B17" s="107">
        <v>2</v>
      </c>
      <c r="C17" s="101" t="s">
        <v>1110</v>
      </c>
      <c r="D17" s="122">
        <v>3.14</v>
      </c>
      <c r="E17" s="100">
        <v>4.9800000000000004</v>
      </c>
      <c r="F17" s="100">
        <f>(D17-1.04)/'Subsample weights'!C53</f>
        <v>0.35000000000000003</v>
      </c>
      <c r="G17" s="100">
        <f>(E17-1.7)/'Subsample weights'!C53</f>
        <v>0.54666666666666675</v>
      </c>
      <c r="H17" s="100">
        <f>('Subsample weights'!C53-((Ginning!D17-1.04)+(Ginning!E17-1.7)))/'Subsample weights'!C53</f>
        <v>0.10333333333333321</v>
      </c>
      <c r="I17" s="119"/>
      <c r="J17" s="77"/>
      <c r="K17" s="107">
        <v>2</v>
      </c>
      <c r="L17" s="101" t="s">
        <v>1110</v>
      </c>
      <c r="M17" s="100">
        <v>3.26</v>
      </c>
      <c r="N17" s="100">
        <v>5.54</v>
      </c>
      <c r="O17" s="100">
        <f>(M17-1.04)/'Subsample weights'!F53</f>
        <v>0.33433734939759036</v>
      </c>
      <c r="P17" s="100">
        <f>(N17-1.7)/'Subsample weights'!F53</f>
        <v>0.57831325301204817</v>
      </c>
      <c r="Q17" s="100">
        <f>('Subsample weights'!F53-((Ginning!M17-1.04)+(Ginning!N17-1.7)))/'Subsample weights'!F53</f>
        <v>8.7349397590361463E-2</v>
      </c>
      <c r="R17" s="119"/>
      <c r="T17" s="107">
        <v>2</v>
      </c>
      <c r="U17" s="101" t="s">
        <v>1110</v>
      </c>
      <c r="V17" s="100">
        <v>3.06</v>
      </c>
      <c r="W17" s="100">
        <v>5.32</v>
      </c>
      <c r="X17" s="100">
        <f>(V17-1.04)/'Subsample weights'!I53</f>
        <v>0.32371794871794873</v>
      </c>
      <c r="Y17" s="100">
        <f>(W17-1.7)/'Subsample weights'!I53</f>
        <v>0.58012820512820518</v>
      </c>
      <c r="Z17" s="100">
        <f>('Subsample weights'!I53-((Ginning!V17-1.04)+(Ginning!W17-1.7)))/'Subsample weights'!I53</f>
        <v>9.615384615384609E-2</v>
      </c>
      <c r="AA17" s="100"/>
      <c r="AC17" s="107">
        <v>2</v>
      </c>
      <c r="AD17" s="101" t="s">
        <v>1110</v>
      </c>
      <c r="AE17" s="100">
        <v>3.16</v>
      </c>
      <c r="AF17" s="100">
        <v>5.32</v>
      </c>
      <c r="AG17" s="100">
        <f>(AE17-1.04)/'Subsample weights'!L53</f>
        <v>0.33228840125391856</v>
      </c>
      <c r="AH17" s="100">
        <f>(AF17-1.7)/'Subsample weights'!L53</f>
        <v>0.56739811912225713</v>
      </c>
      <c r="AI17" s="100">
        <f>('Subsample weights'!L53-((Ginning!AE17-1.04)+(Ginning!AF17-1.7)))/'Subsample weights'!L53</f>
        <v>0.10031347962382428</v>
      </c>
      <c r="AJ17" s="119"/>
      <c r="AL17" s="107">
        <v>2</v>
      </c>
      <c r="AM17" s="101" t="s">
        <v>1110</v>
      </c>
      <c r="AN17" s="100">
        <v>2.82</v>
      </c>
      <c r="AO17" s="100">
        <v>4.78</v>
      </c>
      <c r="AP17" s="100">
        <f>(AN17-1.04)/'Subsample weights'!O53</f>
        <v>0.33208955223880599</v>
      </c>
      <c r="AQ17" s="100">
        <f>(AO17-1.7)/'Subsample weights'!O53</f>
        <v>0.5746268656716419</v>
      </c>
      <c r="AR17" s="100">
        <f>('Subsample weights'!O53-((Ginning!AN17-1.04)+(Ginning!AO17-1.7)))/'Subsample weights'!O53</f>
        <v>9.3283582089552244E-2</v>
      </c>
      <c r="AS17" s="123"/>
      <c r="AU17" s="107">
        <v>2</v>
      </c>
      <c r="AV17" s="101" t="s">
        <v>1110</v>
      </c>
      <c r="AW17" s="100">
        <v>3.16</v>
      </c>
      <c r="AX17" s="100">
        <v>5.32</v>
      </c>
      <c r="AY17" s="100">
        <f>(AW17-1.04)/'Subsample weights'!R53</f>
        <v>0.33333333333333337</v>
      </c>
      <c r="AZ17" s="100">
        <f>(AX17-1.7)/'Subsample weights'!R53</f>
        <v>0.56918238993710701</v>
      </c>
      <c r="BA17" s="100">
        <f>('Subsample weights'!R53-((Ginning!AW17-1.04)+(Ginning!AX17-1.7)))/'Subsample weights'!R53</f>
        <v>9.748427672955963E-2</v>
      </c>
      <c r="BB17" s="103"/>
      <c r="BD17" s="107">
        <v>2</v>
      </c>
      <c r="BE17" s="101" t="s">
        <v>1110</v>
      </c>
      <c r="BF17" s="100">
        <v>2.9</v>
      </c>
      <c r="BG17" s="100">
        <v>4.92</v>
      </c>
      <c r="BH17" s="100">
        <f>(BF17-1.04)/'Subsample weights'!U53</f>
        <v>0.33333333333333331</v>
      </c>
      <c r="BI17" s="100">
        <f>(BG17-1.7)/'Subsample weights'!U53</f>
        <v>0.57706093189964147</v>
      </c>
      <c r="BJ17" s="100">
        <f>('Subsample weights'!U53-((Ginning!BF17-1.04)+(Ginning!BG17-1.7)))/'Subsample weights'!U53</f>
        <v>8.9605734767025089E-2</v>
      </c>
      <c r="BK17" s="103"/>
      <c r="BM17" s="107">
        <v>2</v>
      </c>
      <c r="BN17" s="101" t="s">
        <v>1110</v>
      </c>
      <c r="BO17" s="100">
        <v>3.36</v>
      </c>
      <c r="BP17" s="100">
        <v>5.52</v>
      </c>
      <c r="BQ17" s="100">
        <f>(BO17-1.04)/'Subsample weights'!X53</f>
        <v>0.33918128654970758</v>
      </c>
      <c r="BR17" s="100">
        <f>(BP17-1.7)/'Subsample weights'!X53</f>
        <v>0.55847953216374258</v>
      </c>
      <c r="BS17" s="100">
        <f>('Subsample weights'!X53-((Ginning!BO17-1.04)+(Ginning!BP17-1.7)))/'Subsample weights'!X53</f>
        <v>0.10233918128654987</v>
      </c>
      <c r="BT17" s="103"/>
    </row>
    <row r="18" spans="2:72" ht="22.5" x14ac:dyDescent="0.25">
      <c r="B18" s="107">
        <v>3</v>
      </c>
      <c r="C18" s="101" t="s">
        <v>1109</v>
      </c>
      <c r="D18" s="122">
        <v>3.38</v>
      </c>
      <c r="E18" s="100">
        <v>5.36</v>
      </c>
      <c r="F18" s="100">
        <f>(D18-1.04)/'Subsample weights'!C54</f>
        <v>0.35347432024169184</v>
      </c>
      <c r="G18" s="100">
        <f>(E18-1.7)/'Subsample weights'!C54</f>
        <v>0.55287009063444115</v>
      </c>
      <c r="H18" s="100">
        <f>('Subsample weights'!C54-((Ginning!D18-1.04)+(Ginning!E18-1.7)))/'Subsample weights'!C54</f>
        <v>9.3655589123866956E-2</v>
      </c>
      <c r="I18" s="119"/>
      <c r="J18" s="77"/>
      <c r="K18" s="107">
        <v>3</v>
      </c>
      <c r="L18" s="101" t="s">
        <v>1109</v>
      </c>
      <c r="M18" s="100">
        <v>3.26</v>
      </c>
      <c r="N18" s="100">
        <v>5.56</v>
      </c>
      <c r="O18" s="100">
        <f>(M18-1.04)/'Subsample weights'!F54</f>
        <v>0.32551319648093835</v>
      </c>
      <c r="P18" s="100">
        <f>(N18-1.7)/'Subsample weights'!F54</f>
        <v>0.56598240469208205</v>
      </c>
      <c r="Q18" s="100">
        <f>('Subsample weights'!F54-((Ginning!M18-1.04)+(Ginning!N18-1.7)))/'Subsample weights'!F54</f>
        <v>0.10850439882697963</v>
      </c>
      <c r="R18" s="119"/>
      <c r="T18" s="107">
        <v>3</v>
      </c>
      <c r="U18" s="101" t="s">
        <v>1109</v>
      </c>
      <c r="V18" s="100">
        <v>3.14</v>
      </c>
      <c r="W18" s="100">
        <v>5.36</v>
      </c>
      <c r="X18" s="100">
        <f>(V18-1.04)/'Subsample weights'!I54</f>
        <v>0.33123028391167192</v>
      </c>
      <c r="Y18" s="100">
        <f>(W18-1.7)/'Subsample weights'!I54</f>
        <v>0.57728706624605686</v>
      </c>
      <c r="Z18" s="100">
        <f>('Subsample weights'!I54-((Ginning!V18-1.04)+(Ginning!W18-1.7)))/'Subsample weights'!I54</f>
        <v>9.1482649842271307E-2</v>
      </c>
      <c r="AA18" s="100"/>
      <c r="AC18" s="107">
        <v>3</v>
      </c>
      <c r="AD18" s="101" t="s">
        <v>1109</v>
      </c>
      <c r="AE18" s="100">
        <v>3.24</v>
      </c>
      <c r="AF18" s="100">
        <v>5.44</v>
      </c>
      <c r="AG18" s="100">
        <f>(AE18-1.04)/'Subsample weights'!L54</f>
        <v>0.33639143730886856</v>
      </c>
      <c r="AH18" s="100">
        <f>(AF18-1.7)/'Subsample weights'!L54</f>
        <v>0.57186544342507661</v>
      </c>
      <c r="AI18" s="100">
        <f>('Subsample weights'!L54-((Ginning!AE18-1.04)+(Ginning!AF18-1.7)))/'Subsample weights'!L54</f>
        <v>9.1743119266054871E-2</v>
      </c>
      <c r="AJ18" s="119"/>
      <c r="AL18" s="107">
        <v>3</v>
      </c>
      <c r="AM18" s="101" t="s">
        <v>1109</v>
      </c>
      <c r="AN18" s="100">
        <v>2.96</v>
      </c>
      <c r="AO18" s="100">
        <v>5.0199999999999996</v>
      </c>
      <c r="AP18" s="100">
        <f>(AN18-1.04)/'Subsample weights'!O54</f>
        <v>0.32107023411371238</v>
      </c>
      <c r="AQ18" s="100">
        <f>(AO18-1.7)/'Subsample weights'!O54</f>
        <v>0.55518394648829428</v>
      </c>
      <c r="AR18" s="100">
        <f>('Subsample weights'!O54-((Ginning!AN18-1.04)+(Ginning!AO18-1.7)))/'Subsample weights'!O54</f>
        <v>0.12374581939799335</v>
      </c>
      <c r="AS18" s="99"/>
      <c r="AU18" s="107">
        <v>3</v>
      </c>
      <c r="AV18" s="101" t="s">
        <v>1109</v>
      </c>
      <c r="AW18" s="100">
        <v>3.02</v>
      </c>
      <c r="AX18" s="100">
        <v>4.9800000000000004</v>
      </c>
      <c r="AY18" s="100">
        <f>(AW18-1.04)/'Subsample weights'!R54</f>
        <v>0.33788395904436863</v>
      </c>
      <c r="AZ18" s="100">
        <f>(AX18-1.7)/'Subsample weights'!R54</f>
        <v>0.559726962457338</v>
      </c>
      <c r="BA18" s="100">
        <f>('Subsample weights'!R54-((Ginning!AW18-1.04)+(Ginning!AX18-1.7)))/'Subsample weights'!R54</f>
        <v>0.10238907849829347</v>
      </c>
      <c r="BB18" s="103"/>
      <c r="BD18" s="107">
        <v>3</v>
      </c>
      <c r="BE18" s="101" t="s">
        <v>1109</v>
      </c>
      <c r="BF18" s="100">
        <v>3.04</v>
      </c>
      <c r="BG18" s="100">
        <v>5.22</v>
      </c>
      <c r="BH18" s="100">
        <f>(BF18-1.04)/'Subsample weights'!U54</f>
        <v>0.32894736842105265</v>
      </c>
      <c r="BI18" s="100">
        <f>(BG18-1.7)/'Subsample weights'!U54</f>
        <v>0.57894736842105254</v>
      </c>
      <c r="BJ18" s="100">
        <f>('Subsample weights'!U54-((Ginning!BF18-1.04)+(Ginning!BG18-1.7)))/'Subsample weights'!U54</f>
        <v>9.2105263157894815E-2</v>
      </c>
      <c r="BK18" s="103"/>
      <c r="BM18" s="107">
        <v>3</v>
      </c>
      <c r="BN18" s="101" t="s">
        <v>1109</v>
      </c>
      <c r="BO18" s="100">
        <v>3.24</v>
      </c>
      <c r="BP18" s="100">
        <v>5.22</v>
      </c>
      <c r="BQ18" s="100">
        <f>(BO18-1.04)/'Subsample weights'!X54</f>
        <v>0.34920634920634924</v>
      </c>
      <c r="BR18" s="100">
        <f>(BP18-1.7)/'Subsample weights'!X54</f>
        <v>0.55873015873015863</v>
      </c>
      <c r="BS18" s="100">
        <f>('Subsample weights'!X54-((Ginning!BO18-1.04)+(Ginning!BP18-1.7)))/'Subsample weights'!X54</f>
        <v>9.2063492063492083E-2</v>
      </c>
      <c r="BT18" s="103"/>
    </row>
    <row r="19" spans="2:72" ht="22.5" x14ac:dyDescent="0.25">
      <c r="B19" s="107">
        <v>4</v>
      </c>
      <c r="C19" s="101" t="s">
        <v>1108</v>
      </c>
      <c r="D19" s="122">
        <v>2.94</v>
      </c>
      <c r="E19" s="100">
        <v>4.8</v>
      </c>
      <c r="F19" s="100">
        <f>(D19-1.04)/'Subsample weights'!C55</f>
        <v>0.34420289855072467</v>
      </c>
      <c r="G19" s="100">
        <f>(E19-1.7)/'Subsample weights'!C55</f>
        <v>0.56159420289855067</v>
      </c>
      <c r="H19" s="100">
        <f>('Subsample weights'!C55-((Ginning!D19-1.04)+(Ginning!E19-1.7)))/'Subsample weights'!C55</f>
        <v>9.420289855072457E-2</v>
      </c>
      <c r="I19" s="119"/>
      <c r="J19" s="77"/>
      <c r="K19" s="107">
        <v>4</v>
      </c>
      <c r="L19" s="101" t="s">
        <v>1108</v>
      </c>
      <c r="M19" s="100">
        <v>3.38</v>
      </c>
      <c r="N19" s="100">
        <v>5.76</v>
      </c>
      <c r="O19" s="100">
        <f>(M19-1.04)/'Subsample weights'!F55</f>
        <v>0.33144475920679889</v>
      </c>
      <c r="P19" s="100">
        <f>(N19-1.7)/'Subsample weights'!F55</f>
        <v>0.57507082152974498</v>
      </c>
      <c r="Q19" s="100">
        <f>('Subsample weights'!F55-((Ginning!M19-1.04)+(Ginning!N19-1.7)))/'Subsample weights'!F55</f>
        <v>9.3484419263456117E-2</v>
      </c>
      <c r="R19" s="119"/>
      <c r="T19" s="107">
        <v>4</v>
      </c>
      <c r="U19" s="101" t="s">
        <v>1108</v>
      </c>
      <c r="V19" s="100">
        <v>3.12</v>
      </c>
      <c r="W19" s="100">
        <v>5.38</v>
      </c>
      <c r="X19" s="100">
        <f>(V19-1.04)/'Subsample weights'!I55</f>
        <v>0.33015873015873021</v>
      </c>
      <c r="Y19" s="100">
        <f>(W19-1.7)/'Subsample weights'!I55</f>
        <v>0.58412698412698405</v>
      </c>
      <c r="Z19" s="100">
        <f>('Subsample weights'!I55-((Ginning!V19-1.04)+(Ginning!W19-1.7)))/'Subsample weights'!I55</f>
        <v>8.5714285714285729E-2</v>
      </c>
      <c r="AA19" s="100"/>
      <c r="AC19" s="107">
        <v>4</v>
      </c>
      <c r="AD19" s="101" t="s">
        <v>1108</v>
      </c>
      <c r="AE19" s="100">
        <v>3.16</v>
      </c>
      <c r="AF19" s="100">
        <v>5.4</v>
      </c>
      <c r="AG19" s="100">
        <f>(AE19-1.04)/'Subsample weights'!L55</f>
        <v>0.33125000000000004</v>
      </c>
      <c r="AH19" s="100">
        <f>(AF19-1.7)/'Subsample weights'!L55</f>
        <v>0.57812500000000011</v>
      </c>
      <c r="AI19" s="100">
        <f>('Subsample weights'!L55-((Ginning!AE19-1.04)+(Ginning!AF19-1.7)))/'Subsample weights'!L55</f>
        <v>9.0624999999999886E-2</v>
      </c>
      <c r="AJ19" s="119"/>
      <c r="AL19" s="107">
        <v>4</v>
      </c>
      <c r="AM19" s="101" t="s">
        <v>1108</v>
      </c>
      <c r="AN19" s="100">
        <v>2.8</v>
      </c>
      <c r="AO19" s="100">
        <v>4.74</v>
      </c>
      <c r="AP19" s="100">
        <f>(AN19-1.04)/'Subsample weights'!O55</f>
        <v>0.32472324723247231</v>
      </c>
      <c r="AQ19" s="100">
        <f>(AO19-1.7)/'Subsample weights'!O55</f>
        <v>0.56088560885608862</v>
      </c>
      <c r="AR19" s="100">
        <f>('Subsample weights'!O55-((Ginning!AN19-1.04)+(Ginning!AO19-1.7)))/'Subsample weights'!O55</f>
        <v>0.11439114391143913</v>
      </c>
      <c r="AS19" s="99"/>
      <c r="AU19" s="107">
        <v>4</v>
      </c>
      <c r="AV19" s="101" t="s">
        <v>1108</v>
      </c>
      <c r="AW19" s="100">
        <v>3.08</v>
      </c>
      <c r="AX19" s="100">
        <v>5.16</v>
      </c>
      <c r="AY19" s="100">
        <f>(AW19-1.04)/'Subsample weights'!R55</f>
        <v>0.3300970873786408</v>
      </c>
      <c r="AZ19" s="100">
        <f>(AX19-1.7)/'Subsample weights'!R55</f>
        <v>0.55987055016181231</v>
      </c>
      <c r="BA19" s="100">
        <f>('Subsample weights'!R55-((Ginning!AW19-1.04)+(Ginning!AX19-1.7)))/'Subsample weights'!R55</f>
        <v>0.11003236245954688</v>
      </c>
      <c r="BB19" s="103"/>
      <c r="BD19" s="107">
        <v>4</v>
      </c>
      <c r="BE19" s="101" t="s">
        <v>1108</v>
      </c>
      <c r="BF19" s="100">
        <v>2.9</v>
      </c>
      <c r="BG19" s="100">
        <v>4.9400000000000004</v>
      </c>
      <c r="BH19" s="100">
        <f>(BF19-1.04)/'Subsample weights'!U55</f>
        <v>0.32404181184668984</v>
      </c>
      <c r="BI19" s="100">
        <f>(BG19-1.7)/'Subsample weights'!U55</f>
        <v>0.56445993031358888</v>
      </c>
      <c r="BJ19" s="100">
        <f>('Subsample weights'!U55-((Ginning!BF19-1.04)+(Ginning!BG19-1.7)))/'Subsample weights'!U55</f>
        <v>0.11149825783972135</v>
      </c>
      <c r="BK19" s="103"/>
      <c r="BM19" s="107">
        <v>4</v>
      </c>
      <c r="BN19" s="101" t="s">
        <v>1108</v>
      </c>
      <c r="BO19" s="100">
        <v>3.22</v>
      </c>
      <c r="BP19" s="100">
        <v>5.28</v>
      </c>
      <c r="BQ19" s="100">
        <f>(BO19-1.04)/'Subsample weights'!X55</f>
        <v>0.3449367088607595</v>
      </c>
      <c r="BR19" s="100">
        <f>(BP19-1.7)/'Subsample weights'!X55</f>
        <v>0.56645569620253167</v>
      </c>
      <c r="BS19" s="100">
        <f>('Subsample weights'!X55-((Ginning!BO19-1.04)+(Ginning!BP19-1.7)))/'Subsample weights'!X55</f>
        <v>8.860759493670893E-2</v>
      </c>
      <c r="BT19" s="103"/>
    </row>
    <row r="20" spans="2:72" ht="22.5" x14ac:dyDescent="0.25">
      <c r="B20" s="107">
        <v>5</v>
      </c>
      <c r="C20" s="101" t="s">
        <v>1107</v>
      </c>
      <c r="D20" s="122">
        <v>2.98</v>
      </c>
      <c r="E20" s="100">
        <v>4.78</v>
      </c>
      <c r="F20" s="100">
        <f>(D20-1.04)/'Subsample weights'!C56</f>
        <v>0.354014598540146</v>
      </c>
      <c r="G20" s="100">
        <f>(E20-1.7)/'Subsample weights'!C56</f>
        <v>0.56204379562043805</v>
      </c>
      <c r="H20" s="100">
        <f>('Subsample weights'!C56-((Ginning!D20-1.04)+(Ginning!E20-1.7)))/'Subsample weights'!C56</f>
        <v>8.3941605839416053E-2</v>
      </c>
      <c r="I20" s="119"/>
      <c r="J20" s="77"/>
      <c r="K20" s="107">
        <v>5</v>
      </c>
      <c r="L20" s="101" t="s">
        <v>1107</v>
      </c>
      <c r="M20" s="100">
        <v>3.04</v>
      </c>
      <c r="N20" s="100">
        <v>5.28</v>
      </c>
      <c r="O20" s="100">
        <f>(M20-1.04)/'Subsample weights'!F56</f>
        <v>0.31948881789137379</v>
      </c>
      <c r="P20" s="100">
        <f>(N20-1.7)/'Subsample weights'!F56</f>
        <v>0.5718849840255591</v>
      </c>
      <c r="Q20" s="100">
        <f>('Subsample weights'!F56-((Ginning!M20-1.04)+(Ginning!N20-1.7)))/'Subsample weights'!F56</f>
        <v>0.10862619808306705</v>
      </c>
      <c r="R20" s="119"/>
      <c r="T20" s="107">
        <v>5</v>
      </c>
      <c r="U20" s="101" t="s">
        <v>1107</v>
      </c>
      <c r="V20" s="100">
        <v>2.9</v>
      </c>
      <c r="W20" s="100">
        <v>5.04</v>
      </c>
      <c r="X20" s="100">
        <f>(V20-1.04)/'Subsample weights'!I56</f>
        <v>0.32746478873239437</v>
      </c>
      <c r="Y20" s="100">
        <f>(W20-1.7)/'Subsample weights'!I56</f>
        <v>0.5880281690140845</v>
      </c>
      <c r="Z20" s="100">
        <f>('Subsample weights'!I56-((Ginning!V20-1.04)+(Ginning!W20-1.7)))/'Subsample weights'!I56</f>
        <v>8.4507042253521208E-2</v>
      </c>
      <c r="AA20" s="100"/>
      <c r="AC20" s="107">
        <v>5</v>
      </c>
      <c r="AD20" s="101" t="s">
        <v>1107</v>
      </c>
      <c r="AE20" s="100">
        <v>3.18</v>
      </c>
      <c r="AF20" s="100">
        <v>5.32</v>
      </c>
      <c r="AG20" s="100">
        <f>(AE20-1.04)/'Subsample weights'!L56</f>
        <v>0.3322981366459628</v>
      </c>
      <c r="AH20" s="100">
        <f>(AF20-1.7)/'Subsample weights'!L56</f>
        <v>0.56211180124223603</v>
      </c>
      <c r="AI20" s="100">
        <f>('Subsample weights'!L56-((Ginning!AE20-1.04)+(Ginning!AF20-1.7)))/'Subsample weights'!L56</f>
        <v>0.10559006211180121</v>
      </c>
      <c r="AJ20" s="119"/>
      <c r="AL20" s="107">
        <v>5</v>
      </c>
      <c r="AM20" s="101" t="s">
        <v>1107</v>
      </c>
      <c r="AN20" s="100">
        <v>2.86</v>
      </c>
      <c r="AO20" s="100">
        <v>4.82</v>
      </c>
      <c r="AP20" s="100">
        <f>(AN20-1.04)/'Subsample weights'!O56</f>
        <v>0.33090909090909087</v>
      </c>
      <c r="AQ20" s="100">
        <f>(AO20-1.7)/'Subsample weights'!O56</f>
        <v>0.56727272727272726</v>
      </c>
      <c r="AR20" s="100">
        <f>('Subsample weights'!O56-((Ginning!AN20-1.04)+(Ginning!AO20-1.7)))/'Subsample weights'!O56</f>
        <v>0.1018181818181819</v>
      </c>
      <c r="AS20" s="99"/>
      <c r="AU20" s="107">
        <v>5</v>
      </c>
      <c r="AV20" s="101" t="s">
        <v>1107</v>
      </c>
      <c r="AW20" s="100">
        <v>3.02</v>
      </c>
      <c r="AX20" s="100">
        <v>5.12</v>
      </c>
      <c r="AY20" s="100">
        <f>(AW20-1.04)/'Subsample weights'!R56</f>
        <v>0.33110367892976589</v>
      </c>
      <c r="AZ20" s="100">
        <f>(AX20-1.7)/'Subsample weights'!R56</f>
        <v>0.57190635451505023</v>
      </c>
      <c r="BA20" s="100">
        <f>('Subsample weights'!R56-((Ginning!AW20-1.04)+(Ginning!AX20-1.7)))/'Subsample weights'!R56</f>
        <v>9.6989966555183812E-2</v>
      </c>
      <c r="BB20" s="103"/>
      <c r="BD20" s="107">
        <v>5</v>
      </c>
      <c r="BE20" s="101" t="s">
        <v>1107</v>
      </c>
      <c r="BF20" s="100">
        <v>2.7</v>
      </c>
      <c r="BG20" s="100">
        <v>4.74</v>
      </c>
      <c r="BH20" s="100">
        <f>(BF20-1.04)/'Subsample weights'!U56</f>
        <v>0.32046332046332049</v>
      </c>
      <c r="BI20" s="100">
        <f>(BG20-1.7)/'Subsample weights'!U56</f>
        <v>0.58687258687258692</v>
      </c>
      <c r="BJ20" s="100">
        <f>('Subsample weights'!U56-((Ginning!BF20-1.04)+(Ginning!BG20-1.7)))/'Subsample weights'!U56</f>
        <v>9.2664092664092576E-2</v>
      </c>
      <c r="BK20" s="103"/>
      <c r="BM20" s="107">
        <v>5</v>
      </c>
      <c r="BN20" s="101" t="s">
        <v>1107</v>
      </c>
      <c r="BO20" s="100">
        <v>3.32</v>
      </c>
      <c r="BP20" s="100">
        <v>5.34</v>
      </c>
      <c r="BQ20" s="100">
        <f>(BO20-1.04)/'Subsample weights'!X56</f>
        <v>0.34862385321100919</v>
      </c>
      <c r="BR20" s="100">
        <f>(BP20-1.7)/'Subsample weights'!X56</f>
        <v>0.55657492354740068</v>
      </c>
      <c r="BS20" s="100">
        <f>('Subsample weights'!X56-((Ginning!BO20-1.04)+(Ginning!BP20-1.7)))/'Subsample weights'!X56</f>
        <v>9.4801223241590113E-2</v>
      </c>
      <c r="BT20" s="103"/>
    </row>
    <row r="21" spans="2:72" ht="22.5" x14ac:dyDescent="0.25">
      <c r="B21" s="107">
        <v>6</v>
      </c>
      <c r="C21" s="101" t="s">
        <v>1106</v>
      </c>
      <c r="D21" s="122">
        <v>3.54</v>
      </c>
      <c r="E21" s="100">
        <v>5.64</v>
      </c>
      <c r="F21" s="100">
        <f>(D21-1.04)/'Subsample weights'!C57</f>
        <v>0.35310734463276838</v>
      </c>
      <c r="G21" s="100">
        <f>(E21-1.7)/'Subsample weights'!C57</f>
        <v>0.55649717514124297</v>
      </c>
      <c r="H21" s="100">
        <f>('Subsample weights'!C57-((Ginning!D21-1.04)+(Ginning!E21-1.7)))/'Subsample weights'!C57</f>
        <v>9.0395480225988672E-2</v>
      </c>
      <c r="I21" s="119"/>
      <c r="J21" s="77"/>
      <c r="K21" s="107">
        <v>6</v>
      </c>
      <c r="L21" s="101" t="s">
        <v>1106</v>
      </c>
      <c r="M21" s="100">
        <v>3.16</v>
      </c>
      <c r="N21" s="100">
        <v>5.4</v>
      </c>
      <c r="O21" s="100">
        <f>(M21-1.04)/'Subsample weights'!F57</f>
        <v>0.33333333333333337</v>
      </c>
      <c r="P21" s="100">
        <f>(N21-1.7)/'Subsample weights'!F57</f>
        <v>0.58176100628930827</v>
      </c>
      <c r="Q21" s="100">
        <f>('Subsample weights'!F57-((Ginning!M21-1.04)+(Ginning!N21-1.7)))/'Subsample weights'!F57</f>
        <v>8.4905660377358361E-2</v>
      </c>
      <c r="R21" s="119"/>
      <c r="T21" s="107">
        <v>6</v>
      </c>
      <c r="U21" s="101" t="s">
        <v>1106</v>
      </c>
      <c r="V21" s="100">
        <v>3.02</v>
      </c>
      <c r="W21" s="100">
        <v>5.26</v>
      </c>
      <c r="X21" s="100">
        <f>(V21-1.04)/'Subsample weights'!I57</f>
        <v>0.32247557003257332</v>
      </c>
      <c r="Y21" s="100">
        <f>(W21-1.7)/'Subsample weights'!I57</f>
        <v>0.57980456026058624</v>
      </c>
      <c r="Z21" s="100">
        <f>('Subsample weights'!I57-((Ginning!V21-1.04)+(Ginning!W21-1.7)))/'Subsample weights'!I57</f>
        <v>9.7719869706840476E-2</v>
      </c>
      <c r="AA21" s="100"/>
      <c r="AC21" s="107">
        <v>6</v>
      </c>
      <c r="AD21" s="101" t="s">
        <v>1106</v>
      </c>
      <c r="AE21" s="100">
        <v>3.04</v>
      </c>
      <c r="AF21" s="100">
        <v>5.16</v>
      </c>
      <c r="AG21" s="100">
        <f>(AE21-1.04)/'Subsample weights'!L57</f>
        <v>0.33222591362126247</v>
      </c>
      <c r="AH21" s="100">
        <f>(AF21-1.7)/'Subsample weights'!L57</f>
        <v>0.57475083056478404</v>
      </c>
      <c r="AI21" s="100">
        <f>('Subsample weights'!L57-((Ginning!AE21-1.04)+(Ginning!AF21-1.7)))/'Subsample weights'!L57</f>
        <v>9.3023255813953432E-2</v>
      </c>
      <c r="AJ21" s="119"/>
      <c r="AL21" s="107">
        <v>6</v>
      </c>
      <c r="AM21" s="101" t="s">
        <v>1106</v>
      </c>
      <c r="AN21" s="100">
        <v>2.8</v>
      </c>
      <c r="AO21" s="100">
        <v>4.5999999999999996</v>
      </c>
      <c r="AP21" s="100">
        <f>(AN21-1.04)/'Subsample weights'!O57</f>
        <v>0.3358778625954198</v>
      </c>
      <c r="AQ21" s="100">
        <f>(AO21-1.7)/'Subsample weights'!O57</f>
        <v>0.55343511450381666</v>
      </c>
      <c r="AR21" s="100">
        <f>('Subsample weights'!O57-((Ginning!AN21-1.04)+(Ginning!AO21-1.7)))/'Subsample weights'!O57</f>
        <v>0.11068702290076354</v>
      </c>
      <c r="AS21" s="99"/>
      <c r="AU21" s="107">
        <v>6</v>
      </c>
      <c r="AV21" s="101" t="s">
        <v>1106</v>
      </c>
      <c r="AW21" s="100">
        <v>2.86</v>
      </c>
      <c r="AX21" s="100">
        <v>4.84</v>
      </c>
      <c r="AY21" s="100">
        <f>(AW21-1.04)/'Subsample weights'!R57</f>
        <v>0.3261648745519713</v>
      </c>
      <c r="AZ21" s="100">
        <f>(AX21-1.7)/'Subsample weights'!R57</f>
        <v>0.56272401433691754</v>
      </c>
      <c r="BA21" s="100">
        <f>('Subsample weights'!R57-((Ginning!AW21-1.04)+(Ginning!AX21-1.7)))/'Subsample weights'!R57</f>
        <v>0.11111111111111129</v>
      </c>
      <c r="BB21" s="103"/>
      <c r="BD21" s="107">
        <v>6</v>
      </c>
      <c r="BE21" s="101" t="s">
        <v>1106</v>
      </c>
      <c r="BF21" s="100">
        <v>3.08</v>
      </c>
      <c r="BG21" s="100">
        <v>5.32</v>
      </c>
      <c r="BH21" s="100">
        <f>(BF21-1.04)/'Subsample weights'!U57</f>
        <v>0.32692307692307693</v>
      </c>
      <c r="BI21" s="100">
        <f>(BG21-1.7)/'Subsample weights'!U57</f>
        <v>0.58012820512820518</v>
      </c>
      <c r="BJ21" s="100">
        <f>('Subsample weights'!U57-((Ginning!BF21-1.04)+(Ginning!BG21-1.7)))/'Subsample weights'!U57</f>
        <v>9.2948717948717952E-2</v>
      </c>
      <c r="BK21" s="103"/>
      <c r="BM21" s="107">
        <v>6</v>
      </c>
      <c r="BN21" s="101" t="s">
        <v>1106</v>
      </c>
      <c r="BO21" s="100">
        <v>3.1</v>
      </c>
      <c r="BP21" s="100">
        <v>5.0999999999999996</v>
      </c>
      <c r="BQ21" s="100">
        <f>(BO21-1.04)/'Subsample weights'!X57</f>
        <v>0.34105960264900664</v>
      </c>
      <c r="BR21" s="100">
        <f>(BP21-1.7)/'Subsample weights'!X57</f>
        <v>0.56291390728476809</v>
      </c>
      <c r="BS21" s="100">
        <f>('Subsample weights'!X57-((Ginning!BO21-1.04)+(Ginning!BP21-1.7)))/'Subsample weights'!X57</f>
        <v>9.6026490066225323E-2</v>
      </c>
      <c r="BT21" s="103"/>
    </row>
    <row r="22" spans="2:72" ht="22.5" x14ac:dyDescent="0.25">
      <c r="B22" s="107">
        <v>7</v>
      </c>
      <c r="C22" s="101" t="s">
        <v>1105</v>
      </c>
      <c r="D22" s="122">
        <v>3.32</v>
      </c>
      <c r="E22" s="100">
        <v>5.36</v>
      </c>
      <c r="F22" s="100">
        <f>(D22-1.04)/'Subsample weights'!C58</f>
        <v>0.34337349397590361</v>
      </c>
      <c r="G22" s="100">
        <f>(E22-1.7)/'Subsample weights'!C58</f>
        <v>0.55120481927710852</v>
      </c>
      <c r="H22" s="100">
        <f>('Subsample weights'!C58-((Ginning!D22-1.04)+(Ginning!E22-1.7)))/'Subsample weights'!C58</f>
        <v>0.10542168674698799</v>
      </c>
      <c r="I22" s="119"/>
      <c r="J22" s="77"/>
      <c r="K22" s="107">
        <v>7</v>
      </c>
      <c r="L22" s="101" t="s">
        <v>1105</v>
      </c>
      <c r="M22" s="100">
        <v>3.12</v>
      </c>
      <c r="N22" s="100">
        <v>5.32</v>
      </c>
      <c r="O22" s="100">
        <f>(M22-1.04)/'Subsample weights'!F58</f>
        <v>0.3322683706070288</v>
      </c>
      <c r="P22" s="100">
        <f>(N22-1.7)/'Subsample weights'!F58</f>
        <v>0.57827476038338665</v>
      </c>
      <c r="Q22" s="100">
        <f>('Subsample weights'!F58-((Ginning!M22-1.04)+(Ginning!N22-1.7)))/'Subsample weights'!F58</f>
        <v>8.9456869009584605E-2</v>
      </c>
      <c r="R22" s="119"/>
      <c r="T22" s="107">
        <v>7</v>
      </c>
      <c r="U22" s="101" t="s">
        <v>1105</v>
      </c>
      <c r="V22" s="100">
        <v>2.96</v>
      </c>
      <c r="W22" s="100">
        <v>5.12</v>
      </c>
      <c r="X22" s="100">
        <f>(V22-1.04)/'Subsample weights'!I58</f>
        <v>0.32542372881355935</v>
      </c>
      <c r="Y22" s="100">
        <f>(W22-1.7)/'Subsample weights'!I58</f>
        <v>0.57966101694915262</v>
      </c>
      <c r="Z22" s="100">
        <f>('Subsample weights'!I58-((Ginning!V22-1.04)+(Ginning!W22-1.7)))/'Subsample weights'!I58</f>
        <v>9.4915254237288083E-2</v>
      </c>
      <c r="AA22" s="100"/>
      <c r="AC22" s="107">
        <v>7</v>
      </c>
      <c r="AD22" s="101" t="s">
        <v>1105</v>
      </c>
      <c r="AE22" s="100">
        <v>2.96</v>
      </c>
      <c r="AF22" s="100">
        <v>5.0199999999999996</v>
      </c>
      <c r="AG22" s="100">
        <f>(AE22-1.04)/'Subsample weights'!L58</f>
        <v>0.33217993079584779</v>
      </c>
      <c r="AH22" s="100">
        <f>(AF22-1.7)/'Subsample weights'!L58</f>
        <v>0.57439446366781999</v>
      </c>
      <c r="AI22" s="100">
        <f>('Subsample weights'!L58-((Ginning!AE22-1.04)+(Ginning!AF22-1.7)))/'Subsample weights'!L58</f>
        <v>9.3425605536332196E-2</v>
      </c>
      <c r="AJ22" s="119"/>
      <c r="AL22" s="107">
        <v>7</v>
      </c>
      <c r="AM22" s="101" t="s">
        <v>1105</v>
      </c>
      <c r="AN22" s="100">
        <v>2.82</v>
      </c>
      <c r="AO22" s="100">
        <v>4.68</v>
      </c>
      <c r="AP22" s="100">
        <f>(AN22-1.04)/'Subsample weights'!O58</f>
        <v>0.33969465648854957</v>
      </c>
      <c r="AQ22" s="100">
        <f>(AO22-1.7)/'Subsample weights'!O58</f>
        <v>0.56870229007633577</v>
      </c>
      <c r="AR22" s="100">
        <f>('Subsample weights'!O58-((Ginning!AN22-1.04)+(Ginning!AO22-1.7)))/'Subsample weights'!O58</f>
        <v>9.1603053435114587E-2</v>
      </c>
      <c r="AS22" s="99"/>
      <c r="AU22" s="107">
        <v>7</v>
      </c>
      <c r="AV22" s="101" t="s">
        <v>1105</v>
      </c>
      <c r="AW22" s="100">
        <v>3.2</v>
      </c>
      <c r="AX22" s="100">
        <v>5.42</v>
      </c>
      <c r="AY22" s="100">
        <f>(AW22-1.04)/'Subsample weights'!R58</f>
        <v>0.33436532507739941</v>
      </c>
      <c r="AZ22" s="100">
        <f>(AX22-1.7)/'Subsample weights'!R58</f>
        <v>0.57585139318885448</v>
      </c>
      <c r="BA22" s="100">
        <f>('Subsample weights'!R58-((Ginning!AW22-1.04)+(Ginning!AX22-1.7)))/'Subsample weights'!R58</f>
        <v>8.978328173374614E-2</v>
      </c>
      <c r="BB22" s="103"/>
      <c r="BD22" s="107">
        <v>7</v>
      </c>
      <c r="BE22" s="101" t="s">
        <v>1105</v>
      </c>
      <c r="BF22" s="100">
        <v>2.96</v>
      </c>
      <c r="BG22" s="100">
        <v>4.9800000000000004</v>
      </c>
      <c r="BH22" s="100">
        <f>(BF22-1.04)/'Subsample weights'!U58</f>
        <v>0.32876712328767121</v>
      </c>
      <c r="BI22" s="100">
        <f>(BG22-1.7)/'Subsample weights'!U58</f>
        <v>0.56164383561643838</v>
      </c>
      <c r="BJ22" s="100">
        <f>('Subsample weights'!U58-((Ginning!BF22-1.04)+(Ginning!BG22-1.7)))/'Subsample weights'!U58</f>
        <v>0.10958904109589036</v>
      </c>
      <c r="BK22" s="103"/>
      <c r="BM22" s="107">
        <v>7</v>
      </c>
      <c r="BN22" s="101" t="s">
        <v>1105</v>
      </c>
      <c r="BO22" s="100">
        <v>3.14</v>
      </c>
      <c r="BP22" s="100">
        <v>5.2</v>
      </c>
      <c r="BQ22" s="100">
        <f>(BO22-1.04)/'Subsample weights'!X58</f>
        <v>0.33762057877813506</v>
      </c>
      <c r="BR22" s="100">
        <f>(BP22-1.7)/'Subsample weights'!X58</f>
        <v>0.56270096463022512</v>
      </c>
      <c r="BS22" s="100">
        <f>('Subsample weights'!X58-((Ginning!BO22-1.04)+(Ginning!BP22-1.7)))/'Subsample weights'!X58</f>
        <v>9.9678456591639888E-2</v>
      </c>
      <c r="BT22" s="103"/>
    </row>
    <row r="23" spans="2:72" ht="22.5" x14ac:dyDescent="0.25">
      <c r="B23" s="107">
        <v>8</v>
      </c>
      <c r="C23" s="101" t="s">
        <v>1104</v>
      </c>
      <c r="D23" s="122">
        <v>3.26</v>
      </c>
      <c r="E23" s="100">
        <v>5.12</v>
      </c>
      <c r="F23" s="100">
        <f>(D23-1.04)/'Subsample weights'!C59</f>
        <v>0.36274509803921567</v>
      </c>
      <c r="G23" s="100">
        <f>(E23-1.7)/'Subsample weights'!C59</f>
        <v>0.55882352941176472</v>
      </c>
      <c r="H23" s="100">
        <f>('Subsample weights'!C59-((Ginning!D23-1.04)+(Ginning!E23-1.7)))/'Subsample weights'!C59</f>
        <v>7.8431372549019537E-2</v>
      </c>
      <c r="I23" s="119"/>
      <c r="J23" s="77"/>
      <c r="K23" s="107">
        <v>8</v>
      </c>
      <c r="L23" s="101" t="s">
        <v>1104</v>
      </c>
      <c r="M23" s="100">
        <v>3.36</v>
      </c>
      <c r="N23" s="100">
        <v>5.74</v>
      </c>
      <c r="O23" s="100">
        <f>(M23-1.04)/'Subsample weights'!F59</f>
        <v>0.33237822349570195</v>
      </c>
      <c r="P23" s="100">
        <f>(N23-1.7)/'Subsample weights'!F59</f>
        <v>0.57879656160458448</v>
      </c>
      <c r="Q23" s="100">
        <f>('Subsample weights'!F59-((Ginning!M23-1.04)+(Ginning!N23-1.7)))/'Subsample weights'!F59</f>
        <v>8.8825214899713609E-2</v>
      </c>
      <c r="R23" s="119"/>
      <c r="T23" s="107">
        <v>8</v>
      </c>
      <c r="U23" s="101" t="s">
        <v>1104</v>
      </c>
      <c r="V23" s="100">
        <v>2.94</v>
      </c>
      <c r="W23" s="100">
        <v>4.9800000000000004</v>
      </c>
      <c r="X23" s="100">
        <f>(V23-1.04)/'Subsample weights'!I59</f>
        <v>0.3392857142857143</v>
      </c>
      <c r="Y23" s="100">
        <f>(W23-1.7)/'Subsample weights'!I59</f>
        <v>0.58571428571428574</v>
      </c>
      <c r="Z23" s="100">
        <f>('Subsample weights'!I59-((Ginning!V23-1.04)+(Ginning!W23-1.7)))/'Subsample weights'!I59</f>
        <v>7.4999999999999997E-2</v>
      </c>
      <c r="AA23" s="100"/>
      <c r="AC23" s="107">
        <v>8</v>
      </c>
      <c r="AD23" s="101" t="s">
        <v>1104</v>
      </c>
      <c r="AE23" s="100">
        <v>2.76</v>
      </c>
      <c r="AF23" s="100">
        <v>4.74</v>
      </c>
      <c r="AG23" s="100">
        <f>(AE23-1.04)/'Subsample weights'!L59</f>
        <v>0.32089552238805968</v>
      </c>
      <c r="AH23" s="100">
        <f>(AF23-1.7)/'Subsample weights'!L59</f>
        <v>0.56716417910447769</v>
      </c>
      <c r="AI23" s="100">
        <f>('Subsample weights'!L59-((Ginning!AE23-1.04)+(Ginning!AF23-1.7)))/'Subsample weights'!L59</f>
        <v>0.11194029850746263</v>
      </c>
      <c r="AJ23" s="119"/>
      <c r="AL23" s="107">
        <v>8</v>
      </c>
      <c r="AM23" s="101" t="s">
        <v>1104</v>
      </c>
      <c r="AN23" s="100">
        <v>2.76</v>
      </c>
      <c r="AO23" s="100">
        <v>4.54</v>
      </c>
      <c r="AP23" s="100">
        <f>(AN23-1.04)/'Subsample weights'!O59</f>
        <v>0.33725490196078428</v>
      </c>
      <c r="AQ23" s="100">
        <f>(AO23-1.7)/'Subsample weights'!O59</f>
        <v>0.55686274509803924</v>
      </c>
      <c r="AR23" s="100">
        <f>('Subsample weights'!O59-((Ginning!AN23-1.04)+(Ginning!AO23-1.7)))/'Subsample weights'!O59</f>
        <v>0.10588235294117648</v>
      </c>
      <c r="AS23" s="99"/>
      <c r="AU23" s="107">
        <v>8</v>
      </c>
      <c r="AV23" s="101" t="s">
        <v>1104</v>
      </c>
      <c r="AW23" s="100">
        <v>3.08</v>
      </c>
      <c r="AX23" s="100">
        <v>5.2</v>
      </c>
      <c r="AY23" s="100">
        <f>(AW23-1.04)/'Subsample weights'!R59</f>
        <v>0.33333333333333337</v>
      </c>
      <c r="AZ23" s="100">
        <f>(AX23-1.7)/'Subsample weights'!R59</f>
        <v>0.57189542483660138</v>
      </c>
      <c r="BA23" s="100">
        <f>('Subsample weights'!R59-((Ginning!AW23-1.04)+(Ginning!AX23-1.7)))/'Subsample weights'!R59</f>
        <v>9.4771241830065245E-2</v>
      </c>
      <c r="BB23" s="103"/>
      <c r="BD23" s="107">
        <v>8</v>
      </c>
      <c r="BE23" s="101" t="s">
        <v>1104</v>
      </c>
      <c r="BF23" s="100">
        <v>2.86</v>
      </c>
      <c r="BG23" s="100">
        <v>4.8600000000000003</v>
      </c>
      <c r="BH23" s="100">
        <f>(BF23-1.04)/'Subsample weights'!U59</f>
        <v>0.3261648745519713</v>
      </c>
      <c r="BI23" s="100">
        <f>(BG23-1.7)/'Subsample weights'!U59</f>
        <v>0.56630824372759858</v>
      </c>
      <c r="BJ23" s="100">
        <f>('Subsample weights'!U59-((Ginning!BF23-1.04)+(Ginning!BG23-1.7)))/'Subsample weights'!U59</f>
        <v>0.10752688172043004</v>
      </c>
      <c r="BK23" s="103"/>
      <c r="BM23" s="107">
        <v>8</v>
      </c>
      <c r="BN23" s="101" t="s">
        <v>1104</v>
      </c>
      <c r="BO23" s="100">
        <v>3.06</v>
      </c>
      <c r="BP23" s="100">
        <v>5.0599999999999996</v>
      </c>
      <c r="BQ23" s="100">
        <f>(BO23-1.04)/'Subsample weights'!X59</f>
        <v>0.33892617449664436</v>
      </c>
      <c r="BR23" s="100">
        <f>(BP23-1.7)/'Subsample weights'!X59</f>
        <v>0.56375838926174493</v>
      </c>
      <c r="BS23" s="100">
        <f>('Subsample weights'!X59-((Ginning!BO23-1.04)+(Ginning!BP23-1.7)))/'Subsample weights'!X59</f>
        <v>9.7315436241610764E-2</v>
      </c>
      <c r="BT23" s="103"/>
    </row>
    <row r="24" spans="2:72" ht="22.5" x14ac:dyDescent="0.25">
      <c r="B24" s="107">
        <v>9</v>
      </c>
      <c r="C24" s="101" t="s">
        <v>1103</v>
      </c>
      <c r="D24" s="122">
        <v>2.96</v>
      </c>
      <c r="E24" s="100">
        <v>4.8600000000000003</v>
      </c>
      <c r="F24" s="100">
        <f>(D24-1.04)/'Subsample weights'!C60</f>
        <v>0.33922261484098937</v>
      </c>
      <c r="G24" s="100">
        <f>(E24-1.7)/'Subsample weights'!C60</f>
        <v>0.55830388692579502</v>
      </c>
      <c r="H24" s="100">
        <f>('Subsample weights'!C60-((Ginning!D24-1.04)+(Ginning!E24-1.7)))/'Subsample weights'!C60</f>
        <v>0.10247349823321555</v>
      </c>
      <c r="I24" s="119"/>
      <c r="J24" s="77"/>
      <c r="K24" s="107">
        <v>9</v>
      </c>
      <c r="L24" s="101" t="s">
        <v>1103</v>
      </c>
      <c r="M24" s="100">
        <v>3.42</v>
      </c>
      <c r="N24" s="100">
        <v>5.8</v>
      </c>
      <c r="O24" s="100">
        <f>(M24-1.04)/'Subsample weights'!F60</f>
        <v>0.34195402298850575</v>
      </c>
      <c r="P24" s="100">
        <f>(N24-1.7)/'Subsample weights'!F60</f>
        <v>0.58908045977011492</v>
      </c>
      <c r="Q24" s="100">
        <f>('Subsample weights'!F60-((Ginning!M24-1.04)+(Ginning!N24-1.7)))/'Subsample weights'!F60</f>
        <v>6.8965517241379379E-2</v>
      </c>
      <c r="R24" s="119"/>
      <c r="T24" s="107">
        <v>9</v>
      </c>
      <c r="U24" s="101" t="s">
        <v>1103</v>
      </c>
      <c r="V24" s="100">
        <v>3.1</v>
      </c>
      <c r="W24" s="100">
        <v>5.16</v>
      </c>
      <c r="X24" s="100">
        <f>(V24-1.04)/'Subsample weights'!I60</f>
        <v>0.3377049180327869</v>
      </c>
      <c r="Y24" s="100">
        <f>(W24-1.7)/'Subsample weights'!I60</f>
        <v>0.56721311475409841</v>
      </c>
      <c r="Z24" s="100">
        <f>('Subsample weights'!I60-((Ginning!V24-1.04)+(Ginning!W24-1.7)))/'Subsample weights'!I60</f>
        <v>9.5081967213114765E-2</v>
      </c>
      <c r="AA24" s="100"/>
      <c r="AC24" s="107">
        <v>9</v>
      </c>
      <c r="AD24" s="101" t="s">
        <v>1103</v>
      </c>
      <c r="AE24" s="100">
        <v>2.86</v>
      </c>
      <c r="AF24" s="100">
        <v>4.8600000000000003</v>
      </c>
      <c r="AG24" s="100">
        <f>(AE24-1.04)/'Subsample weights'!L60</f>
        <v>0.33828996282527879</v>
      </c>
      <c r="AH24" s="100">
        <f>(AF24-1.7)/'Subsample weights'!L60</f>
        <v>0.58736059479553904</v>
      </c>
      <c r="AI24" s="100">
        <f>('Subsample weights'!L60-((Ginning!AE24-1.04)+(Ginning!AF24-1.7)))/'Subsample weights'!L60</f>
        <v>7.4349442379182062E-2</v>
      </c>
      <c r="AJ24" s="119"/>
      <c r="AL24" s="107">
        <v>9</v>
      </c>
      <c r="AM24" s="101" t="s">
        <v>1103</v>
      </c>
      <c r="AN24" s="100">
        <v>2.78</v>
      </c>
      <c r="AO24" s="100">
        <v>4.66</v>
      </c>
      <c r="AP24" s="100">
        <f>(AN24-1.04)/'Subsample weights'!O60</f>
        <v>0.33079847908745247</v>
      </c>
      <c r="AQ24" s="100">
        <f>(AO24-1.7)/'Subsample weights'!O60</f>
        <v>0.56273764258555137</v>
      </c>
      <c r="AR24" s="100">
        <f>('Subsample weights'!O60-((Ginning!AN24-1.04)+(Ginning!AO24-1.7)))/'Subsample weights'!O60</f>
        <v>0.1064638783269963</v>
      </c>
      <c r="AS24" s="99"/>
      <c r="AU24" s="107">
        <v>9</v>
      </c>
      <c r="AV24" s="101" t="s">
        <v>1103</v>
      </c>
      <c r="AW24" s="100">
        <v>3.52</v>
      </c>
      <c r="AX24" s="100">
        <v>5.9</v>
      </c>
      <c r="AY24" s="100">
        <f>(AW24-1.04)/'Subsample weights'!R60</f>
        <v>0.33604336043360433</v>
      </c>
      <c r="AZ24" s="100">
        <f>(AX24-1.7)/'Subsample weights'!R60</f>
        <v>0.56910569105691056</v>
      </c>
      <c r="BA24" s="100">
        <f>('Subsample weights'!R60-((Ginning!AW24-1.04)+(Ginning!AX24-1.7)))/'Subsample weights'!R60</f>
        <v>9.4850948509485125E-2</v>
      </c>
      <c r="BB24" s="103"/>
      <c r="BD24" s="107">
        <v>9</v>
      </c>
      <c r="BE24" s="101" t="s">
        <v>1103</v>
      </c>
      <c r="BF24" s="100">
        <v>3.28</v>
      </c>
      <c r="BG24" s="100">
        <v>5.6</v>
      </c>
      <c r="BH24" s="100">
        <f>(BF24-1.04)/'Subsample weights'!U60</f>
        <v>0.32748538011695905</v>
      </c>
      <c r="BI24" s="100">
        <f>(BG24-1.7)/'Subsample weights'!U60</f>
        <v>0.57017543859649111</v>
      </c>
      <c r="BJ24" s="100">
        <f>('Subsample weights'!U60-((Ginning!BF24-1.04)+(Ginning!BG24-1.7)))/'Subsample weights'!U60</f>
        <v>0.10233918128654987</v>
      </c>
      <c r="BK24" s="103"/>
      <c r="BM24" s="107">
        <v>9</v>
      </c>
      <c r="BN24" s="101" t="s">
        <v>1103</v>
      </c>
      <c r="BO24" s="100">
        <v>3.44</v>
      </c>
      <c r="BP24" s="100">
        <v>5.8</v>
      </c>
      <c r="BQ24" s="100">
        <f>(BO24-1.04)/'Subsample weights'!X60</f>
        <v>0.33149171270718231</v>
      </c>
      <c r="BR24" s="100">
        <f>(BP24-1.7)/'Subsample weights'!X60</f>
        <v>0.56629834254143641</v>
      </c>
      <c r="BS24" s="100">
        <f>('Subsample weights'!X60-((Ginning!BO24-1.04)+(Ginning!BP24-1.7)))/'Subsample weights'!X60</f>
        <v>0.10220994475138125</v>
      </c>
      <c r="BT24" s="103"/>
    </row>
    <row r="25" spans="2:72" ht="22.5" x14ac:dyDescent="0.25">
      <c r="B25" s="102">
        <v>10</v>
      </c>
      <c r="C25" s="101" t="s">
        <v>1102</v>
      </c>
      <c r="D25" s="122">
        <v>3.24</v>
      </c>
      <c r="E25" s="100">
        <v>5.22</v>
      </c>
      <c r="F25" s="100">
        <f>(D25-1.04)/'Subsample weights'!C61</f>
        <v>0.34920634920634924</v>
      </c>
      <c r="G25" s="100">
        <f>(E25-1.7)/'Subsample weights'!C61</f>
        <v>0.55873015873015863</v>
      </c>
      <c r="H25" s="100">
        <f>('Subsample weights'!C61-((Ginning!D25-1.04)+(Ginning!E25-1.7)))/'Subsample weights'!C61</f>
        <v>9.2063492063492083E-2</v>
      </c>
      <c r="I25" s="119"/>
      <c r="J25" s="77"/>
      <c r="K25" s="102">
        <v>10</v>
      </c>
      <c r="L25" s="101" t="s">
        <v>1102</v>
      </c>
      <c r="M25" s="100">
        <v>3.56</v>
      </c>
      <c r="N25" s="100">
        <v>6.06</v>
      </c>
      <c r="O25" s="100">
        <f>(M25-1.04)/'Subsample weights'!F61</f>
        <v>0.33333333333333337</v>
      </c>
      <c r="P25" s="100">
        <f>(N25-1.7)/'Subsample weights'!F61</f>
        <v>0.57671957671957663</v>
      </c>
      <c r="Q25" s="100">
        <f>('Subsample weights'!F61-((Ginning!M25-1.04)+(Ginning!N25-1.7)))/'Subsample weights'!F61</f>
        <v>8.9947089947090025E-2</v>
      </c>
      <c r="R25" s="119"/>
      <c r="T25" s="102">
        <v>10</v>
      </c>
      <c r="U25" s="101" t="s">
        <v>1102</v>
      </c>
      <c r="V25" s="100">
        <v>3.16</v>
      </c>
      <c r="W25" s="100">
        <v>5.4</v>
      </c>
      <c r="X25" s="100">
        <f>(V25-1.04)/'Subsample weights'!I61</f>
        <v>0.3271604938271605</v>
      </c>
      <c r="Y25" s="100">
        <f>(W25-1.7)/'Subsample weights'!I61</f>
        <v>0.57098765432098764</v>
      </c>
      <c r="Z25" s="100">
        <f>('Subsample weights'!I61-((Ginning!V25-1.04)+(Ginning!W25-1.7)))/'Subsample weights'!I61</f>
        <v>0.10185185185185187</v>
      </c>
      <c r="AA25" s="100"/>
      <c r="AC25" s="102">
        <v>10</v>
      </c>
      <c r="AD25" s="101" t="s">
        <v>1102</v>
      </c>
      <c r="AE25" s="100">
        <v>2.9</v>
      </c>
      <c r="AF25" s="100">
        <v>5.14</v>
      </c>
      <c r="AG25" s="100">
        <f>(AE25-1.04)/'Subsample weights'!L61</f>
        <v>0.31208053691275173</v>
      </c>
      <c r="AH25" s="100">
        <f>(AF25-1.7)/'Subsample weights'!L61</f>
        <v>0.57718120805369133</v>
      </c>
      <c r="AI25" s="100">
        <f>('Subsample weights'!L61-((Ginning!AE25-1.04)+(Ginning!AF25-1.7)))/'Subsample weights'!L61</f>
        <v>0.11073825503355708</v>
      </c>
      <c r="AJ25" s="119"/>
      <c r="AL25" s="102">
        <v>10</v>
      </c>
      <c r="AM25" s="101" t="s">
        <v>1102</v>
      </c>
      <c r="AN25" s="100">
        <v>2.86</v>
      </c>
      <c r="AO25" s="100">
        <v>4.74</v>
      </c>
      <c r="AP25" s="100">
        <f>(AN25-1.04)/'Subsample weights'!O61</f>
        <v>0.33455882352941174</v>
      </c>
      <c r="AQ25" s="100">
        <f>(AO25-1.7)/'Subsample weights'!O61</f>
        <v>0.55882352941176472</v>
      </c>
      <c r="AR25" s="100">
        <f>('Subsample weights'!O61-((Ginning!AN25-1.04)+(Ginning!AO25-1.7)))/'Subsample weights'!O61</f>
        <v>0.10661764705882355</v>
      </c>
      <c r="AS25" s="99"/>
      <c r="AU25" s="102">
        <v>10</v>
      </c>
      <c r="AV25" s="101" t="s">
        <v>1102</v>
      </c>
      <c r="AW25" s="100">
        <v>3.48</v>
      </c>
      <c r="AX25" s="100">
        <v>5.86</v>
      </c>
      <c r="AY25" s="100">
        <f>(AW25-1.04)/'Subsample weights'!R61</f>
        <v>0.32360742705570289</v>
      </c>
      <c r="AZ25" s="100">
        <f>(AX25-1.7)/'Subsample weights'!R61</f>
        <v>0.55172413793103448</v>
      </c>
      <c r="BA25" s="100">
        <f>('Subsample weights'!R61-((Ginning!AW25-1.04)+(Ginning!AX25-1.7)))/'Subsample weights'!R61</f>
        <v>0.12466843501326265</v>
      </c>
      <c r="BB25" s="103"/>
      <c r="BD25" s="102">
        <v>10</v>
      </c>
      <c r="BE25" s="101" t="s">
        <v>1102</v>
      </c>
      <c r="BF25" s="100">
        <v>3.5</v>
      </c>
      <c r="BG25" s="100">
        <v>5.92</v>
      </c>
      <c r="BH25" s="100">
        <f>(BF25-1.04)/'Subsample weights'!U61</f>
        <v>0.33514986376021799</v>
      </c>
      <c r="BI25" s="100">
        <f>(BG25-1.7)/'Subsample weights'!U61</f>
        <v>0.57493188010899177</v>
      </c>
      <c r="BJ25" s="100">
        <f>('Subsample weights'!U61-((Ginning!BF25-1.04)+(Ginning!BG25-1.7)))/'Subsample weights'!U61</f>
        <v>8.9918256130790214E-2</v>
      </c>
      <c r="BK25" s="103"/>
      <c r="BM25" s="102">
        <v>10</v>
      </c>
      <c r="BN25" s="101" t="s">
        <v>1102</v>
      </c>
      <c r="BO25" s="100">
        <v>3.48</v>
      </c>
      <c r="BP25" s="100">
        <v>5.82</v>
      </c>
      <c r="BQ25" s="100">
        <f>(BO25-1.04)/'Subsample weights'!X61</f>
        <v>0.33333333333333337</v>
      </c>
      <c r="BR25" s="100">
        <f>(BP25-1.7)/'Subsample weights'!X61</f>
        <v>0.56284153005464488</v>
      </c>
      <c r="BS25" s="100">
        <f>('Subsample weights'!X61-((Ginning!BO25-1.04)+(Ginning!BP25-1.7)))/'Subsample weights'!X61</f>
        <v>0.10382513661202171</v>
      </c>
      <c r="BT25" s="103"/>
    </row>
    <row r="26" spans="2:72" ht="22.5" x14ac:dyDescent="0.25">
      <c r="B26" s="102">
        <v>11</v>
      </c>
      <c r="C26" s="101" t="s">
        <v>1101</v>
      </c>
      <c r="D26" s="122">
        <v>3.34</v>
      </c>
      <c r="E26" s="100">
        <v>5.42</v>
      </c>
      <c r="F26" s="100">
        <f>(D26-1.04)/'Subsample weights'!C62</f>
        <v>0.34534534534534533</v>
      </c>
      <c r="G26" s="100">
        <f>(E26-1.7)/'Subsample weights'!C62</f>
        <v>0.55855855855855852</v>
      </c>
      <c r="H26" s="100">
        <f>('Subsample weights'!C62-((Ginning!D26-1.04)+(Ginning!E26-1.7)))/'Subsample weights'!C62</f>
        <v>9.6096096096096179E-2</v>
      </c>
      <c r="I26" s="119"/>
      <c r="J26" s="77"/>
      <c r="K26" s="102">
        <v>11</v>
      </c>
      <c r="L26" s="101" t="s">
        <v>1101</v>
      </c>
      <c r="M26" s="100">
        <v>3.3</v>
      </c>
      <c r="N26" s="100">
        <v>5.6</v>
      </c>
      <c r="O26" s="100">
        <f>(M26-1.04)/'Subsample weights'!F62</f>
        <v>0.33431952662721892</v>
      </c>
      <c r="P26" s="100">
        <f>(N26-1.7)/'Subsample weights'!F62</f>
        <v>0.57692307692307687</v>
      </c>
      <c r="Q26" s="100">
        <f>('Subsample weights'!F62-((Ginning!M26-1.04)+(Ginning!N26-1.7)))/'Subsample weights'!F62</f>
        <v>8.8757396449704221E-2</v>
      </c>
      <c r="R26" s="119"/>
      <c r="T26" s="102">
        <v>11</v>
      </c>
      <c r="U26" s="101" t="s">
        <v>1101</v>
      </c>
      <c r="V26" s="100">
        <v>3.12</v>
      </c>
      <c r="W26" s="100">
        <v>5.26</v>
      </c>
      <c r="X26" s="100">
        <f>(V26-1.04)/'Subsample weights'!I62</f>
        <v>0.34323432343234322</v>
      </c>
      <c r="Y26" s="100">
        <f>(W26-1.7)/'Subsample weights'!I62</f>
        <v>0.58745874587458735</v>
      </c>
      <c r="Z26" s="100">
        <f>('Subsample weights'!I62-((Ginning!V26-1.04)+(Ginning!W26-1.7)))/'Subsample weights'!I62</f>
        <v>6.9306930693069438E-2</v>
      </c>
      <c r="AA26" s="100"/>
      <c r="AC26" s="102">
        <v>11</v>
      </c>
      <c r="AD26" s="101" t="s">
        <v>1101</v>
      </c>
      <c r="AE26" s="100">
        <v>2.96</v>
      </c>
      <c r="AF26" s="100">
        <v>5.24</v>
      </c>
      <c r="AG26" s="100">
        <f>(AE26-1.04)/'Subsample weights'!L62</f>
        <v>0.32</v>
      </c>
      <c r="AH26" s="100">
        <f>(AF26-1.7)/'Subsample weights'!L62</f>
        <v>0.59</v>
      </c>
      <c r="AI26" s="100">
        <f>('Subsample weights'!L62-((Ginning!AE26-1.04)+(Ginning!AF26-1.7)))/'Subsample weights'!L62</f>
        <v>9.0000000000000011E-2</v>
      </c>
      <c r="AJ26" s="119"/>
      <c r="AL26" s="102">
        <v>11</v>
      </c>
      <c r="AM26" s="101" t="s">
        <v>1101</v>
      </c>
      <c r="AN26" s="100">
        <v>2.76</v>
      </c>
      <c r="AO26" s="100">
        <v>4.5599999999999996</v>
      </c>
      <c r="AP26" s="100">
        <f>(AN26-1.04)/'Subsample weights'!O62</f>
        <v>0.33992094861660077</v>
      </c>
      <c r="AQ26" s="100">
        <f>(AO26-1.7)/'Subsample weights'!O62</f>
        <v>0.56521739130434778</v>
      </c>
      <c r="AR26" s="100">
        <f>('Subsample weights'!O62-((Ginning!AN26-1.04)+(Ginning!AO26-1.7)))/'Subsample weights'!O62</f>
        <v>9.4861660079051474E-2</v>
      </c>
      <c r="AS26" s="99"/>
      <c r="AU26" s="102">
        <v>11</v>
      </c>
      <c r="AV26" s="101" t="s">
        <v>1101</v>
      </c>
      <c r="AW26" s="100">
        <v>3.04</v>
      </c>
      <c r="AX26" s="100">
        <v>5.14</v>
      </c>
      <c r="AY26" s="100">
        <f>(AW26-1.04)/'Subsample weights'!R62</f>
        <v>0.33222591362126247</v>
      </c>
      <c r="AZ26" s="100">
        <f>(AX26-1.7)/'Subsample weights'!R62</f>
        <v>0.5714285714285714</v>
      </c>
      <c r="BA26" s="100">
        <f>('Subsample weights'!R62-((Ginning!AW26-1.04)+(Ginning!AX26-1.7)))/'Subsample weights'!R62</f>
        <v>9.6345514950166133E-2</v>
      </c>
      <c r="BB26" s="103"/>
      <c r="BD26" s="102">
        <v>11</v>
      </c>
      <c r="BE26" s="101" t="s">
        <v>1101</v>
      </c>
      <c r="BF26" s="100">
        <v>3.06</v>
      </c>
      <c r="BG26" s="100">
        <v>5.18</v>
      </c>
      <c r="BH26" s="100">
        <f>(BF26-1.04)/'Subsample weights'!U62</f>
        <v>0.33006535947712423</v>
      </c>
      <c r="BI26" s="100">
        <f>(BG26-1.7)/'Subsample weights'!U62</f>
        <v>0.56862745098039214</v>
      </c>
      <c r="BJ26" s="100">
        <f>('Subsample weights'!U62-((Ginning!BF26-1.04)+(Ginning!BG26-1.7)))/'Subsample weights'!U62</f>
        <v>0.10130718954248355</v>
      </c>
      <c r="BK26" s="103"/>
      <c r="BM26" s="102">
        <v>11</v>
      </c>
      <c r="BN26" s="101" t="s">
        <v>1101</v>
      </c>
      <c r="BO26" s="100">
        <v>3.02</v>
      </c>
      <c r="BP26" s="100">
        <v>5.0199999999999996</v>
      </c>
      <c r="BQ26" s="100">
        <f>(BO26-1.04)/'Subsample weights'!X62</f>
        <v>0.33788395904436863</v>
      </c>
      <c r="BR26" s="100">
        <f>(BP26-1.7)/'Subsample weights'!X62</f>
        <v>0.56655290102389078</v>
      </c>
      <c r="BS26" s="100">
        <f>('Subsample weights'!X62-((Ginning!BO26-1.04)+(Ginning!BP26-1.7)))/'Subsample weights'!X62</f>
        <v>9.5563139931740704E-2</v>
      </c>
      <c r="BT26" s="103"/>
    </row>
    <row r="27" spans="2:72" ht="22.5" x14ac:dyDescent="0.25">
      <c r="B27" s="102">
        <v>12</v>
      </c>
      <c r="C27" s="101" t="s">
        <v>1099</v>
      </c>
      <c r="D27" s="122">
        <v>3.4</v>
      </c>
      <c r="E27" s="100">
        <v>5.48</v>
      </c>
      <c r="F27" s="100">
        <f>(D27-1.04)/'Subsample weights'!C63</f>
        <v>0.34604105571847504</v>
      </c>
      <c r="G27" s="100">
        <f>(E27-1.7)/'Subsample weights'!C63</f>
        <v>0.5542521994134898</v>
      </c>
      <c r="H27" s="100">
        <f>('Subsample weights'!C63-((Ginning!D27-1.04)+(Ginning!E27-1.7)))/'Subsample weights'!C63</f>
        <v>9.9706744868035144E-2</v>
      </c>
      <c r="I27" s="119"/>
      <c r="J27" s="77"/>
      <c r="K27" s="102">
        <v>12</v>
      </c>
      <c r="L27" s="101" t="s">
        <v>1099</v>
      </c>
      <c r="M27" s="100">
        <v>3.38</v>
      </c>
      <c r="N27" s="100">
        <v>5.9</v>
      </c>
      <c r="O27" s="100">
        <f>(M27-1.04)/'Subsample weights'!F63</f>
        <v>0.32142857142857145</v>
      </c>
      <c r="P27" s="100">
        <f>(N27-1.7)/'Subsample weights'!F63</f>
        <v>0.57692307692307698</v>
      </c>
      <c r="Q27" s="100">
        <f>('Subsample weights'!F63-((Ginning!M27-1.04)+(Ginning!N27-1.7)))/'Subsample weights'!F63</f>
        <v>0.10164835164835156</v>
      </c>
      <c r="R27" s="119"/>
      <c r="T27" s="102">
        <v>12</v>
      </c>
      <c r="U27" s="101" t="s">
        <v>1099</v>
      </c>
      <c r="V27" s="100">
        <v>3.08</v>
      </c>
      <c r="W27" s="100">
        <v>5.24</v>
      </c>
      <c r="X27" s="100">
        <f>(V27-1.04)/'Subsample weights'!I63</f>
        <v>0.33333333333333331</v>
      </c>
      <c r="Y27" s="100">
        <f>(W27-1.7)/'Subsample weights'!I63</f>
        <v>0.57843137254901955</v>
      </c>
      <c r="Z27" s="100">
        <f>('Subsample weights'!I63-((Ginning!V27-1.04)+(Ginning!W27-1.7)))/'Subsample weights'!I63</f>
        <v>8.8235294117647065E-2</v>
      </c>
      <c r="AA27" s="100"/>
      <c r="AC27" s="102">
        <v>12</v>
      </c>
      <c r="AD27" s="101" t="s">
        <v>1099</v>
      </c>
      <c r="AE27" s="100">
        <v>2.92</v>
      </c>
      <c r="AF27" s="100">
        <v>5.0199999999999996</v>
      </c>
      <c r="AG27" s="100">
        <f>(AE27-1.04)/'Subsample weights'!L63</f>
        <v>0.32752613240418116</v>
      </c>
      <c r="AH27" s="100">
        <f>(AF27-1.7)/'Subsample weights'!L63</f>
        <v>0.57839721254355392</v>
      </c>
      <c r="AI27" s="100">
        <f>('Subsample weights'!L63-((Ginning!AE27-1.04)+(Ginning!AF27-1.7)))/'Subsample weights'!L63</f>
        <v>9.4076655052264965E-2</v>
      </c>
      <c r="AJ27" s="119"/>
      <c r="AL27" s="102">
        <v>12</v>
      </c>
      <c r="AM27" s="101" t="s">
        <v>1099</v>
      </c>
      <c r="AN27" s="100">
        <v>2.92</v>
      </c>
      <c r="AO27" s="100">
        <v>4.88</v>
      </c>
      <c r="AP27" s="100">
        <f>(AN27-1.04)/'Subsample weights'!O63</f>
        <v>0.3298245614035088</v>
      </c>
      <c r="AQ27" s="100">
        <f>(AO27-1.7)/'Subsample weights'!O63</f>
        <v>0.55789473684210533</v>
      </c>
      <c r="AR27" s="100">
        <f>('Subsample weights'!O63-((Ginning!AN27-1.04)+(Ginning!AO27-1.7)))/'Subsample weights'!O63</f>
        <v>0.11228070175438593</v>
      </c>
      <c r="AS27" s="99"/>
      <c r="AU27" s="102">
        <v>12</v>
      </c>
      <c r="AV27" s="101" t="s">
        <v>1099</v>
      </c>
      <c r="AW27" s="100">
        <v>3.26</v>
      </c>
      <c r="AX27" s="100">
        <v>5.42</v>
      </c>
      <c r="AY27" s="100">
        <f>(AW27-1.04)/'Subsample weights'!R63</f>
        <v>0.33433734939759036</v>
      </c>
      <c r="AZ27" s="100">
        <f>(AX27-1.7)/'Subsample weights'!R63</f>
        <v>0.56024096385542166</v>
      </c>
      <c r="BA27" s="100">
        <f>('Subsample weights'!R63-((Ginning!AW27-1.04)+(Ginning!AX27-1.7)))/'Subsample weights'!R63</f>
        <v>0.10542168674698799</v>
      </c>
      <c r="BB27" s="103"/>
      <c r="BD27" s="102">
        <v>12</v>
      </c>
      <c r="BE27" s="101" t="s">
        <v>1099</v>
      </c>
      <c r="BF27" s="100">
        <v>2.92</v>
      </c>
      <c r="BG27" s="100">
        <v>5.04</v>
      </c>
      <c r="BH27" s="100">
        <f>(BF27-1.04)/'Subsample weights'!U63</f>
        <v>0.32867132867132864</v>
      </c>
      <c r="BI27" s="100">
        <f>(BG27-1.7)/'Subsample weights'!U63</f>
        <v>0.58391608391608396</v>
      </c>
      <c r="BJ27" s="100">
        <f>('Subsample weights'!U63-((Ginning!BF27-1.04)+(Ginning!BG27-1.7)))/'Subsample weights'!U63</f>
        <v>8.7412587412587422E-2</v>
      </c>
      <c r="BK27" s="103"/>
      <c r="BM27" s="102">
        <v>12</v>
      </c>
      <c r="BN27" s="101" t="s">
        <v>1099</v>
      </c>
      <c r="BO27" s="100">
        <v>3.24</v>
      </c>
      <c r="BP27" s="100">
        <v>5.34</v>
      </c>
      <c r="BQ27" s="100">
        <f>(BO27-1.04)/'Subsample weights'!X63</f>
        <v>0.34161490683229817</v>
      </c>
      <c r="BR27" s="100">
        <f>(BP27-1.7)/'Subsample weights'!X63</f>
        <v>0.56521739130434778</v>
      </c>
      <c r="BS27" s="100">
        <f>('Subsample weights'!X63-((Ginning!BO27-1.04)+(Ginning!BP27-1.7)))/'Subsample weights'!X63</f>
        <v>9.3167701863353991E-2</v>
      </c>
      <c r="BT27" s="103"/>
    </row>
    <row r="28" spans="2:72" ht="22.5" x14ac:dyDescent="0.25">
      <c r="B28" s="102">
        <v>13</v>
      </c>
      <c r="C28" s="101" t="s">
        <v>1098</v>
      </c>
      <c r="D28" s="122">
        <v>3.22</v>
      </c>
      <c r="E28" s="100">
        <v>5.22</v>
      </c>
      <c r="F28" s="100">
        <f>(D28-1.04)/'Subsample weights'!C64</f>
        <v>0.3416927899686521</v>
      </c>
      <c r="G28" s="100">
        <f>(E28-1.7)/'Subsample weights'!C64</f>
        <v>0.55172413793103448</v>
      </c>
      <c r="H28" s="100">
        <f>('Subsample weights'!C64-((Ginning!D28-1.04)+(Ginning!E28-1.7)))/'Subsample weights'!C64</f>
        <v>0.10658307210031345</v>
      </c>
      <c r="I28" s="119"/>
      <c r="J28" s="77"/>
      <c r="K28" s="102">
        <v>13</v>
      </c>
      <c r="L28" s="101" t="s">
        <v>1098</v>
      </c>
      <c r="M28" s="100">
        <v>3.5</v>
      </c>
      <c r="N28" s="100">
        <v>5.98</v>
      </c>
      <c r="O28" s="100">
        <f>(M28-1.04)/'Subsample weights'!F64</f>
        <v>0.33243243243243242</v>
      </c>
      <c r="P28" s="100">
        <f>(N28-1.7)/'Subsample weights'!F64</f>
        <v>0.57837837837837835</v>
      </c>
      <c r="Q28" s="100">
        <f>('Subsample weights'!F64-((Ginning!M28-1.04)+(Ginning!N28-1.7)))/'Subsample weights'!F64</f>
        <v>8.9189189189189208E-2</v>
      </c>
      <c r="R28" s="119"/>
      <c r="T28" s="102">
        <v>13</v>
      </c>
      <c r="U28" s="101" t="s">
        <v>1098</v>
      </c>
      <c r="V28" s="100">
        <v>3.08</v>
      </c>
      <c r="W28" s="100">
        <v>5.22</v>
      </c>
      <c r="X28" s="100">
        <f>(V28-1.04)/'Subsample weights'!I64</f>
        <v>0.3366336633663366</v>
      </c>
      <c r="Y28" s="100">
        <f>(W28-1.7)/'Subsample weights'!I64</f>
        <v>0.58085808580858078</v>
      </c>
      <c r="Z28" s="100">
        <f>('Subsample weights'!I64-((Ginning!V28-1.04)+(Ginning!W28-1.7)))/'Subsample weights'!I64</f>
        <v>8.2508250825082646E-2</v>
      </c>
      <c r="AA28" s="100"/>
      <c r="AC28" s="102">
        <v>13</v>
      </c>
      <c r="AD28" s="101" t="s">
        <v>1098</v>
      </c>
      <c r="AE28" s="100">
        <v>2.76</v>
      </c>
      <c r="AF28" s="100">
        <v>4.84</v>
      </c>
      <c r="AG28" s="100">
        <f>(AE28-1.04)/'Subsample weights'!L64</f>
        <v>0.31851851851851848</v>
      </c>
      <c r="AH28" s="100">
        <f>(AF28-1.7)/'Subsample weights'!L64</f>
        <v>0.58148148148148138</v>
      </c>
      <c r="AI28" s="100">
        <f>('Subsample weights'!L64-((Ginning!AE28-1.04)+(Ginning!AF28-1.7)))/'Subsample weights'!L64</f>
        <v>0.10000000000000016</v>
      </c>
      <c r="AJ28" s="119"/>
      <c r="AL28" s="102">
        <v>13</v>
      </c>
      <c r="AM28" s="101" t="s">
        <v>1098</v>
      </c>
      <c r="AN28" s="100">
        <v>2.72</v>
      </c>
      <c r="AO28" s="100">
        <v>4.5599999999999996</v>
      </c>
      <c r="AP28" s="100">
        <f>(AN28-1.04)/'Subsample weights'!O64</f>
        <v>0.33201581027667992</v>
      </c>
      <c r="AQ28" s="100">
        <f>(AO28-1.7)/'Subsample weights'!O64</f>
        <v>0.56521739130434778</v>
      </c>
      <c r="AR28" s="100">
        <f>('Subsample weights'!O64-((Ginning!AN28-1.04)+(Ginning!AO28-1.7)))/'Subsample weights'!O64</f>
        <v>0.10276679841897243</v>
      </c>
      <c r="AS28" s="99"/>
      <c r="AU28" s="102">
        <v>13</v>
      </c>
      <c r="AV28" s="101" t="s">
        <v>1098</v>
      </c>
      <c r="AW28" s="100">
        <v>2.94</v>
      </c>
      <c r="AX28" s="100">
        <v>5.0599999999999996</v>
      </c>
      <c r="AY28" s="100">
        <f>(AW28-1.04)/'Subsample weights'!R64</f>
        <v>0.3298611111111111</v>
      </c>
      <c r="AZ28" s="100">
        <f>(AX28-1.7)/'Subsample weights'!R64</f>
        <v>0.58333333333333326</v>
      </c>
      <c r="BA28" s="100">
        <f>('Subsample weights'!R64-((Ginning!AW28-1.04)+(Ginning!AX28-1.7)))/'Subsample weights'!R64</f>
        <v>8.6805555555555552E-2</v>
      </c>
      <c r="BB28" s="103"/>
      <c r="BD28" s="102">
        <v>13</v>
      </c>
      <c r="BE28" s="101" t="s">
        <v>1098</v>
      </c>
      <c r="BF28" s="100">
        <v>3.14</v>
      </c>
      <c r="BG28" s="100">
        <v>5.34</v>
      </c>
      <c r="BH28" s="100">
        <f>(BF28-1.04)/'Subsample weights'!U64</f>
        <v>0.31437125748502998</v>
      </c>
      <c r="BI28" s="100">
        <f>(BG28-1.7)/'Subsample weights'!U64</f>
        <v>0.54491017964071853</v>
      </c>
      <c r="BJ28" s="100">
        <f>('Subsample weights'!U64-((Ginning!BF28-1.04)+(Ginning!BG28-1.7)))/'Subsample weights'!U64</f>
        <v>0.14071856287425144</v>
      </c>
      <c r="BK28" s="103"/>
      <c r="BM28" s="102">
        <v>13</v>
      </c>
      <c r="BN28" s="101" t="s">
        <v>1098</v>
      </c>
      <c r="BO28" s="100">
        <v>2.64</v>
      </c>
      <c r="BP28" s="100">
        <v>4.38</v>
      </c>
      <c r="BQ28" s="100">
        <f>(BO28-1.04)/'Subsample weights'!X64</f>
        <v>0.34482758620689657</v>
      </c>
      <c r="BR28" s="100">
        <f>(BP28-1.7)/'Subsample weights'!X64</f>
        <v>0.57758620689655171</v>
      </c>
      <c r="BS28" s="100">
        <f>('Subsample weights'!X64-((Ginning!BO28-1.04)+(Ginning!BP28-1.7)))/'Subsample weights'!X64</f>
        <v>7.7586206896551796E-2</v>
      </c>
      <c r="BT28" s="103"/>
    </row>
    <row r="29" spans="2:72" ht="22.5" x14ac:dyDescent="0.25">
      <c r="B29" s="102">
        <v>14</v>
      </c>
      <c r="C29" s="101" t="s">
        <v>1097</v>
      </c>
      <c r="D29" s="122">
        <v>2.82</v>
      </c>
      <c r="E29" s="100">
        <v>4.62</v>
      </c>
      <c r="F29" s="100">
        <f>(D29-1.04)/'Subsample weights'!C65</f>
        <v>0.34362934362934361</v>
      </c>
      <c r="G29" s="100">
        <f>(E29-1.7)/'Subsample weights'!C65</f>
        <v>0.56370656370656369</v>
      </c>
      <c r="H29" s="100">
        <f>('Subsample weights'!C65-((Ginning!D29-1.04)+(Ginning!E29-1.7)))/'Subsample weights'!C65</f>
        <v>9.2664092664092756E-2</v>
      </c>
      <c r="I29" s="119"/>
      <c r="J29" s="77"/>
      <c r="K29" s="102">
        <v>14</v>
      </c>
      <c r="L29" s="101" t="s">
        <v>1097</v>
      </c>
      <c r="M29" s="100">
        <v>3.22</v>
      </c>
      <c r="N29" s="100">
        <v>5.48</v>
      </c>
      <c r="O29" s="100">
        <f>(M29-1.04)/'Subsample weights'!F65</f>
        <v>0.32634730538922158</v>
      </c>
      <c r="P29" s="100">
        <f>(N29-1.7)/'Subsample weights'!F65</f>
        <v>0.56586826347305397</v>
      </c>
      <c r="Q29" s="100">
        <f>('Subsample weights'!F65-((Ginning!M29-1.04)+(Ginning!N29-1.7)))/'Subsample weights'!F65</f>
        <v>0.10778443113772439</v>
      </c>
      <c r="R29" s="119"/>
      <c r="T29" s="102">
        <v>14</v>
      </c>
      <c r="U29" s="101" t="s">
        <v>1097</v>
      </c>
      <c r="V29" s="100">
        <v>3.02</v>
      </c>
      <c r="W29" s="100">
        <v>5.34</v>
      </c>
      <c r="X29" s="100">
        <f>(V29-1.04)/'Subsample weights'!I65</f>
        <v>0.32038834951456313</v>
      </c>
      <c r="Y29" s="100">
        <f>(W29-1.7)/'Subsample weights'!I65</f>
        <v>0.5889967637540453</v>
      </c>
      <c r="Z29" s="100">
        <f>('Subsample weights'!I65-((Ginning!V29-1.04)+(Ginning!W29-1.7)))/'Subsample weights'!I65</f>
        <v>9.0614886731391675E-2</v>
      </c>
      <c r="AA29" s="100"/>
      <c r="AC29" s="102">
        <v>14</v>
      </c>
      <c r="AD29" s="101" t="s">
        <v>1097</v>
      </c>
      <c r="AE29" s="100">
        <v>3.14</v>
      </c>
      <c r="AF29" s="100">
        <v>5.3</v>
      </c>
      <c r="AG29" s="100">
        <f>(AE29-1.04)/'Subsample weights'!L65</f>
        <v>0.33333333333333343</v>
      </c>
      <c r="AH29" s="100">
        <f>(AF29-1.7)/'Subsample weights'!L65</f>
        <v>0.57142857142857151</v>
      </c>
      <c r="AI29" s="100">
        <f>('Subsample weights'!L65-((Ginning!AE29-1.04)+(Ginning!AF29-1.7)))/'Subsample weights'!L65</f>
        <v>9.5238095238095191E-2</v>
      </c>
      <c r="AJ29" s="119"/>
      <c r="AL29" s="102">
        <v>14</v>
      </c>
      <c r="AM29" s="101" t="s">
        <v>1097</v>
      </c>
      <c r="AN29" s="100">
        <v>2.74</v>
      </c>
      <c r="AO29" s="100">
        <v>4.5999999999999996</v>
      </c>
      <c r="AP29" s="100">
        <f>(AN29-1.04)/'Subsample weights'!O65</f>
        <v>0.32818532818532825</v>
      </c>
      <c r="AQ29" s="100">
        <f>(AO29-1.7)/'Subsample weights'!O65</f>
        <v>0.55984555984555973</v>
      </c>
      <c r="AR29" s="100">
        <f>('Subsample weights'!O65-((Ginning!AN29-1.04)+(Ginning!AO29-1.7)))/'Subsample weights'!O65</f>
        <v>0.111969111969112</v>
      </c>
      <c r="AS29" s="99"/>
      <c r="AU29" s="102">
        <v>14</v>
      </c>
      <c r="AV29" s="101" t="s">
        <v>1097</v>
      </c>
      <c r="AW29" s="100">
        <v>2.94</v>
      </c>
      <c r="AX29" s="100">
        <v>4.9400000000000004</v>
      </c>
      <c r="AY29" s="100">
        <f>(AW29-1.04)/'Subsample weights'!R65</f>
        <v>0.32423208191126279</v>
      </c>
      <c r="AZ29" s="100">
        <f>(AX29-1.7)/'Subsample weights'!R65</f>
        <v>0.5529010238907851</v>
      </c>
      <c r="BA29" s="100">
        <f>('Subsample weights'!R65-((Ginning!AW29-1.04)+(Ginning!AX29-1.7)))/'Subsample weights'!R65</f>
        <v>0.12286689419795203</v>
      </c>
      <c r="BB29" s="103"/>
      <c r="BD29" s="102">
        <v>14</v>
      </c>
      <c r="BE29" s="101" t="s">
        <v>1097</v>
      </c>
      <c r="BF29" s="100">
        <v>3.02</v>
      </c>
      <c r="BG29" s="100">
        <v>5.2</v>
      </c>
      <c r="BH29" s="100">
        <f>(BF29-1.04)/'Subsample weights'!U65</f>
        <v>0.32247557003257332</v>
      </c>
      <c r="BI29" s="100">
        <f>(BG29-1.7)/'Subsample weights'!U65</f>
        <v>0.57003257328990231</v>
      </c>
      <c r="BJ29" s="100">
        <f>('Subsample weights'!U65-((Ginning!BF29-1.04)+(Ginning!BG29-1.7)))/'Subsample weights'!U65</f>
        <v>0.10749185667752431</v>
      </c>
      <c r="BK29" s="103"/>
      <c r="BM29" s="102">
        <v>14</v>
      </c>
      <c r="BN29" s="101" t="s">
        <v>1097</v>
      </c>
      <c r="BO29" s="100">
        <v>3.18</v>
      </c>
      <c r="BP29" s="100">
        <v>5.24</v>
      </c>
      <c r="BQ29" s="100">
        <f>(BO29-1.04)/'Subsample weights'!X65</f>
        <v>0.33437500000000003</v>
      </c>
      <c r="BR29" s="100">
        <f>(BP29-1.7)/'Subsample weights'!X65</f>
        <v>0.55312500000000009</v>
      </c>
      <c r="BS29" s="100">
        <f>('Subsample weights'!X65-((Ginning!BO29-1.04)+(Ginning!BP29-1.7)))/'Subsample weights'!X65</f>
        <v>0.11249999999999998</v>
      </c>
      <c r="BT29" s="103"/>
    </row>
    <row r="30" spans="2:72" ht="22.5" x14ac:dyDescent="0.25">
      <c r="B30" s="102">
        <v>15</v>
      </c>
      <c r="C30" s="101" t="s">
        <v>1096</v>
      </c>
      <c r="D30" s="122">
        <v>3.18</v>
      </c>
      <c r="E30" s="100">
        <v>5.18</v>
      </c>
      <c r="F30" s="100">
        <f>(D30-1.04)/'Subsample weights'!C66</f>
        <v>0.3396825396825397</v>
      </c>
      <c r="G30" s="100">
        <f>(E30-1.7)/'Subsample weights'!C66</f>
        <v>0.55238095238095231</v>
      </c>
      <c r="H30" s="100">
        <f>('Subsample weights'!C66-((Ginning!D30-1.04)+(Ginning!E30-1.7)))/'Subsample weights'!C66</f>
        <v>0.10793650793650804</v>
      </c>
      <c r="I30" s="119"/>
      <c r="J30" s="77"/>
      <c r="K30" s="102">
        <v>15</v>
      </c>
      <c r="L30" s="101" t="s">
        <v>1096</v>
      </c>
      <c r="M30" s="100">
        <v>3.54</v>
      </c>
      <c r="N30" s="100">
        <v>6.06</v>
      </c>
      <c r="O30" s="100">
        <f>(M30-1.04)/'Subsample weights'!F66</f>
        <v>0.3298153034300792</v>
      </c>
      <c r="P30" s="100">
        <f>(N30-1.7)/'Subsample weights'!F66</f>
        <v>0.57519788918205805</v>
      </c>
      <c r="Q30" s="100">
        <f>('Subsample weights'!F66-((Ginning!M30-1.04)+(Ginning!N30-1.7)))/'Subsample weights'!F66</f>
        <v>9.4986807387862776E-2</v>
      </c>
      <c r="R30" s="119"/>
      <c r="T30" s="102">
        <v>15</v>
      </c>
      <c r="U30" s="101" t="s">
        <v>1096</v>
      </c>
      <c r="V30" s="100">
        <v>3.08</v>
      </c>
      <c r="W30" s="100">
        <v>5.34</v>
      </c>
      <c r="X30" s="100">
        <f>(V30-1.04)/'Subsample weights'!I66</f>
        <v>0.32380952380952382</v>
      </c>
      <c r="Y30" s="100">
        <f>(W30-1.7)/'Subsample weights'!I66</f>
        <v>0.57777777777777772</v>
      </c>
      <c r="Z30" s="100">
        <f>('Subsample weights'!I66-((Ginning!V30-1.04)+(Ginning!W30-1.7)))/'Subsample weights'!I66</f>
        <v>9.8412698412698438E-2</v>
      </c>
      <c r="AA30" s="100"/>
      <c r="AC30" s="102">
        <v>15</v>
      </c>
      <c r="AD30" s="101" t="s">
        <v>1096</v>
      </c>
      <c r="AE30" s="100">
        <v>3.02</v>
      </c>
      <c r="AF30" s="100">
        <v>5.12</v>
      </c>
      <c r="AG30" s="100">
        <f>(AE30-1.04)/'Subsample weights'!L66</f>
        <v>0.33445945945945948</v>
      </c>
      <c r="AH30" s="100">
        <f>(AF30-1.7)/'Subsample weights'!L66</f>
        <v>0.57770270270270274</v>
      </c>
      <c r="AI30" s="100">
        <f>('Subsample weights'!L66-((Ginning!AE30-1.04)+(Ginning!AF30-1.7)))/'Subsample weights'!L66</f>
        <v>8.7837837837837773E-2</v>
      </c>
      <c r="AJ30" s="119"/>
      <c r="AL30" s="102">
        <v>15</v>
      </c>
      <c r="AM30" s="101" t="s">
        <v>1096</v>
      </c>
      <c r="AN30" s="100">
        <v>2.98</v>
      </c>
      <c r="AO30" s="100">
        <v>4.92</v>
      </c>
      <c r="AP30" s="100">
        <f>(AN30-1.04)/'Subsample weights'!O66</f>
        <v>0.33564013840830453</v>
      </c>
      <c r="AQ30" s="100">
        <f>(AO30-1.7)/'Subsample weights'!O66</f>
        <v>0.55709342560553632</v>
      </c>
      <c r="AR30" s="100">
        <f>('Subsample weights'!O66-((Ginning!AN30-1.04)+(Ginning!AO30-1.7)))/'Subsample weights'!O66</f>
        <v>0.10726643598615905</v>
      </c>
      <c r="AS30" s="99"/>
      <c r="AU30" s="102">
        <v>15</v>
      </c>
      <c r="AV30" s="101" t="s">
        <v>1096</v>
      </c>
      <c r="AW30" s="100">
        <v>3.32</v>
      </c>
      <c r="AX30" s="100">
        <v>5.52</v>
      </c>
      <c r="AY30" s="100">
        <f>(AW30-1.04)/'Subsample weights'!R66</f>
        <v>0.34234234234234229</v>
      </c>
      <c r="AZ30" s="100">
        <f>(AX30-1.7)/'Subsample weights'!R66</f>
        <v>0.57357357357357353</v>
      </c>
      <c r="BA30" s="100">
        <f>('Subsample weights'!R66-((Ginning!AW30-1.04)+(Ginning!AX30-1.7)))/'Subsample weights'!R66</f>
        <v>8.408408408408416E-2</v>
      </c>
      <c r="BB30" s="103"/>
      <c r="BD30" s="102">
        <v>15</v>
      </c>
      <c r="BE30" s="101" t="s">
        <v>1096</v>
      </c>
      <c r="BF30" s="100">
        <v>3.08</v>
      </c>
      <c r="BG30" s="100">
        <v>5.3</v>
      </c>
      <c r="BH30" s="100">
        <f>(BF30-1.04)/'Subsample weights'!U66</f>
        <v>0.32075471698113212</v>
      </c>
      <c r="BI30" s="100">
        <f>(BG30-1.7)/'Subsample weights'!U66</f>
        <v>0.56603773584905659</v>
      </c>
      <c r="BJ30" s="100">
        <f>('Subsample weights'!U66-((Ginning!BF30-1.04)+(Ginning!BG30-1.7)))/'Subsample weights'!U66</f>
        <v>0.1132075471698113</v>
      </c>
      <c r="BK30" s="103"/>
      <c r="BM30" s="102">
        <v>15</v>
      </c>
      <c r="BN30" s="101" t="s">
        <v>1096</v>
      </c>
      <c r="BO30" s="100">
        <v>3.42</v>
      </c>
      <c r="BP30" s="100">
        <v>5.62</v>
      </c>
      <c r="BQ30" s="100">
        <f>(BO30-1.04)/'Subsample weights'!X66</f>
        <v>0.34293948126801155</v>
      </c>
      <c r="BR30" s="100">
        <f>(BP30-1.7)/'Subsample weights'!X66</f>
        <v>0.56484149855907784</v>
      </c>
      <c r="BS30" s="100">
        <f>('Subsample weights'!X66-((Ginning!BO30-1.04)+(Ginning!BP30-1.7)))/'Subsample weights'!X66</f>
        <v>9.2219020172910629E-2</v>
      </c>
      <c r="BT30" s="103"/>
    </row>
    <row r="31" spans="2:72" ht="22.5" x14ac:dyDescent="0.25">
      <c r="B31" s="102">
        <v>16</v>
      </c>
      <c r="C31" s="101" t="s">
        <v>1095</v>
      </c>
      <c r="D31" s="122">
        <v>3.36</v>
      </c>
      <c r="E31" s="100">
        <v>5.46</v>
      </c>
      <c r="F31" s="100">
        <f>(D31-1.04)/'Subsample weights'!C67</f>
        <v>0.34319526627218933</v>
      </c>
      <c r="G31" s="100">
        <f>(E31-1.7)/'Subsample weights'!C67</f>
        <v>0.55621301775147924</v>
      </c>
      <c r="H31" s="100">
        <f>('Subsample weights'!C67-((Ginning!D31-1.04)+(Ginning!E31-1.7)))/'Subsample weights'!C67</f>
        <v>0.10059171597633132</v>
      </c>
      <c r="I31" s="119"/>
      <c r="J31" s="77"/>
      <c r="K31" s="102">
        <v>16</v>
      </c>
      <c r="L31" s="101" t="s">
        <v>1095</v>
      </c>
      <c r="M31" s="100">
        <v>3.04</v>
      </c>
      <c r="N31" s="100">
        <v>5.22</v>
      </c>
      <c r="O31" s="100">
        <f>(M31-1.04)/'Subsample weights'!F67</f>
        <v>0.32894736842105265</v>
      </c>
      <c r="P31" s="100">
        <f>(N31-1.7)/'Subsample weights'!F67</f>
        <v>0.57894736842105254</v>
      </c>
      <c r="Q31" s="100">
        <f>('Subsample weights'!F67-((Ginning!M31-1.04)+(Ginning!N31-1.7)))/'Subsample weights'!F67</f>
        <v>9.2105263157894815E-2</v>
      </c>
      <c r="R31" s="119"/>
      <c r="T31" s="102">
        <v>16</v>
      </c>
      <c r="U31" s="101" t="s">
        <v>1095</v>
      </c>
      <c r="V31" s="100">
        <v>3.16</v>
      </c>
      <c r="W31" s="100">
        <v>5.56</v>
      </c>
      <c r="X31" s="100">
        <f>(V31-1.04)/'Subsample weights'!I67</f>
        <v>0.32218844984802431</v>
      </c>
      <c r="Y31" s="100">
        <f>(W31-1.7)/'Subsample weights'!I67</f>
        <v>0.58662613981762912</v>
      </c>
      <c r="Z31" s="100">
        <f>('Subsample weights'!I67-((Ginning!V31-1.04)+(Ginning!W31-1.7)))/'Subsample weights'!I67</f>
        <v>9.1185410334346587E-2</v>
      </c>
      <c r="AA31" s="100"/>
      <c r="AC31" s="102">
        <v>16</v>
      </c>
      <c r="AD31" s="101" t="s">
        <v>1095</v>
      </c>
      <c r="AE31" s="100">
        <v>2.96</v>
      </c>
      <c r="AF31" s="100">
        <v>4.9400000000000004</v>
      </c>
      <c r="AG31" s="100">
        <f>(AE31-1.04)/'Subsample weights'!L67</f>
        <v>0.33566433566433568</v>
      </c>
      <c r="AH31" s="100">
        <f>(AF31-1.7)/'Subsample weights'!L67</f>
        <v>0.56643356643356646</v>
      </c>
      <c r="AI31" s="100">
        <f>('Subsample weights'!L67-((Ginning!AE31-1.04)+(Ginning!AF31-1.7)))/'Subsample weights'!L67</f>
        <v>9.7902097902097834E-2</v>
      </c>
      <c r="AJ31" s="119"/>
      <c r="AL31" s="102">
        <v>16</v>
      </c>
      <c r="AM31" s="101" t="s">
        <v>1095</v>
      </c>
      <c r="AN31" s="100">
        <v>2.72</v>
      </c>
      <c r="AO31" s="100">
        <v>4.58</v>
      </c>
      <c r="AP31" s="100">
        <f>(AN31-1.04)/'Subsample weights'!O67</f>
        <v>0.33070866141732286</v>
      </c>
      <c r="AQ31" s="100">
        <f>(AO31-1.7)/'Subsample weights'!O67</f>
        <v>0.56692913385826771</v>
      </c>
      <c r="AR31" s="100">
        <f>('Subsample weights'!O67-((Ginning!AN31-1.04)+(Ginning!AO31-1.7)))/'Subsample weights'!O67</f>
        <v>0.10236220472440936</v>
      </c>
      <c r="AS31" s="99"/>
      <c r="AU31" s="102">
        <v>16</v>
      </c>
      <c r="AV31" s="101" t="s">
        <v>1095</v>
      </c>
      <c r="AW31" s="100">
        <v>2.86</v>
      </c>
      <c r="AX31" s="100">
        <v>4.82</v>
      </c>
      <c r="AY31" s="100">
        <f>(AW31-1.04)/'Subsample weights'!R67</f>
        <v>0.33333333333333337</v>
      </c>
      <c r="AZ31" s="100">
        <f>(AX31-1.7)/'Subsample weights'!R67</f>
        <v>0.57142857142857151</v>
      </c>
      <c r="BA31" s="100">
        <f>('Subsample weights'!R67-((Ginning!AW31-1.04)+(Ginning!AX31-1.7)))/'Subsample weights'!R67</f>
        <v>9.5238095238095177E-2</v>
      </c>
      <c r="BB31" s="103"/>
      <c r="BD31" s="102">
        <v>16</v>
      </c>
      <c r="BE31" s="101" t="s">
        <v>1095</v>
      </c>
      <c r="BF31" s="100">
        <v>3.3</v>
      </c>
      <c r="BG31" s="100">
        <v>5.62</v>
      </c>
      <c r="BH31" s="100">
        <f>(BF31-1.04)/'Subsample weights'!U67</f>
        <v>0.33137829912023453</v>
      </c>
      <c r="BI31" s="100">
        <f>(BG31-1.7)/'Subsample weights'!U67</f>
        <v>0.57478005865102633</v>
      </c>
      <c r="BJ31" s="100">
        <f>('Subsample weights'!U67-((Ginning!BF31-1.04)+(Ginning!BG31-1.7)))/'Subsample weights'!U67</f>
        <v>9.3841642228739086E-2</v>
      </c>
      <c r="BK31" s="103"/>
      <c r="BM31" s="102">
        <v>16</v>
      </c>
      <c r="BN31" s="101" t="s">
        <v>1095</v>
      </c>
      <c r="BO31" s="100">
        <v>2.8</v>
      </c>
      <c r="BP31" s="100">
        <v>4.5599999999999996</v>
      </c>
      <c r="BQ31" s="100">
        <f>(BO31-1.04)/'Subsample weights'!X67</f>
        <v>0.34509803921568627</v>
      </c>
      <c r="BR31" s="100">
        <f>(BP31-1.7)/'Subsample weights'!X67</f>
        <v>0.56078431372549009</v>
      </c>
      <c r="BS31" s="100">
        <f>('Subsample weights'!X67-((Ginning!BO31-1.04)+(Ginning!BP31-1.7)))/'Subsample weights'!X67</f>
        <v>9.4117647058823625E-2</v>
      </c>
      <c r="BT31" s="103"/>
    </row>
    <row r="32" spans="2:72" ht="22.5" x14ac:dyDescent="0.25">
      <c r="B32" s="102">
        <v>17</v>
      </c>
      <c r="C32" s="101" t="s">
        <v>1094</v>
      </c>
      <c r="D32" s="122">
        <v>3.14</v>
      </c>
      <c r="E32" s="100">
        <v>5.0999999999999996</v>
      </c>
      <c r="F32" s="100">
        <f>(D32-1.04)/'Subsample weights'!C68</f>
        <v>0.35117056856187295</v>
      </c>
      <c r="G32" s="100">
        <f>(E32-1.7)/'Subsample weights'!C68</f>
        <v>0.56856187290969895</v>
      </c>
      <c r="H32" s="100">
        <f>('Subsample weights'!C68-((Ginning!D32-1.04)+(Ginning!E32-1.7)))/'Subsample weights'!C68</f>
        <v>8.0267558528428026E-2</v>
      </c>
      <c r="I32" s="120"/>
      <c r="J32" s="77"/>
      <c r="K32" s="102">
        <v>17</v>
      </c>
      <c r="L32" s="101" t="s">
        <v>1094</v>
      </c>
      <c r="M32" s="100">
        <v>3.34</v>
      </c>
      <c r="N32" s="100">
        <v>5.66</v>
      </c>
      <c r="O32" s="100">
        <f>(M32-1.04)/'Subsample weights'!F68</f>
        <v>0.33045977011494254</v>
      </c>
      <c r="P32" s="100">
        <f>(N32-1.7)/'Subsample weights'!F68</f>
        <v>0.56896551724137934</v>
      </c>
      <c r="Q32" s="100">
        <f>('Subsample weights'!F68-((Ginning!M32-1.04)+(Ginning!N32-1.7)))/'Subsample weights'!F68</f>
        <v>0.10057471264367807</v>
      </c>
      <c r="R32" s="119"/>
      <c r="T32" s="102">
        <v>17</v>
      </c>
      <c r="U32" s="101" t="s">
        <v>1094</v>
      </c>
      <c r="V32" s="100">
        <v>3.32</v>
      </c>
      <c r="W32" s="100">
        <v>5.58</v>
      </c>
      <c r="X32" s="100">
        <f>(V32-1.04)/'Subsample weights'!I68</f>
        <v>0.33333333333333331</v>
      </c>
      <c r="Y32" s="100">
        <f>(W32-1.7)/'Subsample weights'!I68</f>
        <v>0.56725146198830412</v>
      </c>
      <c r="Z32" s="100">
        <f>('Subsample weights'!I68-((Ginning!V32-1.04)+(Ginning!W32-1.7)))/'Subsample weights'!I68</f>
        <v>9.941520467836254E-2</v>
      </c>
      <c r="AA32" s="100"/>
      <c r="AC32" s="102">
        <v>17</v>
      </c>
      <c r="AD32" s="101" t="s">
        <v>1094</v>
      </c>
      <c r="AE32" s="100">
        <v>2.92</v>
      </c>
      <c r="AF32" s="100">
        <v>5</v>
      </c>
      <c r="AG32" s="100">
        <f>(AE32-1.04)/'Subsample weights'!L68</f>
        <v>0.3252595155709343</v>
      </c>
      <c r="AH32" s="100">
        <f>(AF32-1.7)/'Subsample weights'!L68</f>
        <v>0.57093425605536341</v>
      </c>
      <c r="AI32" s="100">
        <f>('Subsample weights'!L68-((Ginning!AE32-1.04)+(Ginning!AF32-1.7)))/'Subsample weights'!L68</f>
        <v>0.10380622837370237</v>
      </c>
      <c r="AJ32" s="120"/>
      <c r="AL32" s="102">
        <v>17</v>
      </c>
      <c r="AM32" s="101" t="s">
        <v>1094</v>
      </c>
      <c r="AN32" s="100">
        <v>2.72</v>
      </c>
      <c r="AO32" s="100">
        <v>4.5</v>
      </c>
      <c r="AP32" s="100">
        <f>(AN32-1.04)/'Subsample weights'!O68</f>
        <v>0.34146341463414637</v>
      </c>
      <c r="AQ32" s="100">
        <f>(AO32-1.7)/'Subsample weights'!O68</f>
        <v>0.56910569105691056</v>
      </c>
      <c r="AR32" s="100">
        <f>('Subsample weights'!O68-((Ginning!AN32-1.04)+(Ginning!AO32-1.7)))/'Subsample weights'!O68</f>
        <v>8.9430894308942993E-2</v>
      </c>
      <c r="AS32" s="99"/>
      <c r="AU32" s="102">
        <v>17</v>
      </c>
      <c r="AV32" s="101" t="s">
        <v>1094</v>
      </c>
      <c r="AW32" s="100">
        <v>2.94</v>
      </c>
      <c r="AX32" s="100">
        <v>5.0599999999999996</v>
      </c>
      <c r="AY32" s="100">
        <f>(AW32-1.04)/'Subsample weights'!R68</f>
        <v>0.32203389830508478</v>
      </c>
      <c r="AZ32" s="100">
        <f>(AX32-1.7)/'Subsample weights'!R68</f>
        <v>0.56949152542372872</v>
      </c>
      <c r="BA32" s="100">
        <f>('Subsample weights'!R68-((Ginning!AW32-1.04)+(Ginning!AX32-1.7)))/'Subsample weights'!R68</f>
        <v>0.1084745762711864</v>
      </c>
      <c r="BB32" s="103"/>
      <c r="BD32" s="102">
        <v>17</v>
      </c>
      <c r="BE32" s="101" t="s">
        <v>1094</v>
      </c>
      <c r="BF32" s="100">
        <v>3.26</v>
      </c>
      <c r="BG32" s="100">
        <v>5.46</v>
      </c>
      <c r="BH32" s="100">
        <f>(BF32-1.04)/'Subsample weights'!U68</f>
        <v>0.33534743202416917</v>
      </c>
      <c r="BI32" s="100">
        <f>(BG32-1.7)/'Subsample weights'!U68</f>
        <v>0.56797583081571001</v>
      </c>
      <c r="BJ32" s="100">
        <f>('Subsample weights'!U68-((Ginning!BF32-1.04)+(Ginning!BG32-1.7)))/'Subsample weights'!U68</f>
        <v>9.6676737160120804E-2</v>
      </c>
      <c r="BK32" s="103"/>
      <c r="BM32" s="102">
        <v>17</v>
      </c>
      <c r="BN32" s="101" t="s">
        <v>1094</v>
      </c>
      <c r="BO32" s="100">
        <v>2.86</v>
      </c>
      <c r="BP32" s="100">
        <v>4.7</v>
      </c>
      <c r="BQ32" s="100">
        <f>(BO32-1.04)/'Subsample weights'!X68</f>
        <v>0.34339622641509437</v>
      </c>
      <c r="BR32" s="100">
        <f>(BP32-1.7)/'Subsample weights'!X68</f>
        <v>0.5660377358490567</v>
      </c>
      <c r="BS32" s="100">
        <f>('Subsample weights'!X68-((Ginning!BO32-1.04)+(Ginning!BP32-1.7)))/'Subsample weights'!X68</f>
        <v>9.0566037735848814E-2</v>
      </c>
      <c r="BT32" s="103"/>
    </row>
    <row r="33" spans="2:81" ht="22.5" x14ac:dyDescent="0.25">
      <c r="B33" s="102">
        <v>18</v>
      </c>
      <c r="C33" s="101" t="s">
        <v>1093</v>
      </c>
      <c r="D33" s="122">
        <v>3.1</v>
      </c>
      <c r="E33" s="100">
        <v>4.96</v>
      </c>
      <c r="F33" s="100">
        <f>(D33-1.04)/'Subsample weights'!C69</f>
        <v>0.34680134680134683</v>
      </c>
      <c r="G33" s="100">
        <f>(E33-1.7)/'Subsample weights'!C69</f>
        <v>0.54882154882154888</v>
      </c>
      <c r="H33" s="100">
        <f>('Subsample weights'!C69-((Ginning!D33-1.04)+(Ginning!E33-1.7)))/'Subsample weights'!C69</f>
        <v>0.10437710437710425</v>
      </c>
      <c r="I33" s="119"/>
      <c r="J33" s="77"/>
      <c r="K33" s="102">
        <v>18</v>
      </c>
      <c r="L33" s="101" t="s">
        <v>1093</v>
      </c>
      <c r="M33" s="100">
        <v>3.22</v>
      </c>
      <c r="N33" s="100">
        <v>5.5</v>
      </c>
      <c r="O33" s="100">
        <f>(M33-1.04)/'Subsample weights'!F69</f>
        <v>0.33333333333333343</v>
      </c>
      <c r="P33" s="100">
        <f>(N33-1.7)/'Subsample weights'!F69</f>
        <v>0.58103975535168195</v>
      </c>
      <c r="Q33" s="100">
        <f>('Subsample weights'!F69-((Ginning!M33-1.04)+(Ginning!N33-1.7)))/'Subsample weights'!F69</f>
        <v>8.5626911314984525E-2</v>
      </c>
      <c r="R33" s="119"/>
      <c r="T33" s="102">
        <v>18</v>
      </c>
      <c r="U33" s="101" t="s">
        <v>1093</v>
      </c>
      <c r="V33" s="100">
        <v>2.88</v>
      </c>
      <c r="W33" s="100">
        <v>4.9000000000000004</v>
      </c>
      <c r="X33" s="100">
        <f>(V33-1.04)/'Subsample weights'!I69</f>
        <v>0.33454545454545453</v>
      </c>
      <c r="Y33" s="100">
        <f>(W33-1.7)/'Subsample weights'!I69</f>
        <v>0.5818181818181819</v>
      </c>
      <c r="Z33" s="100">
        <f>('Subsample weights'!I69-((Ginning!V33-1.04)+(Ginning!W33-1.7)))/'Subsample weights'!I69</f>
        <v>8.3636363636363634E-2</v>
      </c>
      <c r="AA33" s="100"/>
      <c r="AC33" s="102">
        <v>18</v>
      </c>
      <c r="AD33" s="101" t="s">
        <v>1093</v>
      </c>
      <c r="AE33" s="100">
        <v>2.9</v>
      </c>
      <c r="AF33" s="100">
        <v>4.84</v>
      </c>
      <c r="AG33" s="100">
        <f>(AE33-1.04)/'Subsample weights'!L69</f>
        <v>0.33214285714285713</v>
      </c>
      <c r="AH33" s="100">
        <f>(AF33-1.7)/'Subsample weights'!L69</f>
        <v>0.56071428571428572</v>
      </c>
      <c r="AI33" s="100">
        <f>('Subsample weights'!L69-((Ginning!AE33-1.04)+(Ginning!AF33-1.7)))/'Subsample weights'!L69</f>
        <v>0.10714285714285708</v>
      </c>
      <c r="AJ33" s="119"/>
      <c r="AL33" s="102">
        <v>18</v>
      </c>
      <c r="AM33" s="101" t="s">
        <v>1093</v>
      </c>
      <c r="AN33" s="100">
        <v>2.84</v>
      </c>
      <c r="AO33" s="100">
        <v>4.8</v>
      </c>
      <c r="AP33" s="100">
        <f>(AN33-1.04)/'Subsample weights'!O69</f>
        <v>0.33333333333333326</v>
      </c>
      <c r="AQ33" s="100">
        <f>(AO33-1.7)/'Subsample weights'!O69</f>
        <v>0.57407407407407396</v>
      </c>
      <c r="AR33" s="100">
        <f>('Subsample weights'!O69-((Ginning!AN33-1.04)+(Ginning!AO33-1.7)))/'Subsample weights'!O69</f>
        <v>9.2592592592592754E-2</v>
      </c>
      <c r="AS33" s="99"/>
      <c r="AU33" s="102">
        <v>18</v>
      </c>
      <c r="AV33" s="101" t="s">
        <v>1093</v>
      </c>
      <c r="AW33" s="100">
        <v>3.08</v>
      </c>
      <c r="AX33" s="100">
        <v>5.18</v>
      </c>
      <c r="AY33" s="100">
        <f>(AW33-1.04)/'Subsample weights'!R69</f>
        <v>0.33333333333333337</v>
      </c>
      <c r="AZ33" s="100">
        <f>(AX33-1.7)/'Subsample weights'!R69</f>
        <v>0.56862745098039214</v>
      </c>
      <c r="BA33" s="100">
        <f>('Subsample weights'!R69-((Ginning!AW33-1.04)+(Ginning!AX33-1.7)))/'Subsample weights'!R69</f>
        <v>9.8039215686274467E-2</v>
      </c>
      <c r="BB33" s="103"/>
      <c r="BD33" s="102">
        <v>18</v>
      </c>
      <c r="BE33" s="101" t="s">
        <v>1093</v>
      </c>
      <c r="BF33" s="100">
        <v>2.92</v>
      </c>
      <c r="BG33" s="100">
        <v>4.96</v>
      </c>
      <c r="BH33" s="100">
        <f>(BF33-1.04)/'Subsample weights'!U69</f>
        <v>0.33098591549295775</v>
      </c>
      <c r="BI33" s="100">
        <f>(BG33-1.7)/'Subsample weights'!U69</f>
        <v>0.573943661971831</v>
      </c>
      <c r="BJ33" s="100">
        <f>('Subsample weights'!U69-((Ginning!BF33-1.04)+(Ginning!BG33-1.7)))/'Subsample weights'!U69</f>
        <v>9.507042253521128E-2</v>
      </c>
      <c r="BK33" s="103"/>
      <c r="BM33" s="102">
        <v>18</v>
      </c>
      <c r="BN33" s="101" t="s">
        <v>1093</v>
      </c>
      <c r="BO33" s="100">
        <v>2.94</v>
      </c>
      <c r="BP33" s="100">
        <v>4.84</v>
      </c>
      <c r="BQ33" s="100">
        <f>(BO33-1.04)/'Subsample weights'!X69</f>
        <v>0.33216783216783219</v>
      </c>
      <c r="BR33" s="100">
        <f>(BP33-1.7)/'Subsample weights'!X69</f>
        <v>0.54895104895104896</v>
      </c>
      <c r="BS33" s="100">
        <f>('Subsample weights'!X69-((Ginning!BO33-1.04)+(Ginning!BP33-1.7)))/'Subsample weights'!X69</f>
        <v>0.11888111888111899</v>
      </c>
      <c r="BT33" s="103"/>
    </row>
    <row r="34" spans="2:81" ht="22.5" x14ac:dyDescent="0.25">
      <c r="B34" s="102">
        <v>19</v>
      </c>
      <c r="C34" s="101" t="s">
        <v>1092</v>
      </c>
      <c r="D34" s="122">
        <v>3.28</v>
      </c>
      <c r="E34" s="100">
        <v>5.26</v>
      </c>
      <c r="F34" s="100">
        <f>(D34-1.04)/'Subsample weights'!C70</f>
        <v>0.3446153846153846</v>
      </c>
      <c r="G34" s="100">
        <f>(E34-1.7)/'Subsample weights'!C70</f>
        <v>0.54769230769230759</v>
      </c>
      <c r="H34" s="100">
        <f>('Subsample weights'!C70-((Ginning!D34-1.04)+(Ginning!E34-1.7)))/'Subsample weights'!C70</f>
        <v>0.10769230769230785</v>
      </c>
      <c r="I34" s="119"/>
      <c r="J34" s="77"/>
      <c r="K34" s="102">
        <v>19</v>
      </c>
      <c r="L34" s="101" t="s">
        <v>1092</v>
      </c>
      <c r="M34" s="100">
        <v>3.08</v>
      </c>
      <c r="N34" s="100">
        <v>5.26</v>
      </c>
      <c r="O34" s="100">
        <f>(M34-1.04)/'Subsample weights'!F70</f>
        <v>0.32903225806451619</v>
      </c>
      <c r="P34" s="100">
        <f>(N34-1.7)/'Subsample weights'!F70</f>
        <v>0.5741935483870968</v>
      </c>
      <c r="Q34" s="100">
        <f>('Subsample weights'!F70-((Ginning!M34-1.04)+(Ginning!N34-1.7)))/'Subsample weights'!F70</f>
        <v>9.6774193548387052E-2</v>
      </c>
      <c r="R34" s="119"/>
      <c r="T34" s="102">
        <v>19</v>
      </c>
      <c r="U34" s="101" t="s">
        <v>1092</v>
      </c>
      <c r="V34" s="100">
        <v>3.12</v>
      </c>
      <c r="W34" s="100">
        <v>5.22</v>
      </c>
      <c r="X34" s="100">
        <f>(V34-1.04)/'Subsample weights'!I70</f>
        <v>0.33440514469453381</v>
      </c>
      <c r="Y34" s="100">
        <f>(W34-1.7)/'Subsample weights'!I70</f>
        <v>0.56591639871382637</v>
      </c>
      <c r="Z34" s="100">
        <f>('Subsample weights'!I70-((Ginning!V34-1.04)+(Ginning!W34-1.7)))/'Subsample weights'!I70</f>
        <v>9.9678456591639888E-2</v>
      </c>
      <c r="AA34" s="100"/>
      <c r="AC34" s="102">
        <v>19</v>
      </c>
      <c r="AD34" s="101" t="s">
        <v>1092</v>
      </c>
      <c r="AE34" s="100">
        <v>2.86</v>
      </c>
      <c r="AF34" s="100">
        <v>4.9000000000000004</v>
      </c>
      <c r="AG34" s="100">
        <f>(AE34-1.04)/'Subsample weights'!L70</f>
        <v>0.3261648745519713</v>
      </c>
      <c r="AH34" s="100">
        <f>(AF34-1.7)/'Subsample weights'!L70</f>
        <v>0.57347670250896055</v>
      </c>
      <c r="AI34" s="100">
        <f>('Subsample weights'!L70-((Ginning!AE34-1.04)+(Ginning!AF34-1.7)))/'Subsample weights'!L70</f>
        <v>0.10035842293906819</v>
      </c>
      <c r="AJ34" s="119"/>
      <c r="AL34" s="102">
        <v>19</v>
      </c>
      <c r="AM34" s="101" t="s">
        <v>1092</v>
      </c>
      <c r="AN34" s="100">
        <v>2.76</v>
      </c>
      <c r="AO34" s="100">
        <v>4.6399999999999997</v>
      </c>
      <c r="AP34" s="100">
        <f>(AN34-1.04)/'Subsample weights'!O70</f>
        <v>0.33204633204633199</v>
      </c>
      <c r="AQ34" s="100">
        <f>(AO34-1.7)/'Subsample weights'!O70</f>
        <v>0.56756756756756754</v>
      </c>
      <c r="AR34" s="100">
        <f>('Subsample weights'!O70-((Ginning!AN34-1.04)+(Ginning!AO34-1.7)))/'Subsample weights'!O70</f>
        <v>0.10038610038610048</v>
      </c>
      <c r="AS34" s="99"/>
      <c r="AU34" s="102">
        <v>19</v>
      </c>
      <c r="AV34" s="101" t="s">
        <v>1092</v>
      </c>
      <c r="AW34" s="100">
        <v>3.16</v>
      </c>
      <c r="AX34" s="100">
        <v>5.38</v>
      </c>
      <c r="AY34" s="100">
        <f>(AW34-1.04)/'Subsample weights'!R70</f>
        <v>0.33124999999999999</v>
      </c>
      <c r="AZ34" s="100">
        <f>(AX34-1.7)/'Subsample weights'!R70</f>
        <v>0.57499999999999996</v>
      </c>
      <c r="BA34" s="100">
        <f>('Subsample weights'!R70-((Ginning!AW34-1.04)+(Ginning!AX34-1.7)))/'Subsample weights'!R70</f>
        <v>9.3750000000000083E-2</v>
      </c>
      <c r="BB34" s="103"/>
      <c r="BD34" s="102">
        <v>19</v>
      </c>
      <c r="BE34" s="101" t="s">
        <v>1092</v>
      </c>
      <c r="BF34" s="100">
        <v>3.16</v>
      </c>
      <c r="BG34" s="100">
        <v>5.38</v>
      </c>
      <c r="BH34" s="100">
        <f>(BF34-1.04)/'Subsample weights'!U70</f>
        <v>0.329192546583851</v>
      </c>
      <c r="BI34" s="100">
        <f>(BG34-1.7)/'Subsample weights'!U70</f>
        <v>0.5714285714285714</v>
      </c>
      <c r="BJ34" s="100">
        <f>('Subsample weights'!U70-((Ginning!BF34-1.04)+(Ginning!BG34-1.7)))/'Subsample weights'!U70</f>
        <v>9.9378881987577591E-2</v>
      </c>
      <c r="BK34" s="103"/>
      <c r="BM34" s="102">
        <v>19</v>
      </c>
      <c r="BN34" s="101" t="s">
        <v>1092</v>
      </c>
      <c r="BO34" s="100">
        <v>2.94</v>
      </c>
      <c r="BP34" s="100">
        <v>4.8600000000000003</v>
      </c>
      <c r="BQ34" s="100">
        <f>(BO34-1.04)/'Subsample weights'!X70</f>
        <v>0.3392857142857143</v>
      </c>
      <c r="BR34" s="100">
        <f>(BP34-1.7)/'Subsample weights'!X70</f>
        <v>0.56428571428571439</v>
      </c>
      <c r="BS34" s="100">
        <f>('Subsample weights'!X70-((Ginning!BO34-1.04)+(Ginning!BP34-1.7)))/'Subsample weights'!X70</f>
        <v>9.642857142857128E-2</v>
      </c>
      <c r="BT34" s="103"/>
    </row>
    <row r="35" spans="2:81" ht="22.5" x14ac:dyDescent="0.25">
      <c r="B35" s="102">
        <v>20</v>
      </c>
      <c r="C35" s="101" t="s">
        <v>1091</v>
      </c>
      <c r="D35" s="122">
        <v>3.1</v>
      </c>
      <c r="E35" s="100">
        <v>5.12</v>
      </c>
      <c r="F35" s="100">
        <f>(D35-1.04)/'Subsample weights'!C71</f>
        <v>0.34333333333333332</v>
      </c>
      <c r="G35" s="100">
        <f>(E35-1.7)/'Subsample weights'!C71</f>
        <v>0.56999999999999995</v>
      </c>
      <c r="H35" s="100">
        <f>('Subsample weights'!C71-((Ginning!D35-1.04)+(Ginning!E35-1.7)))/'Subsample weights'!C71</f>
        <v>8.66666666666666E-2</v>
      </c>
      <c r="I35" s="119"/>
      <c r="J35" s="77"/>
      <c r="K35" s="102">
        <v>20</v>
      </c>
      <c r="L35" s="101" t="s">
        <v>1091</v>
      </c>
      <c r="M35" s="121">
        <v>3.42</v>
      </c>
      <c r="N35" s="121">
        <v>5.76</v>
      </c>
      <c r="O35" s="100">
        <f>(M35-1.04)/'Subsample weights'!F71</f>
        <v>0.33999999999999997</v>
      </c>
      <c r="P35" s="100">
        <f>(N35-1.7)/'Subsample weights'!F71</f>
        <v>0.57999999999999996</v>
      </c>
      <c r="Q35" s="100">
        <f>('Subsample weights'!F71-((Ginning!M35-1.04)+(Ginning!N35-1.7)))/'Subsample weights'!F71</f>
        <v>8.0000000000000071E-2</v>
      </c>
      <c r="R35" s="120"/>
      <c r="T35" s="102">
        <v>20</v>
      </c>
      <c r="U35" s="101" t="s">
        <v>1091</v>
      </c>
      <c r="V35" s="100">
        <v>3.2</v>
      </c>
      <c r="W35" s="100">
        <v>5.44</v>
      </c>
      <c r="X35" s="100">
        <f>(V35-1.04)/'Subsample weights'!I71</f>
        <v>0.33644859813084116</v>
      </c>
      <c r="Y35" s="100">
        <f>(W35-1.7)/'Subsample weights'!I71</f>
        <v>0.58255451713395645</v>
      </c>
      <c r="Z35" s="100">
        <f>('Subsample weights'!I71-((Ginning!V35-1.04)+(Ginning!W35-1.7)))/'Subsample weights'!I71</f>
        <v>8.0996884735202432E-2</v>
      </c>
      <c r="AA35" s="100"/>
      <c r="AC35" s="102">
        <v>20</v>
      </c>
      <c r="AD35" s="101" t="s">
        <v>1091</v>
      </c>
      <c r="AE35" s="100">
        <v>2.86</v>
      </c>
      <c r="AF35" s="100">
        <v>4.96</v>
      </c>
      <c r="AG35" s="100">
        <f>(AE35-1.04)/'Subsample weights'!L71</f>
        <v>0.31929824561403508</v>
      </c>
      <c r="AH35" s="100">
        <f>(AF35-1.7)/'Subsample weights'!L71</f>
        <v>0.57192982456140351</v>
      </c>
      <c r="AI35" s="100">
        <f>('Subsample weights'!L71-((Ginning!AE35-1.04)+(Ginning!AF35-1.7)))/'Subsample weights'!L71</f>
        <v>0.10877192982456128</v>
      </c>
      <c r="AJ35" s="119"/>
      <c r="AL35" s="102">
        <v>20</v>
      </c>
      <c r="AM35" s="101" t="s">
        <v>1091</v>
      </c>
      <c r="AN35" s="100">
        <v>2.96</v>
      </c>
      <c r="AO35" s="100">
        <v>5</v>
      </c>
      <c r="AP35" s="100">
        <f>(AN35-1.04)/'Subsample weights'!O71</f>
        <v>0.32653061224489793</v>
      </c>
      <c r="AQ35" s="100">
        <f>(AO35-1.7)/'Subsample weights'!O71</f>
        <v>0.56122448979591832</v>
      </c>
      <c r="AR35" s="100">
        <f>('Subsample weights'!O71-((Ginning!AN35-1.04)+(Ginning!AO35-1.7)))/'Subsample weights'!O71</f>
        <v>0.1122448979591837</v>
      </c>
      <c r="AS35" s="99"/>
      <c r="AU35" s="102">
        <v>20</v>
      </c>
      <c r="AV35" s="101" t="s">
        <v>1091</v>
      </c>
      <c r="AW35" s="100">
        <v>3.08</v>
      </c>
      <c r="AX35" s="100">
        <v>5.3</v>
      </c>
      <c r="AY35" s="100">
        <f>(AW35-1.04)/'Subsample weights'!R71</f>
        <v>0.32797427652733119</v>
      </c>
      <c r="AZ35" s="100">
        <f>(AX35-1.7)/'Subsample weights'!R71</f>
        <v>0.5787781350482315</v>
      </c>
      <c r="BA35" s="100">
        <f>('Subsample weights'!R71-((Ginning!AW35-1.04)+(Ginning!AX35-1.7)))/'Subsample weights'!R71</f>
        <v>9.3247588424437311E-2</v>
      </c>
      <c r="BB35" s="103"/>
      <c r="BD35" s="102">
        <v>20</v>
      </c>
      <c r="BE35" s="101" t="s">
        <v>1091</v>
      </c>
      <c r="BF35" s="100">
        <v>3.16</v>
      </c>
      <c r="BG35" s="100">
        <v>5.56</v>
      </c>
      <c r="BH35" s="100">
        <f>(BF35-1.04)/'Subsample weights'!U71</f>
        <v>0.31360946745562135</v>
      </c>
      <c r="BI35" s="100">
        <f>(BG35-1.7)/'Subsample weights'!U71</f>
        <v>0.57100591715976323</v>
      </c>
      <c r="BJ35" s="100">
        <f>('Subsample weights'!U71-((Ginning!BF35-1.04)+(Ginning!BG35-1.7)))/'Subsample weights'!U71</f>
        <v>0.11538461538461542</v>
      </c>
      <c r="BK35" s="103"/>
      <c r="BM35" s="102">
        <v>20</v>
      </c>
      <c r="BN35" s="101" t="s">
        <v>1091</v>
      </c>
      <c r="BO35" s="100">
        <v>2.92</v>
      </c>
      <c r="BP35" s="100">
        <v>4.88</v>
      </c>
      <c r="BQ35" s="100">
        <f>(BO35-1.04)/'Subsample weights'!X71</f>
        <v>0.32752613240418116</v>
      </c>
      <c r="BR35" s="100">
        <f>(BP35-1.7)/'Subsample weights'!X71</f>
        <v>0.55400696864111487</v>
      </c>
      <c r="BS35" s="100">
        <f>('Subsample weights'!X71-((Ginning!BO35-1.04)+(Ginning!BP35-1.7)))/'Subsample weights'!X71</f>
        <v>0.11846689895470393</v>
      </c>
      <c r="BT35" s="103"/>
    </row>
    <row r="36" spans="2:81" ht="16.899999999999999" customHeight="1" x14ac:dyDescent="0.25">
      <c r="D36" s="96"/>
      <c r="E36" s="95"/>
      <c r="F36" s="95"/>
      <c r="G36" s="95"/>
      <c r="H36" s="95"/>
      <c r="I36" s="95"/>
      <c r="N36" s="96"/>
      <c r="O36" s="96"/>
      <c r="P36" s="96"/>
      <c r="Q36" s="96"/>
      <c r="R36" s="95"/>
      <c r="S36" s="95"/>
      <c r="W36" s="96"/>
      <c r="X36" s="96"/>
      <c r="Y36" s="96"/>
      <c r="Z36" s="96"/>
      <c r="AA36" s="95"/>
      <c r="AB36" s="95"/>
      <c r="AF36" s="96"/>
      <c r="AG36" s="96"/>
      <c r="AH36" s="96"/>
      <c r="AI36" s="96"/>
      <c r="AJ36" s="95"/>
      <c r="AK36" s="95"/>
      <c r="AO36" s="96"/>
      <c r="AP36" s="96"/>
      <c r="AQ36" s="96"/>
      <c r="AR36" s="96"/>
      <c r="AS36" s="95"/>
      <c r="AT36" s="95"/>
      <c r="AX36" s="96"/>
      <c r="AY36" s="96"/>
      <c r="AZ36" s="96"/>
      <c r="BA36" s="96"/>
      <c r="BB36" s="95"/>
      <c r="BC36" s="95"/>
      <c r="BG36" s="96"/>
      <c r="BH36" s="96"/>
      <c r="BI36" s="96"/>
      <c r="BJ36" s="96"/>
      <c r="BK36" s="95"/>
      <c r="BL36" s="95"/>
      <c r="BP36" s="96"/>
      <c r="BQ36" s="96"/>
      <c r="BR36" s="96"/>
      <c r="BS36" s="96"/>
      <c r="BT36" s="95"/>
      <c r="BU36" s="95"/>
    </row>
    <row r="37" spans="2:81" ht="20.65" customHeight="1" x14ac:dyDescent="0.25"/>
    <row r="38" spans="2:81" ht="23.25" x14ac:dyDescent="0.35">
      <c r="C38" s="88" t="s">
        <v>1070</v>
      </c>
      <c r="D38" s="87">
        <v>9</v>
      </c>
      <c r="E38" s="86" t="s">
        <v>1074</v>
      </c>
      <c r="F38" s="86"/>
      <c r="G38" s="86"/>
      <c r="H38" s="86"/>
      <c r="I38" s="86"/>
      <c r="L38" s="88" t="s">
        <v>1070</v>
      </c>
      <c r="M38" s="87">
        <v>10</v>
      </c>
      <c r="N38" s="86" t="s">
        <v>1071</v>
      </c>
      <c r="O38" s="86"/>
      <c r="P38" s="86"/>
      <c r="Q38" s="86"/>
      <c r="R38" s="86"/>
      <c r="U38" s="88" t="s">
        <v>1070</v>
      </c>
      <c r="V38" s="87">
        <v>11</v>
      </c>
      <c r="W38" s="86" t="s">
        <v>1072</v>
      </c>
      <c r="X38" s="86"/>
      <c r="Y38" s="86"/>
      <c r="Z38" s="86"/>
      <c r="AA38" s="86"/>
      <c r="AD38" s="88" t="s">
        <v>1070</v>
      </c>
      <c r="AE38" s="87">
        <v>12</v>
      </c>
      <c r="AF38" s="86" t="s">
        <v>1073</v>
      </c>
      <c r="AG38" s="86"/>
      <c r="AH38" s="86"/>
      <c r="AI38" s="86"/>
      <c r="AJ38" s="86"/>
      <c r="AM38" s="88" t="s">
        <v>1070</v>
      </c>
      <c r="AN38" s="87">
        <v>13</v>
      </c>
      <c r="AO38" s="86" t="s">
        <v>1074</v>
      </c>
      <c r="AP38" s="86"/>
      <c r="AQ38" s="86"/>
      <c r="AR38" s="86"/>
      <c r="AS38" s="86"/>
      <c r="AV38" s="88" t="s">
        <v>1070</v>
      </c>
      <c r="AW38" s="87">
        <v>14</v>
      </c>
      <c r="AX38" s="86" t="s">
        <v>1073</v>
      </c>
      <c r="AY38" s="86"/>
      <c r="AZ38" s="86"/>
      <c r="BA38" s="86"/>
      <c r="BB38" s="86"/>
      <c r="BE38" s="88" t="s">
        <v>1070</v>
      </c>
      <c r="BF38" s="87">
        <v>15</v>
      </c>
      <c r="BG38" s="86" t="s">
        <v>1072</v>
      </c>
      <c r="BH38" s="86"/>
      <c r="BI38" s="86"/>
      <c r="BJ38" s="86"/>
      <c r="BK38" s="86"/>
      <c r="BN38" s="88" t="s">
        <v>1070</v>
      </c>
      <c r="BO38" s="87">
        <v>16</v>
      </c>
      <c r="BP38" s="86" t="s">
        <v>1071</v>
      </c>
      <c r="BQ38" s="86"/>
      <c r="BR38" s="86"/>
      <c r="BS38" s="86"/>
      <c r="BT38" s="86"/>
      <c r="BW38" s="88" t="s">
        <v>1070</v>
      </c>
      <c r="BX38" s="87">
        <v>17</v>
      </c>
      <c r="BY38" s="86" t="s">
        <v>1069</v>
      </c>
      <c r="BZ38" s="86"/>
      <c r="CA38" s="86"/>
      <c r="CB38" s="86"/>
      <c r="CC38" s="86"/>
    </row>
    <row r="39" spans="2:81" ht="21" x14ac:dyDescent="0.35">
      <c r="C39" s="88" t="s">
        <v>1067</v>
      </c>
      <c r="D39" s="117">
        <v>40843</v>
      </c>
      <c r="E39" s="116"/>
      <c r="F39" s="116"/>
      <c r="G39" s="116"/>
      <c r="H39" s="116"/>
      <c r="I39" s="116"/>
      <c r="L39" s="88" t="s">
        <v>1067</v>
      </c>
      <c r="M39" s="117">
        <v>40843</v>
      </c>
      <c r="N39" s="86"/>
      <c r="O39" s="86"/>
      <c r="P39" s="86"/>
      <c r="Q39" s="86"/>
      <c r="R39" s="86"/>
      <c r="U39" s="88" t="s">
        <v>1067</v>
      </c>
      <c r="V39" s="117">
        <v>40843</v>
      </c>
      <c r="W39" s="86"/>
      <c r="X39" s="86"/>
      <c r="Y39" s="86"/>
      <c r="Z39" s="86"/>
      <c r="AA39" s="86"/>
      <c r="AD39" s="88" t="s">
        <v>1067</v>
      </c>
      <c r="AE39" s="118" t="s">
        <v>1120</v>
      </c>
      <c r="AF39" s="86"/>
      <c r="AG39" s="86"/>
      <c r="AH39" s="86"/>
      <c r="AI39" s="86"/>
      <c r="AJ39" s="86"/>
      <c r="AM39" s="88" t="s">
        <v>1067</v>
      </c>
      <c r="AN39" s="117">
        <v>40842</v>
      </c>
      <c r="AO39" s="116"/>
      <c r="AP39" s="116"/>
      <c r="AQ39" s="116"/>
      <c r="AR39" s="116"/>
      <c r="AS39" s="116"/>
      <c r="AV39" s="88" t="s">
        <v>1067</v>
      </c>
      <c r="AW39" s="117">
        <v>40842</v>
      </c>
      <c r="AX39" s="86"/>
      <c r="AY39" s="86"/>
      <c r="AZ39" s="86"/>
      <c r="BA39" s="86"/>
      <c r="BB39" s="86"/>
      <c r="BE39" s="88" t="s">
        <v>1067</v>
      </c>
      <c r="BF39" s="117">
        <v>40844</v>
      </c>
      <c r="BG39" s="86"/>
      <c r="BH39" s="86"/>
      <c r="BI39" s="86"/>
      <c r="BJ39" s="86"/>
      <c r="BK39" s="86"/>
      <c r="BN39" s="88" t="s">
        <v>1067</v>
      </c>
      <c r="BO39" s="117">
        <v>40841</v>
      </c>
      <c r="BP39" s="86"/>
      <c r="BQ39" s="86"/>
      <c r="BR39" s="86"/>
      <c r="BS39" s="86"/>
      <c r="BT39" s="86"/>
      <c r="BW39" s="88" t="s">
        <v>1067</v>
      </c>
      <c r="BX39" s="117">
        <v>40841</v>
      </c>
      <c r="BY39" s="86"/>
      <c r="BZ39" s="86"/>
      <c r="CA39" s="86"/>
      <c r="CB39" s="86"/>
      <c r="CC39" s="86"/>
    </row>
    <row r="40" spans="2:81" x14ac:dyDescent="0.25">
      <c r="D40" s="117"/>
      <c r="E40" s="116"/>
      <c r="F40" s="116"/>
      <c r="G40" s="116"/>
      <c r="H40" s="116"/>
      <c r="I40" s="116"/>
      <c r="AO40" s="117"/>
      <c r="AP40" s="117"/>
      <c r="AQ40" s="117"/>
      <c r="AR40" s="117"/>
      <c r="AS40" s="116"/>
      <c r="AT40" s="116"/>
    </row>
    <row r="41" spans="2:81" ht="14.85" customHeight="1" x14ac:dyDescent="0.25">
      <c r="B41" s="115"/>
      <c r="C41" s="115"/>
      <c r="D41" s="115"/>
      <c r="E41" s="115"/>
      <c r="F41" s="114"/>
      <c r="G41" s="114"/>
      <c r="H41" s="114"/>
      <c r="I41" s="114"/>
    </row>
    <row r="42" spans="2:81" ht="43.9" customHeight="1" x14ac:dyDescent="0.3">
      <c r="B42" s="113" t="s">
        <v>1119</v>
      </c>
      <c r="C42" s="112" t="s">
        <v>1118</v>
      </c>
      <c r="D42" s="111" t="s">
        <v>1117</v>
      </c>
      <c r="E42" s="110" t="s">
        <v>1116</v>
      </c>
      <c r="F42" s="109" t="s">
        <v>1115</v>
      </c>
      <c r="G42" s="109" t="s">
        <v>1114</v>
      </c>
      <c r="H42" s="109" t="s">
        <v>1113</v>
      </c>
      <c r="I42" s="108" t="s">
        <v>1112</v>
      </c>
      <c r="K42" s="113" t="s">
        <v>1119</v>
      </c>
      <c r="L42" s="112" t="s">
        <v>1118</v>
      </c>
      <c r="M42" s="111" t="s">
        <v>1117</v>
      </c>
      <c r="N42" s="110" t="s">
        <v>1116</v>
      </c>
      <c r="O42" s="109" t="s">
        <v>1115</v>
      </c>
      <c r="P42" s="109" t="s">
        <v>1114</v>
      </c>
      <c r="Q42" s="109" t="s">
        <v>1113</v>
      </c>
      <c r="R42" s="108" t="s">
        <v>1112</v>
      </c>
      <c r="T42" s="113" t="s">
        <v>1119</v>
      </c>
      <c r="U42" s="112" t="s">
        <v>1118</v>
      </c>
      <c r="V42" s="111" t="s">
        <v>1117</v>
      </c>
      <c r="W42" s="110" t="s">
        <v>1116</v>
      </c>
      <c r="X42" s="109" t="s">
        <v>1115</v>
      </c>
      <c r="Y42" s="109" t="s">
        <v>1114</v>
      </c>
      <c r="Z42" s="109" t="s">
        <v>1113</v>
      </c>
      <c r="AA42" s="108" t="s">
        <v>1112</v>
      </c>
      <c r="AC42" s="113" t="s">
        <v>1119</v>
      </c>
      <c r="AD42" s="112" t="s">
        <v>1118</v>
      </c>
      <c r="AE42" s="111" t="s">
        <v>1117</v>
      </c>
      <c r="AF42" s="110" t="s">
        <v>1116</v>
      </c>
      <c r="AG42" s="109" t="s">
        <v>1115</v>
      </c>
      <c r="AH42" s="109" t="s">
        <v>1114</v>
      </c>
      <c r="AI42" s="109" t="s">
        <v>1113</v>
      </c>
      <c r="AJ42" s="108" t="s">
        <v>1112</v>
      </c>
      <c r="AL42" s="113" t="s">
        <v>1119</v>
      </c>
      <c r="AM42" s="112" t="s">
        <v>1118</v>
      </c>
      <c r="AN42" s="111" t="s">
        <v>1117</v>
      </c>
      <c r="AO42" s="110" t="s">
        <v>1116</v>
      </c>
      <c r="AP42" s="109" t="s">
        <v>1115</v>
      </c>
      <c r="AQ42" s="109" t="s">
        <v>1114</v>
      </c>
      <c r="AR42" s="109" t="s">
        <v>1113</v>
      </c>
      <c r="AS42" s="108" t="s">
        <v>1112</v>
      </c>
      <c r="AU42" s="113" t="s">
        <v>1119</v>
      </c>
      <c r="AV42" s="112" t="s">
        <v>1118</v>
      </c>
      <c r="AW42" s="111" t="s">
        <v>1117</v>
      </c>
      <c r="AX42" s="110" t="s">
        <v>1116</v>
      </c>
      <c r="AY42" s="109" t="s">
        <v>1115</v>
      </c>
      <c r="AZ42" s="109" t="s">
        <v>1114</v>
      </c>
      <c r="BA42" s="109" t="s">
        <v>1113</v>
      </c>
      <c r="BB42" s="108" t="s">
        <v>1112</v>
      </c>
      <c r="BD42" s="113" t="s">
        <v>1119</v>
      </c>
      <c r="BE42" s="112" t="s">
        <v>1118</v>
      </c>
      <c r="BF42" s="111" t="s">
        <v>1117</v>
      </c>
      <c r="BG42" s="110" t="s">
        <v>1116</v>
      </c>
      <c r="BH42" s="109" t="s">
        <v>1115</v>
      </c>
      <c r="BI42" s="109" t="s">
        <v>1114</v>
      </c>
      <c r="BJ42" s="109" t="s">
        <v>1113</v>
      </c>
      <c r="BK42" s="108" t="s">
        <v>1112</v>
      </c>
      <c r="BM42" s="113" t="s">
        <v>1119</v>
      </c>
      <c r="BN42" s="112" t="s">
        <v>1118</v>
      </c>
      <c r="BO42" s="111" t="s">
        <v>1117</v>
      </c>
      <c r="BP42" s="110" t="s">
        <v>1116</v>
      </c>
      <c r="BQ42" s="109" t="s">
        <v>1115</v>
      </c>
      <c r="BR42" s="109" t="s">
        <v>1114</v>
      </c>
      <c r="BS42" s="109" t="s">
        <v>1113</v>
      </c>
      <c r="BT42" s="108" t="s">
        <v>1112</v>
      </c>
      <c r="BV42" s="113" t="s">
        <v>1119</v>
      </c>
      <c r="BW42" s="112" t="s">
        <v>1118</v>
      </c>
      <c r="BX42" s="111" t="s">
        <v>1117</v>
      </c>
      <c r="BY42" s="110" t="s">
        <v>1116</v>
      </c>
      <c r="BZ42" s="109" t="s">
        <v>1115</v>
      </c>
      <c r="CA42" s="109" t="s">
        <v>1114</v>
      </c>
      <c r="CB42" s="109" t="s">
        <v>1113</v>
      </c>
      <c r="CC42" s="108" t="s">
        <v>1112</v>
      </c>
    </row>
    <row r="43" spans="2:81" ht="22.5" x14ac:dyDescent="0.25">
      <c r="B43" s="107">
        <v>1</v>
      </c>
      <c r="C43" s="101" t="s">
        <v>1111</v>
      </c>
      <c r="D43" s="100">
        <v>3.22</v>
      </c>
      <c r="E43" s="100">
        <v>5.32</v>
      </c>
      <c r="F43" s="100">
        <f>(D43-1.04)/'Subsample weights'!AA52</f>
        <v>0.33956386292834895</v>
      </c>
      <c r="G43" s="100">
        <f>(E43-1.7)/'Subsample weights'!AA52</f>
        <v>0.56386292834890972</v>
      </c>
      <c r="H43" s="100">
        <f>('Subsample weights'!AA52-((Ginning!D43-1.04)+(Ginning!E43-1.7)))/'Subsample weights'!AA52</f>
        <v>9.6573208722741319E-2</v>
      </c>
      <c r="I43" s="103"/>
      <c r="K43" s="107">
        <v>1</v>
      </c>
      <c r="L43" s="101" t="s">
        <v>1111</v>
      </c>
      <c r="M43" s="100">
        <v>2.76</v>
      </c>
      <c r="N43" s="100">
        <v>4.6399999999999997</v>
      </c>
      <c r="O43" s="100">
        <f>(M43-1.04)/'Subsample weights'!AD52</f>
        <v>0.33076923076923076</v>
      </c>
      <c r="P43" s="100">
        <f>(N43-1.7)/'Subsample weights'!AD52</f>
        <v>0.56538461538461537</v>
      </c>
      <c r="Q43" s="100">
        <f>('Subsample weights'!AD52-((Ginning!M43-1.04)+(Ginning!N43-1.7)))/'Subsample weights'!AD52</f>
        <v>0.10384615384615387</v>
      </c>
      <c r="R43" s="99"/>
      <c r="T43" s="107">
        <v>1</v>
      </c>
      <c r="U43" s="101" t="s">
        <v>1111</v>
      </c>
      <c r="V43" s="100">
        <v>3.5</v>
      </c>
      <c r="W43" s="100">
        <v>5.94</v>
      </c>
      <c r="X43" s="100">
        <f>(V43-1.04)/'Subsample weights'!AG52</f>
        <v>0.33606557377049179</v>
      </c>
      <c r="Y43" s="100">
        <f>(W43-1.7)/'Subsample weights'!AG52</f>
        <v>0.57923497267759561</v>
      </c>
      <c r="Z43" s="100">
        <f>('Subsample weights'!AG52-((Ginning!V43-1.04)+(Ginning!W43-1.7)))/'Subsample weights'!AG52</f>
        <v>8.4699453551912579E-2</v>
      </c>
      <c r="AA43" s="103"/>
      <c r="AC43" s="107">
        <v>1</v>
      </c>
      <c r="AD43" s="101" t="s">
        <v>1111</v>
      </c>
      <c r="AE43" s="100">
        <v>3.62</v>
      </c>
      <c r="AF43" s="100">
        <v>6.18</v>
      </c>
      <c r="AG43" s="100">
        <f>(AE43-1.04)/'Subsample weights'!AJ52</f>
        <v>0.32493702770780858</v>
      </c>
      <c r="AH43" s="100">
        <f>(AF43-1.7)/'Subsample weights'!AJ52</f>
        <v>0.5642317380352645</v>
      </c>
      <c r="AI43" s="100">
        <f>('Subsample weights'!AJ52-((Ginning!AE43-1.04)+(Ginning!AF43-1.7)))/'Subsample weights'!AJ52</f>
        <v>0.11083123425692694</v>
      </c>
      <c r="AJ43" s="99"/>
      <c r="AL43" s="107">
        <v>1</v>
      </c>
      <c r="AM43" s="101" t="s">
        <v>1111</v>
      </c>
      <c r="AN43" s="100">
        <v>3.16</v>
      </c>
      <c r="AO43" s="100">
        <v>5.4</v>
      </c>
      <c r="AP43" s="100">
        <f>(AN43-1.04)/'Subsample weights'!AM52</f>
        <v>0.33438485804416407</v>
      </c>
      <c r="AQ43" s="100">
        <f>(AO43-1.7)/'Subsample weights'!AM52</f>
        <v>0.58359621451104104</v>
      </c>
      <c r="AR43" s="100">
        <f>('Subsample weights'!AM52-((Ginning!AN43-1.04)+(Ginning!AO43-1.7)))/'Subsample weights'!AM52</f>
        <v>8.2018927444794887E-2</v>
      </c>
      <c r="AS43" s="99"/>
      <c r="AU43" s="107">
        <v>1</v>
      </c>
      <c r="AV43" s="101" t="s">
        <v>1111</v>
      </c>
      <c r="AW43" s="100">
        <v>2.6</v>
      </c>
      <c r="AX43" s="100">
        <v>4.5</v>
      </c>
      <c r="AY43" s="100">
        <f>(AW43-1.04)/'Subsample weights'!AP52</f>
        <v>0.31578947368421056</v>
      </c>
      <c r="AZ43" s="100">
        <f>(AX43-1.7)/'Subsample weights'!AP52</f>
        <v>0.5668016194331984</v>
      </c>
      <c r="BA43" s="100">
        <f>('Subsample weights'!AP52-((Ginning!AW43-1.04)+(Ginning!AX43-1.7)))/'Subsample weights'!AP52</f>
        <v>0.11740890688259112</v>
      </c>
      <c r="BB43" s="99"/>
      <c r="BD43" s="107">
        <v>1</v>
      </c>
      <c r="BE43" s="101" t="s">
        <v>1111</v>
      </c>
      <c r="BF43" s="100">
        <v>3.66</v>
      </c>
      <c r="BG43" s="100">
        <v>6.02</v>
      </c>
      <c r="BH43" s="100">
        <f>(BF43-1.04)/'Subsample weights'!AS52</f>
        <v>0.34203655352480422</v>
      </c>
      <c r="BI43" s="100">
        <f>(BG43-1.7)/'Subsample weights'!AS52</f>
        <v>0.56396866840731064</v>
      </c>
      <c r="BJ43" s="100">
        <f>('Subsample weights'!AS52-((Ginning!BF43-1.04)+(Ginning!BG43-1.7)))/'Subsample weights'!AS52</f>
        <v>9.3994778067885087E-2</v>
      </c>
      <c r="BK43" s="99"/>
      <c r="BM43" s="107">
        <v>1</v>
      </c>
      <c r="BN43" s="101" t="s">
        <v>1111</v>
      </c>
      <c r="BO43" s="100">
        <v>3.58</v>
      </c>
      <c r="BP43" s="100">
        <v>5.98</v>
      </c>
      <c r="BQ43" s="100">
        <f>(BO43-1.04)/'Subsample weights'!AV52</f>
        <v>0.33957219251336901</v>
      </c>
      <c r="BR43" s="100">
        <f>(BP43-1.7)/'Subsample weights'!AV52</f>
        <v>0.57219251336898402</v>
      </c>
      <c r="BS43" s="100">
        <f>('Subsample weights'!AV52-((Ginning!BO43-1.04)+(Ginning!BP43-1.7)))/'Subsample weights'!AV52</f>
        <v>8.8235294117646967E-2</v>
      </c>
      <c r="BT43" s="99"/>
      <c r="BV43" s="107">
        <v>1</v>
      </c>
      <c r="BW43" s="101" t="s">
        <v>1111</v>
      </c>
      <c r="BX43" s="100">
        <v>3.1</v>
      </c>
      <c r="BY43" s="100">
        <v>4.46</v>
      </c>
      <c r="BZ43" s="100">
        <f>(BX43-1.04)/'Subsample weights'!AY52</f>
        <v>0.31306990881458968</v>
      </c>
      <c r="CA43" s="100">
        <f>(BY43-0.76)/'Subsample weights'!AY52</f>
        <v>0.56231003039513683</v>
      </c>
      <c r="CB43" s="100">
        <f>('Subsample weights'!AY52-((Ginning!BX43-1.04)+(Ginning!BY43-0.76)))/'Subsample weights'!AY52</f>
        <v>0.1246200607902736</v>
      </c>
      <c r="CC43" s="99"/>
    </row>
    <row r="44" spans="2:81" ht="22.5" x14ac:dyDescent="0.25">
      <c r="B44" s="107">
        <v>2</v>
      </c>
      <c r="C44" s="101" t="s">
        <v>1110</v>
      </c>
      <c r="D44" s="100">
        <v>3.62</v>
      </c>
      <c r="E44" s="100">
        <v>5.92</v>
      </c>
      <c r="F44" s="100">
        <f>(D44-1.04)/'Subsample weights'!AA53</f>
        <v>0.33947368421052632</v>
      </c>
      <c r="G44" s="100">
        <f>(E44-1.7)/'Subsample weights'!AA53</f>
        <v>0.55526315789473679</v>
      </c>
      <c r="H44" s="100">
        <f>('Subsample weights'!AA53-((Ginning!D44-1.04)+(Ginning!E44-1.7)))/'Subsample weights'!AA53</f>
        <v>0.10526315789473682</v>
      </c>
      <c r="I44" s="103"/>
      <c r="K44" s="107">
        <v>2</v>
      </c>
      <c r="L44" s="101" t="s">
        <v>1110</v>
      </c>
      <c r="M44" s="100">
        <v>2.96</v>
      </c>
      <c r="N44" s="100">
        <v>5.0599999999999996</v>
      </c>
      <c r="O44" s="100">
        <f>(M44-1.04)/'Subsample weights'!AD53</f>
        <v>0.32107023411371233</v>
      </c>
      <c r="P44" s="100">
        <f>(N44-1.7)/'Subsample weights'!AD53</f>
        <v>0.5618729096989965</v>
      </c>
      <c r="Q44" s="100">
        <f>('Subsample weights'!AD53-((Ginning!M44-1.04)+(Ginning!N44-1.7)))/'Subsample weights'!AD53</f>
        <v>0.11705685618729114</v>
      </c>
      <c r="R44" s="99"/>
      <c r="T44" s="107">
        <v>2</v>
      </c>
      <c r="U44" s="101" t="s">
        <v>1110</v>
      </c>
      <c r="V44" s="100">
        <v>3.42</v>
      </c>
      <c r="W44" s="100">
        <v>5.76</v>
      </c>
      <c r="X44" s="100">
        <f>(V44-1.04)/'Subsample weights'!AG53</f>
        <v>0.33806818181818182</v>
      </c>
      <c r="Y44" s="100">
        <f>(W44-1.7)/'Subsample weights'!AG53</f>
        <v>0.57670454545454541</v>
      </c>
      <c r="Z44" s="100">
        <f>('Subsample weights'!AG53-((Ginning!V44-1.04)+(Ginning!W44-1.7)))/'Subsample weights'!AG53</f>
        <v>8.5227272727272693E-2</v>
      </c>
      <c r="AA44" s="103"/>
      <c r="AC44" s="107">
        <v>2</v>
      </c>
      <c r="AD44" s="101" t="s">
        <v>1110</v>
      </c>
      <c r="AE44" s="100">
        <v>3.12</v>
      </c>
      <c r="AF44" s="100">
        <v>5.24</v>
      </c>
      <c r="AG44" s="100">
        <f>(AE44-1.04)/'Subsample weights'!AJ53</f>
        <v>0.33015873015873021</v>
      </c>
      <c r="AH44" s="100">
        <f>(AF44-1.7)/'Subsample weights'!AJ53</f>
        <v>0.56190476190476191</v>
      </c>
      <c r="AI44" s="100">
        <f>('Subsample weights'!AJ53-((Ginning!AE44-1.04)+(Ginning!AF44-1.7)))/'Subsample weights'!AJ53</f>
        <v>0.1079365079365079</v>
      </c>
      <c r="AJ44" s="99"/>
      <c r="AL44" s="107">
        <v>2</v>
      </c>
      <c r="AM44" s="101" t="s">
        <v>1110</v>
      </c>
      <c r="AN44" s="100">
        <v>3.26</v>
      </c>
      <c r="AO44" s="100">
        <v>5.66</v>
      </c>
      <c r="AP44" s="100">
        <f>(AN44-1.04)/'Subsample weights'!AM53</f>
        <v>0.33333333333333331</v>
      </c>
      <c r="AQ44" s="100">
        <f>(AO44-1.7)/'Subsample weights'!AM53</f>
        <v>0.59459459459459463</v>
      </c>
      <c r="AR44" s="100">
        <f>('Subsample weights'!AM53-((Ginning!AN44-1.04)+(Ginning!AO44-1.7)))/'Subsample weights'!AM53</f>
        <v>7.2072072072072141E-2</v>
      </c>
      <c r="AS44" s="99"/>
      <c r="AU44" s="107">
        <v>2</v>
      </c>
      <c r="AV44" s="101" t="s">
        <v>1110</v>
      </c>
      <c r="AW44" s="100">
        <v>3.32</v>
      </c>
      <c r="AX44" s="100">
        <v>5.68</v>
      </c>
      <c r="AY44" s="100">
        <f>(AW44-1.04)/'Subsample weights'!AP53</f>
        <v>0.32947976878612717</v>
      </c>
      <c r="AZ44" s="100">
        <f>(AX44-1.7)/'Subsample weights'!AP53</f>
        <v>0.57514450867052014</v>
      </c>
      <c r="BA44" s="100">
        <f>('Subsample weights'!AP53-((Ginning!AW44-1.04)+(Ginning!AX44-1.7)))/'Subsample weights'!AP53</f>
        <v>9.5375722543352623E-2</v>
      </c>
      <c r="BB44" s="99"/>
      <c r="BD44" s="107">
        <v>2</v>
      </c>
      <c r="BE44" s="101" t="s">
        <v>1110</v>
      </c>
      <c r="BF44" s="100">
        <v>2.94</v>
      </c>
      <c r="BG44" s="100">
        <v>4.92</v>
      </c>
      <c r="BH44" s="100">
        <f>(BF44-1.04)/'Subsample weights'!AS53</f>
        <v>0.32758620689655171</v>
      </c>
      <c r="BI44" s="100">
        <f>(BG44-1.7)/'Subsample weights'!AS53</f>
        <v>0.55517241379310345</v>
      </c>
      <c r="BJ44" s="100">
        <f>('Subsample weights'!AS53-((Ginning!BF44-1.04)+(Ginning!BG44-1.7)))/'Subsample weights'!AS53</f>
        <v>0.11724137931034494</v>
      </c>
      <c r="BK44" s="99"/>
      <c r="BM44" s="107">
        <v>2</v>
      </c>
      <c r="BN44" s="101" t="s">
        <v>1110</v>
      </c>
      <c r="BO44" s="100">
        <v>3.44</v>
      </c>
      <c r="BP44" s="100">
        <v>5.62</v>
      </c>
      <c r="BQ44" s="100">
        <f>(BO44-1.04)/'Subsample weights'!AV53</f>
        <v>0.34188034188034189</v>
      </c>
      <c r="BR44" s="100">
        <f>(BP44-1.7)/'Subsample weights'!AV53</f>
        <v>0.55840455840455838</v>
      </c>
      <c r="BS44" s="100">
        <f>('Subsample weights'!AV53-((Ginning!BO44-1.04)+(Ginning!BP44-1.7)))/'Subsample weights'!AV53</f>
        <v>9.971509971509962E-2</v>
      </c>
      <c r="BT44" s="99"/>
      <c r="BV44" s="107">
        <v>2</v>
      </c>
      <c r="BW44" s="101" t="s">
        <v>1110</v>
      </c>
      <c r="BX44" s="100">
        <v>3.66</v>
      </c>
      <c r="BY44" s="100">
        <v>6.46</v>
      </c>
      <c r="BZ44" s="100">
        <f>(BX44-1.04)/'Subsample weights'!AY53</f>
        <v>0.3133971291866029</v>
      </c>
      <c r="CA44" s="100">
        <f>(BY44-1.7)/'Subsample weights'!AY53</f>
        <v>0.56937799043062198</v>
      </c>
      <c r="CB44" s="100">
        <f>('Subsample weights'!AY53-((Ginning!BX44-1.04)+(Ginning!BY44-1.7)))/'Subsample weights'!AY53</f>
        <v>0.11722488038277508</v>
      </c>
      <c r="CC44" s="99"/>
    </row>
    <row r="45" spans="2:81" ht="22.5" x14ac:dyDescent="0.25">
      <c r="B45" s="107">
        <v>3</v>
      </c>
      <c r="C45" s="101" t="s">
        <v>1109</v>
      </c>
      <c r="D45" s="100">
        <v>2.98</v>
      </c>
      <c r="E45" s="100">
        <v>4.9000000000000004</v>
      </c>
      <c r="F45" s="100">
        <f>(D45-1.04)/'Subsample weights'!AA54</f>
        <v>0.34642857142857142</v>
      </c>
      <c r="G45" s="100">
        <f>(E45-1.7)/'Subsample weights'!AA54</f>
        <v>0.57142857142857151</v>
      </c>
      <c r="H45" s="100">
        <f>('Subsample weights'!AA54-((Ginning!D45-1.04)+(Ginning!E45-1.7)))/'Subsample weights'!AA54</f>
        <v>8.214285714285699E-2</v>
      </c>
      <c r="I45" s="103"/>
      <c r="K45" s="107">
        <v>3</v>
      </c>
      <c r="L45" s="101" t="s">
        <v>1109</v>
      </c>
      <c r="M45" s="100">
        <v>3.02</v>
      </c>
      <c r="N45" s="100">
        <v>5.08</v>
      </c>
      <c r="O45" s="100">
        <f>(M45-1.04)/'Subsample weights'!AD54</f>
        <v>0.33</v>
      </c>
      <c r="P45" s="100">
        <f>(N45-1.7)/'Subsample weights'!AD54</f>
        <v>0.56333333333333335</v>
      </c>
      <c r="Q45" s="100">
        <f>('Subsample weights'!AD54-((Ginning!M45-1.04)+(Ginning!N45-1.7)))/'Subsample weights'!AD54</f>
        <v>0.10666666666666676</v>
      </c>
      <c r="R45" s="99"/>
      <c r="T45" s="107">
        <v>3</v>
      </c>
      <c r="U45" s="101" t="s">
        <v>1109</v>
      </c>
      <c r="V45" s="100">
        <v>3.34</v>
      </c>
      <c r="W45" s="100">
        <v>5.76</v>
      </c>
      <c r="X45" s="100">
        <f>(V45-1.04)/'Subsample weights'!AG54</f>
        <v>0.3203342618384401</v>
      </c>
      <c r="Y45" s="100">
        <f>(W45-1.7)/'Subsample weights'!AG54</f>
        <v>0.56545961002785516</v>
      </c>
      <c r="Z45" s="100">
        <f>('Subsample weights'!AG54-((Ginning!V45-1.04)+(Ginning!W45-1.7)))/'Subsample weights'!AG54</f>
        <v>0.11420612813370477</v>
      </c>
      <c r="AA45" s="103"/>
      <c r="AC45" s="107">
        <v>3</v>
      </c>
      <c r="AD45" s="101" t="s">
        <v>1109</v>
      </c>
      <c r="AE45" s="100">
        <v>3.32</v>
      </c>
      <c r="AF45" s="100">
        <v>5.68</v>
      </c>
      <c r="AG45" s="100">
        <f>(AE45-1.04)/'Subsample weights'!AJ54</f>
        <v>0.32758620689655171</v>
      </c>
      <c r="AH45" s="100">
        <f>(AF45-1.7)/'Subsample weights'!AJ54</f>
        <v>0.57183908045977017</v>
      </c>
      <c r="AI45" s="100">
        <f>('Subsample weights'!AJ54-((Ginning!AE45-1.04)+(Ginning!AF45-1.7)))/'Subsample weights'!AJ54</f>
        <v>0.10057471264367807</v>
      </c>
      <c r="AJ45" s="99"/>
      <c r="AL45" s="107">
        <v>3</v>
      </c>
      <c r="AM45" s="101" t="s">
        <v>1109</v>
      </c>
      <c r="AN45" s="100">
        <v>3.16</v>
      </c>
      <c r="AO45" s="100">
        <v>5.36</v>
      </c>
      <c r="AP45" s="100">
        <f>(AN45-1.04)/'Subsample weights'!AM54</f>
        <v>0.33544303797468356</v>
      </c>
      <c r="AQ45" s="100">
        <f>(AO45-1.7)/'Subsample weights'!AM54</f>
        <v>0.57911392405063289</v>
      </c>
      <c r="AR45" s="100">
        <f>('Subsample weights'!AM54-((Ginning!AN45-1.04)+(Ginning!AO45-1.7)))/'Subsample weights'!AM54</f>
        <v>8.5443037974683542E-2</v>
      </c>
      <c r="AS45" s="99"/>
      <c r="AU45" s="107">
        <v>3</v>
      </c>
      <c r="AV45" s="101" t="s">
        <v>1109</v>
      </c>
      <c r="AW45" s="100">
        <v>3.52</v>
      </c>
      <c r="AX45" s="100">
        <v>6.02</v>
      </c>
      <c r="AY45" s="100">
        <f>(AW45-1.04)/'Subsample weights'!AP54</f>
        <v>0.32978723404255322</v>
      </c>
      <c r="AZ45" s="100">
        <f>(AX45-1.7)/'Subsample weights'!AP54</f>
        <v>0.57446808510638292</v>
      </c>
      <c r="BA45" s="100">
        <f>('Subsample weights'!AP54-((Ginning!AW45-1.04)+(Ginning!AX45-1.7)))/'Subsample weights'!AP54</f>
        <v>9.5744680851063926E-2</v>
      </c>
      <c r="BB45" s="99"/>
      <c r="BD45" s="107">
        <v>3</v>
      </c>
      <c r="BE45" s="101" t="s">
        <v>1109</v>
      </c>
      <c r="BF45" s="100">
        <v>3.66</v>
      </c>
      <c r="BG45" s="100">
        <v>6.02</v>
      </c>
      <c r="BH45" s="100">
        <f>(BF45-1.04)/'Subsample weights'!AS54</f>
        <v>0.34203655352480417</v>
      </c>
      <c r="BI45" s="100">
        <f>(BG45-1.7)/'Subsample weights'!AS54</f>
        <v>0.56396866840731064</v>
      </c>
      <c r="BJ45" s="100">
        <f>('Subsample weights'!AS54-((Ginning!BF45-1.04)+(Ginning!BG45-1.7)))/'Subsample weights'!AS54</f>
        <v>9.3994778067885199E-2</v>
      </c>
      <c r="BK45" s="99"/>
      <c r="BM45" s="107">
        <v>3</v>
      </c>
      <c r="BN45" s="101" t="s">
        <v>1109</v>
      </c>
      <c r="BO45" s="100">
        <v>3.6</v>
      </c>
      <c r="BP45" s="100">
        <v>5.54</v>
      </c>
      <c r="BQ45" s="100">
        <f>(BO45-1.04)/'Subsample weights'!AV54</f>
        <v>0.34224598930481287</v>
      </c>
      <c r="BR45" s="100">
        <f>(BP45-1.7)/'Subsample weights'!AV54</f>
        <v>0.5133689839572193</v>
      </c>
      <c r="BS45" s="100">
        <f>('Subsample weights'!AV54-((Ginning!BO45-1.04)+(Ginning!BP45-1.7)))/'Subsample weights'!AV54</f>
        <v>0.14438502673796783</v>
      </c>
      <c r="BT45" s="99"/>
      <c r="BV45" s="107">
        <v>3</v>
      </c>
      <c r="BW45" s="101" t="s">
        <v>1109</v>
      </c>
      <c r="BX45" s="100">
        <v>3.56</v>
      </c>
      <c r="BY45" s="100">
        <v>6.4</v>
      </c>
      <c r="BZ45" s="100">
        <f>(BX45-1.04)/'Subsample weights'!AY54</f>
        <v>0.30361445783132529</v>
      </c>
      <c r="CA45" s="100">
        <f>(BY45-1.7)/'Subsample weights'!AY54</f>
        <v>0.56626506024096379</v>
      </c>
      <c r="CB45" s="100">
        <f>('Subsample weights'!AY54-((Ginning!BX45-1.04)+(Ginning!BY45-1.7)))/'Subsample weights'!AY54</f>
        <v>0.13012048192771083</v>
      </c>
      <c r="CC45" s="99"/>
    </row>
    <row r="46" spans="2:81" ht="22.5" x14ac:dyDescent="0.25">
      <c r="B46" s="107">
        <v>4</v>
      </c>
      <c r="C46" s="101" t="s">
        <v>1108</v>
      </c>
      <c r="D46" s="100">
        <v>3.2</v>
      </c>
      <c r="E46" s="100">
        <v>5.24</v>
      </c>
      <c r="F46" s="100">
        <f>(D46-1.04)/'Subsample weights'!AA55</f>
        <v>0.34726688102893893</v>
      </c>
      <c r="G46" s="100">
        <f>(E46-1.7)/'Subsample weights'!AA55</f>
        <v>0.56913183279742763</v>
      </c>
      <c r="H46" s="100">
        <f>('Subsample weights'!AA55-((Ginning!D46-1.04)+(Ginning!E46-1.7)))/'Subsample weights'!AA55</f>
        <v>8.3601286173633368E-2</v>
      </c>
      <c r="I46" s="103"/>
      <c r="K46" s="107">
        <v>4</v>
      </c>
      <c r="L46" s="101" t="s">
        <v>1108</v>
      </c>
      <c r="M46" s="100">
        <v>2.64</v>
      </c>
      <c r="N46" s="100">
        <v>4.46</v>
      </c>
      <c r="O46" s="100">
        <f>(M46-1.04)/'Subsample weights'!AD55</f>
        <v>0.32258064516129042</v>
      </c>
      <c r="P46" s="100">
        <f>(N46-1.7)/'Subsample weights'!AD55</f>
        <v>0.55645161290322587</v>
      </c>
      <c r="Q46" s="100">
        <f>('Subsample weights'!AD55-((Ginning!M46-1.04)+(Ginning!N46-1.7)))/'Subsample weights'!AD55</f>
        <v>0.12096774193548382</v>
      </c>
      <c r="R46" s="99"/>
      <c r="T46" s="107">
        <v>4</v>
      </c>
      <c r="U46" s="101" t="s">
        <v>1108</v>
      </c>
      <c r="V46" s="100">
        <v>3.18</v>
      </c>
      <c r="W46" s="100">
        <v>5.42</v>
      </c>
      <c r="X46" s="100">
        <f>(V46-1.04)/'Subsample weights'!AG55</f>
        <v>0.3322981366459628</v>
      </c>
      <c r="Y46" s="100">
        <f>(W46-1.7)/'Subsample weights'!AG55</f>
        <v>0.57763975155279501</v>
      </c>
      <c r="Z46" s="100">
        <f>('Subsample weights'!AG55-((Ginning!V46-1.04)+(Ginning!W46-1.7)))/'Subsample weights'!AG55</f>
        <v>9.0062111801242253E-2</v>
      </c>
      <c r="AA46" s="103"/>
      <c r="AC46" s="107">
        <v>4</v>
      </c>
      <c r="AD46" s="101" t="s">
        <v>1108</v>
      </c>
      <c r="AE46" s="100">
        <v>3.26</v>
      </c>
      <c r="AF46" s="100">
        <v>5.56</v>
      </c>
      <c r="AG46" s="100">
        <f>(AE46-1.04)/'Subsample weights'!AJ55</f>
        <v>0.33333333333333331</v>
      </c>
      <c r="AH46" s="100">
        <f>(AF46-1.7)/'Subsample weights'!AJ55</f>
        <v>0.57957957957957951</v>
      </c>
      <c r="AI46" s="100">
        <f>('Subsample weights'!AJ55-((Ginning!AE46-1.04)+(Ginning!AF46-1.7)))/'Subsample weights'!AJ55</f>
        <v>8.7087087087087234E-2</v>
      </c>
      <c r="AJ46" s="99"/>
      <c r="AL46" s="107">
        <v>4</v>
      </c>
      <c r="AM46" s="101" t="s">
        <v>1108</v>
      </c>
      <c r="AN46" s="100">
        <v>3.62</v>
      </c>
      <c r="AO46" s="100">
        <v>6.06</v>
      </c>
      <c r="AP46" s="100">
        <f>(AN46-1.04)/'Subsample weights'!AM55</f>
        <v>0.34126984126984133</v>
      </c>
      <c r="AQ46" s="100">
        <f>(AO46-1.7)/'Subsample weights'!AM55</f>
        <v>0.57671957671957674</v>
      </c>
      <c r="AR46" s="100">
        <f>('Subsample weights'!AM55-((Ginning!AN46-1.04)+(Ginning!AO46-1.7)))/'Subsample weights'!AM55</f>
        <v>8.2010582010581923E-2</v>
      </c>
      <c r="AS46" s="99"/>
      <c r="AU46" s="107">
        <v>4</v>
      </c>
      <c r="AV46" s="101" t="s">
        <v>1108</v>
      </c>
      <c r="AW46" s="100">
        <v>3.54</v>
      </c>
      <c r="AX46" s="100">
        <v>6.06</v>
      </c>
      <c r="AY46" s="100">
        <f>(AW46-1.04)/'Subsample weights'!AP55</f>
        <v>0.33156498673740054</v>
      </c>
      <c r="AZ46" s="100">
        <f>(AX46-1.7)/'Subsample weights'!AP55</f>
        <v>0.57824933687002644</v>
      </c>
      <c r="BA46" s="100">
        <f>('Subsample weights'!AP55-((Ginning!AW46-1.04)+(Ginning!AX46-1.7)))/'Subsample weights'!AP55</f>
        <v>9.0185676392573022E-2</v>
      </c>
      <c r="BB46" s="99"/>
      <c r="BD46" s="107">
        <v>4</v>
      </c>
      <c r="BE46" s="101" t="s">
        <v>1108</v>
      </c>
      <c r="BF46" s="100">
        <v>4.0599999999999996</v>
      </c>
      <c r="BG46" s="100">
        <v>6.62</v>
      </c>
      <c r="BH46" s="100">
        <f>(BF46-1.04)/'Subsample weights'!AS55</f>
        <v>0.33856502242152464</v>
      </c>
      <c r="BI46" s="100">
        <f>(BG46-1.7)/'Subsample weights'!AS55</f>
        <v>0.55156950672645744</v>
      </c>
      <c r="BJ46" s="100">
        <f>('Subsample weights'!AS55-((Ginning!BF46-1.04)+(Ginning!BG46-1.7)))/'Subsample weights'!AS55</f>
        <v>0.10986547085201799</v>
      </c>
      <c r="BK46" s="99"/>
      <c r="BM46" s="107">
        <v>4</v>
      </c>
      <c r="BN46" s="101" t="s">
        <v>1108</v>
      </c>
      <c r="BO46" s="100">
        <v>3.24</v>
      </c>
      <c r="BP46" s="100">
        <v>5.5</v>
      </c>
      <c r="BQ46" s="100">
        <f>(BO46-1.04)/'Subsample weights'!AV55</f>
        <v>0.33033033033033032</v>
      </c>
      <c r="BR46" s="100">
        <f>(BP46-1.7)/'Subsample weights'!AV55</f>
        <v>0.57057057057057048</v>
      </c>
      <c r="BS46" s="100">
        <f>('Subsample weights'!AV55-((Ginning!BO46-1.04)+(Ginning!BP46-1.7)))/'Subsample weights'!AV55</f>
        <v>9.9099099099099114E-2</v>
      </c>
      <c r="BT46" s="99"/>
      <c r="BV46" s="107">
        <v>4</v>
      </c>
      <c r="BW46" s="101" t="s">
        <v>1108</v>
      </c>
      <c r="BX46" s="100">
        <v>2.98</v>
      </c>
      <c r="BY46" s="100">
        <v>5.32</v>
      </c>
      <c r="BZ46" s="100">
        <f>(BX46-1.04)/'Subsample weights'!AY55</f>
        <v>0.31596091205211724</v>
      </c>
      <c r="CA46" s="100">
        <f>(BY46-1.7)/'Subsample weights'!AY55</f>
        <v>0.58957654723127029</v>
      </c>
      <c r="CB46" s="100">
        <f>('Subsample weights'!AY55-((Ginning!BX46-1.04)+(Ginning!BY46-1.7)))/'Subsample weights'!AY55</f>
        <v>9.4462540716612378E-2</v>
      </c>
      <c r="CC46" s="99"/>
    </row>
    <row r="47" spans="2:81" ht="22.5" x14ac:dyDescent="0.25">
      <c r="B47" s="107">
        <v>5</v>
      </c>
      <c r="C47" s="101" t="s">
        <v>1107</v>
      </c>
      <c r="D47" s="100">
        <v>2.82</v>
      </c>
      <c r="E47" s="100">
        <v>4.7</v>
      </c>
      <c r="F47" s="100">
        <f>(D47-1.04)/'Subsample weights'!AA56</f>
        <v>0.33840304182509501</v>
      </c>
      <c r="G47" s="100">
        <f>(E47-1.7)/'Subsample weights'!AA56</f>
        <v>0.57034220532319391</v>
      </c>
      <c r="H47" s="100">
        <f>('Subsample weights'!AA56-((Ginning!D47-1.04)+(Ginning!E47-1.7)))/'Subsample weights'!AA56</f>
        <v>9.1254752851711113E-2</v>
      </c>
      <c r="I47" s="103"/>
      <c r="K47" s="107">
        <v>5</v>
      </c>
      <c r="L47" s="101" t="s">
        <v>1107</v>
      </c>
      <c r="M47" s="100">
        <v>2.84</v>
      </c>
      <c r="N47" s="100">
        <v>4.8</v>
      </c>
      <c r="O47" s="100">
        <f>(M47-1.04)/'Subsample weights'!AD56</f>
        <v>0.32608695652173914</v>
      </c>
      <c r="P47" s="100">
        <f>(N47-1.7)/'Subsample weights'!AD56</f>
        <v>0.56159420289855067</v>
      </c>
      <c r="Q47" s="100">
        <f>('Subsample weights'!AD56-((Ginning!M47-1.04)+(Ginning!N47-1.7)))/'Subsample weights'!AD56</f>
        <v>0.11231884057971017</v>
      </c>
      <c r="R47" s="99"/>
      <c r="T47" s="107">
        <v>5</v>
      </c>
      <c r="U47" s="101" t="s">
        <v>1107</v>
      </c>
      <c r="V47" s="100">
        <v>3.74</v>
      </c>
      <c r="W47" s="100">
        <v>6.16</v>
      </c>
      <c r="X47" s="100">
        <f>(V47-1.04)/'Subsample weights'!AG56</f>
        <v>0.33834586466165412</v>
      </c>
      <c r="Y47" s="100">
        <f>(W47-1.7)/'Subsample weights'!AG56</f>
        <v>0.55889724310776934</v>
      </c>
      <c r="Z47" s="100">
        <f>('Subsample weights'!AG56-((Ginning!V47-1.04)+(Ginning!W47-1.7)))/'Subsample weights'!AG56</f>
        <v>0.10275689223057648</v>
      </c>
      <c r="AA47" s="103"/>
      <c r="AC47" s="107">
        <v>5</v>
      </c>
      <c r="AD47" s="101" t="s">
        <v>1107</v>
      </c>
      <c r="AE47" s="100">
        <v>2.94</v>
      </c>
      <c r="AF47" s="100">
        <v>5.08</v>
      </c>
      <c r="AG47" s="100">
        <f>(AE47-1.04)/'Subsample weights'!AJ56</f>
        <v>0.32646048109965631</v>
      </c>
      <c r="AH47" s="100">
        <f>(AF47-1.7)/'Subsample weights'!AJ56</f>
        <v>0.5807560137457044</v>
      </c>
      <c r="AI47" s="100">
        <f>('Subsample weights'!AJ56-((Ginning!AE47-1.04)+(Ginning!AF47-1.7)))/'Subsample weights'!AJ56</f>
        <v>9.2783505154639331E-2</v>
      </c>
      <c r="AJ47" s="99"/>
      <c r="AL47" s="107">
        <v>5</v>
      </c>
      <c r="AM47" s="101" t="s">
        <v>1107</v>
      </c>
      <c r="AN47" s="100">
        <v>3.24</v>
      </c>
      <c r="AO47" s="100">
        <v>5.4</v>
      </c>
      <c r="AP47" s="100">
        <f>(AN47-1.04)/'Subsample weights'!AM56</f>
        <v>0.34161490683229817</v>
      </c>
      <c r="AQ47" s="100">
        <f>(AO47-1.7)/'Subsample weights'!AM56</f>
        <v>0.57453416149068326</v>
      </c>
      <c r="AR47" s="100">
        <f>('Subsample weights'!AM56-((Ginning!AN47-1.04)+(Ginning!AO47-1.7)))/'Subsample weights'!AM56</f>
        <v>8.3850931677018514E-2</v>
      </c>
      <c r="AS47" s="99"/>
      <c r="AU47" s="107">
        <v>5</v>
      </c>
      <c r="AV47" s="101" t="s">
        <v>1107</v>
      </c>
      <c r="AW47" s="100">
        <v>3.42</v>
      </c>
      <c r="AX47" s="100">
        <v>5.88</v>
      </c>
      <c r="AY47" s="100">
        <f>(AW47-1.04)/'Subsample weights'!AP56</f>
        <v>0.3233695652173913</v>
      </c>
      <c r="AZ47" s="100">
        <f>(AX47-1.7)/'Subsample weights'!AP56</f>
        <v>0.56793478260869568</v>
      </c>
      <c r="BA47" s="100">
        <f>('Subsample weights'!AP56-((Ginning!AW47-1.04)+(Ginning!AX47-1.7)))/'Subsample weights'!AP56</f>
        <v>0.10869565217391303</v>
      </c>
      <c r="BB47" s="99"/>
      <c r="BD47" s="107">
        <v>5</v>
      </c>
      <c r="BE47" s="101" t="s">
        <v>1107</v>
      </c>
      <c r="BF47" s="100">
        <v>3.44</v>
      </c>
      <c r="BG47" s="100">
        <v>5.6</v>
      </c>
      <c r="BH47" s="100">
        <f>(BF47-1.04)/'Subsample weights'!AS56</f>
        <v>0.33898305084745761</v>
      </c>
      <c r="BI47" s="100">
        <f>(BG47-1.7)/'Subsample weights'!AS56</f>
        <v>0.55084745762711851</v>
      </c>
      <c r="BJ47" s="100">
        <f>('Subsample weights'!AS56-((Ginning!BF47-1.04)+(Ginning!BG47-1.7)))/'Subsample weights'!AS56</f>
        <v>0.11016949152542389</v>
      </c>
      <c r="BK47" s="99"/>
      <c r="BM47" s="107">
        <v>5</v>
      </c>
      <c r="BN47" s="101" t="s">
        <v>1107</v>
      </c>
      <c r="BO47" s="100">
        <v>3.52</v>
      </c>
      <c r="BP47" s="100">
        <v>5.98</v>
      </c>
      <c r="BQ47" s="100">
        <f>(BO47-1.04)/'Subsample weights'!AV56</f>
        <v>0.33066666666666666</v>
      </c>
      <c r="BR47" s="100">
        <f>(BP47-1.7)/'Subsample weights'!AV56</f>
        <v>0.57066666666666666</v>
      </c>
      <c r="BS47" s="100">
        <f>('Subsample weights'!AV56-((Ginning!BO47-1.04)+(Ginning!BP47-1.7)))/'Subsample weights'!AV56</f>
        <v>9.8666666666666694E-2</v>
      </c>
      <c r="BT47" s="99"/>
      <c r="BV47" s="107">
        <v>5</v>
      </c>
      <c r="BW47" s="101" t="s">
        <v>1107</v>
      </c>
      <c r="BX47" s="100">
        <v>3.12</v>
      </c>
      <c r="BY47" s="100">
        <v>5.66</v>
      </c>
      <c r="BZ47" s="100">
        <f>(BX47-1.04)/'Subsample weights'!AY56</f>
        <v>0.30952380952380953</v>
      </c>
      <c r="CA47" s="100">
        <f>(BY47-1.7)/'Subsample weights'!AY56</f>
        <v>0.5892857142857143</v>
      </c>
      <c r="CB47" s="100">
        <f>('Subsample weights'!AY56-((Ginning!BX47-1.04)+(Ginning!BY47-1.7)))/'Subsample weights'!AY56</f>
        <v>0.10119047619047615</v>
      </c>
      <c r="CC47" s="99"/>
    </row>
    <row r="48" spans="2:81" ht="22.5" x14ac:dyDescent="0.25">
      <c r="B48" s="107">
        <v>6</v>
      </c>
      <c r="C48" s="101" t="s">
        <v>1106</v>
      </c>
      <c r="D48" s="100">
        <v>3.26</v>
      </c>
      <c r="E48" s="100">
        <v>5.3</v>
      </c>
      <c r="F48" s="100">
        <f>(D48-1.04)/'Subsample weights'!AA57</f>
        <v>0.33738601823708203</v>
      </c>
      <c r="G48" s="100">
        <f>(E48-1.7)/'Subsample weights'!AA57</f>
        <v>0.54711246200607899</v>
      </c>
      <c r="H48" s="100">
        <f>('Subsample weights'!AA57-((Ginning!D48-1.04)+(Ginning!E48-1.7)))/'Subsample weights'!AA57</f>
        <v>0.11550151975683901</v>
      </c>
      <c r="I48" s="103"/>
      <c r="K48" s="107">
        <v>6</v>
      </c>
      <c r="L48" s="101" t="s">
        <v>1106</v>
      </c>
      <c r="M48" s="100">
        <v>2.46</v>
      </c>
      <c r="N48" s="100">
        <v>4.18</v>
      </c>
      <c r="O48" s="100">
        <f>(M48-1.04)/'Subsample weights'!AD57</f>
        <v>0.33023255813953489</v>
      </c>
      <c r="P48" s="100">
        <f>(N48-1.7)/'Subsample weights'!AD57</f>
        <v>0.57674418604651156</v>
      </c>
      <c r="Q48" s="100">
        <f>('Subsample weights'!AD57-((Ginning!M48-1.04)+(Ginning!N48-1.7)))/'Subsample weights'!AD57</f>
        <v>9.302325581395357E-2</v>
      </c>
      <c r="R48" s="99"/>
      <c r="T48" s="107">
        <v>6</v>
      </c>
      <c r="U48" s="101" t="s">
        <v>1106</v>
      </c>
      <c r="V48" s="100">
        <v>3.28</v>
      </c>
      <c r="W48" s="100">
        <v>5.46</v>
      </c>
      <c r="X48" s="100">
        <f>(V48-1.04)/'Subsample weights'!AG57</f>
        <v>0.33333333333333331</v>
      </c>
      <c r="Y48" s="100">
        <f>(W48-1.7)/'Subsample weights'!AG57</f>
        <v>0.55952380952380953</v>
      </c>
      <c r="Z48" s="100">
        <f>('Subsample weights'!AG57-((Ginning!V48-1.04)+(Ginning!W48-1.7)))/'Subsample weights'!AG57</f>
        <v>0.10714285714285711</v>
      </c>
      <c r="AA48" s="103"/>
      <c r="AC48" s="107">
        <v>6</v>
      </c>
      <c r="AD48" s="101" t="s">
        <v>1106</v>
      </c>
      <c r="AE48" s="100">
        <v>3.28</v>
      </c>
      <c r="AF48" s="100">
        <v>5.6</v>
      </c>
      <c r="AG48" s="100">
        <f>(AE48-1.04)/'Subsample weights'!AJ57</f>
        <v>0.32748538011695905</v>
      </c>
      <c r="AH48" s="100">
        <f>(AF48-1.7)/'Subsample weights'!AJ57</f>
        <v>0.57017543859649111</v>
      </c>
      <c r="AI48" s="100">
        <f>('Subsample weights'!AJ57-((Ginning!AE48-1.04)+(Ginning!AF48-1.7)))/'Subsample weights'!AJ57</f>
        <v>0.10233918128654987</v>
      </c>
      <c r="AJ48" s="99"/>
      <c r="AL48" s="107">
        <v>6</v>
      </c>
      <c r="AM48" s="101" t="s">
        <v>1106</v>
      </c>
      <c r="AN48" s="100">
        <v>3.68</v>
      </c>
      <c r="AO48" s="100">
        <v>6.24</v>
      </c>
      <c r="AP48" s="100">
        <f>(AN48-1.04)/'Subsample weights'!AM57</f>
        <v>0.33502538071065996</v>
      </c>
      <c r="AQ48" s="100">
        <f>(AO48-1.7)/'Subsample weights'!AM57</f>
        <v>0.57614213197969555</v>
      </c>
      <c r="AR48" s="100">
        <f>('Subsample weights'!AM57-((Ginning!AN48-1.04)+(Ginning!AO48-1.7)))/'Subsample weights'!AM57</f>
        <v>8.8832487309644589E-2</v>
      </c>
      <c r="AS48" s="99"/>
      <c r="AU48" s="107">
        <v>6</v>
      </c>
      <c r="AV48" s="101" t="s">
        <v>1106</v>
      </c>
      <c r="AW48" s="100">
        <v>3.24</v>
      </c>
      <c r="AX48" s="100">
        <v>5.56</v>
      </c>
      <c r="AY48" s="100">
        <f>(AW48-1.04)/'Subsample weights'!AP57</f>
        <v>0.32835820895522394</v>
      </c>
      <c r="AZ48" s="100">
        <f>(AX48-1.7)/'Subsample weights'!AP57</f>
        <v>0.57611940298507458</v>
      </c>
      <c r="BA48" s="100">
        <f>('Subsample weights'!AP57-((Ginning!AW48-1.04)+(Ginning!AX48-1.7)))/'Subsample weights'!AP57</f>
        <v>9.5522388059701452E-2</v>
      </c>
      <c r="BB48" s="99"/>
      <c r="BD48" s="107">
        <v>6</v>
      </c>
      <c r="BE48" s="101" t="s">
        <v>1106</v>
      </c>
      <c r="BF48" s="100">
        <v>3.48</v>
      </c>
      <c r="BG48" s="100">
        <v>5.76</v>
      </c>
      <c r="BH48" s="100">
        <f>(BF48-1.04)/'Subsample weights'!AS57</f>
        <v>0.33701657458563533</v>
      </c>
      <c r="BI48" s="100">
        <f>(BG48-1.7)/'Subsample weights'!AS57</f>
        <v>0.56077348066298338</v>
      </c>
      <c r="BJ48" s="100">
        <f>('Subsample weights'!AS57-((Ginning!BF48-1.04)+(Ginning!BG48-1.7)))/'Subsample weights'!AS57</f>
        <v>0.10220994475138125</v>
      </c>
      <c r="BK48" s="99"/>
      <c r="BM48" s="107">
        <v>6</v>
      </c>
      <c r="BN48" s="101" t="s">
        <v>1106</v>
      </c>
      <c r="BO48" s="100">
        <v>3.56</v>
      </c>
      <c r="BP48" s="100">
        <v>5.64</v>
      </c>
      <c r="BQ48" s="100">
        <f>(BO48-1.04)/'Subsample weights'!AV57</f>
        <v>0.34332425068119893</v>
      </c>
      <c r="BR48" s="100">
        <f>(BP48-1.7)/'Subsample weights'!AV57</f>
        <v>0.5367847411444141</v>
      </c>
      <c r="BS48" s="100">
        <f>('Subsample weights'!AV57-((Ginning!BO48-1.04)+(Ginning!BP48-1.7)))/'Subsample weights'!AV57</f>
        <v>0.11989100817438703</v>
      </c>
      <c r="BT48" s="99"/>
      <c r="BV48" s="107">
        <v>6</v>
      </c>
      <c r="BW48" s="101" t="s">
        <v>1106</v>
      </c>
      <c r="BX48" s="100">
        <v>2.86</v>
      </c>
      <c r="BY48" s="100">
        <v>5.04</v>
      </c>
      <c r="BZ48" s="100">
        <f>(BX48-1.04)/'Subsample weights'!AY57</f>
        <v>0.31164383561643832</v>
      </c>
      <c r="CA48" s="100">
        <f>(BY48-1.7)/'Subsample weights'!AY57</f>
        <v>0.57191780821917804</v>
      </c>
      <c r="CB48" s="100">
        <f>('Subsample weights'!AY57-((Ginning!BX48-1.04)+(Ginning!BY48-1.7)))/'Subsample weights'!AY57</f>
        <v>0.11643835616438351</v>
      </c>
      <c r="CC48" s="99"/>
    </row>
    <row r="49" spans="2:81" ht="22.5" x14ac:dyDescent="0.25">
      <c r="B49" s="107">
        <v>7</v>
      </c>
      <c r="C49" s="101" t="s">
        <v>1105</v>
      </c>
      <c r="D49" s="100">
        <v>2.82</v>
      </c>
      <c r="E49" s="100">
        <v>4.54</v>
      </c>
      <c r="F49" s="100">
        <f>(D49-1.04)/'Subsample weights'!AA58</f>
        <v>0.33969465648854957</v>
      </c>
      <c r="G49" s="100">
        <f>(E49-1.7)/'Subsample weights'!AA58</f>
        <v>0.54198473282442738</v>
      </c>
      <c r="H49" s="100">
        <f>('Subsample weights'!AA58-((Ginning!D49-1.04)+(Ginning!E49-1.7)))/'Subsample weights'!AA58</f>
        <v>0.11832061068702308</v>
      </c>
      <c r="I49" s="103"/>
      <c r="K49" s="107">
        <v>7</v>
      </c>
      <c r="L49" s="101" t="s">
        <v>1105</v>
      </c>
      <c r="M49" s="100">
        <v>2.82</v>
      </c>
      <c r="N49" s="100">
        <v>4.84</v>
      </c>
      <c r="O49" s="100">
        <f>(M49-1.04)/'Subsample weights'!AD58</f>
        <v>0.32246376811594202</v>
      </c>
      <c r="P49" s="100">
        <f>(N49-1.7)/'Subsample weights'!AD58</f>
        <v>0.5688405797101449</v>
      </c>
      <c r="Q49" s="100">
        <f>('Subsample weights'!AD58-((Ginning!M49-1.04)+(Ginning!N49-1.7)))/'Subsample weights'!AD58</f>
        <v>0.10869565217391298</v>
      </c>
      <c r="R49" s="99"/>
      <c r="T49" s="107">
        <v>7</v>
      </c>
      <c r="U49" s="101" t="s">
        <v>1105</v>
      </c>
      <c r="V49" s="100">
        <v>3.54</v>
      </c>
      <c r="W49" s="100">
        <v>5.98</v>
      </c>
      <c r="X49" s="100">
        <f>(V49-1.04)/'Subsample weights'!AG58</f>
        <v>0.32894736842105265</v>
      </c>
      <c r="Y49" s="100">
        <f>(W49-1.7)/'Subsample weights'!AG58</f>
        <v>0.56315789473684219</v>
      </c>
      <c r="Z49" s="100">
        <f>('Subsample weights'!AG58-((Ginning!V49-1.04)+(Ginning!W49-1.7)))/'Subsample weights'!AG58</f>
        <v>0.10789473684210518</v>
      </c>
      <c r="AA49" s="103"/>
      <c r="AC49" s="107">
        <v>7</v>
      </c>
      <c r="AD49" s="101" t="s">
        <v>1105</v>
      </c>
      <c r="AE49" s="100">
        <v>3.02</v>
      </c>
      <c r="AF49" s="100">
        <v>5.18</v>
      </c>
      <c r="AG49" s="100">
        <f>(AE49-1.04)/'Subsample weights'!AJ58</f>
        <v>0.32673267326732675</v>
      </c>
      <c r="AH49" s="100">
        <f>(AF49-1.7)/'Subsample weights'!AJ58</f>
        <v>0.57425742574257421</v>
      </c>
      <c r="AI49" s="100">
        <f>('Subsample weights'!AJ58-((Ginning!AE49-1.04)+(Ginning!AF49-1.7)))/'Subsample weights'!AJ58</f>
        <v>9.9009900990099098E-2</v>
      </c>
      <c r="AJ49" s="99"/>
      <c r="AL49" s="107">
        <v>7</v>
      </c>
      <c r="AM49" s="101" t="s">
        <v>1105</v>
      </c>
      <c r="AN49" s="100">
        <v>3.3</v>
      </c>
      <c r="AO49" s="100">
        <v>5.48</v>
      </c>
      <c r="AP49" s="100">
        <f>(AN49-1.04)/'Subsample weights'!AM58</f>
        <v>0.34138972809667673</v>
      </c>
      <c r="AQ49" s="100">
        <f>(AO49-1.7)/'Subsample weights'!AM58</f>
        <v>0.57099697885196388</v>
      </c>
      <c r="AR49" s="100">
        <f>('Subsample weights'!AM58-((Ginning!AN49-1.04)+(Ginning!AO49-1.7)))/'Subsample weights'!AM58</f>
        <v>8.7613293051359398E-2</v>
      </c>
      <c r="AS49" s="99"/>
      <c r="AU49" s="107">
        <v>7</v>
      </c>
      <c r="AV49" s="101" t="s">
        <v>1105</v>
      </c>
      <c r="AW49" s="100">
        <v>3.16</v>
      </c>
      <c r="AX49" s="100">
        <v>5.52</v>
      </c>
      <c r="AY49" s="100">
        <f>(AW49-1.04)/'Subsample weights'!AP58</f>
        <v>0.32817337461300311</v>
      </c>
      <c r="AZ49" s="100">
        <f>(AX49-1.7)/'Subsample weights'!AP58</f>
        <v>0.59133126934984515</v>
      </c>
      <c r="BA49" s="100">
        <f>('Subsample weights'!AP58-((Ginning!AW49-1.04)+(Ginning!AX49-1.7)))/'Subsample weights'!AP58</f>
        <v>8.0495356037151772E-2</v>
      </c>
      <c r="BB49" s="99"/>
      <c r="BD49" s="107">
        <v>7</v>
      </c>
      <c r="BE49" s="101" t="s">
        <v>1105</v>
      </c>
      <c r="BF49" s="100">
        <v>3.7</v>
      </c>
      <c r="BG49" s="100">
        <v>6.08</v>
      </c>
      <c r="BH49" s="100">
        <f>(BF49-1.04)/'Subsample weights'!AS58</f>
        <v>0.33501259445843834</v>
      </c>
      <c r="BI49" s="100">
        <f>(BG49-1.7)/'Subsample weights'!AS58</f>
        <v>0.55163727959697739</v>
      </c>
      <c r="BJ49" s="100">
        <f>('Subsample weights'!AS58-((Ginning!BF49-1.04)+(Ginning!BG49-1.7)))/'Subsample weights'!AS58</f>
        <v>0.11335012594458432</v>
      </c>
      <c r="BK49" s="99"/>
      <c r="BM49" s="107">
        <v>7</v>
      </c>
      <c r="BN49" s="101" t="s">
        <v>1105</v>
      </c>
      <c r="BO49" s="100">
        <v>3.38</v>
      </c>
      <c r="BP49" s="100">
        <v>5.6</v>
      </c>
      <c r="BQ49" s="100">
        <f>(BO49-1.04)/'Subsample weights'!AV58</f>
        <v>0.34011627906976749</v>
      </c>
      <c r="BR49" s="100">
        <f>(BP49-1.7)/'Subsample weights'!AV58</f>
        <v>0.56686046511627908</v>
      </c>
      <c r="BS49" s="100">
        <f>('Subsample weights'!AV58-((Ginning!BO49-1.04)+(Ginning!BP49-1.7)))/'Subsample weights'!AV58</f>
        <v>9.3023255813953459E-2</v>
      </c>
      <c r="BT49" s="99"/>
      <c r="BV49" s="107">
        <v>7</v>
      </c>
      <c r="BW49" s="101" t="s">
        <v>1105</v>
      </c>
      <c r="BX49" s="100">
        <v>3.22</v>
      </c>
      <c r="BY49" s="100">
        <v>5.88</v>
      </c>
      <c r="BZ49" s="100">
        <f>(BX49-1.04)/'Subsample weights'!AY58</f>
        <v>0.29700272479564033</v>
      </c>
      <c r="CA49" s="100">
        <f>(BY49-1.7)/'Subsample weights'!AY58</f>
        <v>0.56948228882833785</v>
      </c>
      <c r="CB49" s="100">
        <f>('Subsample weights'!AY58-((Ginning!BX49-1.04)+(Ginning!BY49-1.7)))/'Subsample weights'!AY58</f>
        <v>0.13351498637602185</v>
      </c>
      <c r="CC49" s="99"/>
    </row>
    <row r="50" spans="2:81" ht="22.5" x14ac:dyDescent="0.25">
      <c r="B50" s="107">
        <v>8</v>
      </c>
      <c r="C50" s="101" t="s">
        <v>1104</v>
      </c>
      <c r="D50" s="100">
        <v>3.08</v>
      </c>
      <c r="E50" s="100">
        <v>5.08</v>
      </c>
      <c r="F50" s="100">
        <f>(D50-1.04)/'Subsample weights'!AA59</f>
        <v>0.33333333333333337</v>
      </c>
      <c r="G50" s="100">
        <f>(E50-1.7)/'Subsample weights'!AA59</f>
        <v>0.55228758169934644</v>
      </c>
      <c r="H50" s="100">
        <f>('Subsample weights'!AA59-((Ginning!D50-1.04)+(Ginning!E50-1.7)))/'Subsample weights'!AA59</f>
        <v>0.11437908496732016</v>
      </c>
      <c r="I50" s="103"/>
      <c r="K50" s="107">
        <v>8</v>
      </c>
      <c r="L50" s="101" t="s">
        <v>1104</v>
      </c>
      <c r="M50" s="100">
        <v>2.84</v>
      </c>
      <c r="N50" s="100">
        <v>4.88</v>
      </c>
      <c r="O50" s="100">
        <f>(M50-1.04)/'Subsample weights'!AD59</f>
        <v>0.32846715328467152</v>
      </c>
      <c r="P50" s="100">
        <f>(N50-1.7)/'Subsample weights'!AD59</f>
        <v>0.58029197080291972</v>
      </c>
      <c r="Q50" s="100">
        <f>('Subsample weights'!AD59-((Ginning!M50-1.04)+(Ginning!N50-1.7)))/'Subsample weights'!AD59</f>
        <v>9.1240875912408773E-2</v>
      </c>
      <c r="R50" s="99"/>
      <c r="T50" s="107">
        <v>8</v>
      </c>
      <c r="U50" s="101" t="s">
        <v>1104</v>
      </c>
      <c r="V50" s="100">
        <v>3.02</v>
      </c>
      <c r="W50" s="100">
        <v>5.12</v>
      </c>
      <c r="X50" s="100">
        <f>(V50-1.04)/'Subsample weights'!AG59</f>
        <v>0.32781456953642391</v>
      </c>
      <c r="Y50" s="100">
        <f>(W50-1.7)/'Subsample weights'!AG59</f>
        <v>0.56622516556291402</v>
      </c>
      <c r="Z50" s="100">
        <f>('Subsample weights'!AG59-((Ginning!V50-1.04)+(Ginning!W50-1.7)))/'Subsample weights'!AG59</f>
        <v>0.10596026490066207</v>
      </c>
      <c r="AA50" s="103"/>
      <c r="AC50" s="107">
        <v>8</v>
      </c>
      <c r="AD50" s="101" t="s">
        <v>1104</v>
      </c>
      <c r="AE50" s="100">
        <v>3.2</v>
      </c>
      <c r="AF50" s="100">
        <v>5.52</v>
      </c>
      <c r="AG50" s="100">
        <f>(AE50-1.04)/'Subsample weights'!AJ59</f>
        <v>0.3243243243243244</v>
      </c>
      <c r="AH50" s="100">
        <f>(AF50-1.7)/'Subsample weights'!AJ59</f>
        <v>0.57357357357357353</v>
      </c>
      <c r="AI50" s="100">
        <f>('Subsample weights'!AJ59-((Ginning!AE50-1.04)+(Ginning!AF50-1.7)))/'Subsample weights'!AJ59</f>
        <v>0.10210210210210208</v>
      </c>
      <c r="AJ50" s="99"/>
      <c r="AL50" s="107">
        <v>8</v>
      </c>
      <c r="AM50" s="101" t="s">
        <v>1104</v>
      </c>
      <c r="AN50" s="100">
        <v>3.24</v>
      </c>
      <c r="AO50" s="100">
        <v>5.42</v>
      </c>
      <c r="AP50" s="100">
        <f>(AN50-1.04)/'Subsample weights'!AM59</f>
        <v>0.34375</v>
      </c>
      <c r="AQ50" s="100">
        <f>(AO50-1.7)/'Subsample weights'!AM59</f>
        <v>0.58124999999999993</v>
      </c>
      <c r="AR50" s="100">
        <f>('Subsample weights'!AM59-((Ginning!AN50-1.04)+(Ginning!AO50-1.7)))/'Subsample weights'!AM59</f>
        <v>7.5000000000000067E-2</v>
      </c>
      <c r="AS50" s="99"/>
      <c r="AU50" s="107">
        <v>8</v>
      </c>
      <c r="AV50" s="101" t="s">
        <v>1104</v>
      </c>
      <c r="AW50" s="100">
        <v>3.22</v>
      </c>
      <c r="AX50" s="100">
        <v>5.56</v>
      </c>
      <c r="AY50" s="100">
        <f>(AW50-1.04)/'Subsample weights'!AP59</f>
        <v>0.32537313432835829</v>
      </c>
      <c r="AZ50" s="100">
        <f>(AX50-1.7)/'Subsample weights'!AP59</f>
        <v>0.57611940298507458</v>
      </c>
      <c r="BA50" s="100">
        <f>('Subsample weights'!AP59-((Ginning!AW50-1.04)+(Ginning!AX50-1.7)))/'Subsample weights'!AP59</f>
        <v>9.8507462686567196E-2</v>
      </c>
      <c r="BB50" s="99"/>
      <c r="BD50" s="107">
        <v>8</v>
      </c>
      <c r="BE50" s="101" t="s">
        <v>1104</v>
      </c>
      <c r="BF50" s="100">
        <v>3.56</v>
      </c>
      <c r="BG50" s="100">
        <v>5.86</v>
      </c>
      <c r="BH50" s="100">
        <f>(BF50-1.04)/'Subsample weights'!AS59</f>
        <v>0.34054054054054056</v>
      </c>
      <c r="BI50" s="100">
        <f>(BG50-1.7)/'Subsample weights'!AS59</f>
        <v>0.56216216216216219</v>
      </c>
      <c r="BJ50" s="100">
        <f>('Subsample weights'!AS59-((Ginning!BF50-1.04)+(Ginning!BG50-1.7)))/'Subsample weights'!AS59</f>
        <v>9.7297297297297275E-2</v>
      </c>
      <c r="BK50" s="99"/>
      <c r="BM50" s="107">
        <v>8</v>
      </c>
      <c r="BN50" s="101" t="s">
        <v>1104</v>
      </c>
      <c r="BO50" s="100">
        <v>3.36</v>
      </c>
      <c r="BP50" s="100">
        <v>5.7</v>
      </c>
      <c r="BQ50" s="100">
        <f>(BO50-1.04)/'Subsample weights'!AV59</f>
        <v>0.32861189801699714</v>
      </c>
      <c r="BR50" s="100">
        <f>(BP50-1.7)/'Subsample weights'!AV59</f>
        <v>0.56657223796033995</v>
      </c>
      <c r="BS50" s="100">
        <f>('Subsample weights'!AV59-((Ginning!BO50-1.04)+(Ginning!BP50-1.7)))/'Subsample weights'!AV59</f>
        <v>0.1048158640226628</v>
      </c>
      <c r="BT50" s="99"/>
      <c r="BV50" s="107">
        <v>8</v>
      </c>
      <c r="BW50" s="101" t="s">
        <v>1104</v>
      </c>
      <c r="BX50" s="100">
        <v>3.06</v>
      </c>
      <c r="BY50" s="100">
        <v>5.56</v>
      </c>
      <c r="BZ50" s="100">
        <f>(BX50-1.04)/'Subsample weights'!AY59</f>
        <v>0.30239520958083832</v>
      </c>
      <c r="CA50" s="100">
        <f>(BY50-1.7)/'Subsample weights'!AY59</f>
        <v>0.57784431137724546</v>
      </c>
      <c r="CB50" s="100">
        <f>('Subsample weights'!AY59-((Ginning!BX50-1.04)+(Ginning!BY50-1.7)))/'Subsample weights'!AY59</f>
        <v>0.11976047904191628</v>
      </c>
      <c r="CC50" s="99"/>
    </row>
    <row r="51" spans="2:81" ht="22.5" x14ac:dyDescent="0.25">
      <c r="B51" s="107">
        <v>9</v>
      </c>
      <c r="C51" s="101" t="s">
        <v>1103</v>
      </c>
      <c r="D51" s="100">
        <v>3</v>
      </c>
      <c r="E51" s="100">
        <v>4.8600000000000003</v>
      </c>
      <c r="F51" s="100">
        <f>(D51-1.04)/'Subsample weights'!AA60</f>
        <v>0.35000000000000003</v>
      </c>
      <c r="G51" s="100">
        <f>(E51-1.7)/'Subsample weights'!AA60</f>
        <v>0.56428571428571439</v>
      </c>
      <c r="H51" s="100">
        <f>('Subsample weights'!AA60-((Ginning!D51-1.04)+(Ginning!E51-1.7)))/'Subsample weights'!AA60</f>
        <v>8.5714285714285632E-2</v>
      </c>
      <c r="I51" s="106"/>
      <c r="K51" s="107">
        <v>9</v>
      </c>
      <c r="L51" s="101" t="s">
        <v>1103</v>
      </c>
      <c r="M51" s="100">
        <v>2.98</v>
      </c>
      <c r="N51" s="100">
        <v>5.0199999999999996</v>
      </c>
      <c r="O51" s="100">
        <f>(M51-1.04)/'Subsample weights'!AD60</f>
        <v>0.32659932659932661</v>
      </c>
      <c r="P51" s="100">
        <f>(N51-1.7)/'Subsample weights'!AD60</f>
        <v>0.55892255892255882</v>
      </c>
      <c r="Q51" s="100">
        <f>('Subsample weights'!AD60-((Ginning!M51-1.04)+(Ginning!N51-1.7)))/'Subsample weights'!AD60</f>
        <v>0.11447811447811444</v>
      </c>
      <c r="R51" s="105"/>
      <c r="T51" s="107">
        <v>9</v>
      </c>
      <c r="U51" s="101" t="s">
        <v>1103</v>
      </c>
      <c r="V51" s="100">
        <v>3.3</v>
      </c>
      <c r="W51" s="100">
        <v>5.54</v>
      </c>
      <c r="X51" s="100">
        <f>(V51-1.04)/'Subsample weights'!AG60</f>
        <v>0.33235294117647057</v>
      </c>
      <c r="Y51" s="100">
        <f>(W51-1.7)/'Subsample weights'!AG60</f>
        <v>0.56470588235294117</v>
      </c>
      <c r="Z51" s="100">
        <f>('Subsample weights'!AG60-((Ginning!V51-1.04)+(Ginning!W51-1.7)))/'Subsample weights'!AG60</f>
        <v>0.10294117647058826</v>
      </c>
      <c r="AA51" s="103"/>
      <c r="AC51" s="107">
        <v>9</v>
      </c>
      <c r="AD51" s="101" t="s">
        <v>1103</v>
      </c>
      <c r="AE51" s="100">
        <v>2.74</v>
      </c>
      <c r="AF51" s="100">
        <v>4.74</v>
      </c>
      <c r="AG51" s="100">
        <f>(AE51-1.04)/'Subsample weights'!AJ60</f>
        <v>0.31954887218045114</v>
      </c>
      <c r="AH51" s="100">
        <f>(AF51-1.7)/'Subsample weights'!AJ60</f>
        <v>0.5714285714285714</v>
      </c>
      <c r="AI51" s="100">
        <f>('Subsample weights'!AJ60-((Ginning!AE51-1.04)+(Ginning!AF51-1.7)))/'Subsample weights'!AJ60</f>
        <v>0.10902255639097745</v>
      </c>
      <c r="AJ51" s="99"/>
      <c r="AL51" s="107">
        <v>9</v>
      </c>
      <c r="AM51" s="101" t="s">
        <v>1103</v>
      </c>
      <c r="AN51" s="100">
        <v>3.38</v>
      </c>
      <c r="AO51" s="100">
        <v>5.72</v>
      </c>
      <c r="AP51" s="100">
        <f>(AN51-1.04)/'Subsample weights'!AM60</f>
        <v>0.33428571428571424</v>
      </c>
      <c r="AQ51" s="100">
        <f>(AO51-1.7)/'Subsample weights'!AM60</f>
        <v>0.57428571428571418</v>
      </c>
      <c r="AR51" s="100">
        <f>('Subsample weights'!AM60-((Ginning!AN51-1.04)+(Ginning!AO51-1.7)))/'Subsample weights'!AM60</f>
        <v>9.1428571428571512E-2</v>
      </c>
      <c r="AS51" s="99"/>
      <c r="AU51" s="107">
        <v>9</v>
      </c>
      <c r="AV51" s="101" t="s">
        <v>1103</v>
      </c>
      <c r="AW51" s="100">
        <v>3.56</v>
      </c>
      <c r="AX51" s="100">
        <v>6.12</v>
      </c>
      <c r="AY51" s="100">
        <f>(AW51-1.04)/'Subsample weights'!AP60</f>
        <v>0.32558139534883729</v>
      </c>
      <c r="AZ51" s="100">
        <f>(AX51-1.7)/'Subsample weights'!AP60</f>
        <v>0.57105943152454786</v>
      </c>
      <c r="BA51" s="100">
        <f>('Subsample weights'!AP60-((Ginning!AW51-1.04)+(Ginning!AX51-1.7)))/'Subsample weights'!AP60</f>
        <v>0.10335917312661487</v>
      </c>
      <c r="BB51" s="99"/>
      <c r="BD51" s="107">
        <v>9</v>
      </c>
      <c r="BE51" s="101" t="s">
        <v>1103</v>
      </c>
      <c r="BF51" s="100">
        <v>3.9</v>
      </c>
      <c r="BG51" s="100">
        <v>6.34</v>
      </c>
      <c r="BH51" s="100">
        <f>(BF51-1.04)/'Subsample weights'!AS60</f>
        <v>0.34047619047619043</v>
      </c>
      <c r="BI51" s="100">
        <f>(BG51-1.7)/'Subsample weights'!AS60</f>
        <v>0.55238095238095231</v>
      </c>
      <c r="BJ51" s="100">
        <f>('Subsample weights'!AS60-((Ginning!BF51-1.04)+(Ginning!BG51-1.7)))/'Subsample weights'!AS60</f>
        <v>0.10714285714285718</v>
      </c>
      <c r="BK51" s="99"/>
      <c r="BM51" s="107">
        <v>9</v>
      </c>
      <c r="BN51" s="101" t="s">
        <v>1103</v>
      </c>
      <c r="BO51" s="100">
        <v>3.56</v>
      </c>
      <c r="BP51" s="100">
        <v>6.02</v>
      </c>
      <c r="BQ51" s="100">
        <f>(BO51-1.04)/'Subsample weights'!AV60</f>
        <v>0.34054054054054056</v>
      </c>
      <c r="BR51" s="100">
        <f>(BP51-1.7)/'Subsample weights'!AV60</f>
        <v>0.58378378378378371</v>
      </c>
      <c r="BS51" s="100">
        <f>('Subsample weights'!AV60-((Ginning!BO51-1.04)+(Ginning!BP51-1.7)))/'Subsample weights'!AV60</f>
        <v>7.5675675675675624E-2</v>
      </c>
      <c r="BT51" s="99"/>
      <c r="BV51" s="107">
        <v>9</v>
      </c>
      <c r="BW51" s="101" t="s">
        <v>1103</v>
      </c>
      <c r="BX51" s="100">
        <v>3.08</v>
      </c>
      <c r="BY51" s="100">
        <v>5.44</v>
      </c>
      <c r="BZ51" s="100">
        <f>(BX51-1.04)/'Subsample weights'!AY60</f>
        <v>0.31775700934579443</v>
      </c>
      <c r="CA51" s="100">
        <f>(BY51-1.7)/'Subsample weights'!AY60</f>
        <v>0.58255451713395645</v>
      </c>
      <c r="CB51" s="100">
        <f>('Subsample weights'!AY60-((Ginning!BX51-1.04)+(Ginning!BY51-1.7)))/'Subsample weights'!AY60</f>
        <v>9.9688473520249177E-2</v>
      </c>
      <c r="CC51" s="99"/>
    </row>
    <row r="52" spans="2:81" ht="22.5" x14ac:dyDescent="0.25">
      <c r="B52" s="102">
        <v>10</v>
      </c>
      <c r="C52" s="101" t="s">
        <v>1102</v>
      </c>
      <c r="D52" s="100">
        <v>3.06</v>
      </c>
      <c r="E52" s="100">
        <v>5.0599999999999996</v>
      </c>
      <c r="F52" s="100">
        <f>(D52-1.04)/'Subsample weights'!AA61</f>
        <v>0.34006734006734007</v>
      </c>
      <c r="G52" s="100">
        <f>(E52-1.7)/'Subsample weights'!AA61</f>
        <v>0.56565656565656564</v>
      </c>
      <c r="H52" s="100">
        <f>('Subsample weights'!AA61-((Ginning!D52-1.04)+(Ginning!E52-1.7)))/'Subsample weights'!AA61</f>
        <v>9.4276094276094374E-2</v>
      </c>
      <c r="I52" s="106"/>
      <c r="K52" s="102">
        <v>10</v>
      </c>
      <c r="L52" s="101" t="s">
        <v>1102</v>
      </c>
      <c r="M52" s="100">
        <v>3.1</v>
      </c>
      <c r="N52" s="100">
        <v>5.26</v>
      </c>
      <c r="O52" s="100">
        <f>(M52-1.04)/'Subsample weights'!AD61</f>
        <v>0.3322580645161291</v>
      </c>
      <c r="P52" s="100">
        <f>(N52-1.7)/'Subsample weights'!AD61</f>
        <v>0.5741935483870968</v>
      </c>
      <c r="Q52" s="100">
        <f>('Subsample weights'!AD61-((Ginning!M52-1.04)+(Ginning!N52-1.7)))/'Subsample weights'!AD61</f>
        <v>9.354838709677421E-2</v>
      </c>
      <c r="R52" s="105"/>
      <c r="T52" s="102">
        <v>10</v>
      </c>
      <c r="U52" s="101" t="s">
        <v>1102</v>
      </c>
      <c r="V52" s="100">
        <v>3.46</v>
      </c>
      <c r="W52" s="100">
        <v>5.64</v>
      </c>
      <c r="X52" s="100">
        <f>(V52-1.04)/'Subsample weights'!AG61</f>
        <v>0.3457142857142857</v>
      </c>
      <c r="Y52" s="100">
        <f>(W52-1.7)/'Subsample weights'!AG61</f>
        <v>0.56285714285714283</v>
      </c>
      <c r="Z52" s="100">
        <f>('Subsample weights'!AG61-((Ginning!V52-1.04)+(Ginning!W52-1.7)))/'Subsample weights'!AG61</f>
        <v>9.1428571428571512E-2</v>
      </c>
      <c r="AA52" s="103"/>
      <c r="AC52" s="102">
        <v>10</v>
      </c>
      <c r="AD52" s="101" t="s">
        <v>1102</v>
      </c>
      <c r="AE52" s="100">
        <v>3.3</v>
      </c>
      <c r="AF52" s="100">
        <v>5.78</v>
      </c>
      <c r="AG52" s="100">
        <f>(AE52-1.04)/'Subsample weights'!AJ61</f>
        <v>0.32011331444759206</v>
      </c>
      <c r="AH52" s="100">
        <f>(AF52-1.7)/'Subsample weights'!AJ61</f>
        <v>0.57790368271954673</v>
      </c>
      <c r="AI52" s="100">
        <f>('Subsample weights'!AJ61-((Ginning!AE52-1.04)+(Ginning!AF52-1.7)))/'Subsample weights'!AJ61</f>
        <v>0.10198300283286116</v>
      </c>
      <c r="AJ52" s="99"/>
      <c r="AL52" s="102">
        <v>10</v>
      </c>
      <c r="AM52" s="101" t="s">
        <v>1102</v>
      </c>
      <c r="AN52" s="100">
        <v>3.34</v>
      </c>
      <c r="AO52" s="100">
        <v>5.58</v>
      </c>
      <c r="AP52" s="100">
        <f>(AN52-1.04)/'Subsample weights'!AM61</f>
        <v>0.33724340175953077</v>
      </c>
      <c r="AQ52" s="100">
        <f>(AO52-1.7)/'Subsample weights'!AM61</f>
        <v>0.56891495601173014</v>
      </c>
      <c r="AR52" s="100">
        <f>('Subsample weights'!AM61-((Ginning!AN52-1.04)+(Ginning!AO52-1.7)))/'Subsample weights'!AM61</f>
        <v>9.3841642228739086E-2</v>
      </c>
      <c r="AS52" s="99"/>
      <c r="AU52" s="102">
        <v>10</v>
      </c>
      <c r="AV52" s="101" t="s">
        <v>1102</v>
      </c>
      <c r="AW52" s="100">
        <v>3.08</v>
      </c>
      <c r="AX52" s="100">
        <v>5.34</v>
      </c>
      <c r="AY52" s="100">
        <f>(AW52-1.04)/'Subsample weights'!AP61</f>
        <v>0.32903225806451619</v>
      </c>
      <c r="AZ52" s="100">
        <f>(AX52-1.7)/'Subsample weights'!AP61</f>
        <v>0.58709677419354844</v>
      </c>
      <c r="BA52" s="100">
        <f>('Subsample weights'!AP61-((Ginning!AW52-1.04)+(Ginning!AX52-1.7)))/'Subsample weights'!AP61</f>
        <v>8.387096774193542E-2</v>
      </c>
      <c r="BB52" s="99"/>
      <c r="BD52" s="102">
        <v>10</v>
      </c>
      <c r="BE52" s="101" t="s">
        <v>1102</v>
      </c>
      <c r="BF52" s="100">
        <v>3.92</v>
      </c>
      <c r="BG52" s="100">
        <v>6.4</v>
      </c>
      <c r="BH52" s="100">
        <f>(BF52-1.04)/'Subsample weights'!AS61</f>
        <v>0.34204275534441803</v>
      </c>
      <c r="BI52" s="100">
        <f>(BG52-1.7)/'Subsample weights'!AS61</f>
        <v>0.55819477434679332</v>
      </c>
      <c r="BJ52" s="100">
        <f>('Subsample weights'!AS61-((Ginning!BF52-1.04)+(Ginning!BG52-1.7)))/'Subsample weights'!AS61</f>
        <v>9.9762470308788584E-2</v>
      </c>
      <c r="BK52" s="99"/>
      <c r="BM52" s="102">
        <v>10</v>
      </c>
      <c r="BN52" s="101" t="s">
        <v>1102</v>
      </c>
      <c r="BO52" s="100">
        <v>3.3</v>
      </c>
      <c r="BP52" s="100">
        <v>5.56</v>
      </c>
      <c r="BQ52" s="100">
        <f>(BO52-1.04)/'Subsample weights'!AV61</f>
        <v>0.33333333333333331</v>
      </c>
      <c r="BR52" s="100">
        <f>(BP52-1.7)/'Subsample weights'!AV61</f>
        <v>0.56932153392330376</v>
      </c>
      <c r="BS52" s="100">
        <f>('Subsample weights'!AV61-((Ginning!BO52-1.04)+(Ginning!BP52-1.7)))/'Subsample weights'!AV61</f>
        <v>9.7345132743362858E-2</v>
      </c>
      <c r="BT52" s="99"/>
      <c r="BV52" s="102">
        <v>10</v>
      </c>
      <c r="BW52" s="101" t="s">
        <v>1102</v>
      </c>
      <c r="BX52" s="100">
        <v>3.24</v>
      </c>
      <c r="BY52" s="100">
        <v>5.64</v>
      </c>
      <c r="BZ52" s="100">
        <f>(BX52-1.04)/'Subsample weights'!AY61</f>
        <v>0.30726256983240224</v>
      </c>
      <c r="CA52" s="100">
        <f>(BY52-1.7)/'Subsample weights'!AY61</f>
        <v>0.55027932960893844</v>
      </c>
      <c r="CB52" s="100">
        <f>('Subsample weights'!AY61-((Ginning!BX52-1.04)+(Ginning!BY52-1.7)))/'Subsample weights'!AY61</f>
        <v>0.14245810055865929</v>
      </c>
      <c r="CC52" s="99"/>
    </row>
    <row r="53" spans="2:81" ht="22.5" x14ac:dyDescent="0.25">
      <c r="B53" s="102">
        <v>11</v>
      </c>
      <c r="C53" s="101" t="s">
        <v>1101</v>
      </c>
      <c r="D53" s="100">
        <v>2.58</v>
      </c>
      <c r="E53" s="100">
        <v>4.34</v>
      </c>
      <c r="F53" s="100">
        <f>(D53-1.04)/'Subsample weights'!AA62</f>
        <v>0.33047210300429186</v>
      </c>
      <c r="G53" s="100">
        <f>(E53-1.7)/'Subsample weights'!AA62</f>
        <v>0.56652360515021449</v>
      </c>
      <c r="H53" s="100">
        <f>('Subsample weights'!AA62-((Ginning!D53-1.04)+(Ginning!E53-1.7)))/'Subsample weights'!AA62</f>
        <v>0.10300429184549365</v>
      </c>
      <c r="I53" s="103"/>
      <c r="K53" s="102">
        <v>11</v>
      </c>
      <c r="L53" s="101" t="s">
        <v>1101</v>
      </c>
      <c r="M53" s="100">
        <v>3.26</v>
      </c>
      <c r="N53" s="100">
        <v>5.42</v>
      </c>
      <c r="O53" s="100">
        <f>(M53-1.04)/'Subsample weights'!AD62</f>
        <v>0.34049079754601225</v>
      </c>
      <c r="P53" s="100">
        <f>(N53-1.7)/'Subsample weights'!AD62</f>
        <v>0.57055214723926384</v>
      </c>
      <c r="Q53" s="100">
        <f>('Subsample weights'!AD62-((Ginning!M53-1.04)+(Ginning!N53-1.7)))/'Subsample weights'!AD62</f>
        <v>8.895705521472394E-2</v>
      </c>
      <c r="R53" s="99"/>
      <c r="T53" s="102">
        <v>11</v>
      </c>
      <c r="U53" s="101" t="s">
        <v>1101</v>
      </c>
      <c r="V53" s="100">
        <v>3.72</v>
      </c>
      <c r="W53" s="100">
        <v>6.16</v>
      </c>
      <c r="X53" s="100">
        <f>(V53-1.04)/'Subsample weights'!AG62</f>
        <v>0.34625322997416019</v>
      </c>
      <c r="Y53" s="100">
        <f>(W53-1.7)/'Subsample weights'!AG62</f>
        <v>0.57622739018087854</v>
      </c>
      <c r="Z53" s="100">
        <f>('Subsample weights'!AG62-((Ginning!V53-1.04)+(Ginning!W53-1.7)))/'Subsample weights'!AG62</f>
        <v>7.7519379844961198E-2</v>
      </c>
      <c r="AA53" s="103"/>
      <c r="AC53" s="102">
        <v>11</v>
      </c>
      <c r="AD53" s="101" t="s">
        <v>1101</v>
      </c>
      <c r="AE53" s="100">
        <v>3.32</v>
      </c>
      <c r="AF53" s="100">
        <v>5.78</v>
      </c>
      <c r="AG53" s="100">
        <f>(AE53-1.04)/'Subsample weights'!AJ62</f>
        <v>0.32853025936599423</v>
      </c>
      <c r="AH53" s="100">
        <f>(AF53-1.7)/'Subsample weights'!AJ62</f>
        <v>0.58789625360230557</v>
      </c>
      <c r="AI53" s="100">
        <f>('Subsample weights'!AJ62-((Ginning!AE53-1.04)+(Ginning!AF53-1.7)))/'Subsample weights'!AJ62</f>
        <v>8.3573487031700311E-2</v>
      </c>
      <c r="AJ53" s="99"/>
      <c r="AL53" s="102">
        <v>11</v>
      </c>
      <c r="AM53" s="101" t="s">
        <v>1101</v>
      </c>
      <c r="AN53" s="100">
        <v>3.52</v>
      </c>
      <c r="AO53" s="100">
        <v>6.14</v>
      </c>
      <c r="AP53" s="100">
        <f>(AN53-1.04)/'Subsample weights'!AM62</f>
        <v>0.32291666666666669</v>
      </c>
      <c r="AQ53" s="100">
        <f>(AO53-1.7)/'Subsample weights'!AM62</f>
        <v>0.578125</v>
      </c>
      <c r="AR53" s="100">
        <f>('Subsample weights'!AM62-((Ginning!AN53-1.04)+(Ginning!AO53-1.7)))/'Subsample weights'!AM62</f>
        <v>9.8958333333333315E-2</v>
      </c>
      <c r="AS53" s="99"/>
      <c r="AU53" s="102">
        <v>11</v>
      </c>
      <c r="AV53" s="101" t="s">
        <v>1101</v>
      </c>
      <c r="AW53" s="100">
        <v>3.72</v>
      </c>
      <c r="AX53" s="100">
        <v>6.5</v>
      </c>
      <c r="AY53" s="100">
        <f>(AW53-1.04)/'Subsample weights'!AP62</f>
        <v>0.32211538461538464</v>
      </c>
      <c r="AZ53" s="100">
        <f>(AX53-1.7)/'Subsample weights'!AP62</f>
        <v>0.57692307692307687</v>
      </c>
      <c r="BA53" s="100">
        <f>('Subsample weights'!AP62-((Ginning!AW53-1.04)+(Ginning!AX53-1.7)))/'Subsample weights'!AP62</f>
        <v>0.10096153846153844</v>
      </c>
      <c r="BB53" s="99"/>
      <c r="BD53" s="102">
        <v>11</v>
      </c>
      <c r="BE53" s="101" t="s">
        <v>1101</v>
      </c>
      <c r="BF53" s="100">
        <v>3.5</v>
      </c>
      <c r="BG53" s="100">
        <v>5.88</v>
      </c>
      <c r="BH53" s="100">
        <f>(BF53-1.04)/'Subsample weights'!AS62</f>
        <v>0.33153638814016173</v>
      </c>
      <c r="BI53" s="100">
        <f>(BG53-1.7)/'Subsample weights'!AS62</f>
        <v>0.56334231805929913</v>
      </c>
      <c r="BJ53" s="100">
        <f>('Subsample weights'!AS62-((Ginning!BF53-1.04)+(Ginning!BG53-1.7)))/'Subsample weights'!AS62</f>
        <v>0.10512129380053911</v>
      </c>
      <c r="BK53" s="99"/>
      <c r="BM53" s="102">
        <v>11</v>
      </c>
      <c r="BN53" s="101" t="s">
        <v>1101</v>
      </c>
      <c r="BO53" s="100">
        <v>3.04</v>
      </c>
      <c r="BP53" s="100">
        <v>5.04</v>
      </c>
      <c r="BQ53" s="100">
        <f>(BO53-1.04)/'Subsample weights'!AV62</f>
        <v>0.33444816053511706</v>
      </c>
      <c r="BR53" s="100">
        <f>(BP53-1.7)/'Subsample weights'!AV62</f>
        <v>0.55852842809364556</v>
      </c>
      <c r="BS53" s="100">
        <f>('Subsample weights'!AV62-((Ginning!BO53-1.04)+(Ginning!BP53-1.7)))/'Subsample weights'!AV62</f>
        <v>0.10702341137123741</v>
      </c>
      <c r="BT53" s="99"/>
      <c r="BV53" s="102">
        <v>11</v>
      </c>
      <c r="BW53" s="101" t="s">
        <v>1101</v>
      </c>
      <c r="BX53" s="100">
        <v>2.92</v>
      </c>
      <c r="BY53" s="100">
        <v>5.26</v>
      </c>
      <c r="BZ53" s="100">
        <f>(BX53-1.04)/'Subsample weights'!AY62</f>
        <v>0.30519480519480519</v>
      </c>
      <c r="CA53" s="100">
        <f>(BY53-1.7)/'Subsample weights'!AY62</f>
        <v>0.57792207792207784</v>
      </c>
      <c r="CB53" s="100">
        <f>('Subsample weights'!AY62-((Ginning!BX53-1.04)+(Ginning!BY53-1.7)))/'Subsample weights'!AY62</f>
        <v>0.11688311688311698</v>
      </c>
      <c r="CC53" s="99"/>
    </row>
    <row r="54" spans="2:81" ht="22.5" x14ac:dyDescent="0.25">
      <c r="B54" s="102">
        <v>12</v>
      </c>
      <c r="C54" s="101" t="s">
        <v>1099</v>
      </c>
      <c r="D54" s="100">
        <v>2.46</v>
      </c>
      <c r="E54" s="100">
        <v>4.12</v>
      </c>
      <c r="F54" s="100">
        <f>(D54-1.04)/'Subsample weights'!AA63</f>
        <v>0.33023255813953489</v>
      </c>
      <c r="G54" s="100">
        <f>(E54-1.7)/'Subsample weights'!AA63</f>
        <v>0.56279069767441858</v>
      </c>
      <c r="H54" s="100">
        <f>('Subsample weights'!AA63-((Ginning!D54-1.04)+(Ginning!E54-1.7)))/'Subsample weights'!AA63</f>
        <v>0.10697674418604651</v>
      </c>
      <c r="I54" s="103"/>
      <c r="K54" s="102">
        <v>12</v>
      </c>
      <c r="L54" s="101" t="s">
        <v>1099</v>
      </c>
      <c r="M54" s="100">
        <v>3.1</v>
      </c>
      <c r="N54" s="100">
        <v>5.34</v>
      </c>
      <c r="O54" s="100">
        <f>(M54-1.04)/'Subsample weights'!AD63</f>
        <v>0.32187499999999997</v>
      </c>
      <c r="P54" s="100">
        <f>(N54-1.7)/'Subsample weights'!AD63</f>
        <v>0.56874999999999987</v>
      </c>
      <c r="Q54" s="100">
        <f>('Subsample weights'!AD63-((Ginning!M54-1.04)+(Ginning!N54-1.7)))/'Subsample weights'!AD63</f>
        <v>0.10937500000000017</v>
      </c>
      <c r="R54" s="99"/>
      <c r="T54" s="102">
        <v>12</v>
      </c>
      <c r="U54" s="101" t="s">
        <v>1099</v>
      </c>
      <c r="V54" s="100">
        <v>2.96</v>
      </c>
      <c r="W54" s="100">
        <v>5.0599999999999996</v>
      </c>
      <c r="X54" s="100">
        <f>(V54-1.04)/'Subsample weights'!AG63</f>
        <v>0.32214765100671144</v>
      </c>
      <c r="Y54" s="100">
        <f>(W54-1.7)/'Subsample weights'!AG63</f>
        <v>0.56375838926174493</v>
      </c>
      <c r="Z54" s="100">
        <f>('Subsample weights'!AG63-((Ginning!V54-1.04)+(Ginning!W54-1.7)))/'Subsample weights'!AG63</f>
        <v>0.1140939597315436</v>
      </c>
      <c r="AA54" s="103"/>
      <c r="AC54" s="102">
        <v>12</v>
      </c>
      <c r="AD54" s="101" t="s">
        <v>1099</v>
      </c>
      <c r="AE54" s="100">
        <v>3.42</v>
      </c>
      <c r="AF54" s="100">
        <v>5.94</v>
      </c>
      <c r="AG54" s="100">
        <f>(AE54-1.04)/'Subsample weights'!AJ63</f>
        <v>0.3251366120218579</v>
      </c>
      <c r="AH54" s="100">
        <f>(AF54-1.7)/'Subsample weights'!AJ63</f>
        <v>0.57923497267759561</v>
      </c>
      <c r="AI54" s="100">
        <f>('Subsample weights'!AJ63-((Ginning!AE54-1.04)+(Ginning!AF54-1.7)))/'Subsample weights'!AJ63</f>
        <v>9.5628415300546471E-2</v>
      </c>
      <c r="AJ54" s="99"/>
      <c r="AL54" s="102">
        <v>12</v>
      </c>
      <c r="AM54" s="101" t="s">
        <v>1099</v>
      </c>
      <c r="AN54" s="100">
        <v>3.4</v>
      </c>
      <c r="AO54" s="100">
        <v>5.8</v>
      </c>
      <c r="AP54" s="100">
        <f>(AN54-1.04)/'Subsample weights'!AM63</f>
        <v>0.33810888252148996</v>
      </c>
      <c r="AQ54" s="100">
        <f>(AO54-1.7)/'Subsample weights'!AM63</f>
        <v>0.58739255014326641</v>
      </c>
      <c r="AR54" s="100">
        <f>('Subsample weights'!AM63-((Ginning!AN54-1.04)+(Ginning!AO54-1.7)))/'Subsample weights'!AM63</f>
        <v>7.4498567335243626E-2</v>
      </c>
      <c r="AS54" s="99"/>
      <c r="AU54" s="102">
        <v>12</v>
      </c>
      <c r="AV54" s="101" t="s">
        <v>1099</v>
      </c>
      <c r="AW54" s="100">
        <v>2.1</v>
      </c>
      <c r="AX54" s="100">
        <v>3.66</v>
      </c>
      <c r="AY54" s="100">
        <f>(AW54-1.04)/'Subsample weights'!AP63</f>
        <v>0.33974358974358976</v>
      </c>
      <c r="AZ54" s="100">
        <f>(AX54-1.7)/'Subsample weights'!AP63</f>
        <v>0.62820512820512819</v>
      </c>
      <c r="BA54" s="100">
        <f>('Subsample weights'!AP63-((Ginning!AW54-1.04)+(Ginning!AX54-1.7)))/'Subsample weights'!AP63</f>
        <v>3.2051282051281937E-2</v>
      </c>
      <c r="BB54" s="104" t="s">
        <v>1100</v>
      </c>
      <c r="BD54" s="102">
        <v>12</v>
      </c>
      <c r="BE54" s="101" t="s">
        <v>1099</v>
      </c>
      <c r="BF54" s="100">
        <v>3.62</v>
      </c>
      <c r="BG54" s="100">
        <v>5.98</v>
      </c>
      <c r="BH54" s="100">
        <f>(BF54-1.04)/'Subsample weights'!AS63</f>
        <v>0.33681462140992169</v>
      </c>
      <c r="BI54" s="100">
        <f>(BG54-1.7)/'Subsample weights'!AS63</f>
        <v>0.55874673629242821</v>
      </c>
      <c r="BJ54" s="100">
        <f>('Subsample weights'!AS63-((Ginning!BF54-1.04)+(Ginning!BG54-1.7)))/'Subsample weights'!AS63</f>
        <v>0.10443864229765011</v>
      </c>
      <c r="BK54" s="99"/>
      <c r="BM54" s="102">
        <v>12</v>
      </c>
      <c r="BN54" s="101" t="s">
        <v>1099</v>
      </c>
      <c r="BO54" s="100">
        <v>2.96</v>
      </c>
      <c r="BP54" s="100">
        <v>5.0199999999999996</v>
      </c>
      <c r="BQ54" s="100">
        <f>(BO54-1.04)/'Subsample weights'!AV63</f>
        <v>0.32989690721649484</v>
      </c>
      <c r="BR54" s="100">
        <f>(BP54-1.7)/'Subsample weights'!AV63</f>
        <v>0.57044673539518886</v>
      </c>
      <c r="BS54" s="100">
        <f>('Subsample weights'!AV63-((Ginning!BO54-1.04)+(Ginning!BP54-1.7)))/'Subsample weights'!AV63</f>
        <v>9.9656357388316311E-2</v>
      </c>
      <c r="BT54" s="99"/>
      <c r="BV54" s="102">
        <v>12</v>
      </c>
      <c r="BW54" s="101" t="s">
        <v>1099</v>
      </c>
      <c r="BX54" s="100">
        <v>2.88</v>
      </c>
      <c r="BY54" s="100">
        <v>5.16</v>
      </c>
      <c r="BZ54" s="100">
        <f>(BX54-1.04)/'Subsample weights'!AY63</f>
        <v>0.30363036303630364</v>
      </c>
      <c r="CA54" s="100">
        <f>(BY54-1.7)/'Subsample weights'!AY63</f>
        <v>0.57095709570957098</v>
      </c>
      <c r="CB54" s="100">
        <f>('Subsample weights'!AY63-((Ginning!BX54-1.04)+(Ginning!BY54-1.7)))/'Subsample weights'!AY63</f>
        <v>0.12541254125412538</v>
      </c>
      <c r="CC54" s="99"/>
    </row>
    <row r="55" spans="2:81" ht="22.5" x14ac:dyDescent="0.25">
      <c r="B55" s="102">
        <v>13</v>
      </c>
      <c r="C55" s="101" t="s">
        <v>1098</v>
      </c>
      <c r="D55" s="100">
        <v>3.02</v>
      </c>
      <c r="E55" s="100">
        <v>4.9800000000000004</v>
      </c>
      <c r="F55" s="100">
        <f>(D55-1.04)/'Subsample weights'!AA64</f>
        <v>0.34256055363321802</v>
      </c>
      <c r="G55" s="100">
        <f>(E55-1.7)/'Subsample weights'!AA64</f>
        <v>0.56747404844290672</v>
      </c>
      <c r="H55" s="100">
        <f>('Subsample weights'!AA64-((Ginning!D55-1.04)+(Ginning!E55-1.7)))/'Subsample weights'!AA64</f>
        <v>8.9965397923875368E-2</v>
      </c>
      <c r="I55" s="103"/>
      <c r="K55" s="102">
        <v>13</v>
      </c>
      <c r="L55" s="101" t="s">
        <v>1098</v>
      </c>
      <c r="M55" s="100">
        <v>3.3</v>
      </c>
      <c r="N55" s="100">
        <v>5.58</v>
      </c>
      <c r="O55" s="100">
        <f>(M55-1.04)/'Subsample weights'!AD64</f>
        <v>0.33040935672514615</v>
      </c>
      <c r="P55" s="100">
        <f>(N55-1.7)/'Subsample weights'!AD64</f>
        <v>0.56725146198830412</v>
      </c>
      <c r="Q55" s="100">
        <f>('Subsample weights'!AD64-((Ginning!M55-1.04)+(Ginning!N55-1.7)))/'Subsample weights'!AD64</f>
        <v>0.10233918128654973</v>
      </c>
      <c r="R55" s="99"/>
      <c r="T55" s="102">
        <v>13</v>
      </c>
      <c r="U55" s="101" t="s">
        <v>1098</v>
      </c>
      <c r="V55" s="100">
        <v>3.6</v>
      </c>
      <c r="W55" s="100">
        <v>6.08</v>
      </c>
      <c r="X55" s="100">
        <f>(V55-1.04)/'Subsample weights'!AG64</f>
        <v>0.33952254641909818</v>
      </c>
      <c r="Y55" s="100">
        <f>(W55-1.7)/'Subsample weights'!AG64</f>
        <v>0.58090185676392581</v>
      </c>
      <c r="Z55" s="100">
        <f>('Subsample weights'!AG64-((Ginning!V55-1.04)+(Ginning!W55-1.7)))/'Subsample weights'!AG64</f>
        <v>7.9575596816976082E-2</v>
      </c>
      <c r="AA55" s="103"/>
      <c r="AC55" s="102">
        <v>13</v>
      </c>
      <c r="AD55" s="101" t="s">
        <v>1098</v>
      </c>
      <c r="AE55" s="100">
        <v>3.58</v>
      </c>
      <c r="AF55" s="100">
        <v>6.28</v>
      </c>
      <c r="AG55" s="100">
        <f>(AE55-1.04)/'Subsample weights'!AJ64</f>
        <v>0.31989924433249373</v>
      </c>
      <c r="AH55" s="100">
        <f>(AF55-1.7)/'Subsample weights'!AJ64</f>
        <v>0.57682619647355171</v>
      </c>
      <c r="AI55" s="100">
        <f>('Subsample weights'!AJ64-((Ginning!AE55-1.04)+(Ginning!AF55-1.7)))/'Subsample weights'!AJ64</f>
        <v>0.10327455919395459</v>
      </c>
      <c r="AJ55" s="99"/>
      <c r="AL55" s="102">
        <v>13</v>
      </c>
      <c r="AM55" s="101" t="s">
        <v>1098</v>
      </c>
      <c r="AN55" s="100">
        <v>3.34</v>
      </c>
      <c r="AO55" s="100">
        <v>5.76</v>
      </c>
      <c r="AP55" s="100">
        <f>(AN55-1.04)/'Subsample weights'!AM64</f>
        <v>0.32763532763532766</v>
      </c>
      <c r="AQ55" s="100">
        <f>(AO55-1.7)/'Subsample weights'!AM64</f>
        <v>0.57834757834757833</v>
      </c>
      <c r="AR55" s="100">
        <f>('Subsample weights'!AM64-((Ginning!AN55-1.04)+(Ginning!AO55-1.7)))/'Subsample weights'!AM64</f>
        <v>9.4017094017094044E-2</v>
      </c>
      <c r="AS55" s="99"/>
      <c r="AU55" s="102">
        <v>13</v>
      </c>
      <c r="AV55" s="101" t="s">
        <v>1098</v>
      </c>
      <c r="AW55" s="100">
        <v>3.04</v>
      </c>
      <c r="AX55" s="100">
        <v>5.32</v>
      </c>
      <c r="AY55" s="100">
        <f>(AW55-1.04)/'Subsample weights'!AP64</f>
        <v>0.31746031746031744</v>
      </c>
      <c r="AZ55" s="100">
        <f>(AX55-1.7)/'Subsample weights'!AP64</f>
        <v>0.57460317460317467</v>
      </c>
      <c r="BA55" s="100">
        <f>('Subsample weights'!AP64-((Ginning!AW55-1.04)+(Ginning!AX55-1.7)))/'Subsample weights'!AP64</f>
        <v>0.1079365079365079</v>
      </c>
      <c r="BB55" s="99"/>
      <c r="BD55" s="102">
        <v>13</v>
      </c>
      <c r="BE55" s="101" t="s">
        <v>1098</v>
      </c>
      <c r="BF55" s="100">
        <v>3.48</v>
      </c>
      <c r="BG55" s="100">
        <v>5.74</v>
      </c>
      <c r="BH55" s="100">
        <f>(BF55-1.04)/'Subsample weights'!AS64</f>
        <v>0.33333333333333337</v>
      </c>
      <c r="BI55" s="100">
        <f>(BG55-1.7)/'Subsample weights'!AS64</f>
        <v>0.55191256830601099</v>
      </c>
      <c r="BJ55" s="100">
        <f>('Subsample weights'!AS64-((Ginning!BF55-1.04)+(Ginning!BG55-1.7)))/'Subsample weights'!AS64</f>
        <v>0.1147540983606556</v>
      </c>
      <c r="BK55" s="99"/>
      <c r="BM55" s="102">
        <v>13</v>
      </c>
      <c r="BN55" s="101" t="s">
        <v>1098</v>
      </c>
      <c r="BO55" s="100">
        <v>3.54</v>
      </c>
      <c r="BP55" s="100">
        <v>5.76</v>
      </c>
      <c r="BQ55" s="100">
        <f>(BO55-1.04)/'Subsample weights'!AV64</f>
        <v>0.34916201117318435</v>
      </c>
      <c r="BR55" s="100">
        <f>(BP55-1.7)/'Subsample weights'!AV64</f>
        <v>0.56703910614525133</v>
      </c>
      <c r="BS55" s="100">
        <f>('Subsample weights'!AV64-((Ginning!BO55-1.04)+(Ginning!BP55-1.7)))/'Subsample weights'!AV64</f>
        <v>8.3798882681564324E-2</v>
      </c>
      <c r="BT55" s="99"/>
      <c r="BV55" s="102">
        <v>13</v>
      </c>
      <c r="BW55" s="101" t="s">
        <v>1098</v>
      </c>
      <c r="BX55" s="100">
        <v>3.26</v>
      </c>
      <c r="BY55" s="100">
        <v>5.86</v>
      </c>
      <c r="BZ55" s="100">
        <f>(BX55-1.04)/'Subsample weights'!AY64</f>
        <v>0.30494505494505492</v>
      </c>
      <c r="CA55" s="100">
        <f>(BY55-1.7)/'Subsample weights'!AY64</f>
        <v>0.57142857142857151</v>
      </c>
      <c r="CB55" s="100">
        <f>('Subsample weights'!AY64-((Ginning!BX55-1.04)+(Ginning!BY55-1.7)))/'Subsample weights'!AY64</f>
        <v>0.12362637362637356</v>
      </c>
      <c r="CC55" s="99"/>
    </row>
    <row r="56" spans="2:81" ht="22.5" x14ac:dyDescent="0.25">
      <c r="B56" s="102">
        <v>14</v>
      </c>
      <c r="C56" s="101" t="s">
        <v>1097</v>
      </c>
      <c r="D56" s="100">
        <v>3.1</v>
      </c>
      <c r="E56" s="100">
        <v>5.14</v>
      </c>
      <c r="F56" s="100">
        <f>(D56-1.04)/'Subsample weights'!AA65</f>
        <v>0.34219269102990035</v>
      </c>
      <c r="G56" s="100">
        <f>(E56-1.7)/'Subsample weights'!AA65</f>
        <v>0.5714285714285714</v>
      </c>
      <c r="H56" s="100">
        <f>('Subsample weights'!AA65-((Ginning!D56-1.04)+(Ginning!E56-1.7)))/'Subsample weights'!AA65</f>
        <v>8.6378737541528181E-2</v>
      </c>
      <c r="I56" s="103"/>
      <c r="K56" s="102">
        <v>14</v>
      </c>
      <c r="L56" s="101" t="s">
        <v>1097</v>
      </c>
      <c r="M56" s="100">
        <v>3.28</v>
      </c>
      <c r="N56" s="100">
        <v>5.62</v>
      </c>
      <c r="O56" s="100">
        <f>(M56-1.04)/'Subsample weights'!AD65</f>
        <v>0.32941176470588235</v>
      </c>
      <c r="P56" s="100">
        <f>(N56-1.7)/'Subsample weights'!AD65</f>
        <v>0.57647058823529418</v>
      </c>
      <c r="Q56" s="100">
        <f>('Subsample weights'!AD65-((Ginning!M56-1.04)+(Ginning!N56-1.7)))/'Subsample weights'!AD65</f>
        <v>9.4117647058823362E-2</v>
      </c>
      <c r="R56" s="99"/>
      <c r="T56" s="102">
        <v>14</v>
      </c>
      <c r="U56" s="101" t="s">
        <v>1097</v>
      </c>
      <c r="V56" s="100">
        <v>3.46</v>
      </c>
      <c r="W56" s="100">
        <v>5.84</v>
      </c>
      <c r="X56" s="100">
        <f>(V56-1.04)/'Subsample weights'!AG65</f>
        <v>0.3235294117647059</v>
      </c>
      <c r="Y56" s="100">
        <f>(W56-1.7)/'Subsample weights'!AG65</f>
        <v>0.553475935828877</v>
      </c>
      <c r="Z56" s="100">
        <f>('Subsample weights'!AG65-((Ginning!V56-1.04)+(Ginning!W56-1.7)))/'Subsample weights'!AG65</f>
        <v>0.1229946524064171</v>
      </c>
      <c r="AA56" s="103"/>
      <c r="AC56" s="102">
        <v>14</v>
      </c>
      <c r="AD56" s="101" t="s">
        <v>1097</v>
      </c>
      <c r="AE56" s="100">
        <v>2.9</v>
      </c>
      <c r="AF56" s="100">
        <v>4.96</v>
      </c>
      <c r="AG56" s="100">
        <f>(AE56-1.04)/'Subsample weights'!AJ65</f>
        <v>0.3217993079584775</v>
      </c>
      <c r="AH56" s="100">
        <f>(AF56-1.7)/'Subsample weights'!AJ65</f>
        <v>0.56401384083044981</v>
      </c>
      <c r="AI56" s="100">
        <f>('Subsample weights'!AJ65-((Ginning!AE56-1.04)+(Ginning!AF56-1.7)))/'Subsample weights'!AJ65</f>
        <v>0.11418685121107271</v>
      </c>
      <c r="AJ56" s="99"/>
      <c r="AL56" s="102">
        <v>14</v>
      </c>
      <c r="AM56" s="101" t="s">
        <v>1097</v>
      </c>
      <c r="AN56" s="100">
        <v>3.44</v>
      </c>
      <c r="AO56" s="100">
        <v>5.86</v>
      </c>
      <c r="AP56" s="100">
        <f>(AN56-1.04)/'Subsample weights'!AM65</f>
        <v>0.33240997229916902</v>
      </c>
      <c r="AQ56" s="100">
        <f>(AO56-1.7)/'Subsample weights'!AM65</f>
        <v>0.57617728531855972</v>
      </c>
      <c r="AR56" s="100">
        <f>('Subsample weights'!AM65-((Ginning!AN56-1.04)+(Ginning!AO56-1.7)))/'Subsample weights'!AM65</f>
        <v>9.1412742382271261E-2</v>
      </c>
      <c r="AS56" s="99"/>
      <c r="AU56" s="102">
        <v>14</v>
      </c>
      <c r="AV56" s="101" t="s">
        <v>1097</v>
      </c>
      <c r="AW56" s="100">
        <v>2.92</v>
      </c>
      <c r="AX56" s="100">
        <v>5.04</v>
      </c>
      <c r="AY56" s="100">
        <f>(AW56-1.04)/'Subsample weights'!AP65</f>
        <v>0.32191780821917809</v>
      </c>
      <c r="AZ56" s="100">
        <f>(AX56-1.7)/'Subsample weights'!AP65</f>
        <v>0.57191780821917804</v>
      </c>
      <c r="BA56" s="100">
        <f>('Subsample weights'!AP65-((Ginning!AW56-1.04)+(Ginning!AX56-1.7)))/'Subsample weights'!AP65</f>
        <v>0.10616438356164386</v>
      </c>
      <c r="BB56" s="99"/>
      <c r="BD56" s="102">
        <v>14</v>
      </c>
      <c r="BE56" s="101" t="s">
        <v>1097</v>
      </c>
      <c r="BF56" s="100">
        <v>3.84</v>
      </c>
      <c r="BG56" s="100">
        <v>6.42</v>
      </c>
      <c r="BH56" s="100">
        <f>(BF56-1.04)/'Subsample weights'!AS65</f>
        <v>0.33333333333333337</v>
      </c>
      <c r="BI56" s="100">
        <f>(BG56-1.7)/'Subsample weights'!AS65</f>
        <v>0.56190476190476202</v>
      </c>
      <c r="BJ56" s="100">
        <f>('Subsample weights'!AS65-((Ginning!BF56-1.04)+(Ginning!BG56-1.7)))/'Subsample weights'!AS65</f>
        <v>0.10476190476190467</v>
      </c>
      <c r="BK56" s="99"/>
      <c r="BM56" s="102">
        <v>14</v>
      </c>
      <c r="BN56" s="101" t="s">
        <v>1097</v>
      </c>
      <c r="BO56" s="100">
        <v>3.54</v>
      </c>
      <c r="BP56" s="100">
        <v>5.92</v>
      </c>
      <c r="BQ56" s="100">
        <f>(BO56-1.04)/'Subsample weights'!AV65</f>
        <v>0.33783783783783788</v>
      </c>
      <c r="BR56" s="100">
        <f>(BP56-1.7)/'Subsample weights'!AV65</f>
        <v>0.57027027027027033</v>
      </c>
      <c r="BS56" s="100">
        <f>('Subsample weights'!AV65-((Ginning!BO56-1.04)+(Ginning!BP56-1.7)))/'Subsample weights'!AV65</f>
        <v>9.1891891891891855E-2</v>
      </c>
      <c r="BT56" s="99"/>
      <c r="BV56" s="102">
        <v>14</v>
      </c>
      <c r="BW56" s="101" t="s">
        <v>1097</v>
      </c>
      <c r="BX56" s="100">
        <v>3.1</v>
      </c>
      <c r="BY56" s="100">
        <v>5.7</v>
      </c>
      <c r="BZ56" s="100">
        <f>(BX56-1.04)/'Subsample weights'!AY65</f>
        <v>0.29768786127167629</v>
      </c>
      <c r="CA56" s="100">
        <f>(BY56-1.7)/'Subsample weights'!AY65</f>
        <v>0.5780346820809249</v>
      </c>
      <c r="CB56" s="100">
        <f>('Subsample weights'!AY65-((Ginning!BX56-1.04)+(Ginning!BY56-1.7)))/'Subsample weights'!AY65</f>
        <v>0.12427745664739877</v>
      </c>
      <c r="CC56" s="99"/>
    </row>
    <row r="57" spans="2:81" ht="22.5" x14ac:dyDescent="0.25">
      <c r="B57" s="102">
        <v>15</v>
      </c>
      <c r="C57" s="101" t="s">
        <v>1096</v>
      </c>
      <c r="D57" s="100">
        <v>3</v>
      </c>
      <c r="E57" s="100">
        <v>4.9800000000000004</v>
      </c>
      <c r="F57" s="100">
        <f>(D57-1.04)/'Subsample weights'!AA66</f>
        <v>0.34146341463414631</v>
      </c>
      <c r="G57" s="100">
        <f>(E57-1.7)/'Subsample weights'!AA66</f>
        <v>0.5714285714285714</v>
      </c>
      <c r="H57" s="100">
        <f>('Subsample weights'!AA66-((Ginning!D57-1.04)+(Ginning!E57-1.7)))/'Subsample weights'!AA66</f>
        <v>8.7108013937282222E-2</v>
      </c>
      <c r="I57" s="103"/>
      <c r="K57" s="102">
        <v>15</v>
      </c>
      <c r="L57" s="101" t="s">
        <v>1096</v>
      </c>
      <c r="M57" s="100">
        <v>3.52</v>
      </c>
      <c r="N57" s="100">
        <v>5.94</v>
      </c>
      <c r="O57" s="100">
        <f>(M57-1.04)/'Subsample weights'!AD66</f>
        <v>0.32978723404255322</v>
      </c>
      <c r="P57" s="100">
        <f>(N57-1.7)/'Subsample weights'!AD66</f>
        <v>0.56382978723404265</v>
      </c>
      <c r="Q57" s="100">
        <f>('Subsample weights'!AD66-((Ginning!M57-1.04)+(Ginning!N57-1.7)))/'Subsample weights'!AD66</f>
        <v>0.10638297872340412</v>
      </c>
      <c r="R57" s="99"/>
      <c r="T57" s="102">
        <v>15</v>
      </c>
      <c r="U57" s="101" t="s">
        <v>1096</v>
      </c>
      <c r="V57" s="100">
        <v>3.64</v>
      </c>
      <c r="W57" s="100">
        <v>6.12</v>
      </c>
      <c r="X57" s="100">
        <f>(V57-1.04)/'Subsample weights'!AG66</f>
        <v>0.33942558746736295</v>
      </c>
      <c r="Y57" s="100">
        <f>(W57-1.7)/'Subsample weights'!AG66</f>
        <v>0.57702349869451697</v>
      </c>
      <c r="Z57" s="100">
        <f>('Subsample weights'!AG66-((Ginning!V57-1.04)+(Ginning!W57-1.7)))/'Subsample weights'!AG66</f>
        <v>8.3550913838120175E-2</v>
      </c>
      <c r="AA57" s="103"/>
      <c r="AC57" s="102">
        <v>15</v>
      </c>
      <c r="AD57" s="101" t="s">
        <v>1096</v>
      </c>
      <c r="AE57" s="100">
        <v>3.26</v>
      </c>
      <c r="AF57" s="100">
        <v>5.68</v>
      </c>
      <c r="AG57" s="100">
        <f>(AE57-1.04)/'Subsample weights'!AJ66</f>
        <v>0.32361516034985421</v>
      </c>
      <c r="AH57" s="100">
        <f>(AF57-1.7)/'Subsample weights'!AJ66</f>
        <v>0.58017492711370255</v>
      </c>
      <c r="AI57" s="100">
        <f>('Subsample weights'!AJ66-((Ginning!AE57-1.04)+(Ginning!AF57-1.7)))/'Subsample weights'!AJ66</f>
        <v>9.6209912536443176E-2</v>
      </c>
      <c r="AJ57" s="99"/>
      <c r="AL57" s="102">
        <v>15</v>
      </c>
      <c r="AM57" s="101" t="s">
        <v>1096</v>
      </c>
      <c r="AN57" s="100">
        <v>3.18</v>
      </c>
      <c r="AO57" s="100">
        <v>5.4</v>
      </c>
      <c r="AP57" s="100">
        <f>(AN57-1.04)/'Subsample weights'!AM66</f>
        <v>0.3322981366459628</v>
      </c>
      <c r="AQ57" s="100">
        <f>(AO57-1.7)/'Subsample weights'!AM66</f>
        <v>0.57453416149068326</v>
      </c>
      <c r="AR57" s="100">
        <f>('Subsample weights'!AM66-((Ginning!AN57-1.04)+(Ginning!AO57-1.7)))/'Subsample weights'!AM66</f>
        <v>9.3167701863353991E-2</v>
      </c>
      <c r="AS57" s="99"/>
      <c r="AU57" s="102">
        <v>15</v>
      </c>
      <c r="AV57" s="101" t="s">
        <v>1096</v>
      </c>
      <c r="AW57" s="100">
        <v>2.92</v>
      </c>
      <c r="AX57" s="100">
        <v>5.04</v>
      </c>
      <c r="AY57" s="100">
        <f>(AW57-1.04)/'Subsample weights'!AP66</f>
        <v>0.33215547703180209</v>
      </c>
      <c r="AZ57" s="100">
        <f>(AX57-1.7)/'Subsample weights'!AP66</f>
        <v>0.59010600706713778</v>
      </c>
      <c r="BA57" s="100">
        <f>('Subsample weights'!AP66-((Ginning!AW57-1.04)+(Ginning!AX57-1.7)))/'Subsample weights'!AP66</f>
        <v>7.7738515901060137E-2</v>
      </c>
      <c r="BB57" s="99"/>
      <c r="BD57" s="102">
        <v>15</v>
      </c>
      <c r="BE57" s="101" t="s">
        <v>1096</v>
      </c>
      <c r="BF57" s="100">
        <v>3.14</v>
      </c>
      <c r="BG57" s="100">
        <v>5.3</v>
      </c>
      <c r="BH57" s="100">
        <f>(BF57-1.04)/'Subsample weights'!AS66</f>
        <v>0.32710280373831779</v>
      </c>
      <c r="BI57" s="100">
        <f>(BG57-1.7)/'Subsample weights'!AS66</f>
        <v>0.56074766355140182</v>
      </c>
      <c r="BJ57" s="100">
        <f>('Subsample weights'!AS66-((Ginning!BF57-1.04)+(Ginning!BG57-1.7)))/'Subsample weights'!AS66</f>
        <v>0.11214953271028047</v>
      </c>
      <c r="BK57" s="99"/>
      <c r="BM57" s="102">
        <v>15</v>
      </c>
      <c r="BN57" s="101" t="s">
        <v>1096</v>
      </c>
      <c r="BO57" s="100">
        <v>3.24</v>
      </c>
      <c r="BP57" s="100">
        <v>5.4</v>
      </c>
      <c r="BQ57" s="100">
        <f>(BO57-1.04)/'Subsample weights'!AV66</f>
        <v>0.33950617283950624</v>
      </c>
      <c r="BR57" s="100">
        <f>(BP57-1.7)/'Subsample weights'!AV66</f>
        <v>0.57098765432098775</v>
      </c>
      <c r="BS57" s="100">
        <f>('Subsample weights'!AV66-((Ginning!BO57-1.04)+(Ginning!BP57-1.7)))/'Subsample weights'!AV66</f>
        <v>8.9506172839506057E-2</v>
      </c>
      <c r="BT57" s="99"/>
      <c r="BV57" s="102">
        <v>15</v>
      </c>
      <c r="BW57" s="101" t="s">
        <v>1096</v>
      </c>
      <c r="BX57" s="100">
        <v>3.24</v>
      </c>
      <c r="BY57" s="100">
        <v>5.88</v>
      </c>
      <c r="BZ57" s="100">
        <f>(BX57-1.04)/'Subsample weights'!AY66</f>
        <v>0.3098591549295775</v>
      </c>
      <c r="CA57" s="100">
        <f>(BY57-1.7)/'Subsample weights'!AY66</f>
        <v>0.58873239436619718</v>
      </c>
      <c r="CB57" s="100">
        <f>('Subsample weights'!AY66-((Ginning!BX57-1.04)+(Ginning!BY57-1.7)))/'Subsample weights'!AY66</f>
        <v>0.10140845070422533</v>
      </c>
      <c r="CC57" s="99"/>
    </row>
    <row r="58" spans="2:81" ht="22.5" x14ac:dyDescent="0.25">
      <c r="B58" s="102">
        <v>16</v>
      </c>
      <c r="C58" s="101" t="s">
        <v>1095</v>
      </c>
      <c r="D58" s="100">
        <v>2.82</v>
      </c>
      <c r="E58" s="100">
        <v>4.68</v>
      </c>
      <c r="F58" s="100">
        <f>(D58-1.04)/'Subsample weights'!AA67</f>
        <v>0.33840304182509501</v>
      </c>
      <c r="G58" s="100">
        <f>(E58-1.7)/'Subsample weights'!AA67</f>
        <v>0.56653992395437258</v>
      </c>
      <c r="H58" s="100">
        <f>('Subsample weights'!AA67-((Ginning!D58-1.04)+(Ginning!E58-1.7)))/'Subsample weights'!AA67</f>
        <v>9.5057034220532327E-2</v>
      </c>
      <c r="I58" s="103"/>
      <c r="K58" s="102">
        <v>16</v>
      </c>
      <c r="L58" s="101" t="s">
        <v>1095</v>
      </c>
      <c r="M58" s="100">
        <v>3.54</v>
      </c>
      <c r="N58" s="100">
        <v>5.9</v>
      </c>
      <c r="O58" s="100">
        <f>(M58-1.04)/'Subsample weights'!AD67</f>
        <v>0.33783783783783788</v>
      </c>
      <c r="P58" s="100">
        <f>(N58-1.7)/'Subsample weights'!AD67</f>
        <v>0.56756756756756765</v>
      </c>
      <c r="Q58" s="100">
        <f>('Subsample weights'!AD67-((Ginning!M58-1.04)+(Ginning!N58-1.7)))/'Subsample weights'!AD67</f>
        <v>9.4594594594594503E-2</v>
      </c>
      <c r="R58" s="99"/>
      <c r="T58" s="102">
        <v>16</v>
      </c>
      <c r="U58" s="101" t="s">
        <v>1095</v>
      </c>
      <c r="V58" s="100">
        <v>3.32</v>
      </c>
      <c r="W58" s="100">
        <v>5.32</v>
      </c>
      <c r="X58" s="100">
        <f>(V58-1.04)/'Subsample weights'!AG67</f>
        <v>0.35076923076923072</v>
      </c>
      <c r="Y58" s="100">
        <f>(W58-1.7)/'Subsample weights'!AG67</f>
        <v>0.55692307692307697</v>
      </c>
      <c r="Z58" s="100">
        <f>('Subsample weights'!AG67-((Ginning!V58-1.04)+(Ginning!W58-1.7)))/'Subsample weights'!AG67</f>
        <v>9.2307692307692257E-2</v>
      </c>
      <c r="AA58" s="103"/>
      <c r="AC58" s="102">
        <v>16</v>
      </c>
      <c r="AD58" s="101" t="s">
        <v>1095</v>
      </c>
      <c r="AE58" s="100">
        <v>3.56</v>
      </c>
      <c r="AF58" s="100">
        <v>6.18</v>
      </c>
      <c r="AG58" s="100">
        <f>(AE58-1.04)/'Subsample weights'!AJ67</f>
        <v>0.32558139534883718</v>
      </c>
      <c r="AH58" s="100">
        <f>(AF58-1.7)/'Subsample weights'!AJ67</f>
        <v>0.57881136950904388</v>
      </c>
      <c r="AI58" s="100">
        <f>('Subsample weights'!AJ67-((Ginning!AE58-1.04)+(Ginning!AF58-1.7)))/'Subsample weights'!AJ67</f>
        <v>9.5607235142118885E-2</v>
      </c>
      <c r="AJ58" s="99"/>
      <c r="AL58" s="102">
        <v>16</v>
      </c>
      <c r="AM58" s="101" t="s">
        <v>1095</v>
      </c>
      <c r="AN58" s="100">
        <v>3.48</v>
      </c>
      <c r="AO58" s="100">
        <v>5.94</v>
      </c>
      <c r="AP58" s="100">
        <f>(AN58-1.04)/'Subsample weights'!AM67</f>
        <v>0.33333333333333331</v>
      </c>
      <c r="AQ58" s="100">
        <f>(AO58-1.7)/'Subsample weights'!AM67</f>
        <v>0.57923497267759561</v>
      </c>
      <c r="AR58" s="100">
        <f>('Subsample weights'!AM67-((Ginning!AN58-1.04)+(Ginning!AO58-1.7)))/'Subsample weights'!AM67</f>
        <v>8.7431693989071108E-2</v>
      </c>
      <c r="AS58" s="99"/>
      <c r="AU58" s="102">
        <v>16</v>
      </c>
      <c r="AV58" s="101" t="s">
        <v>1095</v>
      </c>
      <c r="AW58" s="100">
        <v>2.98</v>
      </c>
      <c r="AX58" s="100">
        <v>5.16</v>
      </c>
      <c r="AY58" s="100">
        <f>(AW58-1.04)/'Subsample weights'!AP67</f>
        <v>0.32659932659932661</v>
      </c>
      <c r="AZ58" s="100">
        <f>(AX58-1.7)/'Subsample weights'!AP67</f>
        <v>0.5824915824915825</v>
      </c>
      <c r="BA58" s="100">
        <f>('Subsample weights'!AP67-((Ginning!AW58-1.04)+(Ginning!AX58-1.7)))/'Subsample weights'!AP67</f>
        <v>9.0909090909090773E-2</v>
      </c>
      <c r="BB58" s="99"/>
      <c r="BD58" s="102">
        <v>16</v>
      </c>
      <c r="BE58" s="101" t="s">
        <v>1095</v>
      </c>
      <c r="BF58" s="100">
        <v>3.9</v>
      </c>
      <c r="BG58" s="100">
        <v>6.12</v>
      </c>
      <c r="BH58" s="100">
        <f>(BF58-1.04)/'Subsample weights'!AS67</f>
        <v>0.36479591836734693</v>
      </c>
      <c r="BI58" s="100">
        <f>(BG58-1.7)/'Subsample weights'!AS67</f>
        <v>0.56377551020408168</v>
      </c>
      <c r="BJ58" s="100">
        <f>('Subsample weights'!AS67-((Ginning!BF58-1.04)+(Ginning!BG58-1.7)))/'Subsample weights'!AS67</f>
        <v>7.1428571428571494E-2</v>
      </c>
      <c r="BK58" s="99"/>
      <c r="BM58" s="102">
        <v>16</v>
      </c>
      <c r="BN58" s="101" t="s">
        <v>1095</v>
      </c>
      <c r="BO58" s="100">
        <v>3.2</v>
      </c>
      <c r="BP58" s="100">
        <v>5.3</v>
      </c>
      <c r="BQ58" s="100">
        <f>(BO58-1.04)/'Subsample weights'!AV67</f>
        <v>0.33333333333333331</v>
      </c>
      <c r="BR58" s="100">
        <f>(BP58-1.7)/'Subsample weights'!AV67</f>
        <v>0.55555555555555547</v>
      </c>
      <c r="BS58" s="100">
        <f>('Subsample weights'!AV67-((Ginning!BO58-1.04)+(Ginning!BP58-1.7)))/'Subsample weights'!AV67</f>
        <v>0.1111111111111112</v>
      </c>
      <c r="BT58" s="99"/>
      <c r="BV58" s="102">
        <v>16</v>
      </c>
      <c r="BW58" s="101" t="s">
        <v>1095</v>
      </c>
      <c r="BX58" s="100">
        <v>3.24</v>
      </c>
      <c r="BY58" s="100">
        <v>5.94</v>
      </c>
      <c r="BZ58" s="100">
        <f>(BX58-1.04)/'Subsample weights'!AY67</f>
        <v>0.30136986301369867</v>
      </c>
      <c r="CA58" s="100">
        <f>(BY58-1.7)/'Subsample weights'!AY67</f>
        <v>0.58082191780821923</v>
      </c>
      <c r="CB58" s="100">
        <f>('Subsample weights'!AY67-((Ginning!BX58-1.04)+(Ginning!BY58-1.7)))/'Subsample weights'!AY67</f>
        <v>0.11780821917808211</v>
      </c>
      <c r="CC58" s="99"/>
    </row>
    <row r="59" spans="2:81" ht="22.5" x14ac:dyDescent="0.25">
      <c r="B59" s="102">
        <v>17</v>
      </c>
      <c r="C59" s="101" t="s">
        <v>1094</v>
      </c>
      <c r="D59" s="100">
        <v>2.66</v>
      </c>
      <c r="E59" s="100">
        <v>4.38</v>
      </c>
      <c r="F59" s="100">
        <f>(D59-1.04)/'Subsample weights'!AA68</f>
        <v>0.34322033898305088</v>
      </c>
      <c r="G59" s="100">
        <f>(E59-1.7)/'Subsample weights'!AA68</f>
        <v>0.56779661016949146</v>
      </c>
      <c r="H59" s="100">
        <f>('Subsample weights'!AA68-((Ginning!D59-1.04)+(Ginning!E59-1.7)))/'Subsample weights'!AA68</f>
        <v>8.8983050847457612E-2</v>
      </c>
      <c r="I59" s="103"/>
      <c r="K59" s="102">
        <v>17</v>
      </c>
      <c r="L59" s="101" t="s">
        <v>1094</v>
      </c>
      <c r="M59" s="100">
        <v>3.08</v>
      </c>
      <c r="N59" s="100">
        <v>5.16</v>
      </c>
      <c r="O59" s="100">
        <f>(M59-1.04)/'Subsample weights'!AD68</f>
        <v>0.33442622950819673</v>
      </c>
      <c r="P59" s="100">
        <f>(N59-1.7)/'Subsample weights'!AD68</f>
        <v>0.56721311475409841</v>
      </c>
      <c r="Q59" s="100">
        <f>('Subsample weights'!AD68-((Ginning!M59-1.04)+(Ginning!N59-1.7)))/'Subsample weights'!AD68</f>
        <v>9.8360655737704861E-2</v>
      </c>
      <c r="R59" s="99"/>
      <c r="T59" s="102">
        <v>17</v>
      </c>
      <c r="U59" s="101" t="s">
        <v>1094</v>
      </c>
      <c r="V59" s="100">
        <v>3.24</v>
      </c>
      <c r="W59" s="100">
        <v>5.48</v>
      </c>
      <c r="X59" s="100">
        <f>(V59-1.04)/'Subsample weights'!AG68</f>
        <v>0.33434650455927056</v>
      </c>
      <c r="Y59" s="100">
        <f>(W59-1.7)/'Subsample weights'!AG68</f>
        <v>0.57446808510638303</v>
      </c>
      <c r="Z59" s="100">
        <f>('Subsample weights'!AG68-((Ginning!V59-1.04)+(Ginning!W59-1.7)))/'Subsample weights'!AG68</f>
        <v>9.1185410334346448E-2</v>
      </c>
      <c r="AA59" s="103"/>
      <c r="AC59" s="102">
        <v>17</v>
      </c>
      <c r="AD59" s="101" t="s">
        <v>1094</v>
      </c>
      <c r="AE59" s="100">
        <v>3.34</v>
      </c>
      <c r="AF59" s="100">
        <v>5.74</v>
      </c>
      <c r="AG59" s="100">
        <f>(AE59-1.04)/'Subsample weights'!AJ68</f>
        <v>0.33236994219653176</v>
      </c>
      <c r="AH59" s="100">
        <f>(AF59-1.7)/'Subsample weights'!AJ68</f>
        <v>0.58381502890173409</v>
      </c>
      <c r="AI59" s="100">
        <f>('Subsample weights'!AJ68-((Ginning!AE59-1.04)+(Ginning!AF59-1.7)))/'Subsample weights'!AJ68</f>
        <v>8.3815028901734118E-2</v>
      </c>
      <c r="AJ59" s="99"/>
      <c r="AL59" s="102">
        <v>17</v>
      </c>
      <c r="AM59" s="101" t="s">
        <v>1094</v>
      </c>
      <c r="AN59" s="100">
        <v>3.28</v>
      </c>
      <c r="AO59" s="100">
        <v>5.52</v>
      </c>
      <c r="AP59" s="100">
        <f>(AN59-1.04)/'Subsample weights'!AM68</f>
        <v>0.34042553191489355</v>
      </c>
      <c r="AQ59" s="100">
        <f>(AO59-1.7)/'Subsample weights'!AM68</f>
        <v>0.58054711246200597</v>
      </c>
      <c r="AR59" s="100">
        <f>('Subsample weights'!AM68-((Ginning!AN59-1.04)+(Ginning!AO59-1.7)))/'Subsample weights'!AM68</f>
        <v>7.9027355623100509E-2</v>
      </c>
      <c r="AS59" s="99"/>
      <c r="AU59" s="102">
        <v>17</v>
      </c>
      <c r="AV59" s="101" t="s">
        <v>1094</v>
      </c>
      <c r="AW59" s="100">
        <v>3.42</v>
      </c>
      <c r="AX59" s="100">
        <v>5.9</v>
      </c>
      <c r="AY59" s="100">
        <f>(AW59-1.04)/'Subsample weights'!AP68</f>
        <v>0.3251366120218579</v>
      </c>
      <c r="AZ59" s="100">
        <f>(AX59-1.7)/'Subsample weights'!AP68</f>
        <v>0.57377049180327866</v>
      </c>
      <c r="BA59" s="100">
        <f>('Subsample weights'!AP68-((Ginning!AW59-1.04)+(Ginning!AX59-1.7)))/'Subsample weights'!AP68</f>
        <v>0.10109289617486342</v>
      </c>
      <c r="BB59" s="99"/>
      <c r="BD59" s="102">
        <v>17</v>
      </c>
      <c r="BE59" s="101" t="s">
        <v>1094</v>
      </c>
      <c r="BF59" s="100">
        <v>3.54</v>
      </c>
      <c r="BG59" s="100">
        <v>5.92</v>
      </c>
      <c r="BH59" s="100">
        <f>(BF59-1.04)/'Subsample weights'!AS68</f>
        <v>0.33422459893048129</v>
      </c>
      <c r="BI59" s="100">
        <f>(BG59-1.7)/'Subsample weights'!AS68</f>
        <v>0.56417112299465233</v>
      </c>
      <c r="BJ59" s="100">
        <f>('Subsample weights'!AS68-((Ginning!BF59-1.04)+(Ginning!BG59-1.7)))/'Subsample weights'!AS68</f>
        <v>0.1016042780748664</v>
      </c>
      <c r="BK59" s="99"/>
      <c r="BM59" s="102">
        <v>17</v>
      </c>
      <c r="BN59" s="101" t="s">
        <v>1094</v>
      </c>
      <c r="BO59" s="100">
        <v>2.8</v>
      </c>
      <c r="BP59" s="100">
        <v>4.68</v>
      </c>
      <c r="BQ59" s="100">
        <f>(BO59-1.04)/'Subsample weights'!AV68</f>
        <v>0.33587786259541985</v>
      </c>
      <c r="BR59" s="100">
        <f>(BP59-1.7)/'Subsample weights'!AV68</f>
        <v>0.56870229007633588</v>
      </c>
      <c r="BS59" s="100">
        <f>('Subsample weights'!AV68-((Ginning!BO59-1.04)+(Ginning!BP59-1.7)))/'Subsample weights'!AV68</f>
        <v>9.5419847328244281E-2</v>
      </c>
      <c r="BT59" s="99"/>
      <c r="BV59" s="102">
        <v>17</v>
      </c>
      <c r="BW59" s="101" t="s">
        <v>1094</v>
      </c>
      <c r="BX59" s="100">
        <v>3.12</v>
      </c>
      <c r="BY59" s="100">
        <v>5.76</v>
      </c>
      <c r="BZ59" s="100">
        <f>(BX59-1.04)/'Subsample weights'!AY68</f>
        <v>0.29629629629629634</v>
      </c>
      <c r="CA59" s="100">
        <f>(BY59-1.7)/'Subsample weights'!AY68</f>
        <v>0.57834757834757833</v>
      </c>
      <c r="CB59" s="100">
        <f>('Subsample weights'!AY68-((Ginning!BX59-1.04)+(Ginning!BY59-1.7)))/'Subsample weights'!AY68</f>
        <v>0.12535612535612534</v>
      </c>
      <c r="CC59" s="99"/>
    </row>
    <row r="60" spans="2:81" ht="22.5" x14ac:dyDescent="0.25">
      <c r="B60" s="102">
        <v>18</v>
      </c>
      <c r="C60" s="101" t="s">
        <v>1093</v>
      </c>
      <c r="D60" s="100">
        <v>2.44</v>
      </c>
      <c r="E60" s="100">
        <v>4.08</v>
      </c>
      <c r="F60" s="100">
        <f>(D60-1.04)/'Subsample weights'!AA69</f>
        <v>0.3349282296650718</v>
      </c>
      <c r="G60" s="100">
        <f>(E60-1.7)/'Subsample weights'!AA69</f>
        <v>0.56937799043062198</v>
      </c>
      <c r="H60" s="100">
        <f>('Subsample weights'!AA69-((Ginning!D60-1.04)+(Ginning!E60-1.7)))/'Subsample weights'!AA69</f>
        <v>9.5693779904306206E-2</v>
      </c>
      <c r="I60" s="103"/>
      <c r="K60" s="102">
        <v>18</v>
      </c>
      <c r="L60" s="101" t="s">
        <v>1093</v>
      </c>
      <c r="M60" s="100">
        <v>3.46</v>
      </c>
      <c r="N60" s="100">
        <v>5.76</v>
      </c>
      <c r="O60" s="100">
        <f>(M60-1.04)/'Subsample weights'!AD69</f>
        <v>0.33611111111111114</v>
      </c>
      <c r="P60" s="100">
        <f>(N60-1.7)/'Subsample weights'!AD69</f>
        <v>0.56388888888888888</v>
      </c>
      <c r="Q60" s="100">
        <f>('Subsample weights'!AD69-((Ginning!M60-1.04)+(Ginning!N60-1.7)))/'Subsample weights'!AD69</f>
        <v>9.9999999999999978E-2</v>
      </c>
      <c r="R60" s="99"/>
      <c r="T60" s="102">
        <v>18</v>
      </c>
      <c r="U60" s="101" t="s">
        <v>1093</v>
      </c>
      <c r="V60" s="100">
        <v>3.74</v>
      </c>
      <c r="W60" s="100">
        <v>6.24</v>
      </c>
      <c r="X60" s="100">
        <f>(V60-1.04)/'Subsample weights'!AG69</f>
        <v>0.33007334963325186</v>
      </c>
      <c r="Y60" s="100">
        <f>(W60-1.7)/'Subsample weights'!AG69</f>
        <v>0.55501222493887536</v>
      </c>
      <c r="Z60" s="100">
        <f>('Subsample weights'!AG69-((Ginning!V60-1.04)+(Ginning!W60-1.7)))/'Subsample weights'!AG69</f>
        <v>0.11491442542787281</v>
      </c>
      <c r="AA60" s="103"/>
      <c r="AC60" s="102">
        <v>18</v>
      </c>
      <c r="AD60" s="101" t="s">
        <v>1093</v>
      </c>
      <c r="AE60" s="100">
        <v>3.16</v>
      </c>
      <c r="AF60" s="100">
        <v>5.46</v>
      </c>
      <c r="AG60" s="100">
        <f>(AE60-1.04)/'Subsample weights'!AJ69</f>
        <v>0.31927710843373497</v>
      </c>
      <c r="AH60" s="100">
        <f>(AF60-1.7)/'Subsample weights'!AJ69</f>
        <v>0.5662650602409639</v>
      </c>
      <c r="AI60" s="100">
        <f>('Subsample weights'!AJ69-((Ginning!AE60-1.04)+(Ginning!AF60-1.7)))/'Subsample weights'!AJ69</f>
        <v>0.11445783132530118</v>
      </c>
      <c r="AJ60" s="99"/>
      <c r="AL60" s="102">
        <v>18</v>
      </c>
      <c r="AM60" s="101" t="s">
        <v>1093</v>
      </c>
      <c r="AN60" s="100">
        <v>3.42</v>
      </c>
      <c r="AO60" s="100">
        <v>5.78</v>
      </c>
      <c r="AP60" s="100">
        <f>(AN60-1.04)/'Subsample weights'!AM69</f>
        <v>0.33806818181818182</v>
      </c>
      <c r="AQ60" s="100">
        <f>(AO60-1.7)/'Subsample weights'!AM69</f>
        <v>0.57954545454545459</v>
      </c>
      <c r="AR60" s="100">
        <f>('Subsample weights'!AM69-((Ginning!AN60-1.04)+(Ginning!AO60-1.7)))/'Subsample weights'!AM69</f>
        <v>8.2386363636363535E-2</v>
      </c>
      <c r="AS60" s="99"/>
      <c r="AU60" s="102">
        <v>18</v>
      </c>
      <c r="AV60" s="101" t="s">
        <v>1093</v>
      </c>
      <c r="AW60" s="100">
        <v>3.04</v>
      </c>
      <c r="AX60" s="100">
        <v>5.24</v>
      </c>
      <c r="AY60" s="100">
        <f>(AW60-1.04)/'Subsample weights'!AP69</f>
        <v>0.3236245954692557</v>
      </c>
      <c r="AZ60" s="100">
        <f>(AX60-1.7)/'Subsample weights'!AP69</f>
        <v>0.5728155339805826</v>
      </c>
      <c r="BA60" s="100">
        <f>('Subsample weights'!AP69-((Ginning!AW60-1.04)+(Ginning!AX60-1.7)))/'Subsample weights'!AP69</f>
        <v>0.10355987055016176</v>
      </c>
      <c r="BB60" s="99"/>
      <c r="BD60" s="102">
        <v>18</v>
      </c>
      <c r="BE60" s="101" t="s">
        <v>1093</v>
      </c>
      <c r="BF60" s="100">
        <v>3.22</v>
      </c>
      <c r="BG60" s="100">
        <v>5.38</v>
      </c>
      <c r="BH60" s="100">
        <f>(BF60-1.04)/'Subsample weights'!AS69</f>
        <v>0.33231707317073172</v>
      </c>
      <c r="BI60" s="100">
        <f>(BG60-1.7)/'Subsample weights'!AS69</f>
        <v>0.5609756097560975</v>
      </c>
      <c r="BJ60" s="100">
        <f>('Subsample weights'!AS69-((Ginning!BF60-1.04)+(Ginning!BG60-1.7)))/'Subsample weights'!AS69</f>
        <v>0.10670731707317077</v>
      </c>
      <c r="BK60" s="99"/>
      <c r="BM60" s="102">
        <v>18</v>
      </c>
      <c r="BN60" s="101" t="s">
        <v>1093</v>
      </c>
      <c r="BO60" s="100">
        <v>3.48</v>
      </c>
      <c r="BP60" s="100">
        <v>5.86</v>
      </c>
      <c r="BQ60" s="100">
        <f>(BO60-1.04)/'Subsample weights'!AV69</f>
        <v>0.33701657458563533</v>
      </c>
      <c r="BR60" s="100">
        <f>(BP60-1.7)/'Subsample weights'!AV69</f>
        <v>0.574585635359116</v>
      </c>
      <c r="BS60" s="100">
        <f>('Subsample weights'!AV69-((Ginning!BO60-1.04)+(Ginning!BP60-1.7)))/'Subsample weights'!AV69</f>
        <v>8.8397790055248698E-2</v>
      </c>
      <c r="BT60" s="99"/>
      <c r="BV60" s="102">
        <v>18</v>
      </c>
      <c r="BW60" s="101" t="s">
        <v>1093</v>
      </c>
      <c r="BX60" s="100">
        <v>3.32</v>
      </c>
      <c r="BY60" s="100">
        <v>5.96</v>
      </c>
      <c r="BZ60" s="100">
        <f>(BX60-1.04)/'Subsample weights'!AY69</f>
        <v>0.30810810810810807</v>
      </c>
      <c r="CA60" s="100">
        <f>(BY60-1.7)/'Subsample weights'!AY69</f>
        <v>0.57567567567567557</v>
      </c>
      <c r="CB60" s="100">
        <f>('Subsample weights'!AY69-((Ginning!BX60-1.04)+(Ginning!BY60-1.7)))/'Subsample weights'!AY69</f>
        <v>0.11621621621621638</v>
      </c>
      <c r="CC60" s="99"/>
    </row>
    <row r="61" spans="2:81" ht="22.5" x14ac:dyDescent="0.25">
      <c r="B61" s="102">
        <v>19</v>
      </c>
      <c r="C61" s="101" t="s">
        <v>1092</v>
      </c>
      <c r="D61" s="100">
        <v>3</v>
      </c>
      <c r="E61" s="100">
        <v>4.88</v>
      </c>
      <c r="F61" s="100">
        <f>(D61-1.04)/'Subsample weights'!AA70</f>
        <v>0.34628975265017664</v>
      </c>
      <c r="G61" s="100">
        <f>(E61-1.7)/'Subsample weights'!AA70</f>
        <v>0.56183745583038858</v>
      </c>
      <c r="H61" s="100">
        <f>('Subsample weights'!AA70-((Ginning!D61-1.04)+(Ginning!E61-1.7)))/'Subsample weights'!AA70</f>
        <v>9.1872791519434713E-2</v>
      </c>
      <c r="I61" s="103"/>
      <c r="K61" s="102">
        <v>19</v>
      </c>
      <c r="L61" s="101" t="s">
        <v>1092</v>
      </c>
      <c r="M61" s="100">
        <v>3.6</v>
      </c>
      <c r="N61" s="100">
        <v>5.98</v>
      </c>
      <c r="O61" s="100">
        <f>(M61-1.04)/'Subsample weights'!AD70</f>
        <v>0.33420365535248042</v>
      </c>
      <c r="P61" s="100">
        <f>(N61-1.7)/'Subsample weights'!AD70</f>
        <v>0.55874673629242821</v>
      </c>
      <c r="Q61" s="100">
        <f>('Subsample weights'!AD70-((Ginning!M61-1.04)+(Ginning!N61-1.7)))/'Subsample weights'!AD70</f>
        <v>0.10704960835509142</v>
      </c>
      <c r="R61" s="99"/>
      <c r="T61" s="102">
        <v>19</v>
      </c>
      <c r="U61" s="101" t="s">
        <v>1092</v>
      </c>
      <c r="V61" s="100">
        <v>3.02</v>
      </c>
      <c r="W61" s="100">
        <v>5</v>
      </c>
      <c r="X61" s="100">
        <f>(V61-1.04)/'Subsample weights'!AG70</f>
        <v>0.3473684210526316</v>
      </c>
      <c r="Y61" s="100">
        <f>(W61-1.7)/'Subsample weights'!AG70</f>
        <v>0.57894736842105265</v>
      </c>
      <c r="Z61" s="100">
        <f>('Subsample weights'!AG70-((Ginning!V61-1.04)+(Ginning!W61-1.7)))/'Subsample weights'!AG70</f>
        <v>7.3684210526315783E-2</v>
      </c>
      <c r="AA61" s="103"/>
      <c r="AC61" s="102">
        <v>19</v>
      </c>
      <c r="AD61" s="101" t="s">
        <v>1092</v>
      </c>
      <c r="AE61" s="100">
        <v>3.46</v>
      </c>
      <c r="AF61" s="100">
        <v>6.02</v>
      </c>
      <c r="AG61" s="100">
        <f>(AE61-1.04)/'Subsample weights'!AJ70</f>
        <v>0.31758530183727035</v>
      </c>
      <c r="AH61" s="100">
        <f>(AF61-1.7)/'Subsample weights'!AJ70</f>
        <v>0.56692913385826771</v>
      </c>
      <c r="AI61" s="100">
        <f>('Subsample weights'!AJ70-((Ginning!AE61-1.04)+(Ginning!AF61-1.7)))/'Subsample weights'!AJ70</f>
        <v>0.11548556430446194</v>
      </c>
      <c r="AJ61" s="99"/>
      <c r="AL61" s="102">
        <v>19</v>
      </c>
      <c r="AM61" s="101" t="s">
        <v>1092</v>
      </c>
      <c r="AN61" s="100">
        <v>3.2</v>
      </c>
      <c r="AO61" s="100">
        <v>5.48</v>
      </c>
      <c r="AP61" s="100">
        <f>(AN61-1.04)/'Subsample weights'!AM70</f>
        <v>0.33027522935779824</v>
      </c>
      <c r="AQ61" s="100">
        <f>(AO61-1.7)/'Subsample weights'!AM70</f>
        <v>0.57798165137614688</v>
      </c>
      <c r="AR61" s="100">
        <f>('Subsample weights'!AM70-((Ginning!AN61-1.04)+(Ginning!AO61-1.7)))/'Subsample weights'!AM70</f>
        <v>9.1743119266054871E-2</v>
      </c>
      <c r="AS61" s="99"/>
      <c r="AU61" s="102">
        <v>19</v>
      </c>
      <c r="AV61" s="101" t="s">
        <v>1092</v>
      </c>
      <c r="AW61" s="100">
        <v>3</v>
      </c>
      <c r="AX61" s="100">
        <v>5.24</v>
      </c>
      <c r="AY61" s="100">
        <f>(AW61-1.04)/'Subsample weights'!AP70</f>
        <v>0.32775919732441466</v>
      </c>
      <c r="AZ61" s="100">
        <f>(AX61-1.7)/'Subsample weights'!AP70</f>
        <v>0.59197324414715713</v>
      </c>
      <c r="BA61" s="100">
        <f>('Subsample weights'!AP70-((Ginning!AW61-1.04)+(Ginning!AX61-1.7)))/'Subsample weights'!AP70</f>
        <v>8.0267558528428165E-2</v>
      </c>
      <c r="BB61" s="99"/>
      <c r="BD61" s="102">
        <v>19</v>
      </c>
      <c r="BE61" s="101" t="s">
        <v>1092</v>
      </c>
      <c r="BF61" s="100">
        <v>3.06</v>
      </c>
      <c r="BG61" s="100">
        <v>5.0999999999999996</v>
      </c>
      <c r="BH61" s="100">
        <f>(BF61-1.04)/'Subsample weights'!AS70</f>
        <v>0.33443708609271522</v>
      </c>
      <c r="BI61" s="100">
        <f>(BG61-1.7)/'Subsample weights'!AS70</f>
        <v>0.56291390728476809</v>
      </c>
      <c r="BJ61" s="100">
        <f>('Subsample weights'!AS70-((Ginning!BF61-1.04)+(Ginning!BG61-1.7)))/'Subsample weights'!AS70</f>
        <v>0.10264900662251657</v>
      </c>
      <c r="BK61" s="99"/>
      <c r="BM61" s="102">
        <v>19</v>
      </c>
      <c r="BN61" s="101" t="s">
        <v>1092</v>
      </c>
      <c r="BO61" s="100">
        <v>2.64</v>
      </c>
      <c r="BP61" s="100">
        <v>4.46</v>
      </c>
      <c r="BQ61" s="100">
        <f>(BO61-1.04)/'Subsample weights'!AV70</f>
        <v>0.32786885245901642</v>
      </c>
      <c r="BR61" s="100">
        <f>(BP61-1.7)/'Subsample weights'!AV70</f>
        <v>0.56557377049180324</v>
      </c>
      <c r="BS61" s="100">
        <f>('Subsample weights'!AV70-((Ginning!BO61-1.04)+(Ginning!BP61-1.7)))/'Subsample weights'!AV70</f>
        <v>0.10655737704918042</v>
      </c>
      <c r="BT61" s="99"/>
      <c r="BV61" s="102">
        <v>19</v>
      </c>
      <c r="BW61" s="101" t="s">
        <v>1092</v>
      </c>
      <c r="BX61" s="100">
        <v>2.88</v>
      </c>
      <c r="BY61" s="100">
        <v>5.18</v>
      </c>
      <c r="BZ61" s="100">
        <f>(BX61-1.04)/'Subsample weights'!AY70</f>
        <v>0.30163934426229505</v>
      </c>
      <c r="CA61" s="100">
        <f>(BY61-1.7)/'Subsample weights'!AY70</f>
        <v>0.57049180327868854</v>
      </c>
      <c r="CB61" s="100">
        <f>('Subsample weights'!AY70-((Ginning!BX61-1.04)+(Ginning!BY61-1.7)))/'Subsample weights'!AY70</f>
        <v>0.12786885245901644</v>
      </c>
      <c r="CC61" s="99"/>
    </row>
    <row r="62" spans="2:81" ht="22.5" x14ac:dyDescent="0.25">
      <c r="B62" s="102">
        <v>20</v>
      </c>
      <c r="C62" s="101" t="s">
        <v>1091</v>
      </c>
      <c r="D62" s="100">
        <v>3.12</v>
      </c>
      <c r="E62" s="100">
        <v>5.2</v>
      </c>
      <c r="F62" s="100">
        <f>(D62-1.04)/'Subsample weights'!AA71</f>
        <v>0.33766233766233766</v>
      </c>
      <c r="G62" s="100">
        <f>(E62-1.7)/'Subsample weights'!AA71</f>
        <v>0.56818181818181812</v>
      </c>
      <c r="H62" s="100">
        <f>('Subsample weights'!AA71-((Ginning!D62-1.04)+(Ginning!E62-1.7)))/'Subsample weights'!AA71</f>
        <v>9.4155844155844159E-2</v>
      </c>
      <c r="I62" s="103"/>
      <c r="K62" s="102">
        <v>20</v>
      </c>
      <c r="L62" s="101" t="s">
        <v>1091</v>
      </c>
      <c r="M62" s="100">
        <v>3.28</v>
      </c>
      <c r="N62" s="100">
        <v>5.48</v>
      </c>
      <c r="O62" s="100">
        <f>(M62-1.04)/'Subsample weights'!AD71</f>
        <v>0.33234421364985156</v>
      </c>
      <c r="P62" s="100">
        <f>(N62-1.7)/'Subsample weights'!AD71</f>
        <v>0.56083086053412468</v>
      </c>
      <c r="Q62" s="100">
        <f>('Subsample weights'!AD71-((Ginning!M62-1.04)+(Ginning!N62-1.7)))/'Subsample weights'!AD71</f>
        <v>0.10682492581602383</v>
      </c>
      <c r="R62" s="99"/>
      <c r="T62" s="102">
        <v>20</v>
      </c>
      <c r="U62" s="101" t="s">
        <v>1091</v>
      </c>
      <c r="V62" s="100">
        <v>3.02</v>
      </c>
      <c r="W62" s="100">
        <v>5</v>
      </c>
      <c r="X62" s="100">
        <f>(V62-1.04)/'Subsample weights'!AG71</f>
        <v>0.32781456953642385</v>
      </c>
      <c r="Y62" s="100">
        <f>(W62-1.7)/'Subsample weights'!AG71</f>
        <v>0.54635761589403975</v>
      </c>
      <c r="Z62" s="100">
        <f>('Subsample weights'!AG71-((Ginning!V62-1.04)+(Ginning!W62-1.7)))/'Subsample weights'!AG71</f>
        <v>0.12582781456953654</v>
      </c>
      <c r="AA62" s="103"/>
      <c r="AC62" s="102">
        <v>20</v>
      </c>
      <c r="AD62" s="101" t="s">
        <v>1091</v>
      </c>
      <c r="AE62" s="100">
        <v>2.94</v>
      </c>
      <c r="AF62" s="100">
        <v>5</v>
      </c>
      <c r="AG62" s="100">
        <f>(AE62-1.04)/'Subsample weights'!AJ71</f>
        <v>0.32871972318339104</v>
      </c>
      <c r="AH62" s="100">
        <f>(AF62-1.7)/'Subsample weights'!AJ71</f>
        <v>0.57093425605536341</v>
      </c>
      <c r="AI62" s="100">
        <f>('Subsample weights'!AJ71-((Ginning!AE62-1.04)+(Ginning!AF62-1.7)))/'Subsample weights'!AJ71</f>
        <v>0.1003460207612457</v>
      </c>
      <c r="AJ62" s="99"/>
      <c r="AL62" s="102">
        <v>20</v>
      </c>
      <c r="AM62" s="101" t="s">
        <v>1091</v>
      </c>
      <c r="AN62" s="100">
        <v>3.44</v>
      </c>
      <c r="AO62" s="100">
        <v>5.76</v>
      </c>
      <c r="AP62" s="100">
        <f>(AN62-1.04)/'Subsample weights'!AM71</f>
        <v>0.33426183844011143</v>
      </c>
      <c r="AQ62" s="100">
        <f>(AO62-1.7)/'Subsample weights'!AM71</f>
        <v>0.56545961002785516</v>
      </c>
      <c r="AR62" s="100">
        <f>('Subsample weights'!AM71-((Ginning!AN62-1.04)+(Ginning!AO62-1.7)))/'Subsample weights'!AM71</f>
        <v>0.10027855153203352</v>
      </c>
      <c r="AS62" s="99"/>
      <c r="AU62" s="102">
        <v>20</v>
      </c>
      <c r="AV62" s="101" t="s">
        <v>1091</v>
      </c>
      <c r="AW62" s="100">
        <v>3.14</v>
      </c>
      <c r="AX62" s="100">
        <v>5.52</v>
      </c>
      <c r="AY62" s="100">
        <f>(AW62-1.04)/'Subsample weights'!AP71</f>
        <v>0.32407407407407413</v>
      </c>
      <c r="AZ62" s="100">
        <f>(AX62-1.7)/'Subsample weights'!AP71</f>
        <v>0.58950617283950613</v>
      </c>
      <c r="BA62" s="100">
        <f>('Subsample weights'!AP71-((Ginning!AW62-1.04)+(Ginning!AX62-1.7)))/'Subsample weights'!AP71</f>
        <v>8.6419753086419693E-2</v>
      </c>
      <c r="BB62" s="99"/>
      <c r="BD62" s="102">
        <v>20</v>
      </c>
      <c r="BE62" s="101" t="s">
        <v>1091</v>
      </c>
      <c r="BF62" s="100">
        <v>3.46</v>
      </c>
      <c r="BG62" s="100">
        <v>5.84</v>
      </c>
      <c r="BH62" s="100">
        <f>(BF62-1.04)/'Subsample weights'!AS71</f>
        <v>0.32970027247956402</v>
      </c>
      <c r="BI62" s="100">
        <f>(BG62-1.7)/'Subsample weights'!AS71</f>
        <v>0.56403269754768393</v>
      </c>
      <c r="BJ62" s="100">
        <f>('Subsample weights'!AS71-((Ginning!BF62-1.04)+(Ginning!BG62-1.7)))/'Subsample weights'!AS71</f>
        <v>0.10626702997275209</v>
      </c>
      <c r="BK62" s="99"/>
      <c r="BM62" s="102">
        <v>20</v>
      </c>
      <c r="BN62" s="101" t="s">
        <v>1091</v>
      </c>
      <c r="BO62" s="100">
        <v>3.5</v>
      </c>
      <c r="BP62" s="100">
        <v>5.88</v>
      </c>
      <c r="BQ62" s="100">
        <f>(BO62-1.04)/'Subsample weights'!AV71</f>
        <v>0.33423913043478265</v>
      </c>
      <c r="BR62" s="100">
        <f>(BP62-1.7)/'Subsample weights'!AV71</f>
        <v>0.56793478260869568</v>
      </c>
      <c r="BS62" s="100">
        <f>('Subsample weights'!AV71-((Ginning!BO62-1.04)+(Ginning!BP62-1.7)))/'Subsample weights'!AV71</f>
        <v>9.7826086956521716E-2</v>
      </c>
      <c r="BT62" s="99"/>
      <c r="BV62" s="102">
        <v>20</v>
      </c>
      <c r="BW62" s="101" t="s">
        <v>1091</v>
      </c>
      <c r="BX62" s="100">
        <v>3.22</v>
      </c>
      <c r="BY62" s="100">
        <v>5.72</v>
      </c>
      <c r="BZ62" s="100">
        <f>(BX62-1.04)/'Subsample weights'!AY71</f>
        <v>0.30110497237569062</v>
      </c>
      <c r="CA62" s="100">
        <f>(BY62-1.7)/'Subsample weights'!AY71</f>
        <v>0.55524861878453036</v>
      </c>
      <c r="CB62" s="100">
        <f>('Subsample weights'!AY71-((Ginning!BX62-1.04)+(Ginning!BY62-1.7)))/'Subsample weights'!AY71</f>
        <v>0.14364640883977914</v>
      </c>
      <c r="CC62" s="99"/>
    </row>
    <row r="63" spans="2:81" ht="35.450000000000003" customHeight="1" x14ac:dyDescent="0.25">
      <c r="D63" s="97"/>
      <c r="E63" s="98"/>
      <c r="F63" s="98"/>
      <c r="G63" s="98"/>
      <c r="H63" s="98"/>
      <c r="I63" s="95"/>
      <c r="M63" s="7"/>
      <c r="N63" s="97"/>
      <c r="O63" s="97"/>
      <c r="P63" s="97"/>
      <c r="Q63" s="97"/>
      <c r="R63" s="95"/>
      <c r="S63" s="95"/>
      <c r="V63" s="7"/>
      <c r="W63" s="97"/>
      <c r="X63" s="97"/>
      <c r="Y63" s="97"/>
      <c r="Z63" s="97"/>
      <c r="AA63" s="95"/>
      <c r="AB63" s="95"/>
      <c r="AE63" s="7"/>
      <c r="AF63" s="97"/>
      <c r="AG63" s="97"/>
      <c r="AH63" s="97"/>
      <c r="AI63" s="97"/>
      <c r="AJ63" s="95"/>
      <c r="AK63" s="95"/>
      <c r="AN63" s="7"/>
      <c r="AO63" s="97"/>
      <c r="AP63" s="97"/>
      <c r="AQ63" s="97"/>
      <c r="AR63" s="97"/>
      <c r="AS63" s="95"/>
      <c r="AT63" s="95"/>
      <c r="AX63" s="96"/>
      <c r="AY63" s="96"/>
      <c r="AZ63" s="96"/>
      <c r="BA63" s="96"/>
      <c r="BB63" s="95"/>
      <c r="BC63" s="95"/>
      <c r="BG63" s="96"/>
      <c r="BH63" s="96"/>
      <c r="BI63" s="96"/>
      <c r="BJ63" s="96"/>
      <c r="BK63" s="95"/>
      <c r="BL63" s="95"/>
      <c r="BP63" s="96"/>
      <c r="BQ63" s="96"/>
      <c r="BR63" s="96"/>
      <c r="BS63" s="96"/>
      <c r="BT63" s="95"/>
      <c r="BU63" s="95"/>
    </row>
    <row r="64" spans="2:81" x14ac:dyDescent="0.25">
      <c r="M64" s="7"/>
      <c r="N64" s="7"/>
      <c r="O64" s="7"/>
      <c r="P64" s="7"/>
      <c r="Q64" s="7"/>
      <c r="V64" s="7"/>
      <c r="W64" s="7"/>
      <c r="X64" s="7"/>
      <c r="Y64" s="7"/>
      <c r="Z64" s="7"/>
      <c r="AE64" s="7"/>
      <c r="AF64" s="7"/>
      <c r="AG64" s="7"/>
      <c r="AH64" s="7"/>
      <c r="AI64" s="7"/>
      <c r="AN64" s="7"/>
      <c r="AO64" s="7"/>
      <c r="AP64" s="7"/>
      <c r="AQ64" s="7"/>
      <c r="AR64" s="7"/>
    </row>
    <row r="65" spans="13:44" x14ac:dyDescent="0.25">
      <c r="M65" s="7"/>
      <c r="N65" s="7"/>
      <c r="O65" s="7"/>
      <c r="P65" s="7"/>
      <c r="Q65" s="7"/>
      <c r="AE65" s="7"/>
      <c r="AF65" s="7"/>
      <c r="AG65" s="7"/>
      <c r="AH65" s="7"/>
      <c r="AI65" s="7"/>
      <c r="AN65" s="7"/>
      <c r="AO65" s="7"/>
      <c r="AP65" s="7"/>
      <c r="AQ65" s="7"/>
      <c r="AR65" s="7"/>
    </row>
    <row r="66" spans="13:44" x14ac:dyDescent="0.25">
      <c r="AE66" s="7"/>
      <c r="AF66" s="7"/>
      <c r="AG66" s="7"/>
      <c r="AH66" s="7"/>
      <c r="AI66" s="7"/>
      <c r="AN66" s="7"/>
      <c r="AO66" s="7"/>
      <c r="AP66" s="7"/>
      <c r="AQ66" s="7"/>
      <c r="AR66" s="7"/>
    </row>
    <row r="67" spans="13:44" x14ac:dyDescent="0.25">
      <c r="AE67" s="7"/>
      <c r="AF67" s="7"/>
      <c r="AG67" s="7"/>
      <c r="AH67" s="7"/>
      <c r="AI67" s="7"/>
      <c r="AN67" s="7"/>
      <c r="AO67" s="7"/>
      <c r="AP67" s="7"/>
      <c r="AQ67" s="7"/>
      <c r="AR67" s="7"/>
    </row>
    <row r="68" spans="13:44" x14ac:dyDescent="0.25">
      <c r="AE68" s="7"/>
      <c r="AF68" s="7"/>
      <c r="AG68" s="7"/>
      <c r="AH68" s="7"/>
      <c r="AI68" s="7"/>
      <c r="AN68" s="7"/>
      <c r="AO68" s="7"/>
      <c r="AP68" s="7"/>
      <c r="AQ68" s="7"/>
      <c r="AR68" s="7"/>
    </row>
  </sheetData>
  <mergeCells count="5">
    <mergeCell ref="BO14:BU14"/>
    <mergeCell ref="B41:E41"/>
    <mergeCell ref="M14:S14"/>
    <mergeCell ref="AE14:AK14"/>
    <mergeCell ref="AN14:AT14"/>
  </mergeCells>
  <printOptions horizontalCentered="1" verticalCentered="1"/>
  <pageMargins left="0.2" right="0.2" top="0.2" bottom="0.2" header="0" footer="0"/>
  <pageSetup scale="137" orientation="portrait" r:id="rId1"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Raw Scale</vt:lpstr>
      <vt:lpstr>Zone Scale</vt:lpstr>
      <vt:lpstr>Plot Scale</vt:lpstr>
      <vt:lpstr>Compare</vt:lpstr>
      <vt:lpstr>2011 Cotton harvest</vt:lpstr>
      <vt:lpstr>Field Harvest</vt:lpstr>
      <vt:lpstr>Subsample weights</vt:lpstr>
      <vt:lpstr>Ginning</vt:lpstr>
      <vt:lpstr>'2011 Cotton harvest'!Print_Area</vt:lpstr>
      <vt:lpstr>Ginning!Print_Area</vt:lpstr>
      <vt:lpstr>'Subsample weights'!Print_Area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2023-09-06T13:49:24Z</dcterms:created>
  <dcterms:modified xsi:type="dcterms:W3CDTF">2025-05-27T22:37:43Z</dcterms:modified>
</cp:coreProperties>
</file>