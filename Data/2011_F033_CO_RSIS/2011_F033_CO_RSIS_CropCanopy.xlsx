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1_F033_CO_RSIS\"/>
    </mc:Choice>
  </mc:AlternateContent>
  <xr:revisionPtr revIDLastSave="0" documentId="13_ncr:1_{0CDA4635-89CD-4D2B-96C3-A0857CF26047}" xr6:coauthVersionLast="47" xr6:coauthVersionMax="47" xr10:uidLastSave="{00000000-0000-0000-0000-000000000000}"/>
  <bookViews>
    <workbookView xWindow="-1545" yWindow="-27375" windowWidth="17820" windowHeight="26805" xr2:uid="{00000000-000D-0000-FFFF-FFFF00000000}"/>
  </bookViews>
  <sheets>
    <sheet name="Height" sheetId="22" r:id="rId1"/>
    <sheet name="Width" sheetId="23" r:id="rId2"/>
    <sheet name="doy130" sheetId="8" r:id="rId3"/>
    <sheet name="doy139" sheetId="9" r:id="rId4"/>
    <sheet name="doy146" sheetId="10" r:id="rId5"/>
    <sheet name="doy153" sheetId="11" r:id="rId6"/>
    <sheet name="doy159" sheetId="12" r:id="rId7"/>
    <sheet name="doy168" sheetId="13" r:id="rId8"/>
    <sheet name="doy173" sheetId="14" r:id="rId9"/>
    <sheet name="doy179" sheetId="15" r:id="rId10"/>
    <sheet name="doy187" sheetId="16" r:id="rId11"/>
    <sheet name="doy193" sheetId="17" r:id="rId12"/>
    <sheet name="doy203" sheetId="18" r:id="rId13"/>
    <sheet name="doy213" sheetId="19" r:id="rId14"/>
    <sheet name="doy224" sheetId="20" r:id="rId15"/>
    <sheet name="doy231" sheetId="21" r:id="rId16"/>
    <sheet name="Averages" sheetId="7" r:id="rId17"/>
  </sheets>
  <definedNames>
    <definedName name="_xlnm.Print_Area" localSheetId="16">Averages!$A$1:$C$43</definedName>
    <definedName name="_xlnm.Print_Area" localSheetId="2">'doy130'!$A$1:$O$41</definedName>
    <definedName name="_xlnm.Print_Area" localSheetId="3">'doy139'!$A$1:$O$41</definedName>
    <definedName name="_xlnm.Print_Area" localSheetId="4">'doy146'!$A$1:$O$43</definedName>
    <definedName name="_xlnm.Print_Area" localSheetId="5">'doy153'!$A$1:$O$43</definedName>
    <definedName name="_xlnm.Print_Area" localSheetId="6">'doy159'!$A$1:$O$43</definedName>
    <definedName name="_xlnm.Print_Area" localSheetId="7">'doy168'!$A$1:$O$43</definedName>
    <definedName name="_xlnm.Print_Area" localSheetId="8">'doy173'!$A$1:$O$43</definedName>
    <definedName name="_xlnm.Print_Area" localSheetId="9">'doy179'!$A$1:$O$43</definedName>
    <definedName name="_xlnm.Print_Area" localSheetId="10">'doy187'!$A$1:$O$43</definedName>
    <definedName name="_xlnm.Print_Area" localSheetId="11">'doy193'!$A$1:$O$43</definedName>
    <definedName name="_xlnm.Print_Area" localSheetId="12">'doy203'!$A$1:$O$43</definedName>
    <definedName name="_xlnm.Print_Area" localSheetId="13">'doy213'!$A$1:$O$43</definedName>
    <definedName name="_xlnm.Print_Area" localSheetId="14">'doy224'!$A$1:$O$43</definedName>
    <definedName name="_xlnm.Print_Area" localSheetId="15">'doy231'!$A$1:$O$43</definedName>
    <definedName name="_xlnm.Print_Titles" localSheetId="16">Averages!$6:$8</definedName>
    <definedName name="_xlnm.Print_Titles" localSheetId="2">'doy130'!$6:$8</definedName>
    <definedName name="_xlnm.Print_Titles" localSheetId="3">'doy139'!$6:$8</definedName>
    <definedName name="_xlnm.Print_Titles" localSheetId="4">'doy146'!$6:$8</definedName>
    <definedName name="_xlnm.Print_Titles" localSheetId="5">'doy153'!$6:$8</definedName>
    <definedName name="_xlnm.Print_Titles" localSheetId="6">'doy159'!$6:$8</definedName>
    <definedName name="_xlnm.Print_Titles" localSheetId="7">'doy168'!$6:$8</definedName>
    <definedName name="_xlnm.Print_Titles" localSheetId="8">'doy173'!$6:$8</definedName>
    <definedName name="_xlnm.Print_Titles" localSheetId="9">'doy179'!$6:$8</definedName>
    <definedName name="_xlnm.Print_Titles" localSheetId="10">'doy187'!$6:$8</definedName>
    <definedName name="_xlnm.Print_Titles" localSheetId="11">'doy193'!$6:$8</definedName>
    <definedName name="_xlnm.Print_Titles" localSheetId="12">'doy203'!$6:$8</definedName>
    <definedName name="_xlnm.Print_Titles" localSheetId="13">'doy213'!$6:$8</definedName>
    <definedName name="_xlnm.Print_Titles" localSheetId="14">'doy224'!$6:$8</definedName>
    <definedName name="_xlnm.Print_Titles" localSheetId="15">'doy231'!$6:$8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7" l="1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I42" i="21"/>
  <c r="H42" i="21"/>
  <c r="G42" i="21"/>
  <c r="F42" i="21"/>
  <c r="E42" i="21"/>
  <c r="D42" i="21"/>
  <c r="I41" i="21"/>
  <c r="H41" i="21"/>
  <c r="G41" i="21"/>
  <c r="F41" i="21"/>
  <c r="E41" i="21"/>
  <c r="D41" i="21"/>
  <c r="I40" i="21"/>
  <c r="H40" i="21"/>
  <c r="G40" i="21"/>
  <c r="F40" i="21"/>
  <c r="E40" i="21"/>
  <c r="D40" i="21"/>
  <c r="I39" i="21"/>
  <c r="H39" i="21"/>
  <c r="G39" i="21"/>
  <c r="F39" i="21"/>
  <c r="E39" i="21"/>
  <c r="D39" i="21"/>
  <c r="I38" i="21"/>
  <c r="H38" i="21"/>
  <c r="G38" i="21"/>
  <c r="F38" i="21"/>
  <c r="E38" i="21"/>
  <c r="D38" i="21"/>
  <c r="I37" i="21"/>
  <c r="H37" i="21"/>
  <c r="G37" i="21"/>
  <c r="F37" i="21"/>
  <c r="E37" i="21"/>
  <c r="D37" i="21"/>
  <c r="I36" i="21"/>
  <c r="H36" i="21"/>
  <c r="G36" i="21"/>
  <c r="F36" i="21"/>
  <c r="E36" i="21"/>
  <c r="D36" i="21"/>
  <c r="I35" i="21"/>
  <c r="H35" i="21"/>
  <c r="G35" i="21"/>
  <c r="F35" i="21"/>
  <c r="E35" i="21"/>
  <c r="D35" i="21"/>
  <c r="I34" i="21"/>
  <c r="H34" i="21"/>
  <c r="G34" i="21"/>
  <c r="F34" i="21"/>
  <c r="E34" i="21"/>
  <c r="D34" i="21"/>
  <c r="I33" i="21"/>
  <c r="H33" i="21"/>
  <c r="G33" i="21"/>
  <c r="F33" i="21"/>
  <c r="E33" i="21"/>
  <c r="D33" i="21"/>
  <c r="I32" i="21"/>
  <c r="H32" i="21"/>
  <c r="G32" i="21"/>
  <c r="F32" i="21"/>
  <c r="E32" i="21"/>
  <c r="D32" i="21"/>
  <c r="I31" i="21"/>
  <c r="H31" i="21"/>
  <c r="G31" i="21"/>
  <c r="F31" i="21"/>
  <c r="E31" i="21"/>
  <c r="D31" i="21"/>
  <c r="I30" i="21"/>
  <c r="H30" i="21"/>
  <c r="G30" i="21"/>
  <c r="F30" i="21"/>
  <c r="E30" i="21"/>
  <c r="D30" i="21"/>
  <c r="I29" i="21"/>
  <c r="H29" i="21"/>
  <c r="G29" i="21"/>
  <c r="F29" i="21"/>
  <c r="E29" i="21"/>
  <c r="D29" i="21"/>
  <c r="I28" i="21"/>
  <c r="H28" i="21"/>
  <c r="G28" i="21"/>
  <c r="F28" i="21"/>
  <c r="E28" i="21"/>
  <c r="D28" i="21"/>
  <c r="I27" i="21"/>
  <c r="H27" i="21"/>
  <c r="G27" i="21"/>
  <c r="F27" i="21"/>
  <c r="E27" i="21"/>
  <c r="D27" i="21"/>
  <c r="I26" i="21"/>
  <c r="H26" i="21"/>
  <c r="G26" i="21"/>
  <c r="F26" i="21"/>
  <c r="E26" i="21"/>
  <c r="D26" i="21"/>
  <c r="I25" i="21"/>
  <c r="H25" i="21"/>
  <c r="G25" i="21"/>
  <c r="F25" i="21"/>
  <c r="E25" i="21"/>
  <c r="D25" i="21"/>
  <c r="I24" i="21"/>
  <c r="H24" i="21"/>
  <c r="G24" i="21"/>
  <c r="F24" i="21"/>
  <c r="E24" i="21"/>
  <c r="D24" i="21"/>
  <c r="I23" i="21"/>
  <c r="H23" i="21"/>
  <c r="G23" i="21"/>
  <c r="F23" i="21"/>
  <c r="E23" i="21"/>
  <c r="D23" i="21"/>
  <c r="I22" i="21"/>
  <c r="H22" i="21"/>
  <c r="G22" i="21"/>
  <c r="F22" i="21"/>
  <c r="E22" i="21"/>
  <c r="D22" i="21"/>
  <c r="I21" i="21"/>
  <c r="H21" i="21"/>
  <c r="G21" i="21"/>
  <c r="F21" i="21"/>
  <c r="E21" i="21"/>
  <c r="D21" i="21"/>
  <c r="I20" i="21"/>
  <c r="H20" i="21"/>
  <c r="G20" i="21"/>
  <c r="F20" i="21"/>
  <c r="E20" i="21"/>
  <c r="D20" i="21"/>
  <c r="I19" i="21"/>
  <c r="H19" i="21"/>
  <c r="G19" i="21"/>
  <c r="F19" i="21"/>
  <c r="E19" i="21"/>
  <c r="D19" i="21"/>
  <c r="I18" i="21"/>
  <c r="H18" i="21"/>
  <c r="G18" i="21"/>
  <c r="F18" i="21"/>
  <c r="E18" i="21"/>
  <c r="D18" i="21"/>
  <c r="I17" i="21"/>
  <c r="H17" i="21"/>
  <c r="G17" i="21"/>
  <c r="F17" i="21"/>
  <c r="E17" i="21"/>
  <c r="D17" i="21"/>
  <c r="I16" i="21"/>
  <c r="H16" i="21"/>
  <c r="G16" i="21"/>
  <c r="F16" i="21"/>
  <c r="E16" i="21"/>
  <c r="D16" i="21"/>
  <c r="I15" i="21"/>
  <c r="H15" i="21"/>
  <c r="G15" i="21"/>
  <c r="F15" i="21"/>
  <c r="E15" i="21"/>
  <c r="D15" i="21"/>
  <c r="I14" i="21"/>
  <c r="H14" i="21"/>
  <c r="G14" i="21"/>
  <c r="F14" i="21"/>
  <c r="E14" i="21"/>
  <c r="D14" i="21"/>
  <c r="I13" i="21"/>
  <c r="H13" i="21"/>
  <c r="G13" i="21"/>
  <c r="F13" i="21"/>
  <c r="E13" i="21"/>
  <c r="D13" i="21"/>
  <c r="I12" i="21"/>
  <c r="H12" i="21"/>
  <c r="G12" i="21"/>
  <c r="F12" i="21"/>
  <c r="E12" i="21"/>
  <c r="D12" i="21"/>
  <c r="I11" i="21"/>
  <c r="H11" i="21"/>
  <c r="G11" i="21"/>
  <c r="F11" i="21"/>
  <c r="E11" i="21"/>
  <c r="D11" i="21"/>
  <c r="I10" i="21"/>
  <c r="H10" i="21"/>
  <c r="G10" i="21"/>
  <c r="F10" i="21"/>
  <c r="E10" i="21"/>
  <c r="D10" i="21"/>
  <c r="I42" i="20"/>
  <c r="H42" i="20"/>
  <c r="G42" i="20"/>
  <c r="F42" i="20"/>
  <c r="E42" i="20"/>
  <c r="D42" i="20"/>
  <c r="I41" i="20"/>
  <c r="H41" i="20"/>
  <c r="G41" i="20"/>
  <c r="F41" i="20"/>
  <c r="E41" i="20"/>
  <c r="D41" i="20"/>
  <c r="I40" i="20"/>
  <c r="H40" i="20"/>
  <c r="G40" i="20"/>
  <c r="F40" i="20"/>
  <c r="E40" i="20"/>
  <c r="D40" i="20"/>
  <c r="I39" i="20"/>
  <c r="H39" i="20"/>
  <c r="G39" i="20"/>
  <c r="F39" i="20"/>
  <c r="E39" i="20"/>
  <c r="D39" i="20"/>
  <c r="I38" i="20"/>
  <c r="H38" i="20"/>
  <c r="G38" i="20"/>
  <c r="F38" i="20"/>
  <c r="E38" i="20"/>
  <c r="D38" i="20"/>
  <c r="I37" i="20"/>
  <c r="H37" i="20"/>
  <c r="G37" i="20"/>
  <c r="F37" i="20"/>
  <c r="E37" i="20"/>
  <c r="D37" i="20"/>
  <c r="I36" i="20"/>
  <c r="H36" i="20"/>
  <c r="G36" i="20"/>
  <c r="F36" i="20"/>
  <c r="E36" i="20"/>
  <c r="D36" i="20"/>
  <c r="I35" i="20"/>
  <c r="H35" i="20"/>
  <c r="G35" i="20"/>
  <c r="F35" i="20"/>
  <c r="E35" i="20"/>
  <c r="D35" i="20"/>
  <c r="I34" i="20"/>
  <c r="H34" i="20"/>
  <c r="G34" i="20"/>
  <c r="F34" i="20"/>
  <c r="E34" i="20"/>
  <c r="D34" i="20"/>
  <c r="I33" i="20"/>
  <c r="H33" i="20"/>
  <c r="G33" i="20"/>
  <c r="F33" i="20"/>
  <c r="E33" i="20"/>
  <c r="D33" i="20"/>
  <c r="I32" i="20"/>
  <c r="H32" i="20"/>
  <c r="G32" i="20"/>
  <c r="F32" i="20"/>
  <c r="E32" i="20"/>
  <c r="D32" i="20"/>
  <c r="I31" i="20"/>
  <c r="H31" i="20"/>
  <c r="G31" i="20"/>
  <c r="F31" i="20"/>
  <c r="E31" i="20"/>
  <c r="D31" i="20"/>
  <c r="I30" i="20"/>
  <c r="H30" i="20"/>
  <c r="G30" i="20"/>
  <c r="F30" i="20"/>
  <c r="E30" i="20"/>
  <c r="D30" i="20"/>
  <c r="I29" i="20"/>
  <c r="H29" i="20"/>
  <c r="G29" i="20"/>
  <c r="F29" i="20"/>
  <c r="E29" i="20"/>
  <c r="D29" i="20"/>
  <c r="I28" i="20"/>
  <c r="H28" i="20"/>
  <c r="G28" i="20"/>
  <c r="F28" i="20"/>
  <c r="E28" i="20"/>
  <c r="D28" i="20"/>
  <c r="I27" i="20"/>
  <c r="H27" i="20"/>
  <c r="G27" i="20"/>
  <c r="F27" i="20"/>
  <c r="E27" i="20"/>
  <c r="D27" i="20"/>
  <c r="I26" i="20"/>
  <c r="H26" i="20"/>
  <c r="G26" i="20"/>
  <c r="F26" i="20"/>
  <c r="E26" i="20"/>
  <c r="D26" i="20"/>
  <c r="I25" i="20"/>
  <c r="H25" i="20"/>
  <c r="G25" i="20"/>
  <c r="F25" i="20"/>
  <c r="E25" i="20"/>
  <c r="D25" i="20"/>
  <c r="I24" i="20"/>
  <c r="H24" i="20"/>
  <c r="G24" i="20"/>
  <c r="F24" i="20"/>
  <c r="E24" i="20"/>
  <c r="D24" i="20"/>
  <c r="I23" i="20"/>
  <c r="H23" i="20"/>
  <c r="G23" i="20"/>
  <c r="F23" i="20"/>
  <c r="E23" i="20"/>
  <c r="D23" i="20"/>
  <c r="I22" i="20"/>
  <c r="H22" i="20"/>
  <c r="G22" i="20"/>
  <c r="F22" i="20"/>
  <c r="E22" i="20"/>
  <c r="D22" i="20"/>
  <c r="I21" i="20"/>
  <c r="H21" i="20"/>
  <c r="G21" i="20"/>
  <c r="F21" i="20"/>
  <c r="E21" i="20"/>
  <c r="D21" i="20"/>
  <c r="I20" i="20"/>
  <c r="H20" i="20"/>
  <c r="G20" i="20"/>
  <c r="F20" i="20"/>
  <c r="E20" i="20"/>
  <c r="D20" i="20"/>
  <c r="I19" i="20"/>
  <c r="H19" i="20"/>
  <c r="G19" i="20"/>
  <c r="F19" i="20"/>
  <c r="E19" i="20"/>
  <c r="D19" i="20"/>
  <c r="I18" i="20"/>
  <c r="H18" i="20"/>
  <c r="G18" i="20"/>
  <c r="F18" i="20"/>
  <c r="E18" i="20"/>
  <c r="D18" i="20"/>
  <c r="I17" i="20"/>
  <c r="H17" i="20"/>
  <c r="G17" i="20"/>
  <c r="F17" i="20"/>
  <c r="E17" i="20"/>
  <c r="D17" i="20"/>
  <c r="I16" i="20"/>
  <c r="H16" i="20"/>
  <c r="G16" i="20"/>
  <c r="F16" i="20"/>
  <c r="E16" i="20"/>
  <c r="D16" i="20"/>
  <c r="I15" i="20"/>
  <c r="H15" i="20"/>
  <c r="G15" i="20"/>
  <c r="F15" i="20"/>
  <c r="E15" i="20"/>
  <c r="D15" i="20"/>
  <c r="I14" i="20"/>
  <c r="H14" i="20"/>
  <c r="G14" i="20"/>
  <c r="F14" i="20"/>
  <c r="E14" i="20"/>
  <c r="D14" i="20"/>
  <c r="I13" i="20"/>
  <c r="H13" i="20"/>
  <c r="G13" i="20"/>
  <c r="F13" i="20"/>
  <c r="E13" i="20"/>
  <c r="D13" i="20"/>
  <c r="I12" i="20"/>
  <c r="H12" i="20"/>
  <c r="G12" i="20"/>
  <c r="F12" i="20"/>
  <c r="E12" i="20"/>
  <c r="D12" i="20"/>
  <c r="I11" i="20"/>
  <c r="H11" i="20"/>
  <c r="G11" i="20"/>
  <c r="F11" i="20"/>
  <c r="E11" i="20"/>
  <c r="D11" i="20"/>
  <c r="I10" i="20"/>
  <c r="H10" i="20"/>
  <c r="G10" i="20"/>
  <c r="F10" i="20"/>
  <c r="E10" i="20"/>
  <c r="D10" i="20"/>
  <c r="I42" i="19"/>
  <c r="H42" i="19"/>
  <c r="G42" i="19"/>
  <c r="F42" i="19"/>
  <c r="E42" i="19"/>
  <c r="D42" i="19"/>
  <c r="I41" i="19"/>
  <c r="H41" i="19"/>
  <c r="G41" i="19"/>
  <c r="F41" i="19"/>
  <c r="E41" i="19"/>
  <c r="D41" i="19"/>
  <c r="I40" i="19"/>
  <c r="H40" i="19"/>
  <c r="G40" i="19"/>
  <c r="F40" i="19"/>
  <c r="E40" i="19"/>
  <c r="D40" i="19"/>
  <c r="I39" i="19"/>
  <c r="H39" i="19"/>
  <c r="G39" i="19"/>
  <c r="F39" i="19"/>
  <c r="E39" i="19"/>
  <c r="D39" i="19"/>
  <c r="I38" i="19"/>
  <c r="H38" i="19"/>
  <c r="G38" i="19"/>
  <c r="F38" i="19"/>
  <c r="E38" i="19"/>
  <c r="D38" i="19"/>
  <c r="I37" i="19"/>
  <c r="H37" i="19"/>
  <c r="G37" i="19"/>
  <c r="F37" i="19"/>
  <c r="E37" i="19"/>
  <c r="D37" i="19"/>
  <c r="I36" i="19"/>
  <c r="H36" i="19"/>
  <c r="G36" i="19"/>
  <c r="F36" i="19"/>
  <c r="E36" i="19"/>
  <c r="D36" i="19"/>
  <c r="I35" i="19"/>
  <c r="H35" i="19"/>
  <c r="G35" i="19"/>
  <c r="F35" i="19"/>
  <c r="E35" i="19"/>
  <c r="D35" i="19"/>
  <c r="I34" i="19"/>
  <c r="H34" i="19"/>
  <c r="G34" i="19"/>
  <c r="F34" i="19"/>
  <c r="E34" i="19"/>
  <c r="D34" i="19"/>
  <c r="I33" i="19"/>
  <c r="H33" i="19"/>
  <c r="G33" i="19"/>
  <c r="F33" i="19"/>
  <c r="E33" i="19"/>
  <c r="D33" i="19"/>
  <c r="I32" i="19"/>
  <c r="H32" i="19"/>
  <c r="G32" i="19"/>
  <c r="F32" i="19"/>
  <c r="E32" i="19"/>
  <c r="D32" i="19"/>
  <c r="I31" i="19"/>
  <c r="H31" i="19"/>
  <c r="G31" i="19"/>
  <c r="F31" i="19"/>
  <c r="E31" i="19"/>
  <c r="D31" i="19"/>
  <c r="I30" i="19"/>
  <c r="H30" i="19"/>
  <c r="G30" i="19"/>
  <c r="F30" i="19"/>
  <c r="E30" i="19"/>
  <c r="D30" i="19"/>
  <c r="I29" i="19"/>
  <c r="H29" i="19"/>
  <c r="G29" i="19"/>
  <c r="F29" i="19"/>
  <c r="E29" i="19"/>
  <c r="D29" i="19"/>
  <c r="I28" i="19"/>
  <c r="H28" i="19"/>
  <c r="G28" i="19"/>
  <c r="F28" i="19"/>
  <c r="E28" i="19"/>
  <c r="D28" i="19"/>
  <c r="I27" i="19"/>
  <c r="H27" i="19"/>
  <c r="G27" i="19"/>
  <c r="F27" i="19"/>
  <c r="E27" i="19"/>
  <c r="D27" i="19"/>
  <c r="I26" i="19"/>
  <c r="H26" i="19"/>
  <c r="G26" i="19"/>
  <c r="F26" i="19"/>
  <c r="E26" i="19"/>
  <c r="D26" i="19"/>
  <c r="I25" i="19"/>
  <c r="H25" i="19"/>
  <c r="G25" i="19"/>
  <c r="F25" i="19"/>
  <c r="E25" i="19"/>
  <c r="D25" i="19"/>
  <c r="I24" i="19"/>
  <c r="H24" i="19"/>
  <c r="G24" i="19"/>
  <c r="F24" i="19"/>
  <c r="E24" i="19"/>
  <c r="D24" i="19"/>
  <c r="I23" i="19"/>
  <c r="H23" i="19"/>
  <c r="G23" i="19"/>
  <c r="F23" i="19"/>
  <c r="E23" i="19"/>
  <c r="D23" i="19"/>
  <c r="I22" i="19"/>
  <c r="H22" i="19"/>
  <c r="G22" i="19"/>
  <c r="F22" i="19"/>
  <c r="E22" i="19"/>
  <c r="D22" i="19"/>
  <c r="I21" i="19"/>
  <c r="H21" i="19"/>
  <c r="G21" i="19"/>
  <c r="F21" i="19"/>
  <c r="E21" i="19"/>
  <c r="D21" i="19"/>
  <c r="I20" i="19"/>
  <c r="H20" i="19"/>
  <c r="G20" i="19"/>
  <c r="F20" i="19"/>
  <c r="E20" i="19"/>
  <c r="D20" i="19"/>
  <c r="I19" i="19"/>
  <c r="H19" i="19"/>
  <c r="G19" i="19"/>
  <c r="F19" i="19"/>
  <c r="E19" i="19"/>
  <c r="D19" i="19"/>
  <c r="I18" i="19"/>
  <c r="H18" i="19"/>
  <c r="G18" i="19"/>
  <c r="F18" i="19"/>
  <c r="E18" i="19"/>
  <c r="D18" i="19"/>
  <c r="I17" i="19"/>
  <c r="H17" i="19"/>
  <c r="G17" i="19"/>
  <c r="F17" i="19"/>
  <c r="E17" i="19"/>
  <c r="D17" i="19"/>
  <c r="I16" i="19"/>
  <c r="H16" i="19"/>
  <c r="G16" i="19"/>
  <c r="F16" i="19"/>
  <c r="E16" i="19"/>
  <c r="D16" i="19"/>
  <c r="I15" i="19"/>
  <c r="H15" i="19"/>
  <c r="G15" i="19"/>
  <c r="F15" i="19"/>
  <c r="E15" i="19"/>
  <c r="D15" i="19"/>
  <c r="I14" i="19"/>
  <c r="H14" i="19"/>
  <c r="G14" i="19"/>
  <c r="F14" i="19"/>
  <c r="E14" i="19"/>
  <c r="D14" i="19"/>
  <c r="I13" i="19"/>
  <c r="H13" i="19"/>
  <c r="G13" i="19"/>
  <c r="F13" i="19"/>
  <c r="E13" i="19"/>
  <c r="D13" i="19"/>
  <c r="I12" i="19"/>
  <c r="H12" i="19"/>
  <c r="G12" i="19"/>
  <c r="F12" i="19"/>
  <c r="E12" i="19"/>
  <c r="D12" i="19"/>
  <c r="I11" i="19"/>
  <c r="H11" i="19"/>
  <c r="G11" i="19"/>
  <c r="F11" i="19"/>
  <c r="E11" i="19"/>
  <c r="D11" i="19"/>
  <c r="I10" i="19"/>
  <c r="H10" i="19"/>
  <c r="G10" i="19"/>
  <c r="F10" i="19"/>
  <c r="E10" i="19"/>
  <c r="D10" i="19"/>
  <c r="I42" i="18"/>
  <c r="H42" i="18"/>
  <c r="G42" i="18"/>
  <c r="F42" i="18"/>
  <c r="E42" i="18"/>
  <c r="D42" i="18"/>
  <c r="I41" i="18"/>
  <c r="H41" i="18"/>
  <c r="G41" i="18"/>
  <c r="F41" i="18"/>
  <c r="E41" i="18"/>
  <c r="D41" i="18"/>
  <c r="I40" i="18"/>
  <c r="H40" i="18"/>
  <c r="G40" i="18"/>
  <c r="F40" i="18"/>
  <c r="E40" i="18"/>
  <c r="D40" i="18"/>
  <c r="I39" i="18"/>
  <c r="H39" i="18"/>
  <c r="G39" i="18"/>
  <c r="F39" i="18"/>
  <c r="E39" i="18"/>
  <c r="D39" i="18"/>
  <c r="I38" i="18"/>
  <c r="H38" i="18"/>
  <c r="G38" i="18"/>
  <c r="F38" i="18"/>
  <c r="E38" i="18"/>
  <c r="D38" i="18"/>
  <c r="I37" i="18"/>
  <c r="H37" i="18"/>
  <c r="G37" i="18"/>
  <c r="F37" i="18"/>
  <c r="E37" i="18"/>
  <c r="D37" i="18"/>
  <c r="I36" i="18"/>
  <c r="H36" i="18"/>
  <c r="G36" i="18"/>
  <c r="F36" i="18"/>
  <c r="E36" i="18"/>
  <c r="D36" i="18"/>
  <c r="I35" i="18"/>
  <c r="H35" i="18"/>
  <c r="G35" i="18"/>
  <c r="F35" i="18"/>
  <c r="E35" i="18"/>
  <c r="D35" i="18"/>
  <c r="I34" i="18"/>
  <c r="H34" i="18"/>
  <c r="G34" i="18"/>
  <c r="F34" i="18"/>
  <c r="E34" i="18"/>
  <c r="D34" i="18"/>
  <c r="I33" i="18"/>
  <c r="H33" i="18"/>
  <c r="G33" i="18"/>
  <c r="F33" i="18"/>
  <c r="E33" i="18"/>
  <c r="D33" i="18"/>
  <c r="I32" i="18"/>
  <c r="H32" i="18"/>
  <c r="G32" i="18"/>
  <c r="F32" i="18"/>
  <c r="E32" i="18"/>
  <c r="D32" i="18"/>
  <c r="I31" i="18"/>
  <c r="H31" i="18"/>
  <c r="G31" i="18"/>
  <c r="F31" i="18"/>
  <c r="E31" i="18"/>
  <c r="D31" i="18"/>
  <c r="I30" i="18"/>
  <c r="H30" i="18"/>
  <c r="G30" i="18"/>
  <c r="F30" i="18"/>
  <c r="E30" i="18"/>
  <c r="D30" i="18"/>
  <c r="I29" i="18"/>
  <c r="H29" i="18"/>
  <c r="G29" i="18"/>
  <c r="F29" i="18"/>
  <c r="E29" i="18"/>
  <c r="D29" i="18"/>
  <c r="I28" i="18"/>
  <c r="H28" i="18"/>
  <c r="G28" i="18"/>
  <c r="F28" i="18"/>
  <c r="E28" i="18"/>
  <c r="D28" i="18"/>
  <c r="I27" i="18"/>
  <c r="H27" i="18"/>
  <c r="G27" i="18"/>
  <c r="F27" i="18"/>
  <c r="E27" i="18"/>
  <c r="D27" i="18"/>
  <c r="I26" i="18"/>
  <c r="H26" i="18"/>
  <c r="G26" i="18"/>
  <c r="F26" i="18"/>
  <c r="E26" i="18"/>
  <c r="D26" i="18"/>
  <c r="I25" i="18"/>
  <c r="H25" i="18"/>
  <c r="G25" i="18"/>
  <c r="F25" i="18"/>
  <c r="E25" i="18"/>
  <c r="D25" i="18"/>
  <c r="I24" i="18"/>
  <c r="H24" i="18"/>
  <c r="G24" i="18"/>
  <c r="F24" i="18"/>
  <c r="E24" i="18"/>
  <c r="D24" i="18"/>
  <c r="I23" i="18"/>
  <c r="H23" i="18"/>
  <c r="G23" i="18"/>
  <c r="F23" i="18"/>
  <c r="E23" i="18"/>
  <c r="D23" i="18"/>
  <c r="I22" i="18"/>
  <c r="H22" i="18"/>
  <c r="G22" i="18"/>
  <c r="F22" i="18"/>
  <c r="E22" i="18"/>
  <c r="D22" i="18"/>
  <c r="I21" i="18"/>
  <c r="H21" i="18"/>
  <c r="G21" i="18"/>
  <c r="F21" i="18"/>
  <c r="E21" i="18"/>
  <c r="D21" i="18"/>
  <c r="I20" i="18"/>
  <c r="H20" i="18"/>
  <c r="G20" i="18"/>
  <c r="F20" i="18"/>
  <c r="E20" i="18"/>
  <c r="D20" i="18"/>
  <c r="I19" i="18"/>
  <c r="H19" i="18"/>
  <c r="G19" i="18"/>
  <c r="F19" i="18"/>
  <c r="E19" i="18"/>
  <c r="D19" i="18"/>
  <c r="I18" i="18"/>
  <c r="H18" i="18"/>
  <c r="G18" i="18"/>
  <c r="F18" i="18"/>
  <c r="E18" i="18"/>
  <c r="D18" i="18"/>
  <c r="I17" i="18"/>
  <c r="H17" i="18"/>
  <c r="G17" i="18"/>
  <c r="F17" i="18"/>
  <c r="E17" i="18"/>
  <c r="D17" i="18"/>
  <c r="I16" i="18"/>
  <c r="H16" i="18"/>
  <c r="G16" i="18"/>
  <c r="F16" i="18"/>
  <c r="E16" i="18"/>
  <c r="D16" i="18"/>
  <c r="I15" i="18"/>
  <c r="H15" i="18"/>
  <c r="G15" i="18"/>
  <c r="F15" i="18"/>
  <c r="E15" i="18"/>
  <c r="D15" i="18"/>
  <c r="I14" i="18"/>
  <c r="H14" i="18"/>
  <c r="G14" i="18"/>
  <c r="F14" i="18"/>
  <c r="E14" i="18"/>
  <c r="D14" i="18"/>
  <c r="I13" i="18"/>
  <c r="H13" i="18"/>
  <c r="G13" i="18"/>
  <c r="F13" i="18"/>
  <c r="E13" i="18"/>
  <c r="D13" i="18"/>
  <c r="I12" i="18"/>
  <c r="H12" i="18"/>
  <c r="G12" i="18"/>
  <c r="F12" i="18"/>
  <c r="E12" i="18"/>
  <c r="D12" i="18"/>
  <c r="I11" i="18"/>
  <c r="H11" i="18"/>
  <c r="G11" i="18"/>
  <c r="F11" i="18"/>
  <c r="E11" i="18"/>
  <c r="D11" i="18"/>
  <c r="I10" i="18"/>
  <c r="H10" i="18"/>
  <c r="G10" i="18"/>
  <c r="F10" i="18"/>
  <c r="E10" i="18"/>
  <c r="D10" i="18"/>
  <c r="I42" i="17"/>
  <c r="H42" i="17"/>
  <c r="G42" i="17"/>
  <c r="F42" i="17"/>
  <c r="E42" i="17"/>
  <c r="D42" i="17"/>
  <c r="I41" i="17"/>
  <c r="H41" i="17"/>
  <c r="G41" i="17"/>
  <c r="F41" i="17"/>
  <c r="E41" i="17"/>
  <c r="D41" i="17"/>
  <c r="I40" i="17"/>
  <c r="H40" i="17"/>
  <c r="G40" i="17"/>
  <c r="F40" i="17"/>
  <c r="E40" i="17"/>
  <c r="D40" i="17"/>
  <c r="I39" i="17"/>
  <c r="H39" i="17"/>
  <c r="G39" i="17"/>
  <c r="F39" i="17"/>
  <c r="E39" i="17"/>
  <c r="D39" i="17"/>
  <c r="I38" i="17"/>
  <c r="H38" i="17"/>
  <c r="G38" i="17"/>
  <c r="F38" i="17"/>
  <c r="E38" i="17"/>
  <c r="D38" i="17"/>
  <c r="I37" i="17"/>
  <c r="H37" i="17"/>
  <c r="G37" i="17"/>
  <c r="F37" i="17"/>
  <c r="E37" i="17"/>
  <c r="D37" i="17"/>
  <c r="I36" i="17"/>
  <c r="H36" i="17"/>
  <c r="G36" i="17"/>
  <c r="F36" i="17"/>
  <c r="E36" i="17"/>
  <c r="D36" i="17"/>
  <c r="I35" i="17"/>
  <c r="H35" i="17"/>
  <c r="G35" i="17"/>
  <c r="F35" i="17"/>
  <c r="E35" i="17"/>
  <c r="D35" i="17"/>
  <c r="I34" i="17"/>
  <c r="H34" i="17"/>
  <c r="G34" i="17"/>
  <c r="F34" i="17"/>
  <c r="E34" i="17"/>
  <c r="D34" i="17"/>
  <c r="I33" i="17"/>
  <c r="H33" i="17"/>
  <c r="G33" i="17"/>
  <c r="F33" i="17"/>
  <c r="E33" i="17"/>
  <c r="D33" i="17"/>
  <c r="I32" i="17"/>
  <c r="H32" i="17"/>
  <c r="G32" i="17"/>
  <c r="F32" i="17"/>
  <c r="E32" i="17"/>
  <c r="D32" i="17"/>
  <c r="I31" i="17"/>
  <c r="H31" i="17"/>
  <c r="G31" i="17"/>
  <c r="F31" i="17"/>
  <c r="E31" i="17"/>
  <c r="D31" i="17"/>
  <c r="I30" i="17"/>
  <c r="H30" i="17"/>
  <c r="G30" i="17"/>
  <c r="F30" i="17"/>
  <c r="E30" i="17"/>
  <c r="D30" i="17"/>
  <c r="I29" i="17"/>
  <c r="H29" i="17"/>
  <c r="G29" i="17"/>
  <c r="F29" i="17"/>
  <c r="E29" i="17"/>
  <c r="D29" i="17"/>
  <c r="I28" i="17"/>
  <c r="H28" i="17"/>
  <c r="G28" i="17"/>
  <c r="F28" i="17"/>
  <c r="E28" i="17"/>
  <c r="D28" i="17"/>
  <c r="I27" i="17"/>
  <c r="H27" i="17"/>
  <c r="G27" i="17"/>
  <c r="F27" i="17"/>
  <c r="E27" i="17"/>
  <c r="D27" i="17"/>
  <c r="I26" i="17"/>
  <c r="H26" i="17"/>
  <c r="G26" i="17"/>
  <c r="F26" i="17"/>
  <c r="E26" i="17"/>
  <c r="D26" i="17"/>
  <c r="I25" i="17"/>
  <c r="H25" i="17"/>
  <c r="G25" i="17"/>
  <c r="F25" i="17"/>
  <c r="E25" i="17"/>
  <c r="D25" i="17"/>
  <c r="I24" i="17"/>
  <c r="H24" i="17"/>
  <c r="G24" i="17"/>
  <c r="F24" i="17"/>
  <c r="E24" i="17"/>
  <c r="D24" i="17"/>
  <c r="I23" i="17"/>
  <c r="H23" i="17"/>
  <c r="G23" i="17"/>
  <c r="F23" i="17"/>
  <c r="E23" i="17"/>
  <c r="D23" i="17"/>
  <c r="I22" i="17"/>
  <c r="H22" i="17"/>
  <c r="G22" i="17"/>
  <c r="F22" i="17"/>
  <c r="E22" i="17"/>
  <c r="D22" i="17"/>
  <c r="I21" i="17"/>
  <c r="H21" i="17"/>
  <c r="G21" i="17"/>
  <c r="F21" i="17"/>
  <c r="E21" i="17"/>
  <c r="D21" i="17"/>
  <c r="I20" i="17"/>
  <c r="H20" i="17"/>
  <c r="G20" i="17"/>
  <c r="F20" i="17"/>
  <c r="E20" i="17"/>
  <c r="D20" i="17"/>
  <c r="I19" i="17"/>
  <c r="H19" i="17"/>
  <c r="G19" i="17"/>
  <c r="F19" i="17"/>
  <c r="E19" i="17"/>
  <c r="D19" i="17"/>
  <c r="I18" i="17"/>
  <c r="H18" i="17"/>
  <c r="G18" i="17"/>
  <c r="F18" i="17"/>
  <c r="E18" i="17"/>
  <c r="D18" i="17"/>
  <c r="I17" i="17"/>
  <c r="H17" i="17"/>
  <c r="G17" i="17"/>
  <c r="F17" i="17"/>
  <c r="E17" i="17"/>
  <c r="D17" i="17"/>
  <c r="I16" i="17"/>
  <c r="H16" i="17"/>
  <c r="G16" i="17"/>
  <c r="F16" i="17"/>
  <c r="E16" i="17"/>
  <c r="D16" i="17"/>
  <c r="I15" i="17"/>
  <c r="H15" i="17"/>
  <c r="G15" i="17"/>
  <c r="F15" i="17"/>
  <c r="E15" i="17"/>
  <c r="D15" i="17"/>
  <c r="I14" i="17"/>
  <c r="H14" i="17"/>
  <c r="G14" i="17"/>
  <c r="F14" i="17"/>
  <c r="E14" i="17"/>
  <c r="D14" i="17"/>
  <c r="I13" i="17"/>
  <c r="H13" i="17"/>
  <c r="G13" i="17"/>
  <c r="F13" i="17"/>
  <c r="E13" i="17"/>
  <c r="D13" i="17"/>
  <c r="I12" i="17"/>
  <c r="H12" i="17"/>
  <c r="G12" i="17"/>
  <c r="F12" i="17"/>
  <c r="E12" i="17"/>
  <c r="D12" i="17"/>
  <c r="I11" i="17"/>
  <c r="H11" i="17"/>
  <c r="G11" i="17"/>
  <c r="F11" i="17"/>
  <c r="E11" i="17"/>
  <c r="D11" i="17"/>
  <c r="I10" i="17"/>
  <c r="H10" i="17"/>
  <c r="G10" i="17"/>
  <c r="F10" i="17"/>
  <c r="E10" i="17"/>
  <c r="D10" i="17"/>
  <c r="I42" i="16"/>
  <c r="H42" i="16"/>
  <c r="G42" i="16"/>
  <c r="F42" i="16"/>
  <c r="E42" i="16"/>
  <c r="D42" i="16"/>
  <c r="I41" i="16"/>
  <c r="H41" i="16"/>
  <c r="G41" i="16"/>
  <c r="F41" i="16"/>
  <c r="E41" i="16"/>
  <c r="D41" i="16"/>
  <c r="I40" i="16"/>
  <c r="H40" i="16"/>
  <c r="G40" i="16"/>
  <c r="F40" i="16"/>
  <c r="E40" i="16"/>
  <c r="D40" i="16"/>
  <c r="I39" i="16"/>
  <c r="H39" i="16"/>
  <c r="G39" i="16"/>
  <c r="F39" i="16"/>
  <c r="E39" i="16"/>
  <c r="D39" i="16"/>
  <c r="I38" i="16"/>
  <c r="H38" i="16"/>
  <c r="G38" i="16"/>
  <c r="F38" i="16"/>
  <c r="E38" i="16"/>
  <c r="D38" i="16"/>
  <c r="I37" i="16"/>
  <c r="H37" i="16"/>
  <c r="G37" i="16"/>
  <c r="F37" i="16"/>
  <c r="E37" i="16"/>
  <c r="D37" i="16"/>
  <c r="I36" i="16"/>
  <c r="H36" i="16"/>
  <c r="G36" i="16"/>
  <c r="F36" i="16"/>
  <c r="E36" i="16"/>
  <c r="D36" i="16"/>
  <c r="I35" i="16"/>
  <c r="H35" i="16"/>
  <c r="G35" i="16"/>
  <c r="F35" i="16"/>
  <c r="E35" i="16"/>
  <c r="D35" i="16"/>
  <c r="I34" i="16"/>
  <c r="H34" i="16"/>
  <c r="G34" i="16"/>
  <c r="F34" i="16"/>
  <c r="E34" i="16"/>
  <c r="D34" i="16"/>
  <c r="I33" i="16"/>
  <c r="H33" i="16"/>
  <c r="G33" i="16"/>
  <c r="F33" i="16"/>
  <c r="E33" i="16"/>
  <c r="D33" i="16"/>
  <c r="I32" i="16"/>
  <c r="H32" i="16"/>
  <c r="G32" i="16"/>
  <c r="F32" i="16"/>
  <c r="E32" i="16"/>
  <c r="D32" i="16"/>
  <c r="I31" i="16"/>
  <c r="H31" i="16"/>
  <c r="G31" i="16"/>
  <c r="F31" i="16"/>
  <c r="E31" i="16"/>
  <c r="D31" i="16"/>
  <c r="I30" i="16"/>
  <c r="H30" i="16"/>
  <c r="G30" i="16"/>
  <c r="F30" i="16"/>
  <c r="E30" i="16"/>
  <c r="D30" i="16"/>
  <c r="I29" i="16"/>
  <c r="H29" i="16"/>
  <c r="G29" i="16"/>
  <c r="F29" i="16"/>
  <c r="E29" i="16"/>
  <c r="D29" i="16"/>
  <c r="I28" i="16"/>
  <c r="H28" i="16"/>
  <c r="G28" i="16"/>
  <c r="F28" i="16"/>
  <c r="E28" i="16"/>
  <c r="D28" i="16"/>
  <c r="I27" i="16"/>
  <c r="H27" i="16"/>
  <c r="G27" i="16"/>
  <c r="F27" i="16"/>
  <c r="E27" i="16"/>
  <c r="D27" i="16"/>
  <c r="I26" i="16"/>
  <c r="H26" i="16"/>
  <c r="G26" i="16"/>
  <c r="F26" i="16"/>
  <c r="E26" i="16"/>
  <c r="D26" i="16"/>
  <c r="I25" i="16"/>
  <c r="H25" i="16"/>
  <c r="G25" i="16"/>
  <c r="F25" i="16"/>
  <c r="E25" i="16"/>
  <c r="D25" i="16"/>
  <c r="I24" i="16"/>
  <c r="H24" i="16"/>
  <c r="G24" i="16"/>
  <c r="F24" i="16"/>
  <c r="E24" i="16"/>
  <c r="D24" i="16"/>
  <c r="I23" i="16"/>
  <c r="H23" i="16"/>
  <c r="G23" i="16"/>
  <c r="F23" i="16"/>
  <c r="E23" i="16"/>
  <c r="D23" i="16"/>
  <c r="I22" i="16"/>
  <c r="H22" i="16"/>
  <c r="G22" i="16"/>
  <c r="F22" i="16"/>
  <c r="E22" i="16"/>
  <c r="D22" i="16"/>
  <c r="I21" i="16"/>
  <c r="H21" i="16"/>
  <c r="G21" i="16"/>
  <c r="F21" i="16"/>
  <c r="E21" i="16"/>
  <c r="D21" i="16"/>
  <c r="I20" i="16"/>
  <c r="H20" i="16"/>
  <c r="G20" i="16"/>
  <c r="F20" i="16"/>
  <c r="E20" i="16"/>
  <c r="D20" i="16"/>
  <c r="I19" i="16"/>
  <c r="H19" i="16"/>
  <c r="G19" i="16"/>
  <c r="F19" i="16"/>
  <c r="E19" i="16"/>
  <c r="D19" i="16"/>
  <c r="I18" i="16"/>
  <c r="H18" i="16"/>
  <c r="G18" i="16"/>
  <c r="F18" i="16"/>
  <c r="E18" i="16"/>
  <c r="D18" i="16"/>
  <c r="I17" i="16"/>
  <c r="H17" i="16"/>
  <c r="G17" i="16"/>
  <c r="F17" i="16"/>
  <c r="E17" i="16"/>
  <c r="D17" i="16"/>
  <c r="I16" i="16"/>
  <c r="H16" i="16"/>
  <c r="G16" i="16"/>
  <c r="F16" i="16"/>
  <c r="E16" i="16"/>
  <c r="D16" i="16"/>
  <c r="I15" i="16"/>
  <c r="H15" i="16"/>
  <c r="G15" i="16"/>
  <c r="F15" i="16"/>
  <c r="E15" i="16"/>
  <c r="D15" i="16"/>
  <c r="I14" i="16"/>
  <c r="H14" i="16"/>
  <c r="G14" i="16"/>
  <c r="F14" i="16"/>
  <c r="E14" i="16"/>
  <c r="D14" i="16"/>
  <c r="I13" i="16"/>
  <c r="H13" i="16"/>
  <c r="G13" i="16"/>
  <c r="F13" i="16"/>
  <c r="E13" i="16"/>
  <c r="D13" i="16"/>
  <c r="I12" i="16"/>
  <c r="H12" i="16"/>
  <c r="G12" i="16"/>
  <c r="F12" i="16"/>
  <c r="E12" i="16"/>
  <c r="D12" i="16"/>
  <c r="I11" i="16"/>
  <c r="H11" i="16"/>
  <c r="G11" i="16"/>
  <c r="F11" i="16"/>
  <c r="E11" i="16"/>
  <c r="D11" i="16"/>
  <c r="I10" i="16"/>
  <c r="H10" i="16"/>
  <c r="G10" i="16"/>
  <c r="F10" i="16"/>
  <c r="E10" i="16"/>
  <c r="D10" i="16"/>
  <c r="I42" i="15"/>
  <c r="H42" i="15"/>
  <c r="G42" i="15"/>
  <c r="F42" i="15"/>
  <c r="E42" i="15"/>
  <c r="D42" i="15"/>
  <c r="I41" i="15"/>
  <c r="H41" i="15"/>
  <c r="G41" i="15"/>
  <c r="F41" i="15"/>
  <c r="E41" i="15"/>
  <c r="D41" i="15"/>
  <c r="I40" i="15"/>
  <c r="H40" i="15"/>
  <c r="G40" i="15"/>
  <c r="F40" i="15"/>
  <c r="E40" i="15"/>
  <c r="D40" i="15"/>
  <c r="I39" i="15"/>
  <c r="H39" i="15"/>
  <c r="G39" i="15"/>
  <c r="F39" i="15"/>
  <c r="E39" i="15"/>
  <c r="D39" i="15"/>
  <c r="I38" i="15"/>
  <c r="H38" i="15"/>
  <c r="G38" i="15"/>
  <c r="F38" i="15"/>
  <c r="E38" i="15"/>
  <c r="D38" i="15"/>
  <c r="I37" i="15"/>
  <c r="H37" i="15"/>
  <c r="G37" i="15"/>
  <c r="F37" i="15"/>
  <c r="E37" i="15"/>
  <c r="D37" i="15"/>
  <c r="I36" i="15"/>
  <c r="H36" i="15"/>
  <c r="G36" i="15"/>
  <c r="F36" i="15"/>
  <c r="E36" i="15"/>
  <c r="D36" i="15"/>
  <c r="I35" i="15"/>
  <c r="H35" i="15"/>
  <c r="G35" i="15"/>
  <c r="F35" i="15"/>
  <c r="E35" i="15"/>
  <c r="D35" i="15"/>
  <c r="I34" i="15"/>
  <c r="H34" i="15"/>
  <c r="G34" i="15"/>
  <c r="F34" i="15"/>
  <c r="E34" i="15"/>
  <c r="D34" i="15"/>
  <c r="I33" i="15"/>
  <c r="H33" i="15"/>
  <c r="G33" i="15"/>
  <c r="F33" i="15"/>
  <c r="E33" i="15"/>
  <c r="D33" i="15"/>
  <c r="I32" i="15"/>
  <c r="H32" i="15"/>
  <c r="G32" i="15"/>
  <c r="F32" i="15"/>
  <c r="E32" i="15"/>
  <c r="D32" i="15"/>
  <c r="I31" i="15"/>
  <c r="H31" i="15"/>
  <c r="G31" i="15"/>
  <c r="F31" i="15"/>
  <c r="E31" i="15"/>
  <c r="D31" i="15"/>
  <c r="I30" i="15"/>
  <c r="H30" i="15"/>
  <c r="G30" i="15"/>
  <c r="F30" i="15"/>
  <c r="E30" i="15"/>
  <c r="D30" i="15"/>
  <c r="I29" i="15"/>
  <c r="H29" i="15"/>
  <c r="G29" i="15"/>
  <c r="F29" i="15"/>
  <c r="E29" i="15"/>
  <c r="D29" i="15"/>
  <c r="I28" i="15"/>
  <c r="H28" i="15"/>
  <c r="G28" i="15"/>
  <c r="F28" i="15"/>
  <c r="E28" i="15"/>
  <c r="D28" i="15"/>
  <c r="I27" i="15"/>
  <c r="H27" i="15"/>
  <c r="G27" i="15"/>
  <c r="F27" i="15"/>
  <c r="E27" i="15"/>
  <c r="D27" i="15"/>
  <c r="I26" i="15"/>
  <c r="H26" i="15"/>
  <c r="G26" i="15"/>
  <c r="F26" i="15"/>
  <c r="E26" i="15"/>
  <c r="D26" i="15"/>
  <c r="I25" i="15"/>
  <c r="H25" i="15"/>
  <c r="G25" i="15"/>
  <c r="F25" i="15"/>
  <c r="E25" i="15"/>
  <c r="D25" i="15"/>
  <c r="I24" i="15"/>
  <c r="H24" i="15"/>
  <c r="G24" i="15"/>
  <c r="F24" i="15"/>
  <c r="E24" i="15"/>
  <c r="D24" i="15"/>
  <c r="I23" i="15"/>
  <c r="H23" i="15"/>
  <c r="G23" i="15"/>
  <c r="F23" i="15"/>
  <c r="E23" i="15"/>
  <c r="D23" i="15"/>
  <c r="I22" i="15"/>
  <c r="H22" i="15"/>
  <c r="G22" i="15"/>
  <c r="F22" i="15"/>
  <c r="E22" i="15"/>
  <c r="D22" i="15"/>
  <c r="I21" i="15"/>
  <c r="H21" i="15"/>
  <c r="G21" i="15"/>
  <c r="F21" i="15"/>
  <c r="E21" i="15"/>
  <c r="D21" i="15"/>
  <c r="I20" i="15"/>
  <c r="H20" i="15"/>
  <c r="G20" i="15"/>
  <c r="F20" i="15"/>
  <c r="E20" i="15"/>
  <c r="D20" i="15"/>
  <c r="I19" i="15"/>
  <c r="H19" i="15"/>
  <c r="G19" i="15"/>
  <c r="F19" i="15"/>
  <c r="E19" i="15"/>
  <c r="D19" i="15"/>
  <c r="I18" i="15"/>
  <c r="H18" i="15"/>
  <c r="G18" i="15"/>
  <c r="F18" i="15"/>
  <c r="E18" i="15"/>
  <c r="D18" i="15"/>
  <c r="I17" i="15"/>
  <c r="H17" i="15"/>
  <c r="G17" i="15"/>
  <c r="F17" i="15"/>
  <c r="E17" i="15"/>
  <c r="D17" i="15"/>
  <c r="I16" i="15"/>
  <c r="H16" i="15"/>
  <c r="G16" i="15"/>
  <c r="F16" i="15"/>
  <c r="E16" i="15"/>
  <c r="D16" i="15"/>
  <c r="I15" i="15"/>
  <c r="H15" i="15"/>
  <c r="G15" i="15"/>
  <c r="F15" i="15"/>
  <c r="E15" i="15"/>
  <c r="D15" i="15"/>
  <c r="I14" i="15"/>
  <c r="H14" i="15"/>
  <c r="G14" i="15"/>
  <c r="F14" i="15"/>
  <c r="E14" i="15"/>
  <c r="D14" i="15"/>
  <c r="I13" i="15"/>
  <c r="H13" i="15"/>
  <c r="G13" i="15"/>
  <c r="F13" i="15"/>
  <c r="E13" i="15"/>
  <c r="D13" i="15"/>
  <c r="I12" i="15"/>
  <c r="H12" i="15"/>
  <c r="G12" i="15"/>
  <c r="F12" i="15"/>
  <c r="E12" i="15"/>
  <c r="D12" i="15"/>
  <c r="I11" i="15"/>
  <c r="H11" i="15"/>
  <c r="G11" i="15"/>
  <c r="F11" i="15"/>
  <c r="E11" i="15"/>
  <c r="D11" i="15"/>
  <c r="I10" i="15"/>
  <c r="H10" i="15"/>
  <c r="G10" i="15"/>
  <c r="F10" i="15"/>
  <c r="E10" i="15"/>
  <c r="D10" i="15"/>
  <c r="I42" i="14"/>
  <c r="H42" i="14"/>
  <c r="G42" i="14"/>
  <c r="F42" i="14"/>
  <c r="E42" i="14"/>
  <c r="D42" i="14"/>
  <c r="I41" i="14"/>
  <c r="H41" i="14"/>
  <c r="G41" i="14"/>
  <c r="F41" i="14"/>
  <c r="E41" i="14"/>
  <c r="D41" i="14"/>
  <c r="I40" i="14"/>
  <c r="H40" i="14"/>
  <c r="G40" i="14"/>
  <c r="F40" i="14"/>
  <c r="E40" i="14"/>
  <c r="D40" i="14"/>
  <c r="I39" i="14"/>
  <c r="H39" i="14"/>
  <c r="G39" i="14"/>
  <c r="F39" i="14"/>
  <c r="E39" i="14"/>
  <c r="D39" i="14"/>
  <c r="I38" i="14"/>
  <c r="H38" i="14"/>
  <c r="G38" i="14"/>
  <c r="F38" i="14"/>
  <c r="E38" i="14"/>
  <c r="D38" i="14"/>
  <c r="I37" i="14"/>
  <c r="H37" i="14"/>
  <c r="G37" i="14"/>
  <c r="F37" i="14"/>
  <c r="E37" i="14"/>
  <c r="D37" i="14"/>
  <c r="I36" i="14"/>
  <c r="H36" i="14"/>
  <c r="G36" i="14"/>
  <c r="F36" i="14"/>
  <c r="E36" i="14"/>
  <c r="D36" i="14"/>
  <c r="I35" i="14"/>
  <c r="H35" i="14"/>
  <c r="G35" i="14"/>
  <c r="F35" i="14"/>
  <c r="E35" i="14"/>
  <c r="D35" i="14"/>
  <c r="I34" i="14"/>
  <c r="H34" i="14"/>
  <c r="G34" i="14"/>
  <c r="F34" i="14"/>
  <c r="E34" i="14"/>
  <c r="D34" i="14"/>
  <c r="I33" i="14"/>
  <c r="H33" i="14"/>
  <c r="G33" i="14"/>
  <c r="F33" i="14"/>
  <c r="E33" i="14"/>
  <c r="D33" i="14"/>
  <c r="I32" i="14"/>
  <c r="H32" i="14"/>
  <c r="G32" i="14"/>
  <c r="F32" i="14"/>
  <c r="E32" i="14"/>
  <c r="D32" i="14"/>
  <c r="I31" i="14"/>
  <c r="H31" i="14"/>
  <c r="G31" i="14"/>
  <c r="F31" i="14"/>
  <c r="E31" i="14"/>
  <c r="D31" i="14"/>
  <c r="I30" i="14"/>
  <c r="H30" i="14"/>
  <c r="G30" i="14"/>
  <c r="F30" i="14"/>
  <c r="E30" i="14"/>
  <c r="D30" i="14"/>
  <c r="I29" i="14"/>
  <c r="H29" i="14"/>
  <c r="G29" i="14"/>
  <c r="F29" i="14"/>
  <c r="E29" i="14"/>
  <c r="D29" i="14"/>
  <c r="I28" i="14"/>
  <c r="H28" i="14"/>
  <c r="G28" i="14"/>
  <c r="F28" i="14"/>
  <c r="E28" i="14"/>
  <c r="D28" i="14"/>
  <c r="I27" i="14"/>
  <c r="H27" i="14"/>
  <c r="G27" i="14"/>
  <c r="F27" i="14"/>
  <c r="E27" i="14"/>
  <c r="D27" i="14"/>
  <c r="I26" i="14"/>
  <c r="H26" i="14"/>
  <c r="G26" i="14"/>
  <c r="F26" i="14"/>
  <c r="E26" i="14"/>
  <c r="D26" i="14"/>
  <c r="I25" i="14"/>
  <c r="H25" i="14"/>
  <c r="G25" i="14"/>
  <c r="F25" i="14"/>
  <c r="E25" i="14"/>
  <c r="D25" i="14"/>
  <c r="I24" i="14"/>
  <c r="H24" i="14"/>
  <c r="G24" i="14"/>
  <c r="F24" i="14"/>
  <c r="E24" i="14"/>
  <c r="D24" i="14"/>
  <c r="I23" i="14"/>
  <c r="H23" i="14"/>
  <c r="G23" i="14"/>
  <c r="F23" i="14"/>
  <c r="E23" i="14"/>
  <c r="D23" i="14"/>
  <c r="I22" i="14"/>
  <c r="H22" i="14"/>
  <c r="G22" i="14"/>
  <c r="F22" i="14"/>
  <c r="E22" i="14"/>
  <c r="D22" i="14"/>
  <c r="I21" i="14"/>
  <c r="H21" i="14"/>
  <c r="G21" i="14"/>
  <c r="F21" i="14"/>
  <c r="E21" i="14"/>
  <c r="D21" i="14"/>
  <c r="I20" i="14"/>
  <c r="H20" i="14"/>
  <c r="G20" i="14"/>
  <c r="F20" i="14"/>
  <c r="E20" i="14"/>
  <c r="D20" i="14"/>
  <c r="I19" i="14"/>
  <c r="H19" i="14"/>
  <c r="G19" i="14"/>
  <c r="F19" i="14"/>
  <c r="E19" i="14"/>
  <c r="D19" i="14"/>
  <c r="I18" i="14"/>
  <c r="H18" i="14"/>
  <c r="G18" i="14"/>
  <c r="F18" i="14"/>
  <c r="E18" i="14"/>
  <c r="D18" i="14"/>
  <c r="I17" i="14"/>
  <c r="H17" i="14"/>
  <c r="G17" i="14"/>
  <c r="F17" i="14"/>
  <c r="E17" i="14"/>
  <c r="D17" i="14"/>
  <c r="I16" i="14"/>
  <c r="H16" i="14"/>
  <c r="G16" i="14"/>
  <c r="F16" i="14"/>
  <c r="E16" i="14"/>
  <c r="D16" i="14"/>
  <c r="I15" i="14"/>
  <c r="H15" i="14"/>
  <c r="G15" i="14"/>
  <c r="F15" i="14"/>
  <c r="E15" i="14"/>
  <c r="D15" i="14"/>
  <c r="I14" i="14"/>
  <c r="H14" i="14"/>
  <c r="G14" i="14"/>
  <c r="F14" i="14"/>
  <c r="E14" i="14"/>
  <c r="D14" i="14"/>
  <c r="I13" i="14"/>
  <c r="H13" i="14"/>
  <c r="G13" i="14"/>
  <c r="F13" i="14"/>
  <c r="E13" i="14"/>
  <c r="D13" i="14"/>
  <c r="I12" i="14"/>
  <c r="H12" i="14"/>
  <c r="G12" i="14"/>
  <c r="F12" i="14"/>
  <c r="E12" i="14"/>
  <c r="D12" i="14"/>
  <c r="I11" i="14"/>
  <c r="H11" i="14"/>
  <c r="G11" i="14"/>
  <c r="F11" i="14"/>
  <c r="E11" i="14"/>
  <c r="D11" i="14"/>
  <c r="I10" i="14"/>
  <c r="H10" i="14"/>
  <c r="G10" i="14"/>
  <c r="F10" i="14"/>
  <c r="E10" i="14"/>
  <c r="D10" i="14"/>
  <c r="I42" i="13"/>
  <c r="H42" i="13"/>
  <c r="G42" i="13"/>
  <c r="F42" i="13"/>
  <c r="E42" i="13"/>
  <c r="D42" i="13"/>
  <c r="I41" i="13"/>
  <c r="H41" i="13"/>
  <c r="G41" i="13"/>
  <c r="F41" i="13"/>
  <c r="E41" i="13"/>
  <c r="D41" i="13"/>
  <c r="I40" i="13"/>
  <c r="H40" i="13"/>
  <c r="G40" i="13"/>
  <c r="F40" i="13"/>
  <c r="E40" i="13"/>
  <c r="D40" i="13"/>
  <c r="I39" i="13"/>
  <c r="H39" i="13"/>
  <c r="G39" i="13"/>
  <c r="F39" i="13"/>
  <c r="E39" i="13"/>
  <c r="D39" i="13"/>
  <c r="I38" i="13"/>
  <c r="H38" i="13"/>
  <c r="G38" i="13"/>
  <c r="F38" i="13"/>
  <c r="E38" i="13"/>
  <c r="D38" i="13"/>
  <c r="I37" i="13"/>
  <c r="H37" i="13"/>
  <c r="G37" i="13"/>
  <c r="F37" i="13"/>
  <c r="E37" i="13"/>
  <c r="D37" i="13"/>
  <c r="I36" i="13"/>
  <c r="H36" i="13"/>
  <c r="G36" i="13"/>
  <c r="F36" i="13"/>
  <c r="E36" i="13"/>
  <c r="D36" i="13"/>
  <c r="I35" i="13"/>
  <c r="H35" i="13"/>
  <c r="G35" i="13"/>
  <c r="F35" i="13"/>
  <c r="E35" i="13"/>
  <c r="D35" i="13"/>
  <c r="I34" i="13"/>
  <c r="H34" i="13"/>
  <c r="G34" i="13"/>
  <c r="F34" i="13"/>
  <c r="E34" i="13"/>
  <c r="D34" i="13"/>
  <c r="I33" i="13"/>
  <c r="H33" i="13"/>
  <c r="G33" i="13"/>
  <c r="F33" i="13"/>
  <c r="E33" i="13"/>
  <c r="D33" i="13"/>
  <c r="I32" i="13"/>
  <c r="H32" i="13"/>
  <c r="G32" i="13"/>
  <c r="F32" i="13"/>
  <c r="E32" i="13"/>
  <c r="D32" i="13"/>
  <c r="I31" i="13"/>
  <c r="H31" i="13"/>
  <c r="G31" i="13"/>
  <c r="F31" i="13"/>
  <c r="E31" i="13"/>
  <c r="D31" i="13"/>
  <c r="I30" i="13"/>
  <c r="H30" i="13"/>
  <c r="G30" i="13"/>
  <c r="F30" i="13"/>
  <c r="E30" i="13"/>
  <c r="D30" i="13"/>
  <c r="I29" i="13"/>
  <c r="H29" i="13"/>
  <c r="G29" i="13"/>
  <c r="F29" i="13"/>
  <c r="E29" i="13"/>
  <c r="D29" i="13"/>
  <c r="I28" i="13"/>
  <c r="H28" i="13"/>
  <c r="G28" i="13"/>
  <c r="F28" i="13"/>
  <c r="E28" i="13"/>
  <c r="D28" i="13"/>
  <c r="I27" i="13"/>
  <c r="H27" i="13"/>
  <c r="G27" i="13"/>
  <c r="F27" i="13"/>
  <c r="E27" i="13"/>
  <c r="D27" i="13"/>
  <c r="I26" i="13"/>
  <c r="H26" i="13"/>
  <c r="G26" i="13"/>
  <c r="F26" i="13"/>
  <c r="E26" i="13"/>
  <c r="D26" i="13"/>
  <c r="I25" i="13"/>
  <c r="H25" i="13"/>
  <c r="G25" i="13"/>
  <c r="F25" i="13"/>
  <c r="E25" i="13"/>
  <c r="D25" i="13"/>
  <c r="I24" i="13"/>
  <c r="H24" i="13"/>
  <c r="G24" i="13"/>
  <c r="F24" i="13"/>
  <c r="E24" i="13"/>
  <c r="D24" i="13"/>
  <c r="I23" i="13"/>
  <c r="H23" i="13"/>
  <c r="G23" i="13"/>
  <c r="F23" i="13"/>
  <c r="E23" i="13"/>
  <c r="D23" i="13"/>
  <c r="I22" i="13"/>
  <c r="H22" i="13"/>
  <c r="G22" i="13"/>
  <c r="F22" i="13"/>
  <c r="E22" i="13"/>
  <c r="D22" i="13"/>
  <c r="I21" i="13"/>
  <c r="H21" i="13"/>
  <c r="G21" i="13"/>
  <c r="F21" i="13"/>
  <c r="E21" i="13"/>
  <c r="D21" i="13"/>
  <c r="I20" i="13"/>
  <c r="H20" i="13"/>
  <c r="G20" i="13"/>
  <c r="F20" i="13"/>
  <c r="E20" i="13"/>
  <c r="D20" i="13"/>
  <c r="I19" i="13"/>
  <c r="H19" i="13"/>
  <c r="G19" i="13"/>
  <c r="F19" i="13"/>
  <c r="E19" i="13"/>
  <c r="D19" i="13"/>
  <c r="I18" i="13"/>
  <c r="H18" i="13"/>
  <c r="G18" i="13"/>
  <c r="F18" i="13"/>
  <c r="E18" i="13"/>
  <c r="D18" i="13"/>
  <c r="I17" i="13"/>
  <c r="H17" i="13"/>
  <c r="G17" i="13"/>
  <c r="F17" i="13"/>
  <c r="E17" i="13"/>
  <c r="D17" i="13"/>
  <c r="I16" i="13"/>
  <c r="H16" i="13"/>
  <c r="G16" i="13"/>
  <c r="F16" i="13"/>
  <c r="E16" i="13"/>
  <c r="D16" i="13"/>
  <c r="I15" i="13"/>
  <c r="H15" i="13"/>
  <c r="G15" i="13"/>
  <c r="F15" i="13"/>
  <c r="E15" i="13"/>
  <c r="D15" i="13"/>
  <c r="I14" i="13"/>
  <c r="H14" i="13"/>
  <c r="G14" i="13"/>
  <c r="F14" i="13"/>
  <c r="E14" i="13"/>
  <c r="D14" i="13"/>
  <c r="I13" i="13"/>
  <c r="H13" i="13"/>
  <c r="G13" i="13"/>
  <c r="F13" i="13"/>
  <c r="E13" i="13"/>
  <c r="D13" i="13"/>
  <c r="I12" i="13"/>
  <c r="H12" i="13"/>
  <c r="G12" i="13"/>
  <c r="F12" i="13"/>
  <c r="E12" i="13"/>
  <c r="D12" i="13"/>
  <c r="I11" i="13"/>
  <c r="H11" i="13"/>
  <c r="G11" i="13"/>
  <c r="F11" i="13"/>
  <c r="E11" i="13"/>
  <c r="D11" i="13"/>
  <c r="I10" i="13"/>
  <c r="H10" i="13"/>
  <c r="G10" i="13"/>
  <c r="F10" i="13"/>
  <c r="E10" i="13"/>
  <c r="D10" i="13"/>
  <c r="I42" i="12"/>
  <c r="H42" i="12"/>
  <c r="G42" i="12"/>
  <c r="F42" i="12"/>
  <c r="E42" i="12"/>
  <c r="D42" i="12"/>
  <c r="I41" i="12"/>
  <c r="H41" i="12"/>
  <c r="G41" i="12"/>
  <c r="F41" i="12"/>
  <c r="E41" i="12"/>
  <c r="D41" i="12"/>
  <c r="I40" i="12"/>
  <c r="H40" i="12"/>
  <c r="G40" i="12"/>
  <c r="F40" i="12"/>
  <c r="E40" i="12"/>
  <c r="D40" i="12"/>
  <c r="I39" i="12"/>
  <c r="H39" i="12"/>
  <c r="G39" i="12"/>
  <c r="F39" i="12"/>
  <c r="E39" i="12"/>
  <c r="D39" i="12"/>
  <c r="I38" i="12"/>
  <c r="H38" i="12"/>
  <c r="G38" i="12"/>
  <c r="F38" i="12"/>
  <c r="E38" i="12"/>
  <c r="D38" i="12"/>
  <c r="I37" i="12"/>
  <c r="H37" i="12"/>
  <c r="G37" i="12"/>
  <c r="F37" i="12"/>
  <c r="E37" i="12"/>
  <c r="D37" i="12"/>
  <c r="I36" i="12"/>
  <c r="H36" i="12"/>
  <c r="G36" i="12"/>
  <c r="F36" i="12"/>
  <c r="E36" i="12"/>
  <c r="D36" i="12"/>
  <c r="I35" i="12"/>
  <c r="H35" i="12"/>
  <c r="G35" i="12"/>
  <c r="F35" i="12"/>
  <c r="E35" i="12"/>
  <c r="D35" i="12"/>
  <c r="I34" i="12"/>
  <c r="H34" i="12"/>
  <c r="G34" i="12"/>
  <c r="F34" i="12"/>
  <c r="E34" i="12"/>
  <c r="D34" i="12"/>
  <c r="I33" i="12"/>
  <c r="H33" i="12"/>
  <c r="G33" i="12"/>
  <c r="F33" i="12"/>
  <c r="E33" i="12"/>
  <c r="D33" i="12"/>
  <c r="I32" i="12"/>
  <c r="H32" i="12"/>
  <c r="G32" i="12"/>
  <c r="F32" i="12"/>
  <c r="E32" i="12"/>
  <c r="D32" i="12"/>
  <c r="I31" i="12"/>
  <c r="H31" i="12"/>
  <c r="G31" i="12"/>
  <c r="F31" i="12"/>
  <c r="E31" i="12"/>
  <c r="D31" i="12"/>
  <c r="I30" i="12"/>
  <c r="H30" i="12"/>
  <c r="G30" i="12"/>
  <c r="F30" i="12"/>
  <c r="E30" i="12"/>
  <c r="D30" i="12"/>
  <c r="I29" i="12"/>
  <c r="H29" i="12"/>
  <c r="G29" i="12"/>
  <c r="F29" i="12"/>
  <c r="E29" i="12"/>
  <c r="D29" i="12"/>
  <c r="I28" i="12"/>
  <c r="H28" i="12"/>
  <c r="G28" i="12"/>
  <c r="F28" i="12"/>
  <c r="E28" i="12"/>
  <c r="D28" i="12"/>
  <c r="I27" i="12"/>
  <c r="H27" i="12"/>
  <c r="G27" i="12"/>
  <c r="F27" i="12"/>
  <c r="E27" i="12"/>
  <c r="D27" i="12"/>
  <c r="I26" i="12"/>
  <c r="H26" i="12"/>
  <c r="G26" i="12"/>
  <c r="F26" i="12"/>
  <c r="E26" i="12"/>
  <c r="D26" i="12"/>
  <c r="I25" i="12"/>
  <c r="H25" i="12"/>
  <c r="G25" i="12"/>
  <c r="F25" i="12"/>
  <c r="E25" i="12"/>
  <c r="D25" i="12"/>
  <c r="I24" i="12"/>
  <c r="H24" i="12"/>
  <c r="G24" i="12"/>
  <c r="F24" i="12"/>
  <c r="E24" i="12"/>
  <c r="D24" i="12"/>
  <c r="I23" i="12"/>
  <c r="H23" i="12"/>
  <c r="G23" i="12"/>
  <c r="F23" i="12"/>
  <c r="E23" i="12"/>
  <c r="D23" i="12"/>
  <c r="I22" i="12"/>
  <c r="H22" i="12"/>
  <c r="G22" i="12"/>
  <c r="F22" i="12"/>
  <c r="E22" i="12"/>
  <c r="D22" i="12"/>
  <c r="I21" i="12"/>
  <c r="H21" i="12"/>
  <c r="G21" i="12"/>
  <c r="F21" i="12"/>
  <c r="E21" i="12"/>
  <c r="D21" i="12"/>
  <c r="I20" i="12"/>
  <c r="H20" i="12"/>
  <c r="G20" i="12"/>
  <c r="F20" i="12"/>
  <c r="E20" i="12"/>
  <c r="D20" i="12"/>
  <c r="I19" i="12"/>
  <c r="H19" i="12"/>
  <c r="G19" i="12"/>
  <c r="F19" i="12"/>
  <c r="E19" i="12"/>
  <c r="D19" i="12"/>
  <c r="I18" i="12"/>
  <c r="H18" i="12"/>
  <c r="G18" i="12"/>
  <c r="F18" i="12"/>
  <c r="E18" i="12"/>
  <c r="D18" i="12"/>
  <c r="I17" i="12"/>
  <c r="H17" i="12"/>
  <c r="G17" i="12"/>
  <c r="F17" i="12"/>
  <c r="E17" i="12"/>
  <c r="D17" i="12"/>
  <c r="I16" i="12"/>
  <c r="H16" i="12"/>
  <c r="G16" i="12"/>
  <c r="F16" i="12"/>
  <c r="E16" i="12"/>
  <c r="D16" i="12"/>
  <c r="I15" i="12"/>
  <c r="H15" i="12"/>
  <c r="G15" i="12"/>
  <c r="F15" i="12"/>
  <c r="E15" i="12"/>
  <c r="D15" i="12"/>
  <c r="I14" i="12"/>
  <c r="H14" i="12"/>
  <c r="G14" i="12"/>
  <c r="F14" i="12"/>
  <c r="E14" i="12"/>
  <c r="D14" i="12"/>
  <c r="I13" i="12"/>
  <c r="H13" i="12"/>
  <c r="G13" i="12"/>
  <c r="F13" i="12"/>
  <c r="E13" i="12"/>
  <c r="D13" i="12"/>
  <c r="I12" i="12"/>
  <c r="H12" i="12"/>
  <c r="G12" i="12"/>
  <c r="F12" i="12"/>
  <c r="E12" i="12"/>
  <c r="D12" i="12"/>
  <c r="I11" i="12"/>
  <c r="H11" i="12"/>
  <c r="G11" i="12"/>
  <c r="F11" i="12"/>
  <c r="E11" i="12"/>
  <c r="D11" i="12"/>
  <c r="I10" i="12"/>
  <c r="H10" i="12"/>
  <c r="G10" i="12"/>
  <c r="F10" i="12"/>
  <c r="E10" i="12"/>
  <c r="D10" i="12"/>
  <c r="I42" i="11"/>
  <c r="H42" i="11"/>
  <c r="G42" i="11"/>
  <c r="F42" i="11"/>
  <c r="E42" i="11"/>
  <c r="D42" i="11"/>
  <c r="I41" i="11"/>
  <c r="H41" i="11"/>
  <c r="G41" i="11"/>
  <c r="F41" i="11"/>
  <c r="E41" i="11"/>
  <c r="D41" i="11"/>
  <c r="I40" i="11"/>
  <c r="H40" i="11"/>
  <c r="G40" i="11"/>
  <c r="F40" i="11"/>
  <c r="E40" i="11"/>
  <c r="D40" i="11"/>
  <c r="I39" i="11"/>
  <c r="H39" i="11"/>
  <c r="G39" i="11"/>
  <c r="F39" i="11"/>
  <c r="E39" i="11"/>
  <c r="D39" i="11"/>
  <c r="I38" i="11"/>
  <c r="H38" i="11"/>
  <c r="G38" i="11"/>
  <c r="F38" i="11"/>
  <c r="E38" i="11"/>
  <c r="D38" i="11"/>
  <c r="I37" i="11"/>
  <c r="H37" i="11"/>
  <c r="G37" i="11"/>
  <c r="F37" i="11"/>
  <c r="E37" i="11"/>
  <c r="D37" i="11"/>
  <c r="I36" i="11"/>
  <c r="H36" i="11"/>
  <c r="G36" i="11"/>
  <c r="F36" i="11"/>
  <c r="E36" i="11"/>
  <c r="D36" i="11"/>
  <c r="I35" i="11"/>
  <c r="H35" i="11"/>
  <c r="G35" i="11"/>
  <c r="F35" i="11"/>
  <c r="E35" i="11"/>
  <c r="D35" i="11"/>
  <c r="I34" i="11"/>
  <c r="H34" i="11"/>
  <c r="G34" i="11"/>
  <c r="F34" i="11"/>
  <c r="E34" i="11"/>
  <c r="D34" i="11"/>
  <c r="I33" i="11"/>
  <c r="H33" i="11"/>
  <c r="G33" i="11"/>
  <c r="F33" i="11"/>
  <c r="E33" i="11"/>
  <c r="D33" i="11"/>
  <c r="I32" i="11"/>
  <c r="H32" i="11"/>
  <c r="G32" i="11"/>
  <c r="F32" i="11"/>
  <c r="E32" i="11"/>
  <c r="D32" i="11"/>
  <c r="I31" i="11"/>
  <c r="H31" i="11"/>
  <c r="G31" i="11"/>
  <c r="F31" i="11"/>
  <c r="E31" i="11"/>
  <c r="D31" i="11"/>
  <c r="I30" i="11"/>
  <c r="H30" i="11"/>
  <c r="G30" i="11"/>
  <c r="F30" i="11"/>
  <c r="E30" i="11"/>
  <c r="D30" i="11"/>
  <c r="I29" i="11"/>
  <c r="H29" i="11"/>
  <c r="G29" i="11"/>
  <c r="F29" i="11"/>
  <c r="E29" i="11"/>
  <c r="D29" i="11"/>
  <c r="I28" i="11"/>
  <c r="H28" i="11"/>
  <c r="G28" i="11"/>
  <c r="F28" i="11"/>
  <c r="E28" i="11"/>
  <c r="D28" i="11"/>
  <c r="I27" i="11"/>
  <c r="H27" i="11"/>
  <c r="G27" i="11"/>
  <c r="F27" i="11"/>
  <c r="E27" i="11"/>
  <c r="D27" i="11"/>
  <c r="I26" i="11"/>
  <c r="H26" i="11"/>
  <c r="G26" i="11"/>
  <c r="F26" i="11"/>
  <c r="E26" i="11"/>
  <c r="D26" i="11"/>
  <c r="I25" i="11"/>
  <c r="H25" i="11"/>
  <c r="G25" i="11"/>
  <c r="F25" i="11"/>
  <c r="E25" i="11"/>
  <c r="D25" i="11"/>
  <c r="I24" i="11"/>
  <c r="H24" i="11"/>
  <c r="G24" i="11"/>
  <c r="F24" i="11"/>
  <c r="E24" i="11"/>
  <c r="D24" i="11"/>
  <c r="I23" i="11"/>
  <c r="H23" i="11"/>
  <c r="G23" i="11"/>
  <c r="F23" i="11"/>
  <c r="E23" i="11"/>
  <c r="D23" i="11"/>
  <c r="I22" i="11"/>
  <c r="H22" i="11"/>
  <c r="G22" i="11"/>
  <c r="F22" i="11"/>
  <c r="E22" i="11"/>
  <c r="D22" i="11"/>
  <c r="I21" i="11"/>
  <c r="H21" i="11"/>
  <c r="G21" i="11"/>
  <c r="F21" i="11"/>
  <c r="E21" i="11"/>
  <c r="D21" i="11"/>
  <c r="I20" i="11"/>
  <c r="H20" i="11"/>
  <c r="G20" i="11"/>
  <c r="F20" i="11"/>
  <c r="E20" i="11"/>
  <c r="D20" i="11"/>
  <c r="I19" i="11"/>
  <c r="H19" i="11"/>
  <c r="G19" i="11"/>
  <c r="F19" i="11"/>
  <c r="E19" i="11"/>
  <c r="D19" i="11"/>
  <c r="I18" i="11"/>
  <c r="H18" i="11"/>
  <c r="G18" i="11"/>
  <c r="F18" i="11"/>
  <c r="E18" i="11"/>
  <c r="D18" i="11"/>
  <c r="I17" i="11"/>
  <c r="H17" i="11"/>
  <c r="G17" i="11"/>
  <c r="F17" i="11"/>
  <c r="E17" i="11"/>
  <c r="D17" i="11"/>
  <c r="I16" i="11"/>
  <c r="H16" i="11"/>
  <c r="G16" i="11"/>
  <c r="F16" i="11"/>
  <c r="E16" i="11"/>
  <c r="D16" i="11"/>
  <c r="I15" i="11"/>
  <c r="H15" i="11"/>
  <c r="G15" i="11"/>
  <c r="F15" i="11"/>
  <c r="E15" i="11"/>
  <c r="D15" i="11"/>
  <c r="I14" i="11"/>
  <c r="H14" i="11"/>
  <c r="G14" i="11"/>
  <c r="F14" i="11"/>
  <c r="E14" i="11"/>
  <c r="D14" i="11"/>
  <c r="I13" i="11"/>
  <c r="H13" i="11"/>
  <c r="G13" i="11"/>
  <c r="F13" i="11"/>
  <c r="E13" i="11"/>
  <c r="D13" i="11"/>
  <c r="I12" i="11"/>
  <c r="H12" i="11"/>
  <c r="G12" i="11"/>
  <c r="F12" i="11"/>
  <c r="E12" i="11"/>
  <c r="D12" i="11"/>
  <c r="I11" i="11"/>
  <c r="H11" i="11"/>
  <c r="G11" i="11"/>
  <c r="F11" i="11"/>
  <c r="E11" i="11"/>
  <c r="D11" i="11"/>
  <c r="I10" i="11"/>
  <c r="H10" i="11"/>
  <c r="G10" i="11"/>
  <c r="F10" i="11"/>
  <c r="E10" i="11"/>
  <c r="D10" i="11"/>
  <c r="I42" i="10"/>
  <c r="H42" i="10"/>
  <c r="G42" i="10"/>
  <c r="F42" i="10"/>
  <c r="E42" i="10"/>
  <c r="D42" i="10"/>
  <c r="I41" i="10"/>
  <c r="H41" i="10"/>
  <c r="G41" i="10"/>
  <c r="F41" i="10"/>
  <c r="E41" i="10"/>
  <c r="D41" i="10"/>
  <c r="I40" i="10"/>
  <c r="H40" i="10"/>
  <c r="G40" i="10"/>
  <c r="F40" i="10"/>
  <c r="E40" i="10"/>
  <c r="D40" i="10"/>
  <c r="I39" i="10"/>
  <c r="H39" i="10"/>
  <c r="G39" i="10"/>
  <c r="F39" i="10"/>
  <c r="E39" i="10"/>
  <c r="D39" i="10"/>
  <c r="I38" i="10"/>
  <c r="H38" i="10"/>
  <c r="G38" i="10"/>
  <c r="F38" i="10"/>
  <c r="E38" i="10"/>
  <c r="D38" i="10"/>
  <c r="I37" i="10"/>
  <c r="H37" i="10"/>
  <c r="G37" i="10"/>
  <c r="F37" i="10"/>
  <c r="E37" i="10"/>
  <c r="D37" i="10"/>
  <c r="I36" i="10"/>
  <c r="H36" i="10"/>
  <c r="G36" i="10"/>
  <c r="F36" i="10"/>
  <c r="E36" i="10"/>
  <c r="D36" i="10"/>
  <c r="I35" i="10"/>
  <c r="H35" i="10"/>
  <c r="G35" i="10"/>
  <c r="F35" i="10"/>
  <c r="E35" i="10"/>
  <c r="D35" i="10"/>
  <c r="I34" i="10"/>
  <c r="H34" i="10"/>
  <c r="G34" i="10"/>
  <c r="F34" i="10"/>
  <c r="E34" i="10"/>
  <c r="D34" i="10"/>
  <c r="I33" i="10"/>
  <c r="H33" i="10"/>
  <c r="G33" i="10"/>
  <c r="F33" i="10"/>
  <c r="E33" i="10"/>
  <c r="D33" i="10"/>
  <c r="I32" i="10"/>
  <c r="H32" i="10"/>
  <c r="G32" i="10"/>
  <c r="F32" i="10"/>
  <c r="E32" i="10"/>
  <c r="D32" i="10"/>
  <c r="I31" i="10"/>
  <c r="H31" i="10"/>
  <c r="G31" i="10"/>
  <c r="F31" i="10"/>
  <c r="E31" i="10"/>
  <c r="D31" i="10"/>
  <c r="I30" i="10"/>
  <c r="H30" i="10"/>
  <c r="G30" i="10"/>
  <c r="F30" i="10"/>
  <c r="E30" i="10"/>
  <c r="D30" i="10"/>
  <c r="I29" i="10"/>
  <c r="H29" i="10"/>
  <c r="G29" i="10"/>
  <c r="F29" i="10"/>
  <c r="E29" i="10"/>
  <c r="D29" i="10"/>
  <c r="I28" i="10"/>
  <c r="H28" i="10"/>
  <c r="G28" i="10"/>
  <c r="F28" i="10"/>
  <c r="E28" i="10"/>
  <c r="D28" i="10"/>
  <c r="I27" i="10"/>
  <c r="H27" i="10"/>
  <c r="G27" i="10"/>
  <c r="F27" i="10"/>
  <c r="E27" i="10"/>
  <c r="D27" i="10"/>
  <c r="I26" i="10"/>
  <c r="H26" i="10"/>
  <c r="G26" i="10"/>
  <c r="F26" i="10"/>
  <c r="E26" i="10"/>
  <c r="D26" i="10"/>
  <c r="I25" i="10"/>
  <c r="H25" i="10"/>
  <c r="G25" i="10"/>
  <c r="F25" i="10"/>
  <c r="E25" i="10"/>
  <c r="D25" i="10"/>
  <c r="I24" i="10"/>
  <c r="H24" i="10"/>
  <c r="G24" i="10"/>
  <c r="F24" i="10"/>
  <c r="E24" i="10"/>
  <c r="D24" i="10"/>
  <c r="I23" i="10"/>
  <c r="H23" i="10"/>
  <c r="G23" i="10"/>
  <c r="F23" i="10"/>
  <c r="E23" i="10"/>
  <c r="D23" i="10"/>
  <c r="I22" i="10"/>
  <c r="H22" i="10"/>
  <c r="G22" i="10"/>
  <c r="F22" i="10"/>
  <c r="E22" i="10"/>
  <c r="D22" i="10"/>
  <c r="I21" i="10"/>
  <c r="H21" i="10"/>
  <c r="G21" i="10"/>
  <c r="F21" i="10"/>
  <c r="E21" i="10"/>
  <c r="D21" i="10"/>
  <c r="I20" i="10"/>
  <c r="H20" i="10"/>
  <c r="G20" i="10"/>
  <c r="F20" i="10"/>
  <c r="E20" i="10"/>
  <c r="D20" i="10"/>
  <c r="I19" i="10"/>
  <c r="H19" i="10"/>
  <c r="G19" i="10"/>
  <c r="F19" i="10"/>
  <c r="E19" i="10"/>
  <c r="D19" i="10"/>
  <c r="I18" i="10"/>
  <c r="H18" i="10"/>
  <c r="G18" i="10"/>
  <c r="F18" i="10"/>
  <c r="E18" i="10"/>
  <c r="D18" i="10"/>
  <c r="I17" i="10"/>
  <c r="H17" i="10"/>
  <c r="G17" i="10"/>
  <c r="F17" i="10"/>
  <c r="E17" i="10"/>
  <c r="D17" i="10"/>
  <c r="I16" i="10"/>
  <c r="H16" i="10"/>
  <c r="G16" i="10"/>
  <c r="F16" i="10"/>
  <c r="E16" i="10"/>
  <c r="D16" i="10"/>
  <c r="I15" i="10"/>
  <c r="H15" i="10"/>
  <c r="G15" i="10"/>
  <c r="F15" i="10"/>
  <c r="E15" i="10"/>
  <c r="D15" i="10"/>
  <c r="I14" i="10"/>
  <c r="H14" i="10"/>
  <c r="G14" i="10"/>
  <c r="F14" i="10"/>
  <c r="E14" i="10"/>
  <c r="D14" i="10"/>
  <c r="I13" i="10"/>
  <c r="H13" i="10"/>
  <c r="G13" i="10"/>
  <c r="F13" i="10"/>
  <c r="E13" i="10"/>
  <c r="D13" i="10"/>
  <c r="I12" i="10"/>
  <c r="H12" i="10"/>
  <c r="G12" i="10"/>
  <c r="F12" i="10"/>
  <c r="E12" i="10"/>
  <c r="D12" i="10"/>
  <c r="I11" i="10"/>
  <c r="H11" i="10"/>
  <c r="G11" i="10"/>
  <c r="F11" i="10"/>
  <c r="E11" i="10"/>
  <c r="D11" i="10"/>
  <c r="I10" i="10"/>
  <c r="H10" i="10"/>
  <c r="G10" i="10"/>
  <c r="F10" i="10"/>
  <c r="E10" i="10"/>
  <c r="D10" i="10"/>
  <c r="D42" i="9"/>
  <c r="E42" i="9"/>
  <c r="F42" i="9"/>
  <c r="G42" i="9"/>
  <c r="H42" i="9"/>
  <c r="I42" i="9"/>
  <c r="I41" i="9"/>
  <c r="H41" i="9"/>
  <c r="G41" i="9"/>
  <c r="F41" i="9"/>
  <c r="E41" i="9"/>
  <c r="D41" i="9"/>
  <c r="I40" i="9"/>
  <c r="H40" i="9"/>
  <c r="G40" i="9"/>
  <c r="F40" i="9"/>
  <c r="E40" i="9"/>
  <c r="D40" i="9"/>
  <c r="I39" i="9"/>
  <c r="H39" i="9"/>
  <c r="G39" i="9"/>
  <c r="F39" i="9"/>
  <c r="E39" i="9"/>
  <c r="D39" i="9"/>
  <c r="I38" i="9"/>
  <c r="H38" i="9"/>
  <c r="G38" i="9"/>
  <c r="F38" i="9"/>
  <c r="E38" i="9"/>
  <c r="D38" i="9"/>
  <c r="I37" i="9"/>
  <c r="H37" i="9"/>
  <c r="G37" i="9"/>
  <c r="F37" i="9"/>
  <c r="E37" i="9"/>
  <c r="D37" i="9"/>
  <c r="I36" i="9"/>
  <c r="H36" i="9"/>
  <c r="G36" i="9"/>
  <c r="F36" i="9"/>
  <c r="E36" i="9"/>
  <c r="D36" i="9"/>
  <c r="I35" i="9"/>
  <c r="H35" i="9"/>
  <c r="G35" i="9"/>
  <c r="F35" i="9"/>
  <c r="E35" i="9"/>
  <c r="D35" i="9"/>
  <c r="I34" i="9"/>
  <c r="H34" i="9"/>
  <c r="G34" i="9"/>
  <c r="F34" i="9"/>
  <c r="E34" i="9"/>
  <c r="D34" i="9"/>
  <c r="I33" i="9"/>
  <c r="H33" i="9"/>
  <c r="G33" i="9"/>
  <c r="F33" i="9"/>
  <c r="E33" i="9"/>
  <c r="D33" i="9"/>
  <c r="I32" i="9"/>
  <c r="H32" i="9"/>
  <c r="G32" i="9"/>
  <c r="F32" i="9"/>
  <c r="E32" i="9"/>
  <c r="D32" i="9"/>
  <c r="I31" i="9"/>
  <c r="H31" i="9"/>
  <c r="G31" i="9"/>
  <c r="F31" i="9"/>
  <c r="E31" i="9"/>
  <c r="D31" i="9"/>
  <c r="I30" i="9"/>
  <c r="H30" i="9"/>
  <c r="G30" i="9"/>
  <c r="F30" i="9"/>
  <c r="E30" i="9"/>
  <c r="D30" i="9"/>
  <c r="I29" i="9"/>
  <c r="H29" i="9"/>
  <c r="G29" i="9"/>
  <c r="F29" i="9"/>
  <c r="E29" i="9"/>
  <c r="D29" i="9"/>
  <c r="I28" i="9"/>
  <c r="H28" i="9"/>
  <c r="G28" i="9"/>
  <c r="F28" i="9"/>
  <c r="E28" i="9"/>
  <c r="D28" i="9"/>
  <c r="I27" i="9"/>
  <c r="H27" i="9"/>
  <c r="G27" i="9"/>
  <c r="F27" i="9"/>
  <c r="E27" i="9"/>
  <c r="D27" i="9"/>
  <c r="I26" i="9"/>
  <c r="H26" i="9"/>
  <c r="G26" i="9"/>
  <c r="F26" i="9"/>
  <c r="E26" i="9"/>
  <c r="D26" i="9"/>
  <c r="I25" i="9"/>
  <c r="H25" i="9"/>
  <c r="G25" i="9"/>
  <c r="F25" i="9"/>
  <c r="E25" i="9"/>
  <c r="D25" i="9"/>
  <c r="I24" i="9"/>
  <c r="H24" i="9"/>
  <c r="G24" i="9"/>
  <c r="F24" i="9"/>
  <c r="E24" i="9"/>
  <c r="D24" i="9"/>
  <c r="I23" i="9"/>
  <c r="H23" i="9"/>
  <c r="G23" i="9"/>
  <c r="F23" i="9"/>
  <c r="E23" i="9"/>
  <c r="D23" i="9"/>
  <c r="I22" i="9"/>
  <c r="H22" i="9"/>
  <c r="G22" i="9"/>
  <c r="F22" i="9"/>
  <c r="E22" i="9"/>
  <c r="D22" i="9"/>
  <c r="I21" i="9"/>
  <c r="H21" i="9"/>
  <c r="G21" i="9"/>
  <c r="F21" i="9"/>
  <c r="E21" i="9"/>
  <c r="D21" i="9"/>
  <c r="I20" i="9"/>
  <c r="H20" i="9"/>
  <c r="G20" i="9"/>
  <c r="F20" i="9"/>
  <c r="E20" i="9"/>
  <c r="D20" i="9"/>
  <c r="I19" i="9"/>
  <c r="H19" i="9"/>
  <c r="G19" i="9"/>
  <c r="F19" i="9"/>
  <c r="E19" i="9"/>
  <c r="D19" i="9"/>
  <c r="I18" i="9"/>
  <c r="H18" i="9"/>
  <c r="G18" i="9"/>
  <c r="F18" i="9"/>
  <c r="E18" i="9"/>
  <c r="D18" i="9"/>
  <c r="I17" i="9"/>
  <c r="H17" i="9"/>
  <c r="G17" i="9"/>
  <c r="F17" i="9"/>
  <c r="E17" i="9"/>
  <c r="D17" i="9"/>
  <c r="I16" i="9"/>
  <c r="H16" i="9"/>
  <c r="G16" i="9"/>
  <c r="F16" i="9"/>
  <c r="E16" i="9"/>
  <c r="D16" i="9"/>
  <c r="I15" i="9"/>
  <c r="H15" i="9"/>
  <c r="G15" i="9"/>
  <c r="F15" i="9"/>
  <c r="E15" i="9"/>
  <c r="D15" i="9"/>
  <c r="I14" i="9"/>
  <c r="H14" i="9"/>
  <c r="G14" i="9"/>
  <c r="F14" i="9"/>
  <c r="E14" i="9"/>
  <c r="D14" i="9"/>
  <c r="I13" i="9"/>
  <c r="H13" i="9"/>
  <c r="G13" i="9"/>
  <c r="F13" i="9"/>
  <c r="E13" i="9"/>
  <c r="D13" i="9"/>
  <c r="I12" i="9"/>
  <c r="H12" i="9"/>
  <c r="G12" i="9"/>
  <c r="F12" i="9"/>
  <c r="E12" i="9"/>
  <c r="D12" i="9"/>
  <c r="I11" i="9"/>
  <c r="H11" i="9"/>
  <c r="G11" i="9"/>
  <c r="F11" i="9"/>
  <c r="E11" i="9"/>
  <c r="D11" i="9"/>
  <c r="I10" i="9"/>
  <c r="H10" i="9"/>
  <c r="G10" i="9"/>
  <c r="F10" i="9"/>
  <c r="E10" i="9"/>
  <c r="D10" i="9"/>
  <c r="I41" i="8"/>
  <c r="H41" i="8"/>
  <c r="G41" i="8"/>
  <c r="F41" i="8"/>
  <c r="E41" i="8"/>
  <c r="D41" i="8"/>
  <c r="I40" i="8"/>
  <c r="H40" i="8"/>
  <c r="G40" i="8"/>
  <c r="F40" i="8"/>
  <c r="E40" i="8"/>
  <c r="D40" i="8"/>
  <c r="I39" i="8"/>
  <c r="H39" i="8"/>
  <c r="G39" i="8"/>
  <c r="F39" i="8"/>
  <c r="E39" i="8"/>
  <c r="D39" i="8"/>
  <c r="I38" i="8"/>
  <c r="H38" i="8"/>
  <c r="G38" i="8"/>
  <c r="F38" i="8"/>
  <c r="E38" i="8"/>
  <c r="D38" i="8"/>
  <c r="I37" i="8"/>
  <c r="H37" i="8"/>
  <c r="G37" i="8"/>
  <c r="F37" i="8"/>
  <c r="E37" i="8"/>
  <c r="D37" i="8"/>
  <c r="I36" i="8"/>
  <c r="H36" i="8"/>
  <c r="G36" i="8"/>
  <c r="F36" i="8"/>
  <c r="E36" i="8"/>
  <c r="D36" i="8"/>
  <c r="I35" i="8"/>
  <c r="H35" i="8"/>
  <c r="G35" i="8"/>
  <c r="F35" i="8"/>
  <c r="E35" i="8"/>
  <c r="D35" i="8"/>
  <c r="I34" i="8"/>
  <c r="H34" i="8"/>
  <c r="G34" i="8"/>
  <c r="F34" i="8"/>
  <c r="E34" i="8"/>
  <c r="D34" i="8"/>
  <c r="I33" i="8"/>
  <c r="H33" i="8"/>
  <c r="G33" i="8"/>
  <c r="F33" i="8"/>
  <c r="E33" i="8"/>
  <c r="D33" i="8"/>
  <c r="I32" i="8"/>
  <c r="H32" i="8"/>
  <c r="G32" i="8"/>
  <c r="F32" i="8"/>
  <c r="E32" i="8"/>
  <c r="D32" i="8"/>
  <c r="I31" i="8"/>
  <c r="H31" i="8"/>
  <c r="G31" i="8"/>
  <c r="F31" i="8"/>
  <c r="E31" i="8"/>
  <c r="D31" i="8"/>
  <c r="I30" i="8"/>
  <c r="H30" i="8"/>
  <c r="G30" i="8"/>
  <c r="F30" i="8"/>
  <c r="E30" i="8"/>
  <c r="D30" i="8"/>
  <c r="I29" i="8"/>
  <c r="H29" i="8"/>
  <c r="G29" i="8"/>
  <c r="F29" i="8"/>
  <c r="E29" i="8"/>
  <c r="D29" i="8"/>
  <c r="I28" i="8"/>
  <c r="H28" i="8"/>
  <c r="G28" i="8"/>
  <c r="F28" i="8"/>
  <c r="E28" i="8"/>
  <c r="D28" i="8"/>
  <c r="I27" i="8"/>
  <c r="H27" i="8"/>
  <c r="G27" i="8"/>
  <c r="F27" i="8"/>
  <c r="E27" i="8"/>
  <c r="D27" i="8"/>
  <c r="I26" i="8"/>
  <c r="H26" i="8"/>
  <c r="G26" i="8"/>
  <c r="F26" i="8"/>
  <c r="E26" i="8"/>
  <c r="D26" i="8"/>
  <c r="I25" i="8"/>
  <c r="H25" i="8"/>
  <c r="G25" i="8"/>
  <c r="F25" i="8"/>
  <c r="E25" i="8"/>
  <c r="D25" i="8"/>
  <c r="I24" i="8"/>
  <c r="H24" i="8"/>
  <c r="G24" i="8"/>
  <c r="F24" i="8"/>
  <c r="E24" i="8"/>
  <c r="D24" i="8"/>
  <c r="I23" i="8"/>
  <c r="H23" i="8"/>
  <c r="G23" i="8"/>
  <c r="F23" i="8"/>
  <c r="E23" i="8"/>
  <c r="D23" i="8"/>
  <c r="I22" i="8"/>
  <c r="H22" i="8"/>
  <c r="G22" i="8"/>
  <c r="F22" i="8"/>
  <c r="E22" i="8"/>
  <c r="D22" i="8"/>
  <c r="I21" i="8"/>
  <c r="H21" i="8"/>
  <c r="G21" i="8"/>
  <c r="F21" i="8"/>
  <c r="E21" i="8"/>
  <c r="D21" i="8"/>
  <c r="I20" i="8"/>
  <c r="H20" i="8"/>
  <c r="G20" i="8"/>
  <c r="F20" i="8"/>
  <c r="E20" i="8"/>
  <c r="D20" i="8"/>
  <c r="I19" i="8"/>
  <c r="H19" i="8"/>
  <c r="G19" i="8"/>
  <c r="F19" i="8"/>
  <c r="E19" i="8"/>
  <c r="D19" i="8"/>
  <c r="I18" i="8"/>
  <c r="H18" i="8"/>
  <c r="G18" i="8"/>
  <c r="F18" i="8"/>
  <c r="E18" i="8"/>
  <c r="D18" i="8"/>
  <c r="I17" i="8"/>
  <c r="H17" i="8"/>
  <c r="G17" i="8"/>
  <c r="F17" i="8"/>
  <c r="E17" i="8"/>
  <c r="D17" i="8"/>
  <c r="I16" i="8"/>
  <c r="H16" i="8"/>
  <c r="G16" i="8"/>
  <c r="F16" i="8"/>
  <c r="E16" i="8"/>
  <c r="D16" i="8"/>
  <c r="I15" i="8"/>
  <c r="H15" i="8"/>
  <c r="G15" i="8"/>
  <c r="F15" i="8"/>
  <c r="E15" i="8"/>
  <c r="D15" i="8"/>
  <c r="I14" i="8"/>
  <c r="H14" i="8"/>
  <c r="G14" i="8"/>
  <c r="F14" i="8"/>
  <c r="E14" i="8"/>
  <c r="D14" i="8"/>
  <c r="I13" i="8"/>
  <c r="H13" i="8"/>
  <c r="G13" i="8"/>
  <c r="F13" i="8"/>
  <c r="E13" i="8"/>
  <c r="D13" i="8"/>
  <c r="I12" i="8"/>
  <c r="H12" i="8"/>
  <c r="G12" i="8"/>
  <c r="F12" i="8"/>
  <c r="E12" i="8"/>
  <c r="D12" i="8"/>
  <c r="I11" i="8"/>
  <c r="H11" i="8"/>
  <c r="G11" i="8"/>
  <c r="F11" i="8"/>
  <c r="E11" i="8"/>
  <c r="D11" i="8"/>
  <c r="I10" i="8"/>
  <c r="H10" i="8"/>
  <c r="G10" i="8"/>
  <c r="F10" i="8"/>
  <c r="E10" i="8"/>
  <c r="D10" i="8"/>
</calcChain>
</file>

<file path=xl/sharedStrings.xml><?xml version="1.0" encoding="utf-8"?>
<sst xmlns="http://schemas.openxmlformats.org/spreadsheetml/2006/main" count="1547" uniqueCount="157">
  <si>
    <t>Date:</t>
  </si>
  <si>
    <t>Comments:</t>
  </si>
  <si>
    <t>By:</t>
  </si>
  <si>
    <t>Plot</t>
  </si>
  <si>
    <t>Trt.</t>
  </si>
  <si>
    <t>Irrig.</t>
  </si>
  <si>
    <t>Pop.</t>
  </si>
  <si>
    <t>N</t>
  </si>
  <si>
    <t>Block</t>
  </si>
  <si>
    <t>Exotech Code</t>
  </si>
  <si>
    <t>Acron</t>
  </si>
  <si>
    <t>Time</t>
  </si>
  <si>
    <t>Cover</t>
  </si>
  <si>
    <t>Height</t>
  </si>
  <si>
    <t>Trt</t>
  </si>
  <si>
    <t>Irr</t>
  </si>
  <si>
    <t>Pop</t>
  </si>
  <si>
    <t>Nit</t>
  </si>
  <si>
    <t>ExotechCode</t>
  </si>
  <si>
    <t>Meas</t>
  </si>
  <si>
    <t>3.25</t>
  </si>
  <si>
    <t>7.25</t>
  </si>
  <si>
    <t>8.25</t>
  </si>
  <si>
    <t>DOY:</t>
  </si>
  <si>
    <t>Meas. (in cm)</t>
  </si>
  <si>
    <t>Comments</t>
  </si>
  <si>
    <t>SMM</t>
  </si>
  <si>
    <t>In row # 6 of each border - 2 rows west of neutron tubes.</t>
  </si>
  <si>
    <r>
      <t xml:space="preserve">N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S</t>
    </r>
  </si>
  <si>
    <r>
      <t xml:space="preserve">S </t>
    </r>
    <r>
      <rPr>
        <b/>
        <sz val="11"/>
        <rFont val="Arial Rounded MT Bold"/>
        <family val="2"/>
      </rPr>
      <t>→</t>
    </r>
    <r>
      <rPr>
        <b/>
        <sz val="10"/>
        <rFont val="Arial Rounded MT Bold"/>
        <family val="2"/>
      </rPr>
      <t xml:space="preserve"> N</t>
    </r>
  </si>
  <si>
    <t>Point A</t>
  </si>
  <si>
    <t>Point B</t>
  </si>
  <si>
    <t>Point C</t>
  </si>
  <si>
    <t>FISE2011 -Cotton Plant Cover and Heights</t>
  </si>
  <si>
    <t>starting from the N side of the field in plot 1, and zig-zagging</t>
  </si>
  <si>
    <t xml:space="preserve"> thru the plots. </t>
  </si>
  <si>
    <t>Across from tubes 2, 4 &amp; 6 (or 6, 4 &amp; 2 depending on the direction I'm travelling)</t>
  </si>
  <si>
    <t>Mostly clear.  Breezy but plants still easy to measure--</t>
  </si>
  <si>
    <t>not moving much.</t>
  </si>
  <si>
    <t>Mostly clear.  Light-moderate wind but OK for measuring</t>
  </si>
  <si>
    <t>plants - they're not moving too much.</t>
  </si>
  <si>
    <t>1425  end</t>
  </si>
  <si>
    <t>Mostly clear.  Light wind from W with a few gusts</t>
  </si>
  <si>
    <t>(but not enough to make measurements hard). Irrigation today.</t>
  </si>
  <si>
    <t>Clear. Light wind from S-SW.</t>
  </si>
  <si>
    <t>NDAs &amp; NDBs irrigated Tuesday.  FAOs to be irrigated today.</t>
  </si>
  <si>
    <t>MACS and 17 to be irrigated next week.  Plots not yet irrigated are visibly wilted.</t>
  </si>
  <si>
    <t>Being irrigated.</t>
  </si>
  <si>
    <t>More wilted at the south end</t>
  </si>
  <si>
    <t>Irrigation just starting</t>
  </si>
  <si>
    <t>Not too wilted</t>
  </si>
  <si>
    <t>NDAs and NDBs a little shiny/stressed (to be irrigated</t>
  </si>
  <si>
    <t xml:space="preserve"> tomorrow and Friday)</t>
  </si>
  <si>
    <t>Cotton very wilted.  Tefchnician very tired and very hot.  Did do it.</t>
  </si>
  <si>
    <t>Ptly cloudy.  Light wind.</t>
  </si>
  <si>
    <t>Extremely hazy.  Slight breeze.</t>
  </si>
  <si>
    <t>Muddy</t>
  </si>
  <si>
    <t>Irrigating</t>
  </si>
  <si>
    <t>Wilty</t>
  </si>
  <si>
    <t>Slight breeze.  Partly cloudy.</t>
  </si>
  <si>
    <t>Flagging tube locations where hard to locate while going through the field.</t>
  </si>
  <si>
    <t>Center 3 rows taller than the others.</t>
  </si>
  <si>
    <t>On N end of plot - leaves getting pale - chlorotic?  Especially row 7.</t>
  </si>
  <si>
    <t>Canopy almost closed</t>
  </si>
  <si>
    <t>Light breeze from West</t>
  </si>
  <si>
    <t>Mostly clear.</t>
  </si>
  <si>
    <t>--</t>
  </si>
  <si>
    <t>Almost closed</t>
  </si>
  <si>
    <t>Closed in spots</t>
  </si>
  <si>
    <t>Closed</t>
  </si>
  <si>
    <t>Partly closed</t>
  </si>
  <si>
    <t>Also flagging/reflagging and doing NAWF counts</t>
  </si>
  <si>
    <t>After a light rain - wet. Overcast.  Relatively clear.</t>
  </si>
  <si>
    <t>Field to be sprayed.  I left when the airplane arrived.</t>
  </si>
  <si>
    <t>Also checking for % open bolls.</t>
  </si>
  <si>
    <t>Field spraying to start soon</t>
  </si>
  <si>
    <t>Windy yesterday.  Cotton branches drooping/spread a bit</t>
  </si>
  <si>
    <t>Nice day (for August)</t>
  </si>
  <si>
    <t>Average</t>
  </si>
  <si>
    <t>doy 130</t>
  </si>
  <si>
    <t>doy 139</t>
  </si>
  <si>
    <t>doy 179</t>
  </si>
  <si>
    <t>doy 187</t>
  </si>
  <si>
    <t>doy 203</t>
  </si>
  <si>
    <t>doy 224</t>
  </si>
  <si>
    <t>doy 231</t>
  </si>
  <si>
    <t>doy 146</t>
  </si>
  <si>
    <t>doy 153</t>
  </si>
  <si>
    <t>doy 159</t>
  </si>
  <si>
    <t>doy 168</t>
  </si>
  <si>
    <t>doy 173</t>
  </si>
  <si>
    <t>doy 193</t>
  </si>
  <si>
    <t>doy 213</t>
  </si>
  <si>
    <r>
      <rPr>
        <b/>
        <sz val="12"/>
        <color rgb="FFFF0000"/>
        <rFont val="Arial"/>
        <family val="2"/>
      </rPr>
      <t>"--" = no data for this plot or less than 3 measurements for this plot (plot partly closed)</t>
    </r>
  </si>
  <si>
    <t>p16-3</t>
  </si>
  <si>
    <t>p16-2</t>
  </si>
  <si>
    <t>p16-1</t>
  </si>
  <si>
    <t>p15-3</t>
  </si>
  <si>
    <t>p15-2</t>
  </si>
  <si>
    <t>p15-1</t>
  </si>
  <si>
    <t>p14-3</t>
  </si>
  <si>
    <t>p14-2</t>
  </si>
  <si>
    <t>p14-1</t>
  </si>
  <si>
    <t>p13-3</t>
  </si>
  <si>
    <t>p13-2</t>
  </si>
  <si>
    <t>p13-1</t>
  </si>
  <si>
    <t>p12-3</t>
  </si>
  <si>
    <t>p12-2</t>
  </si>
  <si>
    <t>p12-1</t>
  </si>
  <si>
    <t>p11-3</t>
  </si>
  <si>
    <t>p11-2</t>
  </si>
  <si>
    <t>p11-1</t>
  </si>
  <si>
    <t>p10-3</t>
  </si>
  <si>
    <t>p10-2</t>
  </si>
  <si>
    <t>p10-1</t>
  </si>
  <si>
    <t>p09-3</t>
  </si>
  <si>
    <t>p09-2</t>
  </si>
  <si>
    <t>p09-1</t>
  </si>
  <si>
    <t>p08-3</t>
  </si>
  <si>
    <t>p08-2</t>
  </si>
  <si>
    <t>p08-1</t>
  </si>
  <si>
    <t>p07-3</t>
  </si>
  <si>
    <t>p07-2</t>
  </si>
  <si>
    <t>p07-1</t>
  </si>
  <si>
    <t>p06-3</t>
  </si>
  <si>
    <t>p06-2</t>
  </si>
  <si>
    <t>p06-1</t>
  </si>
  <si>
    <t>p05-3</t>
  </si>
  <si>
    <t>p05-2</t>
  </si>
  <si>
    <t>p05-1</t>
  </si>
  <si>
    <t>p04-3</t>
  </si>
  <si>
    <t>p04-2</t>
  </si>
  <si>
    <t>p04-1</t>
  </si>
  <si>
    <t>p03-3</t>
  </si>
  <si>
    <t>p03-2</t>
  </si>
  <si>
    <t>p03-1</t>
  </si>
  <si>
    <t>p02-3</t>
  </si>
  <si>
    <t>p02-2</t>
  </si>
  <si>
    <t>p02-1</t>
  </si>
  <si>
    <t>p01-3</t>
  </si>
  <si>
    <t>p01-2</t>
  </si>
  <si>
    <t>p01-1</t>
  </si>
  <si>
    <t>DOY231</t>
  </si>
  <si>
    <t>DOY224</t>
  </si>
  <si>
    <t>DOY213</t>
  </si>
  <si>
    <t>DOY203</t>
  </si>
  <si>
    <t>DOY193</t>
  </si>
  <si>
    <t>DOY187</t>
  </si>
  <si>
    <t>DOY179</t>
  </si>
  <si>
    <t>DOY173</t>
  </si>
  <si>
    <t>DOY168</t>
  </si>
  <si>
    <t>DOY159</t>
  </si>
  <si>
    <t>DOY153</t>
  </si>
  <si>
    <t>DOY146</t>
  </si>
  <si>
    <t>DOY139</t>
  </si>
  <si>
    <t>DOY130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</si>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</sst>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0000"/>
    <numFmt numFmtId="166" formatCode="0.0"/>
  </numFmts>
  <fonts count="1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 Rounded MT Bold"/>
      <family val="2"/>
    </font>
    <font>
      <b/>
      <sz val="11"/>
      <name val="Arial Rounded MT Bold"/>
      <family val="2"/>
    </font>
    <font>
      <sz val="12"/>
      <color rgb="FFFF0000"/>
      <name val="Arial"/>
      <family val="2"/>
    </font>
    <font>
      <b/>
      <sz val="11"/>
      <name val="Arial Black"/>
      <family val="2"/>
    </font>
    <font>
      <b/>
      <sz val="12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lightHorizontal">
        <fgColor theme="0" tint="-0.24994659260841701"/>
        <bgColor auto="1"/>
      </patternFill>
    </fill>
    <fill>
      <patternFill patternType="lightDown">
        <fgColor theme="0" tint="-0.14996795556505021"/>
        <bgColor indexed="65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thin">
        <color auto="1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theme="0" tint="-0.34998626667073579"/>
      </bottom>
      <diagonal/>
    </border>
  </borders>
  <cellStyleXfs count="2">
    <xf numFmtId="0" fontId="0" fillId="0" borderId="0"/>
    <xf numFmtId="0" fontId="3" fillId="0" borderId="0"/>
  </cellStyleXfs>
  <cellXfs count="136">
    <xf numFmtId="0" fontId="0" fillId="0" borderId="0" xfId="0"/>
    <xf numFmtId="0" fontId="4" fillId="0" borderId="0" xfId="0" applyFont="1"/>
    <xf numFmtId="0" fontId="5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5" fillId="0" borderId="0" xfId="0" applyFont="1" applyAlignment="1">
      <alignment horizontal="right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1" xfId="0" applyNumberFormat="1" applyFont="1" applyBorder="1"/>
    <xf numFmtId="0" fontId="4" fillId="0" borderId="0" xfId="0" applyFont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 wrapText="1"/>
    </xf>
    <xf numFmtId="49" fontId="6" fillId="0" borderId="6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/>
    </xf>
    <xf numFmtId="49" fontId="5" fillId="0" borderId="6" xfId="0" applyNumberFormat="1" applyFont="1" applyBorder="1" applyAlignment="1">
      <alignment horizontal="center" vertical="center"/>
    </xf>
    <xf numFmtId="14" fontId="5" fillId="0" borderId="0" xfId="0" applyNumberFormat="1" applyFont="1"/>
    <xf numFmtId="0" fontId="5" fillId="0" borderId="0" xfId="0" applyFont="1"/>
    <xf numFmtId="0" fontId="9" fillId="0" borderId="0" xfId="0" applyFont="1" applyAlignment="1">
      <alignment horizontal="center"/>
    </xf>
    <xf numFmtId="49" fontId="5" fillId="0" borderId="7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1" xfId="0" applyFont="1" applyBorder="1"/>
    <xf numFmtId="0" fontId="8" fillId="0" borderId="13" xfId="0" applyFont="1" applyBorder="1" applyAlignment="1">
      <alignment horizontal="centerContinuous" vertical="center"/>
    </xf>
    <xf numFmtId="0" fontId="7" fillId="0" borderId="14" xfId="0" applyFont="1" applyBorder="1" applyAlignment="1">
      <alignment vertical="top"/>
    </xf>
    <xf numFmtId="0" fontId="7" fillId="0" borderId="15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7" fillId="0" borderId="17" xfId="0" applyFont="1" applyBorder="1" applyAlignment="1">
      <alignment vertical="top"/>
    </xf>
    <xf numFmtId="0" fontId="5" fillId="0" borderId="10" xfId="0" quotePrefix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/>
    </xf>
    <xf numFmtId="0" fontId="8" fillId="0" borderId="1" xfId="0" applyFont="1" applyBorder="1"/>
    <xf numFmtId="0" fontId="8" fillId="0" borderId="2" xfId="0" applyFont="1" applyBorder="1"/>
    <xf numFmtId="0" fontId="5" fillId="0" borderId="26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10" xfId="0" quotePrefix="1" applyFont="1" applyFill="1" applyBorder="1" applyAlignment="1">
      <alignment horizontal="center" vertical="center"/>
    </xf>
    <xf numFmtId="49" fontId="9" fillId="0" borderId="7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14" xfId="0" applyFont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5" fillId="4" borderId="10" xfId="0" quotePrefix="1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0" fillId="0" borderId="5" xfId="0" applyBorder="1"/>
    <xf numFmtId="49" fontId="6" fillId="0" borderId="7" xfId="0" applyNumberFormat="1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top"/>
    </xf>
    <xf numFmtId="166" fontId="10" fillId="0" borderId="32" xfId="0" applyNumberFormat="1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top"/>
    </xf>
    <xf numFmtId="0" fontId="14" fillId="0" borderId="6" xfId="0" applyFont="1" applyBorder="1" applyAlignment="1">
      <alignment horizontal="center" vertical="center"/>
    </xf>
    <xf numFmtId="166" fontId="10" fillId="0" borderId="29" xfId="0" applyNumberFormat="1" applyFont="1" applyBorder="1" applyAlignment="1">
      <alignment horizontal="center" vertical="center" wrapText="1"/>
    </xf>
    <xf numFmtId="0" fontId="13" fillId="0" borderId="0" xfId="0" quotePrefix="1" applyFont="1"/>
    <xf numFmtId="0" fontId="3" fillId="0" borderId="0" xfId="1"/>
    <xf numFmtId="0" fontId="2" fillId="0" borderId="0" xfId="1" applyFont="1"/>
    <xf numFmtId="0" fontId="1" fillId="0" borderId="0" xfId="1" applyFont="1"/>
    <xf numFmtId="0" fontId="4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/>
    </xf>
    <xf numFmtId="0" fontId="9" fillId="0" borderId="22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5" fillId="0" borderId="1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5" fillId="0" borderId="9" xfId="0" applyFont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25" xfId="0" applyBorder="1" applyAlignment="1">
      <alignment horizontal="right"/>
    </xf>
    <xf numFmtId="0" fontId="9" fillId="0" borderId="18" xfId="0" quotePrefix="1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0" borderId="13" xfId="0" applyNumberFormat="1" applyFont="1" applyBorder="1" applyAlignment="1">
      <alignment horizontal="center" vertical="center"/>
    </xf>
    <xf numFmtId="165" fontId="7" fillId="0" borderId="19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vertical="top" wrapText="1"/>
    </xf>
    <xf numFmtId="0" fontId="7" fillId="0" borderId="21" xfId="0" applyFont="1" applyBorder="1" applyAlignment="1">
      <alignment vertical="top" wrapText="1"/>
    </xf>
    <xf numFmtId="0" fontId="11" fillId="0" borderId="13" xfId="0" applyFont="1" applyBorder="1" applyAlignment="1">
      <alignment horizontal="center" vertical="center"/>
    </xf>
    <xf numFmtId="164" fontId="9" fillId="0" borderId="18" xfId="0" quotePrefix="1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center"/>
    </xf>
    <xf numFmtId="0" fontId="9" fillId="2" borderId="18" xfId="0" quotePrefix="1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165" fontId="7" fillId="2" borderId="19" xfId="0" applyNumberFormat="1" applyFont="1" applyFill="1" applyBorder="1" applyAlignment="1">
      <alignment horizontal="center" vertical="center"/>
    </xf>
    <xf numFmtId="165" fontId="7" fillId="2" borderId="13" xfId="0" applyNumberFormat="1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vertical="center" wrapText="1"/>
    </xf>
    <xf numFmtId="0" fontId="7" fillId="2" borderId="17" xfId="0" applyFont="1" applyFill="1" applyBorder="1" applyAlignment="1">
      <alignment vertical="center" wrapText="1"/>
    </xf>
    <xf numFmtId="0" fontId="9" fillId="0" borderId="18" xfId="0" applyFont="1" applyBorder="1" applyAlignment="1">
      <alignment horizontal="center" vertical="center"/>
    </xf>
    <xf numFmtId="0" fontId="10" fillId="0" borderId="20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9" fillId="3" borderId="18" xfId="0" quotePrefix="1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165" fontId="7" fillId="3" borderId="19" xfId="0" applyNumberFormat="1" applyFont="1" applyFill="1" applyBorder="1" applyAlignment="1">
      <alignment horizontal="center" vertical="center"/>
    </xf>
    <xf numFmtId="165" fontId="7" fillId="3" borderId="13" xfId="0" applyNumberFormat="1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vertical="center" wrapText="1"/>
    </xf>
    <xf numFmtId="0" fontId="10" fillId="3" borderId="17" xfId="0" applyFont="1" applyFill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164" fontId="9" fillId="3" borderId="18" xfId="0" quotePrefix="1" applyNumberFormat="1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9" fillId="0" borderId="28" xfId="0" quotePrefix="1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</cellXfs>
  <cellStyles count="2">
    <cellStyle name="Normal" xfId="0" builtinId="0"/>
    <cellStyle name="Normal 2" xfId="1" xr:uid="{6E07CD15-EA36-4AA0-BCA4-A4CBE8EBE16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112" name="Line 1">
          <a:extLst>
            <a:ext uri="{FF2B5EF4-FFF2-40B4-BE49-F238E27FC236}">
              <a16:creationId xmlns:a16="http://schemas.microsoft.com/office/drawing/2014/main" id="{00000000-0008-0000-0E00-000010100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 type="stealth" w="med" len="lg"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A4E7-E6CC-4A7A-AFB9-1794C5240DF4}">
  <dimension ref="A1:O49"/>
  <sheetViews>
    <sheetView tabSelected="1" workbookViewId="0"/>
  </sheetViews>
  <sheetFormatPr defaultRowHeight="15" x14ac:dyDescent="0.25"/>
  <cols>
    <col min="1" max="16384" width="9.140625" style="87"/>
  </cols>
  <sheetData>
    <row r="1" spans="1:15" x14ac:dyDescent="0.25">
      <c r="A1" s="88" t="s">
        <v>156</v>
      </c>
      <c r="B1" s="87" t="s">
        <v>155</v>
      </c>
      <c r="C1" s="87" t="s">
        <v>154</v>
      </c>
      <c r="D1" s="87" t="s">
        <v>153</v>
      </c>
      <c r="E1" s="87" t="s">
        <v>152</v>
      </c>
      <c r="F1" s="87" t="s">
        <v>151</v>
      </c>
      <c r="G1" s="87" t="s">
        <v>150</v>
      </c>
      <c r="H1" s="87" t="s">
        <v>149</v>
      </c>
      <c r="I1" s="87" t="s">
        <v>148</v>
      </c>
      <c r="J1" s="87" t="s">
        <v>147</v>
      </c>
      <c r="K1" s="87" t="s">
        <v>146</v>
      </c>
      <c r="L1" s="87" t="s">
        <v>145</v>
      </c>
      <c r="M1" s="87" t="s">
        <v>144</v>
      </c>
      <c r="N1" s="87" t="s">
        <v>143</v>
      </c>
      <c r="O1" s="87" t="s">
        <v>142</v>
      </c>
    </row>
    <row r="2" spans="1:15" x14ac:dyDescent="0.25">
      <c r="A2" s="87" t="s">
        <v>141</v>
      </c>
      <c r="B2" s="87">
        <v>8</v>
      </c>
      <c r="C2" s="87">
        <v>16</v>
      </c>
      <c r="D2" s="87">
        <v>21</v>
      </c>
      <c r="E2" s="87">
        <v>26</v>
      </c>
      <c r="F2" s="87">
        <v>38</v>
      </c>
      <c r="G2" s="87">
        <v>41</v>
      </c>
      <c r="H2" s="87">
        <v>48</v>
      </c>
      <c r="I2" s="87">
        <v>63</v>
      </c>
      <c r="J2" s="87">
        <v>68</v>
      </c>
      <c r="K2" s="87">
        <v>77</v>
      </c>
      <c r="L2" s="87">
        <v>85</v>
      </c>
      <c r="M2" s="87">
        <v>87</v>
      </c>
      <c r="N2" s="87">
        <v>94</v>
      </c>
      <c r="O2" s="87">
        <v>107</v>
      </c>
    </row>
    <row r="3" spans="1:15" x14ac:dyDescent="0.25">
      <c r="A3" s="87" t="s">
        <v>140</v>
      </c>
      <c r="B3" s="87">
        <v>8</v>
      </c>
      <c r="C3" s="87">
        <v>16</v>
      </c>
      <c r="D3" s="87">
        <v>21</v>
      </c>
      <c r="E3" s="87">
        <v>24</v>
      </c>
      <c r="F3" s="87">
        <v>35</v>
      </c>
      <c r="G3" s="87">
        <v>52</v>
      </c>
      <c r="H3" s="87">
        <v>55</v>
      </c>
      <c r="I3" s="87">
        <v>65</v>
      </c>
      <c r="J3" s="87">
        <v>76</v>
      </c>
      <c r="K3" s="87">
        <v>89</v>
      </c>
      <c r="L3" s="87">
        <v>99</v>
      </c>
      <c r="M3" s="87">
        <v>100</v>
      </c>
      <c r="N3" s="87">
        <v>100</v>
      </c>
      <c r="O3" s="87">
        <v>109</v>
      </c>
    </row>
    <row r="4" spans="1:15" x14ac:dyDescent="0.25">
      <c r="A4" s="87" t="s">
        <v>139</v>
      </c>
      <c r="B4" s="87">
        <v>8</v>
      </c>
      <c r="C4" s="87">
        <v>15</v>
      </c>
      <c r="D4" s="87">
        <v>19</v>
      </c>
      <c r="E4" s="87">
        <v>30</v>
      </c>
      <c r="F4" s="87">
        <v>42</v>
      </c>
      <c r="G4" s="87">
        <v>57</v>
      </c>
      <c r="H4" s="87">
        <v>58</v>
      </c>
      <c r="I4" s="87">
        <v>64</v>
      </c>
      <c r="J4" s="87">
        <v>85</v>
      </c>
      <c r="K4" s="87">
        <v>97</v>
      </c>
      <c r="L4" s="87">
        <v>107</v>
      </c>
      <c r="M4" s="87">
        <v>113</v>
      </c>
      <c r="N4" s="87">
        <v>106</v>
      </c>
      <c r="O4" s="87">
        <v>112</v>
      </c>
    </row>
    <row r="5" spans="1:15" x14ac:dyDescent="0.25">
      <c r="A5" s="87" t="s">
        <v>138</v>
      </c>
      <c r="B5" s="87">
        <v>7</v>
      </c>
      <c r="C5" s="87">
        <v>15</v>
      </c>
      <c r="D5" s="87">
        <v>20</v>
      </c>
      <c r="E5" s="87">
        <v>26</v>
      </c>
      <c r="F5" s="87">
        <v>40</v>
      </c>
      <c r="G5" s="87">
        <v>49</v>
      </c>
      <c r="H5" s="87">
        <v>64</v>
      </c>
      <c r="I5" s="87">
        <v>78</v>
      </c>
      <c r="J5" s="89"/>
      <c r="K5" s="87">
        <v>88</v>
      </c>
      <c r="L5" s="87">
        <v>100</v>
      </c>
      <c r="M5" s="87">
        <v>105</v>
      </c>
      <c r="N5" s="87">
        <v>107</v>
      </c>
      <c r="O5" s="87">
        <v>111</v>
      </c>
    </row>
    <row r="6" spans="1:15" x14ac:dyDescent="0.25">
      <c r="A6" s="87" t="s">
        <v>137</v>
      </c>
      <c r="B6" s="87">
        <v>8</v>
      </c>
      <c r="C6" s="87">
        <v>16</v>
      </c>
      <c r="D6" s="87">
        <v>26</v>
      </c>
      <c r="E6" s="87">
        <v>30</v>
      </c>
      <c r="F6" s="87">
        <v>43</v>
      </c>
      <c r="G6" s="87">
        <v>49</v>
      </c>
      <c r="H6" s="87">
        <v>64</v>
      </c>
      <c r="I6" s="87">
        <v>69</v>
      </c>
      <c r="J6" s="89"/>
      <c r="K6" s="87">
        <v>91</v>
      </c>
      <c r="L6" s="87">
        <v>103</v>
      </c>
      <c r="M6" s="87">
        <v>110</v>
      </c>
      <c r="N6" s="87">
        <v>111</v>
      </c>
      <c r="O6" s="87">
        <v>114</v>
      </c>
    </row>
    <row r="7" spans="1:15" x14ac:dyDescent="0.25">
      <c r="A7" s="87" t="s">
        <v>136</v>
      </c>
      <c r="B7" s="87">
        <v>7</v>
      </c>
      <c r="C7" s="87">
        <v>17</v>
      </c>
      <c r="D7" s="87">
        <v>21</v>
      </c>
      <c r="E7" s="87">
        <v>31</v>
      </c>
      <c r="F7" s="87">
        <v>41</v>
      </c>
      <c r="G7" s="87">
        <v>57</v>
      </c>
      <c r="H7" s="87">
        <v>63</v>
      </c>
      <c r="I7" s="87">
        <v>80</v>
      </c>
      <c r="J7" s="89"/>
      <c r="K7" s="87">
        <v>92</v>
      </c>
      <c r="L7" s="87">
        <v>106</v>
      </c>
      <c r="M7" s="87">
        <v>110</v>
      </c>
      <c r="N7" s="87">
        <v>109</v>
      </c>
      <c r="O7" s="87">
        <v>114</v>
      </c>
    </row>
    <row r="8" spans="1:15" x14ac:dyDescent="0.25">
      <c r="A8" s="87" t="s">
        <v>135</v>
      </c>
      <c r="B8" s="87">
        <v>7</v>
      </c>
      <c r="C8" s="87">
        <v>15</v>
      </c>
      <c r="D8" s="87">
        <v>23</v>
      </c>
      <c r="E8" s="87">
        <v>23</v>
      </c>
      <c r="F8" s="87">
        <v>38</v>
      </c>
      <c r="G8" s="89"/>
      <c r="H8" s="87">
        <v>55</v>
      </c>
      <c r="I8" s="87">
        <v>59</v>
      </c>
      <c r="J8" s="87">
        <v>71</v>
      </c>
      <c r="K8" s="87">
        <v>70</v>
      </c>
      <c r="L8" s="87">
        <v>88</v>
      </c>
      <c r="M8" s="87">
        <v>93</v>
      </c>
      <c r="N8" s="87">
        <v>98</v>
      </c>
      <c r="O8" s="87">
        <v>109</v>
      </c>
    </row>
    <row r="9" spans="1:15" x14ac:dyDescent="0.25">
      <c r="A9" s="87" t="s">
        <v>134</v>
      </c>
      <c r="B9" s="87">
        <v>7</v>
      </c>
      <c r="C9" s="87">
        <v>14</v>
      </c>
      <c r="D9" s="87">
        <v>20</v>
      </c>
      <c r="E9" s="87">
        <v>27</v>
      </c>
      <c r="F9" s="87">
        <v>35</v>
      </c>
      <c r="G9" s="89"/>
      <c r="H9" s="87">
        <v>60</v>
      </c>
      <c r="I9" s="87">
        <v>62</v>
      </c>
      <c r="J9" s="87">
        <v>69</v>
      </c>
      <c r="K9" s="87">
        <v>76</v>
      </c>
      <c r="L9" s="87">
        <v>82</v>
      </c>
      <c r="M9" s="87">
        <v>97</v>
      </c>
      <c r="N9" s="87">
        <v>106</v>
      </c>
      <c r="O9" s="87">
        <v>114</v>
      </c>
    </row>
    <row r="10" spans="1:15" x14ac:dyDescent="0.25">
      <c r="A10" s="87" t="s">
        <v>133</v>
      </c>
      <c r="B10" s="87">
        <v>8</v>
      </c>
      <c r="C10" s="87">
        <v>14</v>
      </c>
      <c r="D10" s="87">
        <v>21</v>
      </c>
      <c r="E10" s="87">
        <v>28</v>
      </c>
      <c r="F10" s="87">
        <v>39</v>
      </c>
      <c r="G10" s="89"/>
      <c r="H10" s="87">
        <v>62</v>
      </c>
      <c r="I10" s="87">
        <v>63</v>
      </c>
      <c r="J10" s="87">
        <v>69</v>
      </c>
      <c r="K10" s="87">
        <v>78</v>
      </c>
      <c r="L10" s="87">
        <v>85</v>
      </c>
      <c r="M10" s="87">
        <v>98</v>
      </c>
      <c r="N10" s="87">
        <v>109</v>
      </c>
      <c r="O10" s="87">
        <v>109</v>
      </c>
    </row>
    <row r="11" spans="1:15" x14ac:dyDescent="0.25">
      <c r="A11" s="87" t="s">
        <v>132</v>
      </c>
      <c r="B11" s="87">
        <v>9</v>
      </c>
      <c r="C11" s="87">
        <v>16</v>
      </c>
      <c r="D11" s="87">
        <v>21</v>
      </c>
      <c r="E11" s="87">
        <v>28</v>
      </c>
      <c r="F11" s="87">
        <v>37</v>
      </c>
      <c r="G11" s="87">
        <v>59</v>
      </c>
      <c r="H11" s="87">
        <v>69</v>
      </c>
      <c r="I11" s="87">
        <v>79</v>
      </c>
      <c r="J11" s="89"/>
      <c r="K11" s="87">
        <v>101</v>
      </c>
      <c r="L11" s="87">
        <v>105</v>
      </c>
      <c r="M11" s="87">
        <v>110</v>
      </c>
      <c r="N11" s="87">
        <v>119</v>
      </c>
      <c r="O11" s="87">
        <v>120</v>
      </c>
    </row>
    <row r="12" spans="1:15" x14ac:dyDescent="0.25">
      <c r="A12" s="87" t="s">
        <v>131</v>
      </c>
      <c r="B12" s="87">
        <v>8</v>
      </c>
      <c r="C12" s="87">
        <v>16</v>
      </c>
      <c r="D12" s="87">
        <v>24</v>
      </c>
      <c r="E12" s="87">
        <v>32</v>
      </c>
      <c r="F12" s="87">
        <v>39</v>
      </c>
      <c r="G12" s="87">
        <v>56</v>
      </c>
      <c r="H12" s="87">
        <v>64</v>
      </c>
      <c r="I12" s="87">
        <v>82</v>
      </c>
      <c r="J12" s="89"/>
      <c r="K12" s="87">
        <v>97</v>
      </c>
      <c r="L12" s="87">
        <v>110</v>
      </c>
      <c r="M12" s="87">
        <v>115</v>
      </c>
      <c r="N12" s="87">
        <v>129</v>
      </c>
      <c r="O12" s="87">
        <v>126</v>
      </c>
    </row>
    <row r="13" spans="1:15" x14ac:dyDescent="0.25">
      <c r="A13" s="87" t="s">
        <v>130</v>
      </c>
      <c r="B13" s="87">
        <v>8</v>
      </c>
      <c r="C13" s="87">
        <v>17</v>
      </c>
      <c r="D13" s="87">
        <v>22</v>
      </c>
      <c r="E13" s="87">
        <v>31</v>
      </c>
      <c r="F13" s="87">
        <v>38</v>
      </c>
      <c r="G13" s="87">
        <v>54</v>
      </c>
      <c r="H13" s="87">
        <v>63</v>
      </c>
      <c r="I13" s="87">
        <v>81</v>
      </c>
      <c r="J13" s="89"/>
      <c r="K13" s="87">
        <v>93</v>
      </c>
      <c r="L13" s="87">
        <v>95</v>
      </c>
      <c r="M13" s="87">
        <v>109</v>
      </c>
      <c r="N13" s="87">
        <v>118</v>
      </c>
      <c r="O13" s="87">
        <v>118</v>
      </c>
    </row>
    <row r="14" spans="1:15" x14ac:dyDescent="0.25">
      <c r="A14" s="87" t="s">
        <v>129</v>
      </c>
      <c r="B14" s="87">
        <v>7</v>
      </c>
      <c r="C14" s="87">
        <v>14</v>
      </c>
      <c r="D14" s="87">
        <v>21</v>
      </c>
      <c r="E14" s="87">
        <v>29</v>
      </c>
      <c r="F14" s="87">
        <v>36</v>
      </c>
      <c r="G14" s="87">
        <v>55</v>
      </c>
      <c r="H14" s="87">
        <v>58</v>
      </c>
      <c r="I14" s="87">
        <v>74</v>
      </c>
      <c r="J14" s="87">
        <v>86</v>
      </c>
      <c r="K14" s="87">
        <v>94</v>
      </c>
      <c r="L14" s="87">
        <v>98</v>
      </c>
      <c r="M14" s="87">
        <v>109</v>
      </c>
      <c r="N14" s="87">
        <v>110</v>
      </c>
      <c r="O14" s="87">
        <v>114</v>
      </c>
    </row>
    <row r="15" spans="1:15" x14ac:dyDescent="0.25">
      <c r="A15" s="87" t="s">
        <v>128</v>
      </c>
      <c r="B15" s="87">
        <v>5</v>
      </c>
      <c r="C15" s="87">
        <v>12</v>
      </c>
      <c r="D15" s="87">
        <v>19</v>
      </c>
      <c r="E15" s="87">
        <v>28</v>
      </c>
      <c r="F15" s="87">
        <v>35</v>
      </c>
      <c r="G15" s="87">
        <v>54</v>
      </c>
      <c r="H15" s="87">
        <v>55</v>
      </c>
      <c r="I15" s="87">
        <v>72</v>
      </c>
      <c r="J15" s="87">
        <v>84</v>
      </c>
      <c r="K15" s="87">
        <v>96</v>
      </c>
      <c r="L15" s="87">
        <v>105</v>
      </c>
      <c r="M15" s="87">
        <v>106</v>
      </c>
      <c r="N15" s="87">
        <v>113</v>
      </c>
      <c r="O15" s="87">
        <v>120</v>
      </c>
    </row>
    <row r="16" spans="1:15" x14ac:dyDescent="0.25">
      <c r="A16" s="87" t="s">
        <v>127</v>
      </c>
      <c r="B16" s="87">
        <v>8</v>
      </c>
      <c r="C16" s="87">
        <v>14</v>
      </c>
      <c r="D16" s="87">
        <v>23</v>
      </c>
      <c r="E16" s="87">
        <v>31</v>
      </c>
      <c r="F16" s="87">
        <v>40</v>
      </c>
      <c r="G16" s="87">
        <v>52</v>
      </c>
      <c r="H16" s="87">
        <v>58</v>
      </c>
      <c r="I16" s="87">
        <v>67</v>
      </c>
      <c r="J16" s="87">
        <v>76</v>
      </c>
      <c r="K16" s="87">
        <v>88</v>
      </c>
      <c r="L16" s="87">
        <v>102</v>
      </c>
      <c r="M16" s="87">
        <v>109</v>
      </c>
      <c r="N16" s="87">
        <v>111</v>
      </c>
      <c r="O16" s="87">
        <v>117</v>
      </c>
    </row>
    <row r="17" spans="1:15" x14ac:dyDescent="0.25">
      <c r="A17" s="87" t="s">
        <v>126</v>
      </c>
      <c r="B17" s="87">
        <v>9</v>
      </c>
      <c r="C17" s="87">
        <v>15</v>
      </c>
      <c r="D17" s="87">
        <v>20</v>
      </c>
      <c r="E17" s="87">
        <v>29</v>
      </c>
      <c r="F17" s="87">
        <v>38</v>
      </c>
      <c r="G17" s="87">
        <v>54</v>
      </c>
      <c r="H17" s="87">
        <v>65</v>
      </c>
      <c r="I17" s="87">
        <v>73</v>
      </c>
      <c r="J17" s="87">
        <v>78</v>
      </c>
      <c r="K17" s="87">
        <v>86</v>
      </c>
      <c r="L17" s="87">
        <v>93</v>
      </c>
      <c r="M17" s="87">
        <v>104</v>
      </c>
      <c r="N17" s="87">
        <v>108</v>
      </c>
      <c r="O17" s="87">
        <v>109</v>
      </c>
    </row>
    <row r="18" spans="1:15" x14ac:dyDescent="0.25">
      <c r="A18" s="87" t="s">
        <v>125</v>
      </c>
      <c r="B18" s="87">
        <v>5</v>
      </c>
      <c r="C18" s="87">
        <v>16</v>
      </c>
      <c r="D18" s="87">
        <v>22</v>
      </c>
      <c r="E18" s="87">
        <v>26</v>
      </c>
      <c r="F18" s="87">
        <v>28</v>
      </c>
      <c r="G18" s="87">
        <v>51</v>
      </c>
      <c r="H18" s="87">
        <v>62</v>
      </c>
      <c r="I18" s="87">
        <v>72</v>
      </c>
      <c r="J18" s="87">
        <v>81</v>
      </c>
      <c r="K18" s="87">
        <v>90</v>
      </c>
      <c r="L18" s="87">
        <v>99</v>
      </c>
      <c r="M18" s="87">
        <v>100</v>
      </c>
      <c r="N18" s="87">
        <v>115</v>
      </c>
      <c r="O18" s="87">
        <v>124</v>
      </c>
    </row>
    <row r="19" spans="1:15" x14ac:dyDescent="0.25">
      <c r="A19" s="87" t="s">
        <v>124</v>
      </c>
      <c r="B19" s="87">
        <v>8</v>
      </c>
      <c r="C19" s="87">
        <v>17</v>
      </c>
      <c r="D19" s="87">
        <v>23</v>
      </c>
      <c r="E19" s="87">
        <v>27</v>
      </c>
      <c r="F19" s="87">
        <v>41</v>
      </c>
      <c r="G19" s="87">
        <v>47</v>
      </c>
      <c r="H19" s="87">
        <v>63</v>
      </c>
      <c r="I19" s="87">
        <v>59</v>
      </c>
      <c r="J19" s="87">
        <v>71</v>
      </c>
      <c r="K19" s="87">
        <v>82</v>
      </c>
      <c r="L19" s="87">
        <v>91</v>
      </c>
      <c r="M19" s="87">
        <v>101</v>
      </c>
      <c r="N19" s="87">
        <v>114</v>
      </c>
      <c r="O19" s="87">
        <v>114</v>
      </c>
    </row>
    <row r="20" spans="1:15" x14ac:dyDescent="0.25">
      <c r="A20" s="87" t="s">
        <v>123</v>
      </c>
      <c r="B20" s="87">
        <v>6</v>
      </c>
      <c r="C20" s="87">
        <v>12</v>
      </c>
      <c r="D20" s="87">
        <v>20</v>
      </c>
      <c r="E20" s="87">
        <v>25</v>
      </c>
      <c r="F20" s="87">
        <v>35</v>
      </c>
      <c r="G20" s="87">
        <v>51</v>
      </c>
      <c r="H20" s="87">
        <v>61</v>
      </c>
      <c r="I20" s="87">
        <v>77</v>
      </c>
      <c r="J20" s="87">
        <v>85</v>
      </c>
      <c r="K20" s="87">
        <v>93</v>
      </c>
      <c r="L20" s="87">
        <v>102</v>
      </c>
      <c r="M20" s="87">
        <v>113</v>
      </c>
      <c r="N20" s="87">
        <v>115</v>
      </c>
      <c r="O20" s="87">
        <v>126</v>
      </c>
    </row>
    <row r="21" spans="1:15" x14ac:dyDescent="0.25">
      <c r="A21" s="87" t="s">
        <v>122</v>
      </c>
      <c r="B21" s="87">
        <v>7</v>
      </c>
      <c r="C21" s="87">
        <v>13</v>
      </c>
      <c r="D21" s="87">
        <v>20</v>
      </c>
      <c r="E21" s="87">
        <v>28</v>
      </c>
      <c r="F21" s="87">
        <v>37</v>
      </c>
      <c r="G21" s="87">
        <v>57</v>
      </c>
      <c r="H21" s="87">
        <v>68</v>
      </c>
      <c r="I21" s="87">
        <v>79</v>
      </c>
      <c r="J21" s="87">
        <v>85</v>
      </c>
      <c r="K21" s="87">
        <v>101</v>
      </c>
      <c r="L21" s="87">
        <v>107</v>
      </c>
      <c r="M21" s="87">
        <v>114</v>
      </c>
      <c r="N21" s="87">
        <v>124</v>
      </c>
      <c r="O21" s="87">
        <v>128</v>
      </c>
    </row>
    <row r="22" spans="1:15" x14ac:dyDescent="0.25">
      <c r="A22" s="87" t="s">
        <v>121</v>
      </c>
      <c r="B22" s="87">
        <v>6</v>
      </c>
      <c r="C22" s="87">
        <v>14</v>
      </c>
      <c r="D22" s="87">
        <v>19</v>
      </c>
      <c r="E22" s="87">
        <v>28</v>
      </c>
      <c r="F22" s="87">
        <v>38</v>
      </c>
      <c r="G22" s="87">
        <v>61</v>
      </c>
      <c r="H22" s="87">
        <v>67</v>
      </c>
      <c r="I22" s="87">
        <v>85</v>
      </c>
      <c r="J22" s="87">
        <v>87</v>
      </c>
      <c r="K22" s="87">
        <v>101</v>
      </c>
      <c r="L22" s="87">
        <v>111</v>
      </c>
      <c r="M22" s="87">
        <v>115</v>
      </c>
      <c r="N22" s="87">
        <v>121</v>
      </c>
      <c r="O22" s="87">
        <v>120</v>
      </c>
    </row>
    <row r="23" spans="1:15" x14ac:dyDescent="0.25">
      <c r="A23" s="87" t="s">
        <v>120</v>
      </c>
      <c r="B23" s="87">
        <v>7</v>
      </c>
      <c r="C23" s="87">
        <v>14</v>
      </c>
      <c r="D23" s="87">
        <v>21</v>
      </c>
      <c r="E23" s="87">
        <v>27</v>
      </c>
      <c r="F23" s="87">
        <v>38</v>
      </c>
      <c r="G23" s="87">
        <v>53</v>
      </c>
      <c r="H23" s="87">
        <v>66</v>
      </c>
      <c r="I23" s="87">
        <v>85</v>
      </c>
      <c r="J23" s="89"/>
      <c r="K23" s="87">
        <v>100</v>
      </c>
      <c r="L23" s="87">
        <v>105</v>
      </c>
      <c r="M23" s="87">
        <v>111</v>
      </c>
      <c r="N23" s="87">
        <v>113</v>
      </c>
      <c r="O23" s="87">
        <v>126</v>
      </c>
    </row>
    <row r="24" spans="1:15" x14ac:dyDescent="0.25">
      <c r="A24" s="87" t="s">
        <v>119</v>
      </c>
      <c r="B24" s="87">
        <v>8</v>
      </c>
      <c r="C24" s="87">
        <v>17</v>
      </c>
      <c r="D24" s="87">
        <v>22</v>
      </c>
      <c r="E24" s="87">
        <v>29</v>
      </c>
      <c r="F24" s="87">
        <v>41</v>
      </c>
      <c r="G24" s="87">
        <v>59</v>
      </c>
      <c r="H24" s="87">
        <v>63</v>
      </c>
      <c r="I24" s="87">
        <v>81</v>
      </c>
      <c r="J24" s="89"/>
      <c r="K24" s="87">
        <v>102</v>
      </c>
      <c r="L24" s="87">
        <v>109</v>
      </c>
      <c r="M24" s="87">
        <v>115</v>
      </c>
      <c r="N24" s="87">
        <v>116</v>
      </c>
      <c r="O24" s="87">
        <v>123</v>
      </c>
    </row>
    <row r="25" spans="1:15" x14ac:dyDescent="0.25">
      <c r="A25" s="87" t="s">
        <v>118</v>
      </c>
      <c r="B25" s="87">
        <v>6</v>
      </c>
      <c r="C25" s="87">
        <v>14</v>
      </c>
      <c r="D25" s="87">
        <v>21</v>
      </c>
      <c r="E25" s="87">
        <v>27</v>
      </c>
      <c r="F25" s="87">
        <v>38</v>
      </c>
      <c r="G25" s="87">
        <v>55</v>
      </c>
      <c r="H25" s="87">
        <v>69</v>
      </c>
      <c r="I25" s="87">
        <v>82</v>
      </c>
      <c r="J25" s="89"/>
      <c r="K25" s="87">
        <v>101</v>
      </c>
      <c r="L25" s="87">
        <v>109</v>
      </c>
      <c r="M25" s="87">
        <v>111</v>
      </c>
      <c r="N25" s="87">
        <v>113</v>
      </c>
      <c r="O25" s="87">
        <v>111</v>
      </c>
    </row>
    <row r="26" spans="1:15" x14ac:dyDescent="0.25">
      <c r="A26" s="87" t="s">
        <v>117</v>
      </c>
      <c r="B26" s="87">
        <v>7</v>
      </c>
      <c r="C26" s="87">
        <v>13</v>
      </c>
      <c r="D26" s="87">
        <v>18</v>
      </c>
      <c r="E26" s="87">
        <v>26</v>
      </c>
      <c r="F26" s="87">
        <v>37</v>
      </c>
      <c r="G26" s="87">
        <v>45</v>
      </c>
      <c r="H26" s="87">
        <v>57</v>
      </c>
      <c r="I26" s="87">
        <v>66</v>
      </c>
      <c r="J26" s="87">
        <v>76</v>
      </c>
      <c r="K26" s="87">
        <v>82</v>
      </c>
      <c r="L26" s="87">
        <v>88</v>
      </c>
      <c r="M26" s="87">
        <v>96</v>
      </c>
      <c r="N26" s="87">
        <v>99</v>
      </c>
      <c r="O26" s="87">
        <v>104</v>
      </c>
    </row>
    <row r="27" spans="1:15" x14ac:dyDescent="0.25">
      <c r="A27" s="87" t="s">
        <v>116</v>
      </c>
      <c r="B27" s="87">
        <v>8</v>
      </c>
      <c r="C27" s="87">
        <v>14</v>
      </c>
      <c r="D27" s="87">
        <v>20</v>
      </c>
      <c r="E27" s="87">
        <v>29</v>
      </c>
      <c r="F27" s="87">
        <v>36</v>
      </c>
      <c r="G27" s="87">
        <v>47</v>
      </c>
      <c r="H27" s="87">
        <v>57</v>
      </c>
      <c r="I27" s="87">
        <v>67</v>
      </c>
      <c r="J27" s="87">
        <v>73</v>
      </c>
      <c r="K27" s="87">
        <v>85</v>
      </c>
      <c r="L27" s="87">
        <v>91</v>
      </c>
      <c r="M27" s="87">
        <v>99</v>
      </c>
      <c r="N27" s="87">
        <v>105</v>
      </c>
      <c r="O27" s="87">
        <v>111</v>
      </c>
    </row>
    <row r="28" spans="1:15" x14ac:dyDescent="0.25">
      <c r="A28" s="87" t="s">
        <v>115</v>
      </c>
      <c r="B28" s="87">
        <v>8</v>
      </c>
      <c r="C28" s="87">
        <v>15</v>
      </c>
      <c r="D28" s="87">
        <v>21</v>
      </c>
      <c r="E28" s="87">
        <v>26</v>
      </c>
      <c r="F28" s="87">
        <v>34</v>
      </c>
      <c r="G28" s="87">
        <v>49</v>
      </c>
      <c r="H28" s="87">
        <v>57</v>
      </c>
      <c r="I28" s="87">
        <v>68</v>
      </c>
      <c r="J28" s="87">
        <v>75</v>
      </c>
      <c r="K28" s="87">
        <v>87</v>
      </c>
      <c r="L28" s="87">
        <v>95</v>
      </c>
      <c r="M28" s="87">
        <v>100</v>
      </c>
      <c r="N28" s="87">
        <v>111</v>
      </c>
      <c r="O28" s="87">
        <v>107</v>
      </c>
    </row>
    <row r="29" spans="1:15" x14ac:dyDescent="0.25">
      <c r="A29" s="87" t="s">
        <v>114</v>
      </c>
      <c r="B29" s="87">
        <v>8</v>
      </c>
      <c r="C29" s="87">
        <v>15</v>
      </c>
      <c r="D29" s="87">
        <v>25</v>
      </c>
      <c r="E29" s="87">
        <v>29</v>
      </c>
      <c r="F29" s="87">
        <v>38</v>
      </c>
      <c r="G29" s="87">
        <v>51</v>
      </c>
      <c r="H29" s="87">
        <v>63</v>
      </c>
      <c r="I29" s="87">
        <v>79</v>
      </c>
      <c r="J29" s="89"/>
      <c r="K29" s="87">
        <v>88</v>
      </c>
      <c r="L29" s="87">
        <v>100</v>
      </c>
      <c r="M29" s="87">
        <v>100</v>
      </c>
      <c r="N29" s="87">
        <v>106</v>
      </c>
      <c r="O29" s="87">
        <v>105</v>
      </c>
    </row>
    <row r="30" spans="1:15" x14ac:dyDescent="0.25">
      <c r="A30" s="87" t="s">
        <v>113</v>
      </c>
      <c r="B30" s="87">
        <v>7</v>
      </c>
      <c r="C30" s="87">
        <v>14</v>
      </c>
      <c r="D30" s="87">
        <v>19</v>
      </c>
      <c r="E30" s="87">
        <v>26</v>
      </c>
      <c r="F30" s="87">
        <v>36</v>
      </c>
      <c r="G30" s="87">
        <v>53</v>
      </c>
      <c r="H30" s="87">
        <v>66</v>
      </c>
      <c r="I30" s="87">
        <v>84</v>
      </c>
      <c r="J30" s="89"/>
      <c r="K30" s="87">
        <v>97</v>
      </c>
      <c r="L30" s="87">
        <v>108</v>
      </c>
      <c r="M30" s="87">
        <v>115</v>
      </c>
      <c r="N30" s="87">
        <v>116</v>
      </c>
      <c r="O30" s="87">
        <v>118</v>
      </c>
    </row>
    <row r="31" spans="1:15" x14ac:dyDescent="0.25">
      <c r="A31" s="87" t="s">
        <v>112</v>
      </c>
      <c r="B31" s="87">
        <v>6</v>
      </c>
      <c r="C31" s="87">
        <v>13</v>
      </c>
      <c r="D31" s="87">
        <v>22</v>
      </c>
      <c r="E31" s="87">
        <v>28</v>
      </c>
      <c r="F31" s="87">
        <v>39</v>
      </c>
      <c r="G31" s="87">
        <v>57</v>
      </c>
      <c r="H31" s="87">
        <v>71</v>
      </c>
      <c r="I31" s="87">
        <v>76</v>
      </c>
      <c r="J31" s="89"/>
      <c r="K31" s="87">
        <v>105</v>
      </c>
      <c r="L31" s="87">
        <v>115</v>
      </c>
      <c r="M31" s="87">
        <v>124</v>
      </c>
      <c r="N31" s="87">
        <v>131</v>
      </c>
      <c r="O31" s="87">
        <v>128</v>
      </c>
    </row>
    <row r="32" spans="1:15" x14ac:dyDescent="0.25">
      <c r="A32" s="87" t="s">
        <v>111</v>
      </c>
      <c r="B32" s="87">
        <v>7</v>
      </c>
      <c r="C32" s="87">
        <v>14</v>
      </c>
      <c r="D32" s="87">
        <v>22</v>
      </c>
      <c r="E32" s="87">
        <v>28</v>
      </c>
      <c r="F32" s="87">
        <v>38</v>
      </c>
      <c r="G32" s="87">
        <v>54</v>
      </c>
      <c r="H32" s="87">
        <v>58</v>
      </c>
      <c r="I32" s="87">
        <v>71</v>
      </c>
      <c r="J32" s="87">
        <v>81</v>
      </c>
      <c r="K32" s="87">
        <v>91</v>
      </c>
      <c r="L32" s="87">
        <v>102</v>
      </c>
      <c r="M32" s="87">
        <v>111</v>
      </c>
      <c r="N32" s="87">
        <v>112</v>
      </c>
      <c r="O32" s="87">
        <v>117</v>
      </c>
    </row>
    <row r="33" spans="1:15" x14ac:dyDescent="0.25">
      <c r="A33" s="87" t="s">
        <v>110</v>
      </c>
      <c r="B33" s="87">
        <v>8</v>
      </c>
      <c r="C33" s="87">
        <v>17</v>
      </c>
      <c r="D33" s="87">
        <v>21</v>
      </c>
      <c r="E33" s="87">
        <v>29</v>
      </c>
      <c r="F33" s="87">
        <v>41</v>
      </c>
      <c r="G33" s="87">
        <v>56</v>
      </c>
      <c r="H33" s="87">
        <v>59</v>
      </c>
      <c r="I33" s="87">
        <v>71</v>
      </c>
      <c r="J33" s="87">
        <v>86</v>
      </c>
      <c r="K33" s="87">
        <v>92</v>
      </c>
      <c r="L33" s="87">
        <v>106</v>
      </c>
      <c r="M33" s="87">
        <v>116</v>
      </c>
      <c r="N33" s="87">
        <v>119</v>
      </c>
      <c r="O33" s="87">
        <v>122</v>
      </c>
    </row>
    <row r="34" spans="1:15" x14ac:dyDescent="0.25">
      <c r="A34" s="87" t="s">
        <v>109</v>
      </c>
      <c r="B34" s="87">
        <v>6</v>
      </c>
      <c r="C34" s="87">
        <v>16</v>
      </c>
      <c r="D34" s="87">
        <v>19</v>
      </c>
      <c r="E34" s="87">
        <v>26</v>
      </c>
      <c r="F34" s="87">
        <v>37</v>
      </c>
      <c r="G34" s="87">
        <v>52</v>
      </c>
      <c r="H34" s="87">
        <v>52</v>
      </c>
      <c r="I34" s="87">
        <v>65</v>
      </c>
      <c r="J34" s="87">
        <v>75</v>
      </c>
      <c r="K34" s="87">
        <v>91</v>
      </c>
      <c r="L34" s="87">
        <v>105</v>
      </c>
      <c r="M34" s="87">
        <v>115</v>
      </c>
      <c r="N34" s="87">
        <v>116</v>
      </c>
      <c r="O34" s="87">
        <v>119</v>
      </c>
    </row>
    <row r="35" spans="1:15" x14ac:dyDescent="0.25">
      <c r="A35" s="87" t="s">
        <v>108</v>
      </c>
      <c r="B35" s="87">
        <v>6</v>
      </c>
      <c r="C35" s="87">
        <v>15</v>
      </c>
      <c r="D35" s="87">
        <v>21</v>
      </c>
      <c r="E35" s="87">
        <v>29</v>
      </c>
      <c r="F35" s="87">
        <v>41</v>
      </c>
      <c r="G35" s="87">
        <v>62</v>
      </c>
      <c r="H35" s="87">
        <v>73</v>
      </c>
      <c r="I35" s="87">
        <v>92</v>
      </c>
      <c r="J35" s="87">
        <v>98</v>
      </c>
      <c r="K35" s="87">
        <v>103</v>
      </c>
      <c r="L35" s="87">
        <v>118</v>
      </c>
      <c r="M35" s="87">
        <v>132</v>
      </c>
      <c r="N35" s="87">
        <v>134</v>
      </c>
      <c r="O35" s="87">
        <v>139</v>
      </c>
    </row>
    <row r="36" spans="1:15" x14ac:dyDescent="0.25">
      <c r="A36" s="87" t="s">
        <v>107</v>
      </c>
      <c r="B36" s="87">
        <v>8</v>
      </c>
      <c r="C36" s="87">
        <v>14</v>
      </c>
      <c r="D36" s="87">
        <v>22</v>
      </c>
      <c r="E36" s="87">
        <v>28</v>
      </c>
      <c r="F36" s="87">
        <v>39</v>
      </c>
      <c r="G36" s="87">
        <v>56</v>
      </c>
      <c r="H36" s="87">
        <v>68</v>
      </c>
      <c r="I36" s="87">
        <v>80</v>
      </c>
      <c r="J36" s="87">
        <v>88</v>
      </c>
      <c r="K36" s="87">
        <v>93</v>
      </c>
      <c r="L36" s="87">
        <v>104</v>
      </c>
      <c r="M36" s="87">
        <v>114</v>
      </c>
      <c r="N36" s="87">
        <v>134</v>
      </c>
      <c r="O36" s="87">
        <v>141</v>
      </c>
    </row>
    <row r="37" spans="1:15" x14ac:dyDescent="0.25">
      <c r="A37" s="87" t="s">
        <v>106</v>
      </c>
      <c r="B37" s="87">
        <v>7</v>
      </c>
      <c r="C37" s="87">
        <v>12</v>
      </c>
      <c r="D37" s="87">
        <v>21</v>
      </c>
      <c r="E37" s="87">
        <v>27</v>
      </c>
      <c r="F37" s="87">
        <v>38</v>
      </c>
      <c r="G37" s="87">
        <v>57</v>
      </c>
      <c r="H37" s="87">
        <v>64</v>
      </c>
      <c r="I37" s="87">
        <v>78</v>
      </c>
      <c r="J37" s="87">
        <v>89</v>
      </c>
      <c r="K37" s="87">
        <v>94</v>
      </c>
      <c r="L37" s="87">
        <v>105</v>
      </c>
      <c r="M37" s="87">
        <v>116</v>
      </c>
      <c r="N37" s="87">
        <v>125</v>
      </c>
      <c r="O37" s="87">
        <v>128</v>
      </c>
    </row>
    <row r="38" spans="1:15" x14ac:dyDescent="0.25">
      <c r="A38" s="87" t="s">
        <v>105</v>
      </c>
      <c r="B38" s="87">
        <v>6</v>
      </c>
      <c r="C38" s="87">
        <v>14</v>
      </c>
      <c r="D38" s="87">
        <v>21</v>
      </c>
      <c r="E38" s="87">
        <v>27</v>
      </c>
      <c r="F38" s="87">
        <v>34</v>
      </c>
      <c r="G38" s="87">
        <v>47</v>
      </c>
      <c r="H38" s="87">
        <v>58</v>
      </c>
      <c r="I38" s="87">
        <v>62</v>
      </c>
      <c r="J38" s="87">
        <v>73</v>
      </c>
      <c r="K38" s="87">
        <v>82</v>
      </c>
      <c r="L38" s="87">
        <v>97</v>
      </c>
      <c r="M38" s="87">
        <v>104</v>
      </c>
      <c r="N38" s="87">
        <v>110</v>
      </c>
      <c r="O38" s="87">
        <v>114</v>
      </c>
    </row>
    <row r="39" spans="1:15" x14ac:dyDescent="0.25">
      <c r="A39" s="87" t="s">
        <v>104</v>
      </c>
      <c r="B39" s="87">
        <v>7</v>
      </c>
      <c r="C39" s="87">
        <v>16</v>
      </c>
      <c r="D39" s="87">
        <v>20</v>
      </c>
      <c r="E39" s="87">
        <v>27</v>
      </c>
      <c r="F39" s="87">
        <v>38</v>
      </c>
      <c r="G39" s="87">
        <v>51</v>
      </c>
      <c r="H39" s="87">
        <v>60</v>
      </c>
      <c r="I39" s="87">
        <v>72</v>
      </c>
      <c r="J39" s="87">
        <v>73</v>
      </c>
      <c r="K39" s="87">
        <v>83</v>
      </c>
      <c r="L39" s="87">
        <v>96</v>
      </c>
      <c r="M39" s="87">
        <v>108</v>
      </c>
      <c r="N39" s="87">
        <v>111</v>
      </c>
      <c r="O39" s="87">
        <v>115</v>
      </c>
    </row>
    <row r="40" spans="1:15" x14ac:dyDescent="0.25">
      <c r="A40" s="87" t="s">
        <v>103</v>
      </c>
      <c r="B40" s="87">
        <v>7</v>
      </c>
      <c r="C40" s="87">
        <v>13</v>
      </c>
      <c r="D40" s="87">
        <v>21</v>
      </c>
      <c r="E40" s="87">
        <v>24</v>
      </c>
      <c r="F40" s="87">
        <v>36</v>
      </c>
      <c r="G40" s="87">
        <v>47</v>
      </c>
      <c r="H40" s="87">
        <v>53</v>
      </c>
      <c r="I40" s="87">
        <v>60</v>
      </c>
      <c r="J40" s="87">
        <v>71</v>
      </c>
      <c r="K40" s="87">
        <v>73</v>
      </c>
      <c r="L40" s="87">
        <v>84</v>
      </c>
      <c r="M40" s="87">
        <v>95</v>
      </c>
      <c r="N40" s="87">
        <v>109</v>
      </c>
      <c r="O40" s="87">
        <v>110</v>
      </c>
    </row>
    <row r="41" spans="1:15" x14ac:dyDescent="0.25">
      <c r="A41" s="87" t="s">
        <v>102</v>
      </c>
      <c r="B41" s="87">
        <v>6</v>
      </c>
      <c r="C41" s="87">
        <v>15</v>
      </c>
      <c r="D41" s="87">
        <v>22</v>
      </c>
      <c r="E41" s="87">
        <v>28</v>
      </c>
      <c r="F41" s="87">
        <v>41</v>
      </c>
      <c r="G41" s="87">
        <v>54</v>
      </c>
      <c r="H41" s="87">
        <v>64</v>
      </c>
      <c r="I41" s="87">
        <v>78</v>
      </c>
      <c r="J41" s="87">
        <v>83</v>
      </c>
      <c r="K41" s="87">
        <v>100</v>
      </c>
      <c r="L41" s="87">
        <v>111</v>
      </c>
      <c r="M41" s="87">
        <v>126</v>
      </c>
      <c r="N41" s="87">
        <v>134</v>
      </c>
      <c r="O41" s="87">
        <v>142</v>
      </c>
    </row>
    <row r="42" spans="1:15" x14ac:dyDescent="0.25">
      <c r="A42" s="87" t="s">
        <v>101</v>
      </c>
      <c r="B42" s="87">
        <v>8</v>
      </c>
      <c r="C42" s="87">
        <v>12</v>
      </c>
      <c r="D42" s="87">
        <v>21</v>
      </c>
      <c r="E42" s="87">
        <v>28</v>
      </c>
      <c r="F42" s="87">
        <v>40</v>
      </c>
      <c r="G42" s="87">
        <v>56</v>
      </c>
      <c r="H42" s="87">
        <v>66</v>
      </c>
      <c r="I42" s="87">
        <v>77</v>
      </c>
      <c r="J42" s="87">
        <v>88</v>
      </c>
      <c r="K42" s="87">
        <v>98</v>
      </c>
      <c r="L42" s="87">
        <v>112</v>
      </c>
      <c r="M42" s="87">
        <v>127</v>
      </c>
      <c r="N42" s="87">
        <v>138</v>
      </c>
      <c r="O42" s="87">
        <v>139</v>
      </c>
    </row>
    <row r="43" spans="1:15" x14ac:dyDescent="0.25">
      <c r="A43" s="87" t="s">
        <v>100</v>
      </c>
      <c r="B43" s="87">
        <v>6</v>
      </c>
      <c r="C43" s="87">
        <v>14</v>
      </c>
      <c r="D43" s="87">
        <v>22</v>
      </c>
      <c r="E43" s="87">
        <v>28</v>
      </c>
      <c r="F43" s="87">
        <v>40</v>
      </c>
      <c r="G43" s="87">
        <v>54</v>
      </c>
      <c r="H43" s="87">
        <v>67</v>
      </c>
      <c r="I43" s="87">
        <v>74</v>
      </c>
      <c r="J43" s="87">
        <v>82</v>
      </c>
      <c r="K43" s="87">
        <v>95</v>
      </c>
      <c r="L43" s="87">
        <v>107</v>
      </c>
      <c r="M43" s="87">
        <v>121</v>
      </c>
      <c r="N43" s="87">
        <v>131</v>
      </c>
      <c r="O43" s="87">
        <v>134</v>
      </c>
    </row>
    <row r="44" spans="1:15" x14ac:dyDescent="0.25">
      <c r="A44" s="87" t="s">
        <v>99</v>
      </c>
      <c r="B44" s="87">
        <v>8</v>
      </c>
      <c r="C44" s="87">
        <v>14</v>
      </c>
      <c r="D44" s="87">
        <v>22</v>
      </c>
      <c r="E44" s="87">
        <v>29</v>
      </c>
      <c r="F44" s="87">
        <v>39</v>
      </c>
      <c r="G44" s="87">
        <v>53</v>
      </c>
      <c r="H44" s="87">
        <v>54</v>
      </c>
      <c r="I44" s="87">
        <v>69</v>
      </c>
      <c r="J44" s="87">
        <v>75</v>
      </c>
      <c r="K44" s="87">
        <v>85</v>
      </c>
      <c r="L44" s="87">
        <v>102</v>
      </c>
      <c r="M44" s="87">
        <v>105</v>
      </c>
      <c r="N44" s="89"/>
      <c r="O44" s="87">
        <v>121</v>
      </c>
    </row>
    <row r="45" spans="1:15" x14ac:dyDescent="0.25">
      <c r="A45" s="87" t="s">
        <v>98</v>
      </c>
      <c r="B45" s="87">
        <v>6</v>
      </c>
      <c r="C45" s="87">
        <v>10</v>
      </c>
      <c r="D45" s="87">
        <v>21</v>
      </c>
      <c r="E45" s="87">
        <v>28</v>
      </c>
      <c r="F45" s="87">
        <v>37</v>
      </c>
      <c r="G45" s="87">
        <v>51</v>
      </c>
      <c r="H45" s="87">
        <v>57</v>
      </c>
      <c r="I45" s="87">
        <v>68</v>
      </c>
      <c r="J45" s="87">
        <v>77</v>
      </c>
      <c r="K45" s="87">
        <v>91</v>
      </c>
      <c r="L45" s="87">
        <v>103</v>
      </c>
      <c r="M45" s="87">
        <v>108</v>
      </c>
      <c r="N45" s="89"/>
      <c r="O45" s="87">
        <v>116</v>
      </c>
    </row>
    <row r="46" spans="1:15" x14ac:dyDescent="0.25">
      <c r="A46" s="87" t="s">
        <v>97</v>
      </c>
      <c r="B46" s="87">
        <v>8</v>
      </c>
      <c r="C46" s="87">
        <v>16</v>
      </c>
      <c r="D46" s="87">
        <v>22</v>
      </c>
      <c r="E46" s="87">
        <v>31</v>
      </c>
      <c r="F46" s="87">
        <v>44</v>
      </c>
      <c r="G46" s="87">
        <v>59</v>
      </c>
      <c r="H46" s="87">
        <v>61</v>
      </c>
      <c r="I46" s="87">
        <v>72</v>
      </c>
      <c r="J46" s="87">
        <v>84</v>
      </c>
      <c r="K46" s="87">
        <v>98</v>
      </c>
      <c r="L46" s="87">
        <v>103</v>
      </c>
      <c r="M46" s="87">
        <v>117</v>
      </c>
      <c r="N46" s="89"/>
      <c r="O46" s="87">
        <v>128</v>
      </c>
    </row>
    <row r="47" spans="1:15" x14ac:dyDescent="0.25">
      <c r="A47" s="87" t="s">
        <v>96</v>
      </c>
      <c r="B47" s="87">
        <v>8</v>
      </c>
      <c r="C47" s="87">
        <v>14</v>
      </c>
      <c r="D47" s="87">
        <v>24</v>
      </c>
      <c r="E47" s="87">
        <v>30</v>
      </c>
      <c r="F47" s="87">
        <v>40</v>
      </c>
      <c r="G47" s="87">
        <v>53</v>
      </c>
      <c r="H47" s="87">
        <v>64</v>
      </c>
      <c r="I47" s="87">
        <v>78</v>
      </c>
      <c r="J47" s="89"/>
      <c r="K47" s="87">
        <v>91</v>
      </c>
      <c r="L47" s="87">
        <v>103</v>
      </c>
      <c r="M47" s="87">
        <v>105</v>
      </c>
      <c r="N47" s="89"/>
      <c r="O47" s="87">
        <v>110</v>
      </c>
    </row>
    <row r="48" spans="1:15" x14ac:dyDescent="0.25">
      <c r="A48" s="87" t="s">
        <v>95</v>
      </c>
      <c r="B48" s="87">
        <v>8</v>
      </c>
      <c r="C48" s="87">
        <v>14</v>
      </c>
      <c r="D48" s="87">
        <v>22</v>
      </c>
      <c r="E48" s="87">
        <v>28</v>
      </c>
      <c r="F48" s="87">
        <v>40</v>
      </c>
      <c r="G48" s="87">
        <v>52</v>
      </c>
      <c r="H48" s="87">
        <v>63</v>
      </c>
      <c r="I48" s="87">
        <v>74</v>
      </c>
      <c r="J48" s="89"/>
      <c r="K48" s="87">
        <v>92</v>
      </c>
      <c r="L48" s="87">
        <v>99</v>
      </c>
      <c r="M48" s="87">
        <v>98</v>
      </c>
      <c r="N48" s="89"/>
      <c r="O48" s="87">
        <v>111</v>
      </c>
    </row>
    <row r="49" spans="1:15" x14ac:dyDescent="0.25">
      <c r="A49" s="87" t="s">
        <v>94</v>
      </c>
      <c r="B49" s="87">
        <v>9</v>
      </c>
      <c r="C49" s="87">
        <v>17</v>
      </c>
      <c r="D49" s="87">
        <v>26</v>
      </c>
      <c r="E49" s="87">
        <v>29</v>
      </c>
      <c r="F49" s="87">
        <v>42</v>
      </c>
      <c r="G49" s="87">
        <v>52</v>
      </c>
      <c r="H49" s="87">
        <v>64</v>
      </c>
      <c r="I49" s="87">
        <v>82</v>
      </c>
      <c r="J49" s="89"/>
      <c r="K49" s="87">
        <v>95</v>
      </c>
      <c r="L49" s="87">
        <v>103</v>
      </c>
      <c r="M49" s="87">
        <v>109</v>
      </c>
      <c r="N49" s="89"/>
      <c r="O49" s="87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83B72-227B-4867-928B-800FE9B7D7B7}">
  <dimension ref="A1:O49"/>
  <sheetViews>
    <sheetView workbookViewId="0"/>
  </sheetViews>
  <sheetFormatPr defaultRowHeight="15" x14ac:dyDescent="0.25"/>
  <cols>
    <col min="1" max="16384" width="9.140625" style="87"/>
  </cols>
  <sheetData>
    <row r="1" spans="1:15" x14ac:dyDescent="0.25">
      <c r="A1" s="88" t="s">
        <v>156</v>
      </c>
      <c r="B1" s="87" t="s">
        <v>155</v>
      </c>
      <c r="C1" s="87" t="s">
        <v>154</v>
      </c>
      <c r="D1" s="87" t="s">
        <v>153</v>
      </c>
      <c r="E1" s="87" t="s">
        <v>152</v>
      </c>
      <c r="F1" s="87" t="s">
        <v>151</v>
      </c>
      <c r="G1" s="87" t="s">
        <v>150</v>
      </c>
      <c r="H1" s="87" t="s">
        <v>149</v>
      </c>
      <c r="I1" s="87" t="s">
        <v>148</v>
      </c>
      <c r="J1" s="87" t="s">
        <v>147</v>
      </c>
      <c r="K1" s="87" t="s">
        <v>146</v>
      </c>
      <c r="L1" s="87" t="s">
        <v>145</v>
      </c>
      <c r="M1" s="87" t="s">
        <v>144</v>
      </c>
      <c r="N1" s="87" t="s">
        <v>143</v>
      </c>
      <c r="O1" s="87" t="s">
        <v>142</v>
      </c>
    </row>
    <row r="2" spans="1:15" x14ac:dyDescent="0.25">
      <c r="A2" s="87" t="s">
        <v>141</v>
      </c>
      <c r="B2" s="87">
        <v>8</v>
      </c>
      <c r="C2" s="87">
        <v>12</v>
      </c>
      <c r="D2" s="87">
        <v>20</v>
      </c>
      <c r="E2" s="87">
        <v>26</v>
      </c>
      <c r="F2" s="87">
        <v>32</v>
      </c>
      <c r="G2" s="87">
        <v>31</v>
      </c>
      <c r="H2" s="87">
        <v>44</v>
      </c>
      <c r="I2" s="87">
        <v>44</v>
      </c>
      <c r="J2" s="87">
        <v>57</v>
      </c>
      <c r="K2" s="87">
        <v>71</v>
      </c>
      <c r="L2" s="87">
        <v>81</v>
      </c>
      <c r="M2" s="87">
        <v>92</v>
      </c>
      <c r="N2" s="87">
        <v>97</v>
      </c>
      <c r="O2" s="87">
        <v>98</v>
      </c>
    </row>
    <row r="3" spans="1:15" x14ac:dyDescent="0.25">
      <c r="A3" s="87" t="s">
        <v>140</v>
      </c>
      <c r="B3" s="87">
        <v>6</v>
      </c>
      <c r="C3" s="87">
        <v>11</v>
      </c>
      <c r="D3" s="87">
        <v>19</v>
      </c>
      <c r="E3" s="87">
        <v>23</v>
      </c>
      <c r="F3" s="87">
        <v>34</v>
      </c>
      <c r="G3" s="87">
        <v>42</v>
      </c>
      <c r="H3" s="87">
        <v>48</v>
      </c>
      <c r="I3" s="87">
        <v>52</v>
      </c>
      <c r="J3" s="87">
        <v>72</v>
      </c>
      <c r="K3" s="87">
        <v>82</v>
      </c>
      <c r="L3" s="87">
        <v>86</v>
      </c>
      <c r="M3" s="87">
        <v>99</v>
      </c>
      <c r="N3" s="87">
        <v>93</v>
      </c>
      <c r="O3" s="87">
        <v>98</v>
      </c>
    </row>
    <row r="4" spans="1:15" x14ac:dyDescent="0.25">
      <c r="A4" s="87" t="s">
        <v>139</v>
      </c>
      <c r="B4" s="87">
        <v>7</v>
      </c>
      <c r="C4" s="87">
        <v>16</v>
      </c>
      <c r="D4" s="87">
        <v>20</v>
      </c>
      <c r="E4" s="87">
        <v>27</v>
      </c>
      <c r="F4" s="87">
        <v>34</v>
      </c>
      <c r="G4" s="87">
        <v>38</v>
      </c>
      <c r="H4" s="87">
        <v>47</v>
      </c>
      <c r="I4" s="87">
        <v>74</v>
      </c>
      <c r="J4" s="87">
        <v>86</v>
      </c>
      <c r="K4" s="87">
        <v>91</v>
      </c>
      <c r="L4" s="87">
        <v>94</v>
      </c>
      <c r="M4" s="87">
        <v>102</v>
      </c>
      <c r="N4" s="87">
        <v>102</v>
      </c>
      <c r="O4" s="87">
        <v>102</v>
      </c>
    </row>
    <row r="5" spans="1:15" x14ac:dyDescent="0.25">
      <c r="A5" s="87" t="s">
        <v>138</v>
      </c>
      <c r="B5" s="87">
        <v>6</v>
      </c>
      <c r="C5" s="87">
        <v>13</v>
      </c>
      <c r="D5" s="87">
        <v>17</v>
      </c>
      <c r="E5" s="87">
        <v>24</v>
      </c>
      <c r="F5" s="87">
        <v>38</v>
      </c>
      <c r="G5" s="87">
        <v>37</v>
      </c>
      <c r="H5" s="87">
        <v>50</v>
      </c>
      <c r="I5" s="87">
        <v>61</v>
      </c>
      <c r="J5" s="89"/>
      <c r="K5" s="87">
        <v>70</v>
      </c>
      <c r="L5" s="87">
        <v>96</v>
      </c>
      <c r="M5" s="87">
        <v>102</v>
      </c>
      <c r="N5" s="87">
        <v>96</v>
      </c>
      <c r="O5" s="87">
        <v>102</v>
      </c>
    </row>
    <row r="6" spans="1:15" x14ac:dyDescent="0.25">
      <c r="A6" s="87" t="s">
        <v>137</v>
      </c>
      <c r="B6" s="87">
        <v>7</v>
      </c>
      <c r="C6" s="87">
        <v>12</v>
      </c>
      <c r="D6" s="87">
        <v>20</v>
      </c>
      <c r="E6" s="87">
        <v>26</v>
      </c>
      <c r="F6" s="87">
        <v>36</v>
      </c>
      <c r="G6" s="87">
        <v>48</v>
      </c>
      <c r="H6" s="87">
        <v>56</v>
      </c>
      <c r="I6" s="87">
        <v>61</v>
      </c>
      <c r="J6" s="89"/>
      <c r="K6" s="87">
        <v>73</v>
      </c>
      <c r="L6" s="87">
        <v>98</v>
      </c>
      <c r="M6" s="87">
        <v>102</v>
      </c>
      <c r="N6" s="87">
        <v>102</v>
      </c>
      <c r="O6" s="87">
        <v>102</v>
      </c>
    </row>
    <row r="7" spans="1:15" x14ac:dyDescent="0.25">
      <c r="A7" s="87" t="s">
        <v>136</v>
      </c>
      <c r="B7" s="87">
        <v>6</v>
      </c>
      <c r="C7" s="87">
        <v>12</v>
      </c>
      <c r="D7" s="87">
        <v>18</v>
      </c>
      <c r="E7" s="87">
        <v>31</v>
      </c>
      <c r="F7" s="87">
        <v>35</v>
      </c>
      <c r="G7" s="87">
        <v>41</v>
      </c>
      <c r="H7" s="87">
        <v>51</v>
      </c>
      <c r="I7" s="87">
        <v>58</v>
      </c>
      <c r="J7" s="89"/>
      <c r="K7" s="87">
        <v>77</v>
      </c>
      <c r="L7" s="87">
        <v>101</v>
      </c>
      <c r="M7" s="87">
        <v>102</v>
      </c>
      <c r="N7" s="87">
        <v>102</v>
      </c>
      <c r="O7" s="87">
        <v>102</v>
      </c>
    </row>
    <row r="8" spans="1:15" x14ac:dyDescent="0.25">
      <c r="A8" s="87" t="s">
        <v>135</v>
      </c>
      <c r="B8" s="87">
        <v>6</v>
      </c>
      <c r="C8" s="87">
        <v>12</v>
      </c>
      <c r="D8" s="87">
        <v>24</v>
      </c>
      <c r="E8" s="87">
        <v>25</v>
      </c>
      <c r="F8" s="87">
        <v>38</v>
      </c>
      <c r="G8" s="89"/>
      <c r="H8" s="87">
        <v>50</v>
      </c>
      <c r="I8" s="87">
        <v>48</v>
      </c>
      <c r="J8" s="87">
        <v>59</v>
      </c>
      <c r="K8" s="87">
        <v>56</v>
      </c>
      <c r="L8" s="87">
        <v>74</v>
      </c>
      <c r="M8" s="87">
        <v>86</v>
      </c>
      <c r="N8" s="87">
        <v>93</v>
      </c>
      <c r="O8" s="87">
        <v>102</v>
      </c>
    </row>
    <row r="9" spans="1:15" x14ac:dyDescent="0.25">
      <c r="A9" s="87" t="s">
        <v>134</v>
      </c>
      <c r="B9" s="87">
        <v>7</v>
      </c>
      <c r="C9" s="87">
        <v>11</v>
      </c>
      <c r="D9" s="87">
        <v>16</v>
      </c>
      <c r="E9" s="87">
        <v>26</v>
      </c>
      <c r="F9" s="87">
        <v>35</v>
      </c>
      <c r="G9" s="89"/>
      <c r="H9" s="87">
        <v>49</v>
      </c>
      <c r="I9" s="87">
        <v>46</v>
      </c>
      <c r="J9" s="87">
        <v>50</v>
      </c>
      <c r="K9" s="87">
        <v>50</v>
      </c>
      <c r="L9" s="87">
        <v>66</v>
      </c>
      <c r="M9" s="87">
        <v>89</v>
      </c>
      <c r="N9" s="87">
        <v>92</v>
      </c>
      <c r="O9" s="87">
        <v>102</v>
      </c>
    </row>
    <row r="10" spans="1:15" x14ac:dyDescent="0.25">
      <c r="A10" s="87" t="s">
        <v>133</v>
      </c>
      <c r="B10" s="87">
        <v>7</v>
      </c>
      <c r="C10" s="87">
        <v>13</v>
      </c>
      <c r="D10" s="87">
        <v>17</v>
      </c>
      <c r="E10" s="87">
        <v>23</v>
      </c>
      <c r="F10" s="87">
        <v>38</v>
      </c>
      <c r="G10" s="89"/>
      <c r="H10" s="87">
        <v>53</v>
      </c>
      <c r="I10" s="87">
        <v>49</v>
      </c>
      <c r="J10" s="87">
        <v>60</v>
      </c>
      <c r="K10" s="87">
        <v>64</v>
      </c>
      <c r="L10" s="87">
        <v>77</v>
      </c>
      <c r="M10" s="87">
        <v>96</v>
      </c>
      <c r="N10" s="87">
        <v>98</v>
      </c>
      <c r="O10" s="87">
        <v>102</v>
      </c>
    </row>
    <row r="11" spans="1:15" x14ac:dyDescent="0.25">
      <c r="A11" s="87" t="s">
        <v>132</v>
      </c>
      <c r="B11" s="87">
        <v>7</v>
      </c>
      <c r="C11" s="87">
        <v>13</v>
      </c>
      <c r="D11" s="87">
        <v>16</v>
      </c>
      <c r="E11" s="87">
        <v>25</v>
      </c>
      <c r="F11" s="87">
        <v>35</v>
      </c>
      <c r="G11" s="87">
        <v>51</v>
      </c>
      <c r="H11" s="87">
        <v>63</v>
      </c>
      <c r="I11" s="87">
        <v>63</v>
      </c>
      <c r="J11" s="89"/>
      <c r="K11" s="87">
        <v>90</v>
      </c>
      <c r="L11" s="87">
        <v>100</v>
      </c>
      <c r="M11" s="87">
        <v>102</v>
      </c>
      <c r="N11" s="87">
        <v>102</v>
      </c>
      <c r="O11" s="87">
        <v>102</v>
      </c>
    </row>
    <row r="12" spans="1:15" x14ac:dyDescent="0.25">
      <c r="A12" s="87" t="s">
        <v>131</v>
      </c>
      <c r="B12" s="87">
        <v>7</v>
      </c>
      <c r="C12" s="87">
        <v>12</v>
      </c>
      <c r="D12" s="87">
        <v>20</v>
      </c>
      <c r="E12" s="87">
        <v>30</v>
      </c>
      <c r="F12" s="87">
        <v>37</v>
      </c>
      <c r="G12" s="87">
        <v>49</v>
      </c>
      <c r="H12" s="87">
        <v>60</v>
      </c>
      <c r="I12" s="87">
        <v>67</v>
      </c>
      <c r="J12" s="89"/>
      <c r="K12" s="87">
        <v>83</v>
      </c>
      <c r="L12" s="87">
        <v>102</v>
      </c>
      <c r="M12" s="87">
        <v>102</v>
      </c>
      <c r="N12" s="87">
        <v>102</v>
      </c>
      <c r="O12" s="87">
        <v>102</v>
      </c>
    </row>
    <row r="13" spans="1:15" x14ac:dyDescent="0.25">
      <c r="A13" s="87" t="s">
        <v>130</v>
      </c>
      <c r="B13" s="87">
        <v>6</v>
      </c>
      <c r="C13" s="87">
        <v>14</v>
      </c>
      <c r="D13" s="87">
        <v>19</v>
      </c>
      <c r="E13" s="87">
        <v>28</v>
      </c>
      <c r="F13" s="87">
        <v>34</v>
      </c>
      <c r="G13" s="87">
        <v>48</v>
      </c>
      <c r="H13" s="87">
        <v>45</v>
      </c>
      <c r="I13" s="87">
        <v>67</v>
      </c>
      <c r="J13" s="89"/>
      <c r="K13" s="87">
        <v>76</v>
      </c>
      <c r="L13" s="87">
        <v>88</v>
      </c>
      <c r="M13" s="87">
        <v>102</v>
      </c>
      <c r="N13" s="87">
        <v>102</v>
      </c>
      <c r="O13" s="87">
        <v>102</v>
      </c>
    </row>
    <row r="14" spans="1:15" x14ac:dyDescent="0.25">
      <c r="A14" s="87" t="s">
        <v>129</v>
      </c>
      <c r="B14" s="87">
        <v>6</v>
      </c>
      <c r="C14" s="87">
        <v>13</v>
      </c>
      <c r="D14" s="87">
        <v>18</v>
      </c>
      <c r="E14" s="87">
        <v>30</v>
      </c>
      <c r="F14" s="87">
        <v>34</v>
      </c>
      <c r="G14" s="87">
        <v>51</v>
      </c>
      <c r="H14" s="87">
        <v>46</v>
      </c>
      <c r="I14" s="87">
        <v>51</v>
      </c>
      <c r="J14" s="87">
        <v>71</v>
      </c>
      <c r="K14" s="87">
        <v>75</v>
      </c>
      <c r="L14" s="87">
        <v>93</v>
      </c>
      <c r="M14" s="87">
        <v>98</v>
      </c>
      <c r="N14" s="87">
        <v>102</v>
      </c>
      <c r="O14" s="87">
        <v>102</v>
      </c>
    </row>
    <row r="15" spans="1:15" x14ac:dyDescent="0.25">
      <c r="A15" s="87" t="s">
        <v>128</v>
      </c>
      <c r="B15" s="87">
        <v>4</v>
      </c>
      <c r="C15" s="87">
        <v>11</v>
      </c>
      <c r="D15" s="87">
        <v>15</v>
      </c>
      <c r="E15" s="87">
        <v>26</v>
      </c>
      <c r="F15" s="87">
        <v>32</v>
      </c>
      <c r="G15" s="87">
        <v>41</v>
      </c>
      <c r="H15" s="87">
        <v>43</v>
      </c>
      <c r="I15" s="87">
        <v>53</v>
      </c>
      <c r="J15" s="87">
        <v>79</v>
      </c>
      <c r="K15" s="87">
        <v>83</v>
      </c>
      <c r="L15" s="87">
        <v>100</v>
      </c>
      <c r="M15" s="87">
        <v>98</v>
      </c>
      <c r="N15" s="87">
        <v>102</v>
      </c>
      <c r="O15" s="87">
        <v>102</v>
      </c>
    </row>
    <row r="16" spans="1:15" x14ac:dyDescent="0.25">
      <c r="A16" s="87" t="s">
        <v>127</v>
      </c>
      <c r="B16" s="87">
        <v>8</v>
      </c>
      <c r="C16" s="87">
        <v>11</v>
      </c>
      <c r="D16" s="87">
        <v>22</v>
      </c>
      <c r="E16" s="87">
        <v>27</v>
      </c>
      <c r="F16" s="87">
        <v>34</v>
      </c>
      <c r="G16" s="87">
        <v>40</v>
      </c>
      <c r="H16" s="87">
        <v>48</v>
      </c>
      <c r="I16" s="87">
        <v>59</v>
      </c>
      <c r="J16" s="87">
        <v>62</v>
      </c>
      <c r="K16" s="87">
        <v>76</v>
      </c>
      <c r="L16" s="87">
        <v>92</v>
      </c>
      <c r="M16" s="87">
        <v>89</v>
      </c>
      <c r="N16" s="87">
        <v>102</v>
      </c>
      <c r="O16" s="87">
        <v>102</v>
      </c>
    </row>
    <row r="17" spans="1:15" x14ac:dyDescent="0.25">
      <c r="A17" s="87" t="s">
        <v>126</v>
      </c>
      <c r="B17" s="87">
        <v>7</v>
      </c>
      <c r="C17" s="87">
        <v>14</v>
      </c>
      <c r="D17" s="87">
        <v>22</v>
      </c>
      <c r="E17" s="87">
        <v>25</v>
      </c>
      <c r="F17" s="87">
        <v>35</v>
      </c>
      <c r="G17" s="87">
        <v>37</v>
      </c>
      <c r="H17" s="87">
        <v>54</v>
      </c>
      <c r="I17" s="87">
        <v>55</v>
      </c>
      <c r="J17" s="87">
        <v>61</v>
      </c>
      <c r="K17" s="87">
        <v>74</v>
      </c>
      <c r="L17" s="87">
        <v>86</v>
      </c>
      <c r="M17" s="87">
        <v>97</v>
      </c>
      <c r="N17" s="87">
        <v>100</v>
      </c>
      <c r="O17" s="87">
        <v>102</v>
      </c>
    </row>
    <row r="18" spans="1:15" x14ac:dyDescent="0.25">
      <c r="A18" s="87" t="s">
        <v>125</v>
      </c>
      <c r="B18" s="87">
        <v>4</v>
      </c>
      <c r="C18" s="87">
        <v>12</v>
      </c>
      <c r="D18" s="87">
        <v>18</v>
      </c>
      <c r="E18" s="87">
        <v>22</v>
      </c>
      <c r="F18" s="87">
        <v>36</v>
      </c>
      <c r="G18" s="87">
        <v>49</v>
      </c>
      <c r="H18" s="87">
        <v>49</v>
      </c>
      <c r="I18" s="87">
        <v>56</v>
      </c>
      <c r="J18" s="87">
        <v>69</v>
      </c>
      <c r="K18" s="87">
        <v>77</v>
      </c>
      <c r="L18" s="87">
        <v>89</v>
      </c>
      <c r="M18" s="87">
        <v>102</v>
      </c>
      <c r="N18" s="87">
        <v>102</v>
      </c>
      <c r="O18" s="87">
        <v>102</v>
      </c>
    </row>
    <row r="19" spans="1:15" x14ac:dyDescent="0.25">
      <c r="A19" s="87" t="s">
        <v>124</v>
      </c>
      <c r="B19" s="87">
        <v>8</v>
      </c>
      <c r="C19" s="87">
        <v>9</v>
      </c>
      <c r="D19" s="87">
        <v>20</v>
      </c>
      <c r="E19" s="87">
        <v>28</v>
      </c>
      <c r="F19" s="87">
        <v>40</v>
      </c>
      <c r="G19" s="87">
        <v>39</v>
      </c>
      <c r="H19" s="87">
        <v>50</v>
      </c>
      <c r="I19" s="87">
        <v>53</v>
      </c>
      <c r="J19" s="87">
        <v>63</v>
      </c>
      <c r="K19" s="87">
        <v>66</v>
      </c>
      <c r="L19" s="87">
        <v>85</v>
      </c>
      <c r="M19" s="87">
        <v>99</v>
      </c>
      <c r="N19" s="87">
        <v>98</v>
      </c>
      <c r="O19" s="87">
        <v>102</v>
      </c>
    </row>
    <row r="20" spans="1:15" x14ac:dyDescent="0.25">
      <c r="A20" s="87" t="s">
        <v>123</v>
      </c>
      <c r="B20" s="87">
        <v>5</v>
      </c>
      <c r="C20" s="87">
        <v>11</v>
      </c>
      <c r="D20" s="87">
        <v>15</v>
      </c>
      <c r="E20" s="87">
        <v>23</v>
      </c>
      <c r="F20" s="87">
        <v>33</v>
      </c>
      <c r="G20" s="87">
        <v>45</v>
      </c>
      <c r="H20" s="87">
        <v>53</v>
      </c>
      <c r="I20" s="87">
        <v>58</v>
      </c>
      <c r="J20" s="87">
        <v>53</v>
      </c>
      <c r="K20" s="87">
        <v>76</v>
      </c>
      <c r="L20" s="87">
        <v>88</v>
      </c>
      <c r="M20" s="87">
        <v>102</v>
      </c>
      <c r="N20" s="87">
        <v>102</v>
      </c>
      <c r="O20" s="87">
        <v>102</v>
      </c>
    </row>
    <row r="21" spans="1:15" x14ac:dyDescent="0.25">
      <c r="A21" s="87" t="s">
        <v>122</v>
      </c>
      <c r="B21" s="87">
        <v>5</v>
      </c>
      <c r="C21" s="87">
        <v>11</v>
      </c>
      <c r="D21" s="87">
        <v>18</v>
      </c>
      <c r="E21" s="87">
        <v>28</v>
      </c>
      <c r="F21" s="87">
        <v>34</v>
      </c>
      <c r="G21" s="87">
        <v>50</v>
      </c>
      <c r="H21" s="87">
        <v>61</v>
      </c>
      <c r="I21" s="87">
        <v>69</v>
      </c>
      <c r="J21" s="87">
        <v>62</v>
      </c>
      <c r="K21" s="87">
        <v>78</v>
      </c>
      <c r="L21" s="87">
        <v>96</v>
      </c>
      <c r="M21" s="87">
        <v>102</v>
      </c>
      <c r="N21" s="87">
        <v>102</v>
      </c>
      <c r="O21" s="87">
        <v>102</v>
      </c>
    </row>
    <row r="22" spans="1:15" x14ac:dyDescent="0.25">
      <c r="A22" s="87" t="s">
        <v>121</v>
      </c>
      <c r="B22" s="87">
        <v>5</v>
      </c>
      <c r="C22" s="87">
        <v>14</v>
      </c>
      <c r="D22" s="87">
        <v>15</v>
      </c>
      <c r="E22" s="87">
        <v>24</v>
      </c>
      <c r="F22" s="87">
        <v>33</v>
      </c>
      <c r="G22" s="87">
        <v>45</v>
      </c>
      <c r="H22" s="87">
        <v>55</v>
      </c>
      <c r="I22" s="87">
        <v>60</v>
      </c>
      <c r="J22" s="87">
        <v>68</v>
      </c>
      <c r="K22" s="87">
        <v>80</v>
      </c>
      <c r="L22" s="87">
        <v>101</v>
      </c>
      <c r="M22" s="87">
        <v>102</v>
      </c>
      <c r="N22" s="87">
        <v>102</v>
      </c>
      <c r="O22" s="87">
        <v>102</v>
      </c>
    </row>
    <row r="23" spans="1:15" x14ac:dyDescent="0.25">
      <c r="A23" s="87" t="s">
        <v>120</v>
      </c>
      <c r="B23" s="87">
        <v>7</v>
      </c>
      <c r="C23" s="87">
        <v>12</v>
      </c>
      <c r="D23" s="87">
        <v>17</v>
      </c>
      <c r="E23" s="87">
        <v>25</v>
      </c>
      <c r="F23" s="87">
        <v>37</v>
      </c>
      <c r="G23" s="87">
        <v>50</v>
      </c>
      <c r="H23" s="87">
        <v>63</v>
      </c>
      <c r="I23" s="87">
        <v>72</v>
      </c>
      <c r="J23" s="89"/>
      <c r="K23" s="87">
        <v>87</v>
      </c>
      <c r="L23" s="87">
        <v>102</v>
      </c>
      <c r="M23" s="87">
        <v>102</v>
      </c>
      <c r="N23" s="87">
        <v>102</v>
      </c>
      <c r="O23" s="87">
        <v>102</v>
      </c>
    </row>
    <row r="24" spans="1:15" x14ac:dyDescent="0.25">
      <c r="A24" s="87" t="s">
        <v>119</v>
      </c>
      <c r="B24" s="87">
        <v>7</v>
      </c>
      <c r="C24" s="87">
        <v>12</v>
      </c>
      <c r="D24" s="87">
        <v>18</v>
      </c>
      <c r="E24" s="87">
        <v>27</v>
      </c>
      <c r="F24" s="87">
        <v>35</v>
      </c>
      <c r="G24" s="87">
        <v>43</v>
      </c>
      <c r="H24" s="87">
        <v>51</v>
      </c>
      <c r="I24" s="87">
        <v>75</v>
      </c>
      <c r="J24" s="89"/>
      <c r="K24" s="87">
        <v>90</v>
      </c>
      <c r="L24" s="87">
        <v>102</v>
      </c>
      <c r="M24" s="87">
        <v>102</v>
      </c>
      <c r="N24" s="87">
        <v>102</v>
      </c>
      <c r="O24" s="87">
        <v>102</v>
      </c>
    </row>
    <row r="25" spans="1:15" x14ac:dyDescent="0.25">
      <c r="A25" s="87" t="s">
        <v>118</v>
      </c>
      <c r="B25" s="87">
        <v>7</v>
      </c>
      <c r="C25" s="87">
        <v>10</v>
      </c>
      <c r="D25" s="87">
        <v>18</v>
      </c>
      <c r="E25" s="87">
        <v>26</v>
      </c>
      <c r="F25" s="87">
        <v>33</v>
      </c>
      <c r="G25" s="87">
        <v>53</v>
      </c>
      <c r="H25" s="87">
        <v>58</v>
      </c>
      <c r="I25" s="87">
        <v>65</v>
      </c>
      <c r="J25" s="89"/>
      <c r="K25" s="87">
        <v>89</v>
      </c>
      <c r="L25" s="87">
        <v>102</v>
      </c>
      <c r="M25" s="87">
        <v>102</v>
      </c>
      <c r="N25" s="87">
        <v>102</v>
      </c>
      <c r="O25" s="87">
        <v>102</v>
      </c>
    </row>
    <row r="26" spans="1:15" x14ac:dyDescent="0.25">
      <c r="A26" s="87" t="s">
        <v>117</v>
      </c>
      <c r="B26" s="87">
        <v>6</v>
      </c>
      <c r="C26" s="87">
        <v>11</v>
      </c>
      <c r="D26" s="87">
        <v>17</v>
      </c>
      <c r="E26" s="87">
        <v>25</v>
      </c>
      <c r="F26" s="87">
        <v>34</v>
      </c>
      <c r="G26" s="87">
        <v>38</v>
      </c>
      <c r="H26" s="87">
        <v>47</v>
      </c>
      <c r="I26" s="87">
        <v>43</v>
      </c>
      <c r="J26" s="87">
        <v>52</v>
      </c>
      <c r="K26" s="87">
        <v>66</v>
      </c>
      <c r="L26" s="87">
        <v>84</v>
      </c>
      <c r="M26" s="87">
        <v>87</v>
      </c>
      <c r="N26" s="87">
        <v>84</v>
      </c>
      <c r="O26" s="87">
        <v>92</v>
      </c>
    </row>
    <row r="27" spans="1:15" x14ac:dyDescent="0.25">
      <c r="A27" s="87" t="s">
        <v>116</v>
      </c>
      <c r="B27" s="87">
        <v>7</v>
      </c>
      <c r="C27" s="87">
        <v>12</v>
      </c>
      <c r="D27" s="87">
        <v>18</v>
      </c>
      <c r="E27" s="87">
        <v>29</v>
      </c>
      <c r="F27" s="87">
        <v>36</v>
      </c>
      <c r="G27" s="87">
        <v>39</v>
      </c>
      <c r="H27" s="87">
        <v>47</v>
      </c>
      <c r="I27" s="87">
        <v>60</v>
      </c>
      <c r="J27" s="87">
        <v>59</v>
      </c>
      <c r="K27" s="87">
        <v>65</v>
      </c>
      <c r="L27" s="87">
        <v>80</v>
      </c>
      <c r="M27" s="87">
        <v>89</v>
      </c>
      <c r="N27" s="87">
        <v>92</v>
      </c>
      <c r="O27" s="87">
        <v>102</v>
      </c>
    </row>
    <row r="28" spans="1:15" x14ac:dyDescent="0.25">
      <c r="A28" s="87" t="s">
        <v>115</v>
      </c>
      <c r="B28" s="87">
        <v>6</v>
      </c>
      <c r="C28" s="87">
        <v>11</v>
      </c>
      <c r="D28" s="87">
        <v>21</v>
      </c>
      <c r="E28" s="87">
        <v>24</v>
      </c>
      <c r="F28" s="87">
        <v>37</v>
      </c>
      <c r="G28" s="87">
        <v>39</v>
      </c>
      <c r="H28" s="87">
        <v>53</v>
      </c>
      <c r="I28" s="87">
        <v>62</v>
      </c>
      <c r="J28" s="87">
        <v>48</v>
      </c>
      <c r="K28" s="87">
        <v>64</v>
      </c>
      <c r="L28" s="87">
        <v>76</v>
      </c>
      <c r="M28" s="87">
        <v>92</v>
      </c>
      <c r="N28" s="87">
        <v>97</v>
      </c>
      <c r="O28" s="87">
        <v>99</v>
      </c>
    </row>
    <row r="29" spans="1:15" x14ac:dyDescent="0.25">
      <c r="A29" s="87" t="s">
        <v>114</v>
      </c>
      <c r="B29" s="87">
        <v>8</v>
      </c>
      <c r="C29" s="87">
        <v>11</v>
      </c>
      <c r="D29" s="87">
        <v>23</v>
      </c>
      <c r="E29" s="87">
        <v>28</v>
      </c>
      <c r="F29" s="87">
        <v>34</v>
      </c>
      <c r="G29" s="87">
        <v>46</v>
      </c>
      <c r="H29" s="87">
        <v>51</v>
      </c>
      <c r="I29" s="87">
        <v>63</v>
      </c>
      <c r="J29" s="89"/>
      <c r="K29" s="87">
        <v>91</v>
      </c>
      <c r="L29" s="87">
        <v>102</v>
      </c>
      <c r="M29" s="87">
        <v>102</v>
      </c>
      <c r="N29" s="87">
        <v>102</v>
      </c>
      <c r="O29" s="87">
        <v>102</v>
      </c>
    </row>
    <row r="30" spans="1:15" x14ac:dyDescent="0.25">
      <c r="A30" s="87" t="s">
        <v>113</v>
      </c>
      <c r="B30" s="87">
        <v>4</v>
      </c>
      <c r="C30" s="87">
        <v>10</v>
      </c>
      <c r="D30" s="87">
        <v>16</v>
      </c>
      <c r="E30" s="87">
        <v>18</v>
      </c>
      <c r="F30" s="87">
        <v>34</v>
      </c>
      <c r="G30" s="87">
        <v>41</v>
      </c>
      <c r="H30" s="87">
        <v>53</v>
      </c>
      <c r="I30" s="87">
        <v>68</v>
      </c>
      <c r="J30" s="89"/>
      <c r="K30" s="87">
        <v>86</v>
      </c>
      <c r="L30" s="87">
        <v>102</v>
      </c>
      <c r="M30" s="87">
        <v>102</v>
      </c>
      <c r="N30" s="87">
        <v>102</v>
      </c>
      <c r="O30" s="87">
        <v>102</v>
      </c>
    </row>
    <row r="31" spans="1:15" x14ac:dyDescent="0.25">
      <c r="A31" s="87" t="s">
        <v>112</v>
      </c>
      <c r="B31" s="87">
        <v>5</v>
      </c>
      <c r="C31" s="87">
        <v>10</v>
      </c>
      <c r="D31" s="87">
        <v>20</v>
      </c>
      <c r="E31" s="87">
        <v>27</v>
      </c>
      <c r="F31" s="87">
        <v>31</v>
      </c>
      <c r="G31" s="87">
        <v>53</v>
      </c>
      <c r="H31" s="87">
        <v>63</v>
      </c>
      <c r="I31" s="87">
        <v>70</v>
      </c>
      <c r="J31" s="89"/>
      <c r="K31" s="87">
        <v>99</v>
      </c>
      <c r="L31" s="87">
        <v>102</v>
      </c>
      <c r="M31" s="87">
        <v>102</v>
      </c>
      <c r="N31" s="87">
        <v>102</v>
      </c>
      <c r="O31" s="87">
        <v>102</v>
      </c>
    </row>
    <row r="32" spans="1:15" x14ac:dyDescent="0.25">
      <c r="A32" s="87" t="s">
        <v>111</v>
      </c>
      <c r="B32" s="87">
        <v>6</v>
      </c>
      <c r="C32" s="87">
        <v>13</v>
      </c>
      <c r="D32" s="87">
        <v>19</v>
      </c>
      <c r="E32" s="87">
        <v>28</v>
      </c>
      <c r="F32" s="87">
        <v>38</v>
      </c>
      <c r="G32" s="87">
        <v>46</v>
      </c>
      <c r="H32" s="87">
        <v>49</v>
      </c>
      <c r="I32" s="87">
        <v>53</v>
      </c>
      <c r="J32" s="87">
        <v>68</v>
      </c>
      <c r="K32" s="87">
        <v>76</v>
      </c>
      <c r="L32" s="87">
        <v>81</v>
      </c>
      <c r="M32" s="87">
        <v>98</v>
      </c>
      <c r="N32" s="87">
        <v>102</v>
      </c>
      <c r="O32" s="87">
        <v>102</v>
      </c>
    </row>
    <row r="33" spans="1:15" x14ac:dyDescent="0.25">
      <c r="A33" s="87" t="s">
        <v>110</v>
      </c>
      <c r="B33" s="87">
        <v>6</v>
      </c>
      <c r="C33" s="87">
        <v>14</v>
      </c>
      <c r="D33" s="87">
        <v>17</v>
      </c>
      <c r="E33" s="87">
        <v>27</v>
      </c>
      <c r="F33" s="87">
        <v>37</v>
      </c>
      <c r="G33" s="87">
        <v>48</v>
      </c>
      <c r="H33" s="87">
        <v>55</v>
      </c>
      <c r="I33" s="87">
        <v>63</v>
      </c>
      <c r="J33" s="87">
        <v>75</v>
      </c>
      <c r="K33" s="87">
        <v>82</v>
      </c>
      <c r="L33" s="87">
        <v>98</v>
      </c>
      <c r="M33" s="87">
        <v>102</v>
      </c>
      <c r="N33" s="87">
        <v>102</v>
      </c>
      <c r="O33" s="87">
        <v>102</v>
      </c>
    </row>
    <row r="34" spans="1:15" x14ac:dyDescent="0.25">
      <c r="A34" s="87" t="s">
        <v>109</v>
      </c>
      <c r="B34" s="87">
        <v>5</v>
      </c>
      <c r="C34" s="87">
        <v>12</v>
      </c>
      <c r="D34" s="87">
        <v>15</v>
      </c>
      <c r="E34" s="87">
        <v>25</v>
      </c>
      <c r="F34" s="87">
        <v>33</v>
      </c>
      <c r="G34" s="87">
        <v>46</v>
      </c>
      <c r="H34" s="87">
        <v>45</v>
      </c>
      <c r="I34" s="87">
        <v>55</v>
      </c>
      <c r="J34" s="87">
        <v>66</v>
      </c>
      <c r="K34" s="87">
        <v>73</v>
      </c>
      <c r="L34" s="87">
        <v>94</v>
      </c>
      <c r="M34" s="87">
        <v>94</v>
      </c>
      <c r="N34" s="87">
        <v>102</v>
      </c>
      <c r="O34" s="87">
        <v>102</v>
      </c>
    </row>
    <row r="35" spans="1:15" x14ac:dyDescent="0.25">
      <c r="A35" s="87" t="s">
        <v>108</v>
      </c>
      <c r="B35" s="87">
        <v>7</v>
      </c>
      <c r="C35" s="87">
        <v>13</v>
      </c>
      <c r="D35" s="87">
        <v>21</v>
      </c>
      <c r="E35" s="87">
        <v>29</v>
      </c>
      <c r="F35" s="87">
        <v>37</v>
      </c>
      <c r="G35" s="87">
        <v>48</v>
      </c>
      <c r="H35" s="87">
        <v>74</v>
      </c>
      <c r="I35" s="87">
        <v>70</v>
      </c>
      <c r="J35" s="87">
        <v>87</v>
      </c>
      <c r="K35" s="87">
        <v>95</v>
      </c>
      <c r="L35" s="87">
        <v>102</v>
      </c>
      <c r="M35" s="87">
        <v>102</v>
      </c>
      <c r="N35" s="87">
        <v>102</v>
      </c>
      <c r="O35" s="87">
        <v>102</v>
      </c>
    </row>
    <row r="36" spans="1:15" x14ac:dyDescent="0.25">
      <c r="A36" s="87" t="s">
        <v>107</v>
      </c>
      <c r="B36" s="87">
        <v>7</v>
      </c>
      <c r="C36" s="87">
        <v>11</v>
      </c>
      <c r="D36" s="87">
        <v>19</v>
      </c>
      <c r="E36" s="87">
        <v>24</v>
      </c>
      <c r="F36" s="87">
        <v>32</v>
      </c>
      <c r="G36" s="87">
        <v>50</v>
      </c>
      <c r="H36" s="87">
        <v>60</v>
      </c>
      <c r="I36" s="87">
        <v>71</v>
      </c>
      <c r="J36" s="87">
        <v>71</v>
      </c>
      <c r="K36" s="87">
        <v>81</v>
      </c>
      <c r="L36" s="87">
        <v>102</v>
      </c>
      <c r="M36" s="87">
        <v>102</v>
      </c>
      <c r="N36" s="87">
        <v>102</v>
      </c>
      <c r="O36" s="87">
        <v>102</v>
      </c>
    </row>
    <row r="37" spans="1:15" x14ac:dyDescent="0.25">
      <c r="A37" s="87" t="s">
        <v>106</v>
      </c>
      <c r="B37" s="87">
        <v>5</v>
      </c>
      <c r="C37" s="87">
        <v>12</v>
      </c>
      <c r="D37" s="87">
        <v>16</v>
      </c>
      <c r="E37" s="87">
        <v>22</v>
      </c>
      <c r="F37" s="87">
        <v>34</v>
      </c>
      <c r="G37" s="87">
        <v>47</v>
      </c>
      <c r="H37" s="87">
        <v>56</v>
      </c>
      <c r="I37" s="87">
        <v>63</v>
      </c>
      <c r="J37" s="87">
        <v>62</v>
      </c>
      <c r="K37" s="87">
        <v>73</v>
      </c>
      <c r="L37" s="87">
        <v>102</v>
      </c>
      <c r="M37" s="87">
        <v>102</v>
      </c>
      <c r="N37" s="87">
        <v>102</v>
      </c>
      <c r="O37" s="87">
        <v>102</v>
      </c>
    </row>
    <row r="38" spans="1:15" x14ac:dyDescent="0.25">
      <c r="A38" s="87" t="s">
        <v>105</v>
      </c>
      <c r="B38" s="87">
        <v>5</v>
      </c>
      <c r="C38" s="87">
        <v>10</v>
      </c>
      <c r="D38" s="87">
        <v>18</v>
      </c>
      <c r="E38" s="87">
        <v>25</v>
      </c>
      <c r="F38" s="87">
        <v>31</v>
      </c>
      <c r="G38" s="87">
        <v>30</v>
      </c>
      <c r="H38" s="87">
        <v>48</v>
      </c>
      <c r="I38" s="87">
        <v>51</v>
      </c>
      <c r="J38" s="87">
        <v>56</v>
      </c>
      <c r="K38" s="87">
        <v>68</v>
      </c>
      <c r="L38" s="87">
        <v>93</v>
      </c>
      <c r="M38" s="87">
        <v>97</v>
      </c>
      <c r="N38" s="87">
        <v>102</v>
      </c>
      <c r="O38" s="87">
        <v>102</v>
      </c>
    </row>
    <row r="39" spans="1:15" x14ac:dyDescent="0.25">
      <c r="A39" s="87" t="s">
        <v>104</v>
      </c>
      <c r="B39" s="87">
        <v>6</v>
      </c>
      <c r="C39" s="87">
        <v>10</v>
      </c>
      <c r="D39" s="87">
        <v>16</v>
      </c>
      <c r="E39" s="87">
        <v>25</v>
      </c>
      <c r="F39" s="87">
        <v>31</v>
      </c>
      <c r="G39" s="87">
        <v>36</v>
      </c>
      <c r="H39" s="87">
        <v>49</v>
      </c>
      <c r="I39" s="87">
        <v>59</v>
      </c>
      <c r="J39" s="87">
        <v>56</v>
      </c>
      <c r="K39" s="87">
        <v>72</v>
      </c>
      <c r="L39" s="87">
        <v>89</v>
      </c>
      <c r="M39" s="87">
        <v>99</v>
      </c>
      <c r="N39" s="87">
        <v>96</v>
      </c>
      <c r="O39" s="87">
        <v>102</v>
      </c>
    </row>
    <row r="40" spans="1:15" x14ac:dyDescent="0.25">
      <c r="A40" s="87" t="s">
        <v>103</v>
      </c>
      <c r="B40" s="87">
        <v>5</v>
      </c>
      <c r="C40" s="87">
        <v>11</v>
      </c>
      <c r="D40" s="87">
        <v>17</v>
      </c>
      <c r="E40" s="87">
        <v>23</v>
      </c>
      <c r="F40" s="87">
        <v>33</v>
      </c>
      <c r="G40" s="87">
        <v>35</v>
      </c>
      <c r="H40" s="87">
        <v>46</v>
      </c>
      <c r="I40" s="87">
        <v>43</v>
      </c>
      <c r="J40" s="87">
        <v>56</v>
      </c>
      <c r="K40" s="87">
        <v>47</v>
      </c>
      <c r="L40" s="87">
        <v>76</v>
      </c>
      <c r="M40" s="87">
        <v>81</v>
      </c>
      <c r="N40" s="87">
        <v>95</v>
      </c>
      <c r="O40" s="87">
        <v>102</v>
      </c>
    </row>
    <row r="41" spans="1:15" x14ac:dyDescent="0.25">
      <c r="A41" s="87" t="s">
        <v>102</v>
      </c>
      <c r="B41" s="87">
        <v>6</v>
      </c>
      <c r="C41" s="87">
        <v>8</v>
      </c>
      <c r="D41" s="87">
        <v>21</v>
      </c>
      <c r="E41" s="87">
        <v>27</v>
      </c>
      <c r="F41" s="87">
        <v>34</v>
      </c>
      <c r="G41" s="87">
        <v>45</v>
      </c>
      <c r="H41" s="87">
        <v>54</v>
      </c>
      <c r="I41" s="87">
        <v>65</v>
      </c>
      <c r="J41" s="87">
        <v>69</v>
      </c>
      <c r="K41" s="87">
        <v>81</v>
      </c>
      <c r="L41" s="87">
        <v>102</v>
      </c>
      <c r="M41" s="87">
        <v>102</v>
      </c>
      <c r="N41" s="87">
        <v>102</v>
      </c>
      <c r="O41" s="87">
        <v>102</v>
      </c>
    </row>
    <row r="42" spans="1:15" x14ac:dyDescent="0.25">
      <c r="A42" s="87" t="s">
        <v>101</v>
      </c>
      <c r="B42" s="87">
        <v>6</v>
      </c>
      <c r="C42" s="87">
        <v>9</v>
      </c>
      <c r="D42" s="87">
        <v>19</v>
      </c>
      <c r="E42" s="87">
        <v>26</v>
      </c>
      <c r="F42" s="87">
        <v>36</v>
      </c>
      <c r="G42" s="87">
        <v>42</v>
      </c>
      <c r="H42" s="87">
        <v>60</v>
      </c>
      <c r="I42" s="87">
        <v>66</v>
      </c>
      <c r="J42" s="87">
        <v>76</v>
      </c>
      <c r="K42" s="87">
        <v>84</v>
      </c>
      <c r="L42" s="87">
        <v>102</v>
      </c>
      <c r="M42" s="87">
        <v>102</v>
      </c>
      <c r="N42" s="87">
        <v>102</v>
      </c>
      <c r="O42" s="87">
        <v>102</v>
      </c>
    </row>
    <row r="43" spans="1:15" x14ac:dyDescent="0.25">
      <c r="A43" s="87" t="s">
        <v>100</v>
      </c>
      <c r="B43" s="87">
        <v>5</v>
      </c>
      <c r="C43" s="87">
        <v>12</v>
      </c>
      <c r="D43" s="87">
        <v>18</v>
      </c>
      <c r="E43" s="87">
        <v>27</v>
      </c>
      <c r="F43" s="87">
        <v>38</v>
      </c>
      <c r="G43" s="87">
        <v>40</v>
      </c>
      <c r="H43" s="87">
        <v>52</v>
      </c>
      <c r="I43" s="87">
        <v>48</v>
      </c>
      <c r="J43" s="87">
        <v>65</v>
      </c>
      <c r="K43" s="87">
        <v>81</v>
      </c>
      <c r="L43" s="87">
        <v>102</v>
      </c>
      <c r="M43" s="87">
        <v>102</v>
      </c>
      <c r="N43" s="87">
        <v>102</v>
      </c>
      <c r="O43" s="87">
        <v>102</v>
      </c>
    </row>
    <row r="44" spans="1:15" x14ac:dyDescent="0.25">
      <c r="A44" s="87" t="s">
        <v>99</v>
      </c>
      <c r="B44" s="87">
        <v>7</v>
      </c>
      <c r="C44" s="87">
        <v>11</v>
      </c>
      <c r="D44" s="87">
        <v>18</v>
      </c>
      <c r="E44" s="87">
        <v>23</v>
      </c>
      <c r="F44" s="87">
        <v>36</v>
      </c>
      <c r="G44" s="87">
        <v>39</v>
      </c>
      <c r="H44" s="87">
        <v>46</v>
      </c>
      <c r="I44" s="87">
        <v>59</v>
      </c>
      <c r="J44" s="87">
        <v>64</v>
      </c>
      <c r="K44" s="87">
        <v>78</v>
      </c>
      <c r="L44" s="87">
        <v>90</v>
      </c>
      <c r="M44" s="87">
        <v>93</v>
      </c>
      <c r="N44" s="89"/>
      <c r="O44" s="87">
        <v>102</v>
      </c>
    </row>
    <row r="45" spans="1:15" x14ac:dyDescent="0.25">
      <c r="A45" s="87" t="s">
        <v>98</v>
      </c>
      <c r="B45" s="87">
        <v>5</v>
      </c>
      <c r="C45" s="87">
        <v>9</v>
      </c>
      <c r="D45" s="87">
        <v>19</v>
      </c>
      <c r="E45" s="87">
        <v>26</v>
      </c>
      <c r="F45" s="87">
        <v>33</v>
      </c>
      <c r="G45" s="87">
        <v>35</v>
      </c>
      <c r="H45" s="87">
        <v>46</v>
      </c>
      <c r="I45" s="87">
        <v>59</v>
      </c>
      <c r="J45" s="87">
        <v>66</v>
      </c>
      <c r="K45" s="87">
        <v>75</v>
      </c>
      <c r="L45" s="87">
        <v>86</v>
      </c>
      <c r="M45" s="87">
        <v>95</v>
      </c>
      <c r="N45" s="89"/>
      <c r="O45" s="87">
        <v>102</v>
      </c>
    </row>
    <row r="46" spans="1:15" x14ac:dyDescent="0.25">
      <c r="A46" s="87" t="s">
        <v>97</v>
      </c>
      <c r="B46" s="87">
        <v>8</v>
      </c>
      <c r="C46" s="87">
        <v>12</v>
      </c>
      <c r="D46" s="87">
        <v>22</v>
      </c>
      <c r="E46" s="87">
        <v>27</v>
      </c>
      <c r="F46" s="87">
        <v>34</v>
      </c>
      <c r="G46" s="87">
        <v>43</v>
      </c>
      <c r="H46" s="87">
        <v>51</v>
      </c>
      <c r="I46" s="87">
        <v>60</v>
      </c>
      <c r="J46" s="87">
        <v>78</v>
      </c>
      <c r="K46" s="87">
        <v>87</v>
      </c>
      <c r="L46" s="87">
        <v>97</v>
      </c>
      <c r="M46" s="87">
        <v>97</v>
      </c>
      <c r="N46" s="89"/>
      <c r="O46" s="87">
        <v>102</v>
      </c>
    </row>
    <row r="47" spans="1:15" x14ac:dyDescent="0.25">
      <c r="A47" s="87" t="s">
        <v>96</v>
      </c>
      <c r="B47" s="87">
        <v>5</v>
      </c>
      <c r="C47" s="87">
        <v>10</v>
      </c>
      <c r="D47" s="87">
        <v>23</v>
      </c>
      <c r="E47" s="87">
        <v>30</v>
      </c>
      <c r="F47" s="87">
        <v>39</v>
      </c>
      <c r="G47" s="87">
        <v>46</v>
      </c>
      <c r="H47" s="87">
        <v>60</v>
      </c>
      <c r="I47" s="87">
        <v>69</v>
      </c>
      <c r="J47" s="89"/>
      <c r="K47" s="87">
        <v>79</v>
      </c>
      <c r="L47" s="87">
        <v>93</v>
      </c>
      <c r="M47" s="87">
        <v>92</v>
      </c>
      <c r="N47" s="89"/>
      <c r="O47" s="87">
        <v>102</v>
      </c>
    </row>
    <row r="48" spans="1:15" x14ac:dyDescent="0.25">
      <c r="A48" s="87" t="s">
        <v>95</v>
      </c>
      <c r="B48" s="87">
        <v>6</v>
      </c>
      <c r="C48" s="87">
        <v>12</v>
      </c>
      <c r="D48" s="87">
        <v>16</v>
      </c>
      <c r="E48" s="87">
        <v>24</v>
      </c>
      <c r="F48" s="87">
        <v>35</v>
      </c>
      <c r="G48" s="87">
        <v>44</v>
      </c>
      <c r="H48" s="87">
        <v>53</v>
      </c>
      <c r="I48" s="87">
        <v>66</v>
      </c>
      <c r="J48" s="89"/>
      <c r="K48" s="87">
        <v>72</v>
      </c>
      <c r="L48" s="87">
        <v>82</v>
      </c>
      <c r="M48" s="87">
        <v>90</v>
      </c>
      <c r="N48" s="89"/>
      <c r="O48" s="87">
        <v>102</v>
      </c>
    </row>
    <row r="49" spans="1:15" x14ac:dyDescent="0.25">
      <c r="A49" s="87" t="s">
        <v>94</v>
      </c>
      <c r="B49" s="87">
        <v>7</v>
      </c>
      <c r="C49" s="87">
        <v>12</v>
      </c>
      <c r="D49" s="87">
        <v>19</v>
      </c>
      <c r="E49" s="87">
        <v>28</v>
      </c>
      <c r="F49" s="87">
        <v>38</v>
      </c>
      <c r="G49" s="87">
        <v>38</v>
      </c>
      <c r="H49" s="87">
        <v>51</v>
      </c>
      <c r="I49" s="87">
        <v>66</v>
      </c>
      <c r="J49" s="89"/>
      <c r="K49" s="87">
        <v>77</v>
      </c>
      <c r="L49" s="87">
        <v>93</v>
      </c>
      <c r="M49" s="87">
        <v>102</v>
      </c>
      <c r="N49" s="89"/>
      <c r="O49" s="87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U41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40673</v>
      </c>
      <c r="O2" s="29"/>
    </row>
    <row r="3" spans="1:73" ht="20.25" customHeight="1" thickBot="1" x14ac:dyDescent="0.25">
      <c r="A3" t="s">
        <v>1</v>
      </c>
      <c r="C3" s="46" t="s">
        <v>34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130</v>
      </c>
      <c r="O3" s="30"/>
    </row>
    <row r="4" spans="1:73" ht="20.25" customHeight="1" thickBot="1" x14ac:dyDescent="0.25">
      <c r="B4" s="47" t="s">
        <v>35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.75" thickBot="1" x14ac:dyDescent="0.25">
      <c r="B5" s="48" t="s"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AE5" s="5"/>
      <c r="AF5" s="90"/>
      <c r="AG5" s="90"/>
      <c r="AH5" s="90"/>
    </row>
    <row r="6" spans="1:73" ht="18" x14ac:dyDescent="0.25">
      <c r="L6" s="91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45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1015</v>
      </c>
      <c r="K10" s="22" t="s">
        <v>12</v>
      </c>
      <c r="L10" s="35">
        <v>7</v>
      </c>
      <c r="M10" s="35">
        <v>6</v>
      </c>
      <c r="N10" s="44">
        <v>8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8</v>
      </c>
      <c r="M11" s="36">
        <v>8</v>
      </c>
      <c r="N11" s="36">
        <v>8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6</v>
      </c>
      <c r="M12" s="35">
        <v>7</v>
      </c>
      <c r="N12" s="35">
        <v>6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7</v>
      </c>
      <c r="M13" s="36">
        <v>8</v>
      </c>
      <c r="N13" s="36">
        <v>7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7</v>
      </c>
      <c r="M14" s="35">
        <v>7</v>
      </c>
      <c r="N14" s="35">
        <v>6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8</v>
      </c>
      <c r="M15" s="36">
        <v>7</v>
      </c>
      <c r="N15" s="36">
        <v>7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7</v>
      </c>
      <c r="M16" s="35">
        <v>7</v>
      </c>
      <c r="N16" s="44">
        <v>6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9</v>
      </c>
      <c r="M17" s="36">
        <v>8</v>
      </c>
      <c r="N17" s="36">
        <v>8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>
        <v>1034</v>
      </c>
      <c r="K18" s="22" t="s">
        <v>12</v>
      </c>
      <c r="L18" s="44">
        <v>8</v>
      </c>
      <c r="M18" s="35">
        <v>4</v>
      </c>
      <c r="N18" s="44">
        <v>6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8</v>
      </c>
      <c r="M19" s="36">
        <v>5</v>
      </c>
      <c r="N19" s="36">
        <v>7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7</v>
      </c>
      <c r="M20" s="35">
        <v>4</v>
      </c>
      <c r="N20" s="35">
        <v>8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9</v>
      </c>
      <c r="M21" s="36">
        <v>5</v>
      </c>
      <c r="N21" s="36">
        <v>8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5</v>
      </c>
      <c r="M22" s="35">
        <v>5</v>
      </c>
      <c r="N22" s="35">
        <v>5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6</v>
      </c>
      <c r="M23" s="36">
        <v>7</v>
      </c>
      <c r="N23" s="36">
        <v>6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7</v>
      </c>
      <c r="M24" s="35">
        <v>7</v>
      </c>
      <c r="N24" s="35">
        <v>7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7</v>
      </c>
      <c r="M25" s="36">
        <v>8</v>
      </c>
      <c r="N25" s="36">
        <v>6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1050</v>
      </c>
      <c r="K26" s="22" t="s">
        <v>12</v>
      </c>
      <c r="L26" s="35">
        <v>6</v>
      </c>
      <c r="M26" s="35">
        <v>7</v>
      </c>
      <c r="N26" s="35">
        <v>6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8</v>
      </c>
      <c r="M27" s="36">
        <v>8</v>
      </c>
      <c r="N27" s="36">
        <v>7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8</v>
      </c>
      <c r="M28" s="35">
        <v>4</v>
      </c>
      <c r="N28" s="35">
        <v>5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8</v>
      </c>
      <c r="M29" s="36">
        <v>7</v>
      </c>
      <c r="N29" s="36">
        <v>6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5</v>
      </c>
      <c r="M30" s="35">
        <v>6</v>
      </c>
      <c r="N30" s="35">
        <v>6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6</v>
      </c>
      <c r="M31" s="36">
        <v>8</v>
      </c>
      <c r="N31" s="36">
        <v>7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7</v>
      </c>
      <c r="M32" s="35">
        <v>7</v>
      </c>
      <c r="N32" s="35">
        <v>5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6</v>
      </c>
      <c r="M33" s="36">
        <v>8</v>
      </c>
      <c r="N33" s="36">
        <v>7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5</v>
      </c>
      <c r="M34" s="35">
        <v>6</v>
      </c>
      <c r="N34" s="35">
        <v>5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7</v>
      </c>
      <c r="M35" s="36">
        <v>7</v>
      </c>
      <c r="N35" s="36">
        <v>6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6</v>
      </c>
      <c r="M36" s="35">
        <v>6</v>
      </c>
      <c r="N36" s="35">
        <v>5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6</v>
      </c>
      <c r="M37" s="36">
        <v>8</v>
      </c>
      <c r="N37" s="36">
        <v>6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8</v>
      </c>
      <c r="M38" s="35">
        <v>5</v>
      </c>
      <c r="N38" s="35">
        <v>7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8</v>
      </c>
      <c r="M39" s="36">
        <v>6</v>
      </c>
      <c r="N39" s="36">
        <v>8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>
        <v>1115</v>
      </c>
      <c r="K40" s="22" t="s">
        <v>12</v>
      </c>
      <c r="L40" s="44">
        <v>5</v>
      </c>
      <c r="M40" s="44">
        <v>6</v>
      </c>
      <c r="N40" s="35">
        <v>7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8</v>
      </c>
      <c r="M41" s="36">
        <v>8</v>
      </c>
      <c r="N41" s="36">
        <v>9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</sheetData>
  <mergeCells count="66">
    <mergeCell ref="B40:B41"/>
    <mergeCell ref="C40:C41"/>
    <mergeCell ref="J40:J41"/>
    <mergeCell ref="O40:O41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40682</v>
      </c>
      <c r="O2" s="29"/>
    </row>
    <row r="3" spans="1:73" ht="20.25" customHeight="1" thickBot="1" x14ac:dyDescent="0.25">
      <c r="A3" t="s">
        <v>1</v>
      </c>
      <c r="C3" s="38" t="s">
        <v>37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139</v>
      </c>
      <c r="O3" s="30"/>
    </row>
    <row r="4" spans="1:73" ht="20.25" customHeight="1" thickBot="1" x14ac:dyDescent="0.25">
      <c r="B4" s="3"/>
      <c r="C4" s="38" t="s">
        <v>38</v>
      </c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1315</v>
      </c>
      <c r="K10" s="22" t="s">
        <v>12</v>
      </c>
      <c r="L10" s="35">
        <v>16</v>
      </c>
      <c r="M10" s="35">
        <v>11</v>
      </c>
      <c r="N10" s="44">
        <v>12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15</v>
      </c>
      <c r="M11" s="36">
        <v>16</v>
      </c>
      <c r="N11" s="36">
        <v>16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13</v>
      </c>
      <c r="M12" s="35">
        <v>12</v>
      </c>
      <c r="N12" s="35">
        <v>12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15</v>
      </c>
      <c r="M13" s="36">
        <v>16</v>
      </c>
      <c r="N13" s="36">
        <v>17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13</v>
      </c>
      <c r="M14" s="35">
        <v>11</v>
      </c>
      <c r="N14" s="35">
        <v>12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14</v>
      </c>
      <c r="M15" s="36">
        <v>14</v>
      </c>
      <c r="N15" s="36">
        <v>15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13</v>
      </c>
      <c r="M16" s="35">
        <v>12</v>
      </c>
      <c r="N16" s="44">
        <v>14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16</v>
      </c>
      <c r="M17" s="36">
        <v>16</v>
      </c>
      <c r="N17" s="36">
        <v>17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11</v>
      </c>
      <c r="M18" s="35">
        <v>11</v>
      </c>
      <c r="N18" s="44">
        <v>13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14</v>
      </c>
      <c r="M19" s="36">
        <v>12</v>
      </c>
      <c r="N19" s="36">
        <v>14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14</v>
      </c>
      <c r="M20" s="35">
        <v>12</v>
      </c>
      <c r="N20" s="35">
        <v>9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15</v>
      </c>
      <c r="M21" s="36">
        <v>16</v>
      </c>
      <c r="N21" s="36">
        <v>17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14</v>
      </c>
      <c r="M22" s="35">
        <v>11</v>
      </c>
      <c r="N22" s="35">
        <v>11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14</v>
      </c>
      <c r="M23" s="36">
        <v>13</v>
      </c>
      <c r="N23" s="36">
        <v>12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12</v>
      </c>
      <c r="M24" s="35">
        <v>12</v>
      </c>
      <c r="N24" s="35">
        <v>10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14</v>
      </c>
      <c r="M25" s="36">
        <v>17</v>
      </c>
      <c r="N25" s="36">
        <v>14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1340</v>
      </c>
      <c r="K26" s="22" t="s">
        <v>12</v>
      </c>
      <c r="L26" s="35">
        <v>11</v>
      </c>
      <c r="M26" s="35">
        <v>12</v>
      </c>
      <c r="N26" s="35">
        <v>11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15</v>
      </c>
      <c r="M27" s="36">
        <v>14</v>
      </c>
      <c r="N27" s="36">
        <v>13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11</v>
      </c>
      <c r="M28" s="35">
        <v>10</v>
      </c>
      <c r="N28" s="35">
        <v>10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15</v>
      </c>
      <c r="M29" s="36">
        <v>14</v>
      </c>
      <c r="N29" s="36">
        <v>13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12</v>
      </c>
      <c r="M30" s="35">
        <v>14</v>
      </c>
      <c r="N30" s="35">
        <v>13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16</v>
      </c>
      <c r="M31" s="36">
        <v>17</v>
      </c>
      <c r="N31" s="36">
        <v>14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13</v>
      </c>
      <c r="M32" s="35">
        <v>11</v>
      </c>
      <c r="N32" s="35">
        <v>12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15</v>
      </c>
      <c r="M33" s="36">
        <v>14</v>
      </c>
      <c r="N33" s="36">
        <v>12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11</v>
      </c>
      <c r="M34" s="35">
        <v>10</v>
      </c>
      <c r="N34" s="35">
        <v>10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13</v>
      </c>
      <c r="M35" s="36">
        <v>16</v>
      </c>
      <c r="N35" s="36">
        <v>14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8</v>
      </c>
      <c r="M36" s="35">
        <v>9</v>
      </c>
      <c r="N36" s="35">
        <v>12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15</v>
      </c>
      <c r="M37" s="36">
        <v>12</v>
      </c>
      <c r="N37" s="36">
        <v>14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12</v>
      </c>
      <c r="M38" s="35">
        <v>9</v>
      </c>
      <c r="N38" s="35">
        <v>11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16</v>
      </c>
      <c r="M39" s="36">
        <v>10</v>
      </c>
      <c r="N39" s="36">
        <v>14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10</v>
      </c>
      <c r="M40" s="44">
        <v>12</v>
      </c>
      <c r="N40" s="35">
        <v>12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14</v>
      </c>
      <c r="M41" s="36">
        <v>14</v>
      </c>
      <c r="N41" s="36">
        <v>17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1400</v>
      </c>
      <c r="K42" s="22" t="s">
        <v>12</v>
      </c>
      <c r="L42" s="44">
        <v>9</v>
      </c>
      <c r="M42" s="44">
        <v>10</v>
      </c>
      <c r="N42" s="35">
        <v>12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12</v>
      </c>
      <c r="M43" s="36">
        <v>13</v>
      </c>
      <c r="N43" s="36">
        <v>14</v>
      </c>
      <c r="O43" s="106"/>
    </row>
  </sheetData>
  <mergeCells count="70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B42:B43"/>
    <mergeCell ref="C42:C43"/>
    <mergeCell ref="J42:J43"/>
    <mergeCell ref="O42:O43"/>
  </mergeCells>
  <pageMargins left="0.45" right="0" top="0.49" bottom="0" header="0.64" footer="0"/>
  <pageSetup paperSize="512" scale="74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40689</v>
      </c>
      <c r="O2" s="29"/>
    </row>
    <row r="3" spans="1:73" ht="20.25" customHeight="1" thickBot="1" x14ac:dyDescent="0.25">
      <c r="A3" t="s">
        <v>1</v>
      </c>
      <c r="C3" s="38" t="s">
        <v>39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146</v>
      </c>
      <c r="O3" s="30"/>
    </row>
    <row r="4" spans="1:73" ht="20.25" customHeight="1" thickBot="1" x14ac:dyDescent="0.25">
      <c r="B4" s="3"/>
      <c r="C4" s="38" t="s">
        <v>40</v>
      </c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1330</v>
      </c>
      <c r="K10" s="22" t="s">
        <v>12</v>
      </c>
      <c r="L10" s="35">
        <v>20</v>
      </c>
      <c r="M10" s="35">
        <v>19</v>
      </c>
      <c r="N10" s="44">
        <v>20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19</v>
      </c>
      <c r="M11" s="36">
        <v>21</v>
      </c>
      <c r="N11" s="36">
        <v>21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17</v>
      </c>
      <c r="M12" s="35">
        <v>20</v>
      </c>
      <c r="N12" s="35">
        <v>18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20</v>
      </c>
      <c r="M13" s="36">
        <v>26</v>
      </c>
      <c r="N13" s="36">
        <v>21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17</v>
      </c>
      <c r="M14" s="35">
        <v>16</v>
      </c>
      <c r="N14" s="35">
        <v>24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21</v>
      </c>
      <c r="M15" s="36">
        <v>20</v>
      </c>
      <c r="N15" s="36">
        <v>23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16</v>
      </c>
      <c r="M16" s="35">
        <v>20</v>
      </c>
      <c r="N16" s="44">
        <v>19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21</v>
      </c>
      <c r="M17" s="36">
        <v>24</v>
      </c>
      <c r="N17" s="36">
        <v>22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22</v>
      </c>
      <c r="M18" s="35">
        <v>15</v>
      </c>
      <c r="N18" s="44">
        <v>18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23</v>
      </c>
      <c r="M19" s="36">
        <v>19</v>
      </c>
      <c r="N19" s="36">
        <v>21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22</v>
      </c>
      <c r="M20" s="35">
        <v>18</v>
      </c>
      <c r="N20" s="35">
        <v>20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20</v>
      </c>
      <c r="M21" s="36">
        <v>22</v>
      </c>
      <c r="N21" s="36">
        <v>23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15</v>
      </c>
      <c r="M22" s="35">
        <v>18</v>
      </c>
      <c r="N22" s="35">
        <v>15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19</v>
      </c>
      <c r="M23" s="36">
        <v>20</v>
      </c>
      <c r="N23" s="36">
        <v>20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17</v>
      </c>
      <c r="M24" s="35">
        <v>18</v>
      </c>
      <c r="N24" s="35">
        <v>18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21</v>
      </c>
      <c r="M25" s="36">
        <v>22</v>
      </c>
      <c r="N25" s="36">
        <v>21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/>
      <c r="K26" s="22" t="s">
        <v>12</v>
      </c>
      <c r="L26" s="35">
        <v>21</v>
      </c>
      <c r="M26" s="35">
        <v>18</v>
      </c>
      <c r="N26" s="35">
        <v>17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21</v>
      </c>
      <c r="M27" s="36">
        <v>20</v>
      </c>
      <c r="N27" s="36">
        <v>18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23</v>
      </c>
      <c r="M28" s="35">
        <v>16</v>
      </c>
      <c r="N28" s="35">
        <v>20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25</v>
      </c>
      <c r="M29" s="36">
        <v>19</v>
      </c>
      <c r="N29" s="36">
        <v>22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15</v>
      </c>
      <c r="M30" s="35">
        <v>17</v>
      </c>
      <c r="N30" s="35">
        <v>19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19</v>
      </c>
      <c r="M31" s="36">
        <v>21</v>
      </c>
      <c r="N31" s="36">
        <v>22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21</v>
      </c>
      <c r="M32" s="35">
        <v>19</v>
      </c>
      <c r="N32" s="35">
        <v>16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21</v>
      </c>
      <c r="M33" s="36">
        <v>22</v>
      </c>
      <c r="N33" s="36">
        <v>21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17</v>
      </c>
      <c r="M34" s="35">
        <v>16</v>
      </c>
      <c r="N34" s="35">
        <v>18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21</v>
      </c>
      <c r="M35" s="36">
        <v>20</v>
      </c>
      <c r="N35" s="36">
        <v>21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21</v>
      </c>
      <c r="M36" s="35">
        <v>19</v>
      </c>
      <c r="N36" s="35">
        <v>18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22</v>
      </c>
      <c r="M37" s="36">
        <v>21</v>
      </c>
      <c r="N37" s="36">
        <v>22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22</v>
      </c>
      <c r="M38" s="35">
        <v>19</v>
      </c>
      <c r="N38" s="35">
        <v>18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22</v>
      </c>
      <c r="M39" s="36">
        <v>21</v>
      </c>
      <c r="N39" s="36">
        <v>22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23</v>
      </c>
      <c r="M40" s="44">
        <v>16</v>
      </c>
      <c r="N40" s="35">
        <v>19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24</v>
      </c>
      <c r="M41" s="36">
        <v>22</v>
      </c>
      <c r="N41" s="36">
        <v>26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 t="s">
        <v>41</v>
      </c>
      <c r="K42" s="22" t="s">
        <v>12</v>
      </c>
      <c r="L42" s="44">
        <v>20</v>
      </c>
      <c r="M42" s="44">
        <v>16</v>
      </c>
      <c r="N42" s="35">
        <v>18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19</v>
      </c>
      <c r="M43" s="36">
        <v>21</v>
      </c>
      <c r="N43" s="36">
        <v>23</v>
      </c>
      <c r="O43" s="106"/>
    </row>
  </sheetData>
  <mergeCells count="70">
    <mergeCell ref="B40:B41"/>
    <mergeCell ref="C40:C41"/>
    <mergeCell ref="J40:J41"/>
    <mergeCell ref="O40:O41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U44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40696</v>
      </c>
      <c r="O2" s="29"/>
    </row>
    <row r="3" spans="1:73" ht="20.25" customHeight="1" thickBot="1" x14ac:dyDescent="0.25">
      <c r="A3" t="s">
        <v>1</v>
      </c>
      <c r="C3" s="38" t="s">
        <v>42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153</v>
      </c>
      <c r="O3" s="30"/>
    </row>
    <row r="4" spans="1:73" ht="20.25" customHeight="1" thickBot="1" x14ac:dyDescent="0.25">
      <c r="B4" s="3" t="s">
        <v>43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1210</v>
      </c>
      <c r="K10" s="22" t="s">
        <v>12</v>
      </c>
      <c r="L10" s="35">
        <v>27</v>
      </c>
      <c r="M10" s="35">
        <v>23</v>
      </c>
      <c r="N10" s="44">
        <v>26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30</v>
      </c>
      <c r="M11" s="36">
        <v>24</v>
      </c>
      <c r="N11" s="36">
        <v>26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24</v>
      </c>
      <c r="M12" s="35">
        <v>26</v>
      </c>
      <c r="N12" s="35">
        <v>31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26</v>
      </c>
      <c r="M13" s="36">
        <v>30</v>
      </c>
      <c r="N13" s="36">
        <v>31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23</v>
      </c>
      <c r="M14" s="35">
        <v>26</v>
      </c>
      <c r="N14" s="35">
        <v>25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28</v>
      </c>
      <c r="M15" s="36">
        <v>27</v>
      </c>
      <c r="N15" s="36">
        <v>23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25</v>
      </c>
      <c r="M16" s="35">
        <v>30</v>
      </c>
      <c r="N16" s="44">
        <v>28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28</v>
      </c>
      <c r="M17" s="36">
        <v>32</v>
      </c>
      <c r="N17" s="36">
        <v>31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27</v>
      </c>
      <c r="M18" s="35">
        <v>26</v>
      </c>
      <c r="N18" s="44">
        <v>30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31</v>
      </c>
      <c r="M19" s="36">
        <v>28</v>
      </c>
      <c r="N19" s="36">
        <v>29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25</v>
      </c>
      <c r="M20" s="35">
        <v>22</v>
      </c>
      <c r="N20" s="35">
        <v>28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29</v>
      </c>
      <c r="M21" s="36">
        <v>26</v>
      </c>
      <c r="N21" s="36">
        <v>27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24</v>
      </c>
      <c r="M22" s="35">
        <v>28</v>
      </c>
      <c r="N22" s="35">
        <v>23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28</v>
      </c>
      <c r="M23" s="36">
        <v>28</v>
      </c>
      <c r="N23" s="36">
        <v>25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25</v>
      </c>
      <c r="M24" s="35">
        <v>27</v>
      </c>
      <c r="N24" s="35">
        <v>26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27</v>
      </c>
      <c r="M25" s="36">
        <v>29</v>
      </c>
      <c r="N25" s="36">
        <v>27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1237</v>
      </c>
      <c r="K26" s="22" t="s">
        <v>12</v>
      </c>
      <c r="L26" s="35">
        <v>24</v>
      </c>
      <c r="M26" s="35">
        <v>29</v>
      </c>
      <c r="N26" s="35">
        <v>25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26</v>
      </c>
      <c r="M27" s="36">
        <v>29</v>
      </c>
      <c r="N27" s="36">
        <v>26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28</v>
      </c>
      <c r="M28" s="35">
        <v>18</v>
      </c>
      <c r="N28" s="35">
        <v>27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29</v>
      </c>
      <c r="M29" s="36">
        <v>26</v>
      </c>
      <c r="N29" s="36">
        <v>28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25</v>
      </c>
      <c r="M30" s="35">
        <v>27</v>
      </c>
      <c r="N30" s="35">
        <v>28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26</v>
      </c>
      <c r="M31" s="36">
        <v>29</v>
      </c>
      <c r="N31" s="36">
        <v>28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29</v>
      </c>
      <c r="M32" s="35">
        <v>24</v>
      </c>
      <c r="N32" s="35">
        <v>22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29</v>
      </c>
      <c r="M33" s="36">
        <v>28</v>
      </c>
      <c r="N33" s="36">
        <v>27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23</v>
      </c>
      <c r="M34" s="35">
        <v>25</v>
      </c>
      <c r="N34" s="35">
        <v>25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24</v>
      </c>
      <c r="M35" s="36">
        <v>27</v>
      </c>
      <c r="N35" s="36">
        <v>27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27</v>
      </c>
      <c r="M36" s="35">
        <v>26</v>
      </c>
      <c r="N36" s="35">
        <v>27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28</v>
      </c>
      <c r="M37" s="36">
        <v>28</v>
      </c>
      <c r="N37" s="36">
        <v>28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27</v>
      </c>
      <c r="M38" s="35">
        <v>26</v>
      </c>
      <c r="N38" s="35">
        <v>23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31</v>
      </c>
      <c r="M39" s="36">
        <v>28</v>
      </c>
      <c r="N39" s="36">
        <v>29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30</v>
      </c>
      <c r="M40" s="44">
        <v>24</v>
      </c>
      <c r="N40" s="35">
        <v>28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30</v>
      </c>
      <c r="M41" s="36">
        <v>28</v>
      </c>
      <c r="N41" s="36">
        <v>29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1305</v>
      </c>
      <c r="K42" s="22" t="s">
        <v>12</v>
      </c>
      <c r="L42" s="44">
        <v>26</v>
      </c>
      <c r="M42" s="44">
        <v>24</v>
      </c>
      <c r="N42" s="35">
        <v>25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27</v>
      </c>
      <c r="M43" s="36">
        <v>27</v>
      </c>
      <c r="N43" s="36">
        <v>28</v>
      </c>
      <c r="O43" s="106"/>
    </row>
    <row r="44" spans="2:73" x14ac:dyDescent="0.2">
      <c r="L44" s="49"/>
    </row>
  </sheetData>
  <mergeCells count="70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B42:B43"/>
    <mergeCell ref="C42:C43"/>
    <mergeCell ref="J42:J43"/>
    <mergeCell ref="O42:O43"/>
  </mergeCells>
  <pageMargins left="0.45" right="0" top="0.49" bottom="0" header="0.64" footer="0"/>
  <pageSetup paperSize="512" scale="72" orientation="portrait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40702</v>
      </c>
      <c r="O2" s="29"/>
    </row>
    <row r="3" spans="1:73" ht="20.25" customHeight="1" thickBot="1" x14ac:dyDescent="0.25">
      <c r="A3" t="s">
        <v>1</v>
      </c>
      <c r="C3" s="38" t="s">
        <v>44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159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1235</v>
      </c>
      <c r="K10" s="22" t="s">
        <v>12</v>
      </c>
      <c r="L10" s="35">
        <v>34</v>
      </c>
      <c r="M10" s="35">
        <v>34</v>
      </c>
      <c r="N10" s="44">
        <v>32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42</v>
      </c>
      <c r="M11" s="36">
        <v>35</v>
      </c>
      <c r="N11" s="36">
        <v>38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38</v>
      </c>
      <c r="M12" s="35">
        <v>36</v>
      </c>
      <c r="N12" s="35">
        <v>35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40</v>
      </c>
      <c r="M13" s="36">
        <v>43</v>
      </c>
      <c r="N13" s="36">
        <v>41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38</v>
      </c>
      <c r="M14" s="35">
        <v>35</v>
      </c>
      <c r="N14" s="35">
        <v>38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39</v>
      </c>
      <c r="M15" s="36">
        <v>35</v>
      </c>
      <c r="N15" s="36">
        <v>38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35</v>
      </c>
      <c r="M16" s="35">
        <v>37</v>
      </c>
      <c r="N16" s="44">
        <v>34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37</v>
      </c>
      <c r="M17" s="36">
        <v>39</v>
      </c>
      <c r="N17" s="36">
        <v>38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34</v>
      </c>
      <c r="M18" s="35">
        <v>32</v>
      </c>
      <c r="N18" s="44">
        <v>34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40</v>
      </c>
      <c r="M19" s="36">
        <v>35</v>
      </c>
      <c r="N19" s="36">
        <v>36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35</v>
      </c>
      <c r="M20" s="35">
        <v>36</v>
      </c>
      <c r="N20" s="35">
        <v>40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38</v>
      </c>
      <c r="M21" s="36">
        <v>28</v>
      </c>
      <c r="N21" s="36">
        <v>41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33</v>
      </c>
      <c r="M22" s="35">
        <v>34</v>
      </c>
      <c r="N22" s="35">
        <v>33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38</v>
      </c>
      <c r="M23" s="36">
        <v>37</v>
      </c>
      <c r="N23" s="36">
        <v>35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37</v>
      </c>
      <c r="M24" s="35">
        <v>35</v>
      </c>
      <c r="N24" s="35">
        <v>33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38</v>
      </c>
      <c r="M25" s="36">
        <v>41</v>
      </c>
      <c r="N25" s="36">
        <v>38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1302</v>
      </c>
      <c r="K26" s="22" t="s">
        <v>12</v>
      </c>
      <c r="L26" s="35">
        <v>37</v>
      </c>
      <c r="M26" s="35">
        <v>36</v>
      </c>
      <c r="N26" s="35">
        <v>34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34</v>
      </c>
      <c r="M27" s="36">
        <v>36</v>
      </c>
      <c r="N27" s="36">
        <v>37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34</v>
      </c>
      <c r="M28" s="35">
        <v>34</v>
      </c>
      <c r="N28" s="35">
        <v>31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38</v>
      </c>
      <c r="M29" s="36">
        <v>36</v>
      </c>
      <c r="N29" s="36">
        <v>39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33</v>
      </c>
      <c r="M30" s="35">
        <v>37</v>
      </c>
      <c r="N30" s="35">
        <v>38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37</v>
      </c>
      <c r="M31" s="36">
        <v>41</v>
      </c>
      <c r="N31" s="36">
        <v>38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37</v>
      </c>
      <c r="M32" s="35">
        <v>32</v>
      </c>
      <c r="N32" s="35">
        <v>34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41</v>
      </c>
      <c r="M33" s="36">
        <v>39</v>
      </c>
      <c r="N33" s="36">
        <v>38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33</v>
      </c>
      <c r="M34" s="35">
        <v>31</v>
      </c>
      <c r="N34" s="35">
        <v>31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36</v>
      </c>
      <c r="M35" s="36">
        <v>38</v>
      </c>
      <c r="N35" s="36">
        <v>34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34</v>
      </c>
      <c r="M36" s="35">
        <v>36</v>
      </c>
      <c r="N36" s="35">
        <v>38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41</v>
      </c>
      <c r="M37" s="36">
        <v>40</v>
      </c>
      <c r="N37" s="36">
        <v>40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34</v>
      </c>
      <c r="M38" s="35">
        <v>33</v>
      </c>
      <c r="N38" s="35">
        <v>36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44</v>
      </c>
      <c r="M39" s="36">
        <v>37</v>
      </c>
      <c r="N39" s="36">
        <v>39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39</v>
      </c>
      <c r="M40" s="44">
        <v>35</v>
      </c>
      <c r="N40" s="35">
        <v>38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40</v>
      </c>
      <c r="M41" s="36">
        <v>40</v>
      </c>
      <c r="N41" s="36">
        <v>42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1332</v>
      </c>
      <c r="K42" s="22" t="s">
        <v>12</v>
      </c>
      <c r="L42" s="44">
        <v>37</v>
      </c>
      <c r="M42" s="44">
        <v>36</v>
      </c>
      <c r="N42" s="35">
        <v>37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38</v>
      </c>
      <c r="M43" s="36">
        <v>37</v>
      </c>
      <c r="N43" s="36">
        <v>38</v>
      </c>
      <c r="O43" s="106"/>
    </row>
  </sheetData>
  <mergeCells count="70">
    <mergeCell ref="B40:B41"/>
    <mergeCell ref="C40:C41"/>
    <mergeCell ref="J40:J41"/>
    <mergeCell ref="O40:O41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40711</v>
      </c>
      <c r="O2" s="29"/>
    </row>
    <row r="3" spans="1:73" ht="20.25" customHeight="1" thickBot="1" x14ac:dyDescent="0.25">
      <c r="A3" t="s">
        <v>1</v>
      </c>
      <c r="C3" s="38" t="s">
        <v>45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168</v>
      </c>
      <c r="O3" s="30"/>
    </row>
    <row r="4" spans="1:73" ht="20.25" customHeight="1" thickBot="1" x14ac:dyDescent="0.25">
      <c r="B4" s="3" t="s">
        <v>46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1020</v>
      </c>
      <c r="K10" s="22" t="s">
        <v>12</v>
      </c>
      <c r="L10" s="35">
        <v>38</v>
      </c>
      <c r="M10" s="35">
        <v>42</v>
      </c>
      <c r="N10" s="44">
        <v>31</v>
      </c>
      <c r="O10" s="40" t="s">
        <v>48</v>
      </c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57</v>
      </c>
      <c r="M11" s="36">
        <v>52</v>
      </c>
      <c r="N11" s="36">
        <v>41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37</v>
      </c>
      <c r="M12" s="35">
        <v>48</v>
      </c>
      <c r="N12" s="35">
        <v>41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49</v>
      </c>
      <c r="M13" s="36">
        <v>49</v>
      </c>
      <c r="N13" s="36">
        <v>57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110">
        <v>3</v>
      </c>
      <c r="C14" s="112" t="s">
        <v>28</v>
      </c>
      <c r="D14" s="50" t="e">
        <f>VLOOKUP($B14,#REF!,3,0)</f>
        <v>#REF!</v>
      </c>
      <c r="E14" s="50" t="e">
        <f>VLOOKUP($B14,#REF!,4,0)</f>
        <v>#REF!</v>
      </c>
      <c r="F14" s="50" t="e">
        <f>VLOOKUP($B14,#REF!,5,0)</f>
        <v>#REF!</v>
      </c>
      <c r="G14" s="50" t="e">
        <f>VLOOKUP($B14,#REF!,6,0)</f>
        <v>#REF!</v>
      </c>
      <c r="H14" s="50" t="e">
        <f>VLOOKUP($B14,#REF!,7,0)</f>
        <v>#REF!</v>
      </c>
      <c r="I14" s="50" t="e">
        <f>VLOOKUP($B14,#REF!,8,0)</f>
        <v>#REF!</v>
      </c>
      <c r="J14" s="114"/>
      <c r="K14" s="51" t="s">
        <v>12</v>
      </c>
      <c r="L14" s="52"/>
      <c r="M14" s="52"/>
      <c r="N14" s="52"/>
      <c r="O14" s="116" t="s">
        <v>47</v>
      </c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11"/>
      <c r="C15" s="113"/>
      <c r="D15" s="53" t="e">
        <f>VLOOKUP($B15,#REF!,3,0)</f>
        <v>#REF!</v>
      </c>
      <c r="E15" s="53" t="e">
        <f>VLOOKUP($B15,#REF!,4,0)</f>
        <v>#REF!</v>
      </c>
      <c r="F15" s="53" t="e">
        <f>VLOOKUP($B15,#REF!,5,0)</f>
        <v>#REF!</v>
      </c>
      <c r="G15" s="53" t="e">
        <f>VLOOKUP($B15,#REF!,6,0)</f>
        <v>#REF!</v>
      </c>
      <c r="H15" s="53" t="e">
        <f>VLOOKUP($B15,#REF!,7,0)</f>
        <v>#REF!</v>
      </c>
      <c r="I15" s="53" t="e">
        <f>VLOOKUP($B15,#REF!,8,0)</f>
        <v>#REF!</v>
      </c>
      <c r="J15" s="115"/>
      <c r="K15" s="54" t="s">
        <v>13</v>
      </c>
      <c r="L15" s="55"/>
      <c r="M15" s="55"/>
      <c r="N15" s="55"/>
      <c r="O15" s="117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51</v>
      </c>
      <c r="M16" s="35">
        <v>49</v>
      </c>
      <c r="N16" s="44">
        <v>48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59</v>
      </c>
      <c r="M17" s="36">
        <v>56</v>
      </c>
      <c r="N17" s="36">
        <v>54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40</v>
      </c>
      <c r="M18" s="35">
        <v>41</v>
      </c>
      <c r="N18" s="44">
        <v>51</v>
      </c>
      <c r="O18" s="105" t="s">
        <v>50</v>
      </c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52</v>
      </c>
      <c r="M19" s="36">
        <v>54</v>
      </c>
      <c r="N19" s="36">
        <v>55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37</v>
      </c>
      <c r="M20" s="35">
        <v>49</v>
      </c>
      <c r="N20" s="35">
        <v>39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54</v>
      </c>
      <c r="M21" s="36">
        <v>51</v>
      </c>
      <c r="N21" s="36">
        <v>47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45</v>
      </c>
      <c r="M22" s="35">
        <v>50</v>
      </c>
      <c r="N22" s="35">
        <v>45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61</v>
      </c>
      <c r="M23" s="36">
        <v>57</v>
      </c>
      <c r="N23" s="36">
        <v>51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50</v>
      </c>
      <c r="M24" s="35">
        <v>43</v>
      </c>
      <c r="N24" s="35">
        <v>53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53</v>
      </c>
      <c r="M25" s="36">
        <v>59</v>
      </c>
      <c r="N25" s="36">
        <v>55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1046</v>
      </c>
      <c r="K26" s="22" t="s">
        <v>12</v>
      </c>
      <c r="L26" s="35">
        <v>39</v>
      </c>
      <c r="M26" s="35">
        <v>39</v>
      </c>
      <c r="N26" s="35">
        <v>38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49</v>
      </c>
      <c r="M27" s="36">
        <v>47</v>
      </c>
      <c r="N27" s="36">
        <v>45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46</v>
      </c>
      <c r="M28" s="35">
        <v>41</v>
      </c>
      <c r="N28" s="35">
        <v>53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51</v>
      </c>
      <c r="M29" s="36">
        <v>53</v>
      </c>
      <c r="N29" s="36">
        <v>57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46</v>
      </c>
      <c r="M30" s="35">
        <v>48</v>
      </c>
      <c r="N30" s="35">
        <v>46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52</v>
      </c>
      <c r="M31" s="36">
        <v>56</v>
      </c>
      <c r="N31" s="36">
        <v>54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48</v>
      </c>
      <c r="M32" s="35">
        <v>50</v>
      </c>
      <c r="N32" s="35">
        <v>47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62</v>
      </c>
      <c r="M33" s="36">
        <v>56</v>
      </c>
      <c r="N33" s="36">
        <v>57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35</v>
      </c>
      <c r="M34" s="35">
        <v>36</v>
      </c>
      <c r="N34" s="35">
        <v>30</v>
      </c>
      <c r="O34" s="105" t="s">
        <v>49</v>
      </c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47</v>
      </c>
      <c r="M35" s="36">
        <v>51</v>
      </c>
      <c r="N35" s="36">
        <v>47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45</v>
      </c>
      <c r="M36" s="35">
        <v>42</v>
      </c>
      <c r="N36" s="35">
        <v>40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54</v>
      </c>
      <c r="M37" s="36">
        <v>56</v>
      </c>
      <c r="N37" s="36">
        <v>54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43</v>
      </c>
      <c r="M38" s="35">
        <v>35</v>
      </c>
      <c r="N38" s="35">
        <v>39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59</v>
      </c>
      <c r="M39" s="36">
        <v>51</v>
      </c>
      <c r="N39" s="36">
        <v>53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46</v>
      </c>
      <c r="M40" s="44">
        <v>44</v>
      </c>
      <c r="N40" s="35">
        <v>38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53</v>
      </c>
      <c r="M41" s="36">
        <v>52</v>
      </c>
      <c r="N41" s="36">
        <v>52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1120</v>
      </c>
      <c r="K42" s="22" t="s">
        <v>12</v>
      </c>
      <c r="L42" s="44">
        <v>40</v>
      </c>
      <c r="M42" s="44">
        <v>43</v>
      </c>
      <c r="N42" s="35">
        <v>38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48</v>
      </c>
      <c r="M43" s="36">
        <v>44</v>
      </c>
      <c r="N43" s="36">
        <v>47</v>
      </c>
      <c r="O43" s="106"/>
    </row>
  </sheetData>
  <mergeCells count="70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B42:B43"/>
    <mergeCell ref="C42:C43"/>
    <mergeCell ref="J42:J43"/>
    <mergeCell ref="O42:O43"/>
  </mergeCells>
  <pageMargins left="0.45" right="0" top="0.49" bottom="0" header="0.64" footer="0"/>
  <pageSetup paperSize="512" scale="72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40716</v>
      </c>
      <c r="O2" s="29"/>
    </row>
    <row r="3" spans="1:73" ht="20.25" customHeight="1" thickBot="1" x14ac:dyDescent="0.25">
      <c r="A3" t="s">
        <v>1</v>
      </c>
      <c r="C3" s="38" t="s">
        <v>51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173</v>
      </c>
      <c r="O3" s="30"/>
    </row>
    <row r="4" spans="1:73" ht="20.25" customHeight="1" thickBot="1" x14ac:dyDescent="0.25">
      <c r="B4" s="3" t="s">
        <v>52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1440</v>
      </c>
      <c r="K10" s="22" t="s">
        <v>12</v>
      </c>
      <c r="L10" s="35">
        <v>47</v>
      </c>
      <c r="M10" s="35">
        <v>48</v>
      </c>
      <c r="N10" s="44">
        <v>44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58</v>
      </c>
      <c r="M11" s="36">
        <v>55</v>
      </c>
      <c r="N11" s="36">
        <v>48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50</v>
      </c>
      <c r="M12" s="35">
        <v>56</v>
      </c>
      <c r="N12" s="35">
        <v>51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64</v>
      </c>
      <c r="M13" s="36">
        <v>64</v>
      </c>
      <c r="N13" s="36">
        <v>63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53</v>
      </c>
      <c r="M14" s="35">
        <v>49</v>
      </c>
      <c r="N14" s="35">
        <v>50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62</v>
      </c>
      <c r="M15" s="36">
        <v>60</v>
      </c>
      <c r="N15" s="36">
        <v>55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63</v>
      </c>
      <c r="M16" s="35">
        <v>60</v>
      </c>
      <c r="N16" s="44">
        <v>45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69</v>
      </c>
      <c r="M17" s="36">
        <v>64</v>
      </c>
      <c r="N17" s="36">
        <v>63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48</v>
      </c>
      <c r="M18" s="35">
        <v>43</v>
      </c>
      <c r="N18" s="44">
        <v>46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58</v>
      </c>
      <c r="M19" s="36">
        <v>55</v>
      </c>
      <c r="N19" s="36">
        <v>58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54</v>
      </c>
      <c r="M20" s="35">
        <v>49</v>
      </c>
      <c r="N20" s="35">
        <v>50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65</v>
      </c>
      <c r="M21" s="36">
        <v>62</v>
      </c>
      <c r="N21" s="36">
        <v>63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55</v>
      </c>
      <c r="M22" s="35">
        <v>61</v>
      </c>
      <c r="N22" s="35">
        <v>53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67</v>
      </c>
      <c r="M23" s="36">
        <v>68</v>
      </c>
      <c r="N23" s="36">
        <v>61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63</v>
      </c>
      <c r="M24" s="35">
        <v>51</v>
      </c>
      <c r="N24" s="35">
        <v>58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66</v>
      </c>
      <c r="M25" s="36">
        <v>63</v>
      </c>
      <c r="N25" s="36">
        <v>69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1510</v>
      </c>
      <c r="K26" s="22" t="s">
        <v>12</v>
      </c>
      <c r="L26" s="35">
        <v>53</v>
      </c>
      <c r="M26" s="35">
        <v>47</v>
      </c>
      <c r="N26" s="35">
        <v>47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57</v>
      </c>
      <c r="M27" s="36">
        <v>57</v>
      </c>
      <c r="N27" s="36">
        <v>57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51</v>
      </c>
      <c r="M28" s="35">
        <v>53</v>
      </c>
      <c r="N28" s="35">
        <v>63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63</v>
      </c>
      <c r="M29" s="36">
        <v>66</v>
      </c>
      <c r="N29" s="36">
        <v>71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45</v>
      </c>
      <c r="M30" s="35">
        <v>55</v>
      </c>
      <c r="N30" s="35">
        <v>49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52</v>
      </c>
      <c r="M31" s="36">
        <v>59</v>
      </c>
      <c r="N31" s="36">
        <v>58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74</v>
      </c>
      <c r="M32" s="35">
        <v>60</v>
      </c>
      <c r="N32" s="35">
        <v>56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73</v>
      </c>
      <c r="M33" s="36">
        <v>68</v>
      </c>
      <c r="N33" s="36">
        <v>64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46</v>
      </c>
      <c r="M34" s="35">
        <v>49</v>
      </c>
      <c r="N34" s="35">
        <v>48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53</v>
      </c>
      <c r="M35" s="36">
        <v>60</v>
      </c>
      <c r="N35" s="36">
        <v>58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54</v>
      </c>
      <c r="M36" s="35">
        <v>60</v>
      </c>
      <c r="N36" s="35">
        <v>52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64</v>
      </c>
      <c r="M37" s="36">
        <v>66</v>
      </c>
      <c r="N37" s="36">
        <v>67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51</v>
      </c>
      <c r="M38" s="35">
        <v>46</v>
      </c>
      <c r="N38" s="35">
        <v>46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61</v>
      </c>
      <c r="M39" s="36">
        <v>57</v>
      </c>
      <c r="N39" s="36">
        <v>54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>
        <v>1345</v>
      </c>
      <c r="K40" s="22" t="s">
        <v>12</v>
      </c>
      <c r="L40" s="44">
        <v>60</v>
      </c>
      <c r="M40" s="44">
        <v>53</v>
      </c>
      <c r="N40" s="35">
        <v>51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64</v>
      </c>
      <c r="M41" s="36">
        <v>63</v>
      </c>
      <c r="N41" s="36">
        <v>64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/>
      <c r="K42" s="22" t="s">
        <v>12</v>
      </c>
      <c r="L42" s="44"/>
      <c r="M42" s="44"/>
      <c r="N42" s="35"/>
      <c r="O42" s="105" t="s">
        <v>53</v>
      </c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/>
      <c r="M43" s="36"/>
      <c r="N43" s="36"/>
      <c r="O43" s="106"/>
    </row>
  </sheetData>
  <mergeCells count="70">
    <mergeCell ref="B40:B41"/>
    <mergeCell ref="C40:C41"/>
    <mergeCell ref="J40:J41"/>
    <mergeCell ref="O40:O41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40722</v>
      </c>
      <c r="O2" s="29"/>
    </row>
    <row r="3" spans="1:73" ht="20.25" customHeight="1" thickBot="1" x14ac:dyDescent="0.25">
      <c r="A3" t="s">
        <v>1</v>
      </c>
      <c r="C3" s="38" t="s">
        <v>54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179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1430</v>
      </c>
      <c r="K10" s="22" t="s">
        <v>12</v>
      </c>
      <c r="L10" s="35">
        <v>74</v>
      </c>
      <c r="M10" s="35">
        <v>52</v>
      </c>
      <c r="N10" s="44">
        <v>44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64</v>
      </c>
      <c r="M11" s="36">
        <v>65</v>
      </c>
      <c r="N11" s="36">
        <v>63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61</v>
      </c>
      <c r="M12" s="35">
        <v>61</v>
      </c>
      <c r="N12" s="35">
        <v>58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78</v>
      </c>
      <c r="M13" s="36">
        <v>69</v>
      </c>
      <c r="N13" s="36">
        <v>80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49</v>
      </c>
      <c r="M14" s="35">
        <v>46</v>
      </c>
      <c r="N14" s="35">
        <v>48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63</v>
      </c>
      <c r="M15" s="36">
        <v>62</v>
      </c>
      <c r="N15" s="36">
        <v>59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63</v>
      </c>
      <c r="M16" s="35">
        <v>67</v>
      </c>
      <c r="N16" s="44">
        <v>67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79</v>
      </c>
      <c r="M17" s="36">
        <v>82</v>
      </c>
      <c r="N17" s="36">
        <v>81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59</v>
      </c>
      <c r="M18" s="35">
        <v>53</v>
      </c>
      <c r="N18" s="44">
        <v>51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67</v>
      </c>
      <c r="M19" s="36">
        <v>72</v>
      </c>
      <c r="N19" s="36">
        <v>74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55</v>
      </c>
      <c r="M20" s="35">
        <v>56</v>
      </c>
      <c r="N20" s="35">
        <v>53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73</v>
      </c>
      <c r="M21" s="36">
        <v>72</v>
      </c>
      <c r="N21" s="36">
        <v>59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60</v>
      </c>
      <c r="M22" s="35">
        <v>69</v>
      </c>
      <c r="N22" s="35">
        <v>58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85</v>
      </c>
      <c r="M23" s="36">
        <v>79</v>
      </c>
      <c r="N23" s="36">
        <v>77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72</v>
      </c>
      <c r="M24" s="35">
        <v>75</v>
      </c>
      <c r="N24" s="35">
        <v>65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85</v>
      </c>
      <c r="M25" s="36">
        <v>81</v>
      </c>
      <c r="N25" s="36">
        <v>82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1505</v>
      </c>
      <c r="K26" s="22" t="s">
        <v>12</v>
      </c>
      <c r="L26" s="35">
        <v>62</v>
      </c>
      <c r="M26" s="35">
        <v>60</v>
      </c>
      <c r="N26" s="35">
        <v>43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68</v>
      </c>
      <c r="M27" s="36">
        <v>67</v>
      </c>
      <c r="N27" s="36">
        <v>66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63</v>
      </c>
      <c r="M28" s="35">
        <v>68</v>
      </c>
      <c r="N28" s="35">
        <v>70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79</v>
      </c>
      <c r="M29" s="36">
        <v>84</v>
      </c>
      <c r="N29" s="36">
        <v>76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55</v>
      </c>
      <c r="M30" s="35">
        <v>63</v>
      </c>
      <c r="N30" s="35">
        <v>53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65</v>
      </c>
      <c r="M31" s="36">
        <v>71</v>
      </c>
      <c r="N31" s="36">
        <v>71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70</v>
      </c>
      <c r="M32" s="35">
        <v>71</v>
      </c>
      <c r="N32" s="35">
        <v>63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92</v>
      </c>
      <c r="M33" s="36">
        <v>80</v>
      </c>
      <c r="N33" s="36">
        <v>78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43</v>
      </c>
      <c r="M34" s="35">
        <v>59</v>
      </c>
      <c r="N34" s="35">
        <v>51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60</v>
      </c>
      <c r="M35" s="36">
        <v>72</v>
      </c>
      <c r="N35" s="36">
        <v>62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65</v>
      </c>
      <c r="M36" s="35">
        <v>66</v>
      </c>
      <c r="N36" s="35">
        <v>48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78</v>
      </c>
      <c r="M37" s="36">
        <v>77</v>
      </c>
      <c r="N37" s="36">
        <v>74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60</v>
      </c>
      <c r="M38" s="35">
        <v>59</v>
      </c>
      <c r="N38" s="35">
        <v>59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72</v>
      </c>
      <c r="M39" s="36">
        <v>68</v>
      </c>
      <c r="N39" s="36">
        <v>69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69</v>
      </c>
      <c r="M40" s="44">
        <v>66</v>
      </c>
      <c r="N40" s="35">
        <v>66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78</v>
      </c>
      <c r="M41" s="36">
        <v>74</v>
      </c>
      <c r="N41" s="36">
        <v>82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1540</v>
      </c>
      <c r="K42" s="22" t="s">
        <v>12</v>
      </c>
      <c r="L42" s="44">
        <v>53</v>
      </c>
      <c r="M42" s="44">
        <v>41</v>
      </c>
      <c r="N42" s="35">
        <v>44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53</v>
      </c>
      <c r="M43" s="36">
        <v>51</v>
      </c>
      <c r="N43" s="36">
        <v>54</v>
      </c>
      <c r="O43" s="106"/>
    </row>
  </sheetData>
  <mergeCells count="70">
    <mergeCell ref="B40:B41"/>
    <mergeCell ref="C40:C41"/>
    <mergeCell ref="J40:J41"/>
    <mergeCell ref="O40:O41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U43"/>
  <sheetViews>
    <sheetView zoomScale="90" zoomScaleNormal="90" workbookViewId="0"/>
  </sheetViews>
  <sheetFormatPr defaultRowHeight="1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style="67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40730</v>
      </c>
      <c r="O2" s="68"/>
    </row>
    <row r="3" spans="1:73" ht="20.25" customHeight="1" thickBot="1" x14ac:dyDescent="0.25">
      <c r="A3" t="s">
        <v>1</v>
      </c>
      <c r="C3" s="38" t="s">
        <v>55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187</v>
      </c>
      <c r="O3" s="69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69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70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118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100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66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1045</v>
      </c>
      <c r="K10" s="22" t="s">
        <v>12</v>
      </c>
      <c r="L10" s="35">
        <v>86</v>
      </c>
      <c r="M10" s="35">
        <v>72</v>
      </c>
      <c r="N10" s="44">
        <v>57</v>
      </c>
      <c r="O10" s="71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85</v>
      </c>
      <c r="M11" s="36">
        <v>76</v>
      </c>
      <c r="N11" s="36">
        <v>68</v>
      </c>
      <c r="O11" s="72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121">
        <v>2</v>
      </c>
      <c r="C12" s="123" t="s">
        <v>29</v>
      </c>
      <c r="D12" s="56" t="e">
        <f>VLOOKUP($B12,#REF!,3,0)</f>
        <v>#REF!</v>
      </c>
      <c r="E12" s="56" t="e">
        <f>VLOOKUP($B12,#REF!,4,0)</f>
        <v>#REF!</v>
      </c>
      <c r="F12" s="56" t="e">
        <f>VLOOKUP($B12,#REF!,5,0)</f>
        <v>#REF!</v>
      </c>
      <c r="G12" s="56" t="e">
        <f>VLOOKUP($B12,#REF!,6,0)</f>
        <v>#REF!</v>
      </c>
      <c r="H12" s="56" t="e">
        <f>VLOOKUP($B12,#REF!,7,0)</f>
        <v>#REF!</v>
      </c>
      <c r="I12" s="56" t="e">
        <f>VLOOKUP($B12,#REF!,8,0)</f>
        <v>#REF!</v>
      </c>
      <c r="J12" s="125"/>
      <c r="K12" s="57" t="s">
        <v>12</v>
      </c>
      <c r="L12" s="58"/>
      <c r="M12" s="58"/>
      <c r="N12" s="58"/>
      <c r="O12" s="127" t="s">
        <v>56</v>
      </c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22"/>
      <c r="C13" s="124"/>
      <c r="D13" s="59" t="e">
        <f>VLOOKUP($B13,#REF!,3,0)</f>
        <v>#REF!</v>
      </c>
      <c r="E13" s="59" t="e">
        <f>VLOOKUP($B13,#REF!,4,0)</f>
        <v>#REF!</v>
      </c>
      <c r="F13" s="59" t="e">
        <f>VLOOKUP($B13,#REF!,5,0)</f>
        <v>#REF!</v>
      </c>
      <c r="G13" s="59" t="e">
        <f>VLOOKUP($B13,#REF!,6,0)</f>
        <v>#REF!</v>
      </c>
      <c r="H13" s="59" t="e">
        <f>VLOOKUP($B13,#REF!,7,0)</f>
        <v>#REF!</v>
      </c>
      <c r="I13" s="59" t="e">
        <f>VLOOKUP($B13,#REF!,8,0)</f>
        <v>#REF!</v>
      </c>
      <c r="J13" s="126"/>
      <c r="K13" s="60" t="s">
        <v>13</v>
      </c>
      <c r="L13" s="61"/>
      <c r="M13" s="62"/>
      <c r="N13" s="62"/>
      <c r="O13" s="128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60</v>
      </c>
      <c r="M14" s="35">
        <v>50</v>
      </c>
      <c r="N14" s="35">
        <v>59</v>
      </c>
      <c r="O14" s="119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69</v>
      </c>
      <c r="M15" s="36">
        <v>69</v>
      </c>
      <c r="N15" s="36">
        <v>71</v>
      </c>
      <c r="O15" s="120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121">
        <v>4</v>
      </c>
      <c r="C16" s="123" t="s">
        <v>29</v>
      </c>
      <c r="D16" s="63" t="e">
        <f>VLOOKUP($B16,#REF!,3,0)</f>
        <v>#REF!</v>
      </c>
      <c r="E16" s="63" t="e">
        <f>VLOOKUP($B16,#REF!,4,0)</f>
        <v>#REF!</v>
      </c>
      <c r="F16" s="63" t="e">
        <f>VLOOKUP($B16,#REF!,5,0)</f>
        <v>#REF!</v>
      </c>
      <c r="G16" s="63" t="e">
        <f>VLOOKUP($B16,#REF!,6,0)</f>
        <v>#REF!</v>
      </c>
      <c r="H16" s="63" t="e">
        <f>VLOOKUP($B16,#REF!,7,0)</f>
        <v>#REF!</v>
      </c>
      <c r="I16" s="63" t="e">
        <f>VLOOKUP($B16,#REF!,8,0)</f>
        <v>#REF!</v>
      </c>
      <c r="J16" s="125"/>
      <c r="K16" s="64" t="s">
        <v>12</v>
      </c>
      <c r="L16" s="58"/>
      <c r="M16" s="58"/>
      <c r="N16" s="65"/>
      <c r="O16" s="127" t="s">
        <v>57</v>
      </c>
      <c r="P16" s="13"/>
      <c r="Q16" s="13"/>
      <c r="R16" s="13"/>
      <c r="S16" s="13"/>
      <c r="T16" s="13"/>
    </row>
    <row r="17" spans="2:73" ht="24.2" customHeight="1" thickBot="1" x14ac:dyDescent="0.25">
      <c r="B17" s="122"/>
      <c r="C17" s="124"/>
      <c r="D17" s="59" t="e">
        <f>VLOOKUP($B17,#REF!,3,0)</f>
        <v>#REF!</v>
      </c>
      <c r="E17" s="59" t="e">
        <f>VLOOKUP($B17,#REF!,4,0)</f>
        <v>#REF!</v>
      </c>
      <c r="F17" s="59" t="e">
        <f>VLOOKUP($B17,#REF!,5,0)</f>
        <v>#REF!</v>
      </c>
      <c r="G17" s="59" t="e">
        <f>VLOOKUP($B17,#REF!,6,0)</f>
        <v>#REF!</v>
      </c>
      <c r="H17" s="59" t="e">
        <f>VLOOKUP($B17,#REF!,7,0)</f>
        <v>#REF!</v>
      </c>
      <c r="I17" s="59" t="e">
        <f>VLOOKUP($B17,#REF!,8,0)</f>
        <v>#REF!</v>
      </c>
      <c r="J17" s="126"/>
      <c r="K17" s="60" t="s">
        <v>13</v>
      </c>
      <c r="L17" s="62"/>
      <c r="M17" s="62"/>
      <c r="N17" s="62"/>
      <c r="O17" s="128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62</v>
      </c>
      <c r="M18" s="35">
        <v>79</v>
      </c>
      <c r="N18" s="44">
        <v>71</v>
      </c>
      <c r="O18" s="119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76</v>
      </c>
      <c r="M19" s="36">
        <v>84</v>
      </c>
      <c r="N19" s="36">
        <v>86</v>
      </c>
      <c r="O19" s="120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61</v>
      </c>
      <c r="M20" s="35">
        <v>69</v>
      </c>
      <c r="N20" s="35">
        <v>63</v>
      </c>
      <c r="O20" s="119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78</v>
      </c>
      <c r="M21" s="36">
        <v>81</v>
      </c>
      <c r="N21" s="36">
        <v>71</v>
      </c>
      <c r="O21" s="120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68</v>
      </c>
      <c r="M22" s="35">
        <v>62</v>
      </c>
      <c r="N22" s="35">
        <v>53</v>
      </c>
      <c r="O22" s="129" t="s">
        <v>58</v>
      </c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87</v>
      </c>
      <c r="M23" s="36">
        <v>85</v>
      </c>
      <c r="N23" s="36">
        <v>85</v>
      </c>
      <c r="O23" s="130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121">
        <v>8</v>
      </c>
      <c r="C24" s="123" t="s">
        <v>29</v>
      </c>
      <c r="D24" s="63" t="e">
        <f>VLOOKUP($B24,#REF!,3,0)</f>
        <v>#REF!</v>
      </c>
      <c r="E24" s="63" t="e">
        <f>VLOOKUP($B24,#REF!,4,0)</f>
        <v>#REF!</v>
      </c>
      <c r="F24" s="63" t="e">
        <f>VLOOKUP($B24,#REF!,5,0)</f>
        <v>#REF!</v>
      </c>
      <c r="G24" s="63" t="e">
        <f>VLOOKUP($B24,#REF!,6,0)</f>
        <v>#REF!</v>
      </c>
      <c r="H24" s="63" t="e">
        <f>VLOOKUP($B24,#REF!,7,0)</f>
        <v>#REF!</v>
      </c>
      <c r="I24" s="63" t="e">
        <f>VLOOKUP($B24,#REF!,8,0)</f>
        <v>#REF!</v>
      </c>
      <c r="J24" s="125"/>
      <c r="K24" s="64" t="s">
        <v>12</v>
      </c>
      <c r="L24" s="58"/>
      <c r="M24" s="58"/>
      <c r="N24" s="58"/>
      <c r="O24" s="127" t="s">
        <v>56</v>
      </c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22"/>
      <c r="C25" s="124"/>
      <c r="D25" s="59" t="e">
        <f>VLOOKUP($B25,#REF!,3,0)</f>
        <v>#REF!</v>
      </c>
      <c r="E25" s="59" t="e">
        <f>VLOOKUP($B25,#REF!,4,0)</f>
        <v>#REF!</v>
      </c>
      <c r="F25" s="59" t="e">
        <f>VLOOKUP($B25,#REF!,5,0)</f>
        <v>#REF!</v>
      </c>
      <c r="G25" s="59" t="e">
        <f>VLOOKUP($B25,#REF!,6,0)</f>
        <v>#REF!</v>
      </c>
      <c r="H25" s="59" t="e">
        <f>VLOOKUP($B25,#REF!,7,0)</f>
        <v>#REF!</v>
      </c>
      <c r="I25" s="59" t="e">
        <f>VLOOKUP($B25,#REF!,8,0)</f>
        <v>#REF!</v>
      </c>
      <c r="J25" s="126"/>
      <c r="K25" s="60" t="s">
        <v>13</v>
      </c>
      <c r="L25" s="62"/>
      <c r="M25" s="62"/>
      <c r="N25" s="62"/>
      <c r="O25" s="128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1115</v>
      </c>
      <c r="K26" s="22" t="s">
        <v>12</v>
      </c>
      <c r="L26" s="35">
        <v>48</v>
      </c>
      <c r="M26" s="35">
        <v>59</v>
      </c>
      <c r="N26" s="35">
        <v>52</v>
      </c>
      <c r="O26" s="119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75</v>
      </c>
      <c r="M27" s="36">
        <v>73</v>
      </c>
      <c r="N27" s="36">
        <v>76</v>
      </c>
      <c r="O27" s="120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31">
        <v>10</v>
      </c>
      <c r="C28" s="123" t="s">
        <v>29</v>
      </c>
      <c r="D28" s="63" t="e">
        <f>VLOOKUP($B28,#REF!,3,0)</f>
        <v>#REF!</v>
      </c>
      <c r="E28" s="63" t="e">
        <f>VLOOKUP($B28,#REF!,4,0)</f>
        <v>#REF!</v>
      </c>
      <c r="F28" s="63" t="e">
        <f>VLOOKUP($B28,#REF!,5,0)</f>
        <v>#REF!</v>
      </c>
      <c r="G28" s="63" t="e">
        <f>VLOOKUP($B28,#REF!,6,0)</f>
        <v>#REF!</v>
      </c>
      <c r="H28" s="63" t="e">
        <f>VLOOKUP($B28,#REF!,7,0)</f>
        <v>#REF!</v>
      </c>
      <c r="I28" s="63" t="e">
        <f>VLOOKUP($B28,#REF!,8,0)</f>
        <v>#REF!</v>
      </c>
      <c r="J28" s="125"/>
      <c r="K28" s="64" t="s">
        <v>12</v>
      </c>
      <c r="L28" s="58"/>
      <c r="M28" s="58"/>
      <c r="N28" s="58"/>
      <c r="O28" s="127" t="s">
        <v>56</v>
      </c>
      <c r="P28" s="13"/>
      <c r="Q28" s="13"/>
      <c r="R28" s="13"/>
      <c r="S28" s="13"/>
      <c r="T28" s="13"/>
    </row>
    <row r="29" spans="2:73" ht="24.2" customHeight="1" thickBot="1" x14ac:dyDescent="0.25">
      <c r="B29" s="122"/>
      <c r="C29" s="124"/>
      <c r="D29" s="59" t="e">
        <f>VLOOKUP($B29,#REF!,3,0)</f>
        <v>#REF!</v>
      </c>
      <c r="E29" s="59" t="e">
        <f>VLOOKUP($B29,#REF!,4,0)</f>
        <v>#REF!</v>
      </c>
      <c r="F29" s="59" t="e">
        <f>VLOOKUP($B29,#REF!,5,0)</f>
        <v>#REF!</v>
      </c>
      <c r="G29" s="59" t="e">
        <f>VLOOKUP($B29,#REF!,6,0)</f>
        <v>#REF!</v>
      </c>
      <c r="H29" s="59" t="e">
        <f>VLOOKUP($B29,#REF!,7,0)</f>
        <v>#REF!</v>
      </c>
      <c r="I29" s="59" t="e">
        <f>VLOOKUP($B29,#REF!,8,0)</f>
        <v>#REF!</v>
      </c>
      <c r="J29" s="126"/>
      <c r="K29" s="60" t="s">
        <v>13</v>
      </c>
      <c r="L29" s="62"/>
      <c r="M29" s="62"/>
      <c r="N29" s="62"/>
      <c r="O29" s="128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66</v>
      </c>
      <c r="M30" s="35">
        <v>75</v>
      </c>
      <c r="N30" s="35">
        <v>68</v>
      </c>
      <c r="O30" s="119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75</v>
      </c>
      <c r="M31" s="36">
        <v>86</v>
      </c>
      <c r="N31" s="36">
        <v>81</v>
      </c>
      <c r="O31" s="120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87</v>
      </c>
      <c r="M32" s="35">
        <v>71</v>
      </c>
      <c r="N32" s="35">
        <v>62</v>
      </c>
      <c r="O32" s="119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98</v>
      </c>
      <c r="M33" s="36">
        <v>88</v>
      </c>
      <c r="N33" s="36">
        <v>89</v>
      </c>
      <c r="O33" s="120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56</v>
      </c>
      <c r="M34" s="35">
        <v>56</v>
      </c>
      <c r="N34" s="35">
        <v>56</v>
      </c>
      <c r="O34" s="119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71</v>
      </c>
      <c r="M35" s="36">
        <v>73</v>
      </c>
      <c r="N35" s="36">
        <v>73</v>
      </c>
      <c r="O35" s="120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69</v>
      </c>
      <c r="M36" s="35">
        <v>76</v>
      </c>
      <c r="N36" s="35">
        <v>65</v>
      </c>
      <c r="O36" s="119" t="s">
        <v>58</v>
      </c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83</v>
      </c>
      <c r="M37" s="36">
        <v>88</v>
      </c>
      <c r="N37" s="36">
        <v>82</v>
      </c>
      <c r="O37" s="120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78</v>
      </c>
      <c r="M38" s="35">
        <v>66</v>
      </c>
      <c r="N38" s="35">
        <v>64</v>
      </c>
      <c r="O38" s="119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84</v>
      </c>
      <c r="M39" s="36">
        <v>77</v>
      </c>
      <c r="N39" s="36">
        <v>75</v>
      </c>
      <c r="O39" s="120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31">
        <v>16</v>
      </c>
      <c r="C40" s="123" t="s">
        <v>29</v>
      </c>
      <c r="D40" s="63" t="e">
        <f>VLOOKUP($B40,#REF!,3,0)</f>
        <v>#REF!</v>
      </c>
      <c r="E40" s="63" t="e">
        <f>VLOOKUP($B40,#REF!,4,0)</f>
        <v>#REF!</v>
      </c>
      <c r="F40" s="63" t="e">
        <f>VLOOKUP($B40,#REF!,5,0)</f>
        <v>#REF!</v>
      </c>
      <c r="G40" s="63" t="e">
        <f>VLOOKUP($B40,#REF!,6,0)</f>
        <v>#REF!</v>
      </c>
      <c r="H40" s="63" t="e">
        <f>VLOOKUP($B40,#REF!,7,0)</f>
        <v>#REF!</v>
      </c>
      <c r="I40" s="63" t="e">
        <f>VLOOKUP($B40,#REF!,8,0)</f>
        <v>#REF!</v>
      </c>
      <c r="J40" s="125"/>
      <c r="K40" s="64" t="s">
        <v>12</v>
      </c>
      <c r="L40" s="65"/>
      <c r="M40" s="65"/>
      <c r="N40" s="58"/>
      <c r="O40" s="127" t="s">
        <v>56</v>
      </c>
      <c r="P40" s="13"/>
      <c r="Q40" s="13"/>
      <c r="R40" s="13"/>
      <c r="S40" s="13"/>
      <c r="T40" s="13"/>
    </row>
    <row r="41" spans="2:73" ht="24.2" customHeight="1" thickBot="1" x14ac:dyDescent="0.25">
      <c r="B41" s="122"/>
      <c r="C41" s="124"/>
      <c r="D41" s="59" t="e">
        <f>VLOOKUP($B41,#REF!,3,0)</f>
        <v>#REF!</v>
      </c>
      <c r="E41" s="59" t="e">
        <f>VLOOKUP($B41,#REF!,4,0)</f>
        <v>#REF!</v>
      </c>
      <c r="F41" s="59" t="e">
        <f>VLOOKUP($B41,#REF!,5,0)</f>
        <v>#REF!</v>
      </c>
      <c r="G41" s="59" t="e">
        <f>VLOOKUP($B41,#REF!,6,0)</f>
        <v>#REF!</v>
      </c>
      <c r="H41" s="59" t="e">
        <f>VLOOKUP($B41,#REF!,7,0)</f>
        <v>#REF!</v>
      </c>
      <c r="I41" s="59" t="e">
        <f>VLOOKUP($B41,#REF!,8,0)</f>
        <v>#REF!</v>
      </c>
      <c r="J41" s="126"/>
      <c r="K41" s="60" t="s">
        <v>13</v>
      </c>
      <c r="L41" s="62"/>
      <c r="M41" s="62"/>
      <c r="N41" s="62"/>
      <c r="O41" s="128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1150</v>
      </c>
      <c r="K42" s="22" t="s">
        <v>12</v>
      </c>
      <c r="L42" s="44">
        <v>52</v>
      </c>
      <c r="M42" s="44">
        <v>53</v>
      </c>
      <c r="N42" s="35">
        <v>58</v>
      </c>
      <c r="O42" s="119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62</v>
      </c>
      <c r="M43" s="36">
        <v>61</v>
      </c>
      <c r="N43" s="36">
        <v>68</v>
      </c>
      <c r="O43" s="120"/>
    </row>
  </sheetData>
  <mergeCells count="71">
    <mergeCell ref="B32:B33"/>
    <mergeCell ref="C32:C33"/>
    <mergeCell ref="J32:J33"/>
    <mergeCell ref="O32:O33"/>
    <mergeCell ref="B34:B35"/>
    <mergeCell ref="C34:C35"/>
    <mergeCell ref="J34:J35"/>
    <mergeCell ref="O34:O35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O28:O29"/>
    <mergeCell ref="B30:B31"/>
    <mergeCell ref="C30:C31"/>
    <mergeCell ref="J30:J31"/>
    <mergeCell ref="O30:O31"/>
    <mergeCell ref="B28:B29"/>
    <mergeCell ref="C28:C29"/>
    <mergeCell ref="J28:J29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O12:O13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40736</v>
      </c>
      <c r="O2" s="29"/>
    </row>
    <row r="3" spans="1:73" ht="20.25" customHeight="1" thickBot="1" x14ac:dyDescent="0.25">
      <c r="A3" t="s">
        <v>1</v>
      </c>
      <c r="C3" s="38" t="s">
        <v>59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193</v>
      </c>
      <c r="O3" s="30"/>
    </row>
    <row r="4" spans="1:73" ht="20.25" customHeight="1" thickBot="1" x14ac:dyDescent="0.25">
      <c r="B4" s="3" t="s">
        <v>60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925</v>
      </c>
      <c r="K10" s="22" t="s">
        <v>12</v>
      </c>
      <c r="L10" s="35">
        <v>91</v>
      </c>
      <c r="M10" s="35">
        <v>82</v>
      </c>
      <c r="N10" s="44">
        <v>71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97</v>
      </c>
      <c r="M11" s="36">
        <v>89</v>
      </c>
      <c r="N11" s="36">
        <v>77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70</v>
      </c>
      <c r="M12" s="35">
        <v>73</v>
      </c>
      <c r="N12" s="35">
        <v>77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88</v>
      </c>
      <c r="M13" s="36">
        <v>91</v>
      </c>
      <c r="N13" s="36">
        <v>92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64</v>
      </c>
      <c r="M14" s="35">
        <v>50</v>
      </c>
      <c r="N14" s="35">
        <v>56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78</v>
      </c>
      <c r="M15" s="36">
        <v>76</v>
      </c>
      <c r="N15" s="36">
        <v>70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90</v>
      </c>
      <c r="M16" s="35">
        <v>83</v>
      </c>
      <c r="N16" s="44">
        <v>76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101</v>
      </c>
      <c r="M17" s="36">
        <v>97</v>
      </c>
      <c r="N17" s="36">
        <v>93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76</v>
      </c>
      <c r="M18" s="35">
        <v>83</v>
      </c>
      <c r="N18" s="44">
        <v>75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88</v>
      </c>
      <c r="M19" s="36">
        <v>96</v>
      </c>
      <c r="N19" s="36">
        <v>94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74</v>
      </c>
      <c r="M20" s="35">
        <v>77</v>
      </c>
      <c r="N20" s="35">
        <v>66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86</v>
      </c>
      <c r="M21" s="36">
        <v>90</v>
      </c>
      <c r="N21" s="36">
        <v>82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80</v>
      </c>
      <c r="M22" s="35">
        <v>78</v>
      </c>
      <c r="N22" s="35">
        <v>76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101</v>
      </c>
      <c r="M23" s="36">
        <v>101</v>
      </c>
      <c r="N23" s="36">
        <v>93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35">
        <v>87</v>
      </c>
      <c r="M24" s="35">
        <v>90</v>
      </c>
      <c r="N24" s="35">
        <v>89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100</v>
      </c>
      <c r="M25" s="36">
        <v>102</v>
      </c>
      <c r="N25" s="36">
        <v>101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1050</v>
      </c>
      <c r="K26" s="22" t="s">
        <v>12</v>
      </c>
      <c r="L26" s="35">
        <v>64</v>
      </c>
      <c r="M26" s="35">
        <v>65</v>
      </c>
      <c r="N26" s="35">
        <v>66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87</v>
      </c>
      <c r="M27" s="36">
        <v>85</v>
      </c>
      <c r="N27" s="36">
        <v>82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35">
        <v>91</v>
      </c>
      <c r="M28" s="35">
        <v>86</v>
      </c>
      <c r="N28" s="35">
        <v>99</v>
      </c>
      <c r="O28" s="105" t="s">
        <v>63</v>
      </c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88</v>
      </c>
      <c r="M29" s="36">
        <v>97</v>
      </c>
      <c r="N29" s="36">
        <v>105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73</v>
      </c>
      <c r="M30" s="35">
        <v>82</v>
      </c>
      <c r="N30" s="35">
        <v>76</v>
      </c>
      <c r="O30" s="105" t="s">
        <v>61</v>
      </c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91</v>
      </c>
      <c r="M31" s="36">
        <v>92</v>
      </c>
      <c r="N31" s="36">
        <v>91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35">
        <v>95</v>
      </c>
      <c r="M32" s="35">
        <v>81</v>
      </c>
      <c r="N32" s="35">
        <v>73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103</v>
      </c>
      <c r="M33" s="36">
        <v>93</v>
      </c>
      <c r="N33" s="36">
        <v>94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47</v>
      </c>
      <c r="M34" s="35">
        <v>72</v>
      </c>
      <c r="N34" s="35">
        <v>68</v>
      </c>
      <c r="O34" s="105" t="s">
        <v>62</v>
      </c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73</v>
      </c>
      <c r="M35" s="36">
        <v>83</v>
      </c>
      <c r="N35" s="36">
        <v>82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35">
        <v>81</v>
      </c>
      <c r="M36" s="35">
        <v>84</v>
      </c>
      <c r="N36" s="35">
        <v>81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100</v>
      </c>
      <c r="M37" s="36">
        <v>98</v>
      </c>
      <c r="N37" s="36">
        <v>95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87</v>
      </c>
      <c r="M38" s="35">
        <v>75</v>
      </c>
      <c r="N38" s="35">
        <v>78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98</v>
      </c>
      <c r="M39" s="36">
        <v>91</v>
      </c>
      <c r="N39" s="36">
        <v>85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79</v>
      </c>
      <c r="M40" s="44">
        <v>72</v>
      </c>
      <c r="N40" s="35">
        <v>77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91</v>
      </c>
      <c r="M41" s="36">
        <v>92</v>
      </c>
      <c r="N41" s="36">
        <v>95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1200</v>
      </c>
      <c r="K42" s="22" t="s">
        <v>12</v>
      </c>
      <c r="L42" s="44">
        <v>44</v>
      </c>
      <c r="M42" s="44">
        <v>53</v>
      </c>
      <c r="N42" s="35">
        <v>58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62</v>
      </c>
      <c r="M43" s="36">
        <v>63</v>
      </c>
      <c r="N43" s="36">
        <v>71</v>
      </c>
      <c r="O43" s="106"/>
    </row>
  </sheetData>
  <mergeCells count="70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B42:B43"/>
    <mergeCell ref="C42:C43"/>
    <mergeCell ref="J42:J43"/>
    <mergeCell ref="O42:O43"/>
  </mergeCells>
  <pageMargins left="0.45" right="0" top="0.49" bottom="0" header="0.64" footer="0"/>
  <pageSetup paperSize="512" scale="72" orientation="portrait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40746</v>
      </c>
      <c r="O2" s="29"/>
    </row>
    <row r="3" spans="1:73" ht="20.25" customHeight="1" thickBot="1" x14ac:dyDescent="0.25">
      <c r="A3" t="s">
        <v>1</v>
      </c>
      <c r="C3" s="38" t="s">
        <v>64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203</v>
      </c>
      <c r="O3" s="30"/>
    </row>
    <row r="4" spans="1:73" ht="20.25" customHeight="1" thickBot="1" x14ac:dyDescent="0.25">
      <c r="B4" s="3"/>
      <c r="C4" s="38" t="s">
        <v>65</v>
      </c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955</v>
      </c>
      <c r="K10" s="22" t="s">
        <v>12</v>
      </c>
      <c r="L10" s="35">
        <v>94</v>
      </c>
      <c r="M10" s="35">
        <v>86</v>
      </c>
      <c r="N10" s="44">
        <v>81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107</v>
      </c>
      <c r="M11" s="36">
        <v>99</v>
      </c>
      <c r="N11" s="36">
        <v>85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96</v>
      </c>
      <c r="M12" s="35">
        <v>98</v>
      </c>
      <c r="N12" s="35">
        <v>101</v>
      </c>
      <c r="O12" s="42" t="s">
        <v>67</v>
      </c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100</v>
      </c>
      <c r="M13" s="36">
        <v>103</v>
      </c>
      <c r="N13" s="36">
        <v>106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77</v>
      </c>
      <c r="M14" s="35">
        <v>66</v>
      </c>
      <c r="N14" s="35">
        <v>74</v>
      </c>
      <c r="O14" s="105" t="s">
        <v>68</v>
      </c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85</v>
      </c>
      <c r="M15" s="36">
        <v>82</v>
      </c>
      <c r="N15" s="36">
        <v>88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35">
        <v>100</v>
      </c>
      <c r="M16" s="35">
        <v>102</v>
      </c>
      <c r="N16" s="44">
        <v>88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105</v>
      </c>
      <c r="M17" s="36">
        <v>110</v>
      </c>
      <c r="N17" s="36">
        <v>95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92</v>
      </c>
      <c r="M18" s="35">
        <v>100</v>
      </c>
      <c r="N18" s="44">
        <v>93</v>
      </c>
      <c r="O18" s="105" t="s">
        <v>67</v>
      </c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102</v>
      </c>
      <c r="M19" s="36">
        <v>105</v>
      </c>
      <c r="N19" s="36">
        <v>98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86</v>
      </c>
      <c r="M20" s="35">
        <v>89</v>
      </c>
      <c r="N20" s="35">
        <v>85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93</v>
      </c>
      <c r="M21" s="36">
        <v>99</v>
      </c>
      <c r="N21" s="36">
        <v>91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35">
        <v>101</v>
      </c>
      <c r="M22" s="35">
        <v>96</v>
      </c>
      <c r="N22" s="35">
        <v>88</v>
      </c>
      <c r="O22" s="105" t="s">
        <v>68</v>
      </c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111</v>
      </c>
      <c r="M23" s="36">
        <v>107</v>
      </c>
      <c r="N23" s="36">
        <v>102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44" t="s">
        <v>66</v>
      </c>
      <c r="M24" s="44" t="s">
        <v>66</v>
      </c>
      <c r="N24" s="44" t="s">
        <v>66</v>
      </c>
      <c r="O24" s="105" t="s">
        <v>69</v>
      </c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105</v>
      </c>
      <c r="M25" s="36">
        <v>109</v>
      </c>
      <c r="N25" s="36">
        <v>109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1025</v>
      </c>
      <c r="K26" s="22" t="s">
        <v>12</v>
      </c>
      <c r="L26" s="35">
        <v>76</v>
      </c>
      <c r="M26" s="35">
        <v>80</v>
      </c>
      <c r="N26" s="35">
        <v>84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95</v>
      </c>
      <c r="M27" s="36">
        <v>91</v>
      </c>
      <c r="N27" s="36">
        <v>88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44" t="s">
        <v>66</v>
      </c>
      <c r="M28" s="44" t="s">
        <v>66</v>
      </c>
      <c r="N28" s="44" t="s">
        <v>66</v>
      </c>
      <c r="O28" s="105" t="s">
        <v>69</v>
      </c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100</v>
      </c>
      <c r="M29" s="36">
        <v>108</v>
      </c>
      <c r="N29" s="36">
        <v>115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94</v>
      </c>
      <c r="M30" s="35">
        <v>98</v>
      </c>
      <c r="N30" s="35">
        <v>81</v>
      </c>
      <c r="O30" s="105" t="s">
        <v>67</v>
      </c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105</v>
      </c>
      <c r="M31" s="36">
        <v>106</v>
      </c>
      <c r="N31" s="36">
        <v>102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44" t="s">
        <v>66</v>
      </c>
      <c r="M32" s="44" t="s">
        <v>66</v>
      </c>
      <c r="N32" s="44" t="s">
        <v>66</v>
      </c>
      <c r="O32" s="105" t="s">
        <v>69</v>
      </c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118</v>
      </c>
      <c r="M33" s="36">
        <v>104</v>
      </c>
      <c r="N33" s="36">
        <v>105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76</v>
      </c>
      <c r="M34" s="35">
        <v>89</v>
      </c>
      <c r="N34" s="35">
        <v>93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84</v>
      </c>
      <c r="M35" s="36">
        <v>96</v>
      </c>
      <c r="N35" s="36">
        <v>97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44" t="s">
        <v>66</v>
      </c>
      <c r="M36" s="44" t="s">
        <v>66</v>
      </c>
      <c r="N36" s="44" t="s">
        <v>66</v>
      </c>
      <c r="O36" s="105" t="s">
        <v>70</v>
      </c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111</v>
      </c>
      <c r="M37" s="36">
        <v>112</v>
      </c>
      <c r="N37" s="36">
        <v>107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97</v>
      </c>
      <c r="M38" s="35">
        <v>86</v>
      </c>
      <c r="N38" s="35">
        <v>90</v>
      </c>
      <c r="O38" s="105" t="s">
        <v>67</v>
      </c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103</v>
      </c>
      <c r="M39" s="36">
        <v>103</v>
      </c>
      <c r="N39" s="36">
        <v>102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93</v>
      </c>
      <c r="M40" s="44">
        <v>82</v>
      </c>
      <c r="N40" s="35">
        <v>93</v>
      </c>
      <c r="O40" s="105" t="s">
        <v>68</v>
      </c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103</v>
      </c>
      <c r="M41" s="36">
        <v>99</v>
      </c>
      <c r="N41" s="36">
        <v>103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1105</v>
      </c>
      <c r="K42" s="22" t="s">
        <v>12</v>
      </c>
      <c r="L42" s="44">
        <v>68</v>
      </c>
      <c r="M42" s="44">
        <v>68</v>
      </c>
      <c r="N42" s="35">
        <v>65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72</v>
      </c>
      <c r="M43" s="36">
        <v>74</v>
      </c>
      <c r="N43" s="36">
        <v>84</v>
      </c>
      <c r="O43" s="106"/>
    </row>
  </sheetData>
  <mergeCells count="70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B42:B43"/>
    <mergeCell ref="C42:C43"/>
    <mergeCell ref="J42:J43"/>
    <mergeCell ref="O42:O43"/>
  </mergeCells>
  <pageMargins left="0.45" right="0" top="0.49" bottom="0" header="0.64" footer="0"/>
  <pageSetup paperSize="512" scale="72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40756</v>
      </c>
      <c r="O2" s="29"/>
    </row>
    <row r="3" spans="1:73" ht="20.25" customHeight="1" thickBot="1" x14ac:dyDescent="0.25">
      <c r="A3" t="s">
        <v>1</v>
      </c>
      <c r="C3" s="38" t="s">
        <v>71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213</v>
      </c>
      <c r="O3" s="30"/>
    </row>
    <row r="4" spans="1:73" ht="20.25" customHeight="1" thickBot="1" x14ac:dyDescent="0.25">
      <c r="B4" s="3"/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1005</v>
      </c>
      <c r="K10" s="22" t="s">
        <v>12</v>
      </c>
      <c r="L10" s="44" t="s">
        <v>66</v>
      </c>
      <c r="M10" s="35">
        <v>99</v>
      </c>
      <c r="N10" s="44">
        <v>92</v>
      </c>
      <c r="O10" s="40" t="s">
        <v>70</v>
      </c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113</v>
      </c>
      <c r="M11" s="36">
        <v>100</v>
      </c>
      <c r="N11" s="36">
        <v>87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44" t="s">
        <v>66</v>
      </c>
      <c r="M12" s="44" t="s">
        <v>66</v>
      </c>
      <c r="N12" s="44" t="s">
        <v>66</v>
      </c>
      <c r="O12" s="42" t="s">
        <v>69</v>
      </c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105</v>
      </c>
      <c r="M13" s="36">
        <v>110</v>
      </c>
      <c r="N13" s="36">
        <v>110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96</v>
      </c>
      <c r="M14" s="35">
        <v>89</v>
      </c>
      <c r="N14" s="35">
        <v>86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98</v>
      </c>
      <c r="M15" s="36">
        <v>97</v>
      </c>
      <c r="N15" s="36">
        <v>93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44" t="s">
        <v>66</v>
      </c>
      <c r="M16" s="44" t="s">
        <v>66</v>
      </c>
      <c r="N16" s="44" t="s">
        <v>66</v>
      </c>
      <c r="O16" s="105" t="s">
        <v>69</v>
      </c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110</v>
      </c>
      <c r="M17" s="36">
        <v>115</v>
      </c>
      <c r="N17" s="36">
        <v>109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>
        <v>89</v>
      </c>
      <c r="M18" s="35">
        <v>98</v>
      </c>
      <c r="N18" s="44">
        <v>98</v>
      </c>
      <c r="O18" s="105" t="s">
        <v>70</v>
      </c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109</v>
      </c>
      <c r="M19" s="36">
        <v>106</v>
      </c>
      <c r="N19" s="36">
        <v>109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97</v>
      </c>
      <c r="M20" s="44" t="s">
        <v>66</v>
      </c>
      <c r="N20" s="35">
        <v>99</v>
      </c>
      <c r="O20" s="105" t="s">
        <v>70</v>
      </c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104</v>
      </c>
      <c r="M21" s="36">
        <v>100</v>
      </c>
      <c r="N21" s="36">
        <v>101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44" t="s">
        <v>66</v>
      </c>
      <c r="M22" s="44" t="s">
        <v>66</v>
      </c>
      <c r="N22" s="44" t="s">
        <v>66</v>
      </c>
      <c r="O22" s="105" t="s">
        <v>69</v>
      </c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115</v>
      </c>
      <c r="M23" s="36">
        <v>114</v>
      </c>
      <c r="N23" s="36">
        <v>113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44" t="s">
        <v>66</v>
      </c>
      <c r="M24" s="44" t="s">
        <v>66</v>
      </c>
      <c r="N24" s="44" t="s">
        <v>66</v>
      </c>
      <c r="O24" s="105" t="s">
        <v>69</v>
      </c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111</v>
      </c>
      <c r="M25" s="36">
        <v>115</v>
      </c>
      <c r="N25" s="36">
        <v>111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1135</v>
      </c>
      <c r="K26" s="22" t="s">
        <v>12</v>
      </c>
      <c r="L26" s="35">
        <v>92</v>
      </c>
      <c r="M26" s="35">
        <v>89</v>
      </c>
      <c r="N26" s="35">
        <v>87</v>
      </c>
      <c r="O26" s="105" t="s">
        <v>70</v>
      </c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100</v>
      </c>
      <c r="M27" s="36">
        <v>99</v>
      </c>
      <c r="N27" s="36">
        <v>96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44" t="s">
        <v>66</v>
      </c>
      <c r="M28" s="44" t="s">
        <v>66</v>
      </c>
      <c r="N28" s="44" t="s">
        <v>66</v>
      </c>
      <c r="O28" s="105" t="s">
        <v>69</v>
      </c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100</v>
      </c>
      <c r="M29" s="36">
        <v>115</v>
      </c>
      <c r="N29" s="36">
        <v>124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>
        <v>94</v>
      </c>
      <c r="M30" s="44" t="s">
        <v>66</v>
      </c>
      <c r="N30" s="35">
        <v>98</v>
      </c>
      <c r="O30" s="105" t="s">
        <v>70</v>
      </c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115</v>
      </c>
      <c r="M31" s="36">
        <v>116</v>
      </c>
      <c r="N31" s="36">
        <v>111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44" t="s">
        <v>66</v>
      </c>
      <c r="M32" s="44" t="s">
        <v>66</v>
      </c>
      <c r="N32" s="44" t="s">
        <v>66</v>
      </c>
      <c r="O32" s="105" t="s">
        <v>69</v>
      </c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132</v>
      </c>
      <c r="M33" s="36">
        <v>114</v>
      </c>
      <c r="N33" s="36">
        <v>116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81</v>
      </c>
      <c r="M34" s="35">
        <v>99</v>
      </c>
      <c r="N34" s="35">
        <v>97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95</v>
      </c>
      <c r="M35" s="36">
        <v>108</v>
      </c>
      <c r="N35" s="36">
        <v>104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44" t="s">
        <v>66</v>
      </c>
      <c r="M36" s="44" t="s">
        <v>66</v>
      </c>
      <c r="N36" s="44" t="s">
        <v>66</v>
      </c>
      <c r="O36" s="105" t="s">
        <v>69</v>
      </c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126</v>
      </c>
      <c r="M37" s="36">
        <v>127</v>
      </c>
      <c r="N37" s="36">
        <v>121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>
        <v>97</v>
      </c>
      <c r="M38" s="35">
        <v>95</v>
      </c>
      <c r="N38" s="35">
        <v>93</v>
      </c>
      <c r="O38" s="105" t="s">
        <v>70</v>
      </c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117</v>
      </c>
      <c r="M39" s="36">
        <v>108</v>
      </c>
      <c r="N39" s="36">
        <v>105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>
        <v>92</v>
      </c>
      <c r="M40" s="44">
        <v>90</v>
      </c>
      <c r="N40" s="44" t="s">
        <v>66</v>
      </c>
      <c r="O40" s="105" t="s">
        <v>70</v>
      </c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105</v>
      </c>
      <c r="M41" s="36">
        <v>98</v>
      </c>
      <c r="N41" s="36">
        <v>109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1300</v>
      </c>
      <c r="K42" s="22" t="s">
        <v>12</v>
      </c>
      <c r="L42" s="44">
        <v>87</v>
      </c>
      <c r="M42" s="44">
        <v>94</v>
      </c>
      <c r="N42" s="35">
        <v>85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91</v>
      </c>
      <c r="M43" s="36">
        <v>85</v>
      </c>
      <c r="N43" s="36">
        <v>105</v>
      </c>
      <c r="O43" s="106"/>
    </row>
  </sheetData>
  <mergeCells count="70">
    <mergeCell ref="B40:B41"/>
    <mergeCell ref="C40:C41"/>
    <mergeCell ref="J40:J41"/>
    <mergeCell ref="O40:O41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40767</v>
      </c>
      <c r="O2" s="29"/>
    </row>
    <row r="3" spans="1:73" ht="20.25" customHeight="1" thickBot="1" x14ac:dyDescent="0.25">
      <c r="A3" t="s">
        <v>1</v>
      </c>
      <c r="C3" s="38" t="s">
        <v>72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224</v>
      </c>
      <c r="O3" s="30"/>
    </row>
    <row r="4" spans="1:73" ht="20.25" customHeight="1" thickBot="1" x14ac:dyDescent="0.25">
      <c r="B4" s="3" t="s">
        <v>73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B5" t="s">
        <v>74</v>
      </c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955</v>
      </c>
      <c r="K10" s="22" t="s">
        <v>12</v>
      </c>
      <c r="L10" s="44" t="s">
        <v>66</v>
      </c>
      <c r="M10" s="35">
        <v>93</v>
      </c>
      <c r="N10" s="44">
        <v>97</v>
      </c>
      <c r="O10" s="40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106</v>
      </c>
      <c r="M11" s="36">
        <v>100</v>
      </c>
      <c r="N11" s="36">
        <v>94</v>
      </c>
      <c r="O11" s="41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35">
        <v>96</v>
      </c>
      <c r="M12" s="44" t="s">
        <v>66</v>
      </c>
      <c r="N12" s="44" t="s">
        <v>66</v>
      </c>
      <c r="O12" s="42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107</v>
      </c>
      <c r="M13" s="36">
        <v>111</v>
      </c>
      <c r="N13" s="36">
        <v>109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35">
        <v>98</v>
      </c>
      <c r="M14" s="35">
        <v>92</v>
      </c>
      <c r="N14" s="35">
        <v>93</v>
      </c>
      <c r="O14" s="105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109</v>
      </c>
      <c r="M15" s="36">
        <v>106</v>
      </c>
      <c r="N15" s="36">
        <v>98</v>
      </c>
      <c r="O15" s="106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44" t="s">
        <v>66</v>
      </c>
      <c r="M16" s="44" t="s">
        <v>66</v>
      </c>
      <c r="N16" s="44" t="s">
        <v>66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119</v>
      </c>
      <c r="M17" s="36">
        <v>129</v>
      </c>
      <c r="N17" s="36">
        <v>118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 t="s">
        <v>66</v>
      </c>
      <c r="M18" s="44" t="s">
        <v>66</v>
      </c>
      <c r="N18" s="44" t="s">
        <v>66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111</v>
      </c>
      <c r="M19" s="36">
        <v>113</v>
      </c>
      <c r="N19" s="36">
        <v>110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35">
        <v>100</v>
      </c>
      <c r="M20" s="44" t="s">
        <v>66</v>
      </c>
      <c r="N20" s="35">
        <v>98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108</v>
      </c>
      <c r="M21" s="36">
        <v>115</v>
      </c>
      <c r="N21" s="36">
        <v>114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44" t="s">
        <v>66</v>
      </c>
      <c r="M22" s="44" t="s">
        <v>66</v>
      </c>
      <c r="N22" s="44" t="s">
        <v>66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121</v>
      </c>
      <c r="M23" s="36">
        <v>124</v>
      </c>
      <c r="N23" s="36">
        <v>115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44" t="s">
        <v>66</v>
      </c>
      <c r="M24" s="44" t="s">
        <v>66</v>
      </c>
      <c r="N24" s="44" t="s">
        <v>66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113</v>
      </c>
      <c r="M25" s="36">
        <v>116</v>
      </c>
      <c r="N25" s="36">
        <v>113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1050</v>
      </c>
      <c r="K26" s="22" t="s">
        <v>12</v>
      </c>
      <c r="L26" s="35">
        <v>97</v>
      </c>
      <c r="M26" s="35">
        <v>92</v>
      </c>
      <c r="N26" s="35">
        <v>84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111</v>
      </c>
      <c r="M27" s="36">
        <v>105</v>
      </c>
      <c r="N27" s="36">
        <v>99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44" t="s">
        <v>66</v>
      </c>
      <c r="M28" s="44" t="s">
        <v>66</v>
      </c>
      <c r="N28" s="44" t="s">
        <v>66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106</v>
      </c>
      <c r="M29" s="36">
        <v>116</v>
      </c>
      <c r="N29" s="36">
        <v>131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 t="s">
        <v>66</v>
      </c>
      <c r="M30" s="44" t="s">
        <v>66</v>
      </c>
      <c r="N30" s="44" t="s">
        <v>66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116</v>
      </c>
      <c r="M31" s="36">
        <v>119</v>
      </c>
      <c r="N31" s="36">
        <v>112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44" t="s">
        <v>66</v>
      </c>
      <c r="M32" s="44" t="s">
        <v>66</v>
      </c>
      <c r="N32" s="44" t="s">
        <v>66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134</v>
      </c>
      <c r="M33" s="36">
        <v>134</v>
      </c>
      <c r="N33" s="36">
        <v>125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35">
        <v>95</v>
      </c>
      <c r="M34" s="35">
        <v>96</v>
      </c>
      <c r="N34" s="35">
        <v>103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109</v>
      </c>
      <c r="M35" s="36">
        <v>111</v>
      </c>
      <c r="N35" s="36">
        <v>110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>
        <v>1120</v>
      </c>
      <c r="K36" s="22" t="s">
        <v>12</v>
      </c>
      <c r="L36" s="44" t="s">
        <v>66</v>
      </c>
      <c r="M36" s="44" t="s">
        <v>66</v>
      </c>
      <c r="N36" s="44" t="s">
        <v>66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134</v>
      </c>
      <c r="M37" s="36">
        <v>138</v>
      </c>
      <c r="N37" s="36">
        <v>131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73"/>
      <c r="M38" s="74"/>
      <c r="N38" s="74"/>
      <c r="O38" s="105" t="s">
        <v>75</v>
      </c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75"/>
      <c r="M39" s="75"/>
      <c r="N39" s="75"/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73"/>
      <c r="M40" s="73"/>
      <c r="N40" s="74"/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75"/>
      <c r="M41" s="75"/>
      <c r="N41" s="75"/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/>
      <c r="K42" s="22" t="s">
        <v>12</v>
      </c>
      <c r="L42" s="73"/>
      <c r="M42" s="73"/>
      <c r="N42" s="74"/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75"/>
      <c r="M43" s="75"/>
      <c r="N43" s="75"/>
      <c r="O43" s="106"/>
    </row>
  </sheetData>
  <mergeCells count="70">
    <mergeCell ref="AF5:AH5"/>
    <mergeCell ref="L6:N6"/>
    <mergeCell ref="O7:O8"/>
    <mergeCell ref="B8:K8"/>
    <mergeCell ref="B10:B11"/>
    <mergeCell ref="C10:C11"/>
    <mergeCell ref="J10:J11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B20:B21"/>
    <mergeCell ref="C20:C21"/>
    <mergeCell ref="J20:J21"/>
    <mergeCell ref="O20:O21"/>
    <mergeCell ref="B22:B23"/>
    <mergeCell ref="C22:C23"/>
    <mergeCell ref="J22:J23"/>
    <mergeCell ref="O22:O23"/>
    <mergeCell ref="B24:B25"/>
    <mergeCell ref="C24:C25"/>
    <mergeCell ref="J24:J25"/>
    <mergeCell ref="O24:O25"/>
    <mergeCell ref="B26:B27"/>
    <mergeCell ref="C26:C27"/>
    <mergeCell ref="J26:J27"/>
    <mergeCell ref="O26:O27"/>
    <mergeCell ref="B28:B29"/>
    <mergeCell ref="C28:C29"/>
    <mergeCell ref="J28:J29"/>
    <mergeCell ref="O28:O29"/>
    <mergeCell ref="B30:B31"/>
    <mergeCell ref="C30:C31"/>
    <mergeCell ref="J30:J31"/>
    <mergeCell ref="O30:O31"/>
    <mergeCell ref="B32:B33"/>
    <mergeCell ref="C32:C33"/>
    <mergeCell ref="J32:J33"/>
    <mergeCell ref="O32:O33"/>
    <mergeCell ref="B34:B35"/>
    <mergeCell ref="C34:C35"/>
    <mergeCell ref="J34:J35"/>
    <mergeCell ref="O34:O35"/>
    <mergeCell ref="B36:B37"/>
    <mergeCell ref="C36:C37"/>
    <mergeCell ref="J36:J37"/>
    <mergeCell ref="O36:O37"/>
    <mergeCell ref="B38:B39"/>
    <mergeCell ref="C38:C39"/>
    <mergeCell ref="J38:J39"/>
    <mergeCell ref="O38:O39"/>
    <mergeCell ref="B40:B41"/>
    <mergeCell ref="C40:C41"/>
    <mergeCell ref="J40:J41"/>
    <mergeCell ref="O40:O41"/>
    <mergeCell ref="B42:B43"/>
    <mergeCell ref="C42:C43"/>
    <mergeCell ref="J42:J43"/>
    <mergeCell ref="O42:O43"/>
  </mergeCells>
  <pageMargins left="0.45" right="0" top="0.49" bottom="0" header="0.64" footer="0"/>
  <pageSetup paperSize="512" scale="72"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U43"/>
  <sheetViews>
    <sheetView zoomScale="90" zoomScaleNormal="90" workbookViewId="0"/>
  </sheetViews>
  <sheetFormatPr defaultRowHeight="12.75" x14ac:dyDescent="0.2"/>
  <cols>
    <col min="1" max="1" width="5.42578125" customWidth="1"/>
    <col min="2" max="2" width="6.28515625" customWidth="1"/>
    <col min="3" max="3" width="12.7109375" customWidth="1"/>
    <col min="4" max="8" width="5.28515625" hidden="1" customWidth="1"/>
    <col min="9" max="9" width="7" hidden="1" customWidth="1"/>
    <col min="10" max="10" width="8.42578125" customWidth="1"/>
    <col min="11" max="14" width="12.7109375" customWidth="1"/>
    <col min="15" max="15" width="48.7109375" customWidth="1"/>
    <col min="22" max="22" width="7.5703125" customWidth="1"/>
    <col min="23" max="32" width="7.7109375" customWidth="1"/>
  </cols>
  <sheetData>
    <row r="1" spans="1:73" ht="15" customHeight="1" x14ac:dyDescent="0.25">
      <c r="A1" s="1" t="s">
        <v>33</v>
      </c>
    </row>
    <row r="2" spans="1:73" ht="20.25" customHeight="1" thickBot="1" x14ac:dyDescent="0.3">
      <c r="A2" s="1"/>
      <c r="M2" s="15" t="s">
        <v>0</v>
      </c>
      <c r="N2" s="23">
        <v>40774</v>
      </c>
      <c r="O2" s="29"/>
    </row>
    <row r="3" spans="1:73" ht="20.25" customHeight="1" thickBot="1" x14ac:dyDescent="0.25">
      <c r="A3" t="s">
        <v>1</v>
      </c>
      <c r="C3" s="38" t="s">
        <v>76</v>
      </c>
      <c r="D3" s="3"/>
      <c r="E3" s="3"/>
      <c r="F3" s="3"/>
      <c r="G3" s="3"/>
      <c r="H3" s="3"/>
      <c r="I3" s="3"/>
      <c r="J3" s="3"/>
      <c r="K3" s="3"/>
      <c r="L3" s="3"/>
      <c r="M3" s="15" t="s">
        <v>23</v>
      </c>
      <c r="N3" s="2">
        <v>231</v>
      </c>
      <c r="O3" s="30"/>
    </row>
    <row r="4" spans="1:73" ht="20.25" customHeight="1" thickBot="1" x14ac:dyDescent="0.25">
      <c r="B4" s="3" t="s">
        <v>77</v>
      </c>
      <c r="C4" s="38"/>
      <c r="D4" s="4"/>
      <c r="E4" s="4"/>
      <c r="F4" s="4"/>
      <c r="G4" s="4"/>
      <c r="H4" s="4"/>
      <c r="I4" s="4"/>
      <c r="J4" s="4"/>
      <c r="K4" s="4"/>
      <c r="L4" s="4"/>
      <c r="M4" s="15" t="s">
        <v>2</v>
      </c>
      <c r="N4" s="2" t="s">
        <v>26</v>
      </c>
      <c r="O4" s="30"/>
    </row>
    <row r="5" spans="1:73" ht="18" x14ac:dyDescent="0.2">
      <c r="AE5" s="5"/>
      <c r="AF5" s="90"/>
      <c r="AG5" s="90"/>
      <c r="AH5" s="90"/>
    </row>
    <row r="6" spans="1:73" ht="18" x14ac:dyDescent="0.25">
      <c r="L6" s="109"/>
      <c r="M6" s="92"/>
      <c r="N6" s="93"/>
      <c r="O6" s="31"/>
      <c r="AE6" s="5"/>
      <c r="AF6" s="24"/>
      <c r="AG6" s="24"/>
      <c r="AH6" s="24"/>
    </row>
    <row r="7" spans="1:73" ht="25.5" customHeight="1" x14ac:dyDescent="0.2">
      <c r="B7" s="6" t="s">
        <v>3</v>
      </c>
      <c r="C7" s="7"/>
      <c r="D7" s="7" t="s">
        <v>4</v>
      </c>
      <c r="E7" s="6" t="s">
        <v>5</v>
      </c>
      <c r="F7" s="7" t="s">
        <v>6</v>
      </c>
      <c r="G7" s="6" t="s">
        <v>7</v>
      </c>
      <c r="H7" s="6" t="s">
        <v>8</v>
      </c>
      <c r="I7" s="6" t="s">
        <v>9</v>
      </c>
      <c r="J7" s="6" t="s">
        <v>11</v>
      </c>
      <c r="K7" s="8" t="s">
        <v>24</v>
      </c>
      <c r="L7" s="22" t="s">
        <v>30</v>
      </c>
      <c r="M7" s="22" t="s">
        <v>31</v>
      </c>
      <c r="N7" s="22" t="s">
        <v>32</v>
      </c>
      <c r="O7" s="94" t="s">
        <v>25</v>
      </c>
      <c r="AE7" s="10"/>
      <c r="AF7" s="9"/>
      <c r="AG7" s="9"/>
      <c r="AH7" s="11"/>
    </row>
    <row r="8" spans="1:73" ht="15.95" customHeight="1" thickBot="1" x14ac:dyDescent="0.25">
      <c r="B8" s="96"/>
      <c r="C8" s="97"/>
      <c r="D8" s="97"/>
      <c r="E8" s="97"/>
      <c r="F8" s="97"/>
      <c r="G8" s="97"/>
      <c r="H8" s="97"/>
      <c r="I8" s="97"/>
      <c r="J8" s="97"/>
      <c r="K8" s="98"/>
      <c r="L8" s="39" t="s">
        <v>27</v>
      </c>
      <c r="M8" s="39"/>
      <c r="N8" s="39"/>
      <c r="O8" s="95"/>
      <c r="AF8" s="12"/>
      <c r="AG8" s="12"/>
      <c r="AH8" s="12"/>
    </row>
    <row r="9" spans="1:73" ht="15.95" hidden="1" customHeight="1" x14ac:dyDescent="0.2">
      <c r="B9" s="25" t="s">
        <v>3</v>
      </c>
      <c r="C9" s="26" t="s">
        <v>10</v>
      </c>
      <c r="D9" s="26" t="s">
        <v>14</v>
      </c>
      <c r="E9" s="25" t="s">
        <v>15</v>
      </c>
      <c r="F9" s="26" t="s">
        <v>16</v>
      </c>
      <c r="G9" s="25" t="s">
        <v>17</v>
      </c>
      <c r="H9" s="25" t="s">
        <v>8</v>
      </c>
      <c r="I9" s="25" t="s">
        <v>18</v>
      </c>
      <c r="J9" s="27" t="s">
        <v>11</v>
      </c>
      <c r="K9" s="27" t="s">
        <v>19</v>
      </c>
      <c r="L9" s="28" t="s">
        <v>20</v>
      </c>
      <c r="M9" s="28" t="s">
        <v>21</v>
      </c>
      <c r="N9" s="28" t="s">
        <v>22</v>
      </c>
      <c r="O9" s="32"/>
      <c r="AF9" s="12"/>
      <c r="AG9" s="12"/>
      <c r="AH9" s="12"/>
    </row>
    <row r="10" spans="1:73" ht="24.2" customHeight="1" x14ac:dyDescent="0.2">
      <c r="B10" s="99">
        <v>1</v>
      </c>
      <c r="C10" s="101" t="s">
        <v>28</v>
      </c>
      <c r="D10" s="19" t="e">
        <f>VLOOKUP($B10,#REF!,3,0)</f>
        <v>#REF!</v>
      </c>
      <c r="E10" s="19" t="e">
        <f>VLOOKUP($B10,#REF!,4,0)</f>
        <v>#REF!</v>
      </c>
      <c r="F10" s="19" t="e">
        <f>VLOOKUP($B10,#REF!,5,0)</f>
        <v>#REF!</v>
      </c>
      <c r="G10" s="19" t="e">
        <f>VLOOKUP($B10,#REF!,6,0)</f>
        <v>#REF!</v>
      </c>
      <c r="H10" s="19" t="e">
        <f>VLOOKUP($B10,#REF!,7,0)</f>
        <v>#REF!</v>
      </c>
      <c r="I10" s="19" t="e">
        <f>VLOOKUP($B10,#REF!,8,0)</f>
        <v>#REF!</v>
      </c>
      <c r="J10" s="102">
        <v>905</v>
      </c>
      <c r="K10" s="22" t="s">
        <v>12</v>
      </c>
      <c r="L10" s="44" t="s">
        <v>66</v>
      </c>
      <c r="M10" s="35">
        <v>98</v>
      </c>
      <c r="N10" s="44">
        <v>98</v>
      </c>
      <c r="O10" s="81"/>
      <c r="P10" s="13"/>
      <c r="Q10" s="13"/>
      <c r="R10" s="13"/>
      <c r="S10" s="13"/>
      <c r="T10" s="13"/>
      <c r="AF10" s="12"/>
      <c r="AG10" s="12"/>
      <c r="AH10" s="14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</row>
    <row r="11" spans="1:73" ht="24.2" customHeight="1" thickBot="1" x14ac:dyDescent="0.25">
      <c r="B11" s="100"/>
      <c r="C11" s="95"/>
      <c r="D11" s="20" t="e">
        <f>VLOOKUP($B11,#REF!,3,0)</f>
        <v>#REF!</v>
      </c>
      <c r="E11" s="20" t="e">
        <f>VLOOKUP($B11,#REF!,4,0)</f>
        <v>#REF!</v>
      </c>
      <c r="F11" s="20" t="e">
        <f>VLOOKUP($B11,#REF!,5,0)</f>
        <v>#REF!</v>
      </c>
      <c r="G11" s="20" t="e">
        <f>VLOOKUP($B11,#REF!,6,0)</f>
        <v>#REF!</v>
      </c>
      <c r="H11" s="20" t="e">
        <f>VLOOKUP($B11,#REF!,7,0)</f>
        <v>#REF!</v>
      </c>
      <c r="I11" s="20" t="e">
        <f>VLOOKUP($B11,#REF!,8,0)</f>
        <v>#REF!</v>
      </c>
      <c r="J11" s="103"/>
      <c r="K11" s="34" t="s">
        <v>13</v>
      </c>
      <c r="L11" s="36">
        <v>112</v>
      </c>
      <c r="M11" s="36">
        <v>109</v>
      </c>
      <c r="N11" s="36">
        <v>107</v>
      </c>
      <c r="O11" s="83"/>
      <c r="P11" s="13"/>
      <c r="Q11" s="13"/>
      <c r="R11" s="13"/>
      <c r="S11" s="13"/>
      <c r="T11" s="13"/>
      <c r="AF11" s="12"/>
      <c r="AG11" s="12"/>
      <c r="AH11" s="14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</row>
    <row r="12" spans="1:73" ht="24.2" customHeight="1" x14ac:dyDescent="0.2">
      <c r="B12" s="99">
        <v>2</v>
      </c>
      <c r="C12" s="101" t="s">
        <v>29</v>
      </c>
      <c r="D12" s="21" t="e">
        <f>VLOOKUP($B12,#REF!,3,0)</f>
        <v>#REF!</v>
      </c>
      <c r="E12" s="21" t="e">
        <f>VLOOKUP($B12,#REF!,4,0)</f>
        <v>#REF!</v>
      </c>
      <c r="F12" s="21" t="e">
        <f>VLOOKUP($B12,#REF!,5,0)</f>
        <v>#REF!</v>
      </c>
      <c r="G12" s="21" t="e">
        <f>VLOOKUP($B12,#REF!,6,0)</f>
        <v>#REF!</v>
      </c>
      <c r="H12" s="21" t="e">
        <f>VLOOKUP($B12,#REF!,7,0)</f>
        <v>#REF!</v>
      </c>
      <c r="I12" s="21" t="e">
        <f>VLOOKUP($B12,#REF!,8,0)</f>
        <v>#REF!</v>
      </c>
      <c r="J12" s="104"/>
      <c r="K12" s="33" t="s">
        <v>12</v>
      </c>
      <c r="L12" s="44" t="s">
        <v>66</v>
      </c>
      <c r="M12" s="44" t="s">
        <v>66</v>
      </c>
      <c r="N12" s="44" t="s">
        <v>66</v>
      </c>
      <c r="O12" s="81"/>
      <c r="P12" s="13"/>
      <c r="Q12" s="16"/>
      <c r="R12" s="13"/>
      <c r="S12" s="17"/>
      <c r="T12" s="13"/>
      <c r="AF12" s="12"/>
      <c r="AG12" s="12"/>
      <c r="AH12" s="12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</row>
    <row r="13" spans="1:73" ht="24.2" customHeight="1" thickBot="1" x14ac:dyDescent="0.25">
      <c r="B13" s="100"/>
      <c r="C13" s="107"/>
      <c r="D13" s="20" t="e">
        <f>VLOOKUP($B13,#REF!,3,0)</f>
        <v>#REF!</v>
      </c>
      <c r="E13" s="20" t="e">
        <f>VLOOKUP($B13,#REF!,4,0)</f>
        <v>#REF!</v>
      </c>
      <c r="F13" s="20" t="e">
        <f>VLOOKUP($B13,#REF!,5,0)</f>
        <v>#REF!</v>
      </c>
      <c r="G13" s="20" t="e">
        <f>VLOOKUP($B13,#REF!,6,0)</f>
        <v>#REF!</v>
      </c>
      <c r="H13" s="20" t="e">
        <f>VLOOKUP($B13,#REF!,7,0)</f>
        <v>#REF!</v>
      </c>
      <c r="I13" s="20" t="e">
        <f>VLOOKUP($B13,#REF!,8,0)</f>
        <v>#REF!</v>
      </c>
      <c r="J13" s="103"/>
      <c r="K13" s="34" t="s">
        <v>13</v>
      </c>
      <c r="L13" s="37">
        <v>111</v>
      </c>
      <c r="M13" s="36">
        <v>114</v>
      </c>
      <c r="N13" s="36">
        <v>114</v>
      </c>
      <c r="O13" s="43"/>
      <c r="P13" s="13"/>
      <c r="Q13" s="13"/>
      <c r="R13" s="13"/>
      <c r="S13" s="13"/>
      <c r="T13" s="13"/>
      <c r="AF13" s="12"/>
      <c r="AG13" s="12"/>
      <c r="AH13" s="14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</row>
    <row r="14" spans="1:73" ht="24.2" customHeight="1" x14ac:dyDescent="0.2">
      <c r="B14" s="99">
        <v>3</v>
      </c>
      <c r="C14" s="101" t="s">
        <v>28</v>
      </c>
      <c r="D14" s="19" t="e">
        <f>VLOOKUP($B14,#REF!,3,0)</f>
        <v>#REF!</v>
      </c>
      <c r="E14" s="19" t="e">
        <f>VLOOKUP($B14,#REF!,4,0)</f>
        <v>#REF!</v>
      </c>
      <c r="F14" s="19" t="e">
        <f>VLOOKUP($B14,#REF!,5,0)</f>
        <v>#REF!</v>
      </c>
      <c r="G14" s="19" t="e">
        <f>VLOOKUP($B14,#REF!,6,0)</f>
        <v>#REF!</v>
      </c>
      <c r="H14" s="19" t="e">
        <f>VLOOKUP($B14,#REF!,7,0)</f>
        <v>#REF!</v>
      </c>
      <c r="I14" s="19" t="e">
        <f>VLOOKUP($B14,#REF!,8,0)</f>
        <v>#REF!</v>
      </c>
      <c r="J14" s="104"/>
      <c r="K14" s="22" t="s">
        <v>12</v>
      </c>
      <c r="L14" s="44" t="s">
        <v>66</v>
      </c>
      <c r="M14" s="44" t="s">
        <v>66</v>
      </c>
      <c r="N14" s="44" t="s">
        <v>66</v>
      </c>
      <c r="O14" s="132"/>
      <c r="P14" s="13"/>
      <c r="Q14" s="13"/>
      <c r="R14" s="13"/>
      <c r="S14" s="13"/>
      <c r="T14" s="13"/>
      <c r="AF14" s="12"/>
      <c r="AG14" s="12"/>
      <c r="AH14" s="12"/>
    </row>
    <row r="15" spans="1:73" ht="24.2" customHeight="1" thickBot="1" x14ac:dyDescent="0.25">
      <c r="B15" s="100"/>
      <c r="C15" s="95"/>
      <c r="D15" s="20" t="e">
        <f>VLOOKUP($B15,#REF!,3,0)</f>
        <v>#REF!</v>
      </c>
      <c r="E15" s="20" t="e">
        <f>VLOOKUP($B15,#REF!,4,0)</f>
        <v>#REF!</v>
      </c>
      <c r="F15" s="20" t="e">
        <f>VLOOKUP($B15,#REF!,5,0)</f>
        <v>#REF!</v>
      </c>
      <c r="G15" s="20" t="e">
        <f>VLOOKUP($B15,#REF!,6,0)</f>
        <v>#REF!</v>
      </c>
      <c r="H15" s="20" t="e">
        <f>VLOOKUP($B15,#REF!,7,0)</f>
        <v>#REF!</v>
      </c>
      <c r="I15" s="20" t="e">
        <f>VLOOKUP($B15,#REF!,8,0)</f>
        <v>#REF!</v>
      </c>
      <c r="J15" s="103"/>
      <c r="K15" s="34" t="s">
        <v>13</v>
      </c>
      <c r="L15" s="36">
        <v>109</v>
      </c>
      <c r="M15" s="36">
        <v>114</v>
      </c>
      <c r="N15" s="36">
        <v>109</v>
      </c>
      <c r="O15" s="133"/>
      <c r="P15" s="13"/>
      <c r="Q15" s="13"/>
      <c r="R15" s="13"/>
      <c r="S15" s="13"/>
      <c r="T15" s="13"/>
      <c r="AF15" s="12"/>
      <c r="AG15" s="12"/>
      <c r="AH15" s="14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</row>
    <row r="16" spans="1:73" ht="24.2" customHeight="1" x14ac:dyDescent="0.2">
      <c r="B16" s="99">
        <v>4</v>
      </c>
      <c r="C16" s="101" t="s">
        <v>29</v>
      </c>
      <c r="D16" s="19" t="e">
        <f>VLOOKUP($B16,#REF!,3,0)</f>
        <v>#REF!</v>
      </c>
      <c r="E16" s="19" t="e">
        <f>VLOOKUP($B16,#REF!,4,0)</f>
        <v>#REF!</v>
      </c>
      <c r="F16" s="19" t="e">
        <f>VLOOKUP($B16,#REF!,5,0)</f>
        <v>#REF!</v>
      </c>
      <c r="G16" s="19" t="e">
        <f>VLOOKUP($B16,#REF!,6,0)</f>
        <v>#REF!</v>
      </c>
      <c r="H16" s="19" t="e">
        <f>VLOOKUP($B16,#REF!,7,0)</f>
        <v>#REF!</v>
      </c>
      <c r="I16" s="19" t="e">
        <f>VLOOKUP($B16,#REF!,8,0)</f>
        <v>#REF!</v>
      </c>
      <c r="J16" s="104"/>
      <c r="K16" s="22" t="s">
        <v>12</v>
      </c>
      <c r="L16" s="44" t="s">
        <v>66</v>
      </c>
      <c r="M16" s="44" t="s">
        <v>66</v>
      </c>
      <c r="N16" s="44" t="s">
        <v>66</v>
      </c>
      <c r="O16" s="105"/>
      <c r="P16" s="13"/>
      <c r="Q16" s="13"/>
      <c r="R16" s="13"/>
      <c r="S16" s="13"/>
      <c r="T16" s="13"/>
    </row>
    <row r="17" spans="2:73" ht="24.2" customHeight="1" thickBot="1" x14ac:dyDescent="0.25">
      <c r="B17" s="100"/>
      <c r="C17" s="107"/>
      <c r="D17" s="20" t="e">
        <f>VLOOKUP($B17,#REF!,3,0)</f>
        <v>#REF!</v>
      </c>
      <c r="E17" s="20" t="e">
        <f>VLOOKUP($B17,#REF!,4,0)</f>
        <v>#REF!</v>
      </c>
      <c r="F17" s="20" t="e">
        <f>VLOOKUP($B17,#REF!,5,0)</f>
        <v>#REF!</v>
      </c>
      <c r="G17" s="20" t="e">
        <f>VLOOKUP($B17,#REF!,6,0)</f>
        <v>#REF!</v>
      </c>
      <c r="H17" s="20" t="e">
        <f>VLOOKUP($B17,#REF!,7,0)</f>
        <v>#REF!</v>
      </c>
      <c r="I17" s="20" t="e">
        <f>VLOOKUP($B17,#REF!,8,0)</f>
        <v>#REF!</v>
      </c>
      <c r="J17" s="103"/>
      <c r="K17" s="34" t="s">
        <v>13</v>
      </c>
      <c r="L17" s="36">
        <v>120</v>
      </c>
      <c r="M17" s="36">
        <v>126</v>
      </c>
      <c r="N17" s="36">
        <v>118</v>
      </c>
      <c r="O17" s="106"/>
      <c r="P17" s="13"/>
      <c r="Q17" s="13"/>
      <c r="R17" s="13"/>
      <c r="S17" s="13"/>
      <c r="T17" s="13"/>
      <c r="AF17" s="12"/>
      <c r="AG17" s="12"/>
      <c r="AH17" s="14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</row>
    <row r="18" spans="2:73" ht="24.2" customHeight="1" x14ac:dyDescent="0.2">
      <c r="B18" s="99">
        <v>5</v>
      </c>
      <c r="C18" s="101" t="s">
        <v>28</v>
      </c>
      <c r="D18" s="19" t="e">
        <f>VLOOKUP($B18,#REF!,3,0)</f>
        <v>#REF!</v>
      </c>
      <c r="E18" s="19" t="e">
        <f>VLOOKUP($B18,#REF!,4,0)</f>
        <v>#REF!</v>
      </c>
      <c r="F18" s="19" t="e">
        <f>VLOOKUP($B18,#REF!,5,0)</f>
        <v>#REF!</v>
      </c>
      <c r="G18" s="19" t="e">
        <f>VLOOKUP($B18,#REF!,6,0)</f>
        <v>#REF!</v>
      </c>
      <c r="H18" s="19" t="e">
        <f>VLOOKUP($B18,#REF!,7,0)</f>
        <v>#REF!</v>
      </c>
      <c r="I18" s="19" t="e">
        <f>VLOOKUP($B18,#REF!,8,0)</f>
        <v>#REF!</v>
      </c>
      <c r="J18" s="104"/>
      <c r="K18" s="22" t="s">
        <v>12</v>
      </c>
      <c r="L18" s="44" t="s">
        <v>66</v>
      </c>
      <c r="M18" s="44" t="s">
        <v>66</v>
      </c>
      <c r="N18" s="44" t="s">
        <v>66</v>
      </c>
      <c r="O18" s="105"/>
      <c r="P18" s="13"/>
      <c r="Q18" s="13"/>
      <c r="R18" s="13"/>
      <c r="S18" s="13"/>
      <c r="T18" s="13"/>
      <c r="AF18" s="12"/>
      <c r="AG18" s="12"/>
      <c r="AH18" s="12"/>
    </row>
    <row r="19" spans="2:73" ht="24.2" customHeight="1" thickBot="1" x14ac:dyDescent="0.25">
      <c r="B19" s="100"/>
      <c r="C19" s="95"/>
      <c r="D19" s="20" t="e">
        <f>VLOOKUP($B19,#REF!,3,0)</f>
        <v>#REF!</v>
      </c>
      <c r="E19" s="20" t="e">
        <f>VLOOKUP($B19,#REF!,4,0)</f>
        <v>#REF!</v>
      </c>
      <c r="F19" s="20" t="e">
        <f>VLOOKUP($B19,#REF!,5,0)</f>
        <v>#REF!</v>
      </c>
      <c r="G19" s="20" t="e">
        <f>VLOOKUP($B19,#REF!,6,0)</f>
        <v>#REF!</v>
      </c>
      <c r="H19" s="20" t="e">
        <f>VLOOKUP($B19,#REF!,7,0)</f>
        <v>#REF!</v>
      </c>
      <c r="I19" s="20" t="e">
        <f>VLOOKUP($B19,#REF!,8,0)</f>
        <v>#REF!</v>
      </c>
      <c r="J19" s="103"/>
      <c r="K19" s="34" t="s">
        <v>13</v>
      </c>
      <c r="L19" s="36">
        <v>117</v>
      </c>
      <c r="M19" s="36">
        <v>120</v>
      </c>
      <c r="N19" s="36">
        <v>114</v>
      </c>
      <c r="O19" s="106"/>
      <c r="P19" s="13"/>
      <c r="Q19" s="13"/>
      <c r="R19" s="13"/>
      <c r="S19" s="13"/>
      <c r="T19" s="13"/>
      <c r="AF19" s="12"/>
      <c r="AG19" s="12"/>
      <c r="AH19" s="14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</row>
    <row r="20" spans="2:73" ht="24.2" customHeight="1" x14ac:dyDescent="0.2">
      <c r="B20" s="99">
        <v>6</v>
      </c>
      <c r="C20" s="101" t="s">
        <v>29</v>
      </c>
      <c r="D20" s="19" t="e">
        <f>VLOOKUP($B20,#REF!,3,0)</f>
        <v>#REF!</v>
      </c>
      <c r="E20" s="19" t="e">
        <f>VLOOKUP($B20,#REF!,4,0)</f>
        <v>#REF!</v>
      </c>
      <c r="F20" s="19" t="e">
        <f>VLOOKUP($B20,#REF!,5,0)</f>
        <v>#REF!</v>
      </c>
      <c r="G20" s="19" t="e">
        <f>VLOOKUP($B20,#REF!,6,0)</f>
        <v>#REF!</v>
      </c>
      <c r="H20" s="19" t="e">
        <f>VLOOKUP($B20,#REF!,7,0)</f>
        <v>#REF!</v>
      </c>
      <c r="I20" s="19" t="e">
        <f>VLOOKUP($B20,#REF!,8,0)</f>
        <v>#REF!</v>
      </c>
      <c r="J20" s="104"/>
      <c r="K20" s="22" t="s">
        <v>12</v>
      </c>
      <c r="L20" s="44" t="s">
        <v>66</v>
      </c>
      <c r="M20" s="44" t="s">
        <v>66</v>
      </c>
      <c r="N20" s="44" t="s">
        <v>66</v>
      </c>
      <c r="O20" s="105"/>
      <c r="P20" s="13"/>
      <c r="Q20" s="13"/>
      <c r="R20" s="13"/>
      <c r="S20" s="13"/>
      <c r="T20" s="13"/>
      <c r="AF20" s="12"/>
      <c r="AG20" s="12"/>
      <c r="AH20" s="12"/>
    </row>
    <row r="21" spans="2:73" ht="24.2" customHeight="1" thickBot="1" x14ac:dyDescent="0.25">
      <c r="B21" s="100"/>
      <c r="C21" s="107"/>
      <c r="D21" s="20" t="e">
        <f>VLOOKUP($B21,#REF!,3,0)</f>
        <v>#REF!</v>
      </c>
      <c r="E21" s="20" t="e">
        <f>VLOOKUP($B21,#REF!,4,0)</f>
        <v>#REF!</v>
      </c>
      <c r="F21" s="20" t="e">
        <f>VLOOKUP($B21,#REF!,5,0)</f>
        <v>#REF!</v>
      </c>
      <c r="G21" s="20" t="e">
        <f>VLOOKUP($B21,#REF!,6,0)</f>
        <v>#REF!</v>
      </c>
      <c r="H21" s="20" t="e">
        <f>VLOOKUP($B21,#REF!,7,0)</f>
        <v>#REF!</v>
      </c>
      <c r="I21" s="20" t="e">
        <f>VLOOKUP($B21,#REF!,8,0)</f>
        <v>#REF!</v>
      </c>
      <c r="J21" s="103"/>
      <c r="K21" s="34" t="s">
        <v>13</v>
      </c>
      <c r="L21" s="36">
        <v>109</v>
      </c>
      <c r="M21" s="36">
        <v>124</v>
      </c>
      <c r="N21" s="36">
        <v>114</v>
      </c>
      <c r="O21" s="106"/>
      <c r="P21" s="13"/>
      <c r="Q21" s="13"/>
      <c r="R21" s="13"/>
      <c r="S21" s="13"/>
      <c r="T21" s="13"/>
      <c r="AF21" s="12"/>
      <c r="AG21" s="12"/>
      <c r="AH21" s="14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</row>
    <row r="22" spans="2:73" ht="24.2" customHeight="1" x14ac:dyDescent="0.2">
      <c r="B22" s="99">
        <v>7</v>
      </c>
      <c r="C22" s="101" t="s">
        <v>28</v>
      </c>
      <c r="D22" s="19" t="e">
        <f>VLOOKUP($B22,#REF!,3,0)</f>
        <v>#REF!</v>
      </c>
      <c r="E22" s="19" t="e">
        <f>VLOOKUP($B22,#REF!,4,0)</f>
        <v>#REF!</v>
      </c>
      <c r="F22" s="19" t="e">
        <f>VLOOKUP($B22,#REF!,5,0)</f>
        <v>#REF!</v>
      </c>
      <c r="G22" s="19" t="e">
        <f>VLOOKUP($B22,#REF!,6,0)</f>
        <v>#REF!</v>
      </c>
      <c r="H22" s="19" t="e">
        <f>VLOOKUP($B22,#REF!,7,0)</f>
        <v>#REF!</v>
      </c>
      <c r="I22" s="19" t="e">
        <f>VLOOKUP($B22,#REF!,8,0)</f>
        <v>#REF!</v>
      </c>
      <c r="J22" s="104"/>
      <c r="K22" s="22" t="s">
        <v>12</v>
      </c>
      <c r="L22" s="44" t="s">
        <v>66</v>
      </c>
      <c r="M22" s="44" t="s">
        <v>66</v>
      </c>
      <c r="N22" s="44" t="s">
        <v>66</v>
      </c>
      <c r="O22" s="105"/>
      <c r="P22" s="13"/>
      <c r="Q22" s="13"/>
      <c r="R22" s="13"/>
      <c r="S22" s="13"/>
      <c r="T22" s="13"/>
      <c r="AF22" s="12"/>
      <c r="AG22" s="12"/>
      <c r="AH22" s="12"/>
    </row>
    <row r="23" spans="2:73" ht="24.2" customHeight="1" thickBot="1" x14ac:dyDescent="0.25">
      <c r="B23" s="100"/>
      <c r="C23" s="95"/>
      <c r="D23" s="20" t="e">
        <f>VLOOKUP($B23,#REF!,3,0)</f>
        <v>#REF!</v>
      </c>
      <c r="E23" s="20" t="e">
        <f>VLOOKUP($B23,#REF!,4,0)</f>
        <v>#REF!</v>
      </c>
      <c r="F23" s="20" t="e">
        <f>VLOOKUP($B23,#REF!,5,0)</f>
        <v>#REF!</v>
      </c>
      <c r="G23" s="20" t="e">
        <f>VLOOKUP($B23,#REF!,6,0)</f>
        <v>#REF!</v>
      </c>
      <c r="H23" s="20" t="e">
        <f>VLOOKUP($B23,#REF!,7,0)</f>
        <v>#REF!</v>
      </c>
      <c r="I23" s="20" t="e">
        <f>VLOOKUP($B23,#REF!,8,0)</f>
        <v>#REF!</v>
      </c>
      <c r="J23" s="103"/>
      <c r="K23" s="34" t="s">
        <v>13</v>
      </c>
      <c r="L23" s="36">
        <v>120</v>
      </c>
      <c r="M23" s="36">
        <v>128</v>
      </c>
      <c r="N23" s="36">
        <v>126</v>
      </c>
      <c r="O23" s="106"/>
      <c r="P23" s="13"/>
      <c r="Q23" s="13"/>
      <c r="R23" s="13"/>
      <c r="S23" s="13"/>
      <c r="T23" s="13"/>
      <c r="AF23" s="12"/>
      <c r="AG23" s="12"/>
      <c r="AH23" s="14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</row>
    <row r="24" spans="2:73" ht="24.2" customHeight="1" x14ac:dyDescent="0.2">
      <c r="B24" s="99">
        <v>8</v>
      </c>
      <c r="C24" s="101" t="s">
        <v>29</v>
      </c>
      <c r="D24" s="19" t="e">
        <f>VLOOKUP($B24,#REF!,3,0)</f>
        <v>#REF!</v>
      </c>
      <c r="E24" s="19" t="e">
        <f>VLOOKUP($B24,#REF!,4,0)</f>
        <v>#REF!</v>
      </c>
      <c r="F24" s="19" t="e">
        <f>VLOOKUP($B24,#REF!,5,0)</f>
        <v>#REF!</v>
      </c>
      <c r="G24" s="19" t="e">
        <f>VLOOKUP($B24,#REF!,6,0)</f>
        <v>#REF!</v>
      </c>
      <c r="H24" s="19" t="e">
        <f>VLOOKUP($B24,#REF!,7,0)</f>
        <v>#REF!</v>
      </c>
      <c r="I24" s="19" t="e">
        <f>VLOOKUP($B24,#REF!,8,0)</f>
        <v>#REF!</v>
      </c>
      <c r="J24" s="104"/>
      <c r="K24" s="22" t="s">
        <v>12</v>
      </c>
      <c r="L24" s="44" t="s">
        <v>66</v>
      </c>
      <c r="M24" s="44" t="s">
        <v>66</v>
      </c>
      <c r="N24" s="44" t="s">
        <v>66</v>
      </c>
      <c r="O24" s="105"/>
      <c r="P24" s="13"/>
      <c r="Q24" s="13"/>
      <c r="R24" s="13"/>
      <c r="S24" s="13"/>
      <c r="T24" s="13"/>
      <c r="AF24" s="9"/>
      <c r="AG24" s="9"/>
      <c r="AH24" s="9"/>
    </row>
    <row r="25" spans="2:73" ht="24.2" customHeight="1" thickBot="1" x14ac:dyDescent="0.25">
      <c r="B25" s="100"/>
      <c r="C25" s="107"/>
      <c r="D25" s="20" t="e">
        <f>VLOOKUP($B25,#REF!,3,0)</f>
        <v>#REF!</v>
      </c>
      <c r="E25" s="20" t="e">
        <f>VLOOKUP($B25,#REF!,4,0)</f>
        <v>#REF!</v>
      </c>
      <c r="F25" s="20" t="e">
        <f>VLOOKUP($B25,#REF!,5,0)</f>
        <v>#REF!</v>
      </c>
      <c r="G25" s="20" t="e">
        <f>VLOOKUP($B25,#REF!,6,0)</f>
        <v>#REF!</v>
      </c>
      <c r="H25" s="20" t="e">
        <f>VLOOKUP($B25,#REF!,7,0)</f>
        <v>#REF!</v>
      </c>
      <c r="I25" s="20" t="e">
        <f>VLOOKUP($B25,#REF!,8,0)</f>
        <v>#REF!</v>
      </c>
      <c r="J25" s="103"/>
      <c r="K25" s="34" t="s">
        <v>13</v>
      </c>
      <c r="L25" s="36">
        <v>126</v>
      </c>
      <c r="M25" s="36">
        <v>123</v>
      </c>
      <c r="N25" s="36">
        <v>111</v>
      </c>
      <c r="O25" s="106"/>
      <c r="P25" s="13"/>
      <c r="Q25" s="13"/>
      <c r="R25" s="13"/>
      <c r="S25" s="13"/>
      <c r="T25" s="13"/>
      <c r="AF25" s="12"/>
      <c r="AG25" s="12"/>
      <c r="AH25" s="14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</row>
    <row r="26" spans="2:73" ht="24.2" customHeight="1" x14ac:dyDescent="0.2">
      <c r="B26" s="99">
        <v>9</v>
      </c>
      <c r="C26" s="101" t="s">
        <v>28</v>
      </c>
      <c r="D26" s="19" t="e">
        <f>VLOOKUP($B26,#REF!,3,0)</f>
        <v>#REF!</v>
      </c>
      <c r="E26" s="19" t="e">
        <f>VLOOKUP($B26,#REF!,4,0)</f>
        <v>#REF!</v>
      </c>
      <c r="F26" s="19" t="e">
        <f>VLOOKUP($B26,#REF!,5,0)</f>
        <v>#REF!</v>
      </c>
      <c r="G26" s="19" t="e">
        <f>VLOOKUP($B26,#REF!,6,0)</f>
        <v>#REF!</v>
      </c>
      <c r="H26" s="19" t="e">
        <f>VLOOKUP($B26,#REF!,7,0)</f>
        <v>#REF!</v>
      </c>
      <c r="I26" s="19" t="e">
        <f>VLOOKUP($B26,#REF!,8,0)</f>
        <v>#REF!</v>
      </c>
      <c r="J26" s="104">
        <v>945</v>
      </c>
      <c r="K26" s="22" t="s">
        <v>12</v>
      </c>
      <c r="L26" s="44">
        <v>99</v>
      </c>
      <c r="M26" s="44" t="s">
        <v>66</v>
      </c>
      <c r="N26" s="44">
        <v>92</v>
      </c>
      <c r="O26" s="105"/>
      <c r="P26" s="13"/>
      <c r="Q26" s="13"/>
      <c r="R26" s="13"/>
      <c r="S26" s="13"/>
      <c r="T26" s="13"/>
      <c r="AF26" s="12"/>
      <c r="AG26" s="12"/>
      <c r="AH26" s="12"/>
    </row>
    <row r="27" spans="2:73" ht="24.2" customHeight="1" thickBot="1" x14ac:dyDescent="0.25">
      <c r="B27" s="100"/>
      <c r="C27" s="95"/>
      <c r="D27" s="20" t="e">
        <f>VLOOKUP($B27,#REF!,3,0)</f>
        <v>#REF!</v>
      </c>
      <c r="E27" s="20" t="e">
        <f>VLOOKUP($B27,#REF!,4,0)</f>
        <v>#REF!</v>
      </c>
      <c r="F27" s="20" t="e">
        <f>VLOOKUP($B27,#REF!,5,0)</f>
        <v>#REF!</v>
      </c>
      <c r="G27" s="20" t="e">
        <f>VLOOKUP($B27,#REF!,6,0)</f>
        <v>#REF!</v>
      </c>
      <c r="H27" s="20" t="e">
        <f>VLOOKUP($B27,#REF!,7,0)</f>
        <v>#REF!</v>
      </c>
      <c r="I27" s="20" t="e">
        <f>VLOOKUP($B27,#REF!,8,0)</f>
        <v>#REF!</v>
      </c>
      <c r="J27" s="103"/>
      <c r="K27" s="34" t="s">
        <v>13</v>
      </c>
      <c r="L27" s="36">
        <v>107</v>
      </c>
      <c r="M27" s="36">
        <v>111</v>
      </c>
      <c r="N27" s="36">
        <v>104</v>
      </c>
      <c r="O27" s="106"/>
      <c r="P27" s="13"/>
      <c r="Q27" s="13"/>
      <c r="R27" s="13"/>
      <c r="S27" s="13"/>
      <c r="T27" s="13"/>
      <c r="AF27" s="12"/>
      <c r="AG27" s="12"/>
      <c r="AH27" s="14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</row>
    <row r="28" spans="2:73" ht="24.2" customHeight="1" x14ac:dyDescent="0.2">
      <c r="B28" s="108">
        <v>10</v>
      </c>
      <c r="C28" s="101" t="s">
        <v>29</v>
      </c>
      <c r="D28" s="19" t="e">
        <f>VLOOKUP($B28,#REF!,3,0)</f>
        <v>#REF!</v>
      </c>
      <c r="E28" s="19" t="e">
        <f>VLOOKUP($B28,#REF!,4,0)</f>
        <v>#REF!</v>
      </c>
      <c r="F28" s="19" t="e">
        <f>VLOOKUP($B28,#REF!,5,0)</f>
        <v>#REF!</v>
      </c>
      <c r="G28" s="19" t="e">
        <f>VLOOKUP($B28,#REF!,6,0)</f>
        <v>#REF!</v>
      </c>
      <c r="H28" s="19" t="e">
        <f>VLOOKUP($B28,#REF!,7,0)</f>
        <v>#REF!</v>
      </c>
      <c r="I28" s="19" t="e">
        <f>VLOOKUP($B28,#REF!,8,0)</f>
        <v>#REF!</v>
      </c>
      <c r="J28" s="104"/>
      <c r="K28" s="22" t="s">
        <v>12</v>
      </c>
      <c r="L28" s="44" t="s">
        <v>66</v>
      </c>
      <c r="M28" s="44" t="s">
        <v>66</v>
      </c>
      <c r="N28" s="44" t="s">
        <v>66</v>
      </c>
      <c r="O28" s="105"/>
      <c r="P28" s="13"/>
      <c r="Q28" s="13"/>
      <c r="R28" s="13"/>
      <c r="S28" s="13"/>
      <c r="T28" s="13"/>
    </row>
    <row r="29" spans="2:73" ht="24.2" customHeight="1" thickBot="1" x14ac:dyDescent="0.25">
      <c r="B29" s="100"/>
      <c r="C29" s="107"/>
      <c r="D29" s="20" t="e">
        <f>VLOOKUP($B29,#REF!,3,0)</f>
        <v>#REF!</v>
      </c>
      <c r="E29" s="20" t="e">
        <f>VLOOKUP($B29,#REF!,4,0)</f>
        <v>#REF!</v>
      </c>
      <c r="F29" s="20" t="e">
        <f>VLOOKUP($B29,#REF!,5,0)</f>
        <v>#REF!</v>
      </c>
      <c r="G29" s="20" t="e">
        <f>VLOOKUP($B29,#REF!,6,0)</f>
        <v>#REF!</v>
      </c>
      <c r="H29" s="20" t="e">
        <f>VLOOKUP($B29,#REF!,7,0)</f>
        <v>#REF!</v>
      </c>
      <c r="I29" s="20" t="e">
        <f>VLOOKUP($B29,#REF!,8,0)</f>
        <v>#REF!</v>
      </c>
      <c r="J29" s="103"/>
      <c r="K29" s="34" t="s">
        <v>13</v>
      </c>
      <c r="L29" s="36">
        <v>105</v>
      </c>
      <c r="M29" s="36">
        <v>118</v>
      </c>
      <c r="N29" s="36">
        <v>128</v>
      </c>
      <c r="O29" s="106"/>
      <c r="P29" s="13"/>
      <c r="Q29" s="13"/>
      <c r="R29" s="13"/>
      <c r="S29" s="13"/>
      <c r="T29" s="13"/>
      <c r="AF29" s="12"/>
      <c r="AG29" s="12"/>
      <c r="AH29" s="14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</row>
    <row r="30" spans="2:73" ht="24.2" customHeight="1" x14ac:dyDescent="0.2">
      <c r="B30" s="108">
        <v>11</v>
      </c>
      <c r="C30" s="101" t="s">
        <v>28</v>
      </c>
      <c r="D30" s="19" t="e">
        <f>VLOOKUP($B30,#REF!,3,0)</f>
        <v>#REF!</v>
      </c>
      <c r="E30" s="19" t="e">
        <f>VLOOKUP($B30,#REF!,4,0)</f>
        <v>#REF!</v>
      </c>
      <c r="F30" s="19" t="e">
        <f>VLOOKUP($B30,#REF!,5,0)</f>
        <v>#REF!</v>
      </c>
      <c r="G30" s="19" t="e">
        <f>VLOOKUP($B30,#REF!,6,0)</f>
        <v>#REF!</v>
      </c>
      <c r="H30" s="19" t="e">
        <f>VLOOKUP($B30,#REF!,7,0)</f>
        <v>#REF!</v>
      </c>
      <c r="I30" s="19" t="e">
        <f>VLOOKUP($B30,#REF!,8,0)</f>
        <v>#REF!</v>
      </c>
      <c r="J30" s="104"/>
      <c r="K30" s="22" t="s">
        <v>12</v>
      </c>
      <c r="L30" s="44" t="s">
        <v>66</v>
      </c>
      <c r="M30" s="44" t="s">
        <v>66</v>
      </c>
      <c r="N30" s="44" t="s">
        <v>66</v>
      </c>
      <c r="O30" s="105"/>
      <c r="P30" s="13"/>
      <c r="Q30" s="13"/>
      <c r="R30" s="13"/>
      <c r="S30" s="13"/>
      <c r="T30" s="13"/>
    </row>
    <row r="31" spans="2:73" ht="24.2" customHeight="1" thickBot="1" x14ac:dyDescent="0.25">
      <c r="B31" s="100"/>
      <c r="C31" s="95"/>
      <c r="D31" s="20" t="e">
        <f>VLOOKUP($B31,#REF!,3,0)</f>
        <v>#REF!</v>
      </c>
      <c r="E31" s="20" t="e">
        <f>VLOOKUP($B31,#REF!,4,0)</f>
        <v>#REF!</v>
      </c>
      <c r="F31" s="20" t="e">
        <f>VLOOKUP($B31,#REF!,5,0)</f>
        <v>#REF!</v>
      </c>
      <c r="G31" s="20" t="e">
        <f>VLOOKUP($B31,#REF!,6,0)</f>
        <v>#REF!</v>
      </c>
      <c r="H31" s="20" t="e">
        <f>VLOOKUP($B31,#REF!,7,0)</f>
        <v>#REF!</v>
      </c>
      <c r="I31" s="20" t="e">
        <f>VLOOKUP($B31,#REF!,8,0)</f>
        <v>#REF!</v>
      </c>
      <c r="J31" s="103"/>
      <c r="K31" s="34" t="s">
        <v>13</v>
      </c>
      <c r="L31" s="36">
        <v>119</v>
      </c>
      <c r="M31" s="36">
        <v>122</v>
      </c>
      <c r="N31" s="36">
        <v>117</v>
      </c>
      <c r="O31" s="106"/>
      <c r="P31" s="13"/>
      <c r="Q31" s="13"/>
      <c r="R31" s="13"/>
      <c r="S31" s="13"/>
      <c r="T31" s="13"/>
      <c r="AF31" s="12"/>
      <c r="AG31" s="12"/>
      <c r="AH31" s="14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</row>
    <row r="32" spans="2:73" ht="24.2" customHeight="1" x14ac:dyDescent="0.2">
      <c r="B32" s="108">
        <v>12</v>
      </c>
      <c r="C32" s="101" t="s">
        <v>29</v>
      </c>
      <c r="D32" s="19" t="e">
        <f>VLOOKUP($B32,#REF!,3,0)</f>
        <v>#REF!</v>
      </c>
      <c r="E32" s="19" t="e">
        <f>VLOOKUP($B32,#REF!,4,0)</f>
        <v>#REF!</v>
      </c>
      <c r="F32" s="19" t="e">
        <f>VLOOKUP($B32,#REF!,5,0)</f>
        <v>#REF!</v>
      </c>
      <c r="G32" s="19" t="e">
        <f>VLOOKUP($B32,#REF!,6,0)</f>
        <v>#REF!</v>
      </c>
      <c r="H32" s="19" t="e">
        <f>VLOOKUP($B32,#REF!,7,0)</f>
        <v>#REF!</v>
      </c>
      <c r="I32" s="19" t="e">
        <f>VLOOKUP($B32,#REF!,8,0)</f>
        <v>#REF!</v>
      </c>
      <c r="J32" s="104"/>
      <c r="K32" s="22" t="s">
        <v>12</v>
      </c>
      <c r="L32" s="44" t="s">
        <v>66</v>
      </c>
      <c r="M32" s="44" t="s">
        <v>66</v>
      </c>
      <c r="N32" s="44" t="s">
        <v>66</v>
      </c>
      <c r="O32" s="105"/>
      <c r="P32" s="13"/>
      <c r="Q32" s="13"/>
      <c r="R32" s="13"/>
      <c r="S32" s="13"/>
      <c r="T32" s="13"/>
    </row>
    <row r="33" spans="2:73" ht="24.2" customHeight="1" thickBot="1" x14ac:dyDescent="0.25">
      <c r="B33" s="100"/>
      <c r="C33" s="107"/>
      <c r="D33" s="20" t="e">
        <f>VLOOKUP($B33,#REF!,3,0)</f>
        <v>#REF!</v>
      </c>
      <c r="E33" s="20" t="e">
        <f>VLOOKUP($B33,#REF!,4,0)</f>
        <v>#REF!</v>
      </c>
      <c r="F33" s="20" t="e">
        <f>VLOOKUP($B33,#REF!,5,0)</f>
        <v>#REF!</v>
      </c>
      <c r="G33" s="20" t="e">
        <f>VLOOKUP($B33,#REF!,6,0)</f>
        <v>#REF!</v>
      </c>
      <c r="H33" s="20" t="e">
        <f>VLOOKUP($B33,#REF!,7,0)</f>
        <v>#REF!</v>
      </c>
      <c r="I33" s="20" t="e">
        <f>VLOOKUP($B33,#REF!,8,0)</f>
        <v>#REF!</v>
      </c>
      <c r="J33" s="103"/>
      <c r="K33" s="34" t="s">
        <v>13</v>
      </c>
      <c r="L33" s="36">
        <v>139</v>
      </c>
      <c r="M33" s="36">
        <v>141</v>
      </c>
      <c r="N33" s="36">
        <v>128</v>
      </c>
      <c r="O33" s="106"/>
      <c r="P33" s="13"/>
      <c r="Q33" s="13"/>
      <c r="R33" s="13"/>
      <c r="S33" s="13"/>
      <c r="T33" s="13"/>
      <c r="AF33" s="12"/>
      <c r="AG33" s="12"/>
      <c r="AH33" s="14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</row>
    <row r="34" spans="2:73" ht="24.2" customHeight="1" x14ac:dyDescent="0.2">
      <c r="B34" s="108">
        <v>13</v>
      </c>
      <c r="C34" s="101" t="s">
        <v>28</v>
      </c>
      <c r="D34" s="19" t="e">
        <f>VLOOKUP($B34,#REF!,3,0)</f>
        <v>#REF!</v>
      </c>
      <c r="E34" s="19" t="e">
        <f>VLOOKUP($B34,#REF!,4,0)</f>
        <v>#REF!</v>
      </c>
      <c r="F34" s="19" t="e">
        <f>VLOOKUP($B34,#REF!,5,0)</f>
        <v>#REF!</v>
      </c>
      <c r="G34" s="19" t="e">
        <f>VLOOKUP($B34,#REF!,6,0)</f>
        <v>#REF!</v>
      </c>
      <c r="H34" s="19" t="e">
        <f>VLOOKUP($B34,#REF!,7,0)</f>
        <v>#REF!</v>
      </c>
      <c r="I34" s="19" t="e">
        <f>VLOOKUP($B34,#REF!,8,0)</f>
        <v>#REF!</v>
      </c>
      <c r="J34" s="104"/>
      <c r="K34" s="22" t="s">
        <v>12</v>
      </c>
      <c r="L34" s="44" t="s">
        <v>66</v>
      </c>
      <c r="M34" s="44" t="s">
        <v>66</v>
      </c>
      <c r="N34" s="44" t="s">
        <v>66</v>
      </c>
      <c r="O34" s="105"/>
      <c r="P34" s="13"/>
      <c r="Q34" s="13"/>
      <c r="R34" s="13"/>
      <c r="S34" s="13"/>
      <c r="T34" s="13"/>
    </row>
    <row r="35" spans="2:73" ht="24.2" customHeight="1" thickBot="1" x14ac:dyDescent="0.25">
      <c r="B35" s="100"/>
      <c r="C35" s="95"/>
      <c r="D35" s="20" t="e">
        <f>VLOOKUP($B35,#REF!,3,0)</f>
        <v>#REF!</v>
      </c>
      <c r="E35" s="20" t="e">
        <f>VLOOKUP($B35,#REF!,4,0)</f>
        <v>#REF!</v>
      </c>
      <c r="F35" s="20" t="e">
        <f>VLOOKUP($B35,#REF!,5,0)</f>
        <v>#REF!</v>
      </c>
      <c r="G35" s="20" t="e">
        <f>VLOOKUP($B35,#REF!,6,0)</f>
        <v>#REF!</v>
      </c>
      <c r="H35" s="20" t="e">
        <f>VLOOKUP($B35,#REF!,7,0)</f>
        <v>#REF!</v>
      </c>
      <c r="I35" s="20" t="e">
        <f>VLOOKUP($B35,#REF!,8,0)</f>
        <v>#REF!</v>
      </c>
      <c r="J35" s="103"/>
      <c r="K35" s="34" t="s">
        <v>13</v>
      </c>
      <c r="L35" s="36">
        <v>110</v>
      </c>
      <c r="M35" s="36">
        <v>115</v>
      </c>
      <c r="N35" s="36">
        <v>114</v>
      </c>
      <c r="O35" s="106"/>
      <c r="P35" s="13"/>
      <c r="Q35" s="13"/>
      <c r="R35" s="13"/>
      <c r="S35" s="13"/>
      <c r="T35" s="13"/>
      <c r="AF35" s="12"/>
      <c r="AG35" s="12"/>
      <c r="AH35" s="14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</row>
    <row r="36" spans="2:73" ht="24.2" customHeight="1" x14ac:dyDescent="0.2">
      <c r="B36" s="108">
        <v>14</v>
      </c>
      <c r="C36" s="101" t="s">
        <v>29</v>
      </c>
      <c r="D36" s="19" t="e">
        <f>VLOOKUP($B36,#REF!,3,0)</f>
        <v>#REF!</v>
      </c>
      <c r="E36" s="19" t="e">
        <f>VLOOKUP($B36,#REF!,4,0)</f>
        <v>#REF!</v>
      </c>
      <c r="F36" s="19" t="e">
        <f>VLOOKUP($B36,#REF!,5,0)</f>
        <v>#REF!</v>
      </c>
      <c r="G36" s="19" t="e">
        <f>VLOOKUP($B36,#REF!,6,0)</f>
        <v>#REF!</v>
      </c>
      <c r="H36" s="19" t="e">
        <f>VLOOKUP($B36,#REF!,7,0)</f>
        <v>#REF!</v>
      </c>
      <c r="I36" s="19" t="e">
        <f>VLOOKUP($B36,#REF!,8,0)</f>
        <v>#REF!</v>
      </c>
      <c r="J36" s="104"/>
      <c r="K36" s="22" t="s">
        <v>12</v>
      </c>
      <c r="L36" s="44" t="s">
        <v>66</v>
      </c>
      <c r="M36" s="44" t="s">
        <v>66</v>
      </c>
      <c r="N36" s="44" t="s">
        <v>66</v>
      </c>
      <c r="O36" s="105"/>
      <c r="P36" s="13"/>
      <c r="Q36" s="13"/>
      <c r="R36" s="13"/>
      <c r="S36" s="13"/>
      <c r="T36" s="13"/>
    </row>
    <row r="37" spans="2:73" ht="24.2" customHeight="1" thickBot="1" x14ac:dyDescent="0.25">
      <c r="B37" s="100"/>
      <c r="C37" s="107"/>
      <c r="D37" s="20" t="e">
        <f>VLOOKUP($B37,#REF!,3,0)</f>
        <v>#REF!</v>
      </c>
      <c r="E37" s="20" t="e">
        <f>VLOOKUP($B37,#REF!,4,0)</f>
        <v>#REF!</v>
      </c>
      <c r="F37" s="20" t="e">
        <f>VLOOKUP($B37,#REF!,5,0)</f>
        <v>#REF!</v>
      </c>
      <c r="G37" s="20" t="e">
        <f>VLOOKUP($B37,#REF!,6,0)</f>
        <v>#REF!</v>
      </c>
      <c r="H37" s="20" t="e">
        <f>VLOOKUP($B37,#REF!,7,0)</f>
        <v>#REF!</v>
      </c>
      <c r="I37" s="20" t="e">
        <f>VLOOKUP($B37,#REF!,8,0)</f>
        <v>#REF!</v>
      </c>
      <c r="J37" s="103"/>
      <c r="K37" s="34" t="s">
        <v>13</v>
      </c>
      <c r="L37" s="36">
        <v>142</v>
      </c>
      <c r="M37" s="36">
        <v>139</v>
      </c>
      <c r="N37" s="36">
        <v>134</v>
      </c>
      <c r="O37" s="106"/>
      <c r="P37" s="13"/>
      <c r="Q37" s="13"/>
      <c r="R37" s="13"/>
      <c r="S37" s="13"/>
      <c r="T37" s="13"/>
      <c r="AF37" s="12"/>
      <c r="AG37" s="12"/>
      <c r="AH37" s="14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</row>
    <row r="38" spans="2:73" ht="24.2" customHeight="1" x14ac:dyDescent="0.2">
      <c r="B38" s="108">
        <v>15</v>
      </c>
      <c r="C38" s="101" t="s">
        <v>28</v>
      </c>
      <c r="D38" s="19" t="e">
        <f>VLOOKUP($B38,#REF!,3,0)</f>
        <v>#REF!</v>
      </c>
      <c r="E38" s="19" t="e">
        <f>VLOOKUP($B38,#REF!,4,0)</f>
        <v>#REF!</v>
      </c>
      <c r="F38" s="19" t="e">
        <f>VLOOKUP($B38,#REF!,5,0)</f>
        <v>#REF!</v>
      </c>
      <c r="G38" s="19" t="e">
        <f>VLOOKUP($B38,#REF!,6,0)</f>
        <v>#REF!</v>
      </c>
      <c r="H38" s="19" t="e">
        <f>VLOOKUP($B38,#REF!,7,0)</f>
        <v>#REF!</v>
      </c>
      <c r="I38" s="19" t="e">
        <f>VLOOKUP($B38,#REF!,8,0)</f>
        <v>#REF!</v>
      </c>
      <c r="J38" s="104"/>
      <c r="K38" s="22" t="s">
        <v>12</v>
      </c>
      <c r="L38" s="44" t="s">
        <v>66</v>
      </c>
      <c r="M38" s="44" t="s">
        <v>66</v>
      </c>
      <c r="N38" s="44" t="s">
        <v>66</v>
      </c>
      <c r="O38" s="105"/>
      <c r="P38" s="13"/>
      <c r="Q38" s="13"/>
      <c r="R38" s="13"/>
      <c r="S38" s="13"/>
      <c r="T38" s="13"/>
    </row>
    <row r="39" spans="2:73" ht="24.2" customHeight="1" thickBot="1" x14ac:dyDescent="0.25">
      <c r="B39" s="100"/>
      <c r="C39" s="95"/>
      <c r="D39" s="20" t="e">
        <f>VLOOKUP($B39,#REF!,3,0)</f>
        <v>#REF!</v>
      </c>
      <c r="E39" s="20" t="e">
        <f>VLOOKUP($B39,#REF!,4,0)</f>
        <v>#REF!</v>
      </c>
      <c r="F39" s="20" t="e">
        <f>VLOOKUP($B39,#REF!,5,0)</f>
        <v>#REF!</v>
      </c>
      <c r="G39" s="20" t="e">
        <f>VLOOKUP($B39,#REF!,6,0)</f>
        <v>#REF!</v>
      </c>
      <c r="H39" s="20" t="e">
        <f>VLOOKUP($B39,#REF!,7,0)</f>
        <v>#REF!</v>
      </c>
      <c r="I39" s="20" t="e">
        <f>VLOOKUP($B39,#REF!,8,0)</f>
        <v>#REF!</v>
      </c>
      <c r="J39" s="103"/>
      <c r="K39" s="34" t="s">
        <v>13</v>
      </c>
      <c r="L39" s="36">
        <v>128</v>
      </c>
      <c r="M39" s="36">
        <v>116</v>
      </c>
      <c r="N39" s="36">
        <v>121</v>
      </c>
      <c r="O39" s="106"/>
      <c r="P39" s="13"/>
      <c r="Q39" s="13"/>
      <c r="R39" s="13"/>
      <c r="S39" s="13"/>
      <c r="T39" s="13"/>
      <c r="AF39" s="12"/>
      <c r="AG39" s="12"/>
      <c r="AH39" s="14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</row>
    <row r="40" spans="2:73" ht="24.2" customHeight="1" x14ac:dyDescent="0.2">
      <c r="B40" s="108">
        <v>16</v>
      </c>
      <c r="C40" s="101" t="s">
        <v>29</v>
      </c>
      <c r="D40" s="19" t="e">
        <f>VLOOKUP($B40,#REF!,3,0)</f>
        <v>#REF!</v>
      </c>
      <c r="E40" s="19" t="e">
        <f>VLOOKUP($B40,#REF!,4,0)</f>
        <v>#REF!</v>
      </c>
      <c r="F40" s="19" t="e">
        <f>VLOOKUP($B40,#REF!,5,0)</f>
        <v>#REF!</v>
      </c>
      <c r="G40" s="19" t="e">
        <f>VLOOKUP($B40,#REF!,6,0)</f>
        <v>#REF!</v>
      </c>
      <c r="H40" s="19" t="e">
        <f>VLOOKUP($B40,#REF!,7,0)</f>
        <v>#REF!</v>
      </c>
      <c r="I40" s="19" t="e">
        <f>VLOOKUP($B40,#REF!,8,0)</f>
        <v>#REF!</v>
      </c>
      <c r="J40" s="104"/>
      <c r="K40" s="22" t="s">
        <v>12</v>
      </c>
      <c r="L40" s="44" t="s">
        <v>66</v>
      </c>
      <c r="M40" s="44" t="s">
        <v>66</v>
      </c>
      <c r="N40" s="44" t="s">
        <v>66</v>
      </c>
      <c r="O40" s="105"/>
      <c r="P40" s="13"/>
      <c r="Q40" s="13"/>
      <c r="R40" s="13"/>
      <c r="S40" s="13"/>
      <c r="T40" s="13"/>
    </row>
    <row r="41" spans="2:73" ht="24.2" customHeight="1" thickBot="1" x14ac:dyDescent="0.25">
      <c r="B41" s="100"/>
      <c r="C41" s="107"/>
      <c r="D41" s="20" t="e">
        <f>VLOOKUP($B41,#REF!,3,0)</f>
        <v>#REF!</v>
      </c>
      <c r="E41" s="20" t="e">
        <f>VLOOKUP($B41,#REF!,4,0)</f>
        <v>#REF!</v>
      </c>
      <c r="F41" s="20" t="e">
        <f>VLOOKUP($B41,#REF!,5,0)</f>
        <v>#REF!</v>
      </c>
      <c r="G41" s="20" t="e">
        <f>VLOOKUP($B41,#REF!,6,0)</f>
        <v>#REF!</v>
      </c>
      <c r="H41" s="20" t="e">
        <f>VLOOKUP($B41,#REF!,7,0)</f>
        <v>#REF!</v>
      </c>
      <c r="I41" s="20" t="e">
        <f>VLOOKUP($B41,#REF!,8,0)</f>
        <v>#REF!</v>
      </c>
      <c r="J41" s="103"/>
      <c r="K41" s="34" t="s">
        <v>13</v>
      </c>
      <c r="L41" s="36">
        <v>110</v>
      </c>
      <c r="M41" s="36">
        <v>111</v>
      </c>
      <c r="N41" s="36">
        <v>119</v>
      </c>
      <c r="O41" s="106"/>
      <c r="P41" s="13"/>
      <c r="Q41" s="13"/>
      <c r="R41" s="13"/>
      <c r="S41" s="13"/>
      <c r="T41" s="13"/>
      <c r="AF41" s="12"/>
      <c r="AG41" s="12"/>
      <c r="AH41" s="14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</row>
    <row r="42" spans="2:73" ht="24" customHeight="1" x14ac:dyDescent="0.2">
      <c r="B42" s="108">
        <v>17</v>
      </c>
      <c r="C42" s="101" t="s">
        <v>28</v>
      </c>
      <c r="D42" s="19" t="e">
        <f>VLOOKUP($B42,#REF!,3,0)</f>
        <v>#REF!</v>
      </c>
      <c r="E42" s="19" t="e">
        <f>VLOOKUP($B42,#REF!,4,0)</f>
        <v>#REF!</v>
      </c>
      <c r="F42" s="19" t="e">
        <f>VLOOKUP($B42,#REF!,5,0)</f>
        <v>#REF!</v>
      </c>
      <c r="G42" s="19" t="e">
        <f>VLOOKUP($B42,#REF!,6,0)</f>
        <v>#REF!</v>
      </c>
      <c r="H42" s="19" t="e">
        <f>VLOOKUP($B42,#REF!,7,0)</f>
        <v>#REF!</v>
      </c>
      <c r="I42" s="19" t="e">
        <f>VLOOKUP($B42,#REF!,8,0)</f>
        <v>#REF!</v>
      </c>
      <c r="J42" s="104">
        <v>1050</v>
      </c>
      <c r="K42" s="22" t="s">
        <v>12</v>
      </c>
      <c r="L42" s="44" t="s">
        <v>66</v>
      </c>
      <c r="M42" s="44" t="s">
        <v>66</v>
      </c>
      <c r="N42" s="44" t="s">
        <v>66</v>
      </c>
      <c r="O42" s="105"/>
    </row>
    <row r="43" spans="2:73" ht="24" customHeight="1" thickBot="1" x14ac:dyDescent="0.25">
      <c r="B43" s="100"/>
      <c r="C43" s="95"/>
      <c r="D43" s="20"/>
      <c r="E43" s="20"/>
      <c r="F43" s="20"/>
      <c r="G43" s="20"/>
      <c r="H43" s="20"/>
      <c r="I43" s="20"/>
      <c r="J43" s="103"/>
      <c r="K43" s="34" t="s">
        <v>13</v>
      </c>
      <c r="L43" s="36">
        <v>117</v>
      </c>
      <c r="M43" s="36">
        <v>106</v>
      </c>
      <c r="N43" s="36">
        <v>128</v>
      </c>
      <c r="O43" s="106"/>
    </row>
  </sheetData>
  <mergeCells count="70">
    <mergeCell ref="B40:B41"/>
    <mergeCell ref="C40:C41"/>
    <mergeCell ref="J40:J41"/>
    <mergeCell ref="O40:O41"/>
    <mergeCell ref="B42:B43"/>
    <mergeCell ref="C42:C43"/>
    <mergeCell ref="J42:J43"/>
    <mergeCell ref="O42:O43"/>
    <mergeCell ref="B36:B37"/>
    <mergeCell ref="C36:C37"/>
    <mergeCell ref="J36:J37"/>
    <mergeCell ref="O36:O37"/>
    <mergeCell ref="B38:B39"/>
    <mergeCell ref="C38:C39"/>
    <mergeCell ref="J38:J39"/>
    <mergeCell ref="O38:O39"/>
    <mergeCell ref="B32:B33"/>
    <mergeCell ref="C32:C33"/>
    <mergeCell ref="J32:J33"/>
    <mergeCell ref="O32:O33"/>
    <mergeCell ref="B34:B35"/>
    <mergeCell ref="C34:C35"/>
    <mergeCell ref="J34:J35"/>
    <mergeCell ref="O34:O35"/>
    <mergeCell ref="B28:B29"/>
    <mergeCell ref="C28:C29"/>
    <mergeCell ref="J28:J29"/>
    <mergeCell ref="O28:O29"/>
    <mergeCell ref="B30:B31"/>
    <mergeCell ref="C30:C31"/>
    <mergeCell ref="J30:J31"/>
    <mergeCell ref="O30:O31"/>
    <mergeCell ref="B24:B25"/>
    <mergeCell ref="C24:C25"/>
    <mergeCell ref="J24:J25"/>
    <mergeCell ref="O24:O25"/>
    <mergeCell ref="B26:B27"/>
    <mergeCell ref="C26:C27"/>
    <mergeCell ref="J26:J27"/>
    <mergeCell ref="O26:O27"/>
    <mergeCell ref="B20:B21"/>
    <mergeCell ref="C20:C21"/>
    <mergeCell ref="J20:J21"/>
    <mergeCell ref="O20:O21"/>
    <mergeCell ref="B22:B23"/>
    <mergeCell ref="C22:C23"/>
    <mergeCell ref="J22:J23"/>
    <mergeCell ref="O22:O23"/>
    <mergeCell ref="B18:B19"/>
    <mergeCell ref="C18:C19"/>
    <mergeCell ref="J18:J19"/>
    <mergeCell ref="O18:O19"/>
    <mergeCell ref="B12:B13"/>
    <mergeCell ref="C12:C13"/>
    <mergeCell ref="J12:J13"/>
    <mergeCell ref="B14:B15"/>
    <mergeCell ref="C14:C15"/>
    <mergeCell ref="J14:J15"/>
    <mergeCell ref="O14:O15"/>
    <mergeCell ref="B16:B17"/>
    <mergeCell ref="C16:C17"/>
    <mergeCell ref="J16:J17"/>
    <mergeCell ref="O16:O17"/>
    <mergeCell ref="AF5:AH5"/>
    <mergeCell ref="L6:N6"/>
    <mergeCell ref="O7:O8"/>
    <mergeCell ref="B8:K8"/>
    <mergeCell ref="B10:B11"/>
    <mergeCell ref="C10:C11"/>
    <mergeCell ref="J10:J11"/>
  </mergeCells>
  <pageMargins left="0.45" right="0" top="0.49" bottom="0" header="0.64" footer="0"/>
  <pageSetup paperSize="512" scale="72" orientation="portrait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BI43"/>
  <sheetViews>
    <sheetView zoomScale="70" zoomScaleNormal="70" workbookViewId="0"/>
  </sheetViews>
  <sheetFormatPr defaultRowHeight="12.75" x14ac:dyDescent="0.2"/>
  <cols>
    <col min="1" max="1" width="5.42578125" customWidth="1"/>
    <col min="2" max="2" width="6.28515625" customWidth="1"/>
    <col min="3" max="17" width="12.7109375" customWidth="1"/>
    <col min="18" max="20" width="7.7109375" customWidth="1"/>
  </cols>
  <sheetData>
    <row r="1" spans="1:61" ht="15" customHeight="1" x14ac:dyDescent="0.25">
      <c r="A1" s="1" t="s">
        <v>33</v>
      </c>
    </row>
    <row r="2" spans="1:61" ht="20.25" customHeight="1" x14ac:dyDescent="0.25">
      <c r="A2" s="1"/>
    </row>
    <row r="3" spans="1:61" ht="20.25" customHeight="1" x14ac:dyDescent="0.2"/>
    <row r="4" spans="1:61" ht="20.25" customHeight="1" x14ac:dyDescent="0.25">
      <c r="C4" s="86" t="s">
        <v>93</v>
      </c>
    </row>
    <row r="5" spans="1:61" ht="18" x14ac:dyDescent="0.2">
      <c r="S5" s="5"/>
      <c r="T5" s="90"/>
      <c r="U5" s="90"/>
      <c r="V5" s="90"/>
    </row>
    <row r="6" spans="1:61" ht="25.15" customHeight="1" x14ac:dyDescent="0.2">
      <c r="D6" s="84" t="s">
        <v>79</v>
      </c>
      <c r="E6" s="84" t="s">
        <v>80</v>
      </c>
      <c r="F6" s="84" t="s">
        <v>86</v>
      </c>
      <c r="G6" s="84" t="s">
        <v>87</v>
      </c>
      <c r="H6" s="84" t="s">
        <v>88</v>
      </c>
      <c r="I6" s="84" t="s">
        <v>89</v>
      </c>
      <c r="J6" s="84" t="s">
        <v>90</v>
      </c>
      <c r="K6" s="84" t="s">
        <v>81</v>
      </c>
      <c r="L6" s="84" t="s">
        <v>82</v>
      </c>
      <c r="M6" s="84" t="s">
        <v>91</v>
      </c>
      <c r="N6" s="84" t="s">
        <v>83</v>
      </c>
      <c r="O6" s="84" t="s">
        <v>92</v>
      </c>
      <c r="P6" s="84" t="s">
        <v>84</v>
      </c>
      <c r="Q6" s="84" t="s">
        <v>85</v>
      </c>
      <c r="S6" s="5"/>
      <c r="T6" s="24"/>
      <c r="U6" s="24"/>
      <c r="V6" s="24"/>
    </row>
    <row r="7" spans="1:61" ht="22.5" customHeight="1" x14ac:dyDescent="0.2">
      <c r="B7" s="6" t="s">
        <v>3</v>
      </c>
      <c r="C7" s="8" t="s">
        <v>24</v>
      </c>
      <c r="D7" s="7" t="s">
        <v>78</v>
      </c>
      <c r="E7" s="7" t="s">
        <v>78</v>
      </c>
      <c r="F7" s="7" t="s">
        <v>78</v>
      </c>
      <c r="G7" s="7" t="s">
        <v>78</v>
      </c>
      <c r="H7" s="7" t="s">
        <v>78</v>
      </c>
      <c r="I7" s="7" t="s">
        <v>78</v>
      </c>
      <c r="J7" s="7" t="s">
        <v>78</v>
      </c>
      <c r="K7" s="7" t="s">
        <v>78</v>
      </c>
      <c r="L7" s="7" t="s">
        <v>78</v>
      </c>
      <c r="M7" s="7" t="s">
        <v>78</v>
      </c>
      <c r="N7" s="7" t="s">
        <v>78</v>
      </c>
      <c r="O7" s="7" t="s">
        <v>78</v>
      </c>
      <c r="P7" s="7" t="s">
        <v>78</v>
      </c>
      <c r="Q7" s="7" t="s">
        <v>78</v>
      </c>
      <c r="S7" s="10"/>
      <c r="T7" s="9"/>
      <c r="U7" s="9"/>
      <c r="V7" s="11"/>
    </row>
    <row r="8" spans="1:61" ht="6.95" customHeight="1" thickBot="1" x14ac:dyDescent="0.25">
      <c r="B8" s="96"/>
      <c r="C8" s="97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T8" s="12"/>
      <c r="U8" s="12"/>
      <c r="V8" s="12"/>
    </row>
    <row r="9" spans="1:61" ht="15.95" hidden="1" customHeight="1" x14ac:dyDescent="0.2">
      <c r="B9" s="77" t="s">
        <v>3</v>
      </c>
      <c r="C9" s="78" t="s">
        <v>19</v>
      </c>
      <c r="T9" s="12"/>
      <c r="U9" s="12"/>
      <c r="V9" s="12"/>
    </row>
    <row r="10" spans="1:61" ht="30" customHeight="1" x14ac:dyDescent="0.2">
      <c r="B10" s="134">
        <v>1</v>
      </c>
      <c r="C10" s="79" t="s">
        <v>12</v>
      </c>
      <c r="D10" s="82">
        <f>IF(COUNT('doy130'!$L10:$N10)=3,(AVERAGE('doy130'!$L10:$N10)),"--")</f>
        <v>7</v>
      </c>
      <c r="E10" s="82">
        <f>IF(COUNT('doy139'!$L10:$N10)=3,(AVERAGE('doy139'!$L10:$N10)),"--")</f>
        <v>13</v>
      </c>
      <c r="F10" s="82">
        <f>IF(COUNT('doy146'!$L10:$N10)=3,(AVERAGE('doy146'!$L10:$N10)),"--")</f>
        <v>19.666666666666668</v>
      </c>
      <c r="G10" s="82">
        <f>IF(COUNT('doy153'!$L10:$N10)=3,(AVERAGE('doy153'!$L10:$N10)),"--")</f>
        <v>25.333333333333332</v>
      </c>
      <c r="H10" s="82">
        <f>IF(COUNT('doy159'!$L10:$N10)=3,(AVERAGE('doy159'!$L10:$N10)),"--")</f>
        <v>33.333333333333336</v>
      </c>
      <c r="I10" s="82">
        <f>IF(COUNT('doy168'!$L10:$N10)=3,(AVERAGE('doy168'!$L10:$N10)),"--")</f>
        <v>37</v>
      </c>
      <c r="J10" s="82">
        <f>IF(COUNT('doy173'!$L10:$N10)=3,(AVERAGE('doy173'!$L10:$N10)),"--")</f>
        <v>46.333333333333336</v>
      </c>
      <c r="K10" s="82">
        <f>IF(COUNT('doy179'!$L10:$N10)=3,(AVERAGE('doy179'!$L10:$N10)),"--")</f>
        <v>56.666666666666664</v>
      </c>
      <c r="L10" s="82">
        <f>IF(COUNT('doy187'!$L10:$N10)=3,(AVERAGE('doy187'!$L10:$N10)),"--")</f>
        <v>71.666666666666671</v>
      </c>
      <c r="M10" s="82">
        <f>IF(COUNT('doy193'!$L10:$N10)=3,(AVERAGE('doy193'!$L10:$N10)),"--")</f>
        <v>81.333333333333329</v>
      </c>
      <c r="N10" s="82">
        <f>IF(COUNT('doy203'!$L10:$N10)=3,(AVERAGE('doy203'!$L10:$N10)),"--")</f>
        <v>87</v>
      </c>
      <c r="O10" s="82" t="str">
        <f>IF(COUNT('doy213'!$L10:$N10)=3,(AVERAGE('doy213'!$L10:$N10)),"--")</f>
        <v>--</v>
      </c>
      <c r="P10" s="82" t="str">
        <f>IF(COUNT('doy224'!$L10:$N10)=3,(AVERAGE('doy224'!$L10:$N10)),"--")</f>
        <v>--</v>
      </c>
      <c r="Q10" s="82" t="str">
        <f>IF(COUNT('doy231'!$L10:$N10)=3,(AVERAGE('doy231'!$L10:$N10)),"--")</f>
        <v>--</v>
      </c>
      <c r="T10" s="12"/>
      <c r="U10" s="12"/>
      <c r="V10" s="14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spans="1:61" ht="30" customHeight="1" thickBot="1" x14ac:dyDescent="0.25">
      <c r="B11" s="135"/>
      <c r="C11" s="80" t="s">
        <v>13</v>
      </c>
      <c r="D11" s="85">
        <f>IF(COUNT('doy130'!$L11:$N11)=3,(AVERAGE('doy130'!$L11:$N11)),"--")</f>
        <v>8</v>
      </c>
      <c r="E11" s="85">
        <f>IF(COUNT('doy139'!$L11:$N11)=3,(AVERAGE('doy139'!$L11:$N11)),"--")</f>
        <v>15.666666666666666</v>
      </c>
      <c r="F11" s="85">
        <f>IF(COUNT('doy146'!$L11:$N11)=3,(AVERAGE('doy146'!$L11:$N11)),"--")</f>
        <v>20.333333333333332</v>
      </c>
      <c r="G11" s="85">
        <f>IF(COUNT('doy153'!$L11:$N11)=3,(AVERAGE('doy153'!$L11:$N11)),"--")</f>
        <v>26.666666666666668</v>
      </c>
      <c r="H11" s="85">
        <f>IF(COUNT('doy159'!$L11:$N11)=3,(AVERAGE('doy159'!$L11:$N11)),"--")</f>
        <v>38.333333333333336</v>
      </c>
      <c r="I11" s="85">
        <f>IF(COUNT('doy168'!$L11:$N11)=3,(AVERAGE('doy168'!$L11:$N11)),"--")</f>
        <v>50</v>
      </c>
      <c r="J11" s="85">
        <f>IF(COUNT('doy173'!$L11:$N11)=3,(AVERAGE('doy173'!$L11:$N11)),"--")</f>
        <v>53.666666666666664</v>
      </c>
      <c r="K11" s="85">
        <f>IF(COUNT('doy179'!$L11:$N11)=3,(AVERAGE('doy179'!$L11:$N11)),"--")</f>
        <v>64</v>
      </c>
      <c r="L11" s="85">
        <f>IF(COUNT('doy187'!$L11:$N11)=3,(AVERAGE('doy187'!$L11:$N11)),"--")</f>
        <v>76.333333333333329</v>
      </c>
      <c r="M11" s="85">
        <f>IF(COUNT('doy193'!$L11:$N11)=3,(AVERAGE('doy193'!$L11:$N11)),"--")</f>
        <v>87.666666666666671</v>
      </c>
      <c r="N11" s="85">
        <f>IF(COUNT('doy203'!$L11:$N11)=3,(AVERAGE('doy203'!$L11:$N11)),"--")</f>
        <v>97</v>
      </c>
      <c r="O11" s="85">
        <f>IF(COUNT('doy213'!$L11:$N11)=3,(AVERAGE('doy213'!$L11:$N11)),"--")</f>
        <v>100</v>
      </c>
      <c r="P11" s="85">
        <f>IF(COUNT('doy224'!$L11:$N11)=3,(AVERAGE('doy224'!$L11:$N11)),"--")</f>
        <v>100</v>
      </c>
      <c r="Q11" s="85">
        <f>IF(COUNT('doy231'!$L11:$N11)=3,(AVERAGE('doy231'!$L11:$N11)),"--")</f>
        <v>109.33333333333333</v>
      </c>
      <c r="T11" s="12"/>
      <c r="U11" s="12"/>
      <c r="V11" s="14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spans="1:61" ht="30" customHeight="1" x14ac:dyDescent="0.2">
      <c r="B12" s="134">
        <v>2</v>
      </c>
      <c r="C12" s="79" t="s">
        <v>12</v>
      </c>
      <c r="D12" s="82">
        <f>IF(COUNT('doy130'!$L12:$N12)=3,(AVERAGE('doy130'!$L12:$N12)),"--")</f>
        <v>6.333333333333333</v>
      </c>
      <c r="E12" s="82">
        <f>IF(COUNT('doy139'!$L12:$N12)=3,(AVERAGE('doy139'!$L12:$N12)),"--")</f>
        <v>12.333333333333334</v>
      </c>
      <c r="F12" s="82">
        <f>IF(COUNT('doy146'!$L12:$N12)=3,(AVERAGE('doy146'!$L12:$N12)),"--")</f>
        <v>18.333333333333332</v>
      </c>
      <c r="G12" s="82">
        <f>IF(COUNT('doy153'!$L12:$N12)=3,(AVERAGE('doy153'!$L12:$N12)),"--")</f>
        <v>27</v>
      </c>
      <c r="H12" s="82">
        <f>IF(COUNT('doy159'!$L12:$N12)=3,(AVERAGE('doy159'!$L12:$N12)),"--")</f>
        <v>36.333333333333336</v>
      </c>
      <c r="I12" s="82">
        <f>IF(COUNT('doy168'!$L12:$N12)=3,(AVERAGE('doy168'!$L12:$N12)),"--")</f>
        <v>42</v>
      </c>
      <c r="J12" s="82">
        <f>IF(COUNT('doy173'!$L12:$N12)=3,(AVERAGE('doy173'!$L12:$N12)),"--")</f>
        <v>52.333333333333336</v>
      </c>
      <c r="K12" s="82">
        <f>IF(COUNT('doy179'!$L12:$N12)=3,(AVERAGE('doy179'!$L12:$N12)),"--")</f>
        <v>60</v>
      </c>
      <c r="L12" s="82" t="str">
        <f>IF(COUNT('doy187'!$L12:$N12)=3,(AVERAGE('doy187'!$L12:$N12)),"--")</f>
        <v>--</v>
      </c>
      <c r="M12" s="82">
        <f>IF(COUNT('doy193'!$L12:$N12)=3,(AVERAGE('doy193'!$L12:$N12)),"--")</f>
        <v>73.333333333333329</v>
      </c>
      <c r="N12" s="82">
        <f>IF(COUNT('doy203'!$L12:$N12)=3,(AVERAGE('doy203'!$L12:$N12)),"--")</f>
        <v>98.333333333333329</v>
      </c>
      <c r="O12" s="82" t="str">
        <f>IF(COUNT('doy213'!$L12:$N12)=3,(AVERAGE('doy213'!$L12:$N12)),"--")</f>
        <v>--</v>
      </c>
      <c r="P12" s="82" t="str">
        <f>IF(COUNT('doy224'!$L12:$N12)=3,(AVERAGE('doy224'!$L12:$N12)),"--")</f>
        <v>--</v>
      </c>
      <c r="Q12" s="82" t="str">
        <f>IF(COUNT('doy231'!$L12:$N12)=3,(AVERAGE('doy231'!$L12:$N12)),"--")</f>
        <v>--</v>
      </c>
      <c r="T12" s="12"/>
      <c r="U12" s="12"/>
      <c r="V12" s="12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</row>
    <row r="13" spans="1:61" ht="30" customHeight="1" thickBot="1" x14ac:dyDescent="0.25">
      <c r="B13" s="135"/>
      <c r="C13" s="80" t="s">
        <v>13</v>
      </c>
      <c r="D13" s="85">
        <f>IF(COUNT('doy130'!$L13:$N13)=3,(AVERAGE('doy130'!$L13:$N13)),"--")</f>
        <v>7.333333333333333</v>
      </c>
      <c r="E13" s="85">
        <f>IF(COUNT('doy139'!$L13:$N13)=3,(AVERAGE('doy139'!$L13:$N13)),"--")</f>
        <v>16</v>
      </c>
      <c r="F13" s="85">
        <f>IF(COUNT('doy146'!$L13:$N13)=3,(AVERAGE('doy146'!$L13:$N13)),"--")</f>
        <v>22.333333333333332</v>
      </c>
      <c r="G13" s="85">
        <f>IF(COUNT('doy153'!$L13:$N13)=3,(AVERAGE('doy153'!$L13:$N13)),"--")</f>
        <v>29</v>
      </c>
      <c r="H13" s="85">
        <f>IF(COUNT('doy159'!$L13:$N13)=3,(AVERAGE('doy159'!$L13:$N13)),"--")</f>
        <v>41.333333333333336</v>
      </c>
      <c r="I13" s="85">
        <f>IF(COUNT('doy168'!$L13:$N13)=3,(AVERAGE('doy168'!$L13:$N13)),"--")</f>
        <v>51.666666666666664</v>
      </c>
      <c r="J13" s="85">
        <f>IF(COUNT('doy173'!$L13:$N13)=3,(AVERAGE('doy173'!$L13:$N13)),"--")</f>
        <v>63.666666666666664</v>
      </c>
      <c r="K13" s="85">
        <f>IF(COUNT('doy179'!$L13:$N13)=3,(AVERAGE('doy179'!$L13:$N13)),"--")</f>
        <v>75.666666666666671</v>
      </c>
      <c r="L13" s="85" t="str">
        <f>IF(COUNT('doy187'!$L13:$N13)=3,(AVERAGE('doy187'!$L13:$N13)),"--")</f>
        <v>--</v>
      </c>
      <c r="M13" s="85">
        <f>IF(COUNT('doy193'!$L13:$N13)=3,(AVERAGE('doy193'!$L13:$N13)),"--")</f>
        <v>90.333333333333329</v>
      </c>
      <c r="N13" s="85">
        <f>IF(COUNT('doy203'!$L13:$N13)=3,(AVERAGE('doy203'!$L13:$N13)),"--")</f>
        <v>103</v>
      </c>
      <c r="O13" s="85">
        <f>IF(COUNT('doy213'!$L13:$N13)=3,(AVERAGE('doy213'!$L13:$N13)),"--")</f>
        <v>108.33333333333333</v>
      </c>
      <c r="P13" s="85">
        <f>IF(COUNT('doy224'!$L13:$N13)=3,(AVERAGE('doy224'!$L13:$N13)),"--")</f>
        <v>109</v>
      </c>
      <c r="Q13" s="85">
        <f>IF(COUNT('doy231'!$L13:$N13)=3,(AVERAGE('doy231'!$L13:$N13)),"--")</f>
        <v>113</v>
      </c>
      <c r="T13" s="12"/>
      <c r="U13" s="12"/>
      <c r="V13" s="14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spans="1:61" ht="30" customHeight="1" x14ac:dyDescent="0.2">
      <c r="B14" s="134">
        <v>3</v>
      </c>
      <c r="C14" s="79" t="s">
        <v>12</v>
      </c>
      <c r="D14" s="82">
        <f>IF(COUNT('doy130'!$L14:$N14)=3,(AVERAGE('doy130'!$L14:$N14)),"--")</f>
        <v>6.666666666666667</v>
      </c>
      <c r="E14" s="82">
        <f>IF(COUNT('doy139'!$L14:$N14)=3,(AVERAGE('doy139'!$L14:$N14)),"--")</f>
        <v>12</v>
      </c>
      <c r="F14" s="82">
        <f>IF(COUNT('doy146'!$L14:$N14)=3,(AVERAGE('doy146'!$L14:$N14)),"--")</f>
        <v>19</v>
      </c>
      <c r="G14" s="82">
        <f>IF(COUNT('doy153'!$L14:$N14)=3,(AVERAGE('doy153'!$L14:$N14)),"--")</f>
        <v>24.666666666666668</v>
      </c>
      <c r="H14" s="82">
        <f>IF(COUNT('doy159'!$L14:$N14)=3,(AVERAGE('doy159'!$L14:$N14)),"--")</f>
        <v>37</v>
      </c>
      <c r="I14" s="82" t="str">
        <f>IF(COUNT('doy168'!$L14:$N14)=3,(AVERAGE('doy168'!$L14:$N14)),"--")</f>
        <v>--</v>
      </c>
      <c r="J14" s="82">
        <f>IF(COUNT('doy173'!$L14:$N14)=3,(AVERAGE('doy173'!$L14:$N14)),"--")</f>
        <v>50.666666666666664</v>
      </c>
      <c r="K14" s="82">
        <f>IF(COUNT('doy179'!$L14:$N14)=3,(AVERAGE('doy179'!$L14:$N14)),"--")</f>
        <v>47.666666666666664</v>
      </c>
      <c r="L14" s="82">
        <f>IF(COUNT('doy187'!$L14:$N14)=3,(AVERAGE('doy187'!$L14:$N14)),"--")</f>
        <v>56.333333333333336</v>
      </c>
      <c r="M14" s="82">
        <f>IF(COUNT('doy193'!$L14:$N14)=3,(AVERAGE('doy193'!$L14:$N14)),"--")</f>
        <v>56.666666666666664</v>
      </c>
      <c r="N14" s="82">
        <f>IF(COUNT('doy203'!$L14:$N14)=3,(AVERAGE('doy203'!$L14:$N14)),"--")</f>
        <v>72.333333333333329</v>
      </c>
      <c r="O14" s="82">
        <f>IF(COUNT('doy213'!$L14:$N14)=3,(AVERAGE('doy213'!$L14:$N14)),"--")</f>
        <v>90.333333333333329</v>
      </c>
      <c r="P14" s="82">
        <f>IF(COUNT('doy224'!$L14:$N14)=3,(AVERAGE('doy224'!$L14:$N14)),"--")</f>
        <v>94.333333333333329</v>
      </c>
      <c r="Q14" s="82" t="str">
        <f>IF(COUNT('doy231'!$L14:$N14)=3,(AVERAGE('doy231'!$L14:$N14)),"--")</f>
        <v>--</v>
      </c>
      <c r="T14" s="12"/>
      <c r="U14" s="12"/>
      <c r="V14" s="12"/>
    </row>
    <row r="15" spans="1:61" ht="30" customHeight="1" thickBot="1" x14ac:dyDescent="0.25">
      <c r="B15" s="135"/>
      <c r="C15" s="80" t="s">
        <v>13</v>
      </c>
      <c r="D15" s="85">
        <f>IF(COUNT('doy130'!$L15:$N15)=3,(AVERAGE('doy130'!$L15:$N15)),"--")</f>
        <v>7.333333333333333</v>
      </c>
      <c r="E15" s="85">
        <f>IF(COUNT('doy139'!$L15:$N15)=3,(AVERAGE('doy139'!$L15:$N15)),"--")</f>
        <v>14.333333333333334</v>
      </c>
      <c r="F15" s="85">
        <f>IF(COUNT('doy146'!$L15:$N15)=3,(AVERAGE('doy146'!$L15:$N15)),"--")</f>
        <v>21.333333333333332</v>
      </c>
      <c r="G15" s="85">
        <f>IF(COUNT('doy153'!$L15:$N15)=3,(AVERAGE('doy153'!$L15:$N15)),"--")</f>
        <v>26</v>
      </c>
      <c r="H15" s="85">
        <f>IF(COUNT('doy159'!$L15:$N15)=3,(AVERAGE('doy159'!$L15:$N15)),"--")</f>
        <v>37.333333333333336</v>
      </c>
      <c r="I15" s="85" t="str">
        <f>IF(COUNT('doy168'!$L15:$N15)=3,(AVERAGE('doy168'!$L15:$N15)),"--")</f>
        <v>--</v>
      </c>
      <c r="J15" s="85">
        <f>IF(COUNT('doy173'!$L15:$N15)=3,(AVERAGE('doy173'!$L15:$N15)),"--")</f>
        <v>59</v>
      </c>
      <c r="K15" s="85">
        <f>IF(COUNT('doy179'!$L15:$N15)=3,(AVERAGE('doy179'!$L15:$N15)),"--")</f>
        <v>61.333333333333336</v>
      </c>
      <c r="L15" s="85">
        <f>IF(COUNT('doy187'!$L15:$N15)=3,(AVERAGE('doy187'!$L15:$N15)),"--")</f>
        <v>69.666666666666671</v>
      </c>
      <c r="M15" s="85">
        <f>IF(COUNT('doy193'!$L15:$N15)=3,(AVERAGE('doy193'!$L15:$N15)),"--")</f>
        <v>74.666666666666671</v>
      </c>
      <c r="N15" s="85">
        <f>IF(COUNT('doy203'!$L15:$N15)=3,(AVERAGE('doy203'!$L15:$N15)),"--")</f>
        <v>85</v>
      </c>
      <c r="O15" s="85">
        <f>IF(COUNT('doy213'!$L15:$N15)=3,(AVERAGE('doy213'!$L15:$N15)),"--")</f>
        <v>96</v>
      </c>
      <c r="P15" s="85">
        <f>IF(COUNT('doy224'!$L15:$N15)=3,(AVERAGE('doy224'!$L15:$N15)),"--")</f>
        <v>104.33333333333333</v>
      </c>
      <c r="Q15" s="85">
        <f>IF(COUNT('doy231'!$L15:$N15)=3,(AVERAGE('doy231'!$L15:$N15)),"--")</f>
        <v>110.66666666666667</v>
      </c>
      <c r="T15" s="12"/>
      <c r="U15" s="12"/>
      <c r="V15" s="14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spans="1:61" ht="30" customHeight="1" x14ac:dyDescent="0.2">
      <c r="B16" s="134">
        <v>4</v>
      </c>
      <c r="C16" s="79" t="s">
        <v>12</v>
      </c>
      <c r="D16" s="82">
        <f>IF(COUNT('doy130'!$L16:$N16)=3,(AVERAGE('doy130'!$L16:$N16)),"--")</f>
        <v>6.666666666666667</v>
      </c>
      <c r="E16" s="82">
        <f>IF(COUNT('doy139'!$L16:$N16)=3,(AVERAGE('doy139'!$L16:$N16)),"--")</f>
        <v>13</v>
      </c>
      <c r="F16" s="82">
        <f>IF(COUNT('doy146'!$L16:$N16)=3,(AVERAGE('doy146'!$L16:$N16)),"--")</f>
        <v>18.333333333333332</v>
      </c>
      <c r="G16" s="82">
        <f>IF(COUNT('doy153'!$L16:$N16)=3,(AVERAGE('doy153'!$L16:$N16)),"--")</f>
        <v>27.666666666666668</v>
      </c>
      <c r="H16" s="82">
        <f>IF(COUNT('doy159'!$L16:$N16)=3,(AVERAGE('doy159'!$L16:$N16)),"--")</f>
        <v>35.333333333333336</v>
      </c>
      <c r="I16" s="82">
        <f>IF(COUNT('doy168'!$L16:$N16)=3,(AVERAGE('doy168'!$L16:$N16)),"--")</f>
        <v>49.333333333333336</v>
      </c>
      <c r="J16" s="82">
        <f>IF(COUNT('doy173'!$L16:$N16)=3,(AVERAGE('doy173'!$L16:$N16)),"--")</f>
        <v>56</v>
      </c>
      <c r="K16" s="82">
        <f>IF(COUNT('doy179'!$L16:$N16)=3,(AVERAGE('doy179'!$L16:$N16)),"--")</f>
        <v>65.666666666666671</v>
      </c>
      <c r="L16" s="82" t="str">
        <f>IF(COUNT('doy187'!$L16:$N16)=3,(AVERAGE('doy187'!$L16:$N16)),"--")</f>
        <v>--</v>
      </c>
      <c r="M16" s="82">
        <f>IF(COUNT('doy193'!$L16:$N16)=3,(AVERAGE('doy193'!$L16:$N16)),"--")</f>
        <v>83</v>
      </c>
      <c r="N16" s="82">
        <f>IF(COUNT('doy203'!$L16:$N16)=3,(AVERAGE('doy203'!$L16:$N16)),"--")</f>
        <v>96.666666666666671</v>
      </c>
      <c r="O16" s="82" t="str">
        <f>IF(COUNT('doy213'!$L16:$N16)=3,(AVERAGE('doy213'!$L16:$N16)),"--")</f>
        <v>--</v>
      </c>
      <c r="P16" s="82" t="str">
        <f>IF(COUNT('doy224'!$L16:$N16)=3,(AVERAGE('doy224'!$L16:$N16)),"--")</f>
        <v>--</v>
      </c>
      <c r="Q16" s="82" t="str">
        <f>IF(COUNT('doy231'!$L16:$N16)=3,(AVERAGE('doy231'!$L16:$N16)),"--")</f>
        <v>--</v>
      </c>
    </row>
    <row r="17" spans="2:61" ht="30" customHeight="1" thickBot="1" x14ac:dyDescent="0.25">
      <c r="B17" s="135"/>
      <c r="C17" s="80" t="s">
        <v>13</v>
      </c>
      <c r="D17" s="85">
        <f>IF(COUNT('doy130'!$L17:$N17)=3,(AVERAGE('doy130'!$L17:$N17)),"--")</f>
        <v>8.3333333333333339</v>
      </c>
      <c r="E17" s="85">
        <f>IF(COUNT('doy139'!$L17:$N17)=3,(AVERAGE('doy139'!$L17:$N17)),"--")</f>
        <v>16.333333333333332</v>
      </c>
      <c r="F17" s="85">
        <f>IF(COUNT('doy146'!$L17:$N17)=3,(AVERAGE('doy146'!$L17:$N17)),"--")</f>
        <v>22.333333333333332</v>
      </c>
      <c r="G17" s="85">
        <f>IF(COUNT('doy153'!$L17:$N17)=3,(AVERAGE('doy153'!$L17:$N17)),"--")</f>
        <v>30.333333333333332</v>
      </c>
      <c r="H17" s="85">
        <f>IF(COUNT('doy159'!$L17:$N17)=3,(AVERAGE('doy159'!$L17:$N17)),"--")</f>
        <v>38</v>
      </c>
      <c r="I17" s="85">
        <f>IF(COUNT('doy168'!$L17:$N17)=3,(AVERAGE('doy168'!$L17:$N17)),"--")</f>
        <v>56.333333333333336</v>
      </c>
      <c r="J17" s="85">
        <f>IF(COUNT('doy173'!$L17:$N17)=3,(AVERAGE('doy173'!$L17:$N17)),"--")</f>
        <v>65.333333333333329</v>
      </c>
      <c r="K17" s="85">
        <f>IF(COUNT('doy179'!$L17:$N17)=3,(AVERAGE('doy179'!$L17:$N17)),"--")</f>
        <v>80.666666666666671</v>
      </c>
      <c r="L17" s="85" t="str">
        <f>IF(COUNT('doy187'!$L17:$N17)=3,(AVERAGE('doy187'!$L17:$N17)),"--")</f>
        <v>--</v>
      </c>
      <c r="M17" s="85">
        <f>IF(COUNT('doy193'!$L17:$N17)=3,(AVERAGE('doy193'!$L17:$N17)),"--")</f>
        <v>97</v>
      </c>
      <c r="N17" s="85">
        <f>IF(COUNT('doy203'!$L17:$N17)=3,(AVERAGE('doy203'!$L17:$N17)),"--")</f>
        <v>103.33333333333333</v>
      </c>
      <c r="O17" s="85">
        <f>IF(COUNT('doy213'!$L17:$N17)=3,(AVERAGE('doy213'!$L17:$N17)),"--")</f>
        <v>111.33333333333333</v>
      </c>
      <c r="P17" s="85">
        <f>IF(COUNT('doy224'!$L17:$N17)=3,(AVERAGE('doy224'!$L17:$N17)),"--")</f>
        <v>122</v>
      </c>
      <c r="Q17" s="85">
        <f>IF(COUNT('doy231'!$L17:$N17)=3,(AVERAGE('doy231'!$L17:$N17)),"--")</f>
        <v>121.33333333333333</v>
      </c>
      <c r="T17" s="12"/>
      <c r="U17" s="12"/>
      <c r="V17" s="14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spans="2:61" ht="30" customHeight="1" x14ac:dyDescent="0.2">
      <c r="B18" s="134">
        <v>5</v>
      </c>
      <c r="C18" s="79" t="s">
        <v>12</v>
      </c>
      <c r="D18" s="82">
        <f>IF(COUNT('doy130'!$L18:$N18)=3,(AVERAGE('doy130'!$L18:$N18)),"--")</f>
        <v>6</v>
      </c>
      <c r="E18" s="82">
        <f>IF(COUNT('doy139'!$L18:$N18)=3,(AVERAGE('doy139'!$L18:$N18)),"--")</f>
        <v>11.666666666666666</v>
      </c>
      <c r="F18" s="82">
        <f>IF(COUNT('doy146'!$L18:$N18)=3,(AVERAGE('doy146'!$L18:$N18)),"--")</f>
        <v>18.333333333333332</v>
      </c>
      <c r="G18" s="82">
        <f>IF(COUNT('doy153'!$L18:$N18)=3,(AVERAGE('doy153'!$L18:$N18)),"--")</f>
        <v>27.666666666666668</v>
      </c>
      <c r="H18" s="82">
        <f>IF(COUNT('doy159'!$L18:$N18)=3,(AVERAGE('doy159'!$L18:$N18)),"--")</f>
        <v>33.333333333333336</v>
      </c>
      <c r="I18" s="82">
        <f>IF(COUNT('doy168'!$L18:$N18)=3,(AVERAGE('doy168'!$L18:$N18)),"--")</f>
        <v>44</v>
      </c>
      <c r="J18" s="82">
        <f>IF(COUNT('doy173'!$L18:$N18)=3,(AVERAGE('doy173'!$L18:$N18)),"--")</f>
        <v>45.666666666666664</v>
      </c>
      <c r="K18" s="82">
        <f>IF(COUNT('doy179'!$L18:$N18)=3,(AVERAGE('doy179'!$L18:$N18)),"--")</f>
        <v>54.333333333333336</v>
      </c>
      <c r="L18" s="82">
        <f>IF(COUNT('doy187'!$L18:$N18)=3,(AVERAGE('doy187'!$L18:$N18)),"--")</f>
        <v>70.666666666666671</v>
      </c>
      <c r="M18" s="82">
        <f>IF(COUNT('doy193'!$L18:$N18)=3,(AVERAGE('doy193'!$L18:$N18)),"--")</f>
        <v>78</v>
      </c>
      <c r="N18" s="82">
        <f>IF(COUNT('doy203'!$L18:$N18)=3,(AVERAGE('doy203'!$L18:$N18)),"--")</f>
        <v>95</v>
      </c>
      <c r="O18" s="82">
        <f>IF(COUNT('doy213'!$L18:$N18)=3,(AVERAGE('doy213'!$L18:$N18)),"--")</f>
        <v>95</v>
      </c>
      <c r="P18" s="82" t="str">
        <f>IF(COUNT('doy224'!$L18:$N18)=3,(AVERAGE('doy224'!$L18:$N18)),"--")</f>
        <v>--</v>
      </c>
      <c r="Q18" s="82" t="str">
        <f>IF(COUNT('doy231'!$L18:$N18)=3,(AVERAGE('doy231'!$L18:$N18)),"--")</f>
        <v>--</v>
      </c>
      <c r="T18" s="12"/>
      <c r="U18" s="12"/>
      <c r="V18" s="12"/>
    </row>
    <row r="19" spans="2:61" ht="30" customHeight="1" thickBot="1" x14ac:dyDescent="0.25">
      <c r="B19" s="135"/>
      <c r="C19" s="80" t="s">
        <v>13</v>
      </c>
      <c r="D19" s="85">
        <f>IF(COUNT('doy130'!$L19:$N19)=3,(AVERAGE('doy130'!$L19:$N19)),"--")</f>
        <v>6.666666666666667</v>
      </c>
      <c r="E19" s="85">
        <f>IF(COUNT('doy139'!$L19:$N19)=3,(AVERAGE('doy139'!$L19:$N19)),"--")</f>
        <v>13.333333333333334</v>
      </c>
      <c r="F19" s="85">
        <f>IF(COUNT('doy146'!$L19:$N19)=3,(AVERAGE('doy146'!$L19:$N19)),"--")</f>
        <v>21</v>
      </c>
      <c r="G19" s="85">
        <f>IF(COUNT('doy153'!$L19:$N19)=3,(AVERAGE('doy153'!$L19:$N19)),"--")</f>
        <v>29.333333333333332</v>
      </c>
      <c r="H19" s="85">
        <f>IF(COUNT('doy159'!$L19:$N19)=3,(AVERAGE('doy159'!$L19:$N19)),"--")</f>
        <v>37</v>
      </c>
      <c r="I19" s="85">
        <f>IF(COUNT('doy168'!$L19:$N19)=3,(AVERAGE('doy168'!$L19:$N19)),"--")</f>
        <v>53.666666666666664</v>
      </c>
      <c r="J19" s="85">
        <f>IF(COUNT('doy173'!$L19:$N19)=3,(AVERAGE('doy173'!$L19:$N19)),"--")</f>
        <v>57</v>
      </c>
      <c r="K19" s="85">
        <f>IF(COUNT('doy179'!$L19:$N19)=3,(AVERAGE('doy179'!$L19:$N19)),"--")</f>
        <v>71</v>
      </c>
      <c r="L19" s="85">
        <f>IF(COUNT('doy187'!$L19:$N19)=3,(AVERAGE('doy187'!$L19:$N19)),"--")</f>
        <v>82</v>
      </c>
      <c r="M19" s="85">
        <f>IF(COUNT('doy193'!$L19:$N19)=3,(AVERAGE('doy193'!$L19:$N19)),"--")</f>
        <v>92.666666666666671</v>
      </c>
      <c r="N19" s="85">
        <f>IF(COUNT('doy203'!$L19:$N19)=3,(AVERAGE('doy203'!$L19:$N19)),"--")</f>
        <v>101.66666666666667</v>
      </c>
      <c r="O19" s="85">
        <f>IF(COUNT('doy213'!$L19:$N19)=3,(AVERAGE('doy213'!$L19:$N19)),"--")</f>
        <v>108</v>
      </c>
      <c r="P19" s="85">
        <f>IF(COUNT('doy224'!$L19:$N19)=3,(AVERAGE('doy224'!$L19:$N19)),"--")</f>
        <v>111.33333333333333</v>
      </c>
      <c r="Q19" s="85">
        <f>IF(COUNT('doy231'!$L19:$N19)=3,(AVERAGE('doy231'!$L19:$N19)),"--")</f>
        <v>117</v>
      </c>
      <c r="T19" s="12"/>
      <c r="U19" s="12"/>
      <c r="V19" s="14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spans="2:61" ht="30" customHeight="1" x14ac:dyDescent="0.2">
      <c r="B20" s="134">
        <v>6</v>
      </c>
      <c r="C20" s="79" t="s">
        <v>12</v>
      </c>
      <c r="D20" s="82">
        <f>IF(COUNT('doy130'!$L20:$N20)=3,(AVERAGE('doy130'!$L20:$N20)),"--")</f>
        <v>6.333333333333333</v>
      </c>
      <c r="E20" s="82">
        <f>IF(COUNT('doy139'!$L20:$N20)=3,(AVERAGE('doy139'!$L20:$N20)),"--")</f>
        <v>11.666666666666666</v>
      </c>
      <c r="F20" s="82">
        <f>IF(COUNT('doy146'!$L20:$N20)=3,(AVERAGE('doy146'!$L20:$N20)),"--")</f>
        <v>20</v>
      </c>
      <c r="G20" s="82">
        <f>IF(COUNT('doy153'!$L20:$N20)=3,(AVERAGE('doy153'!$L20:$N20)),"--")</f>
        <v>25</v>
      </c>
      <c r="H20" s="82">
        <f>IF(COUNT('doy159'!$L20:$N20)=3,(AVERAGE('doy159'!$L20:$N20)),"--")</f>
        <v>37</v>
      </c>
      <c r="I20" s="82">
        <f>IF(COUNT('doy168'!$L20:$N20)=3,(AVERAGE('doy168'!$L20:$N20)),"--")</f>
        <v>41.666666666666664</v>
      </c>
      <c r="J20" s="82">
        <f>IF(COUNT('doy173'!$L20:$N20)=3,(AVERAGE('doy173'!$L20:$N20)),"--")</f>
        <v>51</v>
      </c>
      <c r="K20" s="82">
        <f>IF(COUNT('doy179'!$L20:$N20)=3,(AVERAGE('doy179'!$L20:$N20)),"--")</f>
        <v>54.666666666666664</v>
      </c>
      <c r="L20" s="82">
        <f>IF(COUNT('doy187'!$L20:$N20)=3,(AVERAGE('doy187'!$L20:$N20)),"--")</f>
        <v>64.333333333333329</v>
      </c>
      <c r="M20" s="82">
        <f>IF(COUNT('doy193'!$L20:$N20)=3,(AVERAGE('doy193'!$L20:$N20)),"--")</f>
        <v>72.333333333333329</v>
      </c>
      <c r="N20" s="82">
        <f>IF(COUNT('doy203'!$L20:$N20)=3,(AVERAGE('doy203'!$L20:$N20)),"--")</f>
        <v>86.666666666666671</v>
      </c>
      <c r="O20" s="82" t="str">
        <f>IF(COUNT('doy213'!$L20:$N20)=3,(AVERAGE('doy213'!$L20:$N20)),"--")</f>
        <v>--</v>
      </c>
      <c r="P20" s="82" t="str">
        <f>IF(COUNT('doy224'!$L20:$N20)=3,(AVERAGE('doy224'!$L20:$N20)),"--")</f>
        <v>--</v>
      </c>
      <c r="Q20" s="82" t="str">
        <f>IF(COUNT('doy231'!$L20:$N20)=3,(AVERAGE('doy231'!$L20:$N20)),"--")</f>
        <v>--</v>
      </c>
      <c r="T20" s="12"/>
      <c r="U20" s="12"/>
      <c r="V20" s="12"/>
    </row>
    <row r="21" spans="2:61" ht="30" customHeight="1" thickBot="1" x14ac:dyDescent="0.25">
      <c r="B21" s="135"/>
      <c r="C21" s="80" t="s">
        <v>13</v>
      </c>
      <c r="D21" s="85">
        <f>IF(COUNT('doy130'!$L21:$N21)=3,(AVERAGE('doy130'!$L21:$N21)),"--")</f>
        <v>7.333333333333333</v>
      </c>
      <c r="E21" s="85">
        <f>IF(COUNT('doy139'!$L21:$N21)=3,(AVERAGE('doy139'!$L21:$N21)),"--")</f>
        <v>16</v>
      </c>
      <c r="F21" s="85">
        <f>IF(COUNT('doy146'!$L21:$N21)=3,(AVERAGE('doy146'!$L21:$N21)),"--")</f>
        <v>21.666666666666668</v>
      </c>
      <c r="G21" s="85">
        <f>IF(COUNT('doy153'!$L21:$N21)=3,(AVERAGE('doy153'!$L21:$N21)),"--")</f>
        <v>27.333333333333332</v>
      </c>
      <c r="H21" s="85">
        <f>IF(COUNT('doy159'!$L21:$N21)=3,(AVERAGE('doy159'!$L21:$N21)),"--")</f>
        <v>35.666666666666664</v>
      </c>
      <c r="I21" s="85">
        <f>IF(COUNT('doy168'!$L21:$N21)=3,(AVERAGE('doy168'!$L21:$N21)),"--")</f>
        <v>50.666666666666664</v>
      </c>
      <c r="J21" s="85">
        <f>IF(COUNT('doy173'!$L21:$N21)=3,(AVERAGE('doy173'!$L21:$N21)),"--")</f>
        <v>63.333333333333336</v>
      </c>
      <c r="K21" s="85">
        <f>IF(COUNT('doy179'!$L21:$N21)=3,(AVERAGE('doy179'!$L21:$N21)),"--")</f>
        <v>68</v>
      </c>
      <c r="L21" s="85">
        <f>IF(COUNT('doy187'!$L21:$N21)=3,(AVERAGE('doy187'!$L21:$N21)),"--")</f>
        <v>76.666666666666671</v>
      </c>
      <c r="M21" s="85">
        <f>IF(COUNT('doy193'!$L21:$N21)=3,(AVERAGE('doy193'!$L21:$N21)),"--")</f>
        <v>86</v>
      </c>
      <c r="N21" s="85">
        <f>IF(COUNT('doy203'!$L21:$N21)=3,(AVERAGE('doy203'!$L21:$N21)),"--")</f>
        <v>94.333333333333329</v>
      </c>
      <c r="O21" s="85">
        <f>IF(COUNT('doy213'!$L21:$N21)=3,(AVERAGE('doy213'!$L21:$N21)),"--")</f>
        <v>101.66666666666667</v>
      </c>
      <c r="P21" s="85">
        <f>IF(COUNT('doy224'!$L21:$N21)=3,(AVERAGE('doy224'!$L21:$N21)),"--")</f>
        <v>112.33333333333333</v>
      </c>
      <c r="Q21" s="85">
        <f>IF(COUNT('doy231'!$L21:$N21)=3,(AVERAGE('doy231'!$L21:$N21)),"--")</f>
        <v>115.66666666666667</v>
      </c>
      <c r="T21" s="12"/>
      <c r="U21" s="12"/>
      <c r="V21" s="14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spans="2:61" ht="30" customHeight="1" x14ac:dyDescent="0.2">
      <c r="B22" s="134">
        <v>7</v>
      </c>
      <c r="C22" s="79" t="s">
        <v>12</v>
      </c>
      <c r="D22" s="82">
        <f>IF(COUNT('doy130'!$L22:$N22)=3,(AVERAGE('doy130'!$L22:$N22)),"--")</f>
        <v>5</v>
      </c>
      <c r="E22" s="82">
        <f>IF(COUNT('doy139'!$L22:$N22)=3,(AVERAGE('doy139'!$L22:$N22)),"--")</f>
        <v>12</v>
      </c>
      <c r="F22" s="82">
        <f>IF(COUNT('doy146'!$L22:$N22)=3,(AVERAGE('doy146'!$L22:$N22)),"--")</f>
        <v>16</v>
      </c>
      <c r="G22" s="82">
        <f>IF(COUNT('doy153'!$L22:$N22)=3,(AVERAGE('doy153'!$L22:$N22)),"--")</f>
        <v>25</v>
      </c>
      <c r="H22" s="82">
        <f>IF(COUNT('doy159'!$L22:$N22)=3,(AVERAGE('doy159'!$L22:$N22)),"--")</f>
        <v>33.333333333333336</v>
      </c>
      <c r="I22" s="82">
        <f>IF(COUNT('doy168'!$L22:$N22)=3,(AVERAGE('doy168'!$L22:$N22)),"--")</f>
        <v>46.666666666666664</v>
      </c>
      <c r="J22" s="82">
        <f>IF(COUNT('doy173'!$L22:$N22)=3,(AVERAGE('doy173'!$L22:$N22)),"--")</f>
        <v>56.333333333333336</v>
      </c>
      <c r="K22" s="82">
        <f>IF(COUNT('doy179'!$L22:$N22)=3,(AVERAGE('doy179'!$L22:$N22)),"--")</f>
        <v>62.333333333333336</v>
      </c>
      <c r="L22" s="82">
        <f>IF(COUNT('doy187'!$L22:$N22)=3,(AVERAGE('doy187'!$L22:$N22)),"--")</f>
        <v>61</v>
      </c>
      <c r="M22" s="82">
        <f>IF(COUNT('doy193'!$L22:$N22)=3,(AVERAGE('doy193'!$L22:$N22)),"--")</f>
        <v>78</v>
      </c>
      <c r="N22" s="82">
        <f>IF(COUNT('doy203'!$L22:$N22)=3,(AVERAGE('doy203'!$L22:$N22)),"--")</f>
        <v>95</v>
      </c>
      <c r="O22" s="82" t="str">
        <f>IF(COUNT('doy213'!$L22:$N22)=3,(AVERAGE('doy213'!$L22:$N22)),"--")</f>
        <v>--</v>
      </c>
      <c r="P22" s="82" t="str">
        <f>IF(COUNT('doy224'!$L22:$N22)=3,(AVERAGE('doy224'!$L22:$N22)),"--")</f>
        <v>--</v>
      </c>
      <c r="Q22" s="82" t="str">
        <f>IF(COUNT('doy231'!$L22:$N22)=3,(AVERAGE('doy231'!$L22:$N22)),"--")</f>
        <v>--</v>
      </c>
      <c r="T22" s="12"/>
      <c r="U22" s="12"/>
      <c r="V22" s="12"/>
    </row>
    <row r="23" spans="2:61" ht="30" customHeight="1" thickBot="1" x14ac:dyDescent="0.25">
      <c r="B23" s="135"/>
      <c r="C23" s="80" t="s">
        <v>13</v>
      </c>
      <c r="D23" s="85">
        <f>IF(COUNT('doy130'!$L23:$N23)=3,(AVERAGE('doy130'!$L23:$N23)),"--")</f>
        <v>6.333333333333333</v>
      </c>
      <c r="E23" s="85">
        <f>IF(COUNT('doy139'!$L23:$N23)=3,(AVERAGE('doy139'!$L23:$N23)),"--")</f>
        <v>13</v>
      </c>
      <c r="F23" s="85">
        <f>IF(COUNT('doy146'!$L23:$N23)=3,(AVERAGE('doy146'!$L23:$N23)),"--")</f>
        <v>19.666666666666668</v>
      </c>
      <c r="G23" s="85">
        <f>IF(COUNT('doy153'!$L23:$N23)=3,(AVERAGE('doy153'!$L23:$N23)),"--")</f>
        <v>27</v>
      </c>
      <c r="H23" s="85">
        <f>IF(COUNT('doy159'!$L23:$N23)=3,(AVERAGE('doy159'!$L23:$N23)),"--")</f>
        <v>36.666666666666664</v>
      </c>
      <c r="I23" s="85">
        <f>IF(COUNT('doy168'!$L23:$N23)=3,(AVERAGE('doy168'!$L23:$N23)),"--")</f>
        <v>56.333333333333336</v>
      </c>
      <c r="J23" s="85">
        <f>IF(COUNT('doy173'!$L23:$N23)=3,(AVERAGE('doy173'!$L23:$N23)),"--")</f>
        <v>65.333333333333329</v>
      </c>
      <c r="K23" s="85">
        <f>IF(COUNT('doy179'!$L23:$N23)=3,(AVERAGE('doy179'!$L23:$N23)),"--")</f>
        <v>80.333333333333329</v>
      </c>
      <c r="L23" s="85">
        <f>IF(COUNT('doy187'!$L23:$N23)=3,(AVERAGE('doy187'!$L23:$N23)),"--")</f>
        <v>85.666666666666671</v>
      </c>
      <c r="M23" s="85">
        <f>IF(COUNT('doy193'!$L23:$N23)=3,(AVERAGE('doy193'!$L23:$N23)),"--")</f>
        <v>98.333333333333329</v>
      </c>
      <c r="N23" s="85">
        <f>IF(COUNT('doy203'!$L23:$N23)=3,(AVERAGE('doy203'!$L23:$N23)),"--")</f>
        <v>106.66666666666667</v>
      </c>
      <c r="O23" s="85">
        <f>IF(COUNT('doy213'!$L23:$N23)=3,(AVERAGE('doy213'!$L23:$N23)),"--")</f>
        <v>114</v>
      </c>
      <c r="P23" s="85">
        <f>IF(COUNT('doy224'!$L23:$N23)=3,(AVERAGE('doy224'!$L23:$N23)),"--")</f>
        <v>120</v>
      </c>
      <c r="Q23" s="85">
        <f>IF(COUNT('doy231'!$L23:$N23)=3,(AVERAGE('doy231'!$L23:$N23)),"--")</f>
        <v>124.66666666666667</v>
      </c>
      <c r="T23" s="12"/>
      <c r="U23" s="12"/>
      <c r="V23" s="14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spans="2:61" ht="30" customHeight="1" x14ac:dyDescent="0.2">
      <c r="B24" s="134">
        <v>8</v>
      </c>
      <c r="C24" s="79" t="s">
        <v>12</v>
      </c>
      <c r="D24" s="82">
        <f>IF(COUNT('doy130'!$L24:$N24)=3,(AVERAGE('doy130'!$L24:$N24)),"--")</f>
        <v>7</v>
      </c>
      <c r="E24" s="82">
        <f>IF(COUNT('doy139'!$L24:$N24)=3,(AVERAGE('doy139'!$L24:$N24)),"--")</f>
        <v>11.333333333333334</v>
      </c>
      <c r="F24" s="82">
        <f>IF(COUNT('doy146'!$L24:$N24)=3,(AVERAGE('doy146'!$L24:$N24)),"--")</f>
        <v>17.666666666666668</v>
      </c>
      <c r="G24" s="82">
        <f>IF(COUNT('doy153'!$L24:$N24)=3,(AVERAGE('doy153'!$L24:$N24)),"--")</f>
        <v>26</v>
      </c>
      <c r="H24" s="82">
        <f>IF(COUNT('doy159'!$L24:$N24)=3,(AVERAGE('doy159'!$L24:$N24)),"--")</f>
        <v>35</v>
      </c>
      <c r="I24" s="82">
        <f>IF(COUNT('doy168'!$L24:$N24)=3,(AVERAGE('doy168'!$L24:$N24)),"--")</f>
        <v>48.666666666666664</v>
      </c>
      <c r="J24" s="82">
        <f>IF(COUNT('doy173'!$L24:$N24)=3,(AVERAGE('doy173'!$L24:$N24)),"--")</f>
        <v>57.333333333333336</v>
      </c>
      <c r="K24" s="82">
        <f>IF(COUNT('doy179'!$L24:$N24)=3,(AVERAGE('doy179'!$L24:$N24)),"--")</f>
        <v>70.666666666666671</v>
      </c>
      <c r="L24" s="82" t="str">
        <f>IF(COUNT('doy187'!$L24:$N24)=3,(AVERAGE('doy187'!$L24:$N24)),"--")</f>
        <v>--</v>
      </c>
      <c r="M24" s="82">
        <f>IF(COUNT('doy193'!$L24:$N24)=3,(AVERAGE('doy193'!$L24:$N24)),"--")</f>
        <v>88.666666666666671</v>
      </c>
      <c r="N24" s="82" t="str">
        <f>IF(COUNT('doy203'!$L24:$N24)=3,(AVERAGE('doy203'!$L24:$N24)),"--")</f>
        <v>--</v>
      </c>
      <c r="O24" s="82" t="str">
        <f>IF(COUNT('doy213'!$L24:$N24)=3,(AVERAGE('doy213'!$L24:$N24)),"--")</f>
        <v>--</v>
      </c>
      <c r="P24" s="82" t="str">
        <f>IF(COUNT('doy224'!$L24:$N24)=3,(AVERAGE('doy224'!$L24:$N24)),"--")</f>
        <v>--</v>
      </c>
      <c r="Q24" s="82" t="str">
        <f>IF(COUNT('doy231'!$L24:$N24)=3,(AVERAGE('doy231'!$L24:$N24)),"--")</f>
        <v>--</v>
      </c>
      <c r="T24" s="9"/>
      <c r="U24" s="9"/>
      <c r="V24" s="9"/>
    </row>
    <row r="25" spans="2:61" ht="30" customHeight="1" thickBot="1" x14ac:dyDescent="0.25">
      <c r="B25" s="135"/>
      <c r="C25" s="80" t="s">
        <v>13</v>
      </c>
      <c r="D25" s="85">
        <f>IF(COUNT('doy130'!$L25:$N25)=3,(AVERAGE('doy130'!$L25:$N25)),"--")</f>
        <v>7</v>
      </c>
      <c r="E25" s="85">
        <f>IF(COUNT('doy139'!$L25:$N25)=3,(AVERAGE('doy139'!$L25:$N25)),"--")</f>
        <v>15</v>
      </c>
      <c r="F25" s="85">
        <f>IF(COUNT('doy146'!$L25:$N25)=3,(AVERAGE('doy146'!$L25:$N25)),"--")</f>
        <v>21.333333333333332</v>
      </c>
      <c r="G25" s="85">
        <f>IF(COUNT('doy153'!$L25:$N25)=3,(AVERAGE('doy153'!$L25:$N25)),"--")</f>
        <v>27.666666666666668</v>
      </c>
      <c r="H25" s="85">
        <f>IF(COUNT('doy159'!$L25:$N25)=3,(AVERAGE('doy159'!$L25:$N25)),"--")</f>
        <v>39</v>
      </c>
      <c r="I25" s="85">
        <f>IF(COUNT('doy168'!$L25:$N25)=3,(AVERAGE('doy168'!$L25:$N25)),"--")</f>
        <v>55.666666666666664</v>
      </c>
      <c r="J25" s="85">
        <f>IF(COUNT('doy173'!$L25:$N25)=3,(AVERAGE('doy173'!$L25:$N25)),"--")</f>
        <v>66</v>
      </c>
      <c r="K25" s="85">
        <f>IF(COUNT('doy179'!$L25:$N25)=3,(AVERAGE('doy179'!$L25:$N25)),"--")</f>
        <v>82.666666666666671</v>
      </c>
      <c r="L25" s="85" t="str">
        <f>IF(COUNT('doy187'!$L25:$N25)=3,(AVERAGE('doy187'!$L25:$N25)),"--")</f>
        <v>--</v>
      </c>
      <c r="M25" s="85">
        <f>IF(COUNT('doy193'!$L25:$N25)=3,(AVERAGE('doy193'!$L25:$N25)),"--")</f>
        <v>101</v>
      </c>
      <c r="N25" s="85">
        <f>IF(COUNT('doy203'!$L25:$N25)=3,(AVERAGE('doy203'!$L25:$N25)),"--")</f>
        <v>107.66666666666667</v>
      </c>
      <c r="O25" s="85">
        <f>IF(COUNT('doy213'!$L25:$N25)=3,(AVERAGE('doy213'!$L25:$N25)),"--")</f>
        <v>112.33333333333333</v>
      </c>
      <c r="P25" s="85">
        <f>IF(COUNT('doy224'!$L25:$N25)=3,(AVERAGE('doy224'!$L25:$N25)),"--")</f>
        <v>114</v>
      </c>
      <c r="Q25" s="85">
        <f>IF(COUNT('doy231'!$L25:$N25)=3,(AVERAGE('doy231'!$L25:$N25)),"--")</f>
        <v>120</v>
      </c>
      <c r="T25" s="12"/>
      <c r="U25" s="12"/>
      <c r="V25" s="14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spans="2:61" ht="30" customHeight="1" x14ac:dyDescent="0.2">
      <c r="B26" s="134">
        <v>9</v>
      </c>
      <c r="C26" s="79" t="s">
        <v>12</v>
      </c>
      <c r="D26" s="82">
        <f>IF(COUNT('doy130'!$L26:$N26)=3,(AVERAGE('doy130'!$L26:$N26)),"--")</f>
        <v>6.333333333333333</v>
      </c>
      <c r="E26" s="82">
        <f>IF(COUNT('doy139'!$L26:$N26)=3,(AVERAGE('doy139'!$L26:$N26)),"--")</f>
        <v>11.333333333333334</v>
      </c>
      <c r="F26" s="82">
        <f>IF(COUNT('doy146'!$L26:$N26)=3,(AVERAGE('doy146'!$L26:$N26)),"--")</f>
        <v>18.666666666666668</v>
      </c>
      <c r="G26" s="82">
        <f>IF(COUNT('doy153'!$L26:$N26)=3,(AVERAGE('doy153'!$L26:$N26)),"--")</f>
        <v>26</v>
      </c>
      <c r="H26" s="82">
        <f>IF(COUNT('doy159'!$L26:$N26)=3,(AVERAGE('doy159'!$L26:$N26)),"--")</f>
        <v>35.666666666666664</v>
      </c>
      <c r="I26" s="82">
        <f>IF(COUNT('doy168'!$L26:$N26)=3,(AVERAGE('doy168'!$L26:$N26)),"--")</f>
        <v>38.666666666666664</v>
      </c>
      <c r="J26" s="82">
        <f>IF(COUNT('doy173'!$L26:$N26)=3,(AVERAGE('doy173'!$L26:$N26)),"--")</f>
        <v>49</v>
      </c>
      <c r="K26" s="82">
        <f>IF(COUNT('doy179'!$L26:$N26)=3,(AVERAGE('doy179'!$L26:$N26)),"--")</f>
        <v>55</v>
      </c>
      <c r="L26" s="82">
        <f>IF(COUNT('doy187'!$L26:$N26)=3,(AVERAGE('doy187'!$L26:$N26)),"--")</f>
        <v>53</v>
      </c>
      <c r="M26" s="82">
        <f>IF(COUNT('doy193'!$L26:$N26)=3,(AVERAGE('doy193'!$L26:$N26)),"--")</f>
        <v>65</v>
      </c>
      <c r="N26" s="82">
        <f>IF(COUNT('doy203'!$L26:$N26)=3,(AVERAGE('doy203'!$L26:$N26)),"--")</f>
        <v>80</v>
      </c>
      <c r="O26" s="82">
        <f>IF(COUNT('doy213'!$L26:$N26)=3,(AVERAGE('doy213'!$L26:$N26)),"--")</f>
        <v>89.333333333333329</v>
      </c>
      <c r="P26" s="82">
        <f>IF(COUNT('doy224'!$L26:$N26)=3,(AVERAGE('doy224'!$L26:$N26)),"--")</f>
        <v>91</v>
      </c>
      <c r="Q26" s="82" t="str">
        <f>IF(COUNT('doy231'!$L26:$N26)=3,(AVERAGE('doy231'!$L26:$N26)),"--")</f>
        <v>--</v>
      </c>
      <c r="T26" s="12"/>
      <c r="U26" s="12"/>
      <c r="V26" s="12"/>
    </row>
    <row r="27" spans="2:61" ht="30" customHeight="1" thickBot="1" x14ac:dyDescent="0.25">
      <c r="B27" s="135"/>
      <c r="C27" s="80" t="s">
        <v>13</v>
      </c>
      <c r="D27" s="85">
        <f>IF(COUNT('doy130'!$L27:$N27)=3,(AVERAGE('doy130'!$L27:$N27)),"--")</f>
        <v>7.666666666666667</v>
      </c>
      <c r="E27" s="85">
        <f>IF(COUNT('doy139'!$L27:$N27)=3,(AVERAGE('doy139'!$L27:$N27)),"--")</f>
        <v>14</v>
      </c>
      <c r="F27" s="85">
        <f>IF(COUNT('doy146'!$L27:$N27)=3,(AVERAGE('doy146'!$L27:$N27)),"--")</f>
        <v>19.666666666666668</v>
      </c>
      <c r="G27" s="85">
        <f>IF(COUNT('doy153'!$L27:$N27)=3,(AVERAGE('doy153'!$L27:$N27)),"--")</f>
        <v>27</v>
      </c>
      <c r="H27" s="85">
        <f>IF(COUNT('doy159'!$L27:$N27)=3,(AVERAGE('doy159'!$L27:$N27)),"--")</f>
        <v>35.666666666666664</v>
      </c>
      <c r="I27" s="85">
        <f>IF(COUNT('doy168'!$L27:$N27)=3,(AVERAGE('doy168'!$L27:$N27)),"--")</f>
        <v>47</v>
      </c>
      <c r="J27" s="85">
        <f>IF(COUNT('doy173'!$L27:$N27)=3,(AVERAGE('doy173'!$L27:$N27)),"--")</f>
        <v>57</v>
      </c>
      <c r="K27" s="85">
        <f>IF(COUNT('doy179'!$L27:$N27)=3,(AVERAGE('doy179'!$L27:$N27)),"--")</f>
        <v>67</v>
      </c>
      <c r="L27" s="85">
        <f>IF(COUNT('doy187'!$L27:$N27)=3,(AVERAGE('doy187'!$L27:$N27)),"--")</f>
        <v>74.666666666666671</v>
      </c>
      <c r="M27" s="85">
        <f>IF(COUNT('doy193'!$L27:$N27)=3,(AVERAGE('doy193'!$L27:$N27)),"--")</f>
        <v>84.666666666666671</v>
      </c>
      <c r="N27" s="85">
        <f>IF(COUNT('doy203'!$L27:$N27)=3,(AVERAGE('doy203'!$L27:$N27)),"--")</f>
        <v>91.333333333333329</v>
      </c>
      <c r="O27" s="85">
        <f>IF(COUNT('doy213'!$L27:$N27)=3,(AVERAGE('doy213'!$L27:$N27)),"--")</f>
        <v>98.333333333333329</v>
      </c>
      <c r="P27" s="85">
        <f>IF(COUNT('doy224'!$L27:$N27)=3,(AVERAGE('doy224'!$L27:$N27)),"--")</f>
        <v>105</v>
      </c>
      <c r="Q27" s="85">
        <f>IF(COUNT('doy231'!$L27:$N27)=3,(AVERAGE('doy231'!$L27:$N27)),"--")</f>
        <v>107.33333333333333</v>
      </c>
      <c r="T27" s="12"/>
      <c r="U27" s="12"/>
      <c r="V27" s="14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spans="2:61" ht="30" customHeight="1" x14ac:dyDescent="0.2">
      <c r="B28" s="134">
        <v>10</v>
      </c>
      <c r="C28" s="79" t="s">
        <v>12</v>
      </c>
      <c r="D28" s="82">
        <f>IF(COUNT('doy130'!$L28:$N28)=3,(AVERAGE('doy130'!$L28:$N28)),"--")</f>
        <v>5.666666666666667</v>
      </c>
      <c r="E28" s="82">
        <f>IF(COUNT('doy139'!$L28:$N28)=3,(AVERAGE('doy139'!$L28:$N28)),"--")</f>
        <v>10.333333333333334</v>
      </c>
      <c r="F28" s="82">
        <f>IF(COUNT('doy146'!$L28:$N28)=3,(AVERAGE('doy146'!$L28:$N28)),"--")</f>
        <v>19.666666666666668</v>
      </c>
      <c r="G28" s="82">
        <f>IF(COUNT('doy153'!$L28:$N28)=3,(AVERAGE('doy153'!$L28:$N28)),"--")</f>
        <v>24.333333333333332</v>
      </c>
      <c r="H28" s="82">
        <f>IF(COUNT('doy159'!$L28:$N28)=3,(AVERAGE('doy159'!$L28:$N28)),"--")</f>
        <v>33</v>
      </c>
      <c r="I28" s="82">
        <f>IF(COUNT('doy168'!$L28:$N28)=3,(AVERAGE('doy168'!$L28:$N28)),"--")</f>
        <v>46.666666666666664</v>
      </c>
      <c r="J28" s="82">
        <f>IF(COUNT('doy173'!$L28:$N28)=3,(AVERAGE('doy173'!$L28:$N28)),"--")</f>
        <v>55.666666666666664</v>
      </c>
      <c r="K28" s="82">
        <f>IF(COUNT('doy179'!$L28:$N28)=3,(AVERAGE('doy179'!$L28:$N28)),"--")</f>
        <v>67</v>
      </c>
      <c r="L28" s="82" t="str">
        <f>IF(COUNT('doy187'!$L28:$N28)=3,(AVERAGE('doy187'!$L28:$N28)),"--")</f>
        <v>--</v>
      </c>
      <c r="M28" s="82">
        <f>IF(COUNT('doy193'!$L28:$N28)=3,(AVERAGE('doy193'!$L28:$N28)),"--")</f>
        <v>92</v>
      </c>
      <c r="N28" s="82" t="str">
        <f>IF(COUNT('doy203'!$L28:$N28)=3,(AVERAGE('doy203'!$L28:$N28)),"--")</f>
        <v>--</v>
      </c>
      <c r="O28" s="82" t="str">
        <f>IF(COUNT('doy213'!$L28:$N28)=3,(AVERAGE('doy213'!$L28:$N28)),"--")</f>
        <v>--</v>
      </c>
      <c r="P28" s="82" t="str">
        <f>IF(COUNT('doy224'!$L28:$N28)=3,(AVERAGE('doy224'!$L28:$N28)),"--")</f>
        <v>--</v>
      </c>
      <c r="Q28" s="82" t="str">
        <f>IF(COUNT('doy231'!$L28:$N28)=3,(AVERAGE('doy231'!$L28:$N28)),"--")</f>
        <v>--</v>
      </c>
    </row>
    <row r="29" spans="2:61" ht="30" customHeight="1" thickBot="1" x14ac:dyDescent="0.25">
      <c r="B29" s="135"/>
      <c r="C29" s="80" t="s">
        <v>13</v>
      </c>
      <c r="D29" s="85">
        <f>IF(COUNT('doy130'!$L29:$N29)=3,(AVERAGE('doy130'!$L29:$N29)),"--")</f>
        <v>7</v>
      </c>
      <c r="E29" s="85">
        <f>IF(COUNT('doy139'!$L29:$N29)=3,(AVERAGE('doy139'!$L29:$N29)),"--")</f>
        <v>14</v>
      </c>
      <c r="F29" s="85">
        <f>IF(COUNT('doy146'!$L29:$N29)=3,(AVERAGE('doy146'!$L29:$N29)),"--")</f>
        <v>22</v>
      </c>
      <c r="G29" s="85">
        <f>IF(COUNT('doy153'!$L29:$N29)=3,(AVERAGE('doy153'!$L29:$N29)),"--")</f>
        <v>27.666666666666668</v>
      </c>
      <c r="H29" s="85">
        <f>IF(COUNT('doy159'!$L29:$N29)=3,(AVERAGE('doy159'!$L29:$N29)),"--")</f>
        <v>37.666666666666664</v>
      </c>
      <c r="I29" s="85">
        <f>IF(COUNT('doy168'!$L29:$N29)=3,(AVERAGE('doy168'!$L29:$N29)),"--")</f>
        <v>53.666666666666664</v>
      </c>
      <c r="J29" s="85">
        <f>IF(COUNT('doy173'!$L29:$N29)=3,(AVERAGE('doy173'!$L29:$N29)),"--")</f>
        <v>66.666666666666671</v>
      </c>
      <c r="K29" s="85">
        <f>IF(COUNT('doy179'!$L29:$N29)=3,(AVERAGE('doy179'!$L29:$N29)),"--")</f>
        <v>79.666666666666671</v>
      </c>
      <c r="L29" s="85" t="str">
        <f>IF(COUNT('doy187'!$L29:$N29)=3,(AVERAGE('doy187'!$L29:$N29)),"--")</f>
        <v>--</v>
      </c>
      <c r="M29" s="85">
        <f>IF(COUNT('doy193'!$L29:$N29)=3,(AVERAGE('doy193'!$L29:$N29)),"--")</f>
        <v>96.666666666666671</v>
      </c>
      <c r="N29" s="85">
        <f>IF(COUNT('doy203'!$L29:$N29)=3,(AVERAGE('doy203'!$L29:$N29)),"--")</f>
        <v>107.66666666666667</v>
      </c>
      <c r="O29" s="85">
        <f>IF(COUNT('doy213'!$L29:$N29)=3,(AVERAGE('doy213'!$L29:$N29)),"--")</f>
        <v>113</v>
      </c>
      <c r="P29" s="85">
        <f>IF(COUNT('doy224'!$L29:$N29)=3,(AVERAGE('doy224'!$L29:$N29)),"--")</f>
        <v>117.66666666666667</v>
      </c>
      <c r="Q29" s="85">
        <f>IF(COUNT('doy231'!$L29:$N29)=3,(AVERAGE('doy231'!$L29:$N29)),"--")</f>
        <v>117</v>
      </c>
      <c r="T29" s="12"/>
      <c r="U29" s="12"/>
      <c r="V29" s="14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spans="2:61" ht="30" customHeight="1" x14ac:dyDescent="0.2">
      <c r="B30" s="134">
        <v>11</v>
      </c>
      <c r="C30" s="79" t="s">
        <v>12</v>
      </c>
      <c r="D30" s="82">
        <f>IF(COUNT('doy130'!$L30:$N30)=3,(AVERAGE('doy130'!$L30:$N30)),"--")</f>
        <v>5.666666666666667</v>
      </c>
      <c r="E30" s="82">
        <f>IF(COUNT('doy139'!$L30:$N30)=3,(AVERAGE('doy139'!$L30:$N30)),"--")</f>
        <v>13</v>
      </c>
      <c r="F30" s="82">
        <f>IF(COUNT('doy146'!$L30:$N30)=3,(AVERAGE('doy146'!$L30:$N30)),"--")</f>
        <v>17</v>
      </c>
      <c r="G30" s="82">
        <f>IF(COUNT('doy153'!$L30:$N30)=3,(AVERAGE('doy153'!$L30:$N30)),"--")</f>
        <v>26.666666666666668</v>
      </c>
      <c r="H30" s="82">
        <f>IF(COUNT('doy159'!$L30:$N30)=3,(AVERAGE('doy159'!$L30:$N30)),"--")</f>
        <v>36</v>
      </c>
      <c r="I30" s="82">
        <f>IF(COUNT('doy168'!$L30:$N30)=3,(AVERAGE('doy168'!$L30:$N30)),"--")</f>
        <v>46.666666666666664</v>
      </c>
      <c r="J30" s="82">
        <f>IF(COUNT('doy173'!$L30:$N30)=3,(AVERAGE('doy173'!$L30:$N30)),"--")</f>
        <v>49.666666666666664</v>
      </c>
      <c r="K30" s="82">
        <f>IF(COUNT('doy179'!$L30:$N30)=3,(AVERAGE('doy179'!$L30:$N30)),"--")</f>
        <v>57</v>
      </c>
      <c r="L30" s="82">
        <f>IF(COUNT('doy187'!$L30:$N30)=3,(AVERAGE('doy187'!$L30:$N30)),"--")</f>
        <v>69.666666666666671</v>
      </c>
      <c r="M30" s="82">
        <f>IF(COUNT('doy193'!$L30:$N30)=3,(AVERAGE('doy193'!$L30:$N30)),"--")</f>
        <v>77</v>
      </c>
      <c r="N30" s="82">
        <f>IF(COUNT('doy203'!$L30:$N30)=3,(AVERAGE('doy203'!$L30:$N30)),"--")</f>
        <v>91</v>
      </c>
      <c r="O30" s="82" t="str">
        <f>IF(COUNT('doy213'!$L30:$N30)=3,(AVERAGE('doy213'!$L30:$N30)),"--")</f>
        <v>--</v>
      </c>
      <c r="P30" s="82" t="str">
        <f>IF(COUNT('doy224'!$L30:$N30)=3,(AVERAGE('doy224'!$L30:$N30)),"--")</f>
        <v>--</v>
      </c>
      <c r="Q30" s="82" t="str">
        <f>IF(COUNT('doy231'!$L30:$N30)=3,(AVERAGE('doy231'!$L30:$N30)),"--")</f>
        <v>--</v>
      </c>
    </row>
    <row r="31" spans="2:61" ht="30" customHeight="1" thickBot="1" x14ac:dyDescent="0.25">
      <c r="B31" s="135"/>
      <c r="C31" s="80" t="s">
        <v>13</v>
      </c>
      <c r="D31" s="85">
        <f>IF(COUNT('doy130'!$L31:$N31)=3,(AVERAGE('doy130'!$L31:$N31)),"--")</f>
        <v>7</v>
      </c>
      <c r="E31" s="85">
        <f>IF(COUNT('doy139'!$L31:$N31)=3,(AVERAGE('doy139'!$L31:$N31)),"--")</f>
        <v>15.666666666666666</v>
      </c>
      <c r="F31" s="85">
        <f>IF(COUNT('doy146'!$L31:$N31)=3,(AVERAGE('doy146'!$L31:$N31)),"--")</f>
        <v>20.666666666666668</v>
      </c>
      <c r="G31" s="85">
        <f>IF(COUNT('doy153'!$L31:$N31)=3,(AVERAGE('doy153'!$L31:$N31)),"--")</f>
        <v>27.666666666666668</v>
      </c>
      <c r="H31" s="85">
        <f>IF(COUNT('doy159'!$L31:$N31)=3,(AVERAGE('doy159'!$L31:$N31)),"--")</f>
        <v>38.666666666666664</v>
      </c>
      <c r="I31" s="85">
        <f>IF(COUNT('doy168'!$L31:$N31)=3,(AVERAGE('doy168'!$L31:$N31)),"--")</f>
        <v>54</v>
      </c>
      <c r="J31" s="85">
        <f>IF(COUNT('doy173'!$L31:$N31)=3,(AVERAGE('doy173'!$L31:$N31)),"--")</f>
        <v>56.333333333333336</v>
      </c>
      <c r="K31" s="85">
        <f>IF(COUNT('doy179'!$L31:$N31)=3,(AVERAGE('doy179'!$L31:$N31)),"--")</f>
        <v>69</v>
      </c>
      <c r="L31" s="85">
        <f>IF(COUNT('doy187'!$L31:$N31)=3,(AVERAGE('doy187'!$L31:$N31)),"--")</f>
        <v>80.666666666666671</v>
      </c>
      <c r="M31" s="85">
        <f>IF(COUNT('doy193'!$L31:$N31)=3,(AVERAGE('doy193'!$L31:$N31)),"--")</f>
        <v>91.333333333333329</v>
      </c>
      <c r="N31" s="85">
        <f>IF(COUNT('doy203'!$L31:$N31)=3,(AVERAGE('doy203'!$L31:$N31)),"--")</f>
        <v>104.33333333333333</v>
      </c>
      <c r="O31" s="85">
        <f>IF(COUNT('doy213'!$L31:$N31)=3,(AVERAGE('doy213'!$L31:$N31)),"--")</f>
        <v>114</v>
      </c>
      <c r="P31" s="85">
        <f>IF(COUNT('doy224'!$L31:$N31)=3,(AVERAGE('doy224'!$L31:$N31)),"--")</f>
        <v>115.66666666666667</v>
      </c>
      <c r="Q31" s="85">
        <f>IF(COUNT('doy231'!$L31:$N31)=3,(AVERAGE('doy231'!$L31:$N31)),"--")</f>
        <v>119.33333333333333</v>
      </c>
      <c r="T31" s="12"/>
      <c r="U31" s="12"/>
      <c r="V31" s="14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spans="2:61" ht="30" customHeight="1" x14ac:dyDescent="0.2">
      <c r="B32" s="134">
        <v>12</v>
      </c>
      <c r="C32" s="79" t="s">
        <v>12</v>
      </c>
      <c r="D32" s="82">
        <f>IF(COUNT('doy130'!$L32:$N32)=3,(AVERAGE('doy130'!$L32:$N32)),"--")</f>
        <v>6.333333333333333</v>
      </c>
      <c r="E32" s="82">
        <f>IF(COUNT('doy139'!$L32:$N32)=3,(AVERAGE('doy139'!$L32:$N32)),"--")</f>
        <v>12</v>
      </c>
      <c r="F32" s="82">
        <f>IF(COUNT('doy146'!$L32:$N32)=3,(AVERAGE('doy146'!$L32:$N32)),"--")</f>
        <v>18.666666666666668</v>
      </c>
      <c r="G32" s="82">
        <f>IF(COUNT('doy153'!$L32:$N32)=3,(AVERAGE('doy153'!$L32:$N32)),"--")</f>
        <v>25</v>
      </c>
      <c r="H32" s="82">
        <f>IF(COUNT('doy159'!$L32:$N32)=3,(AVERAGE('doy159'!$L32:$N32)),"--")</f>
        <v>34.333333333333336</v>
      </c>
      <c r="I32" s="82">
        <f>IF(COUNT('doy168'!$L32:$N32)=3,(AVERAGE('doy168'!$L32:$N32)),"--")</f>
        <v>48.333333333333336</v>
      </c>
      <c r="J32" s="82">
        <f>IF(COUNT('doy173'!$L32:$N32)=3,(AVERAGE('doy173'!$L32:$N32)),"--")</f>
        <v>63.333333333333336</v>
      </c>
      <c r="K32" s="82">
        <f>IF(COUNT('doy179'!$L32:$N32)=3,(AVERAGE('doy179'!$L32:$N32)),"--")</f>
        <v>68</v>
      </c>
      <c r="L32" s="82">
        <f>IF(COUNT('doy187'!$L32:$N32)=3,(AVERAGE('doy187'!$L32:$N32)),"--")</f>
        <v>73.333333333333329</v>
      </c>
      <c r="M32" s="82">
        <f>IF(COUNT('doy193'!$L32:$N32)=3,(AVERAGE('doy193'!$L32:$N32)),"--")</f>
        <v>83</v>
      </c>
      <c r="N32" s="82" t="str">
        <f>IF(COUNT('doy203'!$L32:$N32)=3,(AVERAGE('doy203'!$L32:$N32)),"--")</f>
        <v>--</v>
      </c>
      <c r="O32" s="82" t="str">
        <f>IF(COUNT('doy213'!$L32:$N32)=3,(AVERAGE('doy213'!$L32:$N32)),"--")</f>
        <v>--</v>
      </c>
      <c r="P32" s="82" t="str">
        <f>IF(COUNT('doy224'!$L32:$N32)=3,(AVERAGE('doy224'!$L32:$N32)),"--")</f>
        <v>--</v>
      </c>
      <c r="Q32" s="82" t="str">
        <f>IF(COUNT('doy231'!$L32:$N32)=3,(AVERAGE('doy231'!$L32:$N32)),"--")</f>
        <v>--</v>
      </c>
    </row>
    <row r="33" spans="2:61" ht="30" customHeight="1" thickBot="1" x14ac:dyDescent="0.25">
      <c r="B33" s="135"/>
      <c r="C33" s="80" t="s">
        <v>13</v>
      </c>
      <c r="D33" s="85">
        <f>IF(COUNT('doy130'!$L33:$N33)=3,(AVERAGE('doy130'!$L33:$N33)),"--")</f>
        <v>7</v>
      </c>
      <c r="E33" s="85">
        <f>IF(COUNT('doy139'!$L33:$N33)=3,(AVERAGE('doy139'!$L33:$N33)),"--")</f>
        <v>13.666666666666666</v>
      </c>
      <c r="F33" s="85">
        <f>IF(COUNT('doy146'!$L33:$N33)=3,(AVERAGE('doy146'!$L33:$N33)),"--")</f>
        <v>21.333333333333332</v>
      </c>
      <c r="G33" s="85">
        <f>IF(COUNT('doy153'!$L33:$N33)=3,(AVERAGE('doy153'!$L33:$N33)),"--")</f>
        <v>28</v>
      </c>
      <c r="H33" s="85">
        <f>IF(COUNT('doy159'!$L33:$N33)=3,(AVERAGE('doy159'!$L33:$N33)),"--")</f>
        <v>39.333333333333336</v>
      </c>
      <c r="I33" s="85">
        <f>IF(COUNT('doy168'!$L33:$N33)=3,(AVERAGE('doy168'!$L33:$N33)),"--")</f>
        <v>58.333333333333336</v>
      </c>
      <c r="J33" s="85">
        <f>IF(COUNT('doy173'!$L33:$N33)=3,(AVERAGE('doy173'!$L33:$N33)),"--")</f>
        <v>68.333333333333329</v>
      </c>
      <c r="K33" s="85">
        <f>IF(COUNT('doy179'!$L33:$N33)=3,(AVERAGE('doy179'!$L33:$N33)),"--")</f>
        <v>83.333333333333329</v>
      </c>
      <c r="L33" s="85">
        <f>IF(COUNT('doy187'!$L33:$N33)=3,(AVERAGE('doy187'!$L33:$N33)),"--")</f>
        <v>91.666666666666671</v>
      </c>
      <c r="M33" s="85">
        <f>IF(COUNT('doy193'!$L33:$N33)=3,(AVERAGE('doy193'!$L33:$N33)),"--")</f>
        <v>96.666666666666671</v>
      </c>
      <c r="N33" s="85">
        <f>IF(COUNT('doy203'!$L33:$N33)=3,(AVERAGE('doy203'!$L33:$N33)),"--")</f>
        <v>109</v>
      </c>
      <c r="O33" s="85">
        <f>IF(COUNT('doy213'!$L33:$N33)=3,(AVERAGE('doy213'!$L33:$N33)),"--")</f>
        <v>120.66666666666667</v>
      </c>
      <c r="P33" s="85">
        <f>IF(COUNT('doy224'!$L33:$N33)=3,(AVERAGE('doy224'!$L33:$N33)),"--")</f>
        <v>131</v>
      </c>
      <c r="Q33" s="85">
        <f>IF(COUNT('doy231'!$L33:$N33)=3,(AVERAGE('doy231'!$L33:$N33)),"--")</f>
        <v>136</v>
      </c>
      <c r="T33" s="12"/>
      <c r="U33" s="12"/>
      <c r="V33" s="14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spans="2:61" ht="30" customHeight="1" x14ac:dyDescent="0.2">
      <c r="B34" s="134">
        <v>13</v>
      </c>
      <c r="C34" s="79" t="s">
        <v>12</v>
      </c>
      <c r="D34" s="82">
        <f>IF(COUNT('doy130'!$L34:$N34)=3,(AVERAGE('doy130'!$L34:$N34)),"--")</f>
        <v>5.333333333333333</v>
      </c>
      <c r="E34" s="82">
        <f>IF(COUNT('doy139'!$L34:$N34)=3,(AVERAGE('doy139'!$L34:$N34)),"--")</f>
        <v>10.333333333333334</v>
      </c>
      <c r="F34" s="82">
        <f>IF(COUNT('doy146'!$L34:$N34)=3,(AVERAGE('doy146'!$L34:$N34)),"--")</f>
        <v>17</v>
      </c>
      <c r="G34" s="82">
        <f>IF(COUNT('doy153'!$L34:$N34)=3,(AVERAGE('doy153'!$L34:$N34)),"--")</f>
        <v>24.333333333333332</v>
      </c>
      <c r="H34" s="82">
        <f>IF(COUNT('doy159'!$L34:$N34)=3,(AVERAGE('doy159'!$L34:$N34)),"--")</f>
        <v>31.666666666666668</v>
      </c>
      <c r="I34" s="82">
        <f>IF(COUNT('doy168'!$L34:$N34)=3,(AVERAGE('doy168'!$L34:$N34)),"--")</f>
        <v>33.666666666666664</v>
      </c>
      <c r="J34" s="82">
        <f>IF(COUNT('doy173'!$L34:$N34)=3,(AVERAGE('doy173'!$L34:$N34)),"--")</f>
        <v>47.666666666666664</v>
      </c>
      <c r="K34" s="82">
        <f>IF(COUNT('doy179'!$L34:$N34)=3,(AVERAGE('doy179'!$L34:$N34)),"--")</f>
        <v>51</v>
      </c>
      <c r="L34" s="82">
        <f>IF(COUNT('doy187'!$L34:$N34)=3,(AVERAGE('doy187'!$L34:$N34)),"--")</f>
        <v>56</v>
      </c>
      <c r="M34" s="82">
        <f>IF(COUNT('doy193'!$L34:$N34)=3,(AVERAGE('doy193'!$L34:$N34)),"--")</f>
        <v>62.333333333333336</v>
      </c>
      <c r="N34" s="82">
        <f>IF(COUNT('doy203'!$L34:$N34)=3,(AVERAGE('doy203'!$L34:$N34)),"--")</f>
        <v>86</v>
      </c>
      <c r="O34" s="82">
        <f>IF(COUNT('doy213'!$L34:$N34)=3,(AVERAGE('doy213'!$L34:$N34)),"--")</f>
        <v>92.333333333333329</v>
      </c>
      <c r="P34" s="82">
        <f>IF(COUNT('doy224'!$L34:$N34)=3,(AVERAGE('doy224'!$L34:$N34)),"--")</f>
        <v>98</v>
      </c>
      <c r="Q34" s="82" t="str">
        <f>IF(COUNT('doy231'!$L34:$N34)=3,(AVERAGE('doy231'!$L34:$N34)),"--")</f>
        <v>--</v>
      </c>
    </row>
    <row r="35" spans="2:61" ht="30" customHeight="1" thickBot="1" x14ac:dyDescent="0.25">
      <c r="B35" s="135"/>
      <c r="C35" s="80" t="s">
        <v>13</v>
      </c>
      <c r="D35" s="85">
        <f>IF(COUNT('doy130'!$L35:$N35)=3,(AVERAGE('doy130'!$L35:$N35)),"--")</f>
        <v>6.666666666666667</v>
      </c>
      <c r="E35" s="85">
        <f>IF(COUNT('doy139'!$L35:$N35)=3,(AVERAGE('doy139'!$L35:$N35)),"--")</f>
        <v>14.333333333333334</v>
      </c>
      <c r="F35" s="85">
        <f>IF(COUNT('doy146'!$L35:$N35)=3,(AVERAGE('doy146'!$L35:$N35)),"--")</f>
        <v>20.666666666666668</v>
      </c>
      <c r="G35" s="85">
        <f>IF(COUNT('doy153'!$L35:$N35)=3,(AVERAGE('doy153'!$L35:$N35)),"--")</f>
        <v>26</v>
      </c>
      <c r="H35" s="85">
        <f>IF(COUNT('doy159'!$L35:$N35)=3,(AVERAGE('doy159'!$L35:$N35)),"--")</f>
        <v>36</v>
      </c>
      <c r="I35" s="85">
        <f>IF(COUNT('doy168'!$L35:$N35)=3,(AVERAGE('doy168'!$L35:$N35)),"--")</f>
        <v>48.333333333333336</v>
      </c>
      <c r="J35" s="85">
        <f>IF(COUNT('doy173'!$L35:$N35)=3,(AVERAGE('doy173'!$L35:$N35)),"--")</f>
        <v>57</v>
      </c>
      <c r="K35" s="85">
        <f>IF(COUNT('doy179'!$L35:$N35)=3,(AVERAGE('doy179'!$L35:$N35)),"--")</f>
        <v>64.666666666666671</v>
      </c>
      <c r="L35" s="85">
        <f>IF(COUNT('doy187'!$L35:$N35)=3,(AVERAGE('doy187'!$L35:$N35)),"--")</f>
        <v>72.333333333333329</v>
      </c>
      <c r="M35" s="85">
        <f>IF(COUNT('doy193'!$L35:$N35)=3,(AVERAGE('doy193'!$L35:$N35)),"--")</f>
        <v>79.333333333333329</v>
      </c>
      <c r="N35" s="85">
        <f>IF(COUNT('doy203'!$L35:$N35)=3,(AVERAGE('doy203'!$L35:$N35)),"--")</f>
        <v>92.333333333333329</v>
      </c>
      <c r="O35" s="85">
        <f>IF(COUNT('doy213'!$L35:$N35)=3,(AVERAGE('doy213'!$L35:$N35)),"--")</f>
        <v>102.33333333333333</v>
      </c>
      <c r="P35" s="85">
        <f>IF(COUNT('doy224'!$L35:$N35)=3,(AVERAGE('doy224'!$L35:$N35)),"--")</f>
        <v>110</v>
      </c>
      <c r="Q35" s="85">
        <f>IF(COUNT('doy231'!$L35:$N35)=3,(AVERAGE('doy231'!$L35:$N35)),"--")</f>
        <v>113</v>
      </c>
      <c r="T35" s="12"/>
      <c r="U35" s="12"/>
      <c r="V35" s="14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spans="2:61" ht="30" customHeight="1" x14ac:dyDescent="0.2">
      <c r="B36" s="134">
        <v>14</v>
      </c>
      <c r="C36" s="79" t="s">
        <v>12</v>
      </c>
      <c r="D36" s="82">
        <f>IF(COUNT('doy130'!$L36:$N36)=3,(AVERAGE('doy130'!$L36:$N36)),"--")</f>
        <v>5.666666666666667</v>
      </c>
      <c r="E36" s="82">
        <f>IF(COUNT('doy139'!$L36:$N36)=3,(AVERAGE('doy139'!$L36:$N36)),"--")</f>
        <v>9.6666666666666661</v>
      </c>
      <c r="F36" s="82">
        <f>IF(COUNT('doy146'!$L36:$N36)=3,(AVERAGE('doy146'!$L36:$N36)),"--")</f>
        <v>19.333333333333332</v>
      </c>
      <c r="G36" s="82">
        <f>IF(COUNT('doy153'!$L36:$N36)=3,(AVERAGE('doy153'!$L36:$N36)),"--")</f>
        <v>26.666666666666668</v>
      </c>
      <c r="H36" s="82">
        <f>IF(COUNT('doy159'!$L36:$N36)=3,(AVERAGE('doy159'!$L36:$N36)),"--")</f>
        <v>36</v>
      </c>
      <c r="I36" s="82">
        <f>IF(COUNT('doy168'!$L36:$N36)=3,(AVERAGE('doy168'!$L36:$N36)),"--")</f>
        <v>42.333333333333336</v>
      </c>
      <c r="J36" s="82">
        <f>IF(COUNT('doy173'!$L36:$N36)=3,(AVERAGE('doy173'!$L36:$N36)),"--")</f>
        <v>55.333333333333336</v>
      </c>
      <c r="K36" s="82">
        <f>IF(COUNT('doy179'!$L36:$N36)=3,(AVERAGE('doy179'!$L36:$N36)),"--")</f>
        <v>59.666666666666664</v>
      </c>
      <c r="L36" s="82">
        <f>IF(COUNT('doy187'!$L36:$N36)=3,(AVERAGE('doy187'!$L36:$N36)),"--")</f>
        <v>70</v>
      </c>
      <c r="M36" s="82">
        <f>IF(COUNT('doy193'!$L36:$N36)=3,(AVERAGE('doy193'!$L36:$N36)),"--")</f>
        <v>82</v>
      </c>
      <c r="N36" s="82" t="str">
        <f>IF(COUNT('doy203'!$L36:$N36)=3,(AVERAGE('doy203'!$L36:$N36)),"--")</f>
        <v>--</v>
      </c>
      <c r="O36" s="82" t="str">
        <f>IF(COUNT('doy213'!$L36:$N36)=3,(AVERAGE('doy213'!$L36:$N36)),"--")</f>
        <v>--</v>
      </c>
      <c r="P36" s="82" t="str">
        <f>IF(COUNT('doy224'!$L36:$N36)=3,(AVERAGE('doy224'!$L36:$N36)),"--")</f>
        <v>--</v>
      </c>
      <c r="Q36" s="82" t="str">
        <f>IF(COUNT('doy231'!$L36:$N36)=3,(AVERAGE('doy231'!$L36:$N36)),"--")</f>
        <v>--</v>
      </c>
    </row>
    <row r="37" spans="2:61" ht="30" customHeight="1" thickBot="1" x14ac:dyDescent="0.25">
      <c r="B37" s="135"/>
      <c r="C37" s="80" t="s">
        <v>13</v>
      </c>
      <c r="D37" s="85">
        <f>IF(COUNT('doy130'!$L37:$N37)=3,(AVERAGE('doy130'!$L37:$N37)),"--")</f>
        <v>6.666666666666667</v>
      </c>
      <c r="E37" s="85">
        <f>IF(COUNT('doy139'!$L37:$N37)=3,(AVERAGE('doy139'!$L37:$N37)),"--")</f>
        <v>13.666666666666666</v>
      </c>
      <c r="F37" s="85">
        <f>IF(COUNT('doy146'!$L37:$N37)=3,(AVERAGE('doy146'!$L37:$N37)),"--")</f>
        <v>21.666666666666668</v>
      </c>
      <c r="G37" s="85">
        <f>IF(COUNT('doy153'!$L37:$N37)=3,(AVERAGE('doy153'!$L37:$N37)),"--")</f>
        <v>28</v>
      </c>
      <c r="H37" s="85">
        <f>IF(COUNT('doy159'!$L37:$N37)=3,(AVERAGE('doy159'!$L37:$N37)),"--")</f>
        <v>40.333333333333336</v>
      </c>
      <c r="I37" s="85">
        <f>IF(COUNT('doy168'!$L37:$N37)=3,(AVERAGE('doy168'!$L37:$N37)),"--")</f>
        <v>54.666666666666664</v>
      </c>
      <c r="J37" s="85">
        <f>IF(COUNT('doy173'!$L37:$N37)=3,(AVERAGE('doy173'!$L37:$N37)),"--")</f>
        <v>65.666666666666671</v>
      </c>
      <c r="K37" s="85">
        <f>IF(COUNT('doy179'!$L37:$N37)=3,(AVERAGE('doy179'!$L37:$N37)),"--")</f>
        <v>76.333333333333329</v>
      </c>
      <c r="L37" s="85">
        <f>IF(COUNT('doy187'!$L37:$N37)=3,(AVERAGE('doy187'!$L37:$N37)),"--")</f>
        <v>84.333333333333329</v>
      </c>
      <c r="M37" s="85">
        <f>IF(COUNT('doy193'!$L37:$N37)=3,(AVERAGE('doy193'!$L37:$N37)),"--")</f>
        <v>97.666666666666671</v>
      </c>
      <c r="N37" s="85">
        <f>IF(COUNT('doy203'!$L37:$N37)=3,(AVERAGE('doy203'!$L37:$N37)),"--")</f>
        <v>110</v>
      </c>
      <c r="O37" s="85">
        <f>IF(COUNT('doy213'!$L37:$N37)=3,(AVERAGE('doy213'!$L37:$N37)),"--")</f>
        <v>124.66666666666667</v>
      </c>
      <c r="P37" s="85">
        <f>IF(COUNT('doy224'!$L37:$N37)=3,(AVERAGE('doy224'!$L37:$N37)),"--")</f>
        <v>134.33333333333334</v>
      </c>
      <c r="Q37" s="85">
        <f>IF(COUNT('doy231'!$L37:$N37)=3,(AVERAGE('doy231'!$L37:$N37)),"--")</f>
        <v>138.33333333333334</v>
      </c>
      <c r="T37" s="12"/>
      <c r="U37" s="12"/>
      <c r="V37" s="14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spans="2:61" ht="30" customHeight="1" x14ac:dyDescent="0.2">
      <c r="B38" s="134">
        <v>15</v>
      </c>
      <c r="C38" s="79" t="s">
        <v>12</v>
      </c>
      <c r="D38" s="82">
        <f>IF(COUNT('doy130'!$L38:$N38)=3,(AVERAGE('doy130'!$L38:$N38)),"--")</f>
        <v>6.666666666666667</v>
      </c>
      <c r="E38" s="82">
        <f>IF(COUNT('doy139'!$L38:$N38)=3,(AVERAGE('doy139'!$L38:$N38)),"--")</f>
        <v>10.666666666666666</v>
      </c>
      <c r="F38" s="82">
        <f>IF(COUNT('doy146'!$L38:$N38)=3,(AVERAGE('doy146'!$L38:$N38)),"--")</f>
        <v>19.666666666666668</v>
      </c>
      <c r="G38" s="82">
        <f>IF(COUNT('doy153'!$L38:$N38)=3,(AVERAGE('doy153'!$L38:$N38)),"--")</f>
        <v>25.333333333333332</v>
      </c>
      <c r="H38" s="82">
        <f>IF(COUNT('doy159'!$L38:$N38)=3,(AVERAGE('doy159'!$L38:$N38)),"--")</f>
        <v>34.333333333333336</v>
      </c>
      <c r="I38" s="82">
        <f>IF(COUNT('doy168'!$L38:$N38)=3,(AVERAGE('doy168'!$L38:$N38)),"--")</f>
        <v>39</v>
      </c>
      <c r="J38" s="82">
        <f>IF(COUNT('doy173'!$L38:$N38)=3,(AVERAGE('doy173'!$L38:$N38)),"--")</f>
        <v>47.666666666666664</v>
      </c>
      <c r="K38" s="82">
        <f>IF(COUNT('doy179'!$L38:$N38)=3,(AVERAGE('doy179'!$L38:$N38)),"--")</f>
        <v>59.333333333333336</v>
      </c>
      <c r="L38" s="82">
        <f>IF(COUNT('doy187'!$L38:$N38)=3,(AVERAGE('doy187'!$L38:$N38)),"--")</f>
        <v>69.333333333333329</v>
      </c>
      <c r="M38" s="82">
        <f>IF(COUNT('doy193'!$L38:$N38)=3,(AVERAGE('doy193'!$L38:$N38)),"--")</f>
        <v>80</v>
      </c>
      <c r="N38" s="82">
        <f>IF(COUNT('doy203'!$L38:$N38)=3,(AVERAGE('doy203'!$L38:$N38)),"--")</f>
        <v>91</v>
      </c>
      <c r="O38" s="82">
        <f>IF(COUNT('doy213'!$L38:$N38)=3,(AVERAGE('doy213'!$L38:$N38)),"--")</f>
        <v>95</v>
      </c>
      <c r="P38" s="82" t="str">
        <f>IF(COUNT('doy224'!$L38:$N38)=3,(AVERAGE('doy224'!$L38:$N38)),"--")</f>
        <v>--</v>
      </c>
      <c r="Q38" s="82" t="str">
        <f>IF(COUNT('doy231'!$L38:$N38)=3,(AVERAGE('doy231'!$L38:$N38)),"--")</f>
        <v>--</v>
      </c>
    </row>
    <row r="39" spans="2:61" ht="30" customHeight="1" thickBot="1" x14ac:dyDescent="0.25">
      <c r="B39" s="135"/>
      <c r="C39" s="80" t="s">
        <v>13</v>
      </c>
      <c r="D39" s="85">
        <f>IF(COUNT('doy130'!$L39:$N39)=3,(AVERAGE('doy130'!$L39:$N39)),"--")</f>
        <v>7.333333333333333</v>
      </c>
      <c r="E39" s="85">
        <f>IF(COUNT('doy139'!$L39:$N39)=3,(AVERAGE('doy139'!$L39:$N39)),"--")</f>
        <v>13.333333333333334</v>
      </c>
      <c r="F39" s="85">
        <f>IF(COUNT('doy146'!$L39:$N39)=3,(AVERAGE('doy146'!$L39:$N39)),"--")</f>
        <v>21.666666666666668</v>
      </c>
      <c r="G39" s="85">
        <f>IF(COUNT('doy153'!$L39:$N39)=3,(AVERAGE('doy153'!$L39:$N39)),"--")</f>
        <v>29.333333333333332</v>
      </c>
      <c r="H39" s="85">
        <f>IF(COUNT('doy159'!$L39:$N39)=3,(AVERAGE('doy159'!$L39:$N39)),"--")</f>
        <v>40</v>
      </c>
      <c r="I39" s="85">
        <f>IF(COUNT('doy168'!$L39:$N39)=3,(AVERAGE('doy168'!$L39:$N39)),"--")</f>
        <v>54.333333333333336</v>
      </c>
      <c r="J39" s="85">
        <f>IF(COUNT('doy173'!$L39:$N39)=3,(AVERAGE('doy173'!$L39:$N39)),"--")</f>
        <v>57.333333333333336</v>
      </c>
      <c r="K39" s="85">
        <f>IF(COUNT('doy179'!$L39:$N39)=3,(AVERAGE('doy179'!$L39:$N39)),"--")</f>
        <v>69.666666666666671</v>
      </c>
      <c r="L39" s="85">
        <f>IF(COUNT('doy187'!$L39:$N39)=3,(AVERAGE('doy187'!$L39:$N39)),"--")</f>
        <v>78.666666666666671</v>
      </c>
      <c r="M39" s="85">
        <f>IF(COUNT('doy193'!$L39:$N39)=3,(AVERAGE('doy193'!$L39:$N39)),"--")</f>
        <v>91.333333333333329</v>
      </c>
      <c r="N39" s="85">
        <f>IF(COUNT('doy203'!$L39:$N39)=3,(AVERAGE('doy203'!$L39:$N39)),"--")</f>
        <v>102.66666666666667</v>
      </c>
      <c r="O39" s="85">
        <f>IF(COUNT('doy213'!$L39:$N39)=3,(AVERAGE('doy213'!$L39:$N39)),"--")</f>
        <v>110</v>
      </c>
      <c r="P39" s="85" t="str">
        <f>IF(COUNT('doy224'!$L39:$N39)=3,(AVERAGE('doy224'!$L39:$N39)),"--")</f>
        <v>--</v>
      </c>
      <c r="Q39" s="85">
        <f>IF(COUNT('doy231'!$L39:$N39)=3,(AVERAGE('doy231'!$L39:$N39)),"--")</f>
        <v>121.66666666666667</v>
      </c>
      <c r="T39" s="12"/>
      <c r="U39" s="12"/>
      <c r="V39" s="14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spans="2:61" ht="30" customHeight="1" x14ac:dyDescent="0.2">
      <c r="B40" s="134">
        <v>16</v>
      </c>
      <c r="C40" s="79" t="s">
        <v>12</v>
      </c>
      <c r="D40" s="82">
        <f>IF(COUNT('doy130'!$L40:$N40)=3,(AVERAGE('doy130'!$L40:$N40)),"--")</f>
        <v>6</v>
      </c>
      <c r="E40" s="82">
        <f>IF(COUNT('doy139'!$L40:$N40)=3,(AVERAGE('doy139'!$L40:$N40)),"--")</f>
        <v>11.333333333333334</v>
      </c>
      <c r="F40" s="82">
        <f>IF(COUNT('doy146'!$L40:$N40)=3,(AVERAGE('doy146'!$L40:$N40)),"--")</f>
        <v>19.333333333333332</v>
      </c>
      <c r="G40" s="82">
        <f>IF(COUNT('doy153'!$L40:$N40)=3,(AVERAGE('doy153'!$L40:$N40)),"--")</f>
        <v>27.333333333333332</v>
      </c>
      <c r="H40" s="82">
        <f>IF(COUNT('doy159'!$L40:$N40)=3,(AVERAGE('doy159'!$L40:$N40)),"--")</f>
        <v>37.333333333333336</v>
      </c>
      <c r="I40" s="82">
        <f>IF(COUNT('doy168'!$L40:$N40)=3,(AVERAGE('doy168'!$L40:$N40)),"--")</f>
        <v>42.666666666666664</v>
      </c>
      <c r="J40" s="82">
        <f>IF(COUNT('doy173'!$L40:$N40)=3,(AVERAGE('doy173'!$L40:$N40)),"--")</f>
        <v>54.666666666666664</v>
      </c>
      <c r="K40" s="82">
        <f>IF(COUNT('doy179'!$L40:$N40)=3,(AVERAGE('doy179'!$L40:$N40)),"--")</f>
        <v>67</v>
      </c>
      <c r="L40" s="82" t="str">
        <f>IF(COUNT('doy187'!$L40:$N40)=3,(AVERAGE('doy187'!$L40:$N40)),"--")</f>
        <v>--</v>
      </c>
      <c r="M40" s="82">
        <f>IF(COUNT('doy193'!$L40:$N40)=3,(AVERAGE('doy193'!$L40:$N40)),"--")</f>
        <v>76</v>
      </c>
      <c r="N40" s="82">
        <f>IF(COUNT('doy203'!$L40:$N40)=3,(AVERAGE('doy203'!$L40:$N40)),"--")</f>
        <v>89.333333333333329</v>
      </c>
      <c r="O40" s="82" t="str">
        <f>IF(COUNT('doy213'!$L40:$N40)=3,(AVERAGE('doy213'!$L40:$N40)),"--")</f>
        <v>--</v>
      </c>
      <c r="P40" s="82" t="str">
        <f>IF(COUNT('doy224'!$L40:$N40)=3,(AVERAGE('doy224'!$L40:$N40)),"--")</f>
        <v>--</v>
      </c>
      <c r="Q40" s="82" t="str">
        <f>IF(COUNT('doy231'!$L40:$N40)=3,(AVERAGE('doy231'!$L40:$N40)),"--")</f>
        <v>--</v>
      </c>
    </row>
    <row r="41" spans="2:61" ht="30" customHeight="1" thickBot="1" x14ac:dyDescent="0.25">
      <c r="B41" s="135"/>
      <c r="C41" s="80" t="s">
        <v>13</v>
      </c>
      <c r="D41" s="85">
        <f>IF(COUNT('doy130'!$L41:$N41)=3,(AVERAGE('doy130'!$L41:$N41)),"--")</f>
        <v>8.3333333333333339</v>
      </c>
      <c r="E41" s="85">
        <f>IF(COUNT('doy139'!$L41:$N41)=3,(AVERAGE('doy139'!$L41:$N41)),"--")</f>
        <v>15</v>
      </c>
      <c r="F41" s="85">
        <f>IF(COUNT('doy146'!$L41:$N41)=3,(AVERAGE('doy146'!$L41:$N41)),"--")</f>
        <v>24</v>
      </c>
      <c r="G41" s="85">
        <f>IF(COUNT('doy153'!$L41:$N41)=3,(AVERAGE('doy153'!$L41:$N41)),"--")</f>
        <v>29</v>
      </c>
      <c r="H41" s="85">
        <f>IF(COUNT('doy159'!$L41:$N41)=3,(AVERAGE('doy159'!$L41:$N41)),"--")</f>
        <v>40.666666666666664</v>
      </c>
      <c r="I41" s="85">
        <f>IF(COUNT('doy168'!$L41:$N41)=3,(AVERAGE('doy168'!$L41:$N41)),"--")</f>
        <v>52.333333333333336</v>
      </c>
      <c r="J41" s="85">
        <f>IF(COUNT('doy173'!$L41:$N41)=3,(AVERAGE('doy173'!$L41:$N41)),"--")</f>
        <v>63.666666666666664</v>
      </c>
      <c r="K41" s="85">
        <f>IF(COUNT('doy179'!$L41:$N41)=3,(AVERAGE('doy179'!$L41:$N41)),"--")</f>
        <v>78</v>
      </c>
      <c r="L41" s="85" t="str">
        <f>IF(COUNT('doy187'!$L41:$N41)=3,(AVERAGE('doy187'!$L41:$N41)),"--")</f>
        <v>--</v>
      </c>
      <c r="M41" s="85">
        <f>IF(COUNT('doy193'!$L41:$N41)=3,(AVERAGE('doy193'!$L41:$N41)),"--")</f>
        <v>92.666666666666671</v>
      </c>
      <c r="N41" s="85">
        <f>IF(COUNT('doy203'!$L41:$N41)=3,(AVERAGE('doy203'!$L41:$N41)),"--")</f>
        <v>101.66666666666667</v>
      </c>
      <c r="O41" s="85">
        <f>IF(COUNT('doy213'!$L41:$N41)=3,(AVERAGE('doy213'!$L41:$N41)),"--")</f>
        <v>104</v>
      </c>
      <c r="P41" s="85" t="str">
        <f>IF(COUNT('doy224'!$L41:$N41)=3,(AVERAGE('doy224'!$L41:$N41)),"--")</f>
        <v>--</v>
      </c>
      <c r="Q41" s="85">
        <f>IF(COUNT('doy231'!$L41:$N41)=3,(AVERAGE('doy231'!$L41:$N41)),"--")</f>
        <v>113.33333333333333</v>
      </c>
      <c r="T41" s="12"/>
      <c r="U41" s="12"/>
      <c r="V41" s="14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spans="2:61" ht="30" customHeight="1" x14ac:dyDescent="0.2">
      <c r="B42" s="134">
        <v>17</v>
      </c>
      <c r="C42" s="79" t="s">
        <v>12</v>
      </c>
      <c r="D42" s="82" t="str">
        <f>IF(COUNT('doy130'!$L42:$N42)=3,(AVERAGE('doy130'!$L42:$N42)),"--")</f>
        <v>--</v>
      </c>
      <c r="E42" s="82">
        <f>IF(COUNT('doy139'!$L42:$N42)=3,(AVERAGE('doy139'!$L42:$N42)),"--")</f>
        <v>10.333333333333334</v>
      </c>
      <c r="F42" s="82">
        <f>IF(COUNT('doy146'!$L42:$N42)=3,(AVERAGE('doy146'!$L42:$N42)),"--")</f>
        <v>18</v>
      </c>
      <c r="G42" s="82">
        <f>IF(COUNT('doy153'!$L42:$N42)=3,(AVERAGE('doy153'!$L42:$N42)),"--")</f>
        <v>25</v>
      </c>
      <c r="H42" s="82">
        <f>IF(COUNT('doy159'!$L42:$N42)=3,(AVERAGE('doy159'!$L42:$N42)),"--")</f>
        <v>36.666666666666664</v>
      </c>
      <c r="I42" s="82">
        <f>IF(COUNT('doy168'!$L42:$N42)=3,(AVERAGE('doy168'!$L42:$N42)),"--")</f>
        <v>40.333333333333336</v>
      </c>
      <c r="J42" s="82" t="str">
        <f>IF(COUNT('doy173'!$L42:$N42)=3,(AVERAGE('doy173'!$L42:$N42)),"--")</f>
        <v>--</v>
      </c>
      <c r="K42" s="82">
        <f>IF(COUNT('doy179'!$L42:$N42)=3,(AVERAGE('doy179'!$L42:$N42)),"--")</f>
        <v>46</v>
      </c>
      <c r="L42" s="82">
        <f>IF(COUNT('doy187'!$L42:$N42)=3,(AVERAGE('doy187'!$L42:$N42)),"--")</f>
        <v>54.333333333333336</v>
      </c>
      <c r="M42" s="82">
        <f>IF(COUNT('doy193'!$L42:$N42)=3,(AVERAGE('doy193'!$L42:$N42)),"--")</f>
        <v>51.666666666666664</v>
      </c>
      <c r="N42" s="82">
        <f>IF(COUNT('doy203'!$L42:$N42)=3,(AVERAGE('doy203'!$L42:$N42)),"--")</f>
        <v>67</v>
      </c>
      <c r="O42" s="82">
        <f>IF(COUNT('doy213'!$L42:$N42)=3,(AVERAGE('doy213'!$L42:$N42)),"--")</f>
        <v>88.666666666666671</v>
      </c>
      <c r="P42" s="82" t="str">
        <f>IF(COUNT('doy224'!$L42:$N42)=3,(AVERAGE('doy224'!$L42:$N42)),"--")</f>
        <v>--</v>
      </c>
      <c r="Q42" s="82" t="str">
        <f>IF(COUNT('doy231'!$L42:$N42)=3,(AVERAGE('doy231'!$L42:$N42)),"--")</f>
        <v>--</v>
      </c>
    </row>
    <row r="43" spans="2:61" ht="30" customHeight="1" thickBot="1" x14ac:dyDescent="0.25">
      <c r="B43" s="135"/>
      <c r="C43" s="80" t="s">
        <v>13</v>
      </c>
      <c r="D43" s="85" t="str">
        <f>IF(COUNT('doy130'!$L43:$N43)=3,(AVERAGE('doy130'!$L43:$N43)),"--")</f>
        <v>--</v>
      </c>
      <c r="E43" s="85">
        <f>IF(COUNT('doy139'!$L43:$N43)=3,(AVERAGE('doy139'!$L43:$N43)),"--")</f>
        <v>13</v>
      </c>
      <c r="F43" s="85">
        <f>IF(COUNT('doy146'!$L43:$N43)=3,(AVERAGE('doy146'!$L43:$N43)),"--")</f>
        <v>21</v>
      </c>
      <c r="G43" s="85">
        <f>IF(COUNT('doy153'!$L43:$N43)=3,(AVERAGE('doy153'!$L43:$N43)),"--")</f>
        <v>27.333333333333332</v>
      </c>
      <c r="H43" s="85">
        <f>IF(COUNT('doy159'!$L43:$N43)=3,(AVERAGE('doy159'!$L43:$N43)),"--")</f>
        <v>37.666666666666664</v>
      </c>
      <c r="I43" s="85">
        <f>IF(COUNT('doy168'!$L43:$N43)=3,(AVERAGE('doy168'!$L43:$N43)),"--")</f>
        <v>46.333333333333336</v>
      </c>
      <c r="J43" s="85" t="str">
        <f>IF(COUNT('doy173'!$L43:$N43)=3,(AVERAGE('doy173'!$L43:$N43)),"--")</f>
        <v>--</v>
      </c>
      <c r="K43" s="85">
        <f>IF(COUNT('doy179'!$L43:$N43)=3,(AVERAGE('doy179'!$L43:$N43)),"--")</f>
        <v>52.666666666666664</v>
      </c>
      <c r="L43" s="85">
        <f>IF(COUNT('doy187'!$L43:$N43)=3,(AVERAGE('doy187'!$L43:$N43)),"--")</f>
        <v>63.666666666666664</v>
      </c>
      <c r="M43" s="85">
        <f>IF(COUNT('doy193'!$L43:$N43)=3,(AVERAGE('doy193'!$L43:$N43)),"--")</f>
        <v>65.333333333333329</v>
      </c>
      <c r="N43" s="85">
        <f>IF(COUNT('doy203'!$L43:$N43)=3,(AVERAGE('doy203'!$L43:$N43)),"--")</f>
        <v>76.666666666666671</v>
      </c>
      <c r="O43" s="85">
        <f>IF(COUNT('doy213'!$L43:$N43)=3,(AVERAGE('doy213'!$L43:$N43)),"--")</f>
        <v>93.666666666666671</v>
      </c>
      <c r="P43" s="85" t="str">
        <f>IF(COUNT('doy224'!$L43:$N43)=3,(AVERAGE('doy224'!$L43:$N43)),"--")</f>
        <v>--</v>
      </c>
      <c r="Q43" s="85">
        <f>IF(COUNT('doy231'!$L43:$N43)=3,(AVERAGE('doy231'!$L43:$N43)),"--")</f>
        <v>117</v>
      </c>
    </row>
  </sheetData>
  <mergeCells count="19">
    <mergeCell ref="B18:B19"/>
    <mergeCell ref="B12:B13"/>
    <mergeCell ref="B14:B15"/>
    <mergeCell ref="B16:B17"/>
    <mergeCell ref="T5:V5"/>
    <mergeCell ref="B8:C8"/>
    <mergeCell ref="B10:B11"/>
    <mergeCell ref="B28:B29"/>
    <mergeCell ref="B30:B31"/>
    <mergeCell ref="B24:B25"/>
    <mergeCell ref="B26:B27"/>
    <mergeCell ref="B20:B21"/>
    <mergeCell ref="B22:B23"/>
    <mergeCell ref="B42:B43"/>
    <mergeCell ref="B40:B41"/>
    <mergeCell ref="B36:B37"/>
    <mergeCell ref="B38:B39"/>
    <mergeCell ref="B32:B33"/>
    <mergeCell ref="B34:B35"/>
  </mergeCells>
  <pageMargins left="0.45" right="0" top="0.49" bottom="0" header="0.64" footer="0"/>
  <pageSetup paperSize="512" scale="72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30</vt:i4>
      </vt:variant>
    </vt:vector>
  </HeadingPairs>
  <TitlesOfParts>
    <vt:vector size="47" baseType="lpstr">
      <vt:lpstr>Height</vt:lpstr>
      <vt:lpstr>Width</vt:lpstr>
      <vt:lpstr>doy130</vt:lpstr>
      <vt:lpstr>doy139</vt:lpstr>
      <vt:lpstr>doy146</vt:lpstr>
      <vt:lpstr>doy153</vt:lpstr>
      <vt:lpstr>doy159</vt:lpstr>
      <vt:lpstr>doy168</vt:lpstr>
      <vt:lpstr>doy173</vt:lpstr>
      <vt:lpstr>doy179</vt:lpstr>
      <vt:lpstr>doy187</vt:lpstr>
      <vt:lpstr>doy193</vt:lpstr>
      <vt:lpstr>doy203</vt:lpstr>
      <vt:lpstr>doy213</vt:lpstr>
      <vt:lpstr>doy224</vt:lpstr>
      <vt:lpstr>doy231</vt:lpstr>
      <vt:lpstr>Averages</vt:lpstr>
      <vt:lpstr>Averages!Print_Area</vt:lpstr>
      <vt:lpstr>'doy130'!Print_Area</vt:lpstr>
      <vt:lpstr>'doy139'!Print_Area</vt:lpstr>
      <vt:lpstr>'doy146'!Print_Area</vt:lpstr>
      <vt:lpstr>'doy153'!Print_Area</vt:lpstr>
      <vt:lpstr>'doy159'!Print_Area</vt:lpstr>
      <vt:lpstr>'doy168'!Print_Area</vt:lpstr>
      <vt:lpstr>'doy173'!Print_Area</vt:lpstr>
      <vt:lpstr>'doy179'!Print_Area</vt:lpstr>
      <vt:lpstr>'doy187'!Print_Area</vt:lpstr>
      <vt:lpstr>'doy193'!Print_Area</vt:lpstr>
      <vt:lpstr>'doy203'!Print_Area</vt:lpstr>
      <vt:lpstr>'doy213'!Print_Area</vt:lpstr>
      <vt:lpstr>'doy224'!Print_Area</vt:lpstr>
      <vt:lpstr>'doy231'!Print_Area</vt:lpstr>
      <vt:lpstr>Averages!Print_Titles</vt:lpstr>
      <vt:lpstr>'doy130'!Print_Titles</vt:lpstr>
      <vt:lpstr>'doy139'!Print_Titles</vt:lpstr>
      <vt:lpstr>'doy146'!Print_Titles</vt:lpstr>
      <vt:lpstr>'doy153'!Print_Titles</vt:lpstr>
      <vt:lpstr>'doy159'!Print_Titles</vt:lpstr>
      <vt:lpstr>'doy168'!Print_Titles</vt:lpstr>
      <vt:lpstr>'doy173'!Print_Titles</vt:lpstr>
      <vt:lpstr>'doy179'!Print_Titles</vt:lpstr>
      <vt:lpstr>'doy187'!Print_Titles</vt:lpstr>
      <vt:lpstr>'doy193'!Print_Titles</vt:lpstr>
      <vt:lpstr>'doy203'!Print_Titles</vt:lpstr>
      <vt:lpstr>'doy213'!Print_Titles</vt:lpstr>
      <vt:lpstr>'doy224'!Print_Titles</vt:lpstr>
      <vt:lpstr>'doy231'!Print_Titles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PJP</dc:creator>
  <cp:lastModifiedBy>Reviewer</cp:lastModifiedBy>
  <cp:lastPrinted>2011-07-06T20:46:30Z</cp:lastPrinted>
  <dcterms:created xsi:type="dcterms:W3CDTF">2003-06-15T15:35:55Z</dcterms:created>
  <dcterms:modified xsi:type="dcterms:W3CDTF">2024-09-24T13:23:57Z</dcterms:modified>
</cp:coreProperties>
</file>