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charts/chart1.xml" ContentType="application/vnd.openxmlformats-officedocument.drawingml.chart+xml"/>
  <Override PartName="/xl/drawings/drawing10.xml" ContentType="application/vnd.openxmlformats-officedocument.drawing+xml"/>
  <Override PartName="/xl/drawings/drawing1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029"/>
  <workbookPr defaultThemeVersion="124226"/>
  <mc:AlternateContent xmlns:mc="http://schemas.openxmlformats.org/markup-compatibility/2006">
    <mc:Choice Requires="x15">
      <x15ac:absPath xmlns:x15ac="http://schemas.microsoft.com/office/spreadsheetml/2010/11/ac" url="E:\mnt\Data1\USDA-ALARC\GIS\PDI project\cottondata\Data\2011_F033_CO_RSIS\"/>
    </mc:Choice>
  </mc:AlternateContent>
  <xr:revisionPtr revIDLastSave="0" documentId="13_ncr:1_{4E3B6302-1729-4B45-91C1-0E9C14E8960F}" xr6:coauthVersionLast="47" xr6:coauthVersionMax="47" xr10:uidLastSave="{00000000-0000-0000-0000-000000000000}"/>
  <bookViews>
    <workbookView xWindow="16260" yWindow="-23970" windowWidth="17910" windowHeight="23025" activeTab="3" xr2:uid="{00000000-000D-0000-FFFF-FFFF00000000}"/>
  </bookViews>
  <sheets>
    <sheet name="Height" sheetId="22" r:id="rId1"/>
    <sheet name="Width" sheetId="23" r:id="rId2"/>
    <sheet name="LAImeter" sheetId="26" r:id="rId3"/>
    <sheet name="SPAD" sheetId="30" r:id="rId4"/>
    <sheet name="Density" sheetId="28" r:id="rId5"/>
    <sheet name="Develop" sheetId="25" r:id="rId6"/>
    <sheet name="doy130" sheetId="8" r:id="rId7"/>
    <sheet name="doy139" sheetId="9" r:id="rId8"/>
    <sheet name="doy146" sheetId="10" r:id="rId9"/>
    <sheet name="doy153" sheetId="11" r:id="rId10"/>
    <sheet name="doy159" sheetId="12" r:id="rId11"/>
    <sheet name="doy168" sheetId="13" r:id="rId12"/>
    <sheet name="doy173" sheetId="14" r:id="rId13"/>
    <sheet name="doy179" sheetId="15" r:id="rId14"/>
    <sheet name="doy187" sheetId="16" r:id="rId15"/>
    <sheet name="doy193" sheetId="17" r:id="rId16"/>
    <sheet name="doy203" sheetId="18" r:id="rId17"/>
    <sheet name="doy213" sheetId="19" r:id="rId18"/>
    <sheet name="doy224" sheetId="20" r:id="rId19"/>
    <sheet name="doy231" sheetId="21" r:id="rId20"/>
    <sheet name="Averages" sheetId="7" r:id="rId21"/>
    <sheet name="Emergence" sheetId="24" r:id="rId22"/>
    <sheet name="Counts" sheetId="27" r:id="rId23"/>
    <sheet name="NAWF" sheetId="29" r:id="rId24"/>
  </sheets>
  <externalReferences>
    <externalReference r:id="rId25"/>
  </externalReferences>
  <definedNames>
    <definedName name="_xlnm.Print_Area" localSheetId="20">Averages!$A$1:$C$43</definedName>
    <definedName name="_xlnm.Print_Area" localSheetId="22">Counts!$A$1:$S$26</definedName>
    <definedName name="_xlnm.Print_Area" localSheetId="6">'doy130'!$A$1:$O$41</definedName>
    <definedName name="_xlnm.Print_Area" localSheetId="7">'doy139'!$A$1:$O$41</definedName>
    <definedName name="_xlnm.Print_Area" localSheetId="8">'doy146'!$A$1:$O$43</definedName>
    <definedName name="_xlnm.Print_Area" localSheetId="9">'doy153'!$A$1:$O$43</definedName>
    <definedName name="_xlnm.Print_Area" localSheetId="10">'doy159'!$A$1:$O$43</definedName>
    <definedName name="_xlnm.Print_Area" localSheetId="11">'doy168'!$A$1:$O$43</definedName>
    <definedName name="_xlnm.Print_Area" localSheetId="12">'doy173'!$A$1:$O$43</definedName>
    <definedName name="_xlnm.Print_Area" localSheetId="13">'doy179'!$A$1:$O$43</definedName>
    <definedName name="_xlnm.Print_Area" localSheetId="14">'doy187'!$A$1:$O$43</definedName>
    <definedName name="_xlnm.Print_Area" localSheetId="15">'doy193'!$A$1:$O$43</definedName>
    <definedName name="_xlnm.Print_Area" localSheetId="16">'doy203'!$A$1:$O$43</definedName>
    <definedName name="_xlnm.Print_Area" localSheetId="17">'doy213'!$A$1:$O$43</definedName>
    <definedName name="_xlnm.Print_Area" localSheetId="18">'doy224'!$A$1:$O$43</definedName>
    <definedName name="_xlnm.Print_Area" localSheetId="19">'doy231'!$A$1:$O$43</definedName>
    <definedName name="_xlnm.Print_Area" localSheetId="21">Emergence!$A$1:$G$24</definedName>
    <definedName name="_xlnm.Print_Area" localSheetId="23">NAWF!$A$1:$N$44</definedName>
    <definedName name="_xlnm.Print_Titles" localSheetId="20">Averages!$6:$8</definedName>
    <definedName name="_xlnm.Print_Titles" localSheetId="22">Counts!$6:$8</definedName>
    <definedName name="_xlnm.Print_Titles" localSheetId="6">'doy130'!$6:$8</definedName>
    <definedName name="_xlnm.Print_Titles" localSheetId="7">'doy139'!$6:$8</definedName>
    <definedName name="_xlnm.Print_Titles" localSheetId="8">'doy146'!$6:$8</definedName>
    <definedName name="_xlnm.Print_Titles" localSheetId="9">'doy153'!$6:$8</definedName>
    <definedName name="_xlnm.Print_Titles" localSheetId="10">'doy159'!$6:$8</definedName>
    <definedName name="_xlnm.Print_Titles" localSheetId="11">'doy168'!$6:$8</definedName>
    <definedName name="_xlnm.Print_Titles" localSheetId="12">'doy173'!$6:$8</definedName>
    <definedName name="_xlnm.Print_Titles" localSheetId="13">'doy179'!$6:$8</definedName>
    <definedName name="_xlnm.Print_Titles" localSheetId="14">'doy187'!$6:$8</definedName>
    <definedName name="_xlnm.Print_Titles" localSheetId="15">'doy193'!$6:$8</definedName>
    <definedName name="_xlnm.Print_Titles" localSheetId="16">'doy203'!$6:$8</definedName>
    <definedName name="_xlnm.Print_Titles" localSheetId="17">'doy213'!$6:$8</definedName>
    <definedName name="_xlnm.Print_Titles" localSheetId="18">'doy224'!$6:$8</definedName>
    <definedName name="_xlnm.Print_Titles" localSheetId="19">'doy231'!$6:$8</definedName>
    <definedName name="_xlnm.Print_Titles" localSheetId="23">NAWF!$6:$8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0" i="29" l="1"/>
  <c r="E10" i="29"/>
  <c r="F10" i="29"/>
  <c r="G10" i="29"/>
  <c r="H10" i="29"/>
  <c r="I10" i="29"/>
  <c r="P10" i="29"/>
  <c r="S10" i="29"/>
  <c r="D11" i="29"/>
  <c r="E11" i="29"/>
  <c r="F11" i="29"/>
  <c r="G11" i="29"/>
  <c r="H11" i="29"/>
  <c r="I11" i="29"/>
  <c r="D12" i="29"/>
  <c r="E12" i="29"/>
  <c r="F12" i="29"/>
  <c r="G12" i="29"/>
  <c r="H12" i="29"/>
  <c r="I12" i="29"/>
  <c r="P12" i="29"/>
  <c r="S12" i="29"/>
  <c r="D13" i="29"/>
  <c r="E13" i="29"/>
  <c r="F13" i="29"/>
  <c r="G13" i="29"/>
  <c r="H13" i="29"/>
  <c r="I13" i="29"/>
  <c r="D14" i="29"/>
  <c r="E14" i="29"/>
  <c r="F14" i="29"/>
  <c r="G14" i="29"/>
  <c r="H14" i="29"/>
  <c r="I14" i="29"/>
  <c r="P14" i="29"/>
  <c r="S14" i="29"/>
  <c r="D15" i="29"/>
  <c r="E15" i="29"/>
  <c r="F15" i="29"/>
  <c r="G15" i="29"/>
  <c r="H15" i="29"/>
  <c r="I15" i="29"/>
  <c r="D16" i="29"/>
  <c r="E16" i="29"/>
  <c r="F16" i="29"/>
  <c r="G16" i="29"/>
  <c r="H16" i="29"/>
  <c r="I16" i="29"/>
  <c r="P16" i="29"/>
  <c r="S16" i="29"/>
  <c r="D17" i="29"/>
  <c r="E17" i="29"/>
  <c r="F17" i="29"/>
  <c r="G17" i="29"/>
  <c r="H17" i="29"/>
  <c r="I17" i="29"/>
  <c r="D18" i="29"/>
  <c r="E18" i="29"/>
  <c r="F18" i="29"/>
  <c r="G18" i="29"/>
  <c r="H18" i="29"/>
  <c r="I18" i="29"/>
  <c r="P18" i="29"/>
  <c r="D19" i="29"/>
  <c r="E19" i="29"/>
  <c r="F19" i="29"/>
  <c r="G19" i="29"/>
  <c r="H19" i="29"/>
  <c r="I19" i="29"/>
  <c r="D20" i="29"/>
  <c r="E20" i="29"/>
  <c r="F20" i="29"/>
  <c r="G20" i="29"/>
  <c r="H20" i="29"/>
  <c r="I20" i="29"/>
  <c r="P20" i="29"/>
  <c r="D21" i="29"/>
  <c r="E21" i="29"/>
  <c r="F21" i="29"/>
  <c r="G21" i="29"/>
  <c r="H21" i="29"/>
  <c r="I21" i="29"/>
  <c r="D22" i="29"/>
  <c r="E22" i="29"/>
  <c r="F22" i="29"/>
  <c r="G22" i="29"/>
  <c r="H22" i="29"/>
  <c r="I22" i="29"/>
  <c r="P22" i="29"/>
  <c r="D23" i="29"/>
  <c r="E23" i="29"/>
  <c r="F23" i="29"/>
  <c r="G23" i="29"/>
  <c r="H23" i="29"/>
  <c r="I23" i="29"/>
  <c r="D24" i="29"/>
  <c r="E24" i="29"/>
  <c r="F24" i="29"/>
  <c r="G24" i="29"/>
  <c r="H24" i="29"/>
  <c r="I24" i="29"/>
  <c r="P24" i="29"/>
  <c r="D25" i="29"/>
  <c r="E25" i="29"/>
  <c r="F25" i="29"/>
  <c r="G25" i="29"/>
  <c r="H25" i="29"/>
  <c r="I25" i="29"/>
  <c r="D26" i="29"/>
  <c r="E26" i="29"/>
  <c r="F26" i="29"/>
  <c r="G26" i="29"/>
  <c r="H26" i="29"/>
  <c r="I26" i="29"/>
  <c r="P26" i="29"/>
  <c r="D27" i="29"/>
  <c r="E27" i="29"/>
  <c r="F27" i="29"/>
  <c r="G27" i="29"/>
  <c r="H27" i="29"/>
  <c r="I27" i="29"/>
  <c r="D28" i="29"/>
  <c r="E28" i="29"/>
  <c r="F28" i="29"/>
  <c r="G28" i="29"/>
  <c r="H28" i="29"/>
  <c r="I28" i="29"/>
  <c r="P28" i="29"/>
  <c r="D29" i="29"/>
  <c r="E29" i="29"/>
  <c r="F29" i="29"/>
  <c r="G29" i="29"/>
  <c r="H29" i="29"/>
  <c r="I29" i="29"/>
  <c r="D30" i="29"/>
  <c r="E30" i="29"/>
  <c r="F30" i="29"/>
  <c r="G30" i="29"/>
  <c r="H30" i="29"/>
  <c r="I30" i="29"/>
  <c r="P30" i="29"/>
  <c r="D31" i="29"/>
  <c r="E31" i="29"/>
  <c r="F31" i="29"/>
  <c r="G31" i="29"/>
  <c r="H31" i="29"/>
  <c r="I31" i="29"/>
  <c r="D32" i="29"/>
  <c r="E32" i="29"/>
  <c r="F32" i="29"/>
  <c r="G32" i="29"/>
  <c r="H32" i="29"/>
  <c r="I32" i="29"/>
  <c r="P32" i="29"/>
  <c r="D33" i="29"/>
  <c r="E33" i="29"/>
  <c r="F33" i="29"/>
  <c r="G33" i="29"/>
  <c r="H33" i="29"/>
  <c r="I33" i="29"/>
  <c r="D34" i="29"/>
  <c r="E34" i="29"/>
  <c r="F34" i="29"/>
  <c r="G34" i="29"/>
  <c r="H34" i="29"/>
  <c r="I34" i="29"/>
  <c r="P34" i="29"/>
  <c r="D35" i="29"/>
  <c r="E35" i="29"/>
  <c r="F35" i="29"/>
  <c r="G35" i="29"/>
  <c r="H35" i="29"/>
  <c r="I35" i="29"/>
  <c r="D36" i="29"/>
  <c r="E36" i="29"/>
  <c r="F36" i="29"/>
  <c r="G36" i="29"/>
  <c r="H36" i="29"/>
  <c r="I36" i="29"/>
  <c r="P36" i="29"/>
  <c r="D37" i="29"/>
  <c r="E37" i="29"/>
  <c r="F37" i="29"/>
  <c r="G37" i="29"/>
  <c r="H37" i="29"/>
  <c r="I37" i="29"/>
  <c r="D38" i="29"/>
  <c r="E38" i="29"/>
  <c r="F38" i="29"/>
  <c r="G38" i="29"/>
  <c r="H38" i="29"/>
  <c r="I38" i="29"/>
  <c r="P38" i="29"/>
  <c r="D39" i="29"/>
  <c r="E39" i="29"/>
  <c r="F39" i="29"/>
  <c r="G39" i="29"/>
  <c r="H39" i="29"/>
  <c r="I39" i="29"/>
  <c r="D40" i="29"/>
  <c r="E40" i="29"/>
  <c r="F40" i="29"/>
  <c r="G40" i="29"/>
  <c r="H40" i="29"/>
  <c r="I40" i="29"/>
  <c r="P40" i="29"/>
  <c r="D41" i="29"/>
  <c r="E41" i="29"/>
  <c r="F41" i="29"/>
  <c r="G41" i="29"/>
  <c r="H41" i="29"/>
  <c r="I41" i="29"/>
  <c r="D42" i="29"/>
  <c r="E42" i="29"/>
  <c r="F42" i="29"/>
  <c r="G42" i="29"/>
  <c r="H42" i="29"/>
  <c r="I42" i="29"/>
  <c r="P42" i="29"/>
  <c r="D43" i="29"/>
  <c r="E43" i="29"/>
  <c r="F43" i="29"/>
  <c r="G43" i="29"/>
  <c r="H43" i="29"/>
  <c r="I43" i="29"/>
  <c r="L38" i="27"/>
  <c r="M38" i="27"/>
  <c r="N38" i="27"/>
  <c r="O38" i="27"/>
  <c r="P38" i="27"/>
  <c r="Q38" i="27"/>
  <c r="R38" i="27"/>
  <c r="L39" i="27"/>
  <c r="M39" i="27"/>
  <c r="N39" i="27"/>
  <c r="O39" i="27"/>
  <c r="P39" i="27"/>
  <c r="Q39" i="27"/>
  <c r="R39" i="27"/>
  <c r="L40" i="27"/>
  <c r="M40" i="27"/>
  <c r="N40" i="27"/>
  <c r="O40" i="27"/>
  <c r="P40" i="27"/>
  <c r="Q40" i="27"/>
  <c r="R40" i="27"/>
  <c r="L41" i="27"/>
  <c r="M41" i="27"/>
  <c r="N41" i="27"/>
  <c r="O41" i="27"/>
  <c r="P41" i="27"/>
  <c r="Q41" i="27"/>
  <c r="R41" i="27"/>
  <c r="L42" i="27"/>
  <c r="M42" i="27"/>
  <c r="N42" i="27"/>
  <c r="O42" i="27"/>
  <c r="P42" i="27"/>
  <c r="Q42" i="27"/>
  <c r="R42" i="27"/>
  <c r="L43" i="27"/>
  <c r="M43" i="27"/>
  <c r="N43" i="27"/>
  <c r="O43" i="27"/>
  <c r="P43" i="27"/>
  <c r="Q43" i="27"/>
  <c r="R43" i="27"/>
  <c r="L44" i="27"/>
  <c r="M44" i="27"/>
  <c r="N44" i="27"/>
  <c r="O44" i="27"/>
  <c r="P44" i="27"/>
  <c r="Q44" i="27"/>
  <c r="R44" i="27"/>
  <c r="L45" i="27"/>
  <c r="M45" i="27"/>
  <c r="N45" i="27"/>
  <c r="O45" i="27"/>
  <c r="P45" i="27"/>
  <c r="Q45" i="27"/>
  <c r="R45" i="27"/>
  <c r="L46" i="27"/>
  <c r="M46" i="27"/>
  <c r="N46" i="27"/>
  <c r="O46" i="27"/>
  <c r="P46" i="27"/>
  <c r="Q46" i="27"/>
  <c r="R46" i="27"/>
  <c r="L47" i="27"/>
  <c r="M47" i="27"/>
  <c r="N47" i="27"/>
  <c r="O47" i="27"/>
  <c r="P47" i="27"/>
  <c r="Q47" i="27"/>
  <c r="R47" i="27"/>
  <c r="L48" i="27"/>
  <c r="M48" i="27"/>
  <c r="N48" i="27"/>
  <c r="O48" i="27"/>
  <c r="P48" i="27"/>
  <c r="Q48" i="27"/>
  <c r="R48" i="27"/>
  <c r="L49" i="27"/>
  <c r="M49" i="27"/>
  <c r="N49" i="27"/>
  <c r="O49" i="27"/>
  <c r="P49" i="27"/>
  <c r="Q49" i="27"/>
  <c r="R49" i="27"/>
  <c r="L50" i="27"/>
  <c r="M50" i="27"/>
  <c r="N50" i="27"/>
  <c r="O50" i="27"/>
  <c r="P50" i="27"/>
  <c r="Q50" i="27"/>
  <c r="R50" i="27"/>
  <c r="L51" i="27"/>
  <c r="M51" i="27"/>
  <c r="N51" i="27"/>
  <c r="O51" i="27"/>
  <c r="P51" i="27"/>
  <c r="Q51" i="27"/>
  <c r="R51" i="27"/>
  <c r="L52" i="27"/>
  <c r="M52" i="27"/>
  <c r="N52" i="27"/>
  <c r="O52" i="27"/>
  <c r="P52" i="27"/>
  <c r="Q52" i="27"/>
  <c r="R52" i="27"/>
  <c r="L53" i="27"/>
  <c r="M53" i="27"/>
  <c r="N53" i="27"/>
  <c r="O53" i="27"/>
  <c r="P53" i="27"/>
  <c r="Q53" i="27"/>
  <c r="R53" i="27"/>
  <c r="M37" i="27"/>
  <c r="N37" i="27"/>
  <c r="O37" i="27"/>
  <c r="P37" i="27"/>
  <c r="Q37" i="27"/>
  <c r="R37" i="27"/>
  <c r="L37" i="27"/>
  <c r="N34" i="27" l="1"/>
  <c r="D10" i="27"/>
  <c r="E10" i="27"/>
  <c r="F10" i="27"/>
  <c r="G10" i="27"/>
  <c r="H10" i="27"/>
  <c r="I10" i="27"/>
  <c r="D11" i="27"/>
  <c r="E11" i="27"/>
  <c r="F11" i="27"/>
  <c r="G11" i="27"/>
  <c r="H11" i="27"/>
  <c r="I11" i="27"/>
  <c r="D12" i="27"/>
  <c r="E12" i="27"/>
  <c r="F12" i="27"/>
  <c r="G12" i="27"/>
  <c r="H12" i="27"/>
  <c r="I12" i="27"/>
  <c r="D13" i="27"/>
  <c r="E13" i="27"/>
  <c r="F13" i="27"/>
  <c r="G13" i="27"/>
  <c r="H13" i="27"/>
  <c r="I13" i="27"/>
  <c r="D14" i="27"/>
  <c r="E14" i="27"/>
  <c r="F14" i="27"/>
  <c r="G14" i="27"/>
  <c r="H14" i="27"/>
  <c r="I14" i="27"/>
  <c r="D15" i="27"/>
  <c r="E15" i="27"/>
  <c r="F15" i="27"/>
  <c r="G15" i="27"/>
  <c r="H15" i="27"/>
  <c r="I15" i="27"/>
  <c r="D16" i="27"/>
  <c r="E16" i="27"/>
  <c r="F16" i="27"/>
  <c r="G16" i="27"/>
  <c r="H16" i="27"/>
  <c r="I16" i="27"/>
  <c r="D17" i="27"/>
  <c r="E17" i="27"/>
  <c r="F17" i="27"/>
  <c r="G17" i="27"/>
  <c r="H17" i="27"/>
  <c r="I17" i="27"/>
  <c r="D18" i="27"/>
  <c r="E18" i="27"/>
  <c r="F18" i="27"/>
  <c r="G18" i="27"/>
  <c r="H18" i="27"/>
  <c r="I18" i="27"/>
  <c r="D19" i="27"/>
  <c r="E19" i="27"/>
  <c r="F19" i="27"/>
  <c r="G19" i="27"/>
  <c r="H19" i="27"/>
  <c r="I19" i="27"/>
  <c r="D20" i="27"/>
  <c r="E20" i="27"/>
  <c r="F20" i="27"/>
  <c r="G20" i="27"/>
  <c r="H20" i="27"/>
  <c r="I20" i="27"/>
  <c r="D21" i="27"/>
  <c r="E21" i="27"/>
  <c r="F21" i="27"/>
  <c r="G21" i="27"/>
  <c r="H21" i="27"/>
  <c r="I21" i="27"/>
  <c r="D22" i="27"/>
  <c r="E22" i="27"/>
  <c r="F22" i="27"/>
  <c r="G22" i="27"/>
  <c r="H22" i="27"/>
  <c r="I22" i="27"/>
  <c r="D23" i="27"/>
  <c r="E23" i="27"/>
  <c r="F23" i="27"/>
  <c r="G23" i="27"/>
  <c r="H23" i="27"/>
  <c r="I23" i="27"/>
  <c r="D24" i="27"/>
  <c r="E24" i="27"/>
  <c r="F24" i="27"/>
  <c r="G24" i="27"/>
  <c r="H24" i="27"/>
  <c r="I24" i="27"/>
  <c r="D25" i="27"/>
  <c r="E25" i="27"/>
  <c r="F25" i="27"/>
  <c r="G25" i="27"/>
  <c r="H25" i="27"/>
  <c r="I25" i="27"/>
  <c r="D26" i="27"/>
  <c r="E26" i="27"/>
  <c r="F26" i="27"/>
  <c r="G26" i="27"/>
  <c r="H26" i="27"/>
  <c r="I26" i="27"/>
  <c r="L31" i="27"/>
  <c r="M31" i="27"/>
  <c r="N31" i="27"/>
  <c r="O31" i="27"/>
  <c r="P31" i="27"/>
  <c r="Q31" i="27"/>
  <c r="R31" i="27"/>
  <c r="O24" i="24" l="1"/>
  <c r="O23" i="24"/>
  <c r="O22" i="24"/>
  <c r="O21" i="24"/>
  <c r="O20" i="24"/>
  <c r="O19" i="24"/>
  <c r="O18" i="24"/>
  <c r="O17" i="24"/>
  <c r="O16" i="24"/>
  <c r="O15" i="24"/>
  <c r="O14" i="24"/>
  <c r="O13" i="24"/>
  <c r="O12" i="24"/>
  <c r="O11" i="24"/>
  <c r="O10" i="24"/>
  <c r="O9" i="24"/>
  <c r="O8" i="24"/>
  <c r="N9" i="24"/>
  <c r="N10" i="24"/>
  <c r="N11" i="24"/>
  <c r="N12" i="24"/>
  <c r="N13" i="24"/>
  <c r="N14" i="24"/>
  <c r="N15" i="24"/>
  <c r="N16" i="24"/>
  <c r="N17" i="24"/>
  <c r="N18" i="24"/>
  <c r="N19" i="24"/>
  <c r="N20" i="24"/>
  <c r="N21" i="24"/>
  <c r="N22" i="24"/>
  <c r="N23" i="24"/>
  <c r="N24" i="24"/>
  <c r="N8" i="24"/>
  <c r="B27" i="24" l="1"/>
  <c r="C27" i="24"/>
  <c r="D27" i="24"/>
  <c r="E27" i="24"/>
  <c r="F27" i="24"/>
  <c r="G27" i="24"/>
  <c r="H27" i="24"/>
  <c r="H31" i="24" s="1"/>
  <c r="I27" i="24"/>
  <c r="I31" i="24" s="1"/>
  <c r="J27" i="24"/>
  <c r="J31" i="24" s="1"/>
  <c r="K27" i="24"/>
  <c r="K31" i="24" s="1"/>
  <c r="L27" i="24"/>
  <c r="L31" i="24" s="1"/>
  <c r="M27" i="24"/>
  <c r="M31" i="24" s="1"/>
  <c r="B31" i="24"/>
  <c r="C31" i="24"/>
  <c r="D31" i="24"/>
  <c r="E31" i="24"/>
  <c r="F31" i="24"/>
  <c r="G31" i="24"/>
  <c r="C33" i="24" l="1"/>
  <c r="D10" i="7" l="1"/>
  <c r="Q43" i="7"/>
  <c r="P43" i="7"/>
  <c r="O43" i="7"/>
  <c r="N43" i="7"/>
  <c r="M43" i="7"/>
  <c r="L43" i="7"/>
  <c r="K43" i="7"/>
  <c r="J43" i="7"/>
  <c r="I43" i="7"/>
  <c r="H43" i="7"/>
  <c r="G43" i="7"/>
  <c r="F43" i="7"/>
  <c r="E43" i="7"/>
  <c r="D43" i="7"/>
  <c r="Q42" i="7"/>
  <c r="P42" i="7"/>
  <c r="O42" i="7"/>
  <c r="N42" i="7"/>
  <c r="M42" i="7"/>
  <c r="L42" i="7"/>
  <c r="K42" i="7"/>
  <c r="J42" i="7"/>
  <c r="I42" i="7"/>
  <c r="H42" i="7"/>
  <c r="G42" i="7"/>
  <c r="F42" i="7"/>
  <c r="E42" i="7"/>
  <c r="D42" i="7"/>
  <c r="Q41" i="7"/>
  <c r="P41" i="7"/>
  <c r="O41" i="7"/>
  <c r="N41" i="7"/>
  <c r="M41" i="7"/>
  <c r="L41" i="7"/>
  <c r="K41" i="7"/>
  <c r="J41" i="7"/>
  <c r="I41" i="7"/>
  <c r="H41" i="7"/>
  <c r="G41" i="7"/>
  <c r="F41" i="7"/>
  <c r="E41" i="7"/>
  <c r="D41" i="7"/>
  <c r="Q40" i="7"/>
  <c r="P40" i="7"/>
  <c r="O40" i="7"/>
  <c r="N40" i="7"/>
  <c r="M40" i="7"/>
  <c r="L40" i="7"/>
  <c r="K40" i="7"/>
  <c r="J40" i="7"/>
  <c r="I40" i="7"/>
  <c r="H40" i="7"/>
  <c r="G40" i="7"/>
  <c r="F40" i="7"/>
  <c r="E40" i="7"/>
  <c r="D40" i="7"/>
  <c r="Q39" i="7"/>
  <c r="P39" i="7"/>
  <c r="O39" i="7"/>
  <c r="N39" i="7"/>
  <c r="M39" i="7"/>
  <c r="L39" i="7"/>
  <c r="K39" i="7"/>
  <c r="J39" i="7"/>
  <c r="I39" i="7"/>
  <c r="H39" i="7"/>
  <c r="G39" i="7"/>
  <c r="F39" i="7"/>
  <c r="E39" i="7"/>
  <c r="D39" i="7"/>
  <c r="Q38" i="7"/>
  <c r="P38" i="7"/>
  <c r="O38" i="7"/>
  <c r="N38" i="7"/>
  <c r="M38" i="7"/>
  <c r="L38" i="7"/>
  <c r="K38" i="7"/>
  <c r="J38" i="7"/>
  <c r="I38" i="7"/>
  <c r="H38" i="7"/>
  <c r="G38" i="7"/>
  <c r="F38" i="7"/>
  <c r="E38" i="7"/>
  <c r="D38" i="7"/>
  <c r="Q37" i="7"/>
  <c r="P37" i="7"/>
  <c r="O37" i="7"/>
  <c r="N37" i="7"/>
  <c r="M37" i="7"/>
  <c r="L37" i="7"/>
  <c r="K37" i="7"/>
  <c r="J37" i="7"/>
  <c r="I37" i="7"/>
  <c r="H37" i="7"/>
  <c r="G37" i="7"/>
  <c r="F37" i="7"/>
  <c r="E37" i="7"/>
  <c r="D37" i="7"/>
  <c r="Q36" i="7"/>
  <c r="P36" i="7"/>
  <c r="O36" i="7"/>
  <c r="N36" i="7"/>
  <c r="M36" i="7"/>
  <c r="L36" i="7"/>
  <c r="K36" i="7"/>
  <c r="J36" i="7"/>
  <c r="I36" i="7"/>
  <c r="H36" i="7"/>
  <c r="G36" i="7"/>
  <c r="F36" i="7"/>
  <c r="E36" i="7"/>
  <c r="D36" i="7"/>
  <c r="Q35" i="7"/>
  <c r="P35" i="7"/>
  <c r="O35" i="7"/>
  <c r="N35" i="7"/>
  <c r="M35" i="7"/>
  <c r="L35" i="7"/>
  <c r="K35" i="7"/>
  <c r="J35" i="7"/>
  <c r="I35" i="7"/>
  <c r="H35" i="7"/>
  <c r="G35" i="7"/>
  <c r="F35" i="7"/>
  <c r="E35" i="7"/>
  <c r="D35" i="7"/>
  <c r="Q34" i="7"/>
  <c r="P34" i="7"/>
  <c r="O34" i="7"/>
  <c r="N34" i="7"/>
  <c r="M34" i="7"/>
  <c r="L34" i="7"/>
  <c r="K34" i="7"/>
  <c r="J34" i="7"/>
  <c r="I34" i="7"/>
  <c r="H34" i="7"/>
  <c r="G34" i="7"/>
  <c r="F34" i="7"/>
  <c r="E34" i="7"/>
  <c r="D34" i="7"/>
  <c r="Q33" i="7"/>
  <c r="P33" i="7"/>
  <c r="O33" i="7"/>
  <c r="N33" i="7"/>
  <c r="M33" i="7"/>
  <c r="L33" i="7"/>
  <c r="K33" i="7"/>
  <c r="J33" i="7"/>
  <c r="I33" i="7"/>
  <c r="H33" i="7"/>
  <c r="G33" i="7"/>
  <c r="F33" i="7"/>
  <c r="E33" i="7"/>
  <c r="D33" i="7"/>
  <c r="Q32" i="7"/>
  <c r="P32" i="7"/>
  <c r="O32" i="7"/>
  <c r="N32" i="7"/>
  <c r="M32" i="7"/>
  <c r="L32" i="7"/>
  <c r="K32" i="7"/>
  <c r="J32" i="7"/>
  <c r="I32" i="7"/>
  <c r="H32" i="7"/>
  <c r="G32" i="7"/>
  <c r="F32" i="7"/>
  <c r="E32" i="7"/>
  <c r="D32" i="7"/>
  <c r="Q31" i="7"/>
  <c r="P31" i="7"/>
  <c r="O31" i="7"/>
  <c r="N31" i="7"/>
  <c r="M31" i="7"/>
  <c r="L31" i="7"/>
  <c r="K31" i="7"/>
  <c r="J31" i="7"/>
  <c r="I31" i="7"/>
  <c r="H31" i="7"/>
  <c r="G31" i="7"/>
  <c r="F31" i="7"/>
  <c r="E31" i="7"/>
  <c r="D31" i="7"/>
  <c r="Q30" i="7"/>
  <c r="P30" i="7"/>
  <c r="O30" i="7"/>
  <c r="N30" i="7"/>
  <c r="M30" i="7"/>
  <c r="L30" i="7"/>
  <c r="K30" i="7"/>
  <c r="J30" i="7"/>
  <c r="I30" i="7"/>
  <c r="H30" i="7"/>
  <c r="G30" i="7"/>
  <c r="F30" i="7"/>
  <c r="E30" i="7"/>
  <c r="D30" i="7"/>
  <c r="Q29" i="7"/>
  <c r="P29" i="7"/>
  <c r="O29" i="7"/>
  <c r="N29" i="7"/>
  <c r="M29" i="7"/>
  <c r="L29" i="7"/>
  <c r="K29" i="7"/>
  <c r="J29" i="7"/>
  <c r="I29" i="7"/>
  <c r="H29" i="7"/>
  <c r="G29" i="7"/>
  <c r="F29" i="7"/>
  <c r="E29" i="7"/>
  <c r="D29" i="7"/>
  <c r="Q28" i="7"/>
  <c r="P28" i="7"/>
  <c r="O28" i="7"/>
  <c r="N28" i="7"/>
  <c r="M28" i="7"/>
  <c r="L28" i="7"/>
  <c r="K28" i="7"/>
  <c r="J28" i="7"/>
  <c r="I28" i="7"/>
  <c r="H28" i="7"/>
  <c r="G28" i="7"/>
  <c r="F28" i="7"/>
  <c r="E28" i="7"/>
  <c r="D28" i="7"/>
  <c r="Q27" i="7"/>
  <c r="P27" i="7"/>
  <c r="O27" i="7"/>
  <c r="N27" i="7"/>
  <c r="M27" i="7"/>
  <c r="L27" i="7"/>
  <c r="K27" i="7"/>
  <c r="J27" i="7"/>
  <c r="I27" i="7"/>
  <c r="H27" i="7"/>
  <c r="G27" i="7"/>
  <c r="F27" i="7"/>
  <c r="E27" i="7"/>
  <c r="D27" i="7"/>
  <c r="Q26" i="7"/>
  <c r="P26" i="7"/>
  <c r="O26" i="7"/>
  <c r="N26" i="7"/>
  <c r="M26" i="7"/>
  <c r="L26" i="7"/>
  <c r="K26" i="7"/>
  <c r="J26" i="7"/>
  <c r="I26" i="7"/>
  <c r="H26" i="7"/>
  <c r="G26" i="7"/>
  <c r="F26" i="7"/>
  <c r="E26" i="7"/>
  <c r="D26" i="7"/>
  <c r="Q25" i="7"/>
  <c r="P25" i="7"/>
  <c r="O25" i="7"/>
  <c r="N25" i="7"/>
  <c r="M25" i="7"/>
  <c r="L25" i="7"/>
  <c r="K25" i="7"/>
  <c r="J25" i="7"/>
  <c r="I25" i="7"/>
  <c r="H25" i="7"/>
  <c r="G25" i="7"/>
  <c r="F25" i="7"/>
  <c r="E25" i="7"/>
  <c r="D25" i="7"/>
  <c r="Q24" i="7"/>
  <c r="P24" i="7"/>
  <c r="O24" i="7"/>
  <c r="N24" i="7"/>
  <c r="M24" i="7"/>
  <c r="L24" i="7"/>
  <c r="K24" i="7"/>
  <c r="J24" i="7"/>
  <c r="I24" i="7"/>
  <c r="H24" i="7"/>
  <c r="G24" i="7"/>
  <c r="F24" i="7"/>
  <c r="E24" i="7"/>
  <c r="D24" i="7"/>
  <c r="Q23" i="7"/>
  <c r="P23" i="7"/>
  <c r="O23" i="7"/>
  <c r="N23" i="7"/>
  <c r="M23" i="7"/>
  <c r="L23" i="7"/>
  <c r="K23" i="7"/>
  <c r="J23" i="7"/>
  <c r="I23" i="7"/>
  <c r="H23" i="7"/>
  <c r="G23" i="7"/>
  <c r="F23" i="7"/>
  <c r="E23" i="7"/>
  <c r="D23" i="7"/>
  <c r="Q22" i="7"/>
  <c r="P22" i="7"/>
  <c r="O22" i="7"/>
  <c r="N22" i="7"/>
  <c r="M22" i="7"/>
  <c r="L22" i="7"/>
  <c r="K22" i="7"/>
  <c r="J22" i="7"/>
  <c r="I22" i="7"/>
  <c r="H22" i="7"/>
  <c r="G22" i="7"/>
  <c r="F22" i="7"/>
  <c r="E22" i="7"/>
  <c r="D22" i="7"/>
  <c r="Q21" i="7"/>
  <c r="P21" i="7"/>
  <c r="O21" i="7"/>
  <c r="N21" i="7"/>
  <c r="M21" i="7"/>
  <c r="L21" i="7"/>
  <c r="K21" i="7"/>
  <c r="J21" i="7"/>
  <c r="I21" i="7"/>
  <c r="H21" i="7"/>
  <c r="G21" i="7"/>
  <c r="F21" i="7"/>
  <c r="E21" i="7"/>
  <c r="D21" i="7"/>
  <c r="Q20" i="7"/>
  <c r="P20" i="7"/>
  <c r="O20" i="7"/>
  <c r="N20" i="7"/>
  <c r="M20" i="7"/>
  <c r="L20" i="7"/>
  <c r="K20" i="7"/>
  <c r="J20" i="7"/>
  <c r="I20" i="7"/>
  <c r="H20" i="7"/>
  <c r="G20" i="7"/>
  <c r="F20" i="7"/>
  <c r="E20" i="7"/>
  <c r="D20" i="7"/>
  <c r="Q19" i="7"/>
  <c r="P19" i="7"/>
  <c r="O19" i="7"/>
  <c r="N19" i="7"/>
  <c r="M19" i="7"/>
  <c r="L19" i="7"/>
  <c r="K19" i="7"/>
  <c r="J19" i="7"/>
  <c r="I19" i="7"/>
  <c r="H19" i="7"/>
  <c r="G19" i="7"/>
  <c r="F19" i="7"/>
  <c r="E19" i="7"/>
  <c r="D19" i="7"/>
  <c r="Q18" i="7"/>
  <c r="P18" i="7"/>
  <c r="O18" i="7"/>
  <c r="N18" i="7"/>
  <c r="M18" i="7"/>
  <c r="L18" i="7"/>
  <c r="K18" i="7"/>
  <c r="J18" i="7"/>
  <c r="I18" i="7"/>
  <c r="H18" i="7"/>
  <c r="G18" i="7"/>
  <c r="F18" i="7"/>
  <c r="E18" i="7"/>
  <c r="D18" i="7"/>
  <c r="Q17" i="7"/>
  <c r="P17" i="7"/>
  <c r="O17" i="7"/>
  <c r="N17" i="7"/>
  <c r="M17" i="7"/>
  <c r="L17" i="7"/>
  <c r="K17" i="7"/>
  <c r="J17" i="7"/>
  <c r="I17" i="7"/>
  <c r="H17" i="7"/>
  <c r="G17" i="7"/>
  <c r="F17" i="7"/>
  <c r="E17" i="7"/>
  <c r="D17" i="7"/>
  <c r="Q16" i="7"/>
  <c r="P16" i="7"/>
  <c r="O16" i="7"/>
  <c r="N16" i="7"/>
  <c r="M16" i="7"/>
  <c r="L16" i="7"/>
  <c r="K16" i="7"/>
  <c r="J16" i="7"/>
  <c r="I16" i="7"/>
  <c r="H16" i="7"/>
  <c r="G16" i="7"/>
  <c r="F16" i="7"/>
  <c r="E16" i="7"/>
  <c r="D16" i="7"/>
  <c r="Q15" i="7"/>
  <c r="P15" i="7"/>
  <c r="O15" i="7"/>
  <c r="N15" i="7"/>
  <c r="M15" i="7"/>
  <c r="L15" i="7"/>
  <c r="K15" i="7"/>
  <c r="J15" i="7"/>
  <c r="I15" i="7"/>
  <c r="H15" i="7"/>
  <c r="G15" i="7"/>
  <c r="F15" i="7"/>
  <c r="E15" i="7"/>
  <c r="D15" i="7"/>
  <c r="Q14" i="7"/>
  <c r="P14" i="7"/>
  <c r="O14" i="7"/>
  <c r="N14" i="7"/>
  <c r="M14" i="7"/>
  <c r="L14" i="7"/>
  <c r="K14" i="7"/>
  <c r="J14" i="7"/>
  <c r="I14" i="7"/>
  <c r="H14" i="7"/>
  <c r="G14" i="7"/>
  <c r="F14" i="7"/>
  <c r="E14" i="7"/>
  <c r="D14" i="7"/>
  <c r="Q13" i="7"/>
  <c r="P13" i="7"/>
  <c r="O13" i="7"/>
  <c r="N13" i="7"/>
  <c r="M13" i="7"/>
  <c r="L13" i="7"/>
  <c r="K13" i="7"/>
  <c r="J13" i="7"/>
  <c r="I13" i="7"/>
  <c r="H13" i="7"/>
  <c r="G13" i="7"/>
  <c r="F13" i="7"/>
  <c r="E13" i="7"/>
  <c r="D13" i="7"/>
  <c r="Q12" i="7"/>
  <c r="P12" i="7"/>
  <c r="O12" i="7"/>
  <c r="N12" i="7"/>
  <c r="M12" i="7"/>
  <c r="L12" i="7"/>
  <c r="K12" i="7"/>
  <c r="J12" i="7"/>
  <c r="I12" i="7"/>
  <c r="H12" i="7"/>
  <c r="G12" i="7"/>
  <c r="F12" i="7"/>
  <c r="E12" i="7"/>
  <c r="D12" i="7"/>
  <c r="Q11" i="7"/>
  <c r="P11" i="7"/>
  <c r="O11" i="7"/>
  <c r="N11" i="7"/>
  <c r="M11" i="7"/>
  <c r="L11" i="7"/>
  <c r="K11" i="7"/>
  <c r="J11" i="7"/>
  <c r="I11" i="7"/>
  <c r="H11" i="7"/>
  <c r="G11" i="7"/>
  <c r="F11" i="7"/>
  <c r="E11" i="7"/>
  <c r="D11" i="7"/>
  <c r="E10" i="7"/>
  <c r="F10" i="7"/>
  <c r="G10" i="7"/>
  <c r="H10" i="7"/>
  <c r="I10" i="7"/>
  <c r="J10" i="7"/>
  <c r="K10" i="7"/>
  <c r="L10" i="7"/>
  <c r="M10" i="7"/>
  <c r="N10" i="7"/>
  <c r="O10" i="7"/>
  <c r="P10" i="7"/>
  <c r="Q10" i="7"/>
  <c r="I42" i="21"/>
  <c r="H42" i="21"/>
  <c r="G42" i="21"/>
  <c r="F42" i="21"/>
  <c r="E42" i="21"/>
  <c r="D42" i="21"/>
  <c r="I41" i="21"/>
  <c r="H41" i="21"/>
  <c r="G41" i="21"/>
  <c r="F41" i="21"/>
  <c r="E41" i="21"/>
  <c r="D41" i="21"/>
  <c r="I40" i="21"/>
  <c r="H40" i="21"/>
  <c r="G40" i="21"/>
  <c r="F40" i="21"/>
  <c r="E40" i="21"/>
  <c r="D40" i="21"/>
  <c r="I39" i="21"/>
  <c r="H39" i="21"/>
  <c r="G39" i="21"/>
  <c r="F39" i="21"/>
  <c r="E39" i="21"/>
  <c r="D39" i="21"/>
  <c r="I38" i="21"/>
  <c r="H38" i="21"/>
  <c r="G38" i="21"/>
  <c r="F38" i="21"/>
  <c r="E38" i="21"/>
  <c r="D38" i="21"/>
  <c r="I37" i="21"/>
  <c r="H37" i="21"/>
  <c r="G37" i="21"/>
  <c r="F37" i="21"/>
  <c r="E37" i="21"/>
  <c r="D37" i="21"/>
  <c r="I36" i="21"/>
  <c r="H36" i="21"/>
  <c r="G36" i="21"/>
  <c r="F36" i="21"/>
  <c r="E36" i="21"/>
  <c r="D36" i="21"/>
  <c r="I35" i="21"/>
  <c r="H35" i="21"/>
  <c r="G35" i="21"/>
  <c r="F35" i="21"/>
  <c r="E35" i="21"/>
  <c r="D35" i="21"/>
  <c r="I34" i="21"/>
  <c r="H34" i="21"/>
  <c r="G34" i="21"/>
  <c r="F34" i="21"/>
  <c r="E34" i="21"/>
  <c r="D34" i="21"/>
  <c r="I33" i="21"/>
  <c r="H33" i="21"/>
  <c r="G33" i="21"/>
  <c r="F33" i="21"/>
  <c r="E33" i="21"/>
  <c r="D33" i="21"/>
  <c r="I32" i="21"/>
  <c r="H32" i="21"/>
  <c r="G32" i="21"/>
  <c r="F32" i="21"/>
  <c r="E32" i="21"/>
  <c r="D32" i="21"/>
  <c r="I31" i="21"/>
  <c r="H31" i="21"/>
  <c r="G31" i="21"/>
  <c r="F31" i="21"/>
  <c r="E31" i="21"/>
  <c r="D31" i="21"/>
  <c r="I30" i="21"/>
  <c r="H30" i="21"/>
  <c r="G30" i="21"/>
  <c r="F30" i="21"/>
  <c r="E30" i="21"/>
  <c r="D30" i="21"/>
  <c r="I29" i="21"/>
  <c r="H29" i="21"/>
  <c r="G29" i="21"/>
  <c r="F29" i="21"/>
  <c r="E29" i="21"/>
  <c r="D29" i="21"/>
  <c r="I28" i="21"/>
  <c r="H28" i="21"/>
  <c r="G28" i="21"/>
  <c r="F28" i="21"/>
  <c r="E28" i="21"/>
  <c r="D28" i="21"/>
  <c r="I27" i="21"/>
  <c r="H27" i="21"/>
  <c r="G27" i="21"/>
  <c r="F27" i="21"/>
  <c r="E27" i="21"/>
  <c r="D27" i="21"/>
  <c r="I26" i="21"/>
  <c r="H26" i="21"/>
  <c r="G26" i="21"/>
  <c r="F26" i="21"/>
  <c r="E26" i="21"/>
  <c r="D26" i="21"/>
  <c r="I25" i="21"/>
  <c r="H25" i="21"/>
  <c r="G25" i="21"/>
  <c r="F25" i="21"/>
  <c r="E25" i="21"/>
  <c r="D25" i="21"/>
  <c r="I24" i="21"/>
  <c r="H24" i="21"/>
  <c r="G24" i="21"/>
  <c r="F24" i="21"/>
  <c r="E24" i="21"/>
  <c r="D24" i="21"/>
  <c r="I23" i="21"/>
  <c r="H23" i="21"/>
  <c r="G23" i="21"/>
  <c r="F23" i="21"/>
  <c r="E23" i="21"/>
  <c r="D23" i="21"/>
  <c r="I22" i="21"/>
  <c r="H22" i="21"/>
  <c r="G22" i="21"/>
  <c r="F22" i="21"/>
  <c r="E22" i="21"/>
  <c r="D22" i="21"/>
  <c r="I21" i="21"/>
  <c r="H21" i="21"/>
  <c r="G21" i="21"/>
  <c r="F21" i="21"/>
  <c r="E21" i="21"/>
  <c r="D21" i="21"/>
  <c r="I20" i="21"/>
  <c r="H20" i="21"/>
  <c r="G20" i="21"/>
  <c r="F20" i="21"/>
  <c r="E20" i="21"/>
  <c r="D20" i="21"/>
  <c r="I19" i="21"/>
  <c r="H19" i="21"/>
  <c r="G19" i="21"/>
  <c r="F19" i="21"/>
  <c r="E19" i="21"/>
  <c r="D19" i="21"/>
  <c r="I18" i="21"/>
  <c r="H18" i="21"/>
  <c r="G18" i="21"/>
  <c r="F18" i="21"/>
  <c r="E18" i="21"/>
  <c r="D18" i="21"/>
  <c r="I17" i="21"/>
  <c r="H17" i="21"/>
  <c r="G17" i="21"/>
  <c r="F17" i="21"/>
  <c r="E17" i="21"/>
  <c r="D17" i="21"/>
  <c r="I16" i="21"/>
  <c r="H16" i="21"/>
  <c r="G16" i="21"/>
  <c r="F16" i="21"/>
  <c r="E16" i="21"/>
  <c r="D16" i="21"/>
  <c r="I15" i="21"/>
  <c r="H15" i="21"/>
  <c r="G15" i="21"/>
  <c r="F15" i="21"/>
  <c r="E15" i="21"/>
  <c r="D15" i="21"/>
  <c r="I14" i="21"/>
  <c r="H14" i="21"/>
  <c r="G14" i="21"/>
  <c r="F14" i="21"/>
  <c r="E14" i="21"/>
  <c r="D14" i="21"/>
  <c r="I13" i="21"/>
  <c r="H13" i="21"/>
  <c r="G13" i="21"/>
  <c r="F13" i="21"/>
  <c r="E13" i="21"/>
  <c r="D13" i="21"/>
  <c r="I12" i="21"/>
  <c r="H12" i="21"/>
  <c r="G12" i="21"/>
  <c r="F12" i="21"/>
  <c r="E12" i="21"/>
  <c r="D12" i="21"/>
  <c r="I11" i="21"/>
  <c r="H11" i="21"/>
  <c r="G11" i="21"/>
  <c r="F11" i="21"/>
  <c r="E11" i="21"/>
  <c r="D11" i="21"/>
  <c r="I10" i="21"/>
  <c r="H10" i="21"/>
  <c r="G10" i="21"/>
  <c r="F10" i="21"/>
  <c r="E10" i="21"/>
  <c r="D10" i="21"/>
  <c r="I42" i="20"/>
  <c r="H42" i="20"/>
  <c r="G42" i="20"/>
  <c r="F42" i="20"/>
  <c r="E42" i="20"/>
  <c r="D42" i="20"/>
  <c r="I41" i="20"/>
  <c r="H41" i="20"/>
  <c r="G41" i="20"/>
  <c r="F41" i="20"/>
  <c r="E41" i="20"/>
  <c r="D41" i="20"/>
  <c r="I40" i="20"/>
  <c r="H40" i="20"/>
  <c r="G40" i="20"/>
  <c r="F40" i="20"/>
  <c r="E40" i="20"/>
  <c r="D40" i="20"/>
  <c r="I39" i="20"/>
  <c r="H39" i="20"/>
  <c r="G39" i="20"/>
  <c r="F39" i="20"/>
  <c r="E39" i="20"/>
  <c r="D39" i="20"/>
  <c r="I38" i="20"/>
  <c r="H38" i="20"/>
  <c r="G38" i="20"/>
  <c r="F38" i="20"/>
  <c r="E38" i="20"/>
  <c r="D38" i="20"/>
  <c r="I37" i="20"/>
  <c r="H37" i="20"/>
  <c r="G37" i="20"/>
  <c r="F37" i="20"/>
  <c r="E37" i="20"/>
  <c r="D37" i="20"/>
  <c r="I36" i="20"/>
  <c r="H36" i="20"/>
  <c r="G36" i="20"/>
  <c r="F36" i="20"/>
  <c r="E36" i="20"/>
  <c r="D36" i="20"/>
  <c r="I35" i="20"/>
  <c r="H35" i="20"/>
  <c r="G35" i="20"/>
  <c r="F35" i="20"/>
  <c r="E35" i="20"/>
  <c r="D35" i="20"/>
  <c r="I34" i="20"/>
  <c r="H34" i="20"/>
  <c r="G34" i="20"/>
  <c r="F34" i="20"/>
  <c r="E34" i="20"/>
  <c r="D34" i="20"/>
  <c r="I33" i="20"/>
  <c r="H33" i="20"/>
  <c r="G33" i="20"/>
  <c r="F33" i="20"/>
  <c r="E33" i="20"/>
  <c r="D33" i="20"/>
  <c r="I32" i="20"/>
  <c r="H32" i="20"/>
  <c r="G32" i="20"/>
  <c r="F32" i="20"/>
  <c r="E32" i="20"/>
  <c r="D32" i="20"/>
  <c r="I31" i="20"/>
  <c r="H31" i="20"/>
  <c r="G31" i="20"/>
  <c r="F31" i="20"/>
  <c r="E31" i="20"/>
  <c r="D31" i="20"/>
  <c r="I30" i="20"/>
  <c r="H30" i="20"/>
  <c r="G30" i="20"/>
  <c r="F30" i="20"/>
  <c r="E30" i="20"/>
  <c r="D30" i="20"/>
  <c r="I29" i="20"/>
  <c r="H29" i="20"/>
  <c r="G29" i="20"/>
  <c r="F29" i="20"/>
  <c r="E29" i="20"/>
  <c r="D29" i="20"/>
  <c r="I28" i="20"/>
  <c r="H28" i="20"/>
  <c r="G28" i="20"/>
  <c r="F28" i="20"/>
  <c r="E28" i="20"/>
  <c r="D28" i="20"/>
  <c r="I27" i="20"/>
  <c r="H27" i="20"/>
  <c r="G27" i="20"/>
  <c r="F27" i="20"/>
  <c r="E27" i="20"/>
  <c r="D27" i="20"/>
  <c r="I26" i="20"/>
  <c r="H26" i="20"/>
  <c r="G26" i="20"/>
  <c r="F26" i="20"/>
  <c r="E26" i="20"/>
  <c r="D26" i="20"/>
  <c r="I25" i="20"/>
  <c r="H25" i="20"/>
  <c r="G25" i="20"/>
  <c r="F25" i="20"/>
  <c r="E25" i="20"/>
  <c r="D25" i="20"/>
  <c r="I24" i="20"/>
  <c r="H24" i="20"/>
  <c r="G24" i="20"/>
  <c r="F24" i="20"/>
  <c r="E24" i="20"/>
  <c r="D24" i="20"/>
  <c r="I23" i="20"/>
  <c r="H23" i="20"/>
  <c r="G23" i="20"/>
  <c r="F23" i="20"/>
  <c r="E23" i="20"/>
  <c r="D23" i="20"/>
  <c r="I22" i="20"/>
  <c r="H22" i="20"/>
  <c r="G22" i="20"/>
  <c r="F22" i="20"/>
  <c r="E22" i="20"/>
  <c r="D22" i="20"/>
  <c r="I21" i="20"/>
  <c r="H21" i="20"/>
  <c r="G21" i="20"/>
  <c r="F21" i="20"/>
  <c r="E21" i="20"/>
  <c r="D21" i="20"/>
  <c r="I20" i="20"/>
  <c r="H20" i="20"/>
  <c r="G20" i="20"/>
  <c r="F20" i="20"/>
  <c r="E20" i="20"/>
  <c r="D20" i="20"/>
  <c r="I19" i="20"/>
  <c r="H19" i="20"/>
  <c r="G19" i="20"/>
  <c r="F19" i="20"/>
  <c r="E19" i="20"/>
  <c r="D19" i="20"/>
  <c r="I18" i="20"/>
  <c r="H18" i="20"/>
  <c r="G18" i="20"/>
  <c r="F18" i="20"/>
  <c r="E18" i="20"/>
  <c r="D18" i="20"/>
  <c r="I17" i="20"/>
  <c r="H17" i="20"/>
  <c r="G17" i="20"/>
  <c r="F17" i="20"/>
  <c r="E17" i="20"/>
  <c r="D17" i="20"/>
  <c r="I16" i="20"/>
  <c r="H16" i="20"/>
  <c r="G16" i="20"/>
  <c r="F16" i="20"/>
  <c r="E16" i="20"/>
  <c r="D16" i="20"/>
  <c r="I15" i="20"/>
  <c r="H15" i="20"/>
  <c r="G15" i="20"/>
  <c r="F15" i="20"/>
  <c r="E15" i="20"/>
  <c r="D15" i="20"/>
  <c r="I14" i="20"/>
  <c r="H14" i="20"/>
  <c r="G14" i="20"/>
  <c r="F14" i="20"/>
  <c r="E14" i="20"/>
  <c r="D14" i="20"/>
  <c r="I13" i="20"/>
  <c r="H13" i="20"/>
  <c r="G13" i="20"/>
  <c r="F13" i="20"/>
  <c r="E13" i="20"/>
  <c r="D13" i="20"/>
  <c r="I12" i="20"/>
  <c r="H12" i="20"/>
  <c r="G12" i="20"/>
  <c r="F12" i="20"/>
  <c r="E12" i="20"/>
  <c r="D12" i="20"/>
  <c r="I11" i="20"/>
  <c r="H11" i="20"/>
  <c r="G11" i="20"/>
  <c r="F11" i="20"/>
  <c r="E11" i="20"/>
  <c r="D11" i="20"/>
  <c r="I10" i="20"/>
  <c r="H10" i="20"/>
  <c r="G10" i="20"/>
  <c r="F10" i="20"/>
  <c r="E10" i="20"/>
  <c r="D10" i="20"/>
  <c r="I42" i="19"/>
  <c r="H42" i="19"/>
  <c r="G42" i="19"/>
  <c r="F42" i="19"/>
  <c r="E42" i="19"/>
  <c r="D42" i="19"/>
  <c r="I41" i="19"/>
  <c r="H41" i="19"/>
  <c r="G41" i="19"/>
  <c r="F41" i="19"/>
  <c r="E41" i="19"/>
  <c r="D41" i="19"/>
  <c r="I40" i="19"/>
  <c r="H40" i="19"/>
  <c r="G40" i="19"/>
  <c r="F40" i="19"/>
  <c r="E40" i="19"/>
  <c r="D40" i="19"/>
  <c r="I39" i="19"/>
  <c r="H39" i="19"/>
  <c r="G39" i="19"/>
  <c r="F39" i="19"/>
  <c r="E39" i="19"/>
  <c r="D39" i="19"/>
  <c r="I38" i="19"/>
  <c r="H38" i="19"/>
  <c r="G38" i="19"/>
  <c r="F38" i="19"/>
  <c r="E38" i="19"/>
  <c r="D38" i="19"/>
  <c r="I37" i="19"/>
  <c r="H37" i="19"/>
  <c r="G37" i="19"/>
  <c r="F37" i="19"/>
  <c r="E37" i="19"/>
  <c r="D37" i="19"/>
  <c r="I36" i="19"/>
  <c r="H36" i="19"/>
  <c r="G36" i="19"/>
  <c r="F36" i="19"/>
  <c r="E36" i="19"/>
  <c r="D36" i="19"/>
  <c r="I35" i="19"/>
  <c r="H35" i="19"/>
  <c r="G35" i="19"/>
  <c r="F35" i="19"/>
  <c r="E35" i="19"/>
  <c r="D35" i="19"/>
  <c r="I34" i="19"/>
  <c r="H34" i="19"/>
  <c r="G34" i="19"/>
  <c r="F34" i="19"/>
  <c r="E34" i="19"/>
  <c r="D34" i="19"/>
  <c r="I33" i="19"/>
  <c r="H33" i="19"/>
  <c r="G33" i="19"/>
  <c r="F33" i="19"/>
  <c r="E33" i="19"/>
  <c r="D33" i="19"/>
  <c r="I32" i="19"/>
  <c r="H32" i="19"/>
  <c r="G32" i="19"/>
  <c r="F32" i="19"/>
  <c r="E32" i="19"/>
  <c r="D32" i="19"/>
  <c r="I31" i="19"/>
  <c r="H31" i="19"/>
  <c r="G31" i="19"/>
  <c r="F31" i="19"/>
  <c r="E31" i="19"/>
  <c r="D31" i="19"/>
  <c r="I30" i="19"/>
  <c r="H30" i="19"/>
  <c r="G30" i="19"/>
  <c r="F30" i="19"/>
  <c r="E30" i="19"/>
  <c r="D30" i="19"/>
  <c r="I29" i="19"/>
  <c r="H29" i="19"/>
  <c r="G29" i="19"/>
  <c r="F29" i="19"/>
  <c r="E29" i="19"/>
  <c r="D29" i="19"/>
  <c r="I28" i="19"/>
  <c r="H28" i="19"/>
  <c r="G28" i="19"/>
  <c r="F28" i="19"/>
  <c r="E28" i="19"/>
  <c r="D28" i="19"/>
  <c r="I27" i="19"/>
  <c r="H27" i="19"/>
  <c r="G27" i="19"/>
  <c r="F27" i="19"/>
  <c r="E27" i="19"/>
  <c r="D27" i="19"/>
  <c r="I26" i="19"/>
  <c r="H26" i="19"/>
  <c r="G26" i="19"/>
  <c r="F26" i="19"/>
  <c r="E26" i="19"/>
  <c r="D26" i="19"/>
  <c r="I25" i="19"/>
  <c r="H25" i="19"/>
  <c r="G25" i="19"/>
  <c r="F25" i="19"/>
  <c r="E25" i="19"/>
  <c r="D25" i="19"/>
  <c r="I24" i="19"/>
  <c r="H24" i="19"/>
  <c r="G24" i="19"/>
  <c r="F24" i="19"/>
  <c r="E24" i="19"/>
  <c r="D24" i="19"/>
  <c r="I23" i="19"/>
  <c r="H23" i="19"/>
  <c r="G23" i="19"/>
  <c r="F23" i="19"/>
  <c r="E23" i="19"/>
  <c r="D23" i="19"/>
  <c r="I22" i="19"/>
  <c r="H22" i="19"/>
  <c r="G22" i="19"/>
  <c r="F22" i="19"/>
  <c r="E22" i="19"/>
  <c r="D22" i="19"/>
  <c r="I21" i="19"/>
  <c r="H21" i="19"/>
  <c r="G21" i="19"/>
  <c r="F21" i="19"/>
  <c r="E21" i="19"/>
  <c r="D21" i="19"/>
  <c r="I20" i="19"/>
  <c r="H20" i="19"/>
  <c r="G20" i="19"/>
  <c r="F20" i="19"/>
  <c r="E20" i="19"/>
  <c r="D20" i="19"/>
  <c r="I19" i="19"/>
  <c r="H19" i="19"/>
  <c r="G19" i="19"/>
  <c r="F19" i="19"/>
  <c r="E19" i="19"/>
  <c r="D19" i="19"/>
  <c r="I18" i="19"/>
  <c r="H18" i="19"/>
  <c r="G18" i="19"/>
  <c r="F18" i="19"/>
  <c r="E18" i="19"/>
  <c r="D18" i="19"/>
  <c r="I17" i="19"/>
  <c r="H17" i="19"/>
  <c r="G17" i="19"/>
  <c r="F17" i="19"/>
  <c r="E17" i="19"/>
  <c r="D17" i="19"/>
  <c r="I16" i="19"/>
  <c r="H16" i="19"/>
  <c r="G16" i="19"/>
  <c r="F16" i="19"/>
  <c r="E16" i="19"/>
  <c r="D16" i="19"/>
  <c r="I15" i="19"/>
  <c r="H15" i="19"/>
  <c r="G15" i="19"/>
  <c r="F15" i="19"/>
  <c r="E15" i="19"/>
  <c r="D15" i="19"/>
  <c r="I14" i="19"/>
  <c r="H14" i="19"/>
  <c r="G14" i="19"/>
  <c r="F14" i="19"/>
  <c r="E14" i="19"/>
  <c r="D14" i="19"/>
  <c r="I13" i="19"/>
  <c r="H13" i="19"/>
  <c r="G13" i="19"/>
  <c r="F13" i="19"/>
  <c r="E13" i="19"/>
  <c r="D13" i="19"/>
  <c r="I12" i="19"/>
  <c r="H12" i="19"/>
  <c r="G12" i="19"/>
  <c r="F12" i="19"/>
  <c r="E12" i="19"/>
  <c r="D12" i="19"/>
  <c r="I11" i="19"/>
  <c r="H11" i="19"/>
  <c r="G11" i="19"/>
  <c r="F11" i="19"/>
  <c r="E11" i="19"/>
  <c r="D11" i="19"/>
  <c r="I10" i="19"/>
  <c r="H10" i="19"/>
  <c r="G10" i="19"/>
  <c r="F10" i="19"/>
  <c r="E10" i="19"/>
  <c r="D10" i="19"/>
  <c r="I42" i="18"/>
  <c r="H42" i="18"/>
  <c r="G42" i="18"/>
  <c r="F42" i="18"/>
  <c r="E42" i="18"/>
  <c r="D42" i="18"/>
  <c r="I41" i="18"/>
  <c r="H41" i="18"/>
  <c r="G41" i="18"/>
  <c r="F41" i="18"/>
  <c r="E41" i="18"/>
  <c r="D41" i="18"/>
  <c r="I40" i="18"/>
  <c r="H40" i="18"/>
  <c r="G40" i="18"/>
  <c r="F40" i="18"/>
  <c r="E40" i="18"/>
  <c r="D40" i="18"/>
  <c r="I39" i="18"/>
  <c r="H39" i="18"/>
  <c r="G39" i="18"/>
  <c r="F39" i="18"/>
  <c r="E39" i="18"/>
  <c r="D39" i="18"/>
  <c r="I38" i="18"/>
  <c r="H38" i="18"/>
  <c r="G38" i="18"/>
  <c r="F38" i="18"/>
  <c r="E38" i="18"/>
  <c r="D38" i="18"/>
  <c r="I37" i="18"/>
  <c r="H37" i="18"/>
  <c r="G37" i="18"/>
  <c r="F37" i="18"/>
  <c r="E37" i="18"/>
  <c r="D37" i="18"/>
  <c r="I36" i="18"/>
  <c r="H36" i="18"/>
  <c r="G36" i="18"/>
  <c r="F36" i="18"/>
  <c r="E36" i="18"/>
  <c r="D36" i="18"/>
  <c r="I35" i="18"/>
  <c r="H35" i="18"/>
  <c r="G35" i="18"/>
  <c r="F35" i="18"/>
  <c r="E35" i="18"/>
  <c r="D35" i="18"/>
  <c r="I34" i="18"/>
  <c r="H34" i="18"/>
  <c r="G34" i="18"/>
  <c r="F34" i="18"/>
  <c r="E34" i="18"/>
  <c r="D34" i="18"/>
  <c r="I33" i="18"/>
  <c r="H33" i="18"/>
  <c r="G33" i="18"/>
  <c r="F33" i="18"/>
  <c r="E33" i="18"/>
  <c r="D33" i="18"/>
  <c r="I32" i="18"/>
  <c r="H32" i="18"/>
  <c r="G32" i="18"/>
  <c r="F32" i="18"/>
  <c r="E32" i="18"/>
  <c r="D32" i="18"/>
  <c r="I31" i="18"/>
  <c r="H31" i="18"/>
  <c r="G31" i="18"/>
  <c r="F31" i="18"/>
  <c r="E31" i="18"/>
  <c r="D31" i="18"/>
  <c r="I30" i="18"/>
  <c r="H30" i="18"/>
  <c r="G30" i="18"/>
  <c r="F30" i="18"/>
  <c r="E30" i="18"/>
  <c r="D30" i="18"/>
  <c r="I29" i="18"/>
  <c r="H29" i="18"/>
  <c r="G29" i="18"/>
  <c r="F29" i="18"/>
  <c r="E29" i="18"/>
  <c r="D29" i="18"/>
  <c r="I28" i="18"/>
  <c r="H28" i="18"/>
  <c r="G28" i="18"/>
  <c r="F28" i="18"/>
  <c r="E28" i="18"/>
  <c r="D28" i="18"/>
  <c r="I27" i="18"/>
  <c r="H27" i="18"/>
  <c r="G27" i="18"/>
  <c r="F27" i="18"/>
  <c r="E27" i="18"/>
  <c r="D27" i="18"/>
  <c r="I26" i="18"/>
  <c r="H26" i="18"/>
  <c r="G26" i="18"/>
  <c r="F26" i="18"/>
  <c r="E26" i="18"/>
  <c r="D26" i="18"/>
  <c r="I25" i="18"/>
  <c r="H25" i="18"/>
  <c r="G25" i="18"/>
  <c r="F25" i="18"/>
  <c r="E25" i="18"/>
  <c r="D25" i="18"/>
  <c r="I24" i="18"/>
  <c r="H24" i="18"/>
  <c r="G24" i="18"/>
  <c r="F24" i="18"/>
  <c r="E24" i="18"/>
  <c r="D24" i="18"/>
  <c r="I23" i="18"/>
  <c r="H23" i="18"/>
  <c r="G23" i="18"/>
  <c r="F23" i="18"/>
  <c r="E23" i="18"/>
  <c r="D23" i="18"/>
  <c r="I22" i="18"/>
  <c r="H22" i="18"/>
  <c r="G22" i="18"/>
  <c r="F22" i="18"/>
  <c r="E22" i="18"/>
  <c r="D22" i="18"/>
  <c r="I21" i="18"/>
  <c r="H21" i="18"/>
  <c r="G21" i="18"/>
  <c r="F21" i="18"/>
  <c r="E21" i="18"/>
  <c r="D21" i="18"/>
  <c r="I20" i="18"/>
  <c r="H20" i="18"/>
  <c r="G20" i="18"/>
  <c r="F20" i="18"/>
  <c r="E20" i="18"/>
  <c r="D20" i="18"/>
  <c r="I19" i="18"/>
  <c r="H19" i="18"/>
  <c r="G19" i="18"/>
  <c r="F19" i="18"/>
  <c r="E19" i="18"/>
  <c r="D19" i="18"/>
  <c r="I18" i="18"/>
  <c r="H18" i="18"/>
  <c r="G18" i="18"/>
  <c r="F18" i="18"/>
  <c r="E18" i="18"/>
  <c r="D18" i="18"/>
  <c r="I17" i="18"/>
  <c r="H17" i="18"/>
  <c r="G17" i="18"/>
  <c r="F17" i="18"/>
  <c r="E17" i="18"/>
  <c r="D17" i="18"/>
  <c r="I16" i="18"/>
  <c r="H16" i="18"/>
  <c r="G16" i="18"/>
  <c r="F16" i="18"/>
  <c r="E16" i="18"/>
  <c r="D16" i="18"/>
  <c r="I15" i="18"/>
  <c r="H15" i="18"/>
  <c r="G15" i="18"/>
  <c r="F15" i="18"/>
  <c r="E15" i="18"/>
  <c r="D15" i="18"/>
  <c r="I14" i="18"/>
  <c r="H14" i="18"/>
  <c r="G14" i="18"/>
  <c r="F14" i="18"/>
  <c r="E14" i="18"/>
  <c r="D14" i="18"/>
  <c r="I13" i="18"/>
  <c r="H13" i="18"/>
  <c r="G13" i="18"/>
  <c r="F13" i="18"/>
  <c r="E13" i="18"/>
  <c r="D13" i="18"/>
  <c r="I12" i="18"/>
  <c r="H12" i="18"/>
  <c r="G12" i="18"/>
  <c r="F12" i="18"/>
  <c r="E12" i="18"/>
  <c r="D12" i="18"/>
  <c r="I11" i="18"/>
  <c r="H11" i="18"/>
  <c r="G11" i="18"/>
  <c r="F11" i="18"/>
  <c r="E11" i="18"/>
  <c r="D11" i="18"/>
  <c r="I10" i="18"/>
  <c r="H10" i="18"/>
  <c r="G10" i="18"/>
  <c r="F10" i="18"/>
  <c r="E10" i="18"/>
  <c r="D10" i="18"/>
  <c r="I42" i="17"/>
  <c r="H42" i="17"/>
  <c r="G42" i="17"/>
  <c r="F42" i="17"/>
  <c r="E42" i="17"/>
  <c r="D42" i="17"/>
  <c r="I41" i="17"/>
  <c r="H41" i="17"/>
  <c r="G41" i="17"/>
  <c r="F41" i="17"/>
  <c r="E41" i="17"/>
  <c r="D41" i="17"/>
  <c r="I40" i="17"/>
  <c r="H40" i="17"/>
  <c r="G40" i="17"/>
  <c r="F40" i="17"/>
  <c r="E40" i="17"/>
  <c r="D40" i="17"/>
  <c r="I39" i="17"/>
  <c r="H39" i="17"/>
  <c r="G39" i="17"/>
  <c r="F39" i="17"/>
  <c r="E39" i="17"/>
  <c r="D39" i="17"/>
  <c r="I38" i="17"/>
  <c r="H38" i="17"/>
  <c r="G38" i="17"/>
  <c r="F38" i="17"/>
  <c r="E38" i="17"/>
  <c r="D38" i="17"/>
  <c r="I37" i="17"/>
  <c r="H37" i="17"/>
  <c r="G37" i="17"/>
  <c r="F37" i="17"/>
  <c r="E37" i="17"/>
  <c r="D37" i="17"/>
  <c r="I36" i="17"/>
  <c r="H36" i="17"/>
  <c r="G36" i="17"/>
  <c r="F36" i="17"/>
  <c r="E36" i="17"/>
  <c r="D36" i="17"/>
  <c r="I35" i="17"/>
  <c r="H35" i="17"/>
  <c r="G35" i="17"/>
  <c r="F35" i="17"/>
  <c r="E35" i="17"/>
  <c r="D35" i="17"/>
  <c r="I34" i="17"/>
  <c r="H34" i="17"/>
  <c r="G34" i="17"/>
  <c r="F34" i="17"/>
  <c r="E34" i="17"/>
  <c r="D34" i="17"/>
  <c r="I33" i="17"/>
  <c r="H33" i="17"/>
  <c r="G33" i="17"/>
  <c r="F33" i="17"/>
  <c r="E33" i="17"/>
  <c r="D33" i="17"/>
  <c r="I32" i="17"/>
  <c r="H32" i="17"/>
  <c r="G32" i="17"/>
  <c r="F32" i="17"/>
  <c r="E32" i="17"/>
  <c r="D32" i="17"/>
  <c r="I31" i="17"/>
  <c r="H31" i="17"/>
  <c r="G31" i="17"/>
  <c r="F31" i="17"/>
  <c r="E31" i="17"/>
  <c r="D31" i="17"/>
  <c r="I30" i="17"/>
  <c r="H30" i="17"/>
  <c r="G30" i="17"/>
  <c r="F30" i="17"/>
  <c r="E30" i="17"/>
  <c r="D30" i="17"/>
  <c r="I29" i="17"/>
  <c r="H29" i="17"/>
  <c r="G29" i="17"/>
  <c r="F29" i="17"/>
  <c r="E29" i="17"/>
  <c r="D29" i="17"/>
  <c r="I28" i="17"/>
  <c r="H28" i="17"/>
  <c r="G28" i="17"/>
  <c r="F28" i="17"/>
  <c r="E28" i="17"/>
  <c r="D28" i="17"/>
  <c r="I27" i="17"/>
  <c r="H27" i="17"/>
  <c r="G27" i="17"/>
  <c r="F27" i="17"/>
  <c r="E27" i="17"/>
  <c r="D27" i="17"/>
  <c r="I26" i="17"/>
  <c r="H26" i="17"/>
  <c r="G26" i="17"/>
  <c r="F26" i="17"/>
  <c r="E26" i="17"/>
  <c r="D26" i="17"/>
  <c r="I25" i="17"/>
  <c r="H25" i="17"/>
  <c r="G25" i="17"/>
  <c r="F25" i="17"/>
  <c r="E25" i="17"/>
  <c r="D25" i="17"/>
  <c r="I24" i="17"/>
  <c r="H24" i="17"/>
  <c r="G24" i="17"/>
  <c r="F24" i="17"/>
  <c r="E24" i="17"/>
  <c r="D24" i="17"/>
  <c r="I23" i="17"/>
  <c r="H23" i="17"/>
  <c r="G23" i="17"/>
  <c r="F23" i="17"/>
  <c r="E23" i="17"/>
  <c r="D23" i="17"/>
  <c r="I22" i="17"/>
  <c r="H22" i="17"/>
  <c r="G22" i="17"/>
  <c r="F22" i="17"/>
  <c r="E22" i="17"/>
  <c r="D22" i="17"/>
  <c r="I21" i="17"/>
  <c r="H21" i="17"/>
  <c r="G21" i="17"/>
  <c r="F21" i="17"/>
  <c r="E21" i="17"/>
  <c r="D21" i="17"/>
  <c r="I20" i="17"/>
  <c r="H20" i="17"/>
  <c r="G20" i="17"/>
  <c r="F20" i="17"/>
  <c r="E20" i="17"/>
  <c r="D20" i="17"/>
  <c r="I19" i="17"/>
  <c r="H19" i="17"/>
  <c r="G19" i="17"/>
  <c r="F19" i="17"/>
  <c r="E19" i="17"/>
  <c r="D19" i="17"/>
  <c r="I18" i="17"/>
  <c r="H18" i="17"/>
  <c r="G18" i="17"/>
  <c r="F18" i="17"/>
  <c r="E18" i="17"/>
  <c r="D18" i="17"/>
  <c r="I17" i="17"/>
  <c r="H17" i="17"/>
  <c r="G17" i="17"/>
  <c r="F17" i="17"/>
  <c r="E17" i="17"/>
  <c r="D17" i="17"/>
  <c r="I16" i="17"/>
  <c r="H16" i="17"/>
  <c r="G16" i="17"/>
  <c r="F16" i="17"/>
  <c r="E16" i="17"/>
  <c r="D16" i="17"/>
  <c r="I15" i="17"/>
  <c r="H15" i="17"/>
  <c r="G15" i="17"/>
  <c r="F15" i="17"/>
  <c r="E15" i="17"/>
  <c r="D15" i="17"/>
  <c r="I14" i="17"/>
  <c r="H14" i="17"/>
  <c r="G14" i="17"/>
  <c r="F14" i="17"/>
  <c r="E14" i="17"/>
  <c r="D14" i="17"/>
  <c r="I13" i="17"/>
  <c r="H13" i="17"/>
  <c r="G13" i="17"/>
  <c r="F13" i="17"/>
  <c r="E13" i="17"/>
  <c r="D13" i="17"/>
  <c r="I12" i="17"/>
  <c r="H12" i="17"/>
  <c r="G12" i="17"/>
  <c r="F12" i="17"/>
  <c r="E12" i="17"/>
  <c r="D12" i="17"/>
  <c r="I11" i="17"/>
  <c r="H11" i="17"/>
  <c r="G11" i="17"/>
  <c r="F11" i="17"/>
  <c r="E11" i="17"/>
  <c r="D11" i="17"/>
  <c r="I10" i="17"/>
  <c r="H10" i="17"/>
  <c r="G10" i="17"/>
  <c r="F10" i="17"/>
  <c r="E10" i="17"/>
  <c r="D10" i="17"/>
  <c r="I42" i="16"/>
  <c r="H42" i="16"/>
  <c r="G42" i="16"/>
  <c r="F42" i="16"/>
  <c r="E42" i="16"/>
  <c r="D42" i="16"/>
  <c r="I41" i="16"/>
  <c r="H41" i="16"/>
  <c r="G41" i="16"/>
  <c r="F41" i="16"/>
  <c r="E41" i="16"/>
  <c r="D41" i="16"/>
  <c r="I40" i="16"/>
  <c r="H40" i="16"/>
  <c r="G40" i="16"/>
  <c r="F40" i="16"/>
  <c r="E40" i="16"/>
  <c r="D40" i="16"/>
  <c r="I39" i="16"/>
  <c r="H39" i="16"/>
  <c r="G39" i="16"/>
  <c r="F39" i="16"/>
  <c r="E39" i="16"/>
  <c r="D39" i="16"/>
  <c r="I38" i="16"/>
  <c r="H38" i="16"/>
  <c r="G38" i="16"/>
  <c r="F38" i="16"/>
  <c r="E38" i="16"/>
  <c r="D38" i="16"/>
  <c r="I37" i="16"/>
  <c r="H37" i="16"/>
  <c r="G37" i="16"/>
  <c r="F37" i="16"/>
  <c r="E37" i="16"/>
  <c r="D37" i="16"/>
  <c r="I36" i="16"/>
  <c r="H36" i="16"/>
  <c r="G36" i="16"/>
  <c r="F36" i="16"/>
  <c r="E36" i="16"/>
  <c r="D36" i="16"/>
  <c r="I35" i="16"/>
  <c r="H35" i="16"/>
  <c r="G35" i="16"/>
  <c r="F35" i="16"/>
  <c r="E35" i="16"/>
  <c r="D35" i="16"/>
  <c r="I34" i="16"/>
  <c r="H34" i="16"/>
  <c r="G34" i="16"/>
  <c r="F34" i="16"/>
  <c r="E34" i="16"/>
  <c r="D34" i="16"/>
  <c r="I33" i="16"/>
  <c r="H33" i="16"/>
  <c r="G33" i="16"/>
  <c r="F33" i="16"/>
  <c r="E33" i="16"/>
  <c r="D33" i="16"/>
  <c r="I32" i="16"/>
  <c r="H32" i="16"/>
  <c r="G32" i="16"/>
  <c r="F32" i="16"/>
  <c r="E32" i="16"/>
  <c r="D32" i="16"/>
  <c r="I31" i="16"/>
  <c r="H31" i="16"/>
  <c r="G31" i="16"/>
  <c r="F31" i="16"/>
  <c r="E31" i="16"/>
  <c r="D31" i="16"/>
  <c r="I30" i="16"/>
  <c r="H30" i="16"/>
  <c r="G30" i="16"/>
  <c r="F30" i="16"/>
  <c r="E30" i="16"/>
  <c r="D30" i="16"/>
  <c r="I29" i="16"/>
  <c r="H29" i="16"/>
  <c r="G29" i="16"/>
  <c r="F29" i="16"/>
  <c r="E29" i="16"/>
  <c r="D29" i="16"/>
  <c r="I28" i="16"/>
  <c r="H28" i="16"/>
  <c r="G28" i="16"/>
  <c r="F28" i="16"/>
  <c r="E28" i="16"/>
  <c r="D28" i="16"/>
  <c r="I27" i="16"/>
  <c r="H27" i="16"/>
  <c r="G27" i="16"/>
  <c r="F27" i="16"/>
  <c r="E27" i="16"/>
  <c r="D27" i="16"/>
  <c r="I26" i="16"/>
  <c r="H26" i="16"/>
  <c r="G26" i="16"/>
  <c r="F26" i="16"/>
  <c r="E26" i="16"/>
  <c r="D26" i="16"/>
  <c r="I25" i="16"/>
  <c r="H25" i="16"/>
  <c r="G25" i="16"/>
  <c r="F25" i="16"/>
  <c r="E25" i="16"/>
  <c r="D25" i="16"/>
  <c r="I24" i="16"/>
  <c r="H24" i="16"/>
  <c r="G24" i="16"/>
  <c r="F24" i="16"/>
  <c r="E24" i="16"/>
  <c r="D24" i="16"/>
  <c r="I23" i="16"/>
  <c r="H23" i="16"/>
  <c r="G23" i="16"/>
  <c r="F23" i="16"/>
  <c r="E23" i="16"/>
  <c r="D23" i="16"/>
  <c r="I22" i="16"/>
  <c r="H22" i="16"/>
  <c r="G22" i="16"/>
  <c r="F22" i="16"/>
  <c r="E22" i="16"/>
  <c r="D22" i="16"/>
  <c r="I21" i="16"/>
  <c r="H21" i="16"/>
  <c r="G21" i="16"/>
  <c r="F21" i="16"/>
  <c r="E21" i="16"/>
  <c r="D21" i="16"/>
  <c r="I20" i="16"/>
  <c r="H20" i="16"/>
  <c r="G20" i="16"/>
  <c r="F20" i="16"/>
  <c r="E20" i="16"/>
  <c r="D20" i="16"/>
  <c r="I19" i="16"/>
  <c r="H19" i="16"/>
  <c r="G19" i="16"/>
  <c r="F19" i="16"/>
  <c r="E19" i="16"/>
  <c r="D19" i="16"/>
  <c r="I18" i="16"/>
  <c r="H18" i="16"/>
  <c r="G18" i="16"/>
  <c r="F18" i="16"/>
  <c r="E18" i="16"/>
  <c r="D18" i="16"/>
  <c r="I17" i="16"/>
  <c r="H17" i="16"/>
  <c r="G17" i="16"/>
  <c r="F17" i="16"/>
  <c r="E17" i="16"/>
  <c r="D17" i="16"/>
  <c r="I16" i="16"/>
  <c r="H16" i="16"/>
  <c r="G16" i="16"/>
  <c r="F16" i="16"/>
  <c r="E16" i="16"/>
  <c r="D16" i="16"/>
  <c r="I15" i="16"/>
  <c r="H15" i="16"/>
  <c r="G15" i="16"/>
  <c r="F15" i="16"/>
  <c r="E15" i="16"/>
  <c r="D15" i="16"/>
  <c r="I14" i="16"/>
  <c r="H14" i="16"/>
  <c r="G14" i="16"/>
  <c r="F14" i="16"/>
  <c r="E14" i="16"/>
  <c r="D14" i="16"/>
  <c r="I13" i="16"/>
  <c r="H13" i="16"/>
  <c r="G13" i="16"/>
  <c r="F13" i="16"/>
  <c r="E13" i="16"/>
  <c r="D13" i="16"/>
  <c r="I12" i="16"/>
  <c r="H12" i="16"/>
  <c r="G12" i="16"/>
  <c r="F12" i="16"/>
  <c r="E12" i="16"/>
  <c r="D12" i="16"/>
  <c r="I11" i="16"/>
  <c r="H11" i="16"/>
  <c r="G11" i="16"/>
  <c r="F11" i="16"/>
  <c r="E11" i="16"/>
  <c r="D11" i="16"/>
  <c r="I10" i="16"/>
  <c r="H10" i="16"/>
  <c r="G10" i="16"/>
  <c r="F10" i="16"/>
  <c r="E10" i="16"/>
  <c r="D10" i="16"/>
  <c r="I42" i="15"/>
  <c r="H42" i="15"/>
  <c r="G42" i="15"/>
  <c r="F42" i="15"/>
  <c r="E42" i="15"/>
  <c r="D42" i="15"/>
  <c r="I41" i="15"/>
  <c r="H41" i="15"/>
  <c r="G41" i="15"/>
  <c r="F41" i="15"/>
  <c r="E41" i="15"/>
  <c r="D41" i="15"/>
  <c r="I40" i="15"/>
  <c r="H40" i="15"/>
  <c r="G40" i="15"/>
  <c r="F40" i="15"/>
  <c r="E40" i="15"/>
  <c r="D40" i="15"/>
  <c r="I39" i="15"/>
  <c r="H39" i="15"/>
  <c r="G39" i="15"/>
  <c r="F39" i="15"/>
  <c r="E39" i="15"/>
  <c r="D39" i="15"/>
  <c r="I38" i="15"/>
  <c r="H38" i="15"/>
  <c r="G38" i="15"/>
  <c r="F38" i="15"/>
  <c r="E38" i="15"/>
  <c r="D38" i="15"/>
  <c r="I37" i="15"/>
  <c r="H37" i="15"/>
  <c r="G37" i="15"/>
  <c r="F37" i="15"/>
  <c r="E37" i="15"/>
  <c r="D37" i="15"/>
  <c r="I36" i="15"/>
  <c r="H36" i="15"/>
  <c r="G36" i="15"/>
  <c r="F36" i="15"/>
  <c r="E36" i="15"/>
  <c r="D36" i="15"/>
  <c r="I35" i="15"/>
  <c r="H35" i="15"/>
  <c r="G35" i="15"/>
  <c r="F35" i="15"/>
  <c r="E35" i="15"/>
  <c r="D35" i="15"/>
  <c r="I34" i="15"/>
  <c r="H34" i="15"/>
  <c r="G34" i="15"/>
  <c r="F34" i="15"/>
  <c r="E34" i="15"/>
  <c r="D34" i="15"/>
  <c r="I33" i="15"/>
  <c r="H33" i="15"/>
  <c r="G33" i="15"/>
  <c r="F33" i="15"/>
  <c r="E33" i="15"/>
  <c r="D33" i="15"/>
  <c r="I32" i="15"/>
  <c r="H32" i="15"/>
  <c r="G32" i="15"/>
  <c r="F32" i="15"/>
  <c r="E32" i="15"/>
  <c r="D32" i="15"/>
  <c r="I31" i="15"/>
  <c r="H31" i="15"/>
  <c r="G31" i="15"/>
  <c r="F31" i="15"/>
  <c r="E31" i="15"/>
  <c r="D31" i="15"/>
  <c r="I30" i="15"/>
  <c r="H30" i="15"/>
  <c r="G30" i="15"/>
  <c r="F30" i="15"/>
  <c r="E30" i="15"/>
  <c r="D30" i="15"/>
  <c r="I29" i="15"/>
  <c r="H29" i="15"/>
  <c r="G29" i="15"/>
  <c r="F29" i="15"/>
  <c r="E29" i="15"/>
  <c r="D29" i="15"/>
  <c r="I28" i="15"/>
  <c r="H28" i="15"/>
  <c r="G28" i="15"/>
  <c r="F28" i="15"/>
  <c r="E28" i="15"/>
  <c r="D28" i="15"/>
  <c r="I27" i="15"/>
  <c r="H27" i="15"/>
  <c r="G27" i="15"/>
  <c r="F27" i="15"/>
  <c r="E27" i="15"/>
  <c r="D27" i="15"/>
  <c r="I26" i="15"/>
  <c r="H26" i="15"/>
  <c r="G26" i="15"/>
  <c r="F26" i="15"/>
  <c r="E26" i="15"/>
  <c r="D26" i="15"/>
  <c r="I25" i="15"/>
  <c r="H25" i="15"/>
  <c r="G25" i="15"/>
  <c r="F25" i="15"/>
  <c r="E25" i="15"/>
  <c r="D25" i="15"/>
  <c r="I24" i="15"/>
  <c r="H24" i="15"/>
  <c r="G24" i="15"/>
  <c r="F24" i="15"/>
  <c r="E24" i="15"/>
  <c r="D24" i="15"/>
  <c r="I23" i="15"/>
  <c r="H23" i="15"/>
  <c r="G23" i="15"/>
  <c r="F23" i="15"/>
  <c r="E23" i="15"/>
  <c r="D23" i="15"/>
  <c r="I22" i="15"/>
  <c r="H22" i="15"/>
  <c r="G22" i="15"/>
  <c r="F22" i="15"/>
  <c r="E22" i="15"/>
  <c r="D22" i="15"/>
  <c r="I21" i="15"/>
  <c r="H21" i="15"/>
  <c r="G21" i="15"/>
  <c r="F21" i="15"/>
  <c r="E21" i="15"/>
  <c r="D21" i="15"/>
  <c r="I20" i="15"/>
  <c r="H20" i="15"/>
  <c r="G20" i="15"/>
  <c r="F20" i="15"/>
  <c r="E20" i="15"/>
  <c r="D20" i="15"/>
  <c r="I19" i="15"/>
  <c r="H19" i="15"/>
  <c r="G19" i="15"/>
  <c r="F19" i="15"/>
  <c r="E19" i="15"/>
  <c r="D19" i="15"/>
  <c r="I18" i="15"/>
  <c r="H18" i="15"/>
  <c r="G18" i="15"/>
  <c r="F18" i="15"/>
  <c r="E18" i="15"/>
  <c r="D18" i="15"/>
  <c r="I17" i="15"/>
  <c r="H17" i="15"/>
  <c r="G17" i="15"/>
  <c r="F17" i="15"/>
  <c r="E17" i="15"/>
  <c r="D17" i="15"/>
  <c r="I16" i="15"/>
  <c r="H16" i="15"/>
  <c r="G16" i="15"/>
  <c r="F16" i="15"/>
  <c r="E16" i="15"/>
  <c r="D16" i="15"/>
  <c r="I15" i="15"/>
  <c r="H15" i="15"/>
  <c r="G15" i="15"/>
  <c r="F15" i="15"/>
  <c r="E15" i="15"/>
  <c r="D15" i="15"/>
  <c r="I14" i="15"/>
  <c r="H14" i="15"/>
  <c r="G14" i="15"/>
  <c r="F14" i="15"/>
  <c r="E14" i="15"/>
  <c r="D14" i="15"/>
  <c r="I13" i="15"/>
  <c r="H13" i="15"/>
  <c r="G13" i="15"/>
  <c r="F13" i="15"/>
  <c r="E13" i="15"/>
  <c r="D13" i="15"/>
  <c r="I12" i="15"/>
  <c r="H12" i="15"/>
  <c r="G12" i="15"/>
  <c r="F12" i="15"/>
  <c r="E12" i="15"/>
  <c r="D12" i="15"/>
  <c r="I11" i="15"/>
  <c r="H11" i="15"/>
  <c r="G11" i="15"/>
  <c r="F11" i="15"/>
  <c r="E11" i="15"/>
  <c r="D11" i="15"/>
  <c r="I10" i="15"/>
  <c r="H10" i="15"/>
  <c r="G10" i="15"/>
  <c r="F10" i="15"/>
  <c r="E10" i="15"/>
  <c r="D10" i="15"/>
  <c r="I42" i="14"/>
  <c r="H42" i="14"/>
  <c r="G42" i="14"/>
  <c r="F42" i="14"/>
  <c r="E42" i="14"/>
  <c r="D42" i="14"/>
  <c r="I41" i="14"/>
  <c r="H41" i="14"/>
  <c r="G41" i="14"/>
  <c r="F41" i="14"/>
  <c r="E41" i="14"/>
  <c r="D41" i="14"/>
  <c r="I40" i="14"/>
  <c r="H40" i="14"/>
  <c r="G40" i="14"/>
  <c r="F40" i="14"/>
  <c r="E40" i="14"/>
  <c r="D40" i="14"/>
  <c r="I39" i="14"/>
  <c r="H39" i="14"/>
  <c r="G39" i="14"/>
  <c r="F39" i="14"/>
  <c r="E39" i="14"/>
  <c r="D39" i="14"/>
  <c r="I38" i="14"/>
  <c r="H38" i="14"/>
  <c r="G38" i="14"/>
  <c r="F38" i="14"/>
  <c r="E38" i="14"/>
  <c r="D38" i="14"/>
  <c r="I37" i="14"/>
  <c r="H37" i="14"/>
  <c r="G37" i="14"/>
  <c r="F37" i="14"/>
  <c r="E37" i="14"/>
  <c r="D37" i="14"/>
  <c r="I36" i="14"/>
  <c r="H36" i="14"/>
  <c r="G36" i="14"/>
  <c r="F36" i="14"/>
  <c r="E36" i="14"/>
  <c r="D36" i="14"/>
  <c r="I35" i="14"/>
  <c r="H35" i="14"/>
  <c r="G35" i="14"/>
  <c r="F35" i="14"/>
  <c r="E35" i="14"/>
  <c r="D35" i="14"/>
  <c r="I34" i="14"/>
  <c r="H34" i="14"/>
  <c r="G34" i="14"/>
  <c r="F34" i="14"/>
  <c r="E34" i="14"/>
  <c r="D34" i="14"/>
  <c r="I33" i="14"/>
  <c r="H33" i="14"/>
  <c r="G33" i="14"/>
  <c r="F33" i="14"/>
  <c r="E33" i="14"/>
  <c r="D33" i="14"/>
  <c r="I32" i="14"/>
  <c r="H32" i="14"/>
  <c r="G32" i="14"/>
  <c r="F32" i="14"/>
  <c r="E32" i="14"/>
  <c r="D32" i="14"/>
  <c r="I31" i="14"/>
  <c r="H31" i="14"/>
  <c r="G31" i="14"/>
  <c r="F31" i="14"/>
  <c r="E31" i="14"/>
  <c r="D31" i="14"/>
  <c r="I30" i="14"/>
  <c r="H30" i="14"/>
  <c r="G30" i="14"/>
  <c r="F30" i="14"/>
  <c r="E30" i="14"/>
  <c r="D30" i="14"/>
  <c r="I29" i="14"/>
  <c r="H29" i="14"/>
  <c r="G29" i="14"/>
  <c r="F29" i="14"/>
  <c r="E29" i="14"/>
  <c r="D29" i="14"/>
  <c r="I28" i="14"/>
  <c r="H28" i="14"/>
  <c r="G28" i="14"/>
  <c r="F28" i="14"/>
  <c r="E28" i="14"/>
  <c r="D28" i="14"/>
  <c r="I27" i="14"/>
  <c r="H27" i="14"/>
  <c r="G27" i="14"/>
  <c r="F27" i="14"/>
  <c r="E27" i="14"/>
  <c r="D27" i="14"/>
  <c r="I26" i="14"/>
  <c r="H26" i="14"/>
  <c r="G26" i="14"/>
  <c r="F26" i="14"/>
  <c r="E26" i="14"/>
  <c r="D26" i="14"/>
  <c r="I25" i="14"/>
  <c r="H25" i="14"/>
  <c r="G25" i="14"/>
  <c r="F25" i="14"/>
  <c r="E25" i="14"/>
  <c r="D25" i="14"/>
  <c r="I24" i="14"/>
  <c r="H24" i="14"/>
  <c r="G24" i="14"/>
  <c r="F24" i="14"/>
  <c r="E24" i="14"/>
  <c r="D24" i="14"/>
  <c r="I23" i="14"/>
  <c r="H23" i="14"/>
  <c r="G23" i="14"/>
  <c r="F23" i="14"/>
  <c r="E23" i="14"/>
  <c r="D23" i="14"/>
  <c r="I22" i="14"/>
  <c r="H22" i="14"/>
  <c r="G22" i="14"/>
  <c r="F22" i="14"/>
  <c r="E22" i="14"/>
  <c r="D22" i="14"/>
  <c r="I21" i="14"/>
  <c r="H21" i="14"/>
  <c r="G21" i="14"/>
  <c r="F21" i="14"/>
  <c r="E21" i="14"/>
  <c r="D21" i="14"/>
  <c r="I20" i="14"/>
  <c r="H20" i="14"/>
  <c r="G20" i="14"/>
  <c r="F20" i="14"/>
  <c r="E20" i="14"/>
  <c r="D20" i="14"/>
  <c r="I19" i="14"/>
  <c r="H19" i="14"/>
  <c r="G19" i="14"/>
  <c r="F19" i="14"/>
  <c r="E19" i="14"/>
  <c r="D19" i="14"/>
  <c r="I18" i="14"/>
  <c r="H18" i="14"/>
  <c r="G18" i="14"/>
  <c r="F18" i="14"/>
  <c r="E18" i="14"/>
  <c r="D18" i="14"/>
  <c r="I17" i="14"/>
  <c r="H17" i="14"/>
  <c r="G17" i="14"/>
  <c r="F17" i="14"/>
  <c r="E17" i="14"/>
  <c r="D17" i="14"/>
  <c r="I16" i="14"/>
  <c r="H16" i="14"/>
  <c r="G16" i="14"/>
  <c r="F16" i="14"/>
  <c r="E16" i="14"/>
  <c r="D16" i="14"/>
  <c r="I15" i="14"/>
  <c r="H15" i="14"/>
  <c r="G15" i="14"/>
  <c r="F15" i="14"/>
  <c r="E15" i="14"/>
  <c r="D15" i="14"/>
  <c r="I14" i="14"/>
  <c r="H14" i="14"/>
  <c r="G14" i="14"/>
  <c r="F14" i="14"/>
  <c r="E14" i="14"/>
  <c r="D14" i="14"/>
  <c r="I13" i="14"/>
  <c r="H13" i="14"/>
  <c r="G13" i="14"/>
  <c r="F13" i="14"/>
  <c r="E13" i="14"/>
  <c r="D13" i="14"/>
  <c r="I12" i="14"/>
  <c r="H12" i="14"/>
  <c r="G12" i="14"/>
  <c r="F12" i="14"/>
  <c r="E12" i="14"/>
  <c r="D12" i="14"/>
  <c r="I11" i="14"/>
  <c r="H11" i="14"/>
  <c r="G11" i="14"/>
  <c r="F11" i="14"/>
  <c r="E11" i="14"/>
  <c r="D11" i="14"/>
  <c r="I10" i="14"/>
  <c r="H10" i="14"/>
  <c r="G10" i="14"/>
  <c r="F10" i="14"/>
  <c r="E10" i="14"/>
  <c r="D10" i="14"/>
  <c r="I42" i="13"/>
  <c r="H42" i="13"/>
  <c r="G42" i="13"/>
  <c r="F42" i="13"/>
  <c r="E42" i="13"/>
  <c r="D42" i="13"/>
  <c r="I41" i="13"/>
  <c r="H41" i="13"/>
  <c r="G41" i="13"/>
  <c r="F41" i="13"/>
  <c r="E41" i="13"/>
  <c r="D41" i="13"/>
  <c r="I40" i="13"/>
  <c r="H40" i="13"/>
  <c r="G40" i="13"/>
  <c r="F40" i="13"/>
  <c r="E40" i="13"/>
  <c r="D40" i="13"/>
  <c r="I39" i="13"/>
  <c r="H39" i="13"/>
  <c r="G39" i="13"/>
  <c r="F39" i="13"/>
  <c r="E39" i="13"/>
  <c r="D39" i="13"/>
  <c r="I38" i="13"/>
  <c r="H38" i="13"/>
  <c r="G38" i="13"/>
  <c r="F38" i="13"/>
  <c r="E38" i="13"/>
  <c r="D38" i="13"/>
  <c r="I37" i="13"/>
  <c r="H37" i="13"/>
  <c r="G37" i="13"/>
  <c r="F37" i="13"/>
  <c r="E37" i="13"/>
  <c r="D37" i="13"/>
  <c r="I36" i="13"/>
  <c r="H36" i="13"/>
  <c r="G36" i="13"/>
  <c r="F36" i="13"/>
  <c r="E36" i="13"/>
  <c r="D36" i="13"/>
  <c r="I35" i="13"/>
  <c r="H35" i="13"/>
  <c r="G35" i="13"/>
  <c r="F35" i="13"/>
  <c r="E35" i="13"/>
  <c r="D35" i="13"/>
  <c r="I34" i="13"/>
  <c r="H34" i="13"/>
  <c r="G34" i="13"/>
  <c r="F34" i="13"/>
  <c r="E34" i="13"/>
  <c r="D34" i="13"/>
  <c r="I33" i="13"/>
  <c r="H33" i="13"/>
  <c r="G33" i="13"/>
  <c r="F33" i="13"/>
  <c r="E33" i="13"/>
  <c r="D33" i="13"/>
  <c r="I32" i="13"/>
  <c r="H32" i="13"/>
  <c r="G32" i="13"/>
  <c r="F32" i="13"/>
  <c r="E32" i="13"/>
  <c r="D32" i="13"/>
  <c r="I31" i="13"/>
  <c r="H31" i="13"/>
  <c r="G31" i="13"/>
  <c r="F31" i="13"/>
  <c r="E31" i="13"/>
  <c r="D31" i="13"/>
  <c r="I30" i="13"/>
  <c r="H30" i="13"/>
  <c r="G30" i="13"/>
  <c r="F30" i="13"/>
  <c r="E30" i="13"/>
  <c r="D30" i="13"/>
  <c r="I29" i="13"/>
  <c r="H29" i="13"/>
  <c r="G29" i="13"/>
  <c r="F29" i="13"/>
  <c r="E29" i="13"/>
  <c r="D29" i="13"/>
  <c r="I28" i="13"/>
  <c r="H28" i="13"/>
  <c r="G28" i="13"/>
  <c r="F28" i="13"/>
  <c r="E28" i="13"/>
  <c r="D28" i="13"/>
  <c r="I27" i="13"/>
  <c r="H27" i="13"/>
  <c r="G27" i="13"/>
  <c r="F27" i="13"/>
  <c r="E27" i="13"/>
  <c r="D27" i="13"/>
  <c r="I26" i="13"/>
  <c r="H26" i="13"/>
  <c r="G26" i="13"/>
  <c r="F26" i="13"/>
  <c r="E26" i="13"/>
  <c r="D26" i="13"/>
  <c r="I25" i="13"/>
  <c r="H25" i="13"/>
  <c r="G25" i="13"/>
  <c r="F25" i="13"/>
  <c r="E25" i="13"/>
  <c r="D25" i="13"/>
  <c r="I24" i="13"/>
  <c r="H24" i="13"/>
  <c r="G24" i="13"/>
  <c r="F24" i="13"/>
  <c r="E24" i="13"/>
  <c r="D24" i="13"/>
  <c r="I23" i="13"/>
  <c r="H23" i="13"/>
  <c r="G23" i="13"/>
  <c r="F23" i="13"/>
  <c r="E23" i="13"/>
  <c r="D23" i="13"/>
  <c r="I22" i="13"/>
  <c r="H22" i="13"/>
  <c r="G22" i="13"/>
  <c r="F22" i="13"/>
  <c r="E22" i="13"/>
  <c r="D22" i="13"/>
  <c r="I21" i="13"/>
  <c r="H21" i="13"/>
  <c r="G21" i="13"/>
  <c r="F21" i="13"/>
  <c r="E21" i="13"/>
  <c r="D21" i="13"/>
  <c r="I20" i="13"/>
  <c r="H20" i="13"/>
  <c r="G20" i="13"/>
  <c r="F20" i="13"/>
  <c r="E20" i="13"/>
  <c r="D20" i="13"/>
  <c r="I19" i="13"/>
  <c r="H19" i="13"/>
  <c r="G19" i="13"/>
  <c r="F19" i="13"/>
  <c r="E19" i="13"/>
  <c r="D19" i="13"/>
  <c r="I18" i="13"/>
  <c r="H18" i="13"/>
  <c r="G18" i="13"/>
  <c r="F18" i="13"/>
  <c r="E18" i="13"/>
  <c r="D18" i="13"/>
  <c r="I17" i="13"/>
  <c r="H17" i="13"/>
  <c r="G17" i="13"/>
  <c r="F17" i="13"/>
  <c r="E17" i="13"/>
  <c r="D17" i="13"/>
  <c r="I16" i="13"/>
  <c r="H16" i="13"/>
  <c r="G16" i="13"/>
  <c r="F16" i="13"/>
  <c r="E16" i="13"/>
  <c r="D16" i="13"/>
  <c r="I15" i="13"/>
  <c r="H15" i="13"/>
  <c r="G15" i="13"/>
  <c r="F15" i="13"/>
  <c r="E15" i="13"/>
  <c r="D15" i="13"/>
  <c r="I14" i="13"/>
  <c r="H14" i="13"/>
  <c r="G14" i="13"/>
  <c r="F14" i="13"/>
  <c r="E14" i="13"/>
  <c r="D14" i="13"/>
  <c r="I13" i="13"/>
  <c r="H13" i="13"/>
  <c r="G13" i="13"/>
  <c r="F13" i="13"/>
  <c r="E13" i="13"/>
  <c r="D13" i="13"/>
  <c r="I12" i="13"/>
  <c r="H12" i="13"/>
  <c r="G12" i="13"/>
  <c r="F12" i="13"/>
  <c r="E12" i="13"/>
  <c r="D12" i="13"/>
  <c r="I11" i="13"/>
  <c r="H11" i="13"/>
  <c r="G11" i="13"/>
  <c r="F11" i="13"/>
  <c r="E11" i="13"/>
  <c r="D11" i="13"/>
  <c r="I10" i="13"/>
  <c r="H10" i="13"/>
  <c r="G10" i="13"/>
  <c r="F10" i="13"/>
  <c r="E10" i="13"/>
  <c r="D10" i="13"/>
  <c r="I42" i="12"/>
  <c r="H42" i="12"/>
  <c r="G42" i="12"/>
  <c r="F42" i="12"/>
  <c r="E42" i="12"/>
  <c r="D42" i="12"/>
  <c r="I41" i="12"/>
  <c r="H41" i="12"/>
  <c r="G41" i="12"/>
  <c r="F41" i="12"/>
  <c r="E41" i="12"/>
  <c r="D41" i="12"/>
  <c r="I40" i="12"/>
  <c r="H40" i="12"/>
  <c r="G40" i="12"/>
  <c r="F40" i="12"/>
  <c r="E40" i="12"/>
  <c r="D40" i="12"/>
  <c r="I39" i="12"/>
  <c r="H39" i="12"/>
  <c r="G39" i="12"/>
  <c r="F39" i="12"/>
  <c r="E39" i="12"/>
  <c r="D39" i="12"/>
  <c r="I38" i="12"/>
  <c r="H38" i="12"/>
  <c r="G38" i="12"/>
  <c r="F38" i="12"/>
  <c r="E38" i="12"/>
  <c r="D38" i="12"/>
  <c r="I37" i="12"/>
  <c r="H37" i="12"/>
  <c r="G37" i="12"/>
  <c r="F37" i="12"/>
  <c r="E37" i="12"/>
  <c r="D37" i="12"/>
  <c r="I36" i="12"/>
  <c r="H36" i="12"/>
  <c r="G36" i="12"/>
  <c r="F36" i="12"/>
  <c r="E36" i="12"/>
  <c r="D36" i="12"/>
  <c r="I35" i="12"/>
  <c r="H35" i="12"/>
  <c r="G35" i="12"/>
  <c r="F35" i="12"/>
  <c r="E35" i="12"/>
  <c r="D35" i="12"/>
  <c r="I34" i="12"/>
  <c r="H34" i="12"/>
  <c r="G34" i="12"/>
  <c r="F34" i="12"/>
  <c r="E34" i="12"/>
  <c r="D34" i="12"/>
  <c r="I33" i="12"/>
  <c r="H33" i="12"/>
  <c r="G33" i="12"/>
  <c r="F33" i="12"/>
  <c r="E33" i="12"/>
  <c r="D33" i="12"/>
  <c r="I32" i="12"/>
  <c r="H32" i="12"/>
  <c r="G32" i="12"/>
  <c r="F32" i="12"/>
  <c r="E32" i="12"/>
  <c r="D32" i="12"/>
  <c r="I31" i="12"/>
  <c r="H31" i="12"/>
  <c r="G31" i="12"/>
  <c r="F31" i="12"/>
  <c r="E31" i="12"/>
  <c r="D31" i="12"/>
  <c r="I30" i="12"/>
  <c r="H30" i="12"/>
  <c r="G30" i="12"/>
  <c r="F30" i="12"/>
  <c r="E30" i="12"/>
  <c r="D30" i="12"/>
  <c r="I29" i="12"/>
  <c r="H29" i="12"/>
  <c r="G29" i="12"/>
  <c r="F29" i="12"/>
  <c r="E29" i="12"/>
  <c r="D29" i="12"/>
  <c r="I28" i="12"/>
  <c r="H28" i="12"/>
  <c r="G28" i="12"/>
  <c r="F28" i="12"/>
  <c r="E28" i="12"/>
  <c r="D28" i="12"/>
  <c r="I27" i="12"/>
  <c r="H27" i="12"/>
  <c r="G27" i="12"/>
  <c r="F27" i="12"/>
  <c r="E27" i="12"/>
  <c r="D27" i="12"/>
  <c r="I26" i="12"/>
  <c r="H26" i="12"/>
  <c r="G26" i="12"/>
  <c r="F26" i="12"/>
  <c r="E26" i="12"/>
  <c r="D26" i="12"/>
  <c r="I25" i="12"/>
  <c r="H25" i="12"/>
  <c r="G25" i="12"/>
  <c r="F25" i="12"/>
  <c r="E25" i="12"/>
  <c r="D25" i="12"/>
  <c r="I24" i="12"/>
  <c r="H24" i="12"/>
  <c r="G24" i="12"/>
  <c r="F24" i="12"/>
  <c r="E24" i="12"/>
  <c r="D24" i="12"/>
  <c r="I23" i="12"/>
  <c r="H23" i="12"/>
  <c r="G23" i="12"/>
  <c r="F23" i="12"/>
  <c r="E23" i="12"/>
  <c r="D23" i="12"/>
  <c r="I22" i="12"/>
  <c r="H22" i="12"/>
  <c r="G22" i="12"/>
  <c r="F22" i="12"/>
  <c r="E22" i="12"/>
  <c r="D22" i="12"/>
  <c r="I21" i="12"/>
  <c r="H21" i="12"/>
  <c r="G21" i="12"/>
  <c r="F21" i="12"/>
  <c r="E21" i="12"/>
  <c r="D21" i="12"/>
  <c r="I20" i="12"/>
  <c r="H20" i="12"/>
  <c r="G20" i="12"/>
  <c r="F20" i="12"/>
  <c r="E20" i="12"/>
  <c r="D20" i="12"/>
  <c r="I19" i="12"/>
  <c r="H19" i="12"/>
  <c r="G19" i="12"/>
  <c r="F19" i="12"/>
  <c r="E19" i="12"/>
  <c r="D19" i="12"/>
  <c r="I18" i="12"/>
  <c r="H18" i="12"/>
  <c r="G18" i="12"/>
  <c r="F18" i="12"/>
  <c r="E18" i="12"/>
  <c r="D18" i="12"/>
  <c r="I17" i="12"/>
  <c r="H17" i="12"/>
  <c r="G17" i="12"/>
  <c r="F17" i="12"/>
  <c r="E17" i="12"/>
  <c r="D17" i="12"/>
  <c r="I16" i="12"/>
  <c r="H16" i="12"/>
  <c r="G16" i="12"/>
  <c r="F16" i="12"/>
  <c r="E16" i="12"/>
  <c r="D16" i="12"/>
  <c r="I15" i="12"/>
  <c r="H15" i="12"/>
  <c r="G15" i="12"/>
  <c r="F15" i="12"/>
  <c r="E15" i="12"/>
  <c r="D15" i="12"/>
  <c r="I14" i="12"/>
  <c r="H14" i="12"/>
  <c r="G14" i="12"/>
  <c r="F14" i="12"/>
  <c r="E14" i="12"/>
  <c r="D14" i="12"/>
  <c r="I13" i="12"/>
  <c r="H13" i="12"/>
  <c r="G13" i="12"/>
  <c r="F13" i="12"/>
  <c r="E13" i="12"/>
  <c r="D13" i="12"/>
  <c r="I12" i="12"/>
  <c r="H12" i="12"/>
  <c r="G12" i="12"/>
  <c r="F12" i="12"/>
  <c r="E12" i="12"/>
  <c r="D12" i="12"/>
  <c r="I11" i="12"/>
  <c r="H11" i="12"/>
  <c r="G11" i="12"/>
  <c r="F11" i="12"/>
  <c r="E11" i="12"/>
  <c r="D11" i="12"/>
  <c r="I10" i="12"/>
  <c r="H10" i="12"/>
  <c r="G10" i="12"/>
  <c r="F10" i="12"/>
  <c r="E10" i="12"/>
  <c r="D10" i="12"/>
  <c r="I42" i="11"/>
  <c r="H42" i="11"/>
  <c r="G42" i="11"/>
  <c r="F42" i="11"/>
  <c r="E42" i="11"/>
  <c r="D42" i="11"/>
  <c r="I41" i="11"/>
  <c r="H41" i="11"/>
  <c r="G41" i="11"/>
  <c r="F41" i="11"/>
  <c r="E41" i="11"/>
  <c r="D41" i="11"/>
  <c r="I40" i="11"/>
  <c r="H40" i="11"/>
  <c r="G40" i="11"/>
  <c r="F40" i="11"/>
  <c r="E40" i="11"/>
  <c r="D40" i="11"/>
  <c r="I39" i="11"/>
  <c r="H39" i="11"/>
  <c r="G39" i="11"/>
  <c r="F39" i="11"/>
  <c r="E39" i="11"/>
  <c r="D39" i="11"/>
  <c r="I38" i="11"/>
  <c r="H38" i="11"/>
  <c r="G38" i="11"/>
  <c r="F38" i="11"/>
  <c r="E38" i="11"/>
  <c r="D38" i="11"/>
  <c r="I37" i="11"/>
  <c r="H37" i="11"/>
  <c r="G37" i="11"/>
  <c r="F37" i="11"/>
  <c r="E37" i="11"/>
  <c r="D37" i="11"/>
  <c r="I36" i="11"/>
  <c r="H36" i="11"/>
  <c r="G36" i="11"/>
  <c r="F36" i="11"/>
  <c r="E36" i="11"/>
  <c r="D36" i="11"/>
  <c r="I35" i="11"/>
  <c r="H35" i="11"/>
  <c r="G35" i="11"/>
  <c r="F35" i="11"/>
  <c r="E35" i="11"/>
  <c r="D35" i="11"/>
  <c r="I34" i="11"/>
  <c r="H34" i="11"/>
  <c r="G34" i="11"/>
  <c r="F34" i="11"/>
  <c r="E34" i="11"/>
  <c r="D34" i="11"/>
  <c r="I33" i="11"/>
  <c r="H33" i="11"/>
  <c r="G33" i="11"/>
  <c r="F33" i="11"/>
  <c r="E33" i="11"/>
  <c r="D33" i="11"/>
  <c r="I32" i="11"/>
  <c r="H32" i="11"/>
  <c r="G32" i="11"/>
  <c r="F32" i="11"/>
  <c r="E32" i="11"/>
  <c r="D32" i="11"/>
  <c r="I31" i="11"/>
  <c r="H31" i="11"/>
  <c r="G31" i="11"/>
  <c r="F31" i="11"/>
  <c r="E31" i="11"/>
  <c r="D31" i="11"/>
  <c r="I30" i="11"/>
  <c r="H30" i="11"/>
  <c r="G30" i="11"/>
  <c r="F30" i="11"/>
  <c r="E30" i="11"/>
  <c r="D30" i="11"/>
  <c r="I29" i="11"/>
  <c r="H29" i="11"/>
  <c r="G29" i="11"/>
  <c r="F29" i="11"/>
  <c r="E29" i="11"/>
  <c r="D29" i="11"/>
  <c r="I28" i="11"/>
  <c r="H28" i="11"/>
  <c r="G28" i="11"/>
  <c r="F28" i="11"/>
  <c r="E28" i="11"/>
  <c r="D28" i="11"/>
  <c r="I27" i="11"/>
  <c r="H27" i="11"/>
  <c r="G27" i="11"/>
  <c r="F27" i="11"/>
  <c r="E27" i="11"/>
  <c r="D27" i="11"/>
  <c r="I26" i="11"/>
  <c r="H26" i="11"/>
  <c r="G26" i="11"/>
  <c r="F26" i="11"/>
  <c r="E26" i="11"/>
  <c r="D26" i="11"/>
  <c r="I25" i="11"/>
  <c r="H25" i="11"/>
  <c r="G25" i="11"/>
  <c r="F25" i="11"/>
  <c r="E25" i="11"/>
  <c r="D25" i="11"/>
  <c r="I24" i="11"/>
  <c r="H24" i="11"/>
  <c r="G24" i="11"/>
  <c r="F24" i="11"/>
  <c r="E24" i="11"/>
  <c r="D24" i="11"/>
  <c r="I23" i="11"/>
  <c r="H23" i="11"/>
  <c r="G23" i="11"/>
  <c r="F23" i="11"/>
  <c r="E23" i="11"/>
  <c r="D23" i="11"/>
  <c r="I22" i="11"/>
  <c r="H22" i="11"/>
  <c r="G22" i="11"/>
  <c r="F22" i="11"/>
  <c r="E22" i="11"/>
  <c r="D22" i="11"/>
  <c r="I21" i="11"/>
  <c r="H21" i="11"/>
  <c r="G21" i="11"/>
  <c r="F21" i="11"/>
  <c r="E21" i="11"/>
  <c r="D21" i="11"/>
  <c r="I20" i="11"/>
  <c r="H20" i="11"/>
  <c r="G20" i="11"/>
  <c r="F20" i="11"/>
  <c r="E20" i="11"/>
  <c r="D20" i="11"/>
  <c r="I19" i="11"/>
  <c r="H19" i="11"/>
  <c r="G19" i="11"/>
  <c r="F19" i="11"/>
  <c r="E19" i="11"/>
  <c r="D19" i="11"/>
  <c r="I18" i="11"/>
  <c r="H18" i="11"/>
  <c r="G18" i="11"/>
  <c r="F18" i="11"/>
  <c r="E18" i="11"/>
  <c r="D18" i="11"/>
  <c r="I17" i="11"/>
  <c r="H17" i="11"/>
  <c r="G17" i="11"/>
  <c r="F17" i="11"/>
  <c r="E17" i="11"/>
  <c r="D17" i="11"/>
  <c r="I16" i="11"/>
  <c r="H16" i="11"/>
  <c r="G16" i="11"/>
  <c r="F16" i="11"/>
  <c r="E16" i="11"/>
  <c r="D16" i="11"/>
  <c r="I15" i="11"/>
  <c r="H15" i="11"/>
  <c r="G15" i="11"/>
  <c r="F15" i="11"/>
  <c r="E15" i="11"/>
  <c r="D15" i="11"/>
  <c r="I14" i="11"/>
  <c r="H14" i="11"/>
  <c r="G14" i="11"/>
  <c r="F14" i="11"/>
  <c r="E14" i="11"/>
  <c r="D14" i="11"/>
  <c r="I13" i="11"/>
  <c r="H13" i="11"/>
  <c r="G13" i="11"/>
  <c r="F13" i="11"/>
  <c r="E13" i="11"/>
  <c r="D13" i="11"/>
  <c r="I12" i="11"/>
  <c r="H12" i="11"/>
  <c r="G12" i="11"/>
  <c r="F12" i="11"/>
  <c r="E12" i="11"/>
  <c r="D12" i="11"/>
  <c r="I11" i="11"/>
  <c r="H11" i="11"/>
  <c r="G11" i="11"/>
  <c r="F11" i="11"/>
  <c r="E11" i="11"/>
  <c r="D11" i="11"/>
  <c r="I10" i="11"/>
  <c r="H10" i="11"/>
  <c r="G10" i="11"/>
  <c r="F10" i="11"/>
  <c r="E10" i="11"/>
  <c r="D10" i="11"/>
  <c r="I42" i="10"/>
  <c r="H42" i="10"/>
  <c r="G42" i="10"/>
  <c r="F42" i="10"/>
  <c r="E42" i="10"/>
  <c r="D42" i="10"/>
  <c r="I41" i="10"/>
  <c r="H41" i="10"/>
  <c r="G41" i="10"/>
  <c r="F41" i="10"/>
  <c r="E41" i="10"/>
  <c r="D41" i="10"/>
  <c r="I40" i="10"/>
  <c r="H40" i="10"/>
  <c r="G40" i="10"/>
  <c r="F40" i="10"/>
  <c r="E40" i="10"/>
  <c r="D40" i="10"/>
  <c r="I39" i="10"/>
  <c r="H39" i="10"/>
  <c r="G39" i="10"/>
  <c r="F39" i="10"/>
  <c r="E39" i="10"/>
  <c r="D39" i="10"/>
  <c r="I38" i="10"/>
  <c r="H38" i="10"/>
  <c r="G38" i="10"/>
  <c r="F38" i="10"/>
  <c r="E38" i="10"/>
  <c r="D38" i="10"/>
  <c r="I37" i="10"/>
  <c r="H37" i="10"/>
  <c r="G37" i="10"/>
  <c r="F37" i="10"/>
  <c r="E37" i="10"/>
  <c r="D37" i="10"/>
  <c r="I36" i="10"/>
  <c r="H36" i="10"/>
  <c r="G36" i="10"/>
  <c r="F36" i="10"/>
  <c r="E36" i="10"/>
  <c r="D36" i="10"/>
  <c r="I35" i="10"/>
  <c r="H35" i="10"/>
  <c r="G35" i="10"/>
  <c r="F35" i="10"/>
  <c r="E35" i="10"/>
  <c r="D35" i="10"/>
  <c r="I34" i="10"/>
  <c r="H34" i="10"/>
  <c r="G34" i="10"/>
  <c r="F34" i="10"/>
  <c r="E34" i="10"/>
  <c r="D34" i="10"/>
  <c r="I33" i="10"/>
  <c r="H33" i="10"/>
  <c r="G33" i="10"/>
  <c r="F33" i="10"/>
  <c r="E33" i="10"/>
  <c r="D33" i="10"/>
  <c r="I32" i="10"/>
  <c r="H32" i="10"/>
  <c r="G32" i="10"/>
  <c r="F32" i="10"/>
  <c r="E32" i="10"/>
  <c r="D32" i="10"/>
  <c r="I31" i="10"/>
  <c r="H31" i="10"/>
  <c r="G31" i="10"/>
  <c r="F31" i="10"/>
  <c r="E31" i="10"/>
  <c r="D31" i="10"/>
  <c r="I30" i="10"/>
  <c r="H30" i="10"/>
  <c r="G30" i="10"/>
  <c r="F30" i="10"/>
  <c r="E30" i="10"/>
  <c r="D30" i="10"/>
  <c r="I29" i="10"/>
  <c r="H29" i="10"/>
  <c r="G29" i="10"/>
  <c r="F29" i="10"/>
  <c r="E29" i="10"/>
  <c r="D29" i="10"/>
  <c r="I28" i="10"/>
  <c r="H28" i="10"/>
  <c r="G28" i="10"/>
  <c r="F28" i="10"/>
  <c r="E28" i="10"/>
  <c r="D28" i="10"/>
  <c r="I27" i="10"/>
  <c r="H27" i="10"/>
  <c r="G27" i="10"/>
  <c r="F27" i="10"/>
  <c r="E27" i="10"/>
  <c r="D27" i="10"/>
  <c r="I26" i="10"/>
  <c r="H26" i="10"/>
  <c r="G26" i="10"/>
  <c r="F26" i="10"/>
  <c r="E26" i="10"/>
  <c r="D26" i="10"/>
  <c r="I25" i="10"/>
  <c r="H25" i="10"/>
  <c r="G25" i="10"/>
  <c r="F25" i="10"/>
  <c r="E25" i="10"/>
  <c r="D25" i="10"/>
  <c r="I24" i="10"/>
  <c r="H24" i="10"/>
  <c r="G24" i="10"/>
  <c r="F24" i="10"/>
  <c r="E24" i="10"/>
  <c r="D24" i="10"/>
  <c r="I23" i="10"/>
  <c r="H23" i="10"/>
  <c r="G23" i="10"/>
  <c r="F23" i="10"/>
  <c r="E23" i="10"/>
  <c r="D23" i="10"/>
  <c r="I22" i="10"/>
  <c r="H22" i="10"/>
  <c r="G22" i="10"/>
  <c r="F22" i="10"/>
  <c r="E22" i="10"/>
  <c r="D22" i="10"/>
  <c r="I21" i="10"/>
  <c r="H21" i="10"/>
  <c r="G21" i="10"/>
  <c r="F21" i="10"/>
  <c r="E21" i="10"/>
  <c r="D21" i="10"/>
  <c r="I20" i="10"/>
  <c r="H20" i="10"/>
  <c r="G20" i="10"/>
  <c r="F20" i="10"/>
  <c r="E20" i="10"/>
  <c r="D20" i="10"/>
  <c r="I19" i="10"/>
  <c r="H19" i="10"/>
  <c r="G19" i="10"/>
  <c r="F19" i="10"/>
  <c r="E19" i="10"/>
  <c r="D19" i="10"/>
  <c r="I18" i="10"/>
  <c r="H18" i="10"/>
  <c r="G18" i="10"/>
  <c r="F18" i="10"/>
  <c r="E18" i="10"/>
  <c r="D18" i="10"/>
  <c r="I17" i="10"/>
  <c r="H17" i="10"/>
  <c r="G17" i="10"/>
  <c r="F17" i="10"/>
  <c r="E17" i="10"/>
  <c r="D17" i="10"/>
  <c r="I16" i="10"/>
  <c r="H16" i="10"/>
  <c r="G16" i="10"/>
  <c r="F16" i="10"/>
  <c r="E16" i="10"/>
  <c r="D16" i="10"/>
  <c r="I15" i="10"/>
  <c r="H15" i="10"/>
  <c r="G15" i="10"/>
  <c r="F15" i="10"/>
  <c r="E15" i="10"/>
  <c r="D15" i="10"/>
  <c r="I14" i="10"/>
  <c r="H14" i="10"/>
  <c r="G14" i="10"/>
  <c r="F14" i="10"/>
  <c r="E14" i="10"/>
  <c r="D14" i="10"/>
  <c r="I13" i="10"/>
  <c r="H13" i="10"/>
  <c r="G13" i="10"/>
  <c r="F13" i="10"/>
  <c r="E13" i="10"/>
  <c r="D13" i="10"/>
  <c r="I12" i="10"/>
  <c r="H12" i="10"/>
  <c r="G12" i="10"/>
  <c r="F12" i="10"/>
  <c r="E12" i="10"/>
  <c r="D12" i="10"/>
  <c r="I11" i="10"/>
  <c r="H11" i="10"/>
  <c r="G11" i="10"/>
  <c r="F11" i="10"/>
  <c r="E11" i="10"/>
  <c r="D11" i="10"/>
  <c r="I10" i="10"/>
  <c r="H10" i="10"/>
  <c r="G10" i="10"/>
  <c r="F10" i="10"/>
  <c r="E10" i="10"/>
  <c r="D10" i="10"/>
  <c r="D42" i="9"/>
  <c r="E42" i="9"/>
  <c r="F42" i="9"/>
  <c r="G42" i="9"/>
  <c r="H42" i="9"/>
  <c r="I42" i="9"/>
  <c r="I41" i="9"/>
  <c r="H41" i="9"/>
  <c r="G41" i="9"/>
  <c r="F41" i="9"/>
  <c r="E41" i="9"/>
  <c r="D41" i="9"/>
  <c r="I40" i="9"/>
  <c r="H40" i="9"/>
  <c r="G40" i="9"/>
  <c r="F40" i="9"/>
  <c r="E40" i="9"/>
  <c r="D40" i="9"/>
  <c r="I39" i="9"/>
  <c r="H39" i="9"/>
  <c r="G39" i="9"/>
  <c r="F39" i="9"/>
  <c r="E39" i="9"/>
  <c r="D39" i="9"/>
  <c r="I38" i="9"/>
  <c r="H38" i="9"/>
  <c r="G38" i="9"/>
  <c r="F38" i="9"/>
  <c r="E38" i="9"/>
  <c r="D38" i="9"/>
  <c r="I37" i="9"/>
  <c r="H37" i="9"/>
  <c r="G37" i="9"/>
  <c r="F37" i="9"/>
  <c r="E37" i="9"/>
  <c r="D37" i="9"/>
  <c r="I36" i="9"/>
  <c r="H36" i="9"/>
  <c r="G36" i="9"/>
  <c r="F36" i="9"/>
  <c r="E36" i="9"/>
  <c r="D36" i="9"/>
  <c r="I35" i="9"/>
  <c r="H35" i="9"/>
  <c r="G35" i="9"/>
  <c r="F35" i="9"/>
  <c r="E35" i="9"/>
  <c r="D35" i="9"/>
  <c r="I34" i="9"/>
  <c r="H34" i="9"/>
  <c r="G34" i="9"/>
  <c r="F34" i="9"/>
  <c r="E34" i="9"/>
  <c r="D34" i="9"/>
  <c r="I33" i="9"/>
  <c r="H33" i="9"/>
  <c r="G33" i="9"/>
  <c r="F33" i="9"/>
  <c r="E33" i="9"/>
  <c r="D33" i="9"/>
  <c r="I32" i="9"/>
  <c r="H32" i="9"/>
  <c r="G32" i="9"/>
  <c r="F32" i="9"/>
  <c r="E32" i="9"/>
  <c r="D32" i="9"/>
  <c r="I31" i="9"/>
  <c r="H31" i="9"/>
  <c r="G31" i="9"/>
  <c r="F31" i="9"/>
  <c r="E31" i="9"/>
  <c r="D31" i="9"/>
  <c r="I30" i="9"/>
  <c r="H30" i="9"/>
  <c r="G30" i="9"/>
  <c r="F30" i="9"/>
  <c r="E30" i="9"/>
  <c r="D30" i="9"/>
  <c r="I29" i="9"/>
  <c r="H29" i="9"/>
  <c r="G29" i="9"/>
  <c r="F29" i="9"/>
  <c r="E29" i="9"/>
  <c r="D29" i="9"/>
  <c r="I28" i="9"/>
  <c r="H28" i="9"/>
  <c r="G28" i="9"/>
  <c r="F28" i="9"/>
  <c r="E28" i="9"/>
  <c r="D28" i="9"/>
  <c r="I27" i="9"/>
  <c r="H27" i="9"/>
  <c r="G27" i="9"/>
  <c r="F27" i="9"/>
  <c r="E27" i="9"/>
  <c r="D27" i="9"/>
  <c r="I26" i="9"/>
  <c r="H26" i="9"/>
  <c r="G26" i="9"/>
  <c r="F26" i="9"/>
  <c r="E26" i="9"/>
  <c r="D26" i="9"/>
  <c r="I25" i="9"/>
  <c r="H25" i="9"/>
  <c r="G25" i="9"/>
  <c r="F25" i="9"/>
  <c r="E25" i="9"/>
  <c r="D25" i="9"/>
  <c r="I24" i="9"/>
  <c r="H24" i="9"/>
  <c r="G24" i="9"/>
  <c r="F24" i="9"/>
  <c r="E24" i="9"/>
  <c r="D24" i="9"/>
  <c r="I23" i="9"/>
  <c r="H23" i="9"/>
  <c r="G23" i="9"/>
  <c r="F23" i="9"/>
  <c r="E23" i="9"/>
  <c r="D23" i="9"/>
  <c r="I22" i="9"/>
  <c r="H22" i="9"/>
  <c r="G22" i="9"/>
  <c r="F22" i="9"/>
  <c r="E22" i="9"/>
  <c r="D22" i="9"/>
  <c r="I21" i="9"/>
  <c r="H21" i="9"/>
  <c r="G21" i="9"/>
  <c r="F21" i="9"/>
  <c r="E21" i="9"/>
  <c r="D21" i="9"/>
  <c r="I20" i="9"/>
  <c r="H20" i="9"/>
  <c r="G20" i="9"/>
  <c r="F20" i="9"/>
  <c r="E20" i="9"/>
  <c r="D20" i="9"/>
  <c r="I19" i="9"/>
  <c r="H19" i="9"/>
  <c r="G19" i="9"/>
  <c r="F19" i="9"/>
  <c r="E19" i="9"/>
  <c r="D19" i="9"/>
  <c r="I18" i="9"/>
  <c r="H18" i="9"/>
  <c r="G18" i="9"/>
  <c r="F18" i="9"/>
  <c r="E18" i="9"/>
  <c r="D18" i="9"/>
  <c r="I17" i="9"/>
  <c r="H17" i="9"/>
  <c r="G17" i="9"/>
  <c r="F17" i="9"/>
  <c r="E17" i="9"/>
  <c r="D17" i="9"/>
  <c r="I16" i="9"/>
  <c r="H16" i="9"/>
  <c r="G16" i="9"/>
  <c r="F16" i="9"/>
  <c r="E16" i="9"/>
  <c r="D16" i="9"/>
  <c r="I15" i="9"/>
  <c r="H15" i="9"/>
  <c r="G15" i="9"/>
  <c r="F15" i="9"/>
  <c r="E15" i="9"/>
  <c r="D15" i="9"/>
  <c r="I14" i="9"/>
  <c r="H14" i="9"/>
  <c r="G14" i="9"/>
  <c r="F14" i="9"/>
  <c r="E14" i="9"/>
  <c r="D14" i="9"/>
  <c r="I13" i="9"/>
  <c r="H13" i="9"/>
  <c r="G13" i="9"/>
  <c r="F13" i="9"/>
  <c r="E13" i="9"/>
  <c r="D13" i="9"/>
  <c r="I12" i="9"/>
  <c r="H12" i="9"/>
  <c r="G12" i="9"/>
  <c r="F12" i="9"/>
  <c r="E12" i="9"/>
  <c r="D12" i="9"/>
  <c r="I11" i="9"/>
  <c r="H11" i="9"/>
  <c r="G11" i="9"/>
  <c r="F11" i="9"/>
  <c r="E11" i="9"/>
  <c r="D11" i="9"/>
  <c r="I10" i="9"/>
  <c r="H10" i="9"/>
  <c r="G10" i="9"/>
  <c r="F10" i="9"/>
  <c r="E10" i="9"/>
  <c r="D10" i="9"/>
  <c r="I41" i="8"/>
  <c r="H41" i="8"/>
  <c r="G41" i="8"/>
  <c r="F41" i="8"/>
  <c r="E41" i="8"/>
  <c r="D41" i="8"/>
  <c r="I40" i="8"/>
  <c r="H40" i="8"/>
  <c r="G40" i="8"/>
  <c r="F40" i="8"/>
  <c r="E40" i="8"/>
  <c r="D40" i="8"/>
  <c r="I39" i="8"/>
  <c r="H39" i="8"/>
  <c r="G39" i="8"/>
  <c r="F39" i="8"/>
  <c r="E39" i="8"/>
  <c r="D39" i="8"/>
  <c r="I38" i="8"/>
  <c r="H38" i="8"/>
  <c r="G38" i="8"/>
  <c r="F38" i="8"/>
  <c r="E38" i="8"/>
  <c r="D38" i="8"/>
  <c r="I37" i="8"/>
  <c r="H37" i="8"/>
  <c r="G37" i="8"/>
  <c r="F37" i="8"/>
  <c r="E37" i="8"/>
  <c r="D37" i="8"/>
  <c r="I36" i="8"/>
  <c r="H36" i="8"/>
  <c r="G36" i="8"/>
  <c r="F36" i="8"/>
  <c r="E36" i="8"/>
  <c r="D36" i="8"/>
  <c r="I35" i="8"/>
  <c r="H35" i="8"/>
  <c r="G35" i="8"/>
  <c r="F35" i="8"/>
  <c r="E35" i="8"/>
  <c r="D35" i="8"/>
  <c r="I34" i="8"/>
  <c r="H34" i="8"/>
  <c r="G34" i="8"/>
  <c r="F34" i="8"/>
  <c r="E34" i="8"/>
  <c r="D34" i="8"/>
  <c r="I33" i="8"/>
  <c r="H33" i="8"/>
  <c r="G33" i="8"/>
  <c r="F33" i="8"/>
  <c r="E33" i="8"/>
  <c r="D33" i="8"/>
  <c r="I32" i="8"/>
  <c r="H32" i="8"/>
  <c r="G32" i="8"/>
  <c r="F32" i="8"/>
  <c r="E32" i="8"/>
  <c r="D32" i="8"/>
  <c r="I31" i="8"/>
  <c r="H31" i="8"/>
  <c r="G31" i="8"/>
  <c r="F31" i="8"/>
  <c r="E31" i="8"/>
  <c r="D31" i="8"/>
  <c r="I30" i="8"/>
  <c r="H30" i="8"/>
  <c r="G30" i="8"/>
  <c r="F30" i="8"/>
  <c r="E30" i="8"/>
  <c r="D30" i="8"/>
  <c r="I29" i="8"/>
  <c r="H29" i="8"/>
  <c r="G29" i="8"/>
  <c r="F29" i="8"/>
  <c r="E29" i="8"/>
  <c r="D29" i="8"/>
  <c r="I28" i="8"/>
  <c r="H28" i="8"/>
  <c r="G28" i="8"/>
  <c r="F28" i="8"/>
  <c r="E28" i="8"/>
  <c r="D28" i="8"/>
  <c r="I27" i="8"/>
  <c r="H27" i="8"/>
  <c r="G27" i="8"/>
  <c r="F27" i="8"/>
  <c r="E27" i="8"/>
  <c r="D27" i="8"/>
  <c r="I26" i="8"/>
  <c r="H26" i="8"/>
  <c r="G26" i="8"/>
  <c r="F26" i="8"/>
  <c r="E26" i="8"/>
  <c r="D26" i="8"/>
  <c r="I25" i="8"/>
  <c r="H25" i="8"/>
  <c r="G25" i="8"/>
  <c r="F25" i="8"/>
  <c r="E25" i="8"/>
  <c r="D25" i="8"/>
  <c r="I24" i="8"/>
  <c r="H24" i="8"/>
  <c r="G24" i="8"/>
  <c r="F24" i="8"/>
  <c r="E24" i="8"/>
  <c r="D24" i="8"/>
  <c r="I23" i="8"/>
  <c r="H23" i="8"/>
  <c r="G23" i="8"/>
  <c r="F23" i="8"/>
  <c r="E23" i="8"/>
  <c r="D23" i="8"/>
  <c r="I22" i="8"/>
  <c r="H22" i="8"/>
  <c r="G22" i="8"/>
  <c r="F22" i="8"/>
  <c r="E22" i="8"/>
  <c r="D22" i="8"/>
  <c r="I21" i="8"/>
  <c r="H21" i="8"/>
  <c r="G21" i="8"/>
  <c r="F21" i="8"/>
  <c r="E21" i="8"/>
  <c r="D21" i="8"/>
  <c r="I20" i="8"/>
  <c r="H20" i="8"/>
  <c r="G20" i="8"/>
  <c r="F20" i="8"/>
  <c r="E20" i="8"/>
  <c r="D20" i="8"/>
  <c r="I19" i="8"/>
  <c r="H19" i="8"/>
  <c r="G19" i="8"/>
  <c r="F19" i="8"/>
  <c r="E19" i="8"/>
  <c r="D19" i="8"/>
  <c r="I18" i="8"/>
  <c r="H18" i="8"/>
  <c r="G18" i="8"/>
  <c r="F18" i="8"/>
  <c r="E18" i="8"/>
  <c r="D18" i="8"/>
  <c r="I17" i="8"/>
  <c r="H17" i="8"/>
  <c r="G17" i="8"/>
  <c r="F17" i="8"/>
  <c r="E17" i="8"/>
  <c r="D17" i="8"/>
  <c r="I16" i="8"/>
  <c r="H16" i="8"/>
  <c r="G16" i="8"/>
  <c r="F16" i="8"/>
  <c r="E16" i="8"/>
  <c r="D16" i="8"/>
  <c r="I15" i="8"/>
  <c r="H15" i="8"/>
  <c r="G15" i="8"/>
  <c r="F15" i="8"/>
  <c r="E15" i="8"/>
  <c r="D15" i="8"/>
  <c r="I14" i="8"/>
  <c r="H14" i="8"/>
  <c r="G14" i="8"/>
  <c r="F14" i="8"/>
  <c r="E14" i="8"/>
  <c r="D14" i="8"/>
  <c r="I13" i="8"/>
  <c r="H13" i="8"/>
  <c r="G13" i="8"/>
  <c r="F13" i="8"/>
  <c r="E13" i="8"/>
  <c r="D13" i="8"/>
  <c r="I12" i="8"/>
  <c r="H12" i="8"/>
  <c r="G12" i="8"/>
  <c r="F12" i="8"/>
  <c r="E12" i="8"/>
  <c r="D12" i="8"/>
  <c r="I11" i="8"/>
  <c r="H11" i="8"/>
  <c r="G11" i="8"/>
  <c r="F11" i="8"/>
  <c r="E11" i="8"/>
  <c r="D11" i="8"/>
  <c r="I10" i="8"/>
  <c r="H10" i="8"/>
  <c r="G10" i="8"/>
  <c r="F10" i="8"/>
  <c r="E10" i="8"/>
  <c r="D10" i="8"/>
</calcChain>
</file>

<file path=xl/sharedStrings.xml><?xml version="1.0" encoding="utf-8"?>
<sst xmlns="http://schemas.openxmlformats.org/spreadsheetml/2006/main" count="2187" uniqueCount="294">
  <si>
    <t>Date:</t>
  </si>
  <si>
    <t>Comments:</t>
  </si>
  <si>
    <t>By:</t>
  </si>
  <si>
    <t>Plot</t>
  </si>
  <si>
    <t>Trt.</t>
  </si>
  <si>
    <t>Irrig.</t>
  </si>
  <si>
    <t>Pop.</t>
  </si>
  <si>
    <t>N</t>
  </si>
  <si>
    <t>Block</t>
  </si>
  <si>
    <t>Exotech Code</t>
  </si>
  <si>
    <t>Acron</t>
  </si>
  <si>
    <t>Time</t>
  </si>
  <si>
    <t>Cover</t>
  </si>
  <si>
    <t>Height</t>
  </si>
  <si>
    <t>Trt</t>
  </si>
  <si>
    <t>Irr</t>
  </si>
  <si>
    <t>Pop</t>
  </si>
  <si>
    <t>Nit</t>
  </si>
  <si>
    <t>ExotechCode</t>
  </si>
  <si>
    <t>Meas</t>
  </si>
  <si>
    <t>3.25</t>
  </si>
  <si>
    <t>7.25</t>
  </si>
  <si>
    <t>8.25</t>
  </si>
  <si>
    <t>DOY:</t>
  </si>
  <si>
    <t>Meas. (in cm)</t>
  </si>
  <si>
    <t>Comments</t>
  </si>
  <si>
    <t>SMM</t>
  </si>
  <si>
    <t>In row # 6 of each border - 2 rows west of neutron tubes.</t>
  </si>
  <si>
    <r>
      <t xml:space="preserve">N </t>
    </r>
    <r>
      <rPr>
        <b/>
        <sz val="11"/>
        <rFont val="Arial Rounded MT Bold"/>
        <family val="2"/>
      </rPr>
      <t>→</t>
    </r>
    <r>
      <rPr>
        <b/>
        <sz val="10"/>
        <rFont val="Arial Rounded MT Bold"/>
        <family val="2"/>
      </rPr>
      <t xml:space="preserve"> S</t>
    </r>
  </si>
  <si>
    <r>
      <t xml:space="preserve">S </t>
    </r>
    <r>
      <rPr>
        <b/>
        <sz val="11"/>
        <rFont val="Arial Rounded MT Bold"/>
        <family val="2"/>
      </rPr>
      <t>→</t>
    </r>
    <r>
      <rPr>
        <b/>
        <sz val="10"/>
        <rFont val="Arial Rounded MT Bold"/>
        <family val="2"/>
      </rPr>
      <t xml:space="preserve"> N</t>
    </r>
  </si>
  <si>
    <t>Point A</t>
  </si>
  <si>
    <t>Point B</t>
  </si>
  <si>
    <t>Point C</t>
  </si>
  <si>
    <t>FISE2011 -Cotton Plant Cover and Heights</t>
  </si>
  <si>
    <t>starting from the N side of the field in plot 1, and zig-zagging</t>
  </si>
  <si>
    <t xml:space="preserve"> thru the plots. </t>
  </si>
  <si>
    <t>Across from tubes 2, 4 &amp; 6 (or 6, 4 &amp; 2 depending on the direction I'm travelling)</t>
  </si>
  <si>
    <t>Mostly clear.  Breezy but plants still easy to measure--</t>
  </si>
  <si>
    <t>not moving much.</t>
  </si>
  <si>
    <t>Mostly clear.  Light-moderate wind but OK for measuring</t>
  </si>
  <si>
    <t>plants - they're not moving too much.</t>
  </si>
  <si>
    <t>1425  end</t>
  </si>
  <si>
    <t>Mostly clear.  Light wind from W with a few gusts</t>
  </si>
  <si>
    <t>(but not enough to make measurements hard). Irrigation today.</t>
  </si>
  <si>
    <t>Clear. Light wind from S-SW.</t>
  </si>
  <si>
    <t>NDAs &amp; NDBs irrigated Tuesday.  FAOs to be irrigated today.</t>
  </si>
  <si>
    <t>MACS and 17 to be irrigated next week.  Plots not yet irrigated are visibly wilted.</t>
  </si>
  <si>
    <t>Being irrigated.</t>
  </si>
  <si>
    <t>More wilted at the south end</t>
  </si>
  <si>
    <t>Irrigation just starting</t>
  </si>
  <si>
    <t>Not too wilted</t>
  </si>
  <si>
    <t>NDAs and NDBs a little shiny/stressed (to be irrigated</t>
  </si>
  <si>
    <t xml:space="preserve"> tomorrow and Friday)</t>
  </si>
  <si>
    <t>Cotton very wilted.  Tefchnician very tired and very hot.  Did do it.</t>
  </si>
  <si>
    <t>Ptly cloudy.  Light wind.</t>
  </si>
  <si>
    <t>Extremely hazy.  Slight breeze.</t>
  </si>
  <si>
    <t>Muddy</t>
  </si>
  <si>
    <t>Irrigating</t>
  </si>
  <si>
    <t>Wilty</t>
  </si>
  <si>
    <t>Slight breeze.  Partly cloudy.</t>
  </si>
  <si>
    <t>Flagging tube locations where hard to locate while going through the field.</t>
  </si>
  <si>
    <t>Center 3 rows taller than the others.</t>
  </si>
  <si>
    <t>On N end of plot - leaves getting pale - chlorotic?  Especially row 7.</t>
  </si>
  <si>
    <t>Canopy almost closed</t>
  </si>
  <si>
    <t>Light breeze from West</t>
  </si>
  <si>
    <t>Mostly clear.</t>
  </si>
  <si>
    <t>--</t>
  </si>
  <si>
    <t>Almost closed</t>
  </si>
  <si>
    <t>Closed in spots</t>
  </si>
  <si>
    <t>Closed</t>
  </si>
  <si>
    <t>Partly closed</t>
  </si>
  <si>
    <t>Also flagging/reflagging and doing NAWF counts</t>
  </si>
  <si>
    <t>After a light rain - wet. Overcast.  Relatively clear.</t>
  </si>
  <si>
    <t>Field to be sprayed.  I left when the airplane arrived.</t>
  </si>
  <si>
    <t>Also checking for % open bolls.</t>
  </si>
  <si>
    <t>Field spraying to start soon</t>
  </si>
  <si>
    <t>Windy yesterday.  Cotton branches drooping/spread a bit</t>
  </si>
  <si>
    <t>Nice day (for August)</t>
  </si>
  <si>
    <t>Average</t>
  </si>
  <si>
    <t>doy 130</t>
  </si>
  <si>
    <t>doy 139</t>
  </si>
  <si>
    <t>doy 179</t>
  </si>
  <si>
    <t>doy 187</t>
  </si>
  <si>
    <t>doy 203</t>
  </si>
  <si>
    <t>doy 224</t>
  </si>
  <si>
    <t>doy 231</t>
  </si>
  <si>
    <t>doy 146</t>
  </si>
  <si>
    <t>doy 153</t>
  </si>
  <si>
    <t>doy 159</t>
  </si>
  <si>
    <t>doy 168</t>
  </si>
  <si>
    <t>doy 173</t>
  </si>
  <si>
    <t>doy 193</t>
  </si>
  <si>
    <t>doy 213</t>
  </si>
  <si>
    <r>
      <rPr>
        <b/>
        <sz val="12"/>
        <color rgb="FFFF0000"/>
        <rFont val="Arial"/>
        <family val="2"/>
      </rPr>
      <t>"--" = no data for this plot or less than 3 measurements for this plot (plot partly closed)</t>
    </r>
  </si>
  <si>
    <t>DOY231</t>
  </si>
  <si>
    <t>DOY224</t>
  </si>
  <si>
    <t>DOY213</t>
  </si>
  <si>
    <t>DOY203</t>
  </si>
  <si>
    <t>DOY193</t>
  </si>
  <si>
    <t>DOY187</t>
  </si>
  <si>
    <t>DOY179</t>
  </si>
  <si>
    <t>DOY173</t>
  </si>
  <si>
    <t>DOY168</t>
  </si>
  <si>
    <t>DOY159</t>
  </si>
  <si>
    <t>DOY153</t>
  </si>
  <si>
    <t>DOY146</t>
  </si>
  <si>
    <t>DOY139</t>
  </si>
  <si>
    <t>DOY130</t>
  </si>
  <si>
    <t>CCID</t>
  </si>
  <si>
    <t>plants/m2</t>
  </si>
  <si>
    <t># plants</t>
  </si>
  <si>
    <t>Location:</t>
  </si>
  <si>
    <t>From green flag to 1 meter South of flag.  Flag is located in bed #6 of each plot, in line with the center neutron tubes in bed #4.</t>
  </si>
  <si>
    <t>13-15-</t>
  </si>
  <si>
    <t>1100-1115</t>
  </si>
  <si>
    <t>0950-1005</t>
  </si>
  <si>
    <t>1045-1100</t>
  </si>
  <si>
    <t>1025-1040</t>
  </si>
  <si>
    <t>1110-1120</t>
  </si>
  <si>
    <t>1015-1030</t>
  </si>
  <si>
    <t>1040-1055</t>
  </si>
  <si>
    <t>1030-1045</t>
  </si>
  <si>
    <t>1010-1025</t>
  </si>
  <si>
    <t>1010-1030</t>
  </si>
  <si>
    <t>Time:</t>
  </si>
  <si>
    <t>Mon 25 Apr 11</t>
  </si>
  <si>
    <t>Cotton 2011  Field 33</t>
  </si>
  <si>
    <t>Emergence counts</t>
  </si>
  <si>
    <t>DOY</t>
  </si>
  <si>
    <t>PLDOE</t>
  </si>
  <si>
    <t>EDATE</t>
  </si>
  <si>
    <t>PLYRE</t>
  </si>
  <si>
    <t>DOY133</t>
  </si>
  <si>
    <t>DOY137</t>
  </si>
  <si>
    <t>DOY145</t>
  </si>
  <si>
    <t>DOY151</t>
  </si>
  <si>
    <t>DOY165</t>
  </si>
  <si>
    <t>DOY174</t>
  </si>
  <si>
    <t>DOY186</t>
  </si>
  <si>
    <t>DOY194</t>
  </si>
  <si>
    <t>DOY195</t>
  </si>
  <si>
    <t>DOY201</t>
  </si>
  <si>
    <t>DOY202</t>
  </si>
  <si>
    <t>DOY207</t>
  </si>
  <si>
    <t>DOY215</t>
  </si>
  <si>
    <t>DOY221</t>
  </si>
  <si>
    <t>DOY227</t>
  </si>
  <si>
    <t>DOY228</t>
  </si>
  <si>
    <t>DOY243</t>
  </si>
  <si>
    <t>DOY244</t>
  </si>
  <si>
    <t>DOY245</t>
  </si>
  <si>
    <t># plants/m</t>
  </si>
  <si>
    <t>0945   end</t>
  </si>
  <si>
    <t>The 7 locations in plot 177 don't have a lot of double planted plants (from the first couple of passes with the planter before they decided it was too wet to plant).  Haard to day what the overall density in plot 17 is.</t>
  </si>
  <si>
    <t>Some of the plants emerging after the irrigation have withered and died.   Don't see any reallly small (just emerged in the past few days) plants.  This count should be a good final count.</t>
  </si>
  <si>
    <t>Point G</t>
  </si>
  <si>
    <t>Point F</t>
  </si>
  <si>
    <t>Point E</t>
  </si>
  <si>
    <t>Point D</t>
  </si>
  <si>
    <t>Row</t>
  </si>
  <si>
    <t>point D at the flag where emergence counts have been done</t>
  </si>
  <si>
    <t>1 m from neutron tube to the South in row #6.</t>
  </si>
  <si>
    <t>FISE2011 -Cotton Plant Density Counts</t>
  </si>
  <si>
    <t>p01-1</t>
  </si>
  <si>
    <t>p01-2</t>
  </si>
  <si>
    <t>p01-3</t>
  </si>
  <si>
    <t>p02-1</t>
  </si>
  <si>
    <t>p02-2</t>
  </si>
  <si>
    <t>p02-3</t>
  </si>
  <si>
    <t>p03-1</t>
  </si>
  <si>
    <t>p03-2</t>
  </si>
  <si>
    <t>p03-3</t>
  </si>
  <si>
    <t>p04-1</t>
  </si>
  <si>
    <t>p04-2</t>
  </si>
  <si>
    <t>p04-3</t>
  </si>
  <si>
    <t>p05-1</t>
  </si>
  <si>
    <t>p05-2</t>
  </si>
  <si>
    <t>p05-3</t>
  </si>
  <si>
    <t>p06-1</t>
  </si>
  <si>
    <t>p06-2</t>
  </si>
  <si>
    <t>p06-3</t>
  </si>
  <si>
    <t>p07-1</t>
  </si>
  <si>
    <t>p07-2</t>
  </si>
  <si>
    <t>p07-3</t>
  </si>
  <si>
    <t>p08-1</t>
  </si>
  <si>
    <t>p08-2</t>
  </si>
  <si>
    <t>p08-3</t>
  </si>
  <si>
    <t>p09-1</t>
  </si>
  <si>
    <t>p09-2</t>
  </si>
  <si>
    <t>p09-3</t>
  </si>
  <si>
    <t>p10-1</t>
  </si>
  <si>
    <t>p10-2</t>
  </si>
  <si>
    <t>p10-3</t>
  </si>
  <si>
    <t>p11-1</t>
  </si>
  <si>
    <t>p11-2</t>
  </si>
  <si>
    <t>p11-3</t>
  </si>
  <si>
    <t>p12-1</t>
  </si>
  <si>
    <t>p12-2</t>
  </si>
  <si>
    <t>p12-3</t>
  </si>
  <si>
    <t>p13-1</t>
  </si>
  <si>
    <t>p13-2</t>
  </si>
  <si>
    <t>p13-3</t>
  </si>
  <si>
    <t>p14-1</t>
  </si>
  <si>
    <t>p14-2</t>
  </si>
  <si>
    <t>p14-3</t>
  </si>
  <si>
    <t>p15-1</t>
  </si>
  <si>
    <t>p15-2</t>
  </si>
  <si>
    <t>p15-3</t>
  </si>
  <si>
    <t>p16-1</t>
  </si>
  <si>
    <t>p16-2</t>
  </si>
  <si>
    <t>p16-3</t>
  </si>
  <si>
    <t>p01-4</t>
  </si>
  <si>
    <t>p01-5</t>
  </si>
  <si>
    <t>p01-6</t>
  </si>
  <si>
    <t>p01-7</t>
  </si>
  <si>
    <t>p02-4</t>
  </si>
  <si>
    <t>p02-5</t>
  </si>
  <si>
    <t>p02-6</t>
  </si>
  <si>
    <t>p02-7</t>
  </si>
  <si>
    <t>p03-4</t>
  </si>
  <si>
    <t>p03-5</t>
  </si>
  <si>
    <t>p03-6</t>
  </si>
  <si>
    <t>p03-7</t>
  </si>
  <si>
    <t>p04-4</t>
  </si>
  <si>
    <t>p04-5</t>
  </si>
  <si>
    <t>p04-6</t>
  </si>
  <si>
    <t>p04-7</t>
  </si>
  <si>
    <t>p05-4</t>
  </si>
  <si>
    <t>p05-5</t>
  </si>
  <si>
    <t>p05-6</t>
  </si>
  <si>
    <t>p05-7</t>
  </si>
  <si>
    <t>p06-4</t>
  </si>
  <si>
    <t>p06-5</t>
  </si>
  <si>
    <t>p06-6</t>
  </si>
  <si>
    <t>p06-7</t>
  </si>
  <si>
    <t>p07-4</t>
  </si>
  <si>
    <t>p07-5</t>
  </si>
  <si>
    <t>p07-6</t>
  </si>
  <si>
    <t>p07-7</t>
  </si>
  <si>
    <t>p08-4</t>
  </si>
  <si>
    <t>p08-5</t>
  </si>
  <si>
    <t>p08-6</t>
  </si>
  <si>
    <t>p08-7</t>
  </si>
  <si>
    <t>p09-4</t>
  </si>
  <si>
    <t>p09-5</t>
  </si>
  <si>
    <t>p09-6</t>
  </si>
  <si>
    <t>p09-7</t>
  </si>
  <si>
    <t>p10-4</t>
  </si>
  <si>
    <t>p10-5</t>
  </si>
  <si>
    <t>p10-6</t>
  </si>
  <si>
    <t>p10-7</t>
  </si>
  <si>
    <t>p11-4</t>
  </si>
  <si>
    <t>p11-5</t>
  </si>
  <si>
    <t>p11-6</t>
  </si>
  <si>
    <t>p11-7</t>
  </si>
  <si>
    <t>p12-4</t>
  </si>
  <si>
    <t>p12-5</t>
  </si>
  <si>
    <t>p12-6</t>
  </si>
  <si>
    <t>p12-7</t>
  </si>
  <si>
    <t>p13-4</t>
  </si>
  <si>
    <t>p13-5</t>
  </si>
  <si>
    <t>p13-6</t>
  </si>
  <si>
    <t>p13-7</t>
  </si>
  <si>
    <t>p14-4</t>
  </si>
  <si>
    <t>p14-5</t>
  </si>
  <si>
    <t>p14-6</t>
  </si>
  <si>
    <t>p14-7</t>
  </si>
  <si>
    <t>p15-4</t>
  </si>
  <si>
    <t>p15-5</t>
  </si>
  <si>
    <t>p15-6</t>
  </si>
  <si>
    <t>p15-7</t>
  </si>
  <si>
    <t>p16-4</t>
  </si>
  <si>
    <t>p16-5</t>
  </si>
  <si>
    <t>p16-6</t>
  </si>
  <si>
    <t>p16-7</t>
  </si>
  <si>
    <t>PLPD</t>
  </si>
  <si>
    <t>N → S</t>
  </si>
  <si>
    <t>S → N</t>
  </si>
  <si>
    <t>ADAT</t>
  </si>
  <si>
    <t>ADOY</t>
  </si>
  <si>
    <t>Hard to find white flowers in this plot</t>
  </si>
  <si>
    <t>NAWF</t>
  </si>
  <si>
    <t>I don't think anyone really knows what this plot is</t>
  </si>
  <si>
    <t>NDB</t>
  </si>
  <si>
    <t>MAC</t>
  </si>
  <si>
    <t>NDA</t>
  </si>
  <si>
    <t>FAO</t>
  </si>
  <si>
    <r>
      <rPr>
        <b/>
        <sz val="14"/>
        <rFont val="Arial Rounded MT Bold"/>
        <family val="2"/>
      </rPr>
      <t>East</t>
    </r>
    <r>
      <rPr>
        <b/>
        <sz val="10"/>
        <rFont val="Arial Rounded MT Bold"/>
        <family val="2"/>
      </rPr>
      <t xml:space="preserve">            N → S</t>
    </r>
  </si>
  <si>
    <t>Ave</t>
  </si>
  <si>
    <t>leaf less than 1 inch across not counted.</t>
  </si>
  <si>
    <t xml:space="preserve">counting notes above that branch.  Node with a mainstem </t>
  </si>
  <si>
    <t xml:space="preserve">Finding a plant with a white flower in position #1, </t>
  </si>
  <si>
    <t>FISE2009 -Nodes Above White Flower</t>
  </si>
  <si>
    <t>NAWF213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</si>
</sst>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
    <numFmt numFmtId="165" formatCode="0000"/>
    <numFmt numFmtId="166" formatCode="0.0"/>
    <numFmt numFmtId="167" formatCode="mm/dd/yyyy"/>
  </numFmts>
  <fonts count="30" x14ac:knownFonts="1">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name val="Arial"/>
      <family val="2"/>
    </font>
    <font>
      <b/>
      <sz val="10"/>
      <name val="Arial"/>
      <family val="2"/>
    </font>
    <font>
      <b/>
      <sz val="8"/>
      <name val="Arial"/>
      <family val="2"/>
    </font>
    <font>
      <sz val="10"/>
      <name val="Arial"/>
      <family val="2"/>
    </font>
    <font>
      <sz val="8"/>
      <name val="Arial"/>
      <family val="2"/>
    </font>
    <font>
      <b/>
      <sz val="12"/>
      <name val="Arial"/>
      <family val="2"/>
    </font>
    <font>
      <sz val="12"/>
      <name val="Arial"/>
      <family val="2"/>
    </font>
    <font>
      <b/>
      <sz val="10"/>
      <name val="Arial Rounded MT Bold"/>
      <family val="2"/>
    </font>
    <font>
      <b/>
      <sz val="11"/>
      <name val="Arial Rounded MT Bold"/>
      <family val="2"/>
    </font>
    <font>
      <sz val="12"/>
      <color rgb="FFFF0000"/>
      <name val="Arial"/>
      <family val="2"/>
    </font>
    <font>
      <b/>
      <sz val="11"/>
      <name val="Arial Black"/>
      <family val="2"/>
    </font>
    <font>
      <b/>
      <sz val="12"/>
      <color rgb="FFFF0000"/>
      <name val="Arial"/>
      <family val="2"/>
    </font>
    <font>
      <b/>
      <sz val="11"/>
      <color theme="1"/>
      <name val="Calibri"/>
      <family val="2"/>
      <scheme val="minor"/>
    </font>
    <font>
      <b/>
      <sz val="10"/>
      <color theme="1"/>
      <name val="Calibri"/>
      <family val="2"/>
      <scheme val="minor"/>
    </font>
    <font>
      <sz val="9"/>
      <color theme="1"/>
      <name val="Calibri"/>
      <family val="2"/>
      <scheme val="minor"/>
    </font>
    <font>
      <sz val="14"/>
      <name val="Arial"/>
      <family val="2"/>
    </font>
    <font>
      <b/>
      <sz val="16"/>
      <name val="Arial"/>
      <family val="2"/>
    </font>
    <font>
      <b/>
      <sz val="6"/>
      <name val="Arial Narrow"/>
      <family val="2"/>
    </font>
    <font>
      <sz val="16"/>
      <name val="Arial"/>
      <family val="2"/>
    </font>
    <font>
      <sz val="10"/>
      <name val="Arial Rounded MT Bold"/>
      <family val="2"/>
    </font>
    <font>
      <b/>
      <sz val="12"/>
      <name val="Arial Rounded MT Bold"/>
      <family val="2"/>
    </font>
    <font>
      <b/>
      <sz val="14"/>
      <name val="Arial Rounded MT Bold"/>
      <family val="2"/>
    </font>
  </fonts>
  <fills count="5">
    <fill>
      <patternFill patternType="none"/>
    </fill>
    <fill>
      <patternFill patternType="gray125"/>
    </fill>
    <fill>
      <patternFill patternType="solid">
        <fgColor theme="0" tint="-0.14996795556505021"/>
        <bgColor indexed="64"/>
      </patternFill>
    </fill>
    <fill>
      <patternFill patternType="lightHorizontal">
        <fgColor theme="0" tint="-0.24994659260841701"/>
        <bgColor auto="1"/>
      </patternFill>
    </fill>
    <fill>
      <patternFill patternType="lightDown">
        <fgColor theme="0" tint="-0.14996795556505021"/>
        <bgColor indexed="65"/>
      </patternFill>
    </fill>
  </fills>
  <borders count="53">
    <border>
      <left/>
      <right/>
      <top/>
      <bottom/>
      <diagonal/>
    </border>
    <border>
      <left/>
      <right/>
      <top/>
      <bottom style="medium">
        <color indexed="64"/>
      </bottom>
      <diagonal/>
    </border>
    <border>
      <left/>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bottom style="thin">
        <color indexed="64"/>
      </bottom>
      <diagonal/>
    </border>
    <border>
      <left style="thin">
        <color indexed="64"/>
      </left>
      <right/>
      <top style="thin">
        <color indexed="64"/>
      </top>
      <bottom style="medium">
        <color indexed="64"/>
      </bottom>
      <diagonal/>
    </border>
    <border>
      <left style="thin">
        <color indexed="8"/>
      </left>
      <right style="thin">
        <color indexed="8"/>
      </right>
      <top style="thin">
        <color indexed="64"/>
      </top>
      <bottom style="thin">
        <color indexed="64"/>
      </bottom>
      <diagonal/>
    </border>
    <border>
      <left style="thin">
        <color indexed="8"/>
      </left>
      <right style="thin">
        <color indexed="8"/>
      </right>
      <top style="thin">
        <color indexed="64"/>
      </top>
      <bottom style="medium">
        <color indexed="64"/>
      </bottom>
      <diagonal/>
    </border>
    <border>
      <left style="thin">
        <color indexed="8"/>
      </left>
      <right style="thin">
        <color indexed="8"/>
      </right>
      <top/>
      <bottom style="medium">
        <color indexed="64"/>
      </bottom>
      <diagonal/>
    </border>
    <border>
      <left style="thin">
        <color indexed="64"/>
      </left>
      <right style="thin">
        <color indexed="64"/>
      </right>
      <top/>
      <bottom style="medium">
        <color indexed="64"/>
      </bottom>
      <diagonal/>
    </border>
    <border>
      <left style="thin">
        <color indexed="8"/>
      </left>
      <right style="thin">
        <color indexed="64"/>
      </right>
      <top style="medium">
        <color indexed="64"/>
      </top>
      <bottom/>
      <diagonal/>
    </border>
    <border>
      <left style="thin">
        <color indexed="8"/>
      </left>
      <right style="thin">
        <color indexed="64"/>
      </right>
      <top/>
      <bottom style="medium">
        <color indexed="8"/>
      </bottom>
      <diagonal/>
    </border>
    <border>
      <left style="thin">
        <color indexed="8"/>
      </left>
      <right style="thin">
        <color indexed="64"/>
      </right>
      <top/>
      <bottom/>
      <diagonal/>
    </border>
    <border>
      <left style="thin">
        <color indexed="8"/>
      </left>
      <right style="thin">
        <color indexed="64"/>
      </right>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style="medium">
        <color indexed="64"/>
      </top>
      <bottom/>
      <diagonal/>
    </border>
    <border>
      <left/>
      <right style="thin">
        <color indexed="64"/>
      </right>
      <top style="medium">
        <color indexed="64"/>
      </top>
      <bottom/>
      <diagonal/>
    </border>
    <border>
      <left/>
      <right style="thin">
        <color indexed="64"/>
      </right>
      <top/>
      <bottom style="medium">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8"/>
      </left>
      <right style="thin">
        <color indexed="8"/>
      </right>
      <top/>
      <bottom/>
      <diagonal/>
    </border>
    <border>
      <left style="thin">
        <color theme="0" tint="-0.34998626667073579"/>
      </left>
      <right style="thin">
        <color theme="0" tint="-0.34998626667073579"/>
      </right>
      <top style="thin">
        <color theme="0" tint="-0.34998626667073579"/>
      </top>
      <bottom style="medium">
        <color indexed="64"/>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auto="1"/>
      </left>
      <right style="thin">
        <color auto="1"/>
      </right>
      <top style="thin">
        <color theme="0" tint="-0.34998626667073579"/>
      </top>
      <bottom style="medium">
        <color indexed="64"/>
      </bottom>
      <diagonal/>
    </border>
    <border>
      <left style="thin">
        <color theme="0" tint="-0.34998626667073579"/>
      </left>
      <right/>
      <top style="thin">
        <color theme="0" tint="-0.34998626667073579"/>
      </top>
      <bottom style="thin">
        <color theme="0" tint="-0.34998626667073579"/>
      </bottom>
      <diagonal/>
    </border>
    <border>
      <left style="thin">
        <color theme="0" tint="-0.34998626667073579"/>
      </left>
      <right/>
      <top style="thin">
        <color theme="0" tint="-0.34998626667073579"/>
      </top>
      <bottom style="medium">
        <color indexed="64"/>
      </bottom>
      <diagonal/>
    </border>
    <border>
      <left style="thin">
        <color auto="1"/>
      </left>
      <right style="thin">
        <color auto="1"/>
      </right>
      <top style="medium">
        <color auto="1"/>
      </top>
      <bottom style="thin">
        <color theme="0" tint="-0.34998626667073579"/>
      </bottom>
      <diagonal/>
    </border>
    <border>
      <left style="thin">
        <color auto="1"/>
      </left>
      <right style="thin">
        <color auto="1"/>
      </right>
      <top style="thin">
        <color auto="1"/>
      </top>
      <bottom style="thin">
        <color auto="1"/>
      </bottom>
      <diagonal/>
    </border>
    <border>
      <left style="thin">
        <color indexed="64"/>
      </left>
      <right/>
      <top/>
      <bottom/>
      <diagonal/>
    </border>
    <border>
      <left style="thin">
        <color indexed="64"/>
      </left>
      <right/>
      <top style="thin">
        <color indexed="64"/>
      </top>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right/>
      <top/>
      <bottom style="thin">
        <color indexed="64"/>
      </bottom>
      <diagonal/>
    </border>
    <border>
      <left style="thin">
        <color indexed="8"/>
      </left>
      <right/>
      <top/>
      <bottom/>
      <diagonal/>
    </border>
    <border>
      <left style="thin">
        <color indexed="64"/>
      </left>
      <right style="thin">
        <color indexed="8"/>
      </right>
      <top/>
      <bottom style="medium">
        <color indexed="64"/>
      </bottom>
      <diagonal/>
    </border>
    <border>
      <left style="thin">
        <color indexed="8"/>
      </left>
      <right style="thin">
        <color indexed="8"/>
      </right>
      <top style="medium">
        <color indexed="64"/>
      </top>
      <bottom/>
      <diagonal/>
    </border>
    <border>
      <left style="thin">
        <color indexed="64"/>
      </left>
      <right style="thin">
        <color indexed="8"/>
      </right>
      <top style="medium">
        <color indexed="64"/>
      </top>
      <bottom/>
      <diagonal/>
    </border>
    <border>
      <left style="thin">
        <color indexed="8"/>
      </left>
      <right style="thin">
        <color indexed="8"/>
      </right>
      <top style="thin">
        <color indexed="64"/>
      </top>
      <bottom/>
      <diagonal/>
    </border>
    <border>
      <left style="thin">
        <color indexed="64"/>
      </left>
      <right style="thin">
        <color indexed="8"/>
      </right>
      <top style="thin">
        <color indexed="64"/>
      </top>
      <bottom/>
      <diagonal/>
    </border>
    <border>
      <left style="thin">
        <color indexed="64"/>
      </left>
      <right style="double">
        <color indexed="64"/>
      </right>
      <top style="thin">
        <color indexed="64"/>
      </top>
      <bottom style="double">
        <color indexed="64"/>
      </bottom>
      <diagonal/>
    </border>
    <border>
      <left style="double">
        <color indexed="64"/>
      </left>
      <right style="thin">
        <color indexed="64"/>
      </right>
      <top style="thin">
        <color indexed="64"/>
      </top>
      <bottom style="double">
        <color indexed="64"/>
      </bottom>
      <diagonal/>
    </border>
    <border>
      <left/>
      <right style="double">
        <color indexed="64"/>
      </right>
      <top style="thin">
        <color indexed="64"/>
      </top>
      <bottom style="thin">
        <color indexed="64"/>
      </bottom>
      <diagonal/>
    </border>
    <border>
      <left style="double">
        <color indexed="64"/>
      </left>
      <right/>
      <top style="thin">
        <color indexed="64"/>
      </top>
      <bottom style="thin">
        <color indexed="64"/>
      </bottom>
      <diagonal/>
    </border>
    <border>
      <left style="thin">
        <color indexed="64"/>
      </left>
      <right style="double">
        <color indexed="64"/>
      </right>
      <top style="thin">
        <color indexed="64"/>
      </top>
      <bottom style="thin">
        <color indexed="64"/>
      </bottom>
      <diagonal/>
    </border>
    <border>
      <left style="double">
        <color indexed="64"/>
      </left>
      <right style="thin">
        <color indexed="64"/>
      </right>
      <top style="thin">
        <color indexed="64"/>
      </top>
      <bottom style="thin">
        <color indexed="64"/>
      </bottom>
      <diagonal/>
    </border>
    <border>
      <left style="thin">
        <color indexed="64"/>
      </left>
      <right style="double">
        <color indexed="64"/>
      </right>
      <top style="double">
        <color indexed="64"/>
      </top>
      <bottom style="thin">
        <color indexed="64"/>
      </bottom>
      <diagonal/>
    </border>
    <border>
      <left style="double">
        <color indexed="64"/>
      </left>
      <right style="thin">
        <color indexed="64"/>
      </right>
      <top style="double">
        <color indexed="64"/>
      </top>
      <bottom style="thin">
        <color indexed="64"/>
      </bottom>
      <diagonal/>
    </border>
  </borders>
  <cellStyleXfs count="5">
    <xf numFmtId="0" fontId="0" fillId="0" borderId="0"/>
    <xf numFmtId="0" fontId="7" fillId="0" borderId="0"/>
    <xf numFmtId="0" fontId="4" fillId="0" borderId="0"/>
    <xf numFmtId="0" fontId="11" fillId="0" borderId="0"/>
    <xf numFmtId="0" fontId="1" fillId="0" borderId="0"/>
  </cellStyleXfs>
  <cellXfs count="263">
    <xf numFmtId="0" fontId="0" fillId="0" borderId="0" xfId="0"/>
    <xf numFmtId="0" fontId="8" fillId="0" borderId="0" xfId="0" applyFont="1"/>
    <xf numFmtId="0" fontId="9" fillId="0" borderId="1" xfId="0" applyFont="1" applyBorder="1"/>
    <xf numFmtId="0" fontId="0" fillId="0" borderId="1" xfId="0" applyBorder="1"/>
    <xf numFmtId="0" fontId="0" fillId="0" borderId="2" xfId="0" applyBorder="1"/>
    <xf numFmtId="0" fontId="0" fillId="0" borderId="0" xfId="0" applyAlignment="1">
      <alignment horizontal="center" vertical="center"/>
    </xf>
    <xf numFmtId="0" fontId="10" fillId="0" borderId="3" xfId="0" applyFont="1" applyBorder="1" applyAlignment="1">
      <alignment horizontal="center" vertical="center" wrapText="1"/>
    </xf>
    <xf numFmtId="0" fontId="10" fillId="0" borderId="3" xfId="0" applyFont="1" applyBorder="1" applyAlignment="1">
      <alignment horizontal="center" vertical="center"/>
    </xf>
    <xf numFmtId="0" fontId="10" fillId="0" borderId="4" xfId="0" applyFont="1" applyBorder="1" applyAlignment="1">
      <alignment horizontal="center" vertical="center" wrapText="1"/>
    </xf>
    <xf numFmtId="0" fontId="9" fillId="0" borderId="0" xfId="0" applyFont="1" applyAlignment="1">
      <alignment horizontal="center"/>
    </xf>
    <xf numFmtId="0" fontId="9" fillId="0" borderId="0" xfId="0" applyFont="1" applyAlignment="1">
      <alignment horizontal="center" vertical="center" wrapText="1"/>
    </xf>
    <xf numFmtId="0" fontId="11" fillId="0" borderId="0" xfId="0" applyFont="1"/>
    <xf numFmtId="0" fontId="10" fillId="0" borderId="0" xfId="0" applyFont="1" applyAlignment="1">
      <alignment horizontal="center"/>
    </xf>
    <xf numFmtId="0" fontId="0" fillId="0" borderId="0" xfId="0" applyAlignment="1">
      <alignment horizontal="center"/>
    </xf>
    <xf numFmtId="0" fontId="12" fillId="0" borderId="0" xfId="0" applyFont="1"/>
    <xf numFmtId="0" fontId="0" fillId="0" borderId="0" xfId="0" applyAlignment="1">
      <alignment horizontal="right"/>
    </xf>
    <xf numFmtId="0" fontId="0" fillId="0" borderId="0" xfId="0" quotePrefix="1" applyAlignment="1">
      <alignment horizontal="center"/>
    </xf>
    <xf numFmtId="49" fontId="0" fillId="0" borderId="0" xfId="0" applyNumberFormat="1" applyAlignment="1">
      <alignment horizontal="center"/>
    </xf>
    <xf numFmtId="0" fontId="9" fillId="0" borderId="0" xfId="0" applyFont="1" applyAlignment="1">
      <alignment horizontal="right"/>
    </xf>
    <xf numFmtId="0" fontId="9" fillId="0" borderId="3" xfId="0" applyFont="1" applyBorder="1" applyAlignment="1">
      <alignment horizontal="center" vertical="center"/>
    </xf>
    <xf numFmtId="0" fontId="9" fillId="0" borderId="5" xfId="0" applyFont="1" applyBorder="1" applyAlignment="1">
      <alignment horizontal="center" vertical="center"/>
    </xf>
    <xf numFmtId="0" fontId="9" fillId="0" borderId="6" xfId="0" applyFont="1" applyBorder="1" applyAlignment="1">
      <alignment horizontal="center" vertical="center"/>
    </xf>
    <xf numFmtId="0" fontId="9" fillId="0" borderId="4" xfId="0" applyFont="1" applyBorder="1" applyAlignment="1">
      <alignment horizontal="center" vertical="center"/>
    </xf>
    <xf numFmtId="14" fontId="9" fillId="0" borderId="1" xfId="0" applyNumberFormat="1" applyFont="1" applyBorder="1"/>
    <xf numFmtId="0" fontId="8" fillId="0" borderId="0" xfId="0" applyFont="1" applyAlignment="1">
      <alignment horizontal="center" vertical="center"/>
    </xf>
    <xf numFmtId="49" fontId="10" fillId="0" borderId="6" xfId="0" applyNumberFormat="1" applyFont="1" applyBorder="1" applyAlignment="1">
      <alignment horizontal="center" vertical="center" wrapText="1"/>
    </xf>
    <xf numFmtId="49" fontId="10" fillId="0" borderId="6" xfId="0" applyNumberFormat="1" applyFont="1" applyBorder="1" applyAlignment="1">
      <alignment horizontal="center" vertical="center"/>
    </xf>
    <xf numFmtId="49" fontId="9" fillId="0" borderId="6" xfId="0" applyNumberFormat="1" applyFont="1" applyBorder="1" applyAlignment="1">
      <alignment horizontal="center"/>
    </xf>
    <xf numFmtId="49" fontId="9" fillId="0" borderId="6" xfId="0" applyNumberFormat="1" applyFont="1" applyBorder="1" applyAlignment="1">
      <alignment horizontal="center" vertical="center"/>
    </xf>
    <xf numFmtId="14" fontId="9" fillId="0" borderId="0" xfId="0" applyNumberFormat="1" applyFont="1"/>
    <xf numFmtId="0" fontId="9" fillId="0" borderId="0" xfId="0" applyFont="1"/>
    <xf numFmtId="0" fontId="13" fillId="0" borderId="0" xfId="0" applyFont="1" applyAlignment="1">
      <alignment horizontal="center"/>
    </xf>
    <xf numFmtId="49" fontId="9" fillId="0" borderId="7" xfId="0" applyNumberFormat="1" applyFont="1" applyBorder="1" applyAlignment="1">
      <alignment horizontal="center" vertical="center"/>
    </xf>
    <xf numFmtId="0" fontId="9" fillId="0" borderId="8" xfId="0" applyFont="1" applyBorder="1" applyAlignment="1">
      <alignment horizontal="center" vertical="center"/>
    </xf>
    <xf numFmtId="0" fontId="9" fillId="0" borderId="9" xfId="0" applyFont="1" applyBorder="1" applyAlignment="1">
      <alignment horizontal="center" vertical="center"/>
    </xf>
    <xf numFmtId="0" fontId="9" fillId="0" borderId="10" xfId="0" applyFont="1" applyBorder="1" applyAlignment="1">
      <alignment horizontal="center" vertical="center"/>
    </xf>
    <xf numFmtId="0" fontId="9" fillId="0" borderId="11" xfId="0" applyFont="1" applyBorder="1" applyAlignment="1">
      <alignment horizontal="center" vertical="center"/>
    </xf>
    <xf numFmtId="0" fontId="9" fillId="0" borderId="12" xfId="0" applyFont="1" applyBorder="1" applyAlignment="1">
      <alignment horizontal="center" vertical="center"/>
    </xf>
    <xf numFmtId="0" fontId="11" fillId="0" borderId="1" xfId="0" applyFont="1" applyBorder="1"/>
    <xf numFmtId="0" fontId="12" fillId="0" borderId="13" xfId="0" applyFont="1" applyBorder="1" applyAlignment="1">
      <alignment horizontal="centerContinuous" vertical="center"/>
    </xf>
    <xf numFmtId="0" fontId="11" fillId="0" borderId="14" xfId="0" applyFont="1" applyBorder="1" applyAlignment="1">
      <alignment vertical="top"/>
    </xf>
    <xf numFmtId="0" fontId="11" fillId="0" borderId="15" xfId="0" applyFont="1" applyBorder="1" applyAlignment="1">
      <alignment vertical="top"/>
    </xf>
    <xf numFmtId="0" fontId="11" fillId="0" borderId="16" xfId="0" applyFont="1" applyBorder="1" applyAlignment="1">
      <alignment vertical="top"/>
    </xf>
    <xf numFmtId="0" fontId="11" fillId="0" borderId="17" xfId="0" applyFont="1" applyBorder="1" applyAlignment="1">
      <alignment vertical="top"/>
    </xf>
    <xf numFmtId="0" fontId="9" fillId="0" borderId="10" xfId="0" quotePrefix="1" applyFont="1" applyBorder="1" applyAlignment="1">
      <alignment horizontal="center" vertical="center"/>
    </xf>
    <xf numFmtId="0" fontId="12" fillId="0" borderId="3" xfId="0" applyFont="1" applyBorder="1" applyAlignment="1">
      <alignment horizontal="center" vertical="center" wrapText="1"/>
    </xf>
    <xf numFmtId="0" fontId="12" fillId="0" borderId="3" xfId="0" applyFont="1" applyBorder="1" applyAlignment="1">
      <alignment horizontal="left" vertical="center"/>
    </xf>
    <xf numFmtId="0" fontId="12" fillId="0" borderId="1" xfId="0" applyFont="1" applyBorder="1"/>
    <xf numFmtId="0" fontId="12" fillId="0" borderId="2" xfId="0" applyFont="1" applyBorder="1"/>
    <xf numFmtId="0" fontId="9" fillId="0" borderId="26" xfId="0" applyFont="1" applyBorder="1" applyAlignment="1">
      <alignment horizontal="center" vertical="center"/>
    </xf>
    <xf numFmtId="0" fontId="9" fillId="2" borderId="3" xfId="0" applyFont="1" applyFill="1" applyBorder="1" applyAlignment="1">
      <alignment horizontal="center" vertical="center"/>
    </xf>
    <xf numFmtId="0" fontId="9" fillId="2" borderId="4" xfId="0" applyFont="1" applyFill="1" applyBorder="1" applyAlignment="1">
      <alignment horizontal="center" vertical="center"/>
    </xf>
    <xf numFmtId="0" fontId="9" fillId="2" borderId="10" xfId="0" applyFont="1" applyFill="1" applyBorder="1" applyAlignment="1">
      <alignment horizontal="center" vertical="center"/>
    </xf>
    <xf numFmtId="0" fontId="9" fillId="2" borderId="5" xfId="0" applyFont="1" applyFill="1" applyBorder="1" applyAlignment="1">
      <alignment horizontal="center" vertical="center"/>
    </xf>
    <xf numFmtId="0" fontId="9" fillId="2" borderId="9" xfId="0" applyFont="1" applyFill="1" applyBorder="1" applyAlignment="1">
      <alignment horizontal="center" vertical="center"/>
    </xf>
    <xf numFmtId="0" fontId="9" fillId="2" borderId="11" xfId="0" applyFont="1" applyFill="1" applyBorder="1" applyAlignment="1">
      <alignment horizontal="center" vertical="center"/>
    </xf>
    <xf numFmtId="0" fontId="9" fillId="3" borderId="6" xfId="0" applyFont="1" applyFill="1" applyBorder="1" applyAlignment="1">
      <alignment horizontal="center" vertical="center"/>
    </xf>
    <xf numFmtId="0" fontId="9" fillId="3" borderId="8" xfId="0" applyFont="1" applyFill="1" applyBorder="1" applyAlignment="1">
      <alignment horizontal="center" vertical="center"/>
    </xf>
    <xf numFmtId="0" fontId="9" fillId="3" borderId="10" xfId="0" applyFont="1" applyFill="1" applyBorder="1" applyAlignment="1">
      <alignment horizontal="center" vertical="center"/>
    </xf>
    <xf numFmtId="0" fontId="9" fillId="3" borderId="5" xfId="0" applyFont="1" applyFill="1" applyBorder="1" applyAlignment="1">
      <alignment horizontal="center" vertical="center"/>
    </xf>
    <xf numFmtId="0" fontId="9" fillId="3" borderId="9" xfId="0" applyFont="1" applyFill="1" applyBorder="1" applyAlignment="1">
      <alignment horizontal="center" vertical="center"/>
    </xf>
    <xf numFmtId="0" fontId="9" fillId="3" borderId="12" xfId="0" applyFont="1" applyFill="1" applyBorder="1" applyAlignment="1">
      <alignment horizontal="center" vertical="center"/>
    </xf>
    <xf numFmtId="0" fontId="9" fillId="3" borderId="11" xfId="0" applyFont="1" applyFill="1" applyBorder="1" applyAlignment="1">
      <alignment horizontal="center" vertical="center"/>
    </xf>
    <xf numFmtId="0" fontId="9" fillId="3" borderId="3" xfId="0" applyFont="1" applyFill="1" applyBorder="1" applyAlignment="1">
      <alignment horizontal="center" vertical="center"/>
    </xf>
    <xf numFmtId="0" fontId="9" fillId="3" borderId="4" xfId="0" applyFont="1" applyFill="1" applyBorder="1" applyAlignment="1">
      <alignment horizontal="center" vertical="center"/>
    </xf>
    <xf numFmtId="0" fontId="9" fillId="3" borderId="10" xfId="0" quotePrefix="1" applyFont="1" applyFill="1" applyBorder="1" applyAlignment="1">
      <alignment horizontal="center" vertical="center"/>
    </xf>
    <xf numFmtId="49" fontId="13" fillId="0" borderId="7" xfId="0" applyNumberFormat="1" applyFont="1" applyBorder="1" applyAlignment="1">
      <alignment horizontal="center" vertical="center"/>
    </xf>
    <xf numFmtId="0" fontId="14" fillId="0" borderId="0" xfId="0" applyFont="1" applyAlignment="1">
      <alignment vertical="center"/>
    </xf>
    <xf numFmtId="14" fontId="13" fillId="0" borderId="0" xfId="0" applyNumberFormat="1" applyFont="1" applyAlignment="1">
      <alignment vertical="center"/>
    </xf>
    <xf numFmtId="0" fontId="13" fillId="0" borderId="0" xfId="0" applyFont="1" applyAlignment="1">
      <alignment vertical="center"/>
    </xf>
    <xf numFmtId="0" fontId="13" fillId="0" borderId="0" xfId="0" applyFont="1" applyAlignment="1">
      <alignment horizontal="center" vertical="center"/>
    </xf>
    <xf numFmtId="0" fontId="14" fillId="0" borderId="14" xfId="0" applyFont="1" applyBorder="1" applyAlignment="1">
      <alignment vertical="center"/>
    </xf>
    <xf numFmtId="0" fontId="14" fillId="0" borderId="15" xfId="0" applyFont="1" applyBorder="1" applyAlignment="1">
      <alignment vertical="center"/>
    </xf>
    <xf numFmtId="0" fontId="9" fillId="4" borderId="10" xfId="0" quotePrefix="1" applyFont="1" applyFill="1" applyBorder="1" applyAlignment="1">
      <alignment horizontal="center" vertical="center"/>
    </xf>
    <xf numFmtId="0" fontId="9" fillId="4" borderId="10" xfId="0" applyFont="1" applyFill="1" applyBorder="1" applyAlignment="1">
      <alignment horizontal="center" vertical="center"/>
    </xf>
    <xf numFmtId="0" fontId="9" fillId="4" borderId="11" xfId="0" applyFont="1" applyFill="1" applyBorder="1" applyAlignment="1">
      <alignment horizontal="center" vertical="center"/>
    </xf>
    <xf numFmtId="0" fontId="0" fillId="0" borderId="5" xfId="0" applyBorder="1"/>
    <xf numFmtId="49" fontId="10" fillId="0" borderId="7" xfId="0" applyNumberFormat="1" applyFont="1" applyBorder="1" applyAlignment="1">
      <alignment horizontal="center" vertical="center" wrapText="1"/>
    </xf>
    <xf numFmtId="49" fontId="9" fillId="0" borderId="7" xfId="0" applyNumberFormat="1" applyFont="1" applyBorder="1" applyAlignment="1">
      <alignment horizontal="center"/>
    </xf>
    <xf numFmtId="0" fontId="9" fillId="0" borderId="30" xfId="0" applyFont="1" applyBorder="1" applyAlignment="1">
      <alignment horizontal="center" vertical="center"/>
    </xf>
    <xf numFmtId="0" fontId="9" fillId="0" borderId="31" xfId="0" applyFont="1" applyBorder="1" applyAlignment="1">
      <alignment horizontal="center" vertical="center"/>
    </xf>
    <xf numFmtId="0" fontId="11" fillId="0" borderId="14" xfId="0" applyFont="1" applyBorder="1" applyAlignment="1">
      <alignment horizontal="center" vertical="top"/>
    </xf>
    <xf numFmtId="166" fontId="14" fillId="0" borderId="32" xfId="0" applyNumberFormat="1" applyFont="1" applyBorder="1" applyAlignment="1">
      <alignment horizontal="center" vertical="center" wrapText="1"/>
    </xf>
    <xf numFmtId="0" fontId="11" fillId="0" borderId="17" xfId="0" applyFont="1" applyBorder="1" applyAlignment="1">
      <alignment horizontal="center" vertical="top"/>
    </xf>
    <xf numFmtId="0" fontId="18" fillId="0" borderId="6" xfId="0" applyFont="1" applyBorder="1" applyAlignment="1">
      <alignment horizontal="center" vertical="center"/>
    </xf>
    <xf numFmtId="166" fontId="14" fillId="0" borderId="29" xfId="0" applyNumberFormat="1" applyFont="1" applyBorder="1" applyAlignment="1">
      <alignment horizontal="center" vertical="center" wrapText="1"/>
    </xf>
    <xf numFmtId="0" fontId="17" fillId="0" borderId="0" xfId="0" quotePrefix="1" applyFont="1"/>
    <xf numFmtId="0" fontId="7" fillId="0" borderId="0" xfId="1"/>
    <xf numFmtId="0" fontId="6" fillId="0" borderId="0" xfId="1" applyFont="1"/>
    <xf numFmtId="0" fontId="5" fillId="0" borderId="0" xfId="1" applyFont="1"/>
    <xf numFmtId="0" fontId="4" fillId="0" borderId="0" xfId="2"/>
    <xf numFmtId="166" fontId="4" fillId="0" borderId="0" xfId="2" applyNumberFormat="1"/>
    <xf numFmtId="0" fontId="11" fillId="0" borderId="33" xfId="2" quotePrefix="1" applyFont="1" applyBorder="1" applyAlignment="1">
      <alignment horizontal="center"/>
    </xf>
    <xf numFmtId="0" fontId="4" fillId="0" borderId="33" xfId="2" applyBorder="1" applyAlignment="1">
      <alignment horizontal="center"/>
    </xf>
    <xf numFmtId="0" fontId="4" fillId="0" borderId="33" xfId="2" applyBorder="1"/>
    <xf numFmtId="0" fontId="11" fillId="0" borderId="33" xfId="2" applyFont="1" applyBorder="1" applyAlignment="1">
      <alignment horizontal="center"/>
    </xf>
    <xf numFmtId="0" fontId="4" fillId="0" borderId="0" xfId="2" applyAlignment="1">
      <alignment wrapText="1"/>
    </xf>
    <xf numFmtId="0" fontId="21" fillId="0" borderId="0" xfId="2" applyFont="1" applyAlignment="1">
      <alignment horizontal="center" wrapText="1"/>
    </xf>
    <xf numFmtId="0" fontId="20" fillId="0" borderId="0" xfId="2" applyFont="1" applyAlignment="1">
      <alignment wrapText="1"/>
    </xf>
    <xf numFmtId="0" fontId="22" fillId="0" borderId="0" xfId="2" applyFont="1" applyAlignment="1">
      <alignment horizontal="centerContinuous" wrapText="1"/>
    </xf>
    <xf numFmtId="0" fontId="20" fillId="0" borderId="0" xfId="2" applyFont="1" applyAlignment="1">
      <alignment horizontal="right"/>
    </xf>
    <xf numFmtId="0" fontId="22" fillId="0" borderId="0" xfId="2" applyFont="1" applyAlignment="1">
      <alignment horizontal="center"/>
    </xf>
    <xf numFmtId="16" fontId="4" fillId="0" borderId="0" xfId="2" applyNumberFormat="1"/>
    <xf numFmtId="16" fontId="22" fillId="0" borderId="0" xfId="2" applyNumberFormat="1" applyFont="1" applyAlignment="1">
      <alignment horizontal="center"/>
    </xf>
    <xf numFmtId="0" fontId="20" fillId="0" borderId="0" xfId="2" applyFont="1"/>
    <xf numFmtId="9" fontId="4" fillId="0" borderId="0" xfId="2" applyNumberFormat="1" applyAlignment="1">
      <alignment wrapText="1"/>
    </xf>
    <xf numFmtId="1" fontId="0" fillId="0" borderId="0" xfId="0" applyNumberFormat="1" applyAlignment="1">
      <alignment horizontal="center" vertical="center"/>
    </xf>
    <xf numFmtId="1" fontId="0" fillId="0" borderId="0" xfId="0" applyNumberFormat="1"/>
    <xf numFmtId="167" fontId="11" fillId="0" borderId="0" xfId="0" applyNumberFormat="1" applyFont="1"/>
    <xf numFmtId="2" fontId="0" fillId="0" borderId="0" xfId="0" applyNumberFormat="1"/>
    <xf numFmtId="0" fontId="3" fillId="0" borderId="0" xfId="1" applyFont="1"/>
    <xf numFmtId="0" fontId="11" fillId="0" borderId="0" xfId="3"/>
    <xf numFmtId="0" fontId="9" fillId="0" borderId="33" xfId="3" applyFont="1" applyBorder="1" applyAlignment="1">
      <alignment horizontal="center" vertical="center"/>
    </xf>
    <xf numFmtId="0" fontId="9" fillId="0" borderId="33" xfId="3" quotePrefix="1" applyFont="1" applyBorder="1" applyAlignment="1">
      <alignment horizontal="center" vertical="center"/>
    </xf>
    <xf numFmtId="165" fontId="11" fillId="0" borderId="33" xfId="3" applyNumberFormat="1" applyBorder="1" applyAlignment="1">
      <alignment horizontal="center" vertical="center" wrapText="1"/>
    </xf>
    <xf numFmtId="0" fontId="15" fillId="0" borderId="33" xfId="3" applyFont="1" applyBorder="1" applyAlignment="1">
      <alignment horizontal="center" vertical="center"/>
    </xf>
    <xf numFmtId="164" fontId="13" fillId="0" borderId="33" xfId="3" quotePrefix="1" applyNumberFormat="1" applyFont="1" applyBorder="1" applyAlignment="1">
      <alignment horizontal="center" vertical="center"/>
    </xf>
    <xf numFmtId="0" fontId="11" fillId="0" borderId="0" xfId="3" applyAlignment="1">
      <alignment horizontal="center"/>
    </xf>
    <xf numFmtId="165" fontId="11" fillId="0" borderId="33" xfId="3" applyNumberFormat="1" applyBorder="1" applyAlignment="1">
      <alignment horizontal="center" vertical="center"/>
    </xf>
    <xf numFmtId="0" fontId="23" fillId="0" borderId="6" xfId="3" applyFont="1" applyBorder="1" applyAlignment="1">
      <alignment vertical="top" wrapText="1"/>
    </xf>
    <xf numFmtId="0" fontId="23" fillId="0" borderId="7" xfId="3" applyFont="1" applyBorder="1" applyAlignment="1">
      <alignment vertical="top" wrapText="1"/>
    </xf>
    <xf numFmtId="0" fontId="10" fillId="0" borderId="0" xfId="3" applyFont="1" applyAlignment="1">
      <alignment horizontal="center"/>
    </xf>
    <xf numFmtId="0" fontId="13" fillId="0" borderId="33" xfId="3" quotePrefix="1" applyFont="1" applyBorder="1" applyAlignment="1">
      <alignment horizontal="center" vertical="center"/>
    </xf>
    <xf numFmtId="0" fontId="9" fillId="0" borderId="0" xfId="3" applyFont="1" applyAlignment="1">
      <alignment horizontal="center"/>
    </xf>
    <xf numFmtId="0" fontId="9" fillId="0" borderId="0" xfId="3" applyFont="1" applyAlignment="1">
      <alignment horizontal="right"/>
    </xf>
    <xf numFmtId="49" fontId="11" fillId="0" borderId="0" xfId="3" applyNumberFormat="1" applyAlignment="1">
      <alignment horizontal="center"/>
    </xf>
    <xf numFmtId="0" fontId="11" fillId="0" borderId="0" xfId="3" quotePrefix="1" applyAlignment="1">
      <alignment horizontal="center"/>
    </xf>
    <xf numFmtId="0" fontId="11" fillId="0" borderId="0" xfId="3" applyAlignment="1">
      <alignment horizontal="right"/>
    </xf>
    <xf numFmtId="0" fontId="12" fillId="0" borderId="0" xfId="3" applyFont="1"/>
    <xf numFmtId="49" fontId="9" fillId="0" borderId="7" xfId="3" applyNumberFormat="1" applyFont="1" applyBorder="1" applyAlignment="1">
      <alignment horizontal="center" vertical="center"/>
    </xf>
    <xf numFmtId="49" fontId="9" fillId="0" borderId="7" xfId="3" applyNumberFormat="1" applyFont="1" applyBorder="1" applyAlignment="1">
      <alignment horizontal="center"/>
    </xf>
    <xf numFmtId="49" fontId="10" fillId="0" borderId="7" xfId="3" applyNumberFormat="1" applyFont="1" applyBorder="1" applyAlignment="1">
      <alignment horizontal="center" vertical="center" wrapText="1"/>
    </xf>
    <xf numFmtId="49" fontId="10" fillId="0" borderId="7" xfId="3" applyNumberFormat="1" applyFont="1" applyBorder="1" applyAlignment="1">
      <alignment horizontal="center" vertical="center"/>
    </xf>
    <xf numFmtId="0" fontId="9" fillId="0" borderId="13" xfId="3" applyFont="1" applyBorder="1" applyAlignment="1">
      <alignment horizontal="center" vertical="center"/>
    </xf>
    <xf numFmtId="0" fontId="12" fillId="0" borderId="13" xfId="3" applyFont="1" applyBorder="1" applyAlignment="1">
      <alignment horizontal="centerContinuous" vertical="center"/>
    </xf>
    <xf numFmtId="0" fontId="9" fillId="0" borderId="0" xfId="3" applyFont="1" applyAlignment="1">
      <alignment horizontal="center" vertical="center" wrapText="1"/>
    </xf>
    <xf numFmtId="0" fontId="9" fillId="0" borderId="18" xfId="3" applyFont="1" applyBorder="1" applyAlignment="1">
      <alignment horizontal="center" vertical="center"/>
    </xf>
    <xf numFmtId="0" fontId="9" fillId="0" borderId="36" xfId="3" applyFont="1" applyBorder="1" applyAlignment="1">
      <alignment horizontal="center" vertical="center"/>
    </xf>
    <xf numFmtId="0" fontId="10" fillId="0" borderId="36" xfId="3" applyFont="1" applyBorder="1" applyAlignment="1">
      <alignment horizontal="center" vertical="center" wrapText="1"/>
    </xf>
    <xf numFmtId="0" fontId="10" fillId="0" borderId="33" xfId="3" applyFont="1" applyBorder="1" applyAlignment="1">
      <alignment horizontal="center" vertical="center" wrapText="1"/>
    </xf>
    <xf numFmtId="0" fontId="10" fillId="0" borderId="33" xfId="3" applyFont="1" applyBorder="1" applyAlignment="1">
      <alignment horizontal="center" vertical="center"/>
    </xf>
    <xf numFmtId="0" fontId="8" fillId="0" borderId="0" xfId="3" applyFont="1" applyAlignment="1">
      <alignment horizontal="center" vertical="center"/>
    </xf>
    <xf numFmtId="0" fontId="11" fillId="0" borderId="0" xfId="3" applyAlignment="1">
      <alignment horizontal="center" vertical="center"/>
    </xf>
    <xf numFmtId="0" fontId="13" fillId="0" borderId="0" xfId="3" applyFont="1" applyAlignment="1">
      <alignment horizontal="center"/>
    </xf>
    <xf numFmtId="0" fontId="13" fillId="0" borderId="37" xfId="3" applyFont="1" applyBorder="1" applyAlignment="1">
      <alignment horizontal="center"/>
    </xf>
    <xf numFmtId="0" fontId="9" fillId="0" borderId="0" xfId="3" applyFont="1"/>
    <xf numFmtId="0" fontId="11" fillId="0" borderId="2" xfId="3" applyBorder="1"/>
    <xf numFmtId="0" fontId="9" fillId="0" borderId="1" xfId="3" applyFont="1" applyBorder="1"/>
    <xf numFmtId="0" fontId="11" fillId="0" borderId="1" xfId="3" applyBorder="1"/>
    <xf numFmtId="14" fontId="9" fillId="0" borderId="0" xfId="3" applyNumberFormat="1" applyFont="1"/>
    <xf numFmtId="14" fontId="9" fillId="0" borderId="1" xfId="3" applyNumberFormat="1" applyFont="1" applyBorder="1"/>
    <xf numFmtId="0" fontId="8" fillId="0" borderId="0" xfId="3" applyFont="1"/>
    <xf numFmtId="166" fontId="11" fillId="0" borderId="0" xfId="3" applyNumberFormat="1"/>
    <xf numFmtId="167" fontId="0" fillId="0" borderId="0" xfId="0" applyNumberFormat="1"/>
    <xf numFmtId="0" fontId="2" fillId="0" borderId="0" xfId="1" applyFont="1"/>
    <xf numFmtId="164" fontId="13" fillId="0" borderId="18" xfId="0" quotePrefix="1" applyNumberFormat="1" applyFont="1" applyBorder="1" applyAlignment="1">
      <alignment horizontal="center" vertical="center"/>
    </xf>
    <xf numFmtId="0" fontId="14" fillId="0" borderId="13" xfId="0" applyFont="1" applyBorder="1" applyAlignment="1">
      <alignment horizontal="center" vertical="center"/>
    </xf>
    <xf numFmtId="0" fontId="15" fillId="0" borderId="19" xfId="0" applyFont="1" applyBorder="1" applyAlignment="1">
      <alignment horizontal="center" vertical="center"/>
    </xf>
    <xf numFmtId="0" fontId="15" fillId="0" borderId="13" xfId="0" applyFont="1" applyBorder="1" applyAlignment="1">
      <alignment horizontal="center" vertical="center"/>
    </xf>
    <xf numFmtId="165" fontId="11" fillId="0" borderId="19" xfId="0" applyNumberFormat="1" applyFont="1" applyBorder="1" applyAlignment="1">
      <alignment horizontal="center" vertical="center"/>
    </xf>
    <xf numFmtId="165" fontId="11" fillId="0" borderId="13" xfId="0" applyNumberFormat="1" applyFont="1" applyBorder="1" applyAlignment="1">
      <alignment horizontal="center" vertical="center"/>
    </xf>
    <xf numFmtId="0" fontId="11" fillId="0" borderId="20" xfId="0" applyFont="1" applyBorder="1" applyAlignment="1">
      <alignment vertical="top" wrapText="1"/>
    </xf>
    <xf numFmtId="0" fontId="11" fillId="0" borderId="21" xfId="0" applyFont="1" applyBorder="1" applyAlignment="1">
      <alignment vertical="top" wrapText="1"/>
    </xf>
    <xf numFmtId="0" fontId="0" fillId="0" borderId="13" xfId="0" applyBorder="1" applyAlignment="1">
      <alignment horizontal="center" vertical="center"/>
    </xf>
    <xf numFmtId="0" fontId="13" fillId="0" borderId="18" xfId="0" quotePrefix="1" applyFont="1" applyBorder="1" applyAlignment="1">
      <alignment horizontal="center" vertical="center"/>
    </xf>
    <xf numFmtId="0" fontId="8" fillId="0" borderId="0" xfId="0" applyFont="1" applyAlignment="1">
      <alignment horizontal="center" vertical="center"/>
    </xf>
    <xf numFmtId="0" fontId="13" fillId="0" borderId="8" xfId="0" applyFont="1" applyBorder="1" applyAlignment="1">
      <alignment horizontal="center"/>
    </xf>
    <xf numFmtId="0" fontId="13" fillId="0" borderId="22" xfId="0" applyFont="1" applyBorder="1" applyAlignment="1">
      <alignment horizontal="center"/>
    </xf>
    <xf numFmtId="0" fontId="13" fillId="0" borderId="23" xfId="0" applyFont="1" applyBorder="1" applyAlignment="1">
      <alignment horizontal="center"/>
    </xf>
    <xf numFmtId="0" fontId="9" fillId="0" borderId="18" xfId="0" applyFont="1" applyBorder="1" applyAlignment="1">
      <alignment horizontal="center" vertical="center"/>
    </xf>
    <xf numFmtId="0" fontId="9" fillId="0" borderId="9" xfId="0" applyFont="1" applyBorder="1" applyAlignment="1">
      <alignment horizontal="right"/>
    </xf>
    <xf numFmtId="0" fontId="0" fillId="0" borderId="24" xfId="0" applyBorder="1" applyAlignment="1">
      <alignment horizontal="right"/>
    </xf>
    <xf numFmtId="0" fontId="0" fillId="0" borderId="25" xfId="0" applyBorder="1" applyAlignment="1">
      <alignment horizontal="right"/>
    </xf>
    <xf numFmtId="165" fontId="11" fillId="0" borderId="18" xfId="0" applyNumberFormat="1" applyFont="1" applyBorder="1" applyAlignment="1">
      <alignment horizontal="center" vertical="center"/>
    </xf>
    <xf numFmtId="0" fontId="13" fillId="0" borderId="4" xfId="0" applyFont="1" applyBorder="1" applyAlignment="1">
      <alignment horizontal="center"/>
    </xf>
    <xf numFmtId="0" fontId="13" fillId="2" borderId="18" xfId="0" quotePrefix="1" applyFont="1" applyFill="1" applyBorder="1" applyAlignment="1">
      <alignment horizontal="center" vertical="center"/>
    </xf>
    <xf numFmtId="0" fontId="14" fillId="2" borderId="13" xfId="0" applyFont="1" applyFill="1" applyBorder="1" applyAlignment="1">
      <alignment horizontal="center" vertical="center"/>
    </xf>
    <xf numFmtId="0" fontId="15" fillId="2" borderId="19" xfId="0" applyFont="1" applyFill="1" applyBorder="1" applyAlignment="1">
      <alignment horizontal="center" vertical="center"/>
    </xf>
    <xf numFmtId="0" fontId="0" fillId="2" borderId="13" xfId="0" applyFill="1" applyBorder="1" applyAlignment="1">
      <alignment horizontal="center" vertical="center"/>
    </xf>
    <xf numFmtId="165" fontId="11" fillId="2" borderId="19" xfId="0" applyNumberFormat="1" applyFont="1" applyFill="1" applyBorder="1" applyAlignment="1">
      <alignment horizontal="center" vertical="center"/>
    </xf>
    <xf numFmtId="165" fontId="11" fillId="2" borderId="13" xfId="0" applyNumberFormat="1" applyFont="1" applyFill="1" applyBorder="1" applyAlignment="1">
      <alignment horizontal="center" vertical="center"/>
    </xf>
    <xf numFmtId="0" fontId="11" fillId="2" borderId="14" xfId="0" applyFont="1" applyFill="1" applyBorder="1" applyAlignment="1">
      <alignment vertical="center" wrapText="1"/>
    </xf>
    <xf numFmtId="0" fontId="11" fillId="2" borderId="17" xfId="0" applyFont="1" applyFill="1" applyBorder="1" applyAlignment="1">
      <alignment vertical="center" wrapText="1"/>
    </xf>
    <xf numFmtId="0" fontId="14" fillId="0" borderId="20" xfId="0" applyFont="1" applyBorder="1" applyAlignment="1">
      <alignment vertical="center" wrapText="1"/>
    </xf>
    <xf numFmtId="0" fontId="14" fillId="0" borderId="21" xfId="0" applyFont="1" applyBorder="1" applyAlignment="1">
      <alignment vertical="center" wrapText="1"/>
    </xf>
    <xf numFmtId="164" fontId="13" fillId="3" borderId="18" xfId="0" quotePrefix="1" applyNumberFormat="1" applyFont="1" applyFill="1" applyBorder="1" applyAlignment="1">
      <alignment horizontal="center" vertical="center"/>
    </xf>
    <xf numFmtId="0" fontId="14" fillId="3" borderId="13" xfId="0" applyFont="1" applyFill="1" applyBorder="1" applyAlignment="1">
      <alignment horizontal="center" vertical="center"/>
    </xf>
    <xf numFmtId="0" fontId="15" fillId="3" borderId="19" xfId="0" applyFont="1" applyFill="1" applyBorder="1" applyAlignment="1">
      <alignment horizontal="center" vertical="center"/>
    </xf>
    <xf numFmtId="0" fontId="15" fillId="3" borderId="13" xfId="0" applyFont="1" applyFill="1" applyBorder="1" applyAlignment="1">
      <alignment horizontal="center" vertical="center"/>
    </xf>
    <xf numFmtId="165" fontId="11" fillId="3" borderId="19" xfId="0" applyNumberFormat="1" applyFont="1" applyFill="1" applyBorder="1" applyAlignment="1">
      <alignment horizontal="center" vertical="center"/>
    </xf>
    <xf numFmtId="165" fontId="11" fillId="3" borderId="13" xfId="0" applyNumberFormat="1" applyFont="1" applyFill="1" applyBorder="1" applyAlignment="1">
      <alignment horizontal="center" vertical="center"/>
    </xf>
    <xf numFmtId="0" fontId="14" fillId="3" borderId="14" xfId="0" applyFont="1" applyFill="1" applyBorder="1" applyAlignment="1">
      <alignment vertical="center" wrapText="1"/>
    </xf>
    <xf numFmtId="0" fontId="14" fillId="3" borderId="17" xfId="0" applyFont="1" applyFill="1" applyBorder="1" applyAlignment="1">
      <alignment vertical="center" wrapText="1"/>
    </xf>
    <xf numFmtId="0" fontId="13" fillId="3" borderId="18" xfId="0" quotePrefix="1" applyFont="1" applyFill="1" applyBorder="1" applyAlignment="1">
      <alignment horizontal="center" vertical="center"/>
    </xf>
    <xf numFmtId="0" fontId="14" fillId="0" borderId="14" xfId="0" applyFont="1" applyBorder="1" applyAlignment="1">
      <alignment vertical="center" wrapText="1"/>
    </xf>
    <xf numFmtId="0" fontId="14" fillId="0" borderId="17" xfId="0" applyFont="1" applyBorder="1" applyAlignment="1">
      <alignment vertical="center" wrapText="1"/>
    </xf>
    <xf numFmtId="0" fontId="13" fillId="0" borderId="18" xfId="0" applyFont="1" applyBorder="1" applyAlignment="1">
      <alignment horizontal="center" vertical="center"/>
    </xf>
    <xf numFmtId="0" fontId="11" fillId="0" borderId="14" xfId="0" applyFont="1" applyBorder="1" applyAlignment="1">
      <alignment horizontal="center" vertical="center" wrapText="1"/>
    </xf>
    <xf numFmtId="0" fontId="11" fillId="0" borderId="17" xfId="0" applyFont="1" applyBorder="1" applyAlignment="1">
      <alignment horizontal="center" vertical="center" wrapText="1"/>
    </xf>
    <xf numFmtId="0" fontId="13" fillId="0" borderId="28" xfId="0" quotePrefix="1" applyFont="1" applyBorder="1" applyAlignment="1">
      <alignment horizontal="center" vertical="center"/>
    </xf>
    <xf numFmtId="0" fontId="14" fillId="0" borderId="27" xfId="0" applyFont="1" applyBorder="1" applyAlignment="1">
      <alignment horizontal="center" vertical="center"/>
    </xf>
    <xf numFmtId="0" fontId="11" fillId="0" borderId="35" xfId="3" applyBorder="1" applyAlignment="1">
      <alignment wrapText="1"/>
    </xf>
    <xf numFmtId="0" fontId="11" fillId="0" borderId="34" xfId="3" applyBorder="1" applyAlignment="1">
      <alignment wrapText="1"/>
    </xf>
    <xf numFmtId="0" fontId="11" fillId="0" borderId="8" xfId="3" applyBorder="1" applyAlignment="1">
      <alignment wrapText="1"/>
    </xf>
    <xf numFmtId="0" fontId="8" fillId="0" borderId="0" xfId="3" applyFont="1" applyAlignment="1">
      <alignment horizontal="center" vertical="center"/>
    </xf>
    <xf numFmtId="0" fontId="13" fillId="0" borderId="36" xfId="3" applyFont="1" applyBorder="1" applyAlignment="1">
      <alignment horizontal="center"/>
    </xf>
    <xf numFmtId="0" fontId="13" fillId="0" borderId="22" xfId="3" applyFont="1" applyBorder="1" applyAlignment="1">
      <alignment horizontal="center"/>
    </xf>
    <xf numFmtId="0" fontId="9" fillId="0" borderId="9" xfId="3" applyFont="1" applyBorder="1" applyAlignment="1">
      <alignment horizontal="right"/>
    </xf>
    <xf numFmtId="0" fontId="11" fillId="0" borderId="24" xfId="3" applyBorder="1" applyAlignment="1">
      <alignment horizontal="right"/>
    </xf>
    <xf numFmtId="0" fontId="11" fillId="0" borderId="25" xfId="3" applyBorder="1" applyAlignment="1">
      <alignment horizontal="right"/>
    </xf>
    <xf numFmtId="0" fontId="13" fillId="0" borderId="38" xfId="3" applyFont="1" applyBorder="1" applyAlignment="1">
      <alignment horizontal="center"/>
    </xf>
    <xf numFmtId="0" fontId="23" fillId="0" borderId="18" xfId="3" applyFont="1" applyBorder="1" applyAlignment="1">
      <alignment vertical="top" wrapText="1"/>
    </xf>
    <xf numFmtId="0" fontId="11" fillId="0" borderId="7" xfId="3" applyBorder="1" applyAlignment="1">
      <alignment vertical="top" wrapText="1"/>
    </xf>
    <xf numFmtId="2" fontId="14" fillId="0" borderId="0" xfId="3" applyNumberFormat="1" applyFont="1" applyAlignment="1">
      <alignment horizontal="center" vertical="center"/>
    </xf>
    <xf numFmtId="0" fontId="11" fillId="0" borderId="39" xfId="3" applyBorder="1" applyAlignment="1">
      <alignment wrapText="1"/>
    </xf>
    <xf numFmtId="0" fontId="24" fillId="0" borderId="12" xfId="3" quotePrefix="1" applyFont="1" applyBorder="1" applyAlignment="1">
      <alignment horizontal="center" vertical="center"/>
    </xf>
    <xf numFmtId="0" fontId="24" fillId="0" borderId="12" xfId="3" applyFont="1" applyBorder="1" applyAlignment="1">
      <alignment horizontal="center" vertical="center"/>
    </xf>
    <xf numFmtId="0" fontId="9" fillId="0" borderId="40" xfId="3" applyFont="1" applyBorder="1" applyAlignment="1">
      <alignment horizontal="center" vertical="center"/>
    </xf>
    <xf numFmtId="165" fontId="25" fillId="0" borderId="13" xfId="3" applyNumberFormat="1" applyFont="1" applyBorder="1" applyAlignment="1">
      <alignment horizontal="center" vertical="center" wrapText="1"/>
    </xf>
    <xf numFmtId="0" fontId="9" fillId="0" borderId="5" xfId="3" applyFont="1" applyBorder="1" applyAlignment="1">
      <alignment horizontal="center" vertical="center"/>
    </xf>
    <xf numFmtId="0" fontId="15" fillId="0" borderId="13" xfId="3" applyFont="1" applyBorder="1" applyAlignment="1">
      <alignment horizontal="center" vertical="center"/>
    </xf>
    <xf numFmtId="0" fontId="14" fillId="0" borderId="13" xfId="3" applyFont="1" applyBorder="1" applyAlignment="1">
      <alignment horizontal="center" vertical="center"/>
    </xf>
    <xf numFmtId="0" fontId="24" fillId="0" borderId="41" xfId="3" quotePrefix="1" applyFont="1" applyBorder="1" applyAlignment="1">
      <alignment horizontal="center" vertical="center"/>
    </xf>
    <xf numFmtId="0" fontId="24" fillId="0" borderId="41" xfId="3" applyFont="1" applyBorder="1" applyAlignment="1">
      <alignment horizontal="center" vertical="center"/>
    </xf>
    <xf numFmtId="0" fontId="9" fillId="0" borderId="42" xfId="3" applyFont="1" applyBorder="1" applyAlignment="1">
      <alignment horizontal="center" vertical="center"/>
    </xf>
    <xf numFmtId="165" fontId="25" fillId="0" borderId="19" xfId="3" applyNumberFormat="1" applyFont="1" applyBorder="1" applyAlignment="1">
      <alignment horizontal="center" vertical="center" wrapText="1"/>
    </xf>
    <xf numFmtId="0" fontId="15" fillId="0" borderId="19" xfId="3" applyFont="1" applyBorder="1" applyAlignment="1">
      <alignment horizontal="center" vertical="center"/>
    </xf>
    <xf numFmtId="164" fontId="13" fillId="0" borderId="18" xfId="3" quotePrefix="1" applyNumberFormat="1" applyFont="1" applyBorder="1" applyAlignment="1">
      <alignment horizontal="center" vertical="center"/>
    </xf>
    <xf numFmtId="0" fontId="26" fillId="0" borderId="12" xfId="3" applyFont="1" applyBorder="1" applyAlignment="1">
      <alignment horizontal="center" vertical="center"/>
    </xf>
    <xf numFmtId="0" fontId="11" fillId="0" borderId="40" xfId="3" applyBorder="1" applyAlignment="1">
      <alignment horizontal="center" vertical="center"/>
    </xf>
    <xf numFmtId="165" fontId="16" fillId="0" borderId="13" xfId="3" applyNumberFormat="1" applyFont="1" applyBorder="1" applyAlignment="1">
      <alignment horizontal="center" vertical="center"/>
    </xf>
    <xf numFmtId="0" fontId="27" fillId="0" borderId="13" xfId="3" applyFont="1" applyBorder="1" applyAlignment="1">
      <alignment horizontal="center" vertical="center"/>
    </xf>
    <xf numFmtId="0" fontId="24" fillId="0" borderId="43" xfId="3" quotePrefix="1" applyFont="1" applyBorder="1" applyAlignment="1">
      <alignment horizontal="center" vertical="center"/>
    </xf>
    <xf numFmtId="0" fontId="24" fillId="0" borderId="43" xfId="3" applyFont="1" applyBorder="1" applyAlignment="1">
      <alignment horizontal="center" vertical="center"/>
    </xf>
    <xf numFmtId="0" fontId="9" fillId="0" borderId="44" xfId="3" applyFont="1" applyBorder="1" applyAlignment="1">
      <alignment horizontal="center" vertical="center"/>
    </xf>
    <xf numFmtId="165" fontId="16" fillId="0" borderId="19" xfId="3" applyNumberFormat="1" applyFont="1" applyBorder="1" applyAlignment="1">
      <alignment horizontal="center" vertical="center"/>
    </xf>
    <xf numFmtId="0" fontId="15" fillId="0" borderId="18" xfId="3" applyFont="1" applyBorder="1" applyAlignment="1">
      <alignment horizontal="center" vertical="center"/>
    </xf>
    <xf numFmtId="0" fontId="13" fillId="0" borderId="18" xfId="3" quotePrefix="1" applyFont="1" applyBorder="1" applyAlignment="1">
      <alignment horizontal="center" vertical="center"/>
    </xf>
    <xf numFmtId="2" fontId="14" fillId="0" borderId="45" xfId="3" applyNumberFormat="1" applyFont="1" applyBorder="1" applyAlignment="1">
      <alignment horizontal="center" vertical="center"/>
    </xf>
    <xf numFmtId="0" fontId="28" fillId="0" borderId="46" xfId="3" applyFont="1" applyBorder="1" applyAlignment="1">
      <alignment horizontal="center" vertical="center"/>
    </xf>
    <xf numFmtId="2" fontId="14" fillId="0" borderId="47" xfId="3" applyNumberFormat="1" applyFont="1" applyBorder="1" applyAlignment="1">
      <alignment horizontal="center" vertical="center"/>
    </xf>
    <xf numFmtId="0" fontId="28" fillId="0" borderId="48" xfId="3" applyFont="1" applyBorder="1" applyAlignment="1">
      <alignment horizontal="center" vertical="center"/>
    </xf>
    <xf numFmtId="2" fontId="14" fillId="0" borderId="49" xfId="3" applyNumberFormat="1" applyFont="1" applyBorder="1" applyAlignment="1">
      <alignment horizontal="center" vertical="center"/>
    </xf>
    <xf numFmtId="0" fontId="28" fillId="0" borderId="50" xfId="3" applyFont="1" applyBorder="1" applyAlignment="1">
      <alignment horizontal="center" vertical="center"/>
    </xf>
    <xf numFmtId="0" fontId="9" fillId="0" borderId="3" xfId="3" applyFont="1" applyBorder="1" applyAlignment="1">
      <alignment horizontal="center" vertical="center"/>
    </xf>
    <xf numFmtId="49" fontId="28" fillId="0" borderId="50" xfId="3" applyNumberFormat="1" applyFont="1" applyBorder="1" applyAlignment="1">
      <alignment horizontal="center" vertical="center"/>
    </xf>
    <xf numFmtId="0" fontId="9" fillId="0" borderId="6" xfId="3" applyFont="1" applyBorder="1" applyAlignment="1">
      <alignment horizontal="center" vertical="center"/>
    </xf>
    <xf numFmtId="0" fontId="27" fillId="0" borderId="13" xfId="3" applyFont="1" applyBorder="1" applyAlignment="1">
      <alignment horizontal="center" vertical="center" wrapText="1"/>
    </xf>
    <xf numFmtId="165" fontId="16" fillId="0" borderId="18" xfId="3" applyNumberFormat="1" applyFont="1" applyBorder="1" applyAlignment="1">
      <alignment horizontal="center" vertical="center"/>
    </xf>
    <xf numFmtId="0" fontId="15" fillId="0" borderId="18" xfId="3" applyFont="1" applyBorder="1" applyAlignment="1">
      <alignment horizontal="center" vertical="center" wrapText="1"/>
    </xf>
    <xf numFmtId="0" fontId="14" fillId="0" borderId="49" xfId="3" applyFont="1" applyBorder="1" applyAlignment="1">
      <alignment horizontal="center" vertical="center"/>
    </xf>
    <xf numFmtId="0" fontId="11" fillId="0" borderId="50" xfId="3" applyBorder="1" applyAlignment="1">
      <alignment horizontal="center" vertical="center"/>
    </xf>
    <xf numFmtId="49" fontId="9" fillId="0" borderId="6" xfId="3" applyNumberFormat="1" applyFont="1" applyBorder="1" applyAlignment="1">
      <alignment horizontal="center" vertical="center"/>
    </xf>
    <xf numFmtId="49" fontId="9" fillId="0" borderId="6" xfId="3" applyNumberFormat="1" applyFont="1" applyBorder="1" applyAlignment="1">
      <alignment horizontal="center"/>
    </xf>
    <xf numFmtId="49" fontId="10" fillId="0" borderId="6" xfId="3" applyNumberFormat="1" applyFont="1" applyBorder="1" applyAlignment="1">
      <alignment horizontal="center" vertical="center" wrapText="1"/>
    </xf>
    <xf numFmtId="49" fontId="10" fillId="0" borderId="6" xfId="3" applyNumberFormat="1" applyFont="1" applyBorder="1" applyAlignment="1">
      <alignment horizontal="center" vertical="center"/>
    </xf>
    <xf numFmtId="0" fontId="13" fillId="0" borderId="51" xfId="3" applyFont="1" applyBorder="1" applyAlignment="1">
      <alignment horizontal="center"/>
    </xf>
    <xf numFmtId="0" fontId="11" fillId="0" borderId="52" xfId="3" applyBorder="1" applyAlignment="1">
      <alignment horizontal="center" vertical="center"/>
    </xf>
    <xf numFmtId="0" fontId="13" fillId="0" borderId="0" xfId="3" applyFont="1" applyAlignment="1">
      <alignment horizontal="center" vertical="center"/>
    </xf>
    <xf numFmtId="0" fontId="10" fillId="0" borderId="3" xfId="3" applyFont="1" applyBorder="1" applyAlignment="1">
      <alignment horizontal="center" vertical="center" wrapText="1"/>
    </xf>
    <xf numFmtId="0" fontId="10" fillId="0" borderId="3" xfId="3" applyFont="1" applyBorder="1" applyAlignment="1">
      <alignment horizontal="center" vertical="center"/>
    </xf>
    <xf numFmtId="0" fontId="13" fillId="0" borderId="23" xfId="3" applyFont="1" applyBorder="1" applyAlignment="1">
      <alignment horizontal="center"/>
    </xf>
    <xf numFmtId="166" fontId="0" fillId="0" borderId="0" xfId="0" applyNumberFormat="1"/>
  </cellXfs>
  <cellStyles count="5">
    <cellStyle name="Normal" xfId="0" builtinId="0"/>
    <cellStyle name="Normal 2" xfId="1" xr:uid="{6E07CD15-EA36-4AA0-BCA4-A4CBE8EBE16D}"/>
    <cellStyle name="Normal 3" xfId="2" xr:uid="{2DD09198-F23C-4D70-A6C5-B389B30A6DB0}"/>
    <cellStyle name="Normal 4" xfId="3" xr:uid="{2752C549-9D70-463B-87A1-0AB4246124AD}"/>
    <cellStyle name="Normal 5" xfId="4" xr:uid="{31430331-3E0E-4FFB-83F1-ECF0C147389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smoothMarker"/>
        <c:varyColors val="0"/>
        <c:ser>
          <c:idx val="0"/>
          <c:order val="0"/>
          <c:xVal>
            <c:numRef>
              <c:f>Emergence!$B$29:$M$29</c:f>
              <c:numCache>
                <c:formatCode>General</c:formatCode>
                <c:ptCount val="12"/>
                <c:pt idx="0">
                  <c:v>115</c:v>
                </c:pt>
                <c:pt idx="1">
                  <c:v>116</c:v>
                </c:pt>
                <c:pt idx="2">
                  <c:v>117</c:v>
                </c:pt>
                <c:pt idx="3">
                  <c:v>118</c:v>
                </c:pt>
                <c:pt idx="4">
                  <c:v>119</c:v>
                </c:pt>
                <c:pt idx="5">
                  <c:v>122</c:v>
                </c:pt>
                <c:pt idx="6">
                  <c:v>123</c:v>
                </c:pt>
                <c:pt idx="7">
                  <c:v>124</c:v>
                </c:pt>
                <c:pt idx="8">
                  <c:v>126</c:v>
                </c:pt>
                <c:pt idx="9">
                  <c:v>129</c:v>
                </c:pt>
                <c:pt idx="10">
                  <c:v>139</c:v>
                </c:pt>
                <c:pt idx="11">
                  <c:v>146</c:v>
                </c:pt>
              </c:numCache>
            </c:numRef>
          </c:xVal>
          <c:yVal>
            <c:numRef>
              <c:f>Emergence!$B$27:$M$27</c:f>
              <c:numCache>
                <c:formatCode>0.0</c:formatCode>
                <c:ptCount val="12"/>
                <c:pt idx="0">
                  <c:v>6</c:v>
                </c:pt>
                <c:pt idx="1">
                  <c:v>9.0588235294117645</c:v>
                </c:pt>
                <c:pt idx="2">
                  <c:v>10.941176470588236</c:v>
                </c:pt>
                <c:pt idx="3">
                  <c:v>12.588235294117647</c:v>
                </c:pt>
                <c:pt idx="4">
                  <c:v>13.117647058823529</c:v>
                </c:pt>
                <c:pt idx="5">
                  <c:v>13.764705882352942</c:v>
                </c:pt>
                <c:pt idx="6">
                  <c:v>14.176470588235293</c:v>
                </c:pt>
                <c:pt idx="7">
                  <c:v>14.176470588235293</c:v>
                </c:pt>
                <c:pt idx="8">
                  <c:v>14.176470588235293</c:v>
                </c:pt>
                <c:pt idx="9">
                  <c:v>14.117647058823529</c:v>
                </c:pt>
                <c:pt idx="10">
                  <c:v>14.235294117647058</c:v>
                </c:pt>
                <c:pt idx="11">
                  <c:v>14.176470588235293</c:v>
                </c:pt>
              </c:numCache>
            </c:numRef>
          </c:yVal>
          <c:smooth val="1"/>
          <c:extLst>
            <c:ext xmlns:c16="http://schemas.microsoft.com/office/drawing/2014/chart" uri="{C3380CC4-5D6E-409C-BE32-E72D297353CC}">
              <c16:uniqueId val="{00000000-4CB5-4D14-A9AF-9378CA70E63E}"/>
            </c:ext>
          </c:extLst>
        </c:ser>
        <c:dLbls>
          <c:showLegendKey val="0"/>
          <c:showVal val="0"/>
          <c:showCatName val="0"/>
          <c:showSerName val="0"/>
          <c:showPercent val="0"/>
          <c:showBubbleSize val="0"/>
        </c:dLbls>
        <c:axId val="130869504"/>
        <c:axId val="131012096"/>
      </c:scatterChart>
      <c:valAx>
        <c:axId val="130869504"/>
        <c:scaling>
          <c:orientation val="minMax"/>
          <c:min val="110"/>
        </c:scaling>
        <c:delete val="0"/>
        <c:axPos val="b"/>
        <c:numFmt formatCode="General" sourceLinked="1"/>
        <c:majorTickMark val="out"/>
        <c:minorTickMark val="none"/>
        <c:tickLblPos val="nextTo"/>
        <c:crossAx val="131012096"/>
        <c:crosses val="autoZero"/>
        <c:crossBetween val="midCat"/>
      </c:valAx>
      <c:valAx>
        <c:axId val="131012096"/>
        <c:scaling>
          <c:orientation val="minMax"/>
        </c:scaling>
        <c:delete val="0"/>
        <c:axPos val="l"/>
        <c:majorGridlines/>
        <c:numFmt formatCode="0.0" sourceLinked="1"/>
        <c:majorTickMark val="out"/>
        <c:minorTickMark val="none"/>
        <c:tickLblPos val="nextTo"/>
        <c:crossAx val="130869504"/>
        <c:crosses val="autoZero"/>
        <c:crossBetween val="midCat"/>
      </c:valAx>
    </c:plotArea>
    <c:legend>
      <c:legendPos val="r"/>
      <c:overlay val="0"/>
    </c:legend>
    <c:plotVisOnly val="1"/>
    <c:dispBlanksAs val="gap"/>
    <c:showDLblsOverMax val="0"/>
  </c:chart>
  <c:printSettings>
    <c:headerFooter/>
    <c:pageMargins b="0.75000000000000011" l="0.70000000000000007" r="0.70000000000000007" t="0.75000000000000011" header="0.30000000000000004" footer="0.30000000000000004"/>
    <c:pageSetup/>
  </c:printSettings>
</c:chartSpace>
</file>

<file path=xl/drawings/_rels/drawing9.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0</xdr:colOff>
      <xdr:row>0</xdr:row>
      <xdr:rowOff>0</xdr:rowOff>
    </xdr:to>
    <xdr:sp macro="" textlink="">
      <xdr:nvSpPr>
        <xdr:cNvPr id="2" name="Line 1">
          <a:extLst>
            <a:ext uri="{FF2B5EF4-FFF2-40B4-BE49-F238E27FC236}">
              <a16:creationId xmlns:a16="http://schemas.microsoft.com/office/drawing/2014/main" id="{00000000-0008-0000-0000-000002000000}"/>
            </a:ext>
          </a:extLst>
        </xdr:cNvPr>
        <xdr:cNvSpPr>
          <a:spLocks noChangeShapeType="1"/>
        </xdr:cNvSpPr>
      </xdr:nvSpPr>
      <xdr:spPr bwMode="auto">
        <a:xfrm flipV="1">
          <a:off x="0" y="0"/>
          <a:ext cx="0" cy="0"/>
        </a:xfrm>
        <a:prstGeom prst="line">
          <a:avLst/>
        </a:prstGeom>
        <a:noFill/>
        <a:ln w="28575">
          <a:solidFill>
            <a:srgbClr val="000000"/>
          </a:solidFill>
          <a:round/>
          <a:headEnd/>
          <a:tailEnd type="stealth" w="med" len="lg"/>
        </a:ln>
      </xdr:spPr>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0</xdr:colOff>
      <xdr:row>0</xdr:row>
      <xdr:rowOff>0</xdr:rowOff>
    </xdr:to>
    <xdr:sp macro="" textlink="">
      <xdr:nvSpPr>
        <xdr:cNvPr id="2" name="Line 1">
          <a:extLst>
            <a:ext uri="{FF2B5EF4-FFF2-40B4-BE49-F238E27FC236}">
              <a16:creationId xmlns:a16="http://schemas.microsoft.com/office/drawing/2014/main" id="{00000000-0008-0000-0100-000002000000}"/>
            </a:ext>
          </a:extLst>
        </xdr:cNvPr>
        <xdr:cNvSpPr>
          <a:spLocks noChangeShapeType="1"/>
        </xdr:cNvSpPr>
      </xdr:nvSpPr>
      <xdr:spPr bwMode="auto">
        <a:xfrm flipV="1">
          <a:off x="0" y="0"/>
          <a:ext cx="0" cy="0"/>
        </a:xfrm>
        <a:prstGeom prst="line">
          <a:avLst/>
        </a:prstGeom>
        <a:noFill/>
        <a:ln w="28575">
          <a:solidFill>
            <a:srgbClr val="000000"/>
          </a:solidFill>
          <a:round/>
          <a:headEnd/>
          <a:tailEnd type="stealth" w="med" len="lg"/>
        </a:ln>
      </xdr:spPr>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0</xdr:colOff>
      <xdr:row>0</xdr:row>
      <xdr:rowOff>0</xdr:rowOff>
    </xdr:to>
    <xdr:sp macro="" textlink="">
      <xdr:nvSpPr>
        <xdr:cNvPr id="2" name="Line 1">
          <a:extLst>
            <a:ext uri="{FF2B5EF4-FFF2-40B4-BE49-F238E27FC236}">
              <a16:creationId xmlns:a16="http://schemas.microsoft.com/office/drawing/2014/main" id="{00000000-0008-0000-0200-000002000000}"/>
            </a:ext>
          </a:extLst>
        </xdr:cNvPr>
        <xdr:cNvSpPr>
          <a:spLocks noChangeShapeType="1"/>
        </xdr:cNvSpPr>
      </xdr:nvSpPr>
      <xdr:spPr bwMode="auto">
        <a:xfrm flipV="1">
          <a:off x="0" y="0"/>
          <a:ext cx="0" cy="0"/>
        </a:xfrm>
        <a:prstGeom prst="line">
          <a:avLst/>
        </a:prstGeom>
        <a:noFill/>
        <a:ln w="28575">
          <a:solidFill>
            <a:srgbClr val="000000"/>
          </a:solidFill>
          <a:round/>
          <a:headEnd/>
          <a:tailEnd type="stealth" w="med" len="lg"/>
        </a:ln>
      </xdr:spPr>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0</xdr:colOff>
      <xdr:row>0</xdr:row>
      <xdr:rowOff>0</xdr:rowOff>
    </xdr:to>
    <xdr:sp macro="" textlink="">
      <xdr:nvSpPr>
        <xdr:cNvPr id="2" name="Line 1">
          <a:extLst>
            <a:ext uri="{FF2B5EF4-FFF2-40B4-BE49-F238E27FC236}">
              <a16:creationId xmlns:a16="http://schemas.microsoft.com/office/drawing/2014/main" id="{00000000-0008-0000-0300-000002000000}"/>
            </a:ext>
          </a:extLst>
        </xdr:cNvPr>
        <xdr:cNvSpPr>
          <a:spLocks noChangeShapeType="1"/>
        </xdr:cNvSpPr>
      </xdr:nvSpPr>
      <xdr:spPr bwMode="auto">
        <a:xfrm flipV="1">
          <a:off x="0" y="0"/>
          <a:ext cx="0" cy="0"/>
        </a:xfrm>
        <a:prstGeom prst="line">
          <a:avLst/>
        </a:prstGeom>
        <a:noFill/>
        <a:ln w="28575">
          <a:solidFill>
            <a:srgbClr val="000000"/>
          </a:solidFill>
          <a:round/>
          <a:headEnd/>
          <a:tailEnd type="stealth" w="med" len="lg"/>
        </a:ln>
      </xdr:spPr>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0</xdr:colOff>
      <xdr:row>0</xdr:row>
      <xdr:rowOff>0</xdr:rowOff>
    </xdr:to>
    <xdr:sp macro="" textlink="">
      <xdr:nvSpPr>
        <xdr:cNvPr id="2" name="Line 1">
          <a:extLst>
            <a:ext uri="{FF2B5EF4-FFF2-40B4-BE49-F238E27FC236}">
              <a16:creationId xmlns:a16="http://schemas.microsoft.com/office/drawing/2014/main" id="{00000000-0008-0000-0400-000002000000}"/>
            </a:ext>
          </a:extLst>
        </xdr:cNvPr>
        <xdr:cNvSpPr>
          <a:spLocks noChangeShapeType="1"/>
        </xdr:cNvSpPr>
      </xdr:nvSpPr>
      <xdr:spPr bwMode="auto">
        <a:xfrm flipV="1">
          <a:off x="0" y="0"/>
          <a:ext cx="0" cy="0"/>
        </a:xfrm>
        <a:prstGeom prst="line">
          <a:avLst/>
        </a:prstGeom>
        <a:noFill/>
        <a:ln w="28575">
          <a:solidFill>
            <a:srgbClr val="000000"/>
          </a:solidFill>
          <a:round/>
          <a:headEnd/>
          <a:tailEnd type="stealth" w="med" len="lg"/>
        </a:ln>
      </xdr:spPr>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0</xdr:colOff>
      <xdr:row>0</xdr:row>
      <xdr:rowOff>0</xdr:rowOff>
    </xdr:to>
    <xdr:sp macro="" textlink="">
      <xdr:nvSpPr>
        <xdr:cNvPr id="2" name="Line 1">
          <a:extLst>
            <a:ext uri="{FF2B5EF4-FFF2-40B4-BE49-F238E27FC236}">
              <a16:creationId xmlns:a16="http://schemas.microsoft.com/office/drawing/2014/main" id="{00000000-0008-0000-0500-000002000000}"/>
            </a:ext>
          </a:extLst>
        </xdr:cNvPr>
        <xdr:cNvSpPr>
          <a:spLocks noChangeShapeType="1"/>
        </xdr:cNvSpPr>
      </xdr:nvSpPr>
      <xdr:spPr bwMode="auto">
        <a:xfrm flipV="1">
          <a:off x="0" y="0"/>
          <a:ext cx="0" cy="0"/>
        </a:xfrm>
        <a:prstGeom prst="line">
          <a:avLst/>
        </a:prstGeom>
        <a:noFill/>
        <a:ln w="28575">
          <a:solidFill>
            <a:srgbClr val="000000"/>
          </a:solidFill>
          <a:round/>
          <a:headEnd/>
          <a:tailEnd type="stealth" w="med" len="lg"/>
        </a:ln>
      </xdr:spPr>
    </xdr: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0</xdr:colOff>
      <xdr:row>0</xdr:row>
      <xdr:rowOff>0</xdr:rowOff>
    </xdr:to>
    <xdr:sp macro="" textlink="">
      <xdr:nvSpPr>
        <xdr:cNvPr id="2" name="Line 1">
          <a:extLst>
            <a:ext uri="{FF2B5EF4-FFF2-40B4-BE49-F238E27FC236}">
              <a16:creationId xmlns:a16="http://schemas.microsoft.com/office/drawing/2014/main" id="{00000000-0008-0000-0600-000002000000}"/>
            </a:ext>
          </a:extLst>
        </xdr:cNvPr>
        <xdr:cNvSpPr>
          <a:spLocks noChangeShapeType="1"/>
        </xdr:cNvSpPr>
      </xdr:nvSpPr>
      <xdr:spPr bwMode="auto">
        <a:xfrm flipV="1">
          <a:off x="0" y="0"/>
          <a:ext cx="0" cy="0"/>
        </a:xfrm>
        <a:prstGeom prst="line">
          <a:avLst/>
        </a:prstGeom>
        <a:noFill/>
        <a:ln w="28575">
          <a:solidFill>
            <a:srgbClr val="000000"/>
          </a:solidFill>
          <a:round/>
          <a:headEnd/>
          <a:tailEnd type="stealth" w="med" len="lg"/>
        </a:ln>
      </xdr:spPr>
    </xdr: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0</xdr:colOff>
      <xdr:row>0</xdr:row>
      <xdr:rowOff>0</xdr:rowOff>
    </xdr:to>
    <xdr:sp macro="" textlink="">
      <xdr:nvSpPr>
        <xdr:cNvPr id="4112" name="Line 1">
          <a:extLst>
            <a:ext uri="{FF2B5EF4-FFF2-40B4-BE49-F238E27FC236}">
              <a16:creationId xmlns:a16="http://schemas.microsoft.com/office/drawing/2014/main" id="{00000000-0008-0000-0E00-000010100000}"/>
            </a:ext>
          </a:extLst>
        </xdr:cNvPr>
        <xdr:cNvSpPr>
          <a:spLocks noChangeShapeType="1"/>
        </xdr:cNvSpPr>
      </xdr:nvSpPr>
      <xdr:spPr bwMode="auto">
        <a:xfrm flipV="1">
          <a:off x="0" y="0"/>
          <a:ext cx="0" cy="0"/>
        </a:xfrm>
        <a:prstGeom prst="line">
          <a:avLst/>
        </a:prstGeom>
        <a:noFill/>
        <a:ln w="28575">
          <a:solidFill>
            <a:srgbClr val="000000"/>
          </a:solidFill>
          <a:round/>
          <a:headEnd/>
          <a:tailEnd type="stealth" w="med" len="lg"/>
        </a:ln>
      </xdr:spPr>
    </xdr:sp>
    <xdr:clientData/>
  </xdr:twoCellAnchor>
</xdr:wsDr>
</file>

<file path=xl/drawings/drawing9.xml><?xml version="1.0" encoding="utf-8"?>
<xdr:wsDr xmlns:xdr="http://schemas.openxmlformats.org/drawingml/2006/spreadsheetDrawing" xmlns:a="http://schemas.openxmlformats.org/drawingml/2006/main">
  <xdr:twoCellAnchor>
    <xdr:from>
      <xdr:col>5</xdr:col>
      <xdr:colOff>304799</xdr:colOff>
      <xdr:row>31</xdr:row>
      <xdr:rowOff>133349</xdr:rowOff>
    </xdr:from>
    <xdr:to>
      <xdr:col>13</xdr:col>
      <xdr:colOff>219074</xdr:colOff>
      <xdr:row>53</xdr:row>
      <xdr:rowOff>180974</xdr:rowOff>
    </xdr:to>
    <xdr:graphicFrame macro="">
      <xdr:nvGraphicFramePr>
        <xdr:cNvPr id="2" name="Chart 1">
          <a:extLst>
            <a:ext uri="{FF2B5EF4-FFF2-40B4-BE49-F238E27FC236}">
              <a16:creationId xmlns:a16="http://schemas.microsoft.com/office/drawing/2014/main" id="{DFCB5E07-9073-403E-B05A-6EBCABE0EE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0</xdr:colOff>
      <xdr:row>0</xdr:row>
      <xdr:rowOff>0</xdr:rowOff>
    </xdr:to>
    <xdr:sp macro="" textlink="">
      <xdr:nvSpPr>
        <xdr:cNvPr id="2" name="Line 1">
          <a:extLst>
            <a:ext uri="{FF2B5EF4-FFF2-40B4-BE49-F238E27FC236}">
              <a16:creationId xmlns:a16="http://schemas.microsoft.com/office/drawing/2014/main" id="{071A4261-D049-4A46-A30B-FFFA51DF1FB8}"/>
            </a:ext>
          </a:extLst>
        </xdr:cNvPr>
        <xdr:cNvSpPr>
          <a:spLocks noChangeShapeType="1"/>
        </xdr:cNvSpPr>
      </xdr:nvSpPr>
      <xdr:spPr bwMode="auto">
        <a:xfrm flipV="1">
          <a:off x="0" y="0"/>
          <a:ext cx="0" cy="0"/>
        </a:xfrm>
        <a:prstGeom prst="line">
          <a:avLst/>
        </a:prstGeom>
        <a:noFill/>
        <a:ln w="28575">
          <a:solidFill>
            <a:srgbClr val="000000"/>
          </a:solidFill>
          <a:round/>
          <a:headEnd/>
          <a:tailEnd type="stealth" w="med" len="lg"/>
        </a:ln>
        <a:extLst>
          <a:ext uri="{909E8E84-426E-40DD-AFC4-6F175D3DCCD1}">
            <a14:hiddenFill xmlns:a14="http://schemas.microsoft.com/office/drawing/2010/main">
              <a:noFill/>
            </a14:hiddenFill>
          </a:ext>
        </a:extLst>
      </xdr:spPr>
    </xdr:sp>
    <xdr:clientData/>
  </xdr:twoCellAnchor>
</xdr:wsDr>
</file>

<file path=xl/drawings/drawing11.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0</xdr:colOff>
      <xdr:row>0</xdr:row>
      <xdr:rowOff>0</xdr:rowOff>
    </xdr:to>
    <xdr:sp macro="" textlink="">
      <xdr:nvSpPr>
        <xdr:cNvPr id="2" name="Line 1">
          <a:extLst>
            <a:ext uri="{FF2B5EF4-FFF2-40B4-BE49-F238E27FC236}">
              <a16:creationId xmlns:a16="http://schemas.microsoft.com/office/drawing/2014/main" id="{C2FA0011-DCA6-46FA-9507-A960E2251875}"/>
            </a:ext>
          </a:extLst>
        </xdr:cNvPr>
        <xdr:cNvSpPr>
          <a:spLocks noChangeShapeType="1"/>
        </xdr:cNvSpPr>
      </xdr:nvSpPr>
      <xdr:spPr bwMode="auto">
        <a:xfrm flipV="1">
          <a:off x="0" y="0"/>
          <a:ext cx="0" cy="0"/>
        </a:xfrm>
        <a:prstGeom prst="line">
          <a:avLst/>
        </a:prstGeom>
        <a:noFill/>
        <a:ln w="28575">
          <a:solidFill>
            <a:srgbClr val="000000"/>
          </a:solidFill>
          <a:round/>
          <a:headEnd/>
          <a:tailEnd type="stealth" w="med" len="lg"/>
        </a:ln>
        <a:extLst>
          <a:ext uri="{909E8E84-426E-40DD-AFC4-6F175D3DCCD1}">
            <a14:hiddenFill xmlns:a14="http://schemas.microsoft.com/office/drawing/2010/main">
              <a:noFill/>
            </a14:hiddenFill>
          </a:ext>
        </a:extLst>
      </xdr:spPr>
    </xdr:sp>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E:\mnt\Data1\USDA-ALARC\02-Cotton\2011Cotton\NAWF2011.xls" TargetMode="External"/><Relationship Id="rId1" Type="http://schemas.openxmlformats.org/officeDocument/2006/relationships/externalLinkPath" Target="/mnt/Data1/USDA-ALARC/02-Cotton/2011Cotton/NAWF2011.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blank"/>
    </sheetNames>
    <sheetDataSet>
      <sheetData sheetId="0"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7.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5.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6.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7.bin"/></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84A4E7-E6CC-4A7A-AFB9-1794C5240DF4}">
  <dimension ref="A1:O49"/>
  <sheetViews>
    <sheetView workbookViewId="0"/>
  </sheetViews>
  <sheetFormatPr defaultRowHeight="15" x14ac:dyDescent="0.25"/>
  <cols>
    <col min="1" max="1" width="9.42578125" style="87" bestFit="1" customWidth="1"/>
    <col min="2" max="16384" width="9.140625" style="87"/>
  </cols>
  <sheetData>
    <row r="1" spans="1:15" x14ac:dyDescent="0.25">
      <c r="A1" s="88" t="s">
        <v>108</v>
      </c>
      <c r="B1" s="87" t="s">
        <v>107</v>
      </c>
      <c r="C1" s="87" t="s">
        <v>106</v>
      </c>
      <c r="D1" s="87" t="s">
        <v>105</v>
      </c>
      <c r="E1" s="87" t="s">
        <v>104</v>
      </c>
      <c r="F1" s="87" t="s">
        <v>103</v>
      </c>
      <c r="G1" s="87" t="s">
        <v>102</v>
      </c>
      <c r="H1" s="87" t="s">
        <v>101</v>
      </c>
      <c r="I1" s="87" t="s">
        <v>100</v>
      </c>
      <c r="J1" s="87" t="s">
        <v>99</v>
      </c>
      <c r="K1" s="87" t="s">
        <v>98</v>
      </c>
      <c r="L1" s="87" t="s">
        <v>97</v>
      </c>
      <c r="M1" s="87" t="s">
        <v>96</v>
      </c>
      <c r="N1" s="87" t="s">
        <v>95</v>
      </c>
      <c r="O1" s="87" t="s">
        <v>94</v>
      </c>
    </row>
    <row r="2" spans="1:15" x14ac:dyDescent="0.25">
      <c r="A2" s="154" t="s">
        <v>164</v>
      </c>
      <c r="B2" s="87">
        <v>8</v>
      </c>
      <c r="C2" s="87">
        <v>16</v>
      </c>
      <c r="D2" s="87">
        <v>21</v>
      </c>
      <c r="E2" s="87">
        <v>26</v>
      </c>
      <c r="F2" s="87">
        <v>38</v>
      </c>
      <c r="G2" s="87">
        <v>41</v>
      </c>
      <c r="H2" s="87">
        <v>48</v>
      </c>
      <c r="I2" s="87">
        <v>63</v>
      </c>
      <c r="J2" s="87">
        <v>68</v>
      </c>
      <c r="K2" s="87">
        <v>77</v>
      </c>
      <c r="L2" s="87">
        <v>85</v>
      </c>
      <c r="M2" s="87">
        <v>87</v>
      </c>
      <c r="N2" s="87">
        <v>94</v>
      </c>
      <c r="O2" s="87">
        <v>107</v>
      </c>
    </row>
    <row r="3" spans="1:15" x14ac:dyDescent="0.25">
      <c r="A3" s="154" t="s">
        <v>211</v>
      </c>
      <c r="B3" s="87">
        <v>8</v>
      </c>
      <c r="C3" s="87">
        <v>16</v>
      </c>
      <c r="D3" s="87">
        <v>21</v>
      </c>
      <c r="E3" s="87">
        <v>24</v>
      </c>
      <c r="F3" s="87">
        <v>35</v>
      </c>
      <c r="G3" s="87">
        <v>52</v>
      </c>
      <c r="H3" s="87">
        <v>55</v>
      </c>
      <c r="I3" s="87">
        <v>65</v>
      </c>
      <c r="J3" s="87">
        <v>76</v>
      </c>
      <c r="K3" s="87">
        <v>89</v>
      </c>
      <c r="L3" s="87">
        <v>99</v>
      </c>
      <c r="M3" s="87">
        <v>100</v>
      </c>
      <c r="N3" s="87">
        <v>100</v>
      </c>
      <c r="O3" s="87">
        <v>109</v>
      </c>
    </row>
    <row r="4" spans="1:15" x14ac:dyDescent="0.25">
      <c r="A4" s="154" t="s">
        <v>213</v>
      </c>
      <c r="B4" s="87">
        <v>8</v>
      </c>
      <c r="C4" s="87">
        <v>15</v>
      </c>
      <c r="D4" s="87">
        <v>19</v>
      </c>
      <c r="E4" s="87">
        <v>30</v>
      </c>
      <c r="F4" s="87">
        <v>42</v>
      </c>
      <c r="G4" s="87">
        <v>57</v>
      </c>
      <c r="H4" s="87">
        <v>58</v>
      </c>
      <c r="I4" s="87">
        <v>64</v>
      </c>
      <c r="J4" s="87">
        <v>85</v>
      </c>
      <c r="K4" s="87">
        <v>97</v>
      </c>
      <c r="L4" s="87">
        <v>107</v>
      </c>
      <c r="M4" s="87">
        <v>113</v>
      </c>
      <c r="N4" s="87">
        <v>106</v>
      </c>
      <c r="O4" s="87">
        <v>112</v>
      </c>
    </row>
    <row r="5" spans="1:15" x14ac:dyDescent="0.25">
      <c r="A5" s="154" t="s">
        <v>167</v>
      </c>
      <c r="B5" s="87">
        <v>7</v>
      </c>
      <c r="C5" s="87">
        <v>15</v>
      </c>
      <c r="D5" s="87">
        <v>20</v>
      </c>
      <c r="E5" s="87">
        <v>26</v>
      </c>
      <c r="F5" s="87">
        <v>40</v>
      </c>
      <c r="G5" s="87">
        <v>49</v>
      </c>
      <c r="H5" s="87">
        <v>64</v>
      </c>
      <c r="I5" s="87">
        <v>78</v>
      </c>
      <c r="J5" s="89"/>
      <c r="K5" s="87">
        <v>88</v>
      </c>
      <c r="L5" s="87">
        <v>100</v>
      </c>
      <c r="M5" s="87">
        <v>105</v>
      </c>
      <c r="N5" s="87">
        <v>107</v>
      </c>
      <c r="O5" s="87">
        <v>111</v>
      </c>
    </row>
    <row r="6" spans="1:15" x14ac:dyDescent="0.25">
      <c r="A6" s="154" t="s">
        <v>215</v>
      </c>
      <c r="B6" s="87">
        <v>8</v>
      </c>
      <c r="C6" s="87">
        <v>16</v>
      </c>
      <c r="D6" s="87">
        <v>26</v>
      </c>
      <c r="E6" s="87">
        <v>30</v>
      </c>
      <c r="F6" s="87">
        <v>43</v>
      </c>
      <c r="G6" s="87">
        <v>49</v>
      </c>
      <c r="H6" s="87">
        <v>64</v>
      </c>
      <c r="I6" s="87">
        <v>69</v>
      </c>
      <c r="J6" s="89"/>
      <c r="K6" s="87">
        <v>91</v>
      </c>
      <c r="L6" s="87">
        <v>103</v>
      </c>
      <c r="M6" s="87">
        <v>110</v>
      </c>
      <c r="N6" s="87">
        <v>111</v>
      </c>
      <c r="O6" s="87">
        <v>114</v>
      </c>
    </row>
    <row r="7" spans="1:15" x14ac:dyDescent="0.25">
      <c r="A7" s="154" t="s">
        <v>217</v>
      </c>
      <c r="B7" s="87">
        <v>7</v>
      </c>
      <c r="C7" s="87">
        <v>17</v>
      </c>
      <c r="D7" s="87">
        <v>21</v>
      </c>
      <c r="E7" s="87">
        <v>31</v>
      </c>
      <c r="F7" s="87">
        <v>41</v>
      </c>
      <c r="G7" s="87">
        <v>57</v>
      </c>
      <c r="H7" s="87">
        <v>63</v>
      </c>
      <c r="I7" s="87">
        <v>80</v>
      </c>
      <c r="J7" s="89"/>
      <c r="K7" s="87">
        <v>92</v>
      </c>
      <c r="L7" s="87">
        <v>106</v>
      </c>
      <c r="M7" s="87">
        <v>110</v>
      </c>
      <c r="N7" s="87">
        <v>109</v>
      </c>
      <c r="O7" s="87">
        <v>114</v>
      </c>
    </row>
    <row r="8" spans="1:15" x14ac:dyDescent="0.25">
      <c r="A8" s="154" t="s">
        <v>170</v>
      </c>
      <c r="B8" s="87">
        <v>7</v>
      </c>
      <c r="C8" s="87">
        <v>15</v>
      </c>
      <c r="D8" s="87">
        <v>23</v>
      </c>
      <c r="E8" s="87">
        <v>23</v>
      </c>
      <c r="F8" s="87">
        <v>38</v>
      </c>
      <c r="G8" s="89"/>
      <c r="H8" s="87">
        <v>55</v>
      </c>
      <c r="I8" s="87">
        <v>59</v>
      </c>
      <c r="J8" s="87">
        <v>71</v>
      </c>
      <c r="K8" s="87">
        <v>70</v>
      </c>
      <c r="L8" s="87">
        <v>88</v>
      </c>
      <c r="M8" s="87">
        <v>93</v>
      </c>
      <c r="N8" s="87">
        <v>98</v>
      </c>
      <c r="O8" s="87">
        <v>109</v>
      </c>
    </row>
    <row r="9" spans="1:15" x14ac:dyDescent="0.25">
      <c r="A9" s="154" t="s">
        <v>219</v>
      </c>
      <c r="B9" s="87">
        <v>7</v>
      </c>
      <c r="C9" s="87">
        <v>14</v>
      </c>
      <c r="D9" s="87">
        <v>20</v>
      </c>
      <c r="E9" s="87">
        <v>27</v>
      </c>
      <c r="F9" s="87">
        <v>35</v>
      </c>
      <c r="G9" s="89"/>
      <c r="H9" s="87">
        <v>60</v>
      </c>
      <c r="I9" s="87">
        <v>62</v>
      </c>
      <c r="J9" s="87">
        <v>69</v>
      </c>
      <c r="K9" s="87">
        <v>76</v>
      </c>
      <c r="L9" s="87">
        <v>82</v>
      </c>
      <c r="M9" s="87">
        <v>97</v>
      </c>
      <c r="N9" s="87">
        <v>106</v>
      </c>
      <c r="O9" s="87">
        <v>114</v>
      </c>
    </row>
    <row r="10" spans="1:15" x14ac:dyDescent="0.25">
      <c r="A10" s="154" t="s">
        <v>221</v>
      </c>
      <c r="B10" s="87">
        <v>8</v>
      </c>
      <c r="C10" s="87">
        <v>14</v>
      </c>
      <c r="D10" s="87">
        <v>21</v>
      </c>
      <c r="E10" s="87">
        <v>28</v>
      </c>
      <c r="F10" s="87">
        <v>39</v>
      </c>
      <c r="G10" s="89"/>
      <c r="H10" s="87">
        <v>62</v>
      </c>
      <c r="I10" s="87">
        <v>63</v>
      </c>
      <c r="J10" s="87">
        <v>69</v>
      </c>
      <c r="K10" s="87">
        <v>78</v>
      </c>
      <c r="L10" s="87">
        <v>85</v>
      </c>
      <c r="M10" s="87">
        <v>98</v>
      </c>
      <c r="N10" s="87">
        <v>109</v>
      </c>
      <c r="O10" s="87">
        <v>109</v>
      </c>
    </row>
    <row r="11" spans="1:15" x14ac:dyDescent="0.25">
      <c r="A11" s="154" t="s">
        <v>173</v>
      </c>
      <c r="B11" s="87">
        <v>9</v>
      </c>
      <c r="C11" s="87">
        <v>16</v>
      </c>
      <c r="D11" s="87">
        <v>21</v>
      </c>
      <c r="E11" s="87">
        <v>28</v>
      </c>
      <c r="F11" s="87">
        <v>37</v>
      </c>
      <c r="G11" s="87">
        <v>59</v>
      </c>
      <c r="H11" s="87">
        <v>69</v>
      </c>
      <c r="I11" s="87">
        <v>79</v>
      </c>
      <c r="J11" s="89"/>
      <c r="K11" s="87">
        <v>101</v>
      </c>
      <c r="L11" s="87">
        <v>105</v>
      </c>
      <c r="M11" s="87">
        <v>110</v>
      </c>
      <c r="N11" s="87">
        <v>119</v>
      </c>
      <c r="O11" s="87">
        <v>120</v>
      </c>
    </row>
    <row r="12" spans="1:15" x14ac:dyDescent="0.25">
      <c r="A12" s="154" t="s">
        <v>223</v>
      </c>
      <c r="B12" s="87">
        <v>8</v>
      </c>
      <c r="C12" s="87">
        <v>16</v>
      </c>
      <c r="D12" s="87">
        <v>24</v>
      </c>
      <c r="E12" s="87">
        <v>32</v>
      </c>
      <c r="F12" s="87">
        <v>39</v>
      </c>
      <c r="G12" s="87">
        <v>56</v>
      </c>
      <c r="H12" s="87">
        <v>64</v>
      </c>
      <c r="I12" s="87">
        <v>82</v>
      </c>
      <c r="J12" s="89"/>
      <c r="K12" s="87">
        <v>97</v>
      </c>
      <c r="L12" s="87">
        <v>110</v>
      </c>
      <c r="M12" s="87">
        <v>115</v>
      </c>
      <c r="N12" s="87">
        <v>129</v>
      </c>
      <c r="O12" s="87">
        <v>126</v>
      </c>
    </row>
    <row r="13" spans="1:15" x14ac:dyDescent="0.25">
      <c r="A13" s="154" t="s">
        <v>225</v>
      </c>
      <c r="B13" s="87">
        <v>8</v>
      </c>
      <c r="C13" s="87">
        <v>17</v>
      </c>
      <c r="D13" s="87">
        <v>22</v>
      </c>
      <c r="E13" s="87">
        <v>31</v>
      </c>
      <c r="F13" s="87">
        <v>38</v>
      </c>
      <c r="G13" s="87">
        <v>54</v>
      </c>
      <c r="H13" s="87">
        <v>63</v>
      </c>
      <c r="I13" s="87">
        <v>81</v>
      </c>
      <c r="J13" s="89"/>
      <c r="K13" s="87">
        <v>93</v>
      </c>
      <c r="L13" s="87">
        <v>95</v>
      </c>
      <c r="M13" s="87">
        <v>109</v>
      </c>
      <c r="N13" s="87">
        <v>118</v>
      </c>
      <c r="O13" s="87">
        <v>118</v>
      </c>
    </row>
    <row r="14" spans="1:15" x14ac:dyDescent="0.25">
      <c r="A14" s="154" t="s">
        <v>176</v>
      </c>
      <c r="B14" s="87">
        <v>7</v>
      </c>
      <c r="C14" s="87">
        <v>14</v>
      </c>
      <c r="D14" s="87">
        <v>21</v>
      </c>
      <c r="E14" s="87">
        <v>29</v>
      </c>
      <c r="F14" s="87">
        <v>36</v>
      </c>
      <c r="G14" s="87">
        <v>55</v>
      </c>
      <c r="H14" s="87">
        <v>58</v>
      </c>
      <c r="I14" s="87">
        <v>74</v>
      </c>
      <c r="J14" s="87">
        <v>86</v>
      </c>
      <c r="K14" s="87">
        <v>94</v>
      </c>
      <c r="L14" s="87">
        <v>98</v>
      </c>
      <c r="M14" s="87">
        <v>109</v>
      </c>
      <c r="N14" s="87">
        <v>110</v>
      </c>
      <c r="O14" s="87">
        <v>114</v>
      </c>
    </row>
    <row r="15" spans="1:15" x14ac:dyDescent="0.25">
      <c r="A15" s="154" t="s">
        <v>227</v>
      </c>
      <c r="B15" s="87">
        <v>5</v>
      </c>
      <c r="C15" s="87">
        <v>12</v>
      </c>
      <c r="D15" s="87">
        <v>19</v>
      </c>
      <c r="E15" s="87">
        <v>28</v>
      </c>
      <c r="F15" s="87">
        <v>35</v>
      </c>
      <c r="G15" s="87">
        <v>54</v>
      </c>
      <c r="H15" s="87">
        <v>55</v>
      </c>
      <c r="I15" s="87">
        <v>72</v>
      </c>
      <c r="J15" s="87">
        <v>84</v>
      </c>
      <c r="K15" s="87">
        <v>96</v>
      </c>
      <c r="L15" s="87">
        <v>105</v>
      </c>
      <c r="M15" s="87">
        <v>106</v>
      </c>
      <c r="N15" s="87">
        <v>113</v>
      </c>
      <c r="O15" s="87">
        <v>120</v>
      </c>
    </row>
    <row r="16" spans="1:15" x14ac:dyDescent="0.25">
      <c r="A16" s="154" t="s">
        <v>229</v>
      </c>
      <c r="B16" s="87">
        <v>8</v>
      </c>
      <c r="C16" s="87">
        <v>14</v>
      </c>
      <c r="D16" s="87">
        <v>23</v>
      </c>
      <c r="E16" s="87">
        <v>31</v>
      </c>
      <c r="F16" s="87">
        <v>40</v>
      </c>
      <c r="G16" s="87">
        <v>52</v>
      </c>
      <c r="H16" s="87">
        <v>58</v>
      </c>
      <c r="I16" s="87">
        <v>67</v>
      </c>
      <c r="J16" s="87">
        <v>76</v>
      </c>
      <c r="K16" s="87">
        <v>88</v>
      </c>
      <c r="L16" s="87">
        <v>102</v>
      </c>
      <c r="M16" s="87">
        <v>109</v>
      </c>
      <c r="N16" s="87">
        <v>111</v>
      </c>
      <c r="O16" s="87">
        <v>117</v>
      </c>
    </row>
    <row r="17" spans="1:15" x14ac:dyDescent="0.25">
      <c r="A17" s="154" t="s">
        <v>179</v>
      </c>
      <c r="B17" s="87">
        <v>9</v>
      </c>
      <c r="C17" s="87">
        <v>15</v>
      </c>
      <c r="D17" s="87">
        <v>20</v>
      </c>
      <c r="E17" s="87">
        <v>29</v>
      </c>
      <c r="F17" s="87">
        <v>38</v>
      </c>
      <c r="G17" s="87">
        <v>54</v>
      </c>
      <c r="H17" s="87">
        <v>65</v>
      </c>
      <c r="I17" s="87">
        <v>73</v>
      </c>
      <c r="J17" s="87">
        <v>78</v>
      </c>
      <c r="K17" s="87">
        <v>86</v>
      </c>
      <c r="L17" s="87">
        <v>93</v>
      </c>
      <c r="M17" s="87">
        <v>104</v>
      </c>
      <c r="N17" s="87">
        <v>108</v>
      </c>
      <c r="O17" s="87">
        <v>109</v>
      </c>
    </row>
    <row r="18" spans="1:15" x14ac:dyDescent="0.25">
      <c r="A18" s="154" t="s">
        <v>231</v>
      </c>
      <c r="B18" s="87">
        <v>5</v>
      </c>
      <c r="C18" s="87">
        <v>16</v>
      </c>
      <c r="D18" s="87">
        <v>22</v>
      </c>
      <c r="E18" s="87">
        <v>26</v>
      </c>
      <c r="F18" s="87">
        <v>28</v>
      </c>
      <c r="G18" s="87">
        <v>51</v>
      </c>
      <c r="H18" s="87">
        <v>62</v>
      </c>
      <c r="I18" s="87">
        <v>72</v>
      </c>
      <c r="J18" s="87">
        <v>81</v>
      </c>
      <c r="K18" s="87">
        <v>90</v>
      </c>
      <c r="L18" s="87">
        <v>99</v>
      </c>
      <c r="M18" s="87">
        <v>100</v>
      </c>
      <c r="N18" s="87">
        <v>115</v>
      </c>
      <c r="O18" s="87">
        <v>124</v>
      </c>
    </row>
    <row r="19" spans="1:15" x14ac:dyDescent="0.25">
      <c r="A19" s="154" t="s">
        <v>233</v>
      </c>
      <c r="B19" s="87">
        <v>8</v>
      </c>
      <c r="C19" s="87">
        <v>17</v>
      </c>
      <c r="D19" s="87">
        <v>23</v>
      </c>
      <c r="E19" s="87">
        <v>27</v>
      </c>
      <c r="F19" s="87">
        <v>41</v>
      </c>
      <c r="G19" s="87">
        <v>47</v>
      </c>
      <c r="H19" s="87">
        <v>63</v>
      </c>
      <c r="I19" s="87">
        <v>59</v>
      </c>
      <c r="J19" s="87">
        <v>71</v>
      </c>
      <c r="K19" s="87">
        <v>82</v>
      </c>
      <c r="L19" s="87">
        <v>91</v>
      </c>
      <c r="M19" s="87">
        <v>101</v>
      </c>
      <c r="N19" s="87">
        <v>114</v>
      </c>
      <c r="O19" s="87">
        <v>114</v>
      </c>
    </row>
    <row r="20" spans="1:15" x14ac:dyDescent="0.25">
      <c r="A20" s="154" t="s">
        <v>182</v>
      </c>
      <c r="B20" s="87">
        <v>6</v>
      </c>
      <c r="C20" s="87">
        <v>12</v>
      </c>
      <c r="D20" s="87">
        <v>20</v>
      </c>
      <c r="E20" s="87">
        <v>25</v>
      </c>
      <c r="F20" s="87">
        <v>35</v>
      </c>
      <c r="G20" s="87">
        <v>51</v>
      </c>
      <c r="H20" s="87">
        <v>61</v>
      </c>
      <c r="I20" s="87">
        <v>77</v>
      </c>
      <c r="J20" s="87">
        <v>85</v>
      </c>
      <c r="K20" s="87">
        <v>93</v>
      </c>
      <c r="L20" s="87">
        <v>102</v>
      </c>
      <c r="M20" s="87">
        <v>113</v>
      </c>
      <c r="N20" s="87">
        <v>115</v>
      </c>
      <c r="O20" s="87">
        <v>126</v>
      </c>
    </row>
    <row r="21" spans="1:15" x14ac:dyDescent="0.25">
      <c r="A21" s="154" t="s">
        <v>235</v>
      </c>
      <c r="B21" s="87">
        <v>7</v>
      </c>
      <c r="C21" s="87">
        <v>13</v>
      </c>
      <c r="D21" s="87">
        <v>20</v>
      </c>
      <c r="E21" s="87">
        <v>28</v>
      </c>
      <c r="F21" s="87">
        <v>37</v>
      </c>
      <c r="G21" s="87">
        <v>57</v>
      </c>
      <c r="H21" s="87">
        <v>68</v>
      </c>
      <c r="I21" s="87">
        <v>79</v>
      </c>
      <c r="J21" s="87">
        <v>85</v>
      </c>
      <c r="K21" s="87">
        <v>101</v>
      </c>
      <c r="L21" s="87">
        <v>107</v>
      </c>
      <c r="M21" s="87">
        <v>114</v>
      </c>
      <c r="N21" s="87">
        <v>124</v>
      </c>
      <c r="O21" s="87">
        <v>128</v>
      </c>
    </row>
    <row r="22" spans="1:15" x14ac:dyDescent="0.25">
      <c r="A22" s="154" t="s">
        <v>237</v>
      </c>
      <c r="B22" s="87">
        <v>6</v>
      </c>
      <c r="C22" s="87">
        <v>14</v>
      </c>
      <c r="D22" s="87">
        <v>19</v>
      </c>
      <c r="E22" s="87">
        <v>28</v>
      </c>
      <c r="F22" s="87">
        <v>38</v>
      </c>
      <c r="G22" s="87">
        <v>61</v>
      </c>
      <c r="H22" s="87">
        <v>67</v>
      </c>
      <c r="I22" s="87">
        <v>85</v>
      </c>
      <c r="J22" s="87">
        <v>87</v>
      </c>
      <c r="K22" s="87">
        <v>101</v>
      </c>
      <c r="L22" s="87">
        <v>111</v>
      </c>
      <c r="M22" s="87">
        <v>115</v>
      </c>
      <c r="N22" s="87">
        <v>121</v>
      </c>
      <c r="O22" s="87">
        <v>120</v>
      </c>
    </row>
    <row r="23" spans="1:15" x14ac:dyDescent="0.25">
      <c r="A23" s="154" t="s">
        <v>185</v>
      </c>
      <c r="B23" s="87">
        <v>7</v>
      </c>
      <c r="C23" s="87">
        <v>14</v>
      </c>
      <c r="D23" s="87">
        <v>21</v>
      </c>
      <c r="E23" s="87">
        <v>27</v>
      </c>
      <c r="F23" s="87">
        <v>38</v>
      </c>
      <c r="G23" s="87">
        <v>53</v>
      </c>
      <c r="H23" s="87">
        <v>66</v>
      </c>
      <c r="I23" s="87">
        <v>85</v>
      </c>
      <c r="J23" s="89"/>
      <c r="K23" s="87">
        <v>100</v>
      </c>
      <c r="L23" s="87">
        <v>105</v>
      </c>
      <c r="M23" s="87">
        <v>111</v>
      </c>
      <c r="N23" s="87">
        <v>113</v>
      </c>
      <c r="O23" s="87">
        <v>126</v>
      </c>
    </row>
    <row r="24" spans="1:15" x14ac:dyDescent="0.25">
      <c r="A24" s="154" t="s">
        <v>239</v>
      </c>
      <c r="B24" s="87">
        <v>8</v>
      </c>
      <c r="C24" s="87">
        <v>17</v>
      </c>
      <c r="D24" s="87">
        <v>22</v>
      </c>
      <c r="E24" s="87">
        <v>29</v>
      </c>
      <c r="F24" s="87">
        <v>41</v>
      </c>
      <c r="G24" s="87">
        <v>59</v>
      </c>
      <c r="H24" s="87">
        <v>63</v>
      </c>
      <c r="I24" s="87">
        <v>81</v>
      </c>
      <c r="J24" s="89"/>
      <c r="K24" s="87">
        <v>102</v>
      </c>
      <c r="L24" s="87">
        <v>109</v>
      </c>
      <c r="M24" s="87">
        <v>115</v>
      </c>
      <c r="N24" s="87">
        <v>116</v>
      </c>
      <c r="O24" s="87">
        <v>123</v>
      </c>
    </row>
    <row r="25" spans="1:15" x14ac:dyDescent="0.25">
      <c r="A25" s="154" t="s">
        <v>241</v>
      </c>
      <c r="B25" s="87">
        <v>6</v>
      </c>
      <c r="C25" s="87">
        <v>14</v>
      </c>
      <c r="D25" s="87">
        <v>21</v>
      </c>
      <c r="E25" s="87">
        <v>27</v>
      </c>
      <c r="F25" s="87">
        <v>38</v>
      </c>
      <c r="G25" s="87">
        <v>55</v>
      </c>
      <c r="H25" s="87">
        <v>69</v>
      </c>
      <c r="I25" s="87">
        <v>82</v>
      </c>
      <c r="J25" s="89"/>
      <c r="K25" s="87">
        <v>101</v>
      </c>
      <c r="L25" s="87">
        <v>109</v>
      </c>
      <c r="M25" s="87">
        <v>111</v>
      </c>
      <c r="N25" s="87">
        <v>113</v>
      </c>
      <c r="O25" s="87">
        <v>111</v>
      </c>
    </row>
    <row r="26" spans="1:15" x14ac:dyDescent="0.25">
      <c r="A26" s="154" t="s">
        <v>188</v>
      </c>
      <c r="B26" s="87">
        <v>7</v>
      </c>
      <c r="C26" s="87">
        <v>13</v>
      </c>
      <c r="D26" s="87">
        <v>18</v>
      </c>
      <c r="E26" s="87">
        <v>26</v>
      </c>
      <c r="F26" s="87">
        <v>37</v>
      </c>
      <c r="G26" s="87">
        <v>45</v>
      </c>
      <c r="H26" s="87">
        <v>57</v>
      </c>
      <c r="I26" s="87">
        <v>66</v>
      </c>
      <c r="J26" s="87">
        <v>76</v>
      </c>
      <c r="K26" s="87">
        <v>82</v>
      </c>
      <c r="L26" s="87">
        <v>88</v>
      </c>
      <c r="M26" s="87">
        <v>96</v>
      </c>
      <c r="N26" s="87">
        <v>99</v>
      </c>
      <c r="O26" s="87">
        <v>104</v>
      </c>
    </row>
    <row r="27" spans="1:15" x14ac:dyDescent="0.25">
      <c r="A27" s="154" t="s">
        <v>243</v>
      </c>
      <c r="B27" s="87">
        <v>8</v>
      </c>
      <c r="C27" s="87">
        <v>14</v>
      </c>
      <c r="D27" s="87">
        <v>20</v>
      </c>
      <c r="E27" s="87">
        <v>29</v>
      </c>
      <c r="F27" s="87">
        <v>36</v>
      </c>
      <c r="G27" s="87">
        <v>47</v>
      </c>
      <c r="H27" s="87">
        <v>57</v>
      </c>
      <c r="I27" s="87">
        <v>67</v>
      </c>
      <c r="J27" s="87">
        <v>73</v>
      </c>
      <c r="K27" s="87">
        <v>85</v>
      </c>
      <c r="L27" s="87">
        <v>91</v>
      </c>
      <c r="M27" s="87">
        <v>99</v>
      </c>
      <c r="N27" s="87">
        <v>105</v>
      </c>
      <c r="O27" s="87">
        <v>111</v>
      </c>
    </row>
    <row r="28" spans="1:15" x14ac:dyDescent="0.25">
      <c r="A28" s="154" t="s">
        <v>245</v>
      </c>
      <c r="B28" s="87">
        <v>8</v>
      </c>
      <c r="C28" s="87">
        <v>15</v>
      </c>
      <c r="D28" s="87">
        <v>21</v>
      </c>
      <c r="E28" s="87">
        <v>26</v>
      </c>
      <c r="F28" s="87">
        <v>34</v>
      </c>
      <c r="G28" s="87">
        <v>49</v>
      </c>
      <c r="H28" s="87">
        <v>57</v>
      </c>
      <c r="I28" s="87">
        <v>68</v>
      </c>
      <c r="J28" s="87">
        <v>75</v>
      </c>
      <c r="K28" s="87">
        <v>87</v>
      </c>
      <c r="L28" s="87">
        <v>95</v>
      </c>
      <c r="M28" s="87">
        <v>100</v>
      </c>
      <c r="N28" s="87">
        <v>111</v>
      </c>
      <c r="O28" s="87">
        <v>107</v>
      </c>
    </row>
    <row r="29" spans="1:15" x14ac:dyDescent="0.25">
      <c r="A29" s="154" t="s">
        <v>191</v>
      </c>
      <c r="B29" s="87">
        <v>8</v>
      </c>
      <c r="C29" s="87">
        <v>15</v>
      </c>
      <c r="D29" s="87">
        <v>25</v>
      </c>
      <c r="E29" s="87">
        <v>29</v>
      </c>
      <c r="F29" s="87">
        <v>38</v>
      </c>
      <c r="G29" s="87">
        <v>51</v>
      </c>
      <c r="H29" s="87">
        <v>63</v>
      </c>
      <c r="I29" s="87">
        <v>79</v>
      </c>
      <c r="J29" s="89"/>
      <c r="K29" s="87">
        <v>88</v>
      </c>
      <c r="L29" s="87">
        <v>100</v>
      </c>
      <c r="M29" s="87">
        <v>100</v>
      </c>
      <c r="N29" s="87">
        <v>106</v>
      </c>
      <c r="O29" s="87">
        <v>105</v>
      </c>
    </row>
    <row r="30" spans="1:15" x14ac:dyDescent="0.25">
      <c r="A30" s="154" t="s">
        <v>247</v>
      </c>
      <c r="B30" s="87">
        <v>7</v>
      </c>
      <c r="C30" s="87">
        <v>14</v>
      </c>
      <c r="D30" s="87">
        <v>19</v>
      </c>
      <c r="E30" s="87">
        <v>26</v>
      </c>
      <c r="F30" s="87">
        <v>36</v>
      </c>
      <c r="G30" s="87">
        <v>53</v>
      </c>
      <c r="H30" s="87">
        <v>66</v>
      </c>
      <c r="I30" s="87">
        <v>84</v>
      </c>
      <c r="J30" s="89"/>
      <c r="K30" s="87">
        <v>97</v>
      </c>
      <c r="L30" s="87">
        <v>108</v>
      </c>
      <c r="M30" s="87">
        <v>115</v>
      </c>
      <c r="N30" s="87">
        <v>116</v>
      </c>
      <c r="O30" s="87">
        <v>118</v>
      </c>
    </row>
    <row r="31" spans="1:15" x14ac:dyDescent="0.25">
      <c r="A31" s="154" t="s">
        <v>249</v>
      </c>
      <c r="B31" s="87">
        <v>6</v>
      </c>
      <c r="C31" s="87">
        <v>13</v>
      </c>
      <c r="D31" s="87">
        <v>22</v>
      </c>
      <c r="E31" s="87">
        <v>28</v>
      </c>
      <c r="F31" s="87">
        <v>39</v>
      </c>
      <c r="G31" s="87">
        <v>57</v>
      </c>
      <c r="H31" s="87">
        <v>71</v>
      </c>
      <c r="I31" s="87">
        <v>76</v>
      </c>
      <c r="J31" s="89"/>
      <c r="K31" s="87">
        <v>105</v>
      </c>
      <c r="L31" s="87">
        <v>115</v>
      </c>
      <c r="M31" s="87">
        <v>124</v>
      </c>
      <c r="N31" s="87">
        <v>131</v>
      </c>
      <c r="O31" s="87">
        <v>128</v>
      </c>
    </row>
    <row r="32" spans="1:15" x14ac:dyDescent="0.25">
      <c r="A32" s="154" t="s">
        <v>194</v>
      </c>
      <c r="B32" s="87">
        <v>7</v>
      </c>
      <c r="C32" s="87">
        <v>14</v>
      </c>
      <c r="D32" s="87">
        <v>22</v>
      </c>
      <c r="E32" s="87">
        <v>28</v>
      </c>
      <c r="F32" s="87">
        <v>38</v>
      </c>
      <c r="G32" s="87">
        <v>54</v>
      </c>
      <c r="H32" s="87">
        <v>58</v>
      </c>
      <c r="I32" s="87">
        <v>71</v>
      </c>
      <c r="J32" s="87">
        <v>81</v>
      </c>
      <c r="K32" s="87">
        <v>91</v>
      </c>
      <c r="L32" s="87">
        <v>102</v>
      </c>
      <c r="M32" s="87">
        <v>111</v>
      </c>
      <c r="N32" s="87">
        <v>112</v>
      </c>
      <c r="O32" s="87">
        <v>117</v>
      </c>
    </row>
    <row r="33" spans="1:15" x14ac:dyDescent="0.25">
      <c r="A33" s="154" t="s">
        <v>251</v>
      </c>
      <c r="B33" s="87">
        <v>8</v>
      </c>
      <c r="C33" s="87">
        <v>17</v>
      </c>
      <c r="D33" s="87">
        <v>21</v>
      </c>
      <c r="E33" s="87">
        <v>29</v>
      </c>
      <c r="F33" s="87">
        <v>41</v>
      </c>
      <c r="G33" s="87">
        <v>56</v>
      </c>
      <c r="H33" s="87">
        <v>59</v>
      </c>
      <c r="I33" s="87">
        <v>71</v>
      </c>
      <c r="J33" s="87">
        <v>86</v>
      </c>
      <c r="K33" s="87">
        <v>92</v>
      </c>
      <c r="L33" s="87">
        <v>106</v>
      </c>
      <c r="M33" s="87">
        <v>116</v>
      </c>
      <c r="N33" s="87">
        <v>119</v>
      </c>
      <c r="O33" s="87">
        <v>122</v>
      </c>
    </row>
    <row r="34" spans="1:15" x14ac:dyDescent="0.25">
      <c r="A34" s="154" t="s">
        <v>253</v>
      </c>
      <c r="B34" s="87">
        <v>6</v>
      </c>
      <c r="C34" s="87">
        <v>16</v>
      </c>
      <c r="D34" s="87">
        <v>19</v>
      </c>
      <c r="E34" s="87">
        <v>26</v>
      </c>
      <c r="F34" s="87">
        <v>37</v>
      </c>
      <c r="G34" s="87">
        <v>52</v>
      </c>
      <c r="H34" s="87">
        <v>52</v>
      </c>
      <c r="I34" s="87">
        <v>65</v>
      </c>
      <c r="J34" s="87">
        <v>75</v>
      </c>
      <c r="K34" s="87">
        <v>91</v>
      </c>
      <c r="L34" s="87">
        <v>105</v>
      </c>
      <c r="M34" s="87">
        <v>115</v>
      </c>
      <c r="N34" s="87">
        <v>116</v>
      </c>
      <c r="O34" s="87">
        <v>119</v>
      </c>
    </row>
    <row r="35" spans="1:15" x14ac:dyDescent="0.25">
      <c r="A35" s="154" t="s">
        <v>197</v>
      </c>
      <c r="B35" s="87">
        <v>6</v>
      </c>
      <c r="C35" s="87">
        <v>15</v>
      </c>
      <c r="D35" s="87">
        <v>21</v>
      </c>
      <c r="E35" s="87">
        <v>29</v>
      </c>
      <c r="F35" s="87">
        <v>41</v>
      </c>
      <c r="G35" s="87">
        <v>62</v>
      </c>
      <c r="H35" s="87">
        <v>73</v>
      </c>
      <c r="I35" s="87">
        <v>92</v>
      </c>
      <c r="J35" s="87">
        <v>98</v>
      </c>
      <c r="K35" s="87">
        <v>103</v>
      </c>
      <c r="L35" s="87">
        <v>118</v>
      </c>
      <c r="M35" s="87">
        <v>132</v>
      </c>
      <c r="N35" s="87">
        <v>134</v>
      </c>
      <c r="O35" s="87">
        <v>139</v>
      </c>
    </row>
    <row r="36" spans="1:15" x14ac:dyDescent="0.25">
      <c r="A36" s="154" t="s">
        <v>255</v>
      </c>
      <c r="B36" s="87">
        <v>8</v>
      </c>
      <c r="C36" s="87">
        <v>14</v>
      </c>
      <c r="D36" s="87">
        <v>22</v>
      </c>
      <c r="E36" s="87">
        <v>28</v>
      </c>
      <c r="F36" s="87">
        <v>39</v>
      </c>
      <c r="G36" s="87">
        <v>56</v>
      </c>
      <c r="H36" s="87">
        <v>68</v>
      </c>
      <c r="I36" s="87">
        <v>80</v>
      </c>
      <c r="J36" s="87">
        <v>88</v>
      </c>
      <c r="K36" s="87">
        <v>93</v>
      </c>
      <c r="L36" s="87">
        <v>104</v>
      </c>
      <c r="M36" s="87">
        <v>114</v>
      </c>
      <c r="N36" s="87">
        <v>134</v>
      </c>
      <c r="O36" s="87">
        <v>141</v>
      </c>
    </row>
    <row r="37" spans="1:15" x14ac:dyDescent="0.25">
      <c r="A37" s="154" t="s">
        <v>257</v>
      </c>
      <c r="B37" s="87">
        <v>7</v>
      </c>
      <c r="C37" s="87">
        <v>12</v>
      </c>
      <c r="D37" s="87">
        <v>21</v>
      </c>
      <c r="E37" s="87">
        <v>27</v>
      </c>
      <c r="F37" s="87">
        <v>38</v>
      </c>
      <c r="G37" s="87">
        <v>57</v>
      </c>
      <c r="H37" s="87">
        <v>64</v>
      </c>
      <c r="I37" s="87">
        <v>78</v>
      </c>
      <c r="J37" s="87">
        <v>89</v>
      </c>
      <c r="K37" s="87">
        <v>94</v>
      </c>
      <c r="L37" s="87">
        <v>105</v>
      </c>
      <c r="M37" s="87">
        <v>116</v>
      </c>
      <c r="N37" s="87">
        <v>125</v>
      </c>
      <c r="O37" s="87">
        <v>128</v>
      </c>
    </row>
    <row r="38" spans="1:15" x14ac:dyDescent="0.25">
      <c r="A38" s="154" t="s">
        <v>200</v>
      </c>
      <c r="B38" s="87">
        <v>6</v>
      </c>
      <c r="C38" s="87">
        <v>14</v>
      </c>
      <c r="D38" s="87">
        <v>21</v>
      </c>
      <c r="E38" s="87">
        <v>27</v>
      </c>
      <c r="F38" s="87">
        <v>34</v>
      </c>
      <c r="G38" s="87">
        <v>47</v>
      </c>
      <c r="H38" s="87">
        <v>58</v>
      </c>
      <c r="I38" s="87">
        <v>62</v>
      </c>
      <c r="J38" s="87">
        <v>73</v>
      </c>
      <c r="K38" s="87">
        <v>82</v>
      </c>
      <c r="L38" s="87">
        <v>97</v>
      </c>
      <c r="M38" s="87">
        <v>104</v>
      </c>
      <c r="N38" s="87">
        <v>110</v>
      </c>
      <c r="O38" s="87">
        <v>114</v>
      </c>
    </row>
    <row r="39" spans="1:15" x14ac:dyDescent="0.25">
      <c r="A39" s="154" t="s">
        <v>259</v>
      </c>
      <c r="B39" s="87">
        <v>7</v>
      </c>
      <c r="C39" s="87">
        <v>16</v>
      </c>
      <c r="D39" s="87">
        <v>20</v>
      </c>
      <c r="E39" s="87">
        <v>27</v>
      </c>
      <c r="F39" s="87">
        <v>38</v>
      </c>
      <c r="G39" s="87">
        <v>51</v>
      </c>
      <c r="H39" s="87">
        <v>60</v>
      </c>
      <c r="I39" s="87">
        <v>72</v>
      </c>
      <c r="J39" s="87">
        <v>73</v>
      </c>
      <c r="K39" s="87">
        <v>83</v>
      </c>
      <c r="L39" s="87">
        <v>96</v>
      </c>
      <c r="M39" s="87">
        <v>108</v>
      </c>
      <c r="N39" s="87">
        <v>111</v>
      </c>
      <c r="O39" s="87">
        <v>115</v>
      </c>
    </row>
    <row r="40" spans="1:15" x14ac:dyDescent="0.25">
      <c r="A40" s="154" t="s">
        <v>261</v>
      </c>
      <c r="B40" s="87">
        <v>7</v>
      </c>
      <c r="C40" s="87">
        <v>13</v>
      </c>
      <c r="D40" s="87">
        <v>21</v>
      </c>
      <c r="E40" s="87">
        <v>24</v>
      </c>
      <c r="F40" s="87">
        <v>36</v>
      </c>
      <c r="G40" s="87">
        <v>47</v>
      </c>
      <c r="H40" s="87">
        <v>53</v>
      </c>
      <c r="I40" s="87">
        <v>60</v>
      </c>
      <c r="J40" s="87">
        <v>71</v>
      </c>
      <c r="K40" s="87">
        <v>73</v>
      </c>
      <c r="L40" s="87">
        <v>84</v>
      </c>
      <c r="M40" s="87">
        <v>95</v>
      </c>
      <c r="N40" s="87">
        <v>109</v>
      </c>
      <c r="O40" s="87">
        <v>110</v>
      </c>
    </row>
    <row r="41" spans="1:15" x14ac:dyDescent="0.25">
      <c r="A41" s="154" t="s">
        <v>203</v>
      </c>
      <c r="B41" s="87">
        <v>6</v>
      </c>
      <c r="C41" s="87">
        <v>15</v>
      </c>
      <c r="D41" s="87">
        <v>22</v>
      </c>
      <c r="E41" s="87">
        <v>28</v>
      </c>
      <c r="F41" s="87">
        <v>41</v>
      </c>
      <c r="G41" s="87">
        <v>54</v>
      </c>
      <c r="H41" s="87">
        <v>64</v>
      </c>
      <c r="I41" s="87">
        <v>78</v>
      </c>
      <c r="J41" s="87">
        <v>83</v>
      </c>
      <c r="K41" s="87">
        <v>100</v>
      </c>
      <c r="L41" s="87">
        <v>111</v>
      </c>
      <c r="M41" s="87">
        <v>126</v>
      </c>
      <c r="N41" s="87">
        <v>134</v>
      </c>
      <c r="O41" s="87">
        <v>142</v>
      </c>
    </row>
    <row r="42" spans="1:15" x14ac:dyDescent="0.25">
      <c r="A42" s="154" t="s">
        <v>263</v>
      </c>
      <c r="B42" s="87">
        <v>8</v>
      </c>
      <c r="C42" s="87">
        <v>12</v>
      </c>
      <c r="D42" s="87">
        <v>21</v>
      </c>
      <c r="E42" s="87">
        <v>28</v>
      </c>
      <c r="F42" s="87">
        <v>40</v>
      </c>
      <c r="G42" s="87">
        <v>56</v>
      </c>
      <c r="H42" s="87">
        <v>66</v>
      </c>
      <c r="I42" s="87">
        <v>77</v>
      </c>
      <c r="J42" s="87">
        <v>88</v>
      </c>
      <c r="K42" s="87">
        <v>98</v>
      </c>
      <c r="L42" s="87">
        <v>112</v>
      </c>
      <c r="M42" s="87">
        <v>127</v>
      </c>
      <c r="N42" s="87">
        <v>138</v>
      </c>
      <c r="O42" s="87">
        <v>139</v>
      </c>
    </row>
    <row r="43" spans="1:15" x14ac:dyDescent="0.25">
      <c r="A43" s="154" t="s">
        <v>265</v>
      </c>
      <c r="B43" s="87">
        <v>6</v>
      </c>
      <c r="C43" s="87">
        <v>14</v>
      </c>
      <c r="D43" s="87">
        <v>22</v>
      </c>
      <c r="E43" s="87">
        <v>28</v>
      </c>
      <c r="F43" s="87">
        <v>40</v>
      </c>
      <c r="G43" s="87">
        <v>54</v>
      </c>
      <c r="H43" s="87">
        <v>67</v>
      </c>
      <c r="I43" s="87">
        <v>74</v>
      </c>
      <c r="J43" s="87">
        <v>82</v>
      </c>
      <c r="K43" s="87">
        <v>95</v>
      </c>
      <c r="L43" s="87">
        <v>107</v>
      </c>
      <c r="M43" s="87">
        <v>121</v>
      </c>
      <c r="N43" s="87">
        <v>131</v>
      </c>
      <c r="O43" s="87">
        <v>134</v>
      </c>
    </row>
    <row r="44" spans="1:15" x14ac:dyDescent="0.25">
      <c r="A44" s="154" t="s">
        <v>206</v>
      </c>
      <c r="B44" s="87">
        <v>8</v>
      </c>
      <c r="C44" s="87">
        <v>14</v>
      </c>
      <c r="D44" s="87">
        <v>22</v>
      </c>
      <c r="E44" s="87">
        <v>29</v>
      </c>
      <c r="F44" s="87">
        <v>39</v>
      </c>
      <c r="G44" s="87">
        <v>53</v>
      </c>
      <c r="H44" s="87">
        <v>54</v>
      </c>
      <c r="I44" s="87">
        <v>69</v>
      </c>
      <c r="J44" s="87">
        <v>75</v>
      </c>
      <c r="K44" s="87">
        <v>85</v>
      </c>
      <c r="L44" s="87">
        <v>102</v>
      </c>
      <c r="M44" s="87">
        <v>105</v>
      </c>
      <c r="N44" s="89"/>
      <c r="O44" s="87">
        <v>121</v>
      </c>
    </row>
    <row r="45" spans="1:15" x14ac:dyDescent="0.25">
      <c r="A45" s="154" t="s">
        <v>267</v>
      </c>
      <c r="B45" s="87">
        <v>6</v>
      </c>
      <c r="C45" s="87">
        <v>10</v>
      </c>
      <c r="D45" s="87">
        <v>21</v>
      </c>
      <c r="E45" s="87">
        <v>28</v>
      </c>
      <c r="F45" s="87">
        <v>37</v>
      </c>
      <c r="G45" s="87">
        <v>51</v>
      </c>
      <c r="H45" s="87">
        <v>57</v>
      </c>
      <c r="I45" s="87">
        <v>68</v>
      </c>
      <c r="J45" s="87">
        <v>77</v>
      </c>
      <c r="K45" s="87">
        <v>91</v>
      </c>
      <c r="L45" s="87">
        <v>103</v>
      </c>
      <c r="M45" s="87">
        <v>108</v>
      </c>
      <c r="N45" s="89"/>
      <c r="O45" s="87">
        <v>116</v>
      </c>
    </row>
    <row r="46" spans="1:15" x14ac:dyDescent="0.25">
      <c r="A46" s="154" t="s">
        <v>269</v>
      </c>
      <c r="B46" s="87">
        <v>8</v>
      </c>
      <c r="C46" s="87">
        <v>16</v>
      </c>
      <c r="D46" s="87">
        <v>22</v>
      </c>
      <c r="E46" s="87">
        <v>31</v>
      </c>
      <c r="F46" s="87">
        <v>44</v>
      </c>
      <c r="G46" s="87">
        <v>59</v>
      </c>
      <c r="H46" s="87">
        <v>61</v>
      </c>
      <c r="I46" s="87">
        <v>72</v>
      </c>
      <c r="J46" s="87">
        <v>84</v>
      </c>
      <c r="K46" s="87">
        <v>98</v>
      </c>
      <c r="L46" s="87">
        <v>103</v>
      </c>
      <c r="M46" s="87">
        <v>117</v>
      </c>
      <c r="N46" s="89"/>
      <c r="O46" s="87">
        <v>128</v>
      </c>
    </row>
    <row r="47" spans="1:15" x14ac:dyDescent="0.25">
      <c r="A47" s="154" t="s">
        <v>209</v>
      </c>
      <c r="B47" s="87">
        <v>8</v>
      </c>
      <c r="C47" s="87">
        <v>14</v>
      </c>
      <c r="D47" s="87">
        <v>24</v>
      </c>
      <c r="E47" s="87">
        <v>30</v>
      </c>
      <c r="F47" s="87">
        <v>40</v>
      </c>
      <c r="G47" s="87">
        <v>53</v>
      </c>
      <c r="H47" s="87">
        <v>64</v>
      </c>
      <c r="I47" s="87">
        <v>78</v>
      </c>
      <c r="J47" s="89"/>
      <c r="K47" s="87">
        <v>91</v>
      </c>
      <c r="L47" s="87">
        <v>103</v>
      </c>
      <c r="M47" s="87">
        <v>105</v>
      </c>
      <c r="N47" s="89"/>
      <c r="O47" s="87">
        <v>110</v>
      </c>
    </row>
    <row r="48" spans="1:15" x14ac:dyDescent="0.25">
      <c r="A48" s="154" t="s">
        <v>271</v>
      </c>
      <c r="B48" s="87">
        <v>8</v>
      </c>
      <c r="C48" s="87">
        <v>14</v>
      </c>
      <c r="D48" s="87">
        <v>22</v>
      </c>
      <c r="E48" s="87">
        <v>28</v>
      </c>
      <c r="F48" s="87">
        <v>40</v>
      </c>
      <c r="G48" s="87">
        <v>52</v>
      </c>
      <c r="H48" s="87">
        <v>63</v>
      </c>
      <c r="I48" s="87">
        <v>74</v>
      </c>
      <c r="J48" s="89"/>
      <c r="K48" s="87">
        <v>92</v>
      </c>
      <c r="L48" s="87">
        <v>99</v>
      </c>
      <c r="M48" s="87">
        <v>98</v>
      </c>
      <c r="N48" s="89"/>
      <c r="O48" s="87">
        <v>111</v>
      </c>
    </row>
    <row r="49" spans="1:15" x14ac:dyDescent="0.25">
      <c r="A49" s="154" t="s">
        <v>273</v>
      </c>
      <c r="B49" s="87">
        <v>9</v>
      </c>
      <c r="C49" s="87">
        <v>17</v>
      </c>
      <c r="D49" s="87">
        <v>26</v>
      </c>
      <c r="E49" s="87">
        <v>29</v>
      </c>
      <c r="F49" s="87">
        <v>42</v>
      </c>
      <c r="G49" s="87">
        <v>52</v>
      </c>
      <c r="H49" s="87">
        <v>64</v>
      </c>
      <c r="I49" s="87">
        <v>82</v>
      </c>
      <c r="J49" s="89"/>
      <c r="K49" s="87">
        <v>95</v>
      </c>
      <c r="L49" s="87">
        <v>103</v>
      </c>
      <c r="M49" s="87">
        <v>109</v>
      </c>
      <c r="N49" s="89"/>
      <c r="O49" s="87">
        <v>119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483B72-227B-4867-928B-800FE9B7D7B7}">
  <dimension ref="A1:O49"/>
  <sheetViews>
    <sheetView workbookViewId="0"/>
  </sheetViews>
  <sheetFormatPr defaultRowHeight="15" x14ac:dyDescent="0.25"/>
  <cols>
    <col min="1" max="16384" width="9.140625" style="87"/>
  </cols>
  <sheetData>
    <row r="1" spans="1:15" x14ac:dyDescent="0.25">
      <c r="A1" s="110" t="s">
        <v>108</v>
      </c>
      <c r="B1" s="87" t="s">
        <v>107</v>
      </c>
      <c r="C1" s="87" t="s">
        <v>106</v>
      </c>
      <c r="D1" s="87" t="s">
        <v>105</v>
      </c>
      <c r="E1" s="87" t="s">
        <v>104</v>
      </c>
      <c r="F1" s="87" t="s">
        <v>103</v>
      </c>
      <c r="G1" s="87" t="s">
        <v>102</v>
      </c>
      <c r="H1" s="87" t="s">
        <v>101</v>
      </c>
      <c r="I1" s="87" t="s">
        <v>100</v>
      </c>
      <c r="J1" s="87" t="s">
        <v>99</v>
      </c>
      <c r="K1" s="87" t="s">
        <v>98</v>
      </c>
      <c r="L1" s="87" t="s">
        <v>97</v>
      </c>
      <c r="M1" s="87" t="s">
        <v>96</v>
      </c>
      <c r="N1" s="87" t="s">
        <v>95</v>
      </c>
      <c r="O1" s="87" t="s">
        <v>94</v>
      </c>
    </row>
    <row r="2" spans="1:15" x14ac:dyDescent="0.25">
      <c r="A2" s="154" t="s">
        <v>164</v>
      </c>
      <c r="B2" s="87">
        <v>8</v>
      </c>
      <c r="C2" s="87">
        <v>12</v>
      </c>
      <c r="D2" s="87">
        <v>20</v>
      </c>
      <c r="E2" s="87">
        <v>26</v>
      </c>
      <c r="F2" s="87">
        <v>32</v>
      </c>
      <c r="G2" s="87">
        <v>31</v>
      </c>
      <c r="H2" s="87">
        <v>44</v>
      </c>
      <c r="I2" s="87">
        <v>44</v>
      </c>
      <c r="J2" s="87">
        <v>57</v>
      </c>
      <c r="K2" s="87">
        <v>71</v>
      </c>
      <c r="L2" s="87">
        <v>81</v>
      </c>
      <c r="M2" s="87">
        <v>92</v>
      </c>
      <c r="N2" s="87">
        <v>97</v>
      </c>
      <c r="O2" s="87">
        <v>98</v>
      </c>
    </row>
    <row r="3" spans="1:15" x14ac:dyDescent="0.25">
      <c r="A3" s="154" t="s">
        <v>211</v>
      </c>
      <c r="B3" s="87">
        <v>6</v>
      </c>
      <c r="C3" s="87">
        <v>11</v>
      </c>
      <c r="D3" s="87">
        <v>19</v>
      </c>
      <c r="E3" s="87">
        <v>23</v>
      </c>
      <c r="F3" s="87">
        <v>34</v>
      </c>
      <c r="G3" s="87">
        <v>42</v>
      </c>
      <c r="H3" s="87">
        <v>48</v>
      </c>
      <c r="I3" s="87">
        <v>52</v>
      </c>
      <c r="J3" s="87">
        <v>72</v>
      </c>
      <c r="K3" s="87">
        <v>82</v>
      </c>
      <c r="L3" s="87">
        <v>86</v>
      </c>
      <c r="M3" s="87">
        <v>99</v>
      </c>
      <c r="N3" s="87">
        <v>93</v>
      </c>
      <c r="O3" s="87">
        <v>98</v>
      </c>
    </row>
    <row r="4" spans="1:15" x14ac:dyDescent="0.25">
      <c r="A4" s="154" t="s">
        <v>213</v>
      </c>
      <c r="B4" s="87">
        <v>7</v>
      </c>
      <c r="C4" s="87">
        <v>16</v>
      </c>
      <c r="D4" s="87">
        <v>20</v>
      </c>
      <c r="E4" s="87">
        <v>27</v>
      </c>
      <c r="F4" s="87">
        <v>34</v>
      </c>
      <c r="G4" s="87">
        <v>38</v>
      </c>
      <c r="H4" s="87">
        <v>47</v>
      </c>
      <c r="I4" s="87">
        <v>74</v>
      </c>
      <c r="J4" s="87">
        <v>86</v>
      </c>
      <c r="K4" s="87">
        <v>91</v>
      </c>
      <c r="L4" s="87">
        <v>94</v>
      </c>
      <c r="M4" s="87">
        <v>102</v>
      </c>
      <c r="N4" s="87">
        <v>102</v>
      </c>
      <c r="O4" s="87">
        <v>102</v>
      </c>
    </row>
    <row r="5" spans="1:15" x14ac:dyDescent="0.25">
      <c r="A5" s="154" t="s">
        <v>167</v>
      </c>
      <c r="B5" s="87">
        <v>6</v>
      </c>
      <c r="C5" s="87">
        <v>13</v>
      </c>
      <c r="D5" s="87">
        <v>17</v>
      </c>
      <c r="E5" s="87">
        <v>24</v>
      </c>
      <c r="F5" s="87">
        <v>38</v>
      </c>
      <c r="G5" s="87">
        <v>37</v>
      </c>
      <c r="H5" s="87">
        <v>50</v>
      </c>
      <c r="I5" s="87">
        <v>61</v>
      </c>
      <c r="J5" s="89"/>
      <c r="K5" s="87">
        <v>70</v>
      </c>
      <c r="L5" s="87">
        <v>96</v>
      </c>
      <c r="M5" s="87">
        <v>102</v>
      </c>
      <c r="N5" s="87">
        <v>96</v>
      </c>
      <c r="O5" s="87">
        <v>102</v>
      </c>
    </row>
    <row r="6" spans="1:15" x14ac:dyDescent="0.25">
      <c r="A6" s="154" t="s">
        <v>215</v>
      </c>
      <c r="B6" s="87">
        <v>7</v>
      </c>
      <c r="C6" s="87">
        <v>12</v>
      </c>
      <c r="D6" s="87">
        <v>20</v>
      </c>
      <c r="E6" s="87">
        <v>26</v>
      </c>
      <c r="F6" s="87">
        <v>36</v>
      </c>
      <c r="G6" s="87">
        <v>48</v>
      </c>
      <c r="H6" s="87">
        <v>56</v>
      </c>
      <c r="I6" s="87">
        <v>61</v>
      </c>
      <c r="J6" s="89"/>
      <c r="K6" s="87">
        <v>73</v>
      </c>
      <c r="L6" s="87">
        <v>98</v>
      </c>
      <c r="M6" s="87">
        <v>102</v>
      </c>
      <c r="N6" s="87">
        <v>102</v>
      </c>
      <c r="O6" s="87">
        <v>102</v>
      </c>
    </row>
    <row r="7" spans="1:15" x14ac:dyDescent="0.25">
      <c r="A7" s="154" t="s">
        <v>217</v>
      </c>
      <c r="B7" s="87">
        <v>6</v>
      </c>
      <c r="C7" s="87">
        <v>12</v>
      </c>
      <c r="D7" s="87">
        <v>18</v>
      </c>
      <c r="E7" s="87">
        <v>31</v>
      </c>
      <c r="F7" s="87">
        <v>35</v>
      </c>
      <c r="G7" s="87">
        <v>41</v>
      </c>
      <c r="H7" s="87">
        <v>51</v>
      </c>
      <c r="I7" s="87">
        <v>58</v>
      </c>
      <c r="J7" s="89"/>
      <c r="K7" s="87">
        <v>77</v>
      </c>
      <c r="L7" s="87">
        <v>101</v>
      </c>
      <c r="M7" s="87">
        <v>102</v>
      </c>
      <c r="N7" s="87">
        <v>102</v>
      </c>
      <c r="O7" s="87">
        <v>102</v>
      </c>
    </row>
    <row r="8" spans="1:15" x14ac:dyDescent="0.25">
      <c r="A8" s="154" t="s">
        <v>170</v>
      </c>
      <c r="B8" s="87">
        <v>6</v>
      </c>
      <c r="C8" s="87">
        <v>12</v>
      </c>
      <c r="D8" s="87">
        <v>24</v>
      </c>
      <c r="E8" s="87">
        <v>25</v>
      </c>
      <c r="F8" s="87">
        <v>38</v>
      </c>
      <c r="G8" s="89"/>
      <c r="H8" s="87">
        <v>50</v>
      </c>
      <c r="I8" s="87">
        <v>48</v>
      </c>
      <c r="J8" s="87">
        <v>59</v>
      </c>
      <c r="K8" s="87">
        <v>56</v>
      </c>
      <c r="L8" s="87">
        <v>74</v>
      </c>
      <c r="M8" s="87">
        <v>86</v>
      </c>
      <c r="N8" s="87">
        <v>93</v>
      </c>
      <c r="O8" s="87">
        <v>102</v>
      </c>
    </row>
    <row r="9" spans="1:15" x14ac:dyDescent="0.25">
      <c r="A9" s="154" t="s">
        <v>219</v>
      </c>
      <c r="B9" s="87">
        <v>7</v>
      </c>
      <c r="C9" s="87">
        <v>11</v>
      </c>
      <c r="D9" s="87">
        <v>16</v>
      </c>
      <c r="E9" s="87">
        <v>26</v>
      </c>
      <c r="F9" s="87">
        <v>35</v>
      </c>
      <c r="G9" s="89"/>
      <c r="H9" s="87">
        <v>49</v>
      </c>
      <c r="I9" s="87">
        <v>46</v>
      </c>
      <c r="J9" s="87">
        <v>50</v>
      </c>
      <c r="K9" s="87">
        <v>50</v>
      </c>
      <c r="L9" s="87">
        <v>66</v>
      </c>
      <c r="M9" s="87">
        <v>89</v>
      </c>
      <c r="N9" s="87">
        <v>92</v>
      </c>
      <c r="O9" s="87">
        <v>102</v>
      </c>
    </row>
    <row r="10" spans="1:15" x14ac:dyDescent="0.25">
      <c r="A10" s="154" t="s">
        <v>221</v>
      </c>
      <c r="B10" s="87">
        <v>7</v>
      </c>
      <c r="C10" s="87">
        <v>13</v>
      </c>
      <c r="D10" s="87">
        <v>17</v>
      </c>
      <c r="E10" s="87">
        <v>23</v>
      </c>
      <c r="F10" s="87">
        <v>38</v>
      </c>
      <c r="G10" s="89"/>
      <c r="H10" s="87">
        <v>53</v>
      </c>
      <c r="I10" s="87">
        <v>49</v>
      </c>
      <c r="J10" s="87">
        <v>60</v>
      </c>
      <c r="K10" s="87">
        <v>64</v>
      </c>
      <c r="L10" s="87">
        <v>77</v>
      </c>
      <c r="M10" s="87">
        <v>96</v>
      </c>
      <c r="N10" s="87">
        <v>98</v>
      </c>
      <c r="O10" s="87">
        <v>102</v>
      </c>
    </row>
    <row r="11" spans="1:15" x14ac:dyDescent="0.25">
      <c r="A11" s="154" t="s">
        <v>173</v>
      </c>
      <c r="B11" s="87">
        <v>7</v>
      </c>
      <c r="C11" s="87">
        <v>13</v>
      </c>
      <c r="D11" s="87">
        <v>16</v>
      </c>
      <c r="E11" s="87">
        <v>25</v>
      </c>
      <c r="F11" s="87">
        <v>35</v>
      </c>
      <c r="G11" s="87">
        <v>51</v>
      </c>
      <c r="H11" s="87">
        <v>63</v>
      </c>
      <c r="I11" s="87">
        <v>63</v>
      </c>
      <c r="J11" s="89"/>
      <c r="K11" s="87">
        <v>90</v>
      </c>
      <c r="L11" s="87">
        <v>100</v>
      </c>
      <c r="M11" s="87">
        <v>102</v>
      </c>
      <c r="N11" s="87">
        <v>102</v>
      </c>
      <c r="O11" s="87">
        <v>102</v>
      </c>
    </row>
    <row r="12" spans="1:15" x14ac:dyDescent="0.25">
      <c r="A12" s="154" t="s">
        <v>223</v>
      </c>
      <c r="B12" s="87">
        <v>7</v>
      </c>
      <c r="C12" s="87">
        <v>12</v>
      </c>
      <c r="D12" s="87">
        <v>20</v>
      </c>
      <c r="E12" s="87">
        <v>30</v>
      </c>
      <c r="F12" s="87">
        <v>37</v>
      </c>
      <c r="G12" s="87">
        <v>49</v>
      </c>
      <c r="H12" s="87">
        <v>60</v>
      </c>
      <c r="I12" s="87">
        <v>67</v>
      </c>
      <c r="J12" s="89"/>
      <c r="K12" s="87">
        <v>83</v>
      </c>
      <c r="L12" s="87">
        <v>102</v>
      </c>
      <c r="M12" s="87">
        <v>102</v>
      </c>
      <c r="N12" s="87">
        <v>102</v>
      </c>
      <c r="O12" s="87">
        <v>102</v>
      </c>
    </row>
    <row r="13" spans="1:15" x14ac:dyDescent="0.25">
      <c r="A13" s="154" t="s">
        <v>225</v>
      </c>
      <c r="B13" s="87">
        <v>6</v>
      </c>
      <c r="C13" s="87">
        <v>14</v>
      </c>
      <c r="D13" s="87">
        <v>19</v>
      </c>
      <c r="E13" s="87">
        <v>28</v>
      </c>
      <c r="F13" s="87">
        <v>34</v>
      </c>
      <c r="G13" s="87">
        <v>48</v>
      </c>
      <c r="H13" s="87">
        <v>45</v>
      </c>
      <c r="I13" s="87">
        <v>67</v>
      </c>
      <c r="J13" s="89"/>
      <c r="K13" s="87">
        <v>76</v>
      </c>
      <c r="L13" s="87">
        <v>88</v>
      </c>
      <c r="M13" s="87">
        <v>102</v>
      </c>
      <c r="N13" s="87">
        <v>102</v>
      </c>
      <c r="O13" s="87">
        <v>102</v>
      </c>
    </row>
    <row r="14" spans="1:15" x14ac:dyDescent="0.25">
      <c r="A14" s="154" t="s">
        <v>176</v>
      </c>
      <c r="B14" s="87">
        <v>6</v>
      </c>
      <c r="C14" s="87">
        <v>13</v>
      </c>
      <c r="D14" s="87">
        <v>18</v>
      </c>
      <c r="E14" s="87">
        <v>30</v>
      </c>
      <c r="F14" s="87">
        <v>34</v>
      </c>
      <c r="G14" s="87">
        <v>51</v>
      </c>
      <c r="H14" s="87">
        <v>46</v>
      </c>
      <c r="I14" s="87">
        <v>51</v>
      </c>
      <c r="J14" s="87">
        <v>71</v>
      </c>
      <c r="K14" s="87">
        <v>75</v>
      </c>
      <c r="L14" s="87">
        <v>93</v>
      </c>
      <c r="M14" s="87">
        <v>98</v>
      </c>
      <c r="N14" s="87">
        <v>102</v>
      </c>
      <c r="O14" s="87">
        <v>102</v>
      </c>
    </row>
    <row r="15" spans="1:15" x14ac:dyDescent="0.25">
      <c r="A15" s="154" t="s">
        <v>227</v>
      </c>
      <c r="B15" s="87">
        <v>4</v>
      </c>
      <c r="C15" s="87">
        <v>11</v>
      </c>
      <c r="D15" s="87">
        <v>15</v>
      </c>
      <c r="E15" s="87">
        <v>26</v>
      </c>
      <c r="F15" s="87">
        <v>32</v>
      </c>
      <c r="G15" s="87">
        <v>41</v>
      </c>
      <c r="H15" s="87">
        <v>43</v>
      </c>
      <c r="I15" s="87">
        <v>53</v>
      </c>
      <c r="J15" s="87">
        <v>79</v>
      </c>
      <c r="K15" s="87">
        <v>83</v>
      </c>
      <c r="L15" s="87">
        <v>100</v>
      </c>
      <c r="M15" s="87">
        <v>98</v>
      </c>
      <c r="N15" s="87">
        <v>102</v>
      </c>
      <c r="O15" s="87">
        <v>102</v>
      </c>
    </row>
    <row r="16" spans="1:15" x14ac:dyDescent="0.25">
      <c r="A16" s="154" t="s">
        <v>229</v>
      </c>
      <c r="B16" s="87">
        <v>8</v>
      </c>
      <c r="C16" s="87">
        <v>11</v>
      </c>
      <c r="D16" s="87">
        <v>22</v>
      </c>
      <c r="E16" s="87">
        <v>27</v>
      </c>
      <c r="F16" s="87">
        <v>34</v>
      </c>
      <c r="G16" s="87">
        <v>40</v>
      </c>
      <c r="H16" s="87">
        <v>48</v>
      </c>
      <c r="I16" s="87">
        <v>59</v>
      </c>
      <c r="J16" s="87">
        <v>62</v>
      </c>
      <c r="K16" s="87">
        <v>76</v>
      </c>
      <c r="L16" s="87">
        <v>92</v>
      </c>
      <c r="M16" s="87">
        <v>89</v>
      </c>
      <c r="N16" s="87">
        <v>102</v>
      </c>
      <c r="O16" s="87">
        <v>102</v>
      </c>
    </row>
    <row r="17" spans="1:15" x14ac:dyDescent="0.25">
      <c r="A17" s="154" t="s">
        <v>179</v>
      </c>
      <c r="B17" s="87">
        <v>7</v>
      </c>
      <c r="C17" s="87">
        <v>14</v>
      </c>
      <c r="D17" s="87">
        <v>22</v>
      </c>
      <c r="E17" s="87">
        <v>25</v>
      </c>
      <c r="F17" s="87">
        <v>35</v>
      </c>
      <c r="G17" s="87">
        <v>37</v>
      </c>
      <c r="H17" s="87">
        <v>54</v>
      </c>
      <c r="I17" s="87">
        <v>55</v>
      </c>
      <c r="J17" s="87">
        <v>61</v>
      </c>
      <c r="K17" s="87">
        <v>74</v>
      </c>
      <c r="L17" s="87">
        <v>86</v>
      </c>
      <c r="M17" s="87">
        <v>97</v>
      </c>
      <c r="N17" s="87">
        <v>100</v>
      </c>
      <c r="O17" s="87">
        <v>102</v>
      </c>
    </row>
    <row r="18" spans="1:15" x14ac:dyDescent="0.25">
      <c r="A18" s="154" t="s">
        <v>231</v>
      </c>
      <c r="B18" s="87">
        <v>4</v>
      </c>
      <c r="C18" s="87">
        <v>12</v>
      </c>
      <c r="D18" s="87">
        <v>18</v>
      </c>
      <c r="E18" s="87">
        <v>22</v>
      </c>
      <c r="F18" s="87">
        <v>36</v>
      </c>
      <c r="G18" s="87">
        <v>49</v>
      </c>
      <c r="H18" s="87">
        <v>49</v>
      </c>
      <c r="I18" s="87">
        <v>56</v>
      </c>
      <c r="J18" s="87">
        <v>69</v>
      </c>
      <c r="K18" s="87">
        <v>77</v>
      </c>
      <c r="L18" s="87">
        <v>89</v>
      </c>
      <c r="M18" s="87">
        <v>102</v>
      </c>
      <c r="N18" s="87">
        <v>102</v>
      </c>
      <c r="O18" s="87">
        <v>102</v>
      </c>
    </row>
    <row r="19" spans="1:15" x14ac:dyDescent="0.25">
      <c r="A19" s="154" t="s">
        <v>233</v>
      </c>
      <c r="B19" s="87">
        <v>8</v>
      </c>
      <c r="C19" s="87">
        <v>9</v>
      </c>
      <c r="D19" s="87">
        <v>20</v>
      </c>
      <c r="E19" s="87">
        <v>28</v>
      </c>
      <c r="F19" s="87">
        <v>40</v>
      </c>
      <c r="G19" s="87">
        <v>39</v>
      </c>
      <c r="H19" s="87">
        <v>50</v>
      </c>
      <c r="I19" s="87">
        <v>53</v>
      </c>
      <c r="J19" s="87">
        <v>63</v>
      </c>
      <c r="K19" s="87">
        <v>66</v>
      </c>
      <c r="L19" s="87">
        <v>85</v>
      </c>
      <c r="M19" s="87">
        <v>99</v>
      </c>
      <c r="N19" s="87">
        <v>98</v>
      </c>
      <c r="O19" s="87">
        <v>102</v>
      </c>
    </row>
    <row r="20" spans="1:15" x14ac:dyDescent="0.25">
      <c r="A20" s="154" t="s">
        <v>182</v>
      </c>
      <c r="B20" s="87">
        <v>5</v>
      </c>
      <c r="C20" s="87">
        <v>11</v>
      </c>
      <c r="D20" s="87">
        <v>15</v>
      </c>
      <c r="E20" s="87">
        <v>23</v>
      </c>
      <c r="F20" s="87">
        <v>33</v>
      </c>
      <c r="G20" s="87">
        <v>45</v>
      </c>
      <c r="H20" s="87">
        <v>53</v>
      </c>
      <c r="I20" s="87">
        <v>58</v>
      </c>
      <c r="J20" s="87">
        <v>53</v>
      </c>
      <c r="K20" s="87">
        <v>76</v>
      </c>
      <c r="L20" s="87">
        <v>88</v>
      </c>
      <c r="M20" s="87">
        <v>102</v>
      </c>
      <c r="N20" s="87">
        <v>102</v>
      </c>
      <c r="O20" s="87">
        <v>102</v>
      </c>
    </row>
    <row r="21" spans="1:15" x14ac:dyDescent="0.25">
      <c r="A21" s="154" t="s">
        <v>235</v>
      </c>
      <c r="B21" s="87">
        <v>5</v>
      </c>
      <c r="C21" s="87">
        <v>11</v>
      </c>
      <c r="D21" s="87">
        <v>18</v>
      </c>
      <c r="E21" s="87">
        <v>28</v>
      </c>
      <c r="F21" s="87">
        <v>34</v>
      </c>
      <c r="G21" s="87">
        <v>50</v>
      </c>
      <c r="H21" s="87">
        <v>61</v>
      </c>
      <c r="I21" s="87">
        <v>69</v>
      </c>
      <c r="J21" s="87">
        <v>62</v>
      </c>
      <c r="K21" s="87">
        <v>78</v>
      </c>
      <c r="L21" s="87">
        <v>96</v>
      </c>
      <c r="M21" s="87">
        <v>102</v>
      </c>
      <c r="N21" s="87">
        <v>102</v>
      </c>
      <c r="O21" s="87">
        <v>102</v>
      </c>
    </row>
    <row r="22" spans="1:15" x14ac:dyDescent="0.25">
      <c r="A22" s="154" t="s">
        <v>237</v>
      </c>
      <c r="B22" s="87">
        <v>5</v>
      </c>
      <c r="C22" s="87">
        <v>14</v>
      </c>
      <c r="D22" s="87">
        <v>15</v>
      </c>
      <c r="E22" s="87">
        <v>24</v>
      </c>
      <c r="F22" s="87">
        <v>33</v>
      </c>
      <c r="G22" s="87">
        <v>45</v>
      </c>
      <c r="H22" s="87">
        <v>55</v>
      </c>
      <c r="I22" s="87">
        <v>60</v>
      </c>
      <c r="J22" s="87">
        <v>68</v>
      </c>
      <c r="K22" s="87">
        <v>80</v>
      </c>
      <c r="L22" s="87">
        <v>101</v>
      </c>
      <c r="M22" s="87">
        <v>102</v>
      </c>
      <c r="N22" s="87">
        <v>102</v>
      </c>
      <c r="O22" s="87">
        <v>102</v>
      </c>
    </row>
    <row r="23" spans="1:15" x14ac:dyDescent="0.25">
      <c r="A23" s="154" t="s">
        <v>185</v>
      </c>
      <c r="B23" s="87">
        <v>7</v>
      </c>
      <c r="C23" s="87">
        <v>12</v>
      </c>
      <c r="D23" s="87">
        <v>17</v>
      </c>
      <c r="E23" s="87">
        <v>25</v>
      </c>
      <c r="F23" s="87">
        <v>37</v>
      </c>
      <c r="G23" s="87">
        <v>50</v>
      </c>
      <c r="H23" s="87">
        <v>63</v>
      </c>
      <c r="I23" s="87">
        <v>72</v>
      </c>
      <c r="J23" s="89"/>
      <c r="K23" s="87">
        <v>87</v>
      </c>
      <c r="L23" s="87">
        <v>102</v>
      </c>
      <c r="M23" s="87">
        <v>102</v>
      </c>
      <c r="N23" s="87">
        <v>102</v>
      </c>
      <c r="O23" s="87">
        <v>102</v>
      </c>
    </row>
    <row r="24" spans="1:15" x14ac:dyDescent="0.25">
      <c r="A24" s="154" t="s">
        <v>239</v>
      </c>
      <c r="B24" s="87">
        <v>7</v>
      </c>
      <c r="C24" s="87">
        <v>12</v>
      </c>
      <c r="D24" s="87">
        <v>18</v>
      </c>
      <c r="E24" s="87">
        <v>27</v>
      </c>
      <c r="F24" s="87">
        <v>35</v>
      </c>
      <c r="G24" s="87">
        <v>43</v>
      </c>
      <c r="H24" s="87">
        <v>51</v>
      </c>
      <c r="I24" s="87">
        <v>75</v>
      </c>
      <c r="J24" s="89"/>
      <c r="K24" s="87">
        <v>90</v>
      </c>
      <c r="L24" s="87">
        <v>102</v>
      </c>
      <c r="M24" s="87">
        <v>102</v>
      </c>
      <c r="N24" s="87">
        <v>102</v>
      </c>
      <c r="O24" s="87">
        <v>102</v>
      </c>
    </row>
    <row r="25" spans="1:15" x14ac:dyDescent="0.25">
      <c r="A25" s="154" t="s">
        <v>241</v>
      </c>
      <c r="B25" s="87">
        <v>7</v>
      </c>
      <c r="C25" s="87">
        <v>10</v>
      </c>
      <c r="D25" s="87">
        <v>18</v>
      </c>
      <c r="E25" s="87">
        <v>26</v>
      </c>
      <c r="F25" s="87">
        <v>33</v>
      </c>
      <c r="G25" s="87">
        <v>53</v>
      </c>
      <c r="H25" s="87">
        <v>58</v>
      </c>
      <c r="I25" s="87">
        <v>65</v>
      </c>
      <c r="J25" s="89"/>
      <c r="K25" s="87">
        <v>89</v>
      </c>
      <c r="L25" s="87">
        <v>102</v>
      </c>
      <c r="M25" s="87">
        <v>102</v>
      </c>
      <c r="N25" s="87">
        <v>102</v>
      </c>
      <c r="O25" s="87">
        <v>102</v>
      </c>
    </row>
    <row r="26" spans="1:15" x14ac:dyDescent="0.25">
      <c r="A26" s="154" t="s">
        <v>188</v>
      </c>
      <c r="B26" s="87">
        <v>6</v>
      </c>
      <c r="C26" s="87">
        <v>11</v>
      </c>
      <c r="D26" s="87">
        <v>17</v>
      </c>
      <c r="E26" s="87">
        <v>25</v>
      </c>
      <c r="F26" s="87">
        <v>34</v>
      </c>
      <c r="G26" s="87">
        <v>38</v>
      </c>
      <c r="H26" s="87">
        <v>47</v>
      </c>
      <c r="I26" s="87">
        <v>43</v>
      </c>
      <c r="J26" s="87">
        <v>52</v>
      </c>
      <c r="K26" s="87">
        <v>66</v>
      </c>
      <c r="L26" s="87">
        <v>84</v>
      </c>
      <c r="M26" s="87">
        <v>87</v>
      </c>
      <c r="N26" s="87">
        <v>84</v>
      </c>
      <c r="O26" s="87">
        <v>92</v>
      </c>
    </row>
    <row r="27" spans="1:15" x14ac:dyDescent="0.25">
      <c r="A27" s="154" t="s">
        <v>243</v>
      </c>
      <c r="B27" s="87">
        <v>7</v>
      </c>
      <c r="C27" s="87">
        <v>12</v>
      </c>
      <c r="D27" s="87">
        <v>18</v>
      </c>
      <c r="E27" s="87">
        <v>29</v>
      </c>
      <c r="F27" s="87">
        <v>36</v>
      </c>
      <c r="G27" s="87">
        <v>39</v>
      </c>
      <c r="H27" s="87">
        <v>47</v>
      </c>
      <c r="I27" s="87">
        <v>60</v>
      </c>
      <c r="J27" s="87">
        <v>59</v>
      </c>
      <c r="K27" s="87">
        <v>65</v>
      </c>
      <c r="L27" s="87">
        <v>80</v>
      </c>
      <c r="M27" s="87">
        <v>89</v>
      </c>
      <c r="N27" s="87">
        <v>92</v>
      </c>
      <c r="O27" s="87">
        <v>102</v>
      </c>
    </row>
    <row r="28" spans="1:15" x14ac:dyDescent="0.25">
      <c r="A28" s="154" t="s">
        <v>245</v>
      </c>
      <c r="B28" s="87">
        <v>6</v>
      </c>
      <c r="C28" s="87">
        <v>11</v>
      </c>
      <c r="D28" s="87">
        <v>21</v>
      </c>
      <c r="E28" s="87">
        <v>24</v>
      </c>
      <c r="F28" s="87">
        <v>37</v>
      </c>
      <c r="G28" s="87">
        <v>39</v>
      </c>
      <c r="H28" s="87">
        <v>53</v>
      </c>
      <c r="I28" s="87">
        <v>62</v>
      </c>
      <c r="J28" s="87">
        <v>48</v>
      </c>
      <c r="K28" s="87">
        <v>64</v>
      </c>
      <c r="L28" s="87">
        <v>76</v>
      </c>
      <c r="M28" s="87">
        <v>92</v>
      </c>
      <c r="N28" s="87">
        <v>97</v>
      </c>
      <c r="O28" s="87">
        <v>99</v>
      </c>
    </row>
    <row r="29" spans="1:15" x14ac:dyDescent="0.25">
      <c r="A29" s="154" t="s">
        <v>191</v>
      </c>
      <c r="B29" s="87">
        <v>8</v>
      </c>
      <c r="C29" s="87">
        <v>11</v>
      </c>
      <c r="D29" s="87">
        <v>23</v>
      </c>
      <c r="E29" s="87">
        <v>28</v>
      </c>
      <c r="F29" s="87">
        <v>34</v>
      </c>
      <c r="G29" s="87">
        <v>46</v>
      </c>
      <c r="H29" s="87">
        <v>51</v>
      </c>
      <c r="I29" s="87">
        <v>63</v>
      </c>
      <c r="J29" s="89"/>
      <c r="K29" s="87">
        <v>91</v>
      </c>
      <c r="L29" s="87">
        <v>102</v>
      </c>
      <c r="M29" s="87">
        <v>102</v>
      </c>
      <c r="N29" s="87">
        <v>102</v>
      </c>
      <c r="O29" s="87">
        <v>102</v>
      </c>
    </row>
    <row r="30" spans="1:15" x14ac:dyDescent="0.25">
      <c r="A30" s="154" t="s">
        <v>247</v>
      </c>
      <c r="B30" s="87">
        <v>4</v>
      </c>
      <c r="C30" s="87">
        <v>10</v>
      </c>
      <c r="D30" s="87">
        <v>16</v>
      </c>
      <c r="E30" s="87">
        <v>18</v>
      </c>
      <c r="F30" s="87">
        <v>34</v>
      </c>
      <c r="G30" s="87">
        <v>41</v>
      </c>
      <c r="H30" s="87">
        <v>53</v>
      </c>
      <c r="I30" s="87">
        <v>68</v>
      </c>
      <c r="J30" s="89"/>
      <c r="K30" s="87">
        <v>86</v>
      </c>
      <c r="L30" s="87">
        <v>102</v>
      </c>
      <c r="M30" s="87">
        <v>102</v>
      </c>
      <c r="N30" s="87">
        <v>102</v>
      </c>
      <c r="O30" s="87">
        <v>102</v>
      </c>
    </row>
    <row r="31" spans="1:15" x14ac:dyDescent="0.25">
      <c r="A31" s="154" t="s">
        <v>249</v>
      </c>
      <c r="B31" s="87">
        <v>5</v>
      </c>
      <c r="C31" s="87">
        <v>10</v>
      </c>
      <c r="D31" s="87">
        <v>20</v>
      </c>
      <c r="E31" s="87">
        <v>27</v>
      </c>
      <c r="F31" s="87">
        <v>31</v>
      </c>
      <c r="G31" s="87">
        <v>53</v>
      </c>
      <c r="H31" s="87">
        <v>63</v>
      </c>
      <c r="I31" s="87">
        <v>70</v>
      </c>
      <c r="J31" s="89"/>
      <c r="K31" s="87">
        <v>99</v>
      </c>
      <c r="L31" s="87">
        <v>102</v>
      </c>
      <c r="M31" s="87">
        <v>102</v>
      </c>
      <c r="N31" s="87">
        <v>102</v>
      </c>
      <c r="O31" s="87">
        <v>102</v>
      </c>
    </row>
    <row r="32" spans="1:15" x14ac:dyDescent="0.25">
      <c r="A32" s="154" t="s">
        <v>194</v>
      </c>
      <c r="B32" s="87">
        <v>6</v>
      </c>
      <c r="C32" s="87">
        <v>13</v>
      </c>
      <c r="D32" s="87">
        <v>19</v>
      </c>
      <c r="E32" s="87">
        <v>28</v>
      </c>
      <c r="F32" s="87">
        <v>38</v>
      </c>
      <c r="G32" s="87">
        <v>46</v>
      </c>
      <c r="H32" s="87">
        <v>49</v>
      </c>
      <c r="I32" s="87">
        <v>53</v>
      </c>
      <c r="J32" s="87">
        <v>68</v>
      </c>
      <c r="K32" s="87">
        <v>76</v>
      </c>
      <c r="L32" s="87">
        <v>81</v>
      </c>
      <c r="M32" s="87">
        <v>98</v>
      </c>
      <c r="N32" s="87">
        <v>102</v>
      </c>
      <c r="O32" s="87">
        <v>102</v>
      </c>
    </row>
    <row r="33" spans="1:15" x14ac:dyDescent="0.25">
      <c r="A33" s="154" t="s">
        <v>251</v>
      </c>
      <c r="B33" s="87">
        <v>6</v>
      </c>
      <c r="C33" s="87">
        <v>14</v>
      </c>
      <c r="D33" s="87">
        <v>17</v>
      </c>
      <c r="E33" s="87">
        <v>27</v>
      </c>
      <c r="F33" s="87">
        <v>37</v>
      </c>
      <c r="G33" s="87">
        <v>48</v>
      </c>
      <c r="H33" s="87">
        <v>55</v>
      </c>
      <c r="I33" s="87">
        <v>63</v>
      </c>
      <c r="J33" s="87">
        <v>75</v>
      </c>
      <c r="K33" s="87">
        <v>82</v>
      </c>
      <c r="L33" s="87">
        <v>98</v>
      </c>
      <c r="M33" s="87">
        <v>102</v>
      </c>
      <c r="N33" s="87">
        <v>102</v>
      </c>
      <c r="O33" s="87">
        <v>102</v>
      </c>
    </row>
    <row r="34" spans="1:15" x14ac:dyDescent="0.25">
      <c r="A34" s="154" t="s">
        <v>253</v>
      </c>
      <c r="B34" s="87">
        <v>5</v>
      </c>
      <c r="C34" s="87">
        <v>12</v>
      </c>
      <c r="D34" s="87">
        <v>15</v>
      </c>
      <c r="E34" s="87">
        <v>25</v>
      </c>
      <c r="F34" s="87">
        <v>33</v>
      </c>
      <c r="G34" s="87">
        <v>46</v>
      </c>
      <c r="H34" s="87">
        <v>45</v>
      </c>
      <c r="I34" s="87">
        <v>55</v>
      </c>
      <c r="J34" s="87">
        <v>66</v>
      </c>
      <c r="K34" s="87">
        <v>73</v>
      </c>
      <c r="L34" s="87">
        <v>94</v>
      </c>
      <c r="M34" s="87">
        <v>94</v>
      </c>
      <c r="N34" s="87">
        <v>102</v>
      </c>
      <c r="O34" s="87">
        <v>102</v>
      </c>
    </row>
    <row r="35" spans="1:15" x14ac:dyDescent="0.25">
      <c r="A35" s="154" t="s">
        <v>197</v>
      </c>
      <c r="B35" s="87">
        <v>7</v>
      </c>
      <c r="C35" s="87">
        <v>13</v>
      </c>
      <c r="D35" s="87">
        <v>21</v>
      </c>
      <c r="E35" s="87">
        <v>29</v>
      </c>
      <c r="F35" s="87">
        <v>37</v>
      </c>
      <c r="G35" s="87">
        <v>48</v>
      </c>
      <c r="H35" s="87">
        <v>74</v>
      </c>
      <c r="I35" s="87">
        <v>70</v>
      </c>
      <c r="J35" s="87">
        <v>87</v>
      </c>
      <c r="K35" s="87">
        <v>95</v>
      </c>
      <c r="L35" s="87">
        <v>102</v>
      </c>
      <c r="M35" s="87">
        <v>102</v>
      </c>
      <c r="N35" s="87">
        <v>102</v>
      </c>
      <c r="O35" s="87">
        <v>102</v>
      </c>
    </row>
    <row r="36" spans="1:15" x14ac:dyDescent="0.25">
      <c r="A36" s="154" t="s">
        <v>255</v>
      </c>
      <c r="B36" s="87">
        <v>7</v>
      </c>
      <c r="C36" s="87">
        <v>11</v>
      </c>
      <c r="D36" s="87">
        <v>19</v>
      </c>
      <c r="E36" s="87">
        <v>24</v>
      </c>
      <c r="F36" s="87">
        <v>32</v>
      </c>
      <c r="G36" s="87">
        <v>50</v>
      </c>
      <c r="H36" s="87">
        <v>60</v>
      </c>
      <c r="I36" s="87">
        <v>71</v>
      </c>
      <c r="J36" s="87">
        <v>71</v>
      </c>
      <c r="K36" s="87">
        <v>81</v>
      </c>
      <c r="L36" s="87">
        <v>102</v>
      </c>
      <c r="M36" s="87">
        <v>102</v>
      </c>
      <c r="N36" s="87">
        <v>102</v>
      </c>
      <c r="O36" s="87">
        <v>102</v>
      </c>
    </row>
    <row r="37" spans="1:15" x14ac:dyDescent="0.25">
      <c r="A37" s="154" t="s">
        <v>257</v>
      </c>
      <c r="B37" s="87">
        <v>5</v>
      </c>
      <c r="C37" s="87">
        <v>12</v>
      </c>
      <c r="D37" s="87">
        <v>16</v>
      </c>
      <c r="E37" s="87">
        <v>22</v>
      </c>
      <c r="F37" s="87">
        <v>34</v>
      </c>
      <c r="G37" s="87">
        <v>47</v>
      </c>
      <c r="H37" s="87">
        <v>56</v>
      </c>
      <c r="I37" s="87">
        <v>63</v>
      </c>
      <c r="J37" s="87">
        <v>62</v>
      </c>
      <c r="K37" s="87">
        <v>73</v>
      </c>
      <c r="L37" s="87">
        <v>102</v>
      </c>
      <c r="M37" s="87">
        <v>102</v>
      </c>
      <c r="N37" s="87">
        <v>102</v>
      </c>
      <c r="O37" s="87">
        <v>102</v>
      </c>
    </row>
    <row r="38" spans="1:15" x14ac:dyDescent="0.25">
      <c r="A38" s="154" t="s">
        <v>200</v>
      </c>
      <c r="B38" s="87">
        <v>5</v>
      </c>
      <c r="C38" s="87">
        <v>10</v>
      </c>
      <c r="D38" s="87">
        <v>18</v>
      </c>
      <c r="E38" s="87">
        <v>25</v>
      </c>
      <c r="F38" s="87">
        <v>31</v>
      </c>
      <c r="G38" s="87">
        <v>30</v>
      </c>
      <c r="H38" s="87">
        <v>48</v>
      </c>
      <c r="I38" s="87">
        <v>51</v>
      </c>
      <c r="J38" s="87">
        <v>56</v>
      </c>
      <c r="K38" s="87">
        <v>68</v>
      </c>
      <c r="L38" s="87">
        <v>93</v>
      </c>
      <c r="M38" s="87">
        <v>97</v>
      </c>
      <c r="N38" s="87">
        <v>102</v>
      </c>
      <c r="O38" s="87">
        <v>102</v>
      </c>
    </row>
    <row r="39" spans="1:15" x14ac:dyDescent="0.25">
      <c r="A39" s="154" t="s">
        <v>259</v>
      </c>
      <c r="B39" s="87">
        <v>6</v>
      </c>
      <c r="C39" s="87">
        <v>10</v>
      </c>
      <c r="D39" s="87">
        <v>16</v>
      </c>
      <c r="E39" s="87">
        <v>25</v>
      </c>
      <c r="F39" s="87">
        <v>31</v>
      </c>
      <c r="G39" s="87">
        <v>36</v>
      </c>
      <c r="H39" s="87">
        <v>49</v>
      </c>
      <c r="I39" s="87">
        <v>59</v>
      </c>
      <c r="J39" s="87">
        <v>56</v>
      </c>
      <c r="K39" s="87">
        <v>72</v>
      </c>
      <c r="L39" s="87">
        <v>89</v>
      </c>
      <c r="M39" s="87">
        <v>99</v>
      </c>
      <c r="N39" s="87">
        <v>96</v>
      </c>
      <c r="O39" s="87">
        <v>102</v>
      </c>
    </row>
    <row r="40" spans="1:15" x14ac:dyDescent="0.25">
      <c r="A40" s="154" t="s">
        <v>261</v>
      </c>
      <c r="B40" s="87">
        <v>5</v>
      </c>
      <c r="C40" s="87">
        <v>11</v>
      </c>
      <c r="D40" s="87">
        <v>17</v>
      </c>
      <c r="E40" s="87">
        <v>23</v>
      </c>
      <c r="F40" s="87">
        <v>33</v>
      </c>
      <c r="G40" s="87">
        <v>35</v>
      </c>
      <c r="H40" s="87">
        <v>46</v>
      </c>
      <c r="I40" s="87">
        <v>43</v>
      </c>
      <c r="J40" s="87">
        <v>56</v>
      </c>
      <c r="K40" s="87">
        <v>47</v>
      </c>
      <c r="L40" s="87">
        <v>76</v>
      </c>
      <c r="M40" s="87">
        <v>81</v>
      </c>
      <c r="N40" s="87">
        <v>95</v>
      </c>
      <c r="O40" s="87">
        <v>102</v>
      </c>
    </row>
    <row r="41" spans="1:15" x14ac:dyDescent="0.25">
      <c r="A41" s="154" t="s">
        <v>203</v>
      </c>
      <c r="B41" s="87">
        <v>6</v>
      </c>
      <c r="C41" s="87">
        <v>8</v>
      </c>
      <c r="D41" s="87">
        <v>21</v>
      </c>
      <c r="E41" s="87">
        <v>27</v>
      </c>
      <c r="F41" s="87">
        <v>34</v>
      </c>
      <c r="G41" s="87">
        <v>45</v>
      </c>
      <c r="H41" s="87">
        <v>54</v>
      </c>
      <c r="I41" s="87">
        <v>65</v>
      </c>
      <c r="J41" s="87">
        <v>69</v>
      </c>
      <c r="K41" s="87">
        <v>81</v>
      </c>
      <c r="L41" s="87">
        <v>102</v>
      </c>
      <c r="M41" s="87">
        <v>102</v>
      </c>
      <c r="N41" s="87">
        <v>102</v>
      </c>
      <c r="O41" s="87">
        <v>102</v>
      </c>
    </row>
    <row r="42" spans="1:15" x14ac:dyDescent="0.25">
      <c r="A42" s="154" t="s">
        <v>263</v>
      </c>
      <c r="B42" s="87">
        <v>6</v>
      </c>
      <c r="C42" s="87">
        <v>9</v>
      </c>
      <c r="D42" s="87">
        <v>19</v>
      </c>
      <c r="E42" s="87">
        <v>26</v>
      </c>
      <c r="F42" s="87">
        <v>36</v>
      </c>
      <c r="G42" s="87">
        <v>42</v>
      </c>
      <c r="H42" s="87">
        <v>60</v>
      </c>
      <c r="I42" s="87">
        <v>66</v>
      </c>
      <c r="J42" s="87">
        <v>76</v>
      </c>
      <c r="K42" s="87">
        <v>84</v>
      </c>
      <c r="L42" s="87">
        <v>102</v>
      </c>
      <c r="M42" s="87">
        <v>102</v>
      </c>
      <c r="N42" s="87">
        <v>102</v>
      </c>
      <c r="O42" s="87">
        <v>102</v>
      </c>
    </row>
    <row r="43" spans="1:15" x14ac:dyDescent="0.25">
      <c r="A43" s="154" t="s">
        <v>265</v>
      </c>
      <c r="B43" s="87">
        <v>5</v>
      </c>
      <c r="C43" s="87">
        <v>12</v>
      </c>
      <c r="D43" s="87">
        <v>18</v>
      </c>
      <c r="E43" s="87">
        <v>27</v>
      </c>
      <c r="F43" s="87">
        <v>38</v>
      </c>
      <c r="G43" s="87">
        <v>40</v>
      </c>
      <c r="H43" s="87">
        <v>52</v>
      </c>
      <c r="I43" s="87">
        <v>48</v>
      </c>
      <c r="J43" s="87">
        <v>65</v>
      </c>
      <c r="K43" s="87">
        <v>81</v>
      </c>
      <c r="L43" s="87">
        <v>102</v>
      </c>
      <c r="M43" s="87">
        <v>102</v>
      </c>
      <c r="N43" s="87">
        <v>102</v>
      </c>
      <c r="O43" s="87">
        <v>102</v>
      </c>
    </row>
    <row r="44" spans="1:15" x14ac:dyDescent="0.25">
      <c r="A44" s="154" t="s">
        <v>206</v>
      </c>
      <c r="B44" s="87">
        <v>7</v>
      </c>
      <c r="C44" s="87">
        <v>11</v>
      </c>
      <c r="D44" s="87">
        <v>18</v>
      </c>
      <c r="E44" s="87">
        <v>23</v>
      </c>
      <c r="F44" s="87">
        <v>36</v>
      </c>
      <c r="G44" s="87">
        <v>39</v>
      </c>
      <c r="H44" s="87">
        <v>46</v>
      </c>
      <c r="I44" s="87">
        <v>59</v>
      </c>
      <c r="J44" s="87">
        <v>64</v>
      </c>
      <c r="K44" s="87">
        <v>78</v>
      </c>
      <c r="L44" s="87">
        <v>90</v>
      </c>
      <c r="M44" s="87">
        <v>93</v>
      </c>
      <c r="N44" s="89"/>
      <c r="O44" s="87">
        <v>102</v>
      </c>
    </row>
    <row r="45" spans="1:15" x14ac:dyDescent="0.25">
      <c r="A45" s="154" t="s">
        <v>267</v>
      </c>
      <c r="B45" s="87">
        <v>5</v>
      </c>
      <c r="C45" s="87">
        <v>9</v>
      </c>
      <c r="D45" s="87">
        <v>19</v>
      </c>
      <c r="E45" s="87">
        <v>26</v>
      </c>
      <c r="F45" s="87">
        <v>33</v>
      </c>
      <c r="G45" s="87">
        <v>35</v>
      </c>
      <c r="H45" s="87">
        <v>46</v>
      </c>
      <c r="I45" s="87">
        <v>59</v>
      </c>
      <c r="J45" s="87">
        <v>66</v>
      </c>
      <c r="K45" s="87">
        <v>75</v>
      </c>
      <c r="L45" s="87">
        <v>86</v>
      </c>
      <c r="M45" s="87">
        <v>95</v>
      </c>
      <c r="N45" s="89"/>
      <c r="O45" s="87">
        <v>102</v>
      </c>
    </row>
    <row r="46" spans="1:15" x14ac:dyDescent="0.25">
      <c r="A46" s="154" t="s">
        <v>269</v>
      </c>
      <c r="B46" s="87">
        <v>8</v>
      </c>
      <c r="C46" s="87">
        <v>12</v>
      </c>
      <c r="D46" s="87">
        <v>22</v>
      </c>
      <c r="E46" s="87">
        <v>27</v>
      </c>
      <c r="F46" s="87">
        <v>34</v>
      </c>
      <c r="G46" s="87">
        <v>43</v>
      </c>
      <c r="H46" s="87">
        <v>51</v>
      </c>
      <c r="I46" s="87">
        <v>60</v>
      </c>
      <c r="J46" s="87">
        <v>78</v>
      </c>
      <c r="K46" s="87">
        <v>87</v>
      </c>
      <c r="L46" s="87">
        <v>97</v>
      </c>
      <c r="M46" s="87">
        <v>97</v>
      </c>
      <c r="N46" s="89"/>
      <c r="O46" s="87">
        <v>102</v>
      </c>
    </row>
    <row r="47" spans="1:15" x14ac:dyDescent="0.25">
      <c r="A47" s="154" t="s">
        <v>209</v>
      </c>
      <c r="B47" s="87">
        <v>5</v>
      </c>
      <c r="C47" s="87">
        <v>10</v>
      </c>
      <c r="D47" s="87">
        <v>23</v>
      </c>
      <c r="E47" s="87">
        <v>30</v>
      </c>
      <c r="F47" s="87">
        <v>39</v>
      </c>
      <c r="G47" s="87">
        <v>46</v>
      </c>
      <c r="H47" s="87">
        <v>60</v>
      </c>
      <c r="I47" s="87">
        <v>69</v>
      </c>
      <c r="J47" s="89"/>
      <c r="K47" s="87">
        <v>79</v>
      </c>
      <c r="L47" s="87">
        <v>93</v>
      </c>
      <c r="M47" s="87">
        <v>92</v>
      </c>
      <c r="N47" s="89"/>
      <c r="O47" s="87">
        <v>102</v>
      </c>
    </row>
    <row r="48" spans="1:15" x14ac:dyDescent="0.25">
      <c r="A48" s="154" t="s">
        <v>271</v>
      </c>
      <c r="B48" s="87">
        <v>6</v>
      </c>
      <c r="C48" s="87">
        <v>12</v>
      </c>
      <c r="D48" s="87">
        <v>16</v>
      </c>
      <c r="E48" s="87">
        <v>24</v>
      </c>
      <c r="F48" s="87">
        <v>35</v>
      </c>
      <c r="G48" s="87">
        <v>44</v>
      </c>
      <c r="H48" s="87">
        <v>53</v>
      </c>
      <c r="I48" s="87">
        <v>66</v>
      </c>
      <c r="J48" s="89"/>
      <c r="K48" s="87">
        <v>72</v>
      </c>
      <c r="L48" s="87">
        <v>82</v>
      </c>
      <c r="M48" s="87">
        <v>90</v>
      </c>
      <c r="N48" s="89"/>
      <c r="O48" s="87">
        <v>102</v>
      </c>
    </row>
    <row r="49" spans="1:15" x14ac:dyDescent="0.25">
      <c r="A49" s="154" t="s">
        <v>273</v>
      </c>
      <c r="B49" s="87">
        <v>7</v>
      </c>
      <c r="C49" s="87">
        <v>12</v>
      </c>
      <c r="D49" s="87">
        <v>19</v>
      </c>
      <c r="E49" s="87">
        <v>28</v>
      </c>
      <c r="F49" s="87">
        <v>38</v>
      </c>
      <c r="G49" s="87">
        <v>38</v>
      </c>
      <c r="H49" s="87">
        <v>51</v>
      </c>
      <c r="I49" s="87">
        <v>66</v>
      </c>
      <c r="J49" s="89"/>
      <c r="K49" s="87">
        <v>77</v>
      </c>
      <c r="L49" s="87">
        <v>93</v>
      </c>
      <c r="M49" s="87">
        <v>102</v>
      </c>
      <c r="N49" s="89"/>
      <c r="O49" s="87">
        <v>102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90CA2F-B6A6-4915-BCF5-388D12F17DAE}">
  <dimension ref="A1:V113"/>
  <sheetViews>
    <sheetView workbookViewId="0">
      <selection sqref="A1:A1048576"/>
    </sheetView>
  </sheetViews>
  <sheetFormatPr defaultRowHeight="12.75" x14ac:dyDescent="0.2"/>
  <sheetData>
    <row r="1" spans="1:22" x14ac:dyDescent="0.2">
      <c r="A1" s="11" t="s">
        <v>108</v>
      </c>
      <c r="B1" s="11" t="s">
        <v>132</v>
      </c>
      <c r="C1" s="11" t="s">
        <v>133</v>
      </c>
      <c r="D1" s="11" t="s">
        <v>134</v>
      </c>
      <c r="E1" s="11" t="s">
        <v>135</v>
      </c>
      <c r="F1" s="11" t="s">
        <v>103</v>
      </c>
      <c r="G1" s="11" t="s">
        <v>136</v>
      </c>
      <c r="H1" s="11" t="s">
        <v>137</v>
      </c>
      <c r="I1" s="11" t="s">
        <v>100</v>
      </c>
      <c r="J1" s="11" t="s">
        <v>138</v>
      </c>
      <c r="K1" s="11" t="s">
        <v>139</v>
      </c>
      <c r="L1" s="11" t="s">
        <v>140</v>
      </c>
      <c r="M1" s="11" t="s">
        <v>141</v>
      </c>
      <c r="N1" s="11" t="s">
        <v>142</v>
      </c>
      <c r="O1" s="11" t="s">
        <v>143</v>
      </c>
      <c r="P1" s="11" t="s">
        <v>144</v>
      </c>
      <c r="Q1" s="11" t="s">
        <v>145</v>
      </c>
      <c r="R1" s="11" t="s">
        <v>146</v>
      </c>
      <c r="S1" s="11" t="s">
        <v>147</v>
      </c>
      <c r="T1" s="11" t="s">
        <v>148</v>
      </c>
      <c r="U1" s="11" t="s">
        <v>149</v>
      </c>
      <c r="V1" s="11" t="s">
        <v>150</v>
      </c>
    </row>
    <row r="2" spans="1:22" x14ac:dyDescent="0.2">
      <c r="A2" s="11" t="s">
        <v>163</v>
      </c>
      <c r="B2" s="109"/>
      <c r="C2" s="109">
        <v>0.08</v>
      </c>
      <c r="D2" s="109">
        <v>0.25</v>
      </c>
      <c r="E2" s="109">
        <v>0.4</v>
      </c>
      <c r="F2" s="109">
        <v>0.71</v>
      </c>
      <c r="G2" s="109">
        <v>0.96</v>
      </c>
      <c r="H2" s="109">
        <v>1.1299999999999999</v>
      </c>
      <c r="I2" s="109">
        <v>1.73</v>
      </c>
      <c r="J2" s="109">
        <v>2.29</v>
      </c>
      <c r="K2" s="109">
        <v>2.6</v>
      </c>
      <c r="L2" s="109"/>
      <c r="M2" s="109">
        <v>2.79</v>
      </c>
      <c r="N2" s="109"/>
      <c r="O2" s="109">
        <v>2.76</v>
      </c>
      <c r="P2" s="109">
        <v>2.86</v>
      </c>
      <c r="Q2" s="109">
        <v>3.21</v>
      </c>
      <c r="R2" s="109">
        <v>3.7</v>
      </c>
      <c r="S2" s="109"/>
      <c r="T2" s="109">
        <v>4.95</v>
      </c>
      <c r="U2" s="109"/>
      <c r="V2" s="109"/>
    </row>
    <row r="3" spans="1:22" x14ac:dyDescent="0.2">
      <c r="A3" s="11" t="s">
        <v>164</v>
      </c>
      <c r="B3" s="109"/>
      <c r="C3" s="109">
        <v>0.23</v>
      </c>
      <c r="D3" s="109">
        <v>0.3</v>
      </c>
      <c r="E3" s="109">
        <v>0.43</v>
      </c>
      <c r="F3" s="109">
        <v>0.51</v>
      </c>
      <c r="G3" s="109">
        <v>0.8</v>
      </c>
      <c r="H3" s="109">
        <v>0.89</v>
      </c>
      <c r="I3" s="109">
        <v>1.53</v>
      </c>
      <c r="J3" s="109">
        <v>2</v>
      </c>
      <c r="K3" s="109">
        <v>2.15</v>
      </c>
      <c r="L3" s="109"/>
      <c r="M3" s="109">
        <v>2.57</v>
      </c>
      <c r="N3" s="109"/>
      <c r="O3" s="109">
        <v>2.69</v>
      </c>
      <c r="P3" s="109">
        <v>3.08</v>
      </c>
      <c r="Q3" s="109">
        <v>3.32</v>
      </c>
      <c r="R3" s="109">
        <v>3.99</v>
      </c>
      <c r="S3" s="109"/>
      <c r="T3" s="109">
        <v>4.93</v>
      </c>
      <c r="U3" s="109"/>
      <c r="V3" s="109"/>
    </row>
    <row r="4" spans="1:22" x14ac:dyDescent="0.2">
      <c r="A4" s="11" t="s">
        <v>165</v>
      </c>
      <c r="B4" s="109"/>
      <c r="C4" s="109">
        <v>0.12</v>
      </c>
      <c r="D4" s="109">
        <v>0.31</v>
      </c>
      <c r="E4" s="109">
        <v>0.28000000000000003</v>
      </c>
      <c r="F4" s="109">
        <v>0.49</v>
      </c>
      <c r="G4" s="109">
        <v>0.66</v>
      </c>
      <c r="H4" s="109">
        <v>0.87</v>
      </c>
      <c r="I4" s="109">
        <v>1.35</v>
      </c>
      <c r="J4" s="109">
        <v>2.16</v>
      </c>
      <c r="K4" s="109">
        <v>2.82</v>
      </c>
      <c r="L4" s="109"/>
      <c r="M4" s="109">
        <v>3.49</v>
      </c>
      <c r="N4" s="109"/>
      <c r="O4" s="109">
        <v>3.79</v>
      </c>
      <c r="P4" s="109">
        <v>4.2</v>
      </c>
      <c r="Q4" s="109">
        <v>4.57</v>
      </c>
      <c r="R4" s="109">
        <v>5.35</v>
      </c>
      <c r="S4" s="109"/>
      <c r="T4" s="109">
        <v>4.8099999999999996</v>
      </c>
      <c r="U4" s="109"/>
      <c r="V4" s="109"/>
    </row>
    <row r="5" spans="1:22" x14ac:dyDescent="0.2">
      <c r="A5" s="11" t="s">
        <v>211</v>
      </c>
      <c r="B5" s="109"/>
      <c r="C5" s="109">
        <v>0.11</v>
      </c>
      <c r="D5" s="109">
        <v>0.2</v>
      </c>
      <c r="E5" s="109">
        <v>0.32</v>
      </c>
      <c r="F5" s="109">
        <v>0.64</v>
      </c>
      <c r="G5" s="109">
        <v>0.76</v>
      </c>
      <c r="H5" s="109">
        <v>0.94</v>
      </c>
      <c r="I5" s="109">
        <v>1.5</v>
      </c>
      <c r="J5" s="109">
        <v>2.19</v>
      </c>
      <c r="K5" s="109">
        <v>2.7</v>
      </c>
      <c r="L5" s="109"/>
      <c r="M5" s="109">
        <v>3.57</v>
      </c>
      <c r="N5" s="109"/>
      <c r="O5" s="109">
        <v>3.7</v>
      </c>
      <c r="P5" s="109">
        <v>3.95</v>
      </c>
      <c r="Q5" s="109">
        <v>4.2</v>
      </c>
      <c r="R5" s="109">
        <v>4.51</v>
      </c>
      <c r="S5" s="109"/>
      <c r="T5" s="109">
        <v>5.3</v>
      </c>
      <c r="U5" s="109"/>
      <c r="V5" s="109"/>
    </row>
    <row r="6" spans="1:22" x14ac:dyDescent="0.2">
      <c r="A6" s="11" t="s">
        <v>212</v>
      </c>
      <c r="B6" s="109"/>
      <c r="C6" s="109">
        <v>0.06</v>
      </c>
      <c r="D6" s="109">
        <v>0.25</v>
      </c>
      <c r="E6" s="109">
        <v>0.35</v>
      </c>
      <c r="F6" s="109">
        <v>0.68</v>
      </c>
      <c r="G6" s="109">
        <v>0.88</v>
      </c>
      <c r="H6" s="109">
        <v>1.1299999999999999</v>
      </c>
      <c r="I6" s="109">
        <v>1.75</v>
      </c>
      <c r="J6" s="109">
        <v>2.4500000000000002</v>
      </c>
      <c r="K6" s="109">
        <v>2.91</v>
      </c>
      <c r="L6" s="109"/>
      <c r="M6" s="109">
        <v>3.43</v>
      </c>
      <c r="N6" s="109"/>
      <c r="O6" s="109">
        <v>3.75</v>
      </c>
      <c r="P6" s="109">
        <v>4.12</v>
      </c>
      <c r="Q6" s="109">
        <v>4.26</v>
      </c>
      <c r="R6" s="109">
        <v>4.8</v>
      </c>
      <c r="S6" s="109"/>
      <c r="T6" s="109">
        <v>5.08</v>
      </c>
      <c r="U6" s="109"/>
      <c r="V6" s="109"/>
    </row>
    <row r="7" spans="1:22" x14ac:dyDescent="0.2">
      <c r="A7" s="11" t="s">
        <v>213</v>
      </c>
      <c r="B7" s="109"/>
      <c r="C7" s="109">
        <v>0.04</v>
      </c>
      <c r="D7" s="109">
        <v>0.15</v>
      </c>
      <c r="E7" s="109">
        <v>0.23</v>
      </c>
      <c r="F7" s="109">
        <v>0.61</v>
      </c>
      <c r="G7" s="109">
        <v>0.89</v>
      </c>
      <c r="H7" s="109">
        <v>1.28</v>
      </c>
      <c r="I7" s="109">
        <v>1.96</v>
      </c>
      <c r="J7" s="109">
        <v>2.4900000000000002</v>
      </c>
      <c r="K7" s="109">
        <v>3.13</v>
      </c>
      <c r="L7" s="109"/>
      <c r="M7" s="109">
        <v>3.62</v>
      </c>
      <c r="N7" s="109"/>
      <c r="O7" s="109">
        <v>3.91</v>
      </c>
      <c r="P7" s="109">
        <v>4.3099999999999996</v>
      </c>
      <c r="Q7" s="109">
        <v>4.1900000000000004</v>
      </c>
      <c r="R7" s="109">
        <v>4.8499999999999996</v>
      </c>
      <c r="S7" s="109"/>
      <c r="T7" s="109">
        <v>4.92</v>
      </c>
      <c r="U7" s="109"/>
      <c r="V7" s="109"/>
    </row>
    <row r="8" spans="1:22" x14ac:dyDescent="0.2">
      <c r="A8" s="11" t="s">
        <v>214</v>
      </c>
      <c r="B8" s="109"/>
      <c r="C8" s="109">
        <v>0.11</v>
      </c>
      <c r="D8" s="109">
        <v>0.14000000000000001</v>
      </c>
      <c r="E8" s="109">
        <v>0.28999999999999998</v>
      </c>
      <c r="F8" s="109">
        <v>0.56000000000000005</v>
      </c>
      <c r="G8" s="109">
        <v>0.98</v>
      </c>
      <c r="H8" s="109">
        <v>1.08</v>
      </c>
      <c r="I8" s="109">
        <v>1.47</v>
      </c>
      <c r="J8" s="109">
        <v>2.06</v>
      </c>
      <c r="K8" s="109">
        <v>2.71</v>
      </c>
      <c r="L8" s="109"/>
      <c r="M8" s="109">
        <v>3.06</v>
      </c>
      <c r="N8" s="109"/>
      <c r="O8" s="109">
        <v>3.33</v>
      </c>
      <c r="P8" s="109">
        <v>3.43</v>
      </c>
      <c r="Q8" s="109">
        <v>3.24</v>
      </c>
      <c r="R8" s="109">
        <v>3.56</v>
      </c>
      <c r="S8" s="109"/>
      <c r="T8" s="109">
        <v>4.2300000000000004</v>
      </c>
      <c r="U8" s="109"/>
      <c r="V8" s="109"/>
    </row>
    <row r="9" spans="1:22" x14ac:dyDescent="0.2">
      <c r="A9" s="11" t="s">
        <v>166</v>
      </c>
      <c r="B9" s="109"/>
      <c r="C9" s="109">
        <v>0.17</v>
      </c>
      <c r="D9" s="109">
        <v>0.2</v>
      </c>
      <c r="E9" s="109">
        <v>0.26</v>
      </c>
      <c r="F9" s="109">
        <v>0.62</v>
      </c>
      <c r="G9" s="109">
        <v>0.96</v>
      </c>
      <c r="H9" s="109">
        <v>1.85</v>
      </c>
      <c r="I9" s="109">
        <v>2.4500000000000002</v>
      </c>
      <c r="J9" s="109">
        <v>1.86</v>
      </c>
      <c r="K9" s="109">
        <v>2.08</v>
      </c>
      <c r="L9" s="109"/>
      <c r="M9" s="109">
        <v>2.52</v>
      </c>
      <c r="N9" s="109"/>
      <c r="O9" s="109">
        <v>3.11</v>
      </c>
      <c r="P9" s="109">
        <v>3.83</v>
      </c>
      <c r="Q9" s="109"/>
      <c r="R9" s="109">
        <v>4.6399999999999997</v>
      </c>
      <c r="S9" s="109"/>
      <c r="T9" s="109">
        <v>4.67</v>
      </c>
      <c r="U9" s="109"/>
      <c r="V9" s="109"/>
    </row>
    <row r="10" spans="1:22" x14ac:dyDescent="0.2">
      <c r="A10" s="11" t="s">
        <v>167</v>
      </c>
      <c r="B10" s="109"/>
      <c r="C10" s="109">
        <v>0.14000000000000001</v>
      </c>
      <c r="D10" s="109">
        <v>0.17</v>
      </c>
      <c r="E10" s="109">
        <v>0.24</v>
      </c>
      <c r="F10" s="109">
        <v>0.47</v>
      </c>
      <c r="G10" s="109">
        <v>0.66</v>
      </c>
      <c r="H10" s="109">
        <v>1.24</v>
      </c>
      <c r="I10" s="109">
        <v>1.85</v>
      </c>
      <c r="J10" s="109">
        <v>1.92</v>
      </c>
      <c r="K10" s="109">
        <v>2.5499999999999998</v>
      </c>
      <c r="L10" s="109"/>
      <c r="M10" s="109">
        <v>3.6</v>
      </c>
      <c r="N10" s="109"/>
      <c r="O10" s="109">
        <v>4.2699999999999996</v>
      </c>
      <c r="P10" s="109">
        <v>4.59</v>
      </c>
      <c r="Q10" s="109"/>
      <c r="R10" s="109">
        <v>5.34</v>
      </c>
      <c r="S10" s="109"/>
      <c r="T10" s="109">
        <v>5.31</v>
      </c>
      <c r="U10" s="109"/>
      <c r="V10" s="109"/>
    </row>
    <row r="11" spans="1:22" x14ac:dyDescent="0.2">
      <c r="A11" s="11" t="s">
        <v>168</v>
      </c>
      <c r="B11" s="109"/>
      <c r="C11" s="109">
        <v>0.2</v>
      </c>
      <c r="D11" s="109">
        <v>0.25</v>
      </c>
      <c r="E11" s="109">
        <v>0.32</v>
      </c>
      <c r="F11" s="109">
        <v>0.57999999999999996</v>
      </c>
      <c r="G11" s="109">
        <v>0.61</v>
      </c>
      <c r="H11" s="109">
        <v>1.31</v>
      </c>
      <c r="I11" s="109">
        <v>1.94</v>
      </c>
      <c r="J11" s="109">
        <v>1.51</v>
      </c>
      <c r="K11" s="109">
        <v>2.4</v>
      </c>
      <c r="L11" s="109"/>
      <c r="M11" s="109">
        <v>3.29</v>
      </c>
      <c r="N11" s="109"/>
      <c r="O11" s="109">
        <v>3.86</v>
      </c>
      <c r="P11" s="109">
        <v>4.75</v>
      </c>
      <c r="Q11" s="109"/>
      <c r="R11" s="109">
        <v>5.89</v>
      </c>
      <c r="S11" s="109"/>
      <c r="T11" s="109">
        <v>5.49</v>
      </c>
      <c r="U11" s="109"/>
      <c r="V11" s="109"/>
    </row>
    <row r="12" spans="1:22" x14ac:dyDescent="0.2">
      <c r="A12" s="11" t="s">
        <v>215</v>
      </c>
      <c r="B12" s="109"/>
      <c r="C12" s="109">
        <v>0.22</v>
      </c>
      <c r="D12" s="109">
        <v>0.28999999999999998</v>
      </c>
      <c r="E12" s="109">
        <v>0.5</v>
      </c>
      <c r="F12" s="109">
        <v>0.61</v>
      </c>
      <c r="G12" s="109">
        <v>0.89</v>
      </c>
      <c r="H12" s="109">
        <v>1.44</v>
      </c>
      <c r="I12" s="109">
        <v>1.91</v>
      </c>
      <c r="J12" s="109">
        <v>1.87</v>
      </c>
      <c r="K12" s="109">
        <v>2.5299999999999998</v>
      </c>
      <c r="L12" s="109"/>
      <c r="M12" s="109">
        <v>3.65</v>
      </c>
      <c r="N12" s="109"/>
      <c r="O12" s="109">
        <v>4.26</v>
      </c>
      <c r="P12" s="109">
        <v>4.96</v>
      </c>
      <c r="Q12" s="109"/>
      <c r="R12" s="109">
        <v>5.9</v>
      </c>
      <c r="S12" s="109"/>
      <c r="T12" s="109">
        <v>5.58</v>
      </c>
      <c r="U12" s="109"/>
      <c r="V12" s="109"/>
    </row>
    <row r="13" spans="1:22" x14ac:dyDescent="0.2">
      <c r="A13" s="11" t="s">
        <v>216</v>
      </c>
      <c r="B13" s="109"/>
      <c r="C13" s="109">
        <v>0.18</v>
      </c>
      <c r="D13" s="109">
        <v>0.4</v>
      </c>
      <c r="E13" s="109">
        <v>0.39</v>
      </c>
      <c r="F13" s="109">
        <v>0.74</v>
      </c>
      <c r="G13" s="109">
        <v>0.83</v>
      </c>
      <c r="H13" s="109">
        <v>1.26</v>
      </c>
      <c r="I13" s="109">
        <v>1.92</v>
      </c>
      <c r="J13" s="109">
        <v>2.44</v>
      </c>
      <c r="K13" s="109">
        <v>2.97</v>
      </c>
      <c r="L13" s="109"/>
      <c r="M13" s="109">
        <v>3.47</v>
      </c>
      <c r="N13" s="109"/>
      <c r="O13" s="109">
        <v>4.0599999999999996</v>
      </c>
      <c r="P13" s="109">
        <v>4.82</v>
      </c>
      <c r="Q13" s="109"/>
      <c r="R13" s="109">
        <v>5.64</v>
      </c>
      <c r="S13" s="109"/>
      <c r="T13" s="109">
        <v>5.48</v>
      </c>
      <c r="U13" s="109"/>
      <c r="V13" s="109"/>
    </row>
    <row r="14" spans="1:22" x14ac:dyDescent="0.2">
      <c r="A14" s="11" t="s">
        <v>217</v>
      </c>
      <c r="B14" s="109"/>
      <c r="C14" s="109">
        <v>0.04</v>
      </c>
      <c r="D14" s="109">
        <v>0.08</v>
      </c>
      <c r="E14" s="109">
        <v>0.21</v>
      </c>
      <c r="F14" s="109">
        <v>0.61</v>
      </c>
      <c r="G14" s="109">
        <v>0.82</v>
      </c>
      <c r="H14" s="109">
        <v>1.43</v>
      </c>
      <c r="I14" s="109">
        <v>2.02</v>
      </c>
      <c r="J14" s="109">
        <v>1.9</v>
      </c>
      <c r="K14" s="109">
        <v>3.07</v>
      </c>
      <c r="L14" s="109"/>
      <c r="M14" s="109">
        <v>3.91</v>
      </c>
      <c r="N14" s="109"/>
      <c r="O14" s="109">
        <v>4.3600000000000003</v>
      </c>
      <c r="P14" s="109">
        <v>5.28</v>
      </c>
      <c r="Q14" s="109"/>
      <c r="R14" s="109">
        <v>5.66</v>
      </c>
      <c r="S14" s="109"/>
      <c r="T14" s="109">
        <v>5.47</v>
      </c>
      <c r="U14" s="109"/>
      <c r="V14" s="109"/>
    </row>
    <row r="15" spans="1:22" x14ac:dyDescent="0.2">
      <c r="A15" s="11" t="s">
        <v>218</v>
      </c>
      <c r="B15" s="109"/>
      <c r="C15" s="109">
        <v>0.11</v>
      </c>
      <c r="D15" s="109">
        <v>0.27</v>
      </c>
      <c r="E15" s="109">
        <v>0.34</v>
      </c>
      <c r="F15" s="109">
        <v>0.57999999999999996</v>
      </c>
      <c r="G15" s="109">
        <v>0.5</v>
      </c>
      <c r="H15" s="109">
        <v>1.23</v>
      </c>
      <c r="I15" s="109">
        <v>1.34</v>
      </c>
      <c r="J15" s="109">
        <v>1.17</v>
      </c>
      <c r="K15" s="109">
        <v>1.84</v>
      </c>
      <c r="L15" s="109"/>
      <c r="M15" s="109">
        <v>2.7</v>
      </c>
      <c r="N15" s="109"/>
      <c r="O15" s="109">
        <v>2.83</v>
      </c>
      <c r="P15" s="109">
        <v>3.52</v>
      </c>
      <c r="Q15" s="109"/>
      <c r="R15" s="109">
        <v>3.91</v>
      </c>
      <c r="S15" s="109"/>
      <c r="T15" s="109">
        <v>3.59</v>
      </c>
      <c r="U15" s="109"/>
      <c r="V15" s="109"/>
    </row>
    <row r="16" spans="1:22" x14ac:dyDescent="0.2">
      <c r="A16" s="11" t="s">
        <v>169</v>
      </c>
      <c r="B16" s="109">
        <v>0.08</v>
      </c>
      <c r="C16" s="109">
        <v>0.12</v>
      </c>
      <c r="D16" s="109">
        <v>0.3</v>
      </c>
      <c r="E16" s="109">
        <v>0.28999999999999998</v>
      </c>
      <c r="F16" s="109">
        <v>0.41</v>
      </c>
      <c r="G16" s="109">
        <v>0.67</v>
      </c>
      <c r="H16" s="109">
        <v>1.06</v>
      </c>
      <c r="I16" s="109">
        <v>1</v>
      </c>
      <c r="J16" s="109">
        <v>1.51</v>
      </c>
      <c r="K16" s="109">
        <v>1.73</v>
      </c>
      <c r="L16" s="109"/>
      <c r="M16" s="109">
        <v>1.88</v>
      </c>
      <c r="N16" s="109"/>
      <c r="O16" s="109"/>
      <c r="P16" s="109">
        <v>2.41</v>
      </c>
      <c r="Q16" s="109">
        <v>3.22</v>
      </c>
      <c r="R16" s="109">
        <v>3.79</v>
      </c>
      <c r="S16" s="109"/>
      <c r="T16" s="109">
        <v>3.9</v>
      </c>
      <c r="U16" s="109"/>
      <c r="V16" s="109"/>
    </row>
    <row r="17" spans="1:22" x14ac:dyDescent="0.2">
      <c r="A17" s="11" t="s">
        <v>170</v>
      </c>
      <c r="B17" s="109">
        <v>0.08</v>
      </c>
      <c r="C17" s="109">
        <v>0.17</v>
      </c>
      <c r="D17" s="109">
        <v>0.21</v>
      </c>
      <c r="E17" s="109">
        <v>0.43</v>
      </c>
      <c r="F17" s="109">
        <v>0.46</v>
      </c>
      <c r="G17" s="109">
        <v>0.69</v>
      </c>
      <c r="H17" s="109">
        <v>1.1599999999999999</v>
      </c>
      <c r="I17" s="109">
        <v>1.43</v>
      </c>
      <c r="J17" s="109">
        <v>1.89</v>
      </c>
      <c r="K17" s="109">
        <v>2.16</v>
      </c>
      <c r="L17" s="109"/>
      <c r="M17" s="109">
        <v>2.95</v>
      </c>
      <c r="N17" s="109"/>
      <c r="O17" s="109"/>
      <c r="P17" s="109">
        <v>3.58</v>
      </c>
      <c r="Q17" s="109">
        <v>4.12</v>
      </c>
      <c r="R17" s="109">
        <v>4.51</v>
      </c>
      <c r="S17" s="109"/>
      <c r="T17" s="109">
        <v>4.45</v>
      </c>
      <c r="U17" s="109"/>
      <c r="V17" s="109"/>
    </row>
    <row r="18" spans="1:22" x14ac:dyDescent="0.2">
      <c r="A18" s="11" t="s">
        <v>171</v>
      </c>
      <c r="B18" s="109">
        <v>0.06</v>
      </c>
      <c r="C18" s="109">
        <v>0.19</v>
      </c>
      <c r="D18" s="109">
        <v>0.22</v>
      </c>
      <c r="E18" s="109">
        <v>0.24</v>
      </c>
      <c r="F18" s="109">
        <v>0.51</v>
      </c>
      <c r="G18" s="109">
        <v>0.68</v>
      </c>
      <c r="H18" s="109">
        <v>1.26</v>
      </c>
      <c r="I18" s="109">
        <v>1.2</v>
      </c>
      <c r="J18" s="109">
        <v>1.55</v>
      </c>
      <c r="K18" s="109">
        <v>2.02</v>
      </c>
      <c r="L18" s="109"/>
      <c r="M18" s="109">
        <v>2.4300000000000002</v>
      </c>
      <c r="N18" s="109"/>
      <c r="O18" s="109"/>
      <c r="P18" s="109">
        <v>3.31</v>
      </c>
      <c r="Q18" s="109">
        <v>3.61</v>
      </c>
      <c r="R18" s="109">
        <v>4.05</v>
      </c>
      <c r="S18" s="109"/>
      <c r="T18" s="109">
        <v>4.1100000000000003</v>
      </c>
      <c r="U18" s="109"/>
      <c r="V18" s="109"/>
    </row>
    <row r="19" spans="1:22" x14ac:dyDescent="0.2">
      <c r="A19" s="11" t="s">
        <v>219</v>
      </c>
      <c r="B19" s="109">
        <v>0.09</v>
      </c>
      <c r="C19" s="109">
        <v>0.21</v>
      </c>
      <c r="D19" s="109">
        <v>0.21</v>
      </c>
      <c r="E19" s="109">
        <v>0.35</v>
      </c>
      <c r="F19" s="109">
        <v>0.51</v>
      </c>
      <c r="G19" s="109">
        <v>0.64</v>
      </c>
      <c r="H19" s="109">
        <v>1.24</v>
      </c>
      <c r="I19" s="109">
        <v>1.28</v>
      </c>
      <c r="J19" s="109">
        <v>1.44</v>
      </c>
      <c r="K19" s="109">
        <v>1.89</v>
      </c>
      <c r="L19" s="109"/>
      <c r="M19" s="109">
        <v>2.44</v>
      </c>
      <c r="N19" s="109"/>
      <c r="O19" s="109"/>
      <c r="P19" s="109">
        <v>3.57</v>
      </c>
      <c r="Q19" s="109">
        <v>3.92</v>
      </c>
      <c r="R19" s="109">
        <v>4.6500000000000004</v>
      </c>
      <c r="S19" s="109"/>
      <c r="T19" s="109">
        <v>4.66</v>
      </c>
      <c r="U19" s="109"/>
      <c r="V19" s="109"/>
    </row>
    <row r="20" spans="1:22" x14ac:dyDescent="0.2">
      <c r="A20" s="11" t="s">
        <v>220</v>
      </c>
      <c r="B20" s="109">
        <v>0.08</v>
      </c>
      <c r="C20" s="109">
        <v>0.16</v>
      </c>
      <c r="D20" s="109">
        <v>0.28000000000000003</v>
      </c>
      <c r="E20" s="109">
        <v>0.27</v>
      </c>
      <c r="F20" s="109">
        <v>0.7</v>
      </c>
      <c r="G20" s="109">
        <v>0.92</v>
      </c>
      <c r="H20" s="109">
        <v>1.06</v>
      </c>
      <c r="I20" s="109">
        <v>1.27</v>
      </c>
      <c r="J20" s="109">
        <v>1.61</v>
      </c>
      <c r="K20" s="109">
        <v>1.91</v>
      </c>
      <c r="L20" s="109"/>
      <c r="M20" s="109">
        <v>0.64</v>
      </c>
      <c r="N20" s="109"/>
      <c r="O20" s="109"/>
      <c r="P20" s="109">
        <v>3.29</v>
      </c>
      <c r="Q20" s="109">
        <v>3.65</v>
      </c>
      <c r="R20" s="109">
        <v>4.18</v>
      </c>
      <c r="S20" s="109"/>
      <c r="T20" s="109">
        <v>4.66</v>
      </c>
      <c r="U20" s="109"/>
      <c r="V20" s="109"/>
    </row>
    <row r="21" spans="1:22" x14ac:dyDescent="0.2">
      <c r="A21" s="11" t="s">
        <v>221</v>
      </c>
      <c r="B21" s="109">
        <v>0.05</v>
      </c>
      <c r="C21" s="109">
        <v>0.13</v>
      </c>
      <c r="D21" s="109">
        <v>0.23</v>
      </c>
      <c r="E21" s="109">
        <v>0.2</v>
      </c>
      <c r="F21" s="109">
        <v>0.56000000000000005</v>
      </c>
      <c r="G21" s="109">
        <v>0.78</v>
      </c>
      <c r="H21" s="109">
        <v>1.4</v>
      </c>
      <c r="I21" s="109">
        <v>1.54</v>
      </c>
      <c r="J21" s="109">
        <v>1.61</v>
      </c>
      <c r="K21" s="109">
        <v>2.0699999999999998</v>
      </c>
      <c r="L21" s="109"/>
      <c r="M21" s="109">
        <v>2.4700000000000002</v>
      </c>
      <c r="N21" s="109"/>
      <c r="O21" s="109"/>
      <c r="P21" s="109">
        <v>3.63</v>
      </c>
      <c r="Q21" s="109">
        <v>4.41</v>
      </c>
      <c r="R21" s="109">
        <v>4.8600000000000003</v>
      </c>
      <c r="S21" s="109"/>
      <c r="T21" s="109">
        <v>4.6399999999999997</v>
      </c>
      <c r="U21" s="109"/>
      <c r="V21" s="109"/>
    </row>
    <row r="22" spans="1:22" x14ac:dyDescent="0.2">
      <c r="A22" s="11" t="s">
        <v>222</v>
      </c>
      <c r="B22" s="109">
        <v>0.13</v>
      </c>
      <c r="C22" s="109">
        <v>0.13</v>
      </c>
      <c r="D22" s="109">
        <v>0.13</v>
      </c>
      <c r="E22" s="109">
        <v>0.32</v>
      </c>
      <c r="F22" s="109">
        <v>0.47</v>
      </c>
      <c r="G22" s="109">
        <v>0.64</v>
      </c>
      <c r="H22" s="109">
        <v>0.86</v>
      </c>
      <c r="I22" s="109">
        <v>0.87</v>
      </c>
      <c r="J22" s="109">
        <v>1.1299999999999999</v>
      </c>
      <c r="K22" s="109">
        <v>1.36</v>
      </c>
      <c r="L22" s="109"/>
      <c r="M22" s="109">
        <v>1.74</v>
      </c>
      <c r="N22" s="109"/>
      <c r="O22" s="109"/>
      <c r="P22" s="109">
        <v>2.41</v>
      </c>
      <c r="Q22" s="109">
        <v>2.88</v>
      </c>
      <c r="R22" s="109">
        <v>2.91</v>
      </c>
      <c r="S22" s="109"/>
      <c r="T22" s="109">
        <v>2.7</v>
      </c>
      <c r="U22" s="109"/>
      <c r="V22" s="109"/>
    </row>
    <row r="23" spans="1:22" x14ac:dyDescent="0.2">
      <c r="A23" s="11" t="s">
        <v>172</v>
      </c>
      <c r="B23" s="109"/>
      <c r="C23" s="109">
        <v>0.1</v>
      </c>
      <c r="D23" s="109">
        <v>0.33</v>
      </c>
      <c r="E23" s="109">
        <v>0.33</v>
      </c>
      <c r="F23" s="109">
        <v>0.77</v>
      </c>
      <c r="G23" s="109">
        <v>0.91</v>
      </c>
      <c r="H23" s="109">
        <v>1.64</v>
      </c>
      <c r="I23" s="109">
        <v>1.74</v>
      </c>
      <c r="J23" s="109">
        <v>2.09</v>
      </c>
      <c r="K23" s="109">
        <v>2.1800000000000002</v>
      </c>
      <c r="L23" s="109"/>
      <c r="M23" s="109">
        <v>2.69</v>
      </c>
      <c r="N23" s="109"/>
      <c r="O23" s="109">
        <v>3.15</v>
      </c>
      <c r="P23" s="109">
        <v>3.93</v>
      </c>
      <c r="Q23" s="109">
        <v>4.25</v>
      </c>
      <c r="R23" s="109">
        <v>4.4800000000000004</v>
      </c>
      <c r="S23" s="109"/>
      <c r="T23" s="109">
        <v>3.48</v>
      </c>
      <c r="U23" s="109"/>
      <c r="V23" s="109"/>
    </row>
    <row r="24" spans="1:22" x14ac:dyDescent="0.2">
      <c r="A24" s="11" t="s">
        <v>173</v>
      </c>
      <c r="B24" s="109"/>
      <c r="C24" s="109">
        <v>0.15</v>
      </c>
      <c r="D24" s="109">
        <v>0.23</v>
      </c>
      <c r="E24" s="109">
        <v>0.32</v>
      </c>
      <c r="F24" s="109">
        <v>0.72</v>
      </c>
      <c r="G24" s="109">
        <v>0.89</v>
      </c>
      <c r="H24" s="109">
        <v>1.62</v>
      </c>
      <c r="I24" s="109">
        <v>2.2799999999999998</v>
      </c>
      <c r="J24" s="109">
        <v>2.57</v>
      </c>
      <c r="K24" s="109">
        <v>3.2</v>
      </c>
      <c r="L24" s="109"/>
      <c r="M24" s="109">
        <v>3.73</v>
      </c>
      <c r="N24" s="109"/>
      <c r="O24" s="109">
        <v>4.4400000000000004</v>
      </c>
      <c r="P24" s="109">
        <v>4.91</v>
      </c>
      <c r="Q24" s="109">
        <v>5.31</v>
      </c>
      <c r="R24" s="109">
        <v>5.38</v>
      </c>
      <c r="S24" s="109"/>
      <c r="T24" s="109">
        <v>4.8</v>
      </c>
      <c r="U24" s="109"/>
      <c r="V24" s="109"/>
    </row>
    <row r="25" spans="1:22" x14ac:dyDescent="0.2">
      <c r="A25" s="11" t="s">
        <v>174</v>
      </c>
      <c r="B25" s="109"/>
      <c r="C25" s="109">
        <v>0.16</v>
      </c>
      <c r="D25" s="109">
        <v>0.25</v>
      </c>
      <c r="E25" s="109">
        <v>0.32</v>
      </c>
      <c r="F25" s="109">
        <v>0.55000000000000004</v>
      </c>
      <c r="G25" s="109">
        <v>0.93</v>
      </c>
      <c r="H25" s="109">
        <v>1.69</v>
      </c>
      <c r="I25" s="109">
        <v>2.11</v>
      </c>
      <c r="J25" s="109">
        <v>2.48</v>
      </c>
      <c r="K25" s="109">
        <v>2.97</v>
      </c>
      <c r="L25" s="109"/>
      <c r="M25" s="109">
        <v>3.6</v>
      </c>
      <c r="N25" s="109"/>
      <c r="O25" s="109">
        <v>4.05</v>
      </c>
      <c r="P25" s="109">
        <v>4.78</v>
      </c>
      <c r="Q25" s="109">
        <v>5.19</v>
      </c>
      <c r="R25" s="109">
        <v>5.47</v>
      </c>
      <c r="S25" s="109"/>
      <c r="T25" s="109">
        <v>5.37</v>
      </c>
      <c r="U25" s="109"/>
      <c r="V25" s="109"/>
    </row>
    <row r="26" spans="1:22" x14ac:dyDescent="0.2">
      <c r="A26" s="11" t="s">
        <v>223</v>
      </c>
      <c r="B26" s="109"/>
      <c r="C26" s="109">
        <v>0.2</v>
      </c>
      <c r="D26" s="109">
        <v>0.24</v>
      </c>
      <c r="E26" s="109">
        <v>0.22</v>
      </c>
      <c r="F26" s="109">
        <v>0.61</v>
      </c>
      <c r="G26" s="109">
        <v>0.88</v>
      </c>
      <c r="H26" s="109">
        <v>1.66</v>
      </c>
      <c r="I26" s="109">
        <v>2.04</v>
      </c>
      <c r="J26" s="109">
        <v>2.61</v>
      </c>
      <c r="K26" s="109">
        <v>3.27</v>
      </c>
      <c r="L26" s="109"/>
      <c r="M26" s="109">
        <v>3.55</v>
      </c>
      <c r="N26" s="109"/>
      <c r="O26" s="109">
        <v>4.37</v>
      </c>
      <c r="P26" s="109">
        <v>5.12</v>
      </c>
      <c r="Q26" s="109">
        <v>5.71</v>
      </c>
      <c r="R26" s="109">
        <v>5.97</v>
      </c>
      <c r="S26" s="109"/>
      <c r="T26" s="109">
        <v>5.2</v>
      </c>
      <c r="U26" s="109"/>
      <c r="V26" s="109"/>
    </row>
    <row r="27" spans="1:22" x14ac:dyDescent="0.2">
      <c r="A27" s="11" t="s">
        <v>224</v>
      </c>
      <c r="B27" s="109"/>
      <c r="C27" s="109">
        <v>0.08</v>
      </c>
      <c r="D27" s="109">
        <v>0.22</v>
      </c>
      <c r="E27" s="109">
        <v>0.39</v>
      </c>
      <c r="F27" s="109">
        <v>0.52</v>
      </c>
      <c r="G27" s="109">
        <v>1.08</v>
      </c>
      <c r="H27" s="109">
        <v>1.59</v>
      </c>
      <c r="I27" s="109">
        <v>2.23</v>
      </c>
      <c r="J27" s="109">
        <v>2.5499999999999998</v>
      </c>
      <c r="K27" s="109">
        <v>2.94</v>
      </c>
      <c r="L27" s="109"/>
      <c r="M27" s="109">
        <v>3.58</v>
      </c>
      <c r="N27" s="109"/>
      <c r="O27" s="109">
        <v>4.24</v>
      </c>
      <c r="P27" s="109">
        <v>4.9000000000000004</v>
      </c>
      <c r="Q27" s="109">
        <v>5.21</v>
      </c>
      <c r="R27" s="109">
        <v>5.52</v>
      </c>
      <c r="S27" s="109"/>
      <c r="T27" s="109">
        <v>4.88</v>
      </c>
      <c r="U27" s="109"/>
      <c r="V27" s="109">
        <v>4.88</v>
      </c>
    </row>
    <row r="28" spans="1:22" x14ac:dyDescent="0.2">
      <c r="A28" s="11" t="s">
        <v>225</v>
      </c>
      <c r="B28" s="109"/>
      <c r="C28" s="109">
        <v>0.12</v>
      </c>
      <c r="D28" s="109">
        <v>0.31</v>
      </c>
      <c r="E28" s="109">
        <v>0.39</v>
      </c>
      <c r="F28" s="109">
        <v>0.81</v>
      </c>
      <c r="G28" s="109">
        <v>0.96</v>
      </c>
      <c r="H28" s="109">
        <v>1.52</v>
      </c>
      <c r="I28" s="109">
        <v>1.97</v>
      </c>
      <c r="J28" s="109">
        <v>2.2000000000000002</v>
      </c>
      <c r="K28" s="109">
        <v>2.56</v>
      </c>
      <c r="L28" s="109"/>
      <c r="M28" s="109">
        <v>3.16</v>
      </c>
      <c r="N28" s="109"/>
      <c r="O28" s="109">
        <v>3.5</v>
      </c>
      <c r="P28" s="109">
        <v>4.2699999999999996</v>
      </c>
      <c r="Q28" s="109">
        <v>5.12</v>
      </c>
      <c r="R28" s="109">
        <v>5.16</v>
      </c>
      <c r="S28" s="109"/>
      <c r="T28" s="109">
        <v>4.78</v>
      </c>
      <c r="U28" s="109"/>
      <c r="V28" s="109"/>
    </row>
    <row r="29" spans="1:22" x14ac:dyDescent="0.2">
      <c r="A29" s="11" t="s">
        <v>226</v>
      </c>
      <c r="B29" s="109"/>
      <c r="C29" s="109">
        <v>0.12</v>
      </c>
      <c r="D29" s="109">
        <v>0.23</v>
      </c>
      <c r="E29" s="109">
        <v>0.34</v>
      </c>
      <c r="F29" s="109">
        <v>0.71</v>
      </c>
      <c r="G29" s="109">
        <v>0.98</v>
      </c>
      <c r="H29" s="109">
        <v>1.41</v>
      </c>
      <c r="I29" s="109">
        <v>1.81</v>
      </c>
      <c r="J29" s="109">
        <v>1.82</v>
      </c>
      <c r="K29" s="109">
        <v>2.0299999999999998</v>
      </c>
      <c r="L29" s="109"/>
      <c r="M29" s="109">
        <v>2.59</v>
      </c>
      <c r="N29" s="109"/>
      <c r="O29" s="109">
        <v>2.89</v>
      </c>
      <c r="P29" s="109">
        <v>3.36</v>
      </c>
      <c r="Q29" s="109">
        <v>4.03</v>
      </c>
      <c r="R29" s="109">
        <v>4.46</v>
      </c>
      <c r="S29" s="109"/>
      <c r="T29" s="109">
        <v>3.16</v>
      </c>
      <c r="U29" s="109"/>
      <c r="V29" s="109"/>
    </row>
    <row r="30" spans="1:22" x14ac:dyDescent="0.2">
      <c r="A30" s="11" t="s">
        <v>175</v>
      </c>
      <c r="B30" s="109">
        <v>0.12</v>
      </c>
      <c r="C30" s="109">
        <v>0.19</v>
      </c>
      <c r="D30" s="109">
        <v>0.28000000000000003</v>
      </c>
      <c r="E30" s="109">
        <v>0.35</v>
      </c>
      <c r="F30" s="109">
        <v>0.56000000000000005</v>
      </c>
      <c r="G30" s="109">
        <v>1.06</v>
      </c>
      <c r="H30" s="109">
        <v>1.28</v>
      </c>
      <c r="I30" s="109">
        <v>1.8</v>
      </c>
      <c r="J30" s="109">
        <v>2.48</v>
      </c>
      <c r="K30" s="109">
        <v>2.62</v>
      </c>
      <c r="L30" s="109"/>
      <c r="M30" s="109">
        <v>2.69</v>
      </c>
      <c r="N30" s="109"/>
      <c r="O30" s="109">
        <v>3.14</v>
      </c>
      <c r="P30" s="109">
        <v>3.4</v>
      </c>
      <c r="Q30" s="109">
        <v>3.72</v>
      </c>
      <c r="R30" s="109">
        <v>3.77</v>
      </c>
      <c r="S30" s="109"/>
      <c r="T30" s="109">
        <v>4.07</v>
      </c>
      <c r="U30" s="109"/>
      <c r="V30" s="109"/>
    </row>
    <row r="31" spans="1:22" x14ac:dyDescent="0.2">
      <c r="A31" s="11" t="s">
        <v>176</v>
      </c>
      <c r="B31" s="109">
        <v>0.04</v>
      </c>
      <c r="C31" s="109">
        <v>0.12</v>
      </c>
      <c r="D31" s="109">
        <v>0.21</v>
      </c>
      <c r="E31" s="109">
        <v>0.3</v>
      </c>
      <c r="F31" s="109">
        <v>0.71</v>
      </c>
      <c r="G31" s="109">
        <v>0.96</v>
      </c>
      <c r="H31" s="109">
        <v>1.19</v>
      </c>
      <c r="I31" s="109">
        <v>1.73</v>
      </c>
      <c r="J31" s="109">
        <v>2.3199999999999998</v>
      </c>
      <c r="K31" s="109">
        <v>2.89</v>
      </c>
      <c r="L31" s="109"/>
      <c r="M31" s="109">
        <v>3.33</v>
      </c>
      <c r="N31" s="109"/>
      <c r="O31" s="109">
        <v>3.68</v>
      </c>
      <c r="P31" s="109">
        <v>4.28</v>
      </c>
      <c r="Q31" s="109">
        <v>4.3899999999999997</v>
      </c>
      <c r="R31" s="109">
        <v>4.74</v>
      </c>
      <c r="S31" s="109"/>
      <c r="T31" s="109">
        <v>4.72</v>
      </c>
      <c r="U31" s="109"/>
      <c r="V31" s="109"/>
    </row>
    <row r="32" spans="1:22" x14ac:dyDescent="0.2">
      <c r="A32" s="11" t="s">
        <v>177</v>
      </c>
      <c r="B32" s="109">
        <v>0.03</v>
      </c>
      <c r="C32" s="109">
        <v>0.15</v>
      </c>
      <c r="D32" s="109">
        <v>0.28999999999999998</v>
      </c>
      <c r="E32" s="109">
        <v>0.35</v>
      </c>
      <c r="F32" s="109">
        <v>0.71</v>
      </c>
      <c r="G32" s="109">
        <v>0.86</v>
      </c>
      <c r="H32" s="109">
        <v>1.01</v>
      </c>
      <c r="I32" s="109">
        <v>1.63</v>
      </c>
      <c r="J32" s="109">
        <v>2.11</v>
      </c>
      <c r="K32" s="109">
        <v>2.56</v>
      </c>
      <c r="L32" s="109"/>
      <c r="M32" s="109">
        <v>3.31</v>
      </c>
      <c r="N32" s="109"/>
      <c r="O32" s="109">
        <v>3.82</v>
      </c>
      <c r="P32" s="109">
        <v>4.28</v>
      </c>
      <c r="Q32" s="109">
        <v>4.68</v>
      </c>
      <c r="R32" s="109">
        <v>4.97</v>
      </c>
      <c r="S32" s="109"/>
      <c r="T32" s="109">
        <v>4.9000000000000004</v>
      </c>
      <c r="U32" s="109"/>
      <c r="V32" s="109"/>
    </row>
    <row r="33" spans="1:22" x14ac:dyDescent="0.2">
      <c r="A33" s="11" t="s">
        <v>227</v>
      </c>
      <c r="B33" s="109">
        <v>0.1</v>
      </c>
      <c r="C33" s="109">
        <v>0.14000000000000001</v>
      </c>
      <c r="D33" s="109">
        <v>0.27</v>
      </c>
      <c r="E33" s="109">
        <v>0.39</v>
      </c>
      <c r="F33" s="109">
        <v>0.56999999999999995</v>
      </c>
      <c r="G33" s="109">
        <v>0.84</v>
      </c>
      <c r="H33" s="109">
        <v>1.18</v>
      </c>
      <c r="I33" s="109">
        <v>1.68</v>
      </c>
      <c r="J33" s="109">
        <v>2.21</v>
      </c>
      <c r="K33" s="109">
        <v>3.02</v>
      </c>
      <c r="L33" s="109"/>
      <c r="M33" s="109">
        <v>3.49</v>
      </c>
      <c r="N33" s="109"/>
      <c r="O33" s="109">
        <v>4.3499999999999996</v>
      </c>
      <c r="P33" s="109">
        <v>4.57</v>
      </c>
      <c r="Q33" s="109">
        <v>4.84</v>
      </c>
      <c r="R33" s="109">
        <v>4.92</v>
      </c>
      <c r="S33" s="109"/>
      <c r="T33" s="109">
        <v>5.69</v>
      </c>
      <c r="U33" s="109"/>
      <c r="V33" s="109">
        <v>5.69</v>
      </c>
    </row>
    <row r="34" spans="1:22" x14ac:dyDescent="0.2">
      <c r="A34" s="11" t="s">
        <v>228</v>
      </c>
      <c r="B34" s="109">
        <v>0.13</v>
      </c>
      <c r="C34" s="109">
        <v>0.15</v>
      </c>
      <c r="D34" s="109">
        <v>0.19</v>
      </c>
      <c r="E34" s="109">
        <v>0.23</v>
      </c>
      <c r="F34" s="109">
        <v>0.51</v>
      </c>
      <c r="G34" s="109">
        <v>0.56999999999999995</v>
      </c>
      <c r="H34" s="109">
        <v>0.96</v>
      </c>
      <c r="I34" s="109">
        <v>1.49</v>
      </c>
      <c r="J34" s="109">
        <v>1.93</v>
      </c>
      <c r="K34" s="109">
        <v>2.41</v>
      </c>
      <c r="L34" s="109"/>
      <c r="M34" s="109">
        <v>3.14</v>
      </c>
      <c r="N34" s="109"/>
      <c r="O34" s="109">
        <v>3.39</v>
      </c>
      <c r="P34" s="109">
        <v>4.09</v>
      </c>
      <c r="Q34" s="109">
        <v>4.4000000000000004</v>
      </c>
      <c r="R34" s="109">
        <v>4.6100000000000003</v>
      </c>
      <c r="S34" s="109"/>
      <c r="T34" s="109">
        <v>4.9000000000000004</v>
      </c>
      <c r="U34" s="109"/>
      <c r="V34" s="109">
        <v>5.37</v>
      </c>
    </row>
    <row r="35" spans="1:22" x14ac:dyDescent="0.2">
      <c r="A35" s="11" t="s">
        <v>229</v>
      </c>
      <c r="B35" s="109">
        <v>0.08</v>
      </c>
      <c r="C35" s="109">
        <v>0.11</v>
      </c>
      <c r="D35" s="109">
        <v>0.32</v>
      </c>
      <c r="E35" s="109">
        <v>0.35</v>
      </c>
      <c r="F35" s="109">
        <v>0.75</v>
      </c>
      <c r="G35" s="109">
        <v>0.8</v>
      </c>
      <c r="H35" s="109">
        <v>1.1299999999999999</v>
      </c>
      <c r="I35" s="109">
        <v>1.5</v>
      </c>
      <c r="J35" s="109">
        <v>1.92</v>
      </c>
      <c r="K35" s="109">
        <v>2.44</v>
      </c>
      <c r="L35" s="109"/>
      <c r="M35" s="109">
        <v>3.24</v>
      </c>
      <c r="N35" s="109"/>
      <c r="O35" s="109">
        <v>3.64</v>
      </c>
      <c r="P35" s="109">
        <v>4.04</v>
      </c>
      <c r="Q35" s="109">
        <v>4.5599999999999996</v>
      </c>
      <c r="R35" s="109">
        <v>4.74</v>
      </c>
      <c r="S35" s="109"/>
      <c r="T35" s="109">
        <v>4.8</v>
      </c>
      <c r="U35" s="109"/>
      <c r="V35" s="109"/>
    </row>
    <row r="36" spans="1:22" x14ac:dyDescent="0.2">
      <c r="A36" s="11" t="s">
        <v>230</v>
      </c>
      <c r="B36" s="109">
        <v>0.06</v>
      </c>
      <c r="C36" s="109">
        <v>0.12</v>
      </c>
      <c r="D36" s="109">
        <v>0.21</v>
      </c>
      <c r="E36" s="109">
        <v>0.41</v>
      </c>
      <c r="F36" s="109">
        <v>0.5</v>
      </c>
      <c r="G36" s="109">
        <v>0.63</v>
      </c>
      <c r="H36" s="109">
        <v>0.82</v>
      </c>
      <c r="I36" s="109">
        <v>1.21</v>
      </c>
      <c r="J36" s="109">
        <v>1.68</v>
      </c>
      <c r="K36" s="109">
        <v>2.1</v>
      </c>
      <c r="L36" s="109"/>
      <c r="M36" s="109">
        <v>2.92</v>
      </c>
      <c r="N36" s="109"/>
      <c r="O36" s="109">
        <v>3.24</v>
      </c>
      <c r="P36" s="109">
        <v>3.4</v>
      </c>
      <c r="Q36" s="109">
        <v>3.81</v>
      </c>
      <c r="R36" s="109">
        <v>3.77</v>
      </c>
      <c r="S36" s="109"/>
      <c r="T36" s="109">
        <v>3.92</v>
      </c>
      <c r="U36" s="109"/>
      <c r="V36" s="109"/>
    </row>
    <row r="37" spans="1:22" x14ac:dyDescent="0.2">
      <c r="A37" s="11" t="s">
        <v>178</v>
      </c>
      <c r="B37" s="109">
        <v>0.05</v>
      </c>
      <c r="C37" s="109">
        <v>0.2</v>
      </c>
      <c r="D37" s="109">
        <v>0.2</v>
      </c>
      <c r="E37" s="109">
        <v>0.24</v>
      </c>
      <c r="F37" s="109">
        <v>0.53</v>
      </c>
      <c r="G37" s="109">
        <v>0.77</v>
      </c>
      <c r="H37" s="109">
        <v>1.07</v>
      </c>
      <c r="I37" s="109">
        <v>1.2</v>
      </c>
      <c r="J37" s="109">
        <v>1.38</v>
      </c>
      <c r="K37" s="109">
        <v>1.38</v>
      </c>
      <c r="L37" s="109"/>
      <c r="M37" s="109">
        <v>1.8</v>
      </c>
      <c r="N37" s="109"/>
      <c r="O37" s="109"/>
      <c r="P37" s="109">
        <v>2.25</v>
      </c>
      <c r="Q37" s="109">
        <v>2.66</v>
      </c>
      <c r="R37" s="109">
        <v>2.87</v>
      </c>
      <c r="S37" s="109"/>
      <c r="T37" s="109"/>
      <c r="U37" s="109">
        <v>3.27</v>
      </c>
      <c r="V37" s="109"/>
    </row>
    <row r="38" spans="1:22" x14ac:dyDescent="0.2">
      <c r="A38" s="11" t="s">
        <v>179</v>
      </c>
      <c r="B38" s="109">
        <v>0</v>
      </c>
      <c r="C38" s="109">
        <v>0.14000000000000001</v>
      </c>
      <c r="D38" s="109">
        <v>0.15</v>
      </c>
      <c r="E38" s="109">
        <v>0.27</v>
      </c>
      <c r="F38" s="109">
        <v>0.64</v>
      </c>
      <c r="G38" s="109">
        <v>0.89</v>
      </c>
      <c r="H38" s="109">
        <v>1.32</v>
      </c>
      <c r="I38" s="109">
        <v>1.68</v>
      </c>
      <c r="J38" s="109">
        <v>1.85</v>
      </c>
      <c r="K38" s="109">
        <v>2.17</v>
      </c>
      <c r="L38" s="109"/>
      <c r="M38" s="109">
        <v>2.76</v>
      </c>
      <c r="N38" s="109"/>
      <c r="O38" s="109"/>
      <c r="P38" s="109">
        <v>3.59</v>
      </c>
      <c r="Q38" s="109">
        <v>3.92</v>
      </c>
      <c r="R38" s="109">
        <v>4.1100000000000003</v>
      </c>
      <c r="S38" s="109"/>
      <c r="T38" s="109"/>
      <c r="U38" s="109">
        <v>4.95</v>
      </c>
      <c r="V38" s="109"/>
    </row>
    <row r="39" spans="1:22" x14ac:dyDescent="0.2">
      <c r="A39" s="11" t="s">
        <v>180</v>
      </c>
      <c r="B39" s="109">
        <v>0.02</v>
      </c>
      <c r="C39" s="109">
        <v>0.19</v>
      </c>
      <c r="D39" s="109">
        <v>0.25</v>
      </c>
      <c r="E39" s="109">
        <v>0.43</v>
      </c>
      <c r="F39" s="109">
        <v>0.62</v>
      </c>
      <c r="G39" s="109">
        <v>0.64</v>
      </c>
      <c r="H39" s="109">
        <v>1.08</v>
      </c>
      <c r="I39" s="109">
        <v>1.36</v>
      </c>
      <c r="J39" s="109">
        <v>1.73</v>
      </c>
      <c r="K39" s="109">
        <v>2.17</v>
      </c>
      <c r="L39" s="109"/>
      <c r="M39" s="109">
        <v>2.85</v>
      </c>
      <c r="N39" s="109"/>
      <c r="O39" s="109"/>
      <c r="P39" s="109">
        <v>4.16</v>
      </c>
      <c r="Q39" s="109">
        <v>4.9000000000000004</v>
      </c>
      <c r="R39" s="109">
        <v>4.8600000000000003</v>
      </c>
      <c r="S39" s="109"/>
      <c r="T39" s="109"/>
      <c r="U39" s="109">
        <v>4.68</v>
      </c>
      <c r="V39" s="109"/>
    </row>
    <row r="40" spans="1:22" x14ac:dyDescent="0.2">
      <c r="A40" s="11" t="s">
        <v>231</v>
      </c>
      <c r="B40" s="109">
        <v>0.03</v>
      </c>
      <c r="C40" s="109">
        <v>0.12</v>
      </c>
      <c r="D40" s="109">
        <v>0.12</v>
      </c>
      <c r="E40" s="109">
        <v>0.26</v>
      </c>
      <c r="F40" s="109">
        <v>0.6</v>
      </c>
      <c r="G40" s="109">
        <v>0.97</v>
      </c>
      <c r="H40" s="109">
        <v>1.43</v>
      </c>
      <c r="I40" s="109">
        <v>1.72</v>
      </c>
      <c r="J40" s="109">
        <v>2.06</v>
      </c>
      <c r="K40" s="109">
        <v>2.64</v>
      </c>
      <c r="L40" s="109"/>
      <c r="M40" s="109">
        <v>3.1</v>
      </c>
      <c r="N40" s="109"/>
      <c r="O40" s="109"/>
      <c r="P40" s="109">
        <v>4.1100000000000003</v>
      </c>
      <c r="Q40" s="109">
        <v>4.45</v>
      </c>
      <c r="R40" s="109">
        <v>4.83</v>
      </c>
      <c r="S40" s="109"/>
      <c r="T40" s="109"/>
      <c r="U40" s="109">
        <v>5</v>
      </c>
      <c r="V40" s="109"/>
    </row>
    <row r="41" spans="1:22" x14ac:dyDescent="0.2">
      <c r="A41" s="11" t="s">
        <v>232</v>
      </c>
      <c r="B41" s="109">
        <v>0.13</v>
      </c>
      <c r="C41" s="109">
        <v>0.06</v>
      </c>
      <c r="D41" s="109">
        <v>0.16</v>
      </c>
      <c r="E41" s="109">
        <v>0.25</v>
      </c>
      <c r="F41" s="109">
        <v>0.62</v>
      </c>
      <c r="G41" s="109">
        <v>0.62</v>
      </c>
      <c r="H41" s="109">
        <v>0.96</v>
      </c>
      <c r="I41" s="109">
        <v>1.1599999999999999</v>
      </c>
      <c r="J41" s="109">
        <v>1.47</v>
      </c>
      <c r="K41" s="109">
        <v>1.95</v>
      </c>
      <c r="L41" s="109"/>
      <c r="M41" s="109">
        <v>2.67</v>
      </c>
      <c r="N41" s="109"/>
      <c r="O41" s="109"/>
      <c r="P41" s="109">
        <v>3.71</v>
      </c>
      <c r="Q41" s="109">
        <v>4.1900000000000004</v>
      </c>
      <c r="R41" s="109">
        <v>4.1399999999999997</v>
      </c>
      <c r="S41" s="109"/>
      <c r="T41" s="109"/>
      <c r="U41" s="109">
        <v>4.63</v>
      </c>
      <c r="V41" s="109"/>
    </row>
    <row r="42" spans="1:22" x14ac:dyDescent="0.2">
      <c r="A42" s="11" t="s">
        <v>233</v>
      </c>
      <c r="B42" s="109">
        <v>0</v>
      </c>
      <c r="C42" s="109">
        <v>0.1</v>
      </c>
      <c r="D42" s="109">
        <v>0.4</v>
      </c>
      <c r="E42" s="109">
        <v>0.3</v>
      </c>
      <c r="F42" s="109">
        <v>0.62</v>
      </c>
      <c r="G42" s="109">
        <v>0.79</v>
      </c>
      <c r="H42" s="109">
        <v>1.23</v>
      </c>
      <c r="I42" s="109">
        <v>1.27</v>
      </c>
      <c r="J42" s="109">
        <v>1.54</v>
      </c>
      <c r="K42" s="109">
        <v>2.15</v>
      </c>
      <c r="L42" s="109"/>
      <c r="M42" s="109">
        <v>2.74</v>
      </c>
      <c r="N42" s="109"/>
      <c r="O42" s="109"/>
      <c r="P42" s="109">
        <v>3.69</v>
      </c>
      <c r="Q42" s="109">
        <v>4.5199999999999996</v>
      </c>
      <c r="R42" s="109">
        <v>4.49</v>
      </c>
      <c r="S42" s="109"/>
      <c r="T42" s="109"/>
      <c r="U42" s="109">
        <v>4.45</v>
      </c>
      <c r="V42" s="109"/>
    </row>
    <row r="43" spans="1:22" x14ac:dyDescent="0.2">
      <c r="A43" s="11" t="s">
        <v>234</v>
      </c>
      <c r="B43" s="109">
        <v>7.0000000000000007E-2</v>
      </c>
      <c r="C43" s="109">
        <v>0.1</v>
      </c>
      <c r="D43" s="109">
        <v>0.2</v>
      </c>
      <c r="E43" s="109">
        <v>0.26</v>
      </c>
      <c r="F43" s="109">
        <v>0.62</v>
      </c>
      <c r="G43" s="109">
        <v>0.7</v>
      </c>
      <c r="H43" s="109">
        <v>1.01</v>
      </c>
      <c r="I43" s="109">
        <v>0.97</v>
      </c>
      <c r="J43" s="109">
        <v>1.1399999999999999</v>
      </c>
      <c r="K43" s="109">
        <v>1.4</v>
      </c>
      <c r="L43" s="109"/>
      <c r="M43" s="109">
        <v>2.12</v>
      </c>
      <c r="N43" s="109"/>
      <c r="O43" s="109"/>
      <c r="P43" s="109">
        <v>2.76</v>
      </c>
      <c r="Q43" s="109">
        <v>3.39</v>
      </c>
      <c r="R43" s="109">
        <v>3.91</v>
      </c>
      <c r="S43" s="109"/>
      <c r="T43" s="109"/>
      <c r="U43" s="109">
        <v>3.26</v>
      </c>
      <c r="V43" s="109"/>
    </row>
    <row r="44" spans="1:22" x14ac:dyDescent="0.2">
      <c r="A44" s="11" t="s">
        <v>181</v>
      </c>
      <c r="B44" s="109"/>
      <c r="C44" s="109">
        <v>0.14000000000000001</v>
      </c>
      <c r="D44" s="109">
        <v>0.24</v>
      </c>
      <c r="E44" s="109">
        <v>0.37</v>
      </c>
      <c r="F44" s="109">
        <v>0.51</v>
      </c>
      <c r="G44" s="109">
        <v>0.73</v>
      </c>
      <c r="H44" s="109">
        <v>1.69</v>
      </c>
      <c r="I44" s="109">
        <v>1.87</v>
      </c>
      <c r="J44" s="109">
        <v>2.15</v>
      </c>
      <c r="K44" s="109">
        <v>2.79</v>
      </c>
      <c r="L44" s="109"/>
      <c r="M44" s="109">
        <v>2.89</v>
      </c>
      <c r="N44" s="109"/>
      <c r="O44" s="109">
        <v>3.2</v>
      </c>
      <c r="P44" s="109">
        <v>3.57</v>
      </c>
      <c r="Q44" s="109">
        <v>3.82</v>
      </c>
      <c r="R44" s="109"/>
      <c r="S44" s="109">
        <v>4.33</v>
      </c>
      <c r="T44" s="109"/>
      <c r="U44" s="109">
        <v>5.05</v>
      </c>
      <c r="V44" s="109"/>
    </row>
    <row r="45" spans="1:22" x14ac:dyDescent="0.2">
      <c r="A45" s="11" t="s">
        <v>182</v>
      </c>
      <c r="B45" s="109"/>
      <c r="C45" s="109">
        <v>0.14000000000000001</v>
      </c>
      <c r="D45" s="109">
        <v>0.14000000000000001</v>
      </c>
      <c r="E45" s="109">
        <v>0.32</v>
      </c>
      <c r="F45" s="109">
        <v>0.54</v>
      </c>
      <c r="G45" s="109">
        <v>0.85</v>
      </c>
      <c r="H45" s="109">
        <v>1.45</v>
      </c>
      <c r="I45" s="109">
        <v>1.97</v>
      </c>
      <c r="J45" s="109">
        <v>2.2799999999999998</v>
      </c>
      <c r="K45" s="109">
        <v>2.86</v>
      </c>
      <c r="L45" s="109"/>
      <c r="M45" s="109">
        <v>3.28</v>
      </c>
      <c r="N45" s="109"/>
      <c r="O45" s="109">
        <v>3.81</v>
      </c>
      <c r="P45" s="109">
        <v>4.38</v>
      </c>
      <c r="Q45" s="109">
        <v>5.14</v>
      </c>
      <c r="R45" s="109"/>
      <c r="S45" s="109">
        <v>5.28</v>
      </c>
      <c r="T45" s="109"/>
      <c r="U45" s="109">
        <v>4.16</v>
      </c>
      <c r="V45" s="109"/>
    </row>
    <row r="46" spans="1:22" x14ac:dyDescent="0.2">
      <c r="A46" s="11" t="s">
        <v>183</v>
      </c>
      <c r="B46" s="109"/>
      <c r="C46" s="109">
        <v>0.14000000000000001</v>
      </c>
      <c r="D46" s="109">
        <v>0.28000000000000003</v>
      </c>
      <c r="E46" s="109">
        <v>0.41</v>
      </c>
      <c r="F46" s="109">
        <v>0.55000000000000004</v>
      </c>
      <c r="G46" s="109">
        <v>0.91</v>
      </c>
      <c r="H46" s="109">
        <v>1.66</v>
      </c>
      <c r="I46" s="109">
        <v>2.11</v>
      </c>
      <c r="J46" s="109">
        <v>2.67</v>
      </c>
      <c r="K46" s="109">
        <v>3.15</v>
      </c>
      <c r="L46" s="109"/>
      <c r="M46" s="109">
        <v>3.7</v>
      </c>
      <c r="N46" s="109"/>
      <c r="O46" s="109">
        <v>4.38</v>
      </c>
      <c r="P46" s="109">
        <v>4.84</v>
      </c>
      <c r="Q46" s="109">
        <v>5.23</v>
      </c>
      <c r="R46" s="109"/>
      <c r="S46" s="109">
        <v>5.61</v>
      </c>
      <c r="T46" s="109"/>
      <c r="U46" s="109">
        <v>4.1100000000000003</v>
      </c>
      <c r="V46" s="109"/>
    </row>
    <row r="47" spans="1:22" x14ac:dyDescent="0.2">
      <c r="A47" s="11" t="s">
        <v>235</v>
      </c>
      <c r="B47" s="109"/>
      <c r="C47" s="109">
        <v>0.13</v>
      </c>
      <c r="D47" s="109">
        <v>0.2</v>
      </c>
      <c r="E47" s="109">
        <v>0.23</v>
      </c>
      <c r="F47" s="109">
        <v>0.51</v>
      </c>
      <c r="G47" s="109">
        <v>0.69</v>
      </c>
      <c r="H47" s="109">
        <v>1.37</v>
      </c>
      <c r="I47" s="109">
        <v>1.8</v>
      </c>
      <c r="J47" s="109">
        <v>2.38</v>
      </c>
      <c r="K47" s="109">
        <v>2.6</v>
      </c>
      <c r="L47" s="109"/>
      <c r="M47" s="109">
        <v>3.37</v>
      </c>
      <c r="N47" s="109"/>
      <c r="O47" s="109">
        <v>4.13</v>
      </c>
      <c r="P47" s="109">
        <v>4.8499999999999996</v>
      </c>
      <c r="Q47" s="109">
        <v>5.61</v>
      </c>
      <c r="R47" s="109"/>
      <c r="S47" s="109">
        <v>6</v>
      </c>
      <c r="T47" s="109"/>
      <c r="U47" s="109">
        <v>4.97</v>
      </c>
      <c r="V47" s="109"/>
    </row>
    <row r="48" spans="1:22" x14ac:dyDescent="0.2">
      <c r="A48" s="11" t="s">
        <v>236</v>
      </c>
      <c r="B48" s="109"/>
      <c r="C48" s="109">
        <v>0.2</v>
      </c>
      <c r="D48" s="109">
        <v>0.31</v>
      </c>
      <c r="E48" s="109">
        <v>0.34</v>
      </c>
      <c r="F48" s="109">
        <v>0.6</v>
      </c>
      <c r="G48" s="109">
        <v>0.78</v>
      </c>
      <c r="H48" s="109">
        <v>1.26</v>
      </c>
      <c r="I48" s="109">
        <v>1.93</v>
      </c>
      <c r="J48" s="109">
        <v>2.2799999999999998</v>
      </c>
      <c r="K48" s="109">
        <v>2.5</v>
      </c>
      <c r="L48" s="109"/>
      <c r="M48" s="109">
        <v>3.19</v>
      </c>
      <c r="N48" s="109"/>
      <c r="O48" s="109">
        <v>3.93</v>
      </c>
      <c r="P48" s="109">
        <v>4.5999999999999996</v>
      </c>
      <c r="Q48" s="109">
        <v>5.25</v>
      </c>
      <c r="R48" s="109"/>
      <c r="S48" s="109">
        <v>5.6</v>
      </c>
      <c r="T48" s="109"/>
      <c r="U48" s="109">
        <v>4.83</v>
      </c>
      <c r="V48" s="109"/>
    </row>
    <row r="49" spans="1:22" x14ac:dyDescent="0.2">
      <c r="A49" s="11" t="s">
        <v>237</v>
      </c>
      <c r="B49" s="109"/>
      <c r="C49" s="109">
        <v>0.15</v>
      </c>
      <c r="D49" s="109">
        <v>0.32</v>
      </c>
      <c r="E49" s="109">
        <v>0.46</v>
      </c>
      <c r="F49" s="109">
        <v>0.53</v>
      </c>
      <c r="G49" s="109">
        <v>0.92</v>
      </c>
      <c r="H49" s="109">
        <v>1.62</v>
      </c>
      <c r="I49" s="109">
        <v>1.93</v>
      </c>
      <c r="J49" s="109">
        <v>2.4700000000000002</v>
      </c>
      <c r="K49" s="109">
        <v>3.14</v>
      </c>
      <c r="L49" s="109"/>
      <c r="M49" s="109">
        <v>3.74</v>
      </c>
      <c r="N49" s="109"/>
      <c r="O49" s="109">
        <v>4.33</v>
      </c>
      <c r="P49" s="109">
        <v>5.12</v>
      </c>
      <c r="Q49" s="109">
        <v>5.1100000000000003</v>
      </c>
      <c r="R49" s="109"/>
      <c r="S49" s="109">
        <v>5.56</v>
      </c>
      <c r="T49" s="109"/>
      <c r="U49" s="109">
        <v>3.26</v>
      </c>
      <c r="V49" s="109"/>
    </row>
    <row r="50" spans="1:22" x14ac:dyDescent="0.2">
      <c r="A50" s="11" t="s">
        <v>238</v>
      </c>
      <c r="B50" s="109"/>
      <c r="C50" s="109">
        <v>0.13</v>
      </c>
      <c r="D50" s="109">
        <v>0.28999999999999998</v>
      </c>
      <c r="E50" s="109">
        <v>0.4</v>
      </c>
      <c r="F50" s="109">
        <v>0.71</v>
      </c>
      <c r="G50" s="109">
        <v>0.78</v>
      </c>
      <c r="H50" s="109">
        <v>1.44</v>
      </c>
      <c r="I50" s="109">
        <v>1.96</v>
      </c>
      <c r="J50" s="109">
        <v>1.9</v>
      </c>
      <c r="K50" s="109">
        <v>2.31</v>
      </c>
      <c r="L50" s="109"/>
      <c r="M50" s="109">
        <v>2.87</v>
      </c>
      <c r="N50" s="109"/>
      <c r="O50" s="109">
        <v>3.47</v>
      </c>
      <c r="P50" s="109">
        <v>3.79</v>
      </c>
      <c r="Q50" s="109">
        <v>4.1500000000000004</v>
      </c>
      <c r="R50" s="109"/>
      <c r="S50" s="109">
        <v>4.17</v>
      </c>
      <c r="T50" s="109"/>
      <c r="U50" s="109">
        <v>3.55</v>
      </c>
      <c r="V50" s="109"/>
    </row>
    <row r="51" spans="1:22" x14ac:dyDescent="0.2">
      <c r="A51" s="11" t="s">
        <v>184</v>
      </c>
      <c r="B51" s="109"/>
      <c r="C51" s="109">
        <v>0.13</v>
      </c>
      <c r="D51" s="109">
        <v>0.26</v>
      </c>
      <c r="E51" s="109">
        <v>0.34</v>
      </c>
      <c r="F51" s="109">
        <v>0.62</v>
      </c>
      <c r="G51" s="109">
        <v>0.9</v>
      </c>
      <c r="H51" s="109">
        <v>1.52</v>
      </c>
      <c r="I51" s="109">
        <v>2.66</v>
      </c>
      <c r="J51" s="109">
        <v>2.4500000000000002</v>
      </c>
      <c r="K51" s="109">
        <v>3.25</v>
      </c>
      <c r="L51" s="109"/>
      <c r="M51" s="109">
        <v>3.96</v>
      </c>
      <c r="N51" s="109"/>
      <c r="O51" s="109">
        <v>4.1900000000000004</v>
      </c>
      <c r="P51" s="109">
        <v>4.67</v>
      </c>
      <c r="Q51" s="109"/>
      <c r="R51" s="109"/>
      <c r="S51" s="109">
        <v>5.27</v>
      </c>
      <c r="T51" s="109"/>
      <c r="U51" s="109">
        <v>3.39</v>
      </c>
      <c r="V51" s="109">
        <v>4.26</v>
      </c>
    </row>
    <row r="52" spans="1:22" x14ac:dyDescent="0.2">
      <c r="A52" s="11" t="s">
        <v>185</v>
      </c>
      <c r="B52" s="109"/>
      <c r="C52" s="109">
        <v>0.19</v>
      </c>
      <c r="D52" s="109">
        <v>0.27</v>
      </c>
      <c r="E52" s="109">
        <v>0.41</v>
      </c>
      <c r="F52" s="109">
        <v>0.57999999999999996</v>
      </c>
      <c r="G52" s="109">
        <v>0.98</v>
      </c>
      <c r="H52" s="109">
        <v>1.74</v>
      </c>
      <c r="I52" s="109">
        <v>2.67</v>
      </c>
      <c r="J52" s="109">
        <v>2.82</v>
      </c>
      <c r="K52" s="109">
        <v>3.1</v>
      </c>
      <c r="L52" s="109"/>
      <c r="M52" s="109">
        <v>3.95</v>
      </c>
      <c r="N52" s="109"/>
      <c r="O52" s="109">
        <v>4.46</v>
      </c>
      <c r="P52" s="109">
        <v>4.9800000000000004</v>
      </c>
      <c r="Q52" s="109"/>
      <c r="R52" s="109"/>
      <c r="S52" s="109">
        <v>5.57</v>
      </c>
      <c r="T52" s="109"/>
      <c r="U52" s="109">
        <v>2.12</v>
      </c>
      <c r="V52" s="109">
        <v>4.72</v>
      </c>
    </row>
    <row r="53" spans="1:22" x14ac:dyDescent="0.2">
      <c r="A53" s="11" t="s">
        <v>186</v>
      </c>
      <c r="B53" s="109"/>
      <c r="C53" s="109">
        <v>0.17</v>
      </c>
      <c r="D53" s="109">
        <v>0.27</v>
      </c>
      <c r="E53" s="109">
        <v>0.39</v>
      </c>
      <c r="F53" s="109">
        <v>0.53</v>
      </c>
      <c r="G53" s="109">
        <v>0.72</v>
      </c>
      <c r="H53" s="109">
        <v>1.66</v>
      </c>
      <c r="I53" s="109">
        <v>2.5299999999999998</v>
      </c>
      <c r="J53" s="109">
        <v>2.75</v>
      </c>
      <c r="K53" s="109">
        <v>3.07</v>
      </c>
      <c r="L53" s="109"/>
      <c r="M53" s="109">
        <v>3.82</v>
      </c>
      <c r="N53" s="109"/>
      <c r="O53" s="109">
        <v>4.37</v>
      </c>
      <c r="P53" s="109">
        <v>4.7300000000000004</v>
      </c>
      <c r="Q53" s="109"/>
      <c r="R53" s="109"/>
      <c r="S53" s="109">
        <v>5.71</v>
      </c>
      <c r="T53" s="109"/>
      <c r="U53" s="109">
        <v>0.62</v>
      </c>
      <c r="V53" s="109">
        <v>4.8899999999999997</v>
      </c>
    </row>
    <row r="54" spans="1:22" x14ac:dyDescent="0.2">
      <c r="A54" s="11" t="s">
        <v>239</v>
      </c>
      <c r="B54" s="109"/>
      <c r="C54" s="109">
        <v>0.14000000000000001</v>
      </c>
      <c r="D54" s="109">
        <v>0.24</v>
      </c>
      <c r="E54" s="109">
        <v>0.27</v>
      </c>
      <c r="F54" s="109">
        <v>0.47</v>
      </c>
      <c r="G54" s="109">
        <v>0.92</v>
      </c>
      <c r="H54" s="109">
        <v>1.45</v>
      </c>
      <c r="I54" s="109">
        <v>2.41</v>
      </c>
      <c r="J54" s="109">
        <v>2.79</v>
      </c>
      <c r="K54" s="109">
        <v>3.44</v>
      </c>
      <c r="L54" s="109"/>
      <c r="M54" s="109">
        <v>3.88</v>
      </c>
      <c r="N54" s="109"/>
      <c r="O54" s="109">
        <v>4.9000000000000004</v>
      </c>
      <c r="P54" s="109">
        <v>5.19</v>
      </c>
      <c r="Q54" s="109"/>
      <c r="R54" s="109"/>
      <c r="S54" s="109">
        <v>5.37</v>
      </c>
      <c r="T54" s="109"/>
      <c r="U54" s="109">
        <v>3.26</v>
      </c>
      <c r="V54" s="109">
        <v>2.67</v>
      </c>
    </row>
    <row r="55" spans="1:22" x14ac:dyDescent="0.2">
      <c r="A55" s="11" t="s">
        <v>240</v>
      </c>
      <c r="B55" s="109"/>
      <c r="C55" s="109">
        <v>0.12</v>
      </c>
      <c r="D55" s="109">
        <v>0.21</v>
      </c>
      <c r="E55" s="109">
        <v>0.23</v>
      </c>
      <c r="F55" s="109">
        <v>0.56000000000000005</v>
      </c>
      <c r="G55" s="109">
        <v>0.94</v>
      </c>
      <c r="H55" s="109">
        <v>1.33</v>
      </c>
      <c r="I55" s="109">
        <v>2.2000000000000002</v>
      </c>
      <c r="J55" s="109">
        <v>3.13</v>
      </c>
      <c r="K55" s="109">
        <v>3.42</v>
      </c>
      <c r="L55" s="109"/>
      <c r="M55" s="109">
        <v>4.2699999999999996</v>
      </c>
      <c r="N55" s="109"/>
      <c r="O55" s="109">
        <v>4.5599999999999996</v>
      </c>
      <c r="P55" s="109">
        <v>5.0199999999999996</v>
      </c>
      <c r="Q55" s="109"/>
      <c r="R55" s="109"/>
      <c r="S55" s="109">
        <v>5.78</v>
      </c>
      <c r="T55" s="109"/>
      <c r="U55" s="109">
        <v>2.4900000000000002</v>
      </c>
      <c r="V55" s="109">
        <v>4.95</v>
      </c>
    </row>
    <row r="56" spans="1:22" x14ac:dyDescent="0.2">
      <c r="A56" s="11" t="s">
        <v>241</v>
      </c>
      <c r="B56" s="109"/>
      <c r="C56" s="109">
        <v>0.08</v>
      </c>
      <c r="D56" s="109">
        <v>0.25</v>
      </c>
      <c r="E56" s="109">
        <v>0.44</v>
      </c>
      <c r="F56" s="109">
        <v>0.65</v>
      </c>
      <c r="G56" s="109">
        <v>0.68</v>
      </c>
      <c r="H56" s="109">
        <v>1.33</v>
      </c>
      <c r="I56" s="109">
        <v>2.0099999999999998</v>
      </c>
      <c r="J56" s="109">
        <v>2.31</v>
      </c>
      <c r="K56" s="109">
        <v>3.04</v>
      </c>
      <c r="L56" s="109"/>
      <c r="M56" s="109">
        <v>3.77</v>
      </c>
      <c r="N56" s="109"/>
      <c r="O56" s="109">
        <v>4.18</v>
      </c>
      <c r="P56" s="109">
        <v>4.5199999999999996</v>
      </c>
      <c r="Q56" s="109"/>
      <c r="R56" s="109"/>
      <c r="S56" s="109">
        <v>5.32</v>
      </c>
      <c r="T56" s="109"/>
      <c r="U56" s="109">
        <v>3.63</v>
      </c>
      <c r="V56" s="109">
        <v>5.16</v>
      </c>
    </row>
    <row r="57" spans="1:22" x14ac:dyDescent="0.2">
      <c r="A57" s="11" t="s">
        <v>242</v>
      </c>
      <c r="B57" s="109"/>
      <c r="C57" s="109">
        <v>0.12</v>
      </c>
      <c r="D57" s="109">
        <v>0.11</v>
      </c>
      <c r="E57" s="109">
        <v>0.19</v>
      </c>
      <c r="F57" s="109">
        <v>0.48</v>
      </c>
      <c r="G57" s="109">
        <v>0.7</v>
      </c>
      <c r="H57" s="109">
        <v>1.05</v>
      </c>
      <c r="I57" s="109">
        <v>1.97</v>
      </c>
      <c r="J57" s="109">
        <v>1.7</v>
      </c>
      <c r="K57" s="109">
        <v>2.2200000000000002</v>
      </c>
      <c r="L57" s="109"/>
      <c r="M57" s="109">
        <v>2.72</v>
      </c>
      <c r="N57" s="109"/>
      <c r="O57" s="109">
        <v>2.9</v>
      </c>
      <c r="P57" s="109">
        <v>3.48</v>
      </c>
      <c r="Q57" s="109"/>
      <c r="R57" s="109"/>
      <c r="S57" s="109">
        <v>3.7</v>
      </c>
      <c r="T57" s="109"/>
      <c r="U57" s="109">
        <v>3.54</v>
      </c>
      <c r="V57" s="109">
        <v>4.1100000000000003</v>
      </c>
    </row>
    <row r="58" spans="1:22" x14ac:dyDescent="0.2">
      <c r="A58" s="11" t="s">
        <v>187</v>
      </c>
      <c r="B58" s="109"/>
      <c r="C58" s="109">
        <v>0.13</v>
      </c>
      <c r="D58" s="109">
        <v>0.18</v>
      </c>
      <c r="E58" s="109">
        <v>0.21</v>
      </c>
      <c r="F58" s="109">
        <v>0.62</v>
      </c>
      <c r="G58" s="109">
        <v>0.72</v>
      </c>
      <c r="H58" s="109">
        <v>1.1299999999999999</v>
      </c>
      <c r="I58" s="109">
        <v>1.41</v>
      </c>
      <c r="J58" s="109">
        <v>1.67</v>
      </c>
      <c r="K58" s="109">
        <v>1.89</v>
      </c>
      <c r="L58" s="109"/>
      <c r="M58" s="109">
        <v>2.35</v>
      </c>
      <c r="N58" s="109"/>
      <c r="O58" s="109"/>
      <c r="P58" s="109">
        <v>3.11</v>
      </c>
      <c r="Q58" s="109">
        <v>3.53</v>
      </c>
      <c r="R58" s="109">
        <v>3.76</v>
      </c>
      <c r="S58" s="109"/>
      <c r="T58" s="109"/>
      <c r="U58" s="109">
        <v>4.17</v>
      </c>
      <c r="V58" s="109"/>
    </row>
    <row r="59" spans="1:22" x14ac:dyDescent="0.2">
      <c r="A59" s="11" t="s">
        <v>188</v>
      </c>
      <c r="B59" s="109"/>
      <c r="C59" s="109">
        <v>0.13</v>
      </c>
      <c r="D59" s="109">
        <v>0.26</v>
      </c>
      <c r="E59" s="109">
        <v>0.36</v>
      </c>
      <c r="F59" s="109">
        <v>0.44</v>
      </c>
      <c r="G59" s="109">
        <v>0.64</v>
      </c>
      <c r="H59" s="109">
        <v>1.06</v>
      </c>
      <c r="I59" s="109">
        <v>1.56</v>
      </c>
      <c r="J59" s="109">
        <v>1.74</v>
      </c>
      <c r="K59" s="109">
        <v>2.11</v>
      </c>
      <c r="L59" s="109"/>
      <c r="M59" s="109">
        <v>2.61</v>
      </c>
      <c r="N59" s="109"/>
      <c r="O59" s="109"/>
      <c r="P59" s="109">
        <v>3.2</v>
      </c>
      <c r="Q59" s="109">
        <v>3.53</v>
      </c>
      <c r="R59" s="109">
        <v>3.62</v>
      </c>
      <c r="S59" s="109"/>
      <c r="T59" s="109"/>
      <c r="U59" s="109">
        <v>4.1900000000000004</v>
      </c>
      <c r="V59" s="109"/>
    </row>
    <row r="60" spans="1:22" x14ac:dyDescent="0.2">
      <c r="A60" s="11" t="s">
        <v>189</v>
      </c>
      <c r="B60" s="109"/>
      <c r="C60" s="109">
        <v>0.23</v>
      </c>
      <c r="D60" s="109">
        <v>0.28999999999999998</v>
      </c>
      <c r="E60" s="109">
        <v>0.39</v>
      </c>
      <c r="F60" s="109">
        <v>0.61</v>
      </c>
      <c r="G60" s="109">
        <v>0.78</v>
      </c>
      <c r="H60" s="109">
        <v>1.1599999999999999</v>
      </c>
      <c r="I60" s="109">
        <v>1.72</v>
      </c>
      <c r="J60" s="109">
        <v>1.98</v>
      </c>
      <c r="K60" s="109">
        <v>2.5</v>
      </c>
      <c r="L60" s="109"/>
      <c r="M60" s="109">
        <v>2.83</v>
      </c>
      <c r="N60" s="109"/>
      <c r="O60" s="109"/>
      <c r="P60" s="109">
        <v>3.56</v>
      </c>
      <c r="Q60" s="109">
        <v>3.81</v>
      </c>
      <c r="R60" s="109">
        <v>4.04</v>
      </c>
      <c r="S60" s="109"/>
      <c r="T60" s="109"/>
      <c r="U60" s="109">
        <v>3.8</v>
      </c>
      <c r="V60" s="109"/>
    </row>
    <row r="61" spans="1:22" x14ac:dyDescent="0.2">
      <c r="A61" s="11" t="s">
        <v>243</v>
      </c>
      <c r="B61" s="109"/>
      <c r="C61" s="109">
        <v>0.1</v>
      </c>
      <c r="D61" s="109">
        <v>0.24</v>
      </c>
      <c r="E61" s="109">
        <v>0.32</v>
      </c>
      <c r="F61" s="109">
        <v>0.72</v>
      </c>
      <c r="G61" s="109">
        <v>0.84</v>
      </c>
      <c r="H61" s="109">
        <v>1.2</v>
      </c>
      <c r="I61" s="109">
        <v>1.63</v>
      </c>
      <c r="J61" s="109">
        <v>1.78</v>
      </c>
      <c r="K61" s="109">
        <v>2.2000000000000002</v>
      </c>
      <c r="L61" s="109"/>
      <c r="M61" s="109">
        <v>2.78</v>
      </c>
      <c r="N61" s="109"/>
      <c r="O61" s="109"/>
      <c r="P61" s="109">
        <v>3.37</v>
      </c>
      <c r="Q61" s="109">
        <v>3.72</v>
      </c>
      <c r="R61" s="109">
        <v>3.83</v>
      </c>
      <c r="S61" s="109"/>
      <c r="T61" s="109"/>
      <c r="U61" s="109">
        <v>3.42</v>
      </c>
      <c r="V61" s="109"/>
    </row>
    <row r="62" spans="1:22" x14ac:dyDescent="0.2">
      <c r="A62" s="11" t="s">
        <v>244</v>
      </c>
      <c r="B62" s="109"/>
      <c r="C62" s="109">
        <v>0.16</v>
      </c>
      <c r="D62" s="109">
        <v>0.26</v>
      </c>
      <c r="E62" s="109">
        <v>0.37</v>
      </c>
      <c r="F62" s="109">
        <v>0.56000000000000005</v>
      </c>
      <c r="G62" s="109">
        <v>0.8</v>
      </c>
      <c r="H62" s="109">
        <v>1.17</v>
      </c>
      <c r="I62" s="109">
        <v>1.62</v>
      </c>
      <c r="J62" s="109">
        <v>1.82</v>
      </c>
      <c r="K62" s="109">
        <v>2.35</v>
      </c>
      <c r="L62" s="109"/>
      <c r="M62" s="109">
        <v>2.93</v>
      </c>
      <c r="N62" s="109"/>
      <c r="O62" s="109"/>
      <c r="P62" s="109">
        <v>3.46</v>
      </c>
      <c r="Q62" s="109">
        <v>3.82</v>
      </c>
      <c r="R62" s="109">
        <v>3.97</v>
      </c>
      <c r="S62" s="109"/>
      <c r="T62" s="109"/>
      <c r="U62" s="109">
        <v>3.65</v>
      </c>
      <c r="V62" s="109"/>
    </row>
    <row r="63" spans="1:22" x14ac:dyDescent="0.2">
      <c r="A63" s="11" t="s">
        <v>245</v>
      </c>
      <c r="B63" s="109"/>
      <c r="C63" s="109">
        <v>0.12</v>
      </c>
      <c r="D63" s="109">
        <v>0.23</v>
      </c>
      <c r="E63" s="109">
        <v>0.2</v>
      </c>
      <c r="F63" s="109">
        <v>0.71</v>
      </c>
      <c r="G63" s="109">
        <v>0.56000000000000005</v>
      </c>
      <c r="H63" s="109">
        <v>1.1299999999999999</v>
      </c>
      <c r="I63" s="109">
        <v>1.19</v>
      </c>
      <c r="J63" s="109">
        <v>1.71</v>
      </c>
      <c r="K63" s="109">
        <v>2.17</v>
      </c>
      <c r="L63" s="109"/>
      <c r="M63" s="109">
        <v>2.91</v>
      </c>
      <c r="N63" s="109"/>
      <c r="O63" s="109"/>
      <c r="P63" s="109">
        <v>3.7</v>
      </c>
      <c r="Q63" s="109">
        <v>4.13</v>
      </c>
      <c r="R63" s="109">
        <v>4.17</v>
      </c>
      <c r="S63" s="109"/>
      <c r="T63" s="109"/>
      <c r="U63" s="109">
        <v>4.32</v>
      </c>
      <c r="V63" s="109"/>
    </row>
    <row r="64" spans="1:22" x14ac:dyDescent="0.2">
      <c r="A64" s="11" t="s">
        <v>246</v>
      </c>
      <c r="B64" s="109"/>
      <c r="C64" s="109">
        <v>0.22</v>
      </c>
      <c r="D64" s="109">
        <v>0.24</v>
      </c>
      <c r="E64" s="109">
        <v>0.3</v>
      </c>
      <c r="F64" s="109">
        <v>0.47</v>
      </c>
      <c r="G64" s="109">
        <v>0.8</v>
      </c>
      <c r="H64" s="109">
        <v>1.25</v>
      </c>
      <c r="I64" s="109">
        <v>1.6</v>
      </c>
      <c r="J64" s="109">
        <v>1.37</v>
      </c>
      <c r="K64" s="109">
        <v>2.0299999999999998</v>
      </c>
      <c r="L64" s="109"/>
      <c r="M64" s="109">
        <v>2.34</v>
      </c>
      <c r="N64" s="109"/>
      <c r="O64" s="109"/>
      <c r="P64" s="109">
        <v>2.5</v>
      </c>
      <c r="Q64" s="109">
        <v>3.23</v>
      </c>
      <c r="R64" s="109">
        <v>3.34</v>
      </c>
      <c r="S64" s="109"/>
      <c r="T64" s="109"/>
      <c r="U64" s="109">
        <v>3.23</v>
      </c>
      <c r="V64" s="109"/>
    </row>
    <row r="65" spans="1:22" x14ac:dyDescent="0.2">
      <c r="A65" s="11" t="s">
        <v>190</v>
      </c>
      <c r="B65" s="109"/>
      <c r="C65" s="109">
        <v>0.08</v>
      </c>
      <c r="D65" s="109">
        <v>0.22</v>
      </c>
      <c r="E65" s="109">
        <v>0.31</v>
      </c>
      <c r="F65" s="109">
        <v>0.45</v>
      </c>
      <c r="G65" s="109">
        <v>0.71</v>
      </c>
      <c r="H65" s="109">
        <v>1.37</v>
      </c>
      <c r="I65" s="109">
        <v>2.17</v>
      </c>
      <c r="J65" s="109">
        <v>2.2200000000000002</v>
      </c>
      <c r="K65" s="109">
        <v>2.65</v>
      </c>
      <c r="L65" s="109"/>
      <c r="M65" s="109">
        <v>3.54</v>
      </c>
      <c r="N65" s="109"/>
      <c r="O65" s="109">
        <v>3.78</v>
      </c>
      <c r="P65" s="109">
        <v>4.21</v>
      </c>
      <c r="Q65" s="109"/>
      <c r="R65" s="109"/>
      <c r="S65" s="109">
        <v>4.9400000000000004</v>
      </c>
      <c r="T65" s="109"/>
      <c r="U65" s="109">
        <v>2.5099999999999998</v>
      </c>
      <c r="V65" s="109">
        <v>4.7</v>
      </c>
    </row>
    <row r="66" spans="1:22" x14ac:dyDescent="0.2">
      <c r="A66" s="11" t="s">
        <v>191</v>
      </c>
      <c r="B66" s="109"/>
      <c r="C66" s="109">
        <v>0.13</v>
      </c>
      <c r="D66" s="109">
        <v>0.19</v>
      </c>
      <c r="E66" s="109">
        <v>0.35</v>
      </c>
      <c r="F66" s="109">
        <v>0.61</v>
      </c>
      <c r="G66" s="109">
        <v>0.63</v>
      </c>
      <c r="H66" s="109">
        <v>1.2</v>
      </c>
      <c r="I66" s="109">
        <v>2.08</v>
      </c>
      <c r="J66" s="109">
        <v>2.21</v>
      </c>
      <c r="K66" s="109">
        <v>2.65</v>
      </c>
      <c r="L66" s="109"/>
      <c r="M66" s="109">
        <v>3.44</v>
      </c>
      <c r="N66" s="109"/>
      <c r="O66" s="109">
        <v>3.8</v>
      </c>
      <c r="P66" s="109">
        <v>4.46</v>
      </c>
      <c r="Q66" s="109"/>
      <c r="R66" s="109"/>
      <c r="S66" s="109">
        <v>4.37</v>
      </c>
      <c r="T66" s="109"/>
      <c r="U66" s="109">
        <v>4.04</v>
      </c>
      <c r="V66" s="109">
        <v>4.2</v>
      </c>
    </row>
    <row r="67" spans="1:22" x14ac:dyDescent="0.2">
      <c r="A67" s="11" t="s">
        <v>192</v>
      </c>
      <c r="B67" s="109"/>
      <c r="C67" s="109">
        <v>0.14000000000000001</v>
      </c>
      <c r="D67" s="109">
        <v>0.17</v>
      </c>
      <c r="E67" s="109">
        <v>0.28999999999999998</v>
      </c>
      <c r="F67" s="109">
        <v>0.59</v>
      </c>
      <c r="G67" s="109">
        <v>0.86</v>
      </c>
      <c r="H67" s="109">
        <v>1.57</v>
      </c>
      <c r="I67" s="109">
        <v>2.2599999999999998</v>
      </c>
      <c r="J67" s="109">
        <v>2.2999999999999998</v>
      </c>
      <c r="K67" s="109">
        <v>3.17</v>
      </c>
      <c r="L67" s="109"/>
      <c r="M67" s="109">
        <v>4.3</v>
      </c>
      <c r="N67" s="109"/>
      <c r="O67" s="109">
        <v>4.8600000000000003</v>
      </c>
      <c r="P67" s="109">
        <v>5.42</v>
      </c>
      <c r="Q67" s="109"/>
      <c r="R67" s="109"/>
      <c r="S67" s="109">
        <v>5.94</v>
      </c>
      <c r="T67" s="109"/>
      <c r="U67" s="109">
        <v>0.88</v>
      </c>
      <c r="V67" s="109">
        <v>4.6100000000000003</v>
      </c>
    </row>
    <row r="68" spans="1:22" x14ac:dyDescent="0.2">
      <c r="A68" s="11" t="s">
        <v>247</v>
      </c>
      <c r="B68" s="109"/>
      <c r="C68" s="109">
        <v>0.1</v>
      </c>
      <c r="D68" s="109">
        <v>0.21</v>
      </c>
      <c r="E68" s="109">
        <v>0.41</v>
      </c>
      <c r="F68" s="109">
        <v>0.73</v>
      </c>
      <c r="G68" s="109">
        <v>0.78</v>
      </c>
      <c r="H68" s="109">
        <v>1.93</v>
      </c>
      <c r="I68" s="109">
        <v>2.25</v>
      </c>
      <c r="J68" s="109">
        <v>2.3199999999999998</v>
      </c>
      <c r="K68" s="109">
        <v>3.29</v>
      </c>
      <c r="L68" s="109"/>
      <c r="M68" s="109">
        <v>4.0199999999999996</v>
      </c>
      <c r="N68" s="109"/>
      <c r="O68" s="109">
        <v>4.82</v>
      </c>
      <c r="P68" s="109">
        <v>5.34</v>
      </c>
      <c r="Q68" s="109"/>
      <c r="R68" s="109"/>
      <c r="S68" s="109">
        <v>6.19</v>
      </c>
      <c r="T68" s="109"/>
      <c r="U68" s="109">
        <v>0</v>
      </c>
      <c r="V68" s="109">
        <v>4.74</v>
      </c>
    </row>
    <row r="69" spans="1:22" x14ac:dyDescent="0.2">
      <c r="A69" s="11" t="s">
        <v>248</v>
      </c>
      <c r="B69" s="109"/>
      <c r="C69" s="109">
        <v>0.14000000000000001</v>
      </c>
      <c r="D69" s="109">
        <v>0.3</v>
      </c>
      <c r="E69" s="109">
        <v>0.28000000000000003</v>
      </c>
      <c r="F69" s="109">
        <v>0.56999999999999995</v>
      </c>
      <c r="G69" s="109">
        <v>0.82</v>
      </c>
      <c r="H69" s="109">
        <v>1.78</v>
      </c>
      <c r="I69" s="109">
        <v>2.46</v>
      </c>
      <c r="J69" s="109">
        <v>2.4700000000000002</v>
      </c>
      <c r="K69" s="109">
        <v>3.31</v>
      </c>
      <c r="L69" s="109"/>
      <c r="M69" s="109">
        <v>4.0999999999999996</v>
      </c>
      <c r="N69" s="109"/>
      <c r="O69" s="109">
        <v>4.74</v>
      </c>
      <c r="P69" s="109">
        <v>5.35</v>
      </c>
      <c r="Q69" s="109"/>
      <c r="R69" s="109"/>
      <c r="S69" s="109">
        <v>6.03</v>
      </c>
      <c r="T69" s="109"/>
      <c r="U69" s="109">
        <v>1.59</v>
      </c>
      <c r="V69" s="109">
        <v>4.9000000000000004</v>
      </c>
    </row>
    <row r="70" spans="1:22" x14ac:dyDescent="0.2">
      <c r="A70" s="11" t="s">
        <v>249</v>
      </c>
      <c r="B70" s="109"/>
      <c r="C70" s="109">
        <v>0.14000000000000001</v>
      </c>
      <c r="D70" s="109">
        <v>0.31</v>
      </c>
      <c r="E70" s="109">
        <v>0.37</v>
      </c>
      <c r="F70" s="109">
        <v>0.69</v>
      </c>
      <c r="G70" s="109">
        <v>0.88</v>
      </c>
      <c r="H70" s="109">
        <v>1.65</v>
      </c>
      <c r="I70" s="109">
        <v>2.17</v>
      </c>
      <c r="J70" s="109">
        <v>2.5</v>
      </c>
      <c r="K70" s="109">
        <v>3.39</v>
      </c>
      <c r="L70" s="109"/>
      <c r="M70" s="109">
        <v>4.2300000000000004</v>
      </c>
      <c r="N70" s="109"/>
      <c r="O70" s="109">
        <v>4.7300000000000004</v>
      </c>
      <c r="P70" s="109">
        <v>5.48</v>
      </c>
      <c r="Q70" s="109"/>
      <c r="R70" s="109"/>
      <c r="S70" s="109">
        <v>6.22</v>
      </c>
      <c r="T70" s="109"/>
      <c r="U70" s="109">
        <v>4.43</v>
      </c>
      <c r="V70" s="109">
        <v>5.52</v>
      </c>
    </row>
    <row r="71" spans="1:22" x14ac:dyDescent="0.2">
      <c r="A71" s="11" t="s">
        <v>250</v>
      </c>
      <c r="B71" s="109"/>
      <c r="C71" s="109">
        <v>0.14000000000000001</v>
      </c>
      <c r="D71" s="109">
        <v>0.15</v>
      </c>
      <c r="E71" s="109">
        <v>0.13</v>
      </c>
      <c r="F71" s="109">
        <v>0.54</v>
      </c>
      <c r="G71" s="109">
        <v>0.55000000000000004</v>
      </c>
      <c r="H71" s="109">
        <v>1.28</v>
      </c>
      <c r="I71" s="109">
        <v>2.33</v>
      </c>
      <c r="J71" s="109">
        <v>2.39</v>
      </c>
      <c r="K71" s="109">
        <v>3.68</v>
      </c>
      <c r="L71" s="109"/>
      <c r="M71" s="109">
        <v>4.04</v>
      </c>
      <c r="N71" s="109"/>
      <c r="O71" s="109">
        <v>4.67</v>
      </c>
      <c r="P71" s="109">
        <v>5.24</v>
      </c>
      <c r="Q71" s="109"/>
      <c r="R71" s="109"/>
      <c r="S71" s="109">
        <v>5.87</v>
      </c>
      <c r="T71" s="109"/>
      <c r="U71" s="109">
        <v>2.57</v>
      </c>
      <c r="V71" s="109">
        <v>4.53</v>
      </c>
    </row>
    <row r="72" spans="1:22" x14ac:dyDescent="0.2">
      <c r="A72" s="11" t="s">
        <v>193</v>
      </c>
      <c r="B72" s="109"/>
      <c r="C72" s="109">
        <v>0.12</v>
      </c>
      <c r="D72" s="109">
        <v>0.22</v>
      </c>
      <c r="E72" s="109">
        <v>0.4</v>
      </c>
      <c r="F72" s="109">
        <v>0.56999999999999995</v>
      </c>
      <c r="G72" s="109">
        <v>0.79</v>
      </c>
      <c r="H72" s="109">
        <v>1.1200000000000001</v>
      </c>
      <c r="I72" s="109">
        <v>1.71</v>
      </c>
      <c r="J72" s="109">
        <v>2.13</v>
      </c>
      <c r="K72" s="109"/>
      <c r="L72" s="109">
        <v>2.5099999999999998</v>
      </c>
      <c r="M72" s="109"/>
      <c r="N72" s="109">
        <v>2.8</v>
      </c>
      <c r="O72" s="109">
        <v>2.75</v>
      </c>
      <c r="P72" s="109">
        <v>3.77</v>
      </c>
      <c r="Q72" s="109">
        <v>3.07</v>
      </c>
      <c r="R72" s="109"/>
      <c r="S72" s="109">
        <v>3.35</v>
      </c>
      <c r="T72" s="109"/>
      <c r="U72" s="109">
        <v>3.68</v>
      </c>
      <c r="V72" s="109"/>
    </row>
    <row r="73" spans="1:22" x14ac:dyDescent="0.2">
      <c r="A73" s="11" t="s">
        <v>194</v>
      </c>
      <c r="B73" s="109"/>
      <c r="C73" s="109">
        <v>0.1</v>
      </c>
      <c r="D73" s="109">
        <v>0.16</v>
      </c>
      <c r="E73" s="109">
        <v>0.37</v>
      </c>
      <c r="F73" s="109">
        <v>0.87</v>
      </c>
      <c r="G73" s="109">
        <v>0.89</v>
      </c>
      <c r="H73" s="109">
        <v>1.23</v>
      </c>
      <c r="I73" s="109">
        <v>1.76</v>
      </c>
      <c r="J73" s="109">
        <v>2.48</v>
      </c>
      <c r="K73" s="109"/>
      <c r="L73" s="109">
        <v>3.04</v>
      </c>
      <c r="M73" s="109"/>
      <c r="N73" s="109">
        <v>3.7</v>
      </c>
      <c r="O73" s="109">
        <v>3.78</v>
      </c>
      <c r="P73" s="109">
        <v>4.32</v>
      </c>
      <c r="Q73" s="109">
        <v>4.51</v>
      </c>
      <c r="R73" s="109"/>
      <c r="S73" s="109">
        <v>4.7300000000000004</v>
      </c>
      <c r="T73" s="109"/>
      <c r="U73" s="109">
        <v>3.7</v>
      </c>
      <c r="V73" s="109"/>
    </row>
    <row r="74" spans="1:22" x14ac:dyDescent="0.2">
      <c r="A74" s="11" t="s">
        <v>195</v>
      </c>
      <c r="B74" s="109"/>
      <c r="C74" s="109">
        <v>0.18</v>
      </c>
      <c r="D74" s="109">
        <v>0.21</v>
      </c>
      <c r="E74" s="109">
        <v>0.36</v>
      </c>
      <c r="F74" s="109">
        <v>0.56000000000000005</v>
      </c>
      <c r="G74" s="109">
        <v>1.21</v>
      </c>
      <c r="H74" s="109">
        <v>1.34</v>
      </c>
      <c r="I74" s="109">
        <v>1.8</v>
      </c>
      <c r="J74" s="109">
        <v>2.36</v>
      </c>
      <c r="K74" s="109"/>
      <c r="L74" s="109">
        <v>3.24</v>
      </c>
      <c r="M74" s="109"/>
      <c r="N74" s="109">
        <v>3.52</v>
      </c>
      <c r="O74" s="109">
        <v>3.88</v>
      </c>
      <c r="P74" s="109">
        <v>4.42</v>
      </c>
      <c r="Q74" s="109">
        <v>4.9400000000000004</v>
      </c>
      <c r="R74" s="109"/>
      <c r="S74" s="109">
        <v>5.46</v>
      </c>
      <c r="T74" s="109"/>
      <c r="U74" s="109">
        <v>4.75</v>
      </c>
      <c r="V74" s="109"/>
    </row>
    <row r="75" spans="1:22" x14ac:dyDescent="0.2">
      <c r="A75" s="11" t="s">
        <v>251</v>
      </c>
      <c r="B75" s="109"/>
      <c r="C75" s="109">
        <v>0.13</v>
      </c>
      <c r="D75" s="109">
        <v>0.2</v>
      </c>
      <c r="E75" s="109">
        <v>0.42</v>
      </c>
      <c r="F75" s="109">
        <v>0.78</v>
      </c>
      <c r="G75" s="109">
        <v>0.82</v>
      </c>
      <c r="H75" s="109">
        <v>1.1599999999999999</v>
      </c>
      <c r="I75" s="109">
        <v>1.66</v>
      </c>
      <c r="J75" s="109">
        <v>2.35</v>
      </c>
      <c r="K75" s="109"/>
      <c r="L75" s="109">
        <v>3.06</v>
      </c>
      <c r="M75" s="109"/>
      <c r="N75" s="109">
        <v>3.8</v>
      </c>
      <c r="O75" s="109">
        <v>4.04</v>
      </c>
      <c r="P75" s="109">
        <v>4.95</v>
      </c>
      <c r="Q75" s="109">
        <v>4.92</v>
      </c>
      <c r="R75" s="109"/>
      <c r="S75" s="109">
        <v>5.57</v>
      </c>
      <c r="T75" s="109"/>
      <c r="U75" s="109">
        <v>2.94</v>
      </c>
      <c r="V75" s="109"/>
    </row>
    <row r="76" spans="1:22" x14ac:dyDescent="0.2">
      <c r="A76" s="11" t="s">
        <v>252</v>
      </c>
      <c r="B76" s="109"/>
      <c r="C76" s="109">
        <v>0.19</v>
      </c>
      <c r="D76" s="109">
        <v>0.21</v>
      </c>
      <c r="E76" s="109">
        <v>0.28999999999999998</v>
      </c>
      <c r="F76" s="109">
        <v>0.62</v>
      </c>
      <c r="G76" s="109">
        <v>0.93</v>
      </c>
      <c r="H76" s="109">
        <v>0.98</v>
      </c>
      <c r="I76" s="109">
        <v>1.58</v>
      </c>
      <c r="J76" s="109">
        <v>1.85</v>
      </c>
      <c r="K76" s="109"/>
      <c r="L76" s="109">
        <v>2.86</v>
      </c>
      <c r="M76" s="109"/>
      <c r="N76" s="109">
        <v>3.44</v>
      </c>
      <c r="O76" s="109">
        <v>3.57</v>
      </c>
      <c r="P76" s="109">
        <v>4.5</v>
      </c>
      <c r="Q76" s="109">
        <v>4.92</v>
      </c>
      <c r="R76" s="109"/>
      <c r="S76" s="109">
        <v>5.81</v>
      </c>
      <c r="T76" s="109"/>
      <c r="U76" s="109">
        <v>4.05</v>
      </c>
      <c r="V76" s="109"/>
    </row>
    <row r="77" spans="1:22" x14ac:dyDescent="0.2">
      <c r="A77" s="11" t="s">
        <v>253</v>
      </c>
      <c r="B77" s="109"/>
      <c r="C77" s="109">
        <v>0.15</v>
      </c>
      <c r="D77" s="109">
        <v>0.11</v>
      </c>
      <c r="E77" s="109">
        <v>0.26</v>
      </c>
      <c r="F77" s="109">
        <v>0.47</v>
      </c>
      <c r="G77" s="109">
        <v>0.79</v>
      </c>
      <c r="H77" s="109">
        <v>0.9</v>
      </c>
      <c r="I77" s="109">
        <v>1.37</v>
      </c>
      <c r="J77" s="109">
        <v>1.91</v>
      </c>
      <c r="K77" s="109"/>
      <c r="L77" s="109">
        <v>2.8</v>
      </c>
      <c r="M77" s="109"/>
      <c r="N77" s="109">
        <v>3.33</v>
      </c>
      <c r="O77" s="109">
        <v>3.63</v>
      </c>
      <c r="P77" s="109">
        <v>4.3899999999999997</v>
      </c>
      <c r="Q77" s="109">
        <v>5.01</v>
      </c>
      <c r="R77" s="109"/>
      <c r="S77" s="109">
        <v>5.87</v>
      </c>
      <c r="T77" s="109"/>
      <c r="U77" s="109">
        <v>3.64</v>
      </c>
      <c r="V77" s="109"/>
    </row>
    <row r="78" spans="1:22" x14ac:dyDescent="0.2">
      <c r="A78" s="11" t="s">
        <v>254</v>
      </c>
      <c r="B78" s="109"/>
      <c r="C78" s="109">
        <v>0.18</v>
      </c>
      <c r="D78" s="109">
        <v>0.21</v>
      </c>
      <c r="E78" s="109">
        <v>0.47</v>
      </c>
      <c r="F78" s="109">
        <v>0.61</v>
      </c>
      <c r="G78" s="109">
        <v>0.82</v>
      </c>
      <c r="H78" s="109">
        <v>0.98</v>
      </c>
      <c r="I78" s="109">
        <v>1.29</v>
      </c>
      <c r="J78" s="109">
        <v>1.62</v>
      </c>
      <c r="K78" s="109"/>
      <c r="L78" s="109">
        <v>2.42</v>
      </c>
      <c r="M78" s="109"/>
      <c r="N78" s="109">
        <v>2.86</v>
      </c>
      <c r="O78" s="109">
        <v>2.94</v>
      </c>
      <c r="P78" s="109">
        <v>3.34</v>
      </c>
      <c r="Q78" s="109">
        <v>3.64</v>
      </c>
      <c r="R78" s="109"/>
      <c r="S78" s="109">
        <v>4.29</v>
      </c>
      <c r="T78" s="109"/>
      <c r="U78" s="109">
        <v>4.1900000000000004</v>
      </c>
      <c r="V78" s="109"/>
    </row>
    <row r="79" spans="1:22" x14ac:dyDescent="0.2">
      <c r="A79" s="11" t="s">
        <v>196</v>
      </c>
      <c r="B79" s="109"/>
      <c r="C79" s="109">
        <v>7.0000000000000007E-2</v>
      </c>
      <c r="D79" s="109">
        <v>0.26</v>
      </c>
      <c r="E79" s="109">
        <v>0.33</v>
      </c>
      <c r="F79" s="109">
        <v>0.71</v>
      </c>
      <c r="G79" s="109">
        <v>0.93</v>
      </c>
      <c r="H79" s="109">
        <v>1.37</v>
      </c>
      <c r="I79" s="109">
        <v>2.23</v>
      </c>
      <c r="J79" s="109">
        <v>2.2200000000000002</v>
      </c>
      <c r="K79" s="109"/>
      <c r="L79" s="109">
        <v>2.59</v>
      </c>
      <c r="M79" s="109"/>
      <c r="N79" s="109">
        <v>2.98</v>
      </c>
      <c r="O79" s="109">
        <v>3.09</v>
      </c>
      <c r="P79" s="109">
        <v>3.74</v>
      </c>
      <c r="Q79" s="109">
        <v>3.9</v>
      </c>
      <c r="R79" s="109"/>
      <c r="S79" s="109">
        <v>4.42</v>
      </c>
      <c r="T79" s="109"/>
      <c r="U79" s="109">
        <v>3.8</v>
      </c>
      <c r="V79" s="109"/>
    </row>
    <row r="80" spans="1:22" x14ac:dyDescent="0.2">
      <c r="A80" s="11" t="s">
        <v>197</v>
      </c>
      <c r="B80" s="109"/>
      <c r="C80" s="109">
        <v>0.08</v>
      </c>
      <c r="D80" s="109">
        <v>0.18</v>
      </c>
      <c r="E80" s="109">
        <v>0.42</v>
      </c>
      <c r="F80" s="109">
        <v>0.6</v>
      </c>
      <c r="G80" s="109">
        <v>1.05</v>
      </c>
      <c r="H80" s="109">
        <v>1.8</v>
      </c>
      <c r="I80" s="109">
        <v>2.62</v>
      </c>
      <c r="J80" s="109">
        <v>3.07</v>
      </c>
      <c r="K80" s="109"/>
      <c r="L80" s="109">
        <v>3.94</v>
      </c>
      <c r="M80" s="109"/>
      <c r="N80" s="109">
        <v>4.57</v>
      </c>
      <c r="O80" s="109">
        <v>4.95</v>
      </c>
      <c r="P80" s="109">
        <v>5.68</v>
      </c>
      <c r="Q80" s="109">
        <v>6.05</v>
      </c>
      <c r="R80" s="109"/>
      <c r="S80" s="109">
        <v>5.85</v>
      </c>
      <c r="T80" s="109"/>
      <c r="U80" s="109">
        <v>3.53</v>
      </c>
      <c r="V80" s="109"/>
    </row>
    <row r="81" spans="1:22" x14ac:dyDescent="0.2">
      <c r="A81" s="11" t="s">
        <v>198</v>
      </c>
      <c r="B81" s="109"/>
      <c r="C81" s="109">
        <v>0.15</v>
      </c>
      <c r="D81" s="109">
        <v>0.19</v>
      </c>
      <c r="E81" s="109">
        <v>0.35</v>
      </c>
      <c r="F81" s="109">
        <v>0.62</v>
      </c>
      <c r="G81" s="109">
        <v>0.68</v>
      </c>
      <c r="H81" s="109">
        <v>1.45</v>
      </c>
      <c r="I81" s="109">
        <v>1.96</v>
      </c>
      <c r="J81" s="109">
        <v>2.23</v>
      </c>
      <c r="K81" s="109"/>
      <c r="L81" s="109">
        <v>3.14</v>
      </c>
      <c r="M81" s="109"/>
      <c r="N81" s="109">
        <v>3.58</v>
      </c>
      <c r="O81" s="109">
        <v>3.95</v>
      </c>
      <c r="P81" s="109">
        <v>4.88</v>
      </c>
      <c r="Q81" s="109">
        <v>5.36</v>
      </c>
      <c r="R81" s="109"/>
      <c r="S81" s="109">
        <v>5.42</v>
      </c>
      <c r="T81" s="109"/>
      <c r="U81" s="109">
        <v>4.82</v>
      </c>
      <c r="V81" s="109"/>
    </row>
    <row r="82" spans="1:22" x14ac:dyDescent="0.2">
      <c r="A82" s="11" t="s">
        <v>255</v>
      </c>
      <c r="B82" s="109"/>
      <c r="C82" s="109">
        <v>0.16</v>
      </c>
      <c r="D82" s="109">
        <v>0.19</v>
      </c>
      <c r="E82" s="109">
        <v>0.26</v>
      </c>
      <c r="F82" s="109">
        <v>0.47</v>
      </c>
      <c r="G82" s="109">
        <v>0.83</v>
      </c>
      <c r="H82" s="109">
        <v>1.27</v>
      </c>
      <c r="I82" s="109">
        <v>1.91</v>
      </c>
      <c r="J82" s="109">
        <v>2.23</v>
      </c>
      <c r="K82" s="109"/>
      <c r="L82" s="109">
        <v>3.57</v>
      </c>
      <c r="M82" s="109"/>
      <c r="N82" s="109">
        <v>3.99</v>
      </c>
      <c r="O82" s="109">
        <v>4.53</v>
      </c>
      <c r="P82" s="109">
        <v>4.88</v>
      </c>
      <c r="Q82" s="109">
        <v>5.99</v>
      </c>
      <c r="R82" s="109"/>
      <c r="S82" s="109">
        <v>6</v>
      </c>
      <c r="T82" s="109"/>
      <c r="U82" s="109">
        <v>4.53</v>
      </c>
      <c r="V82" s="109"/>
    </row>
    <row r="83" spans="1:22" x14ac:dyDescent="0.2">
      <c r="A83" s="11" t="s">
        <v>256</v>
      </c>
      <c r="B83" s="109"/>
      <c r="C83" s="109">
        <v>0.08</v>
      </c>
      <c r="D83" s="109">
        <v>0.25</v>
      </c>
      <c r="E83" s="109">
        <v>0.38</v>
      </c>
      <c r="F83" s="109">
        <v>0.45</v>
      </c>
      <c r="G83" s="109">
        <v>0.78</v>
      </c>
      <c r="H83" s="109">
        <v>1.33</v>
      </c>
      <c r="I83" s="109">
        <v>2.15</v>
      </c>
      <c r="J83" s="109">
        <v>2.37</v>
      </c>
      <c r="K83" s="109"/>
      <c r="L83" s="109">
        <v>3.21</v>
      </c>
      <c r="M83" s="109"/>
      <c r="N83" s="109">
        <v>3.89</v>
      </c>
      <c r="O83" s="109">
        <v>4.58</v>
      </c>
      <c r="P83" s="109">
        <v>4.84</v>
      </c>
      <c r="Q83" s="109">
        <v>5.3</v>
      </c>
      <c r="R83" s="109"/>
      <c r="S83" s="109">
        <v>5.65</v>
      </c>
      <c r="T83" s="109"/>
      <c r="U83" s="109">
        <v>3.57</v>
      </c>
      <c r="V83" s="109"/>
    </row>
    <row r="84" spans="1:22" x14ac:dyDescent="0.2">
      <c r="A84" s="11" t="s">
        <v>257</v>
      </c>
      <c r="B84" s="109"/>
      <c r="C84" s="109">
        <v>0.11</v>
      </c>
      <c r="D84" s="109">
        <v>0.16</v>
      </c>
      <c r="E84" s="109">
        <v>0.26</v>
      </c>
      <c r="F84" s="109">
        <v>0.66</v>
      </c>
      <c r="G84" s="109">
        <v>0.85</v>
      </c>
      <c r="H84" s="109">
        <v>1.61</v>
      </c>
      <c r="I84" s="109">
        <v>1.87</v>
      </c>
      <c r="J84" s="109">
        <v>2.2200000000000002</v>
      </c>
      <c r="K84" s="109"/>
      <c r="L84" s="109">
        <v>3.05</v>
      </c>
      <c r="M84" s="109"/>
      <c r="N84" s="109">
        <v>3.97</v>
      </c>
      <c r="O84" s="109">
        <v>4.4400000000000004</v>
      </c>
      <c r="P84" s="109">
        <v>4.6100000000000003</v>
      </c>
      <c r="Q84" s="109">
        <v>5.84</v>
      </c>
      <c r="R84" s="109"/>
      <c r="S84" s="109">
        <v>5.9</v>
      </c>
      <c r="T84" s="109"/>
      <c r="U84" s="109">
        <v>3.55</v>
      </c>
      <c r="V84" s="109"/>
    </row>
    <row r="85" spans="1:22" x14ac:dyDescent="0.2">
      <c r="A85" s="11" t="s">
        <v>258</v>
      </c>
      <c r="B85" s="109"/>
      <c r="C85" s="109">
        <v>0.13</v>
      </c>
      <c r="D85" s="109">
        <v>0.18</v>
      </c>
      <c r="E85" s="109">
        <v>0.51</v>
      </c>
      <c r="F85" s="109">
        <v>0.73</v>
      </c>
      <c r="G85" s="109">
        <v>0.81</v>
      </c>
      <c r="H85" s="109">
        <v>1.1100000000000001</v>
      </c>
      <c r="I85" s="109">
        <v>1.25</v>
      </c>
      <c r="J85" s="109">
        <v>1.44</v>
      </c>
      <c r="K85" s="109"/>
      <c r="L85" s="109">
        <v>2.21</v>
      </c>
      <c r="M85" s="109"/>
      <c r="N85" s="109">
        <v>2.6</v>
      </c>
      <c r="O85" s="109">
        <v>2.7</v>
      </c>
      <c r="P85" s="109">
        <v>3.16</v>
      </c>
      <c r="Q85" s="109">
        <v>4.01</v>
      </c>
      <c r="R85" s="109"/>
      <c r="S85" s="109">
        <v>4.91</v>
      </c>
      <c r="T85" s="109"/>
      <c r="U85" s="109">
        <v>4.22</v>
      </c>
      <c r="V85" s="109"/>
    </row>
    <row r="86" spans="1:22" x14ac:dyDescent="0.2">
      <c r="A86" s="11" t="s">
        <v>199</v>
      </c>
      <c r="B86" s="109">
        <v>0.03</v>
      </c>
      <c r="C86" s="109">
        <v>0.1</v>
      </c>
      <c r="D86" s="109">
        <v>0.13</v>
      </c>
      <c r="E86" s="109">
        <v>0.21</v>
      </c>
      <c r="F86" s="109">
        <v>0.45</v>
      </c>
      <c r="G86" s="109">
        <v>0.55000000000000004</v>
      </c>
      <c r="H86" s="109">
        <v>1.18</v>
      </c>
      <c r="I86" s="109">
        <v>1.46</v>
      </c>
      <c r="J86" s="109">
        <v>1.7</v>
      </c>
      <c r="K86" s="109">
        <v>1.88</v>
      </c>
      <c r="L86" s="109"/>
      <c r="M86" s="109"/>
      <c r="N86" s="109">
        <v>2.5</v>
      </c>
      <c r="O86" s="109"/>
      <c r="P86" s="109">
        <v>3.17</v>
      </c>
      <c r="Q86" s="109">
        <v>2.98</v>
      </c>
      <c r="R86" s="109">
        <v>3.24</v>
      </c>
      <c r="S86" s="109"/>
      <c r="T86" s="109"/>
      <c r="U86" s="109">
        <v>2.85</v>
      </c>
      <c r="V86" s="109"/>
    </row>
    <row r="87" spans="1:22" x14ac:dyDescent="0.2">
      <c r="A87" s="11" t="s">
        <v>200</v>
      </c>
      <c r="B87" s="109">
        <v>0.12</v>
      </c>
      <c r="C87" s="109">
        <v>0.1</v>
      </c>
      <c r="D87" s="109">
        <v>0.16</v>
      </c>
      <c r="E87" s="109">
        <v>0.41</v>
      </c>
      <c r="F87" s="109">
        <v>0.55000000000000004</v>
      </c>
      <c r="G87" s="109">
        <v>0.71</v>
      </c>
      <c r="H87" s="109">
        <v>0.88</v>
      </c>
      <c r="I87" s="109">
        <v>1.17</v>
      </c>
      <c r="J87" s="109">
        <v>1.48</v>
      </c>
      <c r="K87" s="109">
        <v>2.1800000000000002</v>
      </c>
      <c r="L87" s="109"/>
      <c r="M87" s="109"/>
      <c r="N87" s="109">
        <v>3.1</v>
      </c>
      <c r="O87" s="109"/>
      <c r="P87" s="109">
        <v>3.25</v>
      </c>
      <c r="Q87" s="109">
        <v>3.93</v>
      </c>
      <c r="R87" s="109">
        <v>4.0599999999999996</v>
      </c>
      <c r="S87" s="109"/>
      <c r="T87" s="109"/>
      <c r="U87" s="109">
        <v>3.85</v>
      </c>
      <c r="V87" s="109"/>
    </row>
    <row r="88" spans="1:22" x14ac:dyDescent="0.2">
      <c r="A88" s="11" t="s">
        <v>201</v>
      </c>
      <c r="B88" s="109">
        <v>0.08</v>
      </c>
      <c r="C88" s="109">
        <v>7.0000000000000007E-2</v>
      </c>
      <c r="D88" s="109">
        <v>0.21</v>
      </c>
      <c r="E88" s="109">
        <v>0.38</v>
      </c>
      <c r="F88" s="109">
        <v>0.73</v>
      </c>
      <c r="G88" s="109">
        <v>0.77</v>
      </c>
      <c r="H88" s="109">
        <v>1.41</v>
      </c>
      <c r="I88" s="109">
        <v>1.95</v>
      </c>
      <c r="J88" s="109">
        <v>2.15</v>
      </c>
      <c r="K88" s="109">
        <v>3.2</v>
      </c>
      <c r="L88" s="109"/>
      <c r="M88" s="109"/>
      <c r="N88" s="109">
        <v>3.21</v>
      </c>
      <c r="O88" s="109"/>
      <c r="P88" s="109">
        <v>4.37</v>
      </c>
      <c r="Q88" s="109">
        <v>4.3899999999999997</v>
      </c>
      <c r="R88" s="109">
        <v>4.4400000000000004</v>
      </c>
      <c r="S88" s="109"/>
      <c r="T88" s="109"/>
      <c r="U88" s="109">
        <v>3.55</v>
      </c>
      <c r="V88" s="109"/>
    </row>
    <row r="89" spans="1:22" x14ac:dyDescent="0.2">
      <c r="A89" s="11" t="s">
        <v>259</v>
      </c>
      <c r="B89" s="109">
        <v>0.08</v>
      </c>
      <c r="C89" s="109">
        <v>0.08</v>
      </c>
      <c r="D89" s="109">
        <v>0.13</v>
      </c>
      <c r="E89" s="109">
        <v>0.24</v>
      </c>
      <c r="F89" s="109">
        <v>0.68</v>
      </c>
      <c r="G89" s="109">
        <v>0.77</v>
      </c>
      <c r="H89" s="109">
        <v>1.04</v>
      </c>
      <c r="I89" s="109">
        <v>1.47</v>
      </c>
      <c r="J89" s="109">
        <v>1.81</v>
      </c>
      <c r="K89" s="109">
        <v>2.2200000000000002</v>
      </c>
      <c r="L89" s="109"/>
      <c r="M89" s="109"/>
      <c r="N89" s="109">
        <v>3.22</v>
      </c>
      <c r="O89" s="109"/>
      <c r="P89" s="109">
        <v>3.72</v>
      </c>
      <c r="Q89" s="109">
        <v>4.12</v>
      </c>
      <c r="R89" s="109">
        <v>4.38</v>
      </c>
      <c r="S89" s="109"/>
      <c r="T89" s="109"/>
      <c r="U89" s="109">
        <v>4.0199999999999996</v>
      </c>
      <c r="V89" s="109"/>
    </row>
    <row r="90" spans="1:22" x14ac:dyDescent="0.2">
      <c r="A90" s="11" t="s">
        <v>260</v>
      </c>
      <c r="B90" s="109">
        <v>0.09</v>
      </c>
      <c r="C90" s="109">
        <v>7.0000000000000007E-2</v>
      </c>
      <c r="D90" s="109">
        <v>0.23</v>
      </c>
      <c r="E90" s="109">
        <v>0.22</v>
      </c>
      <c r="F90" s="109">
        <v>0.6</v>
      </c>
      <c r="G90" s="109">
        <v>0.84</v>
      </c>
      <c r="H90" s="109">
        <v>1.31</v>
      </c>
      <c r="I90" s="109">
        <v>1.88</v>
      </c>
      <c r="J90" s="109">
        <v>1.76</v>
      </c>
      <c r="K90" s="109">
        <v>2.63</v>
      </c>
      <c r="L90" s="109"/>
      <c r="M90" s="109"/>
      <c r="N90" s="109">
        <v>3.41</v>
      </c>
      <c r="O90" s="109"/>
      <c r="P90" s="109">
        <v>4.08</v>
      </c>
      <c r="Q90" s="109">
        <v>4.78</v>
      </c>
      <c r="R90" s="109">
        <v>4.8499999999999996</v>
      </c>
      <c r="S90" s="109"/>
      <c r="T90" s="109"/>
      <c r="U90" s="109">
        <v>3.41</v>
      </c>
      <c r="V90" s="109"/>
    </row>
    <row r="91" spans="1:22" x14ac:dyDescent="0.2">
      <c r="A91" s="11" t="s">
        <v>261</v>
      </c>
      <c r="B91" s="109">
        <v>0.12</v>
      </c>
      <c r="C91" s="109">
        <v>7.0000000000000007E-2</v>
      </c>
      <c r="D91" s="109">
        <v>0.14000000000000001</v>
      </c>
      <c r="E91" s="109">
        <v>0.21</v>
      </c>
      <c r="F91" s="109">
        <v>0.6</v>
      </c>
      <c r="G91" s="109">
        <v>0.74</v>
      </c>
      <c r="H91" s="109">
        <v>0.98</v>
      </c>
      <c r="I91" s="109">
        <v>1</v>
      </c>
      <c r="J91" s="109">
        <v>1.49</v>
      </c>
      <c r="K91" s="109">
        <v>2.12</v>
      </c>
      <c r="L91" s="109"/>
      <c r="M91" s="109"/>
      <c r="N91" s="109">
        <v>2.57</v>
      </c>
      <c r="O91" s="109"/>
      <c r="P91" s="109">
        <v>3.34</v>
      </c>
      <c r="Q91" s="109">
        <v>3.49</v>
      </c>
      <c r="R91" s="109">
        <v>3.79</v>
      </c>
      <c r="S91" s="109"/>
      <c r="T91" s="109"/>
      <c r="U91" s="109">
        <v>4.3099999999999996</v>
      </c>
      <c r="V91" s="109"/>
    </row>
    <row r="92" spans="1:22" x14ac:dyDescent="0.2">
      <c r="A92" s="11" t="s">
        <v>262</v>
      </c>
      <c r="B92" s="109">
        <v>0.15</v>
      </c>
      <c r="C92" s="109">
        <v>0.13</v>
      </c>
      <c r="D92" s="109">
        <v>0.18</v>
      </c>
      <c r="E92" s="109">
        <v>0.26</v>
      </c>
      <c r="F92" s="109">
        <v>0.62</v>
      </c>
      <c r="G92" s="109">
        <v>0.6</v>
      </c>
      <c r="H92" s="109">
        <v>0.93</v>
      </c>
      <c r="I92" s="109">
        <v>1.04</v>
      </c>
      <c r="J92" s="109">
        <v>1.33</v>
      </c>
      <c r="K92" s="109">
        <v>1.84</v>
      </c>
      <c r="L92" s="109"/>
      <c r="M92" s="109"/>
      <c r="N92" s="109">
        <v>2.68</v>
      </c>
      <c r="O92" s="109"/>
      <c r="P92" s="109">
        <v>3.2</v>
      </c>
      <c r="Q92" s="109">
        <v>4.05</v>
      </c>
      <c r="R92" s="109">
        <v>3.83</v>
      </c>
      <c r="S92" s="109"/>
      <c r="T92" s="109"/>
      <c r="U92" s="109">
        <v>4.0199999999999996</v>
      </c>
      <c r="V92" s="109"/>
    </row>
    <row r="93" spans="1:22" x14ac:dyDescent="0.2">
      <c r="A93" s="11" t="s">
        <v>202</v>
      </c>
      <c r="B93" s="109"/>
      <c r="C93" s="109">
        <v>0.13</v>
      </c>
      <c r="D93" s="109">
        <v>0.09</v>
      </c>
      <c r="E93" s="109">
        <v>0.33</v>
      </c>
      <c r="F93" s="109">
        <v>0.45</v>
      </c>
      <c r="G93" s="109">
        <v>0.52</v>
      </c>
      <c r="H93" s="109">
        <v>0.98</v>
      </c>
      <c r="I93" s="109">
        <v>1.38</v>
      </c>
      <c r="J93" s="109">
        <v>1.87</v>
      </c>
      <c r="K93" s="109"/>
      <c r="L93" s="109">
        <v>2.2400000000000002</v>
      </c>
      <c r="M93" s="109"/>
      <c r="N93" s="109">
        <v>2.77</v>
      </c>
      <c r="O93" s="109">
        <v>3.1</v>
      </c>
      <c r="P93" s="109">
        <v>3.49</v>
      </c>
      <c r="Q93" s="109">
        <v>4.41</v>
      </c>
      <c r="R93" s="109"/>
      <c r="S93" s="109">
        <v>4.55</v>
      </c>
      <c r="T93" s="109"/>
      <c r="U93" s="109">
        <v>3.03</v>
      </c>
      <c r="V93" s="109"/>
    </row>
    <row r="94" spans="1:22" x14ac:dyDescent="0.2">
      <c r="A94" s="11" t="s">
        <v>203</v>
      </c>
      <c r="B94" s="109"/>
      <c r="C94" s="109">
        <v>0.08</v>
      </c>
      <c r="D94" s="109">
        <v>0.17</v>
      </c>
      <c r="E94" s="109">
        <v>0.32</v>
      </c>
      <c r="F94" s="109">
        <v>0.67</v>
      </c>
      <c r="G94" s="109">
        <v>0.83</v>
      </c>
      <c r="H94" s="109">
        <v>1.42</v>
      </c>
      <c r="I94" s="109">
        <v>2.29</v>
      </c>
      <c r="J94" s="109">
        <v>2.38</v>
      </c>
      <c r="K94" s="109"/>
      <c r="L94" s="109">
        <v>3.18</v>
      </c>
      <c r="M94" s="109"/>
      <c r="N94" s="109">
        <v>4.0199999999999996</v>
      </c>
      <c r="O94" s="109">
        <v>4.55</v>
      </c>
      <c r="P94" s="109">
        <v>5.41</v>
      </c>
      <c r="Q94" s="109">
        <v>6.24</v>
      </c>
      <c r="R94" s="109"/>
      <c r="S94" s="109">
        <v>5.8</v>
      </c>
      <c r="T94" s="109"/>
      <c r="U94" s="109">
        <v>2.8</v>
      </c>
      <c r="V94" s="109"/>
    </row>
    <row r="95" spans="1:22" x14ac:dyDescent="0.2">
      <c r="A95" s="11" t="s">
        <v>204</v>
      </c>
      <c r="B95" s="109"/>
      <c r="C95" s="109">
        <v>0.17</v>
      </c>
      <c r="D95" s="109">
        <v>0.17</v>
      </c>
      <c r="E95" s="109">
        <v>0.4</v>
      </c>
      <c r="F95" s="109">
        <v>0.47</v>
      </c>
      <c r="G95" s="109">
        <v>0.61</v>
      </c>
      <c r="H95" s="109">
        <v>1.22</v>
      </c>
      <c r="I95" s="109">
        <v>1.76</v>
      </c>
      <c r="J95" s="109">
        <v>1.91</v>
      </c>
      <c r="K95" s="109"/>
      <c r="L95" s="109">
        <v>3.01</v>
      </c>
      <c r="M95" s="109"/>
      <c r="N95" s="109">
        <v>4.08</v>
      </c>
      <c r="O95" s="109">
        <v>4.5</v>
      </c>
      <c r="P95" s="109">
        <v>4.91</v>
      </c>
      <c r="Q95" s="109">
        <v>5.88</v>
      </c>
      <c r="R95" s="109"/>
      <c r="S95" s="109">
        <v>5.68</v>
      </c>
      <c r="T95" s="109"/>
      <c r="U95" s="109">
        <v>4.0199999999999996</v>
      </c>
      <c r="V95" s="109"/>
    </row>
    <row r="96" spans="1:22" x14ac:dyDescent="0.2">
      <c r="A96" s="11" t="s">
        <v>263</v>
      </c>
      <c r="B96" s="109"/>
      <c r="C96" s="109">
        <v>0.13</v>
      </c>
      <c r="D96" s="109">
        <v>0.14000000000000001</v>
      </c>
      <c r="E96" s="109">
        <v>0.3</v>
      </c>
      <c r="F96" s="109">
        <v>0.5</v>
      </c>
      <c r="G96" s="109">
        <v>0.64</v>
      </c>
      <c r="H96" s="109">
        <v>1.17</v>
      </c>
      <c r="I96" s="109">
        <v>2.04</v>
      </c>
      <c r="J96" s="109">
        <v>2.69</v>
      </c>
      <c r="K96" s="109"/>
      <c r="L96" s="109">
        <v>3.5</v>
      </c>
      <c r="M96" s="109"/>
      <c r="N96" s="109">
        <v>4.3</v>
      </c>
      <c r="O96" s="109">
        <v>4.55</v>
      </c>
      <c r="P96" s="109">
        <v>5.84</v>
      </c>
      <c r="Q96" s="109">
        <v>6.14</v>
      </c>
      <c r="R96" s="109"/>
      <c r="S96" s="109">
        <v>5.76</v>
      </c>
      <c r="T96" s="109"/>
      <c r="U96" s="109">
        <v>3.66</v>
      </c>
      <c r="V96" s="109"/>
    </row>
    <row r="97" spans="1:22" x14ac:dyDescent="0.2">
      <c r="A97" s="11" t="s">
        <v>264</v>
      </c>
      <c r="B97" s="109"/>
      <c r="C97" s="109">
        <v>7.0000000000000007E-2</v>
      </c>
      <c r="D97" s="109">
        <v>0.26</v>
      </c>
      <c r="E97" s="109">
        <v>0.28999999999999998</v>
      </c>
      <c r="F97" s="109">
        <v>0.57999999999999996</v>
      </c>
      <c r="G97" s="109">
        <v>0.79</v>
      </c>
      <c r="H97" s="109">
        <v>1.4</v>
      </c>
      <c r="I97" s="109">
        <v>2.02</v>
      </c>
      <c r="J97" s="109">
        <v>2.06</v>
      </c>
      <c r="K97" s="109"/>
      <c r="L97" s="109">
        <v>3.29</v>
      </c>
      <c r="M97" s="109"/>
      <c r="N97" s="109">
        <v>3.89</v>
      </c>
      <c r="O97" s="109">
        <v>4.38</v>
      </c>
      <c r="P97" s="109">
        <v>5.24</v>
      </c>
      <c r="Q97" s="109">
        <v>6.23</v>
      </c>
      <c r="R97" s="109"/>
      <c r="S97" s="109">
        <v>5.62</v>
      </c>
      <c r="T97" s="109"/>
      <c r="U97" s="109">
        <v>4.45</v>
      </c>
      <c r="V97" s="109"/>
    </row>
    <row r="98" spans="1:22" x14ac:dyDescent="0.2">
      <c r="A98" s="11" t="s">
        <v>265</v>
      </c>
      <c r="B98" s="109"/>
      <c r="C98" s="109">
        <v>0.18</v>
      </c>
      <c r="D98" s="109">
        <v>0.22</v>
      </c>
      <c r="E98" s="109">
        <v>0.26</v>
      </c>
      <c r="F98" s="109">
        <v>0.53</v>
      </c>
      <c r="G98" s="109">
        <v>0.86</v>
      </c>
      <c r="H98" s="109">
        <v>1.3</v>
      </c>
      <c r="I98" s="109">
        <v>1.76</v>
      </c>
      <c r="J98" s="109">
        <v>2.0499999999999998</v>
      </c>
      <c r="K98" s="109"/>
      <c r="L98" s="109">
        <v>3.28</v>
      </c>
      <c r="M98" s="109"/>
      <c r="N98" s="109">
        <v>4.04</v>
      </c>
      <c r="O98" s="109">
        <v>4.46</v>
      </c>
      <c r="P98" s="109">
        <v>5.25</v>
      </c>
      <c r="Q98" s="109">
        <v>6.1</v>
      </c>
      <c r="R98" s="109"/>
      <c r="S98" s="109">
        <v>5.52</v>
      </c>
      <c r="T98" s="109"/>
      <c r="U98" s="109">
        <v>3.56</v>
      </c>
      <c r="V98" s="109"/>
    </row>
    <row r="99" spans="1:22" x14ac:dyDescent="0.2">
      <c r="A99" s="11" t="s">
        <v>266</v>
      </c>
      <c r="B99" s="109"/>
      <c r="C99" s="109">
        <v>0.26</v>
      </c>
      <c r="D99" s="109">
        <v>0.28999999999999998</v>
      </c>
      <c r="E99" s="109">
        <v>0.46</v>
      </c>
      <c r="F99" s="109">
        <v>0.62</v>
      </c>
      <c r="G99" s="109">
        <v>0.81</v>
      </c>
      <c r="H99" s="109">
        <v>1.19</v>
      </c>
      <c r="I99" s="109">
        <v>1.9</v>
      </c>
      <c r="J99" s="109">
        <v>1.91</v>
      </c>
      <c r="K99" s="109"/>
      <c r="L99" s="109">
        <v>2.87</v>
      </c>
      <c r="M99" s="109"/>
      <c r="N99" s="109">
        <v>3.54</v>
      </c>
      <c r="O99" s="109">
        <v>3.8</v>
      </c>
      <c r="P99" s="109">
        <v>4.79</v>
      </c>
      <c r="Q99" s="109">
        <v>5.1100000000000003</v>
      </c>
      <c r="R99" s="109"/>
      <c r="S99" s="109">
        <v>5.15</v>
      </c>
      <c r="T99" s="109"/>
      <c r="U99" s="109">
        <v>3.64</v>
      </c>
      <c r="V99" s="109"/>
    </row>
    <row r="100" spans="1:22" x14ac:dyDescent="0.2">
      <c r="A100" s="11" t="s">
        <v>205</v>
      </c>
      <c r="B100" s="109">
        <v>0.19</v>
      </c>
      <c r="C100" s="109">
        <v>0.32</v>
      </c>
      <c r="D100" s="109">
        <v>0.26</v>
      </c>
      <c r="E100" s="109">
        <v>0.46</v>
      </c>
      <c r="F100" s="109">
        <v>0.69</v>
      </c>
      <c r="G100" s="109">
        <v>0.73</v>
      </c>
      <c r="H100" s="109">
        <v>0.84</v>
      </c>
      <c r="I100" s="109">
        <v>1.33</v>
      </c>
      <c r="J100" s="109">
        <v>1.92</v>
      </c>
      <c r="K100" s="109"/>
      <c r="L100" s="109">
        <v>2.36</v>
      </c>
      <c r="M100" s="109"/>
      <c r="N100" s="109">
        <v>2.57</v>
      </c>
      <c r="O100" s="109">
        <v>2.96</v>
      </c>
      <c r="P100" s="109">
        <v>3.39</v>
      </c>
      <c r="Q100" s="109">
        <v>3.31</v>
      </c>
      <c r="R100" s="109"/>
      <c r="S100" s="109"/>
      <c r="T100" s="109"/>
      <c r="U100" s="109">
        <v>3.57</v>
      </c>
      <c r="V100" s="109"/>
    </row>
    <row r="101" spans="1:22" x14ac:dyDescent="0.2">
      <c r="A101" s="11" t="s">
        <v>206</v>
      </c>
      <c r="B101" s="109">
        <v>0</v>
      </c>
      <c r="C101" s="109">
        <v>0.16</v>
      </c>
      <c r="D101" s="109">
        <v>0.3</v>
      </c>
      <c r="E101" s="109">
        <v>0.48</v>
      </c>
      <c r="F101" s="109">
        <v>0.54</v>
      </c>
      <c r="G101" s="109">
        <v>0.8</v>
      </c>
      <c r="H101" s="109">
        <v>1.01</v>
      </c>
      <c r="I101" s="109">
        <v>1.55</v>
      </c>
      <c r="J101" s="109">
        <v>2.1</v>
      </c>
      <c r="K101" s="109"/>
      <c r="L101" s="109">
        <v>2.57</v>
      </c>
      <c r="M101" s="109"/>
      <c r="N101" s="109">
        <v>3.1</v>
      </c>
      <c r="O101" s="109">
        <v>3.61</v>
      </c>
      <c r="P101" s="109">
        <v>3.98</v>
      </c>
      <c r="Q101" s="109">
        <v>4.3099999999999996</v>
      </c>
      <c r="R101" s="109"/>
      <c r="S101" s="109"/>
      <c r="T101" s="109"/>
      <c r="U101" s="109">
        <v>3.61</v>
      </c>
      <c r="V101" s="109"/>
    </row>
    <row r="102" spans="1:22" x14ac:dyDescent="0.2">
      <c r="A102" s="11" t="s">
        <v>207</v>
      </c>
      <c r="B102" s="109">
        <v>0.06</v>
      </c>
      <c r="C102" s="109">
        <v>0.15</v>
      </c>
      <c r="D102" s="109">
        <v>0.22</v>
      </c>
      <c r="E102" s="109">
        <v>0.35</v>
      </c>
      <c r="F102" s="109">
        <v>0.7</v>
      </c>
      <c r="G102" s="109">
        <v>0.85</v>
      </c>
      <c r="H102" s="109">
        <v>1.18</v>
      </c>
      <c r="I102" s="109">
        <v>1.71</v>
      </c>
      <c r="J102" s="109">
        <v>2.09</v>
      </c>
      <c r="K102" s="109"/>
      <c r="L102" s="109">
        <v>2.9</v>
      </c>
      <c r="M102" s="109"/>
      <c r="N102" s="109">
        <v>3.29</v>
      </c>
      <c r="O102" s="109">
        <v>3.51</v>
      </c>
      <c r="P102" s="109">
        <v>4.3499999999999996</v>
      </c>
      <c r="Q102" s="109">
        <v>4.67</v>
      </c>
      <c r="R102" s="109"/>
      <c r="S102" s="109"/>
      <c r="T102" s="109"/>
      <c r="U102" s="109">
        <v>4.3600000000000003</v>
      </c>
      <c r="V102" s="109"/>
    </row>
    <row r="103" spans="1:22" x14ac:dyDescent="0.2">
      <c r="A103" s="11" t="s">
        <v>267</v>
      </c>
      <c r="B103" s="109">
        <v>7.0000000000000007E-2</v>
      </c>
      <c r="C103" s="109">
        <v>0.18</v>
      </c>
      <c r="D103" s="109">
        <v>0.18</v>
      </c>
      <c r="E103" s="109">
        <v>0.49</v>
      </c>
      <c r="F103" s="109">
        <v>0.48</v>
      </c>
      <c r="G103" s="109">
        <v>0.78</v>
      </c>
      <c r="H103" s="109">
        <v>1.23</v>
      </c>
      <c r="I103" s="109">
        <v>1.64</v>
      </c>
      <c r="J103" s="109">
        <v>1.99</v>
      </c>
      <c r="K103" s="109"/>
      <c r="L103" s="109">
        <v>3.03</v>
      </c>
      <c r="M103" s="109"/>
      <c r="N103" s="109">
        <v>3.41</v>
      </c>
      <c r="O103" s="109">
        <v>3.59</v>
      </c>
      <c r="P103" s="109">
        <v>4.58</v>
      </c>
      <c r="Q103" s="109">
        <v>4.8600000000000003</v>
      </c>
      <c r="R103" s="109"/>
      <c r="S103" s="109"/>
      <c r="T103" s="109"/>
      <c r="U103" s="109">
        <v>4.78</v>
      </c>
      <c r="V103" s="109"/>
    </row>
    <row r="104" spans="1:22" x14ac:dyDescent="0.2">
      <c r="A104" s="11" t="s">
        <v>268</v>
      </c>
      <c r="B104" s="109">
        <v>0.08</v>
      </c>
      <c r="C104" s="109">
        <v>0.19</v>
      </c>
      <c r="D104" s="109">
        <v>0.19</v>
      </c>
      <c r="E104" s="109">
        <v>0.36</v>
      </c>
      <c r="F104" s="109">
        <v>0.69</v>
      </c>
      <c r="G104" s="109">
        <v>0.79</v>
      </c>
      <c r="H104" s="109">
        <v>0.98</v>
      </c>
      <c r="I104" s="109">
        <v>1.46</v>
      </c>
      <c r="J104" s="109">
        <v>2.02</v>
      </c>
      <c r="K104" s="109"/>
      <c r="L104" s="109">
        <v>2.7</v>
      </c>
      <c r="M104" s="109"/>
      <c r="N104" s="109">
        <v>3.18</v>
      </c>
      <c r="O104" s="109">
        <v>3.57</v>
      </c>
      <c r="P104" s="109">
        <v>3.82</v>
      </c>
      <c r="Q104" s="109">
        <v>3.95</v>
      </c>
      <c r="R104" s="109"/>
      <c r="S104" s="109"/>
      <c r="T104" s="109"/>
      <c r="U104" s="109">
        <v>3.73</v>
      </c>
      <c r="V104" s="109"/>
    </row>
    <row r="105" spans="1:22" x14ac:dyDescent="0.2">
      <c r="A105" s="11" t="s">
        <v>269</v>
      </c>
      <c r="B105" s="109">
        <v>0.12</v>
      </c>
      <c r="C105" s="109">
        <v>0.08</v>
      </c>
      <c r="D105" s="109">
        <v>0.27</v>
      </c>
      <c r="E105" s="109">
        <v>0.44</v>
      </c>
      <c r="F105" s="109">
        <v>0.85</v>
      </c>
      <c r="G105" s="109">
        <v>1.1399999999999999</v>
      </c>
      <c r="H105" s="109">
        <v>1.34</v>
      </c>
      <c r="I105" s="109">
        <v>2.0299999999999998</v>
      </c>
      <c r="J105" s="109">
        <v>2.35</v>
      </c>
      <c r="K105" s="109"/>
      <c r="L105" s="109">
        <v>3.33</v>
      </c>
      <c r="M105" s="109"/>
      <c r="N105" s="109">
        <v>3.78</v>
      </c>
      <c r="O105" s="109">
        <v>3.87</v>
      </c>
      <c r="P105" s="109">
        <v>4.55</v>
      </c>
      <c r="Q105" s="109">
        <v>5.46</v>
      </c>
      <c r="R105" s="109"/>
      <c r="S105" s="109"/>
      <c r="T105" s="109"/>
      <c r="U105" s="109">
        <v>4.3099999999999996</v>
      </c>
      <c r="V105" s="109"/>
    </row>
    <row r="106" spans="1:22" x14ac:dyDescent="0.2">
      <c r="A106" s="11" t="s">
        <v>270</v>
      </c>
      <c r="B106" s="109">
        <v>0.04</v>
      </c>
      <c r="C106" s="109">
        <v>0.13</v>
      </c>
      <c r="D106" s="109">
        <v>0.35</v>
      </c>
      <c r="E106" s="109">
        <v>0.5</v>
      </c>
      <c r="F106" s="109">
        <v>0.6</v>
      </c>
      <c r="G106" s="109">
        <v>0.86</v>
      </c>
      <c r="H106" s="109">
        <v>1.05</v>
      </c>
      <c r="I106" s="109">
        <v>1.57</v>
      </c>
      <c r="J106" s="109">
        <v>1.99</v>
      </c>
      <c r="K106" s="109"/>
      <c r="L106" s="109">
        <v>2.92</v>
      </c>
      <c r="M106" s="109"/>
      <c r="N106" s="109">
        <v>3.5</v>
      </c>
      <c r="O106" s="109">
        <v>3.79</v>
      </c>
      <c r="P106" s="109">
        <v>3.95</v>
      </c>
      <c r="Q106" s="109">
        <v>5.14</v>
      </c>
      <c r="R106" s="109"/>
      <c r="S106" s="109"/>
      <c r="T106" s="109"/>
      <c r="U106" s="109">
        <v>4.0199999999999996</v>
      </c>
      <c r="V106" s="109"/>
    </row>
    <row r="107" spans="1:22" x14ac:dyDescent="0.2">
      <c r="A107" s="11" t="s">
        <v>208</v>
      </c>
      <c r="B107" s="109"/>
      <c r="C107" s="109">
        <v>0.15</v>
      </c>
      <c r="D107" s="109">
        <v>0.36</v>
      </c>
      <c r="E107" s="109">
        <v>0.35</v>
      </c>
      <c r="F107" s="109">
        <v>0.67</v>
      </c>
      <c r="G107" s="109">
        <v>0.99</v>
      </c>
      <c r="H107" s="109">
        <v>1.34</v>
      </c>
      <c r="I107" s="109">
        <v>1.97</v>
      </c>
      <c r="J107" s="109">
        <v>1.67</v>
      </c>
      <c r="K107" s="109"/>
      <c r="L107" s="109">
        <v>2.08</v>
      </c>
      <c r="M107" s="109"/>
      <c r="N107" s="109">
        <v>2.73</v>
      </c>
      <c r="O107" s="109">
        <v>2.74</v>
      </c>
      <c r="P107" s="109">
        <v>3.59</v>
      </c>
      <c r="Q107" s="109"/>
      <c r="R107" s="109"/>
      <c r="S107" s="109">
        <v>4.71</v>
      </c>
      <c r="T107" s="109"/>
      <c r="U107" s="109"/>
      <c r="V107" s="109">
        <v>4.41</v>
      </c>
    </row>
    <row r="108" spans="1:22" x14ac:dyDescent="0.2">
      <c r="A108" s="11" t="s">
        <v>209</v>
      </c>
      <c r="B108" s="109"/>
      <c r="C108" s="109">
        <v>0.09</v>
      </c>
      <c r="D108" s="109">
        <v>0.15</v>
      </c>
      <c r="E108" s="109">
        <v>0.26</v>
      </c>
      <c r="F108" s="109">
        <v>0.59</v>
      </c>
      <c r="G108" s="109">
        <v>0.7</v>
      </c>
      <c r="H108" s="109">
        <v>1.1599999999999999</v>
      </c>
      <c r="I108" s="109">
        <v>1.98</v>
      </c>
      <c r="J108" s="109">
        <v>1.8</v>
      </c>
      <c r="K108" s="109"/>
      <c r="L108" s="109">
        <v>2.82</v>
      </c>
      <c r="M108" s="109"/>
      <c r="N108" s="109">
        <v>3.43</v>
      </c>
      <c r="O108" s="109">
        <v>3.9</v>
      </c>
      <c r="P108" s="109">
        <v>4.59</v>
      </c>
      <c r="Q108" s="109"/>
      <c r="R108" s="109"/>
      <c r="S108" s="109">
        <v>5.49</v>
      </c>
      <c r="T108" s="109"/>
      <c r="U108" s="109"/>
      <c r="V108" s="109">
        <v>5.4</v>
      </c>
    </row>
    <row r="109" spans="1:22" x14ac:dyDescent="0.2">
      <c r="A109" s="11" t="s">
        <v>210</v>
      </c>
      <c r="B109" s="109"/>
      <c r="C109" s="109">
        <v>0.11</v>
      </c>
      <c r="D109" s="109">
        <v>0.22</v>
      </c>
      <c r="E109" s="109">
        <v>0.46</v>
      </c>
      <c r="F109" s="109">
        <v>0.71</v>
      </c>
      <c r="G109" s="109">
        <v>0.88</v>
      </c>
      <c r="H109" s="109">
        <v>1.29</v>
      </c>
      <c r="I109" s="109">
        <v>2.31</v>
      </c>
      <c r="J109" s="109">
        <v>1.79</v>
      </c>
      <c r="K109" s="109"/>
      <c r="L109" s="109">
        <v>2.6</v>
      </c>
      <c r="M109" s="109"/>
      <c r="N109" s="109">
        <v>3.11</v>
      </c>
      <c r="O109" s="109">
        <v>2.96</v>
      </c>
      <c r="P109" s="109">
        <v>3.85</v>
      </c>
      <c r="Q109" s="109"/>
      <c r="R109" s="109"/>
      <c r="S109" s="109">
        <v>4.62</v>
      </c>
      <c r="T109" s="109"/>
      <c r="U109" s="109"/>
      <c r="V109" s="109">
        <v>5.45</v>
      </c>
    </row>
    <row r="110" spans="1:22" x14ac:dyDescent="0.2">
      <c r="A110" s="11" t="s">
        <v>271</v>
      </c>
      <c r="B110" s="109"/>
      <c r="C110" s="109">
        <v>0.19</v>
      </c>
      <c r="D110" s="109">
        <v>0.17</v>
      </c>
      <c r="E110" s="109">
        <v>0.23</v>
      </c>
      <c r="F110" s="109">
        <v>0.74</v>
      </c>
      <c r="G110" s="109">
        <v>0.64</v>
      </c>
      <c r="H110" s="109">
        <v>1.0900000000000001</v>
      </c>
      <c r="I110" s="109">
        <v>1.66</v>
      </c>
      <c r="J110" s="109">
        <v>1.53</v>
      </c>
      <c r="K110" s="109"/>
      <c r="L110" s="109">
        <v>2.4700000000000002</v>
      </c>
      <c r="M110" s="109"/>
      <c r="N110" s="109">
        <v>3.08</v>
      </c>
      <c r="O110" s="109">
        <v>3.1</v>
      </c>
      <c r="P110" s="109">
        <v>4</v>
      </c>
      <c r="Q110" s="109"/>
      <c r="R110" s="109"/>
      <c r="S110" s="109">
        <v>5.54</v>
      </c>
      <c r="T110" s="109"/>
      <c r="U110" s="109"/>
      <c r="V110" s="109">
        <v>4.3600000000000003</v>
      </c>
    </row>
    <row r="111" spans="1:22" x14ac:dyDescent="0.2">
      <c r="A111" s="11" t="s">
        <v>272</v>
      </c>
      <c r="B111" s="109"/>
      <c r="C111" s="109">
        <v>0.22</v>
      </c>
      <c r="D111" s="109">
        <v>0.26</v>
      </c>
      <c r="E111" s="109">
        <v>0.45</v>
      </c>
      <c r="F111" s="109">
        <v>0.59</v>
      </c>
      <c r="G111" s="109">
        <v>1.03</v>
      </c>
      <c r="H111" s="109">
        <v>1.41</v>
      </c>
      <c r="I111" s="109">
        <v>2.11</v>
      </c>
      <c r="J111" s="109">
        <v>1.82</v>
      </c>
      <c r="K111" s="109"/>
      <c r="L111" s="109">
        <v>2.78</v>
      </c>
      <c r="M111" s="109"/>
      <c r="N111" s="109">
        <v>3.47</v>
      </c>
      <c r="O111" s="109">
        <v>3.6</v>
      </c>
      <c r="P111" s="109">
        <v>4.43</v>
      </c>
      <c r="Q111" s="109"/>
      <c r="R111" s="109"/>
      <c r="S111" s="109">
        <v>5.58</v>
      </c>
      <c r="T111" s="109"/>
      <c r="U111" s="109"/>
      <c r="V111" s="109">
        <v>3.45</v>
      </c>
    </row>
    <row r="112" spans="1:22" x14ac:dyDescent="0.2">
      <c r="A112" s="11" t="s">
        <v>273</v>
      </c>
      <c r="B112" s="109"/>
      <c r="C112" s="109">
        <v>0.09</v>
      </c>
      <c r="D112" s="109">
        <v>0.22</v>
      </c>
      <c r="E112" s="109">
        <v>0.34</v>
      </c>
      <c r="F112" s="109">
        <v>0.63</v>
      </c>
      <c r="G112" s="109">
        <v>0.9</v>
      </c>
      <c r="H112" s="109">
        <v>1.41</v>
      </c>
      <c r="I112" s="109">
        <v>2.1</v>
      </c>
      <c r="J112" s="109">
        <v>2.06</v>
      </c>
      <c r="K112" s="109"/>
      <c r="L112" s="109">
        <v>2.59</v>
      </c>
      <c r="M112" s="109"/>
      <c r="N112" s="109">
        <v>3.03</v>
      </c>
      <c r="O112" s="109">
        <v>3.35</v>
      </c>
      <c r="P112" s="109">
        <v>4</v>
      </c>
      <c r="Q112" s="109"/>
      <c r="R112" s="109"/>
      <c r="S112" s="109">
        <v>5.01</v>
      </c>
      <c r="T112" s="109"/>
      <c r="U112" s="109"/>
      <c r="V112" s="109">
        <v>5.0599999999999996</v>
      </c>
    </row>
    <row r="113" spans="1:22" x14ac:dyDescent="0.2">
      <c r="A113" s="11" t="s">
        <v>274</v>
      </c>
      <c r="B113" s="109"/>
      <c r="C113" s="109">
        <v>0.14000000000000001</v>
      </c>
      <c r="D113" s="109">
        <v>0.23</v>
      </c>
      <c r="E113" s="109">
        <v>0.41</v>
      </c>
      <c r="F113" s="109">
        <v>0.71</v>
      </c>
      <c r="G113" s="109">
        <v>0.79</v>
      </c>
      <c r="H113" s="109">
        <v>1.31</v>
      </c>
      <c r="I113" s="109">
        <v>1.71</v>
      </c>
      <c r="J113" s="109">
        <v>1.37</v>
      </c>
      <c r="K113" s="109"/>
      <c r="L113" s="109">
        <v>2.16</v>
      </c>
      <c r="M113" s="109"/>
      <c r="N113" s="109">
        <v>2.83</v>
      </c>
      <c r="O113" s="109">
        <v>2.63</v>
      </c>
      <c r="P113" s="109">
        <v>3.06</v>
      </c>
      <c r="Q113" s="109"/>
      <c r="R113" s="109"/>
      <c r="S113" s="109">
        <v>4.9800000000000004</v>
      </c>
      <c r="T113" s="109"/>
      <c r="U113" s="109"/>
      <c r="V113" s="109">
        <v>3.51</v>
      </c>
    </row>
  </sheetData>
  <phoneticPr fontId="12"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C5BCB6-ACFB-4432-BBBB-746B4F2EC091}">
  <dimension ref="A1:C113"/>
  <sheetViews>
    <sheetView tabSelected="1" workbookViewId="0">
      <selection activeCell="C2" sqref="C2"/>
    </sheetView>
  </sheetViews>
  <sheetFormatPr defaultRowHeight="12.75" x14ac:dyDescent="0.2"/>
  <sheetData>
    <row r="1" spans="1:3" x14ac:dyDescent="0.2">
      <c r="A1" t="s">
        <v>108</v>
      </c>
      <c r="B1" s="11" t="s">
        <v>100</v>
      </c>
      <c r="C1" s="11" t="s">
        <v>142</v>
      </c>
    </row>
    <row r="2" spans="1:3" x14ac:dyDescent="0.2">
      <c r="A2" t="s">
        <v>163</v>
      </c>
      <c r="B2" s="262">
        <v>34.700000000000003</v>
      </c>
      <c r="C2" s="262">
        <v>42.6</v>
      </c>
    </row>
    <row r="3" spans="1:3" x14ac:dyDescent="0.2">
      <c r="A3" t="s">
        <v>164</v>
      </c>
      <c r="B3" s="262">
        <v>39.299999999999997</v>
      </c>
      <c r="C3" s="262">
        <v>41.5</v>
      </c>
    </row>
    <row r="4" spans="1:3" x14ac:dyDescent="0.2">
      <c r="A4" t="s">
        <v>165</v>
      </c>
      <c r="B4" s="262">
        <v>38.4</v>
      </c>
      <c r="C4" s="262">
        <v>38.6</v>
      </c>
    </row>
    <row r="5" spans="1:3" x14ac:dyDescent="0.2">
      <c r="A5" t="s">
        <v>211</v>
      </c>
      <c r="B5" s="262">
        <v>35.200000000000003</v>
      </c>
      <c r="C5" s="262">
        <v>43.9</v>
      </c>
    </row>
    <row r="6" spans="1:3" x14ac:dyDescent="0.2">
      <c r="A6" t="s">
        <v>212</v>
      </c>
      <c r="B6" s="262">
        <v>34.200000000000003</v>
      </c>
      <c r="C6" s="262">
        <v>41.6</v>
      </c>
    </row>
    <row r="7" spans="1:3" x14ac:dyDescent="0.2">
      <c r="A7" t="s">
        <v>213</v>
      </c>
      <c r="B7" s="262">
        <v>39.4</v>
      </c>
      <c r="C7" s="262">
        <v>45.7</v>
      </c>
    </row>
    <row r="8" spans="1:3" x14ac:dyDescent="0.2">
      <c r="A8" t="s">
        <v>214</v>
      </c>
      <c r="B8" s="262">
        <v>42.3</v>
      </c>
      <c r="C8" s="262">
        <v>47.9</v>
      </c>
    </row>
    <row r="9" spans="1:3" x14ac:dyDescent="0.2">
      <c r="A9" t="s">
        <v>166</v>
      </c>
      <c r="B9" s="262">
        <v>41.7</v>
      </c>
      <c r="C9" s="262">
        <v>44.7</v>
      </c>
    </row>
    <row r="10" spans="1:3" x14ac:dyDescent="0.2">
      <c r="A10" t="s">
        <v>167</v>
      </c>
      <c r="B10" s="262">
        <v>38.9</v>
      </c>
      <c r="C10" s="262">
        <v>45.1</v>
      </c>
    </row>
    <row r="11" spans="1:3" x14ac:dyDescent="0.2">
      <c r="A11" t="s">
        <v>168</v>
      </c>
      <c r="B11" s="262">
        <v>40.5</v>
      </c>
      <c r="C11" s="262">
        <v>48.9</v>
      </c>
    </row>
    <row r="12" spans="1:3" x14ac:dyDescent="0.2">
      <c r="A12" t="s">
        <v>215</v>
      </c>
      <c r="B12" s="262">
        <v>39</v>
      </c>
      <c r="C12" s="262">
        <v>42.8</v>
      </c>
    </row>
    <row r="13" spans="1:3" x14ac:dyDescent="0.2">
      <c r="A13" t="s">
        <v>216</v>
      </c>
      <c r="B13" s="262">
        <v>39.4</v>
      </c>
      <c r="C13" s="262">
        <v>43.8</v>
      </c>
    </row>
    <row r="14" spans="1:3" x14ac:dyDescent="0.2">
      <c r="A14" t="s">
        <v>217</v>
      </c>
      <c r="B14" s="262">
        <v>40</v>
      </c>
      <c r="C14" s="262">
        <v>45.7</v>
      </c>
    </row>
    <row r="15" spans="1:3" x14ac:dyDescent="0.2">
      <c r="A15" t="s">
        <v>218</v>
      </c>
      <c r="B15" s="262">
        <v>44.1</v>
      </c>
      <c r="C15" s="262">
        <v>46</v>
      </c>
    </row>
    <row r="16" spans="1:3" x14ac:dyDescent="0.2">
      <c r="A16" t="s">
        <v>169</v>
      </c>
      <c r="B16" s="262">
        <v>46.6</v>
      </c>
      <c r="C16" s="262">
        <v>45.1</v>
      </c>
    </row>
    <row r="17" spans="1:3" x14ac:dyDescent="0.2">
      <c r="A17" t="s">
        <v>170</v>
      </c>
      <c r="B17" s="262">
        <v>47.8</v>
      </c>
      <c r="C17" s="262">
        <v>38.5</v>
      </c>
    </row>
    <row r="18" spans="1:3" x14ac:dyDescent="0.2">
      <c r="A18" t="s">
        <v>171</v>
      </c>
      <c r="B18" s="262">
        <v>46.1</v>
      </c>
      <c r="C18" s="262">
        <v>41</v>
      </c>
    </row>
    <row r="19" spans="1:3" x14ac:dyDescent="0.2">
      <c r="A19" t="s">
        <v>219</v>
      </c>
      <c r="B19" s="262">
        <v>47.8</v>
      </c>
      <c r="C19" s="262">
        <v>41.3</v>
      </c>
    </row>
    <row r="20" spans="1:3" x14ac:dyDescent="0.2">
      <c r="A20" t="s">
        <v>220</v>
      </c>
      <c r="B20" s="262">
        <v>46.7</v>
      </c>
      <c r="C20" s="262">
        <v>40</v>
      </c>
    </row>
    <row r="21" spans="1:3" x14ac:dyDescent="0.2">
      <c r="A21" t="s">
        <v>221</v>
      </c>
      <c r="B21" s="262">
        <v>50.8</v>
      </c>
      <c r="C21" s="262">
        <v>44.9</v>
      </c>
    </row>
    <row r="22" spans="1:3" x14ac:dyDescent="0.2">
      <c r="A22" t="s">
        <v>222</v>
      </c>
      <c r="B22" s="262">
        <v>51.7</v>
      </c>
      <c r="C22" s="262">
        <v>50.8</v>
      </c>
    </row>
    <row r="23" spans="1:3" x14ac:dyDescent="0.2">
      <c r="A23" t="s">
        <v>172</v>
      </c>
      <c r="B23" s="262">
        <v>35.9</v>
      </c>
      <c r="C23" s="262">
        <v>42.7</v>
      </c>
    </row>
    <row r="24" spans="1:3" x14ac:dyDescent="0.2">
      <c r="A24" t="s">
        <v>173</v>
      </c>
      <c r="B24" s="262">
        <v>36.700000000000003</v>
      </c>
      <c r="C24" s="262">
        <v>42.7</v>
      </c>
    </row>
    <row r="25" spans="1:3" x14ac:dyDescent="0.2">
      <c r="A25" t="s">
        <v>174</v>
      </c>
      <c r="B25" s="262">
        <v>36.700000000000003</v>
      </c>
      <c r="C25" s="262">
        <v>41.5</v>
      </c>
    </row>
    <row r="26" spans="1:3" x14ac:dyDescent="0.2">
      <c r="A26" t="s">
        <v>223</v>
      </c>
      <c r="B26" s="262">
        <v>34.799999999999997</v>
      </c>
      <c r="C26" s="262">
        <v>41.3</v>
      </c>
    </row>
    <row r="27" spans="1:3" x14ac:dyDescent="0.2">
      <c r="A27" t="s">
        <v>224</v>
      </c>
      <c r="B27" s="262">
        <v>36.799999999999997</v>
      </c>
      <c r="C27" s="262">
        <v>42.4</v>
      </c>
    </row>
    <row r="28" spans="1:3" x14ac:dyDescent="0.2">
      <c r="A28" t="s">
        <v>225</v>
      </c>
      <c r="B28" s="262">
        <v>36.799999999999997</v>
      </c>
      <c r="C28" s="262">
        <v>43.7</v>
      </c>
    </row>
    <row r="29" spans="1:3" x14ac:dyDescent="0.2">
      <c r="A29" t="s">
        <v>226</v>
      </c>
      <c r="B29" s="262">
        <v>36.4</v>
      </c>
      <c r="C29" s="262">
        <v>47.2</v>
      </c>
    </row>
    <row r="30" spans="1:3" x14ac:dyDescent="0.2">
      <c r="A30" t="s">
        <v>175</v>
      </c>
      <c r="B30" s="262">
        <v>33.799999999999997</v>
      </c>
      <c r="C30" s="262">
        <v>42.4</v>
      </c>
    </row>
    <row r="31" spans="1:3" x14ac:dyDescent="0.2">
      <c r="A31" t="s">
        <v>176</v>
      </c>
      <c r="B31" s="262">
        <v>34.6</v>
      </c>
      <c r="C31" s="262">
        <v>39.799999999999997</v>
      </c>
    </row>
    <row r="32" spans="1:3" x14ac:dyDescent="0.2">
      <c r="A32" t="s">
        <v>177</v>
      </c>
      <c r="B32" s="262">
        <v>38.799999999999997</v>
      </c>
      <c r="C32" s="262">
        <v>42.1</v>
      </c>
    </row>
    <row r="33" spans="1:3" x14ac:dyDescent="0.2">
      <c r="A33" t="s">
        <v>227</v>
      </c>
      <c r="B33" s="262">
        <v>35.799999999999997</v>
      </c>
      <c r="C33" s="262">
        <v>34.200000000000003</v>
      </c>
    </row>
    <row r="34" spans="1:3" x14ac:dyDescent="0.2">
      <c r="A34" t="s">
        <v>228</v>
      </c>
      <c r="B34" s="262">
        <v>42.6</v>
      </c>
      <c r="C34" s="262">
        <v>40.5</v>
      </c>
    </row>
    <row r="35" spans="1:3" x14ac:dyDescent="0.2">
      <c r="A35" t="s">
        <v>229</v>
      </c>
      <c r="B35" s="262">
        <v>38.1</v>
      </c>
      <c r="C35" s="262">
        <v>38.5</v>
      </c>
    </row>
    <row r="36" spans="1:3" x14ac:dyDescent="0.2">
      <c r="A36" t="s">
        <v>230</v>
      </c>
      <c r="B36" s="262">
        <v>42.1</v>
      </c>
      <c r="C36" s="262">
        <v>46.7</v>
      </c>
    </row>
    <row r="37" spans="1:3" x14ac:dyDescent="0.2">
      <c r="A37" t="s">
        <v>178</v>
      </c>
      <c r="B37" s="262">
        <v>46.8</v>
      </c>
      <c r="C37" s="262">
        <v>46.4</v>
      </c>
    </row>
    <row r="38" spans="1:3" x14ac:dyDescent="0.2">
      <c r="A38" t="s">
        <v>179</v>
      </c>
      <c r="B38" s="262">
        <v>45.1</v>
      </c>
      <c r="C38" s="262">
        <v>43.3</v>
      </c>
    </row>
    <row r="39" spans="1:3" x14ac:dyDescent="0.2">
      <c r="A39" t="s">
        <v>180</v>
      </c>
      <c r="B39" s="262">
        <v>44.3</v>
      </c>
      <c r="C39" s="262">
        <v>44</v>
      </c>
    </row>
    <row r="40" spans="1:3" x14ac:dyDescent="0.2">
      <c r="A40" t="s">
        <v>231</v>
      </c>
      <c r="B40" s="262">
        <v>42.6</v>
      </c>
      <c r="C40" s="262">
        <v>43.6</v>
      </c>
    </row>
    <row r="41" spans="1:3" x14ac:dyDescent="0.2">
      <c r="A41" t="s">
        <v>232</v>
      </c>
      <c r="B41" s="262">
        <v>45.8</v>
      </c>
      <c r="C41" s="262">
        <v>46.3</v>
      </c>
    </row>
    <row r="42" spans="1:3" x14ac:dyDescent="0.2">
      <c r="A42" t="s">
        <v>233</v>
      </c>
      <c r="B42" s="262">
        <v>45.1</v>
      </c>
      <c r="C42" s="262">
        <v>47.5</v>
      </c>
    </row>
    <row r="43" spans="1:3" x14ac:dyDescent="0.2">
      <c r="A43" t="s">
        <v>234</v>
      </c>
      <c r="B43" s="262">
        <v>47.4</v>
      </c>
      <c r="C43" s="262">
        <v>49.6</v>
      </c>
    </row>
    <row r="44" spans="1:3" x14ac:dyDescent="0.2">
      <c r="A44" t="s">
        <v>181</v>
      </c>
      <c r="B44" s="262">
        <v>35.299999999999997</v>
      </c>
      <c r="C44" s="262">
        <v>45.9</v>
      </c>
    </row>
    <row r="45" spans="1:3" x14ac:dyDescent="0.2">
      <c r="A45" t="s">
        <v>182</v>
      </c>
      <c r="B45" s="262">
        <v>33.299999999999997</v>
      </c>
      <c r="C45" s="262">
        <v>42.7</v>
      </c>
    </row>
    <row r="46" spans="1:3" x14ac:dyDescent="0.2">
      <c r="A46" t="s">
        <v>183</v>
      </c>
      <c r="B46" s="262">
        <v>36.4</v>
      </c>
      <c r="C46" s="262">
        <v>41.3</v>
      </c>
    </row>
    <row r="47" spans="1:3" x14ac:dyDescent="0.2">
      <c r="A47" t="s">
        <v>235</v>
      </c>
      <c r="B47" s="262">
        <v>34.6</v>
      </c>
      <c r="C47" s="262">
        <v>42.6</v>
      </c>
    </row>
    <row r="48" spans="1:3" x14ac:dyDescent="0.2">
      <c r="A48" t="s">
        <v>236</v>
      </c>
      <c r="B48" s="262">
        <v>33.6</v>
      </c>
      <c r="C48" s="262">
        <v>44.2</v>
      </c>
    </row>
    <row r="49" spans="1:3" x14ac:dyDescent="0.2">
      <c r="A49" t="s">
        <v>237</v>
      </c>
      <c r="B49" s="262">
        <v>36</v>
      </c>
      <c r="C49" s="262">
        <v>37.5</v>
      </c>
    </row>
    <row r="50" spans="1:3" x14ac:dyDescent="0.2">
      <c r="A50" t="s">
        <v>238</v>
      </c>
      <c r="B50" s="262">
        <v>37.6</v>
      </c>
      <c r="C50" s="262">
        <v>47</v>
      </c>
    </row>
    <row r="51" spans="1:3" x14ac:dyDescent="0.2">
      <c r="A51" t="s">
        <v>184</v>
      </c>
      <c r="B51" s="262">
        <v>33.200000000000003</v>
      </c>
      <c r="C51" s="262">
        <v>45.3</v>
      </c>
    </row>
    <row r="52" spans="1:3" x14ac:dyDescent="0.2">
      <c r="A52" t="s">
        <v>185</v>
      </c>
      <c r="B52" s="262">
        <v>35.700000000000003</v>
      </c>
      <c r="C52" s="262">
        <v>44</v>
      </c>
    </row>
    <row r="53" spans="1:3" x14ac:dyDescent="0.2">
      <c r="A53" t="s">
        <v>186</v>
      </c>
      <c r="B53" s="262">
        <v>33.200000000000003</v>
      </c>
      <c r="C53" s="262">
        <v>44.7</v>
      </c>
    </row>
    <row r="54" spans="1:3" x14ac:dyDescent="0.2">
      <c r="A54" t="s">
        <v>239</v>
      </c>
      <c r="B54" s="262">
        <v>35.299999999999997</v>
      </c>
      <c r="C54" s="262">
        <v>42.2</v>
      </c>
    </row>
    <row r="55" spans="1:3" x14ac:dyDescent="0.2">
      <c r="A55" t="s">
        <v>240</v>
      </c>
      <c r="B55" s="262">
        <v>33.9</v>
      </c>
      <c r="C55" s="262">
        <v>44.1</v>
      </c>
    </row>
    <row r="56" spans="1:3" x14ac:dyDescent="0.2">
      <c r="A56" t="s">
        <v>241</v>
      </c>
      <c r="B56" s="262">
        <v>33.9</v>
      </c>
      <c r="C56" s="262">
        <v>44.8</v>
      </c>
    </row>
    <row r="57" spans="1:3" x14ac:dyDescent="0.2">
      <c r="A57" t="s">
        <v>242</v>
      </c>
      <c r="B57" s="262">
        <v>39.5</v>
      </c>
      <c r="C57" s="262">
        <v>44.4</v>
      </c>
    </row>
    <row r="58" spans="1:3" x14ac:dyDescent="0.2">
      <c r="A58" t="s">
        <v>187</v>
      </c>
      <c r="B58" s="262">
        <v>41</v>
      </c>
      <c r="C58" s="262">
        <v>40.799999999999997</v>
      </c>
    </row>
    <row r="59" spans="1:3" x14ac:dyDescent="0.2">
      <c r="A59" t="s">
        <v>188</v>
      </c>
      <c r="B59" s="262">
        <v>44.4</v>
      </c>
      <c r="C59" s="262">
        <v>43</v>
      </c>
    </row>
    <row r="60" spans="1:3" x14ac:dyDescent="0.2">
      <c r="A60" t="s">
        <v>189</v>
      </c>
      <c r="B60" s="262">
        <v>42.5</v>
      </c>
      <c r="C60" s="262">
        <v>42.6</v>
      </c>
    </row>
    <row r="61" spans="1:3" x14ac:dyDescent="0.2">
      <c r="A61" t="s">
        <v>243</v>
      </c>
      <c r="B61" s="262">
        <v>46.5</v>
      </c>
      <c r="C61" s="262">
        <v>44.8</v>
      </c>
    </row>
    <row r="62" spans="1:3" x14ac:dyDescent="0.2">
      <c r="A62" t="s">
        <v>244</v>
      </c>
      <c r="B62" s="262">
        <v>45.2</v>
      </c>
      <c r="C62" s="262">
        <v>48.9</v>
      </c>
    </row>
    <row r="63" spans="1:3" x14ac:dyDescent="0.2">
      <c r="A63" t="s">
        <v>245</v>
      </c>
      <c r="B63" s="262">
        <v>46.7</v>
      </c>
      <c r="C63" s="262">
        <v>43.9</v>
      </c>
    </row>
    <row r="64" spans="1:3" x14ac:dyDescent="0.2">
      <c r="A64" t="s">
        <v>246</v>
      </c>
      <c r="B64" s="262">
        <v>49.7</v>
      </c>
      <c r="C64" s="262">
        <v>49</v>
      </c>
    </row>
    <row r="65" spans="1:3" x14ac:dyDescent="0.2">
      <c r="A65" t="s">
        <v>190</v>
      </c>
      <c r="B65" s="262">
        <v>34.799999999999997</v>
      </c>
      <c r="C65" s="262">
        <v>44.4</v>
      </c>
    </row>
    <row r="66" spans="1:3" x14ac:dyDescent="0.2">
      <c r="A66" t="s">
        <v>191</v>
      </c>
      <c r="B66" s="262">
        <v>34.200000000000003</v>
      </c>
      <c r="C66" s="262">
        <v>44.4</v>
      </c>
    </row>
    <row r="67" spans="1:3" x14ac:dyDescent="0.2">
      <c r="A67" t="s">
        <v>192</v>
      </c>
      <c r="B67" s="262">
        <v>36.4</v>
      </c>
      <c r="C67" s="262">
        <v>43</v>
      </c>
    </row>
    <row r="68" spans="1:3" x14ac:dyDescent="0.2">
      <c r="A68" t="s">
        <v>247</v>
      </c>
      <c r="B68" s="262">
        <v>36.4</v>
      </c>
      <c r="C68" s="262">
        <v>41.8</v>
      </c>
    </row>
    <row r="69" spans="1:3" x14ac:dyDescent="0.2">
      <c r="A69" t="s">
        <v>248</v>
      </c>
      <c r="B69" s="262">
        <v>35.5</v>
      </c>
      <c r="C69" s="262">
        <v>42.1</v>
      </c>
    </row>
    <row r="70" spans="1:3" x14ac:dyDescent="0.2">
      <c r="A70" t="s">
        <v>249</v>
      </c>
      <c r="B70" s="262">
        <v>36.299999999999997</v>
      </c>
      <c r="C70" s="262">
        <v>43.5</v>
      </c>
    </row>
    <row r="71" spans="1:3" x14ac:dyDescent="0.2">
      <c r="A71" t="s">
        <v>250</v>
      </c>
      <c r="B71" s="262">
        <v>40.6</v>
      </c>
      <c r="C71" s="262">
        <v>43.4</v>
      </c>
    </row>
    <row r="72" spans="1:3" x14ac:dyDescent="0.2">
      <c r="A72" t="s">
        <v>193</v>
      </c>
      <c r="B72" s="262">
        <v>39.1</v>
      </c>
      <c r="C72" s="262">
        <v>47.9</v>
      </c>
    </row>
    <row r="73" spans="1:3" x14ac:dyDescent="0.2">
      <c r="A73" t="s">
        <v>194</v>
      </c>
      <c r="B73" s="262">
        <v>35.9</v>
      </c>
      <c r="C73" s="262">
        <v>39.1</v>
      </c>
    </row>
    <row r="74" spans="1:3" x14ac:dyDescent="0.2">
      <c r="A74" t="s">
        <v>195</v>
      </c>
      <c r="B74" s="262">
        <v>37.200000000000003</v>
      </c>
      <c r="C74" s="262">
        <v>37.200000000000003</v>
      </c>
    </row>
    <row r="75" spans="1:3" x14ac:dyDescent="0.2">
      <c r="A75" t="s">
        <v>251</v>
      </c>
      <c r="B75" s="262">
        <v>41.3</v>
      </c>
      <c r="C75" s="262">
        <v>35.700000000000003</v>
      </c>
    </row>
    <row r="76" spans="1:3" x14ac:dyDescent="0.2">
      <c r="A76" t="s">
        <v>252</v>
      </c>
      <c r="B76" s="262">
        <v>40.700000000000003</v>
      </c>
      <c r="C76" s="262">
        <v>36.9</v>
      </c>
    </row>
    <row r="77" spans="1:3" x14ac:dyDescent="0.2">
      <c r="A77" t="s">
        <v>253</v>
      </c>
      <c r="B77" s="262">
        <v>43.5</v>
      </c>
      <c r="C77" s="262">
        <v>36.5</v>
      </c>
    </row>
    <row r="78" spans="1:3" x14ac:dyDescent="0.2">
      <c r="A78" t="s">
        <v>254</v>
      </c>
      <c r="B78" s="262">
        <v>46.6</v>
      </c>
      <c r="C78" s="262">
        <v>45</v>
      </c>
    </row>
    <row r="79" spans="1:3" x14ac:dyDescent="0.2">
      <c r="A79" t="s">
        <v>196</v>
      </c>
      <c r="B79" s="262">
        <v>35.299999999999997</v>
      </c>
      <c r="C79" s="262">
        <v>43.9</v>
      </c>
    </row>
    <row r="80" spans="1:3" x14ac:dyDescent="0.2">
      <c r="A80" t="s">
        <v>197</v>
      </c>
      <c r="B80" s="262">
        <v>32.799999999999997</v>
      </c>
      <c r="C80" s="262">
        <v>37.6</v>
      </c>
    </row>
    <row r="81" spans="1:3" x14ac:dyDescent="0.2">
      <c r="A81" t="s">
        <v>198</v>
      </c>
      <c r="B81" s="262">
        <v>36.200000000000003</v>
      </c>
      <c r="C81" s="262">
        <v>40.1</v>
      </c>
    </row>
    <row r="82" spans="1:3" x14ac:dyDescent="0.2">
      <c r="A82" t="s">
        <v>255</v>
      </c>
      <c r="B82" s="262">
        <v>33.299999999999997</v>
      </c>
      <c r="C82" s="262">
        <v>40.9</v>
      </c>
    </row>
    <row r="83" spans="1:3" x14ac:dyDescent="0.2">
      <c r="A83" t="s">
        <v>256</v>
      </c>
      <c r="B83" s="262">
        <v>34.799999999999997</v>
      </c>
      <c r="C83" s="262">
        <v>43</v>
      </c>
    </row>
    <row r="84" spans="1:3" x14ac:dyDescent="0.2">
      <c r="A84" t="s">
        <v>257</v>
      </c>
      <c r="B84" s="262">
        <v>35.5</v>
      </c>
      <c r="C84" s="262">
        <v>41.6</v>
      </c>
    </row>
    <row r="85" spans="1:3" x14ac:dyDescent="0.2">
      <c r="A85" t="s">
        <v>258</v>
      </c>
      <c r="B85" s="262">
        <v>36.6</v>
      </c>
      <c r="C85" s="262">
        <v>43.2</v>
      </c>
    </row>
    <row r="86" spans="1:3" x14ac:dyDescent="0.2">
      <c r="A86" t="s">
        <v>199</v>
      </c>
      <c r="B86" s="262">
        <v>46.2</v>
      </c>
      <c r="C86" s="262">
        <v>50.9</v>
      </c>
    </row>
    <row r="87" spans="1:3" x14ac:dyDescent="0.2">
      <c r="A87" t="s">
        <v>200</v>
      </c>
      <c r="B87" s="262">
        <v>41.3</v>
      </c>
      <c r="C87" s="262">
        <v>43.6</v>
      </c>
    </row>
    <row r="88" spans="1:3" x14ac:dyDescent="0.2">
      <c r="A88" t="s">
        <v>201</v>
      </c>
      <c r="B88" s="262">
        <v>44.3</v>
      </c>
      <c r="C88" s="262">
        <v>47.5</v>
      </c>
    </row>
    <row r="89" spans="1:3" x14ac:dyDescent="0.2">
      <c r="A89" t="s">
        <v>259</v>
      </c>
      <c r="B89" s="262">
        <v>44.8</v>
      </c>
      <c r="C89" s="262">
        <v>43.4</v>
      </c>
    </row>
    <row r="90" spans="1:3" x14ac:dyDescent="0.2">
      <c r="A90" t="s">
        <v>260</v>
      </c>
      <c r="B90" s="262">
        <v>45.8</v>
      </c>
      <c r="C90" s="262">
        <v>45.1</v>
      </c>
    </row>
    <row r="91" spans="1:3" x14ac:dyDescent="0.2">
      <c r="A91" t="s">
        <v>261</v>
      </c>
      <c r="B91" s="262">
        <v>46.4</v>
      </c>
      <c r="C91" s="262">
        <v>46.1</v>
      </c>
    </row>
    <row r="92" spans="1:3" x14ac:dyDescent="0.2">
      <c r="A92" t="s">
        <v>262</v>
      </c>
      <c r="B92" s="262">
        <v>45.6</v>
      </c>
      <c r="C92" s="262">
        <v>43.8</v>
      </c>
    </row>
    <row r="93" spans="1:3" x14ac:dyDescent="0.2">
      <c r="A93" t="s">
        <v>202</v>
      </c>
      <c r="B93" s="262">
        <v>34.6</v>
      </c>
      <c r="C93" s="262">
        <v>43.2</v>
      </c>
    </row>
    <row r="94" spans="1:3" x14ac:dyDescent="0.2">
      <c r="A94" t="s">
        <v>203</v>
      </c>
      <c r="B94" s="262">
        <v>33</v>
      </c>
      <c r="C94" s="262">
        <v>40.6</v>
      </c>
    </row>
    <row r="95" spans="1:3" x14ac:dyDescent="0.2">
      <c r="A95" t="s">
        <v>204</v>
      </c>
      <c r="B95" s="262">
        <v>36.700000000000003</v>
      </c>
      <c r="C95" s="262">
        <v>41</v>
      </c>
    </row>
    <row r="96" spans="1:3" x14ac:dyDescent="0.2">
      <c r="A96" t="s">
        <v>263</v>
      </c>
      <c r="B96" s="262">
        <v>38.6</v>
      </c>
      <c r="C96" s="262">
        <v>41.1</v>
      </c>
    </row>
    <row r="97" spans="1:3" x14ac:dyDescent="0.2">
      <c r="A97" t="s">
        <v>264</v>
      </c>
      <c r="B97" s="262">
        <v>35.700000000000003</v>
      </c>
      <c r="C97" s="262">
        <v>39.9</v>
      </c>
    </row>
    <row r="98" spans="1:3" x14ac:dyDescent="0.2">
      <c r="A98" t="s">
        <v>265</v>
      </c>
      <c r="B98" s="262">
        <v>36.700000000000003</v>
      </c>
      <c r="C98" s="262">
        <v>40.200000000000003</v>
      </c>
    </row>
    <row r="99" spans="1:3" x14ac:dyDescent="0.2">
      <c r="A99" t="s">
        <v>266</v>
      </c>
      <c r="B99" s="262">
        <v>36</v>
      </c>
      <c r="C99" s="262">
        <v>43.1</v>
      </c>
    </row>
    <row r="100" spans="1:3" x14ac:dyDescent="0.2">
      <c r="A100" t="s">
        <v>205</v>
      </c>
      <c r="B100" s="262">
        <v>40.700000000000003</v>
      </c>
      <c r="C100" s="262">
        <v>42.7</v>
      </c>
    </row>
    <row r="101" spans="1:3" x14ac:dyDescent="0.2">
      <c r="A101" t="s">
        <v>206</v>
      </c>
      <c r="B101" s="262">
        <v>38.700000000000003</v>
      </c>
      <c r="C101" s="262">
        <v>34.700000000000003</v>
      </c>
    </row>
    <row r="102" spans="1:3" x14ac:dyDescent="0.2">
      <c r="A102" t="s">
        <v>207</v>
      </c>
      <c r="B102" s="262">
        <v>38.1</v>
      </c>
      <c r="C102" s="262">
        <v>36.700000000000003</v>
      </c>
    </row>
    <row r="103" spans="1:3" x14ac:dyDescent="0.2">
      <c r="A103" t="s">
        <v>267</v>
      </c>
      <c r="B103" s="262">
        <v>40.299999999999997</v>
      </c>
      <c r="C103" s="262">
        <v>35.1</v>
      </c>
    </row>
    <row r="104" spans="1:3" x14ac:dyDescent="0.2">
      <c r="A104" t="s">
        <v>268</v>
      </c>
      <c r="B104" s="262">
        <v>39.9</v>
      </c>
      <c r="C104" s="262">
        <v>36.700000000000003</v>
      </c>
    </row>
    <row r="105" spans="1:3" x14ac:dyDescent="0.2">
      <c r="A105" t="s">
        <v>269</v>
      </c>
      <c r="B105" s="262">
        <v>36.1</v>
      </c>
      <c r="C105" s="262">
        <v>37.799999999999997</v>
      </c>
    </row>
    <row r="106" spans="1:3" x14ac:dyDescent="0.2">
      <c r="A106" t="s">
        <v>270</v>
      </c>
      <c r="B106" s="262">
        <v>41.9</v>
      </c>
      <c r="C106" s="262">
        <v>38.5</v>
      </c>
    </row>
    <row r="107" spans="1:3" x14ac:dyDescent="0.2">
      <c r="A107" t="s">
        <v>208</v>
      </c>
      <c r="B107" s="262">
        <v>37.799999999999997</v>
      </c>
      <c r="C107" s="262">
        <v>41.1</v>
      </c>
    </row>
    <row r="108" spans="1:3" x14ac:dyDescent="0.2">
      <c r="A108" t="s">
        <v>209</v>
      </c>
      <c r="B108" s="262">
        <v>37.799999999999997</v>
      </c>
      <c r="C108" s="262">
        <v>39.5</v>
      </c>
    </row>
    <row r="109" spans="1:3" x14ac:dyDescent="0.2">
      <c r="A109" t="s">
        <v>210</v>
      </c>
      <c r="B109" s="262">
        <v>39.6</v>
      </c>
      <c r="C109" s="262">
        <v>37.799999999999997</v>
      </c>
    </row>
    <row r="110" spans="1:3" x14ac:dyDescent="0.2">
      <c r="A110" t="s">
        <v>271</v>
      </c>
      <c r="B110" s="262">
        <v>38.5</v>
      </c>
      <c r="C110" s="262">
        <v>42.6</v>
      </c>
    </row>
    <row r="111" spans="1:3" x14ac:dyDescent="0.2">
      <c r="A111" t="s">
        <v>272</v>
      </c>
      <c r="B111" s="262">
        <v>40</v>
      </c>
      <c r="C111" s="262">
        <v>43.2</v>
      </c>
    </row>
    <row r="112" spans="1:3" x14ac:dyDescent="0.2">
      <c r="A112" t="s">
        <v>273</v>
      </c>
      <c r="B112" s="262">
        <v>39.6</v>
      </c>
      <c r="C112" s="262">
        <v>39.200000000000003</v>
      </c>
    </row>
    <row r="113" spans="1:3" x14ac:dyDescent="0.2">
      <c r="A113" t="s">
        <v>274</v>
      </c>
      <c r="B113" s="262">
        <v>43</v>
      </c>
      <c r="C113" s="262">
        <v>39.299999999999997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B1F9F-A639-418E-BE4C-777B8E5A056E}">
  <dimension ref="A1:B113"/>
  <sheetViews>
    <sheetView workbookViewId="0">
      <selection activeCell="F68" sqref="F68"/>
    </sheetView>
  </sheetViews>
  <sheetFormatPr defaultRowHeight="12.75" x14ac:dyDescent="0.2"/>
  <sheetData>
    <row r="1" spans="1:2" x14ac:dyDescent="0.2">
      <c r="A1" s="11" t="s">
        <v>108</v>
      </c>
      <c r="B1" s="11" t="s">
        <v>275</v>
      </c>
    </row>
    <row r="2" spans="1:2" x14ac:dyDescent="0.2">
      <c r="A2" s="11" t="s">
        <v>163</v>
      </c>
      <c r="B2">
        <v>19.7</v>
      </c>
    </row>
    <row r="3" spans="1:2" x14ac:dyDescent="0.2">
      <c r="A3" s="11" t="s">
        <v>164</v>
      </c>
      <c r="B3">
        <v>13.8</v>
      </c>
    </row>
    <row r="4" spans="1:2" x14ac:dyDescent="0.2">
      <c r="A4" s="11" t="s">
        <v>165</v>
      </c>
      <c r="B4">
        <v>11.8</v>
      </c>
    </row>
    <row r="5" spans="1:2" x14ac:dyDescent="0.2">
      <c r="A5" s="11" t="s">
        <v>211</v>
      </c>
      <c r="B5">
        <v>12.8</v>
      </c>
    </row>
    <row r="6" spans="1:2" x14ac:dyDescent="0.2">
      <c r="A6" s="11" t="s">
        <v>212</v>
      </c>
      <c r="B6">
        <v>14.8</v>
      </c>
    </row>
    <row r="7" spans="1:2" x14ac:dyDescent="0.2">
      <c r="A7" s="11" t="s">
        <v>213</v>
      </c>
      <c r="B7">
        <v>17.7</v>
      </c>
    </row>
    <row r="8" spans="1:2" x14ac:dyDescent="0.2">
      <c r="A8" s="11" t="s">
        <v>214</v>
      </c>
      <c r="B8">
        <v>14.8</v>
      </c>
    </row>
    <row r="9" spans="1:2" x14ac:dyDescent="0.2">
      <c r="A9" s="11" t="s">
        <v>166</v>
      </c>
      <c r="B9">
        <v>23.6</v>
      </c>
    </row>
    <row r="10" spans="1:2" x14ac:dyDescent="0.2">
      <c r="A10" s="11" t="s">
        <v>167</v>
      </c>
      <c r="B10">
        <v>11.8</v>
      </c>
    </row>
    <row r="11" spans="1:2" x14ac:dyDescent="0.2">
      <c r="A11" s="11" t="s">
        <v>168</v>
      </c>
      <c r="B11">
        <v>12.8</v>
      </c>
    </row>
    <row r="12" spans="1:2" x14ac:dyDescent="0.2">
      <c r="A12" s="11" t="s">
        <v>215</v>
      </c>
      <c r="B12">
        <v>14.8</v>
      </c>
    </row>
    <row r="13" spans="1:2" x14ac:dyDescent="0.2">
      <c r="A13" s="11" t="s">
        <v>216</v>
      </c>
      <c r="B13">
        <v>15.7</v>
      </c>
    </row>
    <row r="14" spans="1:2" x14ac:dyDescent="0.2">
      <c r="A14" s="11" t="s">
        <v>217</v>
      </c>
      <c r="B14">
        <v>16.7</v>
      </c>
    </row>
    <row r="15" spans="1:2" x14ac:dyDescent="0.2">
      <c r="A15" s="11" t="s">
        <v>218</v>
      </c>
      <c r="B15">
        <v>10.8</v>
      </c>
    </row>
    <row r="16" spans="1:2" x14ac:dyDescent="0.2">
      <c r="A16" s="11" t="s">
        <v>169</v>
      </c>
      <c r="B16">
        <v>9.8000000000000007</v>
      </c>
    </row>
    <row r="17" spans="1:2" x14ac:dyDescent="0.2">
      <c r="A17" s="11" t="s">
        <v>170</v>
      </c>
      <c r="B17">
        <v>14.8</v>
      </c>
    </row>
    <row r="18" spans="1:2" x14ac:dyDescent="0.2">
      <c r="A18" s="11" t="s">
        <v>171</v>
      </c>
      <c r="B18">
        <v>14.8</v>
      </c>
    </row>
    <row r="19" spans="1:2" x14ac:dyDescent="0.2">
      <c r="A19" s="11" t="s">
        <v>219</v>
      </c>
      <c r="B19">
        <v>11.8</v>
      </c>
    </row>
    <row r="20" spans="1:2" x14ac:dyDescent="0.2">
      <c r="A20" s="11" t="s">
        <v>220</v>
      </c>
      <c r="B20">
        <v>14.8</v>
      </c>
    </row>
    <row r="21" spans="1:2" x14ac:dyDescent="0.2">
      <c r="A21" s="11" t="s">
        <v>221</v>
      </c>
      <c r="B21">
        <v>11.8</v>
      </c>
    </row>
    <row r="22" spans="1:2" x14ac:dyDescent="0.2">
      <c r="A22" s="11" t="s">
        <v>222</v>
      </c>
      <c r="B22">
        <v>14.8</v>
      </c>
    </row>
    <row r="23" spans="1:2" x14ac:dyDescent="0.2">
      <c r="A23" s="11" t="s">
        <v>172</v>
      </c>
      <c r="B23">
        <v>15.7</v>
      </c>
    </row>
    <row r="24" spans="1:2" x14ac:dyDescent="0.2">
      <c r="A24" s="11" t="s">
        <v>173</v>
      </c>
      <c r="B24">
        <v>17.7</v>
      </c>
    </row>
    <row r="25" spans="1:2" x14ac:dyDescent="0.2">
      <c r="A25" s="11" t="s">
        <v>174</v>
      </c>
      <c r="B25">
        <v>17.7</v>
      </c>
    </row>
    <row r="26" spans="1:2" x14ac:dyDescent="0.2">
      <c r="A26" s="11" t="s">
        <v>223</v>
      </c>
      <c r="B26">
        <v>16.7</v>
      </c>
    </row>
    <row r="27" spans="1:2" x14ac:dyDescent="0.2">
      <c r="A27" s="11" t="s">
        <v>224</v>
      </c>
      <c r="B27">
        <v>12.8</v>
      </c>
    </row>
    <row r="28" spans="1:2" x14ac:dyDescent="0.2">
      <c r="A28" s="11" t="s">
        <v>225</v>
      </c>
      <c r="B28">
        <v>17.7</v>
      </c>
    </row>
    <row r="29" spans="1:2" x14ac:dyDescent="0.2">
      <c r="A29" s="11" t="s">
        <v>226</v>
      </c>
      <c r="B29">
        <v>21.7</v>
      </c>
    </row>
    <row r="30" spans="1:2" x14ac:dyDescent="0.2">
      <c r="A30" s="11" t="s">
        <v>175</v>
      </c>
      <c r="B30">
        <v>17.7</v>
      </c>
    </row>
    <row r="31" spans="1:2" x14ac:dyDescent="0.2">
      <c r="A31" s="11" t="s">
        <v>176</v>
      </c>
      <c r="B31">
        <v>13.8</v>
      </c>
    </row>
    <row r="32" spans="1:2" x14ac:dyDescent="0.2">
      <c r="A32" s="11" t="s">
        <v>177</v>
      </c>
      <c r="B32">
        <v>16.7</v>
      </c>
    </row>
    <row r="33" spans="1:2" x14ac:dyDescent="0.2">
      <c r="A33" s="11" t="s">
        <v>227</v>
      </c>
      <c r="B33">
        <v>14.8</v>
      </c>
    </row>
    <row r="34" spans="1:2" x14ac:dyDescent="0.2">
      <c r="A34" s="11" t="s">
        <v>228</v>
      </c>
      <c r="B34">
        <v>16.7</v>
      </c>
    </row>
    <row r="35" spans="1:2" x14ac:dyDescent="0.2">
      <c r="A35" s="11" t="s">
        <v>229</v>
      </c>
      <c r="B35">
        <v>16.7</v>
      </c>
    </row>
    <row r="36" spans="1:2" x14ac:dyDescent="0.2">
      <c r="A36" s="11" t="s">
        <v>230</v>
      </c>
      <c r="B36">
        <v>18.7</v>
      </c>
    </row>
    <row r="37" spans="1:2" x14ac:dyDescent="0.2">
      <c r="A37" s="11" t="s">
        <v>178</v>
      </c>
      <c r="B37">
        <v>15.7</v>
      </c>
    </row>
    <row r="38" spans="1:2" x14ac:dyDescent="0.2">
      <c r="A38" s="11" t="s">
        <v>179</v>
      </c>
      <c r="B38">
        <v>11.8</v>
      </c>
    </row>
    <row r="39" spans="1:2" x14ac:dyDescent="0.2">
      <c r="A39" s="11" t="s">
        <v>180</v>
      </c>
      <c r="B39">
        <v>9.8000000000000007</v>
      </c>
    </row>
    <row r="40" spans="1:2" x14ac:dyDescent="0.2">
      <c r="A40" s="11" t="s">
        <v>231</v>
      </c>
      <c r="B40">
        <v>15.7</v>
      </c>
    </row>
    <row r="41" spans="1:2" x14ac:dyDescent="0.2">
      <c r="A41" s="11" t="s">
        <v>232</v>
      </c>
      <c r="B41">
        <v>11.8</v>
      </c>
    </row>
    <row r="42" spans="1:2" x14ac:dyDescent="0.2">
      <c r="A42" s="11" t="s">
        <v>233</v>
      </c>
      <c r="B42">
        <v>12.8</v>
      </c>
    </row>
    <row r="43" spans="1:2" x14ac:dyDescent="0.2">
      <c r="A43" s="11" t="s">
        <v>234</v>
      </c>
      <c r="B43">
        <v>14.8</v>
      </c>
    </row>
    <row r="44" spans="1:2" x14ac:dyDescent="0.2">
      <c r="A44" s="11" t="s">
        <v>181</v>
      </c>
      <c r="B44">
        <v>13.8</v>
      </c>
    </row>
    <row r="45" spans="1:2" x14ac:dyDescent="0.2">
      <c r="A45" s="11" t="s">
        <v>182</v>
      </c>
      <c r="B45">
        <v>18.7</v>
      </c>
    </row>
    <row r="46" spans="1:2" x14ac:dyDescent="0.2">
      <c r="A46" s="11" t="s">
        <v>183</v>
      </c>
      <c r="B46">
        <v>18.7</v>
      </c>
    </row>
    <row r="47" spans="1:2" x14ac:dyDescent="0.2">
      <c r="A47" s="11" t="s">
        <v>235</v>
      </c>
      <c r="B47">
        <v>14.8</v>
      </c>
    </row>
    <row r="48" spans="1:2" x14ac:dyDescent="0.2">
      <c r="A48" s="11" t="s">
        <v>236</v>
      </c>
      <c r="B48">
        <v>16.7</v>
      </c>
    </row>
    <row r="49" spans="1:2" x14ac:dyDescent="0.2">
      <c r="A49" s="11" t="s">
        <v>237</v>
      </c>
      <c r="B49">
        <v>15.7</v>
      </c>
    </row>
    <row r="50" spans="1:2" x14ac:dyDescent="0.2">
      <c r="A50" s="11" t="s">
        <v>238</v>
      </c>
      <c r="B50">
        <v>17.7</v>
      </c>
    </row>
    <row r="51" spans="1:2" x14ac:dyDescent="0.2">
      <c r="A51" s="11" t="s">
        <v>184</v>
      </c>
      <c r="B51">
        <v>11.8</v>
      </c>
    </row>
    <row r="52" spans="1:2" x14ac:dyDescent="0.2">
      <c r="A52" s="11" t="s">
        <v>185</v>
      </c>
      <c r="B52">
        <v>17.7</v>
      </c>
    </row>
    <row r="53" spans="1:2" x14ac:dyDescent="0.2">
      <c r="A53" s="11" t="s">
        <v>186</v>
      </c>
      <c r="B53">
        <v>14.8</v>
      </c>
    </row>
    <row r="54" spans="1:2" x14ac:dyDescent="0.2">
      <c r="A54" s="11" t="s">
        <v>239</v>
      </c>
      <c r="B54">
        <v>16.7</v>
      </c>
    </row>
    <row r="55" spans="1:2" x14ac:dyDescent="0.2">
      <c r="A55" s="11" t="s">
        <v>240</v>
      </c>
      <c r="B55">
        <v>13.8</v>
      </c>
    </row>
    <row r="56" spans="1:2" x14ac:dyDescent="0.2">
      <c r="A56" s="11" t="s">
        <v>241</v>
      </c>
      <c r="B56">
        <v>13.8</v>
      </c>
    </row>
    <row r="57" spans="1:2" x14ac:dyDescent="0.2">
      <c r="A57" s="11" t="s">
        <v>242</v>
      </c>
      <c r="B57">
        <v>11.8</v>
      </c>
    </row>
    <row r="58" spans="1:2" x14ac:dyDescent="0.2">
      <c r="A58" s="11" t="s">
        <v>187</v>
      </c>
      <c r="B58">
        <v>15.7</v>
      </c>
    </row>
    <row r="59" spans="1:2" x14ac:dyDescent="0.2">
      <c r="A59" s="11" t="s">
        <v>188</v>
      </c>
      <c r="B59">
        <v>13.8</v>
      </c>
    </row>
    <row r="60" spans="1:2" x14ac:dyDescent="0.2">
      <c r="A60" s="11" t="s">
        <v>189</v>
      </c>
      <c r="B60">
        <v>16.7</v>
      </c>
    </row>
    <row r="61" spans="1:2" x14ac:dyDescent="0.2">
      <c r="A61" s="11" t="s">
        <v>243</v>
      </c>
      <c r="B61">
        <v>19.7</v>
      </c>
    </row>
    <row r="62" spans="1:2" x14ac:dyDescent="0.2">
      <c r="A62" s="11" t="s">
        <v>244</v>
      </c>
      <c r="B62">
        <v>16.7</v>
      </c>
    </row>
    <row r="63" spans="1:2" x14ac:dyDescent="0.2">
      <c r="A63" s="11" t="s">
        <v>245</v>
      </c>
      <c r="B63">
        <v>13.8</v>
      </c>
    </row>
    <row r="64" spans="1:2" x14ac:dyDescent="0.2">
      <c r="A64" s="11" t="s">
        <v>246</v>
      </c>
      <c r="B64">
        <v>15.7</v>
      </c>
    </row>
    <row r="65" spans="1:2" x14ac:dyDescent="0.2">
      <c r="A65" s="11" t="s">
        <v>190</v>
      </c>
      <c r="B65">
        <v>11.8</v>
      </c>
    </row>
    <row r="66" spans="1:2" x14ac:dyDescent="0.2">
      <c r="A66" s="11" t="s">
        <v>191</v>
      </c>
      <c r="B66">
        <v>13.8</v>
      </c>
    </row>
    <row r="67" spans="1:2" x14ac:dyDescent="0.2">
      <c r="A67" s="11" t="s">
        <v>192</v>
      </c>
      <c r="B67">
        <v>16.7</v>
      </c>
    </row>
    <row r="68" spans="1:2" x14ac:dyDescent="0.2">
      <c r="A68" s="11" t="s">
        <v>247</v>
      </c>
      <c r="B68">
        <v>11.8</v>
      </c>
    </row>
    <row r="69" spans="1:2" x14ac:dyDescent="0.2">
      <c r="A69" s="11" t="s">
        <v>248</v>
      </c>
      <c r="B69">
        <v>17.7</v>
      </c>
    </row>
    <row r="70" spans="1:2" x14ac:dyDescent="0.2">
      <c r="A70" s="11" t="s">
        <v>249</v>
      </c>
      <c r="B70">
        <v>14.8</v>
      </c>
    </row>
    <row r="71" spans="1:2" x14ac:dyDescent="0.2">
      <c r="A71" s="11" t="s">
        <v>250</v>
      </c>
      <c r="B71">
        <v>10.8</v>
      </c>
    </row>
    <row r="72" spans="1:2" x14ac:dyDescent="0.2">
      <c r="A72" s="11" t="s">
        <v>193</v>
      </c>
      <c r="B72">
        <v>17.7</v>
      </c>
    </row>
    <row r="73" spans="1:2" x14ac:dyDescent="0.2">
      <c r="A73" s="11" t="s">
        <v>194</v>
      </c>
      <c r="B73">
        <v>15.7</v>
      </c>
    </row>
    <row r="74" spans="1:2" x14ac:dyDescent="0.2">
      <c r="A74" s="11" t="s">
        <v>195</v>
      </c>
      <c r="B74">
        <v>15.7</v>
      </c>
    </row>
    <row r="75" spans="1:2" x14ac:dyDescent="0.2">
      <c r="A75" s="11" t="s">
        <v>251</v>
      </c>
      <c r="B75">
        <v>14.8</v>
      </c>
    </row>
    <row r="76" spans="1:2" x14ac:dyDescent="0.2">
      <c r="A76" s="11" t="s">
        <v>252</v>
      </c>
      <c r="B76">
        <v>14.8</v>
      </c>
    </row>
    <row r="77" spans="1:2" x14ac:dyDescent="0.2">
      <c r="A77" s="11" t="s">
        <v>253</v>
      </c>
      <c r="B77">
        <v>16.7</v>
      </c>
    </row>
    <row r="78" spans="1:2" x14ac:dyDescent="0.2">
      <c r="A78" s="11" t="s">
        <v>254</v>
      </c>
      <c r="B78">
        <v>19.7</v>
      </c>
    </row>
    <row r="79" spans="1:2" x14ac:dyDescent="0.2">
      <c r="A79" s="11" t="s">
        <v>196</v>
      </c>
      <c r="B79">
        <v>14.8</v>
      </c>
    </row>
    <row r="80" spans="1:2" x14ac:dyDescent="0.2">
      <c r="A80" s="11" t="s">
        <v>197</v>
      </c>
      <c r="B80">
        <v>16.7</v>
      </c>
    </row>
    <row r="81" spans="1:2" x14ac:dyDescent="0.2">
      <c r="A81" s="11" t="s">
        <v>198</v>
      </c>
      <c r="B81">
        <v>10.8</v>
      </c>
    </row>
    <row r="82" spans="1:2" x14ac:dyDescent="0.2">
      <c r="A82" s="11" t="s">
        <v>255</v>
      </c>
      <c r="B82">
        <v>9.8000000000000007</v>
      </c>
    </row>
    <row r="83" spans="1:2" x14ac:dyDescent="0.2">
      <c r="A83" s="11" t="s">
        <v>256</v>
      </c>
      <c r="B83">
        <v>12.8</v>
      </c>
    </row>
    <row r="84" spans="1:2" x14ac:dyDescent="0.2">
      <c r="A84" s="11" t="s">
        <v>257</v>
      </c>
      <c r="B84">
        <v>14.8</v>
      </c>
    </row>
    <row r="85" spans="1:2" x14ac:dyDescent="0.2">
      <c r="A85" s="11" t="s">
        <v>258</v>
      </c>
      <c r="B85">
        <v>15.7</v>
      </c>
    </row>
    <row r="86" spans="1:2" x14ac:dyDescent="0.2">
      <c r="A86" s="11" t="s">
        <v>199</v>
      </c>
      <c r="B86">
        <v>12.8</v>
      </c>
    </row>
    <row r="87" spans="1:2" x14ac:dyDescent="0.2">
      <c r="A87" s="11" t="s">
        <v>200</v>
      </c>
      <c r="B87">
        <v>11.8</v>
      </c>
    </row>
    <row r="88" spans="1:2" x14ac:dyDescent="0.2">
      <c r="A88" s="11" t="s">
        <v>201</v>
      </c>
      <c r="B88">
        <v>16.7</v>
      </c>
    </row>
    <row r="89" spans="1:2" x14ac:dyDescent="0.2">
      <c r="A89" s="11" t="s">
        <v>259</v>
      </c>
      <c r="B89">
        <v>12.8</v>
      </c>
    </row>
    <row r="90" spans="1:2" x14ac:dyDescent="0.2">
      <c r="A90" s="11" t="s">
        <v>260</v>
      </c>
      <c r="B90">
        <v>16.7</v>
      </c>
    </row>
    <row r="91" spans="1:2" x14ac:dyDescent="0.2">
      <c r="A91" s="11" t="s">
        <v>261</v>
      </c>
      <c r="B91">
        <v>12.8</v>
      </c>
    </row>
    <row r="92" spans="1:2" x14ac:dyDescent="0.2">
      <c r="A92" s="11" t="s">
        <v>262</v>
      </c>
      <c r="B92">
        <v>9.8000000000000007</v>
      </c>
    </row>
    <row r="93" spans="1:2" x14ac:dyDescent="0.2">
      <c r="A93" s="11" t="s">
        <v>202</v>
      </c>
      <c r="B93">
        <v>14.8</v>
      </c>
    </row>
    <row r="94" spans="1:2" x14ac:dyDescent="0.2">
      <c r="A94" s="11" t="s">
        <v>203</v>
      </c>
      <c r="B94">
        <v>13.8</v>
      </c>
    </row>
    <row r="95" spans="1:2" x14ac:dyDescent="0.2">
      <c r="A95" s="11" t="s">
        <v>204</v>
      </c>
      <c r="B95">
        <v>11.8</v>
      </c>
    </row>
    <row r="96" spans="1:2" x14ac:dyDescent="0.2">
      <c r="A96" s="11" t="s">
        <v>263</v>
      </c>
      <c r="B96">
        <v>8.9</v>
      </c>
    </row>
    <row r="97" spans="1:2" x14ac:dyDescent="0.2">
      <c r="A97" s="11" t="s">
        <v>264</v>
      </c>
      <c r="B97">
        <v>11.8</v>
      </c>
    </row>
    <row r="98" spans="1:2" x14ac:dyDescent="0.2">
      <c r="A98" s="11" t="s">
        <v>265</v>
      </c>
      <c r="B98">
        <v>12.8</v>
      </c>
    </row>
    <row r="99" spans="1:2" x14ac:dyDescent="0.2">
      <c r="A99" s="11" t="s">
        <v>266</v>
      </c>
      <c r="B99">
        <v>14.8</v>
      </c>
    </row>
    <row r="100" spans="1:2" x14ac:dyDescent="0.2">
      <c r="A100" s="11" t="s">
        <v>205</v>
      </c>
      <c r="B100">
        <v>15.7</v>
      </c>
    </row>
    <row r="101" spans="1:2" x14ac:dyDescent="0.2">
      <c r="A101" s="11" t="s">
        <v>206</v>
      </c>
      <c r="B101">
        <v>13.8</v>
      </c>
    </row>
    <row r="102" spans="1:2" x14ac:dyDescent="0.2">
      <c r="A102" s="11" t="s">
        <v>207</v>
      </c>
      <c r="B102">
        <v>18.7</v>
      </c>
    </row>
    <row r="103" spans="1:2" x14ac:dyDescent="0.2">
      <c r="A103" s="11" t="s">
        <v>267</v>
      </c>
      <c r="B103">
        <v>10.8</v>
      </c>
    </row>
    <row r="104" spans="1:2" x14ac:dyDescent="0.2">
      <c r="A104" s="11" t="s">
        <v>268</v>
      </c>
      <c r="B104">
        <v>19.7</v>
      </c>
    </row>
    <row r="105" spans="1:2" x14ac:dyDescent="0.2">
      <c r="A105" s="11" t="s">
        <v>269</v>
      </c>
      <c r="B105">
        <v>19.7</v>
      </c>
    </row>
    <row r="106" spans="1:2" x14ac:dyDescent="0.2">
      <c r="A106" s="11" t="s">
        <v>270</v>
      </c>
      <c r="B106">
        <v>20.7</v>
      </c>
    </row>
    <row r="107" spans="1:2" x14ac:dyDescent="0.2">
      <c r="A107" s="11" t="s">
        <v>208</v>
      </c>
      <c r="B107">
        <v>18.7</v>
      </c>
    </row>
    <row r="108" spans="1:2" x14ac:dyDescent="0.2">
      <c r="A108" s="11" t="s">
        <v>209</v>
      </c>
      <c r="B108">
        <v>21.7</v>
      </c>
    </row>
    <row r="109" spans="1:2" x14ac:dyDescent="0.2">
      <c r="A109" s="11" t="s">
        <v>210</v>
      </c>
      <c r="B109">
        <v>22.6</v>
      </c>
    </row>
    <row r="110" spans="1:2" x14ac:dyDescent="0.2">
      <c r="A110" s="11" t="s">
        <v>271</v>
      </c>
      <c r="B110">
        <v>10.8</v>
      </c>
    </row>
    <row r="111" spans="1:2" x14ac:dyDescent="0.2">
      <c r="A111" s="11" t="s">
        <v>272</v>
      </c>
      <c r="B111">
        <v>14.8</v>
      </c>
    </row>
    <row r="112" spans="1:2" x14ac:dyDescent="0.2">
      <c r="A112" s="11" t="s">
        <v>273</v>
      </c>
      <c r="B112">
        <v>16.7</v>
      </c>
    </row>
    <row r="113" spans="1:2" x14ac:dyDescent="0.2">
      <c r="A113" s="11" t="s">
        <v>274</v>
      </c>
      <c r="B113">
        <v>17.7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41141D-057F-4D98-AC86-DF83357A24C7}">
  <dimension ref="A1:G49"/>
  <sheetViews>
    <sheetView workbookViewId="0"/>
  </sheetViews>
  <sheetFormatPr defaultRowHeight="12.75" x14ac:dyDescent="0.2"/>
  <cols>
    <col min="2" max="2" width="10.140625" bestFit="1" customWidth="1"/>
    <col min="5" max="5" width="10.140625" bestFit="1" customWidth="1"/>
  </cols>
  <sheetData>
    <row r="1" spans="1:7" x14ac:dyDescent="0.2">
      <c r="A1" s="11" t="s">
        <v>108</v>
      </c>
      <c r="B1" s="11" t="s">
        <v>130</v>
      </c>
      <c r="C1" s="11" t="s">
        <v>131</v>
      </c>
      <c r="D1" s="11" t="s">
        <v>129</v>
      </c>
      <c r="E1" s="11" t="s">
        <v>278</v>
      </c>
      <c r="F1" s="11" t="s">
        <v>279</v>
      </c>
      <c r="G1" s="11" t="s">
        <v>293</v>
      </c>
    </row>
    <row r="2" spans="1:7" x14ac:dyDescent="0.2">
      <c r="A2" s="11" t="s">
        <v>164</v>
      </c>
      <c r="B2" s="11"/>
      <c r="C2" s="11"/>
      <c r="D2" s="11"/>
      <c r="E2" s="11"/>
      <c r="F2" s="11"/>
      <c r="G2">
        <v>2</v>
      </c>
    </row>
    <row r="3" spans="1:7" x14ac:dyDescent="0.2">
      <c r="A3" s="11" t="s">
        <v>211</v>
      </c>
      <c r="B3" s="108">
        <v>40658</v>
      </c>
      <c r="C3" s="11">
        <v>2011</v>
      </c>
      <c r="D3" s="107">
        <v>115.375</v>
      </c>
      <c r="E3" s="153">
        <v>40724</v>
      </c>
      <c r="F3">
        <v>181</v>
      </c>
      <c r="G3">
        <v>4</v>
      </c>
    </row>
    <row r="4" spans="1:7" x14ac:dyDescent="0.2">
      <c r="A4" s="11" t="s">
        <v>213</v>
      </c>
      <c r="B4" s="108"/>
      <c r="C4" s="11"/>
      <c r="D4" s="107"/>
      <c r="E4" s="153"/>
      <c r="G4">
        <v>3</v>
      </c>
    </row>
    <row r="5" spans="1:7" x14ac:dyDescent="0.2">
      <c r="A5" s="11" t="s">
        <v>167</v>
      </c>
      <c r="B5" s="108"/>
      <c r="C5" s="11"/>
      <c r="D5" s="107"/>
      <c r="E5" s="153"/>
      <c r="G5">
        <v>4</v>
      </c>
    </row>
    <row r="6" spans="1:7" x14ac:dyDescent="0.2">
      <c r="A6" s="11" t="s">
        <v>215</v>
      </c>
      <c r="B6" s="108">
        <v>40658</v>
      </c>
      <c r="C6" s="11">
        <v>2011</v>
      </c>
      <c r="D6" s="107">
        <v>114.5</v>
      </c>
      <c r="E6" s="153">
        <v>40724</v>
      </c>
      <c r="F6">
        <v>181</v>
      </c>
      <c r="G6">
        <v>3</v>
      </c>
    </row>
    <row r="7" spans="1:7" x14ac:dyDescent="0.2">
      <c r="A7" s="11" t="s">
        <v>217</v>
      </c>
      <c r="B7" s="108"/>
      <c r="C7" s="11"/>
      <c r="D7" s="107"/>
      <c r="E7" s="153"/>
      <c r="G7">
        <v>2</v>
      </c>
    </row>
    <row r="8" spans="1:7" x14ac:dyDescent="0.2">
      <c r="A8" s="11" t="s">
        <v>170</v>
      </c>
      <c r="B8" s="108"/>
      <c r="C8" s="11"/>
      <c r="D8" s="107"/>
      <c r="E8" s="153"/>
      <c r="G8">
        <v>4</v>
      </c>
    </row>
    <row r="9" spans="1:7" x14ac:dyDescent="0.2">
      <c r="A9" s="11" t="s">
        <v>219</v>
      </c>
      <c r="B9" s="108">
        <v>40658</v>
      </c>
      <c r="C9" s="11">
        <v>2011</v>
      </c>
      <c r="D9" s="107">
        <v>114.5</v>
      </c>
      <c r="E9" s="153">
        <v>40724</v>
      </c>
      <c r="F9">
        <v>181</v>
      </c>
      <c r="G9">
        <v>3</v>
      </c>
    </row>
    <row r="10" spans="1:7" x14ac:dyDescent="0.2">
      <c r="A10" s="11" t="s">
        <v>221</v>
      </c>
      <c r="B10" s="108"/>
      <c r="C10" s="11"/>
      <c r="D10" s="107"/>
      <c r="E10" s="153"/>
      <c r="G10">
        <v>3</v>
      </c>
    </row>
    <row r="11" spans="1:7" x14ac:dyDescent="0.2">
      <c r="A11" s="11" t="s">
        <v>173</v>
      </c>
      <c r="B11" s="108"/>
      <c r="C11" s="11"/>
      <c r="D11" s="107"/>
      <c r="E11" s="153"/>
      <c r="G11">
        <v>4</v>
      </c>
    </row>
    <row r="12" spans="1:7" x14ac:dyDescent="0.2">
      <c r="A12" s="11" t="s">
        <v>223</v>
      </c>
      <c r="B12" s="108">
        <v>40659</v>
      </c>
      <c r="C12" s="11">
        <v>2011</v>
      </c>
      <c r="D12" s="107">
        <v>115.7</v>
      </c>
      <c r="E12" s="153">
        <v>40724</v>
      </c>
      <c r="F12">
        <v>181</v>
      </c>
      <c r="G12">
        <v>4</v>
      </c>
    </row>
    <row r="13" spans="1:7" x14ac:dyDescent="0.2">
      <c r="A13" s="11" t="s">
        <v>225</v>
      </c>
      <c r="B13" s="108"/>
      <c r="C13" s="11"/>
      <c r="D13" s="107"/>
      <c r="E13" s="153"/>
      <c r="G13">
        <v>3</v>
      </c>
    </row>
    <row r="14" spans="1:7" x14ac:dyDescent="0.2">
      <c r="A14" s="11" t="s">
        <v>176</v>
      </c>
      <c r="B14" s="108"/>
      <c r="C14" s="11"/>
      <c r="D14" s="107"/>
      <c r="E14" s="153"/>
      <c r="G14">
        <v>2</v>
      </c>
    </row>
    <row r="15" spans="1:7" x14ac:dyDescent="0.2">
      <c r="A15" s="11" t="s">
        <v>227</v>
      </c>
      <c r="B15" s="108">
        <v>40660</v>
      </c>
      <c r="C15" s="11">
        <v>2011</v>
      </c>
      <c r="D15" s="107">
        <v>116.5</v>
      </c>
      <c r="E15" s="153">
        <v>40724</v>
      </c>
      <c r="F15">
        <v>181</v>
      </c>
      <c r="G15">
        <v>3</v>
      </c>
    </row>
    <row r="16" spans="1:7" x14ac:dyDescent="0.2">
      <c r="A16" s="11" t="s">
        <v>229</v>
      </c>
      <c r="B16" s="108"/>
      <c r="C16" s="11"/>
      <c r="D16" s="107"/>
      <c r="E16" s="153"/>
      <c r="G16">
        <v>3</v>
      </c>
    </row>
    <row r="17" spans="1:7" x14ac:dyDescent="0.2">
      <c r="A17" s="11" t="s">
        <v>179</v>
      </c>
      <c r="B17" s="108"/>
      <c r="C17" s="11"/>
      <c r="D17" s="107"/>
      <c r="E17" s="153"/>
      <c r="G17">
        <v>3</v>
      </c>
    </row>
    <row r="18" spans="1:7" x14ac:dyDescent="0.2">
      <c r="A18" s="11" t="s">
        <v>231</v>
      </c>
      <c r="B18" s="108">
        <v>40659</v>
      </c>
      <c r="C18" s="11">
        <v>2011</v>
      </c>
      <c r="D18" s="107">
        <v>115.66666666666667</v>
      </c>
      <c r="E18" s="153">
        <v>40724</v>
      </c>
      <c r="F18">
        <v>181</v>
      </c>
      <c r="G18">
        <v>3</v>
      </c>
    </row>
    <row r="19" spans="1:7" x14ac:dyDescent="0.2">
      <c r="A19" s="11" t="s">
        <v>233</v>
      </c>
      <c r="B19" s="108"/>
      <c r="C19" s="11"/>
      <c r="D19" s="107"/>
      <c r="E19" s="153"/>
      <c r="G19">
        <v>4</v>
      </c>
    </row>
    <row r="20" spans="1:7" x14ac:dyDescent="0.2">
      <c r="A20" s="11" t="s">
        <v>182</v>
      </c>
      <c r="B20" s="108"/>
      <c r="C20" s="11"/>
      <c r="D20" s="107"/>
      <c r="E20" s="153"/>
      <c r="G20">
        <v>3</v>
      </c>
    </row>
    <row r="21" spans="1:7" x14ac:dyDescent="0.2">
      <c r="A21" s="11" t="s">
        <v>235</v>
      </c>
      <c r="B21" s="108">
        <v>40659</v>
      </c>
      <c r="C21" s="11">
        <v>2011</v>
      </c>
      <c r="D21" s="107">
        <v>115.5</v>
      </c>
      <c r="E21" s="153">
        <v>40724</v>
      </c>
      <c r="F21">
        <v>181</v>
      </c>
      <c r="G21">
        <v>4</v>
      </c>
    </row>
    <row r="22" spans="1:7" x14ac:dyDescent="0.2">
      <c r="A22" s="11" t="s">
        <v>237</v>
      </c>
      <c r="B22" s="108"/>
      <c r="C22" s="11"/>
      <c r="D22" s="107"/>
      <c r="E22" s="153"/>
      <c r="G22">
        <v>4</v>
      </c>
    </row>
    <row r="23" spans="1:7" x14ac:dyDescent="0.2">
      <c r="A23" s="11" t="s">
        <v>185</v>
      </c>
      <c r="B23" s="108"/>
      <c r="C23" s="11"/>
      <c r="D23" s="107"/>
      <c r="E23" s="153"/>
      <c r="G23">
        <v>3</v>
      </c>
    </row>
    <row r="24" spans="1:7" x14ac:dyDescent="0.2">
      <c r="A24" s="11" t="s">
        <v>239</v>
      </c>
      <c r="B24" s="108">
        <v>40659</v>
      </c>
      <c r="C24" s="11">
        <v>2011</v>
      </c>
      <c r="D24" s="107">
        <v>116.125</v>
      </c>
      <c r="E24" s="153">
        <v>40724</v>
      </c>
      <c r="F24">
        <v>181</v>
      </c>
      <c r="G24">
        <v>2</v>
      </c>
    </row>
    <row r="25" spans="1:7" x14ac:dyDescent="0.2">
      <c r="A25" s="11" t="s">
        <v>241</v>
      </c>
      <c r="B25" s="108"/>
      <c r="C25" s="11"/>
      <c r="D25" s="107"/>
      <c r="E25" s="153"/>
      <c r="G25">
        <v>2</v>
      </c>
    </row>
    <row r="26" spans="1:7" x14ac:dyDescent="0.2">
      <c r="A26" s="11" t="s">
        <v>188</v>
      </c>
      <c r="B26" s="108"/>
      <c r="C26" s="11"/>
      <c r="D26" s="107"/>
      <c r="E26" s="153"/>
      <c r="G26">
        <v>2</v>
      </c>
    </row>
    <row r="27" spans="1:7" x14ac:dyDescent="0.2">
      <c r="A27" s="11" t="s">
        <v>243</v>
      </c>
      <c r="B27" s="108">
        <v>40658</v>
      </c>
      <c r="C27" s="11">
        <v>2011</v>
      </c>
      <c r="D27" s="107">
        <v>115.4</v>
      </c>
      <c r="E27" s="153">
        <v>40724</v>
      </c>
      <c r="F27">
        <v>181</v>
      </c>
      <c r="G27">
        <v>3</v>
      </c>
    </row>
    <row r="28" spans="1:7" x14ac:dyDescent="0.2">
      <c r="A28" s="11" t="s">
        <v>245</v>
      </c>
      <c r="B28" s="108"/>
      <c r="C28" s="11"/>
      <c r="D28" s="107"/>
      <c r="E28" s="153"/>
      <c r="G28">
        <v>3</v>
      </c>
    </row>
    <row r="29" spans="1:7" x14ac:dyDescent="0.2">
      <c r="A29" s="11" t="s">
        <v>191</v>
      </c>
      <c r="B29" s="108"/>
      <c r="C29" s="11"/>
      <c r="D29" s="107"/>
      <c r="E29" s="153"/>
      <c r="G29">
        <v>3</v>
      </c>
    </row>
    <row r="30" spans="1:7" x14ac:dyDescent="0.2">
      <c r="A30" s="11" t="s">
        <v>247</v>
      </c>
      <c r="B30" s="108">
        <v>40659</v>
      </c>
      <c r="C30" s="11">
        <v>2011</v>
      </c>
      <c r="D30" s="107">
        <v>115.66666666666667</v>
      </c>
      <c r="E30" s="153">
        <v>40724</v>
      </c>
      <c r="F30">
        <v>181</v>
      </c>
      <c r="G30">
        <v>3</v>
      </c>
    </row>
    <row r="31" spans="1:7" x14ac:dyDescent="0.2">
      <c r="A31" s="11" t="s">
        <v>249</v>
      </c>
      <c r="B31" s="108"/>
      <c r="C31" s="11"/>
      <c r="D31" s="107"/>
      <c r="E31" s="153"/>
      <c r="G31">
        <v>3</v>
      </c>
    </row>
    <row r="32" spans="1:7" x14ac:dyDescent="0.2">
      <c r="A32" s="11" t="s">
        <v>194</v>
      </c>
      <c r="B32" s="108"/>
      <c r="C32" s="11"/>
      <c r="D32" s="107"/>
      <c r="E32" s="153"/>
      <c r="G32">
        <v>4</v>
      </c>
    </row>
    <row r="33" spans="1:7" x14ac:dyDescent="0.2">
      <c r="A33" s="11" t="s">
        <v>251</v>
      </c>
      <c r="B33" s="108">
        <v>40658</v>
      </c>
      <c r="C33" s="11">
        <v>2011</v>
      </c>
      <c r="D33" s="107">
        <v>115.41666666666667</v>
      </c>
      <c r="E33" s="153">
        <v>40724</v>
      </c>
      <c r="F33">
        <v>181</v>
      </c>
      <c r="G33">
        <v>3</v>
      </c>
    </row>
    <row r="34" spans="1:7" x14ac:dyDescent="0.2">
      <c r="A34" s="11" t="s">
        <v>253</v>
      </c>
      <c r="B34" s="108"/>
      <c r="C34" s="11"/>
      <c r="D34" s="107"/>
      <c r="E34" s="153"/>
      <c r="G34">
        <v>5</v>
      </c>
    </row>
    <row r="35" spans="1:7" x14ac:dyDescent="0.2">
      <c r="A35" s="11" t="s">
        <v>197</v>
      </c>
      <c r="B35" s="108"/>
      <c r="C35" s="11"/>
      <c r="D35" s="107"/>
      <c r="E35" s="153"/>
      <c r="G35">
        <v>4</v>
      </c>
    </row>
    <row r="36" spans="1:7" x14ac:dyDescent="0.2">
      <c r="A36" s="11" t="s">
        <v>255</v>
      </c>
      <c r="B36" s="108">
        <v>40659</v>
      </c>
      <c r="C36" s="11">
        <v>2011</v>
      </c>
      <c r="D36" s="107">
        <v>115.5</v>
      </c>
      <c r="E36" s="153">
        <v>40724</v>
      </c>
      <c r="F36">
        <v>181</v>
      </c>
      <c r="G36">
        <v>4</v>
      </c>
    </row>
    <row r="37" spans="1:7" x14ac:dyDescent="0.2">
      <c r="A37" s="11" t="s">
        <v>257</v>
      </c>
      <c r="B37" s="108"/>
      <c r="C37" s="11"/>
      <c r="D37" s="107"/>
      <c r="E37" s="153"/>
      <c r="G37">
        <v>4</v>
      </c>
    </row>
    <row r="38" spans="1:7" x14ac:dyDescent="0.2">
      <c r="A38" s="11" t="s">
        <v>200</v>
      </c>
      <c r="B38" s="108"/>
      <c r="C38" s="11"/>
      <c r="D38" s="107"/>
      <c r="E38" s="153"/>
      <c r="G38">
        <v>3</v>
      </c>
    </row>
    <row r="39" spans="1:7" x14ac:dyDescent="0.2">
      <c r="A39" s="11" t="s">
        <v>259</v>
      </c>
      <c r="B39" s="108">
        <v>40658</v>
      </c>
      <c r="C39" s="11">
        <v>2011</v>
      </c>
      <c r="D39" s="107">
        <v>115.25</v>
      </c>
      <c r="E39" s="153">
        <v>40724</v>
      </c>
      <c r="F39">
        <v>181</v>
      </c>
      <c r="G39">
        <v>2</v>
      </c>
    </row>
    <row r="40" spans="1:7" x14ac:dyDescent="0.2">
      <c r="A40" s="11" t="s">
        <v>261</v>
      </c>
      <c r="B40" s="108"/>
      <c r="C40" s="11"/>
      <c r="D40" s="107"/>
      <c r="E40" s="153"/>
      <c r="G40">
        <v>4</v>
      </c>
    </row>
    <row r="41" spans="1:7" x14ac:dyDescent="0.2">
      <c r="A41" s="11" t="s">
        <v>203</v>
      </c>
      <c r="B41" s="108"/>
      <c r="C41" s="11"/>
      <c r="D41" s="107"/>
      <c r="E41" s="153"/>
      <c r="G41">
        <v>5</v>
      </c>
    </row>
    <row r="42" spans="1:7" x14ac:dyDescent="0.2">
      <c r="A42" s="11" t="s">
        <v>263</v>
      </c>
      <c r="B42" s="108">
        <v>40657</v>
      </c>
      <c r="C42" s="11">
        <v>2011</v>
      </c>
      <c r="D42" s="107">
        <v>113.5</v>
      </c>
      <c r="E42" s="153">
        <v>40724</v>
      </c>
      <c r="F42">
        <v>181</v>
      </c>
      <c r="G42">
        <v>5</v>
      </c>
    </row>
    <row r="43" spans="1:7" x14ac:dyDescent="0.2">
      <c r="A43" s="11" t="s">
        <v>265</v>
      </c>
      <c r="B43" s="108"/>
      <c r="C43" s="11"/>
      <c r="D43" s="107"/>
      <c r="E43" s="153"/>
      <c r="G43">
        <v>6</v>
      </c>
    </row>
    <row r="44" spans="1:7" x14ac:dyDescent="0.2">
      <c r="A44" s="11" t="s">
        <v>206</v>
      </c>
      <c r="B44" s="108"/>
      <c r="C44" s="11"/>
      <c r="D44" s="107"/>
      <c r="E44" s="153"/>
      <c r="G44">
        <v>3</v>
      </c>
    </row>
    <row r="45" spans="1:7" x14ac:dyDescent="0.2">
      <c r="A45" s="11" t="s">
        <v>267</v>
      </c>
      <c r="B45" s="108">
        <v>40658</v>
      </c>
      <c r="C45" s="11">
        <v>2011</v>
      </c>
      <c r="D45" s="107">
        <v>114.75</v>
      </c>
      <c r="E45" s="153">
        <v>40724</v>
      </c>
      <c r="F45">
        <v>181</v>
      </c>
      <c r="G45">
        <v>4</v>
      </c>
    </row>
    <row r="46" spans="1:7" x14ac:dyDescent="0.2">
      <c r="A46" s="11" t="s">
        <v>269</v>
      </c>
      <c r="B46" s="108"/>
      <c r="C46" s="11"/>
      <c r="D46" s="107"/>
      <c r="E46" s="153"/>
      <c r="G46">
        <v>4</v>
      </c>
    </row>
    <row r="47" spans="1:7" x14ac:dyDescent="0.2">
      <c r="A47" s="11" t="s">
        <v>209</v>
      </c>
      <c r="B47" s="108"/>
      <c r="C47" s="11"/>
      <c r="D47" s="107"/>
      <c r="E47" s="153"/>
      <c r="G47">
        <v>3</v>
      </c>
    </row>
    <row r="48" spans="1:7" x14ac:dyDescent="0.2">
      <c r="A48" s="11" t="s">
        <v>271</v>
      </c>
      <c r="B48" s="108">
        <v>40658</v>
      </c>
      <c r="C48" s="11">
        <v>2011</v>
      </c>
      <c r="D48" s="107">
        <v>114.5</v>
      </c>
      <c r="E48" s="153">
        <v>40724</v>
      </c>
      <c r="F48">
        <v>181</v>
      </c>
      <c r="G48">
        <v>3</v>
      </c>
    </row>
    <row r="49" spans="1:7" x14ac:dyDescent="0.2">
      <c r="A49" s="11" t="s">
        <v>273</v>
      </c>
      <c r="G49">
        <v>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BU41"/>
  <sheetViews>
    <sheetView zoomScale="90" zoomScaleNormal="90" workbookViewId="0">
      <selection activeCell="L8" sqref="L8"/>
    </sheetView>
  </sheetViews>
  <sheetFormatPr defaultRowHeight="12.75" x14ac:dyDescent="0.2"/>
  <cols>
    <col min="1" max="1" width="5.42578125" customWidth="1"/>
    <col min="2" max="2" width="6.28515625" customWidth="1"/>
    <col min="3" max="3" width="12.7109375" customWidth="1"/>
    <col min="4" max="8" width="5.28515625" hidden="1" customWidth="1"/>
    <col min="9" max="9" width="7" hidden="1" customWidth="1"/>
    <col min="10" max="10" width="8.42578125" customWidth="1"/>
    <col min="11" max="14" width="12.7109375" customWidth="1"/>
    <col min="15" max="15" width="48.7109375" customWidth="1"/>
    <col min="22" max="22" width="7.5703125" customWidth="1"/>
    <col min="23" max="32" width="7.7109375" customWidth="1"/>
  </cols>
  <sheetData>
    <row r="1" spans="1:73" ht="15" customHeight="1" x14ac:dyDescent="0.25">
      <c r="A1" s="1" t="s">
        <v>33</v>
      </c>
    </row>
    <row r="2" spans="1:73" ht="20.25" customHeight="1" thickBot="1" x14ac:dyDescent="0.3">
      <c r="A2" s="1"/>
      <c r="M2" s="15" t="s">
        <v>0</v>
      </c>
      <c r="N2" s="23">
        <v>40673</v>
      </c>
      <c r="O2" s="29"/>
    </row>
    <row r="3" spans="1:73" ht="20.25" customHeight="1" thickBot="1" x14ac:dyDescent="0.25">
      <c r="A3" t="s">
        <v>1</v>
      </c>
      <c r="C3" s="46" t="s">
        <v>34</v>
      </c>
      <c r="D3" s="3"/>
      <c r="E3" s="3"/>
      <c r="F3" s="3"/>
      <c r="G3" s="3"/>
      <c r="H3" s="3"/>
      <c r="I3" s="3"/>
      <c r="J3" s="3"/>
      <c r="K3" s="3"/>
      <c r="L3" s="3"/>
      <c r="M3" s="15" t="s">
        <v>23</v>
      </c>
      <c r="N3" s="2">
        <v>130</v>
      </c>
      <c r="O3" s="30"/>
    </row>
    <row r="4" spans="1:73" ht="20.25" customHeight="1" thickBot="1" x14ac:dyDescent="0.25">
      <c r="B4" s="47" t="s">
        <v>35</v>
      </c>
      <c r="C4" s="38"/>
      <c r="D4" s="4"/>
      <c r="E4" s="4"/>
      <c r="F4" s="4"/>
      <c r="G4" s="4"/>
      <c r="H4" s="4"/>
      <c r="I4" s="4"/>
      <c r="J4" s="4"/>
      <c r="K4" s="4"/>
      <c r="L4" s="4"/>
      <c r="M4" s="15" t="s">
        <v>2</v>
      </c>
      <c r="N4" s="2" t="s">
        <v>26</v>
      </c>
      <c r="O4" s="30"/>
    </row>
    <row r="5" spans="1:73" ht="18.75" thickBot="1" x14ac:dyDescent="0.25">
      <c r="B5" s="48" t="s">
        <v>36</v>
      </c>
      <c r="C5" s="4"/>
      <c r="D5" s="4"/>
      <c r="E5" s="4"/>
      <c r="F5" s="4"/>
      <c r="G5" s="4"/>
      <c r="H5" s="4"/>
      <c r="I5" s="4"/>
      <c r="J5" s="4"/>
      <c r="K5" s="4"/>
      <c r="L5" s="4"/>
      <c r="AE5" s="5"/>
      <c r="AF5" s="165"/>
      <c r="AG5" s="165"/>
      <c r="AH5" s="165"/>
    </row>
    <row r="6" spans="1:73" ht="18" x14ac:dyDescent="0.25">
      <c r="L6" s="166"/>
      <c r="M6" s="167"/>
      <c r="N6" s="168"/>
      <c r="O6" s="31"/>
      <c r="AE6" s="5"/>
      <c r="AF6" s="24"/>
      <c r="AG6" s="24"/>
      <c r="AH6" s="24"/>
    </row>
    <row r="7" spans="1:73" ht="25.5" customHeight="1" x14ac:dyDescent="0.2">
      <c r="B7" s="6" t="s">
        <v>3</v>
      </c>
      <c r="C7" s="45"/>
      <c r="D7" s="7" t="s">
        <v>4</v>
      </c>
      <c r="E7" s="6" t="s">
        <v>5</v>
      </c>
      <c r="F7" s="7" t="s">
        <v>6</v>
      </c>
      <c r="G7" s="6" t="s">
        <v>7</v>
      </c>
      <c r="H7" s="6" t="s">
        <v>8</v>
      </c>
      <c r="I7" s="6" t="s">
        <v>9</v>
      </c>
      <c r="J7" s="6" t="s">
        <v>11</v>
      </c>
      <c r="K7" s="8" t="s">
        <v>24</v>
      </c>
      <c r="L7" s="22" t="s">
        <v>30</v>
      </c>
      <c r="M7" s="22" t="s">
        <v>31</v>
      </c>
      <c r="N7" s="22" t="s">
        <v>32</v>
      </c>
      <c r="O7" s="169" t="s">
        <v>25</v>
      </c>
      <c r="AE7" s="10"/>
      <c r="AF7" s="9"/>
      <c r="AG7" s="9"/>
      <c r="AH7" s="11"/>
    </row>
    <row r="8" spans="1:73" ht="15.95" customHeight="1" thickBot="1" x14ac:dyDescent="0.25">
      <c r="B8" s="170"/>
      <c r="C8" s="171"/>
      <c r="D8" s="171"/>
      <c r="E8" s="171"/>
      <c r="F8" s="171"/>
      <c r="G8" s="171"/>
      <c r="H8" s="171"/>
      <c r="I8" s="171"/>
      <c r="J8" s="171"/>
      <c r="K8" s="172"/>
      <c r="L8" s="39" t="s">
        <v>27</v>
      </c>
      <c r="M8" s="39"/>
      <c r="N8" s="39"/>
      <c r="O8" s="163"/>
      <c r="AF8" s="12"/>
      <c r="AG8" s="12"/>
      <c r="AH8" s="12"/>
    </row>
    <row r="9" spans="1:73" ht="15.95" hidden="1" customHeight="1" x14ac:dyDescent="0.2">
      <c r="B9" s="25" t="s">
        <v>3</v>
      </c>
      <c r="C9" s="26" t="s">
        <v>10</v>
      </c>
      <c r="D9" s="26" t="s">
        <v>14</v>
      </c>
      <c r="E9" s="25" t="s">
        <v>15</v>
      </c>
      <c r="F9" s="26" t="s">
        <v>16</v>
      </c>
      <c r="G9" s="25" t="s">
        <v>17</v>
      </c>
      <c r="H9" s="25" t="s">
        <v>8</v>
      </c>
      <c r="I9" s="25" t="s">
        <v>18</v>
      </c>
      <c r="J9" s="27" t="s">
        <v>11</v>
      </c>
      <c r="K9" s="27" t="s">
        <v>19</v>
      </c>
      <c r="L9" s="28" t="s">
        <v>20</v>
      </c>
      <c r="M9" s="28" t="s">
        <v>21</v>
      </c>
      <c r="N9" s="28" t="s">
        <v>22</v>
      </c>
      <c r="O9" s="32"/>
      <c r="AF9" s="12"/>
      <c r="AG9" s="12"/>
      <c r="AH9" s="12"/>
    </row>
    <row r="10" spans="1:73" ht="24.2" customHeight="1" x14ac:dyDescent="0.2">
      <c r="B10" s="164">
        <v>1</v>
      </c>
      <c r="C10" s="157" t="s">
        <v>28</v>
      </c>
      <c r="D10" s="19" t="e">
        <f>VLOOKUP($B10,#REF!,3,0)</f>
        <v>#REF!</v>
      </c>
      <c r="E10" s="19" t="e">
        <f>VLOOKUP($B10,#REF!,4,0)</f>
        <v>#REF!</v>
      </c>
      <c r="F10" s="19" t="e">
        <f>VLOOKUP($B10,#REF!,5,0)</f>
        <v>#REF!</v>
      </c>
      <c r="G10" s="19" t="e">
        <f>VLOOKUP($B10,#REF!,6,0)</f>
        <v>#REF!</v>
      </c>
      <c r="H10" s="19" t="e">
        <f>VLOOKUP($B10,#REF!,7,0)</f>
        <v>#REF!</v>
      </c>
      <c r="I10" s="19" t="e">
        <f>VLOOKUP($B10,#REF!,8,0)</f>
        <v>#REF!</v>
      </c>
      <c r="J10" s="173">
        <v>1015</v>
      </c>
      <c r="K10" s="22" t="s">
        <v>12</v>
      </c>
      <c r="L10" s="35">
        <v>7</v>
      </c>
      <c r="M10" s="35">
        <v>6</v>
      </c>
      <c r="N10" s="44">
        <v>8</v>
      </c>
      <c r="O10" s="40"/>
      <c r="P10" s="13"/>
      <c r="Q10" s="13"/>
      <c r="R10" s="13"/>
      <c r="S10" s="13"/>
      <c r="T10" s="13"/>
      <c r="AF10" s="12"/>
      <c r="AG10" s="12"/>
      <c r="AH10" s="14"/>
      <c r="AI10" s="15"/>
      <c r="AJ10" s="15"/>
      <c r="AK10" s="15"/>
      <c r="AL10" s="15"/>
      <c r="AM10" s="15"/>
      <c r="AN10" s="15"/>
      <c r="AO10" s="15"/>
      <c r="AP10" s="15"/>
      <c r="AQ10" s="15"/>
      <c r="AR10" s="15"/>
      <c r="AS10" s="15"/>
      <c r="AT10" s="15"/>
      <c r="AU10" s="15"/>
      <c r="AV10" s="15"/>
      <c r="AW10" s="15"/>
      <c r="AX10" s="15"/>
      <c r="AY10" s="15"/>
      <c r="AZ10" s="15"/>
      <c r="BA10" s="15"/>
      <c r="BB10" s="15"/>
      <c r="BC10" s="15"/>
      <c r="BD10" s="15"/>
      <c r="BE10" s="15"/>
      <c r="BF10" s="15"/>
      <c r="BG10" s="15"/>
      <c r="BH10" s="15"/>
      <c r="BI10" s="15"/>
      <c r="BJ10" s="15"/>
      <c r="BK10" s="15"/>
      <c r="BL10" s="15"/>
      <c r="BM10" s="15"/>
      <c r="BN10" s="15"/>
      <c r="BO10" s="15"/>
      <c r="BP10" s="15"/>
      <c r="BQ10" s="15"/>
      <c r="BR10" s="15"/>
      <c r="BS10" s="15"/>
      <c r="BT10" s="15"/>
      <c r="BU10" s="15"/>
    </row>
    <row r="11" spans="1:73" ht="24.2" customHeight="1" thickBot="1" x14ac:dyDescent="0.25">
      <c r="B11" s="156"/>
      <c r="C11" s="163"/>
      <c r="D11" s="20" t="e">
        <f>VLOOKUP($B11,#REF!,3,0)</f>
        <v>#REF!</v>
      </c>
      <c r="E11" s="20" t="e">
        <f>VLOOKUP($B11,#REF!,4,0)</f>
        <v>#REF!</v>
      </c>
      <c r="F11" s="20" t="e">
        <f>VLOOKUP($B11,#REF!,5,0)</f>
        <v>#REF!</v>
      </c>
      <c r="G11" s="20" t="e">
        <f>VLOOKUP($B11,#REF!,6,0)</f>
        <v>#REF!</v>
      </c>
      <c r="H11" s="20" t="e">
        <f>VLOOKUP($B11,#REF!,7,0)</f>
        <v>#REF!</v>
      </c>
      <c r="I11" s="20" t="e">
        <f>VLOOKUP($B11,#REF!,8,0)</f>
        <v>#REF!</v>
      </c>
      <c r="J11" s="160"/>
      <c r="K11" s="34" t="s">
        <v>13</v>
      </c>
      <c r="L11" s="36">
        <v>8</v>
      </c>
      <c r="M11" s="36">
        <v>8</v>
      </c>
      <c r="N11" s="36">
        <v>8</v>
      </c>
      <c r="O11" s="41"/>
      <c r="P11" s="13"/>
      <c r="Q11" s="13"/>
      <c r="R11" s="13"/>
      <c r="S11" s="13"/>
      <c r="T11" s="13"/>
      <c r="AF11" s="12"/>
      <c r="AG11" s="12"/>
      <c r="AH11" s="14"/>
      <c r="AI11" s="15"/>
      <c r="AJ11" s="15"/>
      <c r="AK11" s="15"/>
      <c r="AL11" s="15"/>
      <c r="AM11" s="15"/>
      <c r="AN11" s="15"/>
      <c r="AO11" s="15"/>
      <c r="AP11" s="15"/>
      <c r="AQ11" s="15"/>
      <c r="AR11" s="15"/>
      <c r="AS11" s="15"/>
      <c r="AT11" s="15"/>
      <c r="AU11" s="15"/>
      <c r="AV11" s="15"/>
      <c r="AW11" s="15"/>
      <c r="AX11" s="15"/>
      <c r="AY11" s="15"/>
      <c r="AZ11" s="15"/>
      <c r="BA11" s="15"/>
      <c r="BB11" s="15"/>
      <c r="BC11" s="15"/>
      <c r="BD11" s="15"/>
      <c r="BE11" s="15"/>
      <c r="BF11" s="15"/>
      <c r="BG11" s="15"/>
      <c r="BH11" s="15"/>
      <c r="BI11" s="15"/>
      <c r="BJ11" s="15"/>
      <c r="BK11" s="15"/>
      <c r="BL11" s="15"/>
      <c r="BM11" s="15"/>
      <c r="BN11" s="15"/>
      <c r="BO11" s="15"/>
      <c r="BP11" s="15"/>
      <c r="BQ11" s="15"/>
      <c r="BR11" s="15"/>
      <c r="BS11" s="15"/>
      <c r="BT11" s="15"/>
      <c r="BU11" s="15"/>
    </row>
    <row r="12" spans="1:73" ht="24.2" customHeight="1" x14ac:dyDescent="0.2">
      <c r="B12" s="164">
        <v>2</v>
      </c>
      <c r="C12" s="157" t="s">
        <v>29</v>
      </c>
      <c r="D12" s="21" t="e">
        <f>VLOOKUP($B12,#REF!,3,0)</f>
        <v>#REF!</v>
      </c>
      <c r="E12" s="21" t="e">
        <f>VLOOKUP($B12,#REF!,4,0)</f>
        <v>#REF!</v>
      </c>
      <c r="F12" s="21" t="e">
        <f>VLOOKUP($B12,#REF!,5,0)</f>
        <v>#REF!</v>
      </c>
      <c r="G12" s="21" t="e">
        <f>VLOOKUP($B12,#REF!,6,0)</f>
        <v>#REF!</v>
      </c>
      <c r="H12" s="21" t="e">
        <f>VLOOKUP($B12,#REF!,7,0)</f>
        <v>#REF!</v>
      </c>
      <c r="I12" s="21" t="e">
        <f>VLOOKUP($B12,#REF!,8,0)</f>
        <v>#REF!</v>
      </c>
      <c r="J12" s="159"/>
      <c r="K12" s="33" t="s">
        <v>12</v>
      </c>
      <c r="L12" s="35">
        <v>6</v>
      </c>
      <c r="M12" s="35">
        <v>7</v>
      </c>
      <c r="N12" s="35">
        <v>6</v>
      </c>
      <c r="O12" s="42"/>
      <c r="P12" s="13"/>
      <c r="Q12" s="16"/>
      <c r="R12" s="13"/>
      <c r="S12" s="17"/>
      <c r="T12" s="13"/>
      <c r="AF12" s="12"/>
      <c r="AG12" s="12"/>
      <c r="AH12" s="12"/>
      <c r="AI12" s="18"/>
      <c r="AJ12" s="18"/>
      <c r="AK12" s="18"/>
      <c r="AL12" s="18"/>
      <c r="AM12" s="18"/>
      <c r="AN12" s="18"/>
      <c r="AO12" s="18"/>
      <c r="AP12" s="18"/>
      <c r="AQ12" s="18"/>
      <c r="AR12" s="18"/>
      <c r="AS12" s="18"/>
      <c r="AT12" s="18"/>
      <c r="AU12" s="18"/>
      <c r="AV12" s="18"/>
      <c r="AW12" s="18"/>
      <c r="AX12" s="18"/>
      <c r="AY12" s="18"/>
      <c r="AZ12" s="18"/>
      <c r="BA12" s="18"/>
      <c r="BB12" s="18"/>
      <c r="BC12" s="18"/>
      <c r="BD12" s="18"/>
      <c r="BE12" s="18"/>
      <c r="BF12" s="18"/>
      <c r="BG12" s="18"/>
      <c r="BH12" s="18"/>
      <c r="BI12" s="18"/>
      <c r="BJ12" s="18"/>
      <c r="BK12" s="18"/>
      <c r="BL12" s="18"/>
      <c r="BM12" s="18"/>
      <c r="BN12" s="18"/>
      <c r="BO12" s="18"/>
      <c r="BP12" s="18"/>
      <c r="BQ12" s="18"/>
      <c r="BR12" s="18"/>
      <c r="BS12" s="18"/>
      <c r="BT12" s="18"/>
      <c r="BU12" s="18"/>
    </row>
    <row r="13" spans="1:73" ht="24.2" customHeight="1" thickBot="1" x14ac:dyDescent="0.25">
      <c r="B13" s="156"/>
      <c r="C13" s="158"/>
      <c r="D13" s="20" t="e">
        <f>VLOOKUP($B13,#REF!,3,0)</f>
        <v>#REF!</v>
      </c>
      <c r="E13" s="20" t="e">
        <f>VLOOKUP($B13,#REF!,4,0)</f>
        <v>#REF!</v>
      </c>
      <c r="F13" s="20" t="e">
        <f>VLOOKUP($B13,#REF!,5,0)</f>
        <v>#REF!</v>
      </c>
      <c r="G13" s="20" t="e">
        <f>VLOOKUP($B13,#REF!,6,0)</f>
        <v>#REF!</v>
      </c>
      <c r="H13" s="20" t="e">
        <f>VLOOKUP($B13,#REF!,7,0)</f>
        <v>#REF!</v>
      </c>
      <c r="I13" s="20" t="e">
        <f>VLOOKUP($B13,#REF!,8,0)</f>
        <v>#REF!</v>
      </c>
      <c r="J13" s="160"/>
      <c r="K13" s="34" t="s">
        <v>13</v>
      </c>
      <c r="L13" s="37">
        <v>7</v>
      </c>
      <c r="M13" s="36">
        <v>8</v>
      </c>
      <c r="N13" s="36">
        <v>7</v>
      </c>
      <c r="O13" s="43"/>
      <c r="P13" s="13"/>
      <c r="Q13" s="13"/>
      <c r="R13" s="13"/>
      <c r="S13" s="13"/>
      <c r="T13" s="13"/>
      <c r="AF13" s="12"/>
      <c r="AG13" s="12"/>
      <c r="AH13" s="14"/>
      <c r="AI13" s="15"/>
      <c r="AJ13" s="15"/>
      <c r="AK13" s="15"/>
      <c r="AL13" s="15"/>
      <c r="AM13" s="15"/>
      <c r="AN13" s="15"/>
      <c r="AO13" s="15"/>
      <c r="AP13" s="15"/>
      <c r="AQ13" s="15"/>
      <c r="AR13" s="15"/>
      <c r="AS13" s="15"/>
      <c r="AT13" s="15"/>
      <c r="AU13" s="15"/>
      <c r="AV13" s="15"/>
      <c r="AW13" s="15"/>
      <c r="AX13" s="15"/>
      <c r="AY13" s="15"/>
      <c r="AZ13" s="15"/>
      <c r="BA13" s="15"/>
      <c r="BB13" s="15"/>
      <c r="BC13" s="15"/>
      <c r="BD13" s="15"/>
      <c r="BE13" s="15"/>
      <c r="BF13" s="15"/>
      <c r="BG13" s="15"/>
      <c r="BH13" s="15"/>
      <c r="BI13" s="15"/>
      <c r="BJ13" s="15"/>
      <c r="BK13" s="15"/>
      <c r="BL13" s="15"/>
      <c r="BM13" s="15"/>
      <c r="BN13" s="15"/>
      <c r="BO13" s="15"/>
      <c r="BP13" s="15"/>
      <c r="BQ13" s="15"/>
      <c r="BR13" s="15"/>
      <c r="BS13" s="15"/>
      <c r="BT13" s="15"/>
      <c r="BU13" s="15"/>
    </row>
    <row r="14" spans="1:73" ht="24.2" customHeight="1" x14ac:dyDescent="0.2">
      <c r="B14" s="164">
        <v>3</v>
      </c>
      <c r="C14" s="157" t="s">
        <v>28</v>
      </c>
      <c r="D14" s="19" t="e">
        <f>VLOOKUP($B14,#REF!,3,0)</f>
        <v>#REF!</v>
      </c>
      <c r="E14" s="19" t="e">
        <f>VLOOKUP($B14,#REF!,4,0)</f>
        <v>#REF!</v>
      </c>
      <c r="F14" s="19" t="e">
        <f>VLOOKUP($B14,#REF!,5,0)</f>
        <v>#REF!</v>
      </c>
      <c r="G14" s="19" t="e">
        <f>VLOOKUP($B14,#REF!,6,0)</f>
        <v>#REF!</v>
      </c>
      <c r="H14" s="19" t="e">
        <f>VLOOKUP($B14,#REF!,7,0)</f>
        <v>#REF!</v>
      </c>
      <c r="I14" s="19" t="e">
        <f>VLOOKUP($B14,#REF!,8,0)</f>
        <v>#REF!</v>
      </c>
      <c r="J14" s="159"/>
      <c r="K14" s="22" t="s">
        <v>12</v>
      </c>
      <c r="L14" s="35">
        <v>7</v>
      </c>
      <c r="M14" s="35">
        <v>7</v>
      </c>
      <c r="N14" s="35">
        <v>6</v>
      </c>
      <c r="O14" s="161"/>
      <c r="P14" s="13"/>
      <c r="Q14" s="13"/>
      <c r="R14" s="13"/>
      <c r="S14" s="13"/>
      <c r="T14" s="13"/>
      <c r="AF14" s="12"/>
      <c r="AG14" s="12"/>
      <c r="AH14" s="12"/>
    </row>
    <row r="15" spans="1:73" ht="24.2" customHeight="1" thickBot="1" x14ac:dyDescent="0.25">
      <c r="B15" s="156"/>
      <c r="C15" s="163"/>
      <c r="D15" s="20" t="e">
        <f>VLOOKUP($B15,#REF!,3,0)</f>
        <v>#REF!</v>
      </c>
      <c r="E15" s="20" t="e">
        <f>VLOOKUP($B15,#REF!,4,0)</f>
        <v>#REF!</v>
      </c>
      <c r="F15" s="20" t="e">
        <f>VLOOKUP($B15,#REF!,5,0)</f>
        <v>#REF!</v>
      </c>
      <c r="G15" s="20" t="e">
        <f>VLOOKUP($B15,#REF!,6,0)</f>
        <v>#REF!</v>
      </c>
      <c r="H15" s="20" t="e">
        <f>VLOOKUP($B15,#REF!,7,0)</f>
        <v>#REF!</v>
      </c>
      <c r="I15" s="20" t="e">
        <f>VLOOKUP($B15,#REF!,8,0)</f>
        <v>#REF!</v>
      </c>
      <c r="J15" s="160"/>
      <c r="K15" s="34" t="s">
        <v>13</v>
      </c>
      <c r="L15" s="36">
        <v>8</v>
      </c>
      <c r="M15" s="36">
        <v>7</v>
      </c>
      <c r="N15" s="36">
        <v>7</v>
      </c>
      <c r="O15" s="162"/>
      <c r="P15" s="13"/>
      <c r="Q15" s="13"/>
      <c r="R15" s="13"/>
      <c r="S15" s="13"/>
      <c r="T15" s="13"/>
      <c r="AF15" s="12"/>
      <c r="AG15" s="12"/>
      <c r="AH15" s="14"/>
      <c r="AI15" s="15"/>
      <c r="AJ15" s="15"/>
      <c r="AK15" s="15"/>
      <c r="AL15" s="15"/>
      <c r="AM15" s="15"/>
      <c r="AN15" s="15"/>
      <c r="AO15" s="15"/>
      <c r="AP15" s="15"/>
      <c r="AQ15" s="15"/>
      <c r="AR15" s="15"/>
      <c r="AS15" s="15"/>
      <c r="AT15" s="15"/>
      <c r="AU15" s="15"/>
      <c r="AV15" s="15"/>
      <c r="AW15" s="15"/>
      <c r="AX15" s="15"/>
      <c r="AY15" s="15"/>
      <c r="AZ15" s="15"/>
      <c r="BA15" s="15"/>
      <c r="BB15" s="15"/>
      <c r="BC15" s="15"/>
      <c r="BD15" s="15"/>
      <c r="BE15" s="15"/>
      <c r="BF15" s="15"/>
      <c r="BG15" s="15"/>
      <c r="BH15" s="15"/>
      <c r="BI15" s="15"/>
      <c r="BJ15" s="15"/>
      <c r="BK15" s="15"/>
      <c r="BL15" s="15"/>
      <c r="BM15" s="15"/>
      <c r="BN15" s="15"/>
      <c r="BO15" s="15"/>
      <c r="BP15" s="15"/>
      <c r="BQ15" s="15"/>
      <c r="BR15" s="15"/>
      <c r="BS15" s="15"/>
      <c r="BT15" s="15"/>
      <c r="BU15" s="15"/>
    </row>
    <row r="16" spans="1:73" ht="24.2" customHeight="1" x14ac:dyDescent="0.2">
      <c r="B16" s="164">
        <v>4</v>
      </c>
      <c r="C16" s="157" t="s">
        <v>29</v>
      </c>
      <c r="D16" s="19" t="e">
        <f>VLOOKUP($B16,#REF!,3,0)</f>
        <v>#REF!</v>
      </c>
      <c r="E16" s="19" t="e">
        <f>VLOOKUP($B16,#REF!,4,0)</f>
        <v>#REF!</v>
      </c>
      <c r="F16" s="19" t="e">
        <f>VLOOKUP($B16,#REF!,5,0)</f>
        <v>#REF!</v>
      </c>
      <c r="G16" s="19" t="e">
        <f>VLOOKUP($B16,#REF!,6,0)</f>
        <v>#REF!</v>
      </c>
      <c r="H16" s="19" t="e">
        <f>VLOOKUP($B16,#REF!,7,0)</f>
        <v>#REF!</v>
      </c>
      <c r="I16" s="19" t="e">
        <f>VLOOKUP($B16,#REF!,8,0)</f>
        <v>#REF!</v>
      </c>
      <c r="J16" s="159"/>
      <c r="K16" s="22" t="s">
        <v>12</v>
      </c>
      <c r="L16" s="35">
        <v>7</v>
      </c>
      <c r="M16" s="35">
        <v>7</v>
      </c>
      <c r="N16" s="44">
        <v>6</v>
      </c>
      <c r="O16" s="161"/>
      <c r="P16" s="13"/>
      <c r="Q16" s="13"/>
      <c r="R16" s="13"/>
      <c r="S16" s="13"/>
      <c r="T16" s="13"/>
    </row>
    <row r="17" spans="2:73" ht="24.2" customHeight="1" thickBot="1" x14ac:dyDescent="0.25">
      <c r="B17" s="156"/>
      <c r="C17" s="158"/>
      <c r="D17" s="20" t="e">
        <f>VLOOKUP($B17,#REF!,3,0)</f>
        <v>#REF!</v>
      </c>
      <c r="E17" s="20" t="e">
        <f>VLOOKUP($B17,#REF!,4,0)</f>
        <v>#REF!</v>
      </c>
      <c r="F17" s="20" t="e">
        <f>VLOOKUP($B17,#REF!,5,0)</f>
        <v>#REF!</v>
      </c>
      <c r="G17" s="20" t="e">
        <f>VLOOKUP($B17,#REF!,6,0)</f>
        <v>#REF!</v>
      </c>
      <c r="H17" s="20" t="e">
        <f>VLOOKUP($B17,#REF!,7,0)</f>
        <v>#REF!</v>
      </c>
      <c r="I17" s="20" t="e">
        <f>VLOOKUP($B17,#REF!,8,0)</f>
        <v>#REF!</v>
      </c>
      <c r="J17" s="160"/>
      <c r="K17" s="34" t="s">
        <v>13</v>
      </c>
      <c r="L17" s="36">
        <v>9</v>
      </c>
      <c r="M17" s="36">
        <v>8</v>
      </c>
      <c r="N17" s="36">
        <v>8</v>
      </c>
      <c r="O17" s="162"/>
      <c r="P17" s="13"/>
      <c r="Q17" s="13"/>
      <c r="R17" s="13"/>
      <c r="S17" s="13"/>
      <c r="T17" s="13"/>
      <c r="AF17" s="12"/>
      <c r="AG17" s="12"/>
      <c r="AH17" s="14"/>
      <c r="AI17" s="15"/>
      <c r="AJ17" s="15"/>
      <c r="AK17" s="15"/>
      <c r="AL17" s="15"/>
      <c r="AM17" s="15"/>
      <c r="AN17" s="15"/>
      <c r="AO17" s="15"/>
      <c r="AP17" s="15"/>
      <c r="AQ17" s="15"/>
      <c r="AR17" s="15"/>
      <c r="AS17" s="15"/>
      <c r="AT17" s="15"/>
      <c r="AU17" s="15"/>
      <c r="AV17" s="15"/>
      <c r="AW17" s="15"/>
      <c r="AX17" s="15"/>
      <c r="AY17" s="15"/>
      <c r="AZ17" s="15"/>
      <c r="BA17" s="15"/>
      <c r="BB17" s="15"/>
      <c r="BC17" s="15"/>
      <c r="BD17" s="15"/>
      <c r="BE17" s="15"/>
      <c r="BF17" s="15"/>
      <c r="BG17" s="15"/>
      <c r="BH17" s="15"/>
      <c r="BI17" s="15"/>
      <c r="BJ17" s="15"/>
      <c r="BK17" s="15"/>
      <c r="BL17" s="15"/>
      <c r="BM17" s="15"/>
      <c r="BN17" s="15"/>
      <c r="BO17" s="15"/>
      <c r="BP17" s="15"/>
      <c r="BQ17" s="15"/>
      <c r="BR17" s="15"/>
      <c r="BS17" s="15"/>
      <c r="BT17" s="15"/>
      <c r="BU17" s="15"/>
    </row>
    <row r="18" spans="2:73" ht="24.2" customHeight="1" x14ac:dyDescent="0.2">
      <c r="B18" s="164">
        <v>5</v>
      </c>
      <c r="C18" s="157" t="s">
        <v>28</v>
      </c>
      <c r="D18" s="19" t="e">
        <f>VLOOKUP($B18,#REF!,3,0)</f>
        <v>#REF!</v>
      </c>
      <c r="E18" s="19" t="e">
        <f>VLOOKUP($B18,#REF!,4,0)</f>
        <v>#REF!</v>
      </c>
      <c r="F18" s="19" t="e">
        <f>VLOOKUP($B18,#REF!,5,0)</f>
        <v>#REF!</v>
      </c>
      <c r="G18" s="19" t="e">
        <f>VLOOKUP($B18,#REF!,6,0)</f>
        <v>#REF!</v>
      </c>
      <c r="H18" s="19" t="e">
        <f>VLOOKUP($B18,#REF!,7,0)</f>
        <v>#REF!</v>
      </c>
      <c r="I18" s="19" t="e">
        <f>VLOOKUP($B18,#REF!,8,0)</f>
        <v>#REF!</v>
      </c>
      <c r="J18" s="159">
        <v>1034</v>
      </c>
      <c r="K18" s="22" t="s">
        <v>12</v>
      </c>
      <c r="L18" s="44">
        <v>8</v>
      </c>
      <c r="M18" s="35">
        <v>4</v>
      </c>
      <c r="N18" s="44">
        <v>6</v>
      </c>
      <c r="O18" s="161"/>
      <c r="P18" s="13"/>
      <c r="Q18" s="13"/>
      <c r="R18" s="13"/>
      <c r="S18" s="13"/>
      <c r="T18" s="13"/>
      <c r="AF18" s="12"/>
      <c r="AG18" s="12"/>
      <c r="AH18" s="12"/>
    </row>
    <row r="19" spans="2:73" ht="24.2" customHeight="1" thickBot="1" x14ac:dyDescent="0.25">
      <c r="B19" s="156"/>
      <c r="C19" s="163"/>
      <c r="D19" s="20" t="e">
        <f>VLOOKUP($B19,#REF!,3,0)</f>
        <v>#REF!</v>
      </c>
      <c r="E19" s="20" t="e">
        <f>VLOOKUP($B19,#REF!,4,0)</f>
        <v>#REF!</v>
      </c>
      <c r="F19" s="20" t="e">
        <f>VLOOKUP($B19,#REF!,5,0)</f>
        <v>#REF!</v>
      </c>
      <c r="G19" s="20" t="e">
        <f>VLOOKUP($B19,#REF!,6,0)</f>
        <v>#REF!</v>
      </c>
      <c r="H19" s="20" t="e">
        <f>VLOOKUP($B19,#REF!,7,0)</f>
        <v>#REF!</v>
      </c>
      <c r="I19" s="20" t="e">
        <f>VLOOKUP($B19,#REF!,8,0)</f>
        <v>#REF!</v>
      </c>
      <c r="J19" s="160"/>
      <c r="K19" s="34" t="s">
        <v>13</v>
      </c>
      <c r="L19" s="36">
        <v>8</v>
      </c>
      <c r="M19" s="36">
        <v>5</v>
      </c>
      <c r="N19" s="36">
        <v>7</v>
      </c>
      <c r="O19" s="162"/>
      <c r="P19" s="13"/>
      <c r="Q19" s="13"/>
      <c r="R19" s="13"/>
      <c r="S19" s="13"/>
      <c r="T19" s="13"/>
      <c r="AF19" s="12"/>
      <c r="AG19" s="12"/>
      <c r="AH19" s="14"/>
      <c r="AI19" s="15"/>
      <c r="AJ19" s="15"/>
      <c r="AK19" s="15"/>
      <c r="AL19" s="15"/>
      <c r="AM19" s="15"/>
      <c r="AN19" s="15"/>
      <c r="AO19" s="15"/>
      <c r="AP19" s="15"/>
      <c r="AQ19" s="15"/>
      <c r="AR19" s="15"/>
      <c r="AS19" s="15"/>
      <c r="AT19" s="15"/>
      <c r="AU19" s="15"/>
      <c r="AV19" s="15"/>
      <c r="AW19" s="15"/>
      <c r="AX19" s="15"/>
      <c r="AY19" s="15"/>
      <c r="AZ19" s="15"/>
      <c r="BA19" s="15"/>
      <c r="BB19" s="15"/>
      <c r="BC19" s="15"/>
      <c r="BD19" s="15"/>
      <c r="BE19" s="15"/>
      <c r="BF19" s="15"/>
      <c r="BG19" s="15"/>
      <c r="BH19" s="15"/>
      <c r="BI19" s="15"/>
      <c r="BJ19" s="15"/>
      <c r="BK19" s="15"/>
      <c r="BL19" s="15"/>
      <c r="BM19" s="15"/>
      <c r="BN19" s="15"/>
      <c r="BO19" s="15"/>
      <c r="BP19" s="15"/>
      <c r="BQ19" s="15"/>
      <c r="BR19" s="15"/>
      <c r="BS19" s="15"/>
      <c r="BT19" s="15"/>
      <c r="BU19" s="15"/>
    </row>
    <row r="20" spans="2:73" ht="24.2" customHeight="1" x14ac:dyDescent="0.2">
      <c r="B20" s="164">
        <v>6</v>
      </c>
      <c r="C20" s="157" t="s">
        <v>29</v>
      </c>
      <c r="D20" s="19" t="e">
        <f>VLOOKUP($B20,#REF!,3,0)</f>
        <v>#REF!</v>
      </c>
      <c r="E20" s="19" t="e">
        <f>VLOOKUP($B20,#REF!,4,0)</f>
        <v>#REF!</v>
      </c>
      <c r="F20" s="19" t="e">
        <f>VLOOKUP($B20,#REF!,5,0)</f>
        <v>#REF!</v>
      </c>
      <c r="G20" s="19" t="e">
        <f>VLOOKUP($B20,#REF!,6,0)</f>
        <v>#REF!</v>
      </c>
      <c r="H20" s="19" t="e">
        <f>VLOOKUP($B20,#REF!,7,0)</f>
        <v>#REF!</v>
      </c>
      <c r="I20" s="19" t="e">
        <f>VLOOKUP($B20,#REF!,8,0)</f>
        <v>#REF!</v>
      </c>
      <c r="J20" s="159"/>
      <c r="K20" s="22" t="s">
        <v>12</v>
      </c>
      <c r="L20" s="35">
        <v>7</v>
      </c>
      <c r="M20" s="35">
        <v>4</v>
      </c>
      <c r="N20" s="35">
        <v>8</v>
      </c>
      <c r="O20" s="161"/>
      <c r="P20" s="13"/>
      <c r="Q20" s="13"/>
      <c r="R20" s="13"/>
      <c r="S20" s="13"/>
      <c r="T20" s="13"/>
      <c r="AF20" s="12"/>
      <c r="AG20" s="12"/>
      <c r="AH20" s="12"/>
    </row>
    <row r="21" spans="2:73" ht="24.2" customHeight="1" thickBot="1" x14ac:dyDescent="0.25">
      <c r="B21" s="156"/>
      <c r="C21" s="158"/>
      <c r="D21" s="20" t="e">
        <f>VLOOKUP($B21,#REF!,3,0)</f>
        <v>#REF!</v>
      </c>
      <c r="E21" s="20" t="e">
        <f>VLOOKUP($B21,#REF!,4,0)</f>
        <v>#REF!</v>
      </c>
      <c r="F21" s="20" t="e">
        <f>VLOOKUP($B21,#REF!,5,0)</f>
        <v>#REF!</v>
      </c>
      <c r="G21" s="20" t="e">
        <f>VLOOKUP($B21,#REF!,6,0)</f>
        <v>#REF!</v>
      </c>
      <c r="H21" s="20" t="e">
        <f>VLOOKUP($B21,#REF!,7,0)</f>
        <v>#REF!</v>
      </c>
      <c r="I21" s="20" t="e">
        <f>VLOOKUP($B21,#REF!,8,0)</f>
        <v>#REF!</v>
      </c>
      <c r="J21" s="160"/>
      <c r="K21" s="34" t="s">
        <v>13</v>
      </c>
      <c r="L21" s="36">
        <v>9</v>
      </c>
      <c r="M21" s="36">
        <v>5</v>
      </c>
      <c r="N21" s="36">
        <v>8</v>
      </c>
      <c r="O21" s="162"/>
      <c r="P21" s="13"/>
      <c r="Q21" s="13"/>
      <c r="R21" s="13"/>
      <c r="S21" s="13"/>
      <c r="T21" s="13"/>
      <c r="AF21" s="12"/>
      <c r="AG21" s="12"/>
      <c r="AH21" s="14"/>
      <c r="AI21" s="15"/>
      <c r="AJ21" s="15"/>
      <c r="AK21" s="15"/>
      <c r="AL21" s="15"/>
      <c r="AM21" s="15"/>
      <c r="AN21" s="15"/>
      <c r="AO21" s="15"/>
      <c r="AP21" s="15"/>
      <c r="AQ21" s="15"/>
      <c r="AR21" s="15"/>
      <c r="AS21" s="15"/>
      <c r="AT21" s="15"/>
      <c r="AU21" s="15"/>
      <c r="AV21" s="15"/>
      <c r="AW21" s="15"/>
      <c r="AX21" s="15"/>
      <c r="AY21" s="15"/>
      <c r="AZ21" s="15"/>
      <c r="BA21" s="15"/>
      <c r="BB21" s="15"/>
      <c r="BC21" s="15"/>
      <c r="BD21" s="15"/>
      <c r="BE21" s="15"/>
      <c r="BF21" s="15"/>
      <c r="BG21" s="15"/>
      <c r="BH21" s="15"/>
      <c r="BI21" s="15"/>
      <c r="BJ21" s="15"/>
      <c r="BK21" s="15"/>
      <c r="BL21" s="15"/>
      <c r="BM21" s="15"/>
      <c r="BN21" s="15"/>
      <c r="BO21" s="15"/>
      <c r="BP21" s="15"/>
      <c r="BQ21" s="15"/>
      <c r="BR21" s="15"/>
      <c r="BS21" s="15"/>
      <c r="BT21" s="15"/>
      <c r="BU21" s="15"/>
    </row>
    <row r="22" spans="2:73" ht="24.2" customHeight="1" x14ac:dyDescent="0.2">
      <c r="B22" s="164">
        <v>7</v>
      </c>
      <c r="C22" s="157" t="s">
        <v>28</v>
      </c>
      <c r="D22" s="19" t="e">
        <f>VLOOKUP($B22,#REF!,3,0)</f>
        <v>#REF!</v>
      </c>
      <c r="E22" s="19" t="e">
        <f>VLOOKUP($B22,#REF!,4,0)</f>
        <v>#REF!</v>
      </c>
      <c r="F22" s="19" t="e">
        <f>VLOOKUP($B22,#REF!,5,0)</f>
        <v>#REF!</v>
      </c>
      <c r="G22" s="19" t="e">
        <f>VLOOKUP($B22,#REF!,6,0)</f>
        <v>#REF!</v>
      </c>
      <c r="H22" s="19" t="e">
        <f>VLOOKUP($B22,#REF!,7,0)</f>
        <v>#REF!</v>
      </c>
      <c r="I22" s="19" t="e">
        <f>VLOOKUP($B22,#REF!,8,0)</f>
        <v>#REF!</v>
      </c>
      <c r="J22" s="159"/>
      <c r="K22" s="22" t="s">
        <v>12</v>
      </c>
      <c r="L22" s="35">
        <v>5</v>
      </c>
      <c r="M22" s="35">
        <v>5</v>
      </c>
      <c r="N22" s="35">
        <v>5</v>
      </c>
      <c r="O22" s="161"/>
      <c r="P22" s="13"/>
      <c r="Q22" s="13"/>
      <c r="R22" s="13"/>
      <c r="S22" s="13"/>
      <c r="T22" s="13"/>
      <c r="AF22" s="12"/>
      <c r="AG22" s="12"/>
      <c r="AH22" s="12"/>
    </row>
    <row r="23" spans="2:73" ht="24.2" customHeight="1" thickBot="1" x14ac:dyDescent="0.25">
      <c r="B23" s="156"/>
      <c r="C23" s="163"/>
      <c r="D23" s="20" t="e">
        <f>VLOOKUP($B23,#REF!,3,0)</f>
        <v>#REF!</v>
      </c>
      <c r="E23" s="20" t="e">
        <f>VLOOKUP($B23,#REF!,4,0)</f>
        <v>#REF!</v>
      </c>
      <c r="F23" s="20" t="e">
        <f>VLOOKUP($B23,#REF!,5,0)</f>
        <v>#REF!</v>
      </c>
      <c r="G23" s="20" t="e">
        <f>VLOOKUP($B23,#REF!,6,0)</f>
        <v>#REF!</v>
      </c>
      <c r="H23" s="20" t="e">
        <f>VLOOKUP($B23,#REF!,7,0)</f>
        <v>#REF!</v>
      </c>
      <c r="I23" s="20" t="e">
        <f>VLOOKUP($B23,#REF!,8,0)</f>
        <v>#REF!</v>
      </c>
      <c r="J23" s="160"/>
      <c r="K23" s="34" t="s">
        <v>13</v>
      </c>
      <c r="L23" s="36">
        <v>6</v>
      </c>
      <c r="M23" s="36">
        <v>7</v>
      </c>
      <c r="N23" s="36">
        <v>6</v>
      </c>
      <c r="O23" s="162"/>
      <c r="P23" s="13"/>
      <c r="Q23" s="13"/>
      <c r="R23" s="13"/>
      <c r="S23" s="13"/>
      <c r="T23" s="13"/>
      <c r="AF23" s="12"/>
      <c r="AG23" s="12"/>
      <c r="AH23" s="14"/>
      <c r="AI23" s="15"/>
      <c r="AJ23" s="15"/>
      <c r="AK23" s="15"/>
      <c r="AL23" s="15"/>
      <c r="AM23" s="15"/>
      <c r="AN23" s="15"/>
      <c r="AO23" s="15"/>
      <c r="AP23" s="15"/>
      <c r="AQ23" s="15"/>
      <c r="AR23" s="15"/>
      <c r="AS23" s="15"/>
      <c r="AT23" s="15"/>
      <c r="AU23" s="15"/>
      <c r="AV23" s="15"/>
      <c r="AW23" s="15"/>
      <c r="AX23" s="15"/>
      <c r="AY23" s="15"/>
      <c r="AZ23" s="15"/>
      <c r="BA23" s="15"/>
      <c r="BB23" s="15"/>
      <c r="BC23" s="15"/>
      <c r="BD23" s="15"/>
      <c r="BE23" s="15"/>
      <c r="BF23" s="15"/>
      <c r="BG23" s="15"/>
      <c r="BH23" s="15"/>
      <c r="BI23" s="15"/>
      <c r="BJ23" s="15"/>
      <c r="BK23" s="15"/>
      <c r="BL23" s="15"/>
      <c r="BM23" s="15"/>
      <c r="BN23" s="15"/>
      <c r="BO23" s="15"/>
      <c r="BP23" s="15"/>
      <c r="BQ23" s="15"/>
      <c r="BR23" s="15"/>
      <c r="BS23" s="15"/>
      <c r="BT23" s="15"/>
      <c r="BU23" s="15"/>
    </row>
    <row r="24" spans="2:73" ht="24.2" customHeight="1" x14ac:dyDescent="0.2">
      <c r="B24" s="164">
        <v>8</v>
      </c>
      <c r="C24" s="157" t="s">
        <v>29</v>
      </c>
      <c r="D24" s="19" t="e">
        <f>VLOOKUP($B24,#REF!,3,0)</f>
        <v>#REF!</v>
      </c>
      <c r="E24" s="19" t="e">
        <f>VLOOKUP($B24,#REF!,4,0)</f>
        <v>#REF!</v>
      </c>
      <c r="F24" s="19" t="e">
        <f>VLOOKUP($B24,#REF!,5,0)</f>
        <v>#REF!</v>
      </c>
      <c r="G24" s="19" t="e">
        <f>VLOOKUP($B24,#REF!,6,0)</f>
        <v>#REF!</v>
      </c>
      <c r="H24" s="19" t="e">
        <f>VLOOKUP($B24,#REF!,7,0)</f>
        <v>#REF!</v>
      </c>
      <c r="I24" s="19" t="e">
        <f>VLOOKUP($B24,#REF!,8,0)</f>
        <v>#REF!</v>
      </c>
      <c r="J24" s="159"/>
      <c r="K24" s="22" t="s">
        <v>12</v>
      </c>
      <c r="L24" s="35">
        <v>7</v>
      </c>
      <c r="M24" s="35">
        <v>7</v>
      </c>
      <c r="N24" s="35">
        <v>7</v>
      </c>
      <c r="O24" s="161"/>
      <c r="P24" s="13"/>
      <c r="Q24" s="13"/>
      <c r="R24" s="13"/>
      <c r="S24" s="13"/>
      <c r="T24" s="13"/>
      <c r="AF24" s="9"/>
      <c r="AG24" s="9"/>
      <c r="AH24" s="9"/>
    </row>
    <row r="25" spans="2:73" ht="24.2" customHeight="1" thickBot="1" x14ac:dyDescent="0.25">
      <c r="B25" s="156"/>
      <c r="C25" s="158"/>
      <c r="D25" s="20" t="e">
        <f>VLOOKUP($B25,#REF!,3,0)</f>
        <v>#REF!</v>
      </c>
      <c r="E25" s="20" t="e">
        <f>VLOOKUP($B25,#REF!,4,0)</f>
        <v>#REF!</v>
      </c>
      <c r="F25" s="20" t="e">
        <f>VLOOKUP($B25,#REF!,5,0)</f>
        <v>#REF!</v>
      </c>
      <c r="G25" s="20" t="e">
        <f>VLOOKUP($B25,#REF!,6,0)</f>
        <v>#REF!</v>
      </c>
      <c r="H25" s="20" t="e">
        <f>VLOOKUP($B25,#REF!,7,0)</f>
        <v>#REF!</v>
      </c>
      <c r="I25" s="20" t="e">
        <f>VLOOKUP($B25,#REF!,8,0)</f>
        <v>#REF!</v>
      </c>
      <c r="J25" s="160"/>
      <c r="K25" s="34" t="s">
        <v>13</v>
      </c>
      <c r="L25" s="36">
        <v>7</v>
      </c>
      <c r="M25" s="36">
        <v>8</v>
      </c>
      <c r="N25" s="36">
        <v>6</v>
      </c>
      <c r="O25" s="162"/>
      <c r="P25" s="13"/>
      <c r="Q25" s="13"/>
      <c r="R25" s="13"/>
      <c r="S25" s="13"/>
      <c r="T25" s="13"/>
      <c r="AF25" s="12"/>
      <c r="AG25" s="12"/>
      <c r="AH25" s="14"/>
      <c r="AI25" s="15"/>
      <c r="AJ25" s="15"/>
      <c r="AK25" s="15"/>
      <c r="AL25" s="15"/>
      <c r="AM25" s="15"/>
      <c r="AN25" s="15"/>
      <c r="AO25" s="15"/>
      <c r="AP25" s="15"/>
      <c r="AQ25" s="15"/>
      <c r="AR25" s="15"/>
      <c r="AS25" s="15"/>
      <c r="AT25" s="15"/>
      <c r="AU25" s="15"/>
      <c r="AV25" s="15"/>
      <c r="AW25" s="15"/>
      <c r="AX25" s="15"/>
      <c r="AY25" s="15"/>
      <c r="AZ25" s="15"/>
      <c r="BA25" s="15"/>
      <c r="BB25" s="15"/>
      <c r="BC25" s="15"/>
      <c r="BD25" s="15"/>
      <c r="BE25" s="15"/>
      <c r="BF25" s="15"/>
      <c r="BG25" s="15"/>
      <c r="BH25" s="15"/>
      <c r="BI25" s="15"/>
      <c r="BJ25" s="15"/>
      <c r="BK25" s="15"/>
      <c r="BL25" s="15"/>
      <c r="BM25" s="15"/>
      <c r="BN25" s="15"/>
      <c r="BO25" s="15"/>
      <c r="BP25" s="15"/>
      <c r="BQ25" s="15"/>
      <c r="BR25" s="15"/>
      <c r="BS25" s="15"/>
      <c r="BT25" s="15"/>
      <c r="BU25" s="15"/>
    </row>
    <row r="26" spans="2:73" ht="24.2" customHeight="1" x14ac:dyDescent="0.2">
      <c r="B26" s="164">
        <v>9</v>
      </c>
      <c r="C26" s="157" t="s">
        <v>28</v>
      </c>
      <c r="D26" s="19" t="e">
        <f>VLOOKUP($B26,#REF!,3,0)</f>
        <v>#REF!</v>
      </c>
      <c r="E26" s="19" t="e">
        <f>VLOOKUP($B26,#REF!,4,0)</f>
        <v>#REF!</v>
      </c>
      <c r="F26" s="19" t="e">
        <f>VLOOKUP($B26,#REF!,5,0)</f>
        <v>#REF!</v>
      </c>
      <c r="G26" s="19" t="e">
        <f>VLOOKUP($B26,#REF!,6,0)</f>
        <v>#REF!</v>
      </c>
      <c r="H26" s="19" t="e">
        <f>VLOOKUP($B26,#REF!,7,0)</f>
        <v>#REF!</v>
      </c>
      <c r="I26" s="19" t="e">
        <f>VLOOKUP($B26,#REF!,8,0)</f>
        <v>#REF!</v>
      </c>
      <c r="J26" s="159">
        <v>1050</v>
      </c>
      <c r="K26" s="22" t="s">
        <v>12</v>
      </c>
      <c r="L26" s="35">
        <v>6</v>
      </c>
      <c r="M26" s="35">
        <v>7</v>
      </c>
      <c r="N26" s="35">
        <v>6</v>
      </c>
      <c r="O26" s="161"/>
      <c r="P26" s="13"/>
      <c r="Q26" s="13"/>
      <c r="R26" s="13"/>
      <c r="S26" s="13"/>
      <c r="T26" s="13"/>
      <c r="AF26" s="12"/>
      <c r="AG26" s="12"/>
      <c r="AH26" s="12"/>
    </row>
    <row r="27" spans="2:73" ht="24.2" customHeight="1" thickBot="1" x14ac:dyDescent="0.25">
      <c r="B27" s="156"/>
      <c r="C27" s="163"/>
      <c r="D27" s="20" t="e">
        <f>VLOOKUP($B27,#REF!,3,0)</f>
        <v>#REF!</v>
      </c>
      <c r="E27" s="20" t="e">
        <f>VLOOKUP($B27,#REF!,4,0)</f>
        <v>#REF!</v>
      </c>
      <c r="F27" s="20" t="e">
        <f>VLOOKUP($B27,#REF!,5,0)</f>
        <v>#REF!</v>
      </c>
      <c r="G27" s="20" t="e">
        <f>VLOOKUP($B27,#REF!,6,0)</f>
        <v>#REF!</v>
      </c>
      <c r="H27" s="20" t="e">
        <f>VLOOKUP($B27,#REF!,7,0)</f>
        <v>#REF!</v>
      </c>
      <c r="I27" s="20" t="e">
        <f>VLOOKUP($B27,#REF!,8,0)</f>
        <v>#REF!</v>
      </c>
      <c r="J27" s="160"/>
      <c r="K27" s="34" t="s">
        <v>13</v>
      </c>
      <c r="L27" s="36">
        <v>8</v>
      </c>
      <c r="M27" s="36">
        <v>8</v>
      </c>
      <c r="N27" s="36">
        <v>7</v>
      </c>
      <c r="O27" s="162"/>
      <c r="P27" s="13"/>
      <c r="Q27" s="13"/>
      <c r="R27" s="13"/>
      <c r="S27" s="13"/>
      <c r="T27" s="13"/>
      <c r="AF27" s="12"/>
      <c r="AG27" s="12"/>
      <c r="AH27" s="14"/>
      <c r="AI27" s="15"/>
      <c r="AJ27" s="15"/>
      <c r="AK27" s="15"/>
      <c r="AL27" s="15"/>
      <c r="AM27" s="15"/>
      <c r="AN27" s="15"/>
      <c r="AO27" s="15"/>
      <c r="AP27" s="15"/>
      <c r="AQ27" s="15"/>
      <c r="AR27" s="15"/>
      <c r="AS27" s="15"/>
      <c r="AT27" s="15"/>
      <c r="AU27" s="15"/>
      <c r="AV27" s="15"/>
      <c r="AW27" s="15"/>
      <c r="AX27" s="15"/>
      <c r="AY27" s="15"/>
      <c r="AZ27" s="15"/>
      <c r="BA27" s="15"/>
      <c r="BB27" s="15"/>
      <c r="BC27" s="15"/>
      <c r="BD27" s="15"/>
      <c r="BE27" s="15"/>
      <c r="BF27" s="15"/>
      <c r="BG27" s="15"/>
      <c r="BH27" s="15"/>
      <c r="BI27" s="15"/>
      <c r="BJ27" s="15"/>
      <c r="BK27" s="15"/>
      <c r="BL27" s="15"/>
      <c r="BM27" s="15"/>
      <c r="BN27" s="15"/>
      <c r="BO27" s="15"/>
      <c r="BP27" s="15"/>
      <c r="BQ27" s="15"/>
      <c r="BR27" s="15"/>
      <c r="BS27" s="15"/>
      <c r="BT27" s="15"/>
      <c r="BU27" s="15"/>
    </row>
    <row r="28" spans="2:73" ht="24.2" customHeight="1" x14ac:dyDescent="0.2">
      <c r="B28" s="155">
        <v>10</v>
      </c>
      <c r="C28" s="157" t="s">
        <v>29</v>
      </c>
      <c r="D28" s="19" t="e">
        <f>VLOOKUP($B28,#REF!,3,0)</f>
        <v>#REF!</v>
      </c>
      <c r="E28" s="19" t="e">
        <f>VLOOKUP($B28,#REF!,4,0)</f>
        <v>#REF!</v>
      </c>
      <c r="F28" s="19" t="e">
        <f>VLOOKUP($B28,#REF!,5,0)</f>
        <v>#REF!</v>
      </c>
      <c r="G28" s="19" t="e">
        <f>VLOOKUP($B28,#REF!,6,0)</f>
        <v>#REF!</v>
      </c>
      <c r="H28" s="19" t="e">
        <f>VLOOKUP($B28,#REF!,7,0)</f>
        <v>#REF!</v>
      </c>
      <c r="I28" s="19" t="e">
        <f>VLOOKUP($B28,#REF!,8,0)</f>
        <v>#REF!</v>
      </c>
      <c r="J28" s="159"/>
      <c r="K28" s="22" t="s">
        <v>12</v>
      </c>
      <c r="L28" s="35">
        <v>8</v>
      </c>
      <c r="M28" s="35">
        <v>4</v>
      </c>
      <c r="N28" s="35">
        <v>5</v>
      </c>
      <c r="O28" s="161"/>
      <c r="P28" s="13"/>
      <c r="Q28" s="13"/>
      <c r="R28" s="13"/>
      <c r="S28" s="13"/>
      <c r="T28" s="13"/>
    </row>
    <row r="29" spans="2:73" ht="24.2" customHeight="1" thickBot="1" x14ac:dyDescent="0.25">
      <c r="B29" s="156"/>
      <c r="C29" s="158"/>
      <c r="D29" s="20" t="e">
        <f>VLOOKUP($B29,#REF!,3,0)</f>
        <v>#REF!</v>
      </c>
      <c r="E29" s="20" t="e">
        <f>VLOOKUP($B29,#REF!,4,0)</f>
        <v>#REF!</v>
      </c>
      <c r="F29" s="20" t="e">
        <f>VLOOKUP($B29,#REF!,5,0)</f>
        <v>#REF!</v>
      </c>
      <c r="G29" s="20" t="e">
        <f>VLOOKUP($B29,#REF!,6,0)</f>
        <v>#REF!</v>
      </c>
      <c r="H29" s="20" t="e">
        <f>VLOOKUP($B29,#REF!,7,0)</f>
        <v>#REF!</v>
      </c>
      <c r="I29" s="20" t="e">
        <f>VLOOKUP($B29,#REF!,8,0)</f>
        <v>#REF!</v>
      </c>
      <c r="J29" s="160"/>
      <c r="K29" s="34" t="s">
        <v>13</v>
      </c>
      <c r="L29" s="36">
        <v>8</v>
      </c>
      <c r="M29" s="36">
        <v>7</v>
      </c>
      <c r="N29" s="36">
        <v>6</v>
      </c>
      <c r="O29" s="162"/>
      <c r="P29" s="13"/>
      <c r="Q29" s="13"/>
      <c r="R29" s="13"/>
      <c r="S29" s="13"/>
      <c r="T29" s="13"/>
      <c r="AF29" s="12"/>
      <c r="AG29" s="12"/>
      <c r="AH29" s="14"/>
      <c r="AI29" s="15"/>
      <c r="AJ29" s="15"/>
      <c r="AK29" s="15"/>
      <c r="AL29" s="15"/>
      <c r="AM29" s="15"/>
      <c r="AN29" s="15"/>
      <c r="AO29" s="15"/>
      <c r="AP29" s="15"/>
      <c r="AQ29" s="15"/>
      <c r="AR29" s="15"/>
      <c r="AS29" s="15"/>
      <c r="AT29" s="15"/>
      <c r="AU29" s="15"/>
      <c r="AV29" s="15"/>
      <c r="AW29" s="15"/>
      <c r="AX29" s="15"/>
      <c r="AY29" s="15"/>
      <c r="AZ29" s="15"/>
      <c r="BA29" s="15"/>
      <c r="BB29" s="15"/>
      <c r="BC29" s="15"/>
      <c r="BD29" s="15"/>
      <c r="BE29" s="15"/>
      <c r="BF29" s="15"/>
      <c r="BG29" s="15"/>
      <c r="BH29" s="15"/>
      <c r="BI29" s="15"/>
      <c r="BJ29" s="15"/>
      <c r="BK29" s="15"/>
      <c r="BL29" s="15"/>
      <c r="BM29" s="15"/>
      <c r="BN29" s="15"/>
      <c r="BO29" s="15"/>
      <c r="BP29" s="15"/>
      <c r="BQ29" s="15"/>
      <c r="BR29" s="15"/>
      <c r="BS29" s="15"/>
      <c r="BT29" s="15"/>
      <c r="BU29" s="15"/>
    </row>
    <row r="30" spans="2:73" ht="24.2" customHeight="1" x14ac:dyDescent="0.2">
      <c r="B30" s="155">
        <v>11</v>
      </c>
      <c r="C30" s="157" t="s">
        <v>28</v>
      </c>
      <c r="D30" s="19" t="e">
        <f>VLOOKUP($B30,#REF!,3,0)</f>
        <v>#REF!</v>
      </c>
      <c r="E30" s="19" t="e">
        <f>VLOOKUP($B30,#REF!,4,0)</f>
        <v>#REF!</v>
      </c>
      <c r="F30" s="19" t="e">
        <f>VLOOKUP($B30,#REF!,5,0)</f>
        <v>#REF!</v>
      </c>
      <c r="G30" s="19" t="e">
        <f>VLOOKUP($B30,#REF!,6,0)</f>
        <v>#REF!</v>
      </c>
      <c r="H30" s="19" t="e">
        <f>VLOOKUP($B30,#REF!,7,0)</f>
        <v>#REF!</v>
      </c>
      <c r="I30" s="19" t="e">
        <f>VLOOKUP($B30,#REF!,8,0)</f>
        <v>#REF!</v>
      </c>
      <c r="J30" s="159"/>
      <c r="K30" s="22" t="s">
        <v>12</v>
      </c>
      <c r="L30" s="44">
        <v>5</v>
      </c>
      <c r="M30" s="35">
        <v>6</v>
      </c>
      <c r="N30" s="35">
        <v>6</v>
      </c>
      <c r="O30" s="161"/>
      <c r="P30" s="13"/>
      <c r="Q30" s="13"/>
      <c r="R30" s="13"/>
      <c r="S30" s="13"/>
      <c r="T30" s="13"/>
    </row>
    <row r="31" spans="2:73" ht="24.2" customHeight="1" thickBot="1" x14ac:dyDescent="0.25">
      <c r="B31" s="156"/>
      <c r="C31" s="163"/>
      <c r="D31" s="20" t="e">
        <f>VLOOKUP($B31,#REF!,3,0)</f>
        <v>#REF!</v>
      </c>
      <c r="E31" s="20" t="e">
        <f>VLOOKUP($B31,#REF!,4,0)</f>
        <v>#REF!</v>
      </c>
      <c r="F31" s="20" t="e">
        <f>VLOOKUP($B31,#REF!,5,0)</f>
        <v>#REF!</v>
      </c>
      <c r="G31" s="20" t="e">
        <f>VLOOKUP($B31,#REF!,6,0)</f>
        <v>#REF!</v>
      </c>
      <c r="H31" s="20" t="e">
        <f>VLOOKUP($B31,#REF!,7,0)</f>
        <v>#REF!</v>
      </c>
      <c r="I31" s="20" t="e">
        <f>VLOOKUP($B31,#REF!,8,0)</f>
        <v>#REF!</v>
      </c>
      <c r="J31" s="160"/>
      <c r="K31" s="34" t="s">
        <v>13</v>
      </c>
      <c r="L31" s="36">
        <v>6</v>
      </c>
      <c r="M31" s="36">
        <v>8</v>
      </c>
      <c r="N31" s="36">
        <v>7</v>
      </c>
      <c r="O31" s="162"/>
      <c r="P31" s="13"/>
      <c r="Q31" s="13"/>
      <c r="R31" s="13"/>
      <c r="S31" s="13"/>
      <c r="T31" s="13"/>
      <c r="AF31" s="12"/>
      <c r="AG31" s="12"/>
      <c r="AH31" s="14"/>
      <c r="AI31" s="15"/>
      <c r="AJ31" s="15"/>
      <c r="AK31" s="15"/>
      <c r="AL31" s="15"/>
      <c r="AM31" s="15"/>
      <c r="AN31" s="15"/>
      <c r="AO31" s="15"/>
      <c r="AP31" s="15"/>
      <c r="AQ31" s="15"/>
      <c r="AR31" s="15"/>
      <c r="AS31" s="15"/>
      <c r="AT31" s="15"/>
      <c r="AU31" s="15"/>
      <c r="AV31" s="15"/>
      <c r="AW31" s="15"/>
      <c r="AX31" s="15"/>
      <c r="AY31" s="15"/>
      <c r="AZ31" s="15"/>
      <c r="BA31" s="15"/>
      <c r="BB31" s="15"/>
      <c r="BC31" s="15"/>
      <c r="BD31" s="15"/>
      <c r="BE31" s="15"/>
      <c r="BF31" s="15"/>
      <c r="BG31" s="15"/>
      <c r="BH31" s="15"/>
      <c r="BI31" s="15"/>
      <c r="BJ31" s="15"/>
      <c r="BK31" s="15"/>
      <c r="BL31" s="15"/>
      <c r="BM31" s="15"/>
      <c r="BN31" s="15"/>
      <c r="BO31" s="15"/>
      <c r="BP31" s="15"/>
      <c r="BQ31" s="15"/>
      <c r="BR31" s="15"/>
      <c r="BS31" s="15"/>
      <c r="BT31" s="15"/>
      <c r="BU31" s="15"/>
    </row>
    <row r="32" spans="2:73" ht="24.2" customHeight="1" x14ac:dyDescent="0.2">
      <c r="B32" s="155">
        <v>12</v>
      </c>
      <c r="C32" s="157" t="s">
        <v>29</v>
      </c>
      <c r="D32" s="19" t="e">
        <f>VLOOKUP($B32,#REF!,3,0)</f>
        <v>#REF!</v>
      </c>
      <c r="E32" s="19" t="e">
        <f>VLOOKUP($B32,#REF!,4,0)</f>
        <v>#REF!</v>
      </c>
      <c r="F32" s="19" t="e">
        <f>VLOOKUP($B32,#REF!,5,0)</f>
        <v>#REF!</v>
      </c>
      <c r="G32" s="19" t="e">
        <f>VLOOKUP($B32,#REF!,6,0)</f>
        <v>#REF!</v>
      </c>
      <c r="H32" s="19" t="e">
        <f>VLOOKUP($B32,#REF!,7,0)</f>
        <v>#REF!</v>
      </c>
      <c r="I32" s="19" t="e">
        <f>VLOOKUP($B32,#REF!,8,0)</f>
        <v>#REF!</v>
      </c>
      <c r="J32" s="159"/>
      <c r="K32" s="22" t="s">
        <v>12</v>
      </c>
      <c r="L32" s="35">
        <v>7</v>
      </c>
      <c r="M32" s="35">
        <v>7</v>
      </c>
      <c r="N32" s="35">
        <v>5</v>
      </c>
      <c r="O32" s="161"/>
      <c r="P32" s="13"/>
      <c r="Q32" s="13"/>
      <c r="R32" s="13"/>
      <c r="S32" s="13"/>
      <c r="T32" s="13"/>
    </row>
    <row r="33" spans="2:73" ht="24.2" customHeight="1" thickBot="1" x14ac:dyDescent="0.25">
      <c r="B33" s="156"/>
      <c r="C33" s="158"/>
      <c r="D33" s="20" t="e">
        <f>VLOOKUP($B33,#REF!,3,0)</f>
        <v>#REF!</v>
      </c>
      <c r="E33" s="20" t="e">
        <f>VLOOKUP($B33,#REF!,4,0)</f>
        <v>#REF!</v>
      </c>
      <c r="F33" s="20" t="e">
        <f>VLOOKUP($B33,#REF!,5,0)</f>
        <v>#REF!</v>
      </c>
      <c r="G33" s="20" t="e">
        <f>VLOOKUP($B33,#REF!,6,0)</f>
        <v>#REF!</v>
      </c>
      <c r="H33" s="20" t="e">
        <f>VLOOKUP($B33,#REF!,7,0)</f>
        <v>#REF!</v>
      </c>
      <c r="I33" s="20" t="e">
        <f>VLOOKUP($B33,#REF!,8,0)</f>
        <v>#REF!</v>
      </c>
      <c r="J33" s="160"/>
      <c r="K33" s="34" t="s">
        <v>13</v>
      </c>
      <c r="L33" s="36">
        <v>6</v>
      </c>
      <c r="M33" s="36">
        <v>8</v>
      </c>
      <c r="N33" s="36">
        <v>7</v>
      </c>
      <c r="O33" s="162"/>
      <c r="P33" s="13"/>
      <c r="Q33" s="13"/>
      <c r="R33" s="13"/>
      <c r="S33" s="13"/>
      <c r="T33" s="13"/>
      <c r="AF33" s="12"/>
      <c r="AG33" s="12"/>
      <c r="AH33" s="14"/>
      <c r="AI33" s="15"/>
      <c r="AJ33" s="15"/>
      <c r="AK33" s="15"/>
      <c r="AL33" s="15"/>
      <c r="AM33" s="15"/>
      <c r="AN33" s="15"/>
      <c r="AO33" s="15"/>
      <c r="AP33" s="15"/>
      <c r="AQ33" s="15"/>
      <c r="AR33" s="15"/>
      <c r="AS33" s="15"/>
      <c r="AT33" s="15"/>
      <c r="AU33" s="15"/>
      <c r="AV33" s="15"/>
      <c r="AW33" s="15"/>
      <c r="AX33" s="15"/>
      <c r="AY33" s="15"/>
      <c r="AZ33" s="15"/>
      <c r="BA33" s="15"/>
      <c r="BB33" s="15"/>
      <c r="BC33" s="15"/>
      <c r="BD33" s="15"/>
      <c r="BE33" s="15"/>
      <c r="BF33" s="15"/>
      <c r="BG33" s="15"/>
      <c r="BH33" s="15"/>
      <c r="BI33" s="15"/>
      <c r="BJ33" s="15"/>
      <c r="BK33" s="15"/>
      <c r="BL33" s="15"/>
      <c r="BM33" s="15"/>
      <c r="BN33" s="15"/>
      <c r="BO33" s="15"/>
      <c r="BP33" s="15"/>
      <c r="BQ33" s="15"/>
      <c r="BR33" s="15"/>
      <c r="BS33" s="15"/>
      <c r="BT33" s="15"/>
      <c r="BU33" s="15"/>
    </row>
    <row r="34" spans="2:73" ht="24.2" customHeight="1" x14ac:dyDescent="0.2">
      <c r="B34" s="155">
        <v>13</v>
      </c>
      <c r="C34" s="157" t="s">
        <v>28</v>
      </c>
      <c r="D34" s="19" t="e">
        <f>VLOOKUP($B34,#REF!,3,0)</f>
        <v>#REF!</v>
      </c>
      <c r="E34" s="19" t="e">
        <f>VLOOKUP($B34,#REF!,4,0)</f>
        <v>#REF!</v>
      </c>
      <c r="F34" s="19" t="e">
        <f>VLOOKUP($B34,#REF!,5,0)</f>
        <v>#REF!</v>
      </c>
      <c r="G34" s="19" t="e">
        <f>VLOOKUP($B34,#REF!,6,0)</f>
        <v>#REF!</v>
      </c>
      <c r="H34" s="19" t="e">
        <f>VLOOKUP($B34,#REF!,7,0)</f>
        <v>#REF!</v>
      </c>
      <c r="I34" s="19" t="e">
        <f>VLOOKUP($B34,#REF!,8,0)</f>
        <v>#REF!</v>
      </c>
      <c r="J34" s="159"/>
      <c r="K34" s="22" t="s">
        <v>12</v>
      </c>
      <c r="L34" s="35">
        <v>5</v>
      </c>
      <c r="M34" s="35">
        <v>6</v>
      </c>
      <c r="N34" s="35">
        <v>5</v>
      </c>
      <c r="O34" s="161"/>
      <c r="P34" s="13"/>
      <c r="Q34" s="13"/>
      <c r="R34" s="13"/>
      <c r="S34" s="13"/>
      <c r="T34" s="13"/>
    </row>
    <row r="35" spans="2:73" ht="24.2" customHeight="1" thickBot="1" x14ac:dyDescent="0.25">
      <c r="B35" s="156"/>
      <c r="C35" s="163"/>
      <c r="D35" s="20" t="e">
        <f>VLOOKUP($B35,#REF!,3,0)</f>
        <v>#REF!</v>
      </c>
      <c r="E35" s="20" t="e">
        <f>VLOOKUP($B35,#REF!,4,0)</f>
        <v>#REF!</v>
      </c>
      <c r="F35" s="20" t="e">
        <f>VLOOKUP($B35,#REF!,5,0)</f>
        <v>#REF!</v>
      </c>
      <c r="G35" s="20" t="e">
        <f>VLOOKUP($B35,#REF!,6,0)</f>
        <v>#REF!</v>
      </c>
      <c r="H35" s="20" t="e">
        <f>VLOOKUP($B35,#REF!,7,0)</f>
        <v>#REF!</v>
      </c>
      <c r="I35" s="20" t="e">
        <f>VLOOKUP($B35,#REF!,8,0)</f>
        <v>#REF!</v>
      </c>
      <c r="J35" s="160"/>
      <c r="K35" s="34" t="s">
        <v>13</v>
      </c>
      <c r="L35" s="36">
        <v>7</v>
      </c>
      <c r="M35" s="36">
        <v>7</v>
      </c>
      <c r="N35" s="36">
        <v>6</v>
      </c>
      <c r="O35" s="162"/>
      <c r="P35" s="13"/>
      <c r="Q35" s="13"/>
      <c r="R35" s="13"/>
      <c r="S35" s="13"/>
      <c r="T35" s="13"/>
      <c r="AF35" s="12"/>
      <c r="AG35" s="12"/>
      <c r="AH35" s="14"/>
      <c r="AI35" s="15"/>
      <c r="AJ35" s="15"/>
      <c r="AK35" s="15"/>
      <c r="AL35" s="15"/>
      <c r="AM35" s="15"/>
      <c r="AN35" s="15"/>
      <c r="AO35" s="15"/>
      <c r="AP35" s="15"/>
      <c r="AQ35" s="15"/>
      <c r="AR35" s="15"/>
      <c r="AS35" s="15"/>
      <c r="AT35" s="15"/>
      <c r="AU35" s="15"/>
      <c r="AV35" s="15"/>
      <c r="AW35" s="15"/>
      <c r="AX35" s="15"/>
      <c r="AY35" s="15"/>
      <c r="AZ35" s="15"/>
      <c r="BA35" s="15"/>
      <c r="BB35" s="15"/>
      <c r="BC35" s="15"/>
      <c r="BD35" s="15"/>
      <c r="BE35" s="15"/>
      <c r="BF35" s="15"/>
      <c r="BG35" s="15"/>
      <c r="BH35" s="15"/>
      <c r="BI35" s="15"/>
      <c r="BJ35" s="15"/>
      <c r="BK35" s="15"/>
      <c r="BL35" s="15"/>
      <c r="BM35" s="15"/>
      <c r="BN35" s="15"/>
      <c r="BO35" s="15"/>
      <c r="BP35" s="15"/>
      <c r="BQ35" s="15"/>
      <c r="BR35" s="15"/>
      <c r="BS35" s="15"/>
      <c r="BT35" s="15"/>
      <c r="BU35" s="15"/>
    </row>
    <row r="36" spans="2:73" ht="24.2" customHeight="1" x14ac:dyDescent="0.2">
      <c r="B36" s="155">
        <v>14</v>
      </c>
      <c r="C36" s="157" t="s">
        <v>29</v>
      </c>
      <c r="D36" s="19" t="e">
        <f>VLOOKUP($B36,#REF!,3,0)</f>
        <v>#REF!</v>
      </c>
      <c r="E36" s="19" t="e">
        <f>VLOOKUP($B36,#REF!,4,0)</f>
        <v>#REF!</v>
      </c>
      <c r="F36" s="19" t="e">
        <f>VLOOKUP($B36,#REF!,5,0)</f>
        <v>#REF!</v>
      </c>
      <c r="G36" s="19" t="e">
        <f>VLOOKUP($B36,#REF!,6,0)</f>
        <v>#REF!</v>
      </c>
      <c r="H36" s="19" t="e">
        <f>VLOOKUP($B36,#REF!,7,0)</f>
        <v>#REF!</v>
      </c>
      <c r="I36" s="19" t="e">
        <f>VLOOKUP($B36,#REF!,8,0)</f>
        <v>#REF!</v>
      </c>
      <c r="J36" s="159"/>
      <c r="K36" s="22" t="s">
        <v>12</v>
      </c>
      <c r="L36" s="35">
        <v>6</v>
      </c>
      <c r="M36" s="35">
        <v>6</v>
      </c>
      <c r="N36" s="35">
        <v>5</v>
      </c>
      <c r="O36" s="161"/>
      <c r="P36" s="13"/>
      <c r="Q36" s="13"/>
      <c r="R36" s="13"/>
      <c r="S36" s="13"/>
      <c r="T36" s="13"/>
    </row>
    <row r="37" spans="2:73" ht="24.2" customHeight="1" thickBot="1" x14ac:dyDescent="0.25">
      <c r="B37" s="156"/>
      <c r="C37" s="158"/>
      <c r="D37" s="20" t="e">
        <f>VLOOKUP($B37,#REF!,3,0)</f>
        <v>#REF!</v>
      </c>
      <c r="E37" s="20" t="e">
        <f>VLOOKUP($B37,#REF!,4,0)</f>
        <v>#REF!</v>
      </c>
      <c r="F37" s="20" t="e">
        <f>VLOOKUP($B37,#REF!,5,0)</f>
        <v>#REF!</v>
      </c>
      <c r="G37" s="20" t="e">
        <f>VLOOKUP($B37,#REF!,6,0)</f>
        <v>#REF!</v>
      </c>
      <c r="H37" s="20" t="e">
        <f>VLOOKUP($B37,#REF!,7,0)</f>
        <v>#REF!</v>
      </c>
      <c r="I37" s="20" t="e">
        <f>VLOOKUP($B37,#REF!,8,0)</f>
        <v>#REF!</v>
      </c>
      <c r="J37" s="160"/>
      <c r="K37" s="34" t="s">
        <v>13</v>
      </c>
      <c r="L37" s="36">
        <v>6</v>
      </c>
      <c r="M37" s="36">
        <v>8</v>
      </c>
      <c r="N37" s="36">
        <v>6</v>
      </c>
      <c r="O37" s="162"/>
      <c r="P37" s="13"/>
      <c r="Q37" s="13"/>
      <c r="R37" s="13"/>
      <c r="S37" s="13"/>
      <c r="T37" s="13"/>
      <c r="AF37" s="12"/>
      <c r="AG37" s="12"/>
      <c r="AH37" s="14"/>
      <c r="AI37" s="15"/>
      <c r="AJ37" s="15"/>
      <c r="AK37" s="15"/>
      <c r="AL37" s="15"/>
      <c r="AM37" s="15"/>
      <c r="AN37" s="15"/>
      <c r="AO37" s="15"/>
      <c r="AP37" s="15"/>
      <c r="AQ37" s="15"/>
      <c r="AR37" s="15"/>
      <c r="AS37" s="15"/>
      <c r="AT37" s="15"/>
      <c r="AU37" s="15"/>
      <c r="AV37" s="15"/>
      <c r="AW37" s="15"/>
      <c r="AX37" s="15"/>
      <c r="AY37" s="15"/>
      <c r="AZ37" s="15"/>
      <c r="BA37" s="15"/>
      <c r="BB37" s="15"/>
      <c r="BC37" s="15"/>
      <c r="BD37" s="15"/>
      <c r="BE37" s="15"/>
      <c r="BF37" s="15"/>
      <c r="BG37" s="15"/>
      <c r="BH37" s="15"/>
      <c r="BI37" s="15"/>
      <c r="BJ37" s="15"/>
      <c r="BK37" s="15"/>
      <c r="BL37" s="15"/>
      <c r="BM37" s="15"/>
      <c r="BN37" s="15"/>
      <c r="BO37" s="15"/>
      <c r="BP37" s="15"/>
      <c r="BQ37" s="15"/>
      <c r="BR37" s="15"/>
      <c r="BS37" s="15"/>
      <c r="BT37" s="15"/>
      <c r="BU37" s="15"/>
    </row>
    <row r="38" spans="2:73" ht="24.2" customHeight="1" x14ac:dyDescent="0.2">
      <c r="B38" s="155">
        <v>15</v>
      </c>
      <c r="C38" s="157" t="s">
        <v>28</v>
      </c>
      <c r="D38" s="19" t="e">
        <f>VLOOKUP($B38,#REF!,3,0)</f>
        <v>#REF!</v>
      </c>
      <c r="E38" s="19" t="e">
        <f>VLOOKUP($B38,#REF!,4,0)</f>
        <v>#REF!</v>
      </c>
      <c r="F38" s="19" t="e">
        <f>VLOOKUP($B38,#REF!,5,0)</f>
        <v>#REF!</v>
      </c>
      <c r="G38" s="19" t="e">
        <f>VLOOKUP($B38,#REF!,6,0)</f>
        <v>#REF!</v>
      </c>
      <c r="H38" s="19" t="e">
        <f>VLOOKUP($B38,#REF!,7,0)</f>
        <v>#REF!</v>
      </c>
      <c r="I38" s="19" t="e">
        <f>VLOOKUP($B38,#REF!,8,0)</f>
        <v>#REF!</v>
      </c>
      <c r="J38" s="159"/>
      <c r="K38" s="22" t="s">
        <v>12</v>
      </c>
      <c r="L38" s="44">
        <v>8</v>
      </c>
      <c r="M38" s="35">
        <v>5</v>
      </c>
      <c r="N38" s="35">
        <v>7</v>
      </c>
      <c r="O38" s="161"/>
      <c r="P38" s="13"/>
      <c r="Q38" s="13"/>
      <c r="R38" s="13"/>
      <c r="S38" s="13"/>
      <c r="T38" s="13"/>
    </row>
    <row r="39" spans="2:73" ht="24.2" customHeight="1" thickBot="1" x14ac:dyDescent="0.25">
      <c r="B39" s="156"/>
      <c r="C39" s="163"/>
      <c r="D39" s="20" t="e">
        <f>VLOOKUP($B39,#REF!,3,0)</f>
        <v>#REF!</v>
      </c>
      <c r="E39" s="20" t="e">
        <f>VLOOKUP($B39,#REF!,4,0)</f>
        <v>#REF!</v>
      </c>
      <c r="F39" s="20" t="e">
        <f>VLOOKUP($B39,#REF!,5,0)</f>
        <v>#REF!</v>
      </c>
      <c r="G39" s="20" t="e">
        <f>VLOOKUP($B39,#REF!,6,0)</f>
        <v>#REF!</v>
      </c>
      <c r="H39" s="20" t="e">
        <f>VLOOKUP($B39,#REF!,7,0)</f>
        <v>#REF!</v>
      </c>
      <c r="I39" s="20" t="e">
        <f>VLOOKUP($B39,#REF!,8,0)</f>
        <v>#REF!</v>
      </c>
      <c r="J39" s="160"/>
      <c r="K39" s="34" t="s">
        <v>13</v>
      </c>
      <c r="L39" s="36">
        <v>8</v>
      </c>
      <c r="M39" s="36">
        <v>6</v>
      </c>
      <c r="N39" s="36">
        <v>8</v>
      </c>
      <c r="O39" s="162"/>
      <c r="P39" s="13"/>
      <c r="Q39" s="13"/>
      <c r="R39" s="13"/>
      <c r="S39" s="13"/>
      <c r="T39" s="13"/>
      <c r="AF39" s="12"/>
      <c r="AG39" s="12"/>
      <c r="AH39" s="14"/>
      <c r="AI39" s="15"/>
      <c r="AJ39" s="15"/>
      <c r="AK39" s="15"/>
      <c r="AL39" s="15"/>
      <c r="AM39" s="15"/>
      <c r="AN39" s="15"/>
      <c r="AO39" s="15"/>
      <c r="AP39" s="15"/>
      <c r="AQ39" s="15"/>
      <c r="AR39" s="15"/>
      <c r="AS39" s="15"/>
      <c r="AT39" s="15"/>
      <c r="AU39" s="15"/>
      <c r="AV39" s="15"/>
      <c r="AW39" s="15"/>
      <c r="AX39" s="15"/>
      <c r="AY39" s="15"/>
      <c r="AZ39" s="15"/>
      <c r="BA39" s="15"/>
      <c r="BB39" s="15"/>
      <c r="BC39" s="15"/>
      <c r="BD39" s="15"/>
      <c r="BE39" s="15"/>
      <c r="BF39" s="15"/>
      <c r="BG39" s="15"/>
      <c r="BH39" s="15"/>
      <c r="BI39" s="15"/>
      <c r="BJ39" s="15"/>
      <c r="BK39" s="15"/>
      <c r="BL39" s="15"/>
      <c r="BM39" s="15"/>
      <c r="BN39" s="15"/>
      <c r="BO39" s="15"/>
      <c r="BP39" s="15"/>
      <c r="BQ39" s="15"/>
      <c r="BR39" s="15"/>
      <c r="BS39" s="15"/>
      <c r="BT39" s="15"/>
      <c r="BU39" s="15"/>
    </row>
    <row r="40" spans="2:73" ht="24.2" customHeight="1" x14ac:dyDescent="0.2">
      <c r="B40" s="155">
        <v>16</v>
      </c>
      <c r="C40" s="157" t="s">
        <v>29</v>
      </c>
      <c r="D40" s="19" t="e">
        <f>VLOOKUP($B40,#REF!,3,0)</f>
        <v>#REF!</v>
      </c>
      <c r="E40" s="19" t="e">
        <f>VLOOKUP($B40,#REF!,4,0)</f>
        <v>#REF!</v>
      </c>
      <c r="F40" s="19" t="e">
        <f>VLOOKUP($B40,#REF!,5,0)</f>
        <v>#REF!</v>
      </c>
      <c r="G40" s="19" t="e">
        <f>VLOOKUP($B40,#REF!,6,0)</f>
        <v>#REF!</v>
      </c>
      <c r="H40" s="19" t="e">
        <f>VLOOKUP($B40,#REF!,7,0)</f>
        <v>#REF!</v>
      </c>
      <c r="I40" s="19" t="e">
        <f>VLOOKUP($B40,#REF!,8,0)</f>
        <v>#REF!</v>
      </c>
      <c r="J40" s="159">
        <v>1115</v>
      </c>
      <c r="K40" s="22" t="s">
        <v>12</v>
      </c>
      <c r="L40" s="44">
        <v>5</v>
      </c>
      <c r="M40" s="44">
        <v>6</v>
      </c>
      <c r="N40" s="35">
        <v>7</v>
      </c>
      <c r="O40" s="161"/>
      <c r="P40" s="13"/>
      <c r="Q40" s="13"/>
      <c r="R40" s="13"/>
      <c r="S40" s="13"/>
      <c r="T40" s="13"/>
    </row>
    <row r="41" spans="2:73" ht="24.2" customHeight="1" thickBot="1" x14ac:dyDescent="0.25">
      <c r="B41" s="156"/>
      <c r="C41" s="158"/>
      <c r="D41" s="20" t="e">
        <f>VLOOKUP($B41,#REF!,3,0)</f>
        <v>#REF!</v>
      </c>
      <c r="E41" s="20" t="e">
        <f>VLOOKUP($B41,#REF!,4,0)</f>
        <v>#REF!</v>
      </c>
      <c r="F41" s="20" t="e">
        <f>VLOOKUP($B41,#REF!,5,0)</f>
        <v>#REF!</v>
      </c>
      <c r="G41" s="20" t="e">
        <f>VLOOKUP($B41,#REF!,6,0)</f>
        <v>#REF!</v>
      </c>
      <c r="H41" s="20" t="e">
        <f>VLOOKUP($B41,#REF!,7,0)</f>
        <v>#REF!</v>
      </c>
      <c r="I41" s="20" t="e">
        <f>VLOOKUP($B41,#REF!,8,0)</f>
        <v>#REF!</v>
      </c>
      <c r="J41" s="160"/>
      <c r="K41" s="34" t="s">
        <v>13</v>
      </c>
      <c r="L41" s="36">
        <v>8</v>
      </c>
      <c r="M41" s="36">
        <v>8</v>
      </c>
      <c r="N41" s="36">
        <v>9</v>
      </c>
      <c r="O41" s="162"/>
      <c r="P41" s="13"/>
      <c r="Q41" s="13"/>
      <c r="R41" s="13"/>
      <c r="S41" s="13"/>
      <c r="T41" s="13"/>
      <c r="AF41" s="12"/>
      <c r="AG41" s="12"/>
      <c r="AH41" s="14"/>
      <c r="AI41" s="15"/>
      <c r="AJ41" s="15"/>
      <c r="AK41" s="15"/>
      <c r="AL41" s="15"/>
      <c r="AM41" s="15"/>
      <c r="AN41" s="15"/>
      <c r="AO41" s="15"/>
      <c r="AP41" s="15"/>
      <c r="AQ41" s="15"/>
      <c r="AR41" s="15"/>
      <c r="AS41" s="15"/>
      <c r="AT41" s="15"/>
      <c r="AU41" s="15"/>
      <c r="AV41" s="15"/>
      <c r="AW41" s="15"/>
      <c r="AX41" s="15"/>
      <c r="AY41" s="15"/>
      <c r="AZ41" s="15"/>
      <c r="BA41" s="15"/>
      <c r="BB41" s="15"/>
      <c r="BC41" s="15"/>
      <c r="BD41" s="15"/>
      <c r="BE41" s="15"/>
      <c r="BF41" s="15"/>
      <c r="BG41" s="15"/>
      <c r="BH41" s="15"/>
      <c r="BI41" s="15"/>
      <c r="BJ41" s="15"/>
      <c r="BK41" s="15"/>
      <c r="BL41" s="15"/>
      <c r="BM41" s="15"/>
      <c r="BN41" s="15"/>
      <c r="BO41" s="15"/>
      <c r="BP41" s="15"/>
      <c r="BQ41" s="15"/>
      <c r="BR41" s="15"/>
      <c r="BS41" s="15"/>
      <c r="BT41" s="15"/>
      <c r="BU41" s="15"/>
    </row>
  </sheetData>
  <mergeCells count="66">
    <mergeCell ref="AF5:AH5"/>
    <mergeCell ref="L6:N6"/>
    <mergeCell ref="O7:O8"/>
    <mergeCell ref="B8:K8"/>
    <mergeCell ref="B10:B11"/>
    <mergeCell ref="C10:C11"/>
    <mergeCell ref="J10:J11"/>
    <mergeCell ref="B18:B19"/>
    <mergeCell ref="C18:C19"/>
    <mergeCell ref="J18:J19"/>
    <mergeCell ref="O18:O19"/>
    <mergeCell ref="B12:B13"/>
    <mergeCell ref="C12:C13"/>
    <mergeCell ref="J12:J13"/>
    <mergeCell ref="B14:B15"/>
    <mergeCell ref="C14:C15"/>
    <mergeCell ref="J14:J15"/>
    <mergeCell ref="O14:O15"/>
    <mergeCell ref="B16:B17"/>
    <mergeCell ref="C16:C17"/>
    <mergeCell ref="J16:J17"/>
    <mergeCell ref="O16:O17"/>
    <mergeCell ref="B20:B21"/>
    <mergeCell ref="C20:C21"/>
    <mergeCell ref="J20:J21"/>
    <mergeCell ref="O20:O21"/>
    <mergeCell ref="B22:B23"/>
    <mergeCell ref="C22:C23"/>
    <mergeCell ref="J22:J23"/>
    <mergeCell ref="O22:O23"/>
    <mergeCell ref="B24:B25"/>
    <mergeCell ref="C24:C25"/>
    <mergeCell ref="J24:J25"/>
    <mergeCell ref="O24:O25"/>
    <mergeCell ref="B26:B27"/>
    <mergeCell ref="C26:C27"/>
    <mergeCell ref="J26:J27"/>
    <mergeCell ref="O26:O27"/>
    <mergeCell ref="B28:B29"/>
    <mergeCell ref="C28:C29"/>
    <mergeCell ref="J28:J29"/>
    <mergeCell ref="O28:O29"/>
    <mergeCell ref="B30:B31"/>
    <mergeCell ref="C30:C31"/>
    <mergeCell ref="J30:J31"/>
    <mergeCell ref="O30:O31"/>
    <mergeCell ref="B32:B33"/>
    <mergeCell ref="C32:C33"/>
    <mergeCell ref="J32:J33"/>
    <mergeCell ref="O32:O33"/>
    <mergeCell ref="B34:B35"/>
    <mergeCell ref="C34:C35"/>
    <mergeCell ref="J34:J35"/>
    <mergeCell ref="O34:O35"/>
    <mergeCell ref="B40:B41"/>
    <mergeCell ref="C40:C41"/>
    <mergeCell ref="J40:J41"/>
    <mergeCell ref="O40:O41"/>
    <mergeCell ref="B36:B37"/>
    <mergeCell ref="C36:C37"/>
    <mergeCell ref="J36:J37"/>
    <mergeCell ref="O36:O37"/>
    <mergeCell ref="B38:B39"/>
    <mergeCell ref="C38:C39"/>
    <mergeCell ref="J38:J39"/>
    <mergeCell ref="O38:O39"/>
  </mergeCells>
  <pageMargins left="0.45" right="0" top="0.49" bottom="0" header="0.64" footer="0"/>
  <pageSetup paperSize="512" scale="74" orientation="portrait" r:id="rId1"/>
  <headerFooter alignWithMargins="0"/>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BU43"/>
  <sheetViews>
    <sheetView zoomScale="90" zoomScaleNormal="90" workbookViewId="0"/>
  </sheetViews>
  <sheetFormatPr defaultRowHeight="12.75" x14ac:dyDescent="0.2"/>
  <cols>
    <col min="1" max="1" width="5.42578125" customWidth="1"/>
    <col min="2" max="2" width="6.28515625" customWidth="1"/>
    <col min="3" max="3" width="12.7109375" customWidth="1"/>
    <col min="4" max="8" width="5.28515625" hidden="1" customWidth="1"/>
    <col min="9" max="9" width="7" hidden="1" customWidth="1"/>
    <col min="10" max="10" width="8.42578125" customWidth="1"/>
    <col min="11" max="14" width="12.7109375" customWidth="1"/>
    <col min="15" max="15" width="48.7109375" customWidth="1"/>
    <col min="22" max="22" width="7.5703125" customWidth="1"/>
    <col min="23" max="32" width="7.7109375" customWidth="1"/>
  </cols>
  <sheetData>
    <row r="1" spans="1:73" ht="15" customHeight="1" x14ac:dyDescent="0.25">
      <c r="A1" s="1" t="s">
        <v>33</v>
      </c>
    </row>
    <row r="2" spans="1:73" ht="20.25" customHeight="1" thickBot="1" x14ac:dyDescent="0.3">
      <c r="A2" s="1"/>
      <c r="M2" s="15" t="s">
        <v>0</v>
      </c>
      <c r="N2" s="23">
        <v>40682</v>
      </c>
      <c r="O2" s="29"/>
    </row>
    <row r="3" spans="1:73" ht="20.25" customHeight="1" thickBot="1" x14ac:dyDescent="0.25">
      <c r="A3" t="s">
        <v>1</v>
      </c>
      <c r="C3" s="38" t="s">
        <v>37</v>
      </c>
      <c r="D3" s="3"/>
      <c r="E3" s="3"/>
      <c r="F3" s="3"/>
      <c r="G3" s="3"/>
      <c r="H3" s="3"/>
      <c r="I3" s="3"/>
      <c r="J3" s="3"/>
      <c r="K3" s="3"/>
      <c r="L3" s="3"/>
      <c r="M3" s="15" t="s">
        <v>23</v>
      </c>
      <c r="N3" s="2">
        <v>139</v>
      </c>
      <c r="O3" s="30"/>
    </row>
    <row r="4" spans="1:73" ht="20.25" customHeight="1" thickBot="1" x14ac:dyDescent="0.25">
      <c r="B4" s="3"/>
      <c r="C4" s="38" t="s">
        <v>38</v>
      </c>
      <c r="D4" s="4"/>
      <c r="E4" s="4"/>
      <c r="F4" s="4"/>
      <c r="G4" s="4"/>
      <c r="H4" s="4"/>
      <c r="I4" s="4"/>
      <c r="J4" s="4"/>
      <c r="K4" s="4"/>
      <c r="L4" s="4"/>
      <c r="M4" s="15" t="s">
        <v>2</v>
      </c>
      <c r="N4" s="2" t="s">
        <v>26</v>
      </c>
      <c r="O4" s="30"/>
    </row>
    <row r="5" spans="1:73" ht="18" x14ac:dyDescent="0.2">
      <c r="AE5" s="5"/>
      <c r="AF5" s="165"/>
      <c r="AG5" s="165"/>
      <c r="AH5" s="165"/>
    </row>
    <row r="6" spans="1:73" ht="18" x14ac:dyDescent="0.25">
      <c r="L6" s="174"/>
      <c r="M6" s="167"/>
      <c r="N6" s="168"/>
      <c r="O6" s="31"/>
      <c r="AE6" s="5"/>
      <c r="AF6" s="24"/>
      <c r="AG6" s="24"/>
      <c r="AH6" s="24"/>
    </row>
    <row r="7" spans="1:73" ht="25.5" customHeight="1" x14ac:dyDescent="0.2">
      <c r="B7" s="6" t="s">
        <v>3</v>
      </c>
      <c r="C7" s="7"/>
      <c r="D7" s="7" t="s">
        <v>4</v>
      </c>
      <c r="E7" s="6" t="s">
        <v>5</v>
      </c>
      <c r="F7" s="7" t="s">
        <v>6</v>
      </c>
      <c r="G7" s="6" t="s">
        <v>7</v>
      </c>
      <c r="H7" s="6" t="s">
        <v>8</v>
      </c>
      <c r="I7" s="6" t="s">
        <v>9</v>
      </c>
      <c r="J7" s="6" t="s">
        <v>11</v>
      </c>
      <c r="K7" s="8" t="s">
        <v>24</v>
      </c>
      <c r="L7" s="22" t="s">
        <v>30</v>
      </c>
      <c r="M7" s="22" t="s">
        <v>31</v>
      </c>
      <c r="N7" s="22" t="s">
        <v>32</v>
      </c>
      <c r="O7" s="169" t="s">
        <v>25</v>
      </c>
      <c r="AE7" s="10"/>
      <c r="AF7" s="9"/>
      <c r="AG7" s="9"/>
      <c r="AH7" s="11"/>
    </row>
    <row r="8" spans="1:73" ht="15.95" customHeight="1" thickBot="1" x14ac:dyDescent="0.25">
      <c r="B8" s="170"/>
      <c r="C8" s="171"/>
      <c r="D8" s="171"/>
      <c r="E8" s="171"/>
      <c r="F8" s="171"/>
      <c r="G8" s="171"/>
      <c r="H8" s="171"/>
      <c r="I8" s="171"/>
      <c r="J8" s="171"/>
      <c r="K8" s="172"/>
      <c r="L8" s="39" t="s">
        <v>27</v>
      </c>
      <c r="M8" s="39"/>
      <c r="N8" s="39"/>
      <c r="O8" s="163"/>
      <c r="AF8" s="12"/>
      <c r="AG8" s="12"/>
      <c r="AH8" s="12"/>
    </row>
    <row r="9" spans="1:73" ht="15.95" hidden="1" customHeight="1" x14ac:dyDescent="0.2">
      <c r="B9" s="25" t="s">
        <v>3</v>
      </c>
      <c r="C9" s="26" t="s">
        <v>10</v>
      </c>
      <c r="D9" s="26" t="s">
        <v>14</v>
      </c>
      <c r="E9" s="25" t="s">
        <v>15</v>
      </c>
      <c r="F9" s="26" t="s">
        <v>16</v>
      </c>
      <c r="G9" s="25" t="s">
        <v>17</v>
      </c>
      <c r="H9" s="25" t="s">
        <v>8</v>
      </c>
      <c r="I9" s="25" t="s">
        <v>18</v>
      </c>
      <c r="J9" s="27" t="s">
        <v>11</v>
      </c>
      <c r="K9" s="27" t="s">
        <v>19</v>
      </c>
      <c r="L9" s="28" t="s">
        <v>20</v>
      </c>
      <c r="M9" s="28" t="s">
        <v>21</v>
      </c>
      <c r="N9" s="28" t="s">
        <v>22</v>
      </c>
      <c r="O9" s="32"/>
      <c r="AF9" s="12"/>
      <c r="AG9" s="12"/>
      <c r="AH9" s="12"/>
    </row>
    <row r="10" spans="1:73" ht="24.2" customHeight="1" x14ac:dyDescent="0.2">
      <c r="B10" s="164">
        <v>1</v>
      </c>
      <c r="C10" s="157" t="s">
        <v>28</v>
      </c>
      <c r="D10" s="19" t="e">
        <f>VLOOKUP($B10,#REF!,3,0)</f>
        <v>#REF!</v>
      </c>
      <c r="E10" s="19" t="e">
        <f>VLOOKUP($B10,#REF!,4,0)</f>
        <v>#REF!</v>
      </c>
      <c r="F10" s="19" t="e">
        <f>VLOOKUP($B10,#REF!,5,0)</f>
        <v>#REF!</v>
      </c>
      <c r="G10" s="19" t="e">
        <f>VLOOKUP($B10,#REF!,6,0)</f>
        <v>#REF!</v>
      </c>
      <c r="H10" s="19" t="e">
        <f>VLOOKUP($B10,#REF!,7,0)</f>
        <v>#REF!</v>
      </c>
      <c r="I10" s="19" t="e">
        <f>VLOOKUP($B10,#REF!,8,0)</f>
        <v>#REF!</v>
      </c>
      <c r="J10" s="173">
        <v>1315</v>
      </c>
      <c r="K10" s="22" t="s">
        <v>12</v>
      </c>
      <c r="L10" s="35">
        <v>16</v>
      </c>
      <c r="M10" s="35">
        <v>11</v>
      </c>
      <c r="N10" s="44">
        <v>12</v>
      </c>
      <c r="O10" s="40"/>
      <c r="P10" s="13"/>
      <c r="Q10" s="13"/>
      <c r="R10" s="13"/>
      <c r="S10" s="13"/>
      <c r="T10" s="13"/>
      <c r="AF10" s="12"/>
      <c r="AG10" s="12"/>
      <c r="AH10" s="14"/>
      <c r="AI10" s="15"/>
      <c r="AJ10" s="15"/>
      <c r="AK10" s="15"/>
      <c r="AL10" s="15"/>
      <c r="AM10" s="15"/>
      <c r="AN10" s="15"/>
      <c r="AO10" s="15"/>
      <c r="AP10" s="15"/>
      <c r="AQ10" s="15"/>
      <c r="AR10" s="15"/>
      <c r="AS10" s="15"/>
      <c r="AT10" s="15"/>
      <c r="AU10" s="15"/>
      <c r="AV10" s="15"/>
      <c r="AW10" s="15"/>
      <c r="AX10" s="15"/>
      <c r="AY10" s="15"/>
      <c r="AZ10" s="15"/>
      <c r="BA10" s="15"/>
      <c r="BB10" s="15"/>
      <c r="BC10" s="15"/>
      <c r="BD10" s="15"/>
      <c r="BE10" s="15"/>
      <c r="BF10" s="15"/>
      <c r="BG10" s="15"/>
      <c r="BH10" s="15"/>
      <c r="BI10" s="15"/>
      <c r="BJ10" s="15"/>
      <c r="BK10" s="15"/>
      <c r="BL10" s="15"/>
      <c r="BM10" s="15"/>
      <c r="BN10" s="15"/>
      <c r="BO10" s="15"/>
      <c r="BP10" s="15"/>
      <c r="BQ10" s="15"/>
      <c r="BR10" s="15"/>
      <c r="BS10" s="15"/>
      <c r="BT10" s="15"/>
      <c r="BU10" s="15"/>
    </row>
    <row r="11" spans="1:73" ht="24.2" customHeight="1" thickBot="1" x14ac:dyDescent="0.25">
      <c r="B11" s="156"/>
      <c r="C11" s="163"/>
      <c r="D11" s="20" t="e">
        <f>VLOOKUP($B11,#REF!,3,0)</f>
        <v>#REF!</v>
      </c>
      <c r="E11" s="20" t="e">
        <f>VLOOKUP($B11,#REF!,4,0)</f>
        <v>#REF!</v>
      </c>
      <c r="F11" s="20" t="e">
        <f>VLOOKUP($B11,#REF!,5,0)</f>
        <v>#REF!</v>
      </c>
      <c r="G11" s="20" t="e">
        <f>VLOOKUP($B11,#REF!,6,0)</f>
        <v>#REF!</v>
      </c>
      <c r="H11" s="20" t="e">
        <f>VLOOKUP($B11,#REF!,7,0)</f>
        <v>#REF!</v>
      </c>
      <c r="I11" s="20" t="e">
        <f>VLOOKUP($B11,#REF!,8,0)</f>
        <v>#REF!</v>
      </c>
      <c r="J11" s="160"/>
      <c r="K11" s="34" t="s">
        <v>13</v>
      </c>
      <c r="L11" s="36">
        <v>15</v>
      </c>
      <c r="M11" s="36">
        <v>16</v>
      </c>
      <c r="N11" s="36">
        <v>16</v>
      </c>
      <c r="O11" s="41"/>
      <c r="P11" s="13"/>
      <c r="Q11" s="13"/>
      <c r="R11" s="13"/>
      <c r="S11" s="13"/>
      <c r="T11" s="13"/>
      <c r="AF11" s="12"/>
      <c r="AG11" s="12"/>
      <c r="AH11" s="14"/>
      <c r="AI11" s="15"/>
      <c r="AJ11" s="15"/>
      <c r="AK11" s="15"/>
      <c r="AL11" s="15"/>
      <c r="AM11" s="15"/>
      <c r="AN11" s="15"/>
      <c r="AO11" s="15"/>
      <c r="AP11" s="15"/>
      <c r="AQ11" s="15"/>
      <c r="AR11" s="15"/>
      <c r="AS11" s="15"/>
      <c r="AT11" s="15"/>
      <c r="AU11" s="15"/>
      <c r="AV11" s="15"/>
      <c r="AW11" s="15"/>
      <c r="AX11" s="15"/>
      <c r="AY11" s="15"/>
      <c r="AZ11" s="15"/>
      <c r="BA11" s="15"/>
      <c r="BB11" s="15"/>
      <c r="BC11" s="15"/>
      <c r="BD11" s="15"/>
      <c r="BE11" s="15"/>
      <c r="BF11" s="15"/>
      <c r="BG11" s="15"/>
      <c r="BH11" s="15"/>
      <c r="BI11" s="15"/>
      <c r="BJ11" s="15"/>
      <c r="BK11" s="15"/>
      <c r="BL11" s="15"/>
      <c r="BM11" s="15"/>
      <c r="BN11" s="15"/>
      <c r="BO11" s="15"/>
      <c r="BP11" s="15"/>
      <c r="BQ11" s="15"/>
      <c r="BR11" s="15"/>
      <c r="BS11" s="15"/>
      <c r="BT11" s="15"/>
      <c r="BU11" s="15"/>
    </row>
    <row r="12" spans="1:73" ht="24.2" customHeight="1" x14ac:dyDescent="0.2">
      <c r="B12" s="164">
        <v>2</v>
      </c>
      <c r="C12" s="157" t="s">
        <v>29</v>
      </c>
      <c r="D12" s="21" t="e">
        <f>VLOOKUP($B12,#REF!,3,0)</f>
        <v>#REF!</v>
      </c>
      <c r="E12" s="21" t="e">
        <f>VLOOKUP($B12,#REF!,4,0)</f>
        <v>#REF!</v>
      </c>
      <c r="F12" s="21" t="e">
        <f>VLOOKUP($B12,#REF!,5,0)</f>
        <v>#REF!</v>
      </c>
      <c r="G12" s="21" t="e">
        <f>VLOOKUP($B12,#REF!,6,0)</f>
        <v>#REF!</v>
      </c>
      <c r="H12" s="21" t="e">
        <f>VLOOKUP($B12,#REF!,7,0)</f>
        <v>#REF!</v>
      </c>
      <c r="I12" s="21" t="e">
        <f>VLOOKUP($B12,#REF!,8,0)</f>
        <v>#REF!</v>
      </c>
      <c r="J12" s="159"/>
      <c r="K12" s="33" t="s">
        <v>12</v>
      </c>
      <c r="L12" s="35">
        <v>13</v>
      </c>
      <c r="M12" s="35">
        <v>12</v>
      </c>
      <c r="N12" s="35">
        <v>12</v>
      </c>
      <c r="O12" s="42"/>
      <c r="P12" s="13"/>
      <c r="Q12" s="16"/>
      <c r="R12" s="13"/>
      <c r="S12" s="17"/>
      <c r="T12" s="13"/>
      <c r="AF12" s="12"/>
      <c r="AG12" s="12"/>
      <c r="AH12" s="12"/>
      <c r="AI12" s="18"/>
      <c r="AJ12" s="18"/>
      <c r="AK12" s="18"/>
      <c r="AL12" s="18"/>
      <c r="AM12" s="18"/>
      <c r="AN12" s="18"/>
      <c r="AO12" s="18"/>
      <c r="AP12" s="18"/>
      <c r="AQ12" s="18"/>
      <c r="AR12" s="18"/>
      <c r="AS12" s="18"/>
      <c r="AT12" s="18"/>
      <c r="AU12" s="18"/>
      <c r="AV12" s="18"/>
      <c r="AW12" s="18"/>
      <c r="AX12" s="18"/>
      <c r="AY12" s="18"/>
      <c r="AZ12" s="18"/>
      <c r="BA12" s="18"/>
      <c r="BB12" s="18"/>
      <c r="BC12" s="18"/>
      <c r="BD12" s="18"/>
      <c r="BE12" s="18"/>
      <c r="BF12" s="18"/>
      <c r="BG12" s="18"/>
      <c r="BH12" s="18"/>
      <c r="BI12" s="18"/>
      <c r="BJ12" s="18"/>
      <c r="BK12" s="18"/>
      <c r="BL12" s="18"/>
      <c r="BM12" s="18"/>
      <c r="BN12" s="18"/>
      <c r="BO12" s="18"/>
      <c r="BP12" s="18"/>
      <c r="BQ12" s="18"/>
      <c r="BR12" s="18"/>
      <c r="BS12" s="18"/>
      <c r="BT12" s="18"/>
      <c r="BU12" s="18"/>
    </row>
    <row r="13" spans="1:73" ht="24.2" customHeight="1" thickBot="1" x14ac:dyDescent="0.25">
      <c r="B13" s="156"/>
      <c r="C13" s="158"/>
      <c r="D13" s="20" t="e">
        <f>VLOOKUP($B13,#REF!,3,0)</f>
        <v>#REF!</v>
      </c>
      <c r="E13" s="20" t="e">
        <f>VLOOKUP($B13,#REF!,4,0)</f>
        <v>#REF!</v>
      </c>
      <c r="F13" s="20" t="e">
        <f>VLOOKUP($B13,#REF!,5,0)</f>
        <v>#REF!</v>
      </c>
      <c r="G13" s="20" t="e">
        <f>VLOOKUP($B13,#REF!,6,0)</f>
        <v>#REF!</v>
      </c>
      <c r="H13" s="20" t="e">
        <f>VLOOKUP($B13,#REF!,7,0)</f>
        <v>#REF!</v>
      </c>
      <c r="I13" s="20" t="e">
        <f>VLOOKUP($B13,#REF!,8,0)</f>
        <v>#REF!</v>
      </c>
      <c r="J13" s="160"/>
      <c r="K13" s="34" t="s">
        <v>13</v>
      </c>
      <c r="L13" s="37">
        <v>15</v>
      </c>
      <c r="M13" s="36">
        <v>16</v>
      </c>
      <c r="N13" s="36">
        <v>17</v>
      </c>
      <c r="O13" s="43"/>
      <c r="P13" s="13"/>
      <c r="Q13" s="13"/>
      <c r="R13" s="13"/>
      <c r="S13" s="13"/>
      <c r="T13" s="13"/>
      <c r="AF13" s="12"/>
      <c r="AG13" s="12"/>
      <c r="AH13" s="14"/>
      <c r="AI13" s="15"/>
      <c r="AJ13" s="15"/>
      <c r="AK13" s="15"/>
      <c r="AL13" s="15"/>
      <c r="AM13" s="15"/>
      <c r="AN13" s="15"/>
      <c r="AO13" s="15"/>
      <c r="AP13" s="15"/>
      <c r="AQ13" s="15"/>
      <c r="AR13" s="15"/>
      <c r="AS13" s="15"/>
      <c r="AT13" s="15"/>
      <c r="AU13" s="15"/>
      <c r="AV13" s="15"/>
      <c r="AW13" s="15"/>
      <c r="AX13" s="15"/>
      <c r="AY13" s="15"/>
      <c r="AZ13" s="15"/>
      <c r="BA13" s="15"/>
      <c r="BB13" s="15"/>
      <c r="BC13" s="15"/>
      <c r="BD13" s="15"/>
      <c r="BE13" s="15"/>
      <c r="BF13" s="15"/>
      <c r="BG13" s="15"/>
      <c r="BH13" s="15"/>
      <c r="BI13" s="15"/>
      <c r="BJ13" s="15"/>
      <c r="BK13" s="15"/>
      <c r="BL13" s="15"/>
      <c r="BM13" s="15"/>
      <c r="BN13" s="15"/>
      <c r="BO13" s="15"/>
      <c r="BP13" s="15"/>
      <c r="BQ13" s="15"/>
      <c r="BR13" s="15"/>
      <c r="BS13" s="15"/>
      <c r="BT13" s="15"/>
      <c r="BU13" s="15"/>
    </row>
    <row r="14" spans="1:73" ht="24.2" customHeight="1" x14ac:dyDescent="0.2">
      <c r="B14" s="164">
        <v>3</v>
      </c>
      <c r="C14" s="157" t="s">
        <v>28</v>
      </c>
      <c r="D14" s="19" t="e">
        <f>VLOOKUP($B14,#REF!,3,0)</f>
        <v>#REF!</v>
      </c>
      <c r="E14" s="19" t="e">
        <f>VLOOKUP($B14,#REF!,4,0)</f>
        <v>#REF!</v>
      </c>
      <c r="F14" s="19" t="e">
        <f>VLOOKUP($B14,#REF!,5,0)</f>
        <v>#REF!</v>
      </c>
      <c r="G14" s="19" t="e">
        <f>VLOOKUP($B14,#REF!,6,0)</f>
        <v>#REF!</v>
      </c>
      <c r="H14" s="19" t="e">
        <f>VLOOKUP($B14,#REF!,7,0)</f>
        <v>#REF!</v>
      </c>
      <c r="I14" s="19" t="e">
        <f>VLOOKUP($B14,#REF!,8,0)</f>
        <v>#REF!</v>
      </c>
      <c r="J14" s="159"/>
      <c r="K14" s="22" t="s">
        <v>12</v>
      </c>
      <c r="L14" s="35">
        <v>13</v>
      </c>
      <c r="M14" s="35">
        <v>11</v>
      </c>
      <c r="N14" s="35">
        <v>12</v>
      </c>
      <c r="O14" s="161"/>
      <c r="P14" s="13"/>
      <c r="Q14" s="13"/>
      <c r="R14" s="13"/>
      <c r="S14" s="13"/>
      <c r="T14" s="13"/>
      <c r="AF14" s="12"/>
      <c r="AG14" s="12"/>
      <c r="AH14" s="12"/>
    </row>
    <row r="15" spans="1:73" ht="24.2" customHeight="1" thickBot="1" x14ac:dyDescent="0.25">
      <c r="B15" s="156"/>
      <c r="C15" s="163"/>
      <c r="D15" s="20" t="e">
        <f>VLOOKUP($B15,#REF!,3,0)</f>
        <v>#REF!</v>
      </c>
      <c r="E15" s="20" t="e">
        <f>VLOOKUP($B15,#REF!,4,0)</f>
        <v>#REF!</v>
      </c>
      <c r="F15" s="20" t="e">
        <f>VLOOKUP($B15,#REF!,5,0)</f>
        <v>#REF!</v>
      </c>
      <c r="G15" s="20" t="e">
        <f>VLOOKUP($B15,#REF!,6,0)</f>
        <v>#REF!</v>
      </c>
      <c r="H15" s="20" t="e">
        <f>VLOOKUP($B15,#REF!,7,0)</f>
        <v>#REF!</v>
      </c>
      <c r="I15" s="20" t="e">
        <f>VLOOKUP($B15,#REF!,8,0)</f>
        <v>#REF!</v>
      </c>
      <c r="J15" s="160"/>
      <c r="K15" s="34" t="s">
        <v>13</v>
      </c>
      <c r="L15" s="36">
        <v>14</v>
      </c>
      <c r="M15" s="36">
        <v>14</v>
      </c>
      <c r="N15" s="36">
        <v>15</v>
      </c>
      <c r="O15" s="162"/>
      <c r="P15" s="13"/>
      <c r="Q15" s="13"/>
      <c r="R15" s="13"/>
      <c r="S15" s="13"/>
      <c r="T15" s="13"/>
      <c r="AF15" s="12"/>
      <c r="AG15" s="12"/>
      <c r="AH15" s="14"/>
      <c r="AI15" s="15"/>
      <c r="AJ15" s="15"/>
      <c r="AK15" s="15"/>
      <c r="AL15" s="15"/>
      <c r="AM15" s="15"/>
      <c r="AN15" s="15"/>
      <c r="AO15" s="15"/>
      <c r="AP15" s="15"/>
      <c r="AQ15" s="15"/>
      <c r="AR15" s="15"/>
      <c r="AS15" s="15"/>
      <c r="AT15" s="15"/>
      <c r="AU15" s="15"/>
      <c r="AV15" s="15"/>
      <c r="AW15" s="15"/>
      <c r="AX15" s="15"/>
      <c r="AY15" s="15"/>
      <c r="AZ15" s="15"/>
      <c r="BA15" s="15"/>
      <c r="BB15" s="15"/>
      <c r="BC15" s="15"/>
      <c r="BD15" s="15"/>
      <c r="BE15" s="15"/>
      <c r="BF15" s="15"/>
      <c r="BG15" s="15"/>
      <c r="BH15" s="15"/>
      <c r="BI15" s="15"/>
      <c r="BJ15" s="15"/>
      <c r="BK15" s="15"/>
      <c r="BL15" s="15"/>
      <c r="BM15" s="15"/>
      <c r="BN15" s="15"/>
      <c r="BO15" s="15"/>
      <c r="BP15" s="15"/>
      <c r="BQ15" s="15"/>
      <c r="BR15" s="15"/>
      <c r="BS15" s="15"/>
      <c r="BT15" s="15"/>
      <c r="BU15" s="15"/>
    </row>
    <row r="16" spans="1:73" ht="24.2" customHeight="1" x14ac:dyDescent="0.2">
      <c r="B16" s="164">
        <v>4</v>
      </c>
      <c r="C16" s="157" t="s">
        <v>29</v>
      </c>
      <c r="D16" s="19" t="e">
        <f>VLOOKUP($B16,#REF!,3,0)</f>
        <v>#REF!</v>
      </c>
      <c r="E16" s="19" t="e">
        <f>VLOOKUP($B16,#REF!,4,0)</f>
        <v>#REF!</v>
      </c>
      <c r="F16" s="19" t="e">
        <f>VLOOKUP($B16,#REF!,5,0)</f>
        <v>#REF!</v>
      </c>
      <c r="G16" s="19" t="e">
        <f>VLOOKUP($B16,#REF!,6,0)</f>
        <v>#REF!</v>
      </c>
      <c r="H16" s="19" t="e">
        <f>VLOOKUP($B16,#REF!,7,0)</f>
        <v>#REF!</v>
      </c>
      <c r="I16" s="19" t="e">
        <f>VLOOKUP($B16,#REF!,8,0)</f>
        <v>#REF!</v>
      </c>
      <c r="J16" s="159"/>
      <c r="K16" s="22" t="s">
        <v>12</v>
      </c>
      <c r="L16" s="35">
        <v>13</v>
      </c>
      <c r="M16" s="35">
        <v>12</v>
      </c>
      <c r="N16" s="44">
        <v>14</v>
      </c>
      <c r="O16" s="161"/>
      <c r="P16" s="13"/>
      <c r="Q16" s="13"/>
      <c r="R16" s="13"/>
      <c r="S16" s="13"/>
      <c r="T16" s="13"/>
    </row>
    <row r="17" spans="2:73" ht="24.2" customHeight="1" thickBot="1" x14ac:dyDescent="0.25">
      <c r="B17" s="156"/>
      <c r="C17" s="158"/>
      <c r="D17" s="20" t="e">
        <f>VLOOKUP($B17,#REF!,3,0)</f>
        <v>#REF!</v>
      </c>
      <c r="E17" s="20" t="e">
        <f>VLOOKUP($B17,#REF!,4,0)</f>
        <v>#REF!</v>
      </c>
      <c r="F17" s="20" t="e">
        <f>VLOOKUP($B17,#REF!,5,0)</f>
        <v>#REF!</v>
      </c>
      <c r="G17" s="20" t="e">
        <f>VLOOKUP($B17,#REF!,6,0)</f>
        <v>#REF!</v>
      </c>
      <c r="H17" s="20" t="e">
        <f>VLOOKUP($B17,#REF!,7,0)</f>
        <v>#REF!</v>
      </c>
      <c r="I17" s="20" t="e">
        <f>VLOOKUP($B17,#REF!,8,0)</f>
        <v>#REF!</v>
      </c>
      <c r="J17" s="160"/>
      <c r="K17" s="34" t="s">
        <v>13</v>
      </c>
      <c r="L17" s="36">
        <v>16</v>
      </c>
      <c r="M17" s="36">
        <v>16</v>
      </c>
      <c r="N17" s="36">
        <v>17</v>
      </c>
      <c r="O17" s="162"/>
      <c r="P17" s="13"/>
      <c r="Q17" s="13"/>
      <c r="R17" s="13"/>
      <c r="S17" s="13"/>
      <c r="T17" s="13"/>
      <c r="AF17" s="12"/>
      <c r="AG17" s="12"/>
      <c r="AH17" s="14"/>
      <c r="AI17" s="15"/>
      <c r="AJ17" s="15"/>
      <c r="AK17" s="15"/>
      <c r="AL17" s="15"/>
      <c r="AM17" s="15"/>
      <c r="AN17" s="15"/>
      <c r="AO17" s="15"/>
      <c r="AP17" s="15"/>
      <c r="AQ17" s="15"/>
      <c r="AR17" s="15"/>
      <c r="AS17" s="15"/>
      <c r="AT17" s="15"/>
      <c r="AU17" s="15"/>
      <c r="AV17" s="15"/>
      <c r="AW17" s="15"/>
      <c r="AX17" s="15"/>
      <c r="AY17" s="15"/>
      <c r="AZ17" s="15"/>
      <c r="BA17" s="15"/>
      <c r="BB17" s="15"/>
      <c r="BC17" s="15"/>
      <c r="BD17" s="15"/>
      <c r="BE17" s="15"/>
      <c r="BF17" s="15"/>
      <c r="BG17" s="15"/>
      <c r="BH17" s="15"/>
      <c r="BI17" s="15"/>
      <c r="BJ17" s="15"/>
      <c r="BK17" s="15"/>
      <c r="BL17" s="15"/>
      <c r="BM17" s="15"/>
      <c r="BN17" s="15"/>
      <c r="BO17" s="15"/>
      <c r="BP17" s="15"/>
      <c r="BQ17" s="15"/>
      <c r="BR17" s="15"/>
      <c r="BS17" s="15"/>
      <c r="BT17" s="15"/>
      <c r="BU17" s="15"/>
    </row>
    <row r="18" spans="2:73" ht="24.2" customHeight="1" x14ac:dyDescent="0.2">
      <c r="B18" s="164">
        <v>5</v>
      </c>
      <c r="C18" s="157" t="s">
        <v>28</v>
      </c>
      <c r="D18" s="19" t="e">
        <f>VLOOKUP($B18,#REF!,3,0)</f>
        <v>#REF!</v>
      </c>
      <c r="E18" s="19" t="e">
        <f>VLOOKUP($B18,#REF!,4,0)</f>
        <v>#REF!</v>
      </c>
      <c r="F18" s="19" t="e">
        <f>VLOOKUP($B18,#REF!,5,0)</f>
        <v>#REF!</v>
      </c>
      <c r="G18" s="19" t="e">
        <f>VLOOKUP($B18,#REF!,6,0)</f>
        <v>#REF!</v>
      </c>
      <c r="H18" s="19" t="e">
        <f>VLOOKUP($B18,#REF!,7,0)</f>
        <v>#REF!</v>
      </c>
      <c r="I18" s="19" t="e">
        <f>VLOOKUP($B18,#REF!,8,0)</f>
        <v>#REF!</v>
      </c>
      <c r="J18" s="159"/>
      <c r="K18" s="22" t="s">
        <v>12</v>
      </c>
      <c r="L18" s="44">
        <v>11</v>
      </c>
      <c r="M18" s="35">
        <v>11</v>
      </c>
      <c r="N18" s="44">
        <v>13</v>
      </c>
      <c r="O18" s="161"/>
      <c r="P18" s="13"/>
      <c r="Q18" s="13"/>
      <c r="R18" s="13"/>
      <c r="S18" s="13"/>
      <c r="T18" s="13"/>
      <c r="AF18" s="12"/>
      <c r="AG18" s="12"/>
      <c r="AH18" s="12"/>
    </row>
    <row r="19" spans="2:73" ht="24.2" customHeight="1" thickBot="1" x14ac:dyDescent="0.25">
      <c r="B19" s="156"/>
      <c r="C19" s="163"/>
      <c r="D19" s="20" t="e">
        <f>VLOOKUP($B19,#REF!,3,0)</f>
        <v>#REF!</v>
      </c>
      <c r="E19" s="20" t="e">
        <f>VLOOKUP($B19,#REF!,4,0)</f>
        <v>#REF!</v>
      </c>
      <c r="F19" s="20" t="e">
        <f>VLOOKUP($B19,#REF!,5,0)</f>
        <v>#REF!</v>
      </c>
      <c r="G19" s="20" t="e">
        <f>VLOOKUP($B19,#REF!,6,0)</f>
        <v>#REF!</v>
      </c>
      <c r="H19" s="20" t="e">
        <f>VLOOKUP($B19,#REF!,7,0)</f>
        <v>#REF!</v>
      </c>
      <c r="I19" s="20" t="e">
        <f>VLOOKUP($B19,#REF!,8,0)</f>
        <v>#REF!</v>
      </c>
      <c r="J19" s="160"/>
      <c r="K19" s="34" t="s">
        <v>13</v>
      </c>
      <c r="L19" s="36">
        <v>14</v>
      </c>
      <c r="M19" s="36">
        <v>12</v>
      </c>
      <c r="N19" s="36">
        <v>14</v>
      </c>
      <c r="O19" s="162"/>
      <c r="P19" s="13"/>
      <c r="Q19" s="13"/>
      <c r="R19" s="13"/>
      <c r="S19" s="13"/>
      <c r="T19" s="13"/>
      <c r="AF19" s="12"/>
      <c r="AG19" s="12"/>
      <c r="AH19" s="14"/>
      <c r="AI19" s="15"/>
      <c r="AJ19" s="15"/>
      <c r="AK19" s="15"/>
      <c r="AL19" s="15"/>
      <c r="AM19" s="15"/>
      <c r="AN19" s="15"/>
      <c r="AO19" s="15"/>
      <c r="AP19" s="15"/>
      <c r="AQ19" s="15"/>
      <c r="AR19" s="15"/>
      <c r="AS19" s="15"/>
      <c r="AT19" s="15"/>
      <c r="AU19" s="15"/>
      <c r="AV19" s="15"/>
      <c r="AW19" s="15"/>
      <c r="AX19" s="15"/>
      <c r="AY19" s="15"/>
      <c r="AZ19" s="15"/>
      <c r="BA19" s="15"/>
      <c r="BB19" s="15"/>
      <c r="BC19" s="15"/>
      <c r="BD19" s="15"/>
      <c r="BE19" s="15"/>
      <c r="BF19" s="15"/>
      <c r="BG19" s="15"/>
      <c r="BH19" s="15"/>
      <c r="BI19" s="15"/>
      <c r="BJ19" s="15"/>
      <c r="BK19" s="15"/>
      <c r="BL19" s="15"/>
      <c r="BM19" s="15"/>
      <c r="BN19" s="15"/>
      <c r="BO19" s="15"/>
      <c r="BP19" s="15"/>
      <c r="BQ19" s="15"/>
      <c r="BR19" s="15"/>
      <c r="BS19" s="15"/>
      <c r="BT19" s="15"/>
      <c r="BU19" s="15"/>
    </row>
    <row r="20" spans="2:73" ht="24.2" customHeight="1" x14ac:dyDescent="0.2">
      <c r="B20" s="164">
        <v>6</v>
      </c>
      <c r="C20" s="157" t="s">
        <v>29</v>
      </c>
      <c r="D20" s="19" t="e">
        <f>VLOOKUP($B20,#REF!,3,0)</f>
        <v>#REF!</v>
      </c>
      <c r="E20" s="19" t="e">
        <f>VLOOKUP($B20,#REF!,4,0)</f>
        <v>#REF!</v>
      </c>
      <c r="F20" s="19" t="e">
        <f>VLOOKUP($B20,#REF!,5,0)</f>
        <v>#REF!</v>
      </c>
      <c r="G20" s="19" t="e">
        <f>VLOOKUP($B20,#REF!,6,0)</f>
        <v>#REF!</v>
      </c>
      <c r="H20" s="19" t="e">
        <f>VLOOKUP($B20,#REF!,7,0)</f>
        <v>#REF!</v>
      </c>
      <c r="I20" s="19" t="e">
        <f>VLOOKUP($B20,#REF!,8,0)</f>
        <v>#REF!</v>
      </c>
      <c r="J20" s="159"/>
      <c r="K20" s="22" t="s">
        <v>12</v>
      </c>
      <c r="L20" s="35">
        <v>14</v>
      </c>
      <c r="M20" s="35">
        <v>12</v>
      </c>
      <c r="N20" s="35">
        <v>9</v>
      </c>
      <c r="O20" s="161"/>
      <c r="P20" s="13"/>
      <c r="Q20" s="13"/>
      <c r="R20" s="13"/>
      <c r="S20" s="13"/>
      <c r="T20" s="13"/>
      <c r="AF20" s="12"/>
      <c r="AG20" s="12"/>
      <c r="AH20" s="12"/>
    </row>
    <row r="21" spans="2:73" ht="24.2" customHeight="1" thickBot="1" x14ac:dyDescent="0.25">
      <c r="B21" s="156"/>
      <c r="C21" s="158"/>
      <c r="D21" s="20" t="e">
        <f>VLOOKUP($B21,#REF!,3,0)</f>
        <v>#REF!</v>
      </c>
      <c r="E21" s="20" t="e">
        <f>VLOOKUP($B21,#REF!,4,0)</f>
        <v>#REF!</v>
      </c>
      <c r="F21" s="20" t="e">
        <f>VLOOKUP($B21,#REF!,5,0)</f>
        <v>#REF!</v>
      </c>
      <c r="G21" s="20" t="e">
        <f>VLOOKUP($B21,#REF!,6,0)</f>
        <v>#REF!</v>
      </c>
      <c r="H21" s="20" t="e">
        <f>VLOOKUP($B21,#REF!,7,0)</f>
        <v>#REF!</v>
      </c>
      <c r="I21" s="20" t="e">
        <f>VLOOKUP($B21,#REF!,8,0)</f>
        <v>#REF!</v>
      </c>
      <c r="J21" s="160"/>
      <c r="K21" s="34" t="s">
        <v>13</v>
      </c>
      <c r="L21" s="36">
        <v>15</v>
      </c>
      <c r="M21" s="36">
        <v>16</v>
      </c>
      <c r="N21" s="36">
        <v>17</v>
      </c>
      <c r="O21" s="162"/>
      <c r="P21" s="13"/>
      <c r="Q21" s="13"/>
      <c r="R21" s="13"/>
      <c r="S21" s="13"/>
      <c r="T21" s="13"/>
      <c r="AF21" s="12"/>
      <c r="AG21" s="12"/>
      <c r="AH21" s="14"/>
      <c r="AI21" s="15"/>
      <c r="AJ21" s="15"/>
      <c r="AK21" s="15"/>
      <c r="AL21" s="15"/>
      <c r="AM21" s="15"/>
      <c r="AN21" s="15"/>
      <c r="AO21" s="15"/>
      <c r="AP21" s="15"/>
      <c r="AQ21" s="15"/>
      <c r="AR21" s="15"/>
      <c r="AS21" s="15"/>
      <c r="AT21" s="15"/>
      <c r="AU21" s="15"/>
      <c r="AV21" s="15"/>
      <c r="AW21" s="15"/>
      <c r="AX21" s="15"/>
      <c r="AY21" s="15"/>
      <c r="AZ21" s="15"/>
      <c r="BA21" s="15"/>
      <c r="BB21" s="15"/>
      <c r="BC21" s="15"/>
      <c r="BD21" s="15"/>
      <c r="BE21" s="15"/>
      <c r="BF21" s="15"/>
      <c r="BG21" s="15"/>
      <c r="BH21" s="15"/>
      <c r="BI21" s="15"/>
      <c r="BJ21" s="15"/>
      <c r="BK21" s="15"/>
      <c r="BL21" s="15"/>
      <c r="BM21" s="15"/>
      <c r="BN21" s="15"/>
      <c r="BO21" s="15"/>
      <c r="BP21" s="15"/>
      <c r="BQ21" s="15"/>
      <c r="BR21" s="15"/>
      <c r="BS21" s="15"/>
      <c r="BT21" s="15"/>
      <c r="BU21" s="15"/>
    </row>
    <row r="22" spans="2:73" ht="24.2" customHeight="1" x14ac:dyDescent="0.2">
      <c r="B22" s="164">
        <v>7</v>
      </c>
      <c r="C22" s="157" t="s">
        <v>28</v>
      </c>
      <c r="D22" s="19" t="e">
        <f>VLOOKUP($B22,#REF!,3,0)</f>
        <v>#REF!</v>
      </c>
      <c r="E22" s="19" t="e">
        <f>VLOOKUP($B22,#REF!,4,0)</f>
        <v>#REF!</v>
      </c>
      <c r="F22" s="19" t="e">
        <f>VLOOKUP($B22,#REF!,5,0)</f>
        <v>#REF!</v>
      </c>
      <c r="G22" s="19" t="e">
        <f>VLOOKUP($B22,#REF!,6,0)</f>
        <v>#REF!</v>
      </c>
      <c r="H22" s="19" t="e">
        <f>VLOOKUP($B22,#REF!,7,0)</f>
        <v>#REF!</v>
      </c>
      <c r="I22" s="19" t="e">
        <f>VLOOKUP($B22,#REF!,8,0)</f>
        <v>#REF!</v>
      </c>
      <c r="J22" s="159"/>
      <c r="K22" s="22" t="s">
        <v>12</v>
      </c>
      <c r="L22" s="35">
        <v>14</v>
      </c>
      <c r="M22" s="35">
        <v>11</v>
      </c>
      <c r="N22" s="35">
        <v>11</v>
      </c>
      <c r="O22" s="161"/>
      <c r="P22" s="13"/>
      <c r="Q22" s="13"/>
      <c r="R22" s="13"/>
      <c r="S22" s="13"/>
      <c r="T22" s="13"/>
      <c r="AF22" s="12"/>
      <c r="AG22" s="12"/>
      <c r="AH22" s="12"/>
    </row>
    <row r="23" spans="2:73" ht="24.2" customHeight="1" thickBot="1" x14ac:dyDescent="0.25">
      <c r="B23" s="156"/>
      <c r="C23" s="163"/>
      <c r="D23" s="20" t="e">
        <f>VLOOKUP($B23,#REF!,3,0)</f>
        <v>#REF!</v>
      </c>
      <c r="E23" s="20" t="e">
        <f>VLOOKUP($B23,#REF!,4,0)</f>
        <v>#REF!</v>
      </c>
      <c r="F23" s="20" t="e">
        <f>VLOOKUP($B23,#REF!,5,0)</f>
        <v>#REF!</v>
      </c>
      <c r="G23" s="20" t="e">
        <f>VLOOKUP($B23,#REF!,6,0)</f>
        <v>#REF!</v>
      </c>
      <c r="H23" s="20" t="e">
        <f>VLOOKUP($B23,#REF!,7,0)</f>
        <v>#REF!</v>
      </c>
      <c r="I23" s="20" t="e">
        <f>VLOOKUP($B23,#REF!,8,0)</f>
        <v>#REF!</v>
      </c>
      <c r="J23" s="160"/>
      <c r="K23" s="34" t="s">
        <v>13</v>
      </c>
      <c r="L23" s="36">
        <v>14</v>
      </c>
      <c r="M23" s="36">
        <v>13</v>
      </c>
      <c r="N23" s="36">
        <v>12</v>
      </c>
      <c r="O23" s="162"/>
      <c r="P23" s="13"/>
      <c r="Q23" s="13"/>
      <c r="R23" s="13"/>
      <c r="S23" s="13"/>
      <c r="T23" s="13"/>
      <c r="AF23" s="12"/>
      <c r="AG23" s="12"/>
      <c r="AH23" s="14"/>
      <c r="AI23" s="15"/>
      <c r="AJ23" s="15"/>
      <c r="AK23" s="15"/>
      <c r="AL23" s="15"/>
      <c r="AM23" s="15"/>
      <c r="AN23" s="15"/>
      <c r="AO23" s="15"/>
      <c r="AP23" s="15"/>
      <c r="AQ23" s="15"/>
      <c r="AR23" s="15"/>
      <c r="AS23" s="15"/>
      <c r="AT23" s="15"/>
      <c r="AU23" s="15"/>
      <c r="AV23" s="15"/>
      <c r="AW23" s="15"/>
      <c r="AX23" s="15"/>
      <c r="AY23" s="15"/>
      <c r="AZ23" s="15"/>
      <c r="BA23" s="15"/>
      <c r="BB23" s="15"/>
      <c r="BC23" s="15"/>
      <c r="BD23" s="15"/>
      <c r="BE23" s="15"/>
      <c r="BF23" s="15"/>
      <c r="BG23" s="15"/>
      <c r="BH23" s="15"/>
      <c r="BI23" s="15"/>
      <c r="BJ23" s="15"/>
      <c r="BK23" s="15"/>
      <c r="BL23" s="15"/>
      <c r="BM23" s="15"/>
      <c r="BN23" s="15"/>
      <c r="BO23" s="15"/>
      <c r="BP23" s="15"/>
      <c r="BQ23" s="15"/>
      <c r="BR23" s="15"/>
      <c r="BS23" s="15"/>
      <c r="BT23" s="15"/>
      <c r="BU23" s="15"/>
    </row>
    <row r="24" spans="2:73" ht="24.2" customHeight="1" x14ac:dyDescent="0.2">
      <c r="B24" s="164">
        <v>8</v>
      </c>
      <c r="C24" s="157" t="s">
        <v>29</v>
      </c>
      <c r="D24" s="19" t="e">
        <f>VLOOKUP($B24,#REF!,3,0)</f>
        <v>#REF!</v>
      </c>
      <c r="E24" s="19" t="e">
        <f>VLOOKUP($B24,#REF!,4,0)</f>
        <v>#REF!</v>
      </c>
      <c r="F24" s="19" t="e">
        <f>VLOOKUP($B24,#REF!,5,0)</f>
        <v>#REF!</v>
      </c>
      <c r="G24" s="19" t="e">
        <f>VLOOKUP($B24,#REF!,6,0)</f>
        <v>#REF!</v>
      </c>
      <c r="H24" s="19" t="e">
        <f>VLOOKUP($B24,#REF!,7,0)</f>
        <v>#REF!</v>
      </c>
      <c r="I24" s="19" t="e">
        <f>VLOOKUP($B24,#REF!,8,0)</f>
        <v>#REF!</v>
      </c>
      <c r="J24" s="159"/>
      <c r="K24" s="22" t="s">
        <v>12</v>
      </c>
      <c r="L24" s="35">
        <v>12</v>
      </c>
      <c r="M24" s="35">
        <v>12</v>
      </c>
      <c r="N24" s="35">
        <v>10</v>
      </c>
      <c r="O24" s="161"/>
      <c r="P24" s="13"/>
      <c r="Q24" s="13"/>
      <c r="R24" s="13"/>
      <c r="S24" s="13"/>
      <c r="T24" s="13"/>
      <c r="AF24" s="9"/>
      <c r="AG24" s="9"/>
      <c r="AH24" s="9"/>
    </row>
    <row r="25" spans="2:73" ht="24.2" customHeight="1" thickBot="1" x14ac:dyDescent="0.25">
      <c r="B25" s="156"/>
      <c r="C25" s="158"/>
      <c r="D25" s="20" t="e">
        <f>VLOOKUP($B25,#REF!,3,0)</f>
        <v>#REF!</v>
      </c>
      <c r="E25" s="20" t="e">
        <f>VLOOKUP($B25,#REF!,4,0)</f>
        <v>#REF!</v>
      </c>
      <c r="F25" s="20" t="e">
        <f>VLOOKUP($B25,#REF!,5,0)</f>
        <v>#REF!</v>
      </c>
      <c r="G25" s="20" t="e">
        <f>VLOOKUP($B25,#REF!,6,0)</f>
        <v>#REF!</v>
      </c>
      <c r="H25" s="20" t="e">
        <f>VLOOKUP($B25,#REF!,7,0)</f>
        <v>#REF!</v>
      </c>
      <c r="I25" s="20" t="e">
        <f>VLOOKUP($B25,#REF!,8,0)</f>
        <v>#REF!</v>
      </c>
      <c r="J25" s="160"/>
      <c r="K25" s="34" t="s">
        <v>13</v>
      </c>
      <c r="L25" s="36">
        <v>14</v>
      </c>
      <c r="M25" s="36">
        <v>17</v>
      </c>
      <c r="N25" s="36">
        <v>14</v>
      </c>
      <c r="O25" s="162"/>
      <c r="P25" s="13"/>
      <c r="Q25" s="13"/>
      <c r="R25" s="13"/>
      <c r="S25" s="13"/>
      <c r="T25" s="13"/>
      <c r="AF25" s="12"/>
      <c r="AG25" s="12"/>
      <c r="AH25" s="14"/>
      <c r="AI25" s="15"/>
      <c r="AJ25" s="15"/>
      <c r="AK25" s="15"/>
      <c r="AL25" s="15"/>
      <c r="AM25" s="15"/>
      <c r="AN25" s="15"/>
      <c r="AO25" s="15"/>
      <c r="AP25" s="15"/>
      <c r="AQ25" s="15"/>
      <c r="AR25" s="15"/>
      <c r="AS25" s="15"/>
      <c r="AT25" s="15"/>
      <c r="AU25" s="15"/>
      <c r="AV25" s="15"/>
      <c r="AW25" s="15"/>
      <c r="AX25" s="15"/>
      <c r="AY25" s="15"/>
      <c r="AZ25" s="15"/>
      <c r="BA25" s="15"/>
      <c r="BB25" s="15"/>
      <c r="BC25" s="15"/>
      <c r="BD25" s="15"/>
      <c r="BE25" s="15"/>
      <c r="BF25" s="15"/>
      <c r="BG25" s="15"/>
      <c r="BH25" s="15"/>
      <c r="BI25" s="15"/>
      <c r="BJ25" s="15"/>
      <c r="BK25" s="15"/>
      <c r="BL25" s="15"/>
      <c r="BM25" s="15"/>
      <c r="BN25" s="15"/>
      <c r="BO25" s="15"/>
      <c r="BP25" s="15"/>
      <c r="BQ25" s="15"/>
      <c r="BR25" s="15"/>
      <c r="BS25" s="15"/>
      <c r="BT25" s="15"/>
      <c r="BU25" s="15"/>
    </row>
    <row r="26" spans="2:73" ht="24.2" customHeight="1" x14ac:dyDescent="0.2">
      <c r="B26" s="164">
        <v>9</v>
      </c>
      <c r="C26" s="157" t="s">
        <v>28</v>
      </c>
      <c r="D26" s="19" t="e">
        <f>VLOOKUP($B26,#REF!,3,0)</f>
        <v>#REF!</v>
      </c>
      <c r="E26" s="19" t="e">
        <f>VLOOKUP($B26,#REF!,4,0)</f>
        <v>#REF!</v>
      </c>
      <c r="F26" s="19" t="e">
        <f>VLOOKUP($B26,#REF!,5,0)</f>
        <v>#REF!</v>
      </c>
      <c r="G26" s="19" t="e">
        <f>VLOOKUP($B26,#REF!,6,0)</f>
        <v>#REF!</v>
      </c>
      <c r="H26" s="19" t="e">
        <f>VLOOKUP($B26,#REF!,7,0)</f>
        <v>#REF!</v>
      </c>
      <c r="I26" s="19" t="e">
        <f>VLOOKUP($B26,#REF!,8,0)</f>
        <v>#REF!</v>
      </c>
      <c r="J26" s="159">
        <v>1340</v>
      </c>
      <c r="K26" s="22" t="s">
        <v>12</v>
      </c>
      <c r="L26" s="35">
        <v>11</v>
      </c>
      <c r="M26" s="35">
        <v>12</v>
      </c>
      <c r="N26" s="35">
        <v>11</v>
      </c>
      <c r="O26" s="161"/>
      <c r="P26" s="13"/>
      <c r="Q26" s="13"/>
      <c r="R26" s="13"/>
      <c r="S26" s="13"/>
      <c r="T26" s="13"/>
      <c r="AF26" s="12"/>
      <c r="AG26" s="12"/>
      <c r="AH26" s="12"/>
    </row>
    <row r="27" spans="2:73" ht="24.2" customHeight="1" thickBot="1" x14ac:dyDescent="0.25">
      <c r="B27" s="156"/>
      <c r="C27" s="163"/>
      <c r="D27" s="20" t="e">
        <f>VLOOKUP($B27,#REF!,3,0)</f>
        <v>#REF!</v>
      </c>
      <c r="E27" s="20" t="e">
        <f>VLOOKUP($B27,#REF!,4,0)</f>
        <v>#REF!</v>
      </c>
      <c r="F27" s="20" t="e">
        <f>VLOOKUP($B27,#REF!,5,0)</f>
        <v>#REF!</v>
      </c>
      <c r="G27" s="20" t="e">
        <f>VLOOKUP($B27,#REF!,6,0)</f>
        <v>#REF!</v>
      </c>
      <c r="H27" s="20" t="e">
        <f>VLOOKUP($B27,#REF!,7,0)</f>
        <v>#REF!</v>
      </c>
      <c r="I27" s="20" t="e">
        <f>VLOOKUP($B27,#REF!,8,0)</f>
        <v>#REF!</v>
      </c>
      <c r="J27" s="160"/>
      <c r="K27" s="34" t="s">
        <v>13</v>
      </c>
      <c r="L27" s="36">
        <v>15</v>
      </c>
      <c r="M27" s="36">
        <v>14</v>
      </c>
      <c r="N27" s="36">
        <v>13</v>
      </c>
      <c r="O27" s="162"/>
      <c r="P27" s="13"/>
      <c r="Q27" s="13"/>
      <c r="R27" s="13"/>
      <c r="S27" s="13"/>
      <c r="T27" s="13"/>
      <c r="AF27" s="12"/>
      <c r="AG27" s="12"/>
      <c r="AH27" s="14"/>
      <c r="AI27" s="15"/>
      <c r="AJ27" s="15"/>
      <c r="AK27" s="15"/>
      <c r="AL27" s="15"/>
      <c r="AM27" s="15"/>
      <c r="AN27" s="15"/>
      <c r="AO27" s="15"/>
      <c r="AP27" s="15"/>
      <c r="AQ27" s="15"/>
      <c r="AR27" s="15"/>
      <c r="AS27" s="15"/>
      <c r="AT27" s="15"/>
      <c r="AU27" s="15"/>
      <c r="AV27" s="15"/>
      <c r="AW27" s="15"/>
      <c r="AX27" s="15"/>
      <c r="AY27" s="15"/>
      <c r="AZ27" s="15"/>
      <c r="BA27" s="15"/>
      <c r="BB27" s="15"/>
      <c r="BC27" s="15"/>
      <c r="BD27" s="15"/>
      <c r="BE27" s="15"/>
      <c r="BF27" s="15"/>
      <c r="BG27" s="15"/>
      <c r="BH27" s="15"/>
      <c r="BI27" s="15"/>
      <c r="BJ27" s="15"/>
      <c r="BK27" s="15"/>
      <c r="BL27" s="15"/>
      <c r="BM27" s="15"/>
      <c r="BN27" s="15"/>
      <c r="BO27" s="15"/>
      <c r="BP27" s="15"/>
      <c r="BQ27" s="15"/>
      <c r="BR27" s="15"/>
      <c r="BS27" s="15"/>
      <c r="BT27" s="15"/>
      <c r="BU27" s="15"/>
    </row>
    <row r="28" spans="2:73" ht="24.2" customHeight="1" x14ac:dyDescent="0.2">
      <c r="B28" s="155">
        <v>10</v>
      </c>
      <c r="C28" s="157" t="s">
        <v>29</v>
      </c>
      <c r="D28" s="19" t="e">
        <f>VLOOKUP($B28,#REF!,3,0)</f>
        <v>#REF!</v>
      </c>
      <c r="E28" s="19" t="e">
        <f>VLOOKUP($B28,#REF!,4,0)</f>
        <v>#REF!</v>
      </c>
      <c r="F28" s="19" t="e">
        <f>VLOOKUP($B28,#REF!,5,0)</f>
        <v>#REF!</v>
      </c>
      <c r="G28" s="19" t="e">
        <f>VLOOKUP($B28,#REF!,6,0)</f>
        <v>#REF!</v>
      </c>
      <c r="H28" s="19" t="e">
        <f>VLOOKUP($B28,#REF!,7,0)</f>
        <v>#REF!</v>
      </c>
      <c r="I28" s="19" t="e">
        <f>VLOOKUP($B28,#REF!,8,0)</f>
        <v>#REF!</v>
      </c>
      <c r="J28" s="159"/>
      <c r="K28" s="22" t="s">
        <v>12</v>
      </c>
      <c r="L28" s="35">
        <v>11</v>
      </c>
      <c r="M28" s="35">
        <v>10</v>
      </c>
      <c r="N28" s="35">
        <v>10</v>
      </c>
      <c r="O28" s="161"/>
      <c r="P28" s="13"/>
      <c r="Q28" s="13"/>
      <c r="R28" s="13"/>
      <c r="S28" s="13"/>
      <c r="T28" s="13"/>
    </row>
    <row r="29" spans="2:73" ht="24.2" customHeight="1" thickBot="1" x14ac:dyDescent="0.25">
      <c r="B29" s="156"/>
      <c r="C29" s="158"/>
      <c r="D29" s="20" t="e">
        <f>VLOOKUP($B29,#REF!,3,0)</f>
        <v>#REF!</v>
      </c>
      <c r="E29" s="20" t="e">
        <f>VLOOKUP($B29,#REF!,4,0)</f>
        <v>#REF!</v>
      </c>
      <c r="F29" s="20" t="e">
        <f>VLOOKUP($B29,#REF!,5,0)</f>
        <v>#REF!</v>
      </c>
      <c r="G29" s="20" t="e">
        <f>VLOOKUP($B29,#REF!,6,0)</f>
        <v>#REF!</v>
      </c>
      <c r="H29" s="20" t="e">
        <f>VLOOKUP($B29,#REF!,7,0)</f>
        <v>#REF!</v>
      </c>
      <c r="I29" s="20" t="e">
        <f>VLOOKUP($B29,#REF!,8,0)</f>
        <v>#REF!</v>
      </c>
      <c r="J29" s="160"/>
      <c r="K29" s="34" t="s">
        <v>13</v>
      </c>
      <c r="L29" s="36">
        <v>15</v>
      </c>
      <c r="M29" s="36">
        <v>14</v>
      </c>
      <c r="N29" s="36">
        <v>13</v>
      </c>
      <c r="O29" s="162"/>
      <c r="P29" s="13"/>
      <c r="Q29" s="13"/>
      <c r="R29" s="13"/>
      <c r="S29" s="13"/>
      <c r="T29" s="13"/>
      <c r="AF29" s="12"/>
      <c r="AG29" s="12"/>
      <c r="AH29" s="14"/>
      <c r="AI29" s="15"/>
      <c r="AJ29" s="15"/>
      <c r="AK29" s="15"/>
      <c r="AL29" s="15"/>
      <c r="AM29" s="15"/>
      <c r="AN29" s="15"/>
      <c r="AO29" s="15"/>
      <c r="AP29" s="15"/>
      <c r="AQ29" s="15"/>
      <c r="AR29" s="15"/>
      <c r="AS29" s="15"/>
      <c r="AT29" s="15"/>
      <c r="AU29" s="15"/>
      <c r="AV29" s="15"/>
      <c r="AW29" s="15"/>
      <c r="AX29" s="15"/>
      <c r="AY29" s="15"/>
      <c r="AZ29" s="15"/>
      <c r="BA29" s="15"/>
      <c r="BB29" s="15"/>
      <c r="BC29" s="15"/>
      <c r="BD29" s="15"/>
      <c r="BE29" s="15"/>
      <c r="BF29" s="15"/>
      <c r="BG29" s="15"/>
      <c r="BH29" s="15"/>
      <c r="BI29" s="15"/>
      <c r="BJ29" s="15"/>
      <c r="BK29" s="15"/>
      <c r="BL29" s="15"/>
      <c r="BM29" s="15"/>
      <c r="BN29" s="15"/>
      <c r="BO29" s="15"/>
      <c r="BP29" s="15"/>
      <c r="BQ29" s="15"/>
      <c r="BR29" s="15"/>
      <c r="BS29" s="15"/>
      <c r="BT29" s="15"/>
      <c r="BU29" s="15"/>
    </row>
    <row r="30" spans="2:73" ht="24.2" customHeight="1" x14ac:dyDescent="0.2">
      <c r="B30" s="155">
        <v>11</v>
      </c>
      <c r="C30" s="157" t="s">
        <v>28</v>
      </c>
      <c r="D30" s="19" t="e">
        <f>VLOOKUP($B30,#REF!,3,0)</f>
        <v>#REF!</v>
      </c>
      <c r="E30" s="19" t="e">
        <f>VLOOKUP($B30,#REF!,4,0)</f>
        <v>#REF!</v>
      </c>
      <c r="F30" s="19" t="e">
        <f>VLOOKUP($B30,#REF!,5,0)</f>
        <v>#REF!</v>
      </c>
      <c r="G30" s="19" t="e">
        <f>VLOOKUP($B30,#REF!,6,0)</f>
        <v>#REF!</v>
      </c>
      <c r="H30" s="19" t="e">
        <f>VLOOKUP($B30,#REF!,7,0)</f>
        <v>#REF!</v>
      </c>
      <c r="I30" s="19" t="e">
        <f>VLOOKUP($B30,#REF!,8,0)</f>
        <v>#REF!</v>
      </c>
      <c r="J30" s="159"/>
      <c r="K30" s="22" t="s">
        <v>12</v>
      </c>
      <c r="L30" s="44">
        <v>12</v>
      </c>
      <c r="M30" s="35">
        <v>14</v>
      </c>
      <c r="N30" s="35">
        <v>13</v>
      </c>
      <c r="O30" s="161"/>
      <c r="P30" s="13"/>
      <c r="Q30" s="13"/>
      <c r="R30" s="13"/>
      <c r="S30" s="13"/>
      <c r="T30" s="13"/>
    </row>
    <row r="31" spans="2:73" ht="24.2" customHeight="1" thickBot="1" x14ac:dyDescent="0.25">
      <c r="B31" s="156"/>
      <c r="C31" s="163"/>
      <c r="D31" s="20" t="e">
        <f>VLOOKUP($B31,#REF!,3,0)</f>
        <v>#REF!</v>
      </c>
      <c r="E31" s="20" t="e">
        <f>VLOOKUP($B31,#REF!,4,0)</f>
        <v>#REF!</v>
      </c>
      <c r="F31" s="20" t="e">
        <f>VLOOKUP($B31,#REF!,5,0)</f>
        <v>#REF!</v>
      </c>
      <c r="G31" s="20" t="e">
        <f>VLOOKUP($B31,#REF!,6,0)</f>
        <v>#REF!</v>
      </c>
      <c r="H31" s="20" t="e">
        <f>VLOOKUP($B31,#REF!,7,0)</f>
        <v>#REF!</v>
      </c>
      <c r="I31" s="20" t="e">
        <f>VLOOKUP($B31,#REF!,8,0)</f>
        <v>#REF!</v>
      </c>
      <c r="J31" s="160"/>
      <c r="K31" s="34" t="s">
        <v>13</v>
      </c>
      <c r="L31" s="36">
        <v>16</v>
      </c>
      <c r="M31" s="36">
        <v>17</v>
      </c>
      <c r="N31" s="36">
        <v>14</v>
      </c>
      <c r="O31" s="162"/>
      <c r="P31" s="13"/>
      <c r="Q31" s="13"/>
      <c r="R31" s="13"/>
      <c r="S31" s="13"/>
      <c r="T31" s="13"/>
      <c r="AF31" s="12"/>
      <c r="AG31" s="12"/>
      <c r="AH31" s="14"/>
      <c r="AI31" s="15"/>
      <c r="AJ31" s="15"/>
      <c r="AK31" s="15"/>
      <c r="AL31" s="15"/>
      <c r="AM31" s="15"/>
      <c r="AN31" s="15"/>
      <c r="AO31" s="15"/>
      <c r="AP31" s="15"/>
      <c r="AQ31" s="15"/>
      <c r="AR31" s="15"/>
      <c r="AS31" s="15"/>
      <c r="AT31" s="15"/>
      <c r="AU31" s="15"/>
      <c r="AV31" s="15"/>
      <c r="AW31" s="15"/>
      <c r="AX31" s="15"/>
      <c r="AY31" s="15"/>
      <c r="AZ31" s="15"/>
      <c r="BA31" s="15"/>
      <c r="BB31" s="15"/>
      <c r="BC31" s="15"/>
      <c r="BD31" s="15"/>
      <c r="BE31" s="15"/>
      <c r="BF31" s="15"/>
      <c r="BG31" s="15"/>
      <c r="BH31" s="15"/>
      <c r="BI31" s="15"/>
      <c r="BJ31" s="15"/>
      <c r="BK31" s="15"/>
      <c r="BL31" s="15"/>
      <c r="BM31" s="15"/>
      <c r="BN31" s="15"/>
      <c r="BO31" s="15"/>
      <c r="BP31" s="15"/>
      <c r="BQ31" s="15"/>
      <c r="BR31" s="15"/>
      <c r="BS31" s="15"/>
      <c r="BT31" s="15"/>
      <c r="BU31" s="15"/>
    </row>
    <row r="32" spans="2:73" ht="24.2" customHeight="1" x14ac:dyDescent="0.2">
      <c r="B32" s="155">
        <v>12</v>
      </c>
      <c r="C32" s="157" t="s">
        <v>29</v>
      </c>
      <c r="D32" s="19" t="e">
        <f>VLOOKUP($B32,#REF!,3,0)</f>
        <v>#REF!</v>
      </c>
      <c r="E32" s="19" t="e">
        <f>VLOOKUP($B32,#REF!,4,0)</f>
        <v>#REF!</v>
      </c>
      <c r="F32" s="19" t="e">
        <f>VLOOKUP($B32,#REF!,5,0)</f>
        <v>#REF!</v>
      </c>
      <c r="G32" s="19" t="e">
        <f>VLOOKUP($B32,#REF!,6,0)</f>
        <v>#REF!</v>
      </c>
      <c r="H32" s="19" t="e">
        <f>VLOOKUP($B32,#REF!,7,0)</f>
        <v>#REF!</v>
      </c>
      <c r="I32" s="19" t="e">
        <f>VLOOKUP($B32,#REF!,8,0)</f>
        <v>#REF!</v>
      </c>
      <c r="J32" s="159"/>
      <c r="K32" s="22" t="s">
        <v>12</v>
      </c>
      <c r="L32" s="35">
        <v>13</v>
      </c>
      <c r="M32" s="35">
        <v>11</v>
      </c>
      <c r="N32" s="35">
        <v>12</v>
      </c>
      <c r="O32" s="161"/>
      <c r="P32" s="13"/>
      <c r="Q32" s="13"/>
      <c r="R32" s="13"/>
      <c r="S32" s="13"/>
      <c r="T32" s="13"/>
    </row>
    <row r="33" spans="2:73" ht="24.2" customHeight="1" thickBot="1" x14ac:dyDescent="0.25">
      <c r="B33" s="156"/>
      <c r="C33" s="158"/>
      <c r="D33" s="20" t="e">
        <f>VLOOKUP($B33,#REF!,3,0)</f>
        <v>#REF!</v>
      </c>
      <c r="E33" s="20" t="e">
        <f>VLOOKUP($B33,#REF!,4,0)</f>
        <v>#REF!</v>
      </c>
      <c r="F33" s="20" t="e">
        <f>VLOOKUP($B33,#REF!,5,0)</f>
        <v>#REF!</v>
      </c>
      <c r="G33" s="20" t="e">
        <f>VLOOKUP($B33,#REF!,6,0)</f>
        <v>#REF!</v>
      </c>
      <c r="H33" s="20" t="e">
        <f>VLOOKUP($B33,#REF!,7,0)</f>
        <v>#REF!</v>
      </c>
      <c r="I33" s="20" t="e">
        <f>VLOOKUP($B33,#REF!,8,0)</f>
        <v>#REF!</v>
      </c>
      <c r="J33" s="160"/>
      <c r="K33" s="34" t="s">
        <v>13</v>
      </c>
      <c r="L33" s="36">
        <v>15</v>
      </c>
      <c r="M33" s="36">
        <v>14</v>
      </c>
      <c r="N33" s="36">
        <v>12</v>
      </c>
      <c r="O33" s="162"/>
      <c r="P33" s="13"/>
      <c r="Q33" s="13"/>
      <c r="R33" s="13"/>
      <c r="S33" s="13"/>
      <c r="T33" s="13"/>
      <c r="AF33" s="12"/>
      <c r="AG33" s="12"/>
      <c r="AH33" s="14"/>
      <c r="AI33" s="15"/>
      <c r="AJ33" s="15"/>
      <c r="AK33" s="15"/>
      <c r="AL33" s="15"/>
      <c r="AM33" s="15"/>
      <c r="AN33" s="15"/>
      <c r="AO33" s="15"/>
      <c r="AP33" s="15"/>
      <c r="AQ33" s="15"/>
      <c r="AR33" s="15"/>
      <c r="AS33" s="15"/>
      <c r="AT33" s="15"/>
      <c r="AU33" s="15"/>
      <c r="AV33" s="15"/>
      <c r="AW33" s="15"/>
      <c r="AX33" s="15"/>
      <c r="AY33" s="15"/>
      <c r="AZ33" s="15"/>
      <c r="BA33" s="15"/>
      <c r="BB33" s="15"/>
      <c r="BC33" s="15"/>
      <c r="BD33" s="15"/>
      <c r="BE33" s="15"/>
      <c r="BF33" s="15"/>
      <c r="BG33" s="15"/>
      <c r="BH33" s="15"/>
      <c r="BI33" s="15"/>
      <c r="BJ33" s="15"/>
      <c r="BK33" s="15"/>
      <c r="BL33" s="15"/>
      <c r="BM33" s="15"/>
      <c r="BN33" s="15"/>
      <c r="BO33" s="15"/>
      <c r="BP33" s="15"/>
      <c r="BQ33" s="15"/>
      <c r="BR33" s="15"/>
      <c r="BS33" s="15"/>
      <c r="BT33" s="15"/>
      <c r="BU33" s="15"/>
    </row>
    <row r="34" spans="2:73" ht="24.2" customHeight="1" x14ac:dyDescent="0.2">
      <c r="B34" s="155">
        <v>13</v>
      </c>
      <c r="C34" s="157" t="s">
        <v>28</v>
      </c>
      <c r="D34" s="19" t="e">
        <f>VLOOKUP($B34,#REF!,3,0)</f>
        <v>#REF!</v>
      </c>
      <c r="E34" s="19" t="e">
        <f>VLOOKUP($B34,#REF!,4,0)</f>
        <v>#REF!</v>
      </c>
      <c r="F34" s="19" t="e">
        <f>VLOOKUP($B34,#REF!,5,0)</f>
        <v>#REF!</v>
      </c>
      <c r="G34" s="19" t="e">
        <f>VLOOKUP($B34,#REF!,6,0)</f>
        <v>#REF!</v>
      </c>
      <c r="H34" s="19" t="e">
        <f>VLOOKUP($B34,#REF!,7,0)</f>
        <v>#REF!</v>
      </c>
      <c r="I34" s="19" t="e">
        <f>VLOOKUP($B34,#REF!,8,0)</f>
        <v>#REF!</v>
      </c>
      <c r="J34" s="159"/>
      <c r="K34" s="22" t="s">
        <v>12</v>
      </c>
      <c r="L34" s="35">
        <v>11</v>
      </c>
      <c r="M34" s="35">
        <v>10</v>
      </c>
      <c r="N34" s="35">
        <v>10</v>
      </c>
      <c r="O34" s="161"/>
      <c r="P34" s="13"/>
      <c r="Q34" s="13"/>
      <c r="R34" s="13"/>
      <c r="S34" s="13"/>
      <c r="T34" s="13"/>
    </row>
    <row r="35" spans="2:73" ht="24.2" customHeight="1" thickBot="1" x14ac:dyDescent="0.25">
      <c r="B35" s="156"/>
      <c r="C35" s="163"/>
      <c r="D35" s="20" t="e">
        <f>VLOOKUP($B35,#REF!,3,0)</f>
        <v>#REF!</v>
      </c>
      <c r="E35" s="20" t="e">
        <f>VLOOKUP($B35,#REF!,4,0)</f>
        <v>#REF!</v>
      </c>
      <c r="F35" s="20" t="e">
        <f>VLOOKUP($B35,#REF!,5,0)</f>
        <v>#REF!</v>
      </c>
      <c r="G35" s="20" t="e">
        <f>VLOOKUP($B35,#REF!,6,0)</f>
        <v>#REF!</v>
      </c>
      <c r="H35" s="20" t="e">
        <f>VLOOKUP($B35,#REF!,7,0)</f>
        <v>#REF!</v>
      </c>
      <c r="I35" s="20" t="e">
        <f>VLOOKUP($B35,#REF!,8,0)</f>
        <v>#REF!</v>
      </c>
      <c r="J35" s="160"/>
      <c r="K35" s="34" t="s">
        <v>13</v>
      </c>
      <c r="L35" s="36">
        <v>13</v>
      </c>
      <c r="M35" s="36">
        <v>16</v>
      </c>
      <c r="N35" s="36">
        <v>14</v>
      </c>
      <c r="O35" s="162"/>
      <c r="P35" s="13"/>
      <c r="Q35" s="13"/>
      <c r="R35" s="13"/>
      <c r="S35" s="13"/>
      <c r="T35" s="13"/>
      <c r="AF35" s="12"/>
      <c r="AG35" s="12"/>
      <c r="AH35" s="14"/>
      <c r="AI35" s="15"/>
      <c r="AJ35" s="15"/>
      <c r="AK35" s="15"/>
      <c r="AL35" s="15"/>
      <c r="AM35" s="15"/>
      <c r="AN35" s="15"/>
      <c r="AO35" s="15"/>
      <c r="AP35" s="15"/>
      <c r="AQ35" s="15"/>
      <c r="AR35" s="15"/>
      <c r="AS35" s="15"/>
      <c r="AT35" s="15"/>
      <c r="AU35" s="15"/>
      <c r="AV35" s="15"/>
      <c r="AW35" s="15"/>
      <c r="AX35" s="15"/>
      <c r="AY35" s="15"/>
      <c r="AZ35" s="15"/>
      <c r="BA35" s="15"/>
      <c r="BB35" s="15"/>
      <c r="BC35" s="15"/>
      <c r="BD35" s="15"/>
      <c r="BE35" s="15"/>
      <c r="BF35" s="15"/>
      <c r="BG35" s="15"/>
      <c r="BH35" s="15"/>
      <c r="BI35" s="15"/>
      <c r="BJ35" s="15"/>
      <c r="BK35" s="15"/>
      <c r="BL35" s="15"/>
      <c r="BM35" s="15"/>
      <c r="BN35" s="15"/>
      <c r="BO35" s="15"/>
      <c r="BP35" s="15"/>
      <c r="BQ35" s="15"/>
      <c r="BR35" s="15"/>
      <c r="BS35" s="15"/>
      <c r="BT35" s="15"/>
      <c r="BU35" s="15"/>
    </row>
    <row r="36" spans="2:73" ht="24.2" customHeight="1" x14ac:dyDescent="0.2">
      <c r="B36" s="155">
        <v>14</v>
      </c>
      <c r="C36" s="157" t="s">
        <v>29</v>
      </c>
      <c r="D36" s="19" t="e">
        <f>VLOOKUP($B36,#REF!,3,0)</f>
        <v>#REF!</v>
      </c>
      <c r="E36" s="19" t="e">
        <f>VLOOKUP($B36,#REF!,4,0)</f>
        <v>#REF!</v>
      </c>
      <c r="F36" s="19" t="e">
        <f>VLOOKUP($B36,#REF!,5,0)</f>
        <v>#REF!</v>
      </c>
      <c r="G36" s="19" t="e">
        <f>VLOOKUP($B36,#REF!,6,0)</f>
        <v>#REF!</v>
      </c>
      <c r="H36" s="19" t="e">
        <f>VLOOKUP($B36,#REF!,7,0)</f>
        <v>#REF!</v>
      </c>
      <c r="I36" s="19" t="e">
        <f>VLOOKUP($B36,#REF!,8,0)</f>
        <v>#REF!</v>
      </c>
      <c r="J36" s="159"/>
      <c r="K36" s="22" t="s">
        <v>12</v>
      </c>
      <c r="L36" s="35">
        <v>8</v>
      </c>
      <c r="M36" s="35">
        <v>9</v>
      </c>
      <c r="N36" s="35">
        <v>12</v>
      </c>
      <c r="O36" s="161"/>
      <c r="P36" s="13"/>
      <c r="Q36" s="13"/>
      <c r="R36" s="13"/>
      <c r="S36" s="13"/>
      <c r="T36" s="13"/>
    </row>
    <row r="37" spans="2:73" ht="24.2" customHeight="1" thickBot="1" x14ac:dyDescent="0.25">
      <c r="B37" s="156"/>
      <c r="C37" s="158"/>
      <c r="D37" s="20" t="e">
        <f>VLOOKUP($B37,#REF!,3,0)</f>
        <v>#REF!</v>
      </c>
      <c r="E37" s="20" t="e">
        <f>VLOOKUP($B37,#REF!,4,0)</f>
        <v>#REF!</v>
      </c>
      <c r="F37" s="20" t="e">
        <f>VLOOKUP($B37,#REF!,5,0)</f>
        <v>#REF!</v>
      </c>
      <c r="G37" s="20" t="e">
        <f>VLOOKUP($B37,#REF!,6,0)</f>
        <v>#REF!</v>
      </c>
      <c r="H37" s="20" t="e">
        <f>VLOOKUP($B37,#REF!,7,0)</f>
        <v>#REF!</v>
      </c>
      <c r="I37" s="20" t="e">
        <f>VLOOKUP($B37,#REF!,8,0)</f>
        <v>#REF!</v>
      </c>
      <c r="J37" s="160"/>
      <c r="K37" s="34" t="s">
        <v>13</v>
      </c>
      <c r="L37" s="36">
        <v>15</v>
      </c>
      <c r="M37" s="36">
        <v>12</v>
      </c>
      <c r="N37" s="36">
        <v>14</v>
      </c>
      <c r="O37" s="162"/>
      <c r="P37" s="13"/>
      <c r="Q37" s="13"/>
      <c r="R37" s="13"/>
      <c r="S37" s="13"/>
      <c r="T37" s="13"/>
      <c r="AF37" s="12"/>
      <c r="AG37" s="12"/>
      <c r="AH37" s="14"/>
      <c r="AI37" s="15"/>
      <c r="AJ37" s="15"/>
      <c r="AK37" s="15"/>
      <c r="AL37" s="15"/>
      <c r="AM37" s="15"/>
      <c r="AN37" s="15"/>
      <c r="AO37" s="15"/>
      <c r="AP37" s="15"/>
      <c r="AQ37" s="15"/>
      <c r="AR37" s="15"/>
      <c r="AS37" s="15"/>
      <c r="AT37" s="15"/>
      <c r="AU37" s="15"/>
      <c r="AV37" s="15"/>
      <c r="AW37" s="15"/>
      <c r="AX37" s="15"/>
      <c r="AY37" s="15"/>
      <c r="AZ37" s="15"/>
      <c r="BA37" s="15"/>
      <c r="BB37" s="15"/>
      <c r="BC37" s="15"/>
      <c r="BD37" s="15"/>
      <c r="BE37" s="15"/>
      <c r="BF37" s="15"/>
      <c r="BG37" s="15"/>
      <c r="BH37" s="15"/>
      <c r="BI37" s="15"/>
      <c r="BJ37" s="15"/>
      <c r="BK37" s="15"/>
      <c r="BL37" s="15"/>
      <c r="BM37" s="15"/>
      <c r="BN37" s="15"/>
      <c r="BO37" s="15"/>
      <c r="BP37" s="15"/>
      <c r="BQ37" s="15"/>
      <c r="BR37" s="15"/>
      <c r="BS37" s="15"/>
      <c r="BT37" s="15"/>
      <c r="BU37" s="15"/>
    </row>
    <row r="38" spans="2:73" ht="24.2" customHeight="1" x14ac:dyDescent="0.2">
      <c r="B38" s="155">
        <v>15</v>
      </c>
      <c r="C38" s="157" t="s">
        <v>28</v>
      </c>
      <c r="D38" s="19" t="e">
        <f>VLOOKUP($B38,#REF!,3,0)</f>
        <v>#REF!</v>
      </c>
      <c r="E38" s="19" t="e">
        <f>VLOOKUP($B38,#REF!,4,0)</f>
        <v>#REF!</v>
      </c>
      <c r="F38" s="19" t="e">
        <f>VLOOKUP($B38,#REF!,5,0)</f>
        <v>#REF!</v>
      </c>
      <c r="G38" s="19" t="e">
        <f>VLOOKUP($B38,#REF!,6,0)</f>
        <v>#REF!</v>
      </c>
      <c r="H38" s="19" t="e">
        <f>VLOOKUP($B38,#REF!,7,0)</f>
        <v>#REF!</v>
      </c>
      <c r="I38" s="19" t="e">
        <f>VLOOKUP($B38,#REF!,8,0)</f>
        <v>#REF!</v>
      </c>
      <c r="J38" s="159"/>
      <c r="K38" s="22" t="s">
        <v>12</v>
      </c>
      <c r="L38" s="44">
        <v>12</v>
      </c>
      <c r="M38" s="35">
        <v>9</v>
      </c>
      <c r="N38" s="35">
        <v>11</v>
      </c>
      <c r="O38" s="161"/>
      <c r="P38" s="13"/>
      <c r="Q38" s="13"/>
      <c r="R38" s="13"/>
      <c r="S38" s="13"/>
      <c r="T38" s="13"/>
    </row>
    <row r="39" spans="2:73" ht="24.2" customHeight="1" thickBot="1" x14ac:dyDescent="0.25">
      <c r="B39" s="156"/>
      <c r="C39" s="163"/>
      <c r="D39" s="20" t="e">
        <f>VLOOKUP($B39,#REF!,3,0)</f>
        <v>#REF!</v>
      </c>
      <c r="E39" s="20" t="e">
        <f>VLOOKUP($B39,#REF!,4,0)</f>
        <v>#REF!</v>
      </c>
      <c r="F39" s="20" t="e">
        <f>VLOOKUP($B39,#REF!,5,0)</f>
        <v>#REF!</v>
      </c>
      <c r="G39" s="20" t="e">
        <f>VLOOKUP($B39,#REF!,6,0)</f>
        <v>#REF!</v>
      </c>
      <c r="H39" s="20" t="e">
        <f>VLOOKUP($B39,#REF!,7,0)</f>
        <v>#REF!</v>
      </c>
      <c r="I39" s="20" t="e">
        <f>VLOOKUP($B39,#REF!,8,0)</f>
        <v>#REF!</v>
      </c>
      <c r="J39" s="160"/>
      <c r="K39" s="34" t="s">
        <v>13</v>
      </c>
      <c r="L39" s="36">
        <v>16</v>
      </c>
      <c r="M39" s="36">
        <v>10</v>
      </c>
      <c r="N39" s="36">
        <v>14</v>
      </c>
      <c r="O39" s="162"/>
      <c r="P39" s="13"/>
      <c r="Q39" s="13"/>
      <c r="R39" s="13"/>
      <c r="S39" s="13"/>
      <c r="T39" s="13"/>
      <c r="AF39" s="12"/>
      <c r="AG39" s="12"/>
      <c r="AH39" s="14"/>
      <c r="AI39" s="15"/>
      <c r="AJ39" s="15"/>
      <c r="AK39" s="15"/>
      <c r="AL39" s="15"/>
      <c r="AM39" s="15"/>
      <c r="AN39" s="15"/>
      <c r="AO39" s="15"/>
      <c r="AP39" s="15"/>
      <c r="AQ39" s="15"/>
      <c r="AR39" s="15"/>
      <c r="AS39" s="15"/>
      <c r="AT39" s="15"/>
      <c r="AU39" s="15"/>
      <c r="AV39" s="15"/>
      <c r="AW39" s="15"/>
      <c r="AX39" s="15"/>
      <c r="AY39" s="15"/>
      <c r="AZ39" s="15"/>
      <c r="BA39" s="15"/>
      <c r="BB39" s="15"/>
      <c r="BC39" s="15"/>
      <c r="BD39" s="15"/>
      <c r="BE39" s="15"/>
      <c r="BF39" s="15"/>
      <c r="BG39" s="15"/>
      <c r="BH39" s="15"/>
      <c r="BI39" s="15"/>
      <c r="BJ39" s="15"/>
      <c r="BK39" s="15"/>
      <c r="BL39" s="15"/>
      <c r="BM39" s="15"/>
      <c r="BN39" s="15"/>
      <c r="BO39" s="15"/>
      <c r="BP39" s="15"/>
      <c r="BQ39" s="15"/>
      <c r="BR39" s="15"/>
      <c r="BS39" s="15"/>
      <c r="BT39" s="15"/>
      <c r="BU39" s="15"/>
    </row>
    <row r="40" spans="2:73" ht="24.2" customHeight="1" x14ac:dyDescent="0.2">
      <c r="B40" s="155">
        <v>16</v>
      </c>
      <c r="C40" s="157" t="s">
        <v>29</v>
      </c>
      <c r="D40" s="19" t="e">
        <f>VLOOKUP($B40,#REF!,3,0)</f>
        <v>#REF!</v>
      </c>
      <c r="E40" s="19" t="e">
        <f>VLOOKUP($B40,#REF!,4,0)</f>
        <v>#REF!</v>
      </c>
      <c r="F40" s="19" t="e">
        <f>VLOOKUP($B40,#REF!,5,0)</f>
        <v>#REF!</v>
      </c>
      <c r="G40" s="19" t="e">
        <f>VLOOKUP($B40,#REF!,6,0)</f>
        <v>#REF!</v>
      </c>
      <c r="H40" s="19" t="e">
        <f>VLOOKUP($B40,#REF!,7,0)</f>
        <v>#REF!</v>
      </c>
      <c r="I40" s="19" t="e">
        <f>VLOOKUP($B40,#REF!,8,0)</f>
        <v>#REF!</v>
      </c>
      <c r="J40" s="159"/>
      <c r="K40" s="22" t="s">
        <v>12</v>
      </c>
      <c r="L40" s="44">
        <v>10</v>
      </c>
      <c r="M40" s="44">
        <v>12</v>
      </c>
      <c r="N40" s="35">
        <v>12</v>
      </c>
      <c r="O40" s="161"/>
      <c r="P40" s="13"/>
      <c r="Q40" s="13"/>
      <c r="R40" s="13"/>
      <c r="S40" s="13"/>
      <c r="T40" s="13"/>
    </row>
    <row r="41" spans="2:73" ht="24.2" customHeight="1" thickBot="1" x14ac:dyDescent="0.25">
      <c r="B41" s="156"/>
      <c r="C41" s="158"/>
      <c r="D41" s="20" t="e">
        <f>VLOOKUP($B41,#REF!,3,0)</f>
        <v>#REF!</v>
      </c>
      <c r="E41" s="20" t="e">
        <f>VLOOKUP($B41,#REF!,4,0)</f>
        <v>#REF!</v>
      </c>
      <c r="F41" s="20" t="e">
        <f>VLOOKUP($B41,#REF!,5,0)</f>
        <v>#REF!</v>
      </c>
      <c r="G41" s="20" t="e">
        <f>VLOOKUP($B41,#REF!,6,0)</f>
        <v>#REF!</v>
      </c>
      <c r="H41" s="20" t="e">
        <f>VLOOKUP($B41,#REF!,7,0)</f>
        <v>#REF!</v>
      </c>
      <c r="I41" s="20" t="e">
        <f>VLOOKUP($B41,#REF!,8,0)</f>
        <v>#REF!</v>
      </c>
      <c r="J41" s="160"/>
      <c r="K41" s="34" t="s">
        <v>13</v>
      </c>
      <c r="L41" s="36">
        <v>14</v>
      </c>
      <c r="M41" s="36">
        <v>14</v>
      </c>
      <c r="N41" s="36">
        <v>17</v>
      </c>
      <c r="O41" s="162"/>
      <c r="P41" s="13"/>
      <c r="Q41" s="13"/>
      <c r="R41" s="13"/>
      <c r="S41" s="13"/>
      <c r="T41" s="13"/>
      <c r="AF41" s="12"/>
      <c r="AG41" s="12"/>
      <c r="AH41" s="14"/>
      <c r="AI41" s="15"/>
      <c r="AJ41" s="15"/>
      <c r="AK41" s="15"/>
      <c r="AL41" s="15"/>
      <c r="AM41" s="15"/>
      <c r="AN41" s="15"/>
      <c r="AO41" s="15"/>
      <c r="AP41" s="15"/>
      <c r="AQ41" s="15"/>
      <c r="AR41" s="15"/>
      <c r="AS41" s="15"/>
      <c r="AT41" s="15"/>
      <c r="AU41" s="15"/>
      <c r="AV41" s="15"/>
      <c r="AW41" s="15"/>
      <c r="AX41" s="15"/>
      <c r="AY41" s="15"/>
      <c r="AZ41" s="15"/>
      <c r="BA41" s="15"/>
      <c r="BB41" s="15"/>
      <c r="BC41" s="15"/>
      <c r="BD41" s="15"/>
      <c r="BE41" s="15"/>
      <c r="BF41" s="15"/>
      <c r="BG41" s="15"/>
      <c r="BH41" s="15"/>
      <c r="BI41" s="15"/>
      <c r="BJ41" s="15"/>
      <c r="BK41" s="15"/>
      <c r="BL41" s="15"/>
      <c r="BM41" s="15"/>
      <c r="BN41" s="15"/>
      <c r="BO41" s="15"/>
      <c r="BP41" s="15"/>
      <c r="BQ41" s="15"/>
      <c r="BR41" s="15"/>
      <c r="BS41" s="15"/>
      <c r="BT41" s="15"/>
      <c r="BU41" s="15"/>
    </row>
    <row r="42" spans="2:73" ht="24" customHeight="1" x14ac:dyDescent="0.2">
      <c r="B42" s="155">
        <v>17</v>
      </c>
      <c r="C42" s="157" t="s">
        <v>28</v>
      </c>
      <c r="D42" s="19" t="e">
        <f>VLOOKUP($B42,#REF!,3,0)</f>
        <v>#REF!</v>
      </c>
      <c r="E42" s="19" t="e">
        <f>VLOOKUP($B42,#REF!,4,0)</f>
        <v>#REF!</v>
      </c>
      <c r="F42" s="19" t="e">
        <f>VLOOKUP($B42,#REF!,5,0)</f>
        <v>#REF!</v>
      </c>
      <c r="G42" s="19" t="e">
        <f>VLOOKUP($B42,#REF!,6,0)</f>
        <v>#REF!</v>
      </c>
      <c r="H42" s="19" t="e">
        <f>VLOOKUP($B42,#REF!,7,0)</f>
        <v>#REF!</v>
      </c>
      <c r="I42" s="19" t="e">
        <f>VLOOKUP($B42,#REF!,8,0)</f>
        <v>#REF!</v>
      </c>
      <c r="J42" s="159">
        <v>1400</v>
      </c>
      <c r="K42" s="22" t="s">
        <v>12</v>
      </c>
      <c r="L42" s="44">
        <v>9</v>
      </c>
      <c r="M42" s="44">
        <v>10</v>
      </c>
      <c r="N42" s="35">
        <v>12</v>
      </c>
      <c r="O42" s="161"/>
    </row>
    <row r="43" spans="2:73" ht="24" customHeight="1" thickBot="1" x14ac:dyDescent="0.25">
      <c r="B43" s="156"/>
      <c r="C43" s="163"/>
      <c r="D43" s="20"/>
      <c r="E43" s="20"/>
      <c r="F43" s="20"/>
      <c r="G43" s="20"/>
      <c r="H43" s="20"/>
      <c r="I43" s="20"/>
      <c r="J43" s="160"/>
      <c r="K43" s="34" t="s">
        <v>13</v>
      </c>
      <c r="L43" s="36">
        <v>12</v>
      </c>
      <c r="M43" s="36">
        <v>13</v>
      </c>
      <c r="N43" s="36">
        <v>14</v>
      </c>
      <c r="O43" s="162"/>
    </row>
  </sheetData>
  <mergeCells count="70">
    <mergeCell ref="B40:B41"/>
    <mergeCell ref="C40:C41"/>
    <mergeCell ref="J40:J41"/>
    <mergeCell ref="O40:O41"/>
    <mergeCell ref="B42:B43"/>
    <mergeCell ref="C42:C43"/>
    <mergeCell ref="J42:J43"/>
    <mergeCell ref="O42:O43"/>
    <mergeCell ref="B36:B37"/>
    <mergeCell ref="C36:C37"/>
    <mergeCell ref="J36:J37"/>
    <mergeCell ref="O36:O37"/>
    <mergeCell ref="B38:B39"/>
    <mergeCell ref="C38:C39"/>
    <mergeCell ref="J38:J39"/>
    <mergeCell ref="O38:O39"/>
    <mergeCell ref="B32:B33"/>
    <mergeCell ref="C32:C33"/>
    <mergeCell ref="J32:J33"/>
    <mergeCell ref="O32:O33"/>
    <mergeCell ref="B34:B35"/>
    <mergeCell ref="C34:C35"/>
    <mergeCell ref="J34:J35"/>
    <mergeCell ref="O34:O35"/>
    <mergeCell ref="B28:B29"/>
    <mergeCell ref="C28:C29"/>
    <mergeCell ref="J28:J29"/>
    <mergeCell ref="O28:O29"/>
    <mergeCell ref="B30:B31"/>
    <mergeCell ref="C30:C31"/>
    <mergeCell ref="J30:J31"/>
    <mergeCell ref="O30:O31"/>
    <mergeCell ref="B24:B25"/>
    <mergeCell ref="C24:C25"/>
    <mergeCell ref="J24:J25"/>
    <mergeCell ref="O24:O25"/>
    <mergeCell ref="B26:B27"/>
    <mergeCell ref="C26:C27"/>
    <mergeCell ref="J26:J27"/>
    <mergeCell ref="O26:O27"/>
    <mergeCell ref="B20:B21"/>
    <mergeCell ref="C20:C21"/>
    <mergeCell ref="J20:J21"/>
    <mergeCell ref="O20:O21"/>
    <mergeCell ref="B22:B23"/>
    <mergeCell ref="C22:C23"/>
    <mergeCell ref="J22:J23"/>
    <mergeCell ref="O22:O23"/>
    <mergeCell ref="B18:B19"/>
    <mergeCell ref="C18:C19"/>
    <mergeCell ref="J18:J19"/>
    <mergeCell ref="O18:O19"/>
    <mergeCell ref="B12:B13"/>
    <mergeCell ref="C12:C13"/>
    <mergeCell ref="J12:J13"/>
    <mergeCell ref="B14:B15"/>
    <mergeCell ref="C14:C15"/>
    <mergeCell ref="J14:J15"/>
    <mergeCell ref="O14:O15"/>
    <mergeCell ref="B16:B17"/>
    <mergeCell ref="C16:C17"/>
    <mergeCell ref="J16:J17"/>
    <mergeCell ref="O16:O17"/>
    <mergeCell ref="AF5:AH5"/>
    <mergeCell ref="L6:N6"/>
    <mergeCell ref="O7:O8"/>
    <mergeCell ref="B8:K8"/>
    <mergeCell ref="B10:B11"/>
    <mergeCell ref="C10:C11"/>
    <mergeCell ref="J10:J11"/>
  </mergeCells>
  <pageMargins left="0.45" right="0" top="0.49" bottom="0" header="0.64" footer="0"/>
  <pageSetup paperSize="512" scale="74" orientation="portrait" r:id="rId1"/>
  <headerFooter alignWithMargins="0"/>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BU43"/>
  <sheetViews>
    <sheetView zoomScale="90" zoomScaleNormal="90" workbookViewId="0"/>
  </sheetViews>
  <sheetFormatPr defaultRowHeight="12.75" x14ac:dyDescent="0.2"/>
  <cols>
    <col min="1" max="1" width="5.42578125" customWidth="1"/>
    <col min="2" max="2" width="6.28515625" customWidth="1"/>
    <col min="3" max="3" width="12.7109375" customWidth="1"/>
    <col min="4" max="8" width="5.28515625" hidden="1" customWidth="1"/>
    <col min="9" max="9" width="7" hidden="1" customWidth="1"/>
    <col min="10" max="10" width="8.42578125" customWidth="1"/>
    <col min="11" max="14" width="12.7109375" customWidth="1"/>
    <col min="15" max="15" width="48.7109375" customWidth="1"/>
    <col min="22" max="22" width="7.5703125" customWidth="1"/>
    <col min="23" max="32" width="7.7109375" customWidth="1"/>
  </cols>
  <sheetData>
    <row r="1" spans="1:73" ht="15" customHeight="1" x14ac:dyDescent="0.25">
      <c r="A1" s="1" t="s">
        <v>33</v>
      </c>
    </row>
    <row r="2" spans="1:73" ht="20.25" customHeight="1" thickBot="1" x14ac:dyDescent="0.3">
      <c r="A2" s="1"/>
      <c r="M2" s="15" t="s">
        <v>0</v>
      </c>
      <c r="N2" s="23">
        <v>40689</v>
      </c>
      <c r="O2" s="29"/>
    </row>
    <row r="3" spans="1:73" ht="20.25" customHeight="1" thickBot="1" x14ac:dyDescent="0.25">
      <c r="A3" t="s">
        <v>1</v>
      </c>
      <c r="C3" s="38" t="s">
        <v>39</v>
      </c>
      <c r="D3" s="3"/>
      <c r="E3" s="3"/>
      <c r="F3" s="3"/>
      <c r="G3" s="3"/>
      <c r="H3" s="3"/>
      <c r="I3" s="3"/>
      <c r="J3" s="3"/>
      <c r="K3" s="3"/>
      <c r="L3" s="3"/>
      <c r="M3" s="15" t="s">
        <v>23</v>
      </c>
      <c r="N3" s="2">
        <v>146</v>
      </c>
      <c r="O3" s="30"/>
    </row>
    <row r="4" spans="1:73" ht="20.25" customHeight="1" thickBot="1" x14ac:dyDescent="0.25">
      <c r="B4" s="3"/>
      <c r="C4" s="38" t="s">
        <v>40</v>
      </c>
      <c r="D4" s="4"/>
      <c r="E4" s="4"/>
      <c r="F4" s="4"/>
      <c r="G4" s="4"/>
      <c r="H4" s="4"/>
      <c r="I4" s="4"/>
      <c r="J4" s="4"/>
      <c r="K4" s="4"/>
      <c r="L4" s="4"/>
      <c r="M4" s="15" t="s">
        <v>2</v>
      </c>
      <c r="N4" s="2" t="s">
        <v>26</v>
      </c>
      <c r="O4" s="30"/>
    </row>
    <row r="5" spans="1:73" ht="18" x14ac:dyDescent="0.2">
      <c r="AE5" s="5"/>
      <c r="AF5" s="165"/>
      <c r="AG5" s="165"/>
      <c r="AH5" s="165"/>
    </row>
    <row r="6" spans="1:73" ht="18" x14ac:dyDescent="0.25">
      <c r="L6" s="174"/>
      <c r="M6" s="167"/>
      <c r="N6" s="168"/>
      <c r="O6" s="31"/>
      <c r="AE6" s="5"/>
      <c r="AF6" s="24"/>
      <c r="AG6" s="24"/>
      <c r="AH6" s="24"/>
    </row>
    <row r="7" spans="1:73" ht="25.5" customHeight="1" x14ac:dyDescent="0.2">
      <c r="B7" s="6" t="s">
        <v>3</v>
      </c>
      <c r="C7" s="7"/>
      <c r="D7" s="7" t="s">
        <v>4</v>
      </c>
      <c r="E7" s="6" t="s">
        <v>5</v>
      </c>
      <c r="F7" s="7" t="s">
        <v>6</v>
      </c>
      <c r="G7" s="6" t="s">
        <v>7</v>
      </c>
      <c r="H7" s="6" t="s">
        <v>8</v>
      </c>
      <c r="I7" s="6" t="s">
        <v>9</v>
      </c>
      <c r="J7" s="6" t="s">
        <v>11</v>
      </c>
      <c r="K7" s="8" t="s">
        <v>24</v>
      </c>
      <c r="L7" s="22" t="s">
        <v>30</v>
      </c>
      <c r="M7" s="22" t="s">
        <v>31</v>
      </c>
      <c r="N7" s="22" t="s">
        <v>32</v>
      </c>
      <c r="O7" s="169" t="s">
        <v>25</v>
      </c>
      <c r="AE7" s="10"/>
      <c r="AF7" s="9"/>
      <c r="AG7" s="9"/>
      <c r="AH7" s="11"/>
    </row>
    <row r="8" spans="1:73" ht="15.95" customHeight="1" thickBot="1" x14ac:dyDescent="0.25">
      <c r="B8" s="170"/>
      <c r="C8" s="171"/>
      <c r="D8" s="171"/>
      <c r="E8" s="171"/>
      <c r="F8" s="171"/>
      <c r="G8" s="171"/>
      <c r="H8" s="171"/>
      <c r="I8" s="171"/>
      <c r="J8" s="171"/>
      <c r="K8" s="172"/>
      <c r="L8" s="39" t="s">
        <v>27</v>
      </c>
      <c r="M8" s="39"/>
      <c r="N8" s="39"/>
      <c r="O8" s="163"/>
      <c r="AF8" s="12"/>
      <c r="AG8" s="12"/>
      <c r="AH8" s="12"/>
    </row>
    <row r="9" spans="1:73" ht="15.95" hidden="1" customHeight="1" x14ac:dyDescent="0.2">
      <c r="B9" s="25" t="s">
        <v>3</v>
      </c>
      <c r="C9" s="26" t="s">
        <v>10</v>
      </c>
      <c r="D9" s="26" t="s">
        <v>14</v>
      </c>
      <c r="E9" s="25" t="s">
        <v>15</v>
      </c>
      <c r="F9" s="26" t="s">
        <v>16</v>
      </c>
      <c r="G9" s="25" t="s">
        <v>17</v>
      </c>
      <c r="H9" s="25" t="s">
        <v>8</v>
      </c>
      <c r="I9" s="25" t="s">
        <v>18</v>
      </c>
      <c r="J9" s="27" t="s">
        <v>11</v>
      </c>
      <c r="K9" s="27" t="s">
        <v>19</v>
      </c>
      <c r="L9" s="28" t="s">
        <v>20</v>
      </c>
      <c r="M9" s="28" t="s">
        <v>21</v>
      </c>
      <c r="N9" s="28" t="s">
        <v>22</v>
      </c>
      <c r="O9" s="32"/>
      <c r="AF9" s="12"/>
      <c r="AG9" s="12"/>
      <c r="AH9" s="12"/>
    </row>
    <row r="10" spans="1:73" ht="24.2" customHeight="1" x14ac:dyDescent="0.2">
      <c r="B10" s="164">
        <v>1</v>
      </c>
      <c r="C10" s="157" t="s">
        <v>28</v>
      </c>
      <c r="D10" s="19" t="e">
        <f>VLOOKUP($B10,#REF!,3,0)</f>
        <v>#REF!</v>
      </c>
      <c r="E10" s="19" t="e">
        <f>VLOOKUP($B10,#REF!,4,0)</f>
        <v>#REF!</v>
      </c>
      <c r="F10" s="19" t="e">
        <f>VLOOKUP($B10,#REF!,5,0)</f>
        <v>#REF!</v>
      </c>
      <c r="G10" s="19" t="e">
        <f>VLOOKUP($B10,#REF!,6,0)</f>
        <v>#REF!</v>
      </c>
      <c r="H10" s="19" t="e">
        <f>VLOOKUP($B10,#REF!,7,0)</f>
        <v>#REF!</v>
      </c>
      <c r="I10" s="19" t="e">
        <f>VLOOKUP($B10,#REF!,8,0)</f>
        <v>#REF!</v>
      </c>
      <c r="J10" s="173">
        <v>1330</v>
      </c>
      <c r="K10" s="22" t="s">
        <v>12</v>
      </c>
      <c r="L10" s="35">
        <v>20</v>
      </c>
      <c r="M10" s="35">
        <v>19</v>
      </c>
      <c r="N10" s="44">
        <v>20</v>
      </c>
      <c r="O10" s="40"/>
      <c r="P10" s="13"/>
      <c r="Q10" s="13"/>
      <c r="R10" s="13"/>
      <c r="S10" s="13"/>
      <c r="T10" s="13"/>
      <c r="AF10" s="12"/>
      <c r="AG10" s="12"/>
      <c r="AH10" s="14"/>
      <c r="AI10" s="15"/>
      <c r="AJ10" s="15"/>
      <c r="AK10" s="15"/>
      <c r="AL10" s="15"/>
      <c r="AM10" s="15"/>
      <c r="AN10" s="15"/>
      <c r="AO10" s="15"/>
      <c r="AP10" s="15"/>
      <c r="AQ10" s="15"/>
      <c r="AR10" s="15"/>
      <c r="AS10" s="15"/>
      <c r="AT10" s="15"/>
      <c r="AU10" s="15"/>
      <c r="AV10" s="15"/>
      <c r="AW10" s="15"/>
      <c r="AX10" s="15"/>
      <c r="AY10" s="15"/>
      <c r="AZ10" s="15"/>
      <c r="BA10" s="15"/>
      <c r="BB10" s="15"/>
      <c r="BC10" s="15"/>
      <c r="BD10" s="15"/>
      <c r="BE10" s="15"/>
      <c r="BF10" s="15"/>
      <c r="BG10" s="15"/>
      <c r="BH10" s="15"/>
      <c r="BI10" s="15"/>
      <c r="BJ10" s="15"/>
      <c r="BK10" s="15"/>
      <c r="BL10" s="15"/>
      <c r="BM10" s="15"/>
      <c r="BN10" s="15"/>
      <c r="BO10" s="15"/>
      <c r="BP10" s="15"/>
      <c r="BQ10" s="15"/>
      <c r="BR10" s="15"/>
      <c r="BS10" s="15"/>
      <c r="BT10" s="15"/>
      <c r="BU10" s="15"/>
    </row>
    <row r="11" spans="1:73" ht="24.2" customHeight="1" thickBot="1" x14ac:dyDescent="0.25">
      <c r="B11" s="156"/>
      <c r="C11" s="163"/>
      <c r="D11" s="20" t="e">
        <f>VLOOKUP($B11,#REF!,3,0)</f>
        <v>#REF!</v>
      </c>
      <c r="E11" s="20" t="e">
        <f>VLOOKUP($B11,#REF!,4,0)</f>
        <v>#REF!</v>
      </c>
      <c r="F11" s="20" t="e">
        <f>VLOOKUP($B11,#REF!,5,0)</f>
        <v>#REF!</v>
      </c>
      <c r="G11" s="20" t="e">
        <f>VLOOKUP($B11,#REF!,6,0)</f>
        <v>#REF!</v>
      </c>
      <c r="H11" s="20" t="e">
        <f>VLOOKUP($B11,#REF!,7,0)</f>
        <v>#REF!</v>
      </c>
      <c r="I11" s="20" t="e">
        <f>VLOOKUP($B11,#REF!,8,0)</f>
        <v>#REF!</v>
      </c>
      <c r="J11" s="160"/>
      <c r="K11" s="34" t="s">
        <v>13</v>
      </c>
      <c r="L11" s="36">
        <v>19</v>
      </c>
      <c r="M11" s="36">
        <v>21</v>
      </c>
      <c r="N11" s="36">
        <v>21</v>
      </c>
      <c r="O11" s="41"/>
      <c r="P11" s="13"/>
      <c r="Q11" s="13"/>
      <c r="R11" s="13"/>
      <c r="S11" s="13"/>
      <c r="T11" s="13"/>
      <c r="AF11" s="12"/>
      <c r="AG11" s="12"/>
      <c r="AH11" s="14"/>
      <c r="AI11" s="15"/>
      <c r="AJ11" s="15"/>
      <c r="AK11" s="15"/>
      <c r="AL11" s="15"/>
      <c r="AM11" s="15"/>
      <c r="AN11" s="15"/>
      <c r="AO11" s="15"/>
      <c r="AP11" s="15"/>
      <c r="AQ11" s="15"/>
      <c r="AR11" s="15"/>
      <c r="AS11" s="15"/>
      <c r="AT11" s="15"/>
      <c r="AU11" s="15"/>
      <c r="AV11" s="15"/>
      <c r="AW11" s="15"/>
      <c r="AX11" s="15"/>
      <c r="AY11" s="15"/>
      <c r="AZ11" s="15"/>
      <c r="BA11" s="15"/>
      <c r="BB11" s="15"/>
      <c r="BC11" s="15"/>
      <c r="BD11" s="15"/>
      <c r="BE11" s="15"/>
      <c r="BF11" s="15"/>
      <c r="BG11" s="15"/>
      <c r="BH11" s="15"/>
      <c r="BI11" s="15"/>
      <c r="BJ11" s="15"/>
      <c r="BK11" s="15"/>
      <c r="BL11" s="15"/>
      <c r="BM11" s="15"/>
      <c r="BN11" s="15"/>
      <c r="BO11" s="15"/>
      <c r="BP11" s="15"/>
      <c r="BQ11" s="15"/>
      <c r="BR11" s="15"/>
      <c r="BS11" s="15"/>
      <c r="BT11" s="15"/>
      <c r="BU11" s="15"/>
    </row>
    <row r="12" spans="1:73" ht="24.2" customHeight="1" x14ac:dyDescent="0.2">
      <c r="B12" s="164">
        <v>2</v>
      </c>
      <c r="C12" s="157" t="s">
        <v>29</v>
      </c>
      <c r="D12" s="21" t="e">
        <f>VLOOKUP($B12,#REF!,3,0)</f>
        <v>#REF!</v>
      </c>
      <c r="E12" s="21" t="e">
        <f>VLOOKUP($B12,#REF!,4,0)</f>
        <v>#REF!</v>
      </c>
      <c r="F12" s="21" t="e">
        <f>VLOOKUP($B12,#REF!,5,0)</f>
        <v>#REF!</v>
      </c>
      <c r="G12" s="21" t="e">
        <f>VLOOKUP($B12,#REF!,6,0)</f>
        <v>#REF!</v>
      </c>
      <c r="H12" s="21" t="e">
        <f>VLOOKUP($B12,#REF!,7,0)</f>
        <v>#REF!</v>
      </c>
      <c r="I12" s="21" t="e">
        <f>VLOOKUP($B12,#REF!,8,0)</f>
        <v>#REF!</v>
      </c>
      <c r="J12" s="159"/>
      <c r="K12" s="33" t="s">
        <v>12</v>
      </c>
      <c r="L12" s="35">
        <v>17</v>
      </c>
      <c r="M12" s="35">
        <v>20</v>
      </c>
      <c r="N12" s="35">
        <v>18</v>
      </c>
      <c r="O12" s="42"/>
      <c r="P12" s="13"/>
      <c r="Q12" s="16"/>
      <c r="R12" s="13"/>
      <c r="S12" s="17"/>
      <c r="T12" s="13"/>
      <c r="AF12" s="12"/>
      <c r="AG12" s="12"/>
      <c r="AH12" s="12"/>
      <c r="AI12" s="18"/>
      <c r="AJ12" s="18"/>
      <c r="AK12" s="18"/>
      <c r="AL12" s="18"/>
      <c r="AM12" s="18"/>
      <c r="AN12" s="18"/>
      <c r="AO12" s="18"/>
      <c r="AP12" s="18"/>
      <c r="AQ12" s="18"/>
      <c r="AR12" s="18"/>
      <c r="AS12" s="18"/>
      <c r="AT12" s="18"/>
      <c r="AU12" s="18"/>
      <c r="AV12" s="18"/>
      <c r="AW12" s="18"/>
      <c r="AX12" s="18"/>
      <c r="AY12" s="18"/>
      <c r="AZ12" s="18"/>
      <c r="BA12" s="18"/>
      <c r="BB12" s="18"/>
      <c r="BC12" s="18"/>
      <c r="BD12" s="18"/>
      <c r="BE12" s="18"/>
      <c r="BF12" s="18"/>
      <c r="BG12" s="18"/>
      <c r="BH12" s="18"/>
      <c r="BI12" s="18"/>
      <c r="BJ12" s="18"/>
      <c r="BK12" s="18"/>
      <c r="BL12" s="18"/>
      <c r="BM12" s="18"/>
      <c r="BN12" s="18"/>
      <c r="BO12" s="18"/>
      <c r="BP12" s="18"/>
      <c r="BQ12" s="18"/>
      <c r="BR12" s="18"/>
      <c r="BS12" s="18"/>
      <c r="BT12" s="18"/>
      <c r="BU12" s="18"/>
    </row>
    <row r="13" spans="1:73" ht="24.2" customHeight="1" thickBot="1" x14ac:dyDescent="0.25">
      <c r="B13" s="156"/>
      <c r="C13" s="158"/>
      <c r="D13" s="20" t="e">
        <f>VLOOKUP($B13,#REF!,3,0)</f>
        <v>#REF!</v>
      </c>
      <c r="E13" s="20" t="e">
        <f>VLOOKUP($B13,#REF!,4,0)</f>
        <v>#REF!</v>
      </c>
      <c r="F13" s="20" t="e">
        <f>VLOOKUP($B13,#REF!,5,0)</f>
        <v>#REF!</v>
      </c>
      <c r="G13" s="20" t="e">
        <f>VLOOKUP($B13,#REF!,6,0)</f>
        <v>#REF!</v>
      </c>
      <c r="H13" s="20" t="e">
        <f>VLOOKUP($B13,#REF!,7,0)</f>
        <v>#REF!</v>
      </c>
      <c r="I13" s="20" t="e">
        <f>VLOOKUP($B13,#REF!,8,0)</f>
        <v>#REF!</v>
      </c>
      <c r="J13" s="160"/>
      <c r="K13" s="34" t="s">
        <v>13</v>
      </c>
      <c r="L13" s="37">
        <v>20</v>
      </c>
      <c r="M13" s="36">
        <v>26</v>
      </c>
      <c r="N13" s="36">
        <v>21</v>
      </c>
      <c r="O13" s="43"/>
      <c r="P13" s="13"/>
      <c r="Q13" s="13"/>
      <c r="R13" s="13"/>
      <c r="S13" s="13"/>
      <c r="T13" s="13"/>
      <c r="AF13" s="12"/>
      <c r="AG13" s="12"/>
      <c r="AH13" s="14"/>
      <c r="AI13" s="15"/>
      <c r="AJ13" s="15"/>
      <c r="AK13" s="15"/>
      <c r="AL13" s="15"/>
      <c r="AM13" s="15"/>
      <c r="AN13" s="15"/>
      <c r="AO13" s="15"/>
      <c r="AP13" s="15"/>
      <c r="AQ13" s="15"/>
      <c r="AR13" s="15"/>
      <c r="AS13" s="15"/>
      <c r="AT13" s="15"/>
      <c r="AU13" s="15"/>
      <c r="AV13" s="15"/>
      <c r="AW13" s="15"/>
      <c r="AX13" s="15"/>
      <c r="AY13" s="15"/>
      <c r="AZ13" s="15"/>
      <c r="BA13" s="15"/>
      <c r="BB13" s="15"/>
      <c r="BC13" s="15"/>
      <c r="BD13" s="15"/>
      <c r="BE13" s="15"/>
      <c r="BF13" s="15"/>
      <c r="BG13" s="15"/>
      <c r="BH13" s="15"/>
      <c r="BI13" s="15"/>
      <c r="BJ13" s="15"/>
      <c r="BK13" s="15"/>
      <c r="BL13" s="15"/>
      <c r="BM13" s="15"/>
      <c r="BN13" s="15"/>
      <c r="BO13" s="15"/>
      <c r="BP13" s="15"/>
      <c r="BQ13" s="15"/>
      <c r="BR13" s="15"/>
      <c r="BS13" s="15"/>
      <c r="BT13" s="15"/>
      <c r="BU13" s="15"/>
    </row>
    <row r="14" spans="1:73" ht="24.2" customHeight="1" x14ac:dyDescent="0.2">
      <c r="B14" s="164">
        <v>3</v>
      </c>
      <c r="C14" s="157" t="s">
        <v>28</v>
      </c>
      <c r="D14" s="19" t="e">
        <f>VLOOKUP($B14,#REF!,3,0)</f>
        <v>#REF!</v>
      </c>
      <c r="E14" s="19" t="e">
        <f>VLOOKUP($B14,#REF!,4,0)</f>
        <v>#REF!</v>
      </c>
      <c r="F14" s="19" t="e">
        <f>VLOOKUP($B14,#REF!,5,0)</f>
        <v>#REF!</v>
      </c>
      <c r="G14" s="19" t="e">
        <f>VLOOKUP($B14,#REF!,6,0)</f>
        <v>#REF!</v>
      </c>
      <c r="H14" s="19" t="e">
        <f>VLOOKUP($B14,#REF!,7,0)</f>
        <v>#REF!</v>
      </c>
      <c r="I14" s="19" t="e">
        <f>VLOOKUP($B14,#REF!,8,0)</f>
        <v>#REF!</v>
      </c>
      <c r="J14" s="159"/>
      <c r="K14" s="22" t="s">
        <v>12</v>
      </c>
      <c r="L14" s="35">
        <v>17</v>
      </c>
      <c r="M14" s="35">
        <v>16</v>
      </c>
      <c r="N14" s="35">
        <v>24</v>
      </c>
      <c r="O14" s="161"/>
      <c r="P14" s="13"/>
      <c r="Q14" s="13"/>
      <c r="R14" s="13"/>
      <c r="S14" s="13"/>
      <c r="T14" s="13"/>
      <c r="AF14" s="12"/>
      <c r="AG14" s="12"/>
      <c r="AH14" s="12"/>
    </row>
    <row r="15" spans="1:73" ht="24.2" customHeight="1" thickBot="1" x14ac:dyDescent="0.25">
      <c r="B15" s="156"/>
      <c r="C15" s="163"/>
      <c r="D15" s="20" t="e">
        <f>VLOOKUP($B15,#REF!,3,0)</f>
        <v>#REF!</v>
      </c>
      <c r="E15" s="20" t="e">
        <f>VLOOKUP($B15,#REF!,4,0)</f>
        <v>#REF!</v>
      </c>
      <c r="F15" s="20" t="e">
        <f>VLOOKUP($B15,#REF!,5,0)</f>
        <v>#REF!</v>
      </c>
      <c r="G15" s="20" t="e">
        <f>VLOOKUP($B15,#REF!,6,0)</f>
        <v>#REF!</v>
      </c>
      <c r="H15" s="20" t="e">
        <f>VLOOKUP($B15,#REF!,7,0)</f>
        <v>#REF!</v>
      </c>
      <c r="I15" s="20" t="e">
        <f>VLOOKUP($B15,#REF!,8,0)</f>
        <v>#REF!</v>
      </c>
      <c r="J15" s="160"/>
      <c r="K15" s="34" t="s">
        <v>13</v>
      </c>
      <c r="L15" s="36">
        <v>21</v>
      </c>
      <c r="M15" s="36">
        <v>20</v>
      </c>
      <c r="N15" s="36">
        <v>23</v>
      </c>
      <c r="O15" s="162"/>
      <c r="P15" s="13"/>
      <c r="Q15" s="13"/>
      <c r="R15" s="13"/>
      <c r="S15" s="13"/>
      <c r="T15" s="13"/>
      <c r="AF15" s="12"/>
      <c r="AG15" s="12"/>
      <c r="AH15" s="14"/>
      <c r="AI15" s="15"/>
      <c r="AJ15" s="15"/>
      <c r="AK15" s="15"/>
      <c r="AL15" s="15"/>
      <c r="AM15" s="15"/>
      <c r="AN15" s="15"/>
      <c r="AO15" s="15"/>
      <c r="AP15" s="15"/>
      <c r="AQ15" s="15"/>
      <c r="AR15" s="15"/>
      <c r="AS15" s="15"/>
      <c r="AT15" s="15"/>
      <c r="AU15" s="15"/>
      <c r="AV15" s="15"/>
      <c r="AW15" s="15"/>
      <c r="AX15" s="15"/>
      <c r="AY15" s="15"/>
      <c r="AZ15" s="15"/>
      <c r="BA15" s="15"/>
      <c r="BB15" s="15"/>
      <c r="BC15" s="15"/>
      <c r="BD15" s="15"/>
      <c r="BE15" s="15"/>
      <c r="BF15" s="15"/>
      <c r="BG15" s="15"/>
      <c r="BH15" s="15"/>
      <c r="BI15" s="15"/>
      <c r="BJ15" s="15"/>
      <c r="BK15" s="15"/>
      <c r="BL15" s="15"/>
      <c r="BM15" s="15"/>
      <c r="BN15" s="15"/>
      <c r="BO15" s="15"/>
      <c r="BP15" s="15"/>
      <c r="BQ15" s="15"/>
      <c r="BR15" s="15"/>
      <c r="BS15" s="15"/>
      <c r="BT15" s="15"/>
      <c r="BU15" s="15"/>
    </row>
    <row r="16" spans="1:73" ht="24.2" customHeight="1" x14ac:dyDescent="0.2">
      <c r="B16" s="164">
        <v>4</v>
      </c>
      <c r="C16" s="157" t="s">
        <v>29</v>
      </c>
      <c r="D16" s="19" t="e">
        <f>VLOOKUP($B16,#REF!,3,0)</f>
        <v>#REF!</v>
      </c>
      <c r="E16" s="19" t="e">
        <f>VLOOKUP($B16,#REF!,4,0)</f>
        <v>#REF!</v>
      </c>
      <c r="F16" s="19" t="e">
        <f>VLOOKUP($B16,#REF!,5,0)</f>
        <v>#REF!</v>
      </c>
      <c r="G16" s="19" t="e">
        <f>VLOOKUP($B16,#REF!,6,0)</f>
        <v>#REF!</v>
      </c>
      <c r="H16" s="19" t="e">
        <f>VLOOKUP($B16,#REF!,7,0)</f>
        <v>#REF!</v>
      </c>
      <c r="I16" s="19" t="e">
        <f>VLOOKUP($B16,#REF!,8,0)</f>
        <v>#REF!</v>
      </c>
      <c r="J16" s="159"/>
      <c r="K16" s="22" t="s">
        <v>12</v>
      </c>
      <c r="L16" s="35">
        <v>16</v>
      </c>
      <c r="M16" s="35">
        <v>20</v>
      </c>
      <c r="N16" s="44">
        <v>19</v>
      </c>
      <c r="O16" s="161"/>
      <c r="P16" s="13"/>
      <c r="Q16" s="13"/>
      <c r="R16" s="13"/>
      <c r="S16" s="13"/>
      <c r="T16" s="13"/>
    </row>
    <row r="17" spans="2:73" ht="24.2" customHeight="1" thickBot="1" x14ac:dyDescent="0.25">
      <c r="B17" s="156"/>
      <c r="C17" s="158"/>
      <c r="D17" s="20" t="e">
        <f>VLOOKUP($B17,#REF!,3,0)</f>
        <v>#REF!</v>
      </c>
      <c r="E17" s="20" t="e">
        <f>VLOOKUP($B17,#REF!,4,0)</f>
        <v>#REF!</v>
      </c>
      <c r="F17" s="20" t="e">
        <f>VLOOKUP($B17,#REF!,5,0)</f>
        <v>#REF!</v>
      </c>
      <c r="G17" s="20" t="e">
        <f>VLOOKUP($B17,#REF!,6,0)</f>
        <v>#REF!</v>
      </c>
      <c r="H17" s="20" t="e">
        <f>VLOOKUP($B17,#REF!,7,0)</f>
        <v>#REF!</v>
      </c>
      <c r="I17" s="20" t="e">
        <f>VLOOKUP($B17,#REF!,8,0)</f>
        <v>#REF!</v>
      </c>
      <c r="J17" s="160"/>
      <c r="K17" s="34" t="s">
        <v>13</v>
      </c>
      <c r="L17" s="36">
        <v>21</v>
      </c>
      <c r="M17" s="36">
        <v>24</v>
      </c>
      <c r="N17" s="36">
        <v>22</v>
      </c>
      <c r="O17" s="162"/>
      <c r="P17" s="13"/>
      <c r="Q17" s="13"/>
      <c r="R17" s="13"/>
      <c r="S17" s="13"/>
      <c r="T17" s="13"/>
      <c r="AF17" s="12"/>
      <c r="AG17" s="12"/>
      <c r="AH17" s="14"/>
      <c r="AI17" s="15"/>
      <c r="AJ17" s="15"/>
      <c r="AK17" s="15"/>
      <c r="AL17" s="15"/>
      <c r="AM17" s="15"/>
      <c r="AN17" s="15"/>
      <c r="AO17" s="15"/>
      <c r="AP17" s="15"/>
      <c r="AQ17" s="15"/>
      <c r="AR17" s="15"/>
      <c r="AS17" s="15"/>
      <c r="AT17" s="15"/>
      <c r="AU17" s="15"/>
      <c r="AV17" s="15"/>
      <c r="AW17" s="15"/>
      <c r="AX17" s="15"/>
      <c r="AY17" s="15"/>
      <c r="AZ17" s="15"/>
      <c r="BA17" s="15"/>
      <c r="BB17" s="15"/>
      <c r="BC17" s="15"/>
      <c r="BD17" s="15"/>
      <c r="BE17" s="15"/>
      <c r="BF17" s="15"/>
      <c r="BG17" s="15"/>
      <c r="BH17" s="15"/>
      <c r="BI17" s="15"/>
      <c r="BJ17" s="15"/>
      <c r="BK17" s="15"/>
      <c r="BL17" s="15"/>
      <c r="BM17" s="15"/>
      <c r="BN17" s="15"/>
      <c r="BO17" s="15"/>
      <c r="BP17" s="15"/>
      <c r="BQ17" s="15"/>
      <c r="BR17" s="15"/>
      <c r="BS17" s="15"/>
      <c r="BT17" s="15"/>
      <c r="BU17" s="15"/>
    </row>
    <row r="18" spans="2:73" ht="24.2" customHeight="1" x14ac:dyDescent="0.2">
      <c r="B18" s="164">
        <v>5</v>
      </c>
      <c r="C18" s="157" t="s">
        <v>28</v>
      </c>
      <c r="D18" s="19" t="e">
        <f>VLOOKUP($B18,#REF!,3,0)</f>
        <v>#REF!</v>
      </c>
      <c r="E18" s="19" t="e">
        <f>VLOOKUP($B18,#REF!,4,0)</f>
        <v>#REF!</v>
      </c>
      <c r="F18" s="19" t="e">
        <f>VLOOKUP($B18,#REF!,5,0)</f>
        <v>#REF!</v>
      </c>
      <c r="G18" s="19" t="e">
        <f>VLOOKUP($B18,#REF!,6,0)</f>
        <v>#REF!</v>
      </c>
      <c r="H18" s="19" t="e">
        <f>VLOOKUP($B18,#REF!,7,0)</f>
        <v>#REF!</v>
      </c>
      <c r="I18" s="19" t="e">
        <f>VLOOKUP($B18,#REF!,8,0)</f>
        <v>#REF!</v>
      </c>
      <c r="J18" s="159"/>
      <c r="K18" s="22" t="s">
        <v>12</v>
      </c>
      <c r="L18" s="44">
        <v>22</v>
      </c>
      <c r="M18" s="35">
        <v>15</v>
      </c>
      <c r="N18" s="44">
        <v>18</v>
      </c>
      <c r="O18" s="161"/>
      <c r="P18" s="13"/>
      <c r="Q18" s="13"/>
      <c r="R18" s="13"/>
      <c r="S18" s="13"/>
      <c r="T18" s="13"/>
      <c r="AF18" s="12"/>
      <c r="AG18" s="12"/>
      <c r="AH18" s="12"/>
    </row>
    <row r="19" spans="2:73" ht="24.2" customHeight="1" thickBot="1" x14ac:dyDescent="0.25">
      <c r="B19" s="156"/>
      <c r="C19" s="163"/>
      <c r="D19" s="20" t="e">
        <f>VLOOKUP($B19,#REF!,3,0)</f>
        <v>#REF!</v>
      </c>
      <c r="E19" s="20" t="e">
        <f>VLOOKUP($B19,#REF!,4,0)</f>
        <v>#REF!</v>
      </c>
      <c r="F19" s="20" t="e">
        <f>VLOOKUP($B19,#REF!,5,0)</f>
        <v>#REF!</v>
      </c>
      <c r="G19" s="20" t="e">
        <f>VLOOKUP($B19,#REF!,6,0)</f>
        <v>#REF!</v>
      </c>
      <c r="H19" s="20" t="e">
        <f>VLOOKUP($B19,#REF!,7,0)</f>
        <v>#REF!</v>
      </c>
      <c r="I19" s="20" t="e">
        <f>VLOOKUP($B19,#REF!,8,0)</f>
        <v>#REF!</v>
      </c>
      <c r="J19" s="160"/>
      <c r="K19" s="34" t="s">
        <v>13</v>
      </c>
      <c r="L19" s="36">
        <v>23</v>
      </c>
      <c r="M19" s="36">
        <v>19</v>
      </c>
      <c r="N19" s="36">
        <v>21</v>
      </c>
      <c r="O19" s="162"/>
      <c r="P19" s="13"/>
      <c r="Q19" s="13"/>
      <c r="R19" s="13"/>
      <c r="S19" s="13"/>
      <c r="T19" s="13"/>
      <c r="AF19" s="12"/>
      <c r="AG19" s="12"/>
      <c r="AH19" s="14"/>
      <c r="AI19" s="15"/>
      <c r="AJ19" s="15"/>
      <c r="AK19" s="15"/>
      <c r="AL19" s="15"/>
      <c r="AM19" s="15"/>
      <c r="AN19" s="15"/>
      <c r="AO19" s="15"/>
      <c r="AP19" s="15"/>
      <c r="AQ19" s="15"/>
      <c r="AR19" s="15"/>
      <c r="AS19" s="15"/>
      <c r="AT19" s="15"/>
      <c r="AU19" s="15"/>
      <c r="AV19" s="15"/>
      <c r="AW19" s="15"/>
      <c r="AX19" s="15"/>
      <c r="AY19" s="15"/>
      <c r="AZ19" s="15"/>
      <c r="BA19" s="15"/>
      <c r="BB19" s="15"/>
      <c r="BC19" s="15"/>
      <c r="BD19" s="15"/>
      <c r="BE19" s="15"/>
      <c r="BF19" s="15"/>
      <c r="BG19" s="15"/>
      <c r="BH19" s="15"/>
      <c r="BI19" s="15"/>
      <c r="BJ19" s="15"/>
      <c r="BK19" s="15"/>
      <c r="BL19" s="15"/>
      <c r="BM19" s="15"/>
      <c r="BN19" s="15"/>
      <c r="BO19" s="15"/>
      <c r="BP19" s="15"/>
      <c r="BQ19" s="15"/>
      <c r="BR19" s="15"/>
      <c r="BS19" s="15"/>
      <c r="BT19" s="15"/>
      <c r="BU19" s="15"/>
    </row>
    <row r="20" spans="2:73" ht="24.2" customHeight="1" x14ac:dyDescent="0.2">
      <c r="B20" s="164">
        <v>6</v>
      </c>
      <c r="C20" s="157" t="s">
        <v>29</v>
      </c>
      <c r="D20" s="19" t="e">
        <f>VLOOKUP($B20,#REF!,3,0)</f>
        <v>#REF!</v>
      </c>
      <c r="E20" s="19" t="e">
        <f>VLOOKUP($B20,#REF!,4,0)</f>
        <v>#REF!</v>
      </c>
      <c r="F20" s="19" t="e">
        <f>VLOOKUP($B20,#REF!,5,0)</f>
        <v>#REF!</v>
      </c>
      <c r="G20" s="19" t="e">
        <f>VLOOKUP($B20,#REF!,6,0)</f>
        <v>#REF!</v>
      </c>
      <c r="H20" s="19" t="e">
        <f>VLOOKUP($B20,#REF!,7,0)</f>
        <v>#REF!</v>
      </c>
      <c r="I20" s="19" t="e">
        <f>VLOOKUP($B20,#REF!,8,0)</f>
        <v>#REF!</v>
      </c>
      <c r="J20" s="159"/>
      <c r="K20" s="22" t="s">
        <v>12</v>
      </c>
      <c r="L20" s="35">
        <v>22</v>
      </c>
      <c r="M20" s="35">
        <v>18</v>
      </c>
      <c r="N20" s="35">
        <v>20</v>
      </c>
      <c r="O20" s="161"/>
      <c r="P20" s="13"/>
      <c r="Q20" s="13"/>
      <c r="R20" s="13"/>
      <c r="S20" s="13"/>
      <c r="T20" s="13"/>
      <c r="AF20" s="12"/>
      <c r="AG20" s="12"/>
      <c r="AH20" s="12"/>
    </row>
    <row r="21" spans="2:73" ht="24.2" customHeight="1" thickBot="1" x14ac:dyDescent="0.25">
      <c r="B21" s="156"/>
      <c r="C21" s="158"/>
      <c r="D21" s="20" t="e">
        <f>VLOOKUP($B21,#REF!,3,0)</f>
        <v>#REF!</v>
      </c>
      <c r="E21" s="20" t="e">
        <f>VLOOKUP($B21,#REF!,4,0)</f>
        <v>#REF!</v>
      </c>
      <c r="F21" s="20" t="e">
        <f>VLOOKUP($B21,#REF!,5,0)</f>
        <v>#REF!</v>
      </c>
      <c r="G21" s="20" t="e">
        <f>VLOOKUP($B21,#REF!,6,0)</f>
        <v>#REF!</v>
      </c>
      <c r="H21" s="20" t="e">
        <f>VLOOKUP($B21,#REF!,7,0)</f>
        <v>#REF!</v>
      </c>
      <c r="I21" s="20" t="e">
        <f>VLOOKUP($B21,#REF!,8,0)</f>
        <v>#REF!</v>
      </c>
      <c r="J21" s="160"/>
      <c r="K21" s="34" t="s">
        <v>13</v>
      </c>
      <c r="L21" s="36">
        <v>20</v>
      </c>
      <c r="M21" s="36">
        <v>22</v>
      </c>
      <c r="N21" s="36">
        <v>23</v>
      </c>
      <c r="O21" s="162"/>
      <c r="P21" s="13"/>
      <c r="Q21" s="13"/>
      <c r="R21" s="13"/>
      <c r="S21" s="13"/>
      <c r="T21" s="13"/>
      <c r="AF21" s="12"/>
      <c r="AG21" s="12"/>
      <c r="AH21" s="14"/>
      <c r="AI21" s="15"/>
      <c r="AJ21" s="15"/>
      <c r="AK21" s="15"/>
      <c r="AL21" s="15"/>
      <c r="AM21" s="15"/>
      <c r="AN21" s="15"/>
      <c r="AO21" s="15"/>
      <c r="AP21" s="15"/>
      <c r="AQ21" s="15"/>
      <c r="AR21" s="15"/>
      <c r="AS21" s="15"/>
      <c r="AT21" s="15"/>
      <c r="AU21" s="15"/>
      <c r="AV21" s="15"/>
      <c r="AW21" s="15"/>
      <c r="AX21" s="15"/>
      <c r="AY21" s="15"/>
      <c r="AZ21" s="15"/>
      <c r="BA21" s="15"/>
      <c r="BB21" s="15"/>
      <c r="BC21" s="15"/>
      <c r="BD21" s="15"/>
      <c r="BE21" s="15"/>
      <c r="BF21" s="15"/>
      <c r="BG21" s="15"/>
      <c r="BH21" s="15"/>
      <c r="BI21" s="15"/>
      <c r="BJ21" s="15"/>
      <c r="BK21" s="15"/>
      <c r="BL21" s="15"/>
      <c r="BM21" s="15"/>
      <c r="BN21" s="15"/>
      <c r="BO21" s="15"/>
      <c r="BP21" s="15"/>
      <c r="BQ21" s="15"/>
      <c r="BR21" s="15"/>
      <c r="BS21" s="15"/>
      <c r="BT21" s="15"/>
      <c r="BU21" s="15"/>
    </row>
    <row r="22" spans="2:73" ht="24.2" customHeight="1" x14ac:dyDescent="0.2">
      <c r="B22" s="164">
        <v>7</v>
      </c>
      <c r="C22" s="157" t="s">
        <v>28</v>
      </c>
      <c r="D22" s="19" t="e">
        <f>VLOOKUP($B22,#REF!,3,0)</f>
        <v>#REF!</v>
      </c>
      <c r="E22" s="19" t="e">
        <f>VLOOKUP($B22,#REF!,4,0)</f>
        <v>#REF!</v>
      </c>
      <c r="F22" s="19" t="e">
        <f>VLOOKUP($B22,#REF!,5,0)</f>
        <v>#REF!</v>
      </c>
      <c r="G22" s="19" t="e">
        <f>VLOOKUP($B22,#REF!,6,0)</f>
        <v>#REF!</v>
      </c>
      <c r="H22" s="19" t="e">
        <f>VLOOKUP($B22,#REF!,7,0)</f>
        <v>#REF!</v>
      </c>
      <c r="I22" s="19" t="e">
        <f>VLOOKUP($B22,#REF!,8,0)</f>
        <v>#REF!</v>
      </c>
      <c r="J22" s="159"/>
      <c r="K22" s="22" t="s">
        <v>12</v>
      </c>
      <c r="L22" s="35">
        <v>15</v>
      </c>
      <c r="M22" s="35">
        <v>18</v>
      </c>
      <c r="N22" s="35">
        <v>15</v>
      </c>
      <c r="O22" s="161"/>
      <c r="P22" s="13"/>
      <c r="Q22" s="13"/>
      <c r="R22" s="13"/>
      <c r="S22" s="13"/>
      <c r="T22" s="13"/>
      <c r="AF22" s="12"/>
      <c r="AG22" s="12"/>
      <c r="AH22" s="12"/>
    </row>
    <row r="23" spans="2:73" ht="24.2" customHeight="1" thickBot="1" x14ac:dyDescent="0.25">
      <c r="B23" s="156"/>
      <c r="C23" s="163"/>
      <c r="D23" s="20" t="e">
        <f>VLOOKUP($B23,#REF!,3,0)</f>
        <v>#REF!</v>
      </c>
      <c r="E23" s="20" t="e">
        <f>VLOOKUP($B23,#REF!,4,0)</f>
        <v>#REF!</v>
      </c>
      <c r="F23" s="20" t="e">
        <f>VLOOKUP($B23,#REF!,5,0)</f>
        <v>#REF!</v>
      </c>
      <c r="G23" s="20" t="e">
        <f>VLOOKUP($B23,#REF!,6,0)</f>
        <v>#REF!</v>
      </c>
      <c r="H23" s="20" t="e">
        <f>VLOOKUP($B23,#REF!,7,0)</f>
        <v>#REF!</v>
      </c>
      <c r="I23" s="20" t="e">
        <f>VLOOKUP($B23,#REF!,8,0)</f>
        <v>#REF!</v>
      </c>
      <c r="J23" s="160"/>
      <c r="K23" s="34" t="s">
        <v>13</v>
      </c>
      <c r="L23" s="36">
        <v>19</v>
      </c>
      <c r="M23" s="36">
        <v>20</v>
      </c>
      <c r="N23" s="36">
        <v>20</v>
      </c>
      <c r="O23" s="162"/>
      <c r="P23" s="13"/>
      <c r="Q23" s="13"/>
      <c r="R23" s="13"/>
      <c r="S23" s="13"/>
      <c r="T23" s="13"/>
      <c r="AF23" s="12"/>
      <c r="AG23" s="12"/>
      <c r="AH23" s="14"/>
      <c r="AI23" s="15"/>
      <c r="AJ23" s="15"/>
      <c r="AK23" s="15"/>
      <c r="AL23" s="15"/>
      <c r="AM23" s="15"/>
      <c r="AN23" s="15"/>
      <c r="AO23" s="15"/>
      <c r="AP23" s="15"/>
      <c r="AQ23" s="15"/>
      <c r="AR23" s="15"/>
      <c r="AS23" s="15"/>
      <c r="AT23" s="15"/>
      <c r="AU23" s="15"/>
      <c r="AV23" s="15"/>
      <c r="AW23" s="15"/>
      <c r="AX23" s="15"/>
      <c r="AY23" s="15"/>
      <c r="AZ23" s="15"/>
      <c r="BA23" s="15"/>
      <c r="BB23" s="15"/>
      <c r="BC23" s="15"/>
      <c r="BD23" s="15"/>
      <c r="BE23" s="15"/>
      <c r="BF23" s="15"/>
      <c r="BG23" s="15"/>
      <c r="BH23" s="15"/>
      <c r="BI23" s="15"/>
      <c r="BJ23" s="15"/>
      <c r="BK23" s="15"/>
      <c r="BL23" s="15"/>
      <c r="BM23" s="15"/>
      <c r="BN23" s="15"/>
      <c r="BO23" s="15"/>
      <c r="BP23" s="15"/>
      <c r="BQ23" s="15"/>
      <c r="BR23" s="15"/>
      <c r="BS23" s="15"/>
      <c r="BT23" s="15"/>
      <c r="BU23" s="15"/>
    </row>
    <row r="24" spans="2:73" ht="24.2" customHeight="1" x14ac:dyDescent="0.2">
      <c r="B24" s="164">
        <v>8</v>
      </c>
      <c r="C24" s="157" t="s">
        <v>29</v>
      </c>
      <c r="D24" s="19" t="e">
        <f>VLOOKUP($B24,#REF!,3,0)</f>
        <v>#REF!</v>
      </c>
      <c r="E24" s="19" t="e">
        <f>VLOOKUP($B24,#REF!,4,0)</f>
        <v>#REF!</v>
      </c>
      <c r="F24" s="19" t="e">
        <f>VLOOKUP($B24,#REF!,5,0)</f>
        <v>#REF!</v>
      </c>
      <c r="G24" s="19" t="e">
        <f>VLOOKUP($B24,#REF!,6,0)</f>
        <v>#REF!</v>
      </c>
      <c r="H24" s="19" t="e">
        <f>VLOOKUP($B24,#REF!,7,0)</f>
        <v>#REF!</v>
      </c>
      <c r="I24" s="19" t="e">
        <f>VLOOKUP($B24,#REF!,8,0)</f>
        <v>#REF!</v>
      </c>
      <c r="J24" s="159"/>
      <c r="K24" s="22" t="s">
        <v>12</v>
      </c>
      <c r="L24" s="35">
        <v>17</v>
      </c>
      <c r="M24" s="35">
        <v>18</v>
      </c>
      <c r="N24" s="35">
        <v>18</v>
      </c>
      <c r="O24" s="161"/>
      <c r="P24" s="13"/>
      <c r="Q24" s="13"/>
      <c r="R24" s="13"/>
      <c r="S24" s="13"/>
      <c r="T24" s="13"/>
      <c r="AF24" s="9"/>
      <c r="AG24" s="9"/>
      <c r="AH24" s="9"/>
    </row>
    <row r="25" spans="2:73" ht="24.2" customHeight="1" thickBot="1" x14ac:dyDescent="0.25">
      <c r="B25" s="156"/>
      <c r="C25" s="158"/>
      <c r="D25" s="20" t="e">
        <f>VLOOKUP($B25,#REF!,3,0)</f>
        <v>#REF!</v>
      </c>
      <c r="E25" s="20" t="e">
        <f>VLOOKUP($B25,#REF!,4,0)</f>
        <v>#REF!</v>
      </c>
      <c r="F25" s="20" t="e">
        <f>VLOOKUP($B25,#REF!,5,0)</f>
        <v>#REF!</v>
      </c>
      <c r="G25" s="20" t="e">
        <f>VLOOKUP($B25,#REF!,6,0)</f>
        <v>#REF!</v>
      </c>
      <c r="H25" s="20" t="e">
        <f>VLOOKUP($B25,#REF!,7,0)</f>
        <v>#REF!</v>
      </c>
      <c r="I25" s="20" t="e">
        <f>VLOOKUP($B25,#REF!,8,0)</f>
        <v>#REF!</v>
      </c>
      <c r="J25" s="160"/>
      <c r="K25" s="34" t="s">
        <v>13</v>
      </c>
      <c r="L25" s="36">
        <v>21</v>
      </c>
      <c r="M25" s="36">
        <v>22</v>
      </c>
      <c r="N25" s="36">
        <v>21</v>
      </c>
      <c r="O25" s="162"/>
      <c r="P25" s="13"/>
      <c r="Q25" s="13"/>
      <c r="R25" s="13"/>
      <c r="S25" s="13"/>
      <c r="T25" s="13"/>
      <c r="AF25" s="12"/>
      <c r="AG25" s="12"/>
      <c r="AH25" s="14"/>
      <c r="AI25" s="15"/>
      <c r="AJ25" s="15"/>
      <c r="AK25" s="15"/>
      <c r="AL25" s="15"/>
      <c r="AM25" s="15"/>
      <c r="AN25" s="15"/>
      <c r="AO25" s="15"/>
      <c r="AP25" s="15"/>
      <c r="AQ25" s="15"/>
      <c r="AR25" s="15"/>
      <c r="AS25" s="15"/>
      <c r="AT25" s="15"/>
      <c r="AU25" s="15"/>
      <c r="AV25" s="15"/>
      <c r="AW25" s="15"/>
      <c r="AX25" s="15"/>
      <c r="AY25" s="15"/>
      <c r="AZ25" s="15"/>
      <c r="BA25" s="15"/>
      <c r="BB25" s="15"/>
      <c r="BC25" s="15"/>
      <c r="BD25" s="15"/>
      <c r="BE25" s="15"/>
      <c r="BF25" s="15"/>
      <c r="BG25" s="15"/>
      <c r="BH25" s="15"/>
      <c r="BI25" s="15"/>
      <c r="BJ25" s="15"/>
      <c r="BK25" s="15"/>
      <c r="BL25" s="15"/>
      <c r="BM25" s="15"/>
      <c r="BN25" s="15"/>
      <c r="BO25" s="15"/>
      <c r="BP25" s="15"/>
      <c r="BQ25" s="15"/>
      <c r="BR25" s="15"/>
      <c r="BS25" s="15"/>
      <c r="BT25" s="15"/>
      <c r="BU25" s="15"/>
    </row>
    <row r="26" spans="2:73" ht="24.2" customHeight="1" x14ac:dyDescent="0.2">
      <c r="B26" s="164">
        <v>9</v>
      </c>
      <c r="C26" s="157" t="s">
        <v>28</v>
      </c>
      <c r="D26" s="19" t="e">
        <f>VLOOKUP($B26,#REF!,3,0)</f>
        <v>#REF!</v>
      </c>
      <c r="E26" s="19" t="e">
        <f>VLOOKUP($B26,#REF!,4,0)</f>
        <v>#REF!</v>
      </c>
      <c r="F26" s="19" t="e">
        <f>VLOOKUP($B26,#REF!,5,0)</f>
        <v>#REF!</v>
      </c>
      <c r="G26" s="19" t="e">
        <f>VLOOKUP($B26,#REF!,6,0)</f>
        <v>#REF!</v>
      </c>
      <c r="H26" s="19" t="e">
        <f>VLOOKUP($B26,#REF!,7,0)</f>
        <v>#REF!</v>
      </c>
      <c r="I26" s="19" t="e">
        <f>VLOOKUP($B26,#REF!,8,0)</f>
        <v>#REF!</v>
      </c>
      <c r="J26" s="159"/>
      <c r="K26" s="22" t="s">
        <v>12</v>
      </c>
      <c r="L26" s="35">
        <v>21</v>
      </c>
      <c r="M26" s="35">
        <v>18</v>
      </c>
      <c r="N26" s="35">
        <v>17</v>
      </c>
      <c r="O26" s="161"/>
      <c r="P26" s="13"/>
      <c r="Q26" s="13"/>
      <c r="R26" s="13"/>
      <c r="S26" s="13"/>
      <c r="T26" s="13"/>
      <c r="AF26" s="12"/>
      <c r="AG26" s="12"/>
      <c r="AH26" s="12"/>
    </row>
    <row r="27" spans="2:73" ht="24.2" customHeight="1" thickBot="1" x14ac:dyDescent="0.25">
      <c r="B27" s="156"/>
      <c r="C27" s="163"/>
      <c r="D27" s="20" t="e">
        <f>VLOOKUP($B27,#REF!,3,0)</f>
        <v>#REF!</v>
      </c>
      <c r="E27" s="20" t="e">
        <f>VLOOKUP($B27,#REF!,4,0)</f>
        <v>#REF!</v>
      </c>
      <c r="F27" s="20" t="e">
        <f>VLOOKUP($B27,#REF!,5,0)</f>
        <v>#REF!</v>
      </c>
      <c r="G27" s="20" t="e">
        <f>VLOOKUP($B27,#REF!,6,0)</f>
        <v>#REF!</v>
      </c>
      <c r="H27" s="20" t="e">
        <f>VLOOKUP($B27,#REF!,7,0)</f>
        <v>#REF!</v>
      </c>
      <c r="I27" s="20" t="e">
        <f>VLOOKUP($B27,#REF!,8,0)</f>
        <v>#REF!</v>
      </c>
      <c r="J27" s="160"/>
      <c r="K27" s="34" t="s">
        <v>13</v>
      </c>
      <c r="L27" s="36">
        <v>21</v>
      </c>
      <c r="M27" s="36">
        <v>20</v>
      </c>
      <c r="N27" s="36">
        <v>18</v>
      </c>
      <c r="O27" s="162"/>
      <c r="P27" s="13"/>
      <c r="Q27" s="13"/>
      <c r="R27" s="13"/>
      <c r="S27" s="13"/>
      <c r="T27" s="13"/>
      <c r="AF27" s="12"/>
      <c r="AG27" s="12"/>
      <c r="AH27" s="14"/>
      <c r="AI27" s="15"/>
      <c r="AJ27" s="15"/>
      <c r="AK27" s="15"/>
      <c r="AL27" s="15"/>
      <c r="AM27" s="15"/>
      <c r="AN27" s="15"/>
      <c r="AO27" s="15"/>
      <c r="AP27" s="15"/>
      <c r="AQ27" s="15"/>
      <c r="AR27" s="15"/>
      <c r="AS27" s="15"/>
      <c r="AT27" s="15"/>
      <c r="AU27" s="15"/>
      <c r="AV27" s="15"/>
      <c r="AW27" s="15"/>
      <c r="AX27" s="15"/>
      <c r="AY27" s="15"/>
      <c r="AZ27" s="15"/>
      <c r="BA27" s="15"/>
      <c r="BB27" s="15"/>
      <c r="BC27" s="15"/>
      <c r="BD27" s="15"/>
      <c r="BE27" s="15"/>
      <c r="BF27" s="15"/>
      <c r="BG27" s="15"/>
      <c r="BH27" s="15"/>
      <c r="BI27" s="15"/>
      <c r="BJ27" s="15"/>
      <c r="BK27" s="15"/>
      <c r="BL27" s="15"/>
      <c r="BM27" s="15"/>
      <c r="BN27" s="15"/>
      <c r="BO27" s="15"/>
      <c r="BP27" s="15"/>
      <c r="BQ27" s="15"/>
      <c r="BR27" s="15"/>
      <c r="BS27" s="15"/>
      <c r="BT27" s="15"/>
      <c r="BU27" s="15"/>
    </row>
    <row r="28" spans="2:73" ht="24.2" customHeight="1" x14ac:dyDescent="0.2">
      <c r="B28" s="155">
        <v>10</v>
      </c>
      <c r="C28" s="157" t="s">
        <v>29</v>
      </c>
      <c r="D28" s="19" t="e">
        <f>VLOOKUP($B28,#REF!,3,0)</f>
        <v>#REF!</v>
      </c>
      <c r="E28" s="19" t="e">
        <f>VLOOKUP($B28,#REF!,4,0)</f>
        <v>#REF!</v>
      </c>
      <c r="F28" s="19" t="e">
        <f>VLOOKUP($B28,#REF!,5,0)</f>
        <v>#REF!</v>
      </c>
      <c r="G28" s="19" t="e">
        <f>VLOOKUP($B28,#REF!,6,0)</f>
        <v>#REF!</v>
      </c>
      <c r="H28" s="19" t="e">
        <f>VLOOKUP($B28,#REF!,7,0)</f>
        <v>#REF!</v>
      </c>
      <c r="I28" s="19" t="e">
        <f>VLOOKUP($B28,#REF!,8,0)</f>
        <v>#REF!</v>
      </c>
      <c r="J28" s="159"/>
      <c r="K28" s="22" t="s">
        <v>12</v>
      </c>
      <c r="L28" s="35">
        <v>23</v>
      </c>
      <c r="M28" s="35">
        <v>16</v>
      </c>
      <c r="N28" s="35">
        <v>20</v>
      </c>
      <c r="O28" s="161"/>
      <c r="P28" s="13"/>
      <c r="Q28" s="13"/>
      <c r="R28" s="13"/>
      <c r="S28" s="13"/>
      <c r="T28" s="13"/>
    </row>
    <row r="29" spans="2:73" ht="24.2" customHeight="1" thickBot="1" x14ac:dyDescent="0.25">
      <c r="B29" s="156"/>
      <c r="C29" s="158"/>
      <c r="D29" s="20" t="e">
        <f>VLOOKUP($B29,#REF!,3,0)</f>
        <v>#REF!</v>
      </c>
      <c r="E29" s="20" t="e">
        <f>VLOOKUP($B29,#REF!,4,0)</f>
        <v>#REF!</v>
      </c>
      <c r="F29" s="20" t="e">
        <f>VLOOKUP($B29,#REF!,5,0)</f>
        <v>#REF!</v>
      </c>
      <c r="G29" s="20" t="e">
        <f>VLOOKUP($B29,#REF!,6,0)</f>
        <v>#REF!</v>
      </c>
      <c r="H29" s="20" t="e">
        <f>VLOOKUP($B29,#REF!,7,0)</f>
        <v>#REF!</v>
      </c>
      <c r="I29" s="20" t="e">
        <f>VLOOKUP($B29,#REF!,8,0)</f>
        <v>#REF!</v>
      </c>
      <c r="J29" s="160"/>
      <c r="K29" s="34" t="s">
        <v>13</v>
      </c>
      <c r="L29" s="36">
        <v>25</v>
      </c>
      <c r="M29" s="36">
        <v>19</v>
      </c>
      <c r="N29" s="36">
        <v>22</v>
      </c>
      <c r="O29" s="162"/>
      <c r="P29" s="13"/>
      <c r="Q29" s="13"/>
      <c r="R29" s="13"/>
      <c r="S29" s="13"/>
      <c r="T29" s="13"/>
      <c r="AF29" s="12"/>
      <c r="AG29" s="12"/>
      <c r="AH29" s="14"/>
      <c r="AI29" s="15"/>
      <c r="AJ29" s="15"/>
      <c r="AK29" s="15"/>
      <c r="AL29" s="15"/>
      <c r="AM29" s="15"/>
      <c r="AN29" s="15"/>
      <c r="AO29" s="15"/>
      <c r="AP29" s="15"/>
      <c r="AQ29" s="15"/>
      <c r="AR29" s="15"/>
      <c r="AS29" s="15"/>
      <c r="AT29" s="15"/>
      <c r="AU29" s="15"/>
      <c r="AV29" s="15"/>
      <c r="AW29" s="15"/>
      <c r="AX29" s="15"/>
      <c r="AY29" s="15"/>
      <c r="AZ29" s="15"/>
      <c r="BA29" s="15"/>
      <c r="BB29" s="15"/>
      <c r="BC29" s="15"/>
      <c r="BD29" s="15"/>
      <c r="BE29" s="15"/>
      <c r="BF29" s="15"/>
      <c r="BG29" s="15"/>
      <c r="BH29" s="15"/>
      <c r="BI29" s="15"/>
      <c r="BJ29" s="15"/>
      <c r="BK29" s="15"/>
      <c r="BL29" s="15"/>
      <c r="BM29" s="15"/>
      <c r="BN29" s="15"/>
      <c r="BO29" s="15"/>
      <c r="BP29" s="15"/>
      <c r="BQ29" s="15"/>
      <c r="BR29" s="15"/>
      <c r="BS29" s="15"/>
      <c r="BT29" s="15"/>
      <c r="BU29" s="15"/>
    </row>
    <row r="30" spans="2:73" ht="24.2" customHeight="1" x14ac:dyDescent="0.2">
      <c r="B30" s="155">
        <v>11</v>
      </c>
      <c r="C30" s="157" t="s">
        <v>28</v>
      </c>
      <c r="D30" s="19" t="e">
        <f>VLOOKUP($B30,#REF!,3,0)</f>
        <v>#REF!</v>
      </c>
      <c r="E30" s="19" t="e">
        <f>VLOOKUP($B30,#REF!,4,0)</f>
        <v>#REF!</v>
      </c>
      <c r="F30" s="19" t="e">
        <f>VLOOKUP($B30,#REF!,5,0)</f>
        <v>#REF!</v>
      </c>
      <c r="G30" s="19" t="e">
        <f>VLOOKUP($B30,#REF!,6,0)</f>
        <v>#REF!</v>
      </c>
      <c r="H30" s="19" t="e">
        <f>VLOOKUP($B30,#REF!,7,0)</f>
        <v>#REF!</v>
      </c>
      <c r="I30" s="19" t="e">
        <f>VLOOKUP($B30,#REF!,8,0)</f>
        <v>#REF!</v>
      </c>
      <c r="J30" s="159"/>
      <c r="K30" s="22" t="s">
        <v>12</v>
      </c>
      <c r="L30" s="44">
        <v>15</v>
      </c>
      <c r="M30" s="35">
        <v>17</v>
      </c>
      <c r="N30" s="35">
        <v>19</v>
      </c>
      <c r="O30" s="161"/>
      <c r="P30" s="13"/>
      <c r="Q30" s="13"/>
      <c r="R30" s="13"/>
      <c r="S30" s="13"/>
      <c r="T30" s="13"/>
    </row>
    <row r="31" spans="2:73" ht="24.2" customHeight="1" thickBot="1" x14ac:dyDescent="0.25">
      <c r="B31" s="156"/>
      <c r="C31" s="163"/>
      <c r="D31" s="20" t="e">
        <f>VLOOKUP($B31,#REF!,3,0)</f>
        <v>#REF!</v>
      </c>
      <c r="E31" s="20" t="e">
        <f>VLOOKUP($B31,#REF!,4,0)</f>
        <v>#REF!</v>
      </c>
      <c r="F31" s="20" t="e">
        <f>VLOOKUP($B31,#REF!,5,0)</f>
        <v>#REF!</v>
      </c>
      <c r="G31" s="20" t="e">
        <f>VLOOKUP($B31,#REF!,6,0)</f>
        <v>#REF!</v>
      </c>
      <c r="H31" s="20" t="e">
        <f>VLOOKUP($B31,#REF!,7,0)</f>
        <v>#REF!</v>
      </c>
      <c r="I31" s="20" t="e">
        <f>VLOOKUP($B31,#REF!,8,0)</f>
        <v>#REF!</v>
      </c>
      <c r="J31" s="160"/>
      <c r="K31" s="34" t="s">
        <v>13</v>
      </c>
      <c r="L31" s="36">
        <v>19</v>
      </c>
      <c r="M31" s="36">
        <v>21</v>
      </c>
      <c r="N31" s="36">
        <v>22</v>
      </c>
      <c r="O31" s="162"/>
      <c r="P31" s="13"/>
      <c r="Q31" s="13"/>
      <c r="R31" s="13"/>
      <c r="S31" s="13"/>
      <c r="T31" s="13"/>
      <c r="AF31" s="12"/>
      <c r="AG31" s="12"/>
      <c r="AH31" s="14"/>
      <c r="AI31" s="15"/>
      <c r="AJ31" s="15"/>
      <c r="AK31" s="15"/>
      <c r="AL31" s="15"/>
      <c r="AM31" s="15"/>
      <c r="AN31" s="15"/>
      <c r="AO31" s="15"/>
      <c r="AP31" s="15"/>
      <c r="AQ31" s="15"/>
      <c r="AR31" s="15"/>
      <c r="AS31" s="15"/>
      <c r="AT31" s="15"/>
      <c r="AU31" s="15"/>
      <c r="AV31" s="15"/>
      <c r="AW31" s="15"/>
      <c r="AX31" s="15"/>
      <c r="AY31" s="15"/>
      <c r="AZ31" s="15"/>
      <c r="BA31" s="15"/>
      <c r="BB31" s="15"/>
      <c r="BC31" s="15"/>
      <c r="BD31" s="15"/>
      <c r="BE31" s="15"/>
      <c r="BF31" s="15"/>
      <c r="BG31" s="15"/>
      <c r="BH31" s="15"/>
      <c r="BI31" s="15"/>
      <c r="BJ31" s="15"/>
      <c r="BK31" s="15"/>
      <c r="BL31" s="15"/>
      <c r="BM31" s="15"/>
      <c r="BN31" s="15"/>
      <c r="BO31" s="15"/>
      <c r="BP31" s="15"/>
      <c r="BQ31" s="15"/>
      <c r="BR31" s="15"/>
      <c r="BS31" s="15"/>
      <c r="BT31" s="15"/>
      <c r="BU31" s="15"/>
    </row>
    <row r="32" spans="2:73" ht="24.2" customHeight="1" x14ac:dyDescent="0.2">
      <c r="B32" s="155">
        <v>12</v>
      </c>
      <c r="C32" s="157" t="s">
        <v>29</v>
      </c>
      <c r="D32" s="19" t="e">
        <f>VLOOKUP($B32,#REF!,3,0)</f>
        <v>#REF!</v>
      </c>
      <c r="E32" s="19" t="e">
        <f>VLOOKUP($B32,#REF!,4,0)</f>
        <v>#REF!</v>
      </c>
      <c r="F32" s="19" t="e">
        <f>VLOOKUP($B32,#REF!,5,0)</f>
        <v>#REF!</v>
      </c>
      <c r="G32" s="19" t="e">
        <f>VLOOKUP($B32,#REF!,6,0)</f>
        <v>#REF!</v>
      </c>
      <c r="H32" s="19" t="e">
        <f>VLOOKUP($B32,#REF!,7,0)</f>
        <v>#REF!</v>
      </c>
      <c r="I32" s="19" t="e">
        <f>VLOOKUP($B32,#REF!,8,0)</f>
        <v>#REF!</v>
      </c>
      <c r="J32" s="159"/>
      <c r="K32" s="22" t="s">
        <v>12</v>
      </c>
      <c r="L32" s="35">
        <v>21</v>
      </c>
      <c r="M32" s="35">
        <v>19</v>
      </c>
      <c r="N32" s="35">
        <v>16</v>
      </c>
      <c r="O32" s="161"/>
      <c r="P32" s="13"/>
      <c r="Q32" s="13"/>
      <c r="R32" s="13"/>
      <c r="S32" s="13"/>
      <c r="T32" s="13"/>
    </row>
    <row r="33" spans="2:73" ht="24.2" customHeight="1" thickBot="1" x14ac:dyDescent="0.25">
      <c r="B33" s="156"/>
      <c r="C33" s="158"/>
      <c r="D33" s="20" t="e">
        <f>VLOOKUP($B33,#REF!,3,0)</f>
        <v>#REF!</v>
      </c>
      <c r="E33" s="20" t="e">
        <f>VLOOKUP($B33,#REF!,4,0)</f>
        <v>#REF!</v>
      </c>
      <c r="F33" s="20" t="e">
        <f>VLOOKUP($B33,#REF!,5,0)</f>
        <v>#REF!</v>
      </c>
      <c r="G33" s="20" t="e">
        <f>VLOOKUP($B33,#REF!,6,0)</f>
        <v>#REF!</v>
      </c>
      <c r="H33" s="20" t="e">
        <f>VLOOKUP($B33,#REF!,7,0)</f>
        <v>#REF!</v>
      </c>
      <c r="I33" s="20" t="e">
        <f>VLOOKUP($B33,#REF!,8,0)</f>
        <v>#REF!</v>
      </c>
      <c r="J33" s="160"/>
      <c r="K33" s="34" t="s">
        <v>13</v>
      </c>
      <c r="L33" s="36">
        <v>21</v>
      </c>
      <c r="M33" s="36">
        <v>22</v>
      </c>
      <c r="N33" s="36">
        <v>21</v>
      </c>
      <c r="O33" s="162"/>
      <c r="P33" s="13"/>
      <c r="Q33" s="13"/>
      <c r="R33" s="13"/>
      <c r="S33" s="13"/>
      <c r="T33" s="13"/>
      <c r="AF33" s="12"/>
      <c r="AG33" s="12"/>
      <c r="AH33" s="14"/>
      <c r="AI33" s="15"/>
      <c r="AJ33" s="15"/>
      <c r="AK33" s="15"/>
      <c r="AL33" s="15"/>
      <c r="AM33" s="15"/>
      <c r="AN33" s="15"/>
      <c r="AO33" s="15"/>
      <c r="AP33" s="15"/>
      <c r="AQ33" s="15"/>
      <c r="AR33" s="15"/>
      <c r="AS33" s="15"/>
      <c r="AT33" s="15"/>
      <c r="AU33" s="15"/>
      <c r="AV33" s="15"/>
      <c r="AW33" s="15"/>
      <c r="AX33" s="15"/>
      <c r="AY33" s="15"/>
      <c r="AZ33" s="15"/>
      <c r="BA33" s="15"/>
      <c r="BB33" s="15"/>
      <c r="BC33" s="15"/>
      <c r="BD33" s="15"/>
      <c r="BE33" s="15"/>
      <c r="BF33" s="15"/>
      <c r="BG33" s="15"/>
      <c r="BH33" s="15"/>
      <c r="BI33" s="15"/>
      <c r="BJ33" s="15"/>
      <c r="BK33" s="15"/>
      <c r="BL33" s="15"/>
      <c r="BM33" s="15"/>
      <c r="BN33" s="15"/>
      <c r="BO33" s="15"/>
      <c r="BP33" s="15"/>
      <c r="BQ33" s="15"/>
      <c r="BR33" s="15"/>
      <c r="BS33" s="15"/>
      <c r="BT33" s="15"/>
      <c r="BU33" s="15"/>
    </row>
    <row r="34" spans="2:73" ht="24.2" customHeight="1" x14ac:dyDescent="0.2">
      <c r="B34" s="155">
        <v>13</v>
      </c>
      <c r="C34" s="157" t="s">
        <v>28</v>
      </c>
      <c r="D34" s="19" t="e">
        <f>VLOOKUP($B34,#REF!,3,0)</f>
        <v>#REF!</v>
      </c>
      <c r="E34" s="19" t="e">
        <f>VLOOKUP($B34,#REF!,4,0)</f>
        <v>#REF!</v>
      </c>
      <c r="F34" s="19" t="e">
        <f>VLOOKUP($B34,#REF!,5,0)</f>
        <v>#REF!</v>
      </c>
      <c r="G34" s="19" t="e">
        <f>VLOOKUP($B34,#REF!,6,0)</f>
        <v>#REF!</v>
      </c>
      <c r="H34" s="19" t="e">
        <f>VLOOKUP($B34,#REF!,7,0)</f>
        <v>#REF!</v>
      </c>
      <c r="I34" s="19" t="e">
        <f>VLOOKUP($B34,#REF!,8,0)</f>
        <v>#REF!</v>
      </c>
      <c r="J34" s="159"/>
      <c r="K34" s="22" t="s">
        <v>12</v>
      </c>
      <c r="L34" s="35">
        <v>17</v>
      </c>
      <c r="M34" s="35">
        <v>16</v>
      </c>
      <c r="N34" s="35">
        <v>18</v>
      </c>
      <c r="O34" s="161"/>
      <c r="P34" s="13"/>
      <c r="Q34" s="13"/>
      <c r="R34" s="13"/>
      <c r="S34" s="13"/>
      <c r="T34" s="13"/>
    </row>
    <row r="35" spans="2:73" ht="24.2" customHeight="1" thickBot="1" x14ac:dyDescent="0.25">
      <c r="B35" s="156"/>
      <c r="C35" s="163"/>
      <c r="D35" s="20" t="e">
        <f>VLOOKUP($B35,#REF!,3,0)</f>
        <v>#REF!</v>
      </c>
      <c r="E35" s="20" t="e">
        <f>VLOOKUP($B35,#REF!,4,0)</f>
        <v>#REF!</v>
      </c>
      <c r="F35" s="20" t="e">
        <f>VLOOKUP($B35,#REF!,5,0)</f>
        <v>#REF!</v>
      </c>
      <c r="G35" s="20" t="e">
        <f>VLOOKUP($B35,#REF!,6,0)</f>
        <v>#REF!</v>
      </c>
      <c r="H35" s="20" t="e">
        <f>VLOOKUP($B35,#REF!,7,0)</f>
        <v>#REF!</v>
      </c>
      <c r="I35" s="20" t="e">
        <f>VLOOKUP($B35,#REF!,8,0)</f>
        <v>#REF!</v>
      </c>
      <c r="J35" s="160"/>
      <c r="K35" s="34" t="s">
        <v>13</v>
      </c>
      <c r="L35" s="36">
        <v>21</v>
      </c>
      <c r="M35" s="36">
        <v>20</v>
      </c>
      <c r="N35" s="36">
        <v>21</v>
      </c>
      <c r="O35" s="162"/>
      <c r="P35" s="13"/>
      <c r="Q35" s="13"/>
      <c r="R35" s="13"/>
      <c r="S35" s="13"/>
      <c r="T35" s="13"/>
      <c r="AF35" s="12"/>
      <c r="AG35" s="12"/>
      <c r="AH35" s="14"/>
      <c r="AI35" s="15"/>
      <c r="AJ35" s="15"/>
      <c r="AK35" s="15"/>
      <c r="AL35" s="15"/>
      <c r="AM35" s="15"/>
      <c r="AN35" s="15"/>
      <c r="AO35" s="15"/>
      <c r="AP35" s="15"/>
      <c r="AQ35" s="15"/>
      <c r="AR35" s="15"/>
      <c r="AS35" s="15"/>
      <c r="AT35" s="15"/>
      <c r="AU35" s="15"/>
      <c r="AV35" s="15"/>
      <c r="AW35" s="15"/>
      <c r="AX35" s="15"/>
      <c r="AY35" s="15"/>
      <c r="AZ35" s="15"/>
      <c r="BA35" s="15"/>
      <c r="BB35" s="15"/>
      <c r="BC35" s="15"/>
      <c r="BD35" s="15"/>
      <c r="BE35" s="15"/>
      <c r="BF35" s="15"/>
      <c r="BG35" s="15"/>
      <c r="BH35" s="15"/>
      <c r="BI35" s="15"/>
      <c r="BJ35" s="15"/>
      <c r="BK35" s="15"/>
      <c r="BL35" s="15"/>
      <c r="BM35" s="15"/>
      <c r="BN35" s="15"/>
      <c r="BO35" s="15"/>
      <c r="BP35" s="15"/>
      <c r="BQ35" s="15"/>
      <c r="BR35" s="15"/>
      <c r="BS35" s="15"/>
      <c r="BT35" s="15"/>
      <c r="BU35" s="15"/>
    </row>
    <row r="36" spans="2:73" ht="24.2" customHeight="1" x14ac:dyDescent="0.2">
      <c r="B36" s="155">
        <v>14</v>
      </c>
      <c r="C36" s="157" t="s">
        <v>29</v>
      </c>
      <c r="D36" s="19" t="e">
        <f>VLOOKUP($B36,#REF!,3,0)</f>
        <v>#REF!</v>
      </c>
      <c r="E36" s="19" t="e">
        <f>VLOOKUP($B36,#REF!,4,0)</f>
        <v>#REF!</v>
      </c>
      <c r="F36" s="19" t="e">
        <f>VLOOKUP($B36,#REF!,5,0)</f>
        <v>#REF!</v>
      </c>
      <c r="G36" s="19" t="e">
        <f>VLOOKUP($B36,#REF!,6,0)</f>
        <v>#REF!</v>
      </c>
      <c r="H36" s="19" t="e">
        <f>VLOOKUP($B36,#REF!,7,0)</f>
        <v>#REF!</v>
      </c>
      <c r="I36" s="19" t="e">
        <f>VLOOKUP($B36,#REF!,8,0)</f>
        <v>#REF!</v>
      </c>
      <c r="J36" s="159"/>
      <c r="K36" s="22" t="s">
        <v>12</v>
      </c>
      <c r="L36" s="35">
        <v>21</v>
      </c>
      <c r="M36" s="35">
        <v>19</v>
      </c>
      <c r="N36" s="35">
        <v>18</v>
      </c>
      <c r="O36" s="161"/>
      <c r="P36" s="13"/>
      <c r="Q36" s="13"/>
      <c r="R36" s="13"/>
      <c r="S36" s="13"/>
      <c r="T36" s="13"/>
    </row>
    <row r="37" spans="2:73" ht="24.2" customHeight="1" thickBot="1" x14ac:dyDescent="0.25">
      <c r="B37" s="156"/>
      <c r="C37" s="158"/>
      <c r="D37" s="20" t="e">
        <f>VLOOKUP($B37,#REF!,3,0)</f>
        <v>#REF!</v>
      </c>
      <c r="E37" s="20" t="e">
        <f>VLOOKUP($B37,#REF!,4,0)</f>
        <v>#REF!</v>
      </c>
      <c r="F37" s="20" t="e">
        <f>VLOOKUP($B37,#REF!,5,0)</f>
        <v>#REF!</v>
      </c>
      <c r="G37" s="20" t="e">
        <f>VLOOKUP($B37,#REF!,6,0)</f>
        <v>#REF!</v>
      </c>
      <c r="H37" s="20" t="e">
        <f>VLOOKUP($B37,#REF!,7,0)</f>
        <v>#REF!</v>
      </c>
      <c r="I37" s="20" t="e">
        <f>VLOOKUP($B37,#REF!,8,0)</f>
        <v>#REF!</v>
      </c>
      <c r="J37" s="160"/>
      <c r="K37" s="34" t="s">
        <v>13</v>
      </c>
      <c r="L37" s="36">
        <v>22</v>
      </c>
      <c r="M37" s="36">
        <v>21</v>
      </c>
      <c r="N37" s="36">
        <v>22</v>
      </c>
      <c r="O37" s="162"/>
      <c r="P37" s="13"/>
      <c r="Q37" s="13"/>
      <c r="R37" s="13"/>
      <c r="S37" s="13"/>
      <c r="T37" s="13"/>
      <c r="AF37" s="12"/>
      <c r="AG37" s="12"/>
      <c r="AH37" s="14"/>
      <c r="AI37" s="15"/>
      <c r="AJ37" s="15"/>
      <c r="AK37" s="15"/>
      <c r="AL37" s="15"/>
      <c r="AM37" s="15"/>
      <c r="AN37" s="15"/>
      <c r="AO37" s="15"/>
      <c r="AP37" s="15"/>
      <c r="AQ37" s="15"/>
      <c r="AR37" s="15"/>
      <c r="AS37" s="15"/>
      <c r="AT37" s="15"/>
      <c r="AU37" s="15"/>
      <c r="AV37" s="15"/>
      <c r="AW37" s="15"/>
      <c r="AX37" s="15"/>
      <c r="AY37" s="15"/>
      <c r="AZ37" s="15"/>
      <c r="BA37" s="15"/>
      <c r="BB37" s="15"/>
      <c r="BC37" s="15"/>
      <c r="BD37" s="15"/>
      <c r="BE37" s="15"/>
      <c r="BF37" s="15"/>
      <c r="BG37" s="15"/>
      <c r="BH37" s="15"/>
      <c r="BI37" s="15"/>
      <c r="BJ37" s="15"/>
      <c r="BK37" s="15"/>
      <c r="BL37" s="15"/>
      <c r="BM37" s="15"/>
      <c r="BN37" s="15"/>
      <c r="BO37" s="15"/>
      <c r="BP37" s="15"/>
      <c r="BQ37" s="15"/>
      <c r="BR37" s="15"/>
      <c r="BS37" s="15"/>
      <c r="BT37" s="15"/>
      <c r="BU37" s="15"/>
    </row>
    <row r="38" spans="2:73" ht="24.2" customHeight="1" x14ac:dyDescent="0.2">
      <c r="B38" s="155">
        <v>15</v>
      </c>
      <c r="C38" s="157" t="s">
        <v>28</v>
      </c>
      <c r="D38" s="19" t="e">
        <f>VLOOKUP($B38,#REF!,3,0)</f>
        <v>#REF!</v>
      </c>
      <c r="E38" s="19" t="e">
        <f>VLOOKUP($B38,#REF!,4,0)</f>
        <v>#REF!</v>
      </c>
      <c r="F38" s="19" t="e">
        <f>VLOOKUP($B38,#REF!,5,0)</f>
        <v>#REF!</v>
      </c>
      <c r="G38" s="19" t="e">
        <f>VLOOKUP($B38,#REF!,6,0)</f>
        <v>#REF!</v>
      </c>
      <c r="H38" s="19" t="e">
        <f>VLOOKUP($B38,#REF!,7,0)</f>
        <v>#REF!</v>
      </c>
      <c r="I38" s="19" t="e">
        <f>VLOOKUP($B38,#REF!,8,0)</f>
        <v>#REF!</v>
      </c>
      <c r="J38" s="159"/>
      <c r="K38" s="22" t="s">
        <v>12</v>
      </c>
      <c r="L38" s="44">
        <v>22</v>
      </c>
      <c r="M38" s="35">
        <v>19</v>
      </c>
      <c r="N38" s="35">
        <v>18</v>
      </c>
      <c r="O38" s="161"/>
      <c r="P38" s="13"/>
      <c r="Q38" s="13"/>
      <c r="R38" s="13"/>
      <c r="S38" s="13"/>
      <c r="T38" s="13"/>
    </row>
    <row r="39" spans="2:73" ht="24.2" customHeight="1" thickBot="1" x14ac:dyDescent="0.25">
      <c r="B39" s="156"/>
      <c r="C39" s="163"/>
      <c r="D39" s="20" t="e">
        <f>VLOOKUP($B39,#REF!,3,0)</f>
        <v>#REF!</v>
      </c>
      <c r="E39" s="20" t="e">
        <f>VLOOKUP($B39,#REF!,4,0)</f>
        <v>#REF!</v>
      </c>
      <c r="F39" s="20" t="e">
        <f>VLOOKUP($B39,#REF!,5,0)</f>
        <v>#REF!</v>
      </c>
      <c r="G39" s="20" t="e">
        <f>VLOOKUP($B39,#REF!,6,0)</f>
        <v>#REF!</v>
      </c>
      <c r="H39" s="20" t="e">
        <f>VLOOKUP($B39,#REF!,7,0)</f>
        <v>#REF!</v>
      </c>
      <c r="I39" s="20" t="e">
        <f>VLOOKUP($B39,#REF!,8,0)</f>
        <v>#REF!</v>
      </c>
      <c r="J39" s="160"/>
      <c r="K39" s="34" t="s">
        <v>13</v>
      </c>
      <c r="L39" s="36">
        <v>22</v>
      </c>
      <c r="M39" s="36">
        <v>21</v>
      </c>
      <c r="N39" s="36">
        <v>22</v>
      </c>
      <c r="O39" s="162"/>
      <c r="P39" s="13"/>
      <c r="Q39" s="13"/>
      <c r="R39" s="13"/>
      <c r="S39" s="13"/>
      <c r="T39" s="13"/>
      <c r="AF39" s="12"/>
      <c r="AG39" s="12"/>
      <c r="AH39" s="14"/>
      <c r="AI39" s="15"/>
      <c r="AJ39" s="15"/>
      <c r="AK39" s="15"/>
      <c r="AL39" s="15"/>
      <c r="AM39" s="15"/>
      <c r="AN39" s="15"/>
      <c r="AO39" s="15"/>
      <c r="AP39" s="15"/>
      <c r="AQ39" s="15"/>
      <c r="AR39" s="15"/>
      <c r="AS39" s="15"/>
      <c r="AT39" s="15"/>
      <c r="AU39" s="15"/>
      <c r="AV39" s="15"/>
      <c r="AW39" s="15"/>
      <c r="AX39" s="15"/>
      <c r="AY39" s="15"/>
      <c r="AZ39" s="15"/>
      <c r="BA39" s="15"/>
      <c r="BB39" s="15"/>
      <c r="BC39" s="15"/>
      <c r="BD39" s="15"/>
      <c r="BE39" s="15"/>
      <c r="BF39" s="15"/>
      <c r="BG39" s="15"/>
      <c r="BH39" s="15"/>
      <c r="BI39" s="15"/>
      <c r="BJ39" s="15"/>
      <c r="BK39" s="15"/>
      <c r="BL39" s="15"/>
      <c r="BM39" s="15"/>
      <c r="BN39" s="15"/>
      <c r="BO39" s="15"/>
      <c r="BP39" s="15"/>
      <c r="BQ39" s="15"/>
      <c r="BR39" s="15"/>
      <c r="BS39" s="15"/>
      <c r="BT39" s="15"/>
      <c r="BU39" s="15"/>
    </row>
    <row r="40" spans="2:73" ht="24.2" customHeight="1" x14ac:dyDescent="0.2">
      <c r="B40" s="155">
        <v>16</v>
      </c>
      <c r="C40" s="157" t="s">
        <v>29</v>
      </c>
      <c r="D40" s="19" t="e">
        <f>VLOOKUP($B40,#REF!,3,0)</f>
        <v>#REF!</v>
      </c>
      <c r="E40" s="19" t="e">
        <f>VLOOKUP($B40,#REF!,4,0)</f>
        <v>#REF!</v>
      </c>
      <c r="F40" s="19" t="e">
        <f>VLOOKUP($B40,#REF!,5,0)</f>
        <v>#REF!</v>
      </c>
      <c r="G40" s="19" t="e">
        <f>VLOOKUP($B40,#REF!,6,0)</f>
        <v>#REF!</v>
      </c>
      <c r="H40" s="19" t="e">
        <f>VLOOKUP($B40,#REF!,7,0)</f>
        <v>#REF!</v>
      </c>
      <c r="I40" s="19" t="e">
        <f>VLOOKUP($B40,#REF!,8,0)</f>
        <v>#REF!</v>
      </c>
      <c r="J40" s="159"/>
      <c r="K40" s="22" t="s">
        <v>12</v>
      </c>
      <c r="L40" s="44">
        <v>23</v>
      </c>
      <c r="M40" s="44">
        <v>16</v>
      </c>
      <c r="N40" s="35">
        <v>19</v>
      </c>
      <c r="O40" s="161"/>
      <c r="P40" s="13"/>
      <c r="Q40" s="13"/>
      <c r="R40" s="13"/>
      <c r="S40" s="13"/>
      <c r="T40" s="13"/>
    </row>
    <row r="41" spans="2:73" ht="24.2" customHeight="1" thickBot="1" x14ac:dyDescent="0.25">
      <c r="B41" s="156"/>
      <c r="C41" s="158"/>
      <c r="D41" s="20" t="e">
        <f>VLOOKUP($B41,#REF!,3,0)</f>
        <v>#REF!</v>
      </c>
      <c r="E41" s="20" t="e">
        <f>VLOOKUP($B41,#REF!,4,0)</f>
        <v>#REF!</v>
      </c>
      <c r="F41" s="20" t="e">
        <f>VLOOKUP($B41,#REF!,5,0)</f>
        <v>#REF!</v>
      </c>
      <c r="G41" s="20" t="e">
        <f>VLOOKUP($B41,#REF!,6,0)</f>
        <v>#REF!</v>
      </c>
      <c r="H41" s="20" t="e">
        <f>VLOOKUP($B41,#REF!,7,0)</f>
        <v>#REF!</v>
      </c>
      <c r="I41" s="20" t="e">
        <f>VLOOKUP($B41,#REF!,8,0)</f>
        <v>#REF!</v>
      </c>
      <c r="J41" s="160"/>
      <c r="K41" s="34" t="s">
        <v>13</v>
      </c>
      <c r="L41" s="36">
        <v>24</v>
      </c>
      <c r="M41" s="36">
        <v>22</v>
      </c>
      <c r="N41" s="36">
        <v>26</v>
      </c>
      <c r="O41" s="162"/>
      <c r="P41" s="13"/>
      <c r="Q41" s="13"/>
      <c r="R41" s="13"/>
      <c r="S41" s="13"/>
      <c r="T41" s="13"/>
      <c r="AF41" s="12"/>
      <c r="AG41" s="12"/>
      <c r="AH41" s="14"/>
      <c r="AI41" s="15"/>
      <c r="AJ41" s="15"/>
      <c r="AK41" s="15"/>
      <c r="AL41" s="15"/>
      <c r="AM41" s="15"/>
      <c r="AN41" s="15"/>
      <c r="AO41" s="15"/>
      <c r="AP41" s="15"/>
      <c r="AQ41" s="15"/>
      <c r="AR41" s="15"/>
      <c r="AS41" s="15"/>
      <c r="AT41" s="15"/>
      <c r="AU41" s="15"/>
      <c r="AV41" s="15"/>
      <c r="AW41" s="15"/>
      <c r="AX41" s="15"/>
      <c r="AY41" s="15"/>
      <c r="AZ41" s="15"/>
      <c r="BA41" s="15"/>
      <c r="BB41" s="15"/>
      <c r="BC41" s="15"/>
      <c r="BD41" s="15"/>
      <c r="BE41" s="15"/>
      <c r="BF41" s="15"/>
      <c r="BG41" s="15"/>
      <c r="BH41" s="15"/>
      <c r="BI41" s="15"/>
      <c r="BJ41" s="15"/>
      <c r="BK41" s="15"/>
      <c r="BL41" s="15"/>
      <c r="BM41" s="15"/>
      <c r="BN41" s="15"/>
      <c r="BO41" s="15"/>
      <c r="BP41" s="15"/>
      <c r="BQ41" s="15"/>
      <c r="BR41" s="15"/>
      <c r="BS41" s="15"/>
      <c r="BT41" s="15"/>
      <c r="BU41" s="15"/>
    </row>
    <row r="42" spans="2:73" ht="24" customHeight="1" x14ac:dyDescent="0.2">
      <c r="B42" s="155">
        <v>17</v>
      </c>
      <c r="C42" s="157" t="s">
        <v>28</v>
      </c>
      <c r="D42" s="19" t="e">
        <f>VLOOKUP($B42,#REF!,3,0)</f>
        <v>#REF!</v>
      </c>
      <c r="E42" s="19" t="e">
        <f>VLOOKUP($B42,#REF!,4,0)</f>
        <v>#REF!</v>
      </c>
      <c r="F42" s="19" t="e">
        <f>VLOOKUP($B42,#REF!,5,0)</f>
        <v>#REF!</v>
      </c>
      <c r="G42" s="19" t="e">
        <f>VLOOKUP($B42,#REF!,6,0)</f>
        <v>#REF!</v>
      </c>
      <c r="H42" s="19" t="e">
        <f>VLOOKUP($B42,#REF!,7,0)</f>
        <v>#REF!</v>
      </c>
      <c r="I42" s="19" t="e">
        <f>VLOOKUP($B42,#REF!,8,0)</f>
        <v>#REF!</v>
      </c>
      <c r="J42" s="159" t="s">
        <v>41</v>
      </c>
      <c r="K42" s="22" t="s">
        <v>12</v>
      </c>
      <c r="L42" s="44">
        <v>20</v>
      </c>
      <c r="M42" s="44">
        <v>16</v>
      </c>
      <c r="N42" s="35">
        <v>18</v>
      </c>
      <c r="O42" s="161"/>
    </row>
    <row r="43" spans="2:73" ht="24" customHeight="1" thickBot="1" x14ac:dyDescent="0.25">
      <c r="B43" s="156"/>
      <c r="C43" s="163"/>
      <c r="D43" s="20"/>
      <c r="E43" s="20"/>
      <c r="F43" s="20"/>
      <c r="G43" s="20"/>
      <c r="H43" s="20"/>
      <c r="I43" s="20"/>
      <c r="J43" s="160"/>
      <c r="K43" s="34" t="s">
        <v>13</v>
      </c>
      <c r="L43" s="36">
        <v>19</v>
      </c>
      <c r="M43" s="36">
        <v>21</v>
      </c>
      <c r="N43" s="36">
        <v>23</v>
      </c>
      <c r="O43" s="162"/>
    </row>
  </sheetData>
  <mergeCells count="70">
    <mergeCell ref="AF5:AH5"/>
    <mergeCell ref="L6:N6"/>
    <mergeCell ref="O7:O8"/>
    <mergeCell ref="B8:K8"/>
    <mergeCell ref="B10:B11"/>
    <mergeCell ref="C10:C11"/>
    <mergeCell ref="J10:J11"/>
    <mergeCell ref="B18:B19"/>
    <mergeCell ref="C18:C19"/>
    <mergeCell ref="J18:J19"/>
    <mergeCell ref="O18:O19"/>
    <mergeCell ref="B12:B13"/>
    <mergeCell ref="C12:C13"/>
    <mergeCell ref="J12:J13"/>
    <mergeCell ref="B14:B15"/>
    <mergeCell ref="C14:C15"/>
    <mergeCell ref="J14:J15"/>
    <mergeCell ref="O14:O15"/>
    <mergeCell ref="B16:B17"/>
    <mergeCell ref="C16:C17"/>
    <mergeCell ref="J16:J17"/>
    <mergeCell ref="O16:O17"/>
    <mergeCell ref="B20:B21"/>
    <mergeCell ref="C20:C21"/>
    <mergeCell ref="J20:J21"/>
    <mergeCell ref="O20:O21"/>
    <mergeCell ref="B22:B23"/>
    <mergeCell ref="C22:C23"/>
    <mergeCell ref="J22:J23"/>
    <mergeCell ref="O22:O23"/>
    <mergeCell ref="B24:B25"/>
    <mergeCell ref="C24:C25"/>
    <mergeCell ref="J24:J25"/>
    <mergeCell ref="O24:O25"/>
    <mergeCell ref="B26:B27"/>
    <mergeCell ref="C26:C27"/>
    <mergeCell ref="J26:J27"/>
    <mergeCell ref="O26:O27"/>
    <mergeCell ref="B28:B29"/>
    <mergeCell ref="C28:C29"/>
    <mergeCell ref="J28:J29"/>
    <mergeCell ref="O28:O29"/>
    <mergeCell ref="B30:B31"/>
    <mergeCell ref="C30:C31"/>
    <mergeCell ref="J30:J31"/>
    <mergeCell ref="O30:O31"/>
    <mergeCell ref="B32:B33"/>
    <mergeCell ref="C32:C33"/>
    <mergeCell ref="J32:J33"/>
    <mergeCell ref="O32:O33"/>
    <mergeCell ref="B34:B35"/>
    <mergeCell ref="C34:C35"/>
    <mergeCell ref="J34:J35"/>
    <mergeCell ref="O34:O35"/>
    <mergeCell ref="B36:B37"/>
    <mergeCell ref="C36:C37"/>
    <mergeCell ref="J36:J37"/>
    <mergeCell ref="O36:O37"/>
    <mergeCell ref="B38:B39"/>
    <mergeCell ref="C38:C39"/>
    <mergeCell ref="J38:J39"/>
    <mergeCell ref="O38:O39"/>
    <mergeCell ref="B40:B41"/>
    <mergeCell ref="C40:C41"/>
    <mergeCell ref="J40:J41"/>
    <mergeCell ref="O40:O41"/>
    <mergeCell ref="B42:B43"/>
    <mergeCell ref="C42:C43"/>
    <mergeCell ref="J42:J43"/>
    <mergeCell ref="O42:O43"/>
  </mergeCells>
  <pageMargins left="0.45" right="0" top="0.49" bottom="0" header="0.64" footer="0"/>
  <pageSetup paperSize="512" scale="72" orientation="portrait" r:id="rId1"/>
  <headerFooter alignWithMargins="0"/>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BU44"/>
  <sheetViews>
    <sheetView zoomScale="90" zoomScaleNormal="90" workbookViewId="0"/>
  </sheetViews>
  <sheetFormatPr defaultRowHeight="12.75" x14ac:dyDescent="0.2"/>
  <cols>
    <col min="1" max="1" width="5.42578125" customWidth="1"/>
    <col min="2" max="2" width="6.28515625" customWidth="1"/>
    <col min="3" max="3" width="12.7109375" customWidth="1"/>
    <col min="4" max="8" width="5.28515625" hidden="1" customWidth="1"/>
    <col min="9" max="9" width="7" hidden="1" customWidth="1"/>
    <col min="10" max="10" width="8.42578125" customWidth="1"/>
    <col min="11" max="14" width="12.7109375" customWidth="1"/>
    <col min="15" max="15" width="48.7109375" customWidth="1"/>
    <col min="22" max="22" width="7.5703125" customWidth="1"/>
    <col min="23" max="32" width="7.7109375" customWidth="1"/>
  </cols>
  <sheetData>
    <row r="1" spans="1:73" ht="15" customHeight="1" x14ac:dyDescent="0.25">
      <c r="A1" s="1" t="s">
        <v>33</v>
      </c>
    </row>
    <row r="2" spans="1:73" ht="20.25" customHeight="1" thickBot="1" x14ac:dyDescent="0.3">
      <c r="A2" s="1"/>
      <c r="M2" s="15" t="s">
        <v>0</v>
      </c>
      <c r="N2" s="23">
        <v>40696</v>
      </c>
      <c r="O2" s="29"/>
    </row>
    <row r="3" spans="1:73" ht="20.25" customHeight="1" thickBot="1" x14ac:dyDescent="0.25">
      <c r="A3" t="s">
        <v>1</v>
      </c>
      <c r="C3" s="38" t="s">
        <v>42</v>
      </c>
      <c r="D3" s="3"/>
      <c r="E3" s="3"/>
      <c r="F3" s="3"/>
      <c r="G3" s="3"/>
      <c r="H3" s="3"/>
      <c r="I3" s="3"/>
      <c r="J3" s="3"/>
      <c r="K3" s="3"/>
      <c r="L3" s="3"/>
      <c r="M3" s="15" t="s">
        <v>23</v>
      </c>
      <c r="N3" s="2">
        <v>153</v>
      </c>
      <c r="O3" s="30"/>
    </row>
    <row r="4" spans="1:73" ht="20.25" customHeight="1" thickBot="1" x14ac:dyDescent="0.25">
      <c r="B4" s="3" t="s">
        <v>43</v>
      </c>
      <c r="C4" s="38"/>
      <c r="D4" s="4"/>
      <c r="E4" s="4"/>
      <c r="F4" s="4"/>
      <c r="G4" s="4"/>
      <c r="H4" s="4"/>
      <c r="I4" s="4"/>
      <c r="J4" s="4"/>
      <c r="K4" s="4"/>
      <c r="L4" s="4"/>
      <c r="M4" s="15" t="s">
        <v>2</v>
      </c>
      <c r="N4" s="2" t="s">
        <v>26</v>
      </c>
      <c r="O4" s="30"/>
    </row>
    <row r="5" spans="1:73" ht="18" x14ac:dyDescent="0.2">
      <c r="AE5" s="5"/>
      <c r="AF5" s="165"/>
      <c r="AG5" s="165"/>
      <c r="AH5" s="165"/>
    </row>
    <row r="6" spans="1:73" ht="18" x14ac:dyDescent="0.25">
      <c r="L6" s="174"/>
      <c r="M6" s="167"/>
      <c r="N6" s="168"/>
      <c r="O6" s="31"/>
      <c r="AE6" s="5"/>
      <c r="AF6" s="24"/>
      <c r="AG6" s="24"/>
      <c r="AH6" s="24"/>
    </row>
    <row r="7" spans="1:73" ht="25.5" customHeight="1" x14ac:dyDescent="0.2">
      <c r="B7" s="6" t="s">
        <v>3</v>
      </c>
      <c r="C7" s="7"/>
      <c r="D7" s="7" t="s">
        <v>4</v>
      </c>
      <c r="E7" s="6" t="s">
        <v>5</v>
      </c>
      <c r="F7" s="7" t="s">
        <v>6</v>
      </c>
      <c r="G7" s="6" t="s">
        <v>7</v>
      </c>
      <c r="H7" s="6" t="s">
        <v>8</v>
      </c>
      <c r="I7" s="6" t="s">
        <v>9</v>
      </c>
      <c r="J7" s="6" t="s">
        <v>11</v>
      </c>
      <c r="K7" s="8" t="s">
        <v>24</v>
      </c>
      <c r="L7" s="22" t="s">
        <v>30</v>
      </c>
      <c r="M7" s="22" t="s">
        <v>31</v>
      </c>
      <c r="N7" s="22" t="s">
        <v>32</v>
      </c>
      <c r="O7" s="169" t="s">
        <v>25</v>
      </c>
      <c r="AE7" s="10"/>
      <c r="AF7" s="9"/>
      <c r="AG7" s="9"/>
      <c r="AH7" s="11"/>
    </row>
    <row r="8" spans="1:73" ht="15.95" customHeight="1" thickBot="1" x14ac:dyDescent="0.25">
      <c r="B8" s="170"/>
      <c r="C8" s="171"/>
      <c r="D8" s="171"/>
      <c r="E8" s="171"/>
      <c r="F8" s="171"/>
      <c r="G8" s="171"/>
      <c r="H8" s="171"/>
      <c r="I8" s="171"/>
      <c r="J8" s="171"/>
      <c r="K8" s="172"/>
      <c r="L8" s="39" t="s">
        <v>27</v>
      </c>
      <c r="M8" s="39"/>
      <c r="N8" s="39"/>
      <c r="O8" s="163"/>
      <c r="AF8" s="12"/>
      <c r="AG8" s="12"/>
      <c r="AH8" s="12"/>
    </row>
    <row r="9" spans="1:73" ht="15.95" hidden="1" customHeight="1" x14ac:dyDescent="0.2">
      <c r="B9" s="25" t="s">
        <v>3</v>
      </c>
      <c r="C9" s="26" t="s">
        <v>10</v>
      </c>
      <c r="D9" s="26" t="s">
        <v>14</v>
      </c>
      <c r="E9" s="25" t="s">
        <v>15</v>
      </c>
      <c r="F9" s="26" t="s">
        <v>16</v>
      </c>
      <c r="G9" s="25" t="s">
        <v>17</v>
      </c>
      <c r="H9" s="25" t="s">
        <v>8</v>
      </c>
      <c r="I9" s="25" t="s">
        <v>18</v>
      </c>
      <c r="J9" s="27" t="s">
        <v>11</v>
      </c>
      <c r="K9" s="27" t="s">
        <v>19</v>
      </c>
      <c r="L9" s="28" t="s">
        <v>20</v>
      </c>
      <c r="M9" s="28" t="s">
        <v>21</v>
      </c>
      <c r="N9" s="28" t="s">
        <v>22</v>
      </c>
      <c r="O9" s="32"/>
      <c r="AF9" s="12"/>
      <c r="AG9" s="12"/>
      <c r="AH9" s="12"/>
    </row>
    <row r="10" spans="1:73" ht="24.2" customHeight="1" x14ac:dyDescent="0.2">
      <c r="B10" s="164">
        <v>1</v>
      </c>
      <c r="C10" s="157" t="s">
        <v>28</v>
      </c>
      <c r="D10" s="19" t="e">
        <f>VLOOKUP($B10,#REF!,3,0)</f>
        <v>#REF!</v>
      </c>
      <c r="E10" s="19" t="e">
        <f>VLOOKUP($B10,#REF!,4,0)</f>
        <v>#REF!</v>
      </c>
      <c r="F10" s="19" t="e">
        <f>VLOOKUP($B10,#REF!,5,0)</f>
        <v>#REF!</v>
      </c>
      <c r="G10" s="19" t="e">
        <f>VLOOKUP($B10,#REF!,6,0)</f>
        <v>#REF!</v>
      </c>
      <c r="H10" s="19" t="e">
        <f>VLOOKUP($B10,#REF!,7,0)</f>
        <v>#REF!</v>
      </c>
      <c r="I10" s="19" t="e">
        <f>VLOOKUP($B10,#REF!,8,0)</f>
        <v>#REF!</v>
      </c>
      <c r="J10" s="173">
        <v>1210</v>
      </c>
      <c r="K10" s="22" t="s">
        <v>12</v>
      </c>
      <c r="L10" s="35">
        <v>27</v>
      </c>
      <c r="M10" s="35">
        <v>23</v>
      </c>
      <c r="N10" s="44">
        <v>26</v>
      </c>
      <c r="O10" s="40"/>
      <c r="P10" s="13"/>
      <c r="Q10" s="13"/>
      <c r="R10" s="13"/>
      <c r="S10" s="13"/>
      <c r="T10" s="13"/>
      <c r="AF10" s="12"/>
      <c r="AG10" s="12"/>
      <c r="AH10" s="14"/>
      <c r="AI10" s="15"/>
      <c r="AJ10" s="15"/>
      <c r="AK10" s="15"/>
      <c r="AL10" s="15"/>
      <c r="AM10" s="15"/>
      <c r="AN10" s="15"/>
      <c r="AO10" s="15"/>
      <c r="AP10" s="15"/>
      <c r="AQ10" s="15"/>
      <c r="AR10" s="15"/>
      <c r="AS10" s="15"/>
      <c r="AT10" s="15"/>
      <c r="AU10" s="15"/>
      <c r="AV10" s="15"/>
      <c r="AW10" s="15"/>
      <c r="AX10" s="15"/>
      <c r="AY10" s="15"/>
      <c r="AZ10" s="15"/>
      <c r="BA10" s="15"/>
      <c r="BB10" s="15"/>
      <c r="BC10" s="15"/>
      <c r="BD10" s="15"/>
      <c r="BE10" s="15"/>
      <c r="BF10" s="15"/>
      <c r="BG10" s="15"/>
      <c r="BH10" s="15"/>
      <c r="BI10" s="15"/>
      <c r="BJ10" s="15"/>
      <c r="BK10" s="15"/>
      <c r="BL10" s="15"/>
      <c r="BM10" s="15"/>
      <c r="BN10" s="15"/>
      <c r="BO10" s="15"/>
      <c r="BP10" s="15"/>
      <c r="BQ10" s="15"/>
      <c r="BR10" s="15"/>
      <c r="BS10" s="15"/>
      <c r="BT10" s="15"/>
      <c r="BU10" s="15"/>
    </row>
    <row r="11" spans="1:73" ht="24.2" customHeight="1" thickBot="1" x14ac:dyDescent="0.25">
      <c r="B11" s="156"/>
      <c r="C11" s="163"/>
      <c r="D11" s="20" t="e">
        <f>VLOOKUP($B11,#REF!,3,0)</f>
        <v>#REF!</v>
      </c>
      <c r="E11" s="20" t="e">
        <f>VLOOKUP($B11,#REF!,4,0)</f>
        <v>#REF!</v>
      </c>
      <c r="F11" s="20" t="e">
        <f>VLOOKUP($B11,#REF!,5,0)</f>
        <v>#REF!</v>
      </c>
      <c r="G11" s="20" t="e">
        <f>VLOOKUP($B11,#REF!,6,0)</f>
        <v>#REF!</v>
      </c>
      <c r="H11" s="20" t="e">
        <f>VLOOKUP($B11,#REF!,7,0)</f>
        <v>#REF!</v>
      </c>
      <c r="I11" s="20" t="e">
        <f>VLOOKUP($B11,#REF!,8,0)</f>
        <v>#REF!</v>
      </c>
      <c r="J11" s="160"/>
      <c r="K11" s="34" t="s">
        <v>13</v>
      </c>
      <c r="L11" s="36">
        <v>30</v>
      </c>
      <c r="M11" s="36">
        <v>24</v>
      </c>
      <c r="N11" s="36">
        <v>26</v>
      </c>
      <c r="O11" s="41"/>
      <c r="P11" s="13"/>
      <c r="Q11" s="13"/>
      <c r="R11" s="13"/>
      <c r="S11" s="13"/>
      <c r="T11" s="13"/>
      <c r="AF11" s="12"/>
      <c r="AG11" s="12"/>
      <c r="AH11" s="14"/>
      <c r="AI11" s="15"/>
      <c r="AJ11" s="15"/>
      <c r="AK11" s="15"/>
      <c r="AL11" s="15"/>
      <c r="AM11" s="15"/>
      <c r="AN11" s="15"/>
      <c r="AO11" s="15"/>
      <c r="AP11" s="15"/>
      <c r="AQ11" s="15"/>
      <c r="AR11" s="15"/>
      <c r="AS11" s="15"/>
      <c r="AT11" s="15"/>
      <c r="AU11" s="15"/>
      <c r="AV11" s="15"/>
      <c r="AW11" s="15"/>
      <c r="AX11" s="15"/>
      <c r="AY11" s="15"/>
      <c r="AZ11" s="15"/>
      <c r="BA11" s="15"/>
      <c r="BB11" s="15"/>
      <c r="BC11" s="15"/>
      <c r="BD11" s="15"/>
      <c r="BE11" s="15"/>
      <c r="BF11" s="15"/>
      <c r="BG11" s="15"/>
      <c r="BH11" s="15"/>
      <c r="BI11" s="15"/>
      <c r="BJ11" s="15"/>
      <c r="BK11" s="15"/>
      <c r="BL11" s="15"/>
      <c r="BM11" s="15"/>
      <c r="BN11" s="15"/>
      <c r="BO11" s="15"/>
      <c r="BP11" s="15"/>
      <c r="BQ11" s="15"/>
      <c r="BR11" s="15"/>
      <c r="BS11" s="15"/>
      <c r="BT11" s="15"/>
      <c r="BU11" s="15"/>
    </row>
    <row r="12" spans="1:73" ht="24.2" customHeight="1" x14ac:dyDescent="0.2">
      <c r="B12" s="164">
        <v>2</v>
      </c>
      <c r="C12" s="157" t="s">
        <v>29</v>
      </c>
      <c r="D12" s="21" t="e">
        <f>VLOOKUP($B12,#REF!,3,0)</f>
        <v>#REF!</v>
      </c>
      <c r="E12" s="21" t="e">
        <f>VLOOKUP($B12,#REF!,4,0)</f>
        <v>#REF!</v>
      </c>
      <c r="F12" s="21" t="e">
        <f>VLOOKUP($B12,#REF!,5,0)</f>
        <v>#REF!</v>
      </c>
      <c r="G12" s="21" t="e">
        <f>VLOOKUP($B12,#REF!,6,0)</f>
        <v>#REF!</v>
      </c>
      <c r="H12" s="21" t="e">
        <f>VLOOKUP($B12,#REF!,7,0)</f>
        <v>#REF!</v>
      </c>
      <c r="I12" s="21" t="e">
        <f>VLOOKUP($B12,#REF!,8,0)</f>
        <v>#REF!</v>
      </c>
      <c r="J12" s="159"/>
      <c r="K12" s="33" t="s">
        <v>12</v>
      </c>
      <c r="L12" s="35">
        <v>24</v>
      </c>
      <c r="M12" s="35">
        <v>26</v>
      </c>
      <c r="N12" s="35">
        <v>31</v>
      </c>
      <c r="O12" s="42"/>
      <c r="P12" s="13"/>
      <c r="Q12" s="16"/>
      <c r="R12" s="13"/>
      <c r="S12" s="17"/>
      <c r="T12" s="13"/>
      <c r="AF12" s="12"/>
      <c r="AG12" s="12"/>
      <c r="AH12" s="12"/>
      <c r="AI12" s="18"/>
      <c r="AJ12" s="18"/>
      <c r="AK12" s="18"/>
      <c r="AL12" s="18"/>
      <c r="AM12" s="18"/>
      <c r="AN12" s="18"/>
      <c r="AO12" s="18"/>
      <c r="AP12" s="18"/>
      <c r="AQ12" s="18"/>
      <c r="AR12" s="18"/>
      <c r="AS12" s="18"/>
      <c r="AT12" s="18"/>
      <c r="AU12" s="18"/>
      <c r="AV12" s="18"/>
      <c r="AW12" s="18"/>
      <c r="AX12" s="18"/>
      <c r="AY12" s="18"/>
      <c r="AZ12" s="18"/>
      <c r="BA12" s="18"/>
      <c r="BB12" s="18"/>
      <c r="BC12" s="18"/>
      <c r="BD12" s="18"/>
      <c r="BE12" s="18"/>
      <c r="BF12" s="18"/>
      <c r="BG12" s="18"/>
      <c r="BH12" s="18"/>
      <c r="BI12" s="18"/>
      <c r="BJ12" s="18"/>
      <c r="BK12" s="18"/>
      <c r="BL12" s="18"/>
      <c r="BM12" s="18"/>
      <c r="BN12" s="18"/>
      <c r="BO12" s="18"/>
      <c r="BP12" s="18"/>
      <c r="BQ12" s="18"/>
      <c r="BR12" s="18"/>
      <c r="BS12" s="18"/>
      <c r="BT12" s="18"/>
      <c r="BU12" s="18"/>
    </row>
    <row r="13" spans="1:73" ht="24.2" customHeight="1" thickBot="1" x14ac:dyDescent="0.25">
      <c r="B13" s="156"/>
      <c r="C13" s="158"/>
      <c r="D13" s="20" t="e">
        <f>VLOOKUP($B13,#REF!,3,0)</f>
        <v>#REF!</v>
      </c>
      <c r="E13" s="20" t="e">
        <f>VLOOKUP($B13,#REF!,4,0)</f>
        <v>#REF!</v>
      </c>
      <c r="F13" s="20" t="e">
        <f>VLOOKUP($B13,#REF!,5,0)</f>
        <v>#REF!</v>
      </c>
      <c r="G13" s="20" t="e">
        <f>VLOOKUP($B13,#REF!,6,0)</f>
        <v>#REF!</v>
      </c>
      <c r="H13" s="20" t="e">
        <f>VLOOKUP($B13,#REF!,7,0)</f>
        <v>#REF!</v>
      </c>
      <c r="I13" s="20" t="e">
        <f>VLOOKUP($B13,#REF!,8,0)</f>
        <v>#REF!</v>
      </c>
      <c r="J13" s="160"/>
      <c r="K13" s="34" t="s">
        <v>13</v>
      </c>
      <c r="L13" s="37">
        <v>26</v>
      </c>
      <c r="M13" s="36">
        <v>30</v>
      </c>
      <c r="N13" s="36">
        <v>31</v>
      </c>
      <c r="O13" s="43"/>
      <c r="P13" s="13"/>
      <c r="Q13" s="13"/>
      <c r="R13" s="13"/>
      <c r="S13" s="13"/>
      <c r="T13" s="13"/>
      <c r="AF13" s="12"/>
      <c r="AG13" s="12"/>
      <c r="AH13" s="14"/>
      <c r="AI13" s="15"/>
      <c r="AJ13" s="15"/>
      <c r="AK13" s="15"/>
      <c r="AL13" s="15"/>
      <c r="AM13" s="15"/>
      <c r="AN13" s="15"/>
      <c r="AO13" s="15"/>
      <c r="AP13" s="15"/>
      <c r="AQ13" s="15"/>
      <c r="AR13" s="15"/>
      <c r="AS13" s="15"/>
      <c r="AT13" s="15"/>
      <c r="AU13" s="15"/>
      <c r="AV13" s="15"/>
      <c r="AW13" s="15"/>
      <c r="AX13" s="15"/>
      <c r="AY13" s="15"/>
      <c r="AZ13" s="15"/>
      <c r="BA13" s="15"/>
      <c r="BB13" s="15"/>
      <c r="BC13" s="15"/>
      <c r="BD13" s="15"/>
      <c r="BE13" s="15"/>
      <c r="BF13" s="15"/>
      <c r="BG13" s="15"/>
      <c r="BH13" s="15"/>
      <c r="BI13" s="15"/>
      <c r="BJ13" s="15"/>
      <c r="BK13" s="15"/>
      <c r="BL13" s="15"/>
      <c r="BM13" s="15"/>
      <c r="BN13" s="15"/>
      <c r="BO13" s="15"/>
      <c r="BP13" s="15"/>
      <c r="BQ13" s="15"/>
      <c r="BR13" s="15"/>
      <c r="BS13" s="15"/>
      <c r="BT13" s="15"/>
      <c r="BU13" s="15"/>
    </row>
    <row r="14" spans="1:73" ht="24.2" customHeight="1" x14ac:dyDescent="0.2">
      <c r="B14" s="164">
        <v>3</v>
      </c>
      <c r="C14" s="157" t="s">
        <v>28</v>
      </c>
      <c r="D14" s="19" t="e">
        <f>VLOOKUP($B14,#REF!,3,0)</f>
        <v>#REF!</v>
      </c>
      <c r="E14" s="19" t="e">
        <f>VLOOKUP($B14,#REF!,4,0)</f>
        <v>#REF!</v>
      </c>
      <c r="F14" s="19" t="e">
        <f>VLOOKUP($B14,#REF!,5,0)</f>
        <v>#REF!</v>
      </c>
      <c r="G14" s="19" t="e">
        <f>VLOOKUP($B14,#REF!,6,0)</f>
        <v>#REF!</v>
      </c>
      <c r="H14" s="19" t="e">
        <f>VLOOKUP($B14,#REF!,7,0)</f>
        <v>#REF!</v>
      </c>
      <c r="I14" s="19" t="e">
        <f>VLOOKUP($B14,#REF!,8,0)</f>
        <v>#REF!</v>
      </c>
      <c r="J14" s="159"/>
      <c r="K14" s="22" t="s">
        <v>12</v>
      </c>
      <c r="L14" s="35">
        <v>23</v>
      </c>
      <c r="M14" s="35">
        <v>26</v>
      </c>
      <c r="N14" s="35">
        <v>25</v>
      </c>
      <c r="O14" s="161"/>
      <c r="P14" s="13"/>
      <c r="Q14" s="13"/>
      <c r="R14" s="13"/>
      <c r="S14" s="13"/>
      <c r="T14" s="13"/>
      <c r="AF14" s="12"/>
      <c r="AG14" s="12"/>
      <c r="AH14" s="12"/>
    </row>
    <row r="15" spans="1:73" ht="24.2" customHeight="1" thickBot="1" x14ac:dyDescent="0.25">
      <c r="B15" s="156"/>
      <c r="C15" s="163"/>
      <c r="D15" s="20" t="e">
        <f>VLOOKUP($B15,#REF!,3,0)</f>
        <v>#REF!</v>
      </c>
      <c r="E15" s="20" t="e">
        <f>VLOOKUP($B15,#REF!,4,0)</f>
        <v>#REF!</v>
      </c>
      <c r="F15" s="20" t="e">
        <f>VLOOKUP($B15,#REF!,5,0)</f>
        <v>#REF!</v>
      </c>
      <c r="G15" s="20" t="e">
        <f>VLOOKUP($B15,#REF!,6,0)</f>
        <v>#REF!</v>
      </c>
      <c r="H15" s="20" t="e">
        <f>VLOOKUP($B15,#REF!,7,0)</f>
        <v>#REF!</v>
      </c>
      <c r="I15" s="20" t="e">
        <f>VLOOKUP($B15,#REF!,8,0)</f>
        <v>#REF!</v>
      </c>
      <c r="J15" s="160"/>
      <c r="K15" s="34" t="s">
        <v>13</v>
      </c>
      <c r="L15" s="36">
        <v>28</v>
      </c>
      <c r="M15" s="36">
        <v>27</v>
      </c>
      <c r="N15" s="36">
        <v>23</v>
      </c>
      <c r="O15" s="162"/>
      <c r="P15" s="13"/>
      <c r="Q15" s="13"/>
      <c r="R15" s="13"/>
      <c r="S15" s="13"/>
      <c r="T15" s="13"/>
      <c r="AF15" s="12"/>
      <c r="AG15" s="12"/>
      <c r="AH15" s="14"/>
      <c r="AI15" s="15"/>
      <c r="AJ15" s="15"/>
      <c r="AK15" s="15"/>
      <c r="AL15" s="15"/>
      <c r="AM15" s="15"/>
      <c r="AN15" s="15"/>
      <c r="AO15" s="15"/>
      <c r="AP15" s="15"/>
      <c r="AQ15" s="15"/>
      <c r="AR15" s="15"/>
      <c r="AS15" s="15"/>
      <c r="AT15" s="15"/>
      <c r="AU15" s="15"/>
      <c r="AV15" s="15"/>
      <c r="AW15" s="15"/>
      <c r="AX15" s="15"/>
      <c r="AY15" s="15"/>
      <c r="AZ15" s="15"/>
      <c r="BA15" s="15"/>
      <c r="BB15" s="15"/>
      <c r="BC15" s="15"/>
      <c r="BD15" s="15"/>
      <c r="BE15" s="15"/>
      <c r="BF15" s="15"/>
      <c r="BG15" s="15"/>
      <c r="BH15" s="15"/>
      <c r="BI15" s="15"/>
      <c r="BJ15" s="15"/>
      <c r="BK15" s="15"/>
      <c r="BL15" s="15"/>
      <c r="BM15" s="15"/>
      <c r="BN15" s="15"/>
      <c r="BO15" s="15"/>
      <c r="BP15" s="15"/>
      <c r="BQ15" s="15"/>
      <c r="BR15" s="15"/>
      <c r="BS15" s="15"/>
      <c r="BT15" s="15"/>
      <c r="BU15" s="15"/>
    </row>
    <row r="16" spans="1:73" ht="24.2" customHeight="1" x14ac:dyDescent="0.2">
      <c r="B16" s="164">
        <v>4</v>
      </c>
      <c r="C16" s="157" t="s">
        <v>29</v>
      </c>
      <c r="D16" s="19" t="e">
        <f>VLOOKUP($B16,#REF!,3,0)</f>
        <v>#REF!</v>
      </c>
      <c r="E16" s="19" t="e">
        <f>VLOOKUP($B16,#REF!,4,0)</f>
        <v>#REF!</v>
      </c>
      <c r="F16" s="19" t="e">
        <f>VLOOKUP($B16,#REF!,5,0)</f>
        <v>#REF!</v>
      </c>
      <c r="G16" s="19" t="e">
        <f>VLOOKUP($B16,#REF!,6,0)</f>
        <v>#REF!</v>
      </c>
      <c r="H16" s="19" t="e">
        <f>VLOOKUP($B16,#REF!,7,0)</f>
        <v>#REF!</v>
      </c>
      <c r="I16" s="19" t="e">
        <f>VLOOKUP($B16,#REF!,8,0)</f>
        <v>#REF!</v>
      </c>
      <c r="J16" s="159"/>
      <c r="K16" s="22" t="s">
        <v>12</v>
      </c>
      <c r="L16" s="35">
        <v>25</v>
      </c>
      <c r="M16" s="35">
        <v>30</v>
      </c>
      <c r="N16" s="44">
        <v>28</v>
      </c>
      <c r="O16" s="161"/>
      <c r="P16" s="13"/>
      <c r="Q16" s="13"/>
      <c r="R16" s="13"/>
      <c r="S16" s="13"/>
      <c r="T16" s="13"/>
    </row>
    <row r="17" spans="2:73" ht="24.2" customHeight="1" thickBot="1" x14ac:dyDescent="0.25">
      <c r="B17" s="156"/>
      <c r="C17" s="158"/>
      <c r="D17" s="20" t="e">
        <f>VLOOKUP($B17,#REF!,3,0)</f>
        <v>#REF!</v>
      </c>
      <c r="E17" s="20" t="e">
        <f>VLOOKUP($B17,#REF!,4,0)</f>
        <v>#REF!</v>
      </c>
      <c r="F17" s="20" t="e">
        <f>VLOOKUP($B17,#REF!,5,0)</f>
        <v>#REF!</v>
      </c>
      <c r="G17" s="20" t="e">
        <f>VLOOKUP($B17,#REF!,6,0)</f>
        <v>#REF!</v>
      </c>
      <c r="H17" s="20" t="e">
        <f>VLOOKUP($B17,#REF!,7,0)</f>
        <v>#REF!</v>
      </c>
      <c r="I17" s="20" t="e">
        <f>VLOOKUP($B17,#REF!,8,0)</f>
        <v>#REF!</v>
      </c>
      <c r="J17" s="160"/>
      <c r="K17" s="34" t="s">
        <v>13</v>
      </c>
      <c r="L17" s="36">
        <v>28</v>
      </c>
      <c r="M17" s="36">
        <v>32</v>
      </c>
      <c r="N17" s="36">
        <v>31</v>
      </c>
      <c r="O17" s="162"/>
      <c r="P17" s="13"/>
      <c r="Q17" s="13"/>
      <c r="R17" s="13"/>
      <c r="S17" s="13"/>
      <c r="T17" s="13"/>
      <c r="AF17" s="12"/>
      <c r="AG17" s="12"/>
      <c r="AH17" s="14"/>
      <c r="AI17" s="15"/>
      <c r="AJ17" s="15"/>
      <c r="AK17" s="15"/>
      <c r="AL17" s="15"/>
      <c r="AM17" s="15"/>
      <c r="AN17" s="15"/>
      <c r="AO17" s="15"/>
      <c r="AP17" s="15"/>
      <c r="AQ17" s="15"/>
      <c r="AR17" s="15"/>
      <c r="AS17" s="15"/>
      <c r="AT17" s="15"/>
      <c r="AU17" s="15"/>
      <c r="AV17" s="15"/>
      <c r="AW17" s="15"/>
      <c r="AX17" s="15"/>
      <c r="AY17" s="15"/>
      <c r="AZ17" s="15"/>
      <c r="BA17" s="15"/>
      <c r="BB17" s="15"/>
      <c r="BC17" s="15"/>
      <c r="BD17" s="15"/>
      <c r="BE17" s="15"/>
      <c r="BF17" s="15"/>
      <c r="BG17" s="15"/>
      <c r="BH17" s="15"/>
      <c r="BI17" s="15"/>
      <c r="BJ17" s="15"/>
      <c r="BK17" s="15"/>
      <c r="BL17" s="15"/>
      <c r="BM17" s="15"/>
      <c r="BN17" s="15"/>
      <c r="BO17" s="15"/>
      <c r="BP17" s="15"/>
      <c r="BQ17" s="15"/>
      <c r="BR17" s="15"/>
      <c r="BS17" s="15"/>
      <c r="BT17" s="15"/>
      <c r="BU17" s="15"/>
    </row>
    <row r="18" spans="2:73" ht="24.2" customHeight="1" x14ac:dyDescent="0.2">
      <c r="B18" s="164">
        <v>5</v>
      </c>
      <c r="C18" s="157" t="s">
        <v>28</v>
      </c>
      <c r="D18" s="19" t="e">
        <f>VLOOKUP($B18,#REF!,3,0)</f>
        <v>#REF!</v>
      </c>
      <c r="E18" s="19" t="e">
        <f>VLOOKUP($B18,#REF!,4,0)</f>
        <v>#REF!</v>
      </c>
      <c r="F18" s="19" t="e">
        <f>VLOOKUP($B18,#REF!,5,0)</f>
        <v>#REF!</v>
      </c>
      <c r="G18" s="19" t="e">
        <f>VLOOKUP($B18,#REF!,6,0)</f>
        <v>#REF!</v>
      </c>
      <c r="H18" s="19" t="e">
        <f>VLOOKUP($B18,#REF!,7,0)</f>
        <v>#REF!</v>
      </c>
      <c r="I18" s="19" t="e">
        <f>VLOOKUP($B18,#REF!,8,0)</f>
        <v>#REF!</v>
      </c>
      <c r="J18" s="159"/>
      <c r="K18" s="22" t="s">
        <v>12</v>
      </c>
      <c r="L18" s="44">
        <v>27</v>
      </c>
      <c r="M18" s="35">
        <v>26</v>
      </c>
      <c r="N18" s="44">
        <v>30</v>
      </c>
      <c r="O18" s="161"/>
      <c r="P18" s="13"/>
      <c r="Q18" s="13"/>
      <c r="R18" s="13"/>
      <c r="S18" s="13"/>
      <c r="T18" s="13"/>
      <c r="AF18" s="12"/>
      <c r="AG18" s="12"/>
      <c r="AH18" s="12"/>
    </row>
    <row r="19" spans="2:73" ht="24.2" customHeight="1" thickBot="1" x14ac:dyDescent="0.25">
      <c r="B19" s="156"/>
      <c r="C19" s="163"/>
      <c r="D19" s="20" t="e">
        <f>VLOOKUP($B19,#REF!,3,0)</f>
        <v>#REF!</v>
      </c>
      <c r="E19" s="20" t="e">
        <f>VLOOKUP($B19,#REF!,4,0)</f>
        <v>#REF!</v>
      </c>
      <c r="F19" s="20" t="e">
        <f>VLOOKUP($B19,#REF!,5,0)</f>
        <v>#REF!</v>
      </c>
      <c r="G19" s="20" t="e">
        <f>VLOOKUP($B19,#REF!,6,0)</f>
        <v>#REF!</v>
      </c>
      <c r="H19" s="20" t="e">
        <f>VLOOKUP($B19,#REF!,7,0)</f>
        <v>#REF!</v>
      </c>
      <c r="I19" s="20" t="e">
        <f>VLOOKUP($B19,#REF!,8,0)</f>
        <v>#REF!</v>
      </c>
      <c r="J19" s="160"/>
      <c r="K19" s="34" t="s">
        <v>13</v>
      </c>
      <c r="L19" s="36">
        <v>31</v>
      </c>
      <c r="M19" s="36">
        <v>28</v>
      </c>
      <c r="N19" s="36">
        <v>29</v>
      </c>
      <c r="O19" s="162"/>
      <c r="P19" s="13"/>
      <c r="Q19" s="13"/>
      <c r="R19" s="13"/>
      <c r="S19" s="13"/>
      <c r="T19" s="13"/>
      <c r="AF19" s="12"/>
      <c r="AG19" s="12"/>
      <c r="AH19" s="14"/>
      <c r="AI19" s="15"/>
      <c r="AJ19" s="15"/>
      <c r="AK19" s="15"/>
      <c r="AL19" s="15"/>
      <c r="AM19" s="15"/>
      <c r="AN19" s="15"/>
      <c r="AO19" s="15"/>
      <c r="AP19" s="15"/>
      <c r="AQ19" s="15"/>
      <c r="AR19" s="15"/>
      <c r="AS19" s="15"/>
      <c r="AT19" s="15"/>
      <c r="AU19" s="15"/>
      <c r="AV19" s="15"/>
      <c r="AW19" s="15"/>
      <c r="AX19" s="15"/>
      <c r="AY19" s="15"/>
      <c r="AZ19" s="15"/>
      <c r="BA19" s="15"/>
      <c r="BB19" s="15"/>
      <c r="BC19" s="15"/>
      <c r="BD19" s="15"/>
      <c r="BE19" s="15"/>
      <c r="BF19" s="15"/>
      <c r="BG19" s="15"/>
      <c r="BH19" s="15"/>
      <c r="BI19" s="15"/>
      <c r="BJ19" s="15"/>
      <c r="BK19" s="15"/>
      <c r="BL19" s="15"/>
      <c r="BM19" s="15"/>
      <c r="BN19" s="15"/>
      <c r="BO19" s="15"/>
      <c r="BP19" s="15"/>
      <c r="BQ19" s="15"/>
      <c r="BR19" s="15"/>
      <c r="BS19" s="15"/>
      <c r="BT19" s="15"/>
      <c r="BU19" s="15"/>
    </row>
    <row r="20" spans="2:73" ht="24.2" customHeight="1" x14ac:dyDescent="0.2">
      <c r="B20" s="164">
        <v>6</v>
      </c>
      <c r="C20" s="157" t="s">
        <v>29</v>
      </c>
      <c r="D20" s="19" t="e">
        <f>VLOOKUP($B20,#REF!,3,0)</f>
        <v>#REF!</v>
      </c>
      <c r="E20" s="19" t="e">
        <f>VLOOKUP($B20,#REF!,4,0)</f>
        <v>#REF!</v>
      </c>
      <c r="F20" s="19" t="e">
        <f>VLOOKUP($B20,#REF!,5,0)</f>
        <v>#REF!</v>
      </c>
      <c r="G20" s="19" t="e">
        <f>VLOOKUP($B20,#REF!,6,0)</f>
        <v>#REF!</v>
      </c>
      <c r="H20" s="19" t="e">
        <f>VLOOKUP($B20,#REF!,7,0)</f>
        <v>#REF!</v>
      </c>
      <c r="I20" s="19" t="e">
        <f>VLOOKUP($B20,#REF!,8,0)</f>
        <v>#REF!</v>
      </c>
      <c r="J20" s="159"/>
      <c r="K20" s="22" t="s">
        <v>12</v>
      </c>
      <c r="L20" s="35">
        <v>25</v>
      </c>
      <c r="M20" s="35">
        <v>22</v>
      </c>
      <c r="N20" s="35">
        <v>28</v>
      </c>
      <c r="O20" s="161"/>
      <c r="P20" s="13"/>
      <c r="Q20" s="13"/>
      <c r="R20" s="13"/>
      <c r="S20" s="13"/>
      <c r="T20" s="13"/>
      <c r="AF20" s="12"/>
      <c r="AG20" s="12"/>
      <c r="AH20" s="12"/>
    </row>
    <row r="21" spans="2:73" ht="24.2" customHeight="1" thickBot="1" x14ac:dyDescent="0.25">
      <c r="B21" s="156"/>
      <c r="C21" s="158"/>
      <c r="D21" s="20" t="e">
        <f>VLOOKUP($B21,#REF!,3,0)</f>
        <v>#REF!</v>
      </c>
      <c r="E21" s="20" t="e">
        <f>VLOOKUP($B21,#REF!,4,0)</f>
        <v>#REF!</v>
      </c>
      <c r="F21" s="20" t="e">
        <f>VLOOKUP($B21,#REF!,5,0)</f>
        <v>#REF!</v>
      </c>
      <c r="G21" s="20" t="e">
        <f>VLOOKUP($B21,#REF!,6,0)</f>
        <v>#REF!</v>
      </c>
      <c r="H21" s="20" t="e">
        <f>VLOOKUP($B21,#REF!,7,0)</f>
        <v>#REF!</v>
      </c>
      <c r="I21" s="20" t="e">
        <f>VLOOKUP($B21,#REF!,8,0)</f>
        <v>#REF!</v>
      </c>
      <c r="J21" s="160"/>
      <c r="K21" s="34" t="s">
        <v>13</v>
      </c>
      <c r="L21" s="36">
        <v>29</v>
      </c>
      <c r="M21" s="36">
        <v>26</v>
      </c>
      <c r="N21" s="36">
        <v>27</v>
      </c>
      <c r="O21" s="162"/>
      <c r="P21" s="13"/>
      <c r="Q21" s="13"/>
      <c r="R21" s="13"/>
      <c r="S21" s="13"/>
      <c r="T21" s="13"/>
      <c r="AF21" s="12"/>
      <c r="AG21" s="12"/>
      <c r="AH21" s="14"/>
      <c r="AI21" s="15"/>
      <c r="AJ21" s="15"/>
      <c r="AK21" s="15"/>
      <c r="AL21" s="15"/>
      <c r="AM21" s="15"/>
      <c r="AN21" s="15"/>
      <c r="AO21" s="15"/>
      <c r="AP21" s="15"/>
      <c r="AQ21" s="15"/>
      <c r="AR21" s="15"/>
      <c r="AS21" s="15"/>
      <c r="AT21" s="15"/>
      <c r="AU21" s="15"/>
      <c r="AV21" s="15"/>
      <c r="AW21" s="15"/>
      <c r="AX21" s="15"/>
      <c r="AY21" s="15"/>
      <c r="AZ21" s="15"/>
      <c r="BA21" s="15"/>
      <c r="BB21" s="15"/>
      <c r="BC21" s="15"/>
      <c r="BD21" s="15"/>
      <c r="BE21" s="15"/>
      <c r="BF21" s="15"/>
      <c r="BG21" s="15"/>
      <c r="BH21" s="15"/>
      <c r="BI21" s="15"/>
      <c r="BJ21" s="15"/>
      <c r="BK21" s="15"/>
      <c r="BL21" s="15"/>
      <c r="BM21" s="15"/>
      <c r="BN21" s="15"/>
      <c r="BO21" s="15"/>
      <c r="BP21" s="15"/>
      <c r="BQ21" s="15"/>
      <c r="BR21" s="15"/>
      <c r="BS21" s="15"/>
      <c r="BT21" s="15"/>
      <c r="BU21" s="15"/>
    </row>
    <row r="22" spans="2:73" ht="24.2" customHeight="1" x14ac:dyDescent="0.2">
      <c r="B22" s="164">
        <v>7</v>
      </c>
      <c r="C22" s="157" t="s">
        <v>28</v>
      </c>
      <c r="D22" s="19" t="e">
        <f>VLOOKUP($B22,#REF!,3,0)</f>
        <v>#REF!</v>
      </c>
      <c r="E22" s="19" t="e">
        <f>VLOOKUP($B22,#REF!,4,0)</f>
        <v>#REF!</v>
      </c>
      <c r="F22" s="19" t="e">
        <f>VLOOKUP($B22,#REF!,5,0)</f>
        <v>#REF!</v>
      </c>
      <c r="G22" s="19" t="e">
        <f>VLOOKUP($B22,#REF!,6,0)</f>
        <v>#REF!</v>
      </c>
      <c r="H22" s="19" t="e">
        <f>VLOOKUP($B22,#REF!,7,0)</f>
        <v>#REF!</v>
      </c>
      <c r="I22" s="19" t="e">
        <f>VLOOKUP($B22,#REF!,8,0)</f>
        <v>#REF!</v>
      </c>
      <c r="J22" s="159"/>
      <c r="K22" s="22" t="s">
        <v>12</v>
      </c>
      <c r="L22" s="35">
        <v>24</v>
      </c>
      <c r="M22" s="35">
        <v>28</v>
      </c>
      <c r="N22" s="35">
        <v>23</v>
      </c>
      <c r="O22" s="161"/>
      <c r="P22" s="13"/>
      <c r="Q22" s="13"/>
      <c r="R22" s="13"/>
      <c r="S22" s="13"/>
      <c r="T22" s="13"/>
      <c r="AF22" s="12"/>
      <c r="AG22" s="12"/>
      <c r="AH22" s="12"/>
    </row>
    <row r="23" spans="2:73" ht="24.2" customHeight="1" thickBot="1" x14ac:dyDescent="0.25">
      <c r="B23" s="156"/>
      <c r="C23" s="163"/>
      <c r="D23" s="20" t="e">
        <f>VLOOKUP($B23,#REF!,3,0)</f>
        <v>#REF!</v>
      </c>
      <c r="E23" s="20" t="e">
        <f>VLOOKUP($B23,#REF!,4,0)</f>
        <v>#REF!</v>
      </c>
      <c r="F23" s="20" t="e">
        <f>VLOOKUP($B23,#REF!,5,0)</f>
        <v>#REF!</v>
      </c>
      <c r="G23" s="20" t="e">
        <f>VLOOKUP($B23,#REF!,6,0)</f>
        <v>#REF!</v>
      </c>
      <c r="H23" s="20" t="e">
        <f>VLOOKUP($B23,#REF!,7,0)</f>
        <v>#REF!</v>
      </c>
      <c r="I23" s="20" t="e">
        <f>VLOOKUP($B23,#REF!,8,0)</f>
        <v>#REF!</v>
      </c>
      <c r="J23" s="160"/>
      <c r="K23" s="34" t="s">
        <v>13</v>
      </c>
      <c r="L23" s="36">
        <v>28</v>
      </c>
      <c r="M23" s="36">
        <v>28</v>
      </c>
      <c r="N23" s="36">
        <v>25</v>
      </c>
      <c r="O23" s="162"/>
      <c r="P23" s="13"/>
      <c r="Q23" s="13"/>
      <c r="R23" s="13"/>
      <c r="S23" s="13"/>
      <c r="T23" s="13"/>
      <c r="AF23" s="12"/>
      <c r="AG23" s="12"/>
      <c r="AH23" s="14"/>
      <c r="AI23" s="15"/>
      <c r="AJ23" s="15"/>
      <c r="AK23" s="15"/>
      <c r="AL23" s="15"/>
      <c r="AM23" s="15"/>
      <c r="AN23" s="15"/>
      <c r="AO23" s="15"/>
      <c r="AP23" s="15"/>
      <c r="AQ23" s="15"/>
      <c r="AR23" s="15"/>
      <c r="AS23" s="15"/>
      <c r="AT23" s="15"/>
      <c r="AU23" s="15"/>
      <c r="AV23" s="15"/>
      <c r="AW23" s="15"/>
      <c r="AX23" s="15"/>
      <c r="AY23" s="15"/>
      <c r="AZ23" s="15"/>
      <c r="BA23" s="15"/>
      <c r="BB23" s="15"/>
      <c r="BC23" s="15"/>
      <c r="BD23" s="15"/>
      <c r="BE23" s="15"/>
      <c r="BF23" s="15"/>
      <c r="BG23" s="15"/>
      <c r="BH23" s="15"/>
      <c r="BI23" s="15"/>
      <c r="BJ23" s="15"/>
      <c r="BK23" s="15"/>
      <c r="BL23" s="15"/>
      <c r="BM23" s="15"/>
      <c r="BN23" s="15"/>
      <c r="BO23" s="15"/>
      <c r="BP23" s="15"/>
      <c r="BQ23" s="15"/>
      <c r="BR23" s="15"/>
      <c r="BS23" s="15"/>
      <c r="BT23" s="15"/>
      <c r="BU23" s="15"/>
    </row>
    <row r="24" spans="2:73" ht="24.2" customHeight="1" x14ac:dyDescent="0.2">
      <c r="B24" s="164">
        <v>8</v>
      </c>
      <c r="C24" s="157" t="s">
        <v>29</v>
      </c>
      <c r="D24" s="19" t="e">
        <f>VLOOKUP($B24,#REF!,3,0)</f>
        <v>#REF!</v>
      </c>
      <c r="E24" s="19" t="e">
        <f>VLOOKUP($B24,#REF!,4,0)</f>
        <v>#REF!</v>
      </c>
      <c r="F24" s="19" t="e">
        <f>VLOOKUP($B24,#REF!,5,0)</f>
        <v>#REF!</v>
      </c>
      <c r="G24" s="19" t="e">
        <f>VLOOKUP($B24,#REF!,6,0)</f>
        <v>#REF!</v>
      </c>
      <c r="H24" s="19" t="e">
        <f>VLOOKUP($B24,#REF!,7,0)</f>
        <v>#REF!</v>
      </c>
      <c r="I24" s="19" t="e">
        <f>VLOOKUP($B24,#REF!,8,0)</f>
        <v>#REF!</v>
      </c>
      <c r="J24" s="159"/>
      <c r="K24" s="22" t="s">
        <v>12</v>
      </c>
      <c r="L24" s="35">
        <v>25</v>
      </c>
      <c r="M24" s="35">
        <v>27</v>
      </c>
      <c r="N24" s="35">
        <v>26</v>
      </c>
      <c r="O24" s="161"/>
      <c r="P24" s="13"/>
      <c r="Q24" s="13"/>
      <c r="R24" s="13"/>
      <c r="S24" s="13"/>
      <c r="T24" s="13"/>
      <c r="AF24" s="9"/>
      <c r="AG24" s="9"/>
      <c r="AH24" s="9"/>
    </row>
    <row r="25" spans="2:73" ht="24.2" customHeight="1" thickBot="1" x14ac:dyDescent="0.25">
      <c r="B25" s="156"/>
      <c r="C25" s="158"/>
      <c r="D25" s="20" t="e">
        <f>VLOOKUP($B25,#REF!,3,0)</f>
        <v>#REF!</v>
      </c>
      <c r="E25" s="20" t="e">
        <f>VLOOKUP($B25,#REF!,4,0)</f>
        <v>#REF!</v>
      </c>
      <c r="F25" s="20" t="e">
        <f>VLOOKUP($B25,#REF!,5,0)</f>
        <v>#REF!</v>
      </c>
      <c r="G25" s="20" t="e">
        <f>VLOOKUP($B25,#REF!,6,0)</f>
        <v>#REF!</v>
      </c>
      <c r="H25" s="20" t="e">
        <f>VLOOKUP($B25,#REF!,7,0)</f>
        <v>#REF!</v>
      </c>
      <c r="I25" s="20" t="e">
        <f>VLOOKUP($B25,#REF!,8,0)</f>
        <v>#REF!</v>
      </c>
      <c r="J25" s="160"/>
      <c r="K25" s="34" t="s">
        <v>13</v>
      </c>
      <c r="L25" s="36">
        <v>27</v>
      </c>
      <c r="M25" s="36">
        <v>29</v>
      </c>
      <c r="N25" s="36">
        <v>27</v>
      </c>
      <c r="O25" s="162"/>
      <c r="P25" s="13"/>
      <c r="Q25" s="13"/>
      <c r="R25" s="13"/>
      <c r="S25" s="13"/>
      <c r="T25" s="13"/>
      <c r="AF25" s="12"/>
      <c r="AG25" s="12"/>
      <c r="AH25" s="14"/>
      <c r="AI25" s="15"/>
      <c r="AJ25" s="15"/>
      <c r="AK25" s="15"/>
      <c r="AL25" s="15"/>
      <c r="AM25" s="15"/>
      <c r="AN25" s="15"/>
      <c r="AO25" s="15"/>
      <c r="AP25" s="15"/>
      <c r="AQ25" s="15"/>
      <c r="AR25" s="15"/>
      <c r="AS25" s="15"/>
      <c r="AT25" s="15"/>
      <c r="AU25" s="15"/>
      <c r="AV25" s="15"/>
      <c r="AW25" s="15"/>
      <c r="AX25" s="15"/>
      <c r="AY25" s="15"/>
      <c r="AZ25" s="15"/>
      <c r="BA25" s="15"/>
      <c r="BB25" s="15"/>
      <c r="BC25" s="15"/>
      <c r="BD25" s="15"/>
      <c r="BE25" s="15"/>
      <c r="BF25" s="15"/>
      <c r="BG25" s="15"/>
      <c r="BH25" s="15"/>
      <c r="BI25" s="15"/>
      <c r="BJ25" s="15"/>
      <c r="BK25" s="15"/>
      <c r="BL25" s="15"/>
      <c r="BM25" s="15"/>
      <c r="BN25" s="15"/>
      <c r="BO25" s="15"/>
      <c r="BP25" s="15"/>
      <c r="BQ25" s="15"/>
      <c r="BR25" s="15"/>
      <c r="BS25" s="15"/>
      <c r="BT25" s="15"/>
      <c r="BU25" s="15"/>
    </row>
    <row r="26" spans="2:73" ht="24.2" customHeight="1" x14ac:dyDescent="0.2">
      <c r="B26" s="164">
        <v>9</v>
      </c>
      <c r="C26" s="157" t="s">
        <v>28</v>
      </c>
      <c r="D26" s="19" t="e">
        <f>VLOOKUP($B26,#REF!,3,0)</f>
        <v>#REF!</v>
      </c>
      <c r="E26" s="19" t="e">
        <f>VLOOKUP($B26,#REF!,4,0)</f>
        <v>#REF!</v>
      </c>
      <c r="F26" s="19" t="e">
        <f>VLOOKUP($B26,#REF!,5,0)</f>
        <v>#REF!</v>
      </c>
      <c r="G26" s="19" t="e">
        <f>VLOOKUP($B26,#REF!,6,0)</f>
        <v>#REF!</v>
      </c>
      <c r="H26" s="19" t="e">
        <f>VLOOKUP($B26,#REF!,7,0)</f>
        <v>#REF!</v>
      </c>
      <c r="I26" s="19" t="e">
        <f>VLOOKUP($B26,#REF!,8,0)</f>
        <v>#REF!</v>
      </c>
      <c r="J26" s="159">
        <v>1237</v>
      </c>
      <c r="K26" s="22" t="s">
        <v>12</v>
      </c>
      <c r="L26" s="35">
        <v>24</v>
      </c>
      <c r="M26" s="35">
        <v>29</v>
      </c>
      <c r="N26" s="35">
        <v>25</v>
      </c>
      <c r="O26" s="161"/>
      <c r="P26" s="13"/>
      <c r="Q26" s="13"/>
      <c r="R26" s="13"/>
      <c r="S26" s="13"/>
      <c r="T26" s="13"/>
      <c r="AF26" s="12"/>
      <c r="AG26" s="12"/>
      <c r="AH26" s="12"/>
    </row>
    <row r="27" spans="2:73" ht="24.2" customHeight="1" thickBot="1" x14ac:dyDescent="0.25">
      <c r="B27" s="156"/>
      <c r="C27" s="163"/>
      <c r="D27" s="20" t="e">
        <f>VLOOKUP($B27,#REF!,3,0)</f>
        <v>#REF!</v>
      </c>
      <c r="E27" s="20" t="e">
        <f>VLOOKUP($B27,#REF!,4,0)</f>
        <v>#REF!</v>
      </c>
      <c r="F27" s="20" t="e">
        <f>VLOOKUP($B27,#REF!,5,0)</f>
        <v>#REF!</v>
      </c>
      <c r="G27" s="20" t="e">
        <f>VLOOKUP($B27,#REF!,6,0)</f>
        <v>#REF!</v>
      </c>
      <c r="H27" s="20" t="e">
        <f>VLOOKUP($B27,#REF!,7,0)</f>
        <v>#REF!</v>
      </c>
      <c r="I27" s="20" t="e">
        <f>VLOOKUP($B27,#REF!,8,0)</f>
        <v>#REF!</v>
      </c>
      <c r="J27" s="160"/>
      <c r="K27" s="34" t="s">
        <v>13</v>
      </c>
      <c r="L27" s="36">
        <v>26</v>
      </c>
      <c r="M27" s="36">
        <v>29</v>
      </c>
      <c r="N27" s="36">
        <v>26</v>
      </c>
      <c r="O27" s="162"/>
      <c r="P27" s="13"/>
      <c r="Q27" s="13"/>
      <c r="R27" s="13"/>
      <c r="S27" s="13"/>
      <c r="T27" s="13"/>
      <c r="AF27" s="12"/>
      <c r="AG27" s="12"/>
      <c r="AH27" s="14"/>
      <c r="AI27" s="15"/>
      <c r="AJ27" s="15"/>
      <c r="AK27" s="15"/>
      <c r="AL27" s="15"/>
      <c r="AM27" s="15"/>
      <c r="AN27" s="15"/>
      <c r="AO27" s="15"/>
      <c r="AP27" s="15"/>
      <c r="AQ27" s="15"/>
      <c r="AR27" s="15"/>
      <c r="AS27" s="15"/>
      <c r="AT27" s="15"/>
      <c r="AU27" s="15"/>
      <c r="AV27" s="15"/>
      <c r="AW27" s="15"/>
      <c r="AX27" s="15"/>
      <c r="AY27" s="15"/>
      <c r="AZ27" s="15"/>
      <c r="BA27" s="15"/>
      <c r="BB27" s="15"/>
      <c r="BC27" s="15"/>
      <c r="BD27" s="15"/>
      <c r="BE27" s="15"/>
      <c r="BF27" s="15"/>
      <c r="BG27" s="15"/>
      <c r="BH27" s="15"/>
      <c r="BI27" s="15"/>
      <c r="BJ27" s="15"/>
      <c r="BK27" s="15"/>
      <c r="BL27" s="15"/>
      <c r="BM27" s="15"/>
      <c r="BN27" s="15"/>
      <c r="BO27" s="15"/>
      <c r="BP27" s="15"/>
      <c r="BQ27" s="15"/>
      <c r="BR27" s="15"/>
      <c r="BS27" s="15"/>
      <c r="BT27" s="15"/>
      <c r="BU27" s="15"/>
    </row>
    <row r="28" spans="2:73" ht="24.2" customHeight="1" x14ac:dyDescent="0.2">
      <c r="B28" s="155">
        <v>10</v>
      </c>
      <c r="C28" s="157" t="s">
        <v>29</v>
      </c>
      <c r="D28" s="19" t="e">
        <f>VLOOKUP($B28,#REF!,3,0)</f>
        <v>#REF!</v>
      </c>
      <c r="E28" s="19" t="e">
        <f>VLOOKUP($B28,#REF!,4,0)</f>
        <v>#REF!</v>
      </c>
      <c r="F28" s="19" t="e">
        <f>VLOOKUP($B28,#REF!,5,0)</f>
        <v>#REF!</v>
      </c>
      <c r="G28" s="19" t="e">
        <f>VLOOKUP($B28,#REF!,6,0)</f>
        <v>#REF!</v>
      </c>
      <c r="H28" s="19" t="e">
        <f>VLOOKUP($B28,#REF!,7,0)</f>
        <v>#REF!</v>
      </c>
      <c r="I28" s="19" t="e">
        <f>VLOOKUP($B28,#REF!,8,0)</f>
        <v>#REF!</v>
      </c>
      <c r="J28" s="159"/>
      <c r="K28" s="22" t="s">
        <v>12</v>
      </c>
      <c r="L28" s="35">
        <v>28</v>
      </c>
      <c r="M28" s="35">
        <v>18</v>
      </c>
      <c r="N28" s="35">
        <v>27</v>
      </c>
      <c r="O28" s="161"/>
      <c r="P28" s="13"/>
      <c r="Q28" s="13"/>
      <c r="R28" s="13"/>
      <c r="S28" s="13"/>
      <c r="T28" s="13"/>
    </row>
    <row r="29" spans="2:73" ht="24.2" customHeight="1" thickBot="1" x14ac:dyDescent="0.25">
      <c r="B29" s="156"/>
      <c r="C29" s="158"/>
      <c r="D29" s="20" t="e">
        <f>VLOOKUP($B29,#REF!,3,0)</f>
        <v>#REF!</v>
      </c>
      <c r="E29" s="20" t="e">
        <f>VLOOKUP($B29,#REF!,4,0)</f>
        <v>#REF!</v>
      </c>
      <c r="F29" s="20" t="e">
        <f>VLOOKUP($B29,#REF!,5,0)</f>
        <v>#REF!</v>
      </c>
      <c r="G29" s="20" t="e">
        <f>VLOOKUP($B29,#REF!,6,0)</f>
        <v>#REF!</v>
      </c>
      <c r="H29" s="20" t="e">
        <f>VLOOKUP($B29,#REF!,7,0)</f>
        <v>#REF!</v>
      </c>
      <c r="I29" s="20" t="e">
        <f>VLOOKUP($B29,#REF!,8,0)</f>
        <v>#REF!</v>
      </c>
      <c r="J29" s="160"/>
      <c r="K29" s="34" t="s">
        <v>13</v>
      </c>
      <c r="L29" s="36">
        <v>29</v>
      </c>
      <c r="M29" s="36">
        <v>26</v>
      </c>
      <c r="N29" s="36">
        <v>28</v>
      </c>
      <c r="O29" s="162"/>
      <c r="P29" s="13"/>
      <c r="Q29" s="13"/>
      <c r="R29" s="13"/>
      <c r="S29" s="13"/>
      <c r="T29" s="13"/>
      <c r="AF29" s="12"/>
      <c r="AG29" s="12"/>
      <c r="AH29" s="14"/>
      <c r="AI29" s="15"/>
      <c r="AJ29" s="15"/>
      <c r="AK29" s="15"/>
      <c r="AL29" s="15"/>
      <c r="AM29" s="15"/>
      <c r="AN29" s="15"/>
      <c r="AO29" s="15"/>
      <c r="AP29" s="15"/>
      <c r="AQ29" s="15"/>
      <c r="AR29" s="15"/>
      <c r="AS29" s="15"/>
      <c r="AT29" s="15"/>
      <c r="AU29" s="15"/>
      <c r="AV29" s="15"/>
      <c r="AW29" s="15"/>
      <c r="AX29" s="15"/>
      <c r="AY29" s="15"/>
      <c r="AZ29" s="15"/>
      <c r="BA29" s="15"/>
      <c r="BB29" s="15"/>
      <c r="BC29" s="15"/>
      <c r="BD29" s="15"/>
      <c r="BE29" s="15"/>
      <c r="BF29" s="15"/>
      <c r="BG29" s="15"/>
      <c r="BH29" s="15"/>
      <c r="BI29" s="15"/>
      <c r="BJ29" s="15"/>
      <c r="BK29" s="15"/>
      <c r="BL29" s="15"/>
      <c r="BM29" s="15"/>
      <c r="BN29" s="15"/>
      <c r="BO29" s="15"/>
      <c r="BP29" s="15"/>
      <c r="BQ29" s="15"/>
      <c r="BR29" s="15"/>
      <c r="BS29" s="15"/>
      <c r="BT29" s="15"/>
      <c r="BU29" s="15"/>
    </row>
    <row r="30" spans="2:73" ht="24.2" customHeight="1" x14ac:dyDescent="0.2">
      <c r="B30" s="155">
        <v>11</v>
      </c>
      <c r="C30" s="157" t="s">
        <v>28</v>
      </c>
      <c r="D30" s="19" t="e">
        <f>VLOOKUP($B30,#REF!,3,0)</f>
        <v>#REF!</v>
      </c>
      <c r="E30" s="19" t="e">
        <f>VLOOKUP($B30,#REF!,4,0)</f>
        <v>#REF!</v>
      </c>
      <c r="F30" s="19" t="e">
        <f>VLOOKUP($B30,#REF!,5,0)</f>
        <v>#REF!</v>
      </c>
      <c r="G30" s="19" t="e">
        <f>VLOOKUP($B30,#REF!,6,0)</f>
        <v>#REF!</v>
      </c>
      <c r="H30" s="19" t="e">
        <f>VLOOKUP($B30,#REF!,7,0)</f>
        <v>#REF!</v>
      </c>
      <c r="I30" s="19" t="e">
        <f>VLOOKUP($B30,#REF!,8,0)</f>
        <v>#REF!</v>
      </c>
      <c r="J30" s="159"/>
      <c r="K30" s="22" t="s">
        <v>12</v>
      </c>
      <c r="L30" s="44">
        <v>25</v>
      </c>
      <c r="M30" s="35">
        <v>27</v>
      </c>
      <c r="N30" s="35">
        <v>28</v>
      </c>
      <c r="O30" s="161"/>
      <c r="P30" s="13"/>
      <c r="Q30" s="13"/>
      <c r="R30" s="13"/>
      <c r="S30" s="13"/>
      <c r="T30" s="13"/>
    </row>
    <row r="31" spans="2:73" ht="24.2" customHeight="1" thickBot="1" x14ac:dyDescent="0.25">
      <c r="B31" s="156"/>
      <c r="C31" s="163"/>
      <c r="D31" s="20" t="e">
        <f>VLOOKUP($B31,#REF!,3,0)</f>
        <v>#REF!</v>
      </c>
      <c r="E31" s="20" t="e">
        <f>VLOOKUP($B31,#REF!,4,0)</f>
        <v>#REF!</v>
      </c>
      <c r="F31" s="20" t="e">
        <f>VLOOKUP($B31,#REF!,5,0)</f>
        <v>#REF!</v>
      </c>
      <c r="G31" s="20" t="e">
        <f>VLOOKUP($B31,#REF!,6,0)</f>
        <v>#REF!</v>
      </c>
      <c r="H31" s="20" t="e">
        <f>VLOOKUP($B31,#REF!,7,0)</f>
        <v>#REF!</v>
      </c>
      <c r="I31" s="20" t="e">
        <f>VLOOKUP($B31,#REF!,8,0)</f>
        <v>#REF!</v>
      </c>
      <c r="J31" s="160"/>
      <c r="K31" s="34" t="s">
        <v>13</v>
      </c>
      <c r="L31" s="36">
        <v>26</v>
      </c>
      <c r="M31" s="36">
        <v>29</v>
      </c>
      <c r="N31" s="36">
        <v>28</v>
      </c>
      <c r="O31" s="162"/>
      <c r="P31" s="13"/>
      <c r="Q31" s="13"/>
      <c r="R31" s="13"/>
      <c r="S31" s="13"/>
      <c r="T31" s="13"/>
      <c r="AF31" s="12"/>
      <c r="AG31" s="12"/>
      <c r="AH31" s="14"/>
      <c r="AI31" s="15"/>
      <c r="AJ31" s="15"/>
      <c r="AK31" s="15"/>
      <c r="AL31" s="15"/>
      <c r="AM31" s="15"/>
      <c r="AN31" s="15"/>
      <c r="AO31" s="15"/>
      <c r="AP31" s="15"/>
      <c r="AQ31" s="15"/>
      <c r="AR31" s="15"/>
      <c r="AS31" s="15"/>
      <c r="AT31" s="15"/>
      <c r="AU31" s="15"/>
      <c r="AV31" s="15"/>
      <c r="AW31" s="15"/>
      <c r="AX31" s="15"/>
      <c r="AY31" s="15"/>
      <c r="AZ31" s="15"/>
      <c r="BA31" s="15"/>
      <c r="BB31" s="15"/>
      <c r="BC31" s="15"/>
      <c r="BD31" s="15"/>
      <c r="BE31" s="15"/>
      <c r="BF31" s="15"/>
      <c r="BG31" s="15"/>
      <c r="BH31" s="15"/>
      <c r="BI31" s="15"/>
      <c r="BJ31" s="15"/>
      <c r="BK31" s="15"/>
      <c r="BL31" s="15"/>
      <c r="BM31" s="15"/>
      <c r="BN31" s="15"/>
      <c r="BO31" s="15"/>
      <c r="BP31" s="15"/>
      <c r="BQ31" s="15"/>
      <c r="BR31" s="15"/>
      <c r="BS31" s="15"/>
      <c r="BT31" s="15"/>
      <c r="BU31" s="15"/>
    </row>
    <row r="32" spans="2:73" ht="24.2" customHeight="1" x14ac:dyDescent="0.2">
      <c r="B32" s="155">
        <v>12</v>
      </c>
      <c r="C32" s="157" t="s">
        <v>29</v>
      </c>
      <c r="D32" s="19" t="e">
        <f>VLOOKUP($B32,#REF!,3,0)</f>
        <v>#REF!</v>
      </c>
      <c r="E32" s="19" t="e">
        <f>VLOOKUP($B32,#REF!,4,0)</f>
        <v>#REF!</v>
      </c>
      <c r="F32" s="19" t="e">
        <f>VLOOKUP($B32,#REF!,5,0)</f>
        <v>#REF!</v>
      </c>
      <c r="G32" s="19" t="e">
        <f>VLOOKUP($B32,#REF!,6,0)</f>
        <v>#REF!</v>
      </c>
      <c r="H32" s="19" t="e">
        <f>VLOOKUP($B32,#REF!,7,0)</f>
        <v>#REF!</v>
      </c>
      <c r="I32" s="19" t="e">
        <f>VLOOKUP($B32,#REF!,8,0)</f>
        <v>#REF!</v>
      </c>
      <c r="J32" s="159"/>
      <c r="K32" s="22" t="s">
        <v>12</v>
      </c>
      <c r="L32" s="35">
        <v>29</v>
      </c>
      <c r="M32" s="35">
        <v>24</v>
      </c>
      <c r="N32" s="35">
        <v>22</v>
      </c>
      <c r="O32" s="161"/>
      <c r="P32" s="13"/>
      <c r="Q32" s="13"/>
      <c r="R32" s="13"/>
      <c r="S32" s="13"/>
      <c r="T32" s="13"/>
    </row>
    <row r="33" spans="2:73" ht="24.2" customHeight="1" thickBot="1" x14ac:dyDescent="0.25">
      <c r="B33" s="156"/>
      <c r="C33" s="158"/>
      <c r="D33" s="20" t="e">
        <f>VLOOKUP($B33,#REF!,3,0)</f>
        <v>#REF!</v>
      </c>
      <c r="E33" s="20" t="e">
        <f>VLOOKUP($B33,#REF!,4,0)</f>
        <v>#REF!</v>
      </c>
      <c r="F33" s="20" t="e">
        <f>VLOOKUP($B33,#REF!,5,0)</f>
        <v>#REF!</v>
      </c>
      <c r="G33" s="20" t="e">
        <f>VLOOKUP($B33,#REF!,6,0)</f>
        <v>#REF!</v>
      </c>
      <c r="H33" s="20" t="e">
        <f>VLOOKUP($B33,#REF!,7,0)</f>
        <v>#REF!</v>
      </c>
      <c r="I33" s="20" t="e">
        <f>VLOOKUP($B33,#REF!,8,0)</f>
        <v>#REF!</v>
      </c>
      <c r="J33" s="160"/>
      <c r="K33" s="34" t="s">
        <v>13</v>
      </c>
      <c r="L33" s="36">
        <v>29</v>
      </c>
      <c r="M33" s="36">
        <v>28</v>
      </c>
      <c r="N33" s="36">
        <v>27</v>
      </c>
      <c r="O33" s="162"/>
      <c r="P33" s="13"/>
      <c r="Q33" s="13"/>
      <c r="R33" s="13"/>
      <c r="S33" s="13"/>
      <c r="T33" s="13"/>
      <c r="AF33" s="12"/>
      <c r="AG33" s="12"/>
      <c r="AH33" s="14"/>
      <c r="AI33" s="15"/>
      <c r="AJ33" s="15"/>
      <c r="AK33" s="15"/>
      <c r="AL33" s="15"/>
      <c r="AM33" s="15"/>
      <c r="AN33" s="15"/>
      <c r="AO33" s="15"/>
      <c r="AP33" s="15"/>
      <c r="AQ33" s="15"/>
      <c r="AR33" s="15"/>
      <c r="AS33" s="15"/>
      <c r="AT33" s="15"/>
      <c r="AU33" s="15"/>
      <c r="AV33" s="15"/>
      <c r="AW33" s="15"/>
      <c r="AX33" s="15"/>
      <c r="AY33" s="15"/>
      <c r="AZ33" s="15"/>
      <c r="BA33" s="15"/>
      <c r="BB33" s="15"/>
      <c r="BC33" s="15"/>
      <c r="BD33" s="15"/>
      <c r="BE33" s="15"/>
      <c r="BF33" s="15"/>
      <c r="BG33" s="15"/>
      <c r="BH33" s="15"/>
      <c r="BI33" s="15"/>
      <c r="BJ33" s="15"/>
      <c r="BK33" s="15"/>
      <c r="BL33" s="15"/>
      <c r="BM33" s="15"/>
      <c r="BN33" s="15"/>
      <c r="BO33" s="15"/>
      <c r="BP33" s="15"/>
      <c r="BQ33" s="15"/>
      <c r="BR33" s="15"/>
      <c r="BS33" s="15"/>
      <c r="BT33" s="15"/>
      <c r="BU33" s="15"/>
    </row>
    <row r="34" spans="2:73" ht="24.2" customHeight="1" x14ac:dyDescent="0.2">
      <c r="B34" s="155">
        <v>13</v>
      </c>
      <c r="C34" s="157" t="s">
        <v>28</v>
      </c>
      <c r="D34" s="19" t="e">
        <f>VLOOKUP($B34,#REF!,3,0)</f>
        <v>#REF!</v>
      </c>
      <c r="E34" s="19" t="e">
        <f>VLOOKUP($B34,#REF!,4,0)</f>
        <v>#REF!</v>
      </c>
      <c r="F34" s="19" t="e">
        <f>VLOOKUP($B34,#REF!,5,0)</f>
        <v>#REF!</v>
      </c>
      <c r="G34" s="19" t="e">
        <f>VLOOKUP($B34,#REF!,6,0)</f>
        <v>#REF!</v>
      </c>
      <c r="H34" s="19" t="e">
        <f>VLOOKUP($B34,#REF!,7,0)</f>
        <v>#REF!</v>
      </c>
      <c r="I34" s="19" t="e">
        <f>VLOOKUP($B34,#REF!,8,0)</f>
        <v>#REF!</v>
      </c>
      <c r="J34" s="159"/>
      <c r="K34" s="22" t="s">
        <v>12</v>
      </c>
      <c r="L34" s="35">
        <v>23</v>
      </c>
      <c r="M34" s="35">
        <v>25</v>
      </c>
      <c r="N34" s="35">
        <v>25</v>
      </c>
      <c r="O34" s="161"/>
      <c r="P34" s="13"/>
      <c r="Q34" s="13"/>
      <c r="R34" s="13"/>
      <c r="S34" s="13"/>
      <c r="T34" s="13"/>
    </row>
    <row r="35" spans="2:73" ht="24.2" customHeight="1" thickBot="1" x14ac:dyDescent="0.25">
      <c r="B35" s="156"/>
      <c r="C35" s="163"/>
      <c r="D35" s="20" t="e">
        <f>VLOOKUP($B35,#REF!,3,0)</f>
        <v>#REF!</v>
      </c>
      <c r="E35" s="20" t="e">
        <f>VLOOKUP($B35,#REF!,4,0)</f>
        <v>#REF!</v>
      </c>
      <c r="F35" s="20" t="e">
        <f>VLOOKUP($B35,#REF!,5,0)</f>
        <v>#REF!</v>
      </c>
      <c r="G35" s="20" t="e">
        <f>VLOOKUP($B35,#REF!,6,0)</f>
        <v>#REF!</v>
      </c>
      <c r="H35" s="20" t="e">
        <f>VLOOKUP($B35,#REF!,7,0)</f>
        <v>#REF!</v>
      </c>
      <c r="I35" s="20" t="e">
        <f>VLOOKUP($B35,#REF!,8,0)</f>
        <v>#REF!</v>
      </c>
      <c r="J35" s="160"/>
      <c r="K35" s="34" t="s">
        <v>13</v>
      </c>
      <c r="L35" s="36">
        <v>24</v>
      </c>
      <c r="M35" s="36">
        <v>27</v>
      </c>
      <c r="N35" s="36">
        <v>27</v>
      </c>
      <c r="O35" s="162"/>
      <c r="P35" s="13"/>
      <c r="Q35" s="13"/>
      <c r="R35" s="13"/>
      <c r="S35" s="13"/>
      <c r="T35" s="13"/>
      <c r="AF35" s="12"/>
      <c r="AG35" s="12"/>
      <c r="AH35" s="14"/>
      <c r="AI35" s="15"/>
      <c r="AJ35" s="15"/>
      <c r="AK35" s="15"/>
      <c r="AL35" s="15"/>
      <c r="AM35" s="15"/>
      <c r="AN35" s="15"/>
      <c r="AO35" s="15"/>
      <c r="AP35" s="15"/>
      <c r="AQ35" s="15"/>
      <c r="AR35" s="15"/>
      <c r="AS35" s="15"/>
      <c r="AT35" s="15"/>
      <c r="AU35" s="15"/>
      <c r="AV35" s="15"/>
      <c r="AW35" s="15"/>
      <c r="AX35" s="15"/>
      <c r="AY35" s="15"/>
      <c r="AZ35" s="15"/>
      <c r="BA35" s="15"/>
      <c r="BB35" s="15"/>
      <c r="BC35" s="15"/>
      <c r="BD35" s="15"/>
      <c r="BE35" s="15"/>
      <c r="BF35" s="15"/>
      <c r="BG35" s="15"/>
      <c r="BH35" s="15"/>
      <c r="BI35" s="15"/>
      <c r="BJ35" s="15"/>
      <c r="BK35" s="15"/>
      <c r="BL35" s="15"/>
      <c r="BM35" s="15"/>
      <c r="BN35" s="15"/>
      <c r="BO35" s="15"/>
      <c r="BP35" s="15"/>
      <c r="BQ35" s="15"/>
      <c r="BR35" s="15"/>
      <c r="BS35" s="15"/>
      <c r="BT35" s="15"/>
      <c r="BU35" s="15"/>
    </row>
    <row r="36" spans="2:73" ht="24.2" customHeight="1" x14ac:dyDescent="0.2">
      <c r="B36" s="155">
        <v>14</v>
      </c>
      <c r="C36" s="157" t="s">
        <v>29</v>
      </c>
      <c r="D36" s="19" t="e">
        <f>VLOOKUP($B36,#REF!,3,0)</f>
        <v>#REF!</v>
      </c>
      <c r="E36" s="19" t="e">
        <f>VLOOKUP($B36,#REF!,4,0)</f>
        <v>#REF!</v>
      </c>
      <c r="F36" s="19" t="e">
        <f>VLOOKUP($B36,#REF!,5,0)</f>
        <v>#REF!</v>
      </c>
      <c r="G36" s="19" t="e">
        <f>VLOOKUP($B36,#REF!,6,0)</f>
        <v>#REF!</v>
      </c>
      <c r="H36" s="19" t="e">
        <f>VLOOKUP($B36,#REF!,7,0)</f>
        <v>#REF!</v>
      </c>
      <c r="I36" s="19" t="e">
        <f>VLOOKUP($B36,#REF!,8,0)</f>
        <v>#REF!</v>
      </c>
      <c r="J36" s="159"/>
      <c r="K36" s="22" t="s">
        <v>12</v>
      </c>
      <c r="L36" s="35">
        <v>27</v>
      </c>
      <c r="M36" s="35">
        <v>26</v>
      </c>
      <c r="N36" s="35">
        <v>27</v>
      </c>
      <c r="O36" s="161"/>
      <c r="P36" s="13"/>
      <c r="Q36" s="13"/>
      <c r="R36" s="13"/>
      <c r="S36" s="13"/>
      <c r="T36" s="13"/>
    </row>
    <row r="37" spans="2:73" ht="24.2" customHeight="1" thickBot="1" x14ac:dyDescent="0.25">
      <c r="B37" s="156"/>
      <c r="C37" s="158"/>
      <c r="D37" s="20" t="e">
        <f>VLOOKUP($B37,#REF!,3,0)</f>
        <v>#REF!</v>
      </c>
      <c r="E37" s="20" t="e">
        <f>VLOOKUP($B37,#REF!,4,0)</f>
        <v>#REF!</v>
      </c>
      <c r="F37" s="20" t="e">
        <f>VLOOKUP($B37,#REF!,5,0)</f>
        <v>#REF!</v>
      </c>
      <c r="G37" s="20" t="e">
        <f>VLOOKUP($B37,#REF!,6,0)</f>
        <v>#REF!</v>
      </c>
      <c r="H37" s="20" t="e">
        <f>VLOOKUP($B37,#REF!,7,0)</f>
        <v>#REF!</v>
      </c>
      <c r="I37" s="20" t="e">
        <f>VLOOKUP($B37,#REF!,8,0)</f>
        <v>#REF!</v>
      </c>
      <c r="J37" s="160"/>
      <c r="K37" s="34" t="s">
        <v>13</v>
      </c>
      <c r="L37" s="36">
        <v>28</v>
      </c>
      <c r="M37" s="36">
        <v>28</v>
      </c>
      <c r="N37" s="36">
        <v>28</v>
      </c>
      <c r="O37" s="162"/>
      <c r="P37" s="13"/>
      <c r="Q37" s="13"/>
      <c r="R37" s="13"/>
      <c r="S37" s="13"/>
      <c r="T37" s="13"/>
      <c r="AF37" s="12"/>
      <c r="AG37" s="12"/>
      <c r="AH37" s="14"/>
      <c r="AI37" s="15"/>
      <c r="AJ37" s="15"/>
      <c r="AK37" s="15"/>
      <c r="AL37" s="15"/>
      <c r="AM37" s="15"/>
      <c r="AN37" s="15"/>
      <c r="AO37" s="15"/>
      <c r="AP37" s="15"/>
      <c r="AQ37" s="15"/>
      <c r="AR37" s="15"/>
      <c r="AS37" s="15"/>
      <c r="AT37" s="15"/>
      <c r="AU37" s="15"/>
      <c r="AV37" s="15"/>
      <c r="AW37" s="15"/>
      <c r="AX37" s="15"/>
      <c r="AY37" s="15"/>
      <c r="AZ37" s="15"/>
      <c r="BA37" s="15"/>
      <c r="BB37" s="15"/>
      <c r="BC37" s="15"/>
      <c r="BD37" s="15"/>
      <c r="BE37" s="15"/>
      <c r="BF37" s="15"/>
      <c r="BG37" s="15"/>
      <c r="BH37" s="15"/>
      <c r="BI37" s="15"/>
      <c r="BJ37" s="15"/>
      <c r="BK37" s="15"/>
      <c r="BL37" s="15"/>
      <c r="BM37" s="15"/>
      <c r="BN37" s="15"/>
      <c r="BO37" s="15"/>
      <c r="BP37" s="15"/>
      <c r="BQ37" s="15"/>
      <c r="BR37" s="15"/>
      <c r="BS37" s="15"/>
      <c r="BT37" s="15"/>
      <c r="BU37" s="15"/>
    </row>
    <row r="38" spans="2:73" ht="24.2" customHeight="1" x14ac:dyDescent="0.2">
      <c r="B38" s="155">
        <v>15</v>
      </c>
      <c r="C38" s="157" t="s">
        <v>28</v>
      </c>
      <c r="D38" s="19" t="e">
        <f>VLOOKUP($B38,#REF!,3,0)</f>
        <v>#REF!</v>
      </c>
      <c r="E38" s="19" t="e">
        <f>VLOOKUP($B38,#REF!,4,0)</f>
        <v>#REF!</v>
      </c>
      <c r="F38" s="19" t="e">
        <f>VLOOKUP($B38,#REF!,5,0)</f>
        <v>#REF!</v>
      </c>
      <c r="G38" s="19" t="e">
        <f>VLOOKUP($B38,#REF!,6,0)</f>
        <v>#REF!</v>
      </c>
      <c r="H38" s="19" t="e">
        <f>VLOOKUP($B38,#REF!,7,0)</f>
        <v>#REF!</v>
      </c>
      <c r="I38" s="19" t="e">
        <f>VLOOKUP($B38,#REF!,8,0)</f>
        <v>#REF!</v>
      </c>
      <c r="J38" s="159"/>
      <c r="K38" s="22" t="s">
        <v>12</v>
      </c>
      <c r="L38" s="44">
        <v>27</v>
      </c>
      <c r="M38" s="35">
        <v>26</v>
      </c>
      <c r="N38" s="35">
        <v>23</v>
      </c>
      <c r="O38" s="161"/>
      <c r="P38" s="13"/>
      <c r="Q38" s="13"/>
      <c r="R38" s="13"/>
      <c r="S38" s="13"/>
      <c r="T38" s="13"/>
    </row>
    <row r="39" spans="2:73" ht="24.2" customHeight="1" thickBot="1" x14ac:dyDescent="0.25">
      <c r="B39" s="156"/>
      <c r="C39" s="163"/>
      <c r="D39" s="20" t="e">
        <f>VLOOKUP($B39,#REF!,3,0)</f>
        <v>#REF!</v>
      </c>
      <c r="E39" s="20" t="e">
        <f>VLOOKUP($B39,#REF!,4,0)</f>
        <v>#REF!</v>
      </c>
      <c r="F39" s="20" t="e">
        <f>VLOOKUP($B39,#REF!,5,0)</f>
        <v>#REF!</v>
      </c>
      <c r="G39" s="20" t="e">
        <f>VLOOKUP($B39,#REF!,6,0)</f>
        <v>#REF!</v>
      </c>
      <c r="H39" s="20" t="e">
        <f>VLOOKUP($B39,#REF!,7,0)</f>
        <v>#REF!</v>
      </c>
      <c r="I39" s="20" t="e">
        <f>VLOOKUP($B39,#REF!,8,0)</f>
        <v>#REF!</v>
      </c>
      <c r="J39" s="160"/>
      <c r="K39" s="34" t="s">
        <v>13</v>
      </c>
      <c r="L39" s="36">
        <v>31</v>
      </c>
      <c r="M39" s="36">
        <v>28</v>
      </c>
      <c r="N39" s="36">
        <v>29</v>
      </c>
      <c r="O39" s="162"/>
      <c r="P39" s="13"/>
      <c r="Q39" s="13"/>
      <c r="R39" s="13"/>
      <c r="S39" s="13"/>
      <c r="T39" s="13"/>
      <c r="AF39" s="12"/>
      <c r="AG39" s="12"/>
      <c r="AH39" s="14"/>
      <c r="AI39" s="15"/>
      <c r="AJ39" s="15"/>
      <c r="AK39" s="15"/>
      <c r="AL39" s="15"/>
      <c r="AM39" s="15"/>
      <c r="AN39" s="15"/>
      <c r="AO39" s="15"/>
      <c r="AP39" s="15"/>
      <c r="AQ39" s="15"/>
      <c r="AR39" s="15"/>
      <c r="AS39" s="15"/>
      <c r="AT39" s="15"/>
      <c r="AU39" s="15"/>
      <c r="AV39" s="15"/>
      <c r="AW39" s="15"/>
      <c r="AX39" s="15"/>
      <c r="AY39" s="15"/>
      <c r="AZ39" s="15"/>
      <c r="BA39" s="15"/>
      <c r="BB39" s="15"/>
      <c r="BC39" s="15"/>
      <c r="BD39" s="15"/>
      <c r="BE39" s="15"/>
      <c r="BF39" s="15"/>
      <c r="BG39" s="15"/>
      <c r="BH39" s="15"/>
      <c r="BI39" s="15"/>
      <c r="BJ39" s="15"/>
      <c r="BK39" s="15"/>
      <c r="BL39" s="15"/>
      <c r="BM39" s="15"/>
      <c r="BN39" s="15"/>
      <c r="BO39" s="15"/>
      <c r="BP39" s="15"/>
      <c r="BQ39" s="15"/>
      <c r="BR39" s="15"/>
      <c r="BS39" s="15"/>
      <c r="BT39" s="15"/>
      <c r="BU39" s="15"/>
    </row>
    <row r="40" spans="2:73" ht="24.2" customHeight="1" x14ac:dyDescent="0.2">
      <c r="B40" s="155">
        <v>16</v>
      </c>
      <c r="C40" s="157" t="s">
        <v>29</v>
      </c>
      <c r="D40" s="19" t="e">
        <f>VLOOKUP($B40,#REF!,3,0)</f>
        <v>#REF!</v>
      </c>
      <c r="E40" s="19" t="e">
        <f>VLOOKUP($B40,#REF!,4,0)</f>
        <v>#REF!</v>
      </c>
      <c r="F40" s="19" t="e">
        <f>VLOOKUP($B40,#REF!,5,0)</f>
        <v>#REF!</v>
      </c>
      <c r="G40" s="19" t="e">
        <f>VLOOKUP($B40,#REF!,6,0)</f>
        <v>#REF!</v>
      </c>
      <c r="H40" s="19" t="e">
        <f>VLOOKUP($B40,#REF!,7,0)</f>
        <v>#REF!</v>
      </c>
      <c r="I40" s="19" t="e">
        <f>VLOOKUP($B40,#REF!,8,0)</f>
        <v>#REF!</v>
      </c>
      <c r="J40" s="159"/>
      <c r="K40" s="22" t="s">
        <v>12</v>
      </c>
      <c r="L40" s="44">
        <v>30</v>
      </c>
      <c r="M40" s="44">
        <v>24</v>
      </c>
      <c r="N40" s="35">
        <v>28</v>
      </c>
      <c r="O40" s="161"/>
      <c r="P40" s="13"/>
      <c r="Q40" s="13"/>
      <c r="R40" s="13"/>
      <c r="S40" s="13"/>
      <c r="T40" s="13"/>
    </row>
    <row r="41" spans="2:73" ht="24.2" customHeight="1" thickBot="1" x14ac:dyDescent="0.25">
      <c r="B41" s="156"/>
      <c r="C41" s="158"/>
      <c r="D41" s="20" t="e">
        <f>VLOOKUP($B41,#REF!,3,0)</f>
        <v>#REF!</v>
      </c>
      <c r="E41" s="20" t="e">
        <f>VLOOKUP($B41,#REF!,4,0)</f>
        <v>#REF!</v>
      </c>
      <c r="F41" s="20" t="e">
        <f>VLOOKUP($B41,#REF!,5,0)</f>
        <v>#REF!</v>
      </c>
      <c r="G41" s="20" t="e">
        <f>VLOOKUP($B41,#REF!,6,0)</f>
        <v>#REF!</v>
      </c>
      <c r="H41" s="20" t="e">
        <f>VLOOKUP($B41,#REF!,7,0)</f>
        <v>#REF!</v>
      </c>
      <c r="I41" s="20" t="e">
        <f>VLOOKUP($B41,#REF!,8,0)</f>
        <v>#REF!</v>
      </c>
      <c r="J41" s="160"/>
      <c r="K41" s="34" t="s">
        <v>13</v>
      </c>
      <c r="L41" s="36">
        <v>30</v>
      </c>
      <c r="M41" s="36">
        <v>28</v>
      </c>
      <c r="N41" s="36">
        <v>29</v>
      </c>
      <c r="O41" s="162"/>
      <c r="P41" s="13"/>
      <c r="Q41" s="13"/>
      <c r="R41" s="13"/>
      <c r="S41" s="13"/>
      <c r="T41" s="13"/>
      <c r="AF41" s="12"/>
      <c r="AG41" s="12"/>
      <c r="AH41" s="14"/>
      <c r="AI41" s="15"/>
      <c r="AJ41" s="15"/>
      <c r="AK41" s="15"/>
      <c r="AL41" s="15"/>
      <c r="AM41" s="15"/>
      <c r="AN41" s="15"/>
      <c r="AO41" s="15"/>
      <c r="AP41" s="15"/>
      <c r="AQ41" s="15"/>
      <c r="AR41" s="15"/>
      <c r="AS41" s="15"/>
      <c r="AT41" s="15"/>
      <c r="AU41" s="15"/>
      <c r="AV41" s="15"/>
      <c r="AW41" s="15"/>
      <c r="AX41" s="15"/>
      <c r="AY41" s="15"/>
      <c r="AZ41" s="15"/>
      <c r="BA41" s="15"/>
      <c r="BB41" s="15"/>
      <c r="BC41" s="15"/>
      <c r="BD41" s="15"/>
      <c r="BE41" s="15"/>
      <c r="BF41" s="15"/>
      <c r="BG41" s="15"/>
      <c r="BH41" s="15"/>
      <c r="BI41" s="15"/>
      <c r="BJ41" s="15"/>
      <c r="BK41" s="15"/>
      <c r="BL41" s="15"/>
      <c r="BM41" s="15"/>
      <c r="BN41" s="15"/>
      <c r="BO41" s="15"/>
      <c r="BP41" s="15"/>
      <c r="BQ41" s="15"/>
      <c r="BR41" s="15"/>
      <c r="BS41" s="15"/>
      <c r="BT41" s="15"/>
      <c r="BU41" s="15"/>
    </row>
    <row r="42" spans="2:73" ht="24" customHeight="1" x14ac:dyDescent="0.2">
      <c r="B42" s="155">
        <v>17</v>
      </c>
      <c r="C42" s="157" t="s">
        <v>28</v>
      </c>
      <c r="D42" s="19" t="e">
        <f>VLOOKUP($B42,#REF!,3,0)</f>
        <v>#REF!</v>
      </c>
      <c r="E42" s="19" t="e">
        <f>VLOOKUP($B42,#REF!,4,0)</f>
        <v>#REF!</v>
      </c>
      <c r="F42" s="19" t="e">
        <f>VLOOKUP($B42,#REF!,5,0)</f>
        <v>#REF!</v>
      </c>
      <c r="G42" s="19" t="e">
        <f>VLOOKUP($B42,#REF!,6,0)</f>
        <v>#REF!</v>
      </c>
      <c r="H42" s="19" t="e">
        <f>VLOOKUP($B42,#REF!,7,0)</f>
        <v>#REF!</v>
      </c>
      <c r="I42" s="19" t="e">
        <f>VLOOKUP($B42,#REF!,8,0)</f>
        <v>#REF!</v>
      </c>
      <c r="J42" s="159">
        <v>1305</v>
      </c>
      <c r="K42" s="22" t="s">
        <v>12</v>
      </c>
      <c r="L42" s="44">
        <v>26</v>
      </c>
      <c r="M42" s="44">
        <v>24</v>
      </c>
      <c r="N42" s="35">
        <v>25</v>
      </c>
      <c r="O42" s="161"/>
    </row>
    <row r="43" spans="2:73" ht="24" customHeight="1" thickBot="1" x14ac:dyDescent="0.25">
      <c r="B43" s="156"/>
      <c r="C43" s="163"/>
      <c r="D43" s="20"/>
      <c r="E43" s="20"/>
      <c r="F43" s="20"/>
      <c r="G43" s="20"/>
      <c r="H43" s="20"/>
      <c r="I43" s="20"/>
      <c r="J43" s="160"/>
      <c r="K43" s="34" t="s">
        <v>13</v>
      </c>
      <c r="L43" s="36">
        <v>27</v>
      </c>
      <c r="M43" s="36">
        <v>27</v>
      </c>
      <c r="N43" s="36">
        <v>28</v>
      </c>
      <c r="O43" s="162"/>
    </row>
    <row r="44" spans="2:73" x14ac:dyDescent="0.2">
      <c r="L44" s="49"/>
    </row>
  </sheetData>
  <mergeCells count="70">
    <mergeCell ref="B40:B41"/>
    <mergeCell ref="C40:C41"/>
    <mergeCell ref="J40:J41"/>
    <mergeCell ref="O40:O41"/>
    <mergeCell ref="B42:B43"/>
    <mergeCell ref="C42:C43"/>
    <mergeCell ref="J42:J43"/>
    <mergeCell ref="O42:O43"/>
    <mergeCell ref="B36:B37"/>
    <mergeCell ref="C36:C37"/>
    <mergeCell ref="J36:J37"/>
    <mergeCell ref="O36:O37"/>
    <mergeCell ref="B38:B39"/>
    <mergeCell ref="C38:C39"/>
    <mergeCell ref="J38:J39"/>
    <mergeCell ref="O38:O39"/>
    <mergeCell ref="B32:B33"/>
    <mergeCell ref="C32:C33"/>
    <mergeCell ref="J32:J33"/>
    <mergeCell ref="O32:O33"/>
    <mergeCell ref="B34:B35"/>
    <mergeCell ref="C34:C35"/>
    <mergeCell ref="J34:J35"/>
    <mergeCell ref="O34:O35"/>
    <mergeCell ref="B28:B29"/>
    <mergeCell ref="C28:C29"/>
    <mergeCell ref="J28:J29"/>
    <mergeCell ref="O28:O29"/>
    <mergeCell ref="B30:B31"/>
    <mergeCell ref="C30:C31"/>
    <mergeCell ref="J30:J31"/>
    <mergeCell ref="O30:O31"/>
    <mergeCell ref="B24:B25"/>
    <mergeCell ref="C24:C25"/>
    <mergeCell ref="J24:J25"/>
    <mergeCell ref="O24:O25"/>
    <mergeCell ref="B26:B27"/>
    <mergeCell ref="C26:C27"/>
    <mergeCell ref="J26:J27"/>
    <mergeCell ref="O26:O27"/>
    <mergeCell ref="B20:B21"/>
    <mergeCell ref="C20:C21"/>
    <mergeCell ref="J20:J21"/>
    <mergeCell ref="O20:O21"/>
    <mergeCell ref="B22:B23"/>
    <mergeCell ref="C22:C23"/>
    <mergeCell ref="J22:J23"/>
    <mergeCell ref="O22:O23"/>
    <mergeCell ref="B18:B19"/>
    <mergeCell ref="C18:C19"/>
    <mergeCell ref="J18:J19"/>
    <mergeCell ref="O18:O19"/>
    <mergeCell ref="B12:B13"/>
    <mergeCell ref="C12:C13"/>
    <mergeCell ref="J12:J13"/>
    <mergeCell ref="B14:B15"/>
    <mergeCell ref="C14:C15"/>
    <mergeCell ref="J14:J15"/>
    <mergeCell ref="O14:O15"/>
    <mergeCell ref="B16:B17"/>
    <mergeCell ref="C16:C17"/>
    <mergeCell ref="J16:J17"/>
    <mergeCell ref="O16:O17"/>
    <mergeCell ref="AF5:AH5"/>
    <mergeCell ref="L6:N6"/>
    <mergeCell ref="O7:O8"/>
    <mergeCell ref="B8:K8"/>
    <mergeCell ref="B10:B11"/>
    <mergeCell ref="C10:C11"/>
    <mergeCell ref="J10:J11"/>
  </mergeCells>
  <pageMargins left="0.45" right="0" top="0.49" bottom="0" header="0.64" footer="0"/>
  <pageSetup paperSize="512" scale="72" orientation="portrait" r:id="rId1"/>
  <headerFooter alignWithMargins="0"/>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BU43"/>
  <sheetViews>
    <sheetView zoomScale="90" zoomScaleNormal="90" workbookViewId="0"/>
  </sheetViews>
  <sheetFormatPr defaultRowHeight="12.75" x14ac:dyDescent="0.2"/>
  <cols>
    <col min="1" max="1" width="5.42578125" customWidth="1"/>
    <col min="2" max="2" width="6.28515625" customWidth="1"/>
    <col min="3" max="3" width="12.7109375" customWidth="1"/>
    <col min="4" max="8" width="5.28515625" hidden="1" customWidth="1"/>
    <col min="9" max="9" width="7" hidden="1" customWidth="1"/>
    <col min="10" max="10" width="8.42578125" customWidth="1"/>
    <col min="11" max="14" width="12.7109375" customWidth="1"/>
    <col min="15" max="15" width="48.7109375" customWidth="1"/>
    <col min="22" max="22" width="7.5703125" customWidth="1"/>
    <col min="23" max="32" width="7.7109375" customWidth="1"/>
  </cols>
  <sheetData>
    <row r="1" spans="1:73" ht="15" customHeight="1" x14ac:dyDescent="0.25">
      <c r="A1" s="1" t="s">
        <v>33</v>
      </c>
    </row>
    <row r="2" spans="1:73" ht="20.25" customHeight="1" thickBot="1" x14ac:dyDescent="0.3">
      <c r="A2" s="1"/>
      <c r="M2" s="15" t="s">
        <v>0</v>
      </c>
      <c r="N2" s="23">
        <v>40702</v>
      </c>
      <c r="O2" s="29"/>
    </row>
    <row r="3" spans="1:73" ht="20.25" customHeight="1" thickBot="1" x14ac:dyDescent="0.25">
      <c r="A3" t="s">
        <v>1</v>
      </c>
      <c r="C3" s="38" t="s">
        <v>44</v>
      </c>
      <c r="D3" s="3"/>
      <c r="E3" s="3"/>
      <c r="F3" s="3"/>
      <c r="G3" s="3"/>
      <c r="H3" s="3"/>
      <c r="I3" s="3"/>
      <c r="J3" s="3"/>
      <c r="K3" s="3"/>
      <c r="L3" s="3"/>
      <c r="M3" s="15" t="s">
        <v>23</v>
      </c>
      <c r="N3" s="2">
        <v>159</v>
      </c>
      <c r="O3" s="30"/>
    </row>
    <row r="4" spans="1:73" ht="20.25" customHeight="1" thickBot="1" x14ac:dyDescent="0.25">
      <c r="B4" s="3"/>
      <c r="C4" s="38"/>
      <c r="D4" s="4"/>
      <c r="E4" s="4"/>
      <c r="F4" s="4"/>
      <c r="G4" s="4"/>
      <c r="H4" s="4"/>
      <c r="I4" s="4"/>
      <c r="J4" s="4"/>
      <c r="K4" s="4"/>
      <c r="L4" s="4"/>
      <c r="M4" s="15" t="s">
        <v>2</v>
      </c>
      <c r="N4" s="2" t="s">
        <v>26</v>
      </c>
      <c r="O4" s="30"/>
    </row>
    <row r="5" spans="1:73" ht="18" x14ac:dyDescent="0.2">
      <c r="AE5" s="5"/>
      <c r="AF5" s="165"/>
      <c r="AG5" s="165"/>
      <c r="AH5" s="165"/>
    </row>
    <row r="6" spans="1:73" ht="18" x14ac:dyDescent="0.25">
      <c r="L6" s="174"/>
      <c r="M6" s="167"/>
      <c r="N6" s="168"/>
      <c r="O6" s="31"/>
      <c r="AE6" s="5"/>
      <c r="AF6" s="24"/>
      <c r="AG6" s="24"/>
      <c r="AH6" s="24"/>
    </row>
    <row r="7" spans="1:73" ht="25.5" customHeight="1" x14ac:dyDescent="0.2">
      <c r="B7" s="6" t="s">
        <v>3</v>
      </c>
      <c r="C7" s="7"/>
      <c r="D7" s="7" t="s">
        <v>4</v>
      </c>
      <c r="E7" s="6" t="s">
        <v>5</v>
      </c>
      <c r="F7" s="7" t="s">
        <v>6</v>
      </c>
      <c r="G7" s="6" t="s">
        <v>7</v>
      </c>
      <c r="H7" s="6" t="s">
        <v>8</v>
      </c>
      <c r="I7" s="6" t="s">
        <v>9</v>
      </c>
      <c r="J7" s="6" t="s">
        <v>11</v>
      </c>
      <c r="K7" s="8" t="s">
        <v>24</v>
      </c>
      <c r="L7" s="22" t="s">
        <v>30</v>
      </c>
      <c r="M7" s="22" t="s">
        <v>31</v>
      </c>
      <c r="N7" s="22" t="s">
        <v>32</v>
      </c>
      <c r="O7" s="169" t="s">
        <v>25</v>
      </c>
      <c r="AE7" s="10"/>
      <c r="AF7" s="9"/>
      <c r="AG7" s="9"/>
      <c r="AH7" s="11"/>
    </row>
    <row r="8" spans="1:73" ht="15.95" customHeight="1" thickBot="1" x14ac:dyDescent="0.25">
      <c r="B8" s="170"/>
      <c r="C8" s="171"/>
      <c r="D8" s="171"/>
      <c r="E8" s="171"/>
      <c r="F8" s="171"/>
      <c r="G8" s="171"/>
      <c r="H8" s="171"/>
      <c r="I8" s="171"/>
      <c r="J8" s="171"/>
      <c r="K8" s="172"/>
      <c r="L8" s="39" t="s">
        <v>27</v>
      </c>
      <c r="M8" s="39"/>
      <c r="N8" s="39"/>
      <c r="O8" s="163"/>
      <c r="AF8" s="12"/>
      <c r="AG8" s="12"/>
      <c r="AH8" s="12"/>
    </row>
    <row r="9" spans="1:73" ht="15.95" hidden="1" customHeight="1" x14ac:dyDescent="0.2">
      <c r="B9" s="25" t="s">
        <v>3</v>
      </c>
      <c r="C9" s="26" t="s">
        <v>10</v>
      </c>
      <c r="D9" s="26" t="s">
        <v>14</v>
      </c>
      <c r="E9" s="25" t="s">
        <v>15</v>
      </c>
      <c r="F9" s="26" t="s">
        <v>16</v>
      </c>
      <c r="G9" s="25" t="s">
        <v>17</v>
      </c>
      <c r="H9" s="25" t="s">
        <v>8</v>
      </c>
      <c r="I9" s="25" t="s">
        <v>18</v>
      </c>
      <c r="J9" s="27" t="s">
        <v>11</v>
      </c>
      <c r="K9" s="27" t="s">
        <v>19</v>
      </c>
      <c r="L9" s="28" t="s">
        <v>20</v>
      </c>
      <c r="M9" s="28" t="s">
        <v>21</v>
      </c>
      <c r="N9" s="28" t="s">
        <v>22</v>
      </c>
      <c r="O9" s="32"/>
      <c r="AF9" s="12"/>
      <c r="AG9" s="12"/>
      <c r="AH9" s="12"/>
    </row>
    <row r="10" spans="1:73" ht="24.2" customHeight="1" x14ac:dyDescent="0.2">
      <c r="B10" s="164">
        <v>1</v>
      </c>
      <c r="C10" s="157" t="s">
        <v>28</v>
      </c>
      <c r="D10" s="19" t="e">
        <f>VLOOKUP($B10,#REF!,3,0)</f>
        <v>#REF!</v>
      </c>
      <c r="E10" s="19" t="e">
        <f>VLOOKUP($B10,#REF!,4,0)</f>
        <v>#REF!</v>
      </c>
      <c r="F10" s="19" t="e">
        <f>VLOOKUP($B10,#REF!,5,0)</f>
        <v>#REF!</v>
      </c>
      <c r="G10" s="19" t="e">
        <f>VLOOKUP($B10,#REF!,6,0)</f>
        <v>#REF!</v>
      </c>
      <c r="H10" s="19" t="e">
        <f>VLOOKUP($B10,#REF!,7,0)</f>
        <v>#REF!</v>
      </c>
      <c r="I10" s="19" t="e">
        <f>VLOOKUP($B10,#REF!,8,0)</f>
        <v>#REF!</v>
      </c>
      <c r="J10" s="173">
        <v>1235</v>
      </c>
      <c r="K10" s="22" t="s">
        <v>12</v>
      </c>
      <c r="L10" s="35">
        <v>34</v>
      </c>
      <c r="M10" s="35">
        <v>34</v>
      </c>
      <c r="N10" s="44">
        <v>32</v>
      </c>
      <c r="O10" s="40"/>
      <c r="P10" s="13"/>
      <c r="Q10" s="13"/>
      <c r="R10" s="13"/>
      <c r="S10" s="13"/>
      <c r="T10" s="13"/>
      <c r="AF10" s="12"/>
      <c r="AG10" s="12"/>
      <c r="AH10" s="14"/>
      <c r="AI10" s="15"/>
      <c r="AJ10" s="15"/>
      <c r="AK10" s="15"/>
      <c r="AL10" s="15"/>
      <c r="AM10" s="15"/>
      <c r="AN10" s="15"/>
      <c r="AO10" s="15"/>
      <c r="AP10" s="15"/>
      <c r="AQ10" s="15"/>
      <c r="AR10" s="15"/>
      <c r="AS10" s="15"/>
      <c r="AT10" s="15"/>
      <c r="AU10" s="15"/>
      <c r="AV10" s="15"/>
      <c r="AW10" s="15"/>
      <c r="AX10" s="15"/>
      <c r="AY10" s="15"/>
      <c r="AZ10" s="15"/>
      <c r="BA10" s="15"/>
      <c r="BB10" s="15"/>
      <c r="BC10" s="15"/>
      <c r="BD10" s="15"/>
      <c r="BE10" s="15"/>
      <c r="BF10" s="15"/>
      <c r="BG10" s="15"/>
      <c r="BH10" s="15"/>
      <c r="BI10" s="15"/>
      <c r="BJ10" s="15"/>
      <c r="BK10" s="15"/>
      <c r="BL10" s="15"/>
      <c r="BM10" s="15"/>
      <c r="BN10" s="15"/>
      <c r="BO10" s="15"/>
      <c r="BP10" s="15"/>
      <c r="BQ10" s="15"/>
      <c r="BR10" s="15"/>
      <c r="BS10" s="15"/>
      <c r="BT10" s="15"/>
      <c r="BU10" s="15"/>
    </row>
    <row r="11" spans="1:73" ht="24.2" customHeight="1" thickBot="1" x14ac:dyDescent="0.25">
      <c r="B11" s="156"/>
      <c r="C11" s="163"/>
      <c r="D11" s="20" t="e">
        <f>VLOOKUP($B11,#REF!,3,0)</f>
        <v>#REF!</v>
      </c>
      <c r="E11" s="20" t="e">
        <f>VLOOKUP($B11,#REF!,4,0)</f>
        <v>#REF!</v>
      </c>
      <c r="F11" s="20" t="e">
        <f>VLOOKUP($B11,#REF!,5,0)</f>
        <v>#REF!</v>
      </c>
      <c r="G11" s="20" t="e">
        <f>VLOOKUP($B11,#REF!,6,0)</f>
        <v>#REF!</v>
      </c>
      <c r="H11" s="20" t="e">
        <f>VLOOKUP($B11,#REF!,7,0)</f>
        <v>#REF!</v>
      </c>
      <c r="I11" s="20" t="e">
        <f>VLOOKUP($B11,#REF!,8,0)</f>
        <v>#REF!</v>
      </c>
      <c r="J11" s="160"/>
      <c r="K11" s="34" t="s">
        <v>13</v>
      </c>
      <c r="L11" s="36">
        <v>42</v>
      </c>
      <c r="M11" s="36">
        <v>35</v>
      </c>
      <c r="N11" s="36">
        <v>38</v>
      </c>
      <c r="O11" s="41"/>
      <c r="P11" s="13"/>
      <c r="Q11" s="13"/>
      <c r="R11" s="13"/>
      <c r="S11" s="13"/>
      <c r="T11" s="13"/>
      <c r="AF11" s="12"/>
      <c r="AG11" s="12"/>
      <c r="AH11" s="14"/>
      <c r="AI11" s="15"/>
      <c r="AJ11" s="15"/>
      <c r="AK11" s="15"/>
      <c r="AL11" s="15"/>
      <c r="AM11" s="15"/>
      <c r="AN11" s="15"/>
      <c r="AO11" s="15"/>
      <c r="AP11" s="15"/>
      <c r="AQ11" s="15"/>
      <c r="AR11" s="15"/>
      <c r="AS11" s="15"/>
      <c r="AT11" s="15"/>
      <c r="AU11" s="15"/>
      <c r="AV11" s="15"/>
      <c r="AW11" s="15"/>
      <c r="AX11" s="15"/>
      <c r="AY11" s="15"/>
      <c r="AZ11" s="15"/>
      <c r="BA11" s="15"/>
      <c r="BB11" s="15"/>
      <c r="BC11" s="15"/>
      <c r="BD11" s="15"/>
      <c r="BE11" s="15"/>
      <c r="BF11" s="15"/>
      <c r="BG11" s="15"/>
      <c r="BH11" s="15"/>
      <c r="BI11" s="15"/>
      <c r="BJ11" s="15"/>
      <c r="BK11" s="15"/>
      <c r="BL11" s="15"/>
      <c r="BM11" s="15"/>
      <c r="BN11" s="15"/>
      <c r="BO11" s="15"/>
      <c r="BP11" s="15"/>
      <c r="BQ11" s="15"/>
      <c r="BR11" s="15"/>
      <c r="BS11" s="15"/>
      <c r="BT11" s="15"/>
      <c r="BU11" s="15"/>
    </row>
    <row r="12" spans="1:73" ht="24.2" customHeight="1" x14ac:dyDescent="0.2">
      <c r="B12" s="164">
        <v>2</v>
      </c>
      <c r="C12" s="157" t="s">
        <v>29</v>
      </c>
      <c r="D12" s="21" t="e">
        <f>VLOOKUP($B12,#REF!,3,0)</f>
        <v>#REF!</v>
      </c>
      <c r="E12" s="21" t="e">
        <f>VLOOKUP($B12,#REF!,4,0)</f>
        <v>#REF!</v>
      </c>
      <c r="F12" s="21" t="e">
        <f>VLOOKUP($B12,#REF!,5,0)</f>
        <v>#REF!</v>
      </c>
      <c r="G12" s="21" t="e">
        <f>VLOOKUP($B12,#REF!,6,0)</f>
        <v>#REF!</v>
      </c>
      <c r="H12" s="21" t="e">
        <f>VLOOKUP($B12,#REF!,7,0)</f>
        <v>#REF!</v>
      </c>
      <c r="I12" s="21" t="e">
        <f>VLOOKUP($B12,#REF!,8,0)</f>
        <v>#REF!</v>
      </c>
      <c r="J12" s="159"/>
      <c r="K12" s="33" t="s">
        <v>12</v>
      </c>
      <c r="L12" s="35">
        <v>38</v>
      </c>
      <c r="M12" s="35">
        <v>36</v>
      </c>
      <c r="N12" s="35">
        <v>35</v>
      </c>
      <c r="O12" s="42"/>
      <c r="P12" s="13"/>
      <c r="Q12" s="16"/>
      <c r="R12" s="13"/>
      <c r="S12" s="17"/>
      <c r="T12" s="13"/>
      <c r="AF12" s="12"/>
      <c r="AG12" s="12"/>
      <c r="AH12" s="12"/>
      <c r="AI12" s="18"/>
      <c r="AJ12" s="18"/>
      <c r="AK12" s="18"/>
      <c r="AL12" s="18"/>
      <c r="AM12" s="18"/>
      <c r="AN12" s="18"/>
      <c r="AO12" s="18"/>
      <c r="AP12" s="18"/>
      <c r="AQ12" s="18"/>
      <c r="AR12" s="18"/>
      <c r="AS12" s="18"/>
      <c r="AT12" s="18"/>
      <c r="AU12" s="18"/>
      <c r="AV12" s="18"/>
      <c r="AW12" s="18"/>
      <c r="AX12" s="18"/>
      <c r="AY12" s="18"/>
      <c r="AZ12" s="18"/>
      <c r="BA12" s="18"/>
      <c r="BB12" s="18"/>
      <c r="BC12" s="18"/>
      <c r="BD12" s="18"/>
      <c r="BE12" s="18"/>
      <c r="BF12" s="18"/>
      <c r="BG12" s="18"/>
      <c r="BH12" s="18"/>
      <c r="BI12" s="18"/>
      <c r="BJ12" s="18"/>
      <c r="BK12" s="18"/>
      <c r="BL12" s="18"/>
      <c r="BM12" s="18"/>
      <c r="BN12" s="18"/>
      <c r="BO12" s="18"/>
      <c r="BP12" s="18"/>
      <c r="BQ12" s="18"/>
      <c r="BR12" s="18"/>
      <c r="BS12" s="18"/>
      <c r="BT12" s="18"/>
      <c r="BU12" s="18"/>
    </row>
    <row r="13" spans="1:73" ht="24.2" customHeight="1" thickBot="1" x14ac:dyDescent="0.25">
      <c r="B13" s="156"/>
      <c r="C13" s="158"/>
      <c r="D13" s="20" t="e">
        <f>VLOOKUP($B13,#REF!,3,0)</f>
        <v>#REF!</v>
      </c>
      <c r="E13" s="20" t="e">
        <f>VLOOKUP($B13,#REF!,4,0)</f>
        <v>#REF!</v>
      </c>
      <c r="F13" s="20" t="e">
        <f>VLOOKUP($B13,#REF!,5,0)</f>
        <v>#REF!</v>
      </c>
      <c r="G13" s="20" t="e">
        <f>VLOOKUP($B13,#REF!,6,0)</f>
        <v>#REF!</v>
      </c>
      <c r="H13" s="20" t="e">
        <f>VLOOKUP($B13,#REF!,7,0)</f>
        <v>#REF!</v>
      </c>
      <c r="I13" s="20" t="e">
        <f>VLOOKUP($B13,#REF!,8,0)</f>
        <v>#REF!</v>
      </c>
      <c r="J13" s="160"/>
      <c r="K13" s="34" t="s">
        <v>13</v>
      </c>
      <c r="L13" s="37">
        <v>40</v>
      </c>
      <c r="M13" s="36">
        <v>43</v>
      </c>
      <c r="N13" s="36">
        <v>41</v>
      </c>
      <c r="O13" s="43"/>
      <c r="P13" s="13"/>
      <c r="Q13" s="13"/>
      <c r="R13" s="13"/>
      <c r="S13" s="13"/>
      <c r="T13" s="13"/>
      <c r="AF13" s="12"/>
      <c r="AG13" s="12"/>
      <c r="AH13" s="14"/>
      <c r="AI13" s="15"/>
      <c r="AJ13" s="15"/>
      <c r="AK13" s="15"/>
      <c r="AL13" s="15"/>
      <c r="AM13" s="15"/>
      <c r="AN13" s="15"/>
      <c r="AO13" s="15"/>
      <c r="AP13" s="15"/>
      <c r="AQ13" s="15"/>
      <c r="AR13" s="15"/>
      <c r="AS13" s="15"/>
      <c r="AT13" s="15"/>
      <c r="AU13" s="15"/>
      <c r="AV13" s="15"/>
      <c r="AW13" s="15"/>
      <c r="AX13" s="15"/>
      <c r="AY13" s="15"/>
      <c r="AZ13" s="15"/>
      <c r="BA13" s="15"/>
      <c r="BB13" s="15"/>
      <c r="BC13" s="15"/>
      <c r="BD13" s="15"/>
      <c r="BE13" s="15"/>
      <c r="BF13" s="15"/>
      <c r="BG13" s="15"/>
      <c r="BH13" s="15"/>
      <c r="BI13" s="15"/>
      <c r="BJ13" s="15"/>
      <c r="BK13" s="15"/>
      <c r="BL13" s="15"/>
      <c r="BM13" s="15"/>
      <c r="BN13" s="15"/>
      <c r="BO13" s="15"/>
      <c r="BP13" s="15"/>
      <c r="BQ13" s="15"/>
      <c r="BR13" s="15"/>
      <c r="BS13" s="15"/>
      <c r="BT13" s="15"/>
      <c r="BU13" s="15"/>
    </row>
    <row r="14" spans="1:73" ht="24.2" customHeight="1" x14ac:dyDescent="0.2">
      <c r="B14" s="164">
        <v>3</v>
      </c>
      <c r="C14" s="157" t="s">
        <v>28</v>
      </c>
      <c r="D14" s="19" t="e">
        <f>VLOOKUP($B14,#REF!,3,0)</f>
        <v>#REF!</v>
      </c>
      <c r="E14" s="19" t="e">
        <f>VLOOKUP($B14,#REF!,4,0)</f>
        <v>#REF!</v>
      </c>
      <c r="F14" s="19" t="e">
        <f>VLOOKUP($B14,#REF!,5,0)</f>
        <v>#REF!</v>
      </c>
      <c r="G14" s="19" t="e">
        <f>VLOOKUP($B14,#REF!,6,0)</f>
        <v>#REF!</v>
      </c>
      <c r="H14" s="19" t="e">
        <f>VLOOKUP($B14,#REF!,7,0)</f>
        <v>#REF!</v>
      </c>
      <c r="I14" s="19" t="e">
        <f>VLOOKUP($B14,#REF!,8,0)</f>
        <v>#REF!</v>
      </c>
      <c r="J14" s="159"/>
      <c r="K14" s="22" t="s">
        <v>12</v>
      </c>
      <c r="L14" s="35">
        <v>38</v>
      </c>
      <c r="M14" s="35">
        <v>35</v>
      </c>
      <c r="N14" s="35">
        <v>38</v>
      </c>
      <c r="O14" s="161"/>
      <c r="P14" s="13"/>
      <c r="Q14" s="13"/>
      <c r="R14" s="13"/>
      <c r="S14" s="13"/>
      <c r="T14" s="13"/>
      <c r="AF14" s="12"/>
      <c r="AG14" s="12"/>
      <c r="AH14" s="12"/>
    </row>
    <row r="15" spans="1:73" ht="24.2" customHeight="1" thickBot="1" x14ac:dyDescent="0.25">
      <c r="B15" s="156"/>
      <c r="C15" s="163"/>
      <c r="D15" s="20" t="e">
        <f>VLOOKUP($B15,#REF!,3,0)</f>
        <v>#REF!</v>
      </c>
      <c r="E15" s="20" t="e">
        <f>VLOOKUP($B15,#REF!,4,0)</f>
        <v>#REF!</v>
      </c>
      <c r="F15" s="20" t="e">
        <f>VLOOKUP($B15,#REF!,5,0)</f>
        <v>#REF!</v>
      </c>
      <c r="G15" s="20" t="e">
        <f>VLOOKUP($B15,#REF!,6,0)</f>
        <v>#REF!</v>
      </c>
      <c r="H15" s="20" t="e">
        <f>VLOOKUP($B15,#REF!,7,0)</f>
        <v>#REF!</v>
      </c>
      <c r="I15" s="20" t="e">
        <f>VLOOKUP($B15,#REF!,8,0)</f>
        <v>#REF!</v>
      </c>
      <c r="J15" s="160"/>
      <c r="K15" s="34" t="s">
        <v>13</v>
      </c>
      <c r="L15" s="36">
        <v>39</v>
      </c>
      <c r="M15" s="36">
        <v>35</v>
      </c>
      <c r="N15" s="36">
        <v>38</v>
      </c>
      <c r="O15" s="162"/>
      <c r="P15" s="13"/>
      <c r="Q15" s="13"/>
      <c r="R15" s="13"/>
      <c r="S15" s="13"/>
      <c r="T15" s="13"/>
      <c r="AF15" s="12"/>
      <c r="AG15" s="12"/>
      <c r="AH15" s="14"/>
      <c r="AI15" s="15"/>
      <c r="AJ15" s="15"/>
      <c r="AK15" s="15"/>
      <c r="AL15" s="15"/>
      <c r="AM15" s="15"/>
      <c r="AN15" s="15"/>
      <c r="AO15" s="15"/>
      <c r="AP15" s="15"/>
      <c r="AQ15" s="15"/>
      <c r="AR15" s="15"/>
      <c r="AS15" s="15"/>
      <c r="AT15" s="15"/>
      <c r="AU15" s="15"/>
      <c r="AV15" s="15"/>
      <c r="AW15" s="15"/>
      <c r="AX15" s="15"/>
      <c r="AY15" s="15"/>
      <c r="AZ15" s="15"/>
      <c r="BA15" s="15"/>
      <c r="BB15" s="15"/>
      <c r="BC15" s="15"/>
      <c r="BD15" s="15"/>
      <c r="BE15" s="15"/>
      <c r="BF15" s="15"/>
      <c r="BG15" s="15"/>
      <c r="BH15" s="15"/>
      <c r="BI15" s="15"/>
      <c r="BJ15" s="15"/>
      <c r="BK15" s="15"/>
      <c r="BL15" s="15"/>
      <c r="BM15" s="15"/>
      <c r="BN15" s="15"/>
      <c r="BO15" s="15"/>
      <c r="BP15" s="15"/>
      <c r="BQ15" s="15"/>
      <c r="BR15" s="15"/>
      <c r="BS15" s="15"/>
      <c r="BT15" s="15"/>
      <c r="BU15" s="15"/>
    </row>
    <row r="16" spans="1:73" ht="24.2" customHeight="1" x14ac:dyDescent="0.2">
      <c r="B16" s="164">
        <v>4</v>
      </c>
      <c r="C16" s="157" t="s">
        <v>29</v>
      </c>
      <c r="D16" s="19" t="e">
        <f>VLOOKUP($B16,#REF!,3,0)</f>
        <v>#REF!</v>
      </c>
      <c r="E16" s="19" t="e">
        <f>VLOOKUP($B16,#REF!,4,0)</f>
        <v>#REF!</v>
      </c>
      <c r="F16" s="19" t="e">
        <f>VLOOKUP($B16,#REF!,5,0)</f>
        <v>#REF!</v>
      </c>
      <c r="G16" s="19" t="e">
        <f>VLOOKUP($B16,#REF!,6,0)</f>
        <v>#REF!</v>
      </c>
      <c r="H16" s="19" t="e">
        <f>VLOOKUP($B16,#REF!,7,0)</f>
        <v>#REF!</v>
      </c>
      <c r="I16" s="19" t="e">
        <f>VLOOKUP($B16,#REF!,8,0)</f>
        <v>#REF!</v>
      </c>
      <c r="J16" s="159"/>
      <c r="K16" s="22" t="s">
        <v>12</v>
      </c>
      <c r="L16" s="35">
        <v>35</v>
      </c>
      <c r="M16" s="35">
        <v>37</v>
      </c>
      <c r="N16" s="44">
        <v>34</v>
      </c>
      <c r="O16" s="161"/>
      <c r="P16" s="13"/>
      <c r="Q16" s="13"/>
      <c r="R16" s="13"/>
      <c r="S16" s="13"/>
      <c r="T16" s="13"/>
    </row>
    <row r="17" spans="2:73" ht="24.2" customHeight="1" thickBot="1" x14ac:dyDescent="0.25">
      <c r="B17" s="156"/>
      <c r="C17" s="158"/>
      <c r="D17" s="20" t="e">
        <f>VLOOKUP($B17,#REF!,3,0)</f>
        <v>#REF!</v>
      </c>
      <c r="E17" s="20" t="e">
        <f>VLOOKUP($B17,#REF!,4,0)</f>
        <v>#REF!</v>
      </c>
      <c r="F17" s="20" t="e">
        <f>VLOOKUP($B17,#REF!,5,0)</f>
        <v>#REF!</v>
      </c>
      <c r="G17" s="20" t="e">
        <f>VLOOKUP($B17,#REF!,6,0)</f>
        <v>#REF!</v>
      </c>
      <c r="H17" s="20" t="e">
        <f>VLOOKUP($B17,#REF!,7,0)</f>
        <v>#REF!</v>
      </c>
      <c r="I17" s="20" t="e">
        <f>VLOOKUP($B17,#REF!,8,0)</f>
        <v>#REF!</v>
      </c>
      <c r="J17" s="160"/>
      <c r="K17" s="34" t="s">
        <v>13</v>
      </c>
      <c r="L17" s="36">
        <v>37</v>
      </c>
      <c r="M17" s="36">
        <v>39</v>
      </c>
      <c r="N17" s="36">
        <v>38</v>
      </c>
      <c r="O17" s="162"/>
      <c r="P17" s="13"/>
      <c r="Q17" s="13"/>
      <c r="R17" s="13"/>
      <c r="S17" s="13"/>
      <c r="T17" s="13"/>
      <c r="AF17" s="12"/>
      <c r="AG17" s="12"/>
      <c r="AH17" s="14"/>
      <c r="AI17" s="15"/>
      <c r="AJ17" s="15"/>
      <c r="AK17" s="15"/>
      <c r="AL17" s="15"/>
      <c r="AM17" s="15"/>
      <c r="AN17" s="15"/>
      <c r="AO17" s="15"/>
      <c r="AP17" s="15"/>
      <c r="AQ17" s="15"/>
      <c r="AR17" s="15"/>
      <c r="AS17" s="15"/>
      <c r="AT17" s="15"/>
      <c r="AU17" s="15"/>
      <c r="AV17" s="15"/>
      <c r="AW17" s="15"/>
      <c r="AX17" s="15"/>
      <c r="AY17" s="15"/>
      <c r="AZ17" s="15"/>
      <c r="BA17" s="15"/>
      <c r="BB17" s="15"/>
      <c r="BC17" s="15"/>
      <c r="BD17" s="15"/>
      <c r="BE17" s="15"/>
      <c r="BF17" s="15"/>
      <c r="BG17" s="15"/>
      <c r="BH17" s="15"/>
      <c r="BI17" s="15"/>
      <c r="BJ17" s="15"/>
      <c r="BK17" s="15"/>
      <c r="BL17" s="15"/>
      <c r="BM17" s="15"/>
      <c r="BN17" s="15"/>
      <c r="BO17" s="15"/>
      <c r="BP17" s="15"/>
      <c r="BQ17" s="15"/>
      <c r="BR17" s="15"/>
      <c r="BS17" s="15"/>
      <c r="BT17" s="15"/>
      <c r="BU17" s="15"/>
    </row>
    <row r="18" spans="2:73" ht="24.2" customHeight="1" x14ac:dyDescent="0.2">
      <c r="B18" s="164">
        <v>5</v>
      </c>
      <c r="C18" s="157" t="s">
        <v>28</v>
      </c>
      <c r="D18" s="19" t="e">
        <f>VLOOKUP($B18,#REF!,3,0)</f>
        <v>#REF!</v>
      </c>
      <c r="E18" s="19" t="e">
        <f>VLOOKUP($B18,#REF!,4,0)</f>
        <v>#REF!</v>
      </c>
      <c r="F18" s="19" t="e">
        <f>VLOOKUP($B18,#REF!,5,0)</f>
        <v>#REF!</v>
      </c>
      <c r="G18" s="19" t="e">
        <f>VLOOKUP($B18,#REF!,6,0)</f>
        <v>#REF!</v>
      </c>
      <c r="H18" s="19" t="e">
        <f>VLOOKUP($B18,#REF!,7,0)</f>
        <v>#REF!</v>
      </c>
      <c r="I18" s="19" t="e">
        <f>VLOOKUP($B18,#REF!,8,0)</f>
        <v>#REF!</v>
      </c>
      <c r="J18" s="159"/>
      <c r="K18" s="22" t="s">
        <v>12</v>
      </c>
      <c r="L18" s="44">
        <v>34</v>
      </c>
      <c r="M18" s="35">
        <v>32</v>
      </c>
      <c r="N18" s="44">
        <v>34</v>
      </c>
      <c r="O18" s="161"/>
      <c r="P18" s="13"/>
      <c r="Q18" s="13"/>
      <c r="R18" s="13"/>
      <c r="S18" s="13"/>
      <c r="T18" s="13"/>
      <c r="AF18" s="12"/>
      <c r="AG18" s="12"/>
      <c r="AH18" s="12"/>
    </row>
    <row r="19" spans="2:73" ht="24.2" customHeight="1" thickBot="1" x14ac:dyDescent="0.25">
      <c r="B19" s="156"/>
      <c r="C19" s="163"/>
      <c r="D19" s="20" t="e">
        <f>VLOOKUP($B19,#REF!,3,0)</f>
        <v>#REF!</v>
      </c>
      <c r="E19" s="20" t="e">
        <f>VLOOKUP($B19,#REF!,4,0)</f>
        <v>#REF!</v>
      </c>
      <c r="F19" s="20" t="e">
        <f>VLOOKUP($B19,#REF!,5,0)</f>
        <v>#REF!</v>
      </c>
      <c r="G19" s="20" t="e">
        <f>VLOOKUP($B19,#REF!,6,0)</f>
        <v>#REF!</v>
      </c>
      <c r="H19" s="20" t="e">
        <f>VLOOKUP($B19,#REF!,7,0)</f>
        <v>#REF!</v>
      </c>
      <c r="I19" s="20" t="e">
        <f>VLOOKUP($B19,#REF!,8,0)</f>
        <v>#REF!</v>
      </c>
      <c r="J19" s="160"/>
      <c r="K19" s="34" t="s">
        <v>13</v>
      </c>
      <c r="L19" s="36">
        <v>40</v>
      </c>
      <c r="M19" s="36">
        <v>35</v>
      </c>
      <c r="N19" s="36">
        <v>36</v>
      </c>
      <c r="O19" s="162"/>
      <c r="P19" s="13"/>
      <c r="Q19" s="13"/>
      <c r="R19" s="13"/>
      <c r="S19" s="13"/>
      <c r="T19" s="13"/>
      <c r="AF19" s="12"/>
      <c r="AG19" s="12"/>
      <c r="AH19" s="14"/>
      <c r="AI19" s="15"/>
      <c r="AJ19" s="15"/>
      <c r="AK19" s="15"/>
      <c r="AL19" s="15"/>
      <c r="AM19" s="15"/>
      <c r="AN19" s="15"/>
      <c r="AO19" s="15"/>
      <c r="AP19" s="15"/>
      <c r="AQ19" s="15"/>
      <c r="AR19" s="15"/>
      <c r="AS19" s="15"/>
      <c r="AT19" s="15"/>
      <c r="AU19" s="15"/>
      <c r="AV19" s="15"/>
      <c r="AW19" s="15"/>
      <c r="AX19" s="15"/>
      <c r="AY19" s="15"/>
      <c r="AZ19" s="15"/>
      <c r="BA19" s="15"/>
      <c r="BB19" s="15"/>
      <c r="BC19" s="15"/>
      <c r="BD19" s="15"/>
      <c r="BE19" s="15"/>
      <c r="BF19" s="15"/>
      <c r="BG19" s="15"/>
      <c r="BH19" s="15"/>
      <c r="BI19" s="15"/>
      <c r="BJ19" s="15"/>
      <c r="BK19" s="15"/>
      <c r="BL19" s="15"/>
      <c r="BM19" s="15"/>
      <c r="BN19" s="15"/>
      <c r="BO19" s="15"/>
      <c r="BP19" s="15"/>
      <c r="BQ19" s="15"/>
      <c r="BR19" s="15"/>
      <c r="BS19" s="15"/>
      <c r="BT19" s="15"/>
      <c r="BU19" s="15"/>
    </row>
    <row r="20" spans="2:73" ht="24.2" customHeight="1" x14ac:dyDescent="0.2">
      <c r="B20" s="164">
        <v>6</v>
      </c>
      <c r="C20" s="157" t="s">
        <v>29</v>
      </c>
      <c r="D20" s="19" t="e">
        <f>VLOOKUP($B20,#REF!,3,0)</f>
        <v>#REF!</v>
      </c>
      <c r="E20" s="19" t="e">
        <f>VLOOKUP($B20,#REF!,4,0)</f>
        <v>#REF!</v>
      </c>
      <c r="F20" s="19" t="e">
        <f>VLOOKUP($B20,#REF!,5,0)</f>
        <v>#REF!</v>
      </c>
      <c r="G20" s="19" t="e">
        <f>VLOOKUP($B20,#REF!,6,0)</f>
        <v>#REF!</v>
      </c>
      <c r="H20" s="19" t="e">
        <f>VLOOKUP($B20,#REF!,7,0)</f>
        <v>#REF!</v>
      </c>
      <c r="I20" s="19" t="e">
        <f>VLOOKUP($B20,#REF!,8,0)</f>
        <v>#REF!</v>
      </c>
      <c r="J20" s="159"/>
      <c r="K20" s="22" t="s">
        <v>12</v>
      </c>
      <c r="L20" s="35">
        <v>35</v>
      </c>
      <c r="M20" s="35">
        <v>36</v>
      </c>
      <c r="N20" s="35">
        <v>40</v>
      </c>
      <c r="O20" s="161"/>
      <c r="P20" s="13"/>
      <c r="Q20" s="13"/>
      <c r="R20" s="13"/>
      <c r="S20" s="13"/>
      <c r="T20" s="13"/>
      <c r="AF20" s="12"/>
      <c r="AG20" s="12"/>
      <c r="AH20" s="12"/>
    </row>
    <row r="21" spans="2:73" ht="24.2" customHeight="1" thickBot="1" x14ac:dyDescent="0.25">
      <c r="B21" s="156"/>
      <c r="C21" s="158"/>
      <c r="D21" s="20" t="e">
        <f>VLOOKUP($B21,#REF!,3,0)</f>
        <v>#REF!</v>
      </c>
      <c r="E21" s="20" t="e">
        <f>VLOOKUP($B21,#REF!,4,0)</f>
        <v>#REF!</v>
      </c>
      <c r="F21" s="20" t="e">
        <f>VLOOKUP($B21,#REF!,5,0)</f>
        <v>#REF!</v>
      </c>
      <c r="G21" s="20" t="e">
        <f>VLOOKUP($B21,#REF!,6,0)</f>
        <v>#REF!</v>
      </c>
      <c r="H21" s="20" t="e">
        <f>VLOOKUP($B21,#REF!,7,0)</f>
        <v>#REF!</v>
      </c>
      <c r="I21" s="20" t="e">
        <f>VLOOKUP($B21,#REF!,8,0)</f>
        <v>#REF!</v>
      </c>
      <c r="J21" s="160"/>
      <c r="K21" s="34" t="s">
        <v>13</v>
      </c>
      <c r="L21" s="36">
        <v>38</v>
      </c>
      <c r="M21" s="36">
        <v>28</v>
      </c>
      <c r="N21" s="36">
        <v>41</v>
      </c>
      <c r="O21" s="162"/>
      <c r="P21" s="13"/>
      <c r="Q21" s="13"/>
      <c r="R21" s="13"/>
      <c r="S21" s="13"/>
      <c r="T21" s="13"/>
      <c r="AF21" s="12"/>
      <c r="AG21" s="12"/>
      <c r="AH21" s="14"/>
      <c r="AI21" s="15"/>
      <c r="AJ21" s="15"/>
      <c r="AK21" s="15"/>
      <c r="AL21" s="15"/>
      <c r="AM21" s="15"/>
      <c r="AN21" s="15"/>
      <c r="AO21" s="15"/>
      <c r="AP21" s="15"/>
      <c r="AQ21" s="15"/>
      <c r="AR21" s="15"/>
      <c r="AS21" s="15"/>
      <c r="AT21" s="15"/>
      <c r="AU21" s="15"/>
      <c r="AV21" s="15"/>
      <c r="AW21" s="15"/>
      <c r="AX21" s="15"/>
      <c r="AY21" s="15"/>
      <c r="AZ21" s="15"/>
      <c r="BA21" s="15"/>
      <c r="BB21" s="15"/>
      <c r="BC21" s="15"/>
      <c r="BD21" s="15"/>
      <c r="BE21" s="15"/>
      <c r="BF21" s="15"/>
      <c r="BG21" s="15"/>
      <c r="BH21" s="15"/>
      <c r="BI21" s="15"/>
      <c r="BJ21" s="15"/>
      <c r="BK21" s="15"/>
      <c r="BL21" s="15"/>
      <c r="BM21" s="15"/>
      <c r="BN21" s="15"/>
      <c r="BO21" s="15"/>
      <c r="BP21" s="15"/>
      <c r="BQ21" s="15"/>
      <c r="BR21" s="15"/>
      <c r="BS21" s="15"/>
      <c r="BT21" s="15"/>
      <c r="BU21" s="15"/>
    </row>
    <row r="22" spans="2:73" ht="24.2" customHeight="1" x14ac:dyDescent="0.2">
      <c r="B22" s="164">
        <v>7</v>
      </c>
      <c r="C22" s="157" t="s">
        <v>28</v>
      </c>
      <c r="D22" s="19" t="e">
        <f>VLOOKUP($B22,#REF!,3,0)</f>
        <v>#REF!</v>
      </c>
      <c r="E22" s="19" t="e">
        <f>VLOOKUP($B22,#REF!,4,0)</f>
        <v>#REF!</v>
      </c>
      <c r="F22" s="19" t="e">
        <f>VLOOKUP($B22,#REF!,5,0)</f>
        <v>#REF!</v>
      </c>
      <c r="G22" s="19" t="e">
        <f>VLOOKUP($B22,#REF!,6,0)</f>
        <v>#REF!</v>
      </c>
      <c r="H22" s="19" t="e">
        <f>VLOOKUP($B22,#REF!,7,0)</f>
        <v>#REF!</v>
      </c>
      <c r="I22" s="19" t="e">
        <f>VLOOKUP($B22,#REF!,8,0)</f>
        <v>#REF!</v>
      </c>
      <c r="J22" s="159"/>
      <c r="K22" s="22" t="s">
        <v>12</v>
      </c>
      <c r="L22" s="35">
        <v>33</v>
      </c>
      <c r="M22" s="35">
        <v>34</v>
      </c>
      <c r="N22" s="35">
        <v>33</v>
      </c>
      <c r="O22" s="161"/>
      <c r="P22" s="13"/>
      <c r="Q22" s="13"/>
      <c r="R22" s="13"/>
      <c r="S22" s="13"/>
      <c r="T22" s="13"/>
      <c r="AF22" s="12"/>
      <c r="AG22" s="12"/>
      <c r="AH22" s="12"/>
    </row>
    <row r="23" spans="2:73" ht="24.2" customHeight="1" thickBot="1" x14ac:dyDescent="0.25">
      <c r="B23" s="156"/>
      <c r="C23" s="163"/>
      <c r="D23" s="20" t="e">
        <f>VLOOKUP($B23,#REF!,3,0)</f>
        <v>#REF!</v>
      </c>
      <c r="E23" s="20" t="e">
        <f>VLOOKUP($B23,#REF!,4,0)</f>
        <v>#REF!</v>
      </c>
      <c r="F23" s="20" t="e">
        <f>VLOOKUP($B23,#REF!,5,0)</f>
        <v>#REF!</v>
      </c>
      <c r="G23" s="20" t="e">
        <f>VLOOKUP($B23,#REF!,6,0)</f>
        <v>#REF!</v>
      </c>
      <c r="H23" s="20" t="e">
        <f>VLOOKUP($B23,#REF!,7,0)</f>
        <v>#REF!</v>
      </c>
      <c r="I23" s="20" t="e">
        <f>VLOOKUP($B23,#REF!,8,0)</f>
        <v>#REF!</v>
      </c>
      <c r="J23" s="160"/>
      <c r="K23" s="34" t="s">
        <v>13</v>
      </c>
      <c r="L23" s="36">
        <v>38</v>
      </c>
      <c r="M23" s="36">
        <v>37</v>
      </c>
      <c r="N23" s="36">
        <v>35</v>
      </c>
      <c r="O23" s="162"/>
      <c r="P23" s="13"/>
      <c r="Q23" s="13"/>
      <c r="R23" s="13"/>
      <c r="S23" s="13"/>
      <c r="T23" s="13"/>
      <c r="AF23" s="12"/>
      <c r="AG23" s="12"/>
      <c r="AH23" s="14"/>
      <c r="AI23" s="15"/>
      <c r="AJ23" s="15"/>
      <c r="AK23" s="15"/>
      <c r="AL23" s="15"/>
      <c r="AM23" s="15"/>
      <c r="AN23" s="15"/>
      <c r="AO23" s="15"/>
      <c r="AP23" s="15"/>
      <c r="AQ23" s="15"/>
      <c r="AR23" s="15"/>
      <c r="AS23" s="15"/>
      <c r="AT23" s="15"/>
      <c r="AU23" s="15"/>
      <c r="AV23" s="15"/>
      <c r="AW23" s="15"/>
      <c r="AX23" s="15"/>
      <c r="AY23" s="15"/>
      <c r="AZ23" s="15"/>
      <c r="BA23" s="15"/>
      <c r="BB23" s="15"/>
      <c r="BC23" s="15"/>
      <c r="BD23" s="15"/>
      <c r="BE23" s="15"/>
      <c r="BF23" s="15"/>
      <c r="BG23" s="15"/>
      <c r="BH23" s="15"/>
      <c r="BI23" s="15"/>
      <c r="BJ23" s="15"/>
      <c r="BK23" s="15"/>
      <c r="BL23" s="15"/>
      <c r="BM23" s="15"/>
      <c r="BN23" s="15"/>
      <c r="BO23" s="15"/>
      <c r="BP23" s="15"/>
      <c r="BQ23" s="15"/>
      <c r="BR23" s="15"/>
      <c r="BS23" s="15"/>
      <c r="BT23" s="15"/>
      <c r="BU23" s="15"/>
    </row>
    <row r="24" spans="2:73" ht="24.2" customHeight="1" x14ac:dyDescent="0.2">
      <c r="B24" s="164">
        <v>8</v>
      </c>
      <c r="C24" s="157" t="s">
        <v>29</v>
      </c>
      <c r="D24" s="19" t="e">
        <f>VLOOKUP($B24,#REF!,3,0)</f>
        <v>#REF!</v>
      </c>
      <c r="E24" s="19" t="e">
        <f>VLOOKUP($B24,#REF!,4,0)</f>
        <v>#REF!</v>
      </c>
      <c r="F24" s="19" t="e">
        <f>VLOOKUP($B24,#REF!,5,0)</f>
        <v>#REF!</v>
      </c>
      <c r="G24" s="19" t="e">
        <f>VLOOKUP($B24,#REF!,6,0)</f>
        <v>#REF!</v>
      </c>
      <c r="H24" s="19" t="e">
        <f>VLOOKUP($B24,#REF!,7,0)</f>
        <v>#REF!</v>
      </c>
      <c r="I24" s="19" t="e">
        <f>VLOOKUP($B24,#REF!,8,0)</f>
        <v>#REF!</v>
      </c>
      <c r="J24" s="159"/>
      <c r="K24" s="22" t="s">
        <v>12</v>
      </c>
      <c r="L24" s="35">
        <v>37</v>
      </c>
      <c r="M24" s="35">
        <v>35</v>
      </c>
      <c r="N24" s="35">
        <v>33</v>
      </c>
      <c r="O24" s="161"/>
      <c r="P24" s="13"/>
      <c r="Q24" s="13"/>
      <c r="R24" s="13"/>
      <c r="S24" s="13"/>
      <c r="T24" s="13"/>
      <c r="AF24" s="9"/>
      <c r="AG24" s="9"/>
      <c r="AH24" s="9"/>
    </row>
    <row r="25" spans="2:73" ht="24.2" customHeight="1" thickBot="1" x14ac:dyDescent="0.25">
      <c r="B25" s="156"/>
      <c r="C25" s="158"/>
      <c r="D25" s="20" t="e">
        <f>VLOOKUP($B25,#REF!,3,0)</f>
        <v>#REF!</v>
      </c>
      <c r="E25" s="20" t="e">
        <f>VLOOKUP($B25,#REF!,4,0)</f>
        <v>#REF!</v>
      </c>
      <c r="F25" s="20" t="e">
        <f>VLOOKUP($B25,#REF!,5,0)</f>
        <v>#REF!</v>
      </c>
      <c r="G25" s="20" t="e">
        <f>VLOOKUP($B25,#REF!,6,0)</f>
        <v>#REF!</v>
      </c>
      <c r="H25" s="20" t="e">
        <f>VLOOKUP($B25,#REF!,7,0)</f>
        <v>#REF!</v>
      </c>
      <c r="I25" s="20" t="e">
        <f>VLOOKUP($B25,#REF!,8,0)</f>
        <v>#REF!</v>
      </c>
      <c r="J25" s="160"/>
      <c r="K25" s="34" t="s">
        <v>13</v>
      </c>
      <c r="L25" s="36">
        <v>38</v>
      </c>
      <c r="M25" s="36">
        <v>41</v>
      </c>
      <c r="N25" s="36">
        <v>38</v>
      </c>
      <c r="O25" s="162"/>
      <c r="P25" s="13"/>
      <c r="Q25" s="13"/>
      <c r="R25" s="13"/>
      <c r="S25" s="13"/>
      <c r="T25" s="13"/>
      <c r="AF25" s="12"/>
      <c r="AG25" s="12"/>
      <c r="AH25" s="14"/>
      <c r="AI25" s="15"/>
      <c r="AJ25" s="15"/>
      <c r="AK25" s="15"/>
      <c r="AL25" s="15"/>
      <c r="AM25" s="15"/>
      <c r="AN25" s="15"/>
      <c r="AO25" s="15"/>
      <c r="AP25" s="15"/>
      <c r="AQ25" s="15"/>
      <c r="AR25" s="15"/>
      <c r="AS25" s="15"/>
      <c r="AT25" s="15"/>
      <c r="AU25" s="15"/>
      <c r="AV25" s="15"/>
      <c r="AW25" s="15"/>
      <c r="AX25" s="15"/>
      <c r="AY25" s="15"/>
      <c r="AZ25" s="15"/>
      <c r="BA25" s="15"/>
      <c r="BB25" s="15"/>
      <c r="BC25" s="15"/>
      <c r="BD25" s="15"/>
      <c r="BE25" s="15"/>
      <c r="BF25" s="15"/>
      <c r="BG25" s="15"/>
      <c r="BH25" s="15"/>
      <c r="BI25" s="15"/>
      <c r="BJ25" s="15"/>
      <c r="BK25" s="15"/>
      <c r="BL25" s="15"/>
      <c r="BM25" s="15"/>
      <c r="BN25" s="15"/>
      <c r="BO25" s="15"/>
      <c r="BP25" s="15"/>
      <c r="BQ25" s="15"/>
      <c r="BR25" s="15"/>
      <c r="BS25" s="15"/>
      <c r="BT25" s="15"/>
      <c r="BU25" s="15"/>
    </row>
    <row r="26" spans="2:73" ht="24.2" customHeight="1" x14ac:dyDescent="0.2">
      <c r="B26" s="164">
        <v>9</v>
      </c>
      <c r="C26" s="157" t="s">
        <v>28</v>
      </c>
      <c r="D26" s="19" t="e">
        <f>VLOOKUP($B26,#REF!,3,0)</f>
        <v>#REF!</v>
      </c>
      <c r="E26" s="19" t="e">
        <f>VLOOKUP($B26,#REF!,4,0)</f>
        <v>#REF!</v>
      </c>
      <c r="F26" s="19" t="e">
        <f>VLOOKUP($B26,#REF!,5,0)</f>
        <v>#REF!</v>
      </c>
      <c r="G26" s="19" t="e">
        <f>VLOOKUP($B26,#REF!,6,0)</f>
        <v>#REF!</v>
      </c>
      <c r="H26" s="19" t="e">
        <f>VLOOKUP($B26,#REF!,7,0)</f>
        <v>#REF!</v>
      </c>
      <c r="I26" s="19" t="e">
        <f>VLOOKUP($B26,#REF!,8,0)</f>
        <v>#REF!</v>
      </c>
      <c r="J26" s="159">
        <v>1302</v>
      </c>
      <c r="K26" s="22" t="s">
        <v>12</v>
      </c>
      <c r="L26" s="35">
        <v>37</v>
      </c>
      <c r="M26" s="35">
        <v>36</v>
      </c>
      <c r="N26" s="35">
        <v>34</v>
      </c>
      <c r="O26" s="161"/>
      <c r="P26" s="13"/>
      <c r="Q26" s="13"/>
      <c r="R26" s="13"/>
      <c r="S26" s="13"/>
      <c r="T26" s="13"/>
      <c r="AF26" s="12"/>
      <c r="AG26" s="12"/>
      <c r="AH26" s="12"/>
    </row>
    <row r="27" spans="2:73" ht="24.2" customHeight="1" thickBot="1" x14ac:dyDescent="0.25">
      <c r="B27" s="156"/>
      <c r="C27" s="163"/>
      <c r="D27" s="20" t="e">
        <f>VLOOKUP($B27,#REF!,3,0)</f>
        <v>#REF!</v>
      </c>
      <c r="E27" s="20" t="e">
        <f>VLOOKUP($B27,#REF!,4,0)</f>
        <v>#REF!</v>
      </c>
      <c r="F27" s="20" t="e">
        <f>VLOOKUP($B27,#REF!,5,0)</f>
        <v>#REF!</v>
      </c>
      <c r="G27" s="20" t="e">
        <f>VLOOKUP($B27,#REF!,6,0)</f>
        <v>#REF!</v>
      </c>
      <c r="H27" s="20" t="e">
        <f>VLOOKUP($B27,#REF!,7,0)</f>
        <v>#REF!</v>
      </c>
      <c r="I27" s="20" t="e">
        <f>VLOOKUP($B27,#REF!,8,0)</f>
        <v>#REF!</v>
      </c>
      <c r="J27" s="160"/>
      <c r="K27" s="34" t="s">
        <v>13</v>
      </c>
      <c r="L27" s="36">
        <v>34</v>
      </c>
      <c r="M27" s="36">
        <v>36</v>
      </c>
      <c r="N27" s="36">
        <v>37</v>
      </c>
      <c r="O27" s="162"/>
      <c r="P27" s="13"/>
      <c r="Q27" s="13"/>
      <c r="R27" s="13"/>
      <c r="S27" s="13"/>
      <c r="T27" s="13"/>
      <c r="AF27" s="12"/>
      <c r="AG27" s="12"/>
      <c r="AH27" s="14"/>
      <c r="AI27" s="15"/>
      <c r="AJ27" s="15"/>
      <c r="AK27" s="15"/>
      <c r="AL27" s="15"/>
      <c r="AM27" s="15"/>
      <c r="AN27" s="15"/>
      <c r="AO27" s="15"/>
      <c r="AP27" s="15"/>
      <c r="AQ27" s="15"/>
      <c r="AR27" s="15"/>
      <c r="AS27" s="15"/>
      <c r="AT27" s="15"/>
      <c r="AU27" s="15"/>
      <c r="AV27" s="15"/>
      <c r="AW27" s="15"/>
      <c r="AX27" s="15"/>
      <c r="AY27" s="15"/>
      <c r="AZ27" s="15"/>
      <c r="BA27" s="15"/>
      <c r="BB27" s="15"/>
      <c r="BC27" s="15"/>
      <c r="BD27" s="15"/>
      <c r="BE27" s="15"/>
      <c r="BF27" s="15"/>
      <c r="BG27" s="15"/>
      <c r="BH27" s="15"/>
      <c r="BI27" s="15"/>
      <c r="BJ27" s="15"/>
      <c r="BK27" s="15"/>
      <c r="BL27" s="15"/>
      <c r="BM27" s="15"/>
      <c r="BN27" s="15"/>
      <c r="BO27" s="15"/>
      <c r="BP27" s="15"/>
      <c r="BQ27" s="15"/>
      <c r="BR27" s="15"/>
      <c r="BS27" s="15"/>
      <c r="BT27" s="15"/>
      <c r="BU27" s="15"/>
    </row>
    <row r="28" spans="2:73" ht="24.2" customHeight="1" x14ac:dyDescent="0.2">
      <c r="B28" s="155">
        <v>10</v>
      </c>
      <c r="C28" s="157" t="s">
        <v>29</v>
      </c>
      <c r="D28" s="19" t="e">
        <f>VLOOKUP($B28,#REF!,3,0)</f>
        <v>#REF!</v>
      </c>
      <c r="E28" s="19" t="e">
        <f>VLOOKUP($B28,#REF!,4,0)</f>
        <v>#REF!</v>
      </c>
      <c r="F28" s="19" t="e">
        <f>VLOOKUP($B28,#REF!,5,0)</f>
        <v>#REF!</v>
      </c>
      <c r="G28" s="19" t="e">
        <f>VLOOKUP($B28,#REF!,6,0)</f>
        <v>#REF!</v>
      </c>
      <c r="H28" s="19" t="e">
        <f>VLOOKUP($B28,#REF!,7,0)</f>
        <v>#REF!</v>
      </c>
      <c r="I28" s="19" t="e">
        <f>VLOOKUP($B28,#REF!,8,0)</f>
        <v>#REF!</v>
      </c>
      <c r="J28" s="159"/>
      <c r="K28" s="22" t="s">
        <v>12</v>
      </c>
      <c r="L28" s="35">
        <v>34</v>
      </c>
      <c r="M28" s="35">
        <v>34</v>
      </c>
      <c r="N28" s="35">
        <v>31</v>
      </c>
      <c r="O28" s="161"/>
      <c r="P28" s="13"/>
      <c r="Q28" s="13"/>
      <c r="R28" s="13"/>
      <c r="S28" s="13"/>
      <c r="T28" s="13"/>
    </row>
    <row r="29" spans="2:73" ht="24.2" customHeight="1" thickBot="1" x14ac:dyDescent="0.25">
      <c r="B29" s="156"/>
      <c r="C29" s="158"/>
      <c r="D29" s="20" t="e">
        <f>VLOOKUP($B29,#REF!,3,0)</f>
        <v>#REF!</v>
      </c>
      <c r="E29" s="20" t="e">
        <f>VLOOKUP($B29,#REF!,4,0)</f>
        <v>#REF!</v>
      </c>
      <c r="F29" s="20" t="e">
        <f>VLOOKUP($B29,#REF!,5,0)</f>
        <v>#REF!</v>
      </c>
      <c r="G29" s="20" t="e">
        <f>VLOOKUP($B29,#REF!,6,0)</f>
        <v>#REF!</v>
      </c>
      <c r="H29" s="20" t="e">
        <f>VLOOKUP($B29,#REF!,7,0)</f>
        <v>#REF!</v>
      </c>
      <c r="I29" s="20" t="e">
        <f>VLOOKUP($B29,#REF!,8,0)</f>
        <v>#REF!</v>
      </c>
      <c r="J29" s="160"/>
      <c r="K29" s="34" t="s">
        <v>13</v>
      </c>
      <c r="L29" s="36">
        <v>38</v>
      </c>
      <c r="M29" s="36">
        <v>36</v>
      </c>
      <c r="N29" s="36">
        <v>39</v>
      </c>
      <c r="O29" s="162"/>
      <c r="P29" s="13"/>
      <c r="Q29" s="13"/>
      <c r="R29" s="13"/>
      <c r="S29" s="13"/>
      <c r="T29" s="13"/>
      <c r="AF29" s="12"/>
      <c r="AG29" s="12"/>
      <c r="AH29" s="14"/>
      <c r="AI29" s="15"/>
      <c r="AJ29" s="15"/>
      <c r="AK29" s="15"/>
      <c r="AL29" s="15"/>
      <c r="AM29" s="15"/>
      <c r="AN29" s="15"/>
      <c r="AO29" s="15"/>
      <c r="AP29" s="15"/>
      <c r="AQ29" s="15"/>
      <c r="AR29" s="15"/>
      <c r="AS29" s="15"/>
      <c r="AT29" s="15"/>
      <c r="AU29" s="15"/>
      <c r="AV29" s="15"/>
      <c r="AW29" s="15"/>
      <c r="AX29" s="15"/>
      <c r="AY29" s="15"/>
      <c r="AZ29" s="15"/>
      <c r="BA29" s="15"/>
      <c r="BB29" s="15"/>
      <c r="BC29" s="15"/>
      <c r="BD29" s="15"/>
      <c r="BE29" s="15"/>
      <c r="BF29" s="15"/>
      <c r="BG29" s="15"/>
      <c r="BH29" s="15"/>
      <c r="BI29" s="15"/>
      <c r="BJ29" s="15"/>
      <c r="BK29" s="15"/>
      <c r="BL29" s="15"/>
      <c r="BM29" s="15"/>
      <c r="BN29" s="15"/>
      <c r="BO29" s="15"/>
      <c r="BP29" s="15"/>
      <c r="BQ29" s="15"/>
      <c r="BR29" s="15"/>
      <c r="BS29" s="15"/>
      <c r="BT29" s="15"/>
      <c r="BU29" s="15"/>
    </row>
    <row r="30" spans="2:73" ht="24.2" customHeight="1" x14ac:dyDescent="0.2">
      <c r="B30" s="155">
        <v>11</v>
      </c>
      <c r="C30" s="157" t="s">
        <v>28</v>
      </c>
      <c r="D30" s="19" t="e">
        <f>VLOOKUP($B30,#REF!,3,0)</f>
        <v>#REF!</v>
      </c>
      <c r="E30" s="19" t="e">
        <f>VLOOKUP($B30,#REF!,4,0)</f>
        <v>#REF!</v>
      </c>
      <c r="F30" s="19" t="e">
        <f>VLOOKUP($B30,#REF!,5,0)</f>
        <v>#REF!</v>
      </c>
      <c r="G30" s="19" t="e">
        <f>VLOOKUP($B30,#REF!,6,0)</f>
        <v>#REF!</v>
      </c>
      <c r="H30" s="19" t="e">
        <f>VLOOKUP($B30,#REF!,7,0)</f>
        <v>#REF!</v>
      </c>
      <c r="I30" s="19" t="e">
        <f>VLOOKUP($B30,#REF!,8,0)</f>
        <v>#REF!</v>
      </c>
      <c r="J30" s="159"/>
      <c r="K30" s="22" t="s">
        <v>12</v>
      </c>
      <c r="L30" s="44">
        <v>33</v>
      </c>
      <c r="M30" s="35">
        <v>37</v>
      </c>
      <c r="N30" s="35">
        <v>38</v>
      </c>
      <c r="O30" s="161"/>
      <c r="P30" s="13"/>
      <c r="Q30" s="13"/>
      <c r="R30" s="13"/>
      <c r="S30" s="13"/>
      <c r="T30" s="13"/>
    </row>
    <row r="31" spans="2:73" ht="24.2" customHeight="1" thickBot="1" x14ac:dyDescent="0.25">
      <c r="B31" s="156"/>
      <c r="C31" s="163"/>
      <c r="D31" s="20" t="e">
        <f>VLOOKUP($B31,#REF!,3,0)</f>
        <v>#REF!</v>
      </c>
      <c r="E31" s="20" t="e">
        <f>VLOOKUP($B31,#REF!,4,0)</f>
        <v>#REF!</v>
      </c>
      <c r="F31" s="20" t="e">
        <f>VLOOKUP($B31,#REF!,5,0)</f>
        <v>#REF!</v>
      </c>
      <c r="G31" s="20" t="e">
        <f>VLOOKUP($B31,#REF!,6,0)</f>
        <v>#REF!</v>
      </c>
      <c r="H31" s="20" t="e">
        <f>VLOOKUP($B31,#REF!,7,0)</f>
        <v>#REF!</v>
      </c>
      <c r="I31" s="20" t="e">
        <f>VLOOKUP($B31,#REF!,8,0)</f>
        <v>#REF!</v>
      </c>
      <c r="J31" s="160"/>
      <c r="K31" s="34" t="s">
        <v>13</v>
      </c>
      <c r="L31" s="36">
        <v>37</v>
      </c>
      <c r="M31" s="36">
        <v>41</v>
      </c>
      <c r="N31" s="36">
        <v>38</v>
      </c>
      <c r="O31" s="162"/>
      <c r="P31" s="13"/>
      <c r="Q31" s="13"/>
      <c r="R31" s="13"/>
      <c r="S31" s="13"/>
      <c r="T31" s="13"/>
      <c r="AF31" s="12"/>
      <c r="AG31" s="12"/>
      <c r="AH31" s="14"/>
      <c r="AI31" s="15"/>
      <c r="AJ31" s="15"/>
      <c r="AK31" s="15"/>
      <c r="AL31" s="15"/>
      <c r="AM31" s="15"/>
      <c r="AN31" s="15"/>
      <c r="AO31" s="15"/>
      <c r="AP31" s="15"/>
      <c r="AQ31" s="15"/>
      <c r="AR31" s="15"/>
      <c r="AS31" s="15"/>
      <c r="AT31" s="15"/>
      <c r="AU31" s="15"/>
      <c r="AV31" s="15"/>
      <c r="AW31" s="15"/>
      <c r="AX31" s="15"/>
      <c r="AY31" s="15"/>
      <c r="AZ31" s="15"/>
      <c r="BA31" s="15"/>
      <c r="BB31" s="15"/>
      <c r="BC31" s="15"/>
      <c r="BD31" s="15"/>
      <c r="BE31" s="15"/>
      <c r="BF31" s="15"/>
      <c r="BG31" s="15"/>
      <c r="BH31" s="15"/>
      <c r="BI31" s="15"/>
      <c r="BJ31" s="15"/>
      <c r="BK31" s="15"/>
      <c r="BL31" s="15"/>
      <c r="BM31" s="15"/>
      <c r="BN31" s="15"/>
      <c r="BO31" s="15"/>
      <c r="BP31" s="15"/>
      <c r="BQ31" s="15"/>
      <c r="BR31" s="15"/>
      <c r="BS31" s="15"/>
      <c r="BT31" s="15"/>
      <c r="BU31" s="15"/>
    </row>
    <row r="32" spans="2:73" ht="24.2" customHeight="1" x14ac:dyDescent="0.2">
      <c r="B32" s="155">
        <v>12</v>
      </c>
      <c r="C32" s="157" t="s">
        <v>29</v>
      </c>
      <c r="D32" s="19" t="e">
        <f>VLOOKUP($B32,#REF!,3,0)</f>
        <v>#REF!</v>
      </c>
      <c r="E32" s="19" t="e">
        <f>VLOOKUP($B32,#REF!,4,0)</f>
        <v>#REF!</v>
      </c>
      <c r="F32" s="19" t="e">
        <f>VLOOKUP($B32,#REF!,5,0)</f>
        <v>#REF!</v>
      </c>
      <c r="G32" s="19" t="e">
        <f>VLOOKUP($B32,#REF!,6,0)</f>
        <v>#REF!</v>
      </c>
      <c r="H32" s="19" t="e">
        <f>VLOOKUP($B32,#REF!,7,0)</f>
        <v>#REF!</v>
      </c>
      <c r="I32" s="19" t="e">
        <f>VLOOKUP($B32,#REF!,8,0)</f>
        <v>#REF!</v>
      </c>
      <c r="J32" s="159"/>
      <c r="K32" s="22" t="s">
        <v>12</v>
      </c>
      <c r="L32" s="35">
        <v>37</v>
      </c>
      <c r="M32" s="35">
        <v>32</v>
      </c>
      <c r="N32" s="35">
        <v>34</v>
      </c>
      <c r="O32" s="161"/>
      <c r="P32" s="13"/>
      <c r="Q32" s="13"/>
      <c r="R32" s="13"/>
      <c r="S32" s="13"/>
      <c r="T32" s="13"/>
    </row>
    <row r="33" spans="2:73" ht="24.2" customHeight="1" thickBot="1" x14ac:dyDescent="0.25">
      <c r="B33" s="156"/>
      <c r="C33" s="158"/>
      <c r="D33" s="20" t="e">
        <f>VLOOKUP($B33,#REF!,3,0)</f>
        <v>#REF!</v>
      </c>
      <c r="E33" s="20" t="e">
        <f>VLOOKUP($B33,#REF!,4,0)</f>
        <v>#REF!</v>
      </c>
      <c r="F33" s="20" t="e">
        <f>VLOOKUP($B33,#REF!,5,0)</f>
        <v>#REF!</v>
      </c>
      <c r="G33" s="20" t="e">
        <f>VLOOKUP($B33,#REF!,6,0)</f>
        <v>#REF!</v>
      </c>
      <c r="H33" s="20" t="e">
        <f>VLOOKUP($B33,#REF!,7,0)</f>
        <v>#REF!</v>
      </c>
      <c r="I33" s="20" t="e">
        <f>VLOOKUP($B33,#REF!,8,0)</f>
        <v>#REF!</v>
      </c>
      <c r="J33" s="160"/>
      <c r="K33" s="34" t="s">
        <v>13</v>
      </c>
      <c r="L33" s="36">
        <v>41</v>
      </c>
      <c r="M33" s="36">
        <v>39</v>
      </c>
      <c r="N33" s="36">
        <v>38</v>
      </c>
      <c r="O33" s="162"/>
      <c r="P33" s="13"/>
      <c r="Q33" s="13"/>
      <c r="R33" s="13"/>
      <c r="S33" s="13"/>
      <c r="T33" s="13"/>
      <c r="AF33" s="12"/>
      <c r="AG33" s="12"/>
      <c r="AH33" s="14"/>
      <c r="AI33" s="15"/>
      <c r="AJ33" s="15"/>
      <c r="AK33" s="15"/>
      <c r="AL33" s="15"/>
      <c r="AM33" s="15"/>
      <c r="AN33" s="15"/>
      <c r="AO33" s="15"/>
      <c r="AP33" s="15"/>
      <c r="AQ33" s="15"/>
      <c r="AR33" s="15"/>
      <c r="AS33" s="15"/>
      <c r="AT33" s="15"/>
      <c r="AU33" s="15"/>
      <c r="AV33" s="15"/>
      <c r="AW33" s="15"/>
      <c r="AX33" s="15"/>
      <c r="AY33" s="15"/>
      <c r="AZ33" s="15"/>
      <c r="BA33" s="15"/>
      <c r="BB33" s="15"/>
      <c r="BC33" s="15"/>
      <c r="BD33" s="15"/>
      <c r="BE33" s="15"/>
      <c r="BF33" s="15"/>
      <c r="BG33" s="15"/>
      <c r="BH33" s="15"/>
      <c r="BI33" s="15"/>
      <c r="BJ33" s="15"/>
      <c r="BK33" s="15"/>
      <c r="BL33" s="15"/>
      <c r="BM33" s="15"/>
      <c r="BN33" s="15"/>
      <c r="BO33" s="15"/>
      <c r="BP33" s="15"/>
      <c r="BQ33" s="15"/>
      <c r="BR33" s="15"/>
      <c r="BS33" s="15"/>
      <c r="BT33" s="15"/>
      <c r="BU33" s="15"/>
    </row>
    <row r="34" spans="2:73" ht="24.2" customHeight="1" x14ac:dyDescent="0.2">
      <c r="B34" s="155">
        <v>13</v>
      </c>
      <c r="C34" s="157" t="s">
        <v>28</v>
      </c>
      <c r="D34" s="19" t="e">
        <f>VLOOKUP($B34,#REF!,3,0)</f>
        <v>#REF!</v>
      </c>
      <c r="E34" s="19" t="e">
        <f>VLOOKUP($B34,#REF!,4,0)</f>
        <v>#REF!</v>
      </c>
      <c r="F34" s="19" t="e">
        <f>VLOOKUP($B34,#REF!,5,0)</f>
        <v>#REF!</v>
      </c>
      <c r="G34" s="19" t="e">
        <f>VLOOKUP($B34,#REF!,6,0)</f>
        <v>#REF!</v>
      </c>
      <c r="H34" s="19" t="e">
        <f>VLOOKUP($B34,#REF!,7,0)</f>
        <v>#REF!</v>
      </c>
      <c r="I34" s="19" t="e">
        <f>VLOOKUP($B34,#REF!,8,0)</f>
        <v>#REF!</v>
      </c>
      <c r="J34" s="159"/>
      <c r="K34" s="22" t="s">
        <v>12</v>
      </c>
      <c r="L34" s="35">
        <v>33</v>
      </c>
      <c r="M34" s="35">
        <v>31</v>
      </c>
      <c r="N34" s="35">
        <v>31</v>
      </c>
      <c r="O34" s="161"/>
      <c r="P34" s="13"/>
      <c r="Q34" s="13"/>
      <c r="R34" s="13"/>
      <c r="S34" s="13"/>
      <c r="T34" s="13"/>
    </row>
    <row r="35" spans="2:73" ht="24.2" customHeight="1" thickBot="1" x14ac:dyDescent="0.25">
      <c r="B35" s="156"/>
      <c r="C35" s="163"/>
      <c r="D35" s="20" t="e">
        <f>VLOOKUP($B35,#REF!,3,0)</f>
        <v>#REF!</v>
      </c>
      <c r="E35" s="20" t="e">
        <f>VLOOKUP($B35,#REF!,4,0)</f>
        <v>#REF!</v>
      </c>
      <c r="F35" s="20" t="e">
        <f>VLOOKUP($B35,#REF!,5,0)</f>
        <v>#REF!</v>
      </c>
      <c r="G35" s="20" t="e">
        <f>VLOOKUP($B35,#REF!,6,0)</f>
        <v>#REF!</v>
      </c>
      <c r="H35" s="20" t="e">
        <f>VLOOKUP($B35,#REF!,7,0)</f>
        <v>#REF!</v>
      </c>
      <c r="I35" s="20" t="e">
        <f>VLOOKUP($B35,#REF!,8,0)</f>
        <v>#REF!</v>
      </c>
      <c r="J35" s="160"/>
      <c r="K35" s="34" t="s">
        <v>13</v>
      </c>
      <c r="L35" s="36">
        <v>36</v>
      </c>
      <c r="M35" s="36">
        <v>38</v>
      </c>
      <c r="N35" s="36">
        <v>34</v>
      </c>
      <c r="O35" s="162"/>
      <c r="P35" s="13"/>
      <c r="Q35" s="13"/>
      <c r="R35" s="13"/>
      <c r="S35" s="13"/>
      <c r="T35" s="13"/>
      <c r="AF35" s="12"/>
      <c r="AG35" s="12"/>
      <c r="AH35" s="14"/>
      <c r="AI35" s="15"/>
      <c r="AJ35" s="15"/>
      <c r="AK35" s="15"/>
      <c r="AL35" s="15"/>
      <c r="AM35" s="15"/>
      <c r="AN35" s="15"/>
      <c r="AO35" s="15"/>
      <c r="AP35" s="15"/>
      <c r="AQ35" s="15"/>
      <c r="AR35" s="15"/>
      <c r="AS35" s="15"/>
      <c r="AT35" s="15"/>
      <c r="AU35" s="15"/>
      <c r="AV35" s="15"/>
      <c r="AW35" s="15"/>
      <c r="AX35" s="15"/>
      <c r="AY35" s="15"/>
      <c r="AZ35" s="15"/>
      <c r="BA35" s="15"/>
      <c r="BB35" s="15"/>
      <c r="BC35" s="15"/>
      <c r="BD35" s="15"/>
      <c r="BE35" s="15"/>
      <c r="BF35" s="15"/>
      <c r="BG35" s="15"/>
      <c r="BH35" s="15"/>
      <c r="BI35" s="15"/>
      <c r="BJ35" s="15"/>
      <c r="BK35" s="15"/>
      <c r="BL35" s="15"/>
      <c r="BM35" s="15"/>
      <c r="BN35" s="15"/>
      <c r="BO35" s="15"/>
      <c r="BP35" s="15"/>
      <c r="BQ35" s="15"/>
      <c r="BR35" s="15"/>
      <c r="BS35" s="15"/>
      <c r="BT35" s="15"/>
      <c r="BU35" s="15"/>
    </row>
    <row r="36" spans="2:73" ht="24.2" customHeight="1" x14ac:dyDescent="0.2">
      <c r="B36" s="155">
        <v>14</v>
      </c>
      <c r="C36" s="157" t="s">
        <v>29</v>
      </c>
      <c r="D36" s="19" t="e">
        <f>VLOOKUP($B36,#REF!,3,0)</f>
        <v>#REF!</v>
      </c>
      <c r="E36" s="19" t="e">
        <f>VLOOKUP($B36,#REF!,4,0)</f>
        <v>#REF!</v>
      </c>
      <c r="F36" s="19" t="e">
        <f>VLOOKUP($B36,#REF!,5,0)</f>
        <v>#REF!</v>
      </c>
      <c r="G36" s="19" t="e">
        <f>VLOOKUP($B36,#REF!,6,0)</f>
        <v>#REF!</v>
      </c>
      <c r="H36" s="19" t="e">
        <f>VLOOKUP($B36,#REF!,7,0)</f>
        <v>#REF!</v>
      </c>
      <c r="I36" s="19" t="e">
        <f>VLOOKUP($B36,#REF!,8,0)</f>
        <v>#REF!</v>
      </c>
      <c r="J36" s="159"/>
      <c r="K36" s="22" t="s">
        <v>12</v>
      </c>
      <c r="L36" s="35">
        <v>34</v>
      </c>
      <c r="M36" s="35">
        <v>36</v>
      </c>
      <c r="N36" s="35">
        <v>38</v>
      </c>
      <c r="O36" s="161"/>
      <c r="P36" s="13"/>
      <c r="Q36" s="13"/>
      <c r="R36" s="13"/>
      <c r="S36" s="13"/>
      <c r="T36" s="13"/>
    </row>
    <row r="37" spans="2:73" ht="24.2" customHeight="1" thickBot="1" x14ac:dyDescent="0.25">
      <c r="B37" s="156"/>
      <c r="C37" s="158"/>
      <c r="D37" s="20" t="e">
        <f>VLOOKUP($B37,#REF!,3,0)</f>
        <v>#REF!</v>
      </c>
      <c r="E37" s="20" t="e">
        <f>VLOOKUP($B37,#REF!,4,0)</f>
        <v>#REF!</v>
      </c>
      <c r="F37" s="20" t="e">
        <f>VLOOKUP($B37,#REF!,5,0)</f>
        <v>#REF!</v>
      </c>
      <c r="G37" s="20" t="e">
        <f>VLOOKUP($B37,#REF!,6,0)</f>
        <v>#REF!</v>
      </c>
      <c r="H37" s="20" t="e">
        <f>VLOOKUP($B37,#REF!,7,0)</f>
        <v>#REF!</v>
      </c>
      <c r="I37" s="20" t="e">
        <f>VLOOKUP($B37,#REF!,8,0)</f>
        <v>#REF!</v>
      </c>
      <c r="J37" s="160"/>
      <c r="K37" s="34" t="s">
        <v>13</v>
      </c>
      <c r="L37" s="36">
        <v>41</v>
      </c>
      <c r="M37" s="36">
        <v>40</v>
      </c>
      <c r="N37" s="36">
        <v>40</v>
      </c>
      <c r="O37" s="162"/>
      <c r="P37" s="13"/>
      <c r="Q37" s="13"/>
      <c r="R37" s="13"/>
      <c r="S37" s="13"/>
      <c r="T37" s="13"/>
      <c r="AF37" s="12"/>
      <c r="AG37" s="12"/>
      <c r="AH37" s="14"/>
      <c r="AI37" s="15"/>
      <c r="AJ37" s="15"/>
      <c r="AK37" s="15"/>
      <c r="AL37" s="15"/>
      <c r="AM37" s="15"/>
      <c r="AN37" s="15"/>
      <c r="AO37" s="15"/>
      <c r="AP37" s="15"/>
      <c r="AQ37" s="15"/>
      <c r="AR37" s="15"/>
      <c r="AS37" s="15"/>
      <c r="AT37" s="15"/>
      <c r="AU37" s="15"/>
      <c r="AV37" s="15"/>
      <c r="AW37" s="15"/>
      <c r="AX37" s="15"/>
      <c r="AY37" s="15"/>
      <c r="AZ37" s="15"/>
      <c r="BA37" s="15"/>
      <c r="BB37" s="15"/>
      <c r="BC37" s="15"/>
      <c r="BD37" s="15"/>
      <c r="BE37" s="15"/>
      <c r="BF37" s="15"/>
      <c r="BG37" s="15"/>
      <c r="BH37" s="15"/>
      <c r="BI37" s="15"/>
      <c r="BJ37" s="15"/>
      <c r="BK37" s="15"/>
      <c r="BL37" s="15"/>
      <c r="BM37" s="15"/>
      <c r="BN37" s="15"/>
      <c r="BO37" s="15"/>
      <c r="BP37" s="15"/>
      <c r="BQ37" s="15"/>
      <c r="BR37" s="15"/>
      <c r="BS37" s="15"/>
      <c r="BT37" s="15"/>
      <c r="BU37" s="15"/>
    </row>
    <row r="38" spans="2:73" ht="24.2" customHeight="1" x14ac:dyDescent="0.2">
      <c r="B38" s="155">
        <v>15</v>
      </c>
      <c r="C38" s="157" t="s">
        <v>28</v>
      </c>
      <c r="D38" s="19" t="e">
        <f>VLOOKUP($B38,#REF!,3,0)</f>
        <v>#REF!</v>
      </c>
      <c r="E38" s="19" t="e">
        <f>VLOOKUP($B38,#REF!,4,0)</f>
        <v>#REF!</v>
      </c>
      <c r="F38" s="19" t="e">
        <f>VLOOKUP($B38,#REF!,5,0)</f>
        <v>#REF!</v>
      </c>
      <c r="G38" s="19" t="e">
        <f>VLOOKUP($B38,#REF!,6,0)</f>
        <v>#REF!</v>
      </c>
      <c r="H38" s="19" t="e">
        <f>VLOOKUP($B38,#REF!,7,0)</f>
        <v>#REF!</v>
      </c>
      <c r="I38" s="19" t="e">
        <f>VLOOKUP($B38,#REF!,8,0)</f>
        <v>#REF!</v>
      </c>
      <c r="J38" s="159"/>
      <c r="K38" s="22" t="s">
        <v>12</v>
      </c>
      <c r="L38" s="44">
        <v>34</v>
      </c>
      <c r="M38" s="35">
        <v>33</v>
      </c>
      <c r="N38" s="35">
        <v>36</v>
      </c>
      <c r="O38" s="161"/>
      <c r="P38" s="13"/>
      <c r="Q38" s="13"/>
      <c r="R38" s="13"/>
      <c r="S38" s="13"/>
      <c r="T38" s="13"/>
    </row>
    <row r="39" spans="2:73" ht="24.2" customHeight="1" thickBot="1" x14ac:dyDescent="0.25">
      <c r="B39" s="156"/>
      <c r="C39" s="163"/>
      <c r="D39" s="20" t="e">
        <f>VLOOKUP($B39,#REF!,3,0)</f>
        <v>#REF!</v>
      </c>
      <c r="E39" s="20" t="e">
        <f>VLOOKUP($B39,#REF!,4,0)</f>
        <v>#REF!</v>
      </c>
      <c r="F39" s="20" t="e">
        <f>VLOOKUP($B39,#REF!,5,0)</f>
        <v>#REF!</v>
      </c>
      <c r="G39" s="20" t="e">
        <f>VLOOKUP($B39,#REF!,6,0)</f>
        <v>#REF!</v>
      </c>
      <c r="H39" s="20" t="e">
        <f>VLOOKUP($B39,#REF!,7,0)</f>
        <v>#REF!</v>
      </c>
      <c r="I39" s="20" t="e">
        <f>VLOOKUP($B39,#REF!,8,0)</f>
        <v>#REF!</v>
      </c>
      <c r="J39" s="160"/>
      <c r="K39" s="34" t="s">
        <v>13</v>
      </c>
      <c r="L39" s="36">
        <v>44</v>
      </c>
      <c r="M39" s="36">
        <v>37</v>
      </c>
      <c r="N39" s="36">
        <v>39</v>
      </c>
      <c r="O39" s="162"/>
      <c r="P39" s="13"/>
      <c r="Q39" s="13"/>
      <c r="R39" s="13"/>
      <c r="S39" s="13"/>
      <c r="T39" s="13"/>
      <c r="AF39" s="12"/>
      <c r="AG39" s="12"/>
      <c r="AH39" s="14"/>
      <c r="AI39" s="15"/>
      <c r="AJ39" s="15"/>
      <c r="AK39" s="15"/>
      <c r="AL39" s="15"/>
      <c r="AM39" s="15"/>
      <c r="AN39" s="15"/>
      <c r="AO39" s="15"/>
      <c r="AP39" s="15"/>
      <c r="AQ39" s="15"/>
      <c r="AR39" s="15"/>
      <c r="AS39" s="15"/>
      <c r="AT39" s="15"/>
      <c r="AU39" s="15"/>
      <c r="AV39" s="15"/>
      <c r="AW39" s="15"/>
      <c r="AX39" s="15"/>
      <c r="AY39" s="15"/>
      <c r="AZ39" s="15"/>
      <c r="BA39" s="15"/>
      <c r="BB39" s="15"/>
      <c r="BC39" s="15"/>
      <c r="BD39" s="15"/>
      <c r="BE39" s="15"/>
      <c r="BF39" s="15"/>
      <c r="BG39" s="15"/>
      <c r="BH39" s="15"/>
      <c r="BI39" s="15"/>
      <c r="BJ39" s="15"/>
      <c r="BK39" s="15"/>
      <c r="BL39" s="15"/>
      <c r="BM39" s="15"/>
      <c r="BN39" s="15"/>
      <c r="BO39" s="15"/>
      <c r="BP39" s="15"/>
      <c r="BQ39" s="15"/>
      <c r="BR39" s="15"/>
      <c r="BS39" s="15"/>
      <c r="BT39" s="15"/>
      <c r="BU39" s="15"/>
    </row>
    <row r="40" spans="2:73" ht="24.2" customHeight="1" x14ac:dyDescent="0.2">
      <c r="B40" s="155">
        <v>16</v>
      </c>
      <c r="C40" s="157" t="s">
        <v>29</v>
      </c>
      <c r="D40" s="19" t="e">
        <f>VLOOKUP($B40,#REF!,3,0)</f>
        <v>#REF!</v>
      </c>
      <c r="E40" s="19" t="e">
        <f>VLOOKUP($B40,#REF!,4,0)</f>
        <v>#REF!</v>
      </c>
      <c r="F40" s="19" t="e">
        <f>VLOOKUP($B40,#REF!,5,0)</f>
        <v>#REF!</v>
      </c>
      <c r="G40" s="19" t="e">
        <f>VLOOKUP($B40,#REF!,6,0)</f>
        <v>#REF!</v>
      </c>
      <c r="H40" s="19" t="e">
        <f>VLOOKUP($B40,#REF!,7,0)</f>
        <v>#REF!</v>
      </c>
      <c r="I40" s="19" t="e">
        <f>VLOOKUP($B40,#REF!,8,0)</f>
        <v>#REF!</v>
      </c>
      <c r="J40" s="159"/>
      <c r="K40" s="22" t="s">
        <v>12</v>
      </c>
      <c r="L40" s="44">
        <v>39</v>
      </c>
      <c r="M40" s="44">
        <v>35</v>
      </c>
      <c r="N40" s="35">
        <v>38</v>
      </c>
      <c r="O40" s="161"/>
      <c r="P40" s="13"/>
      <c r="Q40" s="13"/>
      <c r="R40" s="13"/>
      <c r="S40" s="13"/>
      <c r="T40" s="13"/>
    </row>
    <row r="41" spans="2:73" ht="24.2" customHeight="1" thickBot="1" x14ac:dyDescent="0.25">
      <c r="B41" s="156"/>
      <c r="C41" s="158"/>
      <c r="D41" s="20" t="e">
        <f>VLOOKUP($B41,#REF!,3,0)</f>
        <v>#REF!</v>
      </c>
      <c r="E41" s="20" t="e">
        <f>VLOOKUP($B41,#REF!,4,0)</f>
        <v>#REF!</v>
      </c>
      <c r="F41" s="20" t="e">
        <f>VLOOKUP($B41,#REF!,5,0)</f>
        <v>#REF!</v>
      </c>
      <c r="G41" s="20" t="e">
        <f>VLOOKUP($B41,#REF!,6,0)</f>
        <v>#REF!</v>
      </c>
      <c r="H41" s="20" t="e">
        <f>VLOOKUP($B41,#REF!,7,0)</f>
        <v>#REF!</v>
      </c>
      <c r="I41" s="20" t="e">
        <f>VLOOKUP($B41,#REF!,8,0)</f>
        <v>#REF!</v>
      </c>
      <c r="J41" s="160"/>
      <c r="K41" s="34" t="s">
        <v>13</v>
      </c>
      <c r="L41" s="36">
        <v>40</v>
      </c>
      <c r="M41" s="36">
        <v>40</v>
      </c>
      <c r="N41" s="36">
        <v>42</v>
      </c>
      <c r="O41" s="162"/>
      <c r="P41" s="13"/>
      <c r="Q41" s="13"/>
      <c r="R41" s="13"/>
      <c r="S41" s="13"/>
      <c r="T41" s="13"/>
      <c r="AF41" s="12"/>
      <c r="AG41" s="12"/>
      <c r="AH41" s="14"/>
      <c r="AI41" s="15"/>
      <c r="AJ41" s="15"/>
      <c r="AK41" s="15"/>
      <c r="AL41" s="15"/>
      <c r="AM41" s="15"/>
      <c r="AN41" s="15"/>
      <c r="AO41" s="15"/>
      <c r="AP41" s="15"/>
      <c r="AQ41" s="15"/>
      <c r="AR41" s="15"/>
      <c r="AS41" s="15"/>
      <c r="AT41" s="15"/>
      <c r="AU41" s="15"/>
      <c r="AV41" s="15"/>
      <c r="AW41" s="15"/>
      <c r="AX41" s="15"/>
      <c r="AY41" s="15"/>
      <c r="AZ41" s="15"/>
      <c r="BA41" s="15"/>
      <c r="BB41" s="15"/>
      <c r="BC41" s="15"/>
      <c r="BD41" s="15"/>
      <c r="BE41" s="15"/>
      <c r="BF41" s="15"/>
      <c r="BG41" s="15"/>
      <c r="BH41" s="15"/>
      <c r="BI41" s="15"/>
      <c r="BJ41" s="15"/>
      <c r="BK41" s="15"/>
      <c r="BL41" s="15"/>
      <c r="BM41" s="15"/>
      <c r="BN41" s="15"/>
      <c r="BO41" s="15"/>
      <c r="BP41" s="15"/>
      <c r="BQ41" s="15"/>
      <c r="BR41" s="15"/>
      <c r="BS41" s="15"/>
      <c r="BT41" s="15"/>
      <c r="BU41" s="15"/>
    </row>
    <row r="42" spans="2:73" ht="24" customHeight="1" x14ac:dyDescent="0.2">
      <c r="B42" s="155">
        <v>17</v>
      </c>
      <c r="C42" s="157" t="s">
        <v>28</v>
      </c>
      <c r="D42" s="19" t="e">
        <f>VLOOKUP($B42,#REF!,3,0)</f>
        <v>#REF!</v>
      </c>
      <c r="E42" s="19" t="e">
        <f>VLOOKUP($B42,#REF!,4,0)</f>
        <v>#REF!</v>
      </c>
      <c r="F42" s="19" t="e">
        <f>VLOOKUP($B42,#REF!,5,0)</f>
        <v>#REF!</v>
      </c>
      <c r="G42" s="19" t="e">
        <f>VLOOKUP($B42,#REF!,6,0)</f>
        <v>#REF!</v>
      </c>
      <c r="H42" s="19" t="e">
        <f>VLOOKUP($B42,#REF!,7,0)</f>
        <v>#REF!</v>
      </c>
      <c r="I42" s="19" t="e">
        <f>VLOOKUP($B42,#REF!,8,0)</f>
        <v>#REF!</v>
      </c>
      <c r="J42" s="159">
        <v>1332</v>
      </c>
      <c r="K42" s="22" t="s">
        <v>12</v>
      </c>
      <c r="L42" s="44">
        <v>37</v>
      </c>
      <c r="M42" s="44">
        <v>36</v>
      </c>
      <c r="N42" s="35">
        <v>37</v>
      </c>
      <c r="O42" s="161"/>
    </row>
    <row r="43" spans="2:73" ht="24" customHeight="1" thickBot="1" x14ac:dyDescent="0.25">
      <c r="B43" s="156"/>
      <c r="C43" s="163"/>
      <c r="D43" s="20"/>
      <c r="E43" s="20"/>
      <c r="F43" s="20"/>
      <c r="G43" s="20"/>
      <c r="H43" s="20"/>
      <c r="I43" s="20"/>
      <c r="J43" s="160"/>
      <c r="K43" s="34" t="s">
        <v>13</v>
      </c>
      <c r="L43" s="36">
        <v>38</v>
      </c>
      <c r="M43" s="36">
        <v>37</v>
      </c>
      <c r="N43" s="36">
        <v>38</v>
      </c>
      <c r="O43" s="162"/>
    </row>
  </sheetData>
  <mergeCells count="70">
    <mergeCell ref="AF5:AH5"/>
    <mergeCell ref="L6:N6"/>
    <mergeCell ref="O7:O8"/>
    <mergeCell ref="B8:K8"/>
    <mergeCell ref="B10:B11"/>
    <mergeCell ref="C10:C11"/>
    <mergeCell ref="J10:J11"/>
    <mergeCell ref="B18:B19"/>
    <mergeCell ref="C18:C19"/>
    <mergeCell ref="J18:J19"/>
    <mergeCell ref="O18:O19"/>
    <mergeCell ref="B12:B13"/>
    <mergeCell ref="C12:C13"/>
    <mergeCell ref="J12:J13"/>
    <mergeCell ref="B14:B15"/>
    <mergeCell ref="C14:C15"/>
    <mergeCell ref="J14:J15"/>
    <mergeCell ref="O14:O15"/>
    <mergeCell ref="B16:B17"/>
    <mergeCell ref="C16:C17"/>
    <mergeCell ref="J16:J17"/>
    <mergeCell ref="O16:O17"/>
    <mergeCell ref="B20:B21"/>
    <mergeCell ref="C20:C21"/>
    <mergeCell ref="J20:J21"/>
    <mergeCell ref="O20:O21"/>
    <mergeCell ref="B22:B23"/>
    <mergeCell ref="C22:C23"/>
    <mergeCell ref="J22:J23"/>
    <mergeCell ref="O22:O23"/>
    <mergeCell ref="B24:B25"/>
    <mergeCell ref="C24:C25"/>
    <mergeCell ref="J24:J25"/>
    <mergeCell ref="O24:O25"/>
    <mergeCell ref="B26:B27"/>
    <mergeCell ref="C26:C27"/>
    <mergeCell ref="J26:J27"/>
    <mergeCell ref="O26:O27"/>
    <mergeCell ref="B28:B29"/>
    <mergeCell ref="C28:C29"/>
    <mergeCell ref="J28:J29"/>
    <mergeCell ref="O28:O29"/>
    <mergeCell ref="B30:B31"/>
    <mergeCell ref="C30:C31"/>
    <mergeCell ref="J30:J31"/>
    <mergeCell ref="O30:O31"/>
    <mergeCell ref="B32:B33"/>
    <mergeCell ref="C32:C33"/>
    <mergeCell ref="J32:J33"/>
    <mergeCell ref="O32:O33"/>
    <mergeCell ref="B34:B35"/>
    <mergeCell ref="C34:C35"/>
    <mergeCell ref="J34:J35"/>
    <mergeCell ref="O34:O35"/>
    <mergeCell ref="B36:B37"/>
    <mergeCell ref="C36:C37"/>
    <mergeCell ref="J36:J37"/>
    <mergeCell ref="O36:O37"/>
    <mergeCell ref="B38:B39"/>
    <mergeCell ref="C38:C39"/>
    <mergeCell ref="J38:J39"/>
    <mergeCell ref="O38:O39"/>
    <mergeCell ref="B40:B41"/>
    <mergeCell ref="C40:C41"/>
    <mergeCell ref="J40:J41"/>
    <mergeCell ref="O40:O41"/>
    <mergeCell ref="B42:B43"/>
    <mergeCell ref="C42:C43"/>
    <mergeCell ref="J42:J43"/>
    <mergeCell ref="O42:O43"/>
  </mergeCells>
  <pageMargins left="0.45" right="0" top="0.49" bottom="0" header="0.64" footer="0"/>
  <pageSetup paperSize="512" scale="72" orientation="portrait" r:id="rId1"/>
  <headerFooter alignWithMargins="0"/>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BU43"/>
  <sheetViews>
    <sheetView zoomScale="90" zoomScaleNormal="90" workbookViewId="0"/>
  </sheetViews>
  <sheetFormatPr defaultRowHeight="12.75" x14ac:dyDescent="0.2"/>
  <cols>
    <col min="1" max="1" width="5.42578125" customWidth="1"/>
    <col min="2" max="2" width="6.28515625" customWidth="1"/>
    <col min="3" max="3" width="12.7109375" customWidth="1"/>
    <col min="4" max="8" width="5.28515625" hidden="1" customWidth="1"/>
    <col min="9" max="9" width="7" hidden="1" customWidth="1"/>
    <col min="10" max="10" width="8.42578125" customWidth="1"/>
    <col min="11" max="14" width="12.7109375" customWidth="1"/>
    <col min="15" max="15" width="48.7109375" customWidth="1"/>
    <col min="22" max="22" width="7.5703125" customWidth="1"/>
    <col min="23" max="32" width="7.7109375" customWidth="1"/>
  </cols>
  <sheetData>
    <row r="1" spans="1:73" ht="15" customHeight="1" x14ac:dyDescent="0.25">
      <c r="A1" s="1" t="s">
        <v>33</v>
      </c>
    </row>
    <row r="2" spans="1:73" ht="20.25" customHeight="1" thickBot="1" x14ac:dyDescent="0.3">
      <c r="A2" s="1"/>
      <c r="M2" s="15" t="s">
        <v>0</v>
      </c>
      <c r="N2" s="23">
        <v>40711</v>
      </c>
      <c r="O2" s="29"/>
    </row>
    <row r="3" spans="1:73" ht="20.25" customHeight="1" thickBot="1" x14ac:dyDescent="0.25">
      <c r="A3" t="s">
        <v>1</v>
      </c>
      <c r="C3" s="38" t="s">
        <v>45</v>
      </c>
      <c r="D3" s="3"/>
      <c r="E3" s="3"/>
      <c r="F3" s="3"/>
      <c r="G3" s="3"/>
      <c r="H3" s="3"/>
      <c r="I3" s="3"/>
      <c r="J3" s="3"/>
      <c r="K3" s="3"/>
      <c r="L3" s="3"/>
      <c r="M3" s="15" t="s">
        <v>23</v>
      </c>
      <c r="N3" s="2">
        <v>168</v>
      </c>
      <c r="O3" s="30"/>
    </row>
    <row r="4" spans="1:73" ht="20.25" customHeight="1" thickBot="1" x14ac:dyDescent="0.25">
      <c r="B4" s="3" t="s">
        <v>46</v>
      </c>
      <c r="C4" s="38"/>
      <c r="D4" s="4"/>
      <c r="E4" s="4"/>
      <c r="F4" s="4"/>
      <c r="G4" s="4"/>
      <c r="H4" s="4"/>
      <c r="I4" s="4"/>
      <c r="J4" s="4"/>
      <c r="K4" s="4"/>
      <c r="L4" s="4"/>
      <c r="M4" s="15" t="s">
        <v>2</v>
      </c>
      <c r="N4" s="2" t="s">
        <v>26</v>
      </c>
      <c r="O4" s="30"/>
    </row>
    <row r="5" spans="1:73" ht="18" x14ac:dyDescent="0.2">
      <c r="AE5" s="5"/>
      <c r="AF5" s="165"/>
      <c r="AG5" s="165"/>
      <c r="AH5" s="165"/>
    </row>
    <row r="6" spans="1:73" ht="18" x14ac:dyDescent="0.25">
      <c r="L6" s="174"/>
      <c r="M6" s="167"/>
      <c r="N6" s="168"/>
      <c r="O6" s="31"/>
      <c r="AE6" s="5"/>
      <c r="AF6" s="24"/>
      <c r="AG6" s="24"/>
      <c r="AH6" s="24"/>
    </row>
    <row r="7" spans="1:73" ht="25.5" customHeight="1" x14ac:dyDescent="0.2">
      <c r="B7" s="6" t="s">
        <v>3</v>
      </c>
      <c r="C7" s="7"/>
      <c r="D7" s="7" t="s">
        <v>4</v>
      </c>
      <c r="E7" s="6" t="s">
        <v>5</v>
      </c>
      <c r="F7" s="7" t="s">
        <v>6</v>
      </c>
      <c r="G7" s="6" t="s">
        <v>7</v>
      </c>
      <c r="H7" s="6" t="s">
        <v>8</v>
      </c>
      <c r="I7" s="6" t="s">
        <v>9</v>
      </c>
      <c r="J7" s="6" t="s">
        <v>11</v>
      </c>
      <c r="K7" s="8" t="s">
        <v>24</v>
      </c>
      <c r="L7" s="22" t="s">
        <v>30</v>
      </c>
      <c r="M7" s="22" t="s">
        <v>31</v>
      </c>
      <c r="N7" s="22" t="s">
        <v>32</v>
      </c>
      <c r="O7" s="169" t="s">
        <v>25</v>
      </c>
      <c r="AE7" s="10"/>
      <c r="AF7" s="9"/>
      <c r="AG7" s="9"/>
      <c r="AH7" s="11"/>
    </row>
    <row r="8" spans="1:73" ht="15.95" customHeight="1" thickBot="1" x14ac:dyDescent="0.25">
      <c r="B8" s="170"/>
      <c r="C8" s="171"/>
      <c r="D8" s="171"/>
      <c r="E8" s="171"/>
      <c r="F8" s="171"/>
      <c r="G8" s="171"/>
      <c r="H8" s="171"/>
      <c r="I8" s="171"/>
      <c r="J8" s="171"/>
      <c r="K8" s="172"/>
      <c r="L8" s="39" t="s">
        <v>27</v>
      </c>
      <c r="M8" s="39"/>
      <c r="N8" s="39"/>
      <c r="O8" s="163"/>
      <c r="AF8" s="12"/>
      <c r="AG8" s="12"/>
      <c r="AH8" s="12"/>
    </row>
    <row r="9" spans="1:73" ht="15.95" hidden="1" customHeight="1" x14ac:dyDescent="0.2">
      <c r="B9" s="25" t="s">
        <v>3</v>
      </c>
      <c r="C9" s="26" t="s">
        <v>10</v>
      </c>
      <c r="D9" s="26" t="s">
        <v>14</v>
      </c>
      <c r="E9" s="25" t="s">
        <v>15</v>
      </c>
      <c r="F9" s="26" t="s">
        <v>16</v>
      </c>
      <c r="G9" s="25" t="s">
        <v>17</v>
      </c>
      <c r="H9" s="25" t="s">
        <v>8</v>
      </c>
      <c r="I9" s="25" t="s">
        <v>18</v>
      </c>
      <c r="J9" s="27" t="s">
        <v>11</v>
      </c>
      <c r="K9" s="27" t="s">
        <v>19</v>
      </c>
      <c r="L9" s="28" t="s">
        <v>20</v>
      </c>
      <c r="M9" s="28" t="s">
        <v>21</v>
      </c>
      <c r="N9" s="28" t="s">
        <v>22</v>
      </c>
      <c r="O9" s="32"/>
      <c r="AF9" s="12"/>
      <c r="AG9" s="12"/>
      <c r="AH9" s="12"/>
    </row>
    <row r="10" spans="1:73" ht="24.2" customHeight="1" x14ac:dyDescent="0.2">
      <c r="B10" s="164">
        <v>1</v>
      </c>
      <c r="C10" s="157" t="s">
        <v>28</v>
      </c>
      <c r="D10" s="19" t="e">
        <f>VLOOKUP($B10,#REF!,3,0)</f>
        <v>#REF!</v>
      </c>
      <c r="E10" s="19" t="e">
        <f>VLOOKUP($B10,#REF!,4,0)</f>
        <v>#REF!</v>
      </c>
      <c r="F10" s="19" t="e">
        <f>VLOOKUP($B10,#REF!,5,0)</f>
        <v>#REF!</v>
      </c>
      <c r="G10" s="19" t="e">
        <f>VLOOKUP($B10,#REF!,6,0)</f>
        <v>#REF!</v>
      </c>
      <c r="H10" s="19" t="e">
        <f>VLOOKUP($B10,#REF!,7,0)</f>
        <v>#REF!</v>
      </c>
      <c r="I10" s="19" t="e">
        <f>VLOOKUP($B10,#REF!,8,0)</f>
        <v>#REF!</v>
      </c>
      <c r="J10" s="173">
        <v>1020</v>
      </c>
      <c r="K10" s="22" t="s">
        <v>12</v>
      </c>
      <c r="L10" s="35">
        <v>38</v>
      </c>
      <c r="M10" s="35">
        <v>42</v>
      </c>
      <c r="N10" s="44">
        <v>31</v>
      </c>
      <c r="O10" s="40" t="s">
        <v>48</v>
      </c>
      <c r="P10" s="13"/>
      <c r="Q10" s="13"/>
      <c r="R10" s="13"/>
      <c r="S10" s="13"/>
      <c r="T10" s="13"/>
      <c r="AF10" s="12"/>
      <c r="AG10" s="12"/>
      <c r="AH10" s="14"/>
      <c r="AI10" s="15"/>
      <c r="AJ10" s="15"/>
      <c r="AK10" s="15"/>
      <c r="AL10" s="15"/>
      <c r="AM10" s="15"/>
      <c r="AN10" s="15"/>
      <c r="AO10" s="15"/>
      <c r="AP10" s="15"/>
      <c r="AQ10" s="15"/>
      <c r="AR10" s="15"/>
      <c r="AS10" s="15"/>
      <c r="AT10" s="15"/>
      <c r="AU10" s="15"/>
      <c r="AV10" s="15"/>
      <c r="AW10" s="15"/>
      <c r="AX10" s="15"/>
      <c r="AY10" s="15"/>
      <c r="AZ10" s="15"/>
      <c r="BA10" s="15"/>
      <c r="BB10" s="15"/>
      <c r="BC10" s="15"/>
      <c r="BD10" s="15"/>
      <c r="BE10" s="15"/>
      <c r="BF10" s="15"/>
      <c r="BG10" s="15"/>
      <c r="BH10" s="15"/>
      <c r="BI10" s="15"/>
      <c r="BJ10" s="15"/>
      <c r="BK10" s="15"/>
      <c r="BL10" s="15"/>
      <c r="BM10" s="15"/>
      <c r="BN10" s="15"/>
      <c r="BO10" s="15"/>
      <c r="BP10" s="15"/>
      <c r="BQ10" s="15"/>
      <c r="BR10" s="15"/>
      <c r="BS10" s="15"/>
      <c r="BT10" s="15"/>
      <c r="BU10" s="15"/>
    </row>
    <row r="11" spans="1:73" ht="24.2" customHeight="1" thickBot="1" x14ac:dyDescent="0.25">
      <c r="B11" s="156"/>
      <c r="C11" s="163"/>
      <c r="D11" s="20" t="e">
        <f>VLOOKUP($B11,#REF!,3,0)</f>
        <v>#REF!</v>
      </c>
      <c r="E11" s="20" t="e">
        <f>VLOOKUP($B11,#REF!,4,0)</f>
        <v>#REF!</v>
      </c>
      <c r="F11" s="20" t="e">
        <f>VLOOKUP($B11,#REF!,5,0)</f>
        <v>#REF!</v>
      </c>
      <c r="G11" s="20" t="e">
        <f>VLOOKUP($B11,#REF!,6,0)</f>
        <v>#REF!</v>
      </c>
      <c r="H11" s="20" t="e">
        <f>VLOOKUP($B11,#REF!,7,0)</f>
        <v>#REF!</v>
      </c>
      <c r="I11" s="20" t="e">
        <f>VLOOKUP($B11,#REF!,8,0)</f>
        <v>#REF!</v>
      </c>
      <c r="J11" s="160"/>
      <c r="K11" s="34" t="s">
        <v>13</v>
      </c>
      <c r="L11" s="36">
        <v>57</v>
      </c>
      <c r="M11" s="36">
        <v>52</v>
      </c>
      <c r="N11" s="36">
        <v>41</v>
      </c>
      <c r="O11" s="41"/>
      <c r="P11" s="13"/>
      <c r="Q11" s="13"/>
      <c r="R11" s="13"/>
      <c r="S11" s="13"/>
      <c r="T11" s="13"/>
      <c r="AF11" s="12"/>
      <c r="AG11" s="12"/>
      <c r="AH11" s="14"/>
      <c r="AI11" s="15"/>
      <c r="AJ11" s="15"/>
      <c r="AK11" s="15"/>
      <c r="AL11" s="15"/>
      <c r="AM11" s="15"/>
      <c r="AN11" s="15"/>
      <c r="AO11" s="15"/>
      <c r="AP11" s="15"/>
      <c r="AQ11" s="15"/>
      <c r="AR11" s="15"/>
      <c r="AS11" s="15"/>
      <c r="AT11" s="15"/>
      <c r="AU11" s="15"/>
      <c r="AV11" s="15"/>
      <c r="AW11" s="15"/>
      <c r="AX11" s="15"/>
      <c r="AY11" s="15"/>
      <c r="AZ11" s="15"/>
      <c r="BA11" s="15"/>
      <c r="BB11" s="15"/>
      <c r="BC11" s="15"/>
      <c r="BD11" s="15"/>
      <c r="BE11" s="15"/>
      <c r="BF11" s="15"/>
      <c r="BG11" s="15"/>
      <c r="BH11" s="15"/>
      <c r="BI11" s="15"/>
      <c r="BJ11" s="15"/>
      <c r="BK11" s="15"/>
      <c r="BL11" s="15"/>
      <c r="BM11" s="15"/>
      <c r="BN11" s="15"/>
      <c r="BO11" s="15"/>
      <c r="BP11" s="15"/>
      <c r="BQ11" s="15"/>
      <c r="BR11" s="15"/>
      <c r="BS11" s="15"/>
      <c r="BT11" s="15"/>
      <c r="BU11" s="15"/>
    </row>
    <row r="12" spans="1:73" ht="24.2" customHeight="1" x14ac:dyDescent="0.2">
      <c r="B12" s="164">
        <v>2</v>
      </c>
      <c r="C12" s="157" t="s">
        <v>29</v>
      </c>
      <c r="D12" s="21" t="e">
        <f>VLOOKUP($B12,#REF!,3,0)</f>
        <v>#REF!</v>
      </c>
      <c r="E12" s="21" t="e">
        <f>VLOOKUP($B12,#REF!,4,0)</f>
        <v>#REF!</v>
      </c>
      <c r="F12" s="21" t="e">
        <f>VLOOKUP($B12,#REF!,5,0)</f>
        <v>#REF!</v>
      </c>
      <c r="G12" s="21" t="e">
        <f>VLOOKUP($B12,#REF!,6,0)</f>
        <v>#REF!</v>
      </c>
      <c r="H12" s="21" t="e">
        <f>VLOOKUP($B12,#REF!,7,0)</f>
        <v>#REF!</v>
      </c>
      <c r="I12" s="21" t="e">
        <f>VLOOKUP($B12,#REF!,8,0)</f>
        <v>#REF!</v>
      </c>
      <c r="J12" s="159"/>
      <c r="K12" s="33" t="s">
        <v>12</v>
      </c>
      <c r="L12" s="35">
        <v>37</v>
      </c>
      <c r="M12" s="35">
        <v>48</v>
      </c>
      <c r="N12" s="35">
        <v>41</v>
      </c>
      <c r="O12" s="42"/>
      <c r="P12" s="13"/>
      <c r="Q12" s="16"/>
      <c r="R12" s="13"/>
      <c r="S12" s="17"/>
      <c r="T12" s="13"/>
      <c r="AF12" s="12"/>
      <c r="AG12" s="12"/>
      <c r="AH12" s="12"/>
      <c r="AI12" s="18"/>
      <c r="AJ12" s="18"/>
      <c r="AK12" s="18"/>
      <c r="AL12" s="18"/>
      <c r="AM12" s="18"/>
      <c r="AN12" s="18"/>
      <c r="AO12" s="18"/>
      <c r="AP12" s="18"/>
      <c r="AQ12" s="18"/>
      <c r="AR12" s="18"/>
      <c r="AS12" s="18"/>
      <c r="AT12" s="18"/>
      <c r="AU12" s="18"/>
      <c r="AV12" s="18"/>
      <c r="AW12" s="18"/>
      <c r="AX12" s="18"/>
      <c r="AY12" s="18"/>
      <c r="AZ12" s="18"/>
      <c r="BA12" s="18"/>
      <c r="BB12" s="18"/>
      <c r="BC12" s="18"/>
      <c r="BD12" s="18"/>
      <c r="BE12" s="18"/>
      <c r="BF12" s="18"/>
      <c r="BG12" s="18"/>
      <c r="BH12" s="18"/>
      <c r="BI12" s="18"/>
      <c r="BJ12" s="18"/>
      <c r="BK12" s="18"/>
      <c r="BL12" s="18"/>
      <c r="BM12" s="18"/>
      <c r="BN12" s="18"/>
      <c r="BO12" s="18"/>
      <c r="BP12" s="18"/>
      <c r="BQ12" s="18"/>
      <c r="BR12" s="18"/>
      <c r="BS12" s="18"/>
      <c r="BT12" s="18"/>
      <c r="BU12" s="18"/>
    </row>
    <row r="13" spans="1:73" ht="24.2" customHeight="1" thickBot="1" x14ac:dyDescent="0.25">
      <c r="B13" s="156"/>
      <c r="C13" s="158"/>
      <c r="D13" s="20" t="e">
        <f>VLOOKUP($B13,#REF!,3,0)</f>
        <v>#REF!</v>
      </c>
      <c r="E13" s="20" t="e">
        <f>VLOOKUP($B13,#REF!,4,0)</f>
        <v>#REF!</v>
      </c>
      <c r="F13" s="20" t="e">
        <f>VLOOKUP($B13,#REF!,5,0)</f>
        <v>#REF!</v>
      </c>
      <c r="G13" s="20" t="e">
        <f>VLOOKUP($B13,#REF!,6,0)</f>
        <v>#REF!</v>
      </c>
      <c r="H13" s="20" t="e">
        <f>VLOOKUP($B13,#REF!,7,0)</f>
        <v>#REF!</v>
      </c>
      <c r="I13" s="20" t="e">
        <f>VLOOKUP($B13,#REF!,8,0)</f>
        <v>#REF!</v>
      </c>
      <c r="J13" s="160"/>
      <c r="K13" s="34" t="s">
        <v>13</v>
      </c>
      <c r="L13" s="37">
        <v>49</v>
      </c>
      <c r="M13" s="36">
        <v>49</v>
      </c>
      <c r="N13" s="36">
        <v>57</v>
      </c>
      <c r="O13" s="43"/>
      <c r="P13" s="13"/>
      <c r="Q13" s="13"/>
      <c r="R13" s="13"/>
      <c r="S13" s="13"/>
      <c r="T13" s="13"/>
      <c r="AF13" s="12"/>
      <c r="AG13" s="12"/>
      <c r="AH13" s="14"/>
      <c r="AI13" s="15"/>
      <c r="AJ13" s="15"/>
      <c r="AK13" s="15"/>
      <c r="AL13" s="15"/>
      <c r="AM13" s="15"/>
      <c r="AN13" s="15"/>
      <c r="AO13" s="15"/>
      <c r="AP13" s="15"/>
      <c r="AQ13" s="15"/>
      <c r="AR13" s="15"/>
      <c r="AS13" s="15"/>
      <c r="AT13" s="15"/>
      <c r="AU13" s="15"/>
      <c r="AV13" s="15"/>
      <c r="AW13" s="15"/>
      <c r="AX13" s="15"/>
      <c r="AY13" s="15"/>
      <c r="AZ13" s="15"/>
      <c r="BA13" s="15"/>
      <c r="BB13" s="15"/>
      <c r="BC13" s="15"/>
      <c r="BD13" s="15"/>
      <c r="BE13" s="15"/>
      <c r="BF13" s="15"/>
      <c r="BG13" s="15"/>
      <c r="BH13" s="15"/>
      <c r="BI13" s="15"/>
      <c r="BJ13" s="15"/>
      <c r="BK13" s="15"/>
      <c r="BL13" s="15"/>
      <c r="BM13" s="15"/>
      <c r="BN13" s="15"/>
      <c r="BO13" s="15"/>
      <c r="BP13" s="15"/>
      <c r="BQ13" s="15"/>
      <c r="BR13" s="15"/>
      <c r="BS13" s="15"/>
      <c r="BT13" s="15"/>
      <c r="BU13" s="15"/>
    </row>
    <row r="14" spans="1:73" ht="24.2" customHeight="1" x14ac:dyDescent="0.2">
      <c r="B14" s="175">
        <v>3</v>
      </c>
      <c r="C14" s="177" t="s">
        <v>28</v>
      </c>
      <c r="D14" s="50" t="e">
        <f>VLOOKUP($B14,#REF!,3,0)</f>
        <v>#REF!</v>
      </c>
      <c r="E14" s="50" t="e">
        <f>VLOOKUP($B14,#REF!,4,0)</f>
        <v>#REF!</v>
      </c>
      <c r="F14" s="50" t="e">
        <f>VLOOKUP($B14,#REF!,5,0)</f>
        <v>#REF!</v>
      </c>
      <c r="G14" s="50" t="e">
        <f>VLOOKUP($B14,#REF!,6,0)</f>
        <v>#REF!</v>
      </c>
      <c r="H14" s="50" t="e">
        <f>VLOOKUP($B14,#REF!,7,0)</f>
        <v>#REF!</v>
      </c>
      <c r="I14" s="50" t="e">
        <f>VLOOKUP($B14,#REF!,8,0)</f>
        <v>#REF!</v>
      </c>
      <c r="J14" s="179"/>
      <c r="K14" s="51" t="s">
        <v>12</v>
      </c>
      <c r="L14" s="52"/>
      <c r="M14" s="52"/>
      <c r="N14" s="52"/>
      <c r="O14" s="181" t="s">
        <v>47</v>
      </c>
      <c r="P14" s="13"/>
      <c r="Q14" s="13"/>
      <c r="R14" s="13"/>
      <c r="S14" s="13"/>
      <c r="T14" s="13"/>
      <c r="AF14" s="12"/>
      <c r="AG14" s="12"/>
      <c r="AH14" s="12"/>
    </row>
    <row r="15" spans="1:73" ht="24.2" customHeight="1" thickBot="1" x14ac:dyDescent="0.25">
      <c r="B15" s="176"/>
      <c r="C15" s="178"/>
      <c r="D15" s="53" t="e">
        <f>VLOOKUP($B15,#REF!,3,0)</f>
        <v>#REF!</v>
      </c>
      <c r="E15" s="53" t="e">
        <f>VLOOKUP($B15,#REF!,4,0)</f>
        <v>#REF!</v>
      </c>
      <c r="F15" s="53" t="e">
        <f>VLOOKUP($B15,#REF!,5,0)</f>
        <v>#REF!</v>
      </c>
      <c r="G15" s="53" t="e">
        <f>VLOOKUP($B15,#REF!,6,0)</f>
        <v>#REF!</v>
      </c>
      <c r="H15" s="53" t="e">
        <f>VLOOKUP($B15,#REF!,7,0)</f>
        <v>#REF!</v>
      </c>
      <c r="I15" s="53" t="e">
        <f>VLOOKUP($B15,#REF!,8,0)</f>
        <v>#REF!</v>
      </c>
      <c r="J15" s="180"/>
      <c r="K15" s="54" t="s">
        <v>13</v>
      </c>
      <c r="L15" s="55"/>
      <c r="M15" s="55"/>
      <c r="N15" s="55"/>
      <c r="O15" s="182"/>
      <c r="P15" s="13"/>
      <c r="Q15" s="13"/>
      <c r="R15" s="13"/>
      <c r="S15" s="13"/>
      <c r="T15" s="13"/>
      <c r="AF15" s="12"/>
      <c r="AG15" s="12"/>
      <c r="AH15" s="14"/>
      <c r="AI15" s="15"/>
      <c r="AJ15" s="15"/>
      <c r="AK15" s="15"/>
      <c r="AL15" s="15"/>
      <c r="AM15" s="15"/>
      <c r="AN15" s="15"/>
      <c r="AO15" s="15"/>
      <c r="AP15" s="15"/>
      <c r="AQ15" s="15"/>
      <c r="AR15" s="15"/>
      <c r="AS15" s="15"/>
      <c r="AT15" s="15"/>
      <c r="AU15" s="15"/>
      <c r="AV15" s="15"/>
      <c r="AW15" s="15"/>
      <c r="AX15" s="15"/>
      <c r="AY15" s="15"/>
      <c r="AZ15" s="15"/>
      <c r="BA15" s="15"/>
      <c r="BB15" s="15"/>
      <c r="BC15" s="15"/>
      <c r="BD15" s="15"/>
      <c r="BE15" s="15"/>
      <c r="BF15" s="15"/>
      <c r="BG15" s="15"/>
      <c r="BH15" s="15"/>
      <c r="BI15" s="15"/>
      <c r="BJ15" s="15"/>
      <c r="BK15" s="15"/>
      <c r="BL15" s="15"/>
      <c r="BM15" s="15"/>
      <c r="BN15" s="15"/>
      <c r="BO15" s="15"/>
      <c r="BP15" s="15"/>
      <c r="BQ15" s="15"/>
      <c r="BR15" s="15"/>
      <c r="BS15" s="15"/>
      <c r="BT15" s="15"/>
      <c r="BU15" s="15"/>
    </row>
    <row r="16" spans="1:73" ht="24.2" customHeight="1" x14ac:dyDescent="0.2">
      <c r="B16" s="164">
        <v>4</v>
      </c>
      <c r="C16" s="157" t="s">
        <v>29</v>
      </c>
      <c r="D16" s="19" t="e">
        <f>VLOOKUP($B16,#REF!,3,0)</f>
        <v>#REF!</v>
      </c>
      <c r="E16" s="19" t="e">
        <f>VLOOKUP($B16,#REF!,4,0)</f>
        <v>#REF!</v>
      </c>
      <c r="F16" s="19" t="e">
        <f>VLOOKUP($B16,#REF!,5,0)</f>
        <v>#REF!</v>
      </c>
      <c r="G16" s="19" t="e">
        <f>VLOOKUP($B16,#REF!,6,0)</f>
        <v>#REF!</v>
      </c>
      <c r="H16" s="19" t="e">
        <f>VLOOKUP($B16,#REF!,7,0)</f>
        <v>#REF!</v>
      </c>
      <c r="I16" s="19" t="e">
        <f>VLOOKUP($B16,#REF!,8,0)</f>
        <v>#REF!</v>
      </c>
      <c r="J16" s="159"/>
      <c r="K16" s="22" t="s">
        <v>12</v>
      </c>
      <c r="L16" s="35">
        <v>51</v>
      </c>
      <c r="M16" s="35">
        <v>49</v>
      </c>
      <c r="N16" s="44">
        <v>48</v>
      </c>
      <c r="O16" s="161"/>
      <c r="P16" s="13"/>
      <c r="Q16" s="13"/>
      <c r="R16" s="13"/>
      <c r="S16" s="13"/>
      <c r="T16" s="13"/>
    </row>
    <row r="17" spans="2:73" ht="24.2" customHeight="1" thickBot="1" x14ac:dyDescent="0.25">
      <c r="B17" s="156"/>
      <c r="C17" s="158"/>
      <c r="D17" s="20" t="e">
        <f>VLOOKUP($B17,#REF!,3,0)</f>
        <v>#REF!</v>
      </c>
      <c r="E17" s="20" t="e">
        <f>VLOOKUP($B17,#REF!,4,0)</f>
        <v>#REF!</v>
      </c>
      <c r="F17" s="20" t="e">
        <f>VLOOKUP($B17,#REF!,5,0)</f>
        <v>#REF!</v>
      </c>
      <c r="G17" s="20" t="e">
        <f>VLOOKUP($B17,#REF!,6,0)</f>
        <v>#REF!</v>
      </c>
      <c r="H17" s="20" t="e">
        <f>VLOOKUP($B17,#REF!,7,0)</f>
        <v>#REF!</v>
      </c>
      <c r="I17" s="20" t="e">
        <f>VLOOKUP($B17,#REF!,8,0)</f>
        <v>#REF!</v>
      </c>
      <c r="J17" s="160"/>
      <c r="K17" s="34" t="s">
        <v>13</v>
      </c>
      <c r="L17" s="36">
        <v>59</v>
      </c>
      <c r="M17" s="36">
        <v>56</v>
      </c>
      <c r="N17" s="36">
        <v>54</v>
      </c>
      <c r="O17" s="162"/>
      <c r="P17" s="13"/>
      <c r="Q17" s="13"/>
      <c r="R17" s="13"/>
      <c r="S17" s="13"/>
      <c r="T17" s="13"/>
      <c r="AF17" s="12"/>
      <c r="AG17" s="12"/>
      <c r="AH17" s="14"/>
      <c r="AI17" s="15"/>
      <c r="AJ17" s="15"/>
      <c r="AK17" s="15"/>
      <c r="AL17" s="15"/>
      <c r="AM17" s="15"/>
      <c r="AN17" s="15"/>
      <c r="AO17" s="15"/>
      <c r="AP17" s="15"/>
      <c r="AQ17" s="15"/>
      <c r="AR17" s="15"/>
      <c r="AS17" s="15"/>
      <c r="AT17" s="15"/>
      <c r="AU17" s="15"/>
      <c r="AV17" s="15"/>
      <c r="AW17" s="15"/>
      <c r="AX17" s="15"/>
      <c r="AY17" s="15"/>
      <c r="AZ17" s="15"/>
      <c r="BA17" s="15"/>
      <c r="BB17" s="15"/>
      <c r="BC17" s="15"/>
      <c r="BD17" s="15"/>
      <c r="BE17" s="15"/>
      <c r="BF17" s="15"/>
      <c r="BG17" s="15"/>
      <c r="BH17" s="15"/>
      <c r="BI17" s="15"/>
      <c r="BJ17" s="15"/>
      <c r="BK17" s="15"/>
      <c r="BL17" s="15"/>
      <c r="BM17" s="15"/>
      <c r="BN17" s="15"/>
      <c r="BO17" s="15"/>
      <c r="BP17" s="15"/>
      <c r="BQ17" s="15"/>
      <c r="BR17" s="15"/>
      <c r="BS17" s="15"/>
      <c r="BT17" s="15"/>
      <c r="BU17" s="15"/>
    </row>
    <row r="18" spans="2:73" ht="24.2" customHeight="1" x14ac:dyDescent="0.2">
      <c r="B18" s="164">
        <v>5</v>
      </c>
      <c r="C18" s="157" t="s">
        <v>28</v>
      </c>
      <c r="D18" s="19" t="e">
        <f>VLOOKUP($B18,#REF!,3,0)</f>
        <v>#REF!</v>
      </c>
      <c r="E18" s="19" t="e">
        <f>VLOOKUP($B18,#REF!,4,0)</f>
        <v>#REF!</v>
      </c>
      <c r="F18" s="19" t="e">
        <f>VLOOKUP($B18,#REF!,5,0)</f>
        <v>#REF!</v>
      </c>
      <c r="G18" s="19" t="e">
        <f>VLOOKUP($B18,#REF!,6,0)</f>
        <v>#REF!</v>
      </c>
      <c r="H18" s="19" t="e">
        <f>VLOOKUP($B18,#REF!,7,0)</f>
        <v>#REF!</v>
      </c>
      <c r="I18" s="19" t="e">
        <f>VLOOKUP($B18,#REF!,8,0)</f>
        <v>#REF!</v>
      </c>
      <c r="J18" s="159"/>
      <c r="K18" s="22" t="s">
        <v>12</v>
      </c>
      <c r="L18" s="44">
        <v>40</v>
      </c>
      <c r="M18" s="35">
        <v>41</v>
      </c>
      <c r="N18" s="44">
        <v>51</v>
      </c>
      <c r="O18" s="161" t="s">
        <v>50</v>
      </c>
      <c r="P18" s="13"/>
      <c r="Q18" s="13"/>
      <c r="R18" s="13"/>
      <c r="S18" s="13"/>
      <c r="T18" s="13"/>
      <c r="AF18" s="12"/>
      <c r="AG18" s="12"/>
      <c r="AH18" s="12"/>
    </row>
    <row r="19" spans="2:73" ht="24.2" customHeight="1" thickBot="1" x14ac:dyDescent="0.25">
      <c r="B19" s="156"/>
      <c r="C19" s="163"/>
      <c r="D19" s="20" t="e">
        <f>VLOOKUP($B19,#REF!,3,0)</f>
        <v>#REF!</v>
      </c>
      <c r="E19" s="20" t="e">
        <f>VLOOKUP($B19,#REF!,4,0)</f>
        <v>#REF!</v>
      </c>
      <c r="F19" s="20" t="e">
        <f>VLOOKUP($B19,#REF!,5,0)</f>
        <v>#REF!</v>
      </c>
      <c r="G19" s="20" t="e">
        <f>VLOOKUP($B19,#REF!,6,0)</f>
        <v>#REF!</v>
      </c>
      <c r="H19" s="20" t="e">
        <f>VLOOKUP($B19,#REF!,7,0)</f>
        <v>#REF!</v>
      </c>
      <c r="I19" s="20" t="e">
        <f>VLOOKUP($B19,#REF!,8,0)</f>
        <v>#REF!</v>
      </c>
      <c r="J19" s="160"/>
      <c r="K19" s="34" t="s">
        <v>13</v>
      </c>
      <c r="L19" s="36">
        <v>52</v>
      </c>
      <c r="M19" s="36">
        <v>54</v>
      </c>
      <c r="N19" s="36">
        <v>55</v>
      </c>
      <c r="O19" s="162"/>
      <c r="P19" s="13"/>
      <c r="Q19" s="13"/>
      <c r="R19" s="13"/>
      <c r="S19" s="13"/>
      <c r="T19" s="13"/>
      <c r="AF19" s="12"/>
      <c r="AG19" s="12"/>
      <c r="AH19" s="14"/>
      <c r="AI19" s="15"/>
      <c r="AJ19" s="15"/>
      <c r="AK19" s="15"/>
      <c r="AL19" s="15"/>
      <c r="AM19" s="15"/>
      <c r="AN19" s="15"/>
      <c r="AO19" s="15"/>
      <c r="AP19" s="15"/>
      <c r="AQ19" s="15"/>
      <c r="AR19" s="15"/>
      <c r="AS19" s="15"/>
      <c r="AT19" s="15"/>
      <c r="AU19" s="15"/>
      <c r="AV19" s="15"/>
      <c r="AW19" s="15"/>
      <c r="AX19" s="15"/>
      <c r="AY19" s="15"/>
      <c r="AZ19" s="15"/>
      <c r="BA19" s="15"/>
      <c r="BB19" s="15"/>
      <c r="BC19" s="15"/>
      <c r="BD19" s="15"/>
      <c r="BE19" s="15"/>
      <c r="BF19" s="15"/>
      <c r="BG19" s="15"/>
      <c r="BH19" s="15"/>
      <c r="BI19" s="15"/>
      <c r="BJ19" s="15"/>
      <c r="BK19" s="15"/>
      <c r="BL19" s="15"/>
      <c r="BM19" s="15"/>
      <c r="BN19" s="15"/>
      <c r="BO19" s="15"/>
      <c r="BP19" s="15"/>
      <c r="BQ19" s="15"/>
      <c r="BR19" s="15"/>
      <c r="BS19" s="15"/>
      <c r="BT19" s="15"/>
      <c r="BU19" s="15"/>
    </row>
    <row r="20" spans="2:73" ht="24.2" customHeight="1" x14ac:dyDescent="0.2">
      <c r="B20" s="164">
        <v>6</v>
      </c>
      <c r="C20" s="157" t="s">
        <v>29</v>
      </c>
      <c r="D20" s="19" t="e">
        <f>VLOOKUP($B20,#REF!,3,0)</f>
        <v>#REF!</v>
      </c>
      <c r="E20" s="19" t="e">
        <f>VLOOKUP($B20,#REF!,4,0)</f>
        <v>#REF!</v>
      </c>
      <c r="F20" s="19" t="e">
        <f>VLOOKUP($B20,#REF!,5,0)</f>
        <v>#REF!</v>
      </c>
      <c r="G20" s="19" t="e">
        <f>VLOOKUP($B20,#REF!,6,0)</f>
        <v>#REF!</v>
      </c>
      <c r="H20" s="19" t="e">
        <f>VLOOKUP($B20,#REF!,7,0)</f>
        <v>#REF!</v>
      </c>
      <c r="I20" s="19" t="e">
        <f>VLOOKUP($B20,#REF!,8,0)</f>
        <v>#REF!</v>
      </c>
      <c r="J20" s="159"/>
      <c r="K20" s="22" t="s">
        <v>12</v>
      </c>
      <c r="L20" s="35">
        <v>37</v>
      </c>
      <c r="M20" s="35">
        <v>49</v>
      </c>
      <c r="N20" s="35">
        <v>39</v>
      </c>
      <c r="O20" s="161"/>
      <c r="P20" s="13"/>
      <c r="Q20" s="13"/>
      <c r="R20" s="13"/>
      <c r="S20" s="13"/>
      <c r="T20" s="13"/>
      <c r="AF20" s="12"/>
      <c r="AG20" s="12"/>
      <c r="AH20" s="12"/>
    </row>
    <row r="21" spans="2:73" ht="24.2" customHeight="1" thickBot="1" x14ac:dyDescent="0.25">
      <c r="B21" s="156"/>
      <c r="C21" s="158"/>
      <c r="D21" s="20" t="e">
        <f>VLOOKUP($B21,#REF!,3,0)</f>
        <v>#REF!</v>
      </c>
      <c r="E21" s="20" t="e">
        <f>VLOOKUP($B21,#REF!,4,0)</f>
        <v>#REF!</v>
      </c>
      <c r="F21" s="20" t="e">
        <f>VLOOKUP($B21,#REF!,5,0)</f>
        <v>#REF!</v>
      </c>
      <c r="G21" s="20" t="e">
        <f>VLOOKUP($B21,#REF!,6,0)</f>
        <v>#REF!</v>
      </c>
      <c r="H21" s="20" t="e">
        <f>VLOOKUP($B21,#REF!,7,0)</f>
        <v>#REF!</v>
      </c>
      <c r="I21" s="20" t="e">
        <f>VLOOKUP($B21,#REF!,8,0)</f>
        <v>#REF!</v>
      </c>
      <c r="J21" s="160"/>
      <c r="K21" s="34" t="s">
        <v>13</v>
      </c>
      <c r="L21" s="36">
        <v>54</v>
      </c>
      <c r="M21" s="36">
        <v>51</v>
      </c>
      <c r="N21" s="36">
        <v>47</v>
      </c>
      <c r="O21" s="162"/>
      <c r="P21" s="13"/>
      <c r="Q21" s="13"/>
      <c r="R21" s="13"/>
      <c r="S21" s="13"/>
      <c r="T21" s="13"/>
      <c r="AF21" s="12"/>
      <c r="AG21" s="12"/>
      <c r="AH21" s="14"/>
      <c r="AI21" s="15"/>
      <c r="AJ21" s="15"/>
      <c r="AK21" s="15"/>
      <c r="AL21" s="15"/>
      <c r="AM21" s="15"/>
      <c r="AN21" s="15"/>
      <c r="AO21" s="15"/>
      <c r="AP21" s="15"/>
      <c r="AQ21" s="15"/>
      <c r="AR21" s="15"/>
      <c r="AS21" s="15"/>
      <c r="AT21" s="15"/>
      <c r="AU21" s="15"/>
      <c r="AV21" s="15"/>
      <c r="AW21" s="15"/>
      <c r="AX21" s="15"/>
      <c r="AY21" s="15"/>
      <c r="AZ21" s="15"/>
      <c r="BA21" s="15"/>
      <c r="BB21" s="15"/>
      <c r="BC21" s="15"/>
      <c r="BD21" s="15"/>
      <c r="BE21" s="15"/>
      <c r="BF21" s="15"/>
      <c r="BG21" s="15"/>
      <c r="BH21" s="15"/>
      <c r="BI21" s="15"/>
      <c r="BJ21" s="15"/>
      <c r="BK21" s="15"/>
      <c r="BL21" s="15"/>
      <c r="BM21" s="15"/>
      <c r="BN21" s="15"/>
      <c r="BO21" s="15"/>
      <c r="BP21" s="15"/>
      <c r="BQ21" s="15"/>
      <c r="BR21" s="15"/>
      <c r="BS21" s="15"/>
      <c r="BT21" s="15"/>
      <c r="BU21" s="15"/>
    </row>
    <row r="22" spans="2:73" ht="24.2" customHeight="1" x14ac:dyDescent="0.2">
      <c r="B22" s="164">
        <v>7</v>
      </c>
      <c r="C22" s="157" t="s">
        <v>28</v>
      </c>
      <c r="D22" s="19" t="e">
        <f>VLOOKUP($B22,#REF!,3,0)</f>
        <v>#REF!</v>
      </c>
      <c r="E22" s="19" t="e">
        <f>VLOOKUP($B22,#REF!,4,0)</f>
        <v>#REF!</v>
      </c>
      <c r="F22" s="19" t="e">
        <f>VLOOKUP($B22,#REF!,5,0)</f>
        <v>#REF!</v>
      </c>
      <c r="G22" s="19" t="e">
        <f>VLOOKUP($B22,#REF!,6,0)</f>
        <v>#REF!</v>
      </c>
      <c r="H22" s="19" t="e">
        <f>VLOOKUP($B22,#REF!,7,0)</f>
        <v>#REF!</v>
      </c>
      <c r="I22" s="19" t="e">
        <f>VLOOKUP($B22,#REF!,8,0)</f>
        <v>#REF!</v>
      </c>
      <c r="J22" s="159"/>
      <c r="K22" s="22" t="s">
        <v>12</v>
      </c>
      <c r="L22" s="35">
        <v>45</v>
      </c>
      <c r="M22" s="35">
        <v>50</v>
      </c>
      <c r="N22" s="35">
        <v>45</v>
      </c>
      <c r="O22" s="161"/>
      <c r="P22" s="13"/>
      <c r="Q22" s="13"/>
      <c r="R22" s="13"/>
      <c r="S22" s="13"/>
      <c r="T22" s="13"/>
      <c r="AF22" s="12"/>
      <c r="AG22" s="12"/>
      <c r="AH22" s="12"/>
    </row>
    <row r="23" spans="2:73" ht="24.2" customHeight="1" thickBot="1" x14ac:dyDescent="0.25">
      <c r="B23" s="156"/>
      <c r="C23" s="163"/>
      <c r="D23" s="20" t="e">
        <f>VLOOKUP($B23,#REF!,3,0)</f>
        <v>#REF!</v>
      </c>
      <c r="E23" s="20" t="e">
        <f>VLOOKUP($B23,#REF!,4,0)</f>
        <v>#REF!</v>
      </c>
      <c r="F23" s="20" t="e">
        <f>VLOOKUP($B23,#REF!,5,0)</f>
        <v>#REF!</v>
      </c>
      <c r="G23" s="20" t="e">
        <f>VLOOKUP($B23,#REF!,6,0)</f>
        <v>#REF!</v>
      </c>
      <c r="H23" s="20" t="e">
        <f>VLOOKUP($B23,#REF!,7,0)</f>
        <v>#REF!</v>
      </c>
      <c r="I23" s="20" t="e">
        <f>VLOOKUP($B23,#REF!,8,0)</f>
        <v>#REF!</v>
      </c>
      <c r="J23" s="160"/>
      <c r="K23" s="34" t="s">
        <v>13</v>
      </c>
      <c r="L23" s="36">
        <v>61</v>
      </c>
      <c r="M23" s="36">
        <v>57</v>
      </c>
      <c r="N23" s="36">
        <v>51</v>
      </c>
      <c r="O23" s="162"/>
      <c r="P23" s="13"/>
      <c r="Q23" s="13"/>
      <c r="R23" s="13"/>
      <c r="S23" s="13"/>
      <c r="T23" s="13"/>
      <c r="AF23" s="12"/>
      <c r="AG23" s="12"/>
      <c r="AH23" s="14"/>
      <c r="AI23" s="15"/>
      <c r="AJ23" s="15"/>
      <c r="AK23" s="15"/>
      <c r="AL23" s="15"/>
      <c r="AM23" s="15"/>
      <c r="AN23" s="15"/>
      <c r="AO23" s="15"/>
      <c r="AP23" s="15"/>
      <c r="AQ23" s="15"/>
      <c r="AR23" s="15"/>
      <c r="AS23" s="15"/>
      <c r="AT23" s="15"/>
      <c r="AU23" s="15"/>
      <c r="AV23" s="15"/>
      <c r="AW23" s="15"/>
      <c r="AX23" s="15"/>
      <c r="AY23" s="15"/>
      <c r="AZ23" s="15"/>
      <c r="BA23" s="15"/>
      <c r="BB23" s="15"/>
      <c r="BC23" s="15"/>
      <c r="BD23" s="15"/>
      <c r="BE23" s="15"/>
      <c r="BF23" s="15"/>
      <c r="BG23" s="15"/>
      <c r="BH23" s="15"/>
      <c r="BI23" s="15"/>
      <c r="BJ23" s="15"/>
      <c r="BK23" s="15"/>
      <c r="BL23" s="15"/>
      <c r="BM23" s="15"/>
      <c r="BN23" s="15"/>
      <c r="BO23" s="15"/>
      <c r="BP23" s="15"/>
      <c r="BQ23" s="15"/>
      <c r="BR23" s="15"/>
      <c r="BS23" s="15"/>
      <c r="BT23" s="15"/>
      <c r="BU23" s="15"/>
    </row>
    <row r="24" spans="2:73" ht="24.2" customHeight="1" x14ac:dyDescent="0.2">
      <c r="B24" s="164">
        <v>8</v>
      </c>
      <c r="C24" s="157" t="s">
        <v>29</v>
      </c>
      <c r="D24" s="19" t="e">
        <f>VLOOKUP($B24,#REF!,3,0)</f>
        <v>#REF!</v>
      </c>
      <c r="E24" s="19" t="e">
        <f>VLOOKUP($B24,#REF!,4,0)</f>
        <v>#REF!</v>
      </c>
      <c r="F24" s="19" t="e">
        <f>VLOOKUP($B24,#REF!,5,0)</f>
        <v>#REF!</v>
      </c>
      <c r="G24" s="19" t="e">
        <f>VLOOKUP($B24,#REF!,6,0)</f>
        <v>#REF!</v>
      </c>
      <c r="H24" s="19" t="e">
        <f>VLOOKUP($B24,#REF!,7,0)</f>
        <v>#REF!</v>
      </c>
      <c r="I24" s="19" t="e">
        <f>VLOOKUP($B24,#REF!,8,0)</f>
        <v>#REF!</v>
      </c>
      <c r="J24" s="159"/>
      <c r="K24" s="22" t="s">
        <v>12</v>
      </c>
      <c r="L24" s="35">
        <v>50</v>
      </c>
      <c r="M24" s="35">
        <v>43</v>
      </c>
      <c r="N24" s="35">
        <v>53</v>
      </c>
      <c r="O24" s="161"/>
      <c r="P24" s="13"/>
      <c r="Q24" s="13"/>
      <c r="R24" s="13"/>
      <c r="S24" s="13"/>
      <c r="T24" s="13"/>
      <c r="AF24" s="9"/>
      <c r="AG24" s="9"/>
      <c r="AH24" s="9"/>
    </row>
    <row r="25" spans="2:73" ht="24.2" customHeight="1" thickBot="1" x14ac:dyDescent="0.25">
      <c r="B25" s="156"/>
      <c r="C25" s="158"/>
      <c r="D25" s="20" t="e">
        <f>VLOOKUP($B25,#REF!,3,0)</f>
        <v>#REF!</v>
      </c>
      <c r="E25" s="20" t="e">
        <f>VLOOKUP($B25,#REF!,4,0)</f>
        <v>#REF!</v>
      </c>
      <c r="F25" s="20" t="e">
        <f>VLOOKUP($B25,#REF!,5,0)</f>
        <v>#REF!</v>
      </c>
      <c r="G25" s="20" t="e">
        <f>VLOOKUP($B25,#REF!,6,0)</f>
        <v>#REF!</v>
      </c>
      <c r="H25" s="20" t="e">
        <f>VLOOKUP($B25,#REF!,7,0)</f>
        <v>#REF!</v>
      </c>
      <c r="I25" s="20" t="e">
        <f>VLOOKUP($B25,#REF!,8,0)</f>
        <v>#REF!</v>
      </c>
      <c r="J25" s="160"/>
      <c r="K25" s="34" t="s">
        <v>13</v>
      </c>
      <c r="L25" s="36">
        <v>53</v>
      </c>
      <c r="M25" s="36">
        <v>59</v>
      </c>
      <c r="N25" s="36">
        <v>55</v>
      </c>
      <c r="O25" s="162"/>
      <c r="P25" s="13"/>
      <c r="Q25" s="13"/>
      <c r="R25" s="13"/>
      <c r="S25" s="13"/>
      <c r="T25" s="13"/>
      <c r="AF25" s="12"/>
      <c r="AG25" s="12"/>
      <c r="AH25" s="14"/>
      <c r="AI25" s="15"/>
      <c r="AJ25" s="15"/>
      <c r="AK25" s="15"/>
      <c r="AL25" s="15"/>
      <c r="AM25" s="15"/>
      <c r="AN25" s="15"/>
      <c r="AO25" s="15"/>
      <c r="AP25" s="15"/>
      <c r="AQ25" s="15"/>
      <c r="AR25" s="15"/>
      <c r="AS25" s="15"/>
      <c r="AT25" s="15"/>
      <c r="AU25" s="15"/>
      <c r="AV25" s="15"/>
      <c r="AW25" s="15"/>
      <c r="AX25" s="15"/>
      <c r="AY25" s="15"/>
      <c r="AZ25" s="15"/>
      <c r="BA25" s="15"/>
      <c r="BB25" s="15"/>
      <c r="BC25" s="15"/>
      <c r="BD25" s="15"/>
      <c r="BE25" s="15"/>
      <c r="BF25" s="15"/>
      <c r="BG25" s="15"/>
      <c r="BH25" s="15"/>
      <c r="BI25" s="15"/>
      <c r="BJ25" s="15"/>
      <c r="BK25" s="15"/>
      <c r="BL25" s="15"/>
      <c r="BM25" s="15"/>
      <c r="BN25" s="15"/>
      <c r="BO25" s="15"/>
      <c r="BP25" s="15"/>
      <c r="BQ25" s="15"/>
      <c r="BR25" s="15"/>
      <c r="BS25" s="15"/>
      <c r="BT25" s="15"/>
      <c r="BU25" s="15"/>
    </row>
    <row r="26" spans="2:73" ht="24.2" customHeight="1" x14ac:dyDescent="0.2">
      <c r="B26" s="164">
        <v>9</v>
      </c>
      <c r="C26" s="157" t="s">
        <v>28</v>
      </c>
      <c r="D26" s="19" t="e">
        <f>VLOOKUP($B26,#REF!,3,0)</f>
        <v>#REF!</v>
      </c>
      <c r="E26" s="19" t="e">
        <f>VLOOKUP($B26,#REF!,4,0)</f>
        <v>#REF!</v>
      </c>
      <c r="F26" s="19" t="e">
        <f>VLOOKUP($B26,#REF!,5,0)</f>
        <v>#REF!</v>
      </c>
      <c r="G26" s="19" t="e">
        <f>VLOOKUP($B26,#REF!,6,0)</f>
        <v>#REF!</v>
      </c>
      <c r="H26" s="19" t="e">
        <f>VLOOKUP($B26,#REF!,7,0)</f>
        <v>#REF!</v>
      </c>
      <c r="I26" s="19" t="e">
        <f>VLOOKUP($B26,#REF!,8,0)</f>
        <v>#REF!</v>
      </c>
      <c r="J26" s="159">
        <v>1046</v>
      </c>
      <c r="K26" s="22" t="s">
        <v>12</v>
      </c>
      <c r="L26" s="35">
        <v>39</v>
      </c>
      <c r="M26" s="35">
        <v>39</v>
      </c>
      <c r="N26" s="35">
        <v>38</v>
      </c>
      <c r="O26" s="161"/>
      <c r="P26" s="13"/>
      <c r="Q26" s="13"/>
      <c r="R26" s="13"/>
      <c r="S26" s="13"/>
      <c r="T26" s="13"/>
      <c r="AF26" s="12"/>
      <c r="AG26" s="12"/>
      <c r="AH26" s="12"/>
    </row>
    <row r="27" spans="2:73" ht="24.2" customHeight="1" thickBot="1" x14ac:dyDescent="0.25">
      <c r="B27" s="156"/>
      <c r="C27" s="163"/>
      <c r="D27" s="20" t="e">
        <f>VLOOKUP($B27,#REF!,3,0)</f>
        <v>#REF!</v>
      </c>
      <c r="E27" s="20" t="e">
        <f>VLOOKUP($B27,#REF!,4,0)</f>
        <v>#REF!</v>
      </c>
      <c r="F27" s="20" t="e">
        <f>VLOOKUP($B27,#REF!,5,0)</f>
        <v>#REF!</v>
      </c>
      <c r="G27" s="20" t="e">
        <f>VLOOKUP($B27,#REF!,6,0)</f>
        <v>#REF!</v>
      </c>
      <c r="H27" s="20" t="e">
        <f>VLOOKUP($B27,#REF!,7,0)</f>
        <v>#REF!</v>
      </c>
      <c r="I27" s="20" t="e">
        <f>VLOOKUP($B27,#REF!,8,0)</f>
        <v>#REF!</v>
      </c>
      <c r="J27" s="160"/>
      <c r="K27" s="34" t="s">
        <v>13</v>
      </c>
      <c r="L27" s="36">
        <v>49</v>
      </c>
      <c r="M27" s="36">
        <v>47</v>
      </c>
      <c r="N27" s="36">
        <v>45</v>
      </c>
      <c r="O27" s="162"/>
      <c r="P27" s="13"/>
      <c r="Q27" s="13"/>
      <c r="R27" s="13"/>
      <c r="S27" s="13"/>
      <c r="T27" s="13"/>
      <c r="AF27" s="12"/>
      <c r="AG27" s="12"/>
      <c r="AH27" s="14"/>
      <c r="AI27" s="15"/>
      <c r="AJ27" s="15"/>
      <c r="AK27" s="15"/>
      <c r="AL27" s="15"/>
      <c r="AM27" s="15"/>
      <c r="AN27" s="15"/>
      <c r="AO27" s="15"/>
      <c r="AP27" s="15"/>
      <c r="AQ27" s="15"/>
      <c r="AR27" s="15"/>
      <c r="AS27" s="15"/>
      <c r="AT27" s="15"/>
      <c r="AU27" s="15"/>
      <c r="AV27" s="15"/>
      <c r="AW27" s="15"/>
      <c r="AX27" s="15"/>
      <c r="AY27" s="15"/>
      <c r="AZ27" s="15"/>
      <c r="BA27" s="15"/>
      <c r="BB27" s="15"/>
      <c r="BC27" s="15"/>
      <c r="BD27" s="15"/>
      <c r="BE27" s="15"/>
      <c r="BF27" s="15"/>
      <c r="BG27" s="15"/>
      <c r="BH27" s="15"/>
      <c r="BI27" s="15"/>
      <c r="BJ27" s="15"/>
      <c r="BK27" s="15"/>
      <c r="BL27" s="15"/>
      <c r="BM27" s="15"/>
      <c r="BN27" s="15"/>
      <c r="BO27" s="15"/>
      <c r="BP27" s="15"/>
      <c r="BQ27" s="15"/>
      <c r="BR27" s="15"/>
      <c r="BS27" s="15"/>
      <c r="BT27" s="15"/>
      <c r="BU27" s="15"/>
    </row>
    <row r="28" spans="2:73" ht="24.2" customHeight="1" x14ac:dyDescent="0.2">
      <c r="B28" s="155">
        <v>10</v>
      </c>
      <c r="C28" s="157" t="s">
        <v>29</v>
      </c>
      <c r="D28" s="19" t="e">
        <f>VLOOKUP($B28,#REF!,3,0)</f>
        <v>#REF!</v>
      </c>
      <c r="E28" s="19" t="e">
        <f>VLOOKUP($B28,#REF!,4,0)</f>
        <v>#REF!</v>
      </c>
      <c r="F28" s="19" t="e">
        <f>VLOOKUP($B28,#REF!,5,0)</f>
        <v>#REF!</v>
      </c>
      <c r="G28" s="19" t="e">
        <f>VLOOKUP($B28,#REF!,6,0)</f>
        <v>#REF!</v>
      </c>
      <c r="H28" s="19" t="e">
        <f>VLOOKUP($B28,#REF!,7,0)</f>
        <v>#REF!</v>
      </c>
      <c r="I28" s="19" t="e">
        <f>VLOOKUP($B28,#REF!,8,0)</f>
        <v>#REF!</v>
      </c>
      <c r="J28" s="159"/>
      <c r="K28" s="22" t="s">
        <v>12</v>
      </c>
      <c r="L28" s="35">
        <v>46</v>
      </c>
      <c r="M28" s="35">
        <v>41</v>
      </c>
      <c r="N28" s="35">
        <v>53</v>
      </c>
      <c r="O28" s="161"/>
      <c r="P28" s="13"/>
      <c r="Q28" s="13"/>
      <c r="R28" s="13"/>
      <c r="S28" s="13"/>
      <c r="T28" s="13"/>
    </row>
    <row r="29" spans="2:73" ht="24.2" customHeight="1" thickBot="1" x14ac:dyDescent="0.25">
      <c r="B29" s="156"/>
      <c r="C29" s="158"/>
      <c r="D29" s="20" t="e">
        <f>VLOOKUP($B29,#REF!,3,0)</f>
        <v>#REF!</v>
      </c>
      <c r="E29" s="20" t="e">
        <f>VLOOKUP($B29,#REF!,4,0)</f>
        <v>#REF!</v>
      </c>
      <c r="F29" s="20" t="e">
        <f>VLOOKUP($B29,#REF!,5,0)</f>
        <v>#REF!</v>
      </c>
      <c r="G29" s="20" t="e">
        <f>VLOOKUP($B29,#REF!,6,0)</f>
        <v>#REF!</v>
      </c>
      <c r="H29" s="20" t="e">
        <f>VLOOKUP($B29,#REF!,7,0)</f>
        <v>#REF!</v>
      </c>
      <c r="I29" s="20" t="e">
        <f>VLOOKUP($B29,#REF!,8,0)</f>
        <v>#REF!</v>
      </c>
      <c r="J29" s="160"/>
      <c r="K29" s="34" t="s">
        <v>13</v>
      </c>
      <c r="L29" s="36">
        <v>51</v>
      </c>
      <c r="M29" s="36">
        <v>53</v>
      </c>
      <c r="N29" s="36">
        <v>57</v>
      </c>
      <c r="O29" s="162"/>
      <c r="P29" s="13"/>
      <c r="Q29" s="13"/>
      <c r="R29" s="13"/>
      <c r="S29" s="13"/>
      <c r="T29" s="13"/>
      <c r="AF29" s="12"/>
      <c r="AG29" s="12"/>
      <c r="AH29" s="14"/>
      <c r="AI29" s="15"/>
      <c r="AJ29" s="15"/>
      <c r="AK29" s="15"/>
      <c r="AL29" s="15"/>
      <c r="AM29" s="15"/>
      <c r="AN29" s="15"/>
      <c r="AO29" s="15"/>
      <c r="AP29" s="15"/>
      <c r="AQ29" s="15"/>
      <c r="AR29" s="15"/>
      <c r="AS29" s="15"/>
      <c r="AT29" s="15"/>
      <c r="AU29" s="15"/>
      <c r="AV29" s="15"/>
      <c r="AW29" s="15"/>
      <c r="AX29" s="15"/>
      <c r="AY29" s="15"/>
      <c r="AZ29" s="15"/>
      <c r="BA29" s="15"/>
      <c r="BB29" s="15"/>
      <c r="BC29" s="15"/>
      <c r="BD29" s="15"/>
      <c r="BE29" s="15"/>
      <c r="BF29" s="15"/>
      <c r="BG29" s="15"/>
      <c r="BH29" s="15"/>
      <c r="BI29" s="15"/>
      <c r="BJ29" s="15"/>
      <c r="BK29" s="15"/>
      <c r="BL29" s="15"/>
      <c r="BM29" s="15"/>
      <c r="BN29" s="15"/>
      <c r="BO29" s="15"/>
      <c r="BP29" s="15"/>
      <c r="BQ29" s="15"/>
      <c r="BR29" s="15"/>
      <c r="BS29" s="15"/>
      <c r="BT29" s="15"/>
      <c r="BU29" s="15"/>
    </row>
    <row r="30" spans="2:73" ht="24.2" customHeight="1" x14ac:dyDescent="0.2">
      <c r="B30" s="155">
        <v>11</v>
      </c>
      <c r="C30" s="157" t="s">
        <v>28</v>
      </c>
      <c r="D30" s="19" t="e">
        <f>VLOOKUP($B30,#REF!,3,0)</f>
        <v>#REF!</v>
      </c>
      <c r="E30" s="19" t="e">
        <f>VLOOKUP($B30,#REF!,4,0)</f>
        <v>#REF!</v>
      </c>
      <c r="F30" s="19" t="e">
        <f>VLOOKUP($B30,#REF!,5,0)</f>
        <v>#REF!</v>
      </c>
      <c r="G30" s="19" t="e">
        <f>VLOOKUP($B30,#REF!,6,0)</f>
        <v>#REF!</v>
      </c>
      <c r="H30" s="19" t="e">
        <f>VLOOKUP($B30,#REF!,7,0)</f>
        <v>#REF!</v>
      </c>
      <c r="I30" s="19" t="e">
        <f>VLOOKUP($B30,#REF!,8,0)</f>
        <v>#REF!</v>
      </c>
      <c r="J30" s="159"/>
      <c r="K30" s="22" t="s">
        <v>12</v>
      </c>
      <c r="L30" s="44">
        <v>46</v>
      </c>
      <c r="M30" s="35">
        <v>48</v>
      </c>
      <c r="N30" s="35">
        <v>46</v>
      </c>
      <c r="O30" s="161"/>
      <c r="P30" s="13"/>
      <c r="Q30" s="13"/>
      <c r="R30" s="13"/>
      <c r="S30" s="13"/>
      <c r="T30" s="13"/>
    </row>
    <row r="31" spans="2:73" ht="24.2" customHeight="1" thickBot="1" x14ac:dyDescent="0.25">
      <c r="B31" s="156"/>
      <c r="C31" s="163"/>
      <c r="D31" s="20" t="e">
        <f>VLOOKUP($B31,#REF!,3,0)</f>
        <v>#REF!</v>
      </c>
      <c r="E31" s="20" t="e">
        <f>VLOOKUP($B31,#REF!,4,0)</f>
        <v>#REF!</v>
      </c>
      <c r="F31" s="20" t="e">
        <f>VLOOKUP($B31,#REF!,5,0)</f>
        <v>#REF!</v>
      </c>
      <c r="G31" s="20" t="e">
        <f>VLOOKUP($B31,#REF!,6,0)</f>
        <v>#REF!</v>
      </c>
      <c r="H31" s="20" t="e">
        <f>VLOOKUP($B31,#REF!,7,0)</f>
        <v>#REF!</v>
      </c>
      <c r="I31" s="20" t="e">
        <f>VLOOKUP($B31,#REF!,8,0)</f>
        <v>#REF!</v>
      </c>
      <c r="J31" s="160"/>
      <c r="K31" s="34" t="s">
        <v>13</v>
      </c>
      <c r="L31" s="36">
        <v>52</v>
      </c>
      <c r="M31" s="36">
        <v>56</v>
      </c>
      <c r="N31" s="36">
        <v>54</v>
      </c>
      <c r="O31" s="162"/>
      <c r="P31" s="13"/>
      <c r="Q31" s="13"/>
      <c r="R31" s="13"/>
      <c r="S31" s="13"/>
      <c r="T31" s="13"/>
      <c r="AF31" s="12"/>
      <c r="AG31" s="12"/>
      <c r="AH31" s="14"/>
      <c r="AI31" s="15"/>
      <c r="AJ31" s="15"/>
      <c r="AK31" s="15"/>
      <c r="AL31" s="15"/>
      <c r="AM31" s="15"/>
      <c r="AN31" s="15"/>
      <c r="AO31" s="15"/>
      <c r="AP31" s="15"/>
      <c r="AQ31" s="15"/>
      <c r="AR31" s="15"/>
      <c r="AS31" s="15"/>
      <c r="AT31" s="15"/>
      <c r="AU31" s="15"/>
      <c r="AV31" s="15"/>
      <c r="AW31" s="15"/>
      <c r="AX31" s="15"/>
      <c r="AY31" s="15"/>
      <c r="AZ31" s="15"/>
      <c r="BA31" s="15"/>
      <c r="BB31" s="15"/>
      <c r="BC31" s="15"/>
      <c r="BD31" s="15"/>
      <c r="BE31" s="15"/>
      <c r="BF31" s="15"/>
      <c r="BG31" s="15"/>
      <c r="BH31" s="15"/>
      <c r="BI31" s="15"/>
      <c r="BJ31" s="15"/>
      <c r="BK31" s="15"/>
      <c r="BL31" s="15"/>
      <c r="BM31" s="15"/>
      <c r="BN31" s="15"/>
      <c r="BO31" s="15"/>
      <c r="BP31" s="15"/>
      <c r="BQ31" s="15"/>
      <c r="BR31" s="15"/>
      <c r="BS31" s="15"/>
      <c r="BT31" s="15"/>
      <c r="BU31" s="15"/>
    </row>
    <row r="32" spans="2:73" ht="24.2" customHeight="1" x14ac:dyDescent="0.2">
      <c r="B32" s="155">
        <v>12</v>
      </c>
      <c r="C32" s="157" t="s">
        <v>29</v>
      </c>
      <c r="D32" s="19" t="e">
        <f>VLOOKUP($B32,#REF!,3,0)</f>
        <v>#REF!</v>
      </c>
      <c r="E32" s="19" t="e">
        <f>VLOOKUP($B32,#REF!,4,0)</f>
        <v>#REF!</v>
      </c>
      <c r="F32" s="19" t="e">
        <f>VLOOKUP($B32,#REF!,5,0)</f>
        <v>#REF!</v>
      </c>
      <c r="G32" s="19" t="e">
        <f>VLOOKUP($B32,#REF!,6,0)</f>
        <v>#REF!</v>
      </c>
      <c r="H32" s="19" t="e">
        <f>VLOOKUP($B32,#REF!,7,0)</f>
        <v>#REF!</v>
      </c>
      <c r="I32" s="19" t="e">
        <f>VLOOKUP($B32,#REF!,8,0)</f>
        <v>#REF!</v>
      </c>
      <c r="J32" s="159"/>
      <c r="K32" s="22" t="s">
        <v>12</v>
      </c>
      <c r="L32" s="35">
        <v>48</v>
      </c>
      <c r="M32" s="35">
        <v>50</v>
      </c>
      <c r="N32" s="35">
        <v>47</v>
      </c>
      <c r="O32" s="161"/>
      <c r="P32" s="13"/>
      <c r="Q32" s="13"/>
      <c r="R32" s="13"/>
      <c r="S32" s="13"/>
      <c r="T32" s="13"/>
    </row>
    <row r="33" spans="2:73" ht="24.2" customHeight="1" thickBot="1" x14ac:dyDescent="0.25">
      <c r="B33" s="156"/>
      <c r="C33" s="158"/>
      <c r="D33" s="20" t="e">
        <f>VLOOKUP($B33,#REF!,3,0)</f>
        <v>#REF!</v>
      </c>
      <c r="E33" s="20" t="e">
        <f>VLOOKUP($B33,#REF!,4,0)</f>
        <v>#REF!</v>
      </c>
      <c r="F33" s="20" t="e">
        <f>VLOOKUP($B33,#REF!,5,0)</f>
        <v>#REF!</v>
      </c>
      <c r="G33" s="20" t="e">
        <f>VLOOKUP($B33,#REF!,6,0)</f>
        <v>#REF!</v>
      </c>
      <c r="H33" s="20" t="e">
        <f>VLOOKUP($B33,#REF!,7,0)</f>
        <v>#REF!</v>
      </c>
      <c r="I33" s="20" t="e">
        <f>VLOOKUP($B33,#REF!,8,0)</f>
        <v>#REF!</v>
      </c>
      <c r="J33" s="160"/>
      <c r="K33" s="34" t="s">
        <v>13</v>
      </c>
      <c r="L33" s="36">
        <v>62</v>
      </c>
      <c r="M33" s="36">
        <v>56</v>
      </c>
      <c r="N33" s="36">
        <v>57</v>
      </c>
      <c r="O33" s="162"/>
      <c r="P33" s="13"/>
      <c r="Q33" s="13"/>
      <c r="R33" s="13"/>
      <c r="S33" s="13"/>
      <c r="T33" s="13"/>
      <c r="AF33" s="12"/>
      <c r="AG33" s="12"/>
      <c r="AH33" s="14"/>
      <c r="AI33" s="15"/>
      <c r="AJ33" s="15"/>
      <c r="AK33" s="15"/>
      <c r="AL33" s="15"/>
      <c r="AM33" s="15"/>
      <c r="AN33" s="15"/>
      <c r="AO33" s="15"/>
      <c r="AP33" s="15"/>
      <c r="AQ33" s="15"/>
      <c r="AR33" s="15"/>
      <c r="AS33" s="15"/>
      <c r="AT33" s="15"/>
      <c r="AU33" s="15"/>
      <c r="AV33" s="15"/>
      <c r="AW33" s="15"/>
      <c r="AX33" s="15"/>
      <c r="AY33" s="15"/>
      <c r="AZ33" s="15"/>
      <c r="BA33" s="15"/>
      <c r="BB33" s="15"/>
      <c r="BC33" s="15"/>
      <c r="BD33" s="15"/>
      <c r="BE33" s="15"/>
      <c r="BF33" s="15"/>
      <c r="BG33" s="15"/>
      <c r="BH33" s="15"/>
      <c r="BI33" s="15"/>
      <c r="BJ33" s="15"/>
      <c r="BK33" s="15"/>
      <c r="BL33" s="15"/>
      <c r="BM33" s="15"/>
      <c r="BN33" s="15"/>
      <c r="BO33" s="15"/>
      <c r="BP33" s="15"/>
      <c r="BQ33" s="15"/>
      <c r="BR33" s="15"/>
      <c r="BS33" s="15"/>
      <c r="BT33" s="15"/>
      <c r="BU33" s="15"/>
    </row>
    <row r="34" spans="2:73" ht="24.2" customHeight="1" x14ac:dyDescent="0.2">
      <c r="B34" s="155">
        <v>13</v>
      </c>
      <c r="C34" s="157" t="s">
        <v>28</v>
      </c>
      <c r="D34" s="19" t="e">
        <f>VLOOKUP($B34,#REF!,3,0)</f>
        <v>#REF!</v>
      </c>
      <c r="E34" s="19" t="e">
        <f>VLOOKUP($B34,#REF!,4,0)</f>
        <v>#REF!</v>
      </c>
      <c r="F34" s="19" t="e">
        <f>VLOOKUP($B34,#REF!,5,0)</f>
        <v>#REF!</v>
      </c>
      <c r="G34" s="19" t="e">
        <f>VLOOKUP($B34,#REF!,6,0)</f>
        <v>#REF!</v>
      </c>
      <c r="H34" s="19" t="e">
        <f>VLOOKUP($B34,#REF!,7,0)</f>
        <v>#REF!</v>
      </c>
      <c r="I34" s="19" t="e">
        <f>VLOOKUP($B34,#REF!,8,0)</f>
        <v>#REF!</v>
      </c>
      <c r="J34" s="159"/>
      <c r="K34" s="22" t="s">
        <v>12</v>
      </c>
      <c r="L34" s="35">
        <v>35</v>
      </c>
      <c r="M34" s="35">
        <v>36</v>
      </c>
      <c r="N34" s="35">
        <v>30</v>
      </c>
      <c r="O34" s="161" t="s">
        <v>49</v>
      </c>
      <c r="P34" s="13"/>
      <c r="Q34" s="13"/>
      <c r="R34" s="13"/>
      <c r="S34" s="13"/>
      <c r="T34" s="13"/>
    </row>
    <row r="35" spans="2:73" ht="24.2" customHeight="1" thickBot="1" x14ac:dyDescent="0.25">
      <c r="B35" s="156"/>
      <c r="C35" s="163"/>
      <c r="D35" s="20" t="e">
        <f>VLOOKUP($B35,#REF!,3,0)</f>
        <v>#REF!</v>
      </c>
      <c r="E35" s="20" t="e">
        <f>VLOOKUP($B35,#REF!,4,0)</f>
        <v>#REF!</v>
      </c>
      <c r="F35" s="20" t="e">
        <f>VLOOKUP($B35,#REF!,5,0)</f>
        <v>#REF!</v>
      </c>
      <c r="G35" s="20" t="e">
        <f>VLOOKUP($B35,#REF!,6,0)</f>
        <v>#REF!</v>
      </c>
      <c r="H35" s="20" t="e">
        <f>VLOOKUP($B35,#REF!,7,0)</f>
        <v>#REF!</v>
      </c>
      <c r="I35" s="20" t="e">
        <f>VLOOKUP($B35,#REF!,8,0)</f>
        <v>#REF!</v>
      </c>
      <c r="J35" s="160"/>
      <c r="K35" s="34" t="s">
        <v>13</v>
      </c>
      <c r="L35" s="36">
        <v>47</v>
      </c>
      <c r="M35" s="36">
        <v>51</v>
      </c>
      <c r="N35" s="36">
        <v>47</v>
      </c>
      <c r="O35" s="162"/>
      <c r="P35" s="13"/>
      <c r="Q35" s="13"/>
      <c r="R35" s="13"/>
      <c r="S35" s="13"/>
      <c r="T35" s="13"/>
      <c r="AF35" s="12"/>
      <c r="AG35" s="12"/>
      <c r="AH35" s="14"/>
      <c r="AI35" s="15"/>
      <c r="AJ35" s="15"/>
      <c r="AK35" s="15"/>
      <c r="AL35" s="15"/>
      <c r="AM35" s="15"/>
      <c r="AN35" s="15"/>
      <c r="AO35" s="15"/>
      <c r="AP35" s="15"/>
      <c r="AQ35" s="15"/>
      <c r="AR35" s="15"/>
      <c r="AS35" s="15"/>
      <c r="AT35" s="15"/>
      <c r="AU35" s="15"/>
      <c r="AV35" s="15"/>
      <c r="AW35" s="15"/>
      <c r="AX35" s="15"/>
      <c r="AY35" s="15"/>
      <c r="AZ35" s="15"/>
      <c r="BA35" s="15"/>
      <c r="BB35" s="15"/>
      <c r="BC35" s="15"/>
      <c r="BD35" s="15"/>
      <c r="BE35" s="15"/>
      <c r="BF35" s="15"/>
      <c r="BG35" s="15"/>
      <c r="BH35" s="15"/>
      <c r="BI35" s="15"/>
      <c r="BJ35" s="15"/>
      <c r="BK35" s="15"/>
      <c r="BL35" s="15"/>
      <c r="BM35" s="15"/>
      <c r="BN35" s="15"/>
      <c r="BO35" s="15"/>
      <c r="BP35" s="15"/>
      <c r="BQ35" s="15"/>
      <c r="BR35" s="15"/>
      <c r="BS35" s="15"/>
      <c r="BT35" s="15"/>
      <c r="BU35" s="15"/>
    </row>
    <row r="36" spans="2:73" ht="24.2" customHeight="1" x14ac:dyDescent="0.2">
      <c r="B36" s="155">
        <v>14</v>
      </c>
      <c r="C36" s="157" t="s">
        <v>29</v>
      </c>
      <c r="D36" s="19" t="e">
        <f>VLOOKUP($B36,#REF!,3,0)</f>
        <v>#REF!</v>
      </c>
      <c r="E36" s="19" t="e">
        <f>VLOOKUP($B36,#REF!,4,0)</f>
        <v>#REF!</v>
      </c>
      <c r="F36" s="19" t="e">
        <f>VLOOKUP($B36,#REF!,5,0)</f>
        <v>#REF!</v>
      </c>
      <c r="G36" s="19" t="e">
        <f>VLOOKUP($B36,#REF!,6,0)</f>
        <v>#REF!</v>
      </c>
      <c r="H36" s="19" t="e">
        <f>VLOOKUP($B36,#REF!,7,0)</f>
        <v>#REF!</v>
      </c>
      <c r="I36" s="19" t="e">
        <f>VLOOKUP($B36,#REF!,8,0)</f>
        <v>#REF!</v>
      </c>
      <c r="J36" s="159"/>
      <c r="K36" s="22" t="s">
        <v>12</v>
      </c>
      <c r="L36" s="35">
        <v>45</v>
      </c>
      <c r="M36" s="35">
        <v>42</v>
      </c>
      <c r="N36" s="35">
        <v>40</v>
      </c>
      <c r="O36" s="161"/>
      <c r="P36" s="13"/>
      <c r="Q36" s="13"/>
      <c r="R36" s="13"/>
      <c r="S36" s="13"/>
      <c r="T36" s="13"/>
    </row>
    <row r="37" spans="2:73" ht="24.2" customHeight="1" thickBot="1" x14ac:dyDescent="0.25">
      <c r="B37" s="156"/>
      <c r="C37" s="158"/>
      <c r="D37" s="20" t="e">
        <f>VLOOKUP($B37,#REF!,3,0)</f>
        <v>#REF!</v>
      </c>
      <c r="E37" s="20" t="e">
        <f>VLOOKUP($B37,#REF!,4,0)</f>
        <v>#REF!</v>
      </c>
      <c r="F37" s="20" t="e">
        <f>VLOOKUP($B37,#REF!,5,0)</f>
        <v>#REF!</v>
      </c>
      <c r="G37" s="20" t="e">
        <f>VLOOKUP($B37,#REF!,6,0)</f>
        <v>#REF!</v>
      </c>
      <c r="H37" s="20" t="e">
        <f>VLOOKUP($B37,#REF!,7,0)</f>
        <v>#REF!</v>
      </c>
      <c r="I37" s="20" t="e">
        <f>VLOOKUP($B37,#REF!,8,0)</f>
        <v>#REF!</v>
      </c>
      <c r="J37" s="160"/>
      <c r="K37" s="34" t="s">
        <v>13</v>
      </c>
      <c r="L37" s="36">
        <v>54</v>
      </c>
      <c r="M37" s="36">
        <v>56</v>
      </c>
      <c r="N37" s="36">
        <v>54</v>
      </c>
      <c r="O37" s="162"/>
      <c r="P37" s="13"/>
      <c r="Q37" s="13"/>
      <c r="R37" s="13"/>
      <c r="S37" s="13"/>
      <c r="T37" s="13"/>
      <c r="AF37" s="12"/>
      <c r="AG37" s="12"/>
      <c r="AH37" s="14"/>
      <c r="AI37" s="15"/>
      <c r="AJ37" s="15"/>
      <c r="AK37" s="15"/>
      <c r="AL37" s="15"/>
      <c r="AM37" s="15"/>
      <c r="AN37" s="15"/>
      <c r="AO37" s="15"/>
      <c r="AP37" s="15"/>
      <c r="AQ37" s="15"/>
      <c r="AR37" s="15"/>
      <c r="AS37" s="15"/>
      <c r="AT37" s="15"/>
      <c r="AU37" s="15"/>
      <c r="AV37" s="15"/>
      <c r="AW37" s="15"/>
      <c r="AX37" s="15"/>
      <c r="AY37" s="15"/>
      <c r="AZ37" s="15"/>
      <c r="BA37" s="15"/>
      <c r="BB37" s="15"/>
      <c r="BC37" s="15"/>
      <c r="BD37" s="15"/>
      <c r="BE37" s="15"/>
      <c r="BF37" s="15"/>
      <c r="BG37" s="15"/>
      <c r="BH37" s="15"/>
      <c r="BI37" s="15"/>
      <c r="BJ37" s="15"/>
      <c r="BK37" s="15"/>
      <c r="BL37" s="15"/>
      <c r="BM37" s="15"/>
      <c r="BN37" s="15"/>
      <c r="BO37" s="15"/>
      <c r="BP37" s="15"/>
      <c r="BQ37" s="15"/>
      <c r="BR37" s="15"/>
      <c r="BS37" s="15"/>
      <c r="BT37" s="15"/>
      <c r="BU37" s="15"/>
    </row>
    <row r="38" spans="2:73" ht="24.2" customHeight="1" x14ac:dyDescent="0.2">
      <c r="B38" s="155">
        <v>15</v>
      </c>
      <c r="C38" s="157" t="s">
        <v>28</v>
      </c>
      <c r="D38" s="19" t="e">
        <f>VLOOKUP($B38,#REF!,3,0)</f>
        <v>#REF!</v>
      </c>
      <c r="E38" s="19" t="e">
        <f>VLOOKUP($B38,#REF!,4,0)</f>
        <v>#REF!</v>
      </c>
      <c r="F38" s="19" t="e">
        <f>VLOOKUP($B38,#REF!,5,0)</f>
        <v>#REF!</v>
      </c>
      <c r="G38" s="19" t="e">
        <f>VLOOKUP($B38,#REF!,6,0)</f>
        <v>#REF!</v>
      </c>
      <c r="H38" s="19" t="e">
        <f>VLOOKUP($B38,#REF!,7,0)</f>
        <v>#REF!</v>
      </c>
      <c r="I38" s="19" t="e">
        <f>VLOOKUP($B38,#REF!,8,0)</f>
        <v>#REF!</v>
      </c>
      <c r="J38" s="159"/>
      <c r="K38" s="22" t="s">
        <v>12</v>
      </c>
      <c r="L38" s="44">
        <v>43</v>
      </c>
      <c r="M38" s="35">
        <v>35</v>
      </c>
      <c r="N38" s="35">
        <v>39</v>
      </c>
      <c r="O38" s="161"/>
      <c r="P38" s="13"/>
      <c r="Q38" s="13"/>
      <c r="R38" s="13"/>
      <c r="S38" s="13"/>
      <c r="T38" s="13"/>
    </row>
    <row r="39" spans="2:73" ht="24.2" customHeight="1" thickBot="1" x14ac:dyDescent="0.25">
      <c r="B39" s="156"/>
      <c r="C39" s="163"/>
      <c r="D39" s="20" t="e">
        <f>VLOOKUP($B39,#REF!,3,0)</f>
        <v>#REF!</v>
      </c>
      <c r="E39" s="20" t="e">
        <f>VLOOKUP($B39,#REF!,4,0)</f>
        <v>#REF!</v>
      </c>
      <c r="F39" s="20" t="e">
        <f>VLOOKUP($B39,#REF!,5,0)</f>
        <v>#REF!</v>
      </c>
      <c r="G39" s="20" t="e">
        <f>VLOOKUP($B39,#REF!,6,0)</f>
        <v>#REF!</v>
      </c>
      <c r="H39" s="20" t="e">
        <f>VLOOKUP($B39,#REF!,7,0)</f>
        <v>#REF!</v>
      </c>
      <c r="I39" s="20" t="e">
        <f>VLOOKUP($B39,#REF!,8,0)</f>
        <v>#REF!</v>
      </c>
      <c r="J39" s="160"/>
      <c r="K39" s="34" t="s">
        <v>13</v>
      </c>
      <c r="L39" s="36">
        <v>59</v>
      </c>
      <c r="M39" s="36">
        <v>51</v>
      </c>
      <c r="N39" s="36">
        <v>53</v>
      </c>
      <c r="O39" s="162"/>
      <c r="P39" s="13"/>
      <c r="Q39" s="13"/>
      <c r="R39" s="13"/>
      <c r="S39" s="13"/>
      <c r="T39" s="13"/>
      <c r="AF39" s="12"/>
      <c r="AG39" s="12"/>
      <c r="AH39" s="14"/>
      <c r="AI39" s="15"/>
      <c r="AJ39" s="15"/>
      <c r="AK39" s="15"/>
      <c r="AL39" s="15"/>
      <c r="AM39" s="15"/>
      <c r="AN39" s="15"/>
      <c r="AO39" s="15"/>
      <c r="AP39" s="15"/>
      <c r="AQ39" s="15"/>
      <c r="AR39" s="15"/>
      <c r="AS39" s="15"/>
      <c r="AT39" s="15"/>
      <c r="AU39" s="15"/>
      <c r="AV39" s="15"/>
      <c r="AW39" s="15"/>
      <c r="AX39" s="15"/>
      <c r="AY39" s="15"/>
      <c r="AZ39" s="15"/>
      <c r="BA39" s="15"/>
      <c r="BB39" s="15"/>
      <c r="BC39" s="15"/>
      <c r="BD39" s="15"/>
      <c r="BE39" s="15"/>
      <c r="BF39" s="15"/>
      <c r="BG39" s="15"/>
      <c r="BH39" s="15"/>
      <c r="BI39" s="15"/>
      <c r="BJ39" s="15"/>
      <c r="BK39" s="15"/>
      <c r="BL39" s="15"/>
      <c r="BM39" s="15"/>
      <c r="BN39" s="15"/>
      <c r="BO39" s="15"/>
      <c r="BP39" s="15"/>
      <c r="BQ39" s="15"/>
      <c r="BR39" s="15"/>
      <c r="BS39" s="15"/>
      <c r="BT39" s="15"/>
      <c r="BU39" s="15"/>
    </row>
    <row r="40" spans="2:73" ht="24.2" customHeight="1" x14ac:dyDescent="0.2">
      <c r="B40" s="155">
        <v>16</v>
      </c>
      <c r="C40" s="157" t="s">
        <v>29</v>
      </c>
      <c r="D40" s="19" t="e">
        <f>VLOOKUP($B40,#REF!,3,0)</f>
        <v>#REF!</v>
      </c>
      <c r="E40" s="19" t="e">
        <f>VLOOKUP($B40,#REF!,4,0)</f>
        <v>#REF!</v>
      </c>
      <c r="F40" s="19" t="e">
        <f>VLOOKUP($B40,#REF!,5,0)</f>
        <v>#REF!</v>
      </c>
      <c r="G40" s="19" t="e">
        <f>VLOOKUP($B40,#REF!,6,0)</f>
        <v>#REF!</v>
      </c>
      <c r="H40" s="19" t="e">
        <f>VLOOKUP($B40,#REF!,7,0)</f>
        <v>#REF!</v>
      </c>
      <c r="I40" s="19" t="e">
        <f>VLOOKUP($B40,#REF!,8,0)</f>
        <v>#REF!</v>
      </c>
      <c r="J40" s="159"/>
      <c r="K40" s="22" t="s">
        <v>12</v>
      </c>
      <c r="L40" s="44">
        <v>46</v>
      </c>
      <c r="M40" s="44">
        <v>44</v>
      </c>
      <c r="N40" s="35">
        <v>38</v>
      </c>
      <c r="O40" s="161"/>
      <c r="P40" s="13"/>
      <c r="Q40" s="13"/>
      <c r="R40" s="13"/>
      <c r="S40" s="13"/>
      <c r="T40" s="13"/>
    </row>
    <row r="41" spans="2:73" ht="24.2" customHeight="1" thickBot="1" x14ac:dyDescent="0.25">
      <c r="B41" s="156"/>
      <c r="C41" s="158"/>
      <c r="D41" s="20" t="e">
        <f>VLOOKUP($B41,#REF!,3,0)</f>
        <v>#REF!</v>
      </c>
      <c r="E41" s="20" t="e">
        <f>VLOOKUP($B41,#REF!,4,0)</f>
        <v>#REF!</v>
      </c>
      <c r="F41" s="20" t="e">
        <f>VLOOKUP($B41,#REF!,5,0)</f>
        <v>#REF!</v>
      </c>
      <c r="G41" s="20" t="e">
        <f>VLOOKUP($B41,#REF!,6,0)</f>
        <v>#REF!</v>
      </c>
      <c r="H41" s="20" t="e">
        <f>VLOOKUP($B41,#REF!,7,0)</f>
        <v>#REF!</v>
      </c>
      <c r="I41" s="20" t="e">
        <f>VLOOKUP($B41,#REF!,8,0)</f>
        <v>#REF!</v>
      </c>
      <c r="J41" s="160"/>
      <c r="K41" s="34" t="s">
        <v>13</v>
      </c>
      <c r="L41" s="36">
        <v>53</v>
      </c>
      <c r="M41" s="36">
        <v>52</v>
      </c>
      <c r="N41" s="36">
        <v>52</v>
      </c>
      <c r="O41" s="162"/>
      <c r="P41" s="13"/>
      <c r="Q41" s="13"/>
      <c r="R41" s="13"/>
      <c r="S41" s="13"/>
      <c r="T41" s="13"/>
      <c r="AF41" s="12"/>
      <c r="AG41" s="12"/>
      <c r="AH41" s="14"/>
      <c r="AI41" s="15"/>
      <c r="AJ41" s="15"/>
      <c r="AK41" s="15"/>
      <c r="AL41" s="15"/>
      <c r="AM41" s="15"/>
      <c r="AN41" s="15"/>
      <c r="AO41" s="15"/>
      <c r="AP41" s="15"/>
      <c r="AQ41" s="15"/>
      <c r="AR41" s="15"/>
      <c r="AS41" s="15"/>
      <c r="AT41" s="15"/>
      <c r="AU41" s="15"/>
      <c r="AV41" s="15"/>
      <c r="AW41" s="15"/>
      <c r="AX41" s="15"/>
      <c r="AY41" s="15"/>
      <c r="AZ41" s="15"/>
      <c r="BA41" s="15"/>
      <c r="BB41" s="15"/>
      <c r="BC41" s="15"/>
      <c r="BD41" s="15"/>
      <c r="BE41" s="15"/>
      <c r="BF41" s="15"/>
      <c r="BG41" s="15"/>
      <c r="BH41" s="15"/>
      <c r="BI41" s="15"/>
      <c r="BJ41" s="15"/>
      <c r="BK41" s="15"/>
      <c r="BL41" s="15"/>
      <c r="BM41" s="15"/>
      <c r="BN41" s="15"/>
      <c r="BO41" s="15"/>
      <c r="BP41" s="15"/>
      <c r="BQ41" s="15"/>
      <c r="BR41" s="15"/>
      <c r="BS41" s="15"/>
      <c r="BT41" s="15"/>
      <c r="BU41" s="15"/>
    </row>
    <row r="42" spans="2:73" ht="24" customHeight="1" x14ac:dyDescent="0.2">
      <c r="B42" s="155">
        <v>17</v>
      </c>
      <c r="C42" s="157" t="s">
        <v>28</v>
      </c>
      <c r="D42" s="19" t="e">
        <f>VLOOKUP($B42,#REF!,3,0)</f>
        <v>#REF!</v>
      </c>
      <c r="E42" s="19" t="e">
        <f>VLOOKUP($B42,#REF!,4,0)</f>
        <v>#REF!</v>
      </c>
      <c r="F42" s="19" t="e">
        <f>VLOOKUP($B42,#REF!,5,0)</f>
        <v>#REF!</v>
      </c>
      <c r="G42" s="19" t="e">
        <f>VLOOKUP($B42,#REF!,6,0)</f>
        <v>#REF!</v>
      </c>
      <c r="H42" s="19" t="e">
        <f>VLOOKUP($B42,#REF!,7,0)</f>
        <v>#REF!</v>
      </c>
      <c r="I42" s="19" t="e">
        <f>VLOOKUP($B42,#REF!,8,0)</f>
        <v>#REF!</v>
      </c>
      <c r="J42" s="159">
        <v>1120</v>
      </c>
      <c r="K42" s="22" t="s">
        <v>12</v>
      </c>
      <c r="L42" s="44">
        <v>40</v>
      </c>
      <c r="M42" s="44">
        <v>43</v>
      </c>
      <c r="N42" s="35">
        <v>38</v>
      </c>
      <c r="O42" s="161"/>
    </row>
    <row r="43" spans="2:73" ht="24" customHeight="1" thickBot="1" x14ac:dyDescent="0.25">
      <c r="B43" s="156"/>
      <c r="C43" s="163"/>
      <c r="D43" s="20"/>
      <c r="E43" s="20"/>
      <c r="F43" s="20"/>
      <c r="G43" s="20"/>
      <c r="H43" s="20"/>
      <c r="I43" s="20"/>
      <c r="J43" s="160"/>
      <c r="K43" s="34" t="s">
        <v>13</v>
      </c>
      <c r="L43" s="36">
        <v>48</v>
      </c>
      <c r="M43" s="36">
        <v>44</v>
      </c>
      <c r="N43" s="36">
        <v>47</v>
      </c>
      <c r="O43" s="162"/>
    </row>
  </sheetData>
  <mergeCells count="70">
    <mergeCell ref="B40:B41"/>
    <mergeCell ref="C40:C41"/>
    <mergeCell ref="J40:J41"/>
    <mergeCell ref="O40:O41"/>
    <mergeCell ref="B42:B43"/>
    <mergeCell ref="C42:C43"/>
    <mergeCell ref="J42:J43"/>
    <mergeCell ref="O42:O43"/>
    <mergeCell ref="B36:B37"/>
    <mergeCell ref="C36:C37"/>
    <mergeCell ref="J36:J37"/>
    <mergeCell ref="O36:O37"/>
    <mergeCell ref="B38:B39"/>
    <mergeCell ref="C38:C39"/>
    <mergeCell ref="J38:J39"/>
    <mergeCell ref="O38:O39"/>
    <mergeCell ref="B32:B33"/>
    <mergeCell ref="C32:C33"/>
    <mergeCell ref="J32:J33"/>
    <mergeCell ref="O32:O33"/>
    <mergeCell ref="B34:B35"/>
    <mergeCell ref="C34:C35"/>
    <mergeCell ref="J34:J35"/>
    <mergeCell ref="O34:O35"/>
    <mergeCell ref="B28:B29"/>
    <mergeCell ref="C28:C29"/>
    <mergeCell ref="J28:J29"/>
    <mergeCell ref="O28:O29"/>
    <mergeCell ref="B30:B31"/>
    <mergeCell ref="C30:C31"/>
    <mergeCell ref="J30:J31"/>
    <mergeCell ref="O30:O31"/>
    <mergeCell ref="B24:B25"/>
    <mergeCell ref="C24:C25"/>
    <mergeCell ref="J24:J25"/>
    <mergeCell ref="O24:O25"/>
    <mergeCell ref="B26:B27"/>
    <mergeCell ref="C26:C27"/>
    <mergeCell ref="J26:J27"/>
    <mergeCell ref="O26:O27"/>
    <mergeCell ref="B20:B21"/>
    <mergeCell ref="C20:C21"/>
    <mergeCell ref="J20:J21"/>
    <mergeCell ref="O20:O21"/>
    <mergeCell ref="B22:B23"/>
    <mergeCell ref="C22:C23"/>
    <mergeCell ref="J22:J23"/>
    <mergeCell ref="O22:O23"/>
    <mergeCell ref="B18:B19"/>
    <mergeCell ref="C18:C19"/>
    <mergeCell ref="J18:J19"/>
    <mergeCell ref="O18:O19"/>
    <mergeCell ref="B12:B13"/>
    <mergeCell ref="C12:C13"/>
    <mergeCell ref="J12:J13"/>
    <mergeCell ref="B14:B15"/>
    <mergeCell ref="C14:C15"/>
    <mergeCell ref="J14:J15"/>
    <mergeCell ref="O14:O15"/>
    <mergeCell ref="B16:B17"/>
    <mergeCell ref="C16:C17"/>
    <mergeCell ref="J16:J17"/>
    <mergeCell ref="O16:O17"/>
    <mergeCell ref="AF5:AH5"/>
    <mergeCell ref="L6:N6"/>
    <mergeCell ref="O7:O8"/>
    <mergeCell ref="B8:K8"/>
    <mergeCell ref="B10:B11"/>
    <mergeCell ref="C10:C11"/>
    <mergeCell ref="J10:J11"/>
  </mergeCells>
  <pageMargins left="0.45" right="0" top="0.49" bottom="0" header="0.64" footer="0"/>
  <pageSetup paperSize="512" scale="72" orientation="portrait" r:id="rId1"/>
  <headerFooter alignWithMargins="0"/>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BU43"/>
  <sheetViews>
    <sheetView zoomScale="90" zoomScaleNormal="90" workbookViewId="0"/>
  </sheetViews>
  <sheetFormatPr defaultRowHeight="12.75" x14ac:dyDescent="0.2"/>
  <cols>
    <col min="1" max="1" width="5.42578125" customWidth="1"/>
    <col min="2" max="2" width="6.28515625" customWidth="1"/>
    <col min="3" max="3" width="12.7109375" customWidth="1"/>
    <col min="4" max="8" width="5.28515625" hidden="1" customWidth="1"/>
    <col min="9" max="9" width="7" hidden="1" customWidth="1"/>
    <col min="10" max="10" width="8.42578125" customWidth="1"/>
    <col min="11" max="14" width="12.7109375" customWidth="1"/>
    <col min="15" max="15" width="48.7109375" customWidth="1"/>
    <col min="22" max="22" width="7.5703125" customWidth="1"/>
    <col min="23" max="32" width="7.7109375" customWidth="1"/>
  </cols>
  <sheetData>
    <row r="1" spans="1:73" ht="15" customHeight="1" x14ac:dyDescent="0.25">
      <c r="A1" s="1" t="s">
        <v>33</v>
      </c>
    </row>
    <row r="2" spans="1:73" ht="20.25" customHeight="1" thickBot="1" x14ac:dyDescent="0.3">
      <c r="A2" s="1"/>
      <c r="M2" s="15" t="s">
        <v>0</v>
      </c>
      <c r="N2" s="23">
        <v>40716</v>
      </c>
      <c r="O2" s="29"/>
    </row>
    <row r="3" spans="1:73" ht="20.25" customHeight="1" thickBot="1" x14ac:dyDescent="0.25">
      <c r="A3" t="s">
        <v>1</v>
      </c>
      <c r="C3" s="38" t="s">
        <v>51</v>
      </c>
      <c r="D3" s="3"/>
      <c r="E3" s="3"/>
      <c r="F3" s="3"/>
      <c r="G3" s="3"/>
      <c r="H3" s="3"/>
      <c r="I3" s="3"/>
      <c r="J3" s="3"/>
      <c r="K3" s="3"/>
      <c r="L3" s="3"/>
      <c r="M3" s="15" t="s">
        <v>23</v>
      </c>
      <c r="N3" s="2">
        <v>173</v>
      </c>
      <c r="O3" s="30"/>
    </row>
    <row r="4" spans="1:73" ht="20.25" customHeight="1" thickBot="1" x14ac:dyDescent="0.25">
      <c r="B4" s="3" t="s">
        <v>52</v>
      </c>
      <c r="C4" s="38"/>
      <c r="D4" s="4"/>
      <c r="E4" s="4"/>
      <c r="F4" s="4"/>
      <c r="G4" s="4"/>
      <c r="H4" s="4"/>
      <c r="I4" s="4"/>
      <c r="J4" s="4"/>
      <c r="K4" s="4"/>
      <c r="L4" s="4"/>
      <c r="M4" s="15" t="s">
        <v>2</v>
      </c>
      <c r="N4" s="2" t="s">
        <v>26</v>
      </c>
      <c r="O4" s="30"/>
    </row>
    <row r="5" spans="1:73" ht="18" x14ac:dyDescent="0.2">
      <c r="AE5" s="5"/>
      <c r="AF5" s="165"/>
      <c r="AG5" s="165"/>
      <c r="AH5" s="165"/>
    </row>
    <row r="6" spans="1:73" ht="18" x14ac:dyDescent="0.25">
      <c r="L6" s="174"/>
      <c r="M6" s="167"/>
      <c r="N6" s="168"/>
      <c r="O6" s="31"/>
      <c r="AE6" s="5"/>
      <c r="AF6" s="24"/>
      <c r="AG6" s="24"/>
      <c r="AH6" s="24"/>
    </row>
    <row r="7" spans="1:73" ht="25.5" customHeight="1" x14ac:dyDescent="0.2">
      <c r="B7" s="6" t="s">
        <v>3</v>
      </c>
      <c r="C7" s="7"/>
      <c r="D7" s="7" t="s">
        <v>4</v>
      </c>
      <c r="E7" s="6" t="s">
        <v>5</v>
      </c>
      <c r="F7" s="7" t="s">
        <v>6</v>
      </c>
      <c r="G7" s="6" t="s">
        <v>7</v>
      </c>
      <c r="H7" s="6" t="s">
        <v>8</v>
      </c>
      <c r="I7" s="6" t="s">
        <v>9</v>
      </c>
      <c r="J7" s="6" t="s">
        <v>11</v>
      </c>
      <c r="K7" s="8" t="s">
        <v>24</v>
      </c>
      <c r="L7" s="22" t="s">
        <v>30</v>
      </c>
      <c r="M7" s="22" t="s">
        <v>31</v>
      </c>
      <c r="N7" s="22" t="s">
        <v>32</v>
      </c>
      <c r="O7" s="169" t="s">
        <v>25</v>
      </c>
      <c r="AE7" s="10"/>
      <c r="AF7" s="9"/>
      <c r="AG7" s="9"/>
      <c r="AH7" s="11"/>
    </row>
    <row r="8" spans="1:73" ht="15.95" customHeight="1" thickBot="1" x14ac:dyDescent="0.25">
      <c r="B8" s="170"/>
      <c r="C8" s="171"/>
      <c r="D8" s="171"/>
      <c r="E8" s="171"/>
      <c r="F8" s="171"/>
      <c r="G8" s="171"/>
      <c r="H8" s="171"/>
      <c r="I8" s="171"/>
      <c r="J8" s="171"/>
      <c r="K8" s="172"/>
      <c r="L8" s="39" t="s">
        <v>27</v>
      </c>
      <c r="M8" s="39"/>
      <c r="N8" s="39"/>
      <c r="O8" s="163"/>
      <c r="AF8" s="12"/>
      <c r="AG8" s="12"/>
      <c r="AH8" s="12"/>
    </row>
    <row r="9" spans="1:73" ht="15.95" hidden="1" customHeight="1" x14ac:dyDescent="0.2">
      <c r="B9" s="25" t="s">
        <v>3</v>
      </c>
      <c r="C9" s="26" t="s">
        <v>10</v>
      </c>
      <c r="D9" s="26" t="s">
        <v>14</v>
      </c>
      <c r="E9" s="25" t="s">
        <v>15</v>
      </c>
      <c r="F9" s="26" t="s">
        <v>16</v>
      </c>
      <c r="G9" s="25" t="s">
        <v>17</v>
      </c>
      <c r="H9" s="25" t="s">
        <v>8</v>
      </c>
      <c r="I9" s="25" t="s">
        <v>18</v>
      </c>
      <c r="J9" s="27" t="s">
        <v>11</v>
      </c>
      <c r="K9" s="27" t="s">
        <v>19</v>
      </c>
      <c r="L9" s="28" t="s">
        <v>20</v>
      </c>
      <c r="M9" s="28" t="s">
        <v>21</v>
      </c>
      <c r="N9" s="28" t="s">
        <v>22</v>
      </c>
      <c r="O9" s="32"/>
      <c r="AF9" s="12"/>
      <c r="AG9" s="12"/>
      <c r="AH9" s="12"/>
    </row>
    <row r="10" spans="1:73" ht="24.2" customHeight="1" x14ac:dyDescent="0.2">
      <c r="B10" s="164">
        <v>1</v>
      </c>
      <c r="C10" s="157" t="s">
        <v>28</v>
      </c>
      <c r="D10" s="19" t="e">
        <f>VLOOKUP($B10,#REF!,3,0)</f>
        <v>#REF!</v>
      </c>
      <c r="E10" s="19" t="e">
        <f>VLOOKUP($B10,#REF!,4,0)</f>
        <v>#REF!</v>
      </c>
      <c r="F10" s="19" t="e">
        <f>VLOOKUP($B10,#REF!,5,0)</f>
        <v>#REF!</v>
      </c>
      <c r="G10" s="19" t="e">
        <f>VLOOKUP($B10,#REF!,6,0)</f>
        <v>#REF!</v>
      </c>
      <c r="H10" s="19" t="e">
        <f>VLOOKUP($B10,#REF!,7,0)</f>
        <v>#REF!</v>
      </c>
      <c r="I10" s="19" t="e">
        <f>VLOOKUP($B10,#REF!,8,0)</f>
        <v>#REF!</v>
      </c>
      <c r="J10" s="173">
        <v>1440</v>
      </c>
      <c r="K10" s="22" t="s">
        <v>12</v>
      </c>
      <c r="L10" s="35">
        <v>47</v>
      </c>
      <c r="M10" s="35">
        <v>48</v>
      </c>
      <c r="N10" s="44">
        <v>44</v>
      </c>
      <c r="O10" s="40"/>
      <c r="P10" s="13"/>
      <c r="Q10" s="13"/>
      <c r="R10" s="13"/>
      <c r="S10" s="13"/>
      <c r="T10" s="13"/>
      <c r="AF10" s="12"/>
      <c r="AG10" s="12"/>
      <c r="AH10" s="14"/>
      <c r="AI10" s="15"/>
      <c r="AJ10" s="15"/>
      <c r="AK10" s="15"/>
      <c r="AL10" s="15"/>
      <c r="AM10" s="15"/>
      <c r="AN10" s="15"/>
      <c r="AO10" s="15"/>
      <c r="AP10" s="15"/>
      <c r="AQ10" s="15"/>
      <c r="AR10" s="15"/>
      <c r="AS10" s="15"/>
      <c r="AT10" s="15"/>
      <c r="AU10" s="15"/>
      <c r="AV10" s="15"/>
      <c r="AW10" s="15"/>
      <c r="AX10" s="15"/>
      <c r="AY10" s="15"/>
      <c r="AZ10" s="15"/>
      <c r="BA10" s="15"/>
      <c r="BB10" s="15"/>
      <c r="BC10" s="15"/>
      <c r="BD10" s="15"/>
      <c r="BE10" s="15"/>
      <c r="BF10" s="15"/>
      <c r="BG10" s="15"/>
      <c r="BH10" s="15"/>
      <c r="BI10" s="15"/>
      <c r="BJ10" s="15"/>
      <c r="BK10" s="15"/>
      <c r="BL10" s="15"/>
      <c r="BM10" s="15"/>
      <c r="BN10" s="15"/>
      <c r="BO10" s="15"/>
      <c r="BP10" s="15"/>
      <c r="BQ10" s="15"/>
      <c r="BR10" s="15"/>
      <c r="BS10" s="15"/>
      <c r="BT10" s="15"/>
      <c r="BU10" s="15"/>
    </row>
    <row r="11" spans="1:73" ht="24.2" customHeight="1" thickBot="1" x14ac:dyDescent="0.25">
      <c r="B11" s="156"/>
      <c r="C11" s="163"/>
      <c r="D11" s="20" t="e">
        <f>VLOOKUP($B11,#REF!,3,0)</f>
        <v>#REF!</v>
      </c>
      <c r="E11" s="20" t="e">
        <f>VLOOKUP($B11,#REF!,4,0)</f>
        <v>#REF!</v>
      </c>
      <c r="F11" s="20" t="e">
        <f>VLOOKUP($B11,#REF!,5,0)</f>
        <v>#REF!</v>
      </c>
      <c r="G11" s="20" t="e">
        <f>VLOOKUP($B11,#REF!,6,0)</f>
        <v>#REF!</v>
      </c>
      <c r="H11" s="20" t="e">
        <f>VLOOKUP($B11,#REF!,7,0)</f>
        <v>#REF!</v>
      </c>
      <c r="I11" s="20" t="e">
        <f>VLOOKUP($B11,#REF!,8,0)</f>
        <v>#REF!</v>
      </c>
      <c r="J11" s="160"/>
      <c r="K11" s="34" t="s">
        <v>13</v>
      </c>
      <c r="L11" s="36">
        <v>58</v>
      </c>
      <c r="M11" s="36">
        <v>55</v>
      </c>
      <c r="N11" s="36">
        <v>48</v>
      </c>
      <c r="O11" s="41"/>
      <c r="P11" s="13"/>
      <c r="Q11" s="13"/>
      <c r="R11" s="13"/>
      <c r="S11" s="13"/>
      <c r="T11" s="13"/>
      <c r="AF11" s="12"/>
      <c r="AG11" s="12"/>
      <c r="AH11" s="14"/>
      <c r="AI11" s="15"/>
      <c r="AJ11" s="15"/>
      <c r="AK11" s="15"/>
      <c r="AL11" s="15"/>
      <c r="AM11" s="15"/>
      <c r="AN11" s="15"/>
      <c r="AO11" s="15"/>
      <c r="AP11" s="15"/>
      <c r="AQ11" s="15"/>
      <c r="AR11" s="15"/>
      <c r="AS11" s="15"/>
      <c r="AT11" s="15"/>
      <c r="AU11" s="15"/>
      <c r="AV11" s="15"/>
      <c r="AW11" s="15"/>
      <c r="AX11" s="15"/>
      <c r="AY11" s="15"/>
      <c r="AZ11" s="15"/>
      <c r="BA11" s="15"/>
      <c r="BB11" s="15"/>
      <c r="BC11" s="15"/>
      <c r="BD11" s="15"/>
      <c r="BE11" s="15"/>
      <c r="BF11" s="15"/>
      <c r="BG11" s="15"/>
      <c r="BH11" s="15"/>
      <c r="BI11" s="15"/>
      <c r="BJ11" s="15"/>
      <c r="BK11" s="15"/>
      <c r="BL11" s="15"/>
      <c r="BM11" s="15"/>
      <c r="BN11" s="15"/>
      <c r="BO11" s="15"/>
      <c r="BP11" s="15"/>
      <c r="BQ11" s="15"/>
      <c r="BR11" s="15"/>
      <c r="BS11" s="15"/>
      <c r="BT11" s="15"/>
      <c r="BU11" s="15"/>
    </row>
    <row r="12" spans="1:73" ht="24.2" customHeight="1" x14ac:dyDescent="0.2">
      <c r="B12" s="164">
        <v>2</v>
      </c>
      <c r="C12" s="157" t="s">
        <v>29</v>
      </c>
      <c r="D12" s="21" t="e">
        <f>VLOOKUP($B12,#REF!,3,0)</f>
        <v>#REF!</v>
      </c>
      <c r="E12" s="21" t="e">
        <f>VLOOKUP($B12,#REF!,4,0)</f>
        <v>#REF!</v>
      </c>
      <c r="F12" s="21" t="e">
        <f>VLOOKUP($B12,#REF!,5,0)</f>
        <v>#REF!</v>
      </c>
      <c r="G12" s="21" t="e">
        <f>VLOOKUP($B12,#REF!,6,0)</f>
        <v>#REF!</v>
      </c>
      <c r="H12" s="21" t="e">
        <f>VLOOKUP($B12,#REF!,7,0)</f>
        <v>#REF!</v>
      </c>
      <c r="I12" s="21" t="e">
        <f>VLOOKUP($B12,#REF!,8,0)</f>
        <v>#REF!</v>
      </c>
      <c r="J12" s="159"/>
      <c r="K12" s="33" t="s">
        <v>12</v>
      </c>
      <c r="L12" s="35">
        <v>50</v>
      </c>
      <c r="M12" s="35">
        <v>56</v>
      </c>
      <c r="N12" s="35">
        <v>51</v>
      </c>
      <c r="O12" s="42"/>
      <c r="P12" s="13"/>
      <c r="Q12" s="16"/>
      <c r="R12" s="13"/>
      <c r="S12" s="17"/>
      <c r="T12" s="13"/>
      <c r="AF12" s="12"/>
      <c r="AG12" s="12"/>
      <c r="AH12" s="12"/>
      <c r="AI12" s="18"/>
      <c r="AJ12" s="18"/>
      <c r="AK12" s="18"/>
      <c r="AL12" s="18"/>
      <c r="AM12" s="18"/>
      <c r="AN12" s="18"/>
      <c r="AO12" s="18"/>
      <c r="AP12" s="18"/>
      <c r="AQ12" s="18"/>
      <c r="AR12" s="18"/>
      <c r="AS12" s="18"/>
      <c r="AT12" s="18"/>
      <c r="AU12" s="18"/>
      <c r="AV12" s="18"/>
      <c r="AW12" s="18"/>
      <c r="AX12" s="18"/>
      <c r="AY12" s="18"/>
      <c r="AZ12" s="18"/>
      <c r="BA12" s="18"/>
      <c r="BB12" s="18"/>
      <c r="BC12" s="18"/>
      <c r="BD12" s="18"/>
      <c r="BE12" s="18"/>
      <c r="BF12" s="18"/>
      <c r="BG12" s="18"/>
      <c r="BH12" s="18"/>
      <c r="BI12" s="18"/>
      <c r="BJ12" s="18"/>
      <c r="BK12" s="18"/>
      <c r="BL12" s="18"/>
      <c r="BM12" s="18"/>
      <c r="BN12" s="18"/>
      <c r="BO12" s="18"/>
      <c r="BP12" s="18"/>
      <c r="BQ12" s="18"/>
      <c r="BR12" s="18"/>
      <c r="BS12" s="18"/>
      <c r="BT12" s="18"/>
      <c r="BU12" s="18"/>
    </row>
    <row r="13" spans="1:73" ht="24.2" customHeight="1" thickBot="1" x14ac:dyDescent="0.25">
      <c r="B13" s="156"/>
      <c r="C13" s="158"/>
      <c r="D13" s="20" t="e">
        <f>VLOOKUP($B13,#REF!,3,0)</f>
        <v>#REF!</v>
      </c>
      <c r="E13" s="20" t="e">
        <f>VLOOKUP($B13,#REF!,4,0)</f>
        <v>#REF!</v>
      </c>
      <c r="F13" s="20" t="e">
        <f>VLOOKUP($B13,#REF!,5,0)</f>
        <v>#REF!</v>
      </c>
      <c r="G13" s="20" t="e">
        <f>VLOOKUP($B13,#REF!,6,0)</f>
        <v>#REF!</v>
      </c>
      <c r="H13" s="20" t="e">
        <f>VLOOKUP($B13,#REF!,7,0)</f>
        <v>#REF!</v>
      </c>
      <c r="I13" s="20" t="e">
        <f>VLOOKUP($B13,#REF!,8,0)</f>
        <v>#REF!</v>
      </c>
      <c r="J13" s="160"/>
      <c r="K13" s="34" t="s">
        <v>13</v>
      </c>
      <c r="L13" s="37">
        <v>64</v>
      </c>
      <c r="M13" s="36">
        <v>64</v>
      </c>
      <c r="N13" s="36">
        <v>63</v>
      </c>
      <c r="O13" s="43"/>
      <c r="P13" s="13"/>
      <c r="Q13" s="13"/>
      <c r="R13" s="13"/>
      <c r="S13" s="13"/>
      <c r="T13" s="13"/>
      <c r="AF13" s="12"/>
      <c r="AG13" s="12"/>
      <c r="AH13" s="14"/>
      <c r="AI13" s="15"/>
      <c r="AJ13" s="15"/>
      <c r="AK13" s="15"/>
      <c r="AL13" s="15"/>
      <c r="AM13" s="15"/>
      <c r="AN13" s="15"/>
      <c r="AO13" s="15"/>
      <c r="AP13" s="15"/>
      <c r="AQ13" s="15"/>
      <c r="AR13" s="15"/>
      <c r="AS13" s="15"/>
      <c r="AT13" s="15"/>
      <c r="AU13" s="15"/>
      <c r="AV13" s="15"/>
      <c r="AW13" s="15"/>
      <c r="AX13" s="15"/>
      <c r="AY13" s="15"/>
      <c r="AZ13" s="15"/>
      <c r="BA13" s="15"/>
      <c r="BB13" s="15"/>
      <c r="BC13" s="15"/>
      <c r="BD13" s="15"/>
      <c r="BE13" s="15"/>
      <c r="BF13" s="15"/>
      <c r="BG13" s="15"/>
      <c r="BH13" s="15"/>
      <c r="BI13" s="15"/>
      <c r="BJ13" s="15"/>
      <c r="BK13" s="15"/>
      <c r="BL13" s="15"/>
      <c r="BM13" s="15"/>
      <c r="BN13" s="15"/>
      <c r="BO13" s="15"/>
      <c r="BP13" s="15"/>
      <c r="BQ13" s="15"/>
      <c r="BR13" s="15"/>
      <c r="BS13" s="15"/>
      <c r="BT13" s="15"/>
      <c r="BU13" s="15"/>
    </row>
    <row r="14" spans="1:73" ht="24.2" customHeight="1" x14ac:dyDescent="0.2">
      <c r="B14" s="164">
        <v>3</v>
      </c>
      <c r="C14" s="157" t="s">
        <v>28</v>
      </c>
      <c r="D14" s="19" t="e">
        <f>VLOOKUP($B14,#REF!,3,0)</f>
        <v>#REF!</v>
      </c>
      <c r="E14" s="19" t="e">
        <f>VLOOKUP($B14,#REF!,4,0)</f>
        <v>#REF!</v>
      </c>
      <c r="F14" s="19" t="e">
        <f>VLOOKUP($B14,#REF!,5,0)</f>
        <v>#REF!</v>
      </c>
      <c r="G14" s="19" t="e">
        <f>VLOOKUP($B14,#REF!,6,0)</f>
        <v>#REF!</v>
      </c>
      <c r="H14" s="19" t="e">
        <f>VLOOKUP($B14,#REF!,7,0)</f>
        <v>#REF!</v>
      </c>
      <c r="I14" s="19" t="e">
        <f>VLOOKUP($B14,#REF!,8,0)</f>
        <v>#REF!</v>
      </c>
      <c r="J14" s="159"/>
      <c r="K14" s="22" t="s">
        <v>12</v>
      </c>
      <c r="L14" s="35">
        <v>53</v>
      </c>
      <c r="M14" s="35">
        <v>49</v>
      </c>
      <c r="N14" s="35">
        <v>50</v>
      </c>
      <c r="O14" s="161"/>
      <c r="P14" s="13"/>
      <c r="Q14" s="13"/>
      <c r="R14" s="13"/>
      <c r="S14" s="13"/>
      <c r="T14" s="13"/>
      <c r="AF14" s="12"/>
      <c r="AG14" s="12"/>
      <c r="AH14" s="12"/>
    </row>
    <row r="15" spans="1:73" ht="24.2" customHeight="1" thickBot="1" x14ac:dyDescent="0.25">
      <c r="B15" s="156"/>
      <c r="C15" s="163"/>
      <c r="D15" s="20" t="e">
        <f>VLOOKUP($B15,#REF!,3,0)</f>
        <v>#REF!</v>
      </c>
      <c r="E15" s="20" t="e">
        <f>VLOOKUP($B15,#REF!,4,0)</f>
        <v>#REF!</v>
      </c>
      <c r="F15" s="20" t="e">
        <f>VLOOKUP($B15,#REF!,5,0)</f>
        <v>#REF!</v>
      </c>
      <c r="G15" s="20" t="e">
        <f>VLOOKUP($B15,#REF!,6,0)</f>
        <v>#REF!</v>
      </c>
      <c r="H15" s="20" t="e">
        <f>VLOOKUP($B15,#REF!,7,0)</f>
        <v>#REF!</v>
      </c>
      <c r="I15" s="20" t="e">
        <f>VLOOKUP($B15,#REF!,8,0)</f>
        <v>#REF!</v>
      </c>
      <c r="J15" s="160"/>
      <c r="K15" s="34" t="s">
        <v>13</v>
      </c>
      <c r="L15" s="36">
        <v>62</v>
      </c>
      <c r="M15" s="36">
        <v>60</v>
      </c>
      <c r="N15" s="36">
        <v>55</v>
      </c>
      <c r="O15" s="162"/>
      <c r="P15" s="13"/>
      <c r="Q15" s="13"/>
      <c r="R15" s="13"/>
      <c r="S15" s="13"/>
      <c r="T15" s="13"/>
      <c r="AF15" s="12"/>
      <c r="AG15" s="12"/>
      <c r="AH15" s="14"/>
      <c r="AI15" s="15"/>
      <c r="AJ15" s="15"/>
      <c r="AK15" s="15"/>
      <c r="AL15" s="15"/>
      <c r="AM15" s="15"/>
      <c r="AN15" s="15"/>
      <c r="AO15" s="15"/>
      <c r="AP15" s="15"/>
      <c r="AQ15" s="15"/>
      <c r="AR15" s="15"/>
      <c r="AS15" s="15"/>
      <c r="AT15" s="15"/>
      <c r="AU15" s="15"/>
      <c r="AV15" s="15"/>
      <c r="AW15" s="15"/>
      <c r="AX15" s="15"/>
      <c r="AY15" s="15"/>
      <c r="AZ15" s="15"/>
      <c r="BA15" s="15"/>
      <c r="BB15" s="15"/>
      <c r="BC15" s="15"/>
      <c r="BD15" s="15"/>
      <c r="BE15" s="15"/>
      <c r="BF15" s="15"/>
      <c r="BG15" s="15"/>
      <c r="BH15" s="15"/>
      <c r="BI15" s="15"/>
      <c r="BJ15" s="15"/>
      <c r="BK15" s="15"/>
      <c r="BL15" s="15"/>
      <c r="BM15" s="15"/>
      <c r="BN15" s="15"/>
      <c r="BO15" s="15"/>
      <c r="BP15" s="15"/>
      <c r="BQ15" s="15"/>
      <c r="BR15" s="15"/>
      <c r="BS15" s="15"/>
      <c r="BT15" s="15"/>
      <c r="BU15" s="15"/>
    </row>
    <row r="16" spans="1:73" ht="24.2" customHeight="1" x14ac:dyDescent="0.2">
      <c r="B16" s="164">
        <v>4</v>
      </c>
      <c r="C16" s="157" t="s">
        <v>29</v>
      </c>
      <c r="D16" s="19" t="e">
        <f>VLOOKUP($B16,#REF!,3,0)</f>
        <v>#REF!</v>
      </c>
      <c r="E16" s="19" t="e">
        <f>VLOOKUP($B16,#REF!,4,0)</f>
        <v>#REF!</v>
      </c>
      <c r="F16" s="19" t="e">
        <f>VLOOKUP($B16,#REF!,5,0)</f>
        <v>#REF!</v>
      </c>
      <c r="G16" s="19" t="e">
        <f>VLOOKUP($B16,#REF!,6,0)</f>
        <v>#REF!</v>
      </c>
      <c r="H16" s="19" t="e">
        <f>VLOOKUP($B16,#REF!,7,0)</f>
        <v>#REF!</v>
      </c>
      <c r="I16" s="19" t="e">
        <f>VLOOKUP($B16,#REF!,8,0)</f>
        <v>#REF!</v>
      </c>
      <c r="J16" s="159"/>
      <c r="K16" s="22" t="s">
        <v>12</v>
      </c>
      <c r="L16" s="35">
        <v>63</v>
      </c>
      <c r="M16" s="35">
        <v>60</v>
      </c>
      <c r="N16" s="44">
        <v>45</v>
      </c>
      <c r="O16" s="161"/>
      <c r="P16" s="13"/>
      <c r="Q16" s="13"/>
      <c r="R16" s="13"/>
      <c r="S16" s="13"/>
      <c r="T16" s="13"/>
    </row>
    <row r="17" spans="2:73" ht="24.2" customHeight="1" thickBot="1" x14ac:dyDescent="0.25">
      <c r="B17" s="156"/>
      <c r="C17" s="158"/>
      <c r="D17" s="20" t="e">
        <f>VLOOKUP($B17,#REF!,3,0)</f>
        <v>#REF!</v>
      </c>
      <c r="E17" s="20" t="e">
        <f>VLOOKUP($B17,#REF!,4,0)</f>
        <v>#REF!</v>
      </c>
      <c r="F17" s="20" t="e">
        <f>VLOOKUP($B17,#REF!,5,0)</f>
        <v>#REF!</v>
      </c>
      <c r="G17" s="20" t="e">
        <f>VLOOKUP($B17,#REF!,6,0)</f>
        <v>#REF!</v>
      </c>
      <c r="H17" s="20" t="e">
        <f>VLOOKUP($B17,#REF!,7,0)</f>
        <v>#REF!</v>
      </c>
      <c r="I17" s="20" t="e">
        <f>VLOOKUP($B17,#REF!,8,0)</f>
        <v>#REF!</v>
      </c>
      <c r="J17" s="160"/>
      <c r="K17" s="34" t="s">
        <v>13</v>
      </c>
      <c r="L17" s="36">
        <v>69</v>
      </c>
      <c r="M17" s="36">
        <v>64</v>
      </c>
      <c r="N17" s="36">
        <v>63</v>
      </c>
      <c r="O17" s="162"/>
      <c r="P17" s="13"/>
      <c r="Q17" s="13"/>
      <c r="R17" s="13"/>
      <c r="S17" s="13"/>
      <c r="T17" s="13"/>
      <c r="AF17" s="12"/>
      <c r="AG17" s="12"/>
      <c r="AH17" s="14"/>
      <c r="AI17" s="15"/>
      <c r="AJ17" s="15"/>
      <c r="AK17" s="15"/>
      <c r="AL17" s="15"/>
      <c r="AM17" s="15"/>
      <c r="AN17" s="15"/>
      <c r="AO17" s="15"/>
      <c r="AP17" s="15"/>
      <c r="AQ17" s="15"/>
      <c r="AR17" s="15"/>
      <c r="AS17" s="15"/>
      <c r="AT17" s="15"/>
      <c r="AU17" s="15"/>
      <c r="AV17" s="15"/>
      <c r="AW17" s="15"/>
      <c r="AX17" s="15"/>
      <c r="AY17" s="15"/>
      <c r="AZ17" s="15"/>
      <c r="BA17" s="15"/>
      <c r="BB17" s="15"/>
      <c r="BC17" s="15"/>
      <c r="BD17" s="15"/>
      <c r="BE17" s="15"/>
      <c r="BF17" s="15"/>
      <c r="BG17" s="15"/>
      <c r="BH17" s="15"/>
      <c r="BI17" s="15"/>
      <c r="BJ17" s="15"/>
      <c r="BK17" s="15"/>
      <c r="BL17" s="15"/>
      <c r="BM17" s="15"/>
      <c r="BN17" s="15"/>
      <c r="BO17" s="15"/>
      <c r="BP17" s="15"/>
      <c r="BQ17" s="15"/>
      <c r="BR17" s="15"/>
      <c r="BS17" s="15"/>
      <c r="BT17" s="15"/>
      <c r="BU17" s="15"/>
    </row>
    <row r="18" spans="2:73" ht="24.2" customHeight="1" x14ac:dyDescent="0.2">
      <c r="B18" s="164">
        <v>5</v>
      </c>
      <c r="C18" s="157" t="s">
        <v>28</v>
      </c>
      <c r="D18" s="19" t="e">
        <f>VLOOKUP($B18,#REF!,3,0)</f>
        <v>#REF!</v>
      </c>
      <c r="E18" s="19" t="e">
        <f>VLOOKUP($B18,#REF!,4,0)</f>
        <v>#REF!</v>
      </c>
      <c r="F18" s="19" t="e">
        <f>VLOOKUP($B18,#REF!,5,0)</f>
        <v>#REF!</v>
      </c>
      <c r="G18" s="19" t="e">
        <f>VLOOKUP($B18,#REF!,6,0)</f>
        <v>#REF!</v>
      </c>
      <c r="H18" s="19" t="e">
        <f>VLOOKUP($B18,#REF!,7,0)</f>
        <v>#REF!</v>
      </c>
      <c r="I18" s="19" t="e">
        <f>VLOOKUP($B18,#REF!,8,0)</f>
        <v>#REF!</v>
      </c>
      <c r="J18" s="159"/>
      <c r="K18" s="22" t="s">
        <v>12</v>
      </c>
      <c r="L18" s="44">
        <v>48</v>
      </c>
      <c r="M18" s="35">
        <v>43</v>
      </c>
      <c r="N18" s="44">
        <v>46</v>
      </c>
      <c r="O18" s="161"/>
      <c r="P18" s="13"/>
      <c r="Q18" s="13"/>
      <c r="R18" s="13"/>
      <c r="S18" s="13"/>
      <c r="T18" s="13"/>
      <c r="AF18" s="12"/>
      <c r="AG18" s="12"/>
      <c r="AH18" s="12"/>
    </row>
    <row r="19" spans="2:73" ht="24.2" customHeight="1" thickBot="1" x14ac:dyDescent="0.25">
      <c r="B19" s="156"/>
      <c r="C19" s="163"/>
      <c r="D19" s="20" t="e">
        <f>VLOOKUP($B19,#REF!,3,0)</f>
        <v>#REF!</v>
      </c>
      <c r="E19" s="20" t="e">
        <f>VLOOKUP($B19,#REF!,4,0)</f>
        <v>#REF!</v>
      </c>
      <c r="F19" s="20" t="e">
        <f>VLOOKUP($B19,#REF!,5,0)</f>
        <v>#REF!</v>
      </c>
      <c r="G19" s="20" t="e">
        <f>VLOOKUP($B19,#REF!,6,0)</f>
        <v>#REF!</v>
      </c>
      <c r="H19" s="20" t="e">
        <f>VLOOKUP($B19,#REF!,7,0)</f>
        <v>#REF!</v>
      </c>
      <c r="I19" s="20" t="e">
        <f>VLOOKUP($B19,#REF!,8,0)</f>
        <v>#REF!</v>
      </c>
      <c r="J19" s="160"/>
      <c r="K19" s="34" t="s">
        <v>13</v>
      </c>
      <c r="L19" s="36">
        <v>58</v>
      </c>
      <c r="M19" s="36">
        <v>55</v>
      </c>
      <c r="N19" s="36">
        <v>58</v>
      </c>
      <c r="O19" s="162"/>
      <c r="P19" s="13"/>
      <c r="Q19" s="13"/>
      <c r="R19" s="13"/>
      <c r="S19" s="13"/>
      <c r="T19" s="13"/>
      <c r="AF19" s="12"/>
      <c r="AG19" s="12"/>
      <c r="AH19" s="14"/>
      <c r="AI19" s="15"/>
      <c r="AJ19" s="15"/>
      <c r="AK19" s="15"/>
      <c r="AL19" s="15"/>
      <c r="AM19" s="15"/>
      <c r="AN19" s="15"/>
      <c r="AO19" s="15"/>
      <c r="AP19" s="15"/>
      <c r="AQ19" s="15"/>
      <c r="AR19" s="15"/>
      <c r="AS19" s="15"/>
      <c r="AT19" s="15"/>
      <c r="AU19" s="15"/>
      <c r="AV19" s="15"/>
      <c r="AW19" s="15"/>
      <c r="AX19" s="15"/>
      <c r="AY19" s="15"/>
      <c r="AZ19" s="15"/>
      <c r="BA19" s="15"/>
      <c r="BB19" s="15"/>
      <c r="BC19" s="15"/>
      <c r="BD19" s="15"/>
      <c r="BE19" s="15"/>
      <c r="BF19" s="15"/>
      <c r="BG19" s="15"/>
      <c r="BH19" s="15"/>
      <c r="BI19" s="15"/>
      <c r="BJ19" s="15"/>
      <c r="BK19" s="15"/>
      <c r="BL19" s="15"/>
      <c r="BM19" s="15"/>
      <c r="BN19" s="15"/>
      <c r="BO19" s="15"/>
      <c r="BP19" s="15"/>
      <c r="BQ19" s="15"/>
      <c r="BR19" s="15"/>
      <c r="BS19" s="15"/>
      <c r="BT19" s="15"/>
      <c r="BU19" s="15"/>
    </row>
    <row r="20" spans="2:73" ht="24.2" customHeight="1" x14ac:dyDescent="0.2">
      <c r="B20" s="164">
        <v>6</v>
      </c>
      <c r="C20" s="157" t="s">
        <v>29</v>
      </c>
      <c r="D20" s="19" t="e">
        <f>VLOOKUP($B20,#REF!,3,0)</f>
        <v>#REF!</v>
      </c>
      <c r="E20" s="19" t="e">
        <f>VLOOKUP($B20,#REF!,4,0)</f>
        <v>#REF!</v>
      </c>
      <c r="F20" s="19" t="e">
        <f>VLOOKUP($B20,#REF!,5,0)</f>
        <v>#REF!</v>
      </c>
      <c r="G20" s="19" t="e">
        <f>VLOOKUP($B20,#REF!,6,0)</f>
        <v>#REF!</v>
      </c>
      <c r="H20" s="19" t="e">
        <f>VLOOKUP($B20,#REF!,7,0)</f>
        <v>#REF!</v>
      </c>
      <c r="I20" s="19" t="e">
        <f>VLOOKUP($B20,#REF!,8,0)</f>
        <v>#REF!</v>
      </c>
      <c r="J20" s="159"/>
      <c r="K20" s="22" t="s">
        <v>12</v>
      </c>
      <c r="L20" s="35">
        <v>54</v>
      </c>
      <c r="M20" s="35">
        <v>49</v>
      </c>
      <c r="N20" s="35">
        <v>50</v>
      </c>
      <c r="O20" s="161"/>
      <c r="P20" s="13"/>
      <c r="Q20" s="13"/>
      <c r="R20" s="13"/>
      <c r="S20" s="13"/>
      <c r="T20" s="13"/>
      <c r="AF20" s="12"/>
      <c r="AG20" s="12"/>
      <c r="AH20" s="12"/>
    </row>
    <row r="21" spans="2:73" ht="24.2" customHeight="1" thickBot="1" x14ac:dyDescent="0.25">
      <c r="B21" s="156"/>
      <c r="C21" s="158"/>
      <c r="D21" s="20" t="e">
        <f>VLOOKUP($B21,#REF!,3,0)</f>
        <v>#REF!</v>
      </c>
      <c r="E21" s="20" t="e">
        <f>VLOOKUP($B21,#REF!,4,0)</f>
        <v>#REF!</v>
      </c>
      <c r="F21" s="20" t="e">
        <f>VLOOKUP($B21,#REF!,5,0)</f>
        <v>#REF!</v>
      </c>
      <c r="G21" s="20" t="e">
        <f>VLOOKUP($B21,#REF!,6,0)</f>
        <v>#REF!</v>
      </c>
      <c r="H21" s="20" t="e">
        <f>VLOOKUP($B21,#REF!,7,0)</f>
        <v>#REF!</v>
      </c>
      <c r="I21" s="20" t="e">
        <f>VLOOKUP($B21,#REF!,8,0)</f>
        <v>#REF!</v>
      </c>
      <c r="J21" s="160"/>
      <c r="K21" s="34" t="s">
        <v>13</v>
      </c>
      <c r="L21" s="36">
        <v>65</v>
      </c>
      <c r="M21" s="36">
        <v>62</v>
      </c>
      <c r="N21" s="36">
        <v>63</v>
      </c>
      <c r="O21" s="162"/>
      <c r="P21" s="13"/>
      <c r="Q21" s="13"/>
      <c r="R21" s="13"/>
      <c r="S21" s="13"/>
      <c r="T21" s="13"/>
      <c r="AF21" s="12"/>
      <c r="AG21" s="12"/>
      <c r="AH21" s="14"/>
      <c r="AI21" s="15"/>
      <c r="AJ21" s="15"/>
      <c r="AK21" s="15"/>
      <c r="AL21" s="15"/>
      <c r="AM21" s="15"/>
      <c r="AN21" s="15"/>
      <c r="AO21" s="15"/>
      <c r="AP21" s="15"/>
      <c r="AQ21" s="15"/>
      <c r="AR21" s="15"/>
      <c r="AS21" s="15"/>
      <c r="AT21" s="15"/>
      <c r="AU21" s="15"/>
      <c r="AV21" s="15"/>
      <c r="AW21" s="15"/>
      <c r="AX21" s="15"/>
      <c r="AY21" s="15"/>
      <c r="AZ21" s="15"/>
      <c r="BA21" s="15"/>
      <c r="BB21" s="15"/>
      <c r="BC21" s="15"/>
      <c r="BD21" s="15"/>
      <c r="BE21" s="15"/>
      <c r="BF21" s="15"/>
      <c r="BG21" s="15"/>
      <c r="BH21" s="15"/>
      <c r="BI21" s="15"/>
      <c r="BJ21" s="15"/>
      <c r="BK21" s="15"/>
      <c r="BL21" s="15"/>
      <c r="BM21" s="15"/>
      <c r="BN21" s="15"/>
      <c r="BO21" s="15"/>
      <c r="BP21" s="15"/>
      <c r="BQ21" s="15"/>
      <c r="BR21" s="15"/>
      <c r="BS21" s="15"/>
      <c r="BT21" s="15"/>
      <c r="BU21" s="15"/>
    </row>
    <row r="22" spans="2:73" ht="24.2" customHeight="1" x14ac:dyDescent="0.2">
      <c r="B22" s="164">
        <v>7</v>
      </c>
      <c r="C22" s="157" t="s">
        <v>28</v>
      </c>
      <c r="D22" s="19" t="e">
        <f>VLOOKUP($B22,#REF!,3,0)</f>
        <v>#REF!</v>
      </c>
      <c r="E22" s="19" t="e">
        <f>VLOOKUP($B22,#REF!,4,0)</f>
        <v>#REF!</v>
      </c>
      <c r="F22" s="19" t="e">
        <f>VLOOKUP($B22,#REF!,5,0)</f>
        <v>#REF!</v>
      </c>
      <c r="G22" s="19" t="e">
        <f>VLOOKUP($B22,#REF!,6,0)</f>
        <v>#REF!</v>
      </c>
      <c r="H22" s="19" t="e">
        <f>VLOOKUP($B22,#REF!,7,0)</f>
        <v>#REF!</v>
      </c>
      <c r="I22" s="19" t="e">
        <f>VLOOKUP($B22,#REF!,8,0)</f>
        <v>#REF!</v>
      </c>
      <c r="J22" s="159"/>
      <c r="K22" s="22" t="s">
        <v>12</v>
      </c>
      <c r="L22" s="35">
        <v>55</v>
      </c>
      <c r="M22" s="35">
        <v>61</v>
      </c>
      <c r="N22" s="35">
        <v>53</v>
      </c>
      <c r="O22" s="161"/>
      <c r="P22" s="13"/>
      <c r="Q22" s="13"/>
      <c r="R22" s="13"/>
      <c r="S22" s="13"/>
      <c r="T22" s="13"/>
      <c r="AF22" s="12"/>
      <c r="AG22" s="12"/>
      <c r="AH22" s="12"/>
    </row>
    <row r="23" spans="2:73" ht="24.2" customHeight="1" thickBot="1" x14ac:dyDescent="0.25">
      <c r="B23" s="156"/>
      <c r="C23" s="163"/>
      <c r="D23" s="20" t="e">
        <f>VLOOKUP($B23,#REF!,3,0)</f>
        <v>#REF!</v>
      </c>
      <c r="E23" s="20" t="e">
        <f>VLOOKUP($B23,#REF!,4,0)</f>
        <v>#REF!</v>
      </c>
      <c r="F23" s="20" t="e">
        <f>VLOOKUP($B23,#REF!,5,0)</f>
        <v>#REF!</v>
      </c>
      <c r="G23" s="20" t="e">
        <f>VLOOKUP($B23,#REF!,6,0)</f>
        <v>#REF!</v>
      </c>
      <c r="H23" s="20" t="e">
        <f>VLOOKUP($B23,#REF!,7,0)</f>
        <v>#REF!</v>
      </c>
      <c r="I23" s="20" t="e">
        <f>VLOOKUP($B23,#REF!,8,0)</f>
        <v>#REF!</v>
      </c>
      <c r="J23" s="160"/>
      <c r="K23" s="34" t="s">
        <v>13</v>
      </c>
      <c r="L23" s="36">
        <v>67</v>
      </c>
      <c r="M23" s="36">
        <v>68</v>
      </c>
      <c r="N23" s="36">
        <v>61</v>
      </c>
      <c r="O23" s="162"/>
      <c r="P23" s="13"/>
      <c r="Q23" s="13"/>
      <c r="R23" s="13"/>
      <c r="S23" s="13"/>
      <c r="T23" s="13"/>
      <c r="AF23" s="12"/>
      <c r="AG23" s="12"/>
      <c r="AH23" s="14"/>
      <c r="AI23" s="15"/>
      <c r="AJ23" s="15"/>
      <c r="AK23" s="15"/>
      <c r="AL23" s="15"/>
      <c r="AM23" s="15"/>
      <c r="AN23" s="15"/>
      <c r="AO23" s="15"/>
      <c r="AP23" s="15"/>
      <c r="AQ23" s="15"/>
      <c r="AR23" s="15"/>
      <c r="AS23" s="15"/>
      <c r="AT23" s="15"/>
      <c r="AU23" s="15"/>
      <c r="AV23" s="15"/>
      <c r="AW23" s="15"/>
      <c r="AX23" s="15"/>
      <c r="AY23" s="15"/>
      <c r="AZ23" s="15"/>
      <c r="BA23" s="15"/>
      <c r="BB23" s="15"/>
      <c r="BC23" s="15"/>
      <c r="BD23" s="15"/>
      <c r="BE23" s="15"/>
      <c r="BF23" s="15"/>
      <c r="BG23" s="15"/>
      <c r="BH23" s="15"/>
      <c r="BI23" s="15"/>
      <c r="BJ23" s="15"/>
      <c r="BK23" s="15"/>
      <c r="BL23" s="15"/>
      <c r="BM23" s="15"/>
      <c r="BN23" s="15"/>
      <c r="BO23" s="15"/>
      <c r="BP23" s="15"/>
      <c r="BQ23" s="15"/>
      <c r="BR23" s="15"/>
      <c r="BS23" s="15"/>
      <c r="BT23" s="15"/>
      <c r="BU23" s="15"/>
    </row>
    <row r="24" spans="2:73" ht="24.2" customHeight="1" x14ac:dyDescent="0.2">
      <c r="B24" s="164">
        <v>8</v>
      </c>
      <c r="C24" s="157" t="s">
        <v>29</v>
      </c>
      <c r="D24" s="19" t="e">
        <f>VLOOKUP($B24,#REF!,3,0)</f>
        <v>#REF!</v>
      </c>
      <c r="E24" s="19" t="e">
        <f>VLOOKUP($B24,#REF!,4,0)</f>
        <v>#REF!</v>
      </c>
      <c r="F24" s="19" t="e">
        <f>VLOOKUP($B24,#REF!,5,0)</f>
        <v>#REF!</v>
      </c>
      <c r="G24" s="19" t="e">
        <f>VLOOKUP($B24,#REF!,6,0)</f>
        <v>#REF!</v>
      </c>
      <c r="H24" s="19" t="e">
        <f>VLOOKUP($B24,#REF!,7,0)</f>
        <v>#REF!</v>
      </c>
      <c r="I24" s="19" t="e">
        <f>VLOOKUP($B24,#REF!,8,0)</f>
        <v>#REF!</v>
      </c>
      <c r="J24" s="159"/>
      <c r="K24" s="22" t="s">
        <v>12</v>
      </c>
      <c r="L24" s="35">
        <v>63</v>
      </c>
      <c r="M24" s="35">
        <v>51</v>
      </c>
      <c r="N24" s="35">
        <v>58</v>
      </c>
      <c r="O24" s="161"/>
      <c r="P24" s="13"/>
      <c r="Q24" s="13"/>
      <c r="R24" s="13"/>
      <c r="S24" s="13"/>
      <c r="T24" s="13"/>
      <c r="AF24" s="9"/>
      <c r="AG24" s="9"/>
      <c r="AH24" s="9"/>
    </row>
    <row r="25" spans="2:73" ht="24.2" customHeight="1" thickBot="1" x14ac:dyDescent="0.25">
      <c r="B25" s="156"/>
      <c r="C25" s="158"/>
      <c r="D25" s="20" t="e">
        <f>VLOOKUP($B25,#REF!,3,0)</f>
        <v>#REF!</v>
      </c>
      <c r="E25" s="20" t="e">
        <f>VLOOKUP($B25,#REF!,4,0)</f>
        <v>#REF!</v>
      </c>
      <c r="F25" s="20" t="e">
        <f>VLOOKUP($B25,#REF!,5,0)</f>
        <v>#REF!</v>
      </c>
      <c r="G25" s="20" t="e">
        <f>VLOOKUP($B25,#REF!,6,0)</f>
        <v>#REF!</v>
      </c>
      <c r="H25" s="20" t="e">
        <f>VLOOKUP($B25,#REF!,7,0)</f>
        <v>#REF!</v>
      </c>
      <c r="I25" s="20" t="e">
        <f>VLOOKUP($B25,#REF!,8,0)</f>
        <v>#REF!</v>
      </c>
      <c r="J25" s="160"/>
      <c r="K25" s="34" t="s">
        <v>13</v>
      </c>
      <c r="L25" s="36">
        <v>66</v>
      </c>
      <c r="M25" s="36">
        <v>63</v>
      </c>
      <c r="N25" s="36">
        <v>69</v>
      </c>
      <c r="O25" s="162"/>
      <c r="P25" s="13"/>
      <c r="Q25" s="13"/>
      <c r="R25" s="13"/>
      <c r="S25" s="13"/>
      <c r="T25" s="13"/>
      <c r="AF25" s="12"/>
      <c r="AG25" s="12"/>
      <c r="AH25" s="14"/>
      <c r="AI25" s="15"/>
      <c r="AJ25" s="15"/>
      <c r="AK25" s="15"/>
      <c r="AL25" s="15"/>
      <c r="AM25" s="15"/>
      <c r="AN25" s="15"/>
      <c r="AO25" s="15"/>
      <c r="AP25" s="15"/>
      <c r="AQ25" s="15"/>
      <c r="AR25" s="15"/>
      <c r="AS25" s="15"/>
      <c r="AT25" s="15"/>
      <c r="AU25" s="15"/>
      <c r="AV25" s="15"/>
      <c r="AW25" s="15"/>
      <c r="AX25" s="15"/>
      <c r="AY25" s="15"/>
      <c r="AZ25" s="15"/>
      <c r="BA25" s="15"/>
      <c r="BB25" s="15"/>
      <c r="BC25" s="15"/>
      <c r="BD25" s="15"/>
      <c r="BE25" s="15"/>
      <c r="BF25" s="15"/>
      <c r="BG25" s="15"/>
      <c r="BH25" s="15"/>
      <c r="BI25" s="15"/>
      <c r="BJ25" s="15"/>
      <c r="BK25" s="15"/>
      <c r="BL25" s="15"/>
      <c r="BM25" s="15"/>
      <c r="BN25" s="15"/>
      <c r="BO25" s="15"/>
      <c r="BP25" s="15"/>
      <c r="BQ25" s="15"/>
      <c r="BR25" s="15"/>
      <c r="BS25" s="15"/>
      <c r="BT25" s="15"/>
      <c r="BU25" s="15"/>
    </row>
    <row r="26" spans="2:73" ht="24.2" customHeight="1" x14ac:dyDescent="0.2">
      <c r="B26" s="164">
        <v>9</v>
      </c>
      <c r="C26" s="157" t="s">
        <v>28</v>
      </c>
      <c r="D26" s="19" t="e">
        <f>VLOOKUP($B26,#REF!,3,0)</f>
        <v>#REF!</v>
      </c>
      <c r="E26" s="19" t="e">
        <f>VLOOKUP($B26,#REF!,4,0)</f>
        <v>#REF!</v>
      </c>
      <c r="F26" s="19" t="e">
        <f>VLOOKUP($B26,#REF!,5,0)</f>
        <v>#REF!</v>
      </c>
      <c r="G26" s="19" t="e">
        <f>VLOOKUP($B26,#REF!,6,0)</f>
        <v>#REF!</v>
      </c>
      <c r="H26" s="19" t="e">
        <f>VLOOKUP($B26,#REF!,7,0)</f>
        <v>#REF!</v>
      </c>
      <c r="I26" s="19" t="e">
        <f>VLOOKUP($B26,#REF!,8,0)</f>
        <v>#REF!</v>
      </c>
      <c r="J26" s="159">
        <v>1510</v>
      </c>
      <c r="K26" s="22" t="s">
        <v>12</v>
      </c>
      <c r="L26" s="35">
        <v>53</v>
      </c>
      <c r="M26" s="35">
        <v>47</v>
      </c>
      <c r="N26" s="35">
        <v>47</v>
      </c>
      <c r="O26" s="161"/>
      <c r="P26" s="13"/>
      <c r="Q26" s="13"/>
      <c r="R26" s="13"/>
      <c r="S26" s="13"/>
      <c r="T26" s="13"/>
      <c r="AF26" s="12"/>
      <c r="AG26" s="12"/>
      <c r="AH26" s="12"/>
    </row>
    <row r="27" spans="2:73" ht="24.2" customHeight="1" thickBot="1" x14ac:dyDescent="0.25">
      <c r="B27" s="156"/>
      <c r="C27" s="163"/>
      <c r="D27" s="20" t="e">
        <f>VLOOKUP($B27,#REF!,3,0)</f>
        <v>#REF!</v>
      </c>
      <c r="E27" s="20" t="e">
        <f>VLOOKUP($B27,#REF!,4,0)</f>
        <v>#REF!</v>
      </c>
      <c r="F27" s="20" t="e">
        <f>VLOOKUP($B27,#REF!,5,0)</f>
        <v>#REF!</v>
      </c>
      <c r="G27" s="20" t="e">
        <f>VLOOKUP($B27,#REF!,6,0)</f>
        <v>#REF!</v>
      </c>
      <c r="H27" s="20" t="e">
        <f>VLOOKUP($B27,#REF!,7,0)</f>
        <v>#REF!</v>
      </c>
      <c r="I27" s="20" t="e">
        <f>VLOOKUP($B27,#REF!,8,0)</f>
        <v>#REF!</v>
      </c>
      <c r="J27" s="160"/>
      <c r="K27" s="34" t="s">
        <v>13</v>
      </c>
      <c r="L27" s="36">
        <v>57</v>
      </c>
      <c r="M27" s="36">
        <v>57</v>
      </c>
      <c r="N27" s="36">
        <v>57</v>
      </c>
      <c r="O27" s="162"/>
      <c r="P27" s="13"/>
      <c r="Q27" s="13"/>
      <c r="R27" s="13"/>
      <c r="S27" s="13"/>
      <c r="T27" s="13"/>
      <c r="AF27" s="12"/>
      <c r="AG27" s="12"/>
      <c r="AH27" s="14"/>
      <c r="AI27" s="15"/>
      <c r="AJ27" s="15"/>
      <c r="AK27" s="15"/>
      <c r="AL27" s="15"/>
      <c r="AM27" s="15"/>
      <c r="AN27" s="15"/>
      <c r="AO27" s="15"/>
      <c r="AP27" s="15"/>
      <c r="AQ27" s="15"/>
      <c r="AR27" s="15"/>
      <c r="AS27" s="15"/>
      <c r="AT27" s="15"/>
      <c r="AU27" s="15"/>
      <c r="AV27" s="15"/>
      <c r="AW27" s="15"/>
      <c r="AX27" s="15"/>
      <c r="AY27" s="15"/>
      <c r="AZ27" s="15"/>
      <c r="BA27" s="15"/>
      <c r="BB27" s="15"/>
      <c r="BC27" s="15"/>
      <c r="BD27" s="15"/>
      <c r="BE27" s="15"/>
      <c r="BF27" s="15"/>
      <c r="BG27" s="15"/>
      <c r="BH27" s="15"/>
      <c r="BI27" s="15"/>
      <c r="BJ27" s="15"/>
      <c r="BK27" s="15"/>
      <c r="BL27" s="15"/>
      <c r="BM27" s="15"/>
      <c r="BN27" s="15"/>
      <c r="BO27" s="15"/>
      <c r="BP27" s="15"/>
      <c r="BQ27" s="15"/>
      <c r="BR27" s="15"/>
      <c r="BS27" s="15"/>
      <c r="BT27" s="15"/>
      <c r="BU27" s="15"/>
    </row>
    <row r="28" spans="2:73" ht="24.2" customHeight="1" x14ac:dyDescent="0.2">
      <c r="B28" s="155">
        <v>10</v>
      </c>
      <c r="C28" s="157" t="s">
        <v>29</v>
      </c>
      <c r="D28" s="19" t="e">
        <f>VLOOKUP($B28,#REF!,3,0)</f>
        <v>#REF!</v>
      </c>
      <c r="E28" s="19" t="e">
        <f>VLOOKUP($B28,#REF!,4,0)</f>
        <v>#REF!</v>
      </c>
      <c r="F28" s="19" t="e">
        <f>VLOOKUP($B28,#REF!,5,0)</f>
        <v>#REF!</v>
      </c>
      <c r="G28" s="19" t="e">
        <f>VLOOKUP($B28,#REF!,6,0)</f>
        <v>#REF!</v>
      </c>
      <c r="H28" s="19" t="e">
        <f>VLOOKUP($B28,#REF!,7,0)</f>
        <v>#REF!</v>
      </c>
      <c r="I28" s="19" t="e">
        <f>VLOOKUP($B28,#REF!,8,0)</f>
        <v>#REF!</v>
      </c>
      <c r="J28" s="159"/>
      <c r="K28" s="22" t="s">
        <v>12</v>
      </c>
      <c r="L28" s="35">
        <v>51</v>
      </c>
      <c r="M28" s="35">
        <v>53</v>
      </c>
      <c r="N28" s="35">
        <v>63</v>
      </c>
      <c r="O28" s="161"/>
      <c r="P28" s="13"/>
      <c r="Q28" s="13"/>
      <c r="R28" s="13"/>
      <c r="S28" s="13"/>
      <c r="T28" s="13"/>
    </row>
    <row r="29" spans="2:73" ht="24.2" customHeight="1" thickBot="1" x14ac:dyDescent="0.25">
      <c r="B29" s="156"/>
      <c r="C29" s="158"/>
      <c r="D29" s="20" t="e">
        <f>VLOOKUP($B29,#REF!,3,0)</f>
        <v>#REF!</v>
      </c>
      <c r="E29" s="20" t="e">
        <f>VLOOKUP($B29,#REF!,4,0)</f>
        <v>#REF!</v>
      </c>
      <c r="F29" s="20" t="e">
        <f>VLOOKUP($B29,#REF!,5,0)</f>
        <v>#REF!</v>
      </c>
      <c r="G29" s="20" t="e">
        <f>VLOOKUP($B29,#REF!,6,0)</f>
        <v>#REF!</v>
      </c>
      <c r="H29" s="20" t="e">
        <f>VLOOKUP($B29,#REF!,7,0)</f>
        <v>#REF!</v>
      </c>
      <c r="I29" s="20" t="e">
        <f>VLOOKUP($B29,#REF!,8,0)</f>
        <v>#REF!</v>
      </c>
      <c r="J29" s="160"/>
      <c r="K29" s="34" t="s">
        <v>13</v>
      </c>
      <c r="L29" s="36">
        <v>63</v>
      </c>
      <c r="M29" s="36">
        <v>66</v>
      </c>
      <c r="N29" s="36">
        <v>71</v>
      </c>
      <c r="O29" s="162"/>
      <c r="P29" s="13"/>
      <c r="Q29" s="13"/>
      <c r="R29" s="13"/>
      <c r="S29" s="13"/>
      <c r="T29" s="13"/>
      <c r="AF29" s="12"/>
      <c r="AG29" s="12"/>
      <c r="AH29" s="14"/>
      <c r="AI29" s="15"/>
      <c r="AJ29" s="15"/>
      <c r="AK29" s="15"/>
      <c r="AL29" s="15"/>
      <c r="AM29" s="15"/>
      <c r="AN29" s="15"/>
      <c r="AO29" s="15"/>
      <c r="AP29" s="15"/>
      <c r="AQ29" s="15"/>
      <c r="AR29" s="15"/>
      <c r="AS29" s="15"/>
      <c r="AT29" s="15"/>
      <c r="AU29" s="15"/>
      <c r="AV29" s="15"/>
      <c r="AW29" s="15"/>
      <c r="AX29" s="15"/>
      <c r="AY29" s="15"/>
      <c r="AZ29" s="15"/>
      <c r="BA29" s="15"/>
      <c r="BB29" s="15"/>
      <c r="BC29" s="15"/>
      <c r="BD29" s="15"/>
      <c r="BE29" s="15"/>
      <c r="BF29" s="15"/>
      <c r="BG29" s="15"/>
      <c r="BH29" s="15"/>
      <c r="BI29" s="15"/>
      <c r="BJ29" s="15"/>
      <c r="BK29" s="15"/>
      <c r="BL29" s="15"/>
      <c r="BM29" s="15"/>
      <c r="BN29" s="15"/>
      <c r="BO29" s="15"/>
      <c r="BP29" s="15"/>
      <c r="BQ29" s="15"/>
      <c r="BR29" s="15"/>
      <c r="BS29" s="15"/>
      <c r="BT29" s="15"/>
      <c r="BU29" s="15"/>
    </row>
    <row r="30" spans="2:73" ht="24.2" customHeight="1" x14ac:dyDescent="0.2">
      <c r="B30" s="155">
        <v>11</v>
      </c>
      <c r="C30" s="157" t="s">
        <v>28</v>
      </c>
      <c r="D30" s="19" t="e">
        <f>VLOOKUP($B30,#REF!,3,0)</f>
        <v>#REF!</v>
      </c>
      <c r="E30" s="19" t="e">
        <f>VLOOKUP($B30,#REF!,4,0)</f>
        <v>#REF!</v>
      </c>
      <c r="F30" s="19" t="e">
        <f>VLOOKUP($B30,#REF!,5,0)</f>
        <v>#REF!</v>
      </c>
      <c r="G30" s="19" t="e">
        <f>VLOOKUP($B30,#REF!,6,0)</f>
        <v>#REF!</v>
      </c>
      <c r="H30" s="19" t="e">
        <f>VLOOKUP($B30,#REF!,7,0)</f>
        <v>#REF!</v>
      </c>
      <c r="I30" s="19" t="e">
        <f>VLOOKUP($B30,#REF!,8,0)</f>
        <v>#REF!</v>
      </c>
      <c r="J30" s="159"/>
      <c r="K30" s="22" t="s">
        <v>12</v>
      </c>
      <c r="L30" s="44">
        <v>45</v>
      </c>
      <c r="M30" s="35">
        <v>55</v>
      </c>
      <c r="N30" s="35">
        <v>49</v>
      </c>
      <c r="O30" s="161"/>
      <c r="P30" s="13"/>
      <c r="Q30" s="13"/>
      <c r="R30" s="13"/>
      <c r="S30" s="13"/>
      <c r="T30" s="13"/>
    </row>
    <row r="31" spans="2:73" ht="24.2" customHeight="1" thickBot="1" x14ac:dyDescent="0.25">
      <c r="B31" s="156"/>
      <c r="C31" s="163"/>
      <c r="D31" s="20" t="e">
        <f>VLOOKUP($B31,#REF!,3,0)</f>
        <v>#REF!</v>
      </c>
      <c r="E31" s="20" t="e">
        <f>VLOOKUP($B31,#REF!,4,0)</f>
        <v>#REF!</v>
      </c>
      <c r="F31" s="20" t="e">
        <f>VLOOKUP($B31,#REF!,5,0)</f>
        <v>#REF!</v>
      </c>
      <c r="G31" s="20" t="e">
        <f>VLOOKUP($B31,#REF!,6,0)</f>
        <v>#REF!</v>
      </c>
      <c r="H31" s="20" t="e">
        <f>VLOOKUP($B31,#REF!,7,0)</f>
        <v>#REF!</v>
      </c>
      <c r="I31" s="20" t="e">
        <f>VLOOKUP($B31,#REF!,8,0)</f>
        <v>#REF!</v>
      </c>
      <c r="J31" s="160"/>
      <c r="K31" s="34" t="s">
        <v>13</v>
      </c>
      <c r="L31" s="36">
        <v>52</v>
      </c>
      <c r="M31" s="36">
        <v>59</v>
      </c>
      <c r="N31" s="36">
        <v>58</v>
      </c>
      <c r="O31" s="162"/>
      <c r="P31" s="13"/>
      <c r="Q31" s="13"/>
      <c r="R31" s="13"/>
      <c r="S31" s="13"/>
      <c r="T31" s="13"/>
      <c r="AF31" s="12"/>
      <c r="AG31" s="12"/>
      <c r="AH31" s="14"/>
      <c r="AI31" s="15"/>
      <c r="AJ31" s="15"/>
      <c r="AK31" s="15"/>
      <c r="AL31" s="15"/>
      <c r="AM31" s="15"/>
      <c r="AN31" s="15"/>
      <c r="AO31" s="15"/>
      <c r="AP31" s="15"/>
      <c r="AQ31" s="15"/>
      <c r="AR31" s="15"/>
      <c r="AS31" s="15"/>
      <c r="AT31" s="15"/>
      <c r="AU31" s="15"/>
      <c r="AV31" s="15"/>
      <c r="AW31" s="15"/>
      <c r="AX31" s="15"/>
      <c r="AY31" s="15"/>
      <c r="AZ31" s="15"/>
      <c r="BA31" s="15"/>
      <c r="BB31" s="15"/>
      <c r="BC31" s="15"/>
      <c r="BD31" s="15"/>
      <c r="BE31" s="15"/>
      <c r="BF31" s="15"/>
      <c r="BG31" s="15"/>
      <c r="BH31" s="15"/>
      <c r="BI31" s="15"/>
      <c r="BJ31" s="15"/>
      <c r="BK31" s="15"/>
      <c r="BL31" s="15"/>
      <c r="BM31" s="15"/>
      <c r="BN31" s="15"/>
      <c r="BO31" s="15"/>
      <c r="BP31" s="15"/>
      <c r="BQ31" s="15"/>
      <c r="BR31" s="15"/>
      <c r="BS31" s="15"/>
      <c r="BT31" s="15"/>
      <c r="BU31" s="15"/>
    </row>
    <row r="32" spans="2:73" ht="24.2" customHeight="1" x14ac:dyDescent="0.2">
      <c r="B32" s="155">
        <v>12</v>
      </c>
      <c r="C32" s="157" t="s">
        <v>29</v>
      </c>
      <c r="D32" s="19" t="e">
        <f>VLOOKUP($B32,#REF!,3,0)</f>
        <v>#REF!</v>
      </c>
      <c r="E32" s="19" t="e">
        <f>VLOOKUP($B32,#REF!,4,0)</f>
        <v>#REF!</v>
      </c>
      <c r="F32" s="19" t="e">
        <f>VLOOKUP($B32,#REF!,5,0)</f>
        <v>#REF!</v>
      </c>
      <c r="G32" s="19" t="e">
        <f>VLOOKUP($B32,#REF!,6,0)</f>
        <v>#REF!</v>
      </c>
      <c r="H32" s="19" t="e">
        <f>VLOOKUP($B32,#REF!,7,0)</f>
        <v>#REF!</v>
      </c>
      <c r="I32" s="19" t="e">
        <f>VLOOKUP($B32,#REF!,8,0)</f>
        <v>#REF!</v>
      </c>
      <c r="J32" s="159"/>
      <c r="K32" s="22" t="s">
        <v>12</v>
      </c>
      <c r="L32" s="35">
        <v>74</v>
      </c>
      <c r="M32" s="35">
        <v>60</v>
      </c>
      <c r="N32" s="35">
        <v>56</v>
      </c>
      <c r="O32" s="161"/>
      <c r="P32" s="13"/>
      <c r="Q32" s="13"/>
      <c r="R32" s="13"/>
      <c r="S32" s="13"/>
      <c r="T32" s="13"/>
    </row>
    <row r="33" spans="2:73" ht="24.2" customHeight="1" thickBot="1" x14ac:dyDescent="0.25">
      <c r="B33" s="156"/>
      <c r="C33" s="158"/>
      <c r="D33" s="20" t="e">
        <f>VLOOKUP($B33,#REF!,3,0)</f>
        <v>#REF!</v>
      </c>
      <c r="E33" s="20" t="e">
        <f>VLOOKUP($B33,#REF!,4,0)</f>
        <v>#REF!</v>
      </c>
      <c r="F33" s="20" t="e">
        <f>VLOOKUP($B33,#REF!,5,0)</f>
        <v>#REF!</v>
      </c>
      <c r="G33" s="20" t="e">
        <f>VLOOKUP($B33,#REF!,6,0)</f>
        <v>#REF!</v>
      </c>
      <c r="H33" s="20" t="e">
        <f>VLOOKUP($B33,#REF!,7,0)</f>
        <v>#REF!</v>
      </c>
      <c r="I33" s="20" t="e">
        <f>VLOOKUP($B33,#REF!,8,0)</f>
        <v>#REF!</v>
      </c>
      <c r="J33" s="160"/>
      <c r="K33" s="34" t="s">
        <v>13</v>
      </c>
      <c r="L33" s="36">
        <v>73</v>
      </c>
      <c r="M33" s="36">
        <v>68</v>
      </c>
      <c r="N33" s="36">
        <v>64</v>
      </c>
      <c r="O33" s="162"/>
      <c r="P33" s="13"/>
      <c r="Q33" s="13"/>
      <c r="R33" s="13"/>
      <c r="S33" s="13"/>
      <c r="T33" s="13"/>
      <c r="AF33" s="12"/>
      <c r="AG33" s="12"/>
      <c r="AH33" s="14"/>
      <c r="AI33" s="15"/>
      <c r="AJ33" s="15"/>
      <c r="AK33" s="15"/>
      <c r="AL33" s="15"/>
      <c r="AM33" s="15"/>
      <c r="AN33" s="15"/>
      <c r="AO33" s="15"/>
      <c r="AP33" s="15"/>
      <c r="AQ33" s="15"/>
      <c r="AR33" s="15"/>
      <c r="AS33" s="15"/>
      <c r="AT33" s="15"/>
      <c r="AU33" s="15"/>
      <c r="AV33" s="15"/>
      <c r="AW33" s="15"/>
      <c r="AX33" s="15"/>
      <c r="AY33" s="15"/>
      <c r="AZ33" s="15"/>
      <c r="BA33" s="15"/>
      <c r="BB33" s="15"/>
      <c r="BC33" s="15"/>
      <c r="BD33" s="15"/>
      <c r="BE33" s="15"/>
      <c r="BF33" s="15"/>
      <c r="BG33" s="15"/>
      <c r="BH33" s="15"/>
      <c r="BI33" s="15"/>
      <c r="BJ33" s="15"/>
      <c r="BK33" s="15"/>
      <c r="BL33" s="15"/>
      <c r="BM33" s="15"/>
      <c r="BN33" s="15"/>
      <c r="BO33" s="15"/>
      <c r="BP33" s="15"/>
      <c r="BQ33" s="15"/>
      <c r="BR33" s="15"/>
      <c r="BS33" s="15"/>
      <c r="BT33" s="15"/>
      <c r="BU33" s="15"/>
    </row>
    <row r="34" spans="2:73" ht="24.2" customHeight="1" x14ac:dyDescent="0.2">
      <c r="B34" s="155">
        <v>13</v>
      </c>
      <c r="C34" s="157" t="s">
        <v>28</v>
      </c>
      <c r="D34" s="19" t="e">
        <f>VLOOKUP($B34,#REF!,3,0)</f>
        <v>#REF!</v>
      </c>
      <c r="E34" s="19" t="e">
        <f>VLOOKUP($B34,#REF!,4,0)</f>
        <v>#REF!</v>
      </c>
      <c r="F34" s="19" t="e">
        <f>VLOOKUP($B34,#REF!,5,0)</f>
        <v>#REF!</v>
      </c>
      <c r="G34" s="19" t="e">
        <f>VLOOKUP($B34,#REF!,6,0)</f>
        <v>#REF!</v>
      </c>
      <c r="H34" s="19" t="e">
        <f>VLOOKUP($B34,#REF!,7,0)</f>
        <v>#REF!</v>
      </c>
      <c r="I34" s="19" t="e">
        <f>VLOOKUP($B34,#REF!,8,0)</f>
        <v>#REF!</v>
      </c>
      <c r="J34" s="159"/>
      <c r="K34" s="22" t="s">
        <v>12</v>
      </c>
      <c r="L34" s="35">
        <v>46</v>
      </c>
      <c r="M34" s="35">
        <v>49</v>
      </c>
      <c r="N34" s="35">
        <v>48</v>
      </c>
      <c r="O34" s="161"/>
      <c r="P34" s="13"/>
      <c r="Q34" s="13"/>
      <c r="R34" s="13"/>
      <c r="S34" s="13"/>
      <c r="T34" s="13"/>
    </row>
    <row r="35" spans="2:73" ht="24.2" customHeight="1" thickBot="1" x14ac:dyDescent="0.25">
      <c r="B35" s="156"/>
      <c r="C35" s="163"/>
      <c r="D35" s="20" t="e">
        <f>VLOOKUP($B35,#REF!,3,0)</f>
        <v>#REF!</v>
      </c>
      <c r="E35" s="20" t="e">
        <f>VLOOKUP($B35,#REF!,4,0)</f>
        <v>#REF!</v>
      </c>
      <c r="F35" s="20" t="e">
        <f>VLOOKUP($B35,#REF!,5,0)</f>
        <v>#REF!</v>
      </c>
      <c r="G35" s="20" t="e">
        <f>VLOOKUP($B35,#REF!,6,0)</f>
        <v>#REF!</v>
      </c>
      <c r="H35" s="20" t="e">
        <f>VLOOKUP($B35,#REF!,7,0)</f>
        <v>#REF!</v>
      </c>
      <c r="I35" s="20" t="e">
        <f>VLOOKUP($B35,#REF!,8,0)</f>
        <v>#REF!</v>
      </c>
      <c r="J35" s="160"/>
      <c r="K35" s="34" t="s">
        <v>13</v>
      </c>
      <c r="L35" s="36">
        <v>53</v>
      </c>
      <c r="M35" s="36">
        <v>60</v>
      </c>
      <c r="N35" s="36">
        <v>58</v>
      </c>
      <c r="O35" s="162"/>
      <c r="P35" s="13"/>
      <c r="Q35" s="13"/>
      <c r="R35" s="13"/>
      <c r="S35" s="13"/>
      <c r="T35" s="13"/>
      <c r="AF35" s="12"/>
      <c r="AG35" s="12"/>
      <c r="AH35" s="14"/>
      <c r="AI35" s="15"/>
      <c r="AJ35" s="15"/>
      <c r="AK35" s="15"/>
      <c r="AL35" s="15"/>
      <c r="AM35" s="15"/>
      <c r="AN35" s="15"/>
      <c r="AO35" s="15"/>
      <c r="AP35" s="15"/>
      <c r="AQ35" s="15"/>
      <c r="AR35" s="15"/>
      <c r="AS35" s="15"/>
      <c r="AT35" s="15"/>
      <c r="AU35" s="15"/>
      <c r="AV35" s="15"/>
      <c r="AW35" s="15"/>
      <c r="AX35" s="15"/>
      <c r="AY35" s="15"/>
      <c r="AZ35" s="15"/>
      <c r="BA35" s="15"/>
      <c r="BB35" s="15"/>
      <c r="BC35" s="15"/>
      <c r="BD35" s="15"/>
      <c r="BE35" s="15"/>
      <c r="BF35" s="15"/>
      <c r="BG35" s="15"/>
      <c r="BH35" s="15"/>
      <c r="BI35" s="15"/>
      <c r="BJ35" s="15"/>
      <c r="BK35" s="15"/>
      <c r="BL35" s="15"/>
      <c r="BM35" s="15"/>
      <c r="BN35" s="15"/>
      <c r="BO35" s="15"/>
      <c r="BP35" s="15"/>
      <c r="BQ35" s="15"/>
      <c r="BR35" s="15"/>
      <c r="BS35" s="15"/>
      <c r="BT35" s="15"/>
      <c r="BU35" s="15"/>
    </row>
    <row r="36" spans="2:73" ht="24.2" customHeight="1" x14ac:dyDescent="0.2">
      <c r="B36" s="155">
        <v>14</v>
      </c>
      <c r="C36" s="157" t="s">
        <v>29</v>
      </c>
      <c r="D36" s="19" t="e">
        <f>VLOOKUP($B36,#REF!,3,0)</f>
        <v>#REF!</v>
      </c>
      <c r="E36" s="19" t="e">
        <f>VLOOKUP($B36,#REF!,4,0)</f>
        <v>#REF!</v>
      </c>
      <c r="F36" s="19" t="e">
        <f>VLOOKUP($B36,#REF!,5,0)</f>
        <v>#REF!</v>
      </c>
      <c r="G36" s="19" t="e">
        <f>VLOOKUP($B36,#REF!,6,0)</f>
        <v>#REF!</v>
      </c>
      <c r="H36" s="19" t="e">
        <f>VLOOKUP($B36,#REF!,7,0)</f>
        <v>#REF!</v>
      </c>
      <c r="I36" s="19" t="e">
        <f>VLOOKUP($B36,#REF!,8,0)</f>
        <v>#REF!</v>
      </c>
      <c r="J36" s="159"/>
      <c r="K36" s="22" t="s">
        <v>12</v>
      </c>
      <c r="L36" s="35">
        <v>54</v>
      </c>
      <c r="M36" s="35">
        <v>60</v>
      </c>
      <c r="N36" s="35">
        <v>52</v>
      </c>
      <c r="O36" s="161"/>
      <c r="P36" s="13"/>
      <c r="Q36" s="13"/>
      <c r="R36" s="13"/>
      <c r="S36" s="13"/>
      <c r="T36" s="13"/>
    </row>
    <row r="37" spans="2:73" ht="24.2" customHeight="1" thickBot="1" x14ac:dyDescent="0.25">
      <c r="B37" s="156"/>
      <c r="C37" s="158"/>
      <c r="D37" s="20" t="e">
        <f>VLOOKUP($B37,#REF!,3,0)</f>
        <v>#REF!</v>
      </c>
      <c r="E37" s="20" t="e">
        <f>VLOOKUP($B37,#REF!,4,0)</f>
        <v>#REF!</v>
      </c>
      <c r="F37" s="20" t="e">
        <f>VLOOKUP($B37,#REF!,5,0)</f>
        <v>#REF!</v>
      </c>
      <c r="G37" s="20" t="e">
        <f>VLOOKUP($B37,#REF!,6,0)</f>
        <v>#REF!</v>
      </c>
      <c r="H37" s="20" t="e">
        <f>VLOOKUP($B37,#REF!,7,0)</f>
        <v>#REF!</v>
      </c>
      <c r="I37" s="20" t="e">
        <f>VLOOKUP($B37,#REF!,8,0)</f>
        <v>#REF!</v>
      </c>
      <c r="J37" s="160"/>
      <c r="K37" s="34" t="s">
        <v>13</v>
      </c>
      <c r="L37" s="36">
        <v>64</v>
      </c>
      <c r="M37" s="36">
        <v>66</v>
      </c>
      <c r="N37" s="36">
        <v>67</v>
      </c>
      <c r="O37" s="162"/>
      <c r="P37" s="13"/>
      <c r="Q37" s="13"/>
      <c r="R37" s="13"/>
      <c r="S37" s="13"/>
      <c r="T37" s="13"/>
      <c r="AF37" s="12"/>
      <c r="AG37" s="12"/>
      <c r="AH37" s="14"/>
      <c r="AI37" s="15"/>
      <c r="AJ37" s="15"/>
      <c r="AK37" s="15"/>
      <c r="AL37" s="15"/>
      <c r="AM37" s="15"/>
      <c r="AN37" s="15"/>
      <c r="AO37" s="15"/>
      <c r="AP37" s="15"/>
      <c r="AQ37" s="15"/>
      <c r="AR37" s="15"/>
      <c r="AS37" s="15"/>
      <c r="AT37" s="15"/>
      <c r="AU37" s="15"/>
      <c r="AV37" s="15"/>
      <c r="AW37" s="15"/>
      <c r="AX37" s="15"/>
      <c r="AY37" s="15"/>
      <c r="AZ37" s="15"/>
      <c r="BA37" s="15"/>
      <c r="BB37" s="15"/>
      <c r="BC37" s="15"/>
      <c r="BD37" s="15"/>
      <c r="BE37" s="15"/>
      <c r="BF37" s="15"/>
      <c r="BG37" s="15"/>
      <c r="BH37" s="15"/>
      <c r="BI37" s="15"/>
      <c r="BJ37" s="15"/>
      <c r="BK37" s="15"/>
      <c r="BL37" s="15"/>
      <c r="BM37" s="15"/>
      <c r="BN37" s="15"/>
      <c r="BO37" s="15"/>
      <c r="BP37" s="15"/>
      <c r="BQ37" s="15"/>
      <c r="BR37" s="15"/>
      <c r="BS37" s="15"/>
      <c r="BT37" s="15"/>
      <c r="BU37" s="15"/>
    </row>
    <row r="38" spans="2:73" ht="24.2" customHeight="1" x14ac:dyDescent="0.2">
      <c r="B38" s="155">
        <v>15</v>
      </c>
      <c r="C38" s="157" t="s">
        <v>28</v>
      </c>
      <c r="D38" s="19" t="e">
        <f>VLOOKUP($B38,#REF!,3,0)</f>
        <v>#REF!</v>
      </c>
      <c r="E38" s="19" t="e">
        <f>VLOOKUP($B38,#REF!,4,0)</f>
        <v>#REF!</v>
      </c>
      <c r="F38" s="19" t="e">
        <f>VLOOKUP($B38,#REF!,5,0)</f>
        <v>#REF!</v>
      </c>
      <c r="G38" s="19" t="e">
        <f>VLOOKUP($B38,#REF!,6,0)</f>
        <v>#REF!</v>
      </c>
      <c r="H38" s="19" t="e">
        <f>VLOOKUP($B38,#REF!,7,0)</f>
        <v>#REF!</v>
      </c>
      <c r="I38" s="19" t="e">
        <f>VLOOKUP($B38,#REF!,8,0)</f>
        <v>#REF!</v>
      </c>
      <c r="J38" s="159"/>
      <c r="K38" s="22" t="s">
        <v>12</v>
      </c>
      <c r="L38" s="44">
        <v>51</v>
      </c>
      <c r="M38" s="35">
        <v>46</v>
      </c>
      <c r="N38" s="35">
        <v>46</v>
      </c>
      <c r="O38" s="161"/>
      <c r="P38" s="13"/>
      <c r="Q38" s="13"/>
      <c r="R38" s="13"/>
      <c r="S38" s="13"/>
      <c r="T38" s="13"/>
    </row>
    <row r="39" spans="2:73" ht="24.2" customHeight="1" thickBot="1" x14ac:dyDescent="0.25">
      <c r="B39" s="156"/>
      <c r="C39" s="163"/>
      <c r="D39" s="20" t="e">
        <f>VLOOKUP($B39,#REF!,3,0)</f>
        <v>#REF!</v>
      </c>
      <c r="E39" s="20" t="e">
        <f>VLOOKUP($B39,#REF!,4,0)</f>
        <v>#REF!</v>
      </c>
      <c r="F39" s="20" t="e">
        <f>VLOOKUP($B39,#REF!,5,0)</f>
        <v>#REF!</v>
      </c>
      <c r="G39" s="20" t="e">
        <f>VLOOKUP($B39,#REF!,6,0)</f>
        <v>#REF!</v>
      </c>
      <c r="H39" s="20" t="e">
        <f>VLOOKUP($B39,#REF!,7,0)</f>
        <v>#REF!</v>
      </c>
      <c r="I39" s="20" t="e">
        <f>VLOOKUP($B39,#REF!,8,0)</f>
        <v>#REF!</v>
      </c>
      <c r="J39" s="160"/>
      <c r="K39" s="34" t="s">
        <v>13</v>
      </c>
      <c r="L39" s="36">
        <v>61</v>
      </c>
      <c r="M39" s="36">
        <v>57</v>
      </c>
      <c r="N39" s="36">
        <v>54</v>
      </c>
      <c r="O39" s="162"/>
      <c r="P39" s="13"/>
      <c r="Q39" s="13"/>
      <c r="R39" s="13"/>
      <c r="S39" s="13"/>
      <c r="T39" s="13"/>
      <c r="AF39" s="12"/>
      <c r="AG39" s="12"/>
      <c r="AH39" s="14"/>
      <c r="AI39" s="15"/>
      <c r="AJ39" s="15"/>
      <c r="AK39" s="15"/>
      <c r="AL39" s="15"/>
      <c r="AM39" s="15"/>
      <c r="AN39" s="15"/>
      <c r="AO39" s="15"/>
      <c r="AP39" s="15"/>
      <c r="AQ39" s="15"/>
      <c r="AR39" s="15"/>
      <c r="AS39" s="15"/>
      <c r="AT39" s="15"/>
      <c r="AU39" s="15"/>
      <c r="AV39" s="15"/>
      <c r="AW39" s="15"/>
      <c r="AX39" s="15"/>
      <c r="AY39" s="15"/>
      <c r="AZ39" s="15"/>
      <c r="BA39" s="15"/>
      <c r="BB39" s="15"/>
      <c r="BC39" s="15"/>
      <c r="BD39" s="15"/>
      <c r="BE39" s="15"/>
      <c r="BF39" s="15"/>
      <c r="BG39" s="15"/>
      <c r="BH39" s="15"/>
      <c r="BI39" s="15"/>
      <c r="BJ39" s="15"/>
      <c r="BK39" s="15"/>
      <c r="BL39" s="15"/>
      <c r="BM39" s="15"/>
      <c r="BN39" s="15"/>
      <c r="BO39" s="15"/>
      <c r="BP39" s="15"/>
      <c r="BQ39" s="15"/>
      <c r="BR39" s="15"/>
      <c r="BS39" s="15"/>
      <c r="BT39" s="15"/>
      <c r="BU39" s="15"/>
    </row>
    <row r="40" spans="2:73" ht="24.2" customHeight="1" x14ac:dyDescent="0.2">
      <c r="B40" s="155">
        <v>16</v>
      </c>
      <c r="C40" s="157" t="s">
        <v>29</v>
      </c>
      <c r="D40" s="19" t="e">
        <f>VLOOKUP($B40,#REF!,3,0)</f>
        <v>#REF!</v>
      </c>
      <c r="E40" s="19" t="e">
        <f>VLOOKUP($B40,#REF!,4,0)</f>
        <v>#REF!</v>
      </c>
      <c r="F40" s="19" t="e">
        <f>VLOOKUP($B40,#REF!,5,0)</f>
        <v>#REF!</v>
      </c>
      <c r="G40" s="19" t="e">
        <f>VLOOKUP($B40,#REF!,6,0)</f>
        <v>#REF!</v>
      </c>
      <c r="H40" s="19" t="e">
        <f>VLOOKUP($B40,#REF!,7,0)</f>
        <v>#REF!</v>
      </c>
      <c r="I40" s="19" t="e">
        <f>VLOOKUP($B40,#REF!,8,0)</f>
        <v>#REF!</v>
      </c>
      <c r="J40" s="159">
        <v>1345</v>
      </c>
      <c r="K40" s="22" t="s">
        <v>12</v>
      </c>
      <c r="L40" s="44">
        <v>60</v>
      </c>
      <c r="M40" s="44">
        <v>53</v>
      </c>
      <c r="N40" s="35">
        <v>51</v>
      </c>
      <c r="O40" s="161"/>
      <c r="P40" s="13"/>
      <c r="Q40" s="13"/>
      <c r="R40" s="13"/>
      <c r="S40" s="13"/>
      <c r="T40" s="13"/>
    </row>
    <row r="41" spans="2:73" ht="24.2" customHeight="1" thickBot="1" x14ac:dyDescent="0.25">
      <c r="B41" s="156"/>
      <c r="C41" s="158"/>
      <c r="D41" s="20" t="e">
        <f>VLOOKUP($B41,#REF!,3,0)</f>
        <v>#REF!</v>
      </c>
      <c r="E41" s="20" t="e">
        <f>VLOOKUP($B41,#REF!,4,0)</f>
        <v>#REF!</v>
      </c>
      <c r="F41" s="20" t="e">
        <f>VLOOKUP($B41,#REF!,5,0)</f>
        <v>#REF!</v>
      </c>
      <c r="G41" s="20" t="e">
        <f>VLOOKUP($B41,#REF!,6,0)</f>
        <v>#REF!</v>
      </c>
      <c r="H41" s="20" t="e">
        <f>VLOOKUP($B41,#REF!,7,0)</f>
        <v>#REF!</v>
      </c>
      <c r="I41" s="20" t="e">
        <f>VLOOKUP($B41,#REF!,8,0)</f>
        <v>#REF!</v>
      </c>
      <c r="J41" s="160"/>
      <c r="K41" s="34" t="s">
        <v>13</v>
      </c>
      <c r="L41" s="36">
        <v>64</v>
      </c>
      <c r="M41" s="36">
        <v>63</v>
      </c>
      <c r="N41" s="36">
        <v>64</v>
      </c>
      <c r="O41" s="162"/>
      <c r="P41" s="13"/>
      <c r="Q41" s="13"/>
      <c r="R41" s="13"/>
      <c r="S41" s="13"/>
      <c r="T41" s="13"/>
      <c r="AF41" s="12"/>
      <c r="AG41" s="12"/>
      <c r="AH41" s="14"/>
      <c r="AI41" s="15"/>
      <c r="AJ41" s="15"/>
      <c r="AK41" s="15"/>
      <c r="AL41" s="15"/>
      <c r="AM41" s="15"/>
      <c r="AN41" s="15"/>
      <c r="AO41" s="15"/>
      <c r="AP41" s="15"/>
      <c r="AQ41" s="15"/>
      <c r="AR41" s="15"/>
      <c r="AS41" s="15"/>
      <c r="AT41" s="15"/>
      <c r="AU41" s="15"/>
      <c r="AV41" s="15"/>
      <c r="AW41" s="15"/>
      <c r="AX41" s="15"/>
      <c r="AY41" s="15"/>
      <c r="AZ41" s="15"/>
      <c r="BA41" s="15"/>
      <c r="BB41" s="15"/>
      <c r="BC41" s="15"/>
      <c r="BD41" s="15"/>
      <c r="BE41" s="15"/>
      <c r="BF41" s="15"/>
      <c r="BG41" s="15"/>
      <c r="BH41" s="15"/>
      <c r="BI41" s="15"/>
      <c r="BJ41" s="15"/>
      <c r="BK41" s="15"/>
      <c r="BL41" s="15"/>
      <c r="BM41" s="15"/>
      <c r="BN41" s="15"/>
      <c r="BO41" s="15"/>
      <c r="BP41" s="15"/>
      <c r="BQ41" s="15"/>
      <c r="BR41" s="15"/>
      <c r="BS41" s="15"/>
      <c r="BT41" s="15"/>
      <c r="BU41" s="15"/>
    </row>
    <row r="42" spans="2:73" ht="24" customHeight="1" x14ac:dyDescent="0.2">
      <c r="B42" s="155">
        <v>17</v>
      </c>
      <c r="C42" s="157" t="s">
        <v>28</v>
      </c>
      <c r="D42" s="19" t="e">
        <f>VLOOKUP($B42,#REF!,3,0)</f>
        <v>#REF!</v>
      </c>
      <c r="E42" s="19" t="e">
        <f>VLOOKUP($B42,#REF!,4,0)</f>
        <v>#REF!</v>
      </c>
      <c r="F42" s="19" t="e">
        <f>VLOOKUP($B42,#REF!,5,0)</f>
        <v>#REF!</v>
      </c>
      <c r="G42" s="19" t="e">
        <f>VLOOKUP($B42,#REF!,6,0)</f>
        <v>#REF!</v>
      </c>
      <c r="H42" s="19" t="e">
        <f>VLOOKUP($B42,#REF!,7,0)</f>
        <v>#REF!</v>
      </c>
      <c r="I42" s="19" t="e">
        <f>VLOOKUP($B42,#REF!,8,0)</f>
        <v>#REF!</v>
      </c>
      <c r="J42" s="159"/>
      <c r="K42" s="22" t="s">
        <v>12</v>
      </c>
      <c r="L42" s="44"/>
      <c r="M42" s="44"/>
      <c r="N42" s="35"/>
      <c r="O42" s="161" t="s">
        <v>53</v>
      </c>
    </row>
    <row r="43" spans="2:73" ht="24" customHeight="1" thickBot="1" x14ac:dyDescent="0.25">
      <c r="B43" s="156"/>
      <c r="C43" s="163"/>
      <c r="D43" s="20"/>
      <c r="E43" s="20"/>
      <c r="F43" s="20"/>
      <c r="G43" s="20"/>
      <c r="H43" s="20"/>
      <c r="I43" s="20"/>
      <c r="J43" s="160"/>
      <c r="K43" s="34" t="s">
        <v>13</v>
      </c>
      <c r="L43" s="36"/>
      <c r="M43" s="36"/>
      <c r="N43" s="36"/>
      <c r="O43" s="162"/>
    </row>
  </sheetData>
  <mergeCells count="70">
    <mergeCell ref="AF5:AH5"/>
    <mergeCell ref="L6:N6"/>
    <mergeCell ref="O7:O8"/>
    <mergeCell ref="B8:K8"/>
    <mergeCell ref="B10:B11"/>
    <mergeCell ref="C10:C11"/>
    <mergeCell ref="J10:J11"/>
    <mergeCell ref="B18:B19"/>
    <mergeCell ref="C18:C19"/>
    <mergeCell ref="J18:J19"/>
    <mergeCell ref="O18:O19"/>
    <mergeCell ref="B12:B13"/>
    <mergeCell ref="C12:C13"/>
    <mergeCell ref="J12:J13"/>
    <mergeCell ref="B14:B15"/>
    <mergeCell ref="C14:C15"/>
    <mergeCell ref="J14:J15"/>
    <mergeCell ref="O14:O15"/>
    <mergeCell ref="B16:B17"/>
    <mergeCell ref="C16:C17"/>
    <mergeCell ref="J16:J17"/>
    <mergeCell ref="O16:O17"/>
    <mergeCell ref="B20:B21"/>
    <mergeCell ref="C20:C21"/>
    <mergeCell ref="J20:J21"/>
    <mergeCell ref="O20:O21"/>
    <mergeCell ref="B22:B23"/>
    <mergeCell ref="C22:C23"/>
    <mergeCell ref="J22:J23"/>
    <mergeCell ref="O22:O23"/>
    <mergeCell ref="B24:B25"/>
    <mergeCell ref="C24:C25"/>
    <mergeCell ref="J24:J25"/>
    <mergeCell ref="O24:O25"/>
    <mergeCell ref="B26:B27"/>
    <mergeCell ref="C26:C27"/>
    <mergeCell ref="J26:J27"/>
    <mergeCell ref="O26:O27"/>
    <mergeCell ref="B28:B29"/>
    <mergeCell ref="C28:C29"/>
    <mergeCell ref="J28:J29"/>
    <mergeCell ref="O28:O29"/>
    <mergeCell ref="B30:B31"/>
    <mergeCell ref="C30:C31"/>
    <mergeCell ref="J30:J31"/>
    <mergeCell ref="O30:O31"/>
    <mergeCell ref="B32:B33"/>
    <mergeCell ref="C32:C33"/>
    <mergeCell ref="J32:J33"/>
    <mergeCell ref="O32:O33"/>
    <mergeCell ref="B34:B35"/>
    <mergeCell ref="C34:C35"/>
    <mergeCell ref="J34:J35"/>
    <mergeCell ref="O34:O35"/>
    <mergeCell ref="B36:B37"/>
    <mergeCell ref="C36:C37"/>
    <mergeCell ref="J36:J37"/>
    <mergeCell ref="O36:O37"/>
    <mergeCell ref="B38:B39"/>
    <mergeCell ref="C38:C39"/>
    <mergeCell ref="J38:J39"/>
    <mergeCell ref="O38:O39"/>
    <mergeCell ref="B40:B41"/>
    <mergeCell ref="C40:C41"/>
    <mergeCell ref="J40:J41"/>
    <mergeCell ref="O40:O41"/>
    <mergeCell ref="B42:B43"/>
    <mergeCell ref="C42:C43"/>
    <mergeCell ref="J42:J43"/>
    <mergeCell ref="O42:O43"/>
  </mergeCells>
  <pageMargins left="0.45" right="0" top="0.49" bottom="0" header="0.64" footer="0"/>
  <pageSetup paperSize="512" scale="72" orientation="portrait" r:id="rId1"/>
  <headerFooter alignWithMargins="0"/>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BU43"/>
  <sheetViews>
    <sheetView zoomScale="90" zoomScaleNormal="90" workbookViewId="0"/>
  </sheetViews>
  <sheetFormatPr defaultRowHeight="12.75" x14ac:dyDescent="0.2"/>
  <cols>
    <col min="1" max="1" width="5.42578125" customWidth="1"/>
    <col min="2" max="2" width="6.28515625" customWidth="1"/>
    <col min="3" max="3" width="12.7109375" customWidth="1"/>
    <col min="4" max="8" width="5.28515625" hidden="1" customWidth="1"/>
    <col min="9" max="9" width="7" hidden="1" customWidth="1"/>
    <col min="10" max="10" width="8.42578125" customWidth="1"/>
    <col min="11" max="14" width="12.7109375" customWidth="1"/>
    <col min="15" max="15" width="48.7109375" customWidth="1"/>
    <col min="22" max="22" width="7.5703125" customWidth="1"/>
    <col min="23" max="32" width="7.7109375" customWidth="1"/>
  </cols>
  <sheetData>
    <row r="1" spans="1:73" ht="15" customHeight="1" x14ac:dyDescent="0.25">
      <c r="A1" s="1" t="s">
        <v>33</v>
      </c>
    </row>
    <row r="2" spans="1:73" ht="20.25" customHeight="1" thickBot="1" x14ac:dyDescent="0.3">
      <c r="A2" s="1"/>
      <c r="M2" s="15" t="s">
        <v>0</v>
      </c>
      <c r="N2" s="23">
        <v>40722</v>
      </c>
      <c r="O2" s="29"/>
    </row>
    <row r="3" spans="1:73" ht="20.25" customHeight="1" thickBot="1" x14ac:dyDescent="0.25">
      <c r="A3" t="s">
        <v>1</v>
      </c>
      <c r="C3" s="38" t="s">
        <v>54</v>
      </c>
      <c r="D3" s="3"/>
      <c r="E3" s="3"/>
      <c r="F3" s="3"/>
      <c r="G3" s="3"/>
      <c r="H3" s="3"/>
      <c r="I3" s="3"/>
      <c r="J3" s="3"/>
      <c r="K3" s="3"/>
      <c r="L3" s="3"/>
      <c r="M3" s="15" t="s">
        <v>23</v>
      </c>
      <c r="N3" s="2">
        <v>179</v>
      </c>
      <c r="O3" s="30"/>
    </row>
    <row r="4" spans="1:73" ht="20.25" customHeight="1" thickBot="1" x14ac:dyDescent="0.25">
      <c r="B4" s="3"/>
      <c r="C4" s="38"/>
      <c r="D4" s="4"/>
      <c r="E4" s="4"/>
      <c r="F4" s="4"/>
      <c r="G4" s="4"/>
      <c r="H4" s="4"/>
      <c r="I4" s="4"/>
      <c r="J4" s="4"/>
      <c r="K4" s="4"/>
      <c r="L4" s="4"/>
      <c r="M4" s="15" t="s">
        <v>2</v>
      </c>
      <c r="N4" s="2" t="s">
        <v>26</v>
      </c>
      <c r="O4" s="30"/>
    </row>
    <row r="5" spans="1:73" ht="18" x14ac:dyDescent="0.2">
      <c r="AE5" s="5"/>
      <c r="AF5" s="165"/>
      <c r="AG5" s="165"/>
      <c r="AH5" s="165"/>
    </row>
    <row r="6" spans="1:73" ht="18" x14ac:dyDescent="0.25">
      <c r="L6" s="174"/>
      <c r="M6" s="167"/>
      <c r="N6" s="168"/>
      <c r="O6" s="31"/>
      <c r="AE6" s="5"/>
      <c r="AF6" s="24"/>
      <c r="AG6" s="24"/>
      <c r="AH6" s="24"/>
    </row>
    <row r="7" spans="1:73" ht="25.5" customHeight="1" x14ac:dyDescent="0.2">
      <c r="B7" s="6" t="s">
        <v>3</v>
      </c>
      <c r="C7" s="7"/>
      <c r="D7" s="7" t="s">
        <v>4</v>
      </c>
      <c r="E7" s="6" t="s">
        <v>5</v>
      </c>
      <c r="F7" s="7" t="s">
        <v>6</v>
      </c>
      <c r="G7" s="6" t="s">
        <v>7</v>
      </c>
      <c r="H7" s="6" t="s">
        <v>8</v>
      </c>
      <c r="I7" s="6" t="s">
        <v>9</v>
      </c>
      <c r="J7" s="6" t="s">
        <v>11</v>
      </c>
      <c r="K7" s="8" t="s">
        <v>24</v>
      </c>
      <c r="L7" s="22" t="s">
        <v>30</v>
      </c>
      <c r="M7" s="22" t="s">
        <v>31</v>
      </c>
      <c r="N7" s="22" t="s">
        <v>32</v>
      </c>
      <c r="O7" s="169" t="s">
        <v>25</v>
      </c>
      <c r="AE7" s="10"/>
      <c r="AF7" s="9"/>
      <c r="AG7" s="9"/>
      <c r="AH7" s="11"/>
    </row>
    <row r="8" spans="1:73" ht="15.95" customHeight="1" thickBot="1" x14ac:dyDescent="0.25">
      <c r="B8" s="170"/>
      <c r="C8" s="171"/>
      <c r="D8" s="171"/>
      <c r="E8" s="171"/>
      <c r="F8" s="171"/>
      <c r="G8" s="171"/>
      <c r="H8" s="171"/>
      <c r="I8" s="171"/>
      <c r="J8" s="171"/>
      <c r="K8" s="172"/>
      <c r="L8" s="39" t="s">
        <v>27</v>
      </c>
      <c r="M8" s="39"/>
      <c r="N8" s="39"/>
      <c r="O8" s="163"/>
      <c r="AF8" s="12"/>
      <c r="AG8" s="12"/>
      <c r="AH8" s="12"/>
    </row>
    <row r="9" spans="1:73" ht="15.95" hidden="1" customHeight="1" x14ac:dyDescent="0.2">
      <c r="B9" s="25" t="s">
        <v>3</v>
      </c>
      <c r="C9" s="26" t="s">
        <v>10</v>
      </c>
      <c r="D9" s="26" t="s">
        <v>14</v>
      </c>
      <c r="E9" s="25" t="s">
        <v>15</v>
      </c>
      <c r="F9" s="26" t="s">
        <v>16</v>
      </c>
      <c r="G9" s="25" t="s">
        <v>17</v>
      </c>
      <c r="H9" s="25" t="s">
        <v>8</v>
      </c>
      <c r="I9" s="25" t="s">
        <v>18</v>
      </c>
      <c r="J9" s="27" t="s">
        <v>11</v>
      </c>
      <c r="K9" s="27" t="s">
        <v>19</v>
      </c>
      <c r="L9" s="28" t="s">
        <v>20</v>
      </c>
      <c r="M9" s="28" t="s">
        <v>21</v>
      </c>
      <c r="N9" s="28" t="s">
        <v>22</v>
      </c>
      <c r="O9" s="32"/>
      <c r="AF9" s="12"/>
      <c r="AG9" s="12"/>
      <c r="AH9" s="12"/>
    </row>
    <row r="10" spans="1:73" ht="24.2" customHeight="1" x14ac:dyDescent="0.2">
      <c r="B10" s="164">
        <v>1</v>
      </c>
      <c r="C10" s="157" t="s">
        <v>28</v>
      </c>
      <c r="D10" s="19" t="e">
        <f>VLOOKUP($B10,#REF!,3,0)</f>
        <v>#REF!</v>
      </c>
      <c r="E10" s="19" t="e">
        <f>VLOOKUP($B10,#REF!,4,0)</f>
        <v>#REF!</v>
      </c>
      <c r="F10" s="19" t="e">
        <f>VLOOKUP($B10,#REF!,5,0)</f>
        <v>#REF!</v>
      </c>
      <c r="G10" s="19" t="e">
        <f>VLOOKUP($B10,#REF!,6,0)</f>
        <v>#REF!</v>
      </c>
      <c r="H10" s="19" t="e">
        <f>VLOOKUP($B10,#REF!,7,0)</f>
        <v>#REF!</v>
      </c>
      <c r="I10" s="19" t="e">
        <f>VLOOKUP($B10,#REF!,8,0)</f>
        <v>#REF!</v>
      </c>
      <c r="J10" s="173">
        <v>1430</v>
      </c>
      <c r="K10" s="22" t="s">
        <v>12</v>
      </c>
      <c r="L10" s="35">
        <v>74</v>
      </c>
      <c r="M10" s="35">
        <v>52</v>
      </c>
      <c r="N10" s="44">
        <v>44</v>
      </c>
      <c r="O10" s="40"/>
      <c r="P10" s="13"/>
      <c r="Q10" s="13"/>
      <c r="R10" s="13"/>
      <c r="S10" s="13"/>
      <c r="T10" s="13"/>
      <c r="AF10" s="12"/>
      <c r="AG10" s="12"/>
      <c r="AH10" s="14"/>
      <c r="AI10" s="15"/>
      <c r="AJ10" s="15"/>
      <c r="AK10" s="15"/>
      <c r="AL10" s="15"/>
      <c r="AM10" s="15"/>
      <c r="AN10" s="15"/>
      <c r="AO10" s="15"/>
      <c r="AP10" s="15"/>
      <c r="AQ10" s="15"/>
      <c r="AR10" s="15"/>
      <c r="AS10" s="15"/>
      <c r="AT10" s="15"/>
      <c r="AU10" s="15"/>
      <c r="AV10" s="15"/>
      <c r="AW10" s="15"/>
      <c r="AX10" s="15"/>
      <c r="AY10" s="15"/>
      <c r="AZ10" s="15"/>
      <c r="BA10" s="15"/>
      <c r="BB10" s="15"/>
      <c r="BC10" s="15"/>
      <c r="BD10" s="15"/>
      <c r="BE10" s="15"/>
      <c r="BF10" s="15"/>
      <c r="BG10" s="15"/>
      <c r="BH10" s="15"/>
      <c r="BI10" s="15"/>
      <c r="BJ10" s="15"/>
      <c r="BK10" s="15"/>
      <c r="BL10" s="15"/>
      <c r="BM10" s="15"/>
      <c r="BN10" s="15"/>
      <c r="BO10" s="15"/>
      <c r="BP10" s="15"/>
      <c r="BQ10" s="15"/>
      <c r="BR10" s="15"/>
      <c r="BS10" s="15"/>
      <c r="BT10" s="15"/>
      <c r="BU10" s="15"/>
    </row>
    <row r="11" spans="1:73" ht="24.2" customHeight="1" thickBot="1" x14ac:dyDescent="0.25">
      <c r="B11" s="156"/>
      <c r="C11" s="163"/>
      <c r="D11" s="20" t="e">
        <f>VLOOKUP($B11,#REF!,3,0)</f>
        <v>#REF!</v>
      </c>
      <c r="E11" s="20" t="e">
        <f>VLOOKUP($B11,#REF!,4,0)</f>
        <v>#REF!</v>
      </c>
      <c r="F11" s="20" t="e">
        <f>VLOOKUP($B11,#REF!,5,0)</f>
        <v>#REF!</v>
      </c>
      <c r="G11" s="20" t="e">
        <f>VLOOKUP($B11,#REF!,6,0)</f>
        <v>#REF!</v>
      </c>
      <c r="H11" s="20" t="e">
        <f>VLOOKUP($B11,#REF!,7,0)</f>
        <v>#REF!</v>
      </c>
      <c r="I11" s="20" t="e">
        <f>VLOOKUP($B11,#REF!,8,0)</f>
        <v>#REF!</v>
      </c>
      <c r="J11" s="160"/>
      <c r="K11" s="34" t="s">
        <v>13</v>
      </c>
      <c r="L11" s="36">
        <v>64</v>
      </c>
      <c r="M11" s="36">
        <v>65</v>
      </c>
      <c r="N11" s="36">
        <v>63</v>
      </c>
      <c r="O11" s="41"/>
      <c r="P11" s="13"/>
      <c r="Q11" s="13"/>
      <c r="R11" s="13"/>
      <c r="S11" s="13"/>
      <c r="T11" s="13"/>
      <c r="AF11" s="12"/>
      <c r="AG11" s="12"/>
      <c r="AH11" s="14"/>
      <c r="AI11" s="15"/>
      <c r="AJ11" s="15"/>
      <c r="AK11" s="15"/>
      <c r="AL11" s="15"/>
      <c r="AM11" s="15"/>
      <c r="AN11" s="15"/>
      <c r="AO11" s="15"/>
      <c r="AP11" s="15"/>
      <c r="AQ11" s="15"/>
      <c r="AR11" s="15"/>
      <c r="AS11" s="15"/>
      <c r="AT11" s="15"/>
      <c r="AU11" s="15"/>
      <c r="AV11" s="15"/>
      <c r="AW11" s="15"/>
      <c r="AX11" s="15"/>
      <c r="AY11" s="15"/>
      <c r="AZ11" s="15"/>
      <c r="BA11" s="15"/>
      <c r="BB11" s="15"/>
      <c r="BC11" s="15"/>
      <c r="BD11" s="15"/>
      <c r="BE11" s="15"/>
      <c r="BF11" s="15"/>
      <c r="BG11" s="15"/>
      <c r="BH11" s="15"/>
      <c r="BI11" s="15"/>
      <c r="BJ11" s="15"/>
      <c r="BK11" s="15"/>
      <c r="BL11" s="15"/>
      <c r="BM11" s="15"/>
      <c r="BN11" s="15"/>
      <c r="BO11" s="15"/>
      <c r="BP11" s="15"/>
      <c r="BQ11" s="15"/>
      <c r="BR11" s="15"/>
      <c r="BS11" s="15"/>
      <c r="BT11" s="15"/>
      <c r="BU11" s="15"/>
    </row>
    <row r="12" spans="1:73" ht="24.2" customHeight="1" x14ac:dyDescent="0.2">
      <c r="B12" s="164">
        <v>2</v>
      </c>
      <c r="C12" s="157" t="s">
        <v>29</v>
      </c>
      <c r="D12" s="21" t="e">
        <f>VLOOKUP($B12,#REF!,3,0)</f>
        <v>#REF!</v>
      </c>
      <c r="E12" s="21" t="e">
        <f>VLOOKUP($B12,#REF!,4,0)</f>
        <v>#REF!</v>
      </c>
      <c r="F12" s="21" t="e">
        <f>VLOOKUP($B12,#REF!,5,0)</f>
        <v>#REF!</v>
      </c>
      <c r="G12" s="21" t="e">
        <f>VLOOKUP($B12,#REF!,6,0)</f>
        <v>#REF!</v>
      </c>
      <c r="H12" s="21" t="e">
        <f>VLOOKUP($B12,#REF!,7,0)</f>
        <v>#REF!</v>
      </c>
      <c r="I12" s="21" t="e">
        <f>VLOOKUP($B12,#REF!,8,0)</f>
        <v>#REF!</v>
      </c>
      <c r="J12" s="159"/>
      <c r="K12" s="33" t="s">
        <v>12</v>
      </c>
      <c r="L12" s="35">
        <v>61</v>
      </c>
      <c r="M12" s="35">
        <v>61</v>
      </c>
      <c r="N12" s="35">
        <v>58</v>
      </c>
      <c r="O12" s="42"/>
      <c r="P12" s="13"/>
      <c r="Q12" s="16"/>
      <c r="R12" s="13"/>
      <c r="S12" s="17"/>
      <c r="T12" s="13"/>
      <c r="AF12" s="12"/>
      <c r="AG12" s="12"/>
      <c r="AH12" s="12"/>
      <c r="AI12" s="18"/>
      <c r="AJ12" s="18"/>
      <c r="AK12" s="18"/>
      <c r="AL12" s="18"/>
      <c r="AM12" s="18"/>
      <c r="AN12" s="18"/>
      <c r="AO12" s="18"/>
      <c r="AP12" s="18"/>
      <c r="AQ12" s="18"/>
      <c r="AR12" s="18"/>
      <c r="AS12" s="18"/>
      <c r="AT12" s="18"/>
      <c r="AU12" s="18"/>
      <c r="AV12" s="18"/>
      <c r="AW12" s="18"/>
      <c r="AX12" s="18"/>
      <c r="AY12" s="18"/>
      <c r="AZ12" s="18"/>
      <c r="BA12" s="18"/>
      <c r="BB12" s="18"/>
      <c r="BC12" s="18"/>
      <c r="BD12" s="18"/>
      <c r="BE12" s="18"/>
      <c r="BF12" s="18"/>
      <c r="BG12" s="18"/>
      <c r="BH12" s="18"/>
      <c r="BI12" s="18"/>
      <c r="BJ12" s="18"/>
      <c r="BK12" s="18"/>
      <c r="BL12" s="18"/>
      <c r="BM12" s="18"/>
      <c r="BN12" s="18"/>
      <c r="BO12" s="18"/>
      <c r="BP12" s="18"/>
      <c r="BQ12" s="18"/>
      <c r="BR12" s="18"/>
      <c r="BS12" s="18"/>
      <c r="BT12" s="18"/>
      <c r="BU12" s="18"/>
    </row>
    <row r="13" spans="1:73" ht="24.2" customHeight="1" thickBot="1" x14ac:dyDescent="0.25">
      <c r="B13" s="156"/>
      <c r="C13" s="158"/>
      <c r="D13" s="20" t="e">
        <f>VLOOKUP($B13,#REF!,3,0)</f>
        <v>#REF!</v>
      </c>
      <c r="E13" s="20" t="e">
        <f>VLOOKUP($B13,#REF!,4,0)</f>
        <v>#REF!</v>
      </c>
      <c r="F13" s="20" t="e">
        <f>VLOOKUP($B13,#REF!,5,0)</f>
        <v>#REF!</v>
      </c>
      <c r="G13" s="20" t="e">
        <f>VLOOKUP($B13,#REF!,6,0)</f>
        <v>#REF!</v>
      </c>
      <c r="H13" s="20" t="e">
        <f>VLOOKUP($B13,#REF!,7,0)</f>
        <v>#REF!</v>
      </c>
      <c r="I13" s="20" t="e">
        <f>VLOOKUP($B13,#REF!,8,0)</f>
        <v>#REF!</v>
      </c>
      <c r="J13" s="160"/>
      <c r="K13" s="34" t="s">
        <v>13</v>
      </c>
      <c r="L13" s="37">
        <v>78</v>
      </c>
      <c r="M13" s="36">
        <v>69</v>
      </c>
      <c r="N13" s="36">
        <v>80</v>
      </c>
      <c r="O13" s="43"/>
      <c r="P13" s="13"/>
      <c r="Q13" s="13"/>
      <c r="R13" s="13"/>
      <c r="S13" s="13"/>
      <c r="T13" s="13"/>
      <c r="AF13" s="12"/>
      <c r="AG13" s="12"/>
      <c r="AH13" s="14"/>
      <c r="AI13" s="15"/>
      <c r="AJ13" s="15"/>
      <c r="AK13" s="15"/>
      <c r="AL13" s="15"/>
      <c r="AM13" s="15"/>
      <c r="AN13" s="15"/>
      <c r="AO13" s="15"/>
      <c r="AP13" s="15"/>
      <c r="AQ13" s="15"/>
      <c r="AR13" s="15"/>
      <c r="AS13" s="15"/>
      <c r="AT13" s="15"/>
      <c r="AU13" s="15"/>
      <c r="AV13" s="15"/>
      <c r="AW13" s="15"/>
      <c r="AX13" s="15"/>
      <c r="AY13" s="15"/>
      <c r="AZ13" s="15"/>
      <c r="BA13" s="15"/>
      <c r="BB13" s="15"/>
      <c r="BC13" s="15"/>
      <c r="BD13" s="15"/>
      <c r="BE13" s="15"/>
      <c r="BF13" s="15"/>
      <c r="BG13" s="15"/>
      <c r="BH13" s="15"/>
      <c r="BI13" s="15"/>
      <c r="BJ13" s="15"/>
      <c r="BK13" s="15"/>
      <c r="BL13" s="15"/>
      <c r="BM13" s="15"/>
      <c r="BN13" s="15"/>
      <c r="BO13" s="15"/>
      <c r="BP13" s="15"/>
      <c r="BQ13" s="15"/>
      <c r="BR13" s="15"/>
      <c r="BS13" s="15"/>
      <c r="BT13" s="15"/>
      <c r="BU13" s="15"/>
    </row>
    <row r="14" spans="1:73" ht="24.2" customHeight="1" x14ac:dyDescent="0.2">
      <c r="B14" s="164">
        <v>3</v>
      </c>
      <c r="C14" s="157" t="s">
        <v>28</v>
      </c>
      <c r="D14" s="19" t="e">
        <f>VLOOKUP($B14,#REF!,3,0)</f>
        <v>#REF!</v>
      </c>
      <c r="E14" s="19" t="e">
        <f>VLOOKUP($B14,#REF!,4,0)</f>
        <v>#REF!</v>
      </c>
      <c r="F14" s="19" t="e">
        <f>VLOOKUP($B14,#REF!,5,0)</f>
        <v>#REF!</v>
      </c>
      <c r="G14" s="19" t="e">
        <f>VLOOKUP($B14,#REF!,6,0)</f>
        <v>#REF!</v>
      </c>
      <c r="H14" s="19" t="e">
        <f>VLOOKUP($B14,#REF!,7,0)</f>
        <v>#REF!</v>
      </c>
      <c r="I14" s="19" t="e">
        <f>VLOOKUP($B14,#REF!,8,0)</f>
        <v>#REF!</v>
      </c>
      <c r="J14" s="159"/>
      <c r="K14" s="22" t="s">
        <v>12</v>
      </c>
      <c r="L14" s="35">
        <v>49</v>
      </c>
      <c r="M14" s="35">
        <v>46</v>
      </c>
      <c r="N14" s="35">
        <v>48</v>
      </c>
      <c r="O14" s="161"/>
      <c r="P14" s="13"/>
      <c r="Q14" s="13"/>
      <c r="R14" s="13"/>
      <c r="S14" s="13"/>
      <c r="T14" s="13"/>
      <c r="AF14" s="12"/>
      <c r="AG14" s="12"/>
      <c r="AH14" s="12"/>
    </row>
    <row r="15" spans="1:73" ht="24.2" customHeight="1" thickBot="1" x14ac:dyDescent="0.25">
      <c r="B15" s="156"/>
      <c r="C15" s="163"/>
      <c r="D15" s="20" t="e">
        <f>VLOOKUP($B15,#REF!,3,0)</f>
        <v>#REF!</v>
      </c>
      <c r="E15" s="20" t="e">
        <f>VLOOKUP($B15,#REF!,4,0)</f>
        <v>#REF!</v>
      </c>
      <c r="F15" s="20" t="e">
        <f>VLOOKUP($B15,#REF!,5,0)</f>
        <v>#REF!</v>
      </c>
      <c r="G15" s="20" t="e">
        <f>VLOOKUP($B15,#REF!,6,0)</f>
        <v>#REF!</v>
      </c>
      <c r="H15" s="20" t="e">
        <f>VLOOKUP($B15,#REF!,7,0)</f>
        <v>#REF!</v>
      </c>
      <c r="I15" s="20" t="e">
        <f>VLOOKUP($B15,#REF!,8,0)</f>
        <v>#REF!</v>
      </c>
      <c r="J15" s="160"/>
      <c r="K15" s="34" t="s">
        <v>13</v>
      </c>
      <c r="L15" s="36">
        <v>63</v>
      </c>
      <c r="M15" s="36">
        <v>62</v>
      </c>
      <c r="N15" s="36">
        <v>59</v>
      </c>
      <c r="O15" s="162"/>
      <c r="P15" s="13"/>
      <c r="Q15" s="13"/>
      <c r="R15" s="13"/>
      <c r="S15" s="13"/>
      <c r="T15" s="13"/>
      <c r="AF15" s="12"/>
      <c r="AG15" s="12"/>
      <c r="AH15" s="14"/>
      <c r="AI15" s="15"/>
      <c r="AJ15" s="15"/>
      <c r="AK15" s="15"/>
      <c r="AL15" s="15"/>
      <c r="AM15" s="15"/>
      <c r="AN15" s="15"/>
      <c r="AO15" s="15"/>
      <c r="AP15" s="15"/>
      <c r="AQ15" s="15"/>
      <c r="AR15" s="15"/>
      <c r="AS15" s="15"/>
      <c r="AT15" s="15"/>
      <c r="AU15" s="15"/>
      <c r="AV15" s="15"/>
      <c r="AW15" s="15"/>
      <c r="AX15" s="15"/>
      <c r="AY15" s="15"/>
      <c r="AZ15" s="15"/>
      <c r="BA15" s="15"/>
      <c r="BB15" s="15"/>
      <c r="BC15" s="15"/>
      <c r="BD15" s="15"/>
      <c r="BE15" s="15"/>
      <c r="BF15" s="15"/>
      <c r="BG15" s="15"/>
      <c r="BH15" s="15"/>
      <c r="BI15" s="15"/>
      <c r="BJ15" s="15"/>
      <c r="BK15" s="15"/>
      <c r="BL15" s="15"/>
      <c r="BM15" s="15"/>
      <c r="BN15" s="15"/>
      <c r="BO15" s="15"/>
      <c r="BP15" s="15"/>
      <c r="BQ15" s="15"/>
      <c r="BR15" s="15"/>
      <c r="BS15" s="15"/>
      <c r="BT15" s="15"/>
      <c r="BU15" s="15"/>
    </row>
    <row r="16" spans="1:73" ht="24.2" customHeight="1" x14ac:dyDescent="0.2">
      <c r="B16" s="164">
        <v>4</v>
      </c>
      <c r="C16" s="157" t="s">
        <v>29</v>
      </c>
      <c r="D16" s="19" t="e">
        <f>VLOOKUP($B16,#REF!,3,0)</f>
        <v>#REF!</v>
      </c>
      <c r="E16" s="19" t="e">
        <f>VLOOKUP($B16,#REF!,4,0)</f>
        <v>#REF!</v>
      </c>
      <c r="F16" s="19" t="e">
        <f>VLOOKUP($B16,#REF!,5,0)</f>
        <v>#REF!</v>
      </c>
      <c r="G16" s="19" t="e">
        <f>VLOOKUP($B16,#REF!,6,0)</f>
        <v>#REF!</v>
      </c>
      <c r="H16" s="19" t="e">
        <f>VLOOKUP($B16,#REF!,7,0)</f>
        <v>#REF!</v>
      </c>
      <c r="I16" s="19" t="e">
        <f>VLOOKUP($B16,#REF!,8,0)</f>
        <v>#REF!</v>
      </c>
      <c r="J16" s="159"/>
      <c r="K16" s="22" t="s">
        <v>12</v>
      </c>
      <c r="L16" s="35">
        <v>63</v>
      </c>
      <c r="M16" s="35">
        <v>67</v>
      </c>
      <c r="N16" s="44">
        <v>67</v>
      </c>
      <c r="O16" s="161"/>
      <c r="P16" s="13"/>
      <c r="Q16" s="13"/>
      <c r="R16" s="13"/>
      <c r="S16" s="13"/>
      <c r="T16" s="13"/>
    </row>
    <row r="17" spans="2:73" ht="24.2" customHeight="1" thickBot="1" x14ac:dyDescent="0.25">
      <c r="B17" s="156"/>
      <c r="C17" s="158"/>
      <c r="D17" s="20" t="e">
        <f>VLOOKUP($B17,#REF!,3,0)</f>
        <v>#REF!</v>
      </c>
      <c r="E17" s="20" t="e">
        <f>VLOOKUP($B17,#REF!,4,0)</f>
        <v>#REF!</v>
      </c>
      <c r="F17" s="20" t="e">
        <f>VLOOKUP($B17,#REF!,5,0)</f>
        <v>#REF!</v>
      </c>
      <c r="G17" s="20" t="e">
        <f>VLOOKUP($B17,#REF!,6,0)</f>
        <v>#REF!</v>
      </c>
      <c r="H17" s="20" t="e">
        <f>VLOOKUP($B17,#REF!,7,0)</f>
        <v>#REF!</v>
      </c>
      <c r="I17" s="20" t="e">
        <f>VLOOKUP($B17,#REF!,8,0)</f>
        <v>#REF!</v>
      </c>
      <c r="J17" s="160"/>
      <c r="K17" s="34" t="s">
        <v>13</v>
      </c>
      <c r="L17" s="36">
        <v>79</v>
      </c>
      <c r="M17" s="36">
        <v>82</v>
      </c>
      <c r="N17" s="36">
        <v>81</v>
      </c>
      <c r="O17" s="162"/>
      <c r="P17" s="13"/>
      <c r="Q17" s="13"/>
      <c r="R17" s="13"/>
      <c r="S17" s="13"/>
      <c r="T17" s="13"/>
      <c r="AF17" s="12"/>
      <c r="AG17" s="12"/>
      <c r="AH17" s="14"/>
      <c r="AI17" s="15"/>
      <c r="AJ17" s="15"/>
      <c r="AK17" s="15"/>
      <c r="AL17" s="15"/>
      <c r="AM17" s="15"/>
      <c r="AN17" s="15"/>
      <c r="AO17" s="15"/>
      <c r="AP17" s="15"/>
      <c r="AQ17" s="15"/>
      <c r="AR17" s="15"/>
      <c r="AS17" s="15"/>
      <c r="AT17" s="15"/>
      <c r="AU17" s="15"/>
      <c r="AV17" s="15"/>
      <c r="AW17" s="15"/>
      <c r="AX17" s="15"/>
      <c r="AY17" s="15"/>
      <c r="AZ17" s="15"/>
      <c r="BA17" s="15"/>
      <c r="BB17" s="15"/>
      <c r="BC17" s="15"/>
      <c r="BD17" s="15"/>
      <c r="BE17" s="15"/>
      <c r="BF17" s="15"/>
      <c r="BG17" s="15"/>
      <c r="BH17" s="15"/>
      <c r="BI17" s="15"/>
      <c r="BJ17" s="15"/>
      <c r="BK17" s="15"/>
      <c r="BL17" s="15"/>
      <c r="BM17" s="15"/>
      <c r="BN17" s="15"/>
      <c r="BO17" s="15"/>
      <c r="BP17" s="15"/>
      <c r="BQ17" s="15"/>
      <c r="BR17" s="15"/>
      <c r="BS17" s="15"/>
      <c r="BT17" s="15"/>
      <c r="BU17" s="15"/>
    </row>
    <row r="18" spans="2:73" ht="24.2" customHeight="1" x14ac:dyDescent="0.2">
      <c r="B18" s="164">
        <v>5</v>
      </c>
      <c r="C18" s="157" t="s">
        <v>28</v>
      </c>
      <c r="D18" s="19" t="e">
        <f>VLOOKUP($B18,#REF!,3,0)</f>
        <v>#REF!</v>
      </c>
      <c r="E18" s="19" t="e">
        <f>VLOOKUP($B18,#REF!,4,0)</f>
        <v>#REF!</v>
      </c>
      <c r="F18" s="19" t="e">
        <f>VLOOKUP($B18,#REF!,5,0)</f>
        <v>#REF!</v>
      </c>
      <c r="G18" s="19" t="e">
        <f>VLOOKUP($B18,#REF!,6,0)</f>
        <v>#REF!</v>
      </c>
      <c r="H18" s="19" t="e">
        <f>VLOOKUP($B18,#REF!,7,0)</f>
        <v>#REF!</v>
      </c>
      <c r="I18" s="19" t="e">
        <f>VLOOKUP($B18,#REF!,8,0)</f>
        <v>#REF!</v>
      </c>
      <c r="J18" s="159"/>
      <c r="K18" s="22" t="s">
        <v>12</v>
      </c>
      <c r="L18" s="44">
        <v>59</v>
      </c>
      <c r="M18" s="35">
        <v>53</v>
      </c>
      <c r="N18" s="44">
        <v>51</v>
      </c>
      <c r="O18" s="161"/>
      <c r="P18" s="13"/>
      <c r="Q18" s="13"/>
      <c r="R18" s="13"/>
      <c r="S18" s="13"/>
      <c r="T18" s="13"/>
      <c r="AF18" s="12"/>
      <c r="AG18" s="12"/>
      <c r="AH18" s="12"/>
    </row>
    <row r="19" spans="2:73" ht="24.2" customHeight="1" thickBot="1" x14ac:dyDescent="0.25">
      <c r="B19" s="156"/>
      <c r="C19" s="163"/>
      <c r="D19" s="20" t="e">
        <f>VLOOKUP($B19,#REF!,3,0)</f>
        <v>#REF!</v>
      </c>
      <c r="E19" s="20" t="e">
        <f>VLOOKUP($B19,#REF!,4,0)</f>
        <v>#REF!</v>
      </c>
      <c r="F19" s="20" t="e">
        <f>VLOOKUP($B19,#REF!,5,0)</f>
        <v>#REF!</v>
      </c>
      <c r="G19" s="20" t="e">
        <f>VLOOKUP($B19,#REF!,6,0)</f>
        <v>#REF!</v>
      </c>
      <c r="H19" s="20" t="e">
        <f>VLOOKUP($B19,#REF!,7,0)</f>
        <v>#REF!</v>
      </c>
      <c r="I19" s="20" t="e">
        <f>VLOOKUP($B19,#REF!,8,0)</f>
        <v>#REF!</v>
      </c>
      <c r="J19" s="160"/>
      <c r="K19" s="34" t="s">
        <v>13</v>
      </c>
      <c r="L19" s="36">
        <v>67</v>
      </c>
      <c r="M19" s="36">
        <v>72</v>
      </c>
      <c r="N19" s="36">
        <v>74</v>
      </c>
      <c r="O19" s="162"/>
      <c r="P19" s="13"/>
      <c r="Q19" s="13"/>
      <c r="R19" s="13"/>
      <c r="S19" s="13"/>
      <c r="T19" s="13"/>
      <c r="AF19" s="12"/>
      <c r="AG19" s="12"/>
      <c r="AH19" s="14"/>
      <c r="AI19" s="15"/>
      <c r="AJ19" s="15"/>
      <c r="AK19" s="15"/>
      <c r="AL19" s="15"/>
      <c r="AM19" s="15"/>
      <c r="AN19" s="15"/>
      <c r="AO19" s="15"/>
      <c r="AP19" s="15"/>
      <c r="AQ19" s="15"/>
      <c r="AR19" s="15"/>
      <c r="AS19" s="15"/>
      <c r="AT19" s="15"/>
      <c r="AU19" s="15"/>
      <c r="AV19" s="15"/>
      <c r="AW19" s="15"/>
      <c r="AX19" s="15"/>
      <c r="AY19" s="15"/>
      <c r="AZ19" s="15"/>
      <c r="BA19" s="15"/>
      <c r="BB19" s="15"/>
      <c r="BC19" s="15"/>
      <c r="BD19" s="15"/>
      <c r="BE19" s="15"/>
      <c r="BF19" s="15"/>
      <c r="BG19" s="15"/>
      <c r="BH19" s="15"/>
      <c r="BI19" s="15"/>
      <c r="BJ19" s="15"/>
      <c r="BK19" s="15"/>
      <c r="BL19" s="15"/>
      <c r="BM19" s="15"/>
      <c r="BN19" s="15"/>
      <c r="BO19" s="15"/>
      <c r="BP19" s="15"/>
      <c r="BQ19" s="15"/>
      <c r="BR19" s="15"/>
      <c r="BS19" s="15"/>
      <c r="BT19" s="15"/>
      <c r="BU19" s="15"/>
    </row>
    <row r="20" spans="2:73" ht="24.2" customHeight="1" x14ac:dyDescent="0.2">
      <c r="B20" s="164">
        <v>6</v>
      </c>
      <c r="C20" s="157" t="s">
        <v>29</v>
      </c>
      <c r="D20" s="19" t="e">
        <f>VLOOKUP($B20,#REF!,3,0)</f>
        <v>#REF!</v>
      </c>
      <c r="E20" s="19" t="e">
        <f>VLOOKUP($B20,#REF!,4,0)</f>
        <v>#REF!</v>
      </c>
      <c r="F20" s="19" t="e">
        <f>VLOOKUP($B20,#REF!,5,0)</f>
        <v>#REF!</v>
      </c>
      <c r="G20" s="19" t="e">
        <f>VLOOKUP($B20,#REF!,6,0)</f>
        <v>#REF!</v>
      </c>
      <c r="H20" s="19" t="e">
        <f>VLOOKUP($B20,#REF!,7,0)</f>
        <v>#REF!</v>
      </c>
      <c r="I20" s="19" t="e">
        <f>VLOOKUP($B20,#REF!,8,0)</f>
        <v>#REF!</v>
      </c>
      <c r="J20" s="159"/>
      <c r="K20" s="22" t="s">
        <v>12</v>
      </c>
      <c r="L20" s="35">
        <v>55</v>
      </c>
      <c r="M20" s="35">
        <v>56</v>
      </c>
      <c r="N20" s="35">
        <v>53</v>
      </c>
      <c r="O20" s="161"/>
      <c r="P20" s="13"/>
      <c r="Q20" s="13"/>
      <c r="R20" s="13"/>
      <c r="S20" s="13"/>
      <c r="T20" s="13"/>
      <c r="AF20" s="12"/>
      <c r="AG20" s="12"/>
      <c r="AH20" s="12"/>
    </row>
    <row r="21" spans="2:73" ht="24.2" customHeight="1" thickBot="1" x14ac:dyDescent="0.25">
      <c r="B21" s="156"/>
      <c r="C21" s="158"/>
      <c r="D21" s="20" t="e">
        <f>VLOOKUP($B21,#REF!,3,0)</f>
        <v>#REF!</v>
      </c>
      <c r="E21" s="20" t="e">
        <f>VLOOKUP($B21,#REF!,4,0)</f>
        <v>#REF!</v>
      </c>
      <c r="F21" s="20" t="e">
        <f>VLOOKUP($B21,#REF!,5,0)</f>
        <v>#REF!</v>
      </c>
      <c r="G21" s="20" t="e">
        <f>VLOOKUP($B21,#REF!,6,0)</f>
        <v>#REF!</v>
      </c>
      <c r="H21" s="20" t="e">
        <f>VLOOKUP($B21,#REF!,7,0)</f>
        <v>#REF!</v>
      </c>
      <c r="I21" s="20" t="e">
        <f>VLOOKUP($B21,#REF!,8,0)</f>
        <v>#REF!</v>
      </c>
      <c r="J21" s="160"/>
      <c r="K21" s="34" t="s">
        <v>13</v>
      </c>
      <c r="L21" s="36">
        <v>73</v>
      </c>
      <c r="M21" s="36">
        <v>72</v>
      </c>
      <c r="N21" s="36">
        <v>59</v>
      </c>
      <c r="O21" s="162"/>
      <c r="P21" s="13"/>
      <c r="Q21" s="13"/>
      <c r="R21" s="13"/>
      <c r="S21" s="13"/>
      <c r="T21" s="13"/>
      <c r="AF21" s="12"/>
      <c r="AG21" s="12"/>
      <c r="AH21" s="14"/>
      <c r="AI21" s="15"/>
      <c r="AJ21" s="15"/>
      <c r="AK21" s="15"/>
      <c r="AL21" s="15"/>
      <c r="AM21" s="15"/>
      <c r="AN21" s="15"/>
      <c r="AO21" s="15"/>
      <c r="AP21" s="15"/>
      <c r="AQ21" s="15"/>
      <c r="AR21" s="15"/>
      <c r="AS21" s="15"/>
      <c r="AT21" s="15"/>
      <c r="AU21" s="15"/>
      <c r="AV21" s="15"/>
      <c r="AW21" s="15"/>
      <c r="AX21" s="15"/>
      <c r="AY21" s="15"/>
      <c r="AZ21" s="15"/>
      <c r="BA21" s="15"/>
      <c r="BB21" s="15"/>
      <c r="BC21" s="15"/>
      <c r="BD21" s="15"/>
      <c r="BE21" s="15"/>
      <c r="BF21" s="15"/>
      <c r="BG21" s="15"/>
      <c r="BH21" s="15"/>
      <c r="BI21" s="15"/>
      <c r="BJ21" s="15"/>
      <c r="BK21" s="15"/>
      <c r="BL21" s="15"/>
      <c r="BM21" s="15"/>
      <c r="BN21" s="15"/>
      <c r="BO21" s="15"/>
      <c r="BP21" s="15"/>
      <c r="BQ21" s="15"/>
      <c r="BR21" s="15"/>
      <c r="BS21" s="15"/>
      <c r="BT21" s="15"/>
      <c r="BU21" s="15"/>
    </row>
    <row r="22" spans="2:73" ht="24.2" customHeight="1" x14ac:dyDescent="0.2">
      <c r="B22" s="164">
        <v>7</v>
      </c>
      <c r="C22" s="157" t="s">
        <v>28</v>
      </c>
      <c r="D22" s="19" t="e">
        <f>VLOOKUP($B22,#REF!,3,0)</f>
        <v>#REF!</v>
      </c>
      <c r="E22" s="19" t="e">
        <f>VLOOKUP($B22,#REF!,4,0)</f>
        <v>#REF!</v>
      </c>
      <c r="F22" s="19" t="e">
        <f>VLOOKUP($B22,#REF!,5,0)</f>
        <v>#REF!</v>
      </c>
      <c r="G22" s="19" t="e">
        <f>VLOOKUP($B22,#REF!,6,0)</f>
        <v>#REF!</v>
      </c>
      <c r="H22" s="19" t="e">
        <f>VLOOKUP($B22,#REF!,7,0)</f>
        <v>#REF!</v>
      </c>
      <c r="I22" s="19" t="e">
        <f>VLOOKUP($B22,#REF!,8,0)</f>
        <v>#REF!</v>
      </c>
      <c r="J22" s="159"/>
      <c r="K22" s="22" t="s">
        <v>12</v>
      </c>
      <c r="L22" s="35">
        <v>60</v>
      </c>
      <c r="M22" s="35">
        <v>69</v>
      </c>
      <c r="N22" s="35">
        <v>58</v>
      </c>
      <c r="O22" s="161"/>
      <c r="P22" s="13"/>
      <c r="Q22" s="13"/>
      <c r="R22" s="13"/>
      <c r="S22" s="13"/>
      <c r="T22" s="13"/>
      <c r="AF22" s="12"/>
      <c r="AG22" s="12"/>
      <c r="AH22" s="12"/>
    </row>
    <row r="23" spans="2:73" ht="24.2" customHeight="1" thickBot="1" x14ac:dyDescent="0.25">
      <c r="B23" s="156"/>
      <c r="C23" s="163"/>
      <c r="D23" s="20" t="e">
        <f>VLOOKUP($B23,#REF!,3,0)</f>
        <v>#REF!</v>
      </c>
      <c r="E23" s="20" t="e">
        <f>VLOOKUP($B23,#REF!,4,0)</f>
        <v>#REF!</v>
      </c>
      <c r="F23" s="20" t="e">
        <f>VLOOKUP($B23,#REF!,5,0)</f>
        <v>#REF!</v>
      </c>
      <c r="G23" s="20" t="e">
        <f>VLOOKUP($B23,#REF!,6,0)</f>
        <v>#REF!</v>
      </c>
      <c r="H23" s="20" t="e">
        <f>VLOOKUP($B23,#REF!,7,0)</f>
        <v>#REF!</v>
      </c>
      <c r="I23" s="20" t="e">
        <f>VLOOKUP($B23,#REF!,8,0)</f>
        <v>#REF!</v>
      </c>
      <c r="J23" s="160"/>
      <c r="K23" s="34" t="s">
        <v>13</v>
      </c>
      <c r="L23" s="36">
        <v>85</v>
      </c>
      <c r="M23" s="36">
        <v>79</v>
      </c>
      <c r="N23" s="36">
        <v>77</v>
      </c>
      <c r="O23" s="162"/>
      <c r="P23" s="13"/>
      <c r="Q23" s="13"/>
      <c r="R23" s="13"/>
      <c r="S23" s="13"/>
      <c r="T23" s="13"/>
      <c r="AF23" s="12"/>
      <c r="AG23" s="12"/>
      <c r="AH23" s="14"/>
      <c r="AI23" s="15"/>
      <c r="AJ23" s="15"/>
      <c r="AK23" s="15"/>
      <c r="AL23" s="15"/>
      <c r="AM23" s="15"/>
      <c r="AN23" s="15"/>
      <c r="AO23" s="15"/>
      <c r="AP23" s="15"/>
      <c r="AQ23" s="15"/>
      <c r="AR23" s="15"/>
      <c r="AS23" s="15"/>
      <c r="AT23" s="15"/>
      <c r="AU23" s="15"/>
      <c r="AV23" s="15"/>
      <c r="AW23" s="15"/>
      <c r="AX23" s="15"/>
      <c r="AY23" s="15"/>
      <c r="AZ23" s="15"/>
      <c r="BA23" s="15"/>
      <c r="BB23" s="15"/>
      <c r="BC23" s="15"/>
      <c r="BD23" s="15"/>
      <c r="BE23" s="15"/>
      <c r="BF23" s="15"/>
      <c r="BG23" s="15"/>
      <c r="BH23" s="15"/>
      <c r="BI23" s="15"/>
      <c r="BJ23" s="15"/>
      <c r="BK23" s="15"/>
      <c r="BL23" s="15"/>
      <c r="BM23" s="15"/>
      <c r="BN23" s="15"/>
      <c r="BO23" s="15"/>
      <c r="BP23" s="15"/>
      <c r="BQ23" s="15"/>
      <c r="BR23" s="15"/>
      <c r="BS23" s="15"/>
      <c r="BT23" s="15"/>
      <c r="BU23" s="15"/>
    </row>
    <row r="24" spans="2:73" ht="24.2" customHeight="1" x14ac:dyDescent="0.2">
      <c r="B24" s="164">
        <v>8</v>
      </c>
      <c r="C24" s="157" t="s">
        <v>29</v>
      </c>
      <c r="D24" s="19" t="e">
        <f>VLOOKUP($B24,#REF!,3,0)</f>
        <v>#REF!</v>
      </c>
      <c r="E24" s="19" t="e">
        <f>VLOOKUP($B24,#REF!,4,0)</f>
        <v>#REF!</v>
      </c>
      <c r="F24" s="19" t="e">
        <f>VLOOKUP($B24,#REF!,5,0)</f>
        <v>#REF!</v>
      </c>
      <c r="G24" s="19" t="e">
        <f>VLOOKUP($B24,#REF!,6,0)</f>
        <v>#REF!</v>
      </c>
      <c r="H24" s="19" t="e">
        <f>VLOOKUP($B24,#REF!,7,0)</f>
        <v>#REF!</v>
      </c>
      <c r="I24" s="19" t="e">
        <f>VLOOKUP($B24,#REF!,8,0)</f>
        <v>#REF!</v>
      </c>
      <c r="J24" s="159"/>
      <c r="K24" s="22" t="s">
        <v>12</v>
      </c>
      <c r="L24" s="35">
        <v>72</v>
      </c>
      <c r="M24" s="35">
        <v>75</v>
      </c>
      <c r="N24" s="35">
        <v>65</v>
      </c>
      <c r="O24" s="161"/>
      <c r="P24" s="13"/>
      <c r="Q24" s="13"/>
      <c r="R24" s="13"/>
      <c r="S24" s="13"/>
      <c r="T24" s="13"/>
      <c r="AF24" s="9"/>
      <c r="AG24" s="9"/>
      <c r="AH24" s="9"/>
    </row>
    <row r="25" spans="2:73" ht="24.2" customHeight="1" thickBot="1" x14ac:dyDescent="0.25">
      <c r="B25" s="156"/>
      <c r="C25" s="158"/>
      <c r="D25" s="20" t="e">
        <f>VLOOKUP($B25,#REF!,3,0)</f>
        <v>#REF!</v>
      </c>
      <c r="E25" s="20" t="e">
        <f>VLOOKUP($B25,#REF!,4,0)</f>
        <v>#REF!</v>
      </c>
      <c r="F25" s="20" t="e">
        <f>VLOOKUP($B25,#REF!,5,0)</f>
        <v>#REF!</v>
      </c>
      <c r="G25" s="20" t="e">
        <f>VLOOKUP($B25,#REF!,6,0)</f>
        <v>#REF!</v>
      </c>
      <c r="H25" s="20" t="e">
        <f>VLOOKUP($B25,#REF!,7,0)</f>
        <v>#REF!</v>
      </c>
      <c r="I25" s="20" t="e">
        <f>VLOOKUP($B25,#REF!,8,0)</f>
        <v>#REF!</v>
      </c>
      <c r="J25" s="160"/>
      <c r="K25" s="34" t="s">
        <v>13</v>
      </c>
      <c r="L25" s="36">
        <v>85</v>
      </c>
      <c r="M25" s="36">
        <v>81</v>
      </c>
      <c r="N25" s="36">
        <v>82</v>
      </c>
      <c r="O25" s="162"/>
      <c r="P25" s="13"/>
      <c r="Q25" s="13"/>
      <c r="R25" s="13"/>
      <c r="S25" s="13"/>
      <c r="T25" s="13"/>
      <c r="AF25" s="12"/>
      <c r="AG25" s="12"/>
      <c r="AH25" s="14"/>
      <c r="AI25" s="15"/>
      <c r="AJ25" s="15"/>
      <c r="AK25" s="15"/>
      <c r="AL25" s="15"/>
      <c r="AM25" s="15"/>
      <c r="AN25" s="15"/>
      <c r="AO25" s="15"/>
      <c r="AP25" s="15"/>
      <c r="AQ25" s="15"/>
      <c r="AR25" s="15"/>
      <c r="AS25" s="15"/>
      <c r="AT25" s="15"/>
      <c r="AU25" s="15"/>
      <c r="AV25" s="15"/>
      <c r="AW25" s="15"/>
      <c r="AX25" s="15"/>
      <c r="AY25" s="15"/>
      <c r="AZ25" s="15"/>
      <c r="BA25" s="15"/>
      <c r="BB25" s="15"/>
      <c r="BC25" s="15"/>
      <c r="BD25" s="15"/>
      <c r="BE25" s="15"/>
      <c r="BF25" s="15"/>
      <c r="BG25" s="15"/>
      <c r="BH25" s="15"/>
      <c r="BI25" s="15"/>
      <c r="BJ25" s="15"/>
      <c r="BK25" s="15"/>
      <c r="BL25" s="15"/>
      <c r="BM25" s="15"/>
      <c r="BN25" s="15"/>
      <c r="BO25" s="15"/>
      <c r="BP25" s="15"/>
      <c r="BQ25" s="15"/>
      <c r="BR25" s="15"/>
      <c r="BS25" s="15"/>
      <c r="BT25" s="15"/>
      <c r="BU25" s="15"/>
    </row>
    <row r="26" spans="2:73" ht="24.2" customHeight="1" x14ac:dyDescent="0.2">
      <c r="B26" s="164">
        <v>9</v>
      </c>
      <c r="C26" s="157" t="s">
        <v>28</v>
      </c>
      <c r="D26" s="19" t="e">
        <f>VLOOKUP($B26,#REF!,3,0)</f>
        <v>#REF!</v>
      </c>
      <c r="E26" s="19" t="e">
        <f>VLOOKUP($B26,#REF!,4,0)</f>
        <v>#REF!</v>
      </c>
      <c r="F26" s="19" t="e">
        <f>VLOOKUP($B26,#REF!,5,0)</f>
        <v>#REF!</v>
      </c>
      <c r="G26" s="19" t="e">
        <f>VLOOKUP($B26,#REF!,6,0)</f>
        <v>#REF!</v>
      </c>
      <c r="H26" s="19" t="e">
        <f>VLOOKUP($B26,#REF!,7,0)</f>
        <v>#REF!</v>
      </c>
      <c r="I26" s="19" t="e">
        <f>VLOOKUP($B26,#REF!,8,0)</f>
        <v>#REF!</v>
      </c>
      <c r="J26" s="159">
        <v>1505</v>
      </c>
      <c r="K26" s="22" t="s">
        <v>12</v>
      </c>
      <c r="L26" s="35">
        <v>62</v>
      </c>
      <c r="M26" s="35">
        <v>60</v>
      </c>
      <c r="N26" s="35">
        <v>43</v>
      </c>
      <c r="O26" s="161"/>
      <c r="P26" s="13"/>
      <c r="Q26" s="13"/>
      <c r="R26" s="13"/>
      <c r="S26" s="13"/>
      <c r="T26" s="13"/>
      <c r="AF26" s="12"/>
      <c r="AG26" s="12"/>
      <c r="AH26" s="12"/>
    </row>
    <row r="27" spans="2:73" ht="24.2" customHeight="1" thickBot="1" x14ac:dyDescent="0.25">
      <c r="B27" s="156"/>
      <c r="C27" s="163"/>
      <c r="D27" s="20" t="e">
        <f>VLOOKUP($B27,#REF!,3,0)</f>
        <v>#REF!</v>
      </c>
      <c r="E27" s="20" t="e">
        <f>VLOOKUP($B27,#REF!,4,0)</f>
        <v>#REF!</v>
      </c>
      <c r="F27" s="20" t="e">
        <f>VLOOKUP($B27,#REF!,5,0)</f>
        <v>#REF!</v>
      </c>
      <c r="G27" s="20" t="e">
        <f>VLOOKUP($B27,#REF!,6,0)</f>
        <v>#REF!</v>
      </c>
      <c r="H27" s="20" t="e">
        <f>VLOOKUP($B27,#REF!,7,0)</f>
        <v>#REF!</v>
      </c>
      <c r="I27" s="20" t="e">
        <f>VLOOKUP($B27,#REF!,8,0)</f>
        <v>#REF!</v>
      </c>
      <c r="J27" s="160"/>
      <c r="K27" s="34" t="s">
        <v>13</v>
      </c>
      <c r="L27" s="36">
        <v>68</v>
      </c>
      <c r="M27" s="36">
        <v>67</v>
      </c>
      <c r="N27" s="36">
        <v>66</v>
      </c>
      <c r="O27" s="162"/>
      <c r="P27" s="13"/>
      <c r="Q27" s="13"/>
      <c r="R27" s="13"/>
      <c r="S27" s="13"/>
      <c r="T27" s="13"/>
      <c r="AF27" s="12"/>
      <c r="AG27" s="12"/>
      <c r="AH27" s="14"/>
      <c r="AI27" s="15"/>
      <c r="AJ27" s="15"/>
      <c r="AK27" s="15"/>
      <c r="AL27" s="15"/>
      <c r="AM27" s="15"/>
      <c r="AN27" s="15"/>
      <c r="AO27" s="15"/>
      <c r="AP27" s="15"/>
      <c r="AQ27" s="15"/>
      <c r="AR27" s="15"/>
      <c r="AS27" s="15"/>
      <c r="AT27" s="15"/>
      <c r="AU27" s="15"/>
      <c r="AV27" s="15"/>
      <c r="AW27" s="15"/>
      <c r="AX27" s="15"/>
      <c r="AY27" s="15"/>
      <c r="AZ27" s="15"/>
      <c r="BA27" s="15"/>
      <c r="BB27" s="15"/>
      <c r="BC27" s="15"/>
      <c r="BD27" s="15"/>
      <c r="BE27" s="15"/>
      <c r="BF27" s="15"/>
      <c r="BG27" s="15"/>
      <c r="BH27" s="15"/>
      <c r="BI27" s="15"/>
      <c r="BJ27" s="15"/>
      <c r="BK27" s="15"/>
      <c r="BL27" s="15"/>
      <c r="BM27" s="15"/>
      <c r="BN27" s="15"/>
      <c r="BO27" s="15"/>
      <c r="BP27" s="15"/>
      <c r="BQ27" s="15"/>
      <c r="BR27" s="15"/>
      <c r="BS27" s="15"/>
      <c r="BT27" s="15"/>
      <c r="BU27" s="15"/>
    </row>
    <row r="28" spans="2:73" ht="24.2" customHeight="1" x14ac:dyDescent="0.2">
      <c r="B28" s="155">
        <v>10</v>
      </c>
      <c r="C28" s="157" t="s">
        <v>29</v>
      </c>
      <c r="D28" s="19" t="e">
        <f>VLOOKUP($B28,#REF!,3,0)</f>
        <v>#REF!</v>
      </c>
      <c r="E28" s="19" t="e">
        <f>VLOOKUP($B28,#REF!,4,0)</f>
        <v>#REF!</v>
      </c>
      <c r="F28" s="19" t="e">
        <f>VLOOKUP($B28,#REF!,5,0)</f>
        <v>#REF!</v>
      </c>
      <c r="G28" s="19" t="e">
        <f>VLOOKUP($B28,#REF!,6,0)</f>
        <v>#REF!</v>
      </c>
      <c r="H28" s="19" t="e">
        <f>VLOOKUP($B28,#REF!,7,0)</f>
        <v>#REF!</v>
      </c>
      <c r="I28" s="19" t="e">
        <f>VLOOKUP($B28,#REF!,8,0)</f>
        <v>#REF!</v>
      </c>
      <c r="J28" s="159"/>
      <c r="K28" s="22" t="s">
        <v>12</v>
      </c>
      <c r="L28" s="35">
        <v>63</v>
      </c>
      <c r="M28" s="35">
        <v>68</v>
      </c>
      <c r="N28" s="35">
        <v>70</v>
      </c>
      <c r="O28" s="161"/>
      <c r="P28" s="13"/>
      <c r="Q28" s="13"/>
      <c r="R28" s="13"/>
      <c r="S28" s="13"/>
      <c r="T28" s="13"/>
    </row>
    <row r="29" spans="2:73" ht="24.2" customHeight="1" thickBot="1" x14ac:dyDescent="0.25">
      <c r="B29" s="156"/>
      <c r="C29" s="158"/>
      <c r="D29" s="20" t="e">
        <f>VLOOKUP($B29,#REF!,3,0)</f>
        <v>#REF!</v>
      </c>
      <c r="E29" s="20" t="e">
        <f>VLOOKUP($B29,#REF!,4,0)</f>
        <v>#REF!</v>
      </c>
      <c r="F29" s="20" t="e">
        <f>VLOOKUP($B29,#REF!,5,0)</f>
        <v>#REF!</v>
      </c>
      <c r="G29" s="20" t="e">
        <f>VLOOKUP($B29,#REF!,6,0)</f>
        <v>#REF!</v>
      </c>
      <c r="H29" s="20" t="e">
        <f>VLOOKUP($B29,#REF!,7,0)</f>
        <v>#REF!</v>
      </c>
      <c r="I29" s="20" t="e">
        <f>VLOOKUP($B29,#REF!,8,0)</f>
        <v>#REF!</v>
      </c>
      <c r="J29" s="160"/>
      <c r="K29" s="34" t="s">
        <v>13</v>
      </c>
      <c r="L29" s="36">
        <v>79</v>
      </c>
      <c r="M29" s="36">
        <v>84</v>
      </c>
      <c r="N29" s="36">
        <v>76</v>
      </c>
      <c r="O29" s="162"/>
      <c r="P29" s="13"/>
      <c r="Q29" s="13"/>
      <c r="R29" s="13"/>
      <c r="S29" s="13"/>
      <c r="T29" s="13"/>
      <c r="AF29" s="12"/>
      <c r="AG29" s="12"/>
      <c r="AH29" s="14"/>
      <c r="AI29" s="15"/>
      <c r="AJ29" s="15"/>
      <c r="AK29" s="15"/>
      <c r="AL29" s="15"/>
      <c r="AM29" s="15"/>
      <c r="AN29" s="15"/>
      <c r="AO29" s="15"/>
      <c r="AP29" s="15"/>
      <c r="AQ29" s="15"/>
      <c r="AR29" s="15"/>
      <c r="AS29" s="15"/>
      <c r="AT29" s="15"/>
      <c r="AU29" s="15"/>
      <c r="AV29" s="15"/>
      <c r="AW29" s="15"/>
      <c r="AX29" s="15"/>
      <c r="AY29" s="15"/>
      <c r="AZ29" s="15"/>
      <c r="BA29" s="15"/>
      <c r="BB29" s="15"/>
      <c r="BC29" s="15"/>
      <c r="BD29" s="15"/>
      <c r="BE29" s="15"/>
      <c r="BF29" s="15"/>
      <c r="BG29" s="15"/>
      <c r="BH29" s="15"/>
      <c r="BI29" s="15"/>
      <c r="BJ29" s="15"/>
      <c r="BK29" s="15"/>
      <c r="BL29" s="15"/>
      <c r="BM29" s="15"/>
      <c r="BN29" s="15"/>
      <c r="BO29" s="15"/>
      <c r="BP29" s="15"/>
      <c r="BQ29" s="15"/>
      <c r="BR29" s="15"/>
      <c r="BS29" s="15"/>
      <c r="BT29" s="15"/>
      <c r="BU29" s="15"/>
    </row>
    <row r="30" spans="2:73" ht="24.2" customHeight="1" x14ac:dyDescent="0.2">
      <c r="B30" s="155">
        <v>11</v>
      </c>
      <c r="C30" s="157" t="s">
        <v>28</v>
      </c>
      <c r="D30" s="19" t="e">
        <f>VLOOKUP($B30,#REF!,3,0)</f>
        <v>#REF!</v>
      </c>
      <c r="E30" s="19" t="e">
        <f>VLOOKUP($B30,#REF!,4,0)</f>
        <v>#REF!</v>
      </c>
      <c r="F30" s="19" t="e">
        <f>VLOOKUP($B30,#REF!,5,0)</f>
        <v>#REF!</v>
      </c>
      <c r="G30" s="19" t="e">
        <f>VLOOKUP($B30,#REF!,6,0)</f>
        <v>#REF!</v>
      </c>
      <c r="H30" s="19" t="e">
        <f>VLOOKUP($B30,#REF!,7,0)</f>
        <v>#REF!</v>
      </c>
      <c r="I30" s="19" t="e">
        <f>VLOOKUP($B30,#REF!,8,0)</f>
        <v>#REF!</v>
      </c>
      <c r="J30" s="159"/>
      <c r="K30" s="22" t="s">
        <v>12</v>
      </c>
      <c r="L30" s="44">
        <v>55</v>
      </c>
      <c r="M30" s="35">
        <v>63</v>
      </c>
      <c r="N30" s="35">
        <v>53</v>
      </c>
      <c r="O30" s="161"/>
      <c r="P30" s="13"/>
      <c r="Q30" s="13"/>
      <c r="R30" s="13"/>
      <c r="S30" s="13"/>
      <c r="T30" s="13"/>
    </row>
    <row r="31" spans="2:73" ht="24.2" customHeight="1" thickBot="1" x14ac:dyDescent="0.25">
      <c r="B31" s="156"/>
      <c r="C31" s="163"/>
      <c r="D31" s="20" t="e">
        <f>VLOOKUP($B31,#REF!,3,0)</f>
        <v>#REF!</v>
      </c>
      <c r="E31" s="20" t="e">
        <f>VLOOKUP($B31,#REF!,4,0)</f>
        <v>#REF!</v>
      </c>
      <c r="F31" s="20" t="e">
        <f>VLOOKUP($B31,#REF!,5,0)</f>
        <v>#REF!</v>
      </c>
      <c r="G31" s="20" t="e">
        <f>VLOOKUP($B31,#REF!,6,0)</f>
        <v>#REF!</v>
      </c>
      <c r="H31" s="20" t="e">
        <f>VLOOKUP($B31,#REF!,7,0)</f>
        <v>#REF!</v>
      </c>
      <c r="I31" s="20" t="e">
        <f>VLOOKUP($B31,#REF!,8,0)</f>
        <v>#REF!</v>
      </c>
      <c r="J31" s="160"/>
      <c r="K31" s="34" t="s">
        <v>13</v>
      </c>
      <c r="L31" s="36">
        <v>65</v>
      </c>
      <c r="M31" s="36">
        <v>71</v>
      </c>
      <c r="N31" s="36">
        <v>71</v>
      </c>
      <c r="O31" s="162"/>
      <c r="P31" s="13"/>
      <c r="Q31" s="13"/>
      <c r="R31" s="13"/>
      <c r="S31" s="13"/>
      <c r="T31" s="13"/>
      <c r="AF31" s="12"/>
      <c r="AG31" s="12"/>
      <c r="AH31" s="14"/>
      <c r="AI31" s="15"/>
      <c r="AJ31" s="15"/>
      <c r="AK31" s="15"/>
      <c r="AL31" s="15"/>
      <c r="AM31" s="15"/>
      <c r="AN31" s="15"/>
      <c r="AO31" s="15"/>
      <c r="AP31" s="15"/>
      <c r="AQ31" s="15"/>
      <c r="AR31" s="15"/>
      <c r="AS31" s="15"/>
      <c r="AT31" s="15"/>
      <c r="AU31" s="15"/>
      <c r="AV31" s="15"/>
      <c r="AW31" s="15"/>
      <c r="AX31" s="15"/>
      <c r="AY31" s="15"/>
      <c r="AZ31" s="15"/>
      <c r="BA31" s="15"/>
      <c r="BB31" s="15"/>
      <c r="BC31" s="15"/>
      <c r="BD31" s="15"/>
      <c r="BE31" s="15"/>
      <c r="BF31" s="15"/>
      <c r="BG31" s="15"/>
      <c r="BH31" s="15"/>
      <c r="BI31" s="15"/>
      <c r="BJ31" s="15"/>
      <c r="BK31" s="15"/>
      <c r="BL31" s="15"/>
      <c r="BM31" s="15"/>
      <c r="BN31" s="15"/>
      <c r="BO31" s="15"/>
      <c r="BP31" s="15"/>
      <c r="BQ31" s="15"/>
      <c r="BR31" s="15"/>
      <c r="BS31" s="15"/>
      <c r="BT31" s="15"/>
      <c r="BU31" s="15"/>
    </row>
    <row r="32" spans="2:73" ht="24.2" customHeight="1" x14ac:dyDescent="0.2">
      <c r="B32" s="155">
        <v>12</v>
      </c>
      <c r="C32" s="157" t="s">
        <v>29</v>
      </c>
      <c r="D32" s="19" t="e">
        <f>VLOOKUP($B32,#REF!,3,0)</f>
        <v>#REF!</v>
      </c>
      <c r="E32" s="19" t="e">
        <f>VLOOKUP($B32,#REF!,4,0)</f>
        <v>#REF!</v>
      </c>
      <c r="F32" s="19" t="e">
        <f>VLOOKUP($B32,#REF!,5,0)</f>
        <v>#REF!</v>
      </c>
      <c r="G32" s="19" t="e">
        <f>VLOOKUP($B32,#REF!,6,0)</f>
        <v>#REF!</v>
      </c>
      <c r="H32" s="19" t="e">
        <f>VLOOKUP($B32,#REF!,7,0)</f>
        <v>#REF!</v>
      </c>
      <c r="I32" s="19" t="e">
        <f>VLOOKUP($B32,#REF!,8,0)</f>
        <v>#REF!</v>
      </c>
      <c r="J32" s="159"/>
      <c r="K32" s="22" t="s">
        <v>12</v>
      </c>
      <c r="L32" s="35">
        <v>70</v>
      </c>
      <c r="M32" s="35">
        <v>71</v>
      </c>
      <c r="N32" s="35">
        <v>63</v>
      </c>
      <c r="O32" s="161"/>
      <c r="P32" s="13"/>
      <c r="Q32" s="13"/>
      <c r="R32" s="13"/>
      <c r="S32" s="13"/>
      <c r="T32" s="13"/>
    </row>
    <row r="33" spans="2:73" ht="24.2" customHeight="1" thickBot="1" x14ac:dyDescent="0.25">
      <c r="B33" s="156"/>
      <c r="C33" s="158"/>
      <c r="D33" s="20" t="e">
        <f>VLOOKUP($B33,#REF!,3,0)</f>
        <v>#REF!</v>
      </c>
      <c r="E33" s="20" t="e">
        <f>VLOOKUP($B33,#REF!,4,0)</f>
        <v>#REF!</v>
      </c>
      <c r="F33" s="20" t="e">
        <f>VLOOKUP($B33,#REF!,5,0)</f>
        <v>#REF!</v>
      </c>
      <c r="G33" s="20" t="e">
        <f>VLOOKUP($B33,#REF!,6,0)</f>
        <v>#REF!</v>
      </c>
      <c r="H33" s="20" t="e">
        <f>VLOOKUP($B33,#REF!,7,0)</f>
        <v>#REF!</v>
      </c>
      <c r="I33" s="20" t="e">
        <f>VLOOKUP($B33,#REF!,8,0)</f>
        <v>#REF!</v>
      </c>
      <c r="J33" s="160"/>
      <c r="K33" s="34" t="s">
        <v>13</v>
      </c>
      <c r="L33" s="36">
        <v>92</v>
      </c>
      <c r="M33" s="36">
        <v>80</v>
      </c>
      <c r="N33" s="36">
        <v>78</v>
      </c>
      <c r="O33" s="162"/>
      <c r="P33" s="13"/>
      <c r="Q33" s="13"/>
      <c r="R33" s="13"/>
      <c r="S33" s="13"/>
      <c r="T33" s="13"/>
      <c r="AF33" s="12"/>
      <c r="AG33" s="12"/>
      <c r="AH33" s="14"/>
      <c r="AI33" s="15"/>
      <c r="AJ33" s="15"/>
      <c r="AK33" s="15"/>
      <c r="AL33" s="15"/>
      <c r="AM33" s="15"/>
      <c r="AN33" s="15"/>
      <c r="AO33" s="15"/>
      <c r="AP33" s="15"/>
      <c r="AQ33" s="15"/>
      <c r="AR33" s="15"/>
      <c r="AS33" s="15"/>
      <c r="AT33" s="15"/>
      <c r="AU33" s="15"/>
      <c r="AV33" s="15"/>
      <c r="AW33" s="15"/>
      <c r="AX33" s="15"/>
      <c r="AY33" s="15"/>
      <c r="AZ33" s="15"/>
      <c r="BA33" s="15"/>
      <c r="BB33" s="15"/>
      <c r="BC33" s="15"/>
      <c r="BD33" s="15"/>
      <c r="BE33" s="15"/>
      <c r="BF33" s="15"/>
      <c r="BG33" s="15"/>
      <c r="BH33" s="15"/>
      <c r="BI33" s="15"/>
      <c r="BJ33" s="15"/>
      <c r="BK33" s="15"/>
      <c r="BL33" s="15"/>
      <c r="BM33" s="15"/>
      <c r="BN33" s="15"/>
      <c r="BO33" s="15"/>
      <c r="BP33" s="15"/>
      <c r="BQ33" s="15"/>
      <c r="BR33" s="15"/>
      <c r="BS33" s="15"/>
      <c r="BT33" s="15"/>
      <c r="BU33" s="15"/>
    </row>
    <row r="34" spans="2:73" ht="24.2" customHeight="1" x14ac:dyDescent="0.2">
      <c r="B34" s="155">
        <v>13</v>
      </c>
      <c r="C34" s="157" t="s">
        <v>28</v>
      </c>
      <c r="D34" s="19" t="e">
        <f>VLOOKUP($B34,#REF!,3,0)</f>
        <v>#REF!</v>
      </c>
      <c r="E34" s="19" t="e">
        <f>VLOOKUP($B34,#REF!,4,0)</f>
        <v>#REF!</v>
      </c>
      <c r="F34" s="19" t="e">
        <f>VLOOKUP($B34,#REF!,5,0)</f>
        <v>#REF!</v>
      </c>
      <c r="G34" s="19" t="e">
        <f>VLOOKUP($B34,#REF!,6,0)</f>
        <v>#REF!</v>
      </c>
      <c r="H34" s="19" t="e">
        <f>VLOOKUP($B34,#REF!,7,0)</f>
        <v>#REF!</v>
      </c>
      <c r="I34" s="19" t="e">
        <f>VLOOKUP($B34,#REF!,8,0)</f>
        <v>#REF!</v>
      </c>
      <c r="J34" s="159"/>
      <c r="K34" s="22" t="s">
        <v>12</v>
      </c>
      <c r="L34" s="35">
        <v>43</v>
      </c>
      <c r="M34" s="35">
        <v>59</v>
      </c>
      <c r="N34" s="35">
        <v>51</v>
      </c>
      <c r="O34" s="161"/>
      <c r="P34" s="13"/>
      <c r="Q34" s="13"/>
      <c r="R34" s="13"/>
      <c r="S34" s="13"/>
      <c r="T34" s="13"/>
    </row>
    <row r="35" spans="2:73" ht="24.2" customHeight="1" thickBot="1" x14ac:dyDescent="0.25">
      <c r="B35" s="156"/>
      <c r="C35" s="163"/>
      <c r="D35" s="20" t="e">
        <f>VLOOKUP($B35,#REF!,3,0)</f>
        <v>#REF!</v>
      </c>
      <c r="E35" s="20" t="e">
        <f>VLOOKUP($B35,#REF!,4,0)</f>
        <v>#REF!</v>
      </c>
      <c r="F35" s="20" t="e">
        <f>VLOOKUP($B35,#REF!,5,0)</f>
        <v>#REF!</v>
      </c>
      <c r="G35" s="20" t="e">
        <f>VLOOKUP($B35,#REF!,6,0)</f>
        <v>#REF!</v>
      </c>
      <c r="H35" s="20" t="e">
        <f>VLOOKUP($B35,#REF!,7,0)</f>
        <v>#REF!</v>
      </c>
      <c r="I35" s="20" t="e">
        <f>VLOOKUP($B35,#REF!,8,0)</f>
        <v>#REF!</v>
      </c>
      <c r="J35" s="160"/>
      <c r="K35" s="34" t="s">
        <v>13</v>
      </c>
      <c r="L35" s="36">
        <v>60</v>
      </c>
      <c r="M35" s="36">
        <v>72</v>
      </c>
      <c r="N35" s="36">
        <v>62</v>
      </c>
      <c r="O35" s="162"/>
      <c r="P35" s="13"/>
      <c r="Q35" s="13"/>
      <c r="R35" s="13"/>
      <c r="S35" s="13"/>
      <c r="T35" s="13"/>
      <c r="AF35" s="12"/>
      <c r="AG35" s="12"/>
      <c r="AH35" s="14"/>
      <c r="AI35" s="15"/>
      <c r="AJ35" s="15"/>
      <c r="AK35" s="15"/>
      <c r="AL35" s="15"/>
      <c r="AM35" s="15"/>
      <c r="AN35" s="15"/>
      <c r="AO35" s="15"/>
      <c r="AP35" s="15"/>
      <c r="AQ35" s="15"/>
      <c r="AR35" s="15"/>
      <c r="AS35" s="15"/>
      <c r="AT35" s="15"/>
      <c r="AU35" s="15"/>
      <c r="AV35" s="15"/>
      <c r="AW35" s="15"/>
      <c r="AX35" s="15"/>
      <c r="AY35" s="15"/>
      <c r="AZ35" s="15"/>
      <c r="BA35" s="15"/>
      <c r="BB35" s="15"/>
      <c r="BC35" s="15"/>
      <c r="BD35" s="15"/>
      <c r="BE35" s="15"/>
      <c r="BF35" s="15"/>
      <c r="BG35" s="15"/>
      <c r="BH35" s="15"/>
      <c r="BI35" s="15"/>
      <c r="BJ35" s="15"/>
      <c r="BK35" s="15"/>
      <c r="BL35" s="15"/>
      <c r="BM35" s="15"/>
      <c r="BN35" s="15"/>
      <c r="BO35" s="15"/>
      <c r="BP35" s="15"/>
      <c r="BQ35" s="15"/>
      <c r="BR35" s="15"/>
      <c r="BS35" s="15"/>
      <c r="BT35" s="15"/>
      <c r="BU35" s="15"/>
    </row>
    <row r="36" spans="2:73" ht="24.2" customHeight="1" x14ac:dyDescent="0.2">
      <c r="B36" s="155">
        <v>14</v>
      </c>
      <c r="C36" s="157" t="s">
        <v>29</v>
      </c>
      <c r="D36" s="19" t="e">
        <f>VLOOKUP($B36,#REF!,3,0)</f>
        <v>#REF!</v>
      </c>
      <c r="E36" s="19" t="e">
        <f>VLOOKUP($B36,#REF!,4,0)</f>
        <v>#REF!</v>
      </c>
      <c r="F36" s="19" t="e">
        <f>VLOOKUP($B36,#REF!,5,0)</f>
        <v>#REF!</v>
      </c>
      <c r="G36" s="19" t="e">
        <f>VLOOKUP($B36,#REF!,6,0)</f>
        <v>#REF!</v>
      </c>
      <c r="H36" s="19" t="e">
        <f>VLOOKUP($B36,#REF!,7,0)</f>
        <v>#REF!</v>
      </c>
      <c r="I36" s="19" t="e">
        <f>VLOOKUP($B36,#REF!,8,0)</f>
        <v>#REF!</v>
      </c>
      <c r="J36" s="159"/>
      <c r="K36" s="22" t="s">
        <v>12</v>
      </c>
      <c r="L36" s="35">
        <v>65</v>
      </c>
      <c r="M36" s="35">
        <v>66</v>
      </c>
      <c r="N36" s="35">
        <v>48</v>
      </c>
      <c r="O36" s="161"/>
      <c r="P36" s="13"/>
      <c r="Q36" s="13"/>
      <c r="R36" s="13"/>
      <c r="S36" s="13"/>
      <c r="T36" s="13"/>
    </row>
    <row r="37" spans="2:73" ht="24.2" customHeight="1" thickBot="1" x14ac:dyDescent="0.25">
      <c r="B37" s="156"/>
      <c r="C37" s="158"/>
      <c r="D37" s="20" t="e">
        <f>VLOOKUP($B37,#REF!,3,0)</f>
        <v>#REF!</v>
      </c>
      <c r="E37" s="20" t="e">
        <f>VLOOKUP($B37,#REF!,4,0)</f>
        <v>#REF!</v>
      </c>
      <c r="F37" s="20" t="e">
        <f>VLOOKUP($B37,#REF!,5,0)</f>
        <v>#REF!</v>
      </c>
      <c r="G37" s="20" t="e">
        <f>VLOOKUP($B37,#REF!,6,0)</f>
        <v>#REF!</v>
      </c>
      <c r="H37" s="20" t="e">
        <f>VLOOKUP($B37,#REF!,7,0)</f>
        <v>#REF!</v>
      </c>
      <c r="I37" s="20" t="e">
        <f>VLOOKUP($B37,#REF!,8,0)</f>
        <v>#REF!</v>
      </c>
      <c r="J37" s="160"/>
      <c r="K37" s="34" t="s">
        <v>13</v>
      </c>
      <c r="L37" s="36">
        <v>78</v>
      </c>
      <c r="M37" s="36">
        <v>77</v>
      </c>
      <c r="N37" s="36">
        <v>74</v>
      </c>
      <c r="O37" s="162"/>
      <c r="P37" s="13"/>
      <c r="Q37" s="13"/>
      <c r="R37" s="13"/>
      <c r="S37" s="13"/>
      <c r="T37" s="13"/>
      <c r="AF37" s="12"/>
      <c r="AG37" s="12"/>
      <c r="AH37" s="14"/>
      <c r="AI37" s="15"/>
      <c r="AJ37" s="15"/>
      <c r="AK37" s="15"/>
      <c r="AL37" s="15"/>
      <c r="AM37" s="15"/>
      <c r="AN37" s="15"/>
      <c r="AO37" s="15"/>
      <c r="AP37" s="15"/>
      <c r="AQ37" s="15"/>
      <c r="AR37" s="15"/>
      <c r="AS37" s="15"/>
      <c r="AT37" s="15"/>
      <c r="AU37" s="15"/>
      <c r="AV37" s="15"/>
      <c r="AW37" s="15"/>
      <c r="AX37" s="15"/>
      <c r="AY37" s="15"/>
      <c r="AZ37" s="15"/>
      <c r="BA37" s="15"/>
      <c r="BB37" s="15"/>
      <c r="BC37" s="15"/>
      <c r="BD37" s="15"/>
      <c r="BE37" s="15"/>
      <c r="BF37" s="15"/>
      <c r="BG37" s="15"/>
      <c r="BH37" s="15"/>
      <c r="BI37" s="15"/>
      <c r="BJ37" s="15"/>
      <c r="BK37" s="15"/>
      <c r="BL37" s="15"/>
      <c r="BM37" s="15"/>
      <c r="BN37" s="15"/>
      <c r="BO37" s="15"/>
      <c r="BP37" s="15"/>
      <c r="BQ37" s="15"/>
      <c r="BR37" s="15"/>
      <c r="BS37" s="15"/>
      <c r="BT37" s="15"/>
      <c r="BU37" s="15"/>
    </row>
    <row r="38" spans="2:73" ht="24.2" customHeight="1" x14ac:dyDescent="0.2">
      <c r="B38" s="155">
        <v>15</v>
      </c>
      <c r="C38" s="157" t="s">
        <v>28</v>
      </c>
      <c r="D38" s="19" t="e">
        <f>VLOOKUP($B38,#REF!,3,0)</f>
        <v>#REF!</v>
      </c>
      <c r="E38" s="19" t="e">
        <f>VLOOKUP($B38,#REF!,4,0)</f>
        <v>#REF!</v>
      </c>
      <c r="F38" s="19" t="e">
        <f>VLOOKUP($B38,#REF!,5,0)</f>
        <v>#REF!</v>
      </c>
      <c r="G38" s="19" t="e">
        <f>VLOOKUP($B38,#REF!,6,0)</f>
        <v>#REF!</v>
      </c>
      <c r="H38" s="19" t="e">
        <f>VLOOKUP($B38,#REF!,7,0)</f>
        <v>#REF!</v>
      </c>
      <c r="I38" s="19" t="e">
        <f>VLOOKUP($B38,#REF!,8,0)</f>
        <v>#REF!</v>
      </c>
      <c r="J38" s="159"/>
      <c r="K38" s="22" t="s">
        <v>12</v>
      </c>
      <c r="L38" s="44">
        <v>60</v>
      </c>
      <c r="M38" s="35">
        <v>59</v>
      </c>
      <c r="N38" s="35">
        <v>59</v>
      </c>
      <c r="O38" s="161"/>
      <c r="P38" s="13"/>
      <c r="Q38" s="13"/>
      <c r="R38" s="13"/>
      <c r="S38" s="13"/>
      <c r="T38" s="13"/>
    </row>
    <row r="39" spans="2:73" ht="24.2" customHeight="1" thickBot="1" x14ac:dyDescent="0.25">
      <c r="B39" s="156"/>
      <c r="C39" s="163"/>
      <c r="D39" s="20" t="e">
        <f>VLOOKUP($B39,#REF!,3,0)</f>
        <v>#REF!</v>
      </c>
      <c r="E39" s="20" t="e">
        <f>VLOOKUP($B39,#REF!,4,0)</f>
        <v>#REF!</v>
      </c>
      <c r="F39" s="20" t="e">
        <f>VLOOKUP($B39,#REF!,5,0)</f>
        <v>#REF!</v>
      </c>
      <c r="G39" s="20" t="e">
        <f>VLOOKUP($B39,#REF!,6,0)</f>
        <v>#REF!</v>
      </c>
      <c r="H39" s="20" t="e">
        <f>VLOOKUP($B39,#REF!,7,0)</f>
        <v>#REF!</v>
      </c>
      <c r="I39" s="20" t="e">
        <f>VLOOKUP($B39,#REF!,8,0)</f>
        <v>#REF!</v>
      </c>
      <c r="J39" s="160"/>
      <c r="K39" s="34" t="s">
        <v>13</v>
      </c>
      <c r="L39" s="36">
        <v>72</v>
      </c>
      <c r="M39" s="36">
        <v>68</v>
      </c>
      <c r="N39" s="36">
        <v>69</v>
      </c>
      <c r="O39" s="162"/>
      <c r="P39" s="13"/>
      <c r="Q39" s="13"/>
      <c r="R39" s="13"/>
      <c r="S39" s="13"/>
      <c r="T39" s="13"/>
      <c r="AF39" s="12"/>
      <c r="AG39" s="12"/>
      <c r="AH39" s="14"/>
      <c r="AI39" s="15"/>
      <c r="AJ39" s="15"/>
      <c r="AK39" s="15"/>
      <c r="AL39" s="15"/>
      <c r="AM39" s="15"/>
      <c r="AN39" s="15"/>
      <c r="AO39" s="15"/>
      <c r="AP39" s="15"/>
      <c r="AQ39" s="15"/>
      <c r="AR39" s="15"/>
      <c r="AS39" s="15"/>
      <c r="AT39" s="15"/>
      <c r="AU39" s="15"/>
      <c r="AV39" s="15"/>
      <c r="AW39" s="15"/>
      <c r="AX39" s="15"/>
      <c r="AY39" s="15"/>
      <c r="AZ39" s="15"/>
      <c r="BA39" s="15"/>
      <c r="BB39" s="15"/>
      <c r="BC39" s="15"/>
      <c r="BD39" s="15"/>
      <c r="BE39" s="15"/>
      <c r="BF39" s="15"/>
      <c r="BG39" s="15"/>
      <c r="BH39" s="15"/>
      <c r="BI39" s="15"/>
      <c r="BJ39" s="15"/>
      <c r="BK39" s="15"/>
      <c r="BL39" s="15"/>
      <c r="BM39" s="15"/>
      <c r="BN39" s="15"/>
      <c r="BO39" s="15"/>
      <c r="BP39" s="15"/>
      <c r="BQ39" s="15"/>
      <c r="BR39" s="15"/>
      <c r="BS39" s="15"/>
      <c r="BT39" s="15"/>
      <c r="BU39" s="15"/>
    </row>
    <row r="40" spans="2:73" ht="24.2" customHeight="1" x14ac:dyDescent="0.2">
      <c r="B40" s="155">
        <v>16</v>
      </c>
      <c r="C40" s="157" t="s">
        <v>29</v>
      </c>
      <c r="D40" s="19" t="e">
        <f>VLOOKUP($B40,#REF!,3,0)</f>
        <v>#REF!</v>
      </c>
      <c r="E40" s="19" t="e">
        <f>VLOOKUP($B40,#REF!,4,0)</f>
        <v>#REF!</v>
      </c>
      <c r="F40" s="19" t="e">
        <f>VLOOKUP($B40,#REF!,5,0)</f>
        <v>#REF!</v>
      </c>
      <c r="G40" s="19" t="e">
        <f>VLOOKUP($B40,#REF!,6,0)</f>
        <v>#REF!</v>
      </c>
      <c r="H40" s="19" t="e">
        <f>VLOOKUP($B40,#REF!,7,0)</f>
        <v>#REF!</v>
      </c>
      <c r="I40" s="19" t="e">
        <f>VLOOKUP($B40,#REF!,8,0)</f>
        <v>#REF!</v>
      </c>
      <c r="J40" s="159"/>
      <c r="K40" s="22" t="s">
        <v>12</v>
      </c>
      <c r="L40" s="44">
        <v>69</v>
      </c>
      <c r="M40" s="44">
        <v>66</v>
      </c>
      <c r="N40" s="35">
        <v>66</v>
      </c>
      <c r="O40" s="161"/>
      <c r="P40" s="13"/>
      <c r="Q40" s="13"/>
      <c r="R40" s="13"/>
      <c r="S40" s="13"/>
      <c r="T40" s="13"/>
    </row>
    <row r="41" spans="2:73" ht="24.2" customHeight="1" thickBot="1" x14ac:dyDescent="0.25">
      <c r="B41" s="156"/>
      <c r="C41" s="158"/>
      <c r="D41" s="20" t="e">
        <f>VLOOKUP($B41,#REF!,3,0)</f>
        <v>#REF!</v>
      </c>
      <c r="E41" s="20" t="e">
        <f>VLOOKUP($B41,#REF!,4,0)</f>
        <v>#REF!</v>
      </c>
      <c r="F41" s="20" t="e">
        <f>VLOOKUP($B41,#REF!,5,0)</f>
        <v>#REF!</v>
      </c>
      <c r="G41" s="20" t="e">
        <f>VLOOKUP($B41,#REF!,6,0)</f>
        <v>#REF!</v>
      </c>
      <c r="H41" s="20" t="e">
        <f>VLOOKUP($B41,#REF!,7,0)</f>
        <v>#REF!</v>
      </c>
      <c r="I41" s="20" t="e">
        <f>VLOOKUP($B41,#REF!,8,0)</f>
        <v>#REF!</v>
      </c>
      <c r="J41" s="160"/>
      <c r="K41" s="34" t="s">
        <v>13</v>
      </c>
      <c r="L41" s="36">
        <v>78</v>
      </c>
      <c r="M41" s="36">
        <v>74</v>
      </c>
      <c r="N41" s="36">
        <v>82</v>
      </c>
      <c r="O41" s="162"/>
      <c r="P41" s="13"/>
      <c r="Q41" s="13"/>
      <c r="R41" s="13"/>
      <c r="S41" s="13"/>
      <c r="T41" s="13"/>
      <c r="AF41" s="12"/>
      <c r="AG41" s="12"/>
      <c r="AH41" s="14"/>
      <c r="AI41" s="15"/>
      <c r="AJ41" s="15"/>
      <c r="AK41" s="15"/>
      <c r="AL41" s="15"/>
      <c r="AM41" s="15"/>
      <c r="AN41" s="15"/>
      <c r="AO41" s="15"/>
      <c r="AP41" s="15"/>
      <c r="AQ41" s="15"/>
      <c r="AR41" s="15"/>
      <c r="AS41" s="15"/>
      <c r="AT41" s="15"/>
      <c r="AU41" s="15"/>
      <c r="AV41" s="15"/>
      <c r="AW41" s="15"/>
      <c r="AX41" s="15"/>
      <c r="AY41" s="15"/>
      <c r="AZ41" s="15"/>
      <c r="BA41" s="15"/>
      <c r="BB41" s="15"/>
      <c r="BC41" s="15"/>
      <c r="BD41" s="15"/>
      <c r="BE41" s="15"/>
      <c r="BF41" s="15"/>
      <c r="BG41" s="15"/>
      <c r="BH41" s="15"/>
      <c r="BI41" s="15"/>
      <c r="BJ41" s="15"/>
      <c r="BK41" s="15"/>
      <c r="BL41" s="15"/>
      <c r="BM41" s="15"/>
      <c r="BN41" s="15"/>
      <c r="BO41" s="15"/>
      <c r="BP41" s="15"/>
      <c r="BQ41" s="15"/>
      <c r="BR41" s="15"/>
      <c r="BS41" s="15"/>
      <c r="BT41" s="15"/>
      <c r="BU41" s="15"/>
    </row>
    <row r="42" spans="2:73" ht="24" customHeight="1" x14ac:dyDescent="0.2">
      <c r="B42" s="155">
        <v>17</v>
      </c>
      <c r="C42" s="157" t="s">
        <v>28</v>
      </c>
      <c r="D42" s="19" t="e">
        <f>VLOOKUP($B42,#REF!,3,0)</f>
        <v>#REF!</v>
      </c>
      <c r="E42" s="19" t="e">
        <f>VLOOKUP($B42,#REF!,4,0)</f>
        <v>#REF!</v>
      </c>
      <c r="F42" s="19" t="e">
        <f>VLOOKUP($B42,#REF!,5,0)</f>
        <v>#REF!</v>
      </c>
      <c r="G42" s="19" t="e">
        <f>VLOOKUP($B42,#REF!,6,0)</f>
        <v>#REF!</v>
      </c>
      <c r="H42" s="19" t="e">
        <f>VLOOKUP($B42,#REF!,7,0)</f>
        <v>#REF!</v>
      </c>
      <c r="I42" s="19" t="e">
        <f>VLOOKUP($B42,#REF!,8,0)</f>
        <v>#REF!</v>
      </c>
      <c r="J42" s="159">
        <v>1540</v>
      </c>
      <c r="K42" s="22" t="s">
        <v>12</v>
      </c>
      <c r="L42" s="44">
        <v>53</v>
      </c>
      <c r="M42" s="44">
        <v>41</v>
      </c>
      <c r="N42" s="35">
        <v>44</v>
      </c>
      <c r="O42" s="161"/>
    </row>
    <row r="43" spans="2:73" ht="24" customHeight="1" thickBot="1" x14ac:dyDescent="0.25">
      <c r="B43" s="156"/>
      <c r="C43" s="163"/>
      <c r="D43" s="20"/>
      <c r="E43" s="20"/>
      <c r="F43" s="20"/>
      <c r="G43" s="20"/>
      <c r="H43" s="20"/>
      <c r="I43" s="20"/>
      <c r="J43" s="160"/>
      <c r="K43" s="34" t="s">
        <v>13</v>
      </c>
      <c r="L43" s="36">
        <v>53</v>
      </c>
      <c r="M43" s="36">
        <v>51</v>
      </c>
      <c r="N43" s="36">
        <v>54</v>
      </c>
      <c r="O43" s="162"/>
    </row>
  </sheetData>
  <mergeCells count="70">
    <mergeCell ref="AF5:AH5"/>
    <mergeCell ref="L6:N6"/>
    <mergeCell ref="O7:O8"/>
    <mergeCell ref="B8:K8"/>
    <mergeCell ref="B10:B11"/>
    <mergeCell ref="C10:C11"/>
    <mergeCell ref="J10:J11"/>
    <mergeCell ref="B18:B19"/>
    <mergeCell ref="C18:C19"/>
    <mergeCell ref="J18:J19"/>
    <mergeCell ref="O18:O19"/>
    <mergeCell ref="B12:B13"/>
    <mergeCell ref="C12:C13"/>
    <mergeCell ref="J12:J13"/>
    <mergeCell ref="B14:B15"/>
    <mergeCell ref="C14:C15"/>
    <mergeCell ref="J14:J15"/>
    <mergeCell ref="O14:O15"/>
    <mergeCell ref="B16:B17"/>
    <mergeCell ref="C16:C17"/>
    <mergeCell ref="J16:J17"/>
    <mergeCell ref="O16:O17"/>
    <mergeCell ref="B20:B21"/>
    <mergeCell ref="C20:C21"/>
    <mergeCell ref="J20:J21"/>
    <mergeCell ref="O20:O21"/>
    <mergeCell ref="B22:B23"/>
    <mergeCell ref="C22:C23"/>
    <mergeCell ref="J22:J23"/>
    <mergeCell ref="O22:O23"/>
    <mergeCell ref="B24:B25"/>
    <mergeCell ref="C24:C25"/>
    <mergeCell ref="J24:J25"/>
    <mergeCell ref="O24:O25"/>
    <mergeCell ref="B26:B27"/>
    <mergeCell ref="C26:C27"/>
    <mergeCell ref="J26:J27"/>
    <mergeCell ref="O26:O27"/>
    <mergeCell ref="B28:B29"/>
    <mergeCell ref="C28:C29"/>
    <mergeCell ref="J28:J29"/>
    <mergeCell ref="O28:O29"/>
    <mergeCell ref="B30:B31"/>
    <mergeCell ref="C30:C31"/>
    <mergeCell ref="J30:J31"/>
    <mergeCell ref="O30:O31"/>
    <mergeCell ref="B32:B33"/>
    <mergeCell ref="C32:C33"/>
    <mergeCell ref="J32:J33"/>
    <mergeCell ref="O32:O33"/>
    <mergeCell ref="B34:B35"/>
    <mergeCell ref="C34:C35"/>
    <mergeCell ref="J34:J35"/>
    <mergeCell ref="O34:O35"/>
    <mergeCell ref="B36:B37"/>
    <mergeCell ref="C36:C37"/>
    <mergeCell ref="J36:J37"/>
    <mergeCell ref="O36:O37"/>
    <mergeCell ref="B38:B39"/>
    <mergeCell ref="C38:C39"/>
    <mergeCell ref="J38:J39"/>
    <mergeCell ref="O38:O39"/>
    <mergeCell ref="B40:B41"/>
    <mergeCell ref="C40:C41"/>
    <mergeCell ref="J40:J41"/>
    <mergeCell ref="O40:O41"/>
    <mergeCell ref="B42:B43"/>
    <mergeCell ref="C42:C43"/>
    <mergeCell ref="J42:J43"/>
    <mergeCell ref="O42:O43"/>
  </mergeCells>
  <pageMargins left="0.45" right="0" top="0.49" bottom="0" header="0.64" footer="0"/>
  <pageSetup paperSize="512" scale="72" orientation="portrait" r:id="rId1"/>
  <headerFooter alignWithMargin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BU43"/>
  <sheetViews>
    <sheetView zoomScale="90" zoomScaleNormal="90" workbookViewId="0"/>
  </sheetViews>
  <sheetFormatPr defaultRowHeight="15" x14ac:dyDescent="0.2"/>
  <cols>
    <col min="1" max="1" width="5.42578125" customWidth="1"/>
    <col min="2" max="2" width="6.28515625" customWidth="1"/>
    <col min="3" max="3" width="12.7109375" customWidth="1"/>
    <col min="4" max="8" width="5.28515625" hidden="1" customWidth="1"/>
    <col min="9" max="9" width="7" hidden="1" customWidth="1"/>
    <col min="10" max="10" width="8.42578125" customWidth="1"/>
    <col min="11" max="14" width="12.7109375" customWidth="1"/>
    <col min="15" max="15" width="48.7109375" style="67" customWidth="1"/>
    <col min="22" max="22" width="7.5703125" customWidth="1"/>
    <col min="23" max="32" width="7.7109375" customWidth="1"/>
  </cols>
  <sheetData>
    <row r="1" spans="1:73" ht="15" customHeight="1" x14ac:dyDescent="0.25">
      <c r="A1" s="1" t="s">
        <v>33</v>
      </c>
    </row>
    <row r="2" spans="1:73" ht="20.25" customHeight="1" thickBot="1" x14ac:dyDescent="0.3">
      <c r="A2" s="1"/>
      <c r="M2" s="15" t="s">
        <v>0</v>
      </c>
      <c r="N2" s="23">
        <v>40730</v>
      </c>
      <c r="O2" s="68"/>
    </row>
    <row r="3" spans="1:73" ht="20.25" customHeight="1" thickBot="1" x14ac:dyDescent="0.25">
      <c r="A3" t="s">
        <v>1</v>
      </c>
      <c r="C3" s="38" t="s">
        <v>55</v>
      </c>
      <c r="D3" s="3"/>
      <c r="E3" s="3"/>
      <c r="F3" s="3"/>
      <c r="G3" s="3"/>
      <c r="H3" s="3"/>
      <c r="I3" s="3"/>
      <c r="J3" s="3"/>
      <c r="K3" s="3"/>
      <c r="L3" s="3"/>
      <c r="M3" s="15" t="s">
        <v>23</v>
      </c>
      <c r="N3" s="2">
        <v>187</v>
      </c>
      <c r="O3" s="69"/>
    </row>
    <row r="4" spans="1:73" ht="20.25" customHeight="1" thickBot="1" x14ac:dyDescent="0.25">
      <c r="B4" s="3"/>
      <c r="C4" s="38"/>
      <c r="D4" s="4"/>
      <c r="E4" s="4"/>
      <c r="F4" s="4"/>
      <c r="G4" s="4"/>
      <c r="H4" s="4"/>
      <c r="I4" s="4"/>
      <c r="J4" s="4"/>
      <c r="K4" s="4"/>
      <c r="L4" s="4"/>
      <c r="M4" s="15" t="s">
        <v>2</v>
      </c>
      <c r="N4" s="2" t="s">
        <v>26</v>
      </c>
      <c r="O4" s="69"/>
    </row>
    <row r="5" spans="1:73" ht="18" x14ac:dyDescent="0.2">
      <c r="AE5" s="5"/>
      <c r="AF5" s="165"/>
      <c r="AG5" s="165"/>
      <c r="AH5" s="165"/>
    </row>
    <row r="6" spans="1:73" ht="18" x14ac:dyDescent="0.25">
      <c r="L6" s="174"/>
      <c r="M6" s="167"/>
      <c r="N6" s="168"/>
      <c r="O6" s="70"/>
      <c r="AE6" s="5"/>
      <c r="AF6" s="24"/>
      <c r="AG6" s="24"/>
      <c r="AH6" s="24"/>
    </row>
    <row r="7" spans="1:73" ht="25.5" customHeight="1" x14ac:dyDescent="0.2">
      <c r="B7" s="6" t="s">
        <v>3</v>
      </c>
      <c r="C7" s="7"/>
      <c r="D7" s="7" t="s">
        <v>4</v>
      </c>
      <c r="E7" s="6" t="s">
        <v>5</v>
      </c>
      <c r="F7" s="7" t="s">
        <v>6</v>
      </c>
      <c r="G7" s="6" t="s">
        <v>7</v>
      </c>
      <c r="H7" s="6" t="s">
        <v>8</v>
      </c>
      <c r="I7" s="6" t="s">
        <v>9</v>
      </c>
      <c r="J7" s="6" t="s">
        <v>11</v>
      </c>
      <c r="K7" s="8" t="s">
        <v>24</v>
      </c>
      <c r="L7" s="22" t="s">
        <v>30</v>
      </c>
      <c r="M7" s="22" t="s">
        <v>31</v>
      </c>
      <c r="N7" s="22" t="s">
        <v>32</v>
      </c>
      <c r="O7" s="196" t="s">
        <v>25</v>
      </c>
      <c r="AE7" s="10"/>
      <c r="AF7" s="9"/>
      <c r="AG7" s="9"/>
      <c r="AH7" s="11"/>
    </row>
    <row r="8" spans="1:73" ht="15.95" customHeight="1" thickBot="1" x14ac:dyDescent="0.25">
      <c r="B8" s="170"/>
      <c r="C8" s="171"/>
      <c r="D8" s="171"/>
      <c r="E8" s="171"/>
      <c r="F8" s="171"/>
      <c r="G8" s="171"/>
      <c r="H8" s="171"/>
      <c r="I8" s="171"/>
      <c r="J8" s="171"/>
      <c r="K8" s="172"/>
      <c r="L8" s="39" t="s">
        <v>27</v>
      </c>
      <c r="M8" s="39"/>
      <c r="N8" s="39"/>
      <c r="O8" s="156"/>
      <c r="AF8" s="12"/>
      <c r="AG8" s="12"/>
      <c r="AH8" s="12"/>
    </row>
    <row r="9" spans="1:73" ht="15.95" hidden="1" customHeight="1" x14ac:dyDescent="0.2">
      <c r="B9" s="25" t="s">
        <v>3</v>
      </c>
      <c r="C9" s="26" t="s">
        <v>10</v>
      </c>
      <c r="D9" s="26" t="s">
        <v>14</v>
      </c>
      <c r="E9" s="25" t="s">
        <v>15</v>
      </c>
      <c r="F9" s="26" t="s">
        <v>16</v>
      </c>
      <c r="G9" s="25" t="s">
        <v>17</v>
      </c>
      <c r="H9" s="25" t="s">
        <v>8</v>
      </c>
      <c r="I9" s="25" t="s">
        <v>18</v>
      </c>
      <c r="J9" s="27" t="s">
        <v>11</v>
      </c>
      <c r="K9" s="27" t="s">
        <v>19</v>
      </c>
      <c r="L9" s="28" t="s">
        <v>20</v>
      </c>
      <c r="M9" s="28" t="s">
        <v>21</v>
      </c>
      <c r="N9" s="28" t="s">
        <v>22</v>
      </c>
      <c r="O9" s="66"/>
      <c r="AF9" s="12"/>
      <c r="AG9" s="12"/>
      <c r="AH9" s="12"/>
    </row>
    <row r="10" spans="1:73" ht="24.2" customHeight="1" x14ac:dyDescent="0.2">
      <c r="B10" s="164">
        <v>1</v>
      </c>
      <c r="C10" s="157" t="s">
        <v>28</v>
      </c>
      <c r="D10" s="19" t="e">
        <f>VLOOKUP($B10,#REF!,3,0)</f>
        <v>#REF!</v>
      </c>
      <c r="E10" s="19" t="e">
        <f>VLOOKUP($B10,#REF!,4,0)</f>
        <v>#REF!</v>
      </c>
      <c r="F10" s="19" t="e">
        <f>VLOOKUP($B10,#REF!,5,0)</f>
        <v>#REF!</v>
      </c>
      <c r="G10" s="19" t="e">
        <f>VLOOKUP($B10,#REF!,6,0)</f>
        <v>#REF!</v>
      </c>
      <c r="H10" s="19" t="e">
        <f>VLOOKUP($B10,#REF!,7,0)</f>
        <v>#REF!</v>
      </c>
      <c r="I10" s="19" t="e">
        <f>VLOOKUP($B10,#REF!,8,0)</f>
        <v>#REF!</v>
      </c>
      <c r="J10" s="173">
        <v>1045</v>
      </c>
      <c r="K10" s="22" t="s">
        <v>12</v>
      </c>
      <c r="L10" s="35">
        <v>86</v>
      </c>
      <c r="M10" s="35">
        <v>72</v>
      </c>
      <c r="N10" s="44">
        <v>57</v>
      </c>
      <c r="O10" s="71"/>
      <c r="P10" s="13"/>
      <c r="Q10" s="13"/>
      <c r="R10" s="13"/>
      <c r="S10" s="13"/>
      <c r="T10" s="13"/>
      <c r="AF10" s="12"/>
      <c r="AG10" s="12"/>
      <c r="AH10" s="14"/>
      <c r="AI10" s="15"/>
      <c r="AJ10" s="15"/>
      <c r="AK10" s="15"/>
      <c r="AL10" s="15"/>
      <c r="AM10" s="15"/>
      <c r="AN10" s="15"/>
      <c r="AO10" s="15"/>
      <c r="AP10" s="15"/>
      <c r="AQ10" s="15"/>
      <c r="AR10" s="15"/>
      <c r="AS10" s="15"/>
      <c r="AT10" s="15"/>
      <c r="AU10" s="15"/>
      <c r="AV10" s="15"/>
      <c r="AW10" s="15"/>
      <c r="AX10" s="15"/>
      <c r="AY10" s="15"/>
      <c r="AZ10" s="15"/>
      <c r="BA10" s="15"/>
      <c r="BB10" s="15"/>
      <c r="BC10" s="15"/>
      <c r="BD10" s="15"/>
      <c r="BE10" s="15"/>
      <c r="BF10" s="15"/>
      <c r="BG10" s="15"/>
      <c r="BH10" s="15"/>
      <c r="BI10" s="15"/>
      <c r="BJ10" s="15"/>
      <c r="BK10" s="15"/>
      <c r="BL10" s="15"/>
      <c r="BM10" s="15"/>
      <c r="BN10" s="15"/>
      <c r="BO10" s="15"/>
      <c r="BP10" s="15"/>
      <c r="BQ10" s="15"/>
      <c r="BR10" s="15"/>
      <c r="BS10" s="15"/>
      <c r="BT10" s="15"/>
      <c r="BU10" s="15"/>
    </row>
    <row r="11" spans="1:73" ht="24.2" customHeight="1" thickBot="1" x14ac:dyDescent="0.25">
      <c r="B11" s="156"/>
      <c r="C11" s="163"/>
      <c r="D11" s="20" t="e">
        <f>VLOOKUP($B11,#REF!,3,0)</f>
        <v>#REF!</v>
      </c>
      <c r="E11" s="20" t="e">
        <f>VLOOKUP($B11,#REF!,4,0)</f>
        <v>#REF!</v>
      </c>
      <c r="F11" s="20" t="e">
        <f>VLOOKUP($B11,#REF!,5,0)</f>
        <v>#REF!</v>
      </c>
      <c r="G11" s="20" t="e">
        <f>VLOOKUP($B11,#REF!,6,0)</f>
        <v>#REF!</v>
      </c>
      <c r="H11" s="20" t="e">
        <f>VLOOKUP($B11,#REF!,7,0)</f>
        <v>#REF!</v>
      </c>
      <c r="I11" s="20" t="e">
        <f>VLOOKUP($B11,#REF!,8,0)</f>
        <v>#REF!</v>
      </c>
      <c r="J11" s="160"/>
      <c r="K11" s="34" t="s">
        <v>13</v>
      </c>
      <c r="L11" s="36">
        <v>85</v>
      </c>
      <c r="M11" s="36">
        <v>76</v>
      </c>
      <c r="N11" s="36">
        <v>68</v>
      </c>
      <c r="O11" s="72"/>
      <c r="P11" s="13"/>
      <c r="Q11" s="13"/>
      <c r="R11" s="13"/>
      <c r="S11" s="13"/>
      <c r="T11" s="13"/>
      <c r="AF11" s="12"/>
      <c r="AG11" s="12"/>
      <c r="AH11" s="14"/>
      <c r="AI11" s="15"/>
      <c r="AJ11" s="15"/>
      <c r="AK11" s="15"/>
      <c r="AL11" s="15"/>
      <c r="AM11" s="15"/>
      <c r="AN11" s="15"/>
      <c r="AO11" s="15"/>
      <c r="AP11" s="15"/>
      <c r="AQ11" s="15"/>
      <c r="AR11" s="15"/>
      <c r="AS11" s="15"/>
      <c r="AT11" s="15"/>
      <c r="AU11" s="15"/>
      <c r="AV11" s="15"/>
      <c r="AW11" s="15"/>
      <c r="AX11" s="15"/>
      <c r="AY11" s="15"/>
      <c r="AZ11" s="15"/>
      <c r="BA11" s="15"/>
      <c r="BB11" s="15"/>
      <c r="BC11" s="15"/>
      <c r="BD11" s="15"/>
      <c r="BE11" s="15"/>
      <c r="BF11" s="15"/>
      <c r="BG11" s="15"/>
      <c r="BH11" s="15"/>
      <c r="BI11" s="15"/>
      <c r="BJ11" s="15"/>
      <c r="BK11" s="15"/>
      <c r="BL11" s="15"/>
      <c r="BM11" s="15"/>
      <c r="BN11" s="15"/>
      <c r="BO11" s="15"/>
      <c r="BP11" s="15"/>
      <c r="BQ11" s="15"/>
      <c r="BR11" s="15"/>
      <c r="BS11" s="15"/>
      <c r="BT11" s="15"/>
      <c r="BU11" s="15"/>
    </row>
    <row r="12" spans="1:73" ht="24.2" customHeight="1" x14ac:dyDescent="0.2">
      <c r="B12" s="193">
        <v>2</v>
      </c>
      <c r="C12" s="187" t="s">
        <v>29</v>
      </c>
      <c r="D12" s="56" t="e">
        <f>VLOOKUP($B12,#REF!,3,0)</f>
        <v>#REF!</v>
      </c>
      <c r="E12" s="56" t="e">
        <f>VLOOKUP($B12,#REF!,4,0)</f>
        <v>#REF!</v>
      </c>
      <c r="F12" s="56" t="e">
        <f>VLOOKUP($B12,#REF!,5,0)</f>
        <v>#REF!</v>
      </c>
      <c r="G12" s="56" t="e">
        <f>VLOOKUP($B12,#REF!,6,0)</f>
        <v>#REF!</v>
      </c>
      <c r="H12" s="56" t="e">
        <f>VLOOKUP($B12,#REF!,7,0)</f>
        <v>#REF!</v>
      </c>
      <c r="I12" s="56" t="e">
        <f>VLOOKUP($B12,#REF!,8,0)</f>
        <v>#REF!</v>
      </c>
      <c r="J12" s="189"/>
      <c r="K12" s="57" t="s">
        <v>12</v>
      </c>
      <c r="L12" s="58"/>
      <c r="M12" s="58"/>
      <c r="N12" s="58"/>
      <c r="O12" s="191" t="s">
        <v>56</v>
      </c>
      <c r="P12" s="13"/>
      <c r="Q12" s="16"/>
      <c r="R12" s="13"/>
      <c r="S12" s="17"/>
      <c r="T12" s="13"/>
      <c r="AF12" s="12"/>
      <c r="AG12" s="12"/>
      <c r="AH12" s="12"/>
      <c r="AI12" s="18"/>
      <c r="AJ12" s="18"/>
      <c r="AK12" s="18"/>
      <c r="AL12" s="18"/>
      <c r="AM12" s="18"/>
      <c r="AN12" s="18"/>
      <c r="AO12" s="18"/>
      <c r="AP12" s="18"/>
      <c r="AQ12" s="18"/>
      <c r="AR12" s="18"/>
      <c r="AS12" s="18"/>
      <c r="AT12" s="18"/>
      <c r="AU12" s="18"/>
      <c r="AV12" s="18"/>
      <c r="AW12" s="18"/>
      <c r="AX12" s="18"/>
      <c r="AY12" s="18"/>
      <c r="AZ12" s="18"/>
      <c r="BA12" s="18"/>
      <c r="BB12" s="18"/>
      <c r="BC12" s="18"/>
      <c r="BD12" s="18"/>
      <c r="BE12" s="18"/>
      <c r="BF12" s="18"/>
      <c r="BG12" s="18"/>
      <c r="BH12" s="18"/>
      <c r="BI12" s="18"/>
      <c r="BJ12" s="18"/>
      <c r="BK12" s="18"/>
      <c r="BL12" s="18"/>
      <c r="BM12" s="18"/>
      <c r="BN12" s="18"/>
      <c r="BO12" s="18"/>
      <c r="BP12" s="18"/>
      <c r="BQ12" s="18"/>
      <c r="BR12" s="18"/>
      <c r="BS12" s="18"/>
      <c r="BT12" s="18"/>
      <c r="BU12" s="18"/>
    </row>
    <row r="13" spans="1:73" ht="24.2" customHeight="1" thickBot="1" x14ac:dyDescent="0.25">
      <c r="B13" s="186"/>
      <c r="C13" s="188"/>
      <c r="D13" s="59" t="e">
        <f>VLOOKUP($B13,#REF!,3,0)</f>
        <v>#REF!</v>
      </c>
      <c r="E13" s="59" t="e">
        <f>VLOOKUP($B13,#REF!,4,0)</f>
        <v>#REF!</v>
      </c>
      <c r="F13" s="59" t="e">
        <f>VLOOKUP($B13,#REF!,5,0)</f>
        <v>#REF!</v>
      </c>
      <c r="G13" s="59" t="e">
        <f>VLOOKUP($B13,#REF!,6,0)</f>
        <v>#REF!</v>
      </c>
      <c r="H13" s="59" t="e">
        <f>VLOOKUP($B13,#REF!,7,0)</f>
        <v>#REF!</v>
      </c>
      <c r="I13" s="59" t="e">
        <f>VLOOKUP($B13,#REF!,8,0)</f>
        <v>#REF!</v>
      </c>
      <c r="J13" s="190"/>
      <c r="K13" s="60" t="s">
        <v>13</v>
      </c>
      <c r="L13" s="61"/>
      <c r="M13" s="62"/>
      <c r="N13" s="62"/>
      <c r="O13" s="192"/>
      <c r="P13" s="13"/>
      <c r="Q13" s="13"/>
      <c r="R13" s="13"/>
      <c r="S13" s="13"/>
      <c r="T13" s="13"/>
      <c r="AF13" s="12"/>
      <c r="AG13" s="12"/>
      <c r="AH13" s="14"/>
      <c r="AI13" s="15"/>
      <c r="AJ13" s="15"/>
      <c r="AK13" s="15"/>
      <c r="AL13" s="15"/>
      <c r="AM13" s="15"/>
      <c r="AN13" s="15"/>
      <c r="AO13" s="15"/>
      <c r="AP13" s="15"/>
      <c r="AQ13" s="15"/>
      <c r="AR13" s="15"/>
      <c r="AS13" s="15"/>
      <c r="AT13" s="15"/>
      <c r="AU13" s="15"/>
      <c r="AV13" s="15"/>
      <c r="AW13" s="15"/>
      <c r="AX13" s="15"/>
      <c r="AY13" s="15"/>
      <c r="AZ13" s="15"/>
      <c r="BA13" s="15"/>
      <c r="BB13" s="15"/>
      <c r="BC13" s="15"/>
      <c r="BD13" s="15"/>
      <c r="BE13" s="15"/>
      <c r="BF13" s="15"/>
      <c r="BG13" s="15"/>
      <c r="BH13" s="15"/>
      <c r="BI13" s="15"/>
      <c r="BJ13" s="15"/>
      <c r="BK13" s="15"/>
      <c r="BL13" s="15"/>
      <c r="BM13" s="15"/>
      <c r="BN13" s="15"/>
      <c r="BO13" s="15"/>
      <c r="BP13" s="15"/>
      <c r="BQ13" s="15"/>
      <c r="BR13" s="15"/>
      <c r="BS13" s="15"/>
      <c r="BT13" s="15"/>
      <c r="BU13" s="15"/>
    </row>
    <row r="14" spans="1:73" ht="24.2" customHeight="1" x14ac:dyDescent="0.2">
      <c r="B14" s="164">
        <v>3</v>
      </c>
      <c r="C14" s="157" t="s">
        <v>28</v>
      </c>
      <c r="D14" s="19" t="e">
        <f>VLOOKUP($B14,#REF!,3,0)</f>
        <v>#REF!</v>
      </c>
      <c r="E14" s="19" t="e">
        <f>VLOOKUP($B14,#REF!,4,0)</f>
        <v>#REF!</v>
      </c>
      <c r="F14" s="19" t="e">
        <f>VLOOKUP($B14,#REF!,5,0)</f>
        <v>#REF!</v>
      </c>
      <c r="G14" s="19" t="e">
        <f>VLOOKUP($B14,#REF!,6,0)</f>
        <v>#REF!</v>
      </c>
      <c r="H14" s="19" t="e">
        <f>VLOOKUP($B14,#REF!,7,0)</f>
        <v>#REF!</v>
      </c>
      <c r="I14" s="19" t="e">
        <f>VLOOKUP($B14,#REF!,8,0)</f>
        <v>#REF!</v>
      </c>
      <c r="J14" s="159"/>
      <c r="K14" s="22" t="s">
        <v>12</v>
      </c>
      <c r="L14" s="35">
        <v>60</v>
      </c>
      <c r="M14" s="35">
        <v>50</v>
      </c>
      <c r="N14" s="35">
        <v>59</v>
      </c>
      <c r="O14" s="183"/>
      <c r="P14" s="13"/>
      <c r="Q14" s="13"/>
      <c r="R14" s="13"/>
      <c r="S14" s="13"/>
      <c r="T14" s="13"/>
      <c r="AF14" s="12"/>
      <c r="AG14" s="12"/>
      <c r="AH14" s="12"/>
    </row>
    <row r="15" spans="1:73" ht="24.2" customHeight="1" thickBot="1" x14ac:dyDescent="0.25">
      <c r="B15" s="156"/>
      <c r="C15" s="163"/>
      <c r="D15" s="20" t="e">
        <f>VLOOKUP($B15,#REF!,3,0)</f>
        <v>#REF!</v>
      </c>
      <c r="E15" s="20" t="e">
        <f>VLOOKUP($B15,#REF!,4,0)</f>
        <v>#REF!</v>
      </c>
      <c r="F15" s="20" t="e">
        <f>VLOOKUP($B15,#REF!,5,0)</f>
        <v>#REF!</v>
      </c>
      <c r="G15" s="20" t="e">
        <f>VLOOKUP($B15,#REF!,6,0)</f>
        <v>#REF!</v>
      </c>
      <c r="H15" s="20" t="e">
        <f>VLOOKUP($B15,#REF!,7,0)</f>
        <v>#REF!</v>
      </c>
      <c r="I15" s="20" t="e">
        <f>VLOOKUP($B15,#REF!,8,0)</f>
        <v>#REF!</v>
      </c>
      <c r="J15" s="160"/>
      <c r="K15" s="34" t="s">
        <v>13</v>
      </c>
      <c r="L15" s="36">
        <v>69</v>
      </c>
      <c r="M15" s="36">
        <v>69</v>
      </c>
      <c r="N15" s="36">
        <v>71</v>
      </c>
      <c r="O15" s="184"/>
      <c r="P15" s="13"/>
      <c r="Q15" s="13"/>
      <c r="R15" s="13"/>
      <c r="S15" s="13"/>
      <c r="T15" s="13"/>
      <c r="AF15" s="12"/>
      <c r="AG15" s="12"/>
      <c r="AH15" s="14"/>
      <c r="AI15" s="15"/>
      <c r="AJ15" s="15"/>
      <c r="AK15" s="15"/>
      <c r="AL15" s="15"/>
      <c r="AM15" s="15"/>
      <c r="AN15" s="15"/>
      <c r="AO15" s="15"/>
      <c r="AP15" s="15"/>
      <c r="AQ15" s="15"/>
      <c r="AR15" s="15"/>
      <c r="AS15" s="15"/>
      <c r="AT15" s="15"/>
      <c r="AU15" s="15"/>
      <c r="AV15" s="15"/>
      <c r="AW15" s="15"/>
      <c r="AX15" s="15"/>
      <c r="AY15" s="15"/>
      <c r="AZ15" s="15"/>
      <c r="BA15" s="15"/>
      <c r="BB15" s="15"/>
      <c r="BC15" s="15"/>
      <c r="BD15" s="15"/>
      <c r="BE15" s="15"/>
      <c r="BF15" s="15"/>
      <c r="BG15" s="15"/>
      <c r="BH15" s="15"/>
      <c r="BI15" s="15"/>
      <c r="BJ15" s="15"/>
      <c r="BK15" s="15"/>
      <c r="BL15" s="15"/>
      <c r="BM15" s="15"/>
      <c r="BN15" s="15"/>
      <c r="BO15" s="15"/>
      <c r="BP15" s="15"/>
      <c r="BQ15" s="15"/>
      <c r="BR15" s="15"/>
      <c r="BS15" s="15"/>
      <c r="BT15" s="15"/>
      <c r="BU15" s="15"/>
    </row>
    <row r="16" spans="1:73" ht="24.2" customHeight="1" x14ac:dyDescent="0.2">
      <c r="B16" s="193">
        <v>4</v>
      </c>
      <c r="C16" s="187" t="s">
        <v>29</v>
      </c>
      <c r="D16" s="63" t="e">
        <f>VLOOKUP($B16,#REF!,3,0)</f>
        <v>#REF!</v>
      </c>
      <c r="E16" s="63" t="e">
        <f>VLOOKUP($B16,#REF!,4,0)</f>
        <v>#REF!</v>
      </c>
      <c r="F16" s="63" t="e">
        <f>VLOOKUP($B16,#REF!,5,0)</f>
        <v>#REF!</v>
      </c>
      <c r="G16" s="63" t="e">
        <f>VLOOKUP($B16,#REF!,6,0)</f>
        <v>#REF!</v>
      </c>
      <c r="H16" s="63" t="e">
        <f>VLOOKUP($B16,#REF!,7,0)</f>
        <v>#REF!</v>
      </c>
      <c r="I16" s="63" t="e">
        <f>VLOOKUP($B16,#REF!,8,0)</f>
        <v>#REF!</v>
      </c>
      <c r="J16" s="189"/>
      <c r="K16" s="64" t="s">
        <v>12</v>
      </c>
      <c r="L16" s="58"/>
      <c r="M16" s="58"/>
      <c r="N16" s="65"/>
      <c r="O16" s="191" t="s">
        <v>57</v>
      </c>
      <c r="P16" s="13"/>
      <c r="Q16" s="13"/>
      <c r="R16" s="13"/>
      <c r="S16" s="13"/>
      <c r="T16" s="13"/>
    </row>
    <row r="17" spans="2:73" ht="24.2" customHeight="1" thickBot="1" x14ac:dyDescent="0.25">
      <c r="B17" s="186"/>
      <c r="C17" s="188"/>
      <c r="D17" s="59" t="e">
        <f>VLOOKUP($B17,#REF!,3,0)</f>
        <v>#REF!</v>
      </c>
      <c r="E17" s="59" t="e">
        <f>VLOOKUP($B17,#REF!,4,0)</f>
        <v>#REF!</v>
      </c>
      <c r="F17" s="59" t="e">
        <f>VLOOKUP($B17,#REF!,5,0)</f>
        <v>#REF!</v>
      </c>
      <c r="G17" s="59" t="e">
        <f>VLOOKUP($B17,#REF!,6,0)</f>
        <v>#REF!</v>
      </c>
      <c r="H17" s="59" t="e">
        <f>VLOOKUP($B17,#REF!,7,0)</f>
        <v>#REF!</v>
      </c>
      <c r="I17" s="59" t="e">
        <f>VLOOKUP($B17,#REF!,8,0)</f>
        <v>#REF!</v>
      </c>
      <c r="J17" s="190"/>
      <c r="K17" s="60" t="s">
        <v>13</v>
      </c>
      <c r="L17" s="62"/>
      <c r="M17" s="62"/>
      <c r="N17" s="62"/>
      <c r="O17" s="192"/>
      <c r="P17" s="13"/>
      <c r="Q17" s="13"/>
      <c r="R17" s="13"/>
      <c r="S17" s="13"/>
      <c r="T17" s="13"/>
      <c r="AF17" s="12"/>
      <c r="AG17" s="12"/>
      <c r="AH17" s="14"/>
      <c r="AI17" s="15"/>
      <c r="AJ17" s="15"/>
      <c r="AK17" s="15"/>
      <c r="AL17" s="15"/>
      <c r="AM17" s="15"/>
      <c r="AN17" s="15"/>
      <c r="AO17" s="15"/>
      <c r="AP17" s="15"/>
      <c r="AQ17" s="15"/>
      <c r="AR17" s="15"/>
      <c r="AS17" s="15"/>
      <c r="AT17" s="15"/>
      <c r="AU17" s="15"/>
      <c r="AV17" s="15"/>
      <c r="AW17" s="15"/>
      <c r="AX17" s="15"/>
      <c r="AY17" s="15"/>
      <c r="AZ17" s="15"/>
      <c r="BA17" s="15"/>
      <c r="BB17" s="15"/>
      <c r="BC17" s="15"/>
      <c r="BD17" s="15"/>
      <c r="BE17" s="15"/>
      <c r="BF17" s="15"/>
      <c r="BG17" s="15"/>
      <c r="BH17" s="15"/>
      <c r="BI17" s="15"/>
      <c r="BJ17" s="15"/>
      <c r="BK17" s="15"/>
      <c r="BL17" s="15"/>
      <c r="BM17" s="15"/>
      <c r="BN17" s="15"/>
      <c r="BO17" s="15"/>
      <c r="BP17" s="15"/>
      <c r="BQ17" s="15"/>
      <c r="BR17" s="15"/>
      <c r="BS17" s="15"/>
      <c r="BT17" s="15"/>
      <c r="BU17" s="15"/>
    </row>
    <row r="18" spans="2:73" ht="24.2" customHeight="1" x14ac:dyDescent="0.2">
      <c r="B18" s="164">
        <v>5</v>
      </c>
      <c r="C18" s="157" t="s">
        <v>28</v>
      </c>
      <c r="D18" s="19" t="e">
        <f>VLOOKUP($B18,#REF!,3,0)</f>
        <v>#REF!</v>
      </c>
      <c r="E18" s="19" t="e">
        <f>VLOOKUP($B18,#REF!,4,0)</f>
        <v>#REF!</v>
      </c>
      <c r="F18" s="19" t="e">
        <f>VLOOKUP($B18,#REF!,5,0)</f>
        <v>#REF!</v>
      </c>
      <c r="G18" s="19" t="e">
        <f>VLOOKUP($B18,#REF!,6,0)</f>
        <v>#REF!</v>
      </c>
      <c r="H18" s="19" t="e">
        <f>VLOOKUP($B18,#REF!,7,0)</f>
        <v>#REF!</v>
      </c>
      <c r="I18" s="19" t="e">
        <f>VLOOKUP($B18,#REF!,8,0)</f>
        <v>#REF!</v>
      </c>
      <c r="J18" s="159"/>
      <c r="K18" s="22" t="s">
        <v>12</v>
      </c>
      <c r="L18" s="44">
        <v>62</v>
      </c>
      <c r="M18" s="35">
        <v>79</v>
      </c>
      <c r="N18" s="44">
        <v>71</v>
      </c>
      <c r="O18" s="183"/>
      <c r="P18" s="13"/>
      <c r="Q18" s="13"/>
      <c r="R18" s="13"/>
      <c r="S18" s="13"/>
      <c r="T18" s="13"/>
      <c r="AF18" s="12"/>
      <c r="AG18" s="12"/>
      <c r="AH18" s="12"/>
    </row>
    <row r="19" spans="2:73" ht="24.2" customHeight="1" thickBot="1" x14ac:dyDescent="0.25">
      <c r="B19" s="156"/>
      <c r="C19" s="163"/>
      <c r="D19" s="20" t="e">
        <f>VLOOKUP($B19,#REF!,3,0)</f>
        <v>#REF!</v>
      </c>
      <c r="E19" s="20" t="e">
        <f>VLOOKUP($B19,#REF!,4,0)</f>
        <v>#REF!</v>
      </c>
      <c r="F19" s="20" t="e">
        <f>VLOOKUP($B19,#REF!,5,0)</f>
        <v>#REF!</v>
      </c>
      <c r="G19" s="20" t="e">
        <f>VLOOKUP($B19,#REF!,6,0)</f>
        <v>#REF!</v>
      </c>
      <c r="H19" s="20" t="e">
        <f>VLOOKUP($B19,#REF!,7,0)</f>
        <v>#REF!</v>
      </c>
      <c r="I19" s="20" t="e">
        <f>VLOOKUP($B19,#REF!,8,0)</f>
        <v>#REF!</v>
      </c>
      <c r="J19" s="160"/>
      <c r="K19" s="34" t="s">
        <v>13</v>
      </c>
      <c r="L19" s="36">
        <v>76</v>
      </c>
      <c r="M19" s="36">
        <v>84</v>
      </c>
      <c r="N19" s="36">
        <v>86</v>
      </c>
      <c r="O19" s="184"/>
      <c r="P19" s="13"/>
      <c r="Q19" s="13"/>
      <c r="R19" s="13"/>
      <c r="S19" s="13"/>
      <c r="T19" s="13"/>
      <c r="AF19" s="12"/>
      <c r="AG19" s="12"/>
      <c r="AH19" s="14"/>
      <c r="AI19" s="15"/>
      <c r="AJ19" s="15"/>
      <c r="AK19" s="15"/>
      <c r="AL19" s="15"/>
      <c r="AM19" s="15"/>
      <c r="AN19" s="15"/>
      <c r="AO19" s="15"/>
      <c r="AP19" s="15"/>
      <c r="AQ19" s="15"/>
      <c r="AR19" s="15"/>
      <c r="AS19" s="15"/>
      <c r="AT19" s="15"/>
      <c r="AU19" s="15"/>
      <c r="AV19" s="15"/>
      <c r="AW19" s="15"/>
      <c r="AX19" s="15"/>
      <c r="AY19" s="15"/>
      <c r="AZ19" s="15"/>
      <c r="BA19" s="15"/>
      <c r="BB19" s="15"/>
      <c r="BC19" s="15"/>
      <c r="BD19" s="15"/>
      <c r="BE19" s="15"/>
      <c r="BF19" s="15"/>
      <c r="BG19" s="15"/>
      <c r="BH19" s="15"/>
      <c r="BI19" s="15"/>
      <c r="BJ19" s="15"/>
      <c r="BK19" s="15"/>
      <c r="BL19" s="15"/>
      <c r="BM19" s="15"/>
      <c r="BN19" s="15"/>
      <c r="BO19" s="15"/>
      <c r="BP19" s="15"/>
      <c r="BQ19" s="15"/>
      <c r="BR19" s="15"/>
      <c r="BS19" s="15"/>
      <c r="BT19" s="15"/>
      <c r="BU19" s="15"/>
    </row>
    <row r="20" spans="2:73" ht="24.2" customHeight="1" x14ac:dyDescent="0.2">
      <c r="B20" s="164">
        <v>6</v>
      </c>
      <c r="C20" s="157" t="s">
        <v>29</v>
      </c>
      <c r="D20" s="19" t="e">
        <f>VLOOKUP($B20,#REF!,3,0)</f>
        <v>#REF!</v>
      </c>
      <c r="E20" s="19" t="e">
        <f>VLOOKUP($B20,#REF!,4,0)</f>
        <v>#REF!</v>
      </c>
      <c r="F20" s="19" t="e">
        <f>VLOOKUP($B20,#REF!,5,0)</f>
        <v>#REF!</v>
      </c>
      <c r="G20" s="19" t="e">
        <f>VLOOKUP($B20,#REF!,6,0)</f>
        <v>#REF!</v>
      </c>
      <c r="H20" s="19" t="e">
        <f>VLOOKUP($B20,#REF!,7,0)</f>
        <v>#REF!</v>
      </c>
      <c r="I20" s="19" t="e">
        <f>VLOOKUP($B20,#REF!,8,0)</f>
        <v>#REF!</v>
      </c>
      <c r="J20" s="159"/>
      <c r="K20" s="22" t="s">
        <v>12</v>
      </c>
      <c r="L20" s="35">
        <v>61</v>
      </c>
      <c r="M20" s="35">
        <v>69</v>
      </c>
      <c r="N20" s="35">
        <v>63</v>
      </c>
      <c r="O20" s="183"/>
      <c r="P20" s="13"/>
      <c r="Q20" s="13"/>
      <c r="R20" s="13"/>
      <c r="S20" s="13"/>
      <c r="T20" s="13"/>
      <c r="AF20" s="12"/>
      <c r="AG20" s="12"/>
      <c r="AH20" s="12"/>
    </row>
    <row r="21" spans="2:73" ht="24.2" customHeight="1" thickBot="1" x14ac:dyDescent="0.25">
      <c r="B21" s="156"/>
      <c r="C21" s="158"/>
      <c r="D21" s="20" t="e">
        <f>VLOOKUP($B21,#REF!,3,0)</f>
        <v>#REF!</v>
      </c>
      <c r="E21" s="20" t="e">
        <f>VLOOKUP($B21,#REF!,4,0)</f>
        <v>#REF!</v>
      </c>
      <c r="F21" s="20" t="e">
        <f>VLOOKUP($B21,#REF!,5,0)</f>
        <v>#REF!</v>
      </c>
      <c r="G21" s="20" t="e">
        <f>VLOOKUP($B21,#REF!,6,0)</f>
        <v>#REF!</v>
      </c>
      <c r="H21" s="20" t="e">
        <f>VLOOKUP($B21,#REF!,7,0)</f>
        <v>#REF!</v>
      </c>
      <c r="I21" s="20" t="e">
        <f>VLOOKUP($B21,#REF!,8,0)</f>
        <v>#REF!</v>
      </c>
      <c r="J21" s="160"/>
      <c r="K21" s="34" t="s">
        <v>13</v>
      </c>
      <c r="L21" s="36">
        <v>78</v>
      </c>
      <c r="M21" s="36">
        <v>81</v>
      </c>
      <c r="N21" s="36">
        <v>71</v>
      </c>
      <c r="O21" s="184"/>
      <c r="P21" s="13"/>
      <c r="Q21" s="13"/>
      <c r="R21" s="13"/>
      <c r="S21" s="13"/>
      <c r="T21" s="13"/>
      <c r="AF21" s="12"/>
      <c r="AG21" s="12"/>
      <c r="AH21" s="14"/>
      <c r="AI21" s="15"/>
      <c r="AJ21" s="15"/>
      <c r="AK21" s="15"/>
      <c r="AL21" s="15"/>
      <c r="AM21" s="15"/>
      <c r="AN21" s="15"/>
      <c r="AO21" s="15"/>
      <c r="AP21" s="15"/>
      <c r="AQ21" s="15"/>
      <c r="AR21" s="15"/>
      <c r="AS21" s="15"/>
      <c r="AT21" s="15"/>
      <c r="AU21" s="15"/>
      <c r="AV21" s="15"/>
      <c r="AW21" s="15"/>
      <c r="AX21" s="15"/>
      <c r="AY21" s="15"/>
      <c r="AZ21" s="15"/>
      <c r="BA21" s="15"/>
      <c r="BB21" s="15"/>
      <c r="BC21" s="15"/>
      <c r="BD21" s="15"/>
      <c r="BE21" s="15"/>
      <c r="BF21" s="15"/>
      <c r="BG21" s="15"/>
      <c r="BH21" s="15"/>
      <c r="BI21" s="15"/>
      <c r="BJ21" s="15"/>
      <c r="BK21" s="15"/>
      <c r="BL21" s="15"/>
      <c r="BM21" s="15"/>
      <c r="BN21" s="15"/>
      <c r="BO21" s="15"/>
      <c r="BP21" s="15"/>
      <c r="BQ21" s="15"/>
      <c r="BR21" s="15"/>
      <c r="BS21" s="15"/>
      <c r="BT21" s="15"/>
      <c r="BU21" s="15"/>
    </row>
    <row r="22" spans="2:73" ht="24.2" customHeight="1" x14ac:dyDescent="0.2">
      <c r="B22" s="164">
        <v>7</v>
      </c>
      <c r="C22" s="157" t="s">
        <v>28</v>
      </c>
      <c r="D22" s="19" t="e">
        <f>VLOOKUP($B22,#REF!,3,0)</f>
        <v>#REF!</v>
      </c>
      <c r="E22" s="19" t="e">
        <f>VLOOKUP($B22,#REF!,4,0)</f>
        <v>#REF!</v>
      </c>
      <c r="F22" s="19" t="e">
        <f>VLOOKUP($B22,#REF!,5,0)</f>
        <v>#REF!</v>
      </c>
      <c r="G22" s="19" t="e">
        <f>VLOOKUP($B22,#REF!,6,0)</f>
        <v>#REF!</v>
      </c>
      <c r="H22" s="19" t="e">
        <f>VLOOKUP($B22,#REF!,7,0)</f>
        <v>#REF!</v>
      </c>
      <c r="I22" s="19" t="e">
        <f>VLOOKUP($B22,#REF!,8,0)</f>
        <v>#REF!</v>
      </c>
      <c r="J22" s="159"/>
      <c r="K22" s="22" t="s">
        <v>12</v>
      </c>
      <c r="L22" s="35">
        <v>68</v>
      </c>
      <c r="M22" s="35">
        <v>62</v>
      </c>
      <c r="N22" s="35">
        <v>53</v>
      </c>
      <c r="O22" s="194" t="s">
        <v>58</v>
      </c>
      <c r="P22" s="13"/>
      <c r="Q22" s="13"/>
      <c r="R22" s="13"/>
      <c r="S22" s="13"/>
      <c r="T22" s="13"/>
      <c r="AF22" s="12"/>
      <c r="AG22" s="12"/>
      <c r="AH22" s="12"/>
    </row>
    <row r="23" spans="2:73" ht="24.2" customHeight="1" thickBot="1" x14ac:dyDescent="0.25">
      <c r="B23" s="156"/>
      <c r="C23" s="163"/>
      <c r="D23" s="20" t="e">
        <f>VLOOKUP($B23,#REF!,3,0)</f>
        <v>#REF!</v>
      </c>
      <c r="E23" s="20" t="e">
        <f>VLOOKUP($B23,#REF!,4,0)</f>
        <v>#REF!</v>
      </c>
      <c r="F23" s="20" t="e">
        <f>VLOOKUP($B23,#REF!,5,0)</f>
        <v>#REF!</v>
      </c>
      <c r="G23" s="20" t="e">
        <f>VLOOKUP($B23,#REF!,6,0)</f>
        <v>#REF!</v>
      </c>
      <c r="H23" s="20" t="e">
        <f>VLOOKUP($B23,#REF!,7,0)</f>
        <v>#REF!</v>
      </c>
      <c r="I23" s="20" t="e">
        <f>VLOOKUP($B23,#REF!,8,0)</f>
        <v>#REF!</v>
      </c>
      <c r="J23" s="160"/>
      <c r="K23" s="34" t="s">
        <v>13</v>
      </c>
      <c r="L23" s="36">
        <v>87</v>
      </c>
      <c r="M23" s="36">
        <v>85</v>
      </c>
      <c r="N23" s="36">
        <v>85</v>
      </c>
      <c r="O23" s="195"/>
      <c r="P23" s="13"/>
      <c r="Q23" s="13"/>
      <c r="R23" s="13"/>
      <c r="S23" s="13"/>
      <c r="T23" s="13"/>
      <c r="AF23" s="12"/>
      <c r="AG23" s="12"/>
      <c r="AH23" s="14"/>
      <c r="AI23" s="15"/>
      <c r="AJ23" s="15"/>
      <c r="AK23" s="15"/>
      <c r="AL23" s="15"/>
      <c r="AM23" s="15"/>
      <c r="AN23" s="15"/>
      <c r="AO23" s="15"/>
      <c r="AP23" s="15"/>
      <c r="AQ23" s="15"/>
      <c r="AR23" s="15"/>
      <c r="AS23" s="15"/>
      <c r="AT23" s="15"/>
      <c r="AU23" s="15"/>
      <c r="AV23" s="15"/>
      <c r="AW23" s="15"/>
      <c r="AX23" s="15"/>
      <c r="AY23" s="15"/>
      <c r="AZ23" s="15"/>
      <c r="BA23" s="15"/>
      <c r="BB23" s="15"/>
      <c r="BC23" s="15"/>
      <c r="BD23" s="15"/>
      <c r="BE23" s="15"/>
      <c r="BF23" s="15"/>
      <c r="BG23" s="15"/>
      <c r="BH23" s="15"/>
      <c r="BI23" s="15"/>
      <c r="BJ23" s="15"/>
      <c r="BK23" s="15"/>
      <c r="BL23" s="15"/>
      <c r="BM23" s="15"/>
      <c r="BN23" s="15"/>
      <c r="BO23" s="15"/>
      <c r="BP23" s="15"/>
      <c r="BQ23" s="15"/>
      <c r="BR23" s="15"/>
      <c r="BS23" s="15"/>
      <c r="BT23" s="15"/>
      <c r="BU23" s="15"/>
    </row>
    <row r="24" spans="2:73" ht="24.2" customHeight="1" x14ac:dyDescent="0.2">
      <c r="B24" s="193">
        <v>8</v>
      </c>
      <c r="C24" s="187" t="s">
        <v>29</v>
      </c>
      <c r="D24" s="63" t="e">
        <f>VLOOKUP($B24,#REF!,3,0)</f>
        <v>#REF!</v>
      </c>
      <c r="E24" s="63" t="e">
        <f>VLOOKUP($B24,#REF!,4,0)</f>
        <v>#REF!</v>
      </c>
      <c r="F24" s="63" t="e">
        <f>VLOOKUP($B24,#REF!,5,0)</f>
        <v>#REF!</v>
      </c>
      <c r="G24" s="63" t="e">
        <f>VLOOKUP($B24,#REF!,6,0)</f>
        <v>#REF!</v>
      </c>
      <c r="H24" s="63" t="e">
        <f>VLOOKUP($B24,#REF!,7,0)</f>
        <v>#REF!</v>
      </c>
      <c r="I24" s="63" t="e">
        <f>VLOOKUP($B24,#REF!,8,0)</f>
        <v>#REF!</v>
      </c>
      <c r="J24" s="189"/>
      <c r="K24" s="64" t="s">
        <v>12</v>
      </c>
      <c r="L24" s="58"/>
      <c r="M24" s="58"/>
      <c r="N24" s="58"/>
      <c r="O24" s="191" t="s">
        <v>56</v>
      </c>
      <c r="P24" s="13"/>
      <c r="Q24" s="13"/>
      <c r="R24" s="13"/>
      <c r="S24" s="13"/>
      <c r="T24" s="13"/>
      <c r="AF24" s="9"/>
      <c r="AG24" s="9"/>
      <c r="AH24" s="9"/>
    </row>
    <row r="25" spans="2:73" ht="24.2" customHeight="1" thickBot="1" x14ac:dyDescent="0.25">
      <c r="B25" s="186"/>
      <c r="C25" s="188"/>
      <c r="D25" s="59" t="e">
        <f>VLOOKUP($B25,#REF!,3,0)</f>
        <v>#REF!</v>
      </c>
      <c r="E25" s="59" t="e">
        <f>VLOOKUP($B25,#REF!,4,0)</f>
        <v>#REF!</v>
      </c>
      <c r="F25" s="59" t="e">
        <f>VLOOKUP($B25,#REF!,5,0)</f>
        <v>#REF!</v>
      </c>
      <c r="G25" s="59" t="e">
        <f>VLOOKUP($B25,#REF!,6,0)</f>
        <v>#REF!</v>
      </c>
      <c r="H25" s="59" t="e">
        <f>VLOOKUP($B25,#REF!,7,0)</f>
        <v>#REF!</v>
      </c>
      <c r="I25" s="59" t="e">
        <f>VLOOKUP($B25,#REF!,8,0)</f>
        <v>#REF!</v>
      </c>
      <c r="J25" s="190"/>
      <c r="K25" s="60" t="s">
        <v>13</v>
      </c>
      <c r="L25" s="62"/>
      <c r="M25" s="62"/>
      <c r="N25" s="62"/>
      <c r="O25" s="192"/>
      <c r="P25" s="13"/>
      <c r="Q25" s="13"/>
      <c r="R25" s="13"/>
      <c r="S25" s="13"/>
      <c r="T25" s="13"/>
      <c r="AF25" s="12"/>
      <c r="AG25" s="12"/>
      <c r="AH25" s="14"/>
      <c r="AI25" s="15"/>
      <c r="AJ25" s="15"/>
      <c r="AK25" s="15"/>
      <c r="AL25" s="15"/>
      <c r="AM25" s="15"/>
      <c r="AN25" s="15"/>
      <c r="AO25" s="15"/>
      <c r="AP25" s="15"/>
      <c r="AQ25" s="15"/>
      <c r="AR25" s="15"/>
      <c r="AS25" s="15"/>
      <c r="AT25" s="15"/>
      <c r="AU25" s="15"/>
      <c r="AV25" s="15"/>
      <c r="AW25" s="15"/>
      <c r="AX25" s="15"/>
      <c r="AY25" s="15"/>
      <c r="AZ25" s="15"/>
      <c r="BA25" s="15"/>
      <c r="BB25" s="15"/>
      <c r="BC25" s="15"/>
      <c r="BD25" s="15"/>
      <c r="BE25" s="15"/>
      <c r="BF25" s="15"/>
      <c r="BG25" s="15"/>
      <c r="BH25" s="15"/>
      <c r="BI25" s="15"/>
      <c r="BJ25" s="15"/>
      <c r="BK25" s="15"/>
      <c r="BL25" s="15"/>
      <c r="BM25" s="15"/>
      <c r="BN25" s="15"/>
      <c r="BO25" s="15"/>
      <c r="BP25" s="15"/>
      <c r="BQ25" s="15"/>
      <c r="BR25" s="15"/>
      <c r="BS25" s="15"/>
      <c r="BT25" s="15"/>
      <c r="BU25" s="15"/>
    </row>
    <row r="26" spans="2:73" ht="24.2" customHeight="1" x14ac:dyDescent="0.2">
      <c r="B26" s="164">
        <v>9</v>
      </c>
      <c r="C26" s="157" t="s">
        <v>28</v>
      </c>
      <c r="D26" s="19" t="e">
        <f>VLOOKUP($B26,#REF!,3,0)</f>
        <v>#REF!</v>
      </c>
      <c r="E26" s="19" t="e">
        <f>VLOOKUP($B26,#REF!,4,0)</f>
        <v>#REF!</v>
      </c>
      <c r="F26" s="19" t="e">
        <f>VLOOKUP($B26,#REF!,5,0)</f>
        <v>#REF!</v>
      </c>
      <c r="G26" s="19" t="e">
        <f>VLOOKUP($B26,#REF!,6,0)</f>
        <v>#REF!</v>
      </c>
      <c r="H26" s="19" t="e">
        <f>VLOOKUP($B26,#REF!,7,0)</f>
        <v>#REF!</v>
      </c>
      <c r="I26" s="19" t="e">
        <f>VLOOKUP($B26,#REF!,8,0)</f>
        <v>#REF!</v>
      </c>
      <c r="J26" s="159">
        <v>1115</v>
      </c>
      <c r="K26" s="22" t="s">
        <v>12</v>
      </c>
      <c r="L26" s="35">
        <v>48</v>
      </c>
      <c r="M26" s="35">
        <v>59</v>
      </c>
      <c r="N26" s="35">
        <v>52</v>
      </c>
      <c r="O26" s="183"/>
      <c r="P26" s="13"/>
      <c r="Q26" s="13"/>
      <c r="R26" s="13"/>
      <c r="S26" s="13"/>
      <c r="T26" s="13"/>
      <c r="AF26" s="12"/>
      <c r="AG26" s="12"/>
      <c r="AH26" s="12"/>
    </row>
    <row r="27" spans="2:73" ht="24.2" customHeight="1" thickBot="1" x14ac:dyDescent="0.25">
      <c r="B27" s="156"/>
      <c r="C27" s="163"/>
      <c r="D27" s="20" t="e">
        <f>VLOOKUP($B27,#REF!,3,0)</f>
        <v>#REF!</v>
      </c>
      <c r="E27" s="20" t="e">
        <f>VLOOKUP($B27,#REF!,4,0)</f>
        <v>#REF!</v>
      </c>
      <c r="F27" s="20" t="e">
        <f>VLOOKUP($B27,#REF!,5,0)</f>
        <v>#REF!</v>
      </c>
      <c r="G27" s="20" t="e">
        <f>VLOOKUP($B27,#REF!,6,0)</f>
        <v>#REF!</v>
      </c>
      <c r="H27" s="20" t="e">
        <f>VLOOKUP($B27,#REF!,7,0)</f>
        <v>#REF!</v>
      </c>
      <c r="I27" s="20" t="e">
        <f>VLOOKUP($B27,#REF!,8,0)</f>
        <v>#REF!</v>
      </c>
      <c r="J27" s="160"/>
      <c r="K27" s="34" t="s">
        <v>13</v>
      </c>
      <c r="L27" s="36">
        <v>75</v>
      </c>
      <c r="M27" s="36">
        <v>73</v>
      </c>
      <c r="N27" s="36">
        <v>76</v>
      </c>
      <c r="O27" s="184"/>
      <c r="P27" s="13"/>
      <c r="Q27" s="13"/>
      <c r="R27" s="13"/>
      <c r="S27" s="13"/>
      <c r="T27" s="13"/>
      <c r="AF27" s="12"/>
      <c r="AG27" s="12"/>
      <c r="AH27" s="14"/>
      <c r="AI27" s="15"/>
      <c r="AJ27" s="15"/>
      <c r="AK27" s="15"/>
      <c r="AL27" s="15"/>
      <c r="AM27" s="15"/>
      <c r="AN27" s="15"/>
      <c r="AO27" s="15"/>
      <c r="AP27" s="15"/>
      <c r="AQ27" s="15"/>
      <c r="AR27" s="15"/>
      <c r="AS27" s="15"/>
      <c r="AT27" s="15"/>
      <c r="AU27" s="15"/>
      <c r="AV27" s="15"/>
      <c r="AW27" s="15"/>
      <c r="AX27" s="15"/>
      <c r="AY27" s="15"/>
      <c r="AZ27" s="15"/>
      <c r="BA27" s="15"/>
      <c r="BB27" s="15"/>
      <c r="BC27" s="15"/>
      <c r="BD27" s="15"/>
      <c r="BE27" s="15"/>
      <c r="BF27" s="15"/>
      <c r="BG27" s="15"/>
      <c r="BH27" s="15"/>
      <c r="BI27" s="15"/>
      <c r="BJ27" s="15"/>
      <c r="BK27" s="15"/>
      <c r="BL27" s="15"/>
      <c r="BM27" s="15"/>
      <c r="BN27" s="15"/>
      <c r="BO27" s="15"/>
      <c r="BP27" s="15"/>
      <c r="BQ27" s="15"/>
      <c r="BR27" s="15"/>
      <c r="BS27" s="15"/>
      <c r="BT27" s="15"/>
      <c r="BU27" s="15"/>
    </row>
    <row r="28" spans="2:73" ht="24.2" customHeight="1" x14ac:dyDescent="0.2">
      <c r="B28" s="185">
        <v>10</v>
      </c>
      <c r="C28" s="187" t="s">
        <v>29</v>
      </c>
      <c r="D28" s="63" t="e">
        <f>VLOOKUP($B28,#REF!,3,0)</f>
        <v>#REF!</v>
      </c>
      <c r="E28" s="63" t="e">
        <f>VLOOKUP($B28,#REF!,4,0)</f>
        <v>#REF!</v>
      </c>
      <c r="F28" s="63" t="e">
        <f>VLOOKUP($B28,#REF!,5,0)</f>
        <v>#REF!</v>
      </c>
      <c r="G28" s="63" t="e">
        <f>VLOOKUP($B28,#REF!,6,0)</f>
        <v>#REF!</v>
      </c>
      <c r="H28" s="63" t="e">
        <f>VLOOKUP($B28,#REF!,7,0)</f>
        <v>#REF!</v>
      </c>
      <c r="I28" s="63" t="e">
        <f>VLOOKUP($B28,#REF!,8,0)</f>
        <v>#REF!</v>
      </c>
      <c r="J28" s="189"/>
      <c r="K28" s="64" t="s">
        <v>12</v>
      </c>
      <c r="L28" s="58"/>
      <c r="M28" s="58"/>
      <c r="N28" s="58"/>
      <c r="O28" s="191" t="s">
        <v>56</v>
      </c>
      <c r="P28" s="13"/>
      <c r="Q28" s="13"/>
      <c r="R28" s="13"/>
      <c r="S28" s="13"/>
      <c r="T28" s="13"/>
    </row>
    <row r="29" spans="2:73" ht="24.2" customHeight="1" thickBot="1" x14ac:dyDescent="0.25">
      <c r="B29" s="186"/>
      <c r="C29" s="188"/>
      <c r="D29" s="59" t="e">
        <f>VLOOKUP($B29,#REF!,3,0)</f>
        <v>#REF!</v>
      </c>
      <c r="E29" s="59" t="e">
        <f>VLOOKUP($B29,#REF!,4,0)</f>
        <v>#REF!</v>
      </c>
      <c r="F29" s="59" t="e">
        <f>VLOOKUP($B29,#REF!,5,0)</f>
        <v>#REF!</v>
      </c>
      <c r="G29" s="59" t="e">
        <f>VLOOKUP($B29,#REF!,6,0)</f>
        <v>#REF!</v>
      </c>
      <c r="H29" s="59" t="e">
        <f>VLOOKUP($B29,#REF!,7,0)</f>
        <v>#REF!</v>
      </c>
      <c r="I29" s="59" t="e">
        <f>VLOOKUP($B29,#REF!,8,0)</f>
        <v>#REF!</v>
      </c>
      <c r="J29" s="190"/>
      <c r="K29" s="60" t="s">
        <v>13</v>
      </c>
      <c r="L29" s="62"/>
      <c r="M29" s="62"/>
      <c r="N29" s="62"/>
      <c r="O29" s="192"/>
      <c r="P29" s="13"/>
      <c r="Q29" s="13"/>
      <c r="R29" s="13"/>
      <c r="S29" s="13"/>
      <c r="T29" s="13"/>
      <c r="AF29" s="12"/>
      <c r="AG29" s="12"/>
      <c r="AH29" s="14"/>
      <c r="AI29" s="15"/>
      <c r="AJ29" s="15"/>
      <c r="AK29" s="15"/>
      <c r="AL29" s="15"/>
      <c r="AM29" s="15"/>
      <c r="AN29" s="15"/>
      <c r="AO29" s="15"/>
      <c r="AP29" s="15"/>
      <c r="AQ29" s="15"/>
      <c r="AR29" s="15"/>
      <c r="AS29" s="15"/>
      <c r="AT29" s="15"/>
      <c r="AU29" s="15"/>
      <c r="AV29" s="15"/>
      <c r="AW29" s="15"/>
      <c r="AX29" s="15"/>
      <c r="AY29" s="15"/>
      <c r="AZ29" s="15"/>
      <c r="BA29" s="15"/>
      <c r="BB29" s="15"/>
      <c r="BC29" s="15"/>
      <c r="BD29" s="15"/>
      <c r="BE29" s="15"/>
      <c r="BF29" s="15"/>
      <c r="BG29" s="15"/>
      <c r="BH29" s="15"/>
      <c r="BI29" s="15"/>
      <c r="BJ29" s="15"/>
      <c r="BK29" s="15"/>
      <c r="BL29" s="15"/>
      <c r="BM29" s="15"/>
      <c r="BN29" s="15"/>
      <c r="BO29" s="15"/>
      <c r="BP29" s="15"/>
      <c r="BQ29" s="15"/>
      <c r="BR29" s="15"/>
      <c r="BS29" s="15"/>
      <c r="BT29" s="15"/>
      <c r="BU29" s="15"/>
    </row>
    <row r="30" spans="2:73" ht="24.2" customHeight="1" x14ac:dyDescent="0.2">
      <c r="B30" s="155">
        <v>11</v>
      </c>
      <c r="C30" s="157" t="s">
        <v>28</v>
      </c>
      <c r="D30" s="19" t="e">
        <f>VLOOKUP($B30,#REF!,3,0)</f>
        <v>#REF!</v>
      </c>
      <c r="E30" s="19" t="e">
        <f>VLOOKUP($B30,#REF!,4,0)</f>
        <v>#REF!</v>
      </c>
      <c r="F30" s="19" t="e">
        <f>VLOOKUP($B30,#REF!,5,0)</f>
        <v>#REF!</v>
      </c>
      <c r="G30" s="19" t="e">
        <f>VLOOKUP($B30,#REF!,6,0)</f>
        <v>#REF!</v>
      </c>
      <c r="H30" s="19" t="e">
        <f>VLOOKUP($B30,#REF!,7,0)</f>
        <v>#REF!</v>
      </c>
      <c r="I30" s="19" t="e">
        <f>VLOOKUP($B30,#REF!,8,0)</f>
        <v>#REF!</v>
      </c>
      <c r="J30" s="159"/>
      <c r="K30" s="22" t="s">
        <v>12</v>
      </c>
      <c r="L30" s="44">
        <v>66</v>
      </c>
      <c r="M30" s="35">
        <v>75</v>
      </c>
      <c r="N30" s="35">
        <v>68</v>
      </c>
      <c r="O30" s="183"/>
      <c r="P30" s="13"/>
      <c r="Q30" s="13"/>
      <c r="R30" s="13"/>
      <c r="S30" s="13"/>
      <c r="T30" s="13"/>
    </row>
    <row r="31" spans="2:73" ht="24.2" customHeight="1" thickBot="1" x14ac:dyDescent="0.25">
      <c r="B31" s="156"/>
      <c r="C31" s="163"/>
      <c r="D31" s="20" t="e">
        <f>VLOOKUP($B31,#REF!,3,0)</f>
        <v>#REF!</v>
      </c>
      <c r="E31" s="20" t="e">
        <f>VLOOKUP($B31,#REF!,4,0)</f>
        <v>#REF!</v>
      </c>
      <c r="F31" s="20" t="e">
        <f>VLOOKUP($B31,#REF!,5,0)</f>
        <v>#REF!</v>
      </c>
      <c r="G31" s="20" t="e">
        <f>VLOOKUP($B31,#REF!,6,0)</f>
        <v>#REF!</v>
      </c>
      <c r="H31" s="20" t="e">
        <f>VLOOKUP($B31,#REF!,7,0)</f>
        <v>#REF!</v>
      </c>
      <c r="I31" s="20" t="e">
        <f>VLOOKUP($B31,#REF!,8,0)</f>
        <v>#REF!</v>
      </c>
      <c r="J31" s="160"/>
      <c r="K31" s="34" t="s">
        <v>13</v>
      </c>
      <c r="L31" s="36">
        <v>75</v>
      </c>
      <c r="M31" s="36">
        <v>86</v>
      </c>
      <c r="N31" s="36">
        <v>81</v>
      </c>
      <c r="O31" s="184"/>
      <c r="P31" s="13"/>
      <c r="Q31" s="13"/>
      <c r="R31" s="13"/>
      <c r="S31" s="13"/>
      <c r="T31" s="13"/>
      <c r="AF31" s="12"/>
      <c r="AG31" s="12"/>
      <c r="AH31" s="14"/>
      <c r="AI31" s="15"/>
      <c r="AJ31" s="15"/>
      <c r="AK31" s="15"/>
      <c r="AL31" s="15"/>
      <c r="AM31" s="15"/>
      <c r="AN31" s="15"/>
      <c r="AO31" s="15"/>
      <c r="AP31" s="15"/>
      <c r="AQ31" s="15"/>
      <c r="AR31" s="15"/>
      <c r="AS31" s="15"/>
      <c r="AT31" s="15"/>
      <c r="AU31" s="15"/>
      <c r="AV31" s="15"/>
      <c r="AW31" s="15"/>
      <c r="AX31" s="15"/>
      <c r="AY31" s="15"/>
      <c r="AZ31" s="15"/>
      <c r="BA31" s="15"/>
      <c r="BB31" s="15"/>
      <c r="BC31" s="15"/>
      <c r="BD31" s="15"/>
      <c r="BE31" s="15"/>
      <c r="BF31" s="15"/>
      <c r="BG31" s="15"/>
      <c r="BH31" s="15"/>
      <c r="BI31" s="15"/>
      <c r="BJ31" s="15"/>
      <c r="BK31" s="15"/>
      <c r="BL31" s="15"/>
      <c r="BM31" s="15"/>
      <c r="BN31" s="15"/>
      <c r="BO31" s="15"/>
      <c r="BP31" s="15"/>
      <c r="BQ31" s="15"/>
      <c r="BR31" s="15"/>
      <c r="BS31" s="15"/>
      <c r="BT31" s="15"/>
      <c r="BU31" s="15"/>
    </row>
    <row r="32" spans="2:73" ht="24.2" customHeight="1" x14ac:dyDescent="0.2">
      <c r="B32" s="155">
        <v>12</v>
      </c>
      <c r="C32" s="157" t="s">
        <v>29</v>
      </c>
      <c r="D32" s="19" t="e">
        <f>VLOOKUP($B32,#REF!,3,0)</f>
        <v>#REF!</v>
      </c>
      <c r="E32" s="19" t="e">
        <f>VLOOKUP($B32,#REF!,4,0)</f>
        <v>#REF!</v>
      </c>
      <c r="F32" s="19" t="e">
        <f>VLOOKUP($B32,#REF!,5,0)</f>
        <v>#REF!</v>
      </c>
      <c r="G32" s="19" t="e">
        <f>VLOOKUP($B32,#REF!,6,0)</f>
        <v>#REF!</v>
      </c>
      <c r="H32" s="19" t="e">
        <f>VLOOKUP($B32,#REF!,7,0)</f>
        <v>#REF!</v>
      </c>
      <c r="I32" s="19" t="e">
        <f>VLOOKUP($B32,#REF!,8,0)</f>
        <v>#REF!</v>
      </c>
      <c r="J32" s="159"/>
      <c r="K32" s="22" t="s">
        <v>12</v>
      </c>
      <c r="L32" s="35">
        <v>87</v>
      </c>
      <c r="M32" s="35">
        <v>71</v>
      </c>
      <c r="N32" s="35">
        <v>62</v>
      </c>
      <c r="O32" s="183"/>
      <c r="P32" s="13"/>
      <c r="Q32" s="13"/>
      <c r="R32" s="13"/>
      <c r="S32" s="13"/>
      <c r="T32" s="13"/>
    </row>
    <row r="33" spans="2:73" ht="24.2" customHeight="1" thickBot="1" x14ac:dyDescent="0.25">
      <c r="B33" s="156"/>
      <c r="C33" s="158"/>
      <c r="D33" s="20" t="e">
        <f>VLOOKUP($B33,#REF!,3,0)</f>
        <v>#REF!</v>
      </c>
      <c r="E33" s="20" t="e">
        <f>VLOOKUP($B33,#REF!,4,0)</f>
        <v>#REF!</v>
      </c>
      <c r="F33" s="20" t="e">
        <f>VLOOKUP($B33,#REF!,5,0)</f>
        <v>#REF!</v>
      </c>
      <c r="G33" s="20" t="e">
        <f>VLOOKUP($B33,#REF!,6,0)</f>
        <v>#REF!</v>
      </c>
      <c r="H33" s="20" t="e">
        <f>VLOOKUP($B33,#REF!,7,0)</f>
        <v>#REF!</v>
      </c>
      <c r="I33" s="20" t="e">
        <f>VLOOKUP($B33,#REF!,8,0)</f>
        <v>#REF!</v>
      </c>
      <c r="J33" s="160"/>
      <c r="K33" s="34" t="s">
        <v>13</v>
      </c>
      <c r="L33" s="36">
        <v>98</v>
      </c>
      <c r="M33" s="36">
        <v>88</v>
      </c>
      <c r="N33" s="36">
        <v>89</v>
      </c>
      <c r="O33" s="184"/>
      <c r="P33" s="13"/>
      <c r="Q33" s="13"/>
      <c r="R33" s="13"/>
      <c r="S33" s="13"/>
      <c r="T33" s="13"/>
      <c r="AF33" s="12"/>
      <c r="AG33" s="12"/>
      <c r="AH33" s="14"/>
      <c r="AI33" s="15"/>
      <c r="AJ33" s="15"/>
      <c r="AK33" s="15"/>
      <c r="AL33" s="15"/>
      <c r="AM33" s="15"/>
      <c r="AN33" s="15"/>
      <c r="AO33" s="15"/>
      <c r="AP33" s="15"/>
      <c r="AQ33" s="15"/>
      <c r="AR33" s="15"/>
      <c r="AS33" s="15"/>
      <c r="AT33" s="15"/>
      <c r="AU33" s="15"/>
      <c r="AV33" s="15"/>
      <c r="AW33" s="15"/>
      <c r="AX33" s="15"/>
      <c r="AY33" s="15"/>
      <c r="AZ33" s="15"/>
      <c r="BA33" s="15"/>
      <c r="BB33" s="15"/>
      <c r="BC33" s="15"/>
      <c r="BD33" s="15"/>
      <c r="BE33" s="15"/>
      <c r="BF33" s="15"/>
      <c r="BG33" s="15"/>
      <c r="BH33" s="15"/>
      <c r="BI33" s="15"/>
      <c r="BJ33" s="15"/>
      <c r="BK33" s="15"/>
      <c r="BL33" s="15"/>
      <c r="BM33" s="15"/>
      <c r="BN33" s="15"/>
      <c r="BO33" s="15"/>
      <c r="BP33" s="15"/>
      <c r="BQ33" s="15"/>
      <c r="BR33" s="15"/>
      <c r="BS33" s="15"/>
      <c r="BT33" s="15"/>
      <c r="BU33" s="15"/>
    </row>
    <row r="34" spans="2:73" ht="24.2" customHeight="1" x14ac:dyDescent="0.2">
      <c r="B34" s="155">
        <v>13</v>
      </c>
      <c r="C34" s="157" t="s">
        <v>28</v>
      </c>
      <c r="D34" s="19" t="e">
        <f>VLOOKUP($B34,#REF!,3,0)</f>
        <v>#REF!</v>
      </c>
      <c r="E34" s="19" t="e">
        <f>VLOOKUP($B34,#REF!,4,0)</f>
        <v>#REF!</v>
      </c>
      <c r="F34" s="19" t="e">
        <f>VLOOKUP($B34,#REF!,5,0)</f>
        <v>#REF!</v>
      </c>
      <c r="G34" s="19" t="e">
        <f>VLOOKUP($B34,#REF!,6,0)</f>
        <v>#REF!</v>
      </c>
      <c r="H34" s="19" t="e">
        <f>VLOOKUP($B34,#REF!,7,0)</f>
        <v>#REF!</v>
      </c>
      <c r="I34" s="19" t="e">
        <f>VLOOKUP($B34,#REF!,8,0)</f>
        <v>#REF!</v>
      </c>
      <c r="J34" s="159"/>
      <c r="K34" s="22" t="s">
        <v>12</v>
      </c>
      <c r="L34" s="35">
        <v>56</v>
      </c>
      <c r="M34" s="35">
        <v>56</v>
      </c>
      <c r="N34" s="35">
        <v>56</v>
      </c>
      <c r="O34" s="183"/>
      <c r="P34" s="13"/>
      <c r="Q34" s="13"/>
      <c r="R34" s="13"/>
      <c r="S34" s="13"/>
      <c r="T34" s="13"/>
    </row>
    <row r="35" spans="2:73" ht="24.2" customHeight="1" thickBot="1" x14ac:dyDescent="0.25">
      <c r="B35" s="156"/>
      <c r="C35" s="163"/>
      <c r="D35" s="20" t="e">
        <f>VLOOKUP($B35,#REF!,3,0)</f>
        <v>#REF!</v>
      </c>
      <c r="E35" s="20" t="e">
        <f>VLOOKUP($B35,#REF!,4,0)</f>
        <v>#REF!</v>
      </c>
      <c r="F35" s="20" t="e">
        <f>VLOOKUP($B35,#REF!,5,0)</f>
        <v>#REF!</v>
      </c>
      <c r="G35" s="20" t="e">
        <f>VLOOKUP($B35,#REF!,6,0)</f>
        <v>#REF!</v>
      </c>
      <c r="H35" s="20" t="e">
        <f>VLOOKUP($B35,#REF!,7,0)</f>
        <v>#REF!</v>
      </c>
      <c r="I35" s="20" t="e">
        <f>VLOOKUP($B35,#REF!,8,0)</f>
        <v>#REF!</v>
      </c>
      <c r="J35" s="160"/>
      <c r="K35" s="34" t="s">
        <v>13</v>
      </c>
      <c r="L35" s="36">
        <v>71</v>
      </c>
      <c r="M35" s="36">
        <v>73</v>
      </c>
      <c r="N35" s="36">
        <v>73</v>
      </c>
      <c r="O35" s="184"/>
      <c r="P35" s="13"/>
      <c r="Q35" s="13"/>
      <c r="R35" s="13"/>
      <c r="S35" s="13"/>
      <c r="T35" s="13"/>
      <c r="AF35" s="12"/>
      <c r="AG35" s="12"/>
      <c r="AH35" s="14"/>
      <c r="AI35" s="15"/>
      <c r="AJ35" s="15"/>
      <c r="AK35" s="15"/>
      <c r="AL35" s="15"/>
      <c r="AM35" s="15"/>
      <c r="AN35" s="15"/>
      <c r="AO35" s="15"/>
      <c r="AP35" s="15"/>
      <c r="AQ35" s="15"/>
      <c r="AR35" s="15"/>
      <c r="AS35" s="15"/>
      <c r="AT35" s="15"/>
      <c r="AU35" s="15"/>
      <c r="AV35" s="15"/>
      <c r="AW35" s="15"/>
      <c r="AX35" s="15"/>
      <c r="AY35" s="15"/>
      <c r="AZ35" s="15"/>
      <c r="BA35" s="15"/>
      <c r="BB35" s="15"/>
      <c r="BC35" s="15"/>
      <c r="BD35" s="15"/>
      <c r="BE35" s="15"/>
      <c r="BF35" s="15"/>
      <c r="BG35" s="15"/>
      <c r="BH35" s="15"/>
      <c r="BI35" s="15"/>
      <c r="BJ35" s="15"/>
      <c r="BK35" s="15"/>
      <c r="BL35" s="15"/>
      <c r="BM35" s="15"/>
      <c r="BN35" s="15"/>
      <c r="BO35" s="15"/>
      <c r="BP35" s="15"/>
      <c r="BQ35" s="15"/>
      <c r="BR35" s="15"/>
      <c r="BS35" s="15"/>
      <c r="BT35" s="15"/>
      <c r="BU35" s="15"/>
    </row>
    <row r="36" spans="2:73" ht="24.2" customHeight="1" x14ac:dyDescent="0.2">
      <c r="B36" s="155">
        <v>14</v>
      </c>
      <c r="C36" s="157" t="s">
        <v>29</v>
      </c>
      <c r="D36" s="19" t="e">
        <f>VLOOKUP($B36,#REF!,3,0)</f>
        <v>#REF!</v>
      </c>
      <c r="E36" s="19" t="e">
        <f>VLOOKUP($B36,#REF!,4,0)</f>
        <v>#REF!</v>
      </c>
      <c r="F36" s="19" t="e">
        <f>VLOOKUP($B36,#REF!,5,0)</f>
        <v>#REF!</v>
      </c>
      <c r="G36" s="19" t="e">
        <f>VLOOKUP($B36,#REF!,6,0)</f>
        <v>#REF!</v>
      </c>
      <c r="H36" s="19" t="e">
        <f>VLOOKUP($B36,#REF!,7,0)</f>
        <v>#REF!</v>
      </c>
      <c r="I36" s="19" t="e">
        <f>VLOOKUP($B36,#REF!,8,0)</f>
        <v>#REF!</v>
      </c>
      <c r="J36" s="159"/>
      <c r="K36" s="22" t="s">
        <v>12</v>
      </c>
      <c r="L36" s="35">
        <v>69</v>
      </c>
      <c r="M36" s="35">
        <v>76</v>
      </c>
      <c r="N36" s="35">
        <v>65</v>
      </c>
      <c r="O36" s="183" t="s">
        <v>58</v>
      </c>
      <c r="P36" s="13"/>
      <c r="Q36" s="13"/>
      <c r="R36" s="13"/>
      <c r="S36" s="13"/>
      <c r="T36" s="13"/>
    </row>
    <row r="37" spans="2:73" ht="24.2" customHeight="1" thickBot="1" x14ac:dyDescent="0.25">
      <c r="B37" s="156"/>
      <c r="C37" s="158"/>
      <c r="D37" s="20" t="e">
        <f>VLOOKUP($B37,#REF!,3,0)</f>
        <v>#REF!</v>
      </c>
      <c r="E37" s="20" t="e">
        <f>VLOOKUP($B37,#REF!,4,0)</f>
        <v>#REF!</v>
      </c>
      <c r="F37" s="20" t="e">
        <f>VLOOKUP($B37,#REF!,5,0)</f>
        <v>#REF!</v>
      </c>
      <c r="G37" s="20" t="e">
        <f>VLOOKUP($B37,#REF!,6,0)</f>
        <v>#REF!</v>
      </c>
      <c r="H37" s="20" t="e">
        <f>VLOOKUP($B37,#REF!,7,0)</f>
        <v>#REF!</v>
      </c>
      <c r="I37" s="20" t="e">
        <f>VLOOKUP($B37,#REF!,8,0)</f>
        <v>#REF!</v>
      </c>
      <c r="J37" s="160"/>
      <c r="K37" s="34" t="s">
        <v>13</v>
      </c>
      <c r="L37" s="36">
        <v>83</v>
      </c>
      <c r="M37" s="36">
        <v>88</v>
      </c>
      <c r="N37" s="36">
        <v>82</v>
      </c>
      <c r="O37" s="184"/>
      <c r="P37" s="13"/>
      <c r="Q37" s="13"/>
      <c r="R37" s="13"/>
      <c r="S37" s="13"/>
      <c r="T37" s="13"/>
      <c r="AF37" s="12"/>
      <c r="AG37" s="12"/>
      <c r="AH37" s="14"/>
      <c r="AI37" s="15"/>
      <c r="AJ37" s="15"/>
      <c r="AK37" s="15"/>
      <c r="AL37" s="15"/>
      <c r="AM37" s="15"/>
      <c r="AN37" s="15"/>
      <c r="AO37" s="15"/>
      <c r="AP37" s="15"/>
      <c r="AQ37" s="15"/>
      <c r="AR37" s="15"/>
      <c r="AS37" s="15"/>
      <c r="AT37" s="15"/>
      <c r="AU37" s="15"/>
      <c r="AV37" s="15"/>
      <c r="AW37" s="15"/>
      <c r="AX37" s="15"/>
      <c r="AY37" s="15"/>
      <c r="AZ37" s="15"/>
      <c r="BA37" s="15"/>
      <c r="BB37" s="15"/>
      <c r="BC37" s="15"/>
      <c r="BD37" s="15"/>
      <c r="BE37" s="15"/>
      <c r="BF37" s="15"/>
      <c r="BG37" s="15"/>
      <c r="BH37" s="15"/>
      <c r="BI37" s="15"/>
      <c r="BJ37" s="15"/>
      <c r="BK37" s="15"/>
      <c r="BL37" s="15"/>
      <c r="BM37" s="15"/>
      <c r="BN37" s="15"/>
      <c r="BO37" s="15"/>
      <c r="BP37" s="15"/>
      <c r="BQ37" s="15"/>
      <c r="BR37" s="15"/>
      <c r="BS37" s="15"/>
      <c r="BT37" s="15"/>
      <c r="BU37" s="15"/>
    </row>
    <row r="38" spans="2:73" ht="24.2" customHeight="1" x14ac:dyDescent="0.2">
      <c r="B38" s="155">
        <v>15</v>
      </c>
      <c r="C38" s="157" t="s">
        <v>28</v>
      </c>
      <c r="D38" s="19" t="e">
        <f>VLOOKUP($B38,#REF!,3,0)</f>
        <v>#REF!</v>
      </c>
      <c r="E38" s="19" t="e">
        <f>VLOOKUP($B38,#REF!,4,0)</f>
        <v>#REF!</v>
      </c>
      <c r="F38" s="19" t="e">
        <f>VLOOKUP($B38,#REF!,5,0)</f>
        <v>#REF!</v>
      </c>
      <c r="G38" s="19" t="e">
        <f>VLOOKUP($B38,#REF!,6,0)</f>
        <v>#REF!</v>
      </c>
      <c r="H38" s="19" t="e">
        <f>VLOOKUP($B38,#REF!,7,0)</f>
        <v>#REF!</v>
      </c>
      <c r="I38" s="19" t="e">
        <f>VLOOKUP($B38,#REF!,8,0)</f>
        <v>#REF!</v>
      </c>
      <c r="J38" s="159"/>
      <c r="K38" s="22" t="s">
        <v>12</v>
      </c>
      <c r="L38" s="44">
        <v>78</v>
      </c>
      <c r="M38" s="35">
        <v>66</v>
      </c>
      <c r="N38" s="35">
        <v>64</v>
      </c>
      <c r="O38" s="183"/>
      <c r="P38" s="13"/>
      <c r="Q38" s="13"/>
      <c r="R38" s="13"/>
      <c r="S38" s="13"/>
      <c r="T38" s="13"/>
    </row>
    <row r="39" spans="2:73" ht="24.2" customHeight="1" thickBot="1" x14ac:dyDescent="0.25">
      <c r="B39" s="156"/>
      <c r="C39" s="163"/>
      <c r="D39" s="20" t="e">
        <f>VLOOKUP($B39,#REF!,3,0)</f>
        <v>#REF!</v>
      </c>
      <c r="E39" s="20" t="e">
        <f>VLOOKUP($B39,#REF!,4,0)</f>
        <v>#REF!</v>
      </c>
      <c r="F39" s="20" t="e">
        <f>VLOOKUP($B39,#REF!,5,0)</f>
        <v>#REF!</v>
      </c>
      <c r="G39" s="20" t="e">
        <f>VLOOKUP($B39,#REF!,6,0)</f>
        <v>#REF!</v>
      </c>
      <c r="H39" s="20" t="e">
        <f>VLOOKUP($B39,#REF!,7,0)</f>
        <v>#REF!</v>
      </c>
      <c r="I39" s="20" t="e">
        <f>VLOOKUP($B39,#REF!,8,0)</f>
        <v>#REF!</v>
      </c>
      <c r="J39" s="160"/>
      <c r="K39" s="34" t="s">
        <v>13</v>
      </c>
      <c r="L39" s="36">
        <v>84</v>
      </c>
      <c r="M39" s="36">
        <v>77</v>
      </c>
      <c r="N39" s="36">
        <v>75</v>
      </c>
      <c r="O39" s="184"/>
      <c r="P39" s="13"/>
      <c r="Q39" s="13"/>
      <c r="R39" s="13"/>
      <c r="S39" s="13"/>
      <c r="T39" s="13"/>
      <c r="AF39" s="12"/>
      <c r="AG39" s="12"/>
      <c r="AH39" s="14"/>
      <c r="AI39" s="15"/>
      <c r="AJ39" s="15"/>
      <c r="AK39" s="15"/>
      <c r="AL39" s="15"/>
      <c r="AM39" s="15"/>
      <c r="AN39" s="15"/>
      <c r="AO39" s="15"/>
      <c r="AP39" s="15"/>
      <c r="AQ39" s="15"/>
      <c r="AR39" s="15"/>
      <c r="AS39" s="15"/>
      <c r="AT39" s="15"/>
      <c r="AU39" s="15"/>
      <c r="AV39" s="15"/>
      <c r="AW39" s="15"/>
      <c r="AX39" s="15"/>
      <c r="AY39" s="15"/>
      <c r="AZ39" s="15"/>
      <c r="BA39" s="15"/>
      <c r="BB39" s="15"/>
      <c r="BC39" s="15"/>
      <c r="BD39" s="15"/>
      <c r="BE39" s="15"/>
      <c r="BF39" s="15"/>
      <c r="BG39" s="15"/>
      <c r="BH39" s="15"/>
      <c r="BI39" s="15"/>
      <c r="BJ39" s="15"/>
      <c r="BK39" s="15"/>
      <c r="BL39" s="15"/>
      <c r="BM39" s="15"/>
      <c r="BN39" s="15"/>
      <c r="BO39" s="15"/>
      <c r="BP39" s="15"/>
      <c r="BQ39" s="15"/>
      <c r="BR39" s="15"/>
      <c r="BS39" s="15"/>
      <c r="BT39" s="15"/>
      <c r="BU39" s="15"/>
    </row>
    <row r="40" spans="2:73" ht="24.2" customHeight="1" x14ac:dyDescent="0.2">
      <c r="B40" s="185">
        <v>16</v>
      </c>
      <c r="C40" s="187" t="s">
        <v>29</v>
      </c>
      <c r="D40" s="63" t="e">
        <f>VLOOKUP($B40,#REF!,3,0)</f>
        <v>#REF!</v>
      </c>
      <c r="E40" s="63" t="e">
        <f>VLOOKUP($B40,#REF!,4,0)</f>
        <v>#REF!</v>
      </c>
      <c r="F40" s="63" t="e">
        <f>VLOOKUP($B40,#REF!,5,0)</f>
        <v>#REF!</v>
      </c>
      <c r="G40" s="63" t="e">
        <f>VLOOKUP($B40,#REF!,6,0)</f>
        <v>#REF!</v>
      </c>
      <c r="H40" s="63" t="e">
        <f>VLOOKUP($B40,#REF!,7,0)</f>
        <v>#REF!</v>
      </c>
      <c r="I40" s="63" t="e">
        <f>VLOOKUP($B40,#REF!,8,0)</f>
        <v>#REF!</v>
      </c>
      <c r="J40" s="189"/>
      <c r="K40" s="64" t="s">
        <v>12</v>
      </c>
      <c r="L40" s="65"/>
      <c r="M40" s="65"/>
      <c r="N40" s="58"/>
      <c r="O40" s="191" t="s">
        <v>56</v>
      </c>
      <c r="P40" s="13"/>
      <c r="Q40" s="13"/>
      <c r="R40" s="13"/>
      <c r="S40" s="13"/>
      <c r="T40" s="13"/>
    </row>
    <row r="41" spans="2:73" ht="24.2" customHeight="1" thickBot="1" x14ac:dyDescent="0.25">
      <c r="B41" s="186"/>
      <c r="C41" s="188"/>
      <c r="D41" s="59" t="e">
        <f>VLOOKUP($B41,#REF!,3,0)</f>
        <v>#REF!</v>
      </c>
      <c r="E41" s="59" t="e">
        <f>VLOOKUP($B41,#REF!,4,0)</f>
        <v>#REF!</v>
      </c>
      <c r="F41" s="59" t="e">
        <f>VLOOKUP($B41,#REF!,5,0)</f>
        <v>#REF!</v>
      </c>
      <c r="G41" s="59" t="e">
        <f>VLOOKUP($B41,#REF!,6,0)</f>
        <v>#REF!</v>
      </c>
      <c r="H41" s="59" t="e">
        <f>VLOOKUP($B41,#REF!,7,0)</f>
        <v>#REF!</v>
      </c>
      <c r="I41" s="59" t="e">
        <f>VLOOKUP($B41,#REF!,8,0)</f>
        <v>#REF!</v>
      </c>
      <c r="J41" s="190"/>
      <c r="K41" s="60" t="s">
        <v>13</v>
      </c>
      <c r="L41" s="62"/>
      <c r="M41" s="62"/>
      <c r="N41" s="62"/>
      <c r="O41" s="192"/>
      <c r="P41" s="13"/>
      <c r="Q41" s="13"/>
      <c r="R41" s="13"/>
      <c r="S41" s="13"/>
      <c r="T41" s="13"/>
      <c r="AF41" s="12"/>
      <c r="AG41" s="12"/>
      <c r="AH41" s="14"/>
      <c r="AI41" s="15"/>
      <c r="AJ41" s="15"/>
      <c r="AK41" s="15"/>
      <c r="AL41" s="15"/>
      <c r="AM41" s="15"/>
      <c r="AN41" s="15"/>
      <c r="AO41" s="15"/>
      <c r="AP41" s="15"/>
      <c r="AQ41" s="15"/>
      <c r="AR41" s="15"/>
      <c r="AS41" s="15"/>
      <c r="AT41" s="15"/>
      <c r="AU41" s="15"/>
      <c r="AV41" s="15"/>
      <c r="AW41" s="15"/>
      <c r="AX41" s="15"/>
      <c r="AY41" s="15"/>
      <c r="AZ41" s="15"/>
      <c r="BA41" s="15"/>
      <c r="BB41" s="15"/>
      <c r="BC41" s="15"/>
      <c r="BD41" s="15"/>
      <c r="BE41" s="15"/>
      <c r="BF41" s="15"/>
      <c r="BG41" s="15"/>
      <c r="BH41" s="15"/>
      <c r="BI41" s="15"/>
      <c r="BJ41" s="15"/>
      <c r="BK41" s="15"/>
      <c r="BL41" s="15"/>
      <c r="BM41" s="15"/>
      <c r="BN41" s="15"/>
      <c r="BO41" s="15"/>
      <c r="BP41" s="15"/>
      <c r="BQ41" s="15"/>
      <c r="BR41" s="15"/>
      <c r="BS41" s="15"/>
      <c r="BT41" s="15"/>
      <c r="BU41" s="15"/>
    </row>
    <row r="42" spans="2:73" ht="24" customHeight="1" x14ac:dyDescent="0.2">
      <c r="B42" s="155">
        <v>17</v>
      </c>
      <c r="C42" s="157" t="s">
        <v>28</v>
      </c>
      <c r="D42" s="19" t="e">
        <f>VLOOKUP($B42,#REF!,3,0)</f>
        <v>#REF!</v>
      </c>
      <c r="E42" s="19" t="e">
        <f>VLOOKUP($B42,#REF!,4,0)</f>
        <v>#REF!</v>
      </c>
      <c r="F42" s="19" t="e">
        <f>VLOOKUP($B42,#REF!,5,0)</f>
        <v>#REF!</v>
      </c>
      <c r="G42" s="19" t="e">
        <f>VLOOKUP($B42,#REF!,6,0)</f>
        <v>#REF!</v>
      </c>
      <c r="H42" s="19" t="e">
        <f>VLOOKUP($B42,#REF!,7,0)</f>
        <v>#REF!</v>
      </c>
      <c r="I42" s="19" t="e">
        <f>VLOOKUP($B42,#REF!,8,0)</f>
        <v>#REF!</v>
      </c>
      <c r="J42" s="159">
        <v>1150</v>
      </c>
      <c r="K42" s="22" t="s">
        <v>12</v>
      </c>
      <c r="L42" s="44">
        <v>52</v>
      </c>
      <c r="M42" s="44">
        <v>53</v>
      </c>
      <c r="N42" s="35">
        <v>58</v>
      </c>
      <c r="O42" s="183"/>
    </row>
    <row r="43" spans="2:73" ht="24" customHeight="1" thickBot="1" x14ac:dyDescent="0.25">
      <c r="B43" s="156"/>
      <c r="C43" s="163"/>
      <c r="D43" s="20"/>
      <c r="E43" s="20"/>
      <c r="F43" s="20"/>
      <c r="G43" s="20"/>
      <c r="H43" s="20"/>
      <c r="I43" s="20"/>
      <c r="J43" s="160"/>
      <c r="K43" s="34" t="s">
        <v>13</v>
      </c>
      <c r="L43" s="36">
        <v>62</v>
      </c>
      <c r="M43" s="36">
        <v>61</v>
      </c>
      <c r="N43" s="36">
        <v>68</v>
      </c>
      <c r="O43" s="184"/>
    </row>
  </sheetData>
  <mergeCells count="71">
    <mergeCell ref="AF5:AH5"/>
    <mergeCell ref="L6:N6"/>
    <mergeCell ref="O7:O8"/>
    <mergeCell ref="B8:K8"/>
    <mergeCell ref="B10:B11"/>
    <mergeCell ref="C10:C11"/>
    <mergeCell ref="J10:J11"/>
    <mergeCell ref="B18:B19"/>
    <mergeCell ref="C18:C19"/>
    <mergeCell ref="J18:J19"/>
    <mergeCell ref="O18:O19"/>
    <mergeCell ref="B12:B13"/>
    <mergeCell ref="C12:C13"/>
    <mergeCell ref="J12:J13"/>
    <mergeCell ref="B14:B15"/>
    <mergeCell ref="C14:C15"/>
    <mergeCell ref="J14:J15"/>
    <mergeCell ref="O14:O15"/>
    <mergeCell ref="B16:B17"/>
    <mergeCell ref="C16:C17"/>
    <mergeCell ref="J16:J17"/>
    <mergeCell ref="O16:O17"/>
    <mergeCell ref="O12:O13"/>
    <mergeCell ref="B20:B21"/>
    <mergeCell ref="C20:C21"/>
    <mergeCell ref="J20:J21"/>
    <mergeCell ref="O20:O21"/>
    <mergeCell ref="B22:B23"/>
    <mergeCell ref="C22:C23"/>
    <mergeCell ref="J22:J23"/>
    <mergeCell ref="O22:O23"/>
    <mergeCell ref="B24:B25"/>
    <mergeCell ref="C24:C25"/>
    <mergeCell ref="J24:J25"/>
    <mergeCell ref="O24:O25"/>
    <mergeCell ref="B26:B27"/>
    <mergeCell ref="C26:C27"/>
    <mergeCell ref="J26:J27"/>
    <mergeCell ref="O26:O27"/>
    <mergeCell ref="O28:O29"/>
    <mergeCell ref="B30:B31"/>
    <mergeCell ref="C30:C31"/>
    <mergeCell ref="J30:J31"/>
    <mergeCell ref="O30:O31"/>
    <mergeCell ref="B28:B29"/>
    <mergeCell ref="C28:C29"/>
    <mergeCell ref="J28:J29"/>
    <mergeCell ref="B42:B43"/>
    <mergeCell ref="C42:C43"/>
    <mergeCell ref="J42:J43"/>
    <mergeCell ref="O42:O43"/>
    <mergeCell ref="B36:B37"/>
    <mergeCell ref="C36:C37"/>
    <mergeCell ref="J36:J37"/>
    <mergeCell ref="O36:O37"/>
    <mergeCell ref="B38:B39"/>
    <mergeCell ref="C38:C39"/>
    <mergeCell ref="J38:J39"/>
    <mergeCell ref="O38:O39"/>
    <mergeCell ref="B40:B41"/>
    <mergeCell ref="C40:C41"/>
    <mergeCell ref="J40:J41"/>
    <mergeCell ref="O40:O41"/>
    <mergeCell ref="B32:B33"/>
    <mergeCell ref="C32:C33"/>
    <mergeCell ref="J32:J33"/>
    <mergeCell ref="O32:O33"/>
    <mergeCell ref="B34:B35"/>
    <mergeCell ref="C34:C35"/>
    <mergeCell ref="J34:J35"/>
    <mergeCell ref="O34:O35"/>
  </mergeCells>
  <pageMargins left="0.45" right="0" top="0.49" bottom="0" header="0.64" footer="0"/>
  <pageSetup paperSize="512" scale="72" orientation="portrait" r:id="rId1"/>
  <headerFooter alignWithMargin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BU43"/>
  <sheetViews>
    <sheetView zoomScale="90" zoomScaleNormal="90" workbookViewId="0"/>
  </sheetViews>
  <sheetFormatPr defaultRowHeight="12.75" x14ac:dyDescent="0.2"/>
  <cols>
    <col min="1" max="1" width="5.42578125" customWidth="1"/>
    <col min="2" max="2" width="6.28515625" customWidth="1"/>
    <col min="3" max="3" width="12.7109375" customWidth="1"/>
    <col min="4" max="8" width="5.28515625" hidden="1" customWidth="1"/>
    <col min="9" max="9" width="7" hidden="1" customWidth="1"/>
    <col min="10" max="10" width="8.42578125" customWidth="1"/>
    <col min="11" max="14" width="12.7109375" customWidth="1"/>
    <col min="15" max="15" width="48.7109375" customWidth="1"/>
    <col min="22" max="22" width="7.5703125" customWidth="1"/>
    <col min="23" max="32" width="7.7109375" customWidth="1"/>
  </cols>
  <sheetData>
    <row r="1" spans="1:73" ht="15" customHeight="1" x14ac:dyDescent="0.25">
      <c r="A1" s="1" t="s">
        <v>33</v>
      </c>
    </row>
    <row r="2" spans="1:73" ht="20.25" customHeight="1" thickBot="1" x14ac:dyDescent="0.3">
      <c r="A2" s="1"/>
      <c r="M2" s="15" t="s">
        <v>0</v>
      </c>
      <c r="N2" s="23">
        <v>40736</v>
      </c>
      <c r="O2" s="29"/>
    </row>
    <row r="3" spans="1:73" ht="20.25" customHeight="1" thickBot="1" x14ac:dyDescent="0.25">
      <c r="A3" t="s">
        <v>1</v>
      </c>
      <c r="C3" s="38" t="s">
        <v>59</v>
      </c>
      <c r="D3" s="3"/>
      <c r="E3" s="3"/>
      <c r="F3" s="3"/>
      <c r="G3" s="3"/>
      <c r="H3" s="3"/>
      <c r="I3" s="3"/>
      <c r="J3" s="3"/>
      <c r="K3" s="3"/>
      <c r="L3" s="3"/>
      <c r="M3" s="15" t="s">
        <v>23</v>
      </c>
      <c r="N3" s="2">
        <v>193</v>
      </c>
      <c r="O3" s="30"/>
    </row>
    <row r="4" spans="1:73" ht="20.25" customHeight="1" thickBot="1" x14ac:dyDescent="0.25">
      <c r="B4" s="3" t="s">
        <v>60</v>
      </c>
      <c r="C4" s="38"/>
      <c r="D4" s="4"/>
      <c r="E4" s="4"/>
      <c r="F4" s="4"/>
      <c r="G4" s="4"/>
      <c r="H4" s="4"/>
      <c r="I4" s="4"/>
      <c r="J4" s="4"/>
      <c r="K4" s="4"/>
      <c r="L4" s="4"/>
      <c r="M4" s="15" t="s">
        <v>2</v>
      </c>
      <c r="N4" s="2" t="s">
        <v>26</v>
      </c>
      <c r="O4" s="30"/>
    </row>
    <row r="5" spans="1:73" ht="18" x14ac:dyDescent="0.2">
      <c r="AE5" s="5"/>
      <c r="AF5" s="165"/>
      <c r="AG5" s="165"/>
      <c r="AH5" s="165"/>
    </row>
    <row r="6" spans="1:73" ht="18" x14ac:dyDescent="0.25">
      <c r="L6" s="174"/>
      <c r="M6" s="167"/>
      <c r="N6" s="168"/>
      <c r="O6" s="31"/>
      <c r="AE6" s="5"/>
      <c r="AF6" s="24"/>
      <c r="AG6" s="24"/>
      <c r="AH6" s="24"/>
    </row>
    <row r="7" spans="1:73" ht="25.5" customHeight="1" x14ac:dyDescent="0.2">
      <c r="B7" s="6" t="s">
        <v>3</v>
      </c>
      <c r="C7" s="7"/>
      <c r="D7" s="7" t="s">
        <v>4</v>
      </c>
      <c r="E7" s="6" t="s">
        <v>5</v>
      </c>
      <c r="F7" s="7" t="s">
        <v>6</v>
      </c>
      <c r="G7" s="6" t="s">
        <v>7</v>
      </c>
      <c r="H7" s="6" t="s">
        <v>8</v>
      </c>
      <c r="I7" s="6" t="s">
        <v>9</v>
      </c>
      <c r="J7" s="6" t="s">
        <v>11</v>
      </c>
      <c r="K7" s="8" t="s">
        <v>24</v>
      </c>
      <c r="L7" s="22" t="s">
        <v>30</v>
      </c>
      <c r="M7" s="22" t="s">
        <v>31</v>
      </c>
      <c r="N7" s="22" t="s">
        <v>32</v>
      </c>
      <c r="O7" s="169" t="s">
        <v>25</v>
      </c>
      <c r="AE7" s="10"/>
      <c r="AF7" s="9"/>
      <c r="AG7" s="9"/>
      <c r="AH7" s="11"/>
    </row>
    <row r="8" spans="1:73" ht="15.95" customHeight="1" thickBot="1" x14ac:dyDescent="0.25">
      <c r="B8" s="170"/>
      <c r="C8" s="171"/>
      <c r="D8" s="171"/>
      <c r="E8" s="171"/>
      <c r="F8" s="171"/>
      <c r="G8" s="171"/>
      <c r="H8" s="171"/>
      <c r="I8" s="171"/>
      <c r="J8" s="171"/>
      <c r="K8" s="172"/>
      <c r="L8" s="39" t="s">
        <v>27</v>
      </c>
      <c r="M8" s="39"/>
      <c r="N8" s="39"/>
      <c r="O8" s="163"/>
      <c r="AF8" s="12"/>
      <c r="AG8" s="12"/>
      <c r="AH8" s="12"/>
    </row>
    <row r="9" spans="1:73" ht="15.95" hidden="1" customHeight="1" x14ac:dyDescent="0.2">
      <c r="B9" s="25" t="s">
        <v>3</v>
      </c>
      <c r="C9" s="26" t="s">
        <v>10</v>
      </c>
      <c r="D9" s="26" t="s">
        <v>14</v>
      </c>
      <c r="E9" s="25" t="s">
        <v>15</v>
      </c>
      <c r="F9" s="26" t="s">
        <v>16</v>
      </c>
      <c r="G9" s="25" t="s">
        <v>17</v>
      </c>
      <c r="H9" s="25" t="s">
        <v>8</v>
      </c>
      <c r="I9" s="25" t="s">
        <v>18</v>
      </c>
      <c r="J9" s="27" t="s">
        <v>11</v>
      </c>
      <c r="K9" s="27" t="s">
        <v>19</v>
      </c>
      <c r="L9" s="28" t="s">
        <v>20</v>
      </c>
      <c r="M9" s="28" t="s">
        <v>21</v>
      </c>
      <c r="N9" s="28" t="s">
        <v>22</v>
      </c>
      <c r="O9" s="32"/>
      <c r="AF9" s="12"/>
      <c r="AG9" s="12"/>
      <c r="AH9" s="12"/>
    </row>
    <row r="10" spans="1:73" ht="24.2" customHeight="1" x14ac:dyDescent="0.2">
      <c r="B10" s="164">
        <v>1</v>
      </c>
      <c r="C10" s="157" t="s">
        <v>28</v>
      </c>
      <c r="D10" s="19" t="e">
        <f>VLOOKUP($B10,#REF!,3,0)</f>
        <v>#REF!</v>
      </c>
      <c r="E10" s="19" t="e">
        <f>VLOOKUP($B10,#REF!,4,0)</f>
        <v>#REF!</v>
      </c>
      <c r="F10" s="19" t="e">
        <f>VLOOKUP($B10,#REF!,5,0)</f>
        <v>#REF!</v>
      </c>
      <c r="G10" s="19" t="e">
        <f>VLOOKUP($B10,#REF!,6,0)</f>
        <v>#REF!</v>
      </c>
      <c r="H10" s="19" t="e">
        <f>VLOOKUP($B10,#REF!,7,0)</f>
        <v>#REF!</v>
      </c>
      <c r="I10" s="19" t="e">
        <f>VLOOKUP($B10,#REF!,8,0)</f>
        <v>#REF!</v>
      </c>
      <c r="J10" s="173">
        <v>925</v>
      </c>
      <c r="K10" s="22" t="s">
        <v>12</v>
      </c>
      <c r="L10" s="35">
        <v>91</v>
      </c>
      <c r="M10" s="35">
        <v>82</v>
      </c>
      <c r="N10" s="44">
        <v>71</v>
      </c>
      <c r="O10" s="40"/>
      <c r="P10" s="13"/>
      <c r="Q10" s="13"/>
      <c r="R10" s="13"/>
      <c r="S10" s="13"/>
      <c r="T10" s="13"/>
      <c r="AF10" s="12"/>
      <c r="AG10" s="12"/>
      <c r="AH10" s="14"/>
      <c r="AI10" s="15"/>
      <c r="AJ10" s="15"/>
      <c r="AK10" s="15"/>
      <c r="AL10" s="15"/>
      <c r="AM10" s="15"/>
      <c r="AN10" s="15"/>
      <c r="AO10" s="15"/>
      <c r="AP10" s="15"/>
      <c r="AQ10" s="15"/>
      <c r="AR10" s="15"/>
      <c r="AS10" s="15"/>
      <c r="AT10" s="15"/>
      <c r="AU10" s="15"/>
      <c r="AV10" s="15"/>
      <c r="AW10" s="15"/>
      <c r="AX10" s="15"/>
      <c r="AY10" s="15"/>
      <c r="AZ10" s="15"/>
      <c r="BA10" s="15"/>
      <c r="BB10" s="15"/>
      <c r="BC10" s="15"/>
      <c r="BD10" s="15"/>
      <c r="BE10" s="15"/>
      <c r="BF10" s="15"/>
      <c r="BG10" s="15"/>
      <c r="BH10" s="15"/>
      <c r="BI10" s="15"/>
      <c r="BJ10" s="15"/>
      <c r="BK10" s="15"/>
      <c r="BL10" s="15"/>
      <c r="BM10" s="15"/>
      <c r="BN10" s="15"/>
      <c r="BO10" s="15"/>
      <c r="BP10" s="15"/>
      <c r="BQ10" s="15"/>
      <c r="BR10" s="15"/>
      <c r="BS10" s="15"/>
      <c r="BT10" s="15"/>
      <c r="BU10" s="15"/>
    </row>
    <row r="11" spans="1:73" ht="24.2" customHeight="1" thickBot="1" x14ac:dyDescent="0.25">
      <c r="B11" s="156"/>
      <c r="C11" s="163"/>
      <c r="D11" s="20" t="e">
        <f>VLOOKUP($B11,#REF!,3,0)</f>
        <v>#REF!</v>
      </c>
      <c r="E11" s="20" t="e">
        <f>VLOOKUP($B11,#REF!,4,0)</f>
        <v>#REF!</v>
      </c>
      <c r="F11" s="20" t="e">
        <f>VLOOKUP($B11,#REF!,5,0)</f>
        <v>#REF!</v>
      </c>
      <c r="G11" s="20" t="e">
        <f>VLOOKUP($B11,#REF!,6,0)</f>
        <v>#REF!</v>
      </c>
      <c r="H11" s="20" t="e">
        <f>VLOOKUP($B11,#REF!,7,0)</f>
        <v>#REF!</v>
      </c>
      <c r="I11" s="20" t="e">
        <f>VLOOKUP($B11,#REF!,8,0)</f>
        <v>#REF!</v>
      </c>
      <c r="J11" s="160"/>
      <c r="K11" s="34" t="s">
        <v>13</v>
      </c>
      <c r="L11" s="36">
        <v>97</v>
      </c>
      <c r="M11" s="36">
        <v>89</v>
      </c>
      <c r="N11" s="36">
        <v>77</v>
      </c>
      <c r="O11" s="41"/>
      <c r="P11" s="13"/>
      <c r="Q11" s="13"/>
      <c r="R11" s="13"/>
      <c r="S11" s="13"/>
      <c r="T11" s="13"/>
      <c r="AF11" s="12"/>
      <c r="AG11" s="12"/>
      <c r="AH11" s="14"/>
      <c r="AI11" s="15"/>
      <c r="AJ11" s="15"/>
      <c r="AK11" s="15"/>
      <c r="AL11" s="15"/>
      <c r="AM11" s="15"/>
      <c r="AN11" s="15"/>
      <c r="AO11" s="15"/>
      <c r="AP11" s="15"/>
      <c r="AQ11" s="15"/>
      <c r="AR11" s="15"/>
      <c r="AS11" s="15"/>
      <c r="AT11" s="15"/>
      <c r="AU11" s="15"/>
      <c r="AV11" s="15"/>
      <c r="AW11" s="15"/>
      <c r="AX11" s="15"/>
      <c r="AY11" s="15"/>
      <c r="AZ11" s="15"/>
      <c r="BA11" s="15"/>
      <c r="BB11" s="15"/>
      <c r="BC11" s="15"/>
      <c r="BD11" s="15"/>
      <c r="BE11" s="15"/>
      <c r="BF11" s="15"/>
      <c r="BG11" s="15"/>
      <c r="BH11" s="15"/>
      <c r="BI11" s="15"/>
      <c r="BJ11" s="15"/>
      <c r="BK11" s="15"/>
      <c r="BL11" s="15"/>
      <c r="BM11" s="15"/>
      <c r="BN11" s="15"/>
      <c r="BO11" s="15"/>
      <c r="BP11" s="15"/>
      <c r="BQ11" s="15"/>
      <c r="BR11" s="15"/>
      <c r="BS11" s="15"/>
      <c r="BT11" s="15"/>
      <c r="BU11" s="15"/>
    </row>
    <row r="12" spans="1:73" ht="24.2" customHeight="1" x14ac:dyDescent="0.2">
      <c r="B12" s="164">
        <v>2</v>
      </c>
      <c r="C12" s="157" t="s">
        <v>29</v>
      </c>
      <c r="D12" s="21" t="e">
        <f>VLOOKUP($B12,#REF!,3,0)</f>
        <v>#REF!</v>
      </c>
      <c r="E12" s="21" t="e">
        <f>VLOOKUP($B12,#REF!,4,0)</f>
        <v>#REF!</v>
      </c>
      <c r="F12" s="21" t="e">
        <f>VLOOKUP($B12,#REF!,5,0)</f>
        <v>#REF!</v>
      </c>
      <c r="G12" s="21" t="e">
        <f>VLOOKUP($B12,#REF!,6,0)</f>
        <v>#REF!</v>
      </c>
      <c r="H12" s="21" t="e">
        <f>VLOOKUP($B12,#REF!,7,0)</f>
        <v>#REF!</v>
      </c>
      <c r="I12" s="21" t="e">
        <f>VLOOKUP($B12,#REF!,8,0)</f>
        <v>#REF!</v>
      </c>
      <c r="J12" s="159"/>
      <c r="K12" s="33" t="s">
        <v>12</v>
      </c>
      <c r="L12" s="35">
        <v>70</v>
      </c>
      <c r="M12" s="35">
        <v>73</v>
      </c>
      <c r="N12" s="35">
        <v>77</v>
      </c>
      <c r="O12" s="42"/>
      <c r="P12" s="13"/>
      <c r="Q12" s="16"/>
      <c r="R12" s="13"/>
      <c r="S12" s="17"/>
      <c r="T12" s="13"/>
      <c r="AF12" s="12"/>
      <c r="AG12" s="12"/>
      <c r="AH12" s="12"/>
      <c r="AI12" s="18"/>
      <c r="AJ12" s="18"/>
      <c r="AK12" s="18"/>
      <c r="AL12" s="18"/>
      <c r="AM12" s="18"/>
      <c r="AN12" s="18"/>
      <c r="AO12" s="18"/>
      <c r="AP12" s="18"/>
      <c r="AQ12" s="18"/>
      <c r="AR12" s="18"/>
      <c r="AS12" s="18"/>
      <c r="AT12" s="18"/>
      <c r="AU12" s="18"/>
      <c r="AV12" s="18"/>
      <c r="AW12" s="18"/>
      <c r="AX12" s="18"/>
      <c r="AY12" s="18"/>
      <c r="AZ12" s="18"/>
      <c r="BA12" s="18"/>
      <c r="BB12" s="18"/>
      <c r="BC12" s="18"/>
      <c r="BD12" s="18"/>
      <c r="BE12" s="18"/>
      <c r="BF12" s="18"/>
      <c r="BG12" s="18"/>
      <c r="BH12" s="18"/>
      <c r="BI12" s="18"/>
      <c r="BJ12" s="18"/>
      <c r="BK12" s="18"/>
      <c r="BL12" s="18"/>
      <c r="BM12" s="18"/>
      <c r="BN12" s="18"/>
      <c r="BO12" s="18"/>
      <c r="BP12" s="18"/>
      <c r="BQ12" s="18"/>
      <c r="BR12" s="18"/>
      <c r="BS12" s="18"/>
      <c r="BT12" s="18"/>
      <c r="BU12" s="18"/>
    </row>
    <row r="13" spans="1:73" ht="24.2" customHeight="1" thickBot="1" x14ac:dyDescent="0.25">
      <c r="B13" s="156"/>
      <c r="C13" s="158"/>
      <c r="D13" s="20" t="e">
        <f>VLOOKUP($B13,#REF!,3,0)</f>
        <v>#REF!</v>
      </c>
      <c r="E13" s="20" t="e">
        <f>VLOOKUP($B13,#REF!,4,0)</f>
        <v>#REF!</v>
      </c>
      <c r="F13" s="20" t="e">
        <f>VLOOKUP($B13,#REF!,5,0)</f>
        <v>#REF!</v>
      </c>
      <c r="G13" s="20" t="e">
        <f>VLOOKUP($B13,#REF!,6,0)</f>
        <v>#REF!</v>
      </c>
      <c r="H13" s="20" t="e">
        <f>VLOOKUP($B13,#REF!,7,0)</f>
        <v>#REF!</v>
      </c>
      <c r="I13" s="20" t="e">
        <f>VLOOKUP($B13,#REF!,8,0)</f>
        <v>#REF!</v>
      </c>
      <c r="J13" s="160"/>
      <c r="K13" s="34" t="s">
        <v>13</v>
      </c>
      <c r="L13" s="37">
        <v>88</v>
      </c>
      <c r="M13" s="36">
        <v>91</v>
      </c>
      <c r="N13" s="36">
        <v>92</v>
      </c>
      <c r="O13" s="43"/>
      <c r="P13" s="13"/>
      <c r="Q13" s="13"/>
      <c r="R13" s="13"/>
      <c r="S13" s="13"/>
      <c r="T13" s="13"/>
      <c r="AF13" s="12"/>
      <c r="AG13" s="12"/>
      <c r="AH13" s="14"/>
      <c r="AI13" s="15"/>
      <c r="AJ13" s="15"/>
      <c r="AK13" s="15"/>
      <c r="AL13" s="15"/>
      <c r="AM13" s="15"/>
      <c r="AN13" s="15"/>
      <c r="AO13" s="15"/>
      <c r="AP13" s="15"/>
      <c r="AQ13" s="15"/>
      <c r="AR13" s="15"/>
      <c r="AS13" s="15"/>
      <c r="AT13" s="15"/>
      <c r="AU13" s="15"/>
      <c r="AV13" s="15"/>
      <c r="AW13" s="15"/>
      <c r="AX13" s="15"/>
      <c r="AY13" s="15"/>
      <c r="AZ13" s="15"/>
      <c r="BA13" s="15"/>
      <c r="BB13" s="15"/>
      <c r="BC13" s="15"/>
      <c r="BD13" s="15"/>
      <c r="BE13" s="15"/>
      <c r="BF13" s="15"/>
      <c r="BG13" s="15"/>
      <c r="BH13" s="15"/>
      <c r="BI13" s="15"/>
      <c r="BJ13" s="15"/>
      <c r="BK13" s="15"/>
      <c r="BL13" s="15"/>
      <c r="BM13" s="15"/>
      <c r="BN13" s="15"/>
      <c r="BO13" s="15"/>
      <c r="BP13" s="15"/>
      <c r="BQ13" s="15"/>
      <c r="BR13" s="15"/>
      <c r="BS13" s="15"/>
      <c r="BT13" s="15"/>
      <c r="BU13" s="15"/>
    </row>
    <row r="14" spans="1:73" ht="24.2" customHeight="1" x14ac:dyDescent="0.2">
      <c r="B14" s="164">
        <v>3</v>
      </c>
      <c r="C14" s="157" t="s">
        <v>28</v>
      </c>
      <c r="D14" s="19" t="e">
        <f>VLOOKUP($B14,#REF!,3,0)</f>
        <v>#REF!</v>
      </c>
      <c r="E14" s="19" t="e">
        <f>VLOOKUP($B14,#REF!,4,0)</f>
        <v>#REF!</v>
      </c>
      <c r="F14" s="19" t="e">
        <f>VLOOKUP($B14,#REF!,5,0)</f>
        <v>#REF!</v>
      </c>
      <c r="G14" s="19" t="e">
        <f>VLOOKUP($B14,#REF!,6,0)</f>
        <v>#REF!</v>
      </c>
      <c r="H14" s="19" t="e">
        <f>VLOOKUP($B14,#REF!,7,0)</f>
        <v>#REF!</v>
      </c>
      <c r="I14" s="19" t="e">
        <f>VLOOKUP($B14,#REF!,8,0)</f>
        <v>#REF!</v>
      </c>
      <c r="J14" s="159"/>
      <c r="K14" s="22" t="s">
        <v>12</v>
      </c>
      <c r="L14" s="35">
        <v>64</v>
      </c>
      <c r="M14" s="35">
        <v>50</v>
      </c>
      <c r="N14" s="35">
        <v>56</v>
      </c>
      <c r="O14" s="161"/>
      <c r="P14" s="13"/>
      <c r="Q14" s="13"/>
      <c r="R14" s="13"/>
      <c r="S14" s="13"/>
      <c r="T14" s="13"/>
      <c r="AF14" s="12"/>
      <c r="AG14" s="12"/>
      <c r="AH14" s="12"/>
    </row>
    <row r="15" spans="1:73" ht="24.2" customHeight="1" thickBot="1" x14ac:dyDescent="0.25">
      <c r="B15" s="156"/>
      <c r="C15" s="163"/>
      <c r="D15" s="20" t="e">
        <f>VLOOKUP($B15,#REF!,3,0)</f>
        <v>#REF!</v>
      </c>
      <c r="E15" s="20" t="e">
        <f>VLOOKUP($B15,#REF!,4,0)</f>
        <v>#REF!</v>
      </c>
      <c r="F15" s="20" t="e">
        <f>VLOOKUP($B15,#REF!,5,0)</f>
        <v>#REF!</v>
      </c>
      <c r="G15" s="20" t="e">
        <f>VLOOKUP($B15,#REF!,6,0)</f>
        <v>#REF!</v>
      </c>
      <c r="H15" s="20" t="e">
        <f>VLOOKUP($B15,#REF!,7,0)</f>
        <v>#REF!</v>
      </c>
      <c r="I15" s="20" t="e">
        <f>VLOOKUP($B15,#REF!,8,0)</f>
        <v>#REF!</v>
      </c>
      <c r="J15" s="160"/>
      <c r="K15" s="34" t="s">
        <v>13</v>
      </c>
      <c r="L15" s="36">
        <v>78</v>
      </c>
      <c r="M15" s="36">
        <v>76</v>
      </c>
      <c r="N15" s="36">
        <v>70</v>
      </c>
      <c r="O15" s="162"/>
      <c r="P15" s="13"/>
      <c r="Q15" s="13"/>
      <c r="R15" s="13"/>
      <c r="S15" s="13"/>
      <c r="T15" s="13"/>
      <c r="AF15" s="12"/>
      <c r="AG15" s="12"/>
      <c r="AH15" s="14"/>
      <c r="AI15" s="15"/>
      <c r="AJ15" s="15"/>
      <c r="AK15" s="15"/>
      <c r="AL15" s="15"/>
      <c r="AM15" s="15"/>
      <c r="AN15" s="15"/>
      <c r="AO15" s="15"/>
      <c r="AP15" s="15"/>
      <c r="AQ15" s="15"/>
      <c r="AR15" s="15"/>
      <c r="AS15" s="15"/>
      <c r="AT15" s="15"/>
      <c r="AU15" s="15"/>
      <c r="AV15" s="15"/>
      <c r="AW15" s="15"/>
      <c r="AX15" s="15"/>
      <c r="AY15" s="15"/>
      <c r="AZ15" s="15"/>
      <c r="BA15" s="15"/>
      <c r="BB15" s="15"/>
      <c r="BC15" s="15"/>
      <c r="BD15" s="15"/>
      <c r="BE15" s="15"/>
      <c r="BF15" s="15"/>
      <c r="BG15" s="15"/>
      <c r="BH15" s="15"/>
      <c r="BI15" s="15"/>
      <c r="BJ15" s="15"/>
      <c r="BK15" s="15"/>
      <c r="BL15" s="15"/>
      <c r="BM15" s="15"/>
      <c r="BN15" s="15"/>
      <c r="BO15" s="15"/>
      <c r="BP15" s="15"/>
      <c r="BQ15" s="15"/>
      <c r="BR15" s="15"/>
      <c r="BS15" s="15"/>
      <c r="BT15" s="15"/>
      <c r="BU15" s="15"/>
    </row>
    <row r="16" spans="1:73" ht="24.2" customHeight="1" x14ac:dyDescent="0.2">
      <c r="B16" s="164">
        <v>4</v>
      </c>
      <c r="C16" s="157" t="s">
        <v>29</v>
      </c>
      <c r="D16" s="19" t="e">
        <f>VLOOKUP($B16,#REF!,3,0)</f>
        <v>#REF!</v>
      </c>
      <c r="E16" s="19" t="e">
        <f>VLOOKUP($B16,#REF!,4,0)</f>
        <v>#REF!</v>
      </c>
      <c r="F16" s="19" t="e">
        <f>VLOOKUP($B16,#REF!,5,0)</f>
        <v>#REF!</v>
      </c>
      <c r="G16" s="19" t="e">
        <f>VLOOKUP($B16,#REF!,6,0)</f>
        <v>#REF!</v>
      </c>
      <c r="H16" s="19" t="e">
        <f>VLOOKUP($B16,#REF!,7,0)</f>
        <v>#REF!</v>
      </c>
      <c r="I16" s="19" t="e">
        <f>VLOOKUP($B16,#REF!,8,0)</f>
        <v>#REF!</v>
      </c>
      <c r="J16" s="159"/>
      <c r="K16" s="22" t="s">
        <v>12</v>
      </c>
      <c r="L16" s="35">
        <v>90</v>
      </c>
      <c r="M16" s="35">
        <v>83</v>
      </c>
      <c r="N16" s="44">
        <v>76</v>
      </c>
      <c r="O16" s="161"/>
      <c r="P16" s="13"/>
      <c r="Q16" s="13"/>
      <c r="R16" s="13"/>
      <c r="S16" s="13"/>
      <c r="T16" s="13"/>
    </row>
    <row r="17" spans="2:73" ht="24.2" customHeight="1" thickBot="1" x14ac:dyDescent="0.25">
      <c r="B17" s="156"/>
      <c r="C17" s="158"/>
      <c r="D17" s="20" t="e">
        <f>VLOOKUP($B17,#REF!,3,0)</f>
        <v>#REF!</v>
      </c>
      <c r="E17" s="20" t="e">
        <f>VLOOKUP($B17,#REF!,4,0)</f>
        <v>#REF!</v>
      </c>
      <c r="F17" s="20" t="e">
        <f>VLOOKUP($B17,#REF!,5,0)</f>
        <v>#REF!</v>
      </c>
      <c r="G17" s="20" t="e">
        <f>VLOOKUP($B17,#REF!,6,0)</f>
        <v>#REF!</v>
      </c>
      <c r="H17" s="20" t="e">
        <f>VLOOKUP($B17,#REF!,7,0)</f>
        <v>#REF!</v>
      </c>
      <c r="I17" s="20" t="e">
        <f>VLOOKUP($B17,#REF!,8,0)</f>
        <v>#REF!</v>
      </c>
      <c r="J17" s="160"/>
      <c r="K17" s="34" t="s">
        <v>13</v>
      </c>
      <c r="L17" s="36">
        <v>101</v>
      </c>
      <c r="M17" s="36">
        <v>97</v>
      </c>
      <c r="N17" s="36">
        <v>93</v>
      </c>
      <c r="O17" s="162"/>
      <c r="P17" s="13"/>
      <c r="Q17" s="13"/>
      <c r="R17" s="13"/>
      <c r="S17" s="13"/>
      <c r="T17" s="13"/>
      <c r="AF17" s="12"/>
      <c r="AG17" s="12"/>
      <c r="AH17" s="14"/>
      <c r="AI17" s="15"/>
      <c r="AJ17" s="15"/>
      <c r="AK17" s="15"/>
      <c r="AL17" s="15"/>
      <c r="AM17" s="15"/>
      <c r="AN17" s="15"/>
      <c r="AO17" s="15"/>
      <c r="AP17" s="15"/>
      <c r="AQ17" s="15"/>
      <c r="AR17" s="15"/>
      <c r="AS17" s="15"/>
      <c r="AT17" s="15"/>
      <c r="AU17" s="15"/>
      <c r="AV17" s="15"/>
      <c r="AW17" s="15"/>
      <c r="AX17" s="15"/>
      <c r="AY17" s="15"/>
      <c r="AZ17" s="15"/>
      <c r="BA17" s="15"/>
      <c r="BB17" s="15"/>
      <c r="BC17" s="15"/>
      <c r="BD17" s="15"/>
      <c r="BE17" s="15"/>
      <c r="BF17" s="15"/>
      <c r="BG17" s="15"/>
      <c r="BH17" s="15"/>
      <c r="BI17" s="15"/>
      <c r="BJ17" s="15"/>
      <c r="BK17" s="15"/>
      <c r="BL17" s="15"/>
      <c r="BM17" s="15"/>
      <c r="BN17" s="15"/>
      <c r="BO17" s="15"/>
      <c r="BP17" s="15"/>
      <c r="BQ17" s="15"/>
      <c r="BR17" s="15"/>
      <c r="BS17" s="15"/>
      <c r="BT17" s="15"/>
      <c r="BU17" s="15"/>
    </row>
    <row r="18" spans="2:73" ht="24.2" customHeight="1" x14ac:dyDescent="0.2">
      <c r="B18" s="164">
        <v>5</v>
      </c>
      <c r="C18" s="157" t="s">
        <v>28</v>
      </c>
      <c r="D18" s="19" t="e">
        <f>VLOOKUP($B18,#REF!,3,0)</f>
        <v>#REF!</v>
      </c>
      <c r="E18" s="19" t="e">
        <f>VLOOKUP($B18,#REF!,4,0)</f>
        <v>#REF!</v>
      </c>
      <c r="F18" s="19" t="e">
        <f>VLOOKUP($B18,#REF!,5,0)</f>
        <v>#REF!</v>
      </c>
      <c r="G18" s="19" t="e">
        <f>VLOOKUP($B18,#REF!,6,0)</f>
        <v>#REF!</v>
      </c>
      <c r="H18" s="19" t="e">
        <f>VLOOKUP($B18,#REF!,7,0)</f>
        <v>#REF!</v>
      </c>
      <c r="I18" s="19" t="e">
        <f>VLOOKUP($B18,#REF!,8,0)</f>
        <v>#REF!</v>
      </c>
      <c r="J18" s="159"/>
      <c r="K18" s="22" t="s">
        <v>12</v>
      </c>
      <c r="L18" s="44">
        <v>76</v>
      </c>
      <c r="M18" s="35">
        <v>83</v>
      </c>
      <c r="N18" s="44">
        <v>75</v>
      </c>
      <c r="O18" s="161"/>
      <c r="P18" s="13"/>
      <c r="Q18" s="13"/>
      <c r="R18" s="13"/>
      <c r="S18" s="13"/>
      <c r="T18" s="13"/>
      <c r="AF18" s="12"/>
      <c r="AG18" s="12"/>
      <c r="AH18" s="12"/>
    </row>
    <row r="19" spans="2:73" ht="24.2" customHeight="1" thickBot="1" x14ac:dyDescent="0.25">
      <c r="B19" s="156"/>
      <c r="C19" s="163"/>
      <c r="D19" s="20" t="e">
        <f>VLOOKUP($B19,#REF!,3,0)</f>
        <v>#REF!</v>
      </c>
      <c r="E19" s="20" t="e">
        <f>VLOOKUP($B19,#REF!,4,0)</f>
        <v>#REF!</v>
      </c>
      <c r="F19" s="20" t="e">
        <f>VLOOKUP($B19,#REF!,5,0)</f>
        <v>#REF!</v>
      </c>
      <c r="G19" s="20" t="e">
        <f>VLOOKUP($B19,#REF!,6,0)</f>
        <v>#REF!</v>
      </c>
      <c r="H19" s="20" t="e">
        <f>VLOOKUP($B19,#REF!,7,0)</f>
        <v>#REF!</v>
      </c>
      <c r="I19" s="20" t="e">
        <f>VLOOKUP($B19,#REF!,8,0)</f>
        <v>#REF!</v>
      </c>
      <c r="J19" s="160"/>
      <c r="K19" s="34" t="s">
        <v>13</v>
      </c>
      <c r="L19" s="36">
        <v>88</v>
      </c>
      <c r="M19" s="36">
        <v>96</v>
      </c>
      <c r="N19" s="36">
        <v>94</v>
      </c>
      <c r="O19" s="162"/>
      <c r="P19" s="13"/>
      <c r="Q19" s="13"/>
      <c r="R19" s="13"/>
      <c r="S19" s="13"/>
      <c r="T19" s="13"/>
      <c r="AF19" s="12"/>
      <c r="AG19" s="12"/>
      <c r="AH19" s="14"/>
      <c r="AI19" s="15"/>
      <c r="AJ19" s="15"/>
      <c r="AK19" s="15"/>
      <c r="AL19" s="15"/>
      <c r="AM19" s="15"/>
      <c r="AN19" s="15"/>
      <c r="AO19" s="15"/>
      <c r="AP19" s="15"/>
      <c r="AQ19" s="15"/>
      <c r="AR19" s="15"/>
      <c r="AS19" s="15"/>
      <c r="AT19" s="15"/>
      <c r="AU19" s="15"/>
      <c r="AV19" s="15"/>
      <c r="AW19" s="15"/>
      <c r="AX19" s="15"/>
      <c r="AY19" s="15"/>
      <c r="AZ19" s="15"/>
      <c r="BA19" s="15"/>
      <c r="BB19" s="15"/>
      <c r="BC19" s="15"/>
      <c r="BD19" s="15"/>
      <c r="BE19" s="15"/>
      <c r="BF19" s="15"/>
      <c r="BG19" s="15"/>
      <c r="BH19" s="15"/>
      <c r="BI19" s="15"/>
      <c r="BJ19" s="15"/>
      <c r="BK19" s="15"/>
      <c r="BL19" s="15"/>
      <c r="BM19" s="15"/>
      <c r="BN19" s="15"/>
      <c r="BO19" s="15"/>
      <c r="BP19" s="15"/>
      <c r="BQ19" s="15"/>
      <c r="BR19" s="15"/>
      <c r="BS19" s="15"/>
      <c r="BT19" s="15"/>
      <c r="BU19" s="15"/>
    </row>
    <row r="20" spans="2:73" ht="24.2" customHeight="1" x14ac:dyDescent="0.2">
      <c r="B20" s="164">
        <v>6</v>
      </c>
      <c r="C20" s="157" t="s">
        <v>29</v>
      </c>
      <c r="D20" s="19" t="e">
        <f>VLOOKUP($B20,#REF!,3,0)</f>
        <v>#REF!</v>
      </c>
      <c r="E20" s="19" t="e">
        <f>VLOOKUP($B20,#REF!,4,0)</f>
        <v>#REF!</v>
      </c>
      <c r="F20" s="19" t="e">
        <f>VLOOKUP($B20,#REF!,5,0)</f>
        <v>#REF!</v>
      </c>
      <c r="G20" s="19" t="e">
        <f>VLOOKUP($B20,#REF!,6,0)</f>
        <v>#REF!</v>
      </c>
      <c r="H20" s="19" t="e">
        <f>VLOOKUP($B20,#REF!,7,0)</f>
        <v>#REF!</v>
      </c>
      <c r="I20" s="19" t="e">
        <f>VLOOKUP($B20,#REF!,8,0)</f>
        <v>#REF!</v>
      </c>
      <c r="J20" s="159"/>
      <c r="K20" s="22" t="s">
        <v>12</v>
      </c>
      <c r="L20" s="35">
        <v>74</v>
      </c>
      <c r="M20" s="35">
        <v>77</v>
      </c>
      <c r="N20" s="35">
        <v>66</v>
      </c>
      <c r="O20" s="161"/>
      <c r="P20" s="13"/>
      <c r="Q20" s="13"/>
      <c r="R20" s="13"/>
      <c r="S20" s="13"/>
      <c r="T20" s="13"/>
      <c r="AF20" s="12"/>
      <c r="AG20" s="12"/>
      <c r="AH20" s="12"/>
    </row>
    <row r="21" spans="2:73" ht="24.2" customHeight="1" thickBot="1" x14ac:dyDescent="0.25">
      <c r="B21" s="156"/>
      <c r="C21" s="158"/>
      <c r="D21" s="20" t="e">
        <f>VLOOKUP($B21,#REF!,3,0)</f>
        <v>#REF!</v>
      </c>
      <c r="E21" s="20" t="e">
        <f>VLOOKUP($B21,#REF!,4,0)</f>
        <v>#REF!</v>
      </c>
      <c r="F21" s="20" t="e">
        <f>VLOOKUP($B21,#REF!,5,0)</f>
        <v>#REF!</v>
      </c>
      <c r="G21" s="20" t="e">
        <f>VLOOKUP($B21,#REF!,6,0)</f>
        <v>#REF!</v>
      </c>
      <c r="H21" s="20" t="e">
        <f>VLOOKUP($B21,#REF!,7,0)</f>
        <v>#REF!</v>
      </c>
      <c r="I21" s="20" t="e">
        <f>VLOOKUP($B21,#REF!,8,0)</f>
        <v>#REF!</v>
      </c>
      <c r="J21" s="160"/>
      <c r="K21" s="34" t="s">
        <v>13</v>
      </c>
      <c r="L21" s="36">
        <v>86</v>
      </c>
      <c r="M21" s="36">
        <v>90</v>
      </c>
      <c r="N21" s="36">
        <v>82</v>
      </c>
      <c r="O21" s="162"/>
      <c r="P21" s="13"/>
      <c r="Q21" s="13"/>
      <c r="R21" s="13"/>
      <c r="S21" s="13"/>
      <c r="T21" s="13"/>
      <c r="AF21" s="12"/>
      <c r="AG21" s="12"/>
      <c r="AH21" s="14"/>
      <c r="AI21" s="15"/>
      <c r="AJ21" s="15"/>
      <c r="AK21" s="15"/>
      <c r="AL21" s="15"/>
      <c r="AM21" s="15"/>
      <c r="AN21" s="15"/>
      <c r="AO21" s="15"/>
      <c r="AP21" s="15"/>
      <c r="AQ21" s="15"/>
      <c r="AR21" s="15"/>
      <c r="AS21" s="15"/>
      <c r="AT21" s="15"/>
      <c r="AU21" s="15"/>
      <c r="AV21" s="15"/>
      <c r="AW21" s="15"/>
      <c r="AX21" s="15"/>
      <c r="AY21" s="15"/>
      <c r="AZ21" s="15"/>
      <c r="BA21" s="15"/>
      <c r="BB21" s="15"/>
      <c r="BC21" s="15"/>
      <c r="BD21" s="15"/>
      <c r="BE21" s="15"/>
      <c r="BF21" s="15"/>
      <c r="BG21" s="15"/>
      <c r="BH21" s="15"/>
      <c r="BI21" s="15"/>
      <c r="BJ21" s="15"/>
      <c r="BK21" s="15"/>
      <c r="BL21" s="15"/>
      <c r="BM21" s="15"/>
      <c r="BN21" s="15"/>
      <c r="BO21" s="15"/>
      <c r="BP21" s="15"/>
      <c r="BQ21" s="15"/>
      <c r="BR21" s="15"/>
      <c r="BS21" s="15"/>
      <c r="BT21" s="15"/>
      <c r="BU21" s="15"/>
    </row>
    <row r="22" spans="2:73" ht="24.2" customHeight="1" x14ac:dyDescent="0.2">
      <c r="B22" s="164">
        <v>7</v>
      </c>
      <c r="C22" s="157" t="s">
        <v>28</v>
      </c>
      <c r="D22" s="19" t="e">
        <f>VLOOKUP($B22,#REF!,3,0)</f>
        <v>#REF!</v>
      </c>
      <c r="E22" s="19" t="e">
        <f>VLOOKUP($B22,#REF!,4,0)</f>
        <v>#REF!</v>
      </c>
      <c r="F22" s="19" t="e">
        <f>VLOOKUP($B22,#REF!,5,0)</f>
        <v>#REF!</v>
      </c>
      <c r="G22" s="19" t="e">
        <f>VLOOKUP($B22,#REF!,6,0)</f>
        <v>#REF!</v>
      </c>
      <c r="H22" s="19" t="e">
        <f>VLOOKUP($B22,#REF!,7,0)</f>
        <v>#REF!</v>
      </c>
      <c r="I22" s="19" t="e">
        <f>VLOOKUP($B22,#REF!,8,0)</f>
        <v>#REF!</v>
      </c>
      <c r="J22" s="159"/>
      <c r="K22" s="22" t="s">
        <v>12</v>
      </c>
      <c r="L22" s="35">
        <v>80</v>
      </c>
      <c r="M22" s="35">
        <v>78</v>
      </c>
      <c r="N22" s="35">
        <v>76</v>
      </c>
      <c r="O22" s="161"/>
      <c r="P22" s="13"/>
      <c r="Q22" s="13"/>
      <c r="R22" s="13"/>
      <c r="S22" s="13"/>
      <c r="T22" s="13"/>
      <c r="AF22" s="12"/>
      <c r="AG22" s="12"/>
      <c r="AH22" s="12"/>
    </row>
    <row r="23" spans="2:73" ht="24.2" customHeight="1" thickBot="1" x14ac:dyDescent="0.25">
      <c r="B23" s="156"/>
      <c r="C23" s="163"/>
      <c r="D23" s="20" t="e">
        <f>VLOOKUP($B23,#REF!,3,0)</f>
        <v>#REF!</v>
      </c>
      <c r="E23" s="20" t="e">
        <f>VLOOKUP($B23,#REF!,4,0)</f>
        <v>#REF!</v>
      </c>
      <c r="F23" s="20" t="e">
        <f>VLOOKUP($B23,#REF!,5,0)</f>
        <v>#REF!</v>
      </c>
      <c r="G23" s="20" t="e">
        <f>VLOOKUP($B23,#REF!,6,0)</f>
        <v>#REF!</v>
      </c>
      <c r="H23" s="20" t="e">
        <f>VLOOKUP($B23,#REF!,7,0)</f>
        <v>#REF!</v>
      </c>
      <c r="I23" s="20" t="e">
        <f>VLOOKUP($B23,#REF!,8,0)</f>
        <v>#REF!</v>
      </c>
      <c r="J23" s="160"/>
      <c r="K23" s="34" t="s">
        <v>13</v>
      </c>
      <c r="L23" s="36">
        <v>101</v>
      </c>
      <c r="M23" s="36">
        <v>101</v>
      </c>
      <c r="N23" s="36">
        <v>93</v>
      </c>
      <c r="O23" s="162"/>
      <c r="P23" s="13"/>
      <c r="Q23" s="13"/>
      <c r="R23" s="13"/>
      <c r="S23" s="13"/>
      <c r="T23" s="13"/>
      <c r="AF23" s="12"/>
      <c r="AG23" s="12"/>
      <c r="AH23" s="14"/>
      <c r="AI23" s="15"/>
      <c r="AJ23" s="15"/>
      <c r="AK23" s="15"/>
      <c r="AL23" s="15"/>
      <c r="AM23" s="15"/>
      <c r="AN23" s="15"/>
      <c r="AO23" s="15"/>
      <c r="AP23" s="15"/>
      <c r="AQ23" s="15"/>
      <c r="AR23" s="15"/>
      <c r="AS23" s="15"/>
      <c r="AT23" s="15"/>
      <c r="AU23" s="15"/>
      <c r="AV23" s="15"/>
      <c r="AW23" s="15"/>
      <c r="AX23" s="15"/>
      <c r="AY23" s="15"/>
      <c r="AZ23" s="15"/>
      <c r="BA23" s="15"/>
      <c r="BB23" s="15"/>
      <c r="BC23" s="15"/>
      <c r="BD23" s="15"/>
      <c r="BE23" s="15"/>
      <c r="BF23" s="15"/>
      <c r="BG23" s="15"/>
      <c r="BH23" s="15"/>
      <c r="BI23" s="15"/>
      <c r="BJ23" s="15"/>
      <c r="BK23" s="15"/>
      <c r="BL23" s="15"/>
      <c r="BM23" s="15"/>
      <c r="BN23" s="15"/>
      <c r="BO23" s="15"/>
      <c r="BP23" s="15"/>
      <c r="BQ23" s="15"/>
      <c r="BR23" s="15"/>
      <c r="BS23" s="15"/>
      <c r="BT23" s="15"/>
      <c r="BU23" s="15"/>
    </row>
    <row r="24" spans="2:73" ht="24.2" customHeight="1" x14ac:dyDescent="0.2">
      <c r="B24" s="164">
        <v>8</v>
      </c>
      <c r="C24" s="157" t="s">
        <v>29</v>
      </c>
      <c r="D24" s="19" t="e">
        <f>VLOOKUP($B24,#REF!,3,0)</f>
        <v>#REF!</v>
      </c>
      <c r="E24" s="19" t="e">
        <f>VLOOKUP($B24,#REF!,4,0)</f>
        <v>#REF!</v>
      </c>
      <c r="F24" s="19" t="e">
        <f>VLOOKUP($B24,#REF!,5,0)</f>
        <v>#REF!</v>
      </c>
      <c r="G24" s="19" t="e">
        <f>VLOOKUP($B24,#REF!,6,0)</f>
        <v>#REF!</v>
      </c>
      <c r="H24" s="19" t="e">
        <f>VLOOKUP($B24,#REF!,7,0)</f>
        <v>#REF!</v>
      </c>
      <c r="I24" s="19" t="e">
        <f>VLOOKUP($B24,#REF!,8,0)</f>
        <v>#REF!</v>
      </c>
      <c r="J24" s="159"/>
      <c r="K24" s="22" t="s">
        <v>12</v>
      </c>
      <c r="L24" s="35">
        <v>87</v>
      </c>
      <c r="M24" s="35">
        <v>90</v>
      </c>
      <c r="N24" s="35">
        <v>89</v>
      </c>
      <c r="O24" s="161"/>
      <c r="P24" s="13"/>
      <c r="Q24" s="13"/>
      <c r="R24" s="13"/>
      <c r="S24" s="13"/>
      <c r="T24" s="13"/>
      <c r="AF24" s="9"/>
      <c r="AG24" s="9"/>
      <c r="AH24" s="9"/>
    </row>
    <row r="25" spans="2:73" ht="24.2" customHeight="1" thickBot="1" x14ac:dyDescent="0.25">
      <c r="B25" s="156"/>
      <c r="C25" s="158"/>
      <c r="D25" s="20" t="e">
        <f>VLOOKUP($B25,#REF!,3,0)</f>
        <v>#REF!</v>
      </c>
      <c r="E25" s="20" t="e">
        <f>VLOOKUP($B25,#REF!,4,0)</f>
        <v>#REF!</v>
      </c>
      <c r="F25" s="20" t="e">
        <f>VLOOKUP($B25,#REF!,5,0)</f>
        <v>#REF!</v>
      </c>
      <c r="G25" s="20" t="e">
        <f>VLOOKUP($B25,#REF!,6,0)</f>
        <v>#REF!</v>
      </c>
      <c r="H25" s="20" t="e">
        <f>VLOOKUP($B25,#REF!,7,0)</f>
        <v>#REF!</v>
      </c>
      <c r="I25" s="20" t="e">
        <f>VLOOKUP($B25,#REF!,8,0)</f>
        <v>#REF!</v>
      </c>
      <c r="J25" s="160"/>
      <c r="K25" s="34" t="s">
        <v>13</v>
      </c>
      <c r="L25" s="36">
        <v>100</v>
      </c>
      <c r="M25" s="36">
        <v>102</v>
      </c>
      <c r="N25" s="36">
        <v>101</v>
      </c>
      <c r="O25" s="162"/>
      <c r="P25" s="13"/>
      <c r="Q25" s="13"/>
      <c r="R25" s="13"/>
      <c r="S25" s="13"/>
      <c r="T25" s="13"/>
      <c r="AF25" s="12"/>
      <c r="AG25" s="12"/>
      <c r="AH25" s="14"/>
      <c r="AI25" s="15"/>
      <c r="AJ25" s="15"/>
      <c r="AK25" s="15"/>
      <c r="AL25" s="15"/>
      <c r="AM25" s="15"/>
      <c r="AN25" s="15"/>
      <c r="AO25" s="15"/>
      <c r="AP25" s="15"/>
      <c r="AQ25" s="15"/>
      <c r="AR25" s="15"/>
      <c r="AS25" s="15"/>
      <c r="AT25" s="15"/>
      <c r="AU25" s="15"/>
      <c r="AV25" s="15"/>
      <c r="AW25" s="15"/>
      <c r="AX25" s="15"/>
      <c r="AY25" s="15"/>
      <c r="AZ25" s="15"/>
      <c r="BA25" s="15"/>
      <c r="BB25" s="15"/>
      <c r="BC25" s="15"/>
      <c r="BD25" s="15"/>
      <c r="BE25" s="15"/>
      <c r="BF25" s="15"/>
      <c r="BG25" s="15"/>
      <c r="BH25" s="15"/>
      <c r="BI25" s="15"/>
      <c r="BJ25" s="15"/>
      <c r="BK25" s="15"/>
      <c r="BL25" s="15"/>
      <c r="BM25" s="15"/>
      <c r="BN25" s="15"/>
      <c r="BO25" s="15"/>
      <c r="BP25" s="15"/>
      <c r="BQ25" s="15"/>
      <c r="BR25" s="15"/>
      <c r="BS25" s="15"/>
      <c r="BT25" s="15"/>
      <c r="BU25" s="15"/>
    </row>
    <row r="26" spans="2:73" ht="24.2" customHeight="1" x14ac:dyDescent="0.2">
      <c r="B26" s="164">
        <v>9</v>
      </c>
      <c r="C26" s="157" t="s">
        <v>28</v>
      </c>
      <c r="D26" s="19" t="e">
        <f>VLOOKUP($B26,#REF!,3,0)</f>
        <v>#REF!</v>
      </c>
      <c r="E26" s="19" t="e">
        <f>VLOOKUP($B26,#REF!,4,0)</f>
        <v>#REF!</v>
      </c>
      <c r="F26" s="19" t="e">
        <f>VLOOKUP($B26,#REF!,5,0)</f>
        <v>#REF!</v>
      </c>
      <c r="G26" s="19" t="e">
        <f>VLOOKUP($B26,#REF!,6,0)</f>
        <v>#REF!</v>
      </c>
      <c r="H26" s="19" t="e">
        <f>VLOOKUP($B26,#REF!,7,0)</f>
        <v>#REF!</v>
      </c>
      <c r="I26" s="19" t="e">
        <f>VLOOKUP($B26,#REF!,8,0)</f>
        <v>#REF!</v>
      </c>
      <c r="J26" s="159">
        <v>1050</v>
      </c>
      <c r="K26" s="22" t="s">
        <v>12</v>
      </c>
      <c r="L26" s="35">
        <v>64</v>
      </c>
      <c r="M26" s="35">
        <v>65</v>
      </c>
      <c r="N26" s="35">
        <v>66</v>
      </c>
      <c r="O26" s="161"/>
      <c r="P26" s="13"/>
      <c r="Q26" s="13"/>
      <c r="R26" s="13"/>
      <c r="S26" s="13"/>
      <c r="T26" s="13"/>
      <c r="AF26" s="12"/>
      <c r="AG26" s="12"/>
      <c r="AH26" s="12"/>
    </row>
    <row r="27" spans="2:73" ht="24.2" customHeight="1" thickBot="1" x14ac:dyDescent="0.25">
      <c r="B27" s="156"/>
      <c r="C27" s="163"/>
      <c r="D27" s="20" t="e">
        <f>VLOOKUP($B27,#REF!,3,0)</f>
        <v>#REF!</v>
      </c>
      <c r="E27" s="20" t="e">
        <f>VLOOKUP($B27,#REF!,4,0)</f>
        <v>#REF!</v>
      </c>
      <c r="F27" s="20" t="e">
        <f>VLOOKUP($B27,#REF!,5,0)</f>
        <v>#REF!</v>
      </c>
      <c r="G27" s="20" t="e">
        <f>VLOOKUP($B27,#REF!,6,0)</f>
        <v>#REF!</v>
      </c>
      <c r="H27" s="20" t="e">
        <f>VLOOKUP($B27,#REF!,7,0)</f>
        <v>#REF!</v>
      </c>
      <c r="I27" s="20" t="e">
        <f>VLOOKUP($B27,#REF!,8,0)</f>
        <v>#REF!</v>
      </c>
      <c r="J27" s="160"/>
      <c r="K27" s="34" t="s">
        <v>13</v>
      </c>
      <c r="L27" s="36">
        <v>87</v>
      </c>
      <c r="M27" s="36">
        <v>85</v>
      </c>
      <c r="N27" s="36">
        <v>82</v>
      </c>
      <c r="O27" s="162"/>
      <c r="P27" s="13"/>
      <c r="Q27" s="13"/>
      <c r="R27" s="13"/>
      <c r="S27" s="13"/>
      <c r="T27" s="13"/>
      <c r="AF27" s="12"/>
      <c r="AG27" s="12"/>
      <c r="AH27" s="14"/>
      <c r="AI27" s="15"/>
      <c r="AJ27" s="15"/>
      <c r="AK27" s="15"/>
      <c r="AL27" s="15"/>
      <c r="AM27" s="15"/>
      <c r="AN27" s="15"/>
      <c r="AO27" s="15"/>
      <c r="AP27" s="15"/>
      <c r="AQ27" s="15"/>
      <c r="AR27" s="15"/>
      <c r="AS27" s="15"/>
      <c r="AT27" s="15"/>
      <c r="AU27" s="15"/>
      <c r="AV27" s="15"/>
      <c r="AW27" s="15"/>
      <c r="AX27" s="15"/>
      <c r="AY27" s="15"/>
      <c r="AZ27" s="15"/>
      <c r="BA27" s="15"/>
      <c r="BB27" s="15"/>
      <c r="BC27" s="15"/>
      <c r="BD27" s="15"/>
      <c r="BE27" s="15"/>
      <c r="BF27" s="15"/>
      <c r="BG27" s="15"/>
      <c r="BH27" s="15"/>
      <c r="BI27" s="15"/>
      <c r="BJ27" s="15"/>
      <c r="BK27" s="15"/>
      <c r="BL27" s="15"/>
      <c r="BM27" s="15"/>
      <c r="BN27" s="15"/>
      <c r="BO27" s="15"/>
      <c r="BP27" s="15"/>
      <c r="BQ27" s="15"/>
      <c r="BR27" s="15"/>
      <c r="BS27" s="15"/>
      <c r="BT27" s="15"/>
      <c r="BU27" s="15"/>
    </row>
    <row r="28" spans="2:73" ht="24.2" customHeight="1" x14ac:dyDescent="0.2">
      <c r="B28" s="155">
        <v>10</v>
      </c>
      <c r="C28" s="157" t="s">
        <v>29</v>
      </c>
      <c r="D28" s="19" t="e">
        <f>VLOOKUP($B28,#REF!,3,0)</f>
        <v>#REF!</v>
      </c>
      <c r="E28" s="19" t="e">
        <f>VLOOKUP($B28,#REF!,4,0)</f>
        <v>#REF!</v>
      </c>
      <c r="F28" s="19" t="e">
        <f>VLOOKUP($B28,#REF!,5,0)</f>
        <v>#REF!</v>
      </c>
      <c r="G28" s="19" t="e">
        <f>VLOOKUP($B28,#REF!,6,0)</f>
        <v>#REF!</v>
      </c>
      <c r="H28" s="19" t="e">
        <f>VLOOKUP($B28,#REF!,7,0)</f>
        <v>#REF!</v>
      </c>
      <c r="I28" s="19" t="e">
        <f>VLOOKUP($B28,#REF!,8,0)</f>
        <v>#REF!</v>
      </c>
      <c r="J28" s="159"/>
      <c r="K28" s="22" t="s">
        <v>12</v>
      </c>
      <c r="L28" s="35">
        <v>91</v>
      </c>
      <c r="M28" s="35">
        <v>86</v>
      </c>
      <c r="N28" s="35">
        <v>99</v>
      </c>
      <c r="O28" s="161" t="s">
        <v>63</v>
      </c>
      <c r="P28" s="13"/>
      <c r="Q28" s="13"/>
      <c r="R28" s="13"/>
      <c r="S28" s="13"/>
      <c r="T28" s="13"/>
    </row>
    <row r="29" spans="2:73" ht="24.2" customHeight="1" thickBot="1" x14ac:dyDescent="0.25">
      <c r="B29" s="156"/>
      <c r="C29" s="158"/>
      <c r="D29" s="20" t="e">
        <f>VLOOKUP($B29,#REF!,3,0)</f>
        <v>#REF!</v>
      </c>
      <c r="E29" s="20" t="e">
        <f>VLOOKUP($B29,#REF!,4,0)</f>
        <v>#REF!</v>
      </c>
      <c r="F29" s="20" t="e">
        <f>VLOOKUP($B29,#REF!,5,0)</f>
        <v>#REF!</v>
      </c>
      <c r="G29" s="20" t="e">
        <f>VLOOKUP($B29,#REF!,6,0)</f>
        <v>#REF!</v>
      </c>
      <c r="H29" s="20" t="e">
        <f>VLOOKUP($B29,#REF!,7,0)</f>
        <v>#REF!</v>
      </c>
      <c r="I29" s="20" t="e">
        <f>VLOOKUP($B29,#REF!,8,0)</f>
        <v>#REF!</v>
      </c>
      <c r="J29" s="160"/>
      <c r="K29" s="34" t="s">
        <v>13</v>
      </c>
      <c r="L29" s="36">
        <v>88</v>
      </c>
      <c r="M29" s="36">
        <v>97</v>
      </c>
      <c r="N29" s="36">
        <v>105</v>
      </c>
      <c r="O29" s="162"/>
      <c r="P29" s="13"/>
      <c r="Q29" s="13"/>
      <c r="R29" s="13"/>
      <c r="S29" s="13"/>
      <c r="T29" s="13"/>
      <c r="AF29" s="12"/>
      <c r="AG29" s="12"/>
      <c r="AH29" s="14"/>
      <c r="AI29" s="15"/>
      <c r="AJ29" s="15"/>
      <c r="AK29" s="15"/>
      <c r="AL29" s="15"/>
      <c r="AM29" s="15"/>
      <c r="AN29" s="15"/>
      <c r="AO29" s="15"/>
      <c r="AP29" s="15"/>
      <c r="AQ29" s="15"/>
      <c r="AR29" s="15"/>
      <c r="AS29" s="15"/>
      <c r="AT29" s="15"/>
      <c r="AU29" s="15"/>
      <c r="AV29" s="15"/>
      <c r="AW29" s="15"/>
      <c r="AX29" s="15"/>
      <c r="AY29" s="15"/>
      <c r="AZ29" s="15"/>
      <c r="BA29" s="15"/>
      <c r="BB29" s="15"/>
      <c r="BC29" s="15"/>
      <c r="BD29" s="15"/>
      <c r="BE29" s="15"/>
      <c r="BF29" s="15"/>
      <c r="BG29" s="15"/>
      <c r="BH29" s="15"/>
      <c r="BI29" s="15"/>
      <c r="BJ29" s="15"/>
      <c r="BK29" s="15"/>
      <c r="BL29" s="15"/>
      <c r="BM29" s="15"/>
      <c r="BN29" s="15"/>
      <c r="BO29" s="15"/>
      <c r="BP29" s="15"/>
      <c r="BQ29" s="15"/>
      <c r="BR29" s="15"/>
      <c r="BS29" s="15"/>
      <c r="BT29" s="15"/>
      <c r="BU29" s="15"/>
    </row>
    <row r="30" spans="2:73" ht="24.2" customHeight="1" x14ac:dyDescent="0.2">
      <c r="B30" s="155">
        <v>11</v>
      </c>
      <c r="C30" s="157" t="s">
        <v>28</v>
      </c>
      <c r="D30" s="19" t="e">
        <f>VLOOKUP($B30,#REF!,3,0)</f>
        <v>#REF!</v>
      </c>
      <c r="E30" s="19" t="e">
        <f>VLOOKUP($B30,#REF!,4,0)</f>
        <v>#REF!</v>
      </c>
      <c r="F30" s="19" t="e">
        <f>VLOOKUP($B30,#REF!,5,0)</f>
        <v>#REF!</v>
      </c>
      <c r="G30" s="19" t="e">
        <f>VLOOKUP($B30,#REF!,6,0)</f>
        <v>#REF!</v>
      </c>
      <c r="H30" s="19" t="e">
        <f>VLOOKUP($B30,#REF!,7,0)</f>
        <v>#REF!</v>
      </c>
      <c r="I30" s="19" t="e">
        <f>VLOOKUP($B30,#REF!,8,0)</f>
        <v>#REF!</v>
      </c>
      <c r="J30" s="159"/>
      <c r="K30" s="22" t="s">
        <v>12</v>
      </c>
      <c r="L30" s="44">
        <v>73</v>
      </c>
      <c r="M30" s="35">
        <v>82</v>
      </c>
      <c r="N30" s="35">
        <v>76</v>
      </c>
      <c r="O30" s="161" t="s">
        <v>61</v>
      </c>
      <c r="P30" s="13"/>
      <c r="Q30" s="13"/>
      <c r="R30" s="13"/>
      <c r="S30" s="13"/>
      <c r="T30" s="13"/>
    </row>
    <row r="31" spans="2:73" ht="24.2" customHeight="1" thickBot="1" x14ac:dyDescent="0.25">
      <c r="B31" s="156"/>
      <c r="C31" s="163"/>
      <c r="D31" s="20" t="e">
        <f>VLOOKUP($B31,#REF!,3,0)</f>
        <v>#REF!</v>
      </c>
      <c r="E31" s="20" t="e">
        <f>VLOOKUP($B31,#REF!,4,0)</f>
        <v>#REF!</v>
      </c>
      <c r="F31" s="20" t="e">
        <f>VLOOKUP($B31,#REF!,5,0)</f>
        <v>#REF!</v>
      </c>
      <c r="G31" s="20" t="e">
        <f>VLOOKUP($B31,#REF!,6,0)</f>
        <v>#REF!</v>
      </c>
      <c r="H31" s="20" t="e">
        <f>VLOOKUP($B31,#REF!,7,0)</f>
        <v>#REF!</v>
      </c>
      <c r="I31" s="20" t="e">
        <f>VLOOKUP($B31,#REF!,8,0)</f>
        <v>#REF!</v>
      </c>
      <c r="J31" s="160"/>
      <c r="K31" s="34" t="s">
        <v>13</v>
      </c>
      <c r="L31" s="36">
        <v>91</v>
      </c>
      <c r="M31" s="36">
        <v>92</v>
      </c>
      <c r="N31" s="36">
        <v>91</v>
      </c>
      <c r="O31" s="162"/>
      <c r="P31" s="13"/>
      <c r="Q31" s="13"/>
      <c r="R31" s="13"/>
      <c r="S31" s="13"/>
      <c r="T31" s="13"/>
      <c r="AF31" s="12"/>
      <c r="AG31" s="12"/>
      <c r="AH31" s="14"/>
      <c r="AI31" s="15"/>
      <c r="AJ31" s="15"/>
      <c r="AK31" s="15"/>
      <c r="AL31" s="15"/>
      <c r="AM31" s="15"/>
      <c r="AN31" s="15"/>
      <c r="AO31" s="15"/>
      <c r="AP31" s="15"/>
      <c r="AQ31" s="15"/>
      <c r="AR31" s="15"/>
      <c r="AS31" s="15"/>
      <c r="AT31" s="15"/>
      <c r="AU31" s="15"/>
      <c r="AV31" s="15"/>
      <c r="AW31" s="15"/>
      <c r="AX31" s="15"/>
      <c r="AY31" s="15"/>
      <c r="AZ31" s="15"/>
      <c r="BA31" s="15"/>
      <c r="BB31" s="15"/>
      <c r="BC31" s="15"/>
      <c r="BD31" s="15"/>
      <c r="BE31" s="15"/>
      <c r="BF31" s="15"/>
      <c r="BG31" s="15"/>
      <c r="BH31" s="15"/>
      <c r="BI31" s="15"/>
      <c r="BJ31" s="15"/>
      <c r="BK31" s="15"/>
      <c r="BL31" s="15"/>
      <c r="BM31" s="15"/>
      <c r="BN31" s="15"/>
      <c r="BO31" s="15"/>
      <c r="BP31" s="15"/>
      <c r="BQ31" s="15"/>
      <c r="BR31" s="15"/>
      <c r="BS31" s="15"/>
      <c r="BT31" s="15"/>
      <c r="BU31" s="15"/>
    </row>
    <row r="32" spans="2:73" ht="24.2" customHeight="1" x14ac:dyDescent="0.2">
      <c r="B32" s="155">
        <v>12</v>
      </c>
      <c r="C32" s="157" t="s">
        <v>29</v>
      </c>
      <c r="D32" s="19" t="e">
        <f>VLOOKUP($B32,#REF!,3,0)</f>
        <v>#REF!</v>
      </c>
      <c r="E32" s="19" t="e">
        <f>VLOOKUP($B32,#REF!,4,0)</f>
        <v>#REF!</v>
      </c>
      <c r="F32" s="19" t="e">
        <f>VLOOKUP($B32,#REF!,5,0)</f>
        <v>#REF!</v>
      </c>
      <c r="G32" s="19" t="e">
        <f>VLOOKUP($B32,#REF!,6,0)</f>
        <v>#REF!</v>
      </c>
      <c r="H32" s="19" t="e">
        <f>VLOOKUP($B32,#REF!,7,0)</f>
        <v>#REF!</v>
      </c>
      <c r="I32" s="19" t="e">
        <f>VLOOKUP($B32,#REF!,8,0)</f>
        <v>#REF!</v>
      </c>
      <c r="J32" s="159"/>
      <c r="K32" s="22" t="s">
        <v>12</v>
      </c>
      <c r="L32" s="35">
        <v>95</v>
      </c>
      <c r="M32" s="35">
        <v>81</v>
      </c>
      <c r="N32" s="35">
        <v>73</v>
      </c>
      <c r="O32" s="161"/>
      <c r="P32" s="13"/>
      <c r="Q32" s="13"/>
      <c r="R32" s="13"/>
      <c r="S32" s="13"/>
      <c r="T32" s="13"/>
    </row>
    <row r="33" spans="2:73" ht="24.2" customHeight="1" thickBot="1" x14ac:dyDescent="0.25">
      <c r="B33" s="156"/>
      <c r="C33" s="158"/>
      <c r="D33" s="20" t="e">
        <f>VLOOKUP($B33,#REF!,3,0)</f>
        <v>#REF!</v>
      </c>
      <c r="E33" s="20" t="e">
        <f>VLOOKUP($B33,#REF!,4,0)</f>
        <v>#REF!</v>
      </c>
      <c r="F33" s="20" t="e">
        <f>VLOOKUP($B33,#REF!,5,0)</f>
        <v>#REF!</v>
      </c>
      <c r="G33" s="20" t="e">
        <f>VLOOKUP($B33,#REF!,6,0)</f>
        <v>#REF!</v>
      </c>
      <c r="H33" s="20" t="e">
        <f>VLOOKUP($B33,#REF!,7,0)</f>
        <v>#REF!</v>
      </c>
      <c r="I33" s="20" t="e">
        <f>VLOOKUP($B33,#REF!,8,0)</f>
        <v>#REF!</v>
      </c>
      <c r="J33" s="160"/>
      <c r="K33" s="34" t="s">
        <v>13</v>
      </c>
      <c r="L33" s="36">
        <v>103</v>
      </c>
      <c r="M33" s="36">
        <v>93</v>
      </c>
      <c r="N33" s="36">
        <v>94</v>
      </c>
      <c r="O33" s="162"/>
      <c r="P33" s="13"/>
      <c r="Q33" s="13"/>
      <c r="R33" s="13"/>
      <c r="S33" s="13"/>
      <c r="T33" s="13"/>
      <c r="AF33" s="12"/>
      <c r="AG33" s="12"/>
      <c r="AH33" s="14"/>
      <c r="AI33" s="15"/>
      <c r="AJ33" s="15"/>
      <c r="AK33" s="15"/>
      <c r="AL33" s="15"/>
      <c r="AM33" s="15"/>
      <c r="AN33" s="15"/>
      <c r="AO33" s="15"/>
      <c r="AP33" s="15"/>
      <c r="AQ33" s="15"/>
      <c r="AR33" s="15"/>
      <c r="AS33" s="15"/>
      <c r="AT33" s="15"/>
      <c r="AU33" s="15"/>
      <c r="AV33" s="15"/>
      <c r="AW33" s="15"/>
      <c r="AX33" s="15"/>
      <c r="AY33" s="15"/>
      <c r="AZ33" s="15"/>
      <c r="BA33" s="15"/>
      <c r="BB33" s="15"/>
      <c r="BC33" s="15"/>
      <c r="BD33" s="15"/>
      <c r="BE33" s="15"/>
      <c r="BF33" s="15"/>
      <c r="BG33" s="15"/>
      <c r="BH33" s="15"/>
      <c r="BI33" s="15"/>
      <c r="BJ33" s="15"/>
      <c r="BK33" s="15"/>
      <c r="BL33" s="15"/>
      <c r="BM33" s="15"/>
      <c r="BN33" s="15"/>
      <c r="BO33" s="15"/>
      <c r="BP33" s="15"/>
      <c r="BQ33" s="15"/>
      <c r="BR33" s="15"/>
      <c r="BS33" s="15"/>
      <c r="BT33" s="15"/>
      <c r="BU33" s="15"/>
    </row>
    <row r="34" spans="2:73" ht="24.2" customHeight="1" x14ac:dyDescent="0.2">
      <c r="B34" s="155">
        <v>13</v>
      </c>
      <c r="C34" s="157" t="s">
        <v>28</v>
      </c>
      <c r="D34" s="19" t="e">
        <f>VLOOKUP($B34,#REF!,3,0)</f>
        <v>#REF!</v>
      </c>
      <c r="E34" s="19" t="e">
        <f>VLOOKUP($B34,#REF!,4,0)</f>
        <v>#REF!</v>
      </c>
      <c r="F34" s="19" t="e">
        <f>VLOOKUP($B34,#REF!,5,0)</f>
        <v>#REF!</v>
      </c>
      <c r="G34" s="19" t="e">
        <f>VLOOKUP($B34,#REF!,6,0)</f>
        <v>#REF!</v>
      </c>
      <c r="H34" s="19" t="e">
        <f>VLOOKUP($B34,#REF!,7,0)</f>
        <v>#REF!</v>
      </c>
      <c r="I34" s="19" t="e">
        <f>VLOOKUP($B34,#REF!,8,0)</f>
        <v>#REF!</v>
      </c>
      <c r="J34" s="159"/>
      <c r="K34" s="22" t="s">
        <v>12</v>
      </c>
      <c r="L34" s="35">
        <v>47</v>
      </c>
      <c r="M34" s="35">
        <v>72</v>
      </c>
      <c r="N34" s="35">
        <v>68</v>
      </c>
      <c r="O34" s="161" t="s">
        <v>62</v>
      </c>
      <c r="P34" s="13"/>
      <c r="Q34" s="13"/>
      <c r="R34" s="13"/>
      <c r="S34" s="13"/>
      <c r="T34" s="13"/>
    </row>
    <row r="35" spans="2:73" ht="24.2" customHeight="1" thickBot="1" x14ac:dyDescent="0.25">
      <c r="B35" s="156"/>
      <c r="C35" s="163"/>
      <c r="D35" s="20" t="e">
        <f>VLOOKUP($B35,#REF!,3,0)</f>
        <v>#REF!</v>
      </c>
      <c r="E35" s="20" t="e">
        <f>VLOOKUP($B35,#REF!,4,0)</f>
        <v>#REF!</v>
      </c>
      <c r="F35" s="20" t="e">
        <f>VLOOKUP($B35,#REF!,5,0)</f>
        <v>#REF!</v>
      </c>
      <c r="G35" s="20" t="e">
        <f>VLOOKUP($B35,#REF!,6,0)</f>
        <v>#REF!</v>
      </c>
      <c r="H35" s="20" t="e">
        <f>VLOOKUP($B35,#REF!,7,0)</f>
        <v>#REF!</v>
      </c>
      <c r="I35" s="20" t="e">
        <f>VLOOKUP($B35,#REF!,8,0)</f>
        <v>#REF!</v>
      </c>
      <c r="J35" s="160"/>
      <c r="K35" s="34" t="s">
        <v>13</v>
      </c>
      <c r="L35" s="36">
        <v>73</v>
      </c>
      <c r="M35" s="36">
        <v>83</v>
      </c>
      <c r="N35" s="36">
        <v>82</v>
      </c>
      <c r="O35" s="162"/>
      <c r="P35" s="13"/>
      <c r="Q35" s="13"/>
      <c r="R35" s="13"/>
      <c r="S35" s="13"/>
      <c r="T35" s="13"/>
      <c r="AF35" s="12"/>
      <c r="AG35" s="12"/>
      <c r="AH35" s="14"/>
      <c r="AI35" s="15"/>
      <c r="AJ35" s="15"/>
      <c r="AK35" s="15"/>
      <c r="AL35" s="15"/>
      <c r="AM35" s="15"/>
      <c r="AN35" s="15"/>
      <c r="AO35" s="15"/>
      <c r="AP35" s="15"/>
      <c r="AQ35" s="15"/>
      <c r="AR35" s="15"/>
      <c r="AS35" s="15"/>
      <c r="AT35" s="15"/>
      <c r="AU35" s="15"/>
      <c r="AV35" s="15"/>
      <c r="AW35" s="15"/>
      <c r="AX35" s="15"/>
      <c r="AY35" s="15"/>
      <c r="AZ35" s="15"/>
      <c r="BA35" s="15"/>
      <c r="BB35" s="15"/>
      <c r="BC35" s="15"/>
      <c r="BD35" s="15"/>
      <c r="BE35" s="15"/>
      <c r="BF35" s="15"/>
      <c r="BG35" s="15"/>
      <c r="BH35" s="15"/>
      <c r="BI35" s="15"/>
      <c r="BJ35" s="15"/>
      <c r="BK35" s="15"/>
      <c r="BL35" s="15"/>
      <c r="BM35" s="15"/>
      <c r="BN35" s="15"/>
      <c r="BO35" s="15"/>
      <c r="BP35" s="15"/>
      <c r="BQ35" s="15"/>
      <c r="BR35" s="15"/>
      <c r="BS35" s="15"/>
      <c r="BT35" s="15"/>
      <c r="BU35" s="15"/>
    </row>
    <row r="36" spans="2:73" ht="24.2" customHeight="1" x14ac:dyDescent="0.2">
      <c r="B36" s="155">
        <v>14</v>
      </c>
      <c r="C36" s="157" t="s">
        <v>29</v>
      </c>
      <c r="D36" s="19" t="e">
        <f>VLOOKUP($B36,#REF!,3,0)</f>
        <v>#REF!</v>
      </c>
      <c r="E36" s="19" t="e">
        <f>VLOOKUP($B36,#REF!,4,0)</f>
        <v>#REF!</v>
      </c>
      <c r="F36" s="19" t="e">
        <f>VLOOKUP($B36,#REF!,5,0)</f>
        <v>#REF!</v>
      </c>
      <c r="G36" s="19" t="e">
        <f>VLOOKUP($B36,#REF!,6,0)</f>
        <v>#REF!</v>
      </c>
      <c r="H36" s="19" t="e">
        <f>VLOOKUP($B36,#REF!,7,0)</f>
        <v>#REF!</v>
      </c>
      <c r="I36" s="19" t="e">
        <f>VLOOKUP($B36,#REF!,8,0)</f>
        <v>#REF!</v>
      </c>
      <c r="J36" s="159"/>
      <c r="K36" s="22" t="s">
        <v>12</v>
      </c>
      <c r="L36" s="35">
        <v>81</v>
      </c>
      <c r="M36" s="35">
        <v>84</v>
      </c>
      <c r="N36" s="35">
        <v>81</v>
      </c>
      <c r="O36" s="161"/>
      <c r="P36" s="13"/>
      <c r="Q36" s="13"/>
      <c r="R36" s="13"/>
      <c r="S36" s="13"/>
      <c r="T36" s="13"/>
    </row>
    <row r="37" spans="2:73" ht="24.2" customHeight="1" thickBot="1" x14ac:dyDescent="0.25">
      <c r="B37" s="156"/>
      <c r="C37" s="158"/>
      <c r="D37" s="20" t="e">
        <f>VLOOKUP($B37,#REF!,3,0)</f>
        <v>#REF!</v>
      </c>
      <c r="E37" s="20" t="e">
        <f>VLOOKUP($B37,#REF!,4,0)</f>
        <v>#REF!</v>
      </c>
      <c r="F37" s="20" t="e">
        <f>VLOOKUP($B37,#REF!,5,0)</f>
        <v>#REF!</v>
      </c>
      <c r="G37" s="20" t="e">
        <f>VLOOKUP($B37,#REF!,6,0)</f>
        <v>#REF!</v>
      </c>
      <c r="H37" s="20" t="e">
        <f>VLOOKUP($B37,#REF!,7,0)</f>
        <v>#REF!</v>
      </c>
      <c r="I37" s="20" t="e">
        <f>VLOOKUP($B37,#REF!,8,0)</f>
        <v>#REF!</v>
      </c>
      <c r="J37" s="160"/>
      <c r="K37" s="34" t="s">
        <v>13</v>
      </c>
      <c r="L37" s="36">
        <v>100</v>
      </c>
      <c r="M37" s="36">
        <v>98</v>
      </c>
      <c r="N37" s="36">
        <v>95</v>
      </c>
      <c r="O37" s="162"/>
      <c r="P37" s="13"/>
      <c r="Q37" s="13"/>
      <c r="R37" s="13"/>
      <c r="S37" s="13"/>
      <c r="T37" s="13"/>
      <c r="AF37" s="12"/>
      <c r="AG37" s="12"/>
      <c r="AH37" s="14"/>
      <c r="AI37" s="15"/>
      <c r="AJ37" s="15"/>
      <c r="AK37" s="15"/>
      <c r="AL37" s="15"/>
      <c r="AM37" s="15"/>
      <c r="AN37" s="15"/>
      <c r="AO37" s="15"/>
      <c r="AP37" s="15"/>
      <c r="AQ37" s="15"/>
      <c r="AR37" s="15"/>
      <c r="AS37" s="15"/>
      <c r="AT37" s="15"/>
      <c r="AU37" s="15"/>
      <c r="AV37" s="15"/>
      <c r="AW37" s="15"/>
      <c r="AX37" s="15"/>
      <c r="AY37" s="15"/>
      <c r="AZ37" s="15"/>
      <c r="BA37" s="15"/>
      <c r="BB37" s="15"/>
      <c r="BC37" s="15"/>
      <c r="BD37" s="15"/>
      <c r="BE37" s="15"/>
      <c r="BF37" s="15"/>
      <c r="BG37" s="15"/>
      <c r="BH37" s="15"/>
      <c r="BI37" s="15"/>
      <c r="BJ37" s="15"/>
      <c r="BK37" s="15"/>
      <c r="BL37" s="15"/>
      <c r="BM37" s="15"/>
      <c r="BN37" s="15"/>
      <c r="BO37" s="15"/>
      <c r="BP37" s="15"/>
      <c r="BQ37" s="15"/>
      <c r="BR37" s="15"/>
      <c r="BS37" s="15"/>
      <c r="BT37" s="15"/>
      <c r="BU37" s="15"/>
    </row>
    <row r="38" spans="2:73" ht="24.2" customHeight="1" x14ac:dyDescent="0.2">
      <c r="B38" s="155">
        <v>15</v>
      </c>
      <c r="C38" s="157" t="s">
        <v>28</v>
      </c>
      <c r="D38" s="19" t="e">
        <f>VLOOKUP($B38,#REF!,3,0)</f>
        <v>#REF!</v>
      </c>
      <c r="E38" s="19" t="e">
        <f>VLOOKUP($B38,#REF!,4,0)</f>
        <v>#REF!</v>
      </c>
      <c r="F38" s="19" t="e">
        <f>VLOOKUP($B38,#REF!,5,0)</f>
        <v>#REF!</v>
      </c>
      <c r="G38" s="19" t="e">
        <f>VLOOKUP($B38,#REF!,6,0)</f>
        <v>#REF!</v>
      </c>
      <c r="H38" s="19" t="e">
        <f>VLOOKUP($B38,#REF!,7,0)</f>
        <v>#REF!</v>
      </c>
      <c r="I38" s="19" t="e">
        <f>VLOOKUP($B38,#REF!,8,0)</f>
        <v>#REF!</v>
      </c>
      <c r="J38" s="159"/>
      <c r="K38" s="22" t="s">
        <v>12</v>
      </c>
      <c r="L38" s="44">
        <v>87</v>
      </c>
      <c r="M38" s="35">
        <v>75</v>
      </c>
      <c r="N38" s="35">
        <v>78</v>
      </c>
      <c r="O38" s="161"/>
      <c r="P38" s="13"/>
      <c r="Q38" s="13"/>
      <c r="R38" s="13"/>
      <c r="S38" s="13"/>
      <c r="T38" s="13"/>
    </row>
    <row r="39" spans="2:73" ht="24.2" customHeight="1" thickBot="1" x14ac:dyDescent="0.25">
      <c r="B39" s="156"/>
      <c r="C39" s="163"/>
      <c r="D39" s="20" t="e">
        <f>VLOOKUP($B39,#REF!,3,0)</f>
        <v>#REF!</v>
      </c>
      <c r="E39" s="20" t="e">
        <f>VLOOKUP($B39,#REF!,4,0)</f>
        <v>#REF!</v>
      </c>
      <c r="F39" s="20" t="e">
        <f>VLOOKUP($B39,#REF!,5,0)</f>
        <v>#REF!</v>
      </c>
      <c r="G39" s="20" t="e">
        <f>VLOOKUP($B39,#REF!,6,0)</f>
        <v>#REF!</v>
      </c>
      <c r="H39" s="20" t="e">
        <f>VLOOKUP($B39,#REF!,7,0)</f>
        <v>#REF!</v>
      </c>
      <c r="I39" s="20" t="e">
        <f>VLOOKUP($B39,#REF!,8,0)</f>
        <v>#REF!</v>
      </c>
      <c r="J39" s="160"/>
      <c r="K39" s="34" t="s">
        <v>13</v>
      </c>
      <c r="L39" s="36">
        <v>98</v>
      </c>
      <c r="M39" s="36">
        <v>91</v>
      </c>
      <c r="N39" s="36">
        <v>85</v>
      </c>
      <c r="O39" s="162"/>
      <c r="P39" s="13"/>
      <c r="Q39" s="13"/>
      <c r="R39" s="13"/>
      <c r="S39" s="13"/>
      <c r="T39" s="13"/>
      <c r="AF39" s="12"/>
      <c r="AG39" s="12"/>
      <c r="AH39" s="14"/>
      <c r="AI39" s="15"/>
      <c r="AJ39" s="15"/>
      <c r="AK39" s="15"/>
      <c r="AL39" s="15"/>
      <c r="AM39" s="15"/>
      <c r="AN39" s="15"/>
      <c r="AO39" s="15"/>
      <c r="AP39" s="15"/>
      <c r="AQ39" s="15"/>
      <c r="AR39" s="15"/>
      <c r="AS39" s="15"/>
      <c r="AT39" s="15"/>
      <c r="AU39" s="15"/>
      <c r="AV39" s="15"/>
      <c r="AW39" s="15"/>
      <c r="AX39" s="15"/>
      <c r="AY39" s="15"/>
      <c r="AZ39" s="15"/>
      <c r="BA39" s="15"/>
      <c r="BB39" s="15"/>
      <c r="BC39" s="15"/>
      <c r="BD39" s="15"/>
      <c r="BE39" s="15"/>
      <c r="BF39" s="15"/>
      <c r="BG39" s="15"/>
      <c r="BH39" s="15"/>
      <c r="BI39" s="15"/>
      <c r="BJ39" s="15"/>
      <c r="BK39" s="15"/>
      <c r="BL39" s="15"/>
      <c r="BM39" s="15"/>
      <c r="BN39" s="15"/>
      <c r="BO39" s="15"/>
      <c r="BP39" s="15"/>
      <c r="BQ39" s="15"/>
      <c r="BR39" s="15"/>
      <c r="BS39" s="15"/>
      <c r="BT39" s="15"/>
      <c r="BU39" s="15"/>
    </row>
    <row r="40" spans="2:73" ht="24.2" customHeight="1" x14ac:dyDescent="0.2">
      <c r="B40" s="155">
        <v>16</v>
      </c>
      <c r="C40" s="157" t="s">
        <v>29</v>
      </c>
      <c r="D40" s="19" t="e">
        <f>VLOOKUP($B40,#REF!,3,0)</f>
        <v>#REF!</v>
      </c>
      <c r="E40" s="19" t="e">
        <f>VLOOKUP($B40,#REF!,4,0)</f>
        <v>#REF!</v>
      </c>
      <c r="F40" s="19" t="e">
        <f>VLOOKUP($B40,#REF!,5,0)</f>
        <v>#REF!</v>
      </c>
      <c r="G40" s="19" t="e">
        <f>VLOOKUP($B40,#REF!,6,0)</f>
        <v>#REF!</v>
      </c>
      <c r="H40" s="19" t="e">
        <f>VLOOKUP($B40,#REF!,7,0)</f>
        <v>#REF!</v>
      </c>
      <c r="I40" s="19" t="e">
        <f>VLOOKUP($B40,#REF!,8,0)</f>
        <v>#REF!</v>
      </c>
      <c r="J40" s="159"/>
      <c r="K40" s="22" t="s">
        <v>12</v>
      </c>
      <c r="L40" s="44">
        <v>79</v>
      </c>
      <c r="M40" s="44">
        <v>72</v>
      </c>
      <c r="N40" s="35">
        <v>77</v>
      </c>
      <c r="O40" s="161"/>
      <c r="P40" s="13"/>
      <c r="Q40" s="13"/>
      <c r="R40" s="13"/>
      <c r="S40" s="13"/>
      <c r="T40" s="13"/>
    </row>
    <row r="41" spans="2:73" ht="24.2" customHeight="1" thickBot="1" x14ac:dyDescent="0.25">
      <c r="B41" s="156"/>
      <c r="C41" s="158"/>
      <c r="D41" s="20" t="e">
        <f>VLOOKUP($B41,#REF!,3,0)</f>
        <v>#REF!</v>
      </c>
      <c r="E41" s="20" t="e">
        <f>VLOOKUP($B41,#REF!,4,0)</f>
        <v>#REF!</v>
      </c>
      <c r="F41" s="20" t="e">
        <f>VLOOKUP($B41,#REF!,5,0)</f>
        <v>#REF!</v>
      </c>
      <c r="G41" s="20" t="e">
        <f>VLOOKUP($B41,#REF!,6,0)</f>
        <v>#REF!</v>
      </c>
      <c r="H41" s="20" t="e">
        <f>VLOOKUP($B41,#REF!,7,0)</f>
        <v>#REF!</v>
      </c>
      <c r="I41" s="20" t="e">
        <f>VLOOKUP($B41,#REF!,8,0)</f>
        <v>#REF!</v>
      </c>
      <c r="J41" s="160"/>
      <c r="K41" s="34" t="s">
        <v>13</v>
      </c>
      <c r="L41" s="36">
        <v>91</v>
      </c>
      <c r="M41" s="36">
        <v>92</v>
      </c>
      <c r="N41" s="36">
        <v>95</v>
      </c>
      <c r="O41" s="162"/>
      <c r="P41" s="13"/>
      <c r="Q41" s="13"/>
      <c r="R41" s="13"/>
      <c r="S41" s="13"/>
      <c r="T41" s="13"/>
      <c r="AF41" s="12"/>
      <c r="AG41" s="12"/>
      <c r="AH41" s="14"/>
      <c r="AI41" s="15"/>
      <c r="AJ41" s="15"/>
      <c r="AK41" s="15"/>
      <c r="AL41" s="15"/>
      <c r="AM41" s="15"/>
      <c r="AN41" s="15"/>
      <c r="AO41" s="15"/>
      <c r="AP41" s="15"/>
      <c r="AQ41" s="15"/>
      <c r="AR41" s="15"/>
      <c r="AS41" s="15"/>
      <c r="AT41" s="15"/>
      <c r="AU41" s="15"/>
      <c r="AV41" s="15"/>
      <c r="AW41" s="15"/>
      <c r="AX41" s="15"/>
      <c r="AY41" s="15"/>
      <c r="AZ41" s="15"/>
      <c r="BA41" s="15"/>
      <c r="BB41" s="15"/>
      <c r="BC41" s="15"/>
      <c r="BD41" s="15"/>
      <c r="BE41" s="15"/>
      <c r="BF41" s="15"/>
      <c r="BG41" s="15"/>
      <c r="BH41" s="15"/>
      <c r="BI41" s="15"/>
      <c r="BJ41" s="15"/>
      <c r="BK41" s="15"/>
      <c r="BL41" s="15"/>
      <c r="BM41" s="15"/>
      <c r="BN41" s="15"/>
      <c r="BO41" s="15"/>
      <c r="BP41" s="15"/>
      <c r="BQ41" s="15"/>
      <c r="BR41" s="15"/>
      <c r="BS41" s="15"/>
      <c r="BT41" s="15"/>
      <c r="BU41" s="15"/>
    </row>
    <row r="42" spans="2:73" ht="24" customHeight="1" x14ac:dyDescent="0.2">
      <c r="B42" s="155">
        <v>17</v>
      </c>
      <c r="C42" s="157" t="s">
        <v>28</v>
      </c>
      <c r="D42" s="19" t="e">
        <f>VLOOKUP($B42,#REF!,3,0)</f>
        <v>#REF!</v>
      </c>
      <c r="E42" s="19" t="e">
        <f>VLOOKUP($B42,#REF!,4,0)</f>
        <v>#REF!</v>
      </c>
      <c r="F42" s="19" t="e">
        <f>VLOOKUP($B42,#REF!,5,0)</f>
        <v>#REF!</v>
      </c>
      <c r="G42" s="19" t="e">
        <f>VLOOKUP($B42,#REF!,6,0)</f>
        <v>#REF!</v>
      </c>
      <c r="H42" s="19" t="e">
        <f>VLOOKUP($B42,#REF!,7,0)</f>
        <v>#REF!</v>
      </c>
      <c r="I42" s="19" t="e">
        <f>VLOOKUP($B42,#REF!,8,0)</f>
        <v>#REF!</v>
      </c>
      <c r="J42" s="159">
        <v>1200</v>
      </c>
      <c r="K42" s="22" t="s">
        <v>12</v>
      </c>
      <c r="L42" s="44">
        <v>44</v>
      </c>
      <c r="M42" s="44">
        <v>53</v>
      </c>
      <c r="N42" s="35">
        <v>58</v>
      </c>
      <c r="O42" s="161"/>
    </row>
    <row r="43" spans="2:73" ht="24" customHeight="1" thickBot="1" x14ac:dyDescent="0.25">
      <c r="B43" s="156"/>
      <c r="C43" s="163"/>
      <c r="D43" s="20"/>
      <c r="E43" s="20"/>
      <c r="F43" s="20"/>
      <c r="G43" s="20"/>
      <c r="H43" s="20"/>
      <c r="I43" s="20"/>
      <c r="J43" s="160"/>
      <c r="K43" s="34" t="s">
        <v>13</v>
      </c>
      <c r="L43" s="36">
        <v>62</v>
      </c>
      <c r="M43" s="36">
        <v>63</v>
      </c>
      <c r="N43" s="36">
        <v>71</v>
      </c>
      <c r="O43" s="162"/>
    </row>
  </sheetData>
  <mergeCells count="70">
    <mergeCell ref="B40:B41"/>
    <mergeCell ref="C40:C41"/>
    <mergeCell ref="J40:J41"/>
    <mergeCell ref="O40:O41"/>
    <mergeCell ref="B42:B43"/>
    <mergeCell ref="C42:C43"/>
    <mergeCell ref="J42:J43"/>
    <mergeCell ref="O42:O43"/>
    <mergeCell ref="B36:B37"/>
    <mergeCell ref="C36:C37"/>
    <mergeCell ref="J36:J37"/>
    <mergeCell ref="O36:O37"/>
    <mergeCell ref="B38:B39"/>
    <mergeCell ref="C38:C39"/>
    <mergeCell ref="J38:J39"/>
    <mergeCell ref="O38:O39"/>
    <mergeCell ref="B32:B33"/>
    <mergeCell ref="C32:C33"/>
    <mergeCell ref="J32:J33"/>
    <mergeCell ref="O32:O33"/>
    <mergeCell ref="B34:B35"/>
    <mergeCell ref="C34:C35"/>
    <mergeCell ref="J34:J35"/>
    <mergeCell ref="O34:O35"/>
    <mergeCell ref="B28:B29"/>
    <mergeCell ref="C28:C29"/>
    <mergeCell ref="J28:J29"/>
    <mergeCell ref="O28:O29"/>
    <mergeCell ref="B30:B31"/>
    <mergeCell ref="C30:C31"/>
    <mergeCell ref="J30:J31"/>
    <mergeCell ref="O30:O31"/>
    <mergeCell ref="B24:B25"/>
    <mergeCell ref="C24:C25"/>
    <mergeCell ref="J24:J25"/>
    <mergeCell ref="O24:O25"/>
    <mergeCell ref="B26:B27"/>
    <mergeCell ref="C26:C27"/>
    <mergeCell ref="J26:J27"/>
    <mergeCell ref="O26:O27"/>
    <mergeCell ref="B20:B21"/>
    <mergeCell ref="C20:C21"/>
    <mergeCell ref="J20:J21"/>
    <mergeCell ref="O20:O21"/>
    <mergeCell ref="B22:B23"/>
    <mergeCell ref="C22:C23"/>
    <mergeCell ref="J22:J23"/>
    <mergeCell ref="O22:O23"/>
    <mergeCell ref="B18:B19"/>
    <mergeCell ref="C18:C19"/>
    <mergeCell ref="J18:J19"/>
    <mergeCell ref="O18:O19"/>
    <mergeCell ref="B12:B13"/>
    <mergeCell ref="C12:C13"/>
    <mergeCell ref="J12:J13"/>
    <mergeCell ref="B14:B15"/>
    <mergeCell ref="C14:C15"/>
    <mergeCell ref="J14:J15"/>
    <mergeCell ref="O14:O15"/>
    <mergeCell ref="B16:B17"/>
    <mergeCell ref="C16:C17"/>
    <mergeCell ref="J16:J17"/>
    <mergeCell ref="O16:O17"/>
    <mergeCell ref="AF5:AH5"/>
    <mergeCell ref="L6:N6"/>
    <mergeCell ref="O7:O8"/>
    <mergeCell ref="B8:K8"/>
    <mergeCell ref="B10:B11"/>
    <mergeCell ref="C10:C11"/>
    <mergeCell ref="J10:J11"/>
  </mergeCells>
  <pageMargins left="0.45" right="0" top="0.49" bottom="0" header="0.64" footer="0"/>
  <pageSetup paperSize="512" scale="72" orientation="portrait" r:id="rId1"/>
  <headerFooter alignWithMargin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BU43"/>
  <sheetViews>
    <sheetView zoomScale="90" zoomScaleNormal="90" workbookViewId="0"/>
  </sheetViews>
  <sheetFormatPr defaultRowHeight="12.75" x14ac:dyDescent="0.2"/>
  <cols>
    <col min="1" max="1" width="5.42578125" customWidth="1"/>
    <col min="2" max="2" width="6.28515625" customWidth="1"/>
    <col min="3" max="3" width="12.7109375" customWidth="1"/>
    <col min="4" max="8" width="5.28515625" hidden="1" customWidth="1"/>
    <col min="9" max="9" width="7" hidden="1" customWidth="1"/>
    <col min="10" max="10" width="8.42578125" customWidth="1"/>
    <col min="11" max="14" width="12.7109375" customWidth="1"/>
    <col min="15" max="15" width="48.7109375" customWidth="1"/>
    <col min="22" max="22" width="7.5703125" customWidth="1"/>
    <col min="23" max="32" width="7.7109375" customWidth="1"/>
  </cols>
  <sheetData>
    <row r="1" spans="1:73" ht="15" customHeight="1" x14ac:dyDescent="0.25">
      <c r="A1" s="1" t="s">
        <v>33</v>
      </c>
    </row>
    <row r="2" spans="1:73" ht="20.25" customHeight="1" thickBot="1" x14ac:dyDescent="0.3">
      <c r="A2" s="1"/>
      <c r="M2" s="15" t="s">
        <v>0</v>
      </c>
      <c r="N2" s="23">
        <v>40746</v>
      </c>
      <c r="O2" s="29"/>
    </row>
    <row r="3" spans="1:73" ht="20.25" customHeight="1" thickBot="1" x14ac:dyDescent="0.25">
      <c r="A3" t="s">
        <v>1</v>
      </c>
      <c r="C3" s="38" t="s">
        <v>64</v>
      </c>
      <c r="D3" s="3"/>
      <c r="E3" s="3"/>
      <c r="F3" s="3"/>
      <c r="G3" s="3"/>
      <c r="H3" s="3"/>
      <c r="I3" s="3"/>
      <c r="J3" s="3"/>
      <c r="K3" s="3"/>
      <c r="L3" s="3"/>
      <c r="M3" s="15" t="s">
        <v>23</v>
      </c>
      <c r="N3" s="2">
        <v>203</v>
      </c>
      <c r="O3" s="30"/>
    </row>
    <row r="4" spans="1:73" ht="20.25" customHeight="1" thickBot="1" x14ac:dyDescent="0.25">
      <c r="B4" s="3"/>
      <c r="C4" s="38" t="s">
        <v>65</v>
      </c>
      <c r="D4" s="4"/>
      <c r="E4" s="4"/>
      <c r="F4" s="4"/>
      <c r="G4" s="4"/>
      <c r="H4" s="4"/>
      <c r="I4" s="4"/>
      <c r="J4" s="4"/>
      <c r="K4" s="4"/>
      <c r="L4" s="4"/>
      <c r="M4" s="15" t="s">
        <v>2</v>
      </c>
      <c r="N4" s="2" t="s">
        <v>26</v>
      </c>
      <c r="O4" s="30"/>
    </row>
    <row r="5" spans="1:73" ht="18" x14ac:dyDescent="0.2">
      <c r="AE5" s="5"/>
      <c r="AF5" s="165"/>
      <c r="AG5" s="165"/>
      <c r="AH5" s="165"/>
    </row>
    <row r="6" spans="1:73" ht="18" x14ac:dyDescent="0.25">
      <c r="L6" s="174"/>
      <c r="M6" s="167"/>
      <c r="N6" s="168"/>
      <c r="O6" s="31"/>
      <c r="AE6" s="5"/>
      <c r="AF6" s="24"/>
      <c r="AG6" s="24"/>
      <c r="AH6" s="24"/>
    </row>
    <row r="7" spans="1:73" ht="25.5" customHeight="1" x14ac:dyDescent="0.2">
      <c r="B7" s="6" t="s">
        <v>3</v>
      </c>
      <c r="C7" s="7"/>
      <c r="D7" s="7" t="s">
        <v>4</v>
      </c>
      <c r="E7" s="6" t="s">
        <v>5</v>
      </c>
      <c r="F7" s="7" t="s">
        <v>6</v>
      </c>
      <c r="G7" s="6" t="s">
        <v>7</v>
      </c>
      <c r="H7" s="6" t="s">
        <v>8</v>
      </c>
      <c r="I7" s="6" t="s">
        <v>9</v>
      </c>
      <c r="J7" s="6" t="s">
        <v>11</v>
      </c>
      <c r="K7" s="8" t="s">
        <v>24</v>
      </c>
      <c r="L7" s="22" t="s">
        <v>30</v>
      </c>
      <c r="M7" s="22" t="s">
        <v>31</v>
      </c>
      <c r="N7" s="22" t="s">
        <v>32</v>
      </c>
      <c r="O7" s="169" t="s">
        <v>25</v>
      </c>
      <c r="AE7" s="10"/>
      <c r="AF7" s="9"/>
      <c r="AG7" s="9"/>
      <c r="AH7" s="11"/>
    </row>
    <row r="8" spans="1:73" ht="15.95" customHeight="1" thickBot="1" x14ac:dyDescent="0.25">
      <c r="B8" s="170"/>
      <c r="C8" s="171"/>
      <c r="D8" s="171"/>
      <c r="E8" s="171"/>
      <c r="F8" s="171"/>
      <c r="G8" s="171"/>
      <c r="H8" s="171"/>
      <c r="I8" s="171"/>
      <c r="J8" s="171"/>
      <c r="K8" s="172"/>
      <c r="L8" s="39" t="s">
        <v>27</v>
      </c>
      <c r="M8" s="39"/>
      <c r="N8" s="39"/>
      <c r="O8" s="163"/>
      <c r="AF8" s="12"/>
      <c r="AG8" s="12"/>
      <c r="AH8" s="12"/>
    </row>
    <row r="9" spans="1:73" ht="15.95" hidden="1" customHeight="1" x14ac:dyDescent="0.2">
      <c r="B9" s="25" t="s">
        <v>3</v>
      </c>
      <c r="C9" s="26" t="s">
        <v>10</v>
      </c>
      <c r="D9" s="26" t="s">
        <v>14</v>
      </c>
      <c r="E9" s="25" t="s">
        <v>15</v>
      </c>
      <c r="F9" s="26" t="s">
        <v>16</v>
      </c>
      <c r="G9" s="25" t="s">
        <v>17</v>
      </c>
      <c r="H9" s="25" t="s">
        <v>8</v>
      </c>
      <c r="I9" s="25" t="s">
        <v>18</v>
      </c>
      <c r="J9" s="27" t="s">
        <v>11</v>
      </c>
      <c r="K9" s="27" t="s">
        <v>19</v>
      </c>
      <c r="L9" s="28" t="s">
        <v>20</v>
      </c>
      <c r="M9" s="28" t="s">
        <v>21</v>
      </c>
      <c r="N9" s="28" t="s">
        <v>22</v>
      </c>
      <c r="O9" s="32"/>
      <c r="AF9" s="12"/>
      <c r="AG9" s="12"/>
      <c r="AH9" s="12"/>
    </row>
    <row r="10" spans="1:73" ht="24.2" customHeight="1" x14ac:dyDescent="0.2">
      <c r="B10" s="164">
        <v>1</v>
      </c>
      <c r="C10" s="157" t="s">
        <v>28</v>
      </c>
      <c r="D10" s="19" t="e">
        <f>VLOOKUP($B10,#REF!,3,0)</f>
        <v>#REF!</v>
      </c>
      <c r="E10" s="19" t="e">
        <f>VLOOKUP($B10,#REF!,4,0)</f>
        <v>#REF!</v>
      </c>
      <c r="F10" s="19" t="e">
        <f>VLOOKUP($B10,#REF!,5,0)</f>
        <v>#REF!</v>
      </c>
      <c r="G10" s="19" t="e">
        <f>VLOOKUP($B10,#REF!,6,0)</f>
        <v>#REF!</v>
      </c>
      <c r="H10" s="19" t="e">
        <f>VLOOKUP($B10,#REF!,7,0)</f>
        <v>#REF!</v>
      </c>
      <c r="I10" s="19" t="e">
        <f>VLOOKUP($B10,#REF!,8,0)</f>
        <v>#REF!</v>
      </c>
      <c r="J10" s="173">
        <v>955</v>
      </c>
      <c r="K10" s="22" t="s">
        <v>12</v>
      </c>
      <c r="L10" s="35">
        <v>94</v>
      </c>
      <c r="M10" s="35">
        <v>86</v>
      </c>
      <c r="N10" s="44">
        <v>81</v>
      </c>
      <c r="O10" s="40"/>
      <c r="P10" s="13"/>
      <c r="Q10" s="13"/>
      <c r="R10" s="13"/>
      <c r="S10" s="13"/>
      <c r="T10" s="13"/>
      <c r="AF10" s="12"/>
      <c r="AG10" s="12"/>
      <c r="AH10" s="14"/>
      <c r="AI10" s="15"/>
      <c r="AJ10" s="15"/>
      <c r="AK10" s="15"/>
      <c r="AL10" s="15"/>
      <c r="AM10" s="15"/>
      <c r="AN10" s="15"/>
      <c r="AO10" s="15"/>
      <c r="AP10" s="15"/>
      <c r="AQ10" s="15"/>
      <c r="AR10" s="15"/>
      <c r="AS10" s="15"/>
      <c r="AT10" s="15"/>
      <c r="AU10" s="15"/>
      <c r="AV10" s="15"/>
      <c r="AW10" s="15"/>
      <c r="AX10" s="15"/>
      <c r="AY10" s="15"/>
      <c r="AZ10" s="15"/>
      <c r="BA10" s="15"/>
      <c r="BB10" s="15"/>
      <c r="BC10" s="15"/>
      <c r="BD10" s="15"/>
      <c r="BE10" s="15"/>
      <c r="BF10" s="15"/>
      <c r="BG10" s="15"/>
      <c r="BH10" s="15"/>
      <c r="BI10" s="15"/>
      <c r="BJ10" s="15"/>
      <c r="BK10" s="15"/>
      <c r="BL10" s="15"/>
      <c r="BM10" s="15"/>
      <c r="BN10" s="15"/>
      <c r="BO10" s="15"/>
      <c r="BP10" s="15"/>
      <c r="BQ10" s="15"/>
      <c r="BR10" s="15"/>
      <c r="BS10" s="15"/>
      <c r="BT10" s="15"/>
      <c r="BU10" s="15"/>
    </row>
    <row r="11" spans="1:73" ht="24.2" customHeight="1" thickBot="1" x14ac:dyDescent="0.25">
      <c r="B11" s="156"/>
      <c r="C11" s="163"/>
      <c r="D11" s="20" t="e">
        <f>VLOOKUP($B11,#REF!,3,0)</f>
        <v>#REF!</v>
      </c>
      <c r="E11" s="20" t="e">
        <f>VLOOKUP($B11,#REF!,4,0)</f>
        <v>#REF!</v>
      </c>
      <c r="F11" s="20" t="e">
        <f>VLOOKUP($B11,#REF!,5,0)</f>
        <v>#REF!</v>
      </c>
      <c r="G11" s="20" t="e">
        <f>VLOOKUP($B11,#REF!,6,0)</f>
        <v>#REF!</v>
      </c>
      <c r="H11" s="20" t="e">
        <f>VLOOKUP($B11,#REF!,7,0)</f>
        <v>#REF!</v>
      </c>
      <c r="I11" s="20" t="e">
        <f>VLOOKUP($B11,#REF!,8,0)</f>
        <v>#REF!</v>
      </c>
      <c r="J11" s="160"/>
      <c r="K11" s="34" t="s">
        <v>13</v>
      </c>
      <c r="L11" s="36">
        <v>107</v>
      </c>
      <c r="M11" s="36">
        <v>99</v>
      </c>
      <c r="N11" s="36">
        <v>85</v>
      </c>
      <c r="O11" s="41"/>
      <c r="P11" s="13"/>
      <c r="Q11" s="13"/>
      <c r="R11" s="13"/>
      <c r="S11" s="13"/>
      <c r="T11" s="13"/>
      <c r="AF11" s="12"/>
      <c r="AG11" s="12"/>
      <c r="AH11" s="14"/>
      <c r="AI11" s="15"/>
      <c r="AJ11" s="15"/>
      <c r="AK11" s="15"/>
      <c r="AL11" s="15"/>
      <c r="AM11" s="15"/>
      <c r="AN11" s="15"/>
      <c r="AO11" s="15"/>
      <c r="AP11" s="15"/>
      <c r="AQ11" s="15"/>
      <c r="AR11" s="15"/>
      <c r="AS11" s="15"/>
      <c r="AT11" s="15"/>
      <c r="AU11" s="15"/>
      <c r="AV11" s="15"/>
      <c r="AW11" s="15"/>
      <c r="AX11" s="15"/>
      <c r="AY11" s="15"/>
      <c r="AZ11" s="15"/>
      <c r="BA11" s="15"/>
      <c r="BB11" s="15"/>
      <c r="BC11" s="15"/>
      <c r="BD11" s="15"/>
      <c r="BE11" s="15"/>
      <c r="BF11" s="15"/>
      <c r="BG11" s="15"/>
      <c r="BH11" s="15"/>
      <c r="BI11" s="15"/>
      <c r="BJ11" s="15"/>
      <c r="BK11" s="15"/>
      <c r="BL11" s="15"/>
      <c r="BM11" s="15"/>
      <c r="BN11" s="15"/>
      <c r="BO11" s="15"/>
      <c r="BP11" s="15"/>
      <c r="BQ11" s="15"/>
      <c r="BR11" s="15"/>
      <c r="BS11" s="15"/>
      <c r="BT11" s="15"/>
      <c r="BU11" s="15"/>
    </row>
    <row r="12" spans="1:73" ht="24.2" customHeight="1" x14ac:dyDescent="0.2">
      <c r="B12" s="164">
        <v>2</v>
      </c>
      <c r="C12" s="157" t="s">
        <v>29</v>
      </c>
      <c r="D12" s="21" t="e">
        <f>VLOOKUP($B12,#REF!,3,0)</f>
        <v>#REF!</v>
      </c>
      <c r="E12" s="21" t="e">
        <f>VLOOKUP($B12,#REF!,4,0)</f>
        <v>#REF!</v>
      </c>
      <c r="F12" s="21" t="e">
        <f>VLOOKUP($B12,#REF!,5,0)</f>
        <v>#REF!</v>
      </c>
      <c r="G12" s="21" t="e">
        <f>VLOOKUP($B12,#REF!,6,0)</f>
        <v>#REF!</v>
      </c>
      <c r="H12" s="21" t="e">
        <f>VLOOKUP($B12,#REF!,7,0)</f>
        <v>#REF!</v>
      </c>
      <c r="I12" s="21" t="e">
        <f>VLOOKUP($B12,#REF!,8,0)</f>
        <v>#REF!</v>
      </c>
      <c r="J12" s="159"/>
      <c r="K12" s="33" t="s">
        <v>12</v>
      </c>
      <c r="L12" s="35">
        <v>96</v>
      </c>
      <c r="M12" s="35">
        <v>98</v>
      </c>
      <c r="N12" s="35">
        <v>101</v>
      </c>
      <c r="O12" s="42" t="s">
        <v>67</v>
      </c>
      <c r="P12" s="13"/>
      <c r="Q12" s="16"/>
      <c r="R12" s="13"/>
      <c r="S12" s="17"/>
      <c r="T12" s="13"/>
      <c r="AF12" s="12"/>
      <c r="AG12" s="12"/>
      <c r="AH12" s="12"/>
      <c r="AI12" s="18"/>
      <c r="AJ12" s="18"/>
      <c r="AK12" s="18"/>
      <c r="AL12" s="18"/>
      <c r="AM12" s="18"/>
      <c r="AN12" s="18"/>
      <c r="AO12" s="18"/>
      <c r="AP12" s="18"/>
      <c r="AQ12" s="18"/>
      <c r="AR12" s="18"/>
      <c r="AS12" s="18"/>
      <c r="AT12" s="18"/>
      <c r="AU12" s="18"/>
      <c r="AV12" s="18"/>
      <c r="AW12" s="18"/>
      <c r="AX12" s="18"/>
      <c r="AY12" s="18"/>
      <c r="AZ12" s="18"/>
      <c r="BA12" s="18"/>
      <c r="BB12" s="18"/>
      <c r="BC12" s="18"/>
      <c r="BD12" s="18"/>
      <c r="BE12" s="18"/>
      <c r="BF12" s="18"/>
      <c r="BG12" s="18"/>
      <c r="BH12" s="18"/>
      <c r="BI12" s="18"/>
      <c r="BJ12" s="18"/>
      <c r="BK12" s="18"/>
      <c r="BL12" s="18"/>
      <c r="BM12" s="18"/>
      <c r="BN12" s="18"/>
      <c r="BO12" s="18"/>
      <c r="BP12" s="18"/>
      <c r="BQ12" s="18"/>
      <c r="BR12" s="18"/>
      <c r="BS12" s="18"/>
      <c r="BT12" s="18"/>
      <c r="BU12" s="18"/>
    </row>
    <row r="13" spans="1:73" ht="24.2" customHeight="1" thickBot="1" x14ac:dyDescent="0.25">
      <c r="B13" s="156"/>
      <c r="C13" s="158"/>
      <c r="D13" s="20" t="e">
        <f>VLOOKUP($B13,#REF!,3,0)</f>
        <v>#REF!</v>
      </c>
      <c r="E13" s="20" t="e">
        <f>VLOOKUP($B13,#REF!,4,0)</f>
        <v>#REF!</v>
      </c>
      <c r="F13" s="20" t="e">
        <f>VLOOKUP($B13,#REF!,5,0)</f>
        <v>#REF!</v>
      </c>
      <c r="G13" s="20" t="e">
        <f>VLOOKUP($B13,#REF!,6,0)</f>
        <v>#REF!</v>
      </c>
      <c r="H13" s="20" t="e">
        <f>VLOOKUP($B13,#REF!,7,0)</f>
        <v>#REF!</v>
      </c>
      <c r="I13" s="20" t="e">
        <f>VLOOKUP($B13,#REF!,8,0)</f>
        <v>#REF!</v>
      </c>
      <c r="J13" s="160"/>
      <c r="K13" s="34" t="s">
        <v>13</v>
      </c>
      <c r="L13" s="37">
        <v>100</v>
      </c>
      <c r="M13" s="36">
        <v>103</v>
      </c>
      <c r="N13" s="36">
        <v>106</v>
      </c>
      <c r="O13" s="43"/>
      <c r="P13" s="13"/>
      <c r="Q13" s="13"/>
      <c r="R13" s="13"/>
      <c r="S13" s="13"/>
      <c r="T13" s="13"/>
      <c r="AF13" s="12"/>
      <c r="AG13" s="12"/>
      <c r="AH13" s="14"/>
      <c r="AI13" s="15"/>
      <c r="AJ13" s="15"/>
      <c r="AK13" s="15"/>
      <c r="AL13" s="15"/>
      <c r="AM13" s="15"/>
      <c r="AN13" s="15"/>
      <c r="AO13" s="15"/>
      <c r="AP13" s="15"/>
      <c r="AQ13" s="15"/>
      <c r="AR13" s="15"/>
      <c r="AS13" s="15"/>
      <c r="AT13" s="15"/>
      <c r="AU13" s="15"/>
      <c r="AV13" s="15"/>
      <c r="AW13" s="15"/>
      <c r="AX13" s="15"/>
      <c r="AY13" s="15"/>
      <c r="AZ13" s="15"/>
      <c r="BA13" s="15"/>
      <c r="BB13" s="15"/>
      <c r="BC13" s="15"/>
      <c r="BD13" s="15"/>
      <c r="BE13" s="15"/>
      <c r="BF13" s="15"/>
      <c r="BG13" s="15"/>
      <c r="BH13" s="15"/>
      <c r="BI13" s="15"/>
      <c r="BJ13" s="15"/>
      <c r="BK13" s="15"/>
      <c r="BL13" s="15"/>
      <c r="BM13" s="15"/>
      <c r="BN13" s="15"/>
      <c r="BO13" s="15"/>
      <c r="BP13" s="15"/>
      <c r="BQ13" s="15"/>
      <c r="BR13" s="15"/>
      <c r="BS13" s="15"/>
      <c r="BT13" s="15"/>
      <c r="BU13" s="15"/>
    </row>
    <row r="14" spans="1:73" ht="24.2" customHeight="1" x14ac:dyDescent="0.2">
      <c r="B14" s="164">
        <v>3</v>
      </c>
      <c r="C14" s="157" t="s">
        <v>28</v>
      </c>
      <c r="D14" s="19" t="e">
        <f>VLOOKUP($B14,#REF!,3,0)</f>
        <v>#REF!</v>
      </c>
      <c r="E14" s="19" t="e">
        <f>VLOOKUP($B14,#REF!,4,0)</f>
        <v>#REF!</v>
      </c>
      <c r="F14" s="19" t="e">
        <f>VLOOKUP($B14,#REF!,5,0)</f>
        <v>#REF!</v>
      </c>
      <c r="G14" s="19" t="e">
        <f>VLOOKUP($B14,#REF!,6,0)</f>
        <v>#REF!</v>
      </c>
      <c r="H14" s="19" t="e">
        <f>VLOOKUP($B14,#REF!,7,0)</f>
        <v>#REF!</v>
      </c>
      <c r="I14" s="19" t="e">
        <f>VLOOKUP($B14,#REF!,8,0)</f>
        <v>#REF!</v>
      </c>
      <c r="J14" s="159"/>
      <c r="K14" s="22" t="s">
        <v>12</v>
      </c>
      <c r="L14" s="35">
        <v>77</v>
      </c>
      <c r="M14" s="35">
        <v>66</v>
      </c>
      <c r="N14" s="35">
        <v>74</v>
      </c>
      <c r="O14" s="161" t="s">
        <v>68</v>
      </c>
      <c r="P14" s="13"/>
      <c r="Q14" s="13"/>
      <c r="R14" s="13"/>
      <c r="S14" s="13"/>
      <c r="T14" s="13"/>
      <c r="AF14" s="12"/>
      <c r="AG14" s="12"/>
      <c r="AH14" s="12"/>
    </row>
    <row r="15" spans="1:73" ht="24.2" customHeight="1" thickBot="1" x14ac:dyDescent="0.25">
      <c r="B15" s="156"/>
      <c r="C15" s="163"/>
      <c r="D15" s="20" t="e">
        <f>VLOOKUP($B15,#REF!,3,0)</f>
        <v>#REF!</v>
      </c>
      <c r="E15" s="20" t="e">
        <f>VLOOKUP($B15,#REF!,4,0)</f>
        <v>#REF!</v>
      </c>
      <c r="F15" s="20" t="e">
        <f>VLOOKUP($B15,#REF!,5,0)</f>
        <v>#REF!</v>
      </c>
      <c r="G15" s="20" t="e">
        <f>VLOOKUP($B15,#REF!,6,0)</f>
        <v>#REF!</v>
      </c>
      <c r="H15" s="20" t="e">
        <f>VLOOKUP($B15,#REF!,7,0)</f>
        <v>#REF!</v>
      </c>
      <c r="I15" s="20" t="e">
        <f>VLOOKUP($B15,#REF!,8,0)</f>
        <v>#REF!</v>
      </c>
      <c r="J15" s="160"/>
      <c r="K15" s="34" t="s">
        <v>13</v>
      </c>
      <c r="L15" s="36">
        <v>85</v>
      </c>
      <c r="M15" s="36">
        <v>82</v>
      </c>
      <c r="N15" s="36">
        <v>88</v>
      </c>
      <c r="O15" s="162"/>
      <c r="P15" s="13"/>
      <c r="Q15" s="13"/>
      <c r="R15" s="13"/>
      <c r="S15" s="13"/>
      <c r="T15" s="13"/>
      <c r="AF15" s="12"/>
      <c r="AG15" s="12"/>
      <c r="AH15" s="14"/>
      <c r="AI15" s="15"/>
      <c r="AJ15" s="15"/>
      <c r="AK15" s="15"/>
      <c r="AL15" s="15"/>
      <c r="AM15" s="15"/>
      <c r="AN15" s="15"/>
      <c r="AO15" s="15"/>
      <c r="AP15" s="15"/>
      <c r="AQ15" s="15"/>
      <c r="AR15" s="15"/>
      <c r="AS15" s="15"/>
      <c r="AT15" s="15"/>
      <c r="AU15" s="15"/>
      <c r="AV15" s="15"/>
      <c r="AW15" s="15"/>
      <c r="AX15" s="15"/>
      <c r="AY15" s="15"/>
      <c r="AZ15" s="15"/>
      <c r="BA15" s="15"/>
      <c r="BB15" s="15"/>
      <c r="BC15" s="15"/>
      <c r="BD15" s="15"/>
      <c r="BE15" s="15"/>
      <c r="BF15" s="15"/>
      <c r="BG15" s="15"/>
      <c r="BH15" s="15"/>
      <c r="BI15" s="15"/>
      <c r="BJ15" s="15"/>
      <c r="BK15" s="15"/>
      <c r="BL15" s="15"/>
      <c r="BM15" s="15"/>
      <c r="BN15" s="15"/>
      <c r="BO15" s="15"/>
      <c r="BP15" s="15"/>
      <c r="BQ15" s="15"/>
      <c r="BR15" s="15"/>
      <c r="BS15" s="15"/>
      <c r="BT15" s="15"/>
      <c r="BU15" s="15"/>
    </row>
    <row r="16" spans="1:73" ht="24.2" customHeight="1" x14ac:dyDescent="0.2">
      <c r="B16" s="164">
        <v>4</v>
      </c>
      <c r="C16" s="157" t="s">
        <v>29</v>
      </c>
      <c r="D16" s="19" t="e">
        <f>VLOOKUP($B16,#REF!,3,0)</f>
        <v>#REF!</v>
      </c>
      <c r="E16" s="19" t="e">
        <f>VLOOKUP($B16,#REF!,4,0)</f>
        <v>#REF!</v>
      </c>
      <c r="F16" s="19" t="e">
        <f>VLOOKUP($B16,#REF!,5,0)</f>
        <v>#REF!</v>
      </c>
      <c r="G16" s="19" t="e">
        <f>VLOOKUP($B16,#REF!,6,0)</f>
        <v>#REF!</v>
      </c>
      <c r="H16" s="19" t="e">
        <f>VLOOKUP($B16,#REF!,7,0)</f>
        <v>#REF!</v>
      </c>
      <c r="I16" s="19" t="e">
        <f>VLOOKUP($B16,#REF!,8,0)</f>
        <v>#REF!</v>
      </c>
      <c r="J16" s="159"/>
      <c r="K16" s="22" t="s">
        <v>12</v>
      </c>
      <c r="L16" s="35">
        <v>100</v>
      </c>
      <c r="M16" s="35">
        <v>102</v>
      </c>
      <c r="N16" s="44">
        <v>88</v>
      </c>
      <c r="O16" s="161"/>
      <c r="P16" s="13"/>
      <c r="Q16" s="13"/>
      <c r="R16" s="13"/>
      <c r="S16" s="13"/>
      <c r="T16" s="13"/>
    </row>
    <row r="17" spans="2:73" ht="24.2" customHeight="1" thickBot="1" x14ac:dyDescent="0.25">
      <c r="B17" s="156"/>
      <c r="C17" s="158"/>
      <c r="D17" s="20" t="e">
        <f>VLOOKUP($B17,#REF!,3,0)</f>
        <v>#REF!</v>
      </c>
      <c r="E17" s="20" t="e">
        <f>VLOOKUP($B17,#REF!,4,0)</f>
        <v>#REF!</v>
      </c>
      <c r="F17" s="20" t="e">
        <f>VLOOKUP($B17,#REF!,5,0)</f>
        <v>#REF!</v>
      </c>
      <c r="G17" s="20" t="e">
        <f>VLOOKUP($B17,#REF!,6,0)</f>
        <v>#REF!</v>
      </c>
      <c r="H17" s="20" t="e">
        <f>VLOOKUP($B17,#REF!,7,0)</f>
        <v>#REF!</v>
      </c>
      <c r="I17" s="20" t="e">
        <f>VLOOKUP($B17,#REF!,8,0)</f>
        <v>#REF!</v>
      </c>
      <c r="J17" s="160"/>
      <c r="K17" s="34" t="s">
        <v>13</v>
      </c>
      <c r="L17" s="36">
        <v>105</v>
      </c>
      <c r="M17" s="36">
        <v>110</v>
      </c>
      <c r="N17" s="36">
        <v>95</v>
      </c>
      <c r="O17" s="162"/>
      <c r="P17" s="13"/>
      <c r="Q17" s="13"/>
      <c r="R17" s="13"/>
      <c r="S17" s="13"/>
      <c r="T17" s="13"/>
      <c r="AF17" s="12"/>
      <c r="AG17" s="12"/>
      <c r="AH17" s="14"/>
      <c r="AI17" s="15"/>
      <c r="AJ17" s="15"/>
      <c r="AK17" s="15"/>
      <c r="AL17" s="15"/>
      <c r="AM17" s="15"/>
      <c r="AN17" s="15"/>
      <c r="AO17" s="15"/>
      <c r="AP17" s="15"/>
      <c r="AQ17" s="15"/>
      <c r="AR17" s="15"/>
      <c r="AS17" s="15"/>
      <c r="AT17" s="15"/>
      <c r="AU17" s="15"/>
      <c r="AV17" s="15"/>
      <c r="AW17" s="15"/>
      <c r="AX17" s="15"/>
      <c r="AY17" s="15"/>
      <c r="AZ17" s="15"/>
      <c r="BA17" s="15"/>
      <c r="BB17" s="15"/>
      <c r="BC17" s="15"/>
      <c r="BD17" s="15"/>
      <c r="BE17" s="15"/>
      <c r="BF17" s="15"/>
      <c r="BG17" s="15"/>
      <c r="BH17" s="15"/>
      <c r="BI17" s="15"/>
      <c r="BJ17" s="15"/>
      <c r="BK17" s="15"/>
      <c r="BL17" s="15"/>
      <c r="BM17" s="15"/>
      <c r="BN17" s="15"/>
      <c r="BO17" s="15"/>
      <c r="BP17" s="15"/>
      <c r="BQ17" s="15"/>
      <c r="BR17" s="15"/>
      <c r="BS17" s="15"/>
      <c r="BT17" s="15"/>
      <c r="BU17" s="15"/>
    </row>
    <row r="18" spans="2:73" ht="24.2" customHeight="1" x14ac:dyDescent="0.2">
      <c r="B18" s="164">
        <v>5</v>
      </c>
      <c r="C18" s="157" t="s">
        <v>28</v>
      </c>
      <c r="D18" s="19" t="e">
        <f>VLOOKUP($B18,#REF!,3,0)</f>
        <v>#REF!</v>
      </c>
      <c r="E18" s="19" t="e">
        <f>VLOOKUP($B18,#REF!,4,0)</f>
        <v>#REF!</v>
      </c>
      <c r="F18" s="19" t="e">
        <f>VLOOKUP($B18,#REF!,5,0)</f>
        <v>#REF!</v>
      </c>
      <c r="G18" s="19" t="e">
        <f>VLOOKUP($B18,#REF!,6,0)</f>
        <v>#REF!</v>
      </c>
      <c r="H18" s="19" t="e">
        <f>VLOOKUP($B18,#REF!,7,0)</f>
        <v>#REF!</v>
      </c>
      <c r="I18" s="19" t="e">
        <f>VLOOKUP($B18,#REF!,8,0)</f>
        <v>#REF!</v>
      </c>
      <c r="J18" s="159"/>
      <c r="K18" s="22" t="s">
        <v>12</v>
      </c>
      <c r="L18" s="44">
        <v>92</v>
      </c>
      <c r="M18" s="35">
        <v>100</v>
      </c>
      <c r="N18" s="44">
        <v>93</v>
      </c>
      <c r="O18" s="161" t="s">
        <v>67</v>
      </c>
      <c r="P18" s="13"/>
      <c r="Q18" s="13"/>
      <c r="R18" s="13"/>
      <c r="S18" s="13"/>
      <c r="T18" s="13"/>
      <c r="AF18" s="12"/>
      <c r="AG18" s="12"/>
      <c r="AH18" s="12"/>
    </row>
    <row r="19" spans="2:73" ht="24.2" customHeight="1" thickBot="1" x14ac:dyDescent="0.25">
      <c r="B19" s="156"/>
      <c r="C19" s="163"/>
      <c r="D19" s="20" t="e">
        <f>VLOOKUP($B19,#REF!,3,0)</f>
        <v>#REF!</v>
      </c>
      <c r="E19" s="20" t="e">
        <f>VLOOKUP($B19,#REF!,4,0)</f>
        <v>#REF!</v>
      </c>
      <c r="F19" s="20" t="e">
        <f>VLOOKUP($B19,#REF!,5,0)</f>
        <v>#REF!</v>
      </c>
      <c r="G19" s="20" t="e">
        <f>VLOOKUP($B19,#REF!,6,0)</f>
        <v>#REF!</v>
      </c>
      <c r="H19" s="20" t="e">
        <f>VLOOKUP($B19,#REF!,7,0)</f>
        <v>#REF!</v>
      </c>
      <c r="I19" s="20" t="e">
        <f>VLOOKUP($B19,#REF!,8,0)</f>
        <v>#REF!</v>
      </c>
      <c r="J19" s="160"/>
      <c r="K19" s="34" t="s">
        <v>13</v>
      </c>
      <c r="L19" s="36">
        <v>102</v>
      </c>
      <c r="M19" s="36">
        <v>105</v>
      </c>
      <c r="N19" s="36">
        <v>98</v>
      </c>
      <c r="O19" s="162"/>
      <c r="P19" s="13"/>
      <c r="Q19" s="13"/>
      <c r="R19" s="13"/>
      <c r="S19" s="13"/>
      <c r="T19" s="13"/>
      <c r="AF19" s="12"/>
      <c r="AG19" s="12"/>
      <c r="AH19" s="14"/>
      <c r="AI19" s="15"/>
      <c r="AJ19" s="15"/>
      <c r="AK19" s="15"/>
      <c r="AL19" s="15"/>
      <c r="AM19" s="15"/>
      <c r="AN19" s="15"/>
      <c r="AO19" s="15"/>
      <c r="AP19" s="15"/>
      <c r="AQ19" s="15"/>
      <c r="AR19" s="15"/>
      <c r="AS19" s="15"/>
      <c r="AT19" s="15"/>
      <c r="AU19" s="15"/>
      <c r="AV19" s="15"/>
      <c r="AW19" s="15"/>
      <c r="AX19" s="15"/>
      <c r="AY19" s="15"/>
      <c r="AZ19" s="15"/>
      <c r="BA19" s="15"/>
      <c r="BB19" s="15"/>
      <c r="BC19" s="15"/>
      <c r="BD19" s="15"/>
      <c r="BE19" s="15"/>
      <c r="BF19" s="15"/>
      <c r="BG19" s="15"/>
      <c r="BH19" s="15"/>
      <c r="BI19" s="15"/>
      <c r="BJ19" s="15"/>
      <c r="BK19" s="15"/>
      <c r="BL19" s="15"/>
      <c r="BM19" s="15"/>
      <c r="BN19" s="15"/>
      <c r="BO19" s="15"/>
      <c r="BP19" s="15"/>
      <c r="BQ19" s="15"/>
      <c r="BR19" s="15"/>
      <c r="BS19" s="15"/>
      <c r="BT19" s="15"/>
      <c r="BU19" s="15"/>
    </row>
    <row r="20" spans="2:73" ht="24.2" customHeight="1" x14ac:dyDescent="0.2">
      <c r="B20" s="164">
        <v>6</v>
      </c>
      <c r="C20" s="157" t="s">
        <v>29</v>
      </c>
      <c r="D20" s="19" t="e">
        <f>VLOOKUP($B20,#REF!,3,0)</f>
        <v>#REF!</v>
      </c>
      <c r="E20" s="19" t="e">
        <f>VLOOKUP($B20,#REF!,4,0)</f>
        <v>#REF!</v>
      </c>
      <c r="F20" s="19" t="e">
        <f>VLOOKUP($B20,#REF!,5,0)</f>
        <v>#REF!</v>
      </c>
      <c r="G20" s="19" t="e">
        <f>VLOOKUP($B20,#REF!,6,0)</f>
        <v>#REF!</v>
      </c>
      <c r="H20" s="19" t="e">
        <f>VLOOKUP($B20,#REF!,7,0)</f>
        <v>#REF!</v>
      </c>
      <c r="I20" s="19" t="e">
        <f>VLOOKUP($B20,#REF!,8,0)</f>
        <v>#REF!</v>
      </c>
      <c r="J20" s="159"/>
      <c r="K20" s="22" t="s">
        <v>12</v>
      </c>
      <c r="L20" s="35">
        <v>86</v>
      </c>
      <c r="M20" s="35">
        <v>89</v>
      </c>
      <c r="N20" s="35">
        <v>85</v>
      </c>
      <c r="O20" s="161"/>
      <c r="P20" s="13"/>
      <c r="Q20" s="13"/>
      <c r="R20" s="13"/>
      <c r="S20" s="13"/>
      <c r="T20" s="13"/>
      <c r="AF20" s="12"/>
      <c r="AG20" s="12"/>
      <c r="AH20" s="12"/>
    </row>
    <row r="21" spans="2:73" ht="24.2" customHeight="1" thickBot="1" x14ac:dyDescent="0.25">
      <c r="B21" s="156"/>
      <c r="C21" s="158"/>
      <c r="D21" s="20" t="e">
        <f>VLOOKUP($B21,#REF!,3,0)</f>
        <v>#REF!</v>
      </c>
      <c r="E21" s="20" t="e">
        <f>VLOOKUP($B21,#REF!,4,0)</f>
        <v>#REF!</v>
      </c>
      <c r="F21" s="20" t="e">
        <f>VLOOKUP($B21,#REF!,5,0)</f>
        <v>#REF!</v>
      </c>
      <c r="G21" s="20" t="e">
        <f>VLOOKUP($B21,#REF!,6,0)</f>
        <v>#REF!</v>
      </c>
      <c r="H21" s="20" t="e">
        <f>VLOOKUP($B21,#REF!,7,0)</f>
        <v>#REF!</v>
      </c>
      <c r="I21" s="20" t="e">
        <f>VLOOKUP($B21,#REF!,8,0)</f>
        <v>#REF!</v>
      </c>
      <c r="J21" s="160"/>
      <c r="K21" s="34" t="s">
        <v>13</v>
      </c>
      <c r="L21" s="36">
        <v>93</v>
      </c>
      <c r="M21" s="36">
        <v>99</v>
      </c>
      <c r="N21" s="36">
        <v>91</v>
      </c>
      <c r="O21" s="162"/>
      <c r="P21" s="13"/>
      <c r="Q21" s="13"/>
      <c r="R21" s="13"/>
      <c r="S21" s="13"/>
      <c r="T21" s="13"/>
      <c r="AF21" s="12"/>
      <c r="AG21" s="12"/>
      <c r="AH21" s="14"/>
      <c r="AI21" s="15"/>
      <c r="AJ21" s="15"/>
      <c r="AK21" s="15"/>
      <c r="AL21" s="15"/>
      <c r="AM21" s="15"/>
      <c r="AN21" s="15"/>
      <c r="AO21" s="15"/>
      <c r="AP21" s="15"/>
      <c r="AQ21" s="15"/>
      <c r="AR21" s="15"/>
      <c r="AS21" s="15"/>
      <c r="AT21" s="15"/>
      <c r="AU21" s="15"/>
      <c r="AV21" s="15"/>
      <c r="AW21" s="15"/>
      <c r="AX21" s="15"/>
      <c r="AY21" s="15"/>
      <c r="AZ21" s="15"/>
      <c r="BA21" s="15"/>
      <c r="BB21" s="15"/>
      <c r="BC21" s="15"/>
      <c r="BD21" s="15"/>
      <c r="BE21" s="15"/>
      <c r="BF21" s="15"/>
      <c r="BG21" s="15"/>
      <c r="BH21" s="15"/>
      <c r="BI21" s="15"/>
      <c r="BJ21" s="15"/>
      <c r="BK21" s="15"/>
      <c r="BL21" s="15"/>
      <c r="BM21" s="15"/>
      <c r="BN21" s="15"/>
      <c r="BO21" s="15"/>
      <c r="BP21" s="15"/>
      <c r="BQ21" s="15"/>
      <c r="BR21" s="15"/>
      <c r="BS21" s="15"/>
      <c r="BT21" s="15"/>
      <c r="BU21" s="15"/>
    </row>
    <row r="22" spans="2:73" ht="24.2" customHeight="1" x14ac:dyDescent="0.2">
      <c r="B22" s="164">
        <v>7</v>
      </c>
      <c r="C22" s="157" t="s">
        <v>28</v>
      </c>
      <c r="D22" s="19" t="e">
        <f>VLOOKUP($B22,#REF!,3,0)</f>
        <v>#REF!</v>
      </c>
      <c r="E22" s="19" t="e">
        <f>VLOOKUP($B22,#REF!,4,0)</f>
        <v>#REF!</v>
      </c>
      <c r="F22" s="19" t="e">
        <f>VLOOKUP($B22,#REF!,5,0)</f>
        <v>#REF!</v>
      </c>
      <c r="G22" s="19" t="e">
        <f>VLOOKUP($B22,#REF!,6,0)</f>
        <v>#REF!</v>
      </c>
      <c r="H22" s="19" t="e">
        <f>VLOOKUP($B22,#REF!,7,0)</f>
        <v>#REF!</v>
      </c>
      <c r="I22" s="19" t="e">
        <f>VLOOKUP($B22,#REF!,8,0)</f>
        <v>#REF!</v>
      </c>
      <c r="J22" s="159"/>
      <c r="K22" s="22" t="s">
        <v>12</v>
      </c>
      <c r="L22" s="35">
        <v>101</v>
      </c>
      <c r="M22" s="35">
        <v>96</v>
      </c>
      <c r="N22" s="35">
        <v>88</v>
      </c>
      <c r="O22" s="161" t="s">
        <v>68</v>
      </c>
      <c r="P22" s="13"/>
      <c r="Q22" s="13"/>
      <c r="R22" s="13"/>
      <c r="S22" s="13"/>
      <c r="T22" s="13"/>
      <c r="AF22" s="12"/>
      <c r="AG22" s="12"/>
      <c r="AH22" s="12"/>
    </row>
    <row r="23" spans="2:73" ht="24.2" customHeight="1" thickBot="1" x14ac:dyDescent="0.25">
      <c r="B23" s="156"/>
      <c r="C23" s="163"/>
      <c r="D23" s="20" t="e">
        <f>VLOOKUP($B23,#REF!,3,0)</f>
        <v>#REF!</v>
      </c>
      <c r="E23" s="20" t="e">
        <f>VLOOKUP($B23,#REF!,4,0)</f>
        <v>#REF!</v>
      </c>
      <c r="F23" s="20" t="e">
        <f>VLOOKUP($B23,#REF!,5,0)</f>
        <v>#REF!</v>
      </c>
      <c r="G23" s="20" t="e">
        <f>VLOOKUP($B23,#REF!,6,0)</f>
        <v>#REF!</v>
      </c>
      <c r="H23" s="20" t="e">
        <f>VLOOKUP($B23,#REF!,7,0)</f>
        <v>#REF!</v>
      </c>
      <c r="I23" s="20" t="e">
        <f>VLOOKUP($B23,#REF!,8,0)</f>
        <v>#REF!</v>
      </c>
      <c r="J23" s="160"/>
      <c r="K23" s="34" t="s">
        <v>13</v>
      </c>
      <c r="L23" s="36">
        <v>111</v>
      </c>
      <c r="M23" s="36">
        <v>107</v>
      </c>
      <c r="N23" s="36">
        <v>102</v>
      </c>
      <c r="O23" s="162"/>
      <c r="P23" s="13"/>
      <c r="Q23" s="13"/>
      <c r="R23" s="13"/>
      <c r="S23" s="13"/>
      <c r="T23" s="13"/>
      <c r="AF23" s="12"/>
      <c r="AG23" s="12"/>
      <c r="AH23" s="14"/>
      <c r="AI23" s="15"/>
      <c r="AJ23" s="15"/>
      <c r="AK23" s="15"/>
      <c r="AL23" s="15"/>
      <c r="AM23" s="15"/>
      <c r="AN23" s="15"/>
      <c r="AO23" s="15"/>
      <c r="AP23" s="15"/>
      <c r="AQ23" s="15"/>
      <c r="AR23" s="15"/>
      <c r="AS23" s="15"/>
      <c r="AT23" s="15"/>
      <c r="AU23" s="15"/>
      <c r="AV23" s="15"/>
      <c r="AW23" s="15"/>
      <c r="AX23" s="15"/>
      <c r="AY23" s="15"/>
      <c r="AZ23" s="15"/>
      <c r="BA23" s="15"/>
      <c r="BB23" s="15"/>
      <c r="BC23" s="15"/>
      <c r="BD23" s="15"/>
      <c r="BE23" s="15"/>
      <c r="BF23" s="15"/>
      <c r="BG23" s="15"/>
      <c r="BH23" s="15"/>
      <c r="BI23" s="15"/>
      <c r="BJ23" s="15"/>
      <c r="BK23" s="15"/>
      <c r="BL23" s="15"/>
      <c r="BM23" s="15"/>
      <c r="BN23" s="15"/>
      <c r="BO23" s="15"/>
      <c r="BP23" s="15"/>
      <c r="BQ23" s="15"/>
      <c r="BR23" s="15"/>
      <c r="BS23" s="15"/>
      <c r="BT23" s="15"/>
      <c r="BU23" s="15"/>
    </row>
    <row r="24" spans="2:73" ht="24.2" customHeight="1" x14ac:dyDescent="0.2">
      <c r="B24" s="164">
        <v>8</v>
      </c>
      <c r="C24" s="157" t="s">
        <v>29</v>
      </c>
      <c r="D24" s="19" t="e">
        <f>VLOOKUP($B24,#REF!,3,0)</f>
        <v>#REF!</v>
      </c>
      <c r="E24" s="19" t="e">
        <f>VLOOKUP($B24,#REF!,4,0)</f>
        <v>#REF!</v>
      </c>
      <c r="F24" s="19" t="e">
        <f>VLOOKUP($B24,#REF!,5,0)</f>
        <v>#REF!</v>
      </c>
      <c r="G24" s="19" t="e">
        <f>VLOOKUP($B24,#REF!,6,0)</f>
        <v>#REF!</v>
      </c>
      <c r="H24" s="19" t="e">
        <f>VLOOKUP($B24,#REF!,7,0)</f>
        <v>#REF!</v>
      </c>
      <c r="I24" s="19" t="e">
        <f>VLOOKUP($B24,#REF!,8,0)</f>
        <v>#REF!</v>
      </c>
      <c r="J24" s="159"/>
      <c r="K24" s="22" t="s">
        <v>12</v>
      </c>
      <c r="L24" s="44" t="s">
        <v>66</v>
      </c>
      <c r="M24" s="44" t="s">
        <v>66</v>
      </c>
      <c r="N24" s="44" t="s">
        <v>66</v>
      </c>
      <c r="O24" s="161" t="s">
        <v>69</v>
      </c>
      <c r="P24" s="13"/>
      <c r="Q24" s="13"/>
      <c r="R24" s="13"/>
      <c r="S24" s="13"/>
      <c r="T24" s="13"/>
      <c r="AF24" s="9"/>
      <c r="AG24" s="9"/>
      <c r="AH24" s="9"/>
    </row>
    <row r="25" spans="2:73" ht="24.2" customHeight="1" thickBot="1" x14ac:dyDescent="0.25">
      <c r="B25" s="156"/>
      <c r="C25" s="158"/>
      <c r="D25" s="20" t="e">
        <f>VLOOKUP($B25,#REF!,3,0)</f>
        <v>#REF!</v>
      </c>
      <c r="E25" s="20" t="e">
        <f>VLOOKUP($B25,#REF!,4,0)</f>
        <v>#REF!</v>
      </c>
      <c r="F25" s="20" t="e">
        <f>VLOOKUP($B25,#REF!,5,0)</f>
        <v>#REF!</v>
      </c>
      <c r="G25" s="20" t="e">
        <f>VLOOKUP($B25,#REF!,6,0)</f>
        <v>#REF!</v>
      </c>
      <c r="H25" s="20" t="e">
        <f>VLOOKUP($B25,#REF!,7,0)</f>
        <v>#REF!</v>
      </c>
      <c r="I25" s="20" t="e">
        <f>VLOOKUP($B25,#REF!,8,0)</f>
        <v>#REF!</v>
      </c>
      <c r="J25" s="160"/>
      <c r="K25" s="34" t="s">
        <v>13</v>
      </c>
      <c r="L25" s="36">
        <v>105</v>
      </c>
      <c r="M25" s="36">
        <v>109</v>
      </c>
      <c r="N25" s="36">
        <v>109</v>
      </c>
      <c r="O25" s="162"/>
      <c r="P25" s="13"/>
      <c r="Q25" s="13"/>
      <c r="R25" s="13"/>
      <c r="S25" s="13"/>
      <c r="T25" s="13"/>
      <c r="AF25" s="12"/>
      <c r="AG25" s="12"/>
      <c r="AH25" s="14"/>
      <c r="AI25" s="15"/>
      <c r="AJ25" s="15"/>
      <c r="AK25" s="15"/>
      <c r="AL25" s="15"/>
      <c r="AM25" s="15"/>
      <c r="AN25" s="15"/>
      <c r="AO25" s="15"/>
      <c r="AP25" s="15"/>
      <c r="AQ25" s="15"/>
      <c r="AR25" s="15"/>
      <c r="AS25" s="15"/>
      <c r="AT25" s="15"/>
      <c r="AU25" s="15"/>
      <c r="AV25" s="15"/>
      <c r="AW25" s="15"/>
      <c r="AX25" s="15"/>
      <c r="AY25" s="15"/>
      <c r="AZ25" s="15"/>
      <c r="BA25" s="15"/>
      <c r="BB25" s="15"/>
      <c r="BC25" s="15"/>
      <c r="BD25" s="15"/>
      <c r="BE25" s="15"/>
      <c r="BF25" s="15"/>
      <c r="BG25" s="15"/>
      <c r="BH25" s="15"/>
      <c r="BI25" s="15"/>
      <c r="BJ25" s="15"/>
      <c r="BK25" s="15"/>
      <c r="BL25" s="15"/>
      <c r="BM25" s="15"/>
      <c r="BN25" s="15"/>
      <c r="BO25" s="15"/>
      <c r="BP25" s="15"/>
      <c r="BQ25" s="15"/>
      <c r="BR25" s="15"/>
      <c r="BS25" s="15"/>
      <c r="BT25" s="15"/>
      <c r="BU25" s="15"/>
    </row>
    <row r="26" spans="2:73" ht="24.2" customHeight="1" x14ac:dyDescent="0.2">
      <c r="B26" s="164">
        <v>9</v>
      </c>
      <c r="C26" s="157" t="s">
        <v>28</v>
      </c>
      <c r="D26" s="19" t="e">
        <f>VLOOKUP($B26,#REF!,3,0)</f>
        <v>#REF!</v>
      </c>
      <c r="E26" s="19" t="e">
        <f>VLOOKUP($B26,#REF!,4,0)</f>
        <v>#REF!</v>
      </c>
      <c r="F26" s="19" t="e">
        <f>VLOOKUP($B26,#REF!,5,0)</f>
        <v>#REF!</v>
      </c>
      <c r="G26" s="19" t="e">
        <f>VLOOKUP($B26,#REF!,6,0)</f>
        <v>#REF!</v>
      </c>
      <c r="H26" s="19" t="e">
        <f>VLOOKUP($B26,#REF!,7,0)</f>
        <v>#REF!</v>
      </c>
      <c r="I26" s="19" t="e">
        <f>VLOOKUP($B26,#REF!,8,0)</f>
        <v>#REF!</v>
      </c>
      <c r="J26" s="159">
        <v>1025</v>
      </c>
      <c r="K26" s="22" t="s">
        <v>12</v>
      </c>
      <c r="L26" s="35">
        <v>76</v>
      </c>
      <c r="M26" s="35">
        <v>80</v>
      </c>
      <c r="N26" s="35">
        <v>84</v>
      </c>
      <c r="O26" s="161"/>
      <c r="P26" s="13"/>
      <c r="Q26" s="13"/>
      <c r="R26" s="13"/>
      <c r="S26" s="13"/>
      <c r="T26" s="13"/>
      <c r="AF26" s="12"/>
      <c r="AG26" s="12"/>
      <c r="AH26" s="12"/>
    </row>
    <row r="27" spans="2:73" ht="24.2" customHeight="1" thickBot="1" x14ac:dyDescent="0.25">
      <c r="B27" s="156"/>
      <c r="C27" s="163"/>
      <c r="D27" s="20" t="e">
        <f>VLOOKUP($B27,#REF!,3,0)</f>
        <v>#REF!</v>
      </c>
      <c r="E27" s="20" t="e">
        <f>VLOOKUP($B27,#REF!,4,0)</f>
        <v>#REF!</v>
      </c>
      <c r="F27" s="20" t="e">
        <f>VLOOKUP($B27,#REF!,5,0)</f>
        <v>#REF!</v>
      </c>
      <c r="G27" s="20" t="e">
        <f>VLOOKUP($B27,#REF!,6,0)</f>
        <v>#REF!</v>
      </c>
      <c r="H27" s="20" t="e">
        <f>VLOOKUP($B27,#REF!,7,0)</f>
        <v>#REF!</v>
      </c>
      <c r="I27" s="20" t="e">
        <f>VLOOKUP($B27,#REF!,8,0)</f>
        <v>#REF!</v>
      </c>
      <c r="J27" s="160"/>
      <c r="K27" s="34" t="s">
        <v>13</v>
      </c>
      <c r="L27" s="36">
        <v>95</v>
      </c>
      <c r="M27" s="36">
        <v>91</v>
      </c>
      <c r="N27" s="36">
        <v>88</v>
      </c>
      <c r="O27" s="162"/>
      <c r="P27" s="13"/>
      <c r="Q27" s="13"/>
      <c r="R27" s="13"/>
      <c r="S27" s="13"/>
      <c r="T27" s="13"/>
      <c r="AF27" s="12"/>
      <c r="AG27" s="12"/>
      <c r="AH27" s="14"/>
      <c r="AI27" s="15"/>
      <c r="AJ27" s="15"/>
      <c r="AK27" s="15"/>
      <c r="AL27" s="15"/>
      <c r="AM27" s="15"/>
      <c r="AN27" s="15"/>
      <c r="AO27" s="15"/>
      <c r="AP27" s="15"/>
      <c r="AQ27" s="15"/>
      <c r="AR27" s="15"/>
      <c r="AS27" s="15"/>
      <c r="AT27" s="15"/>
      <c r="AU27" s="15"/>
      <c r="AV27" s="15"/>
      <c r="AW27" s="15"/>
      <c r="AX27" s="15"/>
      <c r="AY27" s="15"/>
      <c r="AZ27" s="15"/>
      <c r="BA27" s="15"/>
      <c r="BB27" s="15"/>
      <c r="BC27" s="15"/>
      <c r="BD27" s="15"/>
      <c r="BE27" s="15"/>
      <c r="BF27" s="15"/>
      <c r="BG27" s="15"/>
      <c r="BH27" s="15"/>
      <c r="BI27" s="15"/>
      <c r="BJ27" s="15"/>
      <c r="BK27" s="15"/>
      <c r="BL27" s="15"/>
      <c r="BM27" s="15"/>
      <c r="BN27" s="15"/>
      <c r="BO27" s="15"/>
      <c r="BP27" s="15"/>
      <c r="BQ27" s="15"/>
      <c r="BR27" s="15"/>
      <c r="BS27" s="15"/>
      <c r="BT27" s="15"/>
      <c r="BU27" s="15"/>
    </row>
    <row r="28" spans="2:73" ht="24.2" customHeight="1" x14ac:dyDescent="0.2">
      <c r="B28" s="155">
        <v>10</v>
      </c>
      <c r="C28" s="157" t="s">
        <v>29</v>
      </c>
      <c r="D28" s="19" t="e">
        <f>VLOOKUP($B28,#REF!,3,0)</f>
        <v>#REF!</v>
      </c>
      <c r="E28" s="19" t="e">
        <f>VLOOKUP($B28,#REF!,4,0)</f>
        <v>#REF!</v>
      </c>
      <c r="F28" s="19" t="e">
        <f>VLOOKUP($B28,#REF!,5,0)</f>
        <v>#REF!</v>
      </c>
      <c r="G28" s="19" t="e">
        <f>VLOOKUP($B28,#REF!,6,0)</f>
        <v>#REF!</v>
      </c>
      <c r="H28" s="19" t="e">
        <f>VLOOKUP($B28,#REF!,7,0)</f>
        <v>#REF!</v>
      </c>
      <c r="I28" s="19" t="e">
        <f>VLOOKUP($B28,#REF!,8,0)</f>
        <v>#REF!</v>
      </c>
      <c r="J28" s="159"/>
      <c r="K28" s="22" t="s">
        <v>12</v>
      </c>
      <c r="L28" s="44" t="s">
        <v>66</v>
      </c>
      <c r="M28" s="44" t="s">
        <v>66</v>
      </c>
      <c r="N28" s="44" t="s">
        <v>66</v>
      </c>
      <c r="O28" s="161" t="s">
        <v>69</v>
      </c>
      <c r="P28" s="13"/>
      <c r="Q28" s="13"/>
      <c r="R28" s="13"/>
      <c r="S28" s="13"/>
      <c r="T28" s="13"/>
    </row>
    <row r="29" spans="2:73" ht="24.2" customHeight="1" thickBot="1" x14ac:dyDescent="0.25">
      <c r="B29" s="156"/>
      <c r="C29" s="158"/>
      <c r="D29" s="20" t="e">
        <f>VLOOKUP($B29,#REF!,3,0)</f>
        <v>#REF!</v>
      </c>
      <c r="E29" s="20" t="e">
        <f>VLOOKUP($B29,#REF!,4,0)</f>
        <v>#REF!</v>
      </c>
      <c r="F29" s="20" t="e">
        <f>VLOOKUP($B29,#REF!,5,0)</f>
        <v>#REF!</v>
      </c>
      <c r="G29" s="20" t="e">
        <f>VLOOKUP($B29,#REF!,6,0)</f>
        <v>#REF!</v>
      </c>
      <c r="H29" s="20" t="e">
        <f>VLOOKUP($B29,#REF!,7,0)</f>
        <v>#REF!</v>
      </c>
      <c r="I29" s="20" t="e">
        <f>VLOOKUP($B29,#REF!,8,0)</f>
        <v>#REF!</v>
      </c>
      <c r="J29" s="160"/>
      <c r="K29" s="34" t="s">
        <v>13</v>
      </c>
      <c r="L29" s="36">
        <v>100</v>
      </c>
      <c r="M29" s="36">
        <v>108</v>
      </c>
      <c r="N29" s="36">
        <v>115</v>
      </c>
      <c r="O29" s="162"/>
      <c r="P29" s="13"/>
      <c r="Q29" s="13"/>
      <c r="R29" s="13"/>
      <c r="S29" s="13"/>
      <c r="T29" s="13"/>
      <c r="AF29" s="12"/>
      <c r="AG29" s="12"/>
      <c r="AH29" s="14"/>
      <c r="AI29" s="15"/>
      <c r="AJ29" s="15"/>
      <c r="AK29" s="15"/>
      <c r="AL29" s="15"/>
      <c r="AM29" s="15"/>
      <c r="AN29" s="15"/>
      <c r="AO29" s="15"/>
      <c r="AP29" s="15"/>
      <c r="AQ29" s="15"/>
      <c r="AR29" s="15"/>
      <c r="AS29" s="15"/>
      <c r="AT29" s="15"/>
      <c r="AU29" s="15"/>
      <c r="AV29" s="15"/>
      <c r="AW29" s="15"/>
      <c r="AX29" s="15"/>
      <c r="AY29" s="15"/>
      <c r="AZ29" s="15"/>
      <c r="BA29" s="15"/>
      <c r="BB29" s="15"/>
      <c r="BC29" s="15"/>
      <c r="BD29" s="15"/>
      <c r="BE29" s="15"/>
      <c r="BF29" s="15"/>
      <c r="BG29" s="15"/>
      <c r="BH29" s="15"/>
      <c r="BI29" s="15"/>
      <c r="BJ29" s="15"/>
      <c r="BK29" s="15"/>
      <c r="BL29" s="15"/>
      <c r="BM29" s="15"/>
      <c r="BN29" s="15"/>
      <c r="BO29" s="15"/>
      <c r="BP29" s="15"/>
      <c r="BQ29" s="15"/>
      <c r="BR29" s="15"/>
      <c r="BS29" s="15"/>
      <c r="BT29" s="15"/>
      <c r="BU29" s="15"/>
    </row>
    <row r="30" spans="2:73" ht="24.2" customHeight="1" x14ac:dyDescent="0.2">
      <c r="B30" s="155">
        <v>11</v>
      </c>
      <c r="C30" s="157" t="s">
        <v>28</v>
      </c>
      <c r="D30" s="19" t="e">
        <f>VLOOKUP($B30,#REF!,3,0)</f>
        <v>#REF!</v>
      </c>
      <c r="E30" s="19" t="e">
        <f>VLOOKUP($B30,#REF!,4,0)</f>
        <v>#REF!</v>
      </c>
      <c r="F30" s="19" t="e">
        <f>VLOOKUP($B30,#REF!,5,0)</f>
        <v>#REF!</v>
      </c>
      <c r="G30" s="19" t="e">
        <f>VLOOKUP($B30,#REF!,6,0)</f>
        <v>#REF!</v>
      </c>
      <c r="H30" s="19" t="e">
        <f>VLOOKUP($B30,#REF!,7,0)</f>
        <v>#REF!</v>
      </c>
      <c r="I30" s="19" t="e">
        <f>VLOOKUP($B30,#REF!,8,0)</f>
        <v>#REF!</v>
      </c>
      <c r="J30" s="159"/>
      <c r="K30" s="22" t="s">
        <v>12</v>
      </c>
      <c r="L30" s="44">
        <v>94</v>
      </c>
      <c r="M30" s="35">
        <v>98</v>
      </c>
      <c r="N30" s="35">
        <v>81</v>
      </c>
      <c r="O30" s="161" t="s">
        <v>67</v>
      </c>
      <c r="P30" s="13"/>
      <c r="Q30" s="13"/>
      <c r="R30" s="13"/>
      <c r="S30" s="13"/>
      <c r="T30" s="13"/>
    </row>
    <row r="31" spans="2:73" ht="24.2" customHeight="1" thickBot="1" x14ac:dyDescent="0.25">
      <c r="B31" s="156"/>
      <c r="C31" s="163"/>
      <c r="D31" s="20" t="e">
        <f>VLOOKUP($B31,#REF!,3,0)</f>
        <v>#REF!</v>
      </c>
      <c r="E31" s="20" t="e">
        <f>VLOOKUP($B31,#REF!,4,0)</f>
        <v>#REF!</v>
      </c>
      <c r="F31" s="20" t="e">
        <f>VLOOKUP($B31,#REF!,5,0)</f>
        <v>#REF!</v>
      </c>
      <c r="G31" s="20" t="e">
        <f>VLOOKUP($B31,#REF!,6,0)</f>
        <v>#REF!</v>
      </c>
      <c r="H31" s="20" t="e">
        <f>VLOOKUP($B31,#REF!,7,0)</f>
        <v>#REF!</v>
      </c>
      <c r="I31" s="20" t="e">
        <f>VLOOKUP($B31,#REF!,8,0)</f>
        <v>#REF!</v>
      </c>
      <c r="J31" s="160"/>
      <c r="K31" s="34" t="s">
        <v>13</v>
      </c>
      <c r="L31" s="36">
        <v>105</v>
      </c>
      <c r="M31" s="36">
        <v>106</v>
      </c>
      <c r="N31" s="36">
        <v>102</v>
      </c>
      <c r="O31" s="162"/>
      <c r="P31" s="13"/>
      <c r="Q31" s="13"/>
      <c r="R31" s="13"/>
      <c r="S31" s="13"/>
      <c r="T31" s="13"/>
      <c r="AF31" s="12"/>
      <c r="AG31" s="12"/>
      <c r="AH31" s="14"/>
      <c r="AI31" s="15"/>
      <c r="AJ31" s="15"/>
      <c r="AK31" s="15"/>
      <c r="AL31" s="15"/>
      <c r="AM31" s="15"/>
      <c r="AN31" s="15"/>
      <c r="AO31" s="15"/>
      <c r="AP31" s="15"/>
      <c r="AQ31" s="15"/>
      <c r="AR31" s="15"/>
      <c r="AS31" s="15"/>
      <c r="AT31" s="15"/>
      <c r="AU31" s="15"/>
      <c r="AV31" s="15"/>
      <c r="AW31" s="15"/>
      <c r="AX31" s="15"/>
      <c r="AY31" s="15"/>
      <c r="AZ31" s="15"/>
      <c r="BA31" s="15"/>
      <c r="BB31" s="15"/>
      <c r="BC31" s="15"/>
      <c r="BD31" s="15"/>
      <c r="BE31" s="15"/>
      <c r="BF31" s="15"/>
      <c r="BG31" s="15"/>
      <c r="BH31" s="15"/>
      <c r="BI31" s="15"/>
      <c r="BJ31" s="15"/>
      <c r="BK31" s="15"/>
      <c r="BL31" s="15"/>
      <c r="BM31" s="15"/>
      <c r="BN31" s="15"/>
      <c r="BO31" s="15"/>
      <c r="BP31" s="15"/>
      <c r="BQ31" s="15"/>
      <c r="BR31" s="15"/>
      <c r="BS31" s="15"/>
      <c r="BT31" s="15"/>
      <c r="BU31" s="15"/>
    </row>
    <row r="32" spans="2:73" ht="24.2" customHeight="1" x14ac:dyDescent="0.2">
      <c r="B32" s="155">
        <v>12</v>
      </c>
      <c r="C32" s="157" t="s">
        <v>29</v>
      </c>
      <c r="D32" s="19" t="e">
        <f>VLOOKUP($B32,#REF!,3,0)</f>
        <v>#REF!</v>
      </c>
      <c r="E32" s="19" t="e">
        <f>VLOOKUP($B32,#REF!,4,0)</f>
        <v>#REF!</v>
      </c>
      <c r="F32" s="19" t="e">
        <f>VLOOKUP($B32,#REF!,5,0)</f>
        <v>#REF!</v>
      </c>
      <c r="G32" s="19" t="e">
        <f>VLOOKUP($B32,#REF!,6,0)</f>
        <v>#REF!</v>
      </c>
      <c r="H32" s="19" t="e">
        <f>VLOOKUP($B32,#REF!,7,0)</f>
        <v>#REF!</v>
      </c>
      <c r="I32" s="19" t="e">
        <f>VLOOKUP($B32,#REF!,8,0)</f>
        <v>#REF!</v>
      </c>
      <c r="J32" s="159"/>
      <c r="K32" s="22" t="s">
        <v>12</v>
      </c>
      <c r="L32" s="44" t="s">
        <v>66</v>
      </c>
      <c r="M32" s="44" t="s">
        <v>66</v>
      </c>
      <c r="N32" s="44" t="s">
        <v>66</v>
      </c>
      <c r="O32" s="161" t="s">
        <v>69</v>
      </c>
      <c r="P32" s="13"/>
      <c r="Q32" s="13"/>
      <c r="R32" s="13"/>
      <c r="S32" s="13"/>
      <c r="T32" s="13"/>
    </row>
    <row r="33" spans="2:73" ht="24.2" customHeight="1" thickBot="1" x14ac:dyDescent="0.25">
      <c r="B33" s="156"/>
      <c r="C33" s="158"/>
      <c r="D33" s="20" t="e">
        <f>VLOOKUP($B33,#REF!,3,0)</f>
        <v>#REF!</v>
      </c>
      <c r="E33" s="20" t="e">
        <f>VLOOKUP($B33,#REF!,4,0)</f>
        <v>#REF!</v>
      </c>
      <c r="F33" s="20" t="e">
        <f>VLOOKUP($B33,#REF!,5,0)</f>
        <v>#REF!</v>
      </c>
      <c r="G33" s="20" t="e">
        <f>VLOOKUP($B33,#REF!,6,0)</f>
        <v>#REF!</v>
      </c>
      <c r="H33" s="20" t="e">
        <f>VLOOKUP($B33,#REF!,7,0)</f>
        <v>#REF!</v>
      </c>
      <c r="I33" s="20" t="e">
        <f>VLOOKUP($B33,#REF!,8,0)</f>
        <v>#REF!</v>
      </c>
      <c r="J33" s="160"/>
      <c r="K33" s="34" t="s">
        <v>13</v>
      </c>
      <c r="L33" s="36">
        <v>118</v>
      </c>
      <c r="M33" s="36">
        <v>104</v>
      </c>
      <c r="N33" s="36">
        <v>105</v>
      </c>
      <c r="O33" s="162"/>
      <c r="P33" s="13"/>
      <c r="Q33" s="13"/>
      <c r="R33" s="13"/>
      <c r="S33" s="13"/>
      <c r="T33" s="13"/>
      <c r="AF33" s="12"/>
      <c r="AG33" s="12"/>
      <c r="AH33" s="14"/>
      <c r="AI33" s="15"/>
      <c r="AJ33" s="15"/>
      <c r="AK33" s="15"/>
      <c r="AL33" s="15"/>
      <c r="AM33" s="15"/>
      <c r="AN33" s="15"/>
      <c r="AO33" s="15"/>
      <c r="AP33" s="15"/>
      <c r="AQ33" s="15"/>
      <c r="AR33" s="15"/>
      <c r="AS33" s="15"/>
      <c r="AT33" s="15"/>
      <c r="AU33" s="15"/>
      <c r="AV33" s="15"/>
      <c r="AW33" s="15"/>
      <c r="AX33" s="15"/>
      <c r="AY33" s="15"/>
      <c r="AZ33" s="15"/>
      <c r="BA33" s="15"/>
      <c r="BB33" s="15"/>
      <c r="BC33" s="15"/>
      <c r="BD33" s="15"/>
      <c r="BE33" s="15"/>
      <c r="BF33" s="15"/>
      <c r="BG33" s="15"/>
      <c r="BH33" s="15"/>
      <c r="BI33" s="15"/>
      <c r="BJ33" s="15"/>
      <c r="BK33" s="15"/>
      <c r="BL33" s="15"/>
      <c r="BM33" s="15"/>
      <c r="BN33" s="15"/>
      <c r="BO33" s="15"/>
      <c r="BP33" s="15"/>
      <c r="BQ33" s="15"/>
      <c r="BR33" s="15"/>
      <c r="BS33" s="15"/>
      <c r="BT33" s="15"/>
      <c r="BU33" s="15"/>
    </row>
    <row r="34" spans="2:73" ht="24.2" customHeight="1" x14ac:dyDescent="0.2">
      <c r="B34" s="155">
        <v>13</v>
      </c>
      <c r="C34" s="157" t="s">
        <v>28</v>
      </c>
      <c r="D34" s="19" t="e">
        <f>VLOOKUP($B34,#REF!,3,0)</f>
        <v>#REF!</v>
      </c>
      <c r="E34" s="19" t="e">
        <f>VLOOKUP($B34,#REF!,4,0)</f>
        <v>#REF!</v>
      </c>
      <c r="F34" s="19" t="e">
        <f>VLOOKUP($B34,#REF!,5,0)</f>
        <v>#REF!</v>
      </c>
      <c r="G34" s="19" t="e">
        <f>VLOOKUP($B34,#REF!,6,0)</f>
        <v>#REF!</v>
      </c>
      <c r="H34" s="19" t="e">
        <f>VLOOKUP($B34,#REF!,7,0)</f>
        <v>#REF!</v>
      </c>
      <c r="I34" s="19" t="e">
        <f>VLOOKUP($B34,#REF!,8,0)</f>
        <v>#REF!</v>
      </c>
      <c r="J34" s="159"/>
      <c r="K34" s="22" t="s">
        <v>12</v>
      </c>
      <c r="L34" s="35">
        <v>76</v>
      </c>
      <c r="M34" s="35">
        <v>89</v>
      </c>
      <c r="N34" s="35">
        <v>93</v>
      </c>
      <c r="O34" s="161"/>
      <c r="P34" s="13"/>
      <c r="Q34" s="13"/>
      <c r="R34" s="13"/>
      <c r="S34" s="13"/>
      <c r="T34" s="13"/>
    </row>
    <row r="35" spans="2:73" ht="24.2" customHeight="1" thickBot="1" x14ac:dyDescent="0.25">
      <c r="B35" s="156"/>
      <c r="C35" s="163"/>
      <c r="D35" s="20" t="e">
        <f>VLOOKUP($B35,#REF!,3,0)</f>
        <v>#REF!</v>
      </c>
      <c r="E35" s="20" t="e">
        <f>VLOOKUP($B35,#REF!,4,0)</f>
        <v>#REF!</v>
      </c>
      <c r="F35" s="20" t="e">
        <f>VLOOKUP($B35,#REF!,5,0)</f>
        <v>#REF!</v>
      </c>
      <c r="G35" s="20" t="e">
        <f>VLOOKUP($B35,#REF!,6,0)</f>
        <v>#REF!</v>
      </c>
      <c r="H35" s="20" t="e">
        <f>VLOOKUP($B35,#REF!,7,0)</f>
        <v>#REF!</v>
      </c>
      <c r="I35" s="20" t="e">
        <f>VLOOKUP($B35,#REF!,8,0)</f>
        <v>#REF!</v>
      </c>
      <c r="J35" s="160"/>
      <c r="K35" s="34" t="s">
        <v>13</v>
      </c>
      <c r="L35" s="36">
        <v>84</v>
      </c>
      <c r="M35" s="36">
        <v>96</v>
      </c>
      <c r="N35" s="36">
        <v>97</v>
      </c>
      <c r="O35" s="162"/>
      <c r="P35" s="13"/>
      <c r="Q35" s="13"/>
      <c r="R35" s="13"/>
      <c r="S35" s="13"/>
      <c r="T35" s="13"/>
      <c r="AF35" s="12"/>
      <c r="AG35" s="12"/>
      <c r="AH35" s="14"/>
      <c r="AI35" s="15"/>
      <c r="AJ35" s="15"/>
      <c r="AK35" s="15"/>
      <c r="AL35" s="15"/>
      <c r="AM35" s="15"/>
      <c r="AN35" s="15"/>
      <c r="AO35" s="15"/>
      <c r="AP35" s="15"/>
      <c r="AQ35" s="15"/>
      <c r="AR35" s="15"/>
      <c r="AS35" s="15"/>
      <c r="AT35" s="15"/>
      <c r="AU35" s="15"/>
      <c r="AV35" s="15"/>
      <c r="AW35" s="15"/>
      <c r="AX35" s="15"/>
      <c r="AY35" s="15"/>
      <c r="AZ35" s="15"/>
      <c r="BA35" s="15"/>
      <c r="BB35" s="15"/>
      <c r="BC35" s="15"/>
      <c r="BD35" s="15"/>
      <c r="BE35" s="15"/>
      <c r="BF35" s="15"/>
      <c r="BG35" s="15"/>
      <c r="BH35" s="15"/>
      <c r="BI35" s="15"/>
      <c r="BJ35" s="15"/>
      <c r="BK35" s="15"/>
      <c r="BL35" s="15"/>
      <c r="BM35" s="15"/>
      <c r="BN35" s="15"/>
      <c r="BO35" s="15"/>
      <c r="BP35" s="15"/>
      <c r="BQ35" s="15"/>
      <c r="BR35" s="15"/>
      <c r="BS35" s="15"/>
      <c r="BT35" s="15"/>
      <c r="BU35" s="15"/>
    </row>
    <row r="36" spans="2:73" ht="24.2" customHeight="1" x14ac:dyDescent="0.2">
      <c r="B36" s="155">
        <v>14</v>
      </c>
      <c r="C36" s="157" t="s">
        <v>29</v>
      </c>
      <c r="D36" s="19" t="e">
        <f>VLOOKUP($B36,#REF!,3,0)</f>
        <v>#REF!</v>
      </c>
      <c r="E36" s="19" t="e">
        <f>VLOOKUP($B36,#REF!,4,0)</f>
        <v>#REF!</v>
      </c>
      <c r="F36" s="19" t="e">
        <f>VLOOKUP($B36,#REF!,5,0)</f>
        <v>#REF!</v>
      </c>
      <c r="G36" s="19" t="e">
        <f>VLOOKUP($B36,#REF!,6,0)</f>
        <v>#REF!</v>
      </c>
      <c r="H36" s="19" t="e">
        <f>VLOOKUP($B36,#REF!,7,0)</f>
        <v>#REF!</v>
      </c>
      <c r="I36" s="19" t="e">
        <f>VLOOKUP($B36,#REF!,8,0)</f>
        <v>#REF!</v>
      </c>
      <c r="J36" s="159"/>
      <c r="K36" s="22" t="s">
        <v>12</v>
      </c>
      <c r="L36" s="44" t="s">
        <v>66</v>
      </c>
      <c r="M36" s="44" t="s">
        <v>66</v>
      </c>
      <c r="N36" s="44" t="s">
        <v>66</v>
      </c>
      <c r="O36" s="161" t="s">
        <v>70</v>
      </c>
      <c r="P36" s="13"/>
      <c r="Q36" s="13"/>
      <c r="R36" s="13"/>
      <c r="S36" s="13"/>
      <c r="T36" s="13"/>
    </row>
    <row r="37" spans="2:73" ht="24.2" customHeight="1" thickBot="1" x14ac:dyDescent="0.25">
      <c r="B37" s="156"/>
      <c r="C37" s="158"/>
      <c r="D37" s="20" t="e">
        <f>VLOOKUP($B37,#REF!,3,0)</f>
        <v>#REF!</v>
      </c>
      <c r="E37" s="20" t="e">
        <f>VLOOKUP($B37,#REF!,4,0)</f>
        <v>#REF!</v>
      </c>
      <c r="F37" s="20" t="e">
        <f>VLOOKUP($B37,#REF!,5,0)</f>
        <v>#REF!</v>
      </c>
      <c r="G37" s="20" t="e">
        <f>VLOOKUP($B37,#REF!,6,0)</f>
        <v>#REF!</v>
      </c>
      <c r="H37" s="20" t="e">
        <f>VLOOKUP($B37,#REF!,7,0)</f>
        <v>#REF!</v>
      </c>
      <c r="I37" s="20" t="e">
        <f>VLOOKUP($B37,#REF!,8,0)</f>
        <v>#REF!</v>
      </c>
      <c r="J37" s="160"/>
      <c r="K37" s="34" t="s">
        <v>13</v>
      </c>
      <c r="L37" s="36">
        <v>111</v>
      </c>
      <c r="M37" s="36">
        <v>112</v>
      </c>
      <c r="N37" s="36">
        <v>107</v>
      </c>
      <c r="O37" s="162"/>
      <c r="P37" s="13"/>
      <c r="Q37" s="13"/>
      <c r="R37" s="13"/>
      <c r="S37" s="13"/>
      <c r="T37" s="13"/>
      <c r="AF37" s="12"/>
      <c r="AG37" s="12"/>
      <c r="AH37" s="14"/>
      <c r="AI37" s="15"/>
      <c r="AJ37" s="15"/>
      <c r="AK37" s="15"/>
      <c r="AL37" s="15"/>
      <c r="AM37" s="15"/>
      <c r="AN37" s="15"/>
      <c r="AO37" s="15"/>
      <c r="AP37" s="15"/>
      <c r="AQ37" s="15"/>
      <c r="AR37" s="15"/>
      <c r="AS37" s="15"/>
      <c r="AT37" s="15"/>
      <c r="AU37" s="15"/>
      <c r="AV37" s="15"/>
      <c r="AW37" s="15"/>
      <c r="AX37" s="15"/>
      <c r="AY37" s="15"/>
      <c r="AZ37" s="15"/>
      <c r="BA37" s="15"/>
      <c r="BB37" s="15"/>
      <c r="BC37" s="15"/>
      <c r="BD37" s="15"/>
      <c r="BE37" s="15"/>
      <c r="BF37" s="15"/>
      <c r="BG37" s="15"/>
      <c r="BH37" s="15"/>
      <c r="BI37" s="15"/>
      <c r="BJ37" s="15"/>
      <c r="BK37" s="15"/>
      <c r="BL37" s="15"/>
      <c r="BM37" s="15"/>
      <c r="BN37" s="15"/>
      <c r="BO37" s="15"/>
      <c r="BP37" s="15"/>
      <c r="BQ37" s="15"/>
      <c r="BR37" s="15"/>
      <c r="BS37" s="15"/>
      <c r="BT37" s="15"/>
      <c r="BU37" s="15"/>
    </row>
    <row r="38" spans="2:73" ht="24.2" customHeight="1" x14ac:dyDescent="0.2">
      <c r="B38" s="155">
        <v>15</v>
      </c>
      <c r="C38" s="157" t="s">
        <v>28</v>
      </c>
      <c r="D38" s="19" t="e">
        <f>VLOOKUP($B38,#REF!,3,0)</f>
        <v>#REF!</v>
      </c>
      <c r="E38" s="19" t="e">
        <f>VLOOKUP($B38,#REF!,4,0)</f>
        <v>#REF!</v>
      </c>
      <c r="F38" s="19" t="e">
        <f>VLOOKUP($B38,#REF!,5,0)</f>
        <v>#REF!</v>
      </c>
      <c r="G38" s="19" t="e">
        <f>VLOOKUP($B38,#REF!,6,0)</f>
        <v>#REF!</v>
      </c>
      <c r="H38" s="19" t="e">
        <f>VLOOKUP($B38,#REF!,7,0)</f>
        <v>#REF!</v>
      </c>
      <c r="I38" s="19" t="e">
        <f>VLOOKUP($B38,#REF!,8,0)</f>
        <v>#REF!</v>
      </c>
      <c r="J38" s="159"/>
      <c r="K38" s="22" t="s">
        <v>12</v>
      </c>
      <c r="L38" s="44">
        <v>97</v>
      </c>
      <c r="M38" s="35">
        <v>86</v>
      </c>
      <c r="N38" s="35">
        <v>90</v>
      </c>
      <c r="O38" s="161" t="s">
        <v>67</v>
      </c>
      <c r="P38" s="13"/>
      <c r="Q38" s="13"/>
      <c r="R38" s="13"/>
      <c r="S38" s="13"/>
      <c r="T38" s="13"/>
    </row>
    <row r="39" spans="2:73" ht="24.2" customHeight="1" thickBot="1" x14ac:dyDescent="0.25">
      <c r="B39" s="156"/>
      <c r="C39" s="163"/>
      <c r="D39" s="20" t="e">
        <f>VLOOKUP($B39,#REF!,3,0)</f>
        <v>#REF!</v>
      </c>
      <c r="E39" s="20" t="e">
        <f>VLOOKUP($B39,#REF!,4,0)</f>
        <v>#REF!</v>
      </c>
      <c r="F39" s="20" t="e">
        <f>VLOOKUP($B39,#REF!,5,0)</f>
        <v>#REF!</v>
      </c>
      <c r="G39" s="20" t="e">
        <f>VLOOKUP($B39,#REF!,6,0)</f>
        <v>#REF!</v>
      </c>
      <c r="H39" s="20" t="e">
        <f>VLOOKUP($B39,#REF!,7,0)</f>
        <v>#REF!</v>
      </c>
      <c r="I39" s="20" t="e">
        <f>VLOOKUP($B39,#REF!,8,0)</f>
        <v>#REF!</v>
      </c>
      <c r="J39" s="160"/>
      <c r="K39" s="34" t="s">
        <v>13</v>
      </c>
      <c r="L39" s="36">
        <v>103</v>
      </c>
      <c r="M39" s="36">
        <v>103</v>
      </c>
      <c r="N39" s="36">
        <v>102</v>
      </c>
      <c r="O39" s="162"/>
      <c r="P39" s="13"/>
      <c r="Q39" s="13"/>
      <c r="R39" s="13"/>
      <c r="S39" s="13"/>
      <c r="T39" s="13"/>
      <c r="AF39" s="12"/>
      <c r="AG39" s="12"/>
      <c r="AH39" s="14"/>
      <c r="AI39" s="15"/>
      <c r="AJ39" s="15"/>
      <c r="AK39" s="15"/>
      <c r="AL39" s="15"/>
      <c r="AM39" s="15"/>
      <c r="AN39" s="15"/>
      <c r="AO39" s="15"/>
      <c r="AP39" s="15"/>
      <c r="AQ39" s="15"/>
      <c r="AR39" s="15"/>
      <c r="AS39" s="15"/>
      <c r="AT39" s="15"/>
      <c r="AU39" s="15"/>
      <c r="AV39" s="15"/>
      <c r="AW39" s="15"/>
      <c r="AX39" s="15"/>
      <c r="AY39" s="15"/>
      <c r="AZ39" s="15"/>
      <c r="BA39" s="15"/>
      <c r="BB39" s="15"/>
      <c r="BC39" s="15"/>
      <c r="BD39" s="15"/>
      <c r="BE39" s="15"/>
      <c r="BF39" s="15"/>
      <c r="BG39" s="15"/>
      <c r="BH39" s="15"/>
      <c r="BI39" s="15"/>
      <c r="BJ39" s="15"/>
      <c r="BK39" s="15"/>
      <c r="BL39" s="15"/>
      <c r="BM39" s="15"/>
      <c r="BN39" s="15"/>
      <c r="BO39" s="15"/>
      <c r="BP39" s="15"/>
      <c r="BQ39" s="15"/>
      <c r="BR39" s="15"/>
      <c r="BS39" s="15"/>
      <c r="BT39" s="15"/>
      <c r="BU39" s="15"/>
    </row>
    <row r="40" spans="2:73" ht="24.2" customHeight="1" x14ac:dyDescent="0.2">
      <c r="B40" s="155">
        <v>16</v>
      </c>
      <c r="C40" s="157" t="s">
        <v>29</v>
      </c>
      <c r="D40" s="19" t="e">
        <f>VLOOKUP($B40,#REF!,3,0)</f>
        <v>#REF!</v>
      </c>
      <c r="E40" s="19" t="e">
        <f>VLOOKUP($B40,#REF!,4,0)</f>
        <v>#REF!</v>
      </c>
      <c r="F40" s="19" t="e">
        <f>VLOOKUP($B40,#REF!,5,0)</f>
        <v>#REF!</v>
      </c>
      <c r="G40" s="19" t="e">
        <f>VLOOKUP($B40,#REF!,6,0)</f>
        <v>#REF!</v>
      </c>
      <c r="H40" s="19" t="e">
        <f>VLOOKUP($B40,#REF!,7,0)</f>
        <v>#REF!</v>
      </c>
      <c r="I40" s="19" t="e">
        <f>VLOOKUP($B40,#REF!,8,0)</f>
        <v>#REF!</v>
      </c>
      <c r="J40" s="159"/>
      <c r="K40" s="22" t="s">
        <v>12</v>
      </c>
      <c r="L40" s="44">
        <v>93</v>
      </c>
      <c r="M40" s="44">
        <v>82</v>
      </c>
      <c r="N40" s="35">
        <v>93</v>
      </c>
      <c r="O40" s="161" t="s">
        <v>68</v>
      </c>
      <c r="P40" s="13"/>
      <c r="Q40" s="13"/>
      <c r="R40" s="13"/>
      <c r="S40" s="13"/>
      <c r="T40" s="13"/>
    </row>
    <row r="41" spans="2:73" ht="24.2" customHeight="1" thickBot="1" x14ac:dyDescent="0.25">
      <c r="B41" s="156"/>
      <c r="C41" s="158"/>
      <c r="D41" s="20" t="e">
        <f>VLOOKUP($B41,#REF!,3,0)</f>
        <v>#REF!</v>
      </c>
      <c r="E41" s="20" t="e">
        <f>VLOOKUP($B41,#REF!,4,0)</f>
        <v>#REF!</v>
      </c>
      <c r="F41" s="20" t="e">
        <f>VLOOKUP($B41,#REF!,5,0)</f>
        <v>#REF!</v>
      </c>
      <c r="G41" s="20" t="e">
        <f>VLOOKUP($B41,#REF!,6,0)</f>
        <v>#REF!</v>
      </c>
      <c r="H41" s="20" t="e">
        <f>VLOOKUP($B41,#REF!,7,0)</f>
        <v>#REF!</v>
      </c>
      <c r="I41" s="20" t="e">
        <f>VLOOKUP($B41,#REF!,8,0)</f>
        <v>#REF!</v>
      </c>
      <c r="J41" s="160"/>
      <c r="K41" s="34" t="s">
        <v>13</v>
      </c>
      <c r="L41" s="36">
        <v>103</v>
      </c>
      <c r="M41" s="36">
        <v>99</v>
      </c>
      <c r="N41" s="36">
        <v>103</v>
      </c>
      <c r="O41" s="162"/>
      <c r="P41" s="13"/>
      <c r="Q41" s="13"/>
      <c r="R41" s="13"/>
      <c r="S41" s="13"/>
      <c r="T41" s="13"/>
      <c r="AF41" s="12"/>
      <c r="AG41" s="12"/>
      <c r="AH41" s="14"/>
      <c r="AI41" s="15"/>
      <c r="AJ41" s="15"/>
      <c r="AK41" s="15"/>
      <c r="AL41" s="15"/>
      <c r="AM41" s="15"/>
      <c r="AN41" s="15"/>
      <c r="AO41" s="15"/>
      <c r="AP41" s="15"/>
      <c r="AQ41" s="15"/>
      <c r="AR41" s="15"/>
      <c r="AS41" s="15"/>
      <c r="AT41" s="15"/>
      <c r="AU41" s="15"/>
      <c r="AV41" s="15"/>
      <c r="AW41" s="15"/>
      <c r="AX41" s="15"/>
      <c r="AY41" s="15"/>
      <c r="AZ41" s="15"/>
      <c r="BA41" s="15"/>
      <c r="BB41" s="15"/>
      <c r="BC41" s="15"/>
      <c r="BD41" s="15"/>
      <c r="BE41" s="15"/>
      <c r="BF41" s="15"/>
      <c r="BG41" s="15"/>
      <c r="BH41" s="15"/>
      <c r="BI41" s="15"/>
      <c r="BJ41" s="15"/>
      <c r="BK41" s="15"/>
      <c r="BL41" s="15"/>
      <c r="BM41" s="15"/>
      <c r="BN41" s="15"/>
      <c r="BO41" s="15"/>
      <c r="BP41" s="15"/>
      <c r="BQ41" s="15"/>
      <c r="BR41" s="15"/>
      <c r="BS41" s="15"/>
      <c r="BT41" s="15"/>
      <c r="BU41" s="15"/>
    </row>
    <row r="42" spans="2:73" ht="24" customHeight="1" x14ac:dyDescent="0.2">
      <c r="B42" s="155">
        <v>17</v>
      </c>
      <c r="C42" s="157" t="s">
        <v>28</v>
      </c>
      <c r="D42" s="19" t="e">
        <f>VLOOKUP($B42,#REF!,3,0)</f>
        <v>#REF!</v>
      </c>
      <c r="E42" s="19" t="e">
        <f>VLOOKUP($B42,#REF!,4,0)</f>
        <v>#REF!</v>
      </c>
      <c r="F42" s="19" t="e">
        <f>VLOOKUP($B42,#REF!,5,0)</f>
        <v>#REF!</v>
      </c>
      <c r="G42" s="19" t="e">
        <f>VLOOKUP($B42,#REF!,6,0)</f>
        <v>#REF!</v>
      </c>
      <c r="H42" s="19" t="e">
        <f>VLOOKUP($B42,#REF!,7,0)</f>
        <v>#REF!</v>
      </c>
      <c r="I42" s="19" t="e">
        <f>VLOOKUP($B42,#REF!,8,0)</f>
        <v>#REF!</v>
      </c>
      <c r="J42" s="159">
        <v>1105</v>
      </c>
      <c r="K42" s="22" t="s">
        <v>12</v>
      </c>
      <c r="L42" s="44">
        <v>68</v>
      </c>
      <c r="M42" s="44">
        <v>68</v>
      </c>
      <c r="N42" s="35">
        <v>65</v>
      </c>
      <c r="O42" s="161"/>
    </row>
    <row r="43" spans="2:73" ht="24" customHeight="1" thickBot="1" x14ac:dyDescent="0.25">
      <c r="B43" s="156"/>
      <c r="C43" s="163"/>
      <c r="D43" s="20"/>
      <c r="E43" s="20"/>
      <c r="F43" s="20"/>
      <c r="G43" s="20"/>
      <c r="H43" s="20"/>
      <c r="I43" s="20"/>
      <c r="J43" s="160"/>
      <c r="K43" s="34" t="s">
        <v>13</v>
      </c>
      <c r="L43" s="36">
        <v>72</v>
      </c>
      <c r="M43" s="36">
        <v>74</v>
      </c>
      <c r="N43" s="36">
        <v>84</v>
      </c>
      <c r="O43" s="162"/>
    </row>
  </sheetData>
  <mergeCells count="70">
    <mergeCell ref="B40:B41"/>
    <mergeCell ref="C40:C41"/>
    <mergeCell ref="J40:J41"/>
    <mergeCell ref="O40:O41"/>
    <mergeCell ref="B42:B43"/>
    <mergeCell ref="C42:C43"/>
    <mergeCell ref="J42:J43"/>
    <mergeCell ref="O42:O43"/>
    <mergeCell ref="B36:B37"/>
    <mergeCell ref="C36:C37"/>
    <mergeCell ref="J36:J37"/>
    <mergeCell ref="O36:O37"/>
    <mergeCell ref="B38:B39"/>
    <mergeCell ref="C38:C39"/>
    <mergeCell ref="J38:J39"/>
    <mergeCell ref="O38:O39"/>
    <mergeCell ref="B32:B33"/>
    <mergeCell ref="C32:C33"/>
    <mergeCell ref="J32:J33"/>
    <mergeCell ref="O32:O33"/>
    <mergeCell ref="B34:B35"/>
    <mergeCell ref="C34:C35"/>
    <mergeCell ref="J34:J35"/>
    <mergeCell ref="O34:O35"/>
    <mergeCell ref="B28:B29"/>
    <mergeCell ref="C28:C29"/>
    <mergeCell ref="J28:J29"/>
    <mergeCell ref="O28:O29"/>
    <mergeCell ref="B30:B31"/>
    <mergeCell ref="C30:C31"/>
    <mergeCell ref="J30:J31"/>
    <mergeCell ref="O30:O31"/>
    <mergeCell ref="B24:B25"/>
    <mergeCell ref="C24:C25"/>
    <mergeCell ref="J24:J25"/>
    <mergeCell ref="O24:O25"/>
    <mergeCell ref="B26:B27"/>
    <mergeCell ref="C26:C27"/>
    <mergeCell ref="J26:J27"/>
    <mergeCell ref="O26:O27"/>
    <mergeCell ref="B20:B21"/>
    <mergeCell ref="C20:C21"/>
    <mergeCell ref="J20:J21"/>
    <mergeCell ref="O20:O21"/>
    <mergeCell ref="B22:B23"/>
    <mergeCell ref="C22:C23"/>
    <mergeCell ref="J22:J23"/>
    <mergeCell ref="O22:O23"/>
    <mergeCell ref="B18:B19"/>
    <mergeCell ref="C18:C19"/>
    <mergeCell ref="J18:J19"/>
    <mergeCell ref="O18:O19"/>
    <mergeCell ref="B12:B13"/>
    <mergeCell ref="C12:C13"/>
    <mergeCell ref="J12:J13"/>
    <mergeCell ref="B14:B15"/>
    <mergeCell ref="C14:C15"/>
    <mergeCell ref="J14:J15"/>
    <mergeCell ref="O14:O15"/>
    <mergeCell ref="B16:B17"/>
    <mergeCell ref="C16:C17"/>
    <mergeCell ref="J16:J17"/>
    <mergeCell ref="O16:O17"/>
    <mergeCell ref="AF5:AH5"/>
    <mergeCell ref="L6:N6"/>
    <mergeCell ref="O7:O8"/>
    <mergeCell ref="B8:K8"/>
    <mergeCell ref="B10:B11"/>
    <mergeCell ref="C10:C11"/>
    <mergeCell ref="J10:J11"/>
  </mergeCells>
  <pageMargins left="0.45" right="0" top="0.49" bottom="0" header="0.64" footer="0"/>
  <pageSetup paperSize="512" scale="72" orientation="portrait" r:id="rId1"/>
  <headerFooter alignWithMargin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BU43"/>
  <sheetViews>
    <sheetView zoomScale="90" zoomScaleNormal="90" workbookViewId="0"/>
  </sheetViews>
  <sheetFormatPr defaultRowHeight="12.75" x14ac:dyDescent="0.2"/>
  <cols>
    <col min="1" max="1" width="5.42578125" customWidth="1"/>
    <col min="2" max="2" width="6.28515625" customWidth="1"/>
    <col min="3" max="3" width="12.7109375" customWidth="1"/>
    <col min="4" max="8" width="5.28515625" hidden="1" customWidth="1"/>
    <col min="9" max="9" width="7" hidden="1" customWidth="1"/>
    <col min="10" max="10" width="8.42578125" customWidth="1"/>
    <col min="11" max="14" width="12.7109375" customWidth="1"/>
    <col min="15" max="15" width="48.7109375" customWidth="1"/>
    <col min="22" max="22" width="7.5703125" customWidth="1"/>
    <col min="23" max="32" width="7.7109375" customWidth="1"/>
  </cols>
  <sheetData>
    <row r="1" spans="1:73" ht="15" customHeight="1" x14ac:dyDescent="0.25">
      <c r="A1" s="1" t="s">
        <v>33</v>
      </c>
    </row>
    <row r="2" spans="1:73" ht="20.25" customHeight="1" thickBot="1" x14ac:dyDescent="0.3">
      <c r="A2" s="1"/>
      <c r="M2" s="15" t="s">
        <v>0</v>
      </c>
      <c r="N2" s="23">
        <v>40756</v>
      </c>
      <c r="O2" s="29"/>
    </row>
    <row r="3" spans="1:73" ht="20.25" customHeight="1" thickBot="1" x14ac:dyDescent="0.25">
      <c r="A3" t="s">
        <v>1</v>
      </c>
      <c r="C3" s="38" t="s">
        <v>71</v>
      </c>
      <c r="D3" s="3"/>
      <c r="E3" s="3"/>
      <c r="F3" s="3"/>
      <c r="G3" s="3"/>
      <c r="H3" s="3"/>
      <c r="I3" s="3"/>
      <c r="J3" s="3"/>
      <c r="K3" s="3"/>
      <c r="L3" s="3"/>
      <c r="M3" s="15" t="s">
        <v>23</v>
      </c>
      <c r="N3" s="2">
        <v>213</v>
      </c>
      <c r="O3" s="30"/>
    </row>
    <row r="4" spans="1:73" ht="20.25" customHeight="1" thickBot="1" x14ac:dyDescent="0.25">
      <c r="B4" s="3"/>
      <c r="C4" s="38"/>
      <c r="D4" s="4"/>
      <c r="E4" s="4"/>
      <c r="F4" s="4"/>
      <c r="G4" s="4"/>
      <c r="H4" s="4"/>
      <c r="I4" s="4"/>
      <c r="J4" s="4"/>
      <c r="K4" s="4"/>
      <c r="L4" s="4"/>
      <c r="M4" s="15" t="s">
        <v>2</v>
      </c>
      <c r="N4" s="2" t="s">
        <v>26</v>
      </c>
      <c r="O4" s="30"/>
    </row>
    <row r="5" spans="1:73" ht="18" x14ac:dyDescent="0.2">
      <c r="AE5" s="5"/>
      <c r="AF5" s="165"/>
      <c r="AG5" s="165"/>
      <c r="AH5" s="165"/>
    </row>
    <row r="6" spans="1:73" ht="18" x14ac:dyDescent="0.25">
      <c r="L6" s="174"/>
      <c r="M6" s="167"/>
      <c r="N6" s="168"/>
      <c r="O6" s="31"/>
      <c r="AE6" s="5"/>
      <c r="AF6" s="24"/>
      <c r="AG6" s="24"/>
      <c r="AH6" s="24"/>
    </row>
    <row r="7" spans="1:73" ht="25.5" customHeight="1" x14ac:dyDescent="0.2">
      <c r="B7" s="6" t="s">
        <v>3</v>
      </c>
      <c r="C7" s="7"/>
      <c r="D7" s="7" t="s">
        <v>4</v>
      </c>
      <c r="E7" s="6" t="s">
        <v>5</v>
      </c>
      <c r="F7" s="7" t="s">
        <v>6</v>
      </c>
      <c r="G7" s="6" t="s">
        <v>7</v>
      </c>
      <c r="H7" s="6" t="s">
        <v>8</v>
      </c>
      <c r="I7" s="6" t="s">
        <v>9</v>
      </c>
      <c r="J7" s="6" t="s">
        <v>11</v>
      </c>
      <c r="K7" s="8" t="s">
        <v>24</v>
      </c>
      <c r="L7" s="22" t="s">
        <v>30</v>
      </c>
      <c r="M7" s="22" t="s">
        <v>31</v>
      </c>
      <c r="N7" s="22" t="s">
        <v>32</v>
      </c>
      <c r="O7" s="169" t="s">
        <v>25</v>
      </c>
      <c r="AE7" s="10"/>
      <c r="AF7" s="9"/>
      <c r="AG7" s="9"/>
      <c r="AH7" s="11"/>
    </row>
    <row r="8" spans="1:73" ht="15.95" customHeight="1" thickBot="1" x14ac:dyDescent="0.25">
      <c r="B8" s="170"/>
      <c r="C8" s="171"/>
      <c r="D8" s="171"/>
      <c r="E8" s="171"/>
      <c r="F8" s="171"/>
      <c r="G8" s="171"/>
      <c r="H8" s="171"/>
      <c r="I8" s="171"/>
      <c r="J8" s="171"/>
      <c r="K8" s="172"/>
      <c r="L8" s="39" t="s">
        <v>27</v>
      </c>
      <c r="M8" s="39"/>
      <c r="N8" s="39"/>
      <c r="O8" s="163"/>
      <c r="AF8" s="12"/>
      <c r="AG8" s="12"/>
      <c r="AH8" s="12"/>
    </row>
    <row r="9" spans="1:73" ht="15.95" hidden="1" customHeight="1" x14ac:dyDescent="0.2">
      <c r="B9" s="25" t="s">
        <v>3</v>
      </c>
      <c r="C9" s="26" t="s">
        <v>10</v>
      </c>
      <c r="D9" s="26" t="s">
        <v>14</v>
      </c>
      <c r="E9" s="25" t="s">
        <v>15</v>
      </c>
      <c r="F9" s="26" t="s">
        <v>16</v>
      </c>
      <c r="G9" s="25" t="s">
        <v>17</v>
      </c>
      <c r="H9" s="25" t="s">
        <v>8</v>
      </c>
      <c r="I9" s="25" t="s">
        <v>18</v>
      </c>
      <c r="J9" s="27" t="s">
        <v>11</v>
      </c>
      <c r="K9" s="27" t="s">
        <v>19</v>
      </c>
      <c r="L9" s="28" t="s">
        <v>20</v>
      </c>
      <c r="M9" s="28" t="s">
        <v>21</v>
      </c>
      <c r="N9" s="28" t="s">
        <v>22</v>
      </c>
      <c r="O9" s="32"/>
      <c r="AF9" s="12"/>
      <c r="AG9" s="12"/>
      <c r="AH9" s="12"/>
    </row>
    <row r="10" spans="1:73" ht="24.2" customHeight="1" x14ac:dyDescent="0.2">
      <c r="B10" s="164">
        <v>1</v>
      </c>
      <c r="C10" s="157" t="s">
        <v>28</v>
      </c>
      <c r="D10" s="19" t="e">
        <f>VLOOKUP($B10,#REF!,3,0)</f>
        <v>#REF!</v>
      </c>
      <c r="E10" s="19" t="e">
        <f>VLOOKUP($B10,#REF!,4,0)</f>
        <v>#REF!</v>
      </c>
      <c r="F10" s="19" t="e">
        <f>VLOOKUP($B10,#REF!,5,0)</f>
        <v>#REF!</v>
      </c>
      <c r="G10" s="19" t="e">
        <f>VLOOKUP($B10,#REF!,6,0)</f>
        <v>#REF!</v>
      </c>
      <c r="H10" s="19" t="e">
        <f>VLOOKUP($B10,#REF!,7,0)</f>
        <v>#REF!</v>
      </c>
      <c r="I10" s="19" t="e">
        <f>VLOOKUP($B10,#REF!,8,0)</f>
        <v>#REF!</v>
      </c>
      <c r="J10" s="173">
        <v>1005</v>
      </c>
      <c r="K10" s="22" t="s">
        <v>12</v>
      </c>
      <c r="L10" s="44" t="s">
        <v>66</v>
      </c>
      <c r="M10" s="35">
        <v>99</v>
      </c>
      <c r="N10" s="44">
        <v>92</v>
      </c>
      <c r="O10" s="40" t="s">
        <v>70</v>
      </c>
      <c r="P10" s="13"/>
      <c r="Q10" s="13"/>
      <c r="R10" s="13"/>
      <c r="S10" s="13"/>
      <c r="T10" s="13"/>
      <c r="AF10" s="12"/>
      <c r="AG10" s="12"/>
      <c r="AH10" s="14"/>
      <c r="AI10" s="15"/>
      <c r="AJ10" s="15"/>
      <c r="AK10" s="15"/>
      <c r="AL10" s="15"/>
      <c r="AM10" s="15"/>
      <c r="AN10" s="15"/>
      <c r="AO10" s="15"/>
      <c r="AP10" s="15"/>
      <c r="AQ10" s="15"/>
      <c r="AR10" s="15"/>
      <c r="AS10" s="15"/>
      <c r="AT10" s="15"/>
      <c r="AU10" s="15"/>
      <c r="AV10" s="15"/>
      <c r="AW10" s="15"/>
      <c r="AX10" s="15"/>
      <c r="AY10" s="15"/>
      <c r="AZ10" s="15"/>
      <c r="BA10" s="15"/>
      <c r="BB10" s="15"/>
      <c r="BC10" s="15"/>
      <c r="BD10" s="15"/>
      <c r="BE10" s="15"/>
      <c r="BF10" s="15"/>
      <c r="BG10" s="15"/>
      <c r="BH10" s="15"/>
      <c r="BI10" s="15"/>
      <c r="BJ10" s="15"/>
      <c r="BK10" s="15"/>
      <c r="BL10" s="15"/>
      <c r="BM10" s="15"/>
      <c r="BN10" s="15"/>
      <c r="BO10" s="15"/>
      <c r="BP10" s="15"/>
      <c r="BQ10" s="15"/>
      <c r="BR10" s="15"/>
      <c r="BS10" s="15"/>
      <c r="BT10" s="15"/>
      <c r="BU10" s="15"/>
    </row>
    <row r="11" spans="1:73" ht="24.2" customHeight="1" thickBot="1" x14ac:dyDescent="0.25">
      <c r="B11" s="156"/>
      <c r="C11" s="163"/>
      <c r="D11" s="20" t="e">
        <f>VLOOKUP($B11,#REF!,3,0)</f>
        <v>#REF!</v>
      </c>
      <c r="E11" s="20" t="e">
        <f>VLOOKUP($B11,#REF!,4,0)</f>
        <v>#REF!</v>
      </c>
      <c r="F11" s="20" t="e">
        <f>VLOOKUP($B11,#REF!,5,0)</f>
        <v>#REF!</v>
      </c>
      <c r="G11" s="20" t="e">
        <f>VLOOKUP($B11,#REF!,6,0)</f>
        <v>#REF!</v>
      </c>
      <c r="H11" s="20" t="e">
        <f>VLOOKUP($B11,#REF!,7,0)</f>
        <v>#REF!</v>
      </c>
      <c r="I11" s="20" t="e">
        <f>VLOOKUP($B11,#REF!,8,0)</f>
        <v>#REF!</v>
      </c>
      <c r="J11" s="160"/>
      <c r="K11" s="34" t="s">
        <v>13</v>
      </c>
      <c r="L11" s="36">
        <v>113</v>
      </c>
      <c r="M11" s="36">
        <v>100</v>
      </c>
      <c r="N11" s="36">
        <v>87</v>
      </c>
      <c r="O11" s="41"/>
      <c r="P11" s="13"/>
      <c r="Q11" s="13"/>
      <c r="R11" s="13"/>
      <c r="S11" s="13"/>
      <c r="T11" s="13"/>
      <c r="AF11" s="12"/>
      <c r="AG11" s="12"/>
      <c r="AH11" s="14"/>
      <c r="AI11" s="15"/>
      <c r="AJ11" s="15"/>
      <c r="AK11" s="15"/>
      <c r="AL11" s="15"/>
      <c r="AM11" s="15"/>
      <c r="AN11" s="15"/>
      <c r="AO11" s="15"/>
      <c r="AP11" s="15"/>
      <c r="AQ11" s="15"/>
      <c r="AR11" s="15"/>
      <c r="AS11" s="15"/>
      <c r="AT11" s="15"/>
      <c r="AU11" s="15"/>
      <c r="AV11" s="15"/>
      <c r="AW11" s="15"/>
      <c r="AX11" s="15"/>
      <c r="AY11" s="15"/>
      <c r="AZ11" s="15"/>
      <c r="BA11" s="15"/>
      <c r="BB11" s="15"/>
      <c r="BC11" s="15"/>
      <c r="BD11" s="15"/>
      <c r="BE11" s="15"/>
      <c r="BF11" s="15"/>
      <c r="BG11" s="15"/>
      <c r="BH11" s="15"/>
      <c r="BI11" s="15"/>
      <c r="BJ11" s="15"/>
      <c r="BK11" s="15"/>
      <c r="BL11" s="15"/>
      <c r="BM11" s="15"/>
      <c r="BN11" s="15"/>
      <c r="BO11" s="15"/>
      <c r="BP11" s="15"/>
      <c r="BQ11" s="15"/>
      <c r="BR11" s="15"/>
      <c r="BS11" s="15"/>
      <c r="BT11" s="15"/>
      <c r="BU11" s="15"/>
    </row>
    <row r="12" spans="1:73" ht="24.2" customHeight="1" x14ac:dyDescent="0.2">
      <c r="B12" s="164">
        <v>2</v>
      </c>
      <c r="C12" s="157" t="s">
        <v>29</v>
      </c>
      <c r="D12" s="21" t="e">
        <f>VLOOKUP($B12,#REF!,3,0)</f>
        <v>#REF!</v>
      </c>
      <c r="E12" s="21" t="e">
        <f>VLOOKUP($B12,#REF!,4,0)</f>
        <v>#REF!</v>
      </c>
      <c r="F12" s="21" t="e">
        <f>VLOOKUP($B12,#REF!,5,0)</f>
        <v>#REF!</v>
      </c>
      <c r="G12" s="21" t="e">
        <f>VLOOKUP($B12,#REF!,6,0)</f>
        <v>#REF!</v>
      </c>
      <c r="H12" s="21" t="e">
        <f>VLOOKUP($B12,#REF!,7,0)</f>
        <v>#REF!</v>
      </c>
      <c r="I12" s="21" t="e">
        <f>VLOOKUP($B12,#REF!,8,0)</f>
        <v>#REF!</v>
      </c>
      <c r="J12" s="159"/>
      <c r="K12" s="33" t="s">
        <v>12</v>
      </c>
      <c r="L12" s="44" t="s">
        <v>66</v>
      </c>
      <c r="M12" s="44" t="s">
        <v>66</v>
      </c>
      <c r="N12" s="44" t="s">
        <v>66</v>
      </c>
      <c r="O12" s="42" t="s">
        <v>69</v>
      </c>
      <c r="P12" s="13"/>
      <c r="Q12" s="16"/>
      <c r="R12" s="13"/>
      <c r="S12" s="17"/>
      <c r="T12" s="13"/>
      <c r="AF12" s="12"/>
      <c r="AG12" s="12"/>
      <c r="AH12" s="12"/>
      <c r="AI12" s="18"/>
      <c r="AJ12" s="18"/>
      <c r="AK12" s="18"/>
      <c r="AL12" s="18"/>
      <c r="AM12" s="18"/>
      <c r="AN12" s="18"/>
      <c r="AO12" s="18"/>
      <c r="AP12" s="18"/>
      <c r="AQ12" s="18"/>
      <c r="AR12" s="18"/>
      <c r="AS12" s="18"/>
      <c r="AT12" s="18"/>
      <c r="AU12" s="18"/>
      <c r="AV12" s="18"/>
      <c r="AW12" s="18"/>
      <c r="AX12" s="18"/>
      <c r="AY12" s="18"/>
      <c r="AZ12" s="18"/>
      <c r="BA12" s="18"/>
      <c r="BB12" s="18"/>
      <c r="BC12" s="18"/>
      <c r="BD12" s="18"/>
      <c r="BE12" s="18"/>
      <c r="BF12" s="18"/>
      <c r="BG12" s="18"/>
      <c r="BH12" s="18"/>
      <c r="BI12" s="18"/>
      <c r="BJ12" s="18"/>
      <c r="BK12" s="18"/>
      <c r="BL12" s="18"/>
      <c r="BM12" s="18"/>
      <c r="BN12" s="18"/>
      <c r="BO12" s="18"/>
      <c r="BP12" s="18"/>
      <c r="BQ12" s="18"/>
      <c r="BR12" s="18"/>
      <c r="BS12" s="18"/>
      <c r="BT12" s="18"/>
      <c r="BU12" s="18"/>
    </row>
    <row r="13" spans="1:73" ht="24.2" customHeight="1" thickBot="1" x14ac:dyDescent="0.25">
      <c r="B13" s="156"/>
      <c r="C13" s="158"/>
      <c r="D13" s="20" t="e">
        <f>VLOOKUP($B13,#REF!,3,0)</f>
        <v>#REF!</v>
      </c>
      <c r="E13" s="20" t="e">
        <f>VLOOKUP($B13,#REF!,4,0)</f>
        <v>#REF!</v>
      </c>
      <c r="F13" s="20" t="e">
        <f>VLOOKUP($B13,#REF!,5,0)</f>
        <v>#REF!</v>
      </c>
      <c r="G13" s="20" t="e">
        <f>VLOOKUP($B13,#REF!,6,0)</f>
        <v>#REF!</v>
      </c>
      <c r="H13" s="20" t="e">
        <f>VLOOKUP($B13,#REF!,7,0)</f>
        <v>#REF!</v>
      </c>
      <c r="I13" s="20" t="e">
        <f>VLOOKUP($B13,#REF!,8,0)</f>
        <v>#REF!</v>
      </c>
      <c r="J13" s="160"/>
      <c r="K13" s="34" t="s">
        <v>13</v>
      </c>
      <c r="L13" s="37">
        <v>105</v>
      </c>
      <c r="M13" s="36">
        <v>110</v>
      </c>
      <c r="N13" s="36">
        <v>110</v>
      </c>
      <c r="O13" s="43"/>
      <c r="P13" s="13"/>
      <c r="Q13" s="13"/>
      <c r="R13" s="13"/>
      <c r="S13" s="13"/>
      <c r="T13" s="13"/>
      <c r="AF13" s="12"/>
      <c r="AG13" s="12"/>
      <c r="AH13" s="14"/>
      <c r="AI13" s="15"/>
      <c r="AJ13" s="15"/>
      <c r="AK13" s="15"/>
      <c r="AL13" s="15"/>
      <c r="AM13" s="15"/>
      <c r="AN13" s="15"/>
      <c r="AO13" s="15"/>
      <c r="AP13" s="15"/>
      <c r="AQ13" s="15"/>
      <c r="AR13" s="15"/>
      <c r="AS13" s="15"/>
      <c r="AT13" s="15"/>
      <c r="AU13" s="15"/>
      <c r="AV13" s="15"/>
      <c r="AW13" s="15"/>
      <c r="AX13" s="15"/>
      <c r="AY13" s="15"/>
      <c r="AZ13" s="15"/>
      <c r="BA13" s="15"/>
      <c r="BB13" s="15"/>
      <c r="BC13" s="15"/>
      <c r="BD13" s="15"/>
      <c r="BE13" s="15"/>
      <c r="BF13" s="15"/>
      <c r="BG13" s="15"/>
      <c r="BH13" s="15"/>
      <c r="BI13" s="15"/>
      <c r="BJ13" s="15"/>
      <c r="BK13" s="15"/>
      <c r="BL13" s="15"/>
      <c r="BM13" s="15"/>
      <c r="BN13" s="15"/>
      <c r="BO13" s="15"/>
      <c r="BP13" s="15"/>
      <c r="BQ13" s="15"/>
      <c r="BR13" s="15"/>
      <c r="BS13" s="15"/>
      <c r="BT13" s="15"/>
      <c r="BU13" s="15"/>
    </row>
    <row r="14" spans="1:73" ht="24.2" customHeight="1" x14ac:dyDescent="0.2">
      <c r="B14" s="164">
        <v>3</v>
      </c>
      <c r="C14" s="157" t="s">
        <v>28</v>
      </c>
      <c r="D14" s="19" t="e">
        <f>VLOOKUP($B14,#REF!,3,0)</f>
        <v>#REF!</v>
      </c>
      <c r="E14" s="19" t="e">
        <f>VLOOKUP($B14,#REF!,4,0)</f>
        <v>#REF!</v>
      </c>
      <c r="F14" s="19" t="e">
        <f>VLOOKUP($B14,#REF!,5,0)</f>
        <v>#REF!</v>
      </c>
      <c r="G14" s="19" t="e">
        <f>VLOOKUP($B14,#REF!,6,0)</f>
        <v>#REF!</v>
      </c>
      <c r="H14" s="19" t="e">
        <f>VLOOKUP($B14,#REF!,7,0)</f>
        <v>#REF!</v>
      </c>
      <c r="I14" s="19" t="e">
        <f>VLOOKUP($B14,#REF!,8,0)</f>
        <v>#REF!</v>
      </c>
      <c r="J14" s="159"/>
      <c r="K14" s="22" t="s">
        <v>12</v>
      </c>
      <c r="L14" s="35">
        <v>96</v>
      </c>
      <c r="M14" s="35">
        <v>89</v>
      </c>
      <c r="N14" s="35">
        <v>86</v>
      </c>
      <c r="O14" s="161"/>
      <c r="P14" s="13"/>
      <c r="Q14" s="13"/>
      <c r="R14" s="13"/>
      <c r="S14" s="13"/>
      <c r="T14" s="13"/>
      <c r="AF14" s="12"/>
      <c r="AG14" s="12"/>
      <c r="AH14" s="12"/>
    </row>
    <row r="15" spans="1:73" ht="24.2" customHeight="1" thickBot="1" x14ac:dyDescent="0.25">
      <c r="B15" s="156"/>
      <c r="C15" s="163"/>
      <c r="D15" s="20" t="e">
        <f>VLOOKUP($B15,#REF!,3,0)</f>
        <v>#REF!</v>
      </c>
      <c r="E15" s="20" t="e">
        <f>VLOOKUP($B15,#REF!,4,0)</f>
        <v>#REF!</v>
      </c>
      <c r="F15" s="20" t="e">
        <f>VLOOKUP($B15,#REF!,5,0)</f>
        <v>#REF!</v>
      </c>
      <c r="G15" s="20" t="e">
        <f>VLOOKUP($B15,#REF!,6,0)</f>
        <v>#REF!</v>
      </c>
      <c r="H15" s="20" t="e">
        <f>VLOOKUP($B15,#REF!,7,0)</f>
        <v>#REF!</v>
      </c>
      <c r="I15" s="20" t="e">
        <f>VLOOKUP($B15,#REF!,8,0)</f>
        <v>#REF!</v>
      </c>
      <c r="J15" s="160"/>
      <c r="K15" s="34" t="s">
        <v>13</v>
      </c>
      <c r="L15" s="36">
        <v>98</v>
      </c>
      <c r="M15" s="36">
        <v>97</v>
      </c>
      <c r="N15" s="36">
        <v>93</v>
      </c>
      <c r="O15" s="162"/>
      <c r="P15" s="13"/>
      <c r="Q15" s="13"/>
      <c r="R15" s="13"/>
      <c r="S15" s="13"/>
      <c r="T15" s="13"/>
      <c r="AF15" s="12"/>
      <c r="AG15" s="12"/>
      <c r="AH15" s="14"/>
      <c r="AI15" s="15"/>
      <c r="AJ15" s="15"/>
      <c r="AK15" s="15"/>
      <c r="AL15" s="15"/>
      <c r="AM15" s="15"/>
      <c r="AN15" s="15"/>
      <c r="AO15" s="15"/>
      <c r="AP15" s="15"/>
      <c r="AQ15" s="15"/>
      <c r="AR15" s="15"/>
      <c r="AS15" s="15"/>
      <c r="AT15" s="15"/>
      <c r="AU15" s="15"/>
      <c r="AV15" s="15"/>
      <c r="AW15" s="15"/>
      <c r="AX15" s="15"/>
      <c r="AY15" s="15"/>
      <c r="AZ15" s="15"/>
      <c r="BA15" s="15"/>
      <c r="BB15" s="15"/>
      <c r="BC15" s="15"/>
      <c r="BD15" s="15"/>
      <c r="BE15" s="15"/>
      <c r="BF15" s="15"/>
      <c r="BG15" s="15"/>
      <c r="BH15" s="15"/>
      <c r="BI15" s="15"/>
      <c r="BJ15" s="15"/>
      <c r="BK15" s="15"/>
      <c r="BL15" s="15"/>
      <c r="BM15" s="15"/>
      <c r="BN15" s="15"/>
      <c r="BO15" s="15"/>
      <c r="BP15" s="15"/>
      <c r="BQ15" s="15"/>
      <c r="BR15" s="15"/>
      <c r="BS15" s="15"/>
      <c r="BT15" s="15"/>
      <c r="BU15" s="15"/>
    </row>
    <row r="16" spans="1:73" ht="24.2" customHeight="1" x14ac:dyDescent="0.2">
      <c r="B16" s="164">
        <v>4</v>
      </c>
      <c r="C16" s="157" t="s">
        <v>29</v>
      </c>
      <c r="D16" s="19" t="e">
        <f>VLOOKUP($B16,#REF!,3,0)</f>
        <v>#REF!</v>
      </c>
      <c r="E16" s="19" t="e">
        <f>VLOOKUP($B16,#REF!,4,0)</f>
        <v>#REF!</v>
      </c>
      <c r="F16" s="19" t="e">
        <f>VLOOKUP($B16,#REF!,5,0)</f>
        <v>#REF!</v>
      </c>
      <c r="G16" s="19" t="e">
        <f>VLOOKUP($B16,#REF!,6,0)</f>
        <v>#REF!</v>
      </c>
      <c r="H16" s="19" t="e">
        <f>VLOOKUP($B16,#REF!,7,0)</f>
        <v>#REF!</v>
      </c>
      <c r="I16" s="19" t="e">
        <f>VLOOKUP($B16,#REF!,8,0)</f>
        <v>#REF!</v>
      </c>
      <c r="J16" s="159"/>
      <c r="K16" s="22" t="s">
        <v>12</v>
      </c>
      <c r="L16" s="44" t="s">
        <v>66</v>
      </c>
      <c r="M16" s="44" t="s">
        <v>66</v>
      </c>
      <c r="N16" s="44" t="s">
        <v>66</v>
      </c>
      <c r="O16" s="161" t="s">
        <v>69</v>
      </c>
      <c r="P16" s="13"/>
      <c r="Q16" s="13"/>
      <c r="R16" s="13"/>
      <c r="S16" s="13"/>
      <c r="T16" s="13"/>
    </row>
    <row r="17" spans="2:73" ht="24.2" customHeight="1" thickBot="1" x14ac:dyDescent="0.25">
      <c r="B17" s="156"/>
      <c r="C17" s="158"/>
      <c r="D17" s="20" t="e">
        <f>VLOOKUP($B17,#REF!,3,0)</f>
        <v>#REF!</v>
      </c>
      <c r="E17" s="20" t="e">
        <f>VLOOKUP($B17,#REF!,4,0)</f>
        <v>#REF!</v>
      </c>
      <c r="F17" s="20" t="e">
        <f>VLOOKUP($B17,#REF!,5,0)</f>
        <v>#REF!</v>
      </c>
      <c r="G17" s="20" t="e">
        <f>VLOOKUP($B17,#REF!,6,0)</f>
        <v>#REF!</v>
      </c>
      <c r="H17" s="20" t="e">
        <f>VLOOKUP($B17,#REF!,7,0)</f>
        <v>#REF!</v>
      </c>
      <c r="I17" s="20" t="e">
        <f>VLOOKUP($B17,#REF!,8,0)</f>
        <v>#REF!</v>
      </c>
      <c r="J17" s="160"/>
      <c r="K17" s="34" t="s">
        <v>13</v>
      </c>
      <c r="L17" s="36">
        <v>110</v>
      </c>
      <c r="M17" s="36">
        <v>115</v>
      </c>
      <c r="N17" s="36">
        <v>109</v>
      </c>
      <c r="O17" s="162"/>
      <c r="P17" s="13"/>
      <c r="Q17" s="13"/>
      <c r="R17" s="13"/>
      <c r="S17" s="13"/>
      <c r="T17" s="13"/>
      <c r="AF17" s="12"/>
      <c r="AG17" s="12"/>
      <c r="AH17" s="14"/>
      <c r="AI17" s="15"/>
      <c r="AJ17" s="15"/>
      <c r="AK17" s="15"/>
      <c r="AL17" s="15"/>
      <c r="AM17" s="15"/>
      <c r="AN17" s="15"/>
      <c r="AO17" s="15"/>
      <c r="AP17" s="15"/>
      <c r="AQ17" s="15"/>
      <c r="AR17" s="15"/>
      <c r="AS17" s="15"/>
      <c r="AT17" s="15"/>
      <c r="AU17" s="15"/>
      <c r="AV17" s="15"/>
      <c r="AW17" s="15"/>
      <c r="AX17" s="15"/>
      <c r="AY17" s="15"/>
      <c r="AZ17" s="15"/>
      <c r="BA17" s="15"/>
      <c r="BB17" s="15"/>
      <c r="BC17" s="15"/>
      <c r="BD17" s="15"/>
      <c r="BE17" s="15"/>
      <c r="BF17" s="15"/>
      <c r="BG17" s="15"/>
      <c r="BH17" s="15"/>
      <c r="BI17" s="15"/>
      <c r="BJ17" s="15"/>
      <c r="BK17" s="15"/>
      <c r="BL17" s="15"/>
      <c r="BM17" s="15"/>
      <c r="BN17" s="15"/>
      <c r="BO17" s="15"/>
      <c r="BP17" s="15"/>
      <c r="BQ17" s="15"/>
      <c r="BR17" s="15"/>
      <c r="BS17" s="15"/>
      <c r="BT17" s="15"/>
      <c r="BU17" s="15"/>
    </row>
    <row r="18" spans="2:73" ht="24.2" customHeight="1" x14ac:dyDescent="0.2">
      <c r="B18" s="164">
        <v>5</v>
      </c>
      <c r="C18" s="157" t="s">
        <v>28</v>
      </c>
      <c r="D18" s="19" t="e">
        <f>VLOOKUP($B18,#REF!,3,0)</f>
        <v>#REF!</v>
      </c>
      <c r="E18" s="19" t="e">
        <f>VLOOKUP($B18,#REF!,4,0)</f>
        <v>#REF!</v>
      </c>
      <c r="F18" s="19" t="e">
        <f>VLOOKUP($B18,#REF!,5,0)</f>
        <v>#REF!</v>
      </c>
      <c r="G18" s="19" t="e">
        <f>VLOOKUP($B18,#REF!,6,0)</f>
        <v>#REF!</v>
      </c>
      <c r="H18" s="19" t="e">
        <f>VLOOKUP($B18,#REF!,7,0)</f>
        <v>#REF!</v>
      </c>
      <c r="I18" s="19" t="e">
        <f>VLOOKUP($B18,#REF!,8,0)</f>
        <v>#REF!</v>
      </c>
      <c r="J18" s="159"/>
      <c r="K18" s="22" t="s">
        <v>12</v>
      </c>
      <c r="L18" s="44">
        <v>89</v>
      </c>
      <c r="M18" s="35">
        <v>98</v>
      </c>
      <c r="N18" s="44">
        <v>98</v>
      </c>
      <c r="O18" s="161" t="s">
        <v>70</v>
      </c>
      <c r="P18" s="13"/>
      <c r="Q18" s="13"/>
      <c r="R18" s="13"/>
      <c r="S18" s="13"/>
      <c r="T18" s="13"/>
      <c r="AF18" s="12"/>
      <c r="AG18" s="12"/>
      <c r="AH18" s="12"/>
    </row>
    <row r="19" spans="2:73" ht="24.2" customHeight="1" thickBot="1" x14ac:dyDescent="0.25">
      <c r="B19" s="156"/>
      <c r="C19" s="163"/>
      <c r="D19" s="20" t="e">
        <f>VLOOKUP($B19,#REF!,3,0)</f>
        <v>#REF!</v>
      </c>
      <c r="E19" s="20" t="e">
        <f>VLOOKUP($B19,#REF!,4,0)</f>
        <v>#REF!</v>
      </c>
      <c r="F19" s="20" t="e">
        <f>VLOOKUP($B19,#REF!,5,0)</f>
        <v>#REF!</v>
      </c>
      <c r="G19" s="20" t="e">
        <f>VLOOKUP($B19,#REF!,6,0)</f>
        <v>#REF!</v>
      </c>
      <c r="H19" s="20" t="e">
        <f>VLOOKUP($B19,#REF!,7,0)</f>
        <v>#REF!</v>
      </c>
      <c r="I19" s="20" t="e">
        <f>VLOOKUP($B19,#REF!,8,0)</f>
        <v>#REF!</v>
      </c>
      <c r="J19" s="160"/>
      <c r="K19" s="34" t="s">
        <v>13</v>
      </c>
      <c r="L19" s="36">
        <v>109</v>
      </c>
      <c r="M19" s="36">
        <v>106</v>
      </c>
      <c r="N19" s="36">
        <v>109</v>
      </c>
      <c r="O19" s="162"/>
      <c r="P19" s="13"/>
      <c r="Q19" s="13"/>
      <c r="R19" s="13"/>
      <c r="S19" s="13"/>
      <c r="T19" s="13"/>
      <c r="AF19" s="12"/>
      <c r="AG19" s="12"/>
      <c r="AH19" s="14"/>
      <c r="AI19" s="15"/>
      <c r="AJ19" s="15"/>
      <c r="AK19" s="15"/>
      <c r="AL19" s="15"/>
      <c r="AM19" s="15"/>
      <c r="AN19" s="15"/>
      <c r="AO19" s="15"/>
      <c r="AP19" s="15"/>
      <c r="AQ19" s="15"/>
      <c r="AR19" s="15"/>
      <c r="AS19" s="15"/>
      <c r="AT19" s="15"/>
      <c r="AU19" s="15"/>
      <c r="AV19" s="15"/>
      <c r="AW19" s="15"/>
      <c r="AX19" s="15"/>
      <c r="AY19" s="15"/>
      <c r="AZ19" s="15"/>
      <c r="BA19" s="15"/>
      <c r="BB19" s="15"/>
      <c r="BC19" s="15"/>
      <c r="BD19" s="15"/>
      <c r="BE19" s="15"/>
      <c r="BF19" s="15"/>
      <c r="BG19" s="15"/>
      <c r="BH19" s="15"/>
      <c r="BI19" s="15"/>
      <c r="BJ19" s="15"/>
      <c r="BK19" s="15"/>
      <c r="BL19" s="15"/>
      <c r="BM19" s="15"/>
      <c r="BN19" s="15"/>
      <c r="BO19" s="15"/>
      <c r="BP19" s="15"/>
      <c r="BQ19" s="15"/>
      <c r="BR19" s="15"/>
      <c r="BS19" s="15"/>
      <c r="BT19" s="15"/>
      <c r="BU19" s="15"/>
    </row>
    <row r="20" spans="2:73" ht="24.2" customHeight="1" x14ac:dyDescent="0.2">
      <c r="B20" s="164">
        <v>6</v>
      </c>
      <c r="C20" s="157" t="s">
        <v>29</v>
      </c>
      <c r="D20" s="19" t="e">
        <f>VLOOKUP($B20,#REF!,3,0)</f>
        <v>#REF!</v>
      </c>
      <c r="E20" s="19" t="e">
        <f>VLOOKUP($B20,#REF!,4,0)</f>
        <v>#REF!</v>
      </c>
      <c r="F20" s="19" t="e">
        <f>VLOOKUP($B20,#REF!,5,0)</f>
        <v>#REF!</v>
      </c>
      <c r="G20" s="19" t="e">
        <f>VLOOKUP($B20,#REF!,6,0)</f>
        <v>#REF!</v>
      </c>
      <c r="H20" s="19" t="e">
        <f>VLOOKUP($B20,#REF!,7,0)</f>
        <v>#REF!</v>
      </c>
      <c r="I20" s="19" t="e">
        <f>VLOOKUP($B20,#REF!,8,0)</f>
        <v>#REF!</v>
      </c>
      <c r="J20" s="159"/>
      <c r="K20" s="22" t="s">
        <v>12</v>
      </c>
      <c r="L20" s="35">
        <v>97</v>
      </c>
      <c r="M20" s="44" t="s">
        <v>66</v>
      </c>
      <c r="N20" s="35">
        <v>99</v>
      </c>
      <c r="O20" s="161" t="s">
        <v>70</v>
      </c>
      <c r="P20" s="13"/>
      <c r="Q20" s="13"/>
      <c r="R20" s="13"/>
      <c r="S20" s="13"/>
      <c r="T20" s="13"/>
      <c r="AF20" s="12"/>
      <c r="AG20" s="12"/>
      <c r="AH20" s="12"/>
    </row>
    <row r="21" spans="2:73" ht="24.2" customHeight="1" thickBot="1" x14ac:dyDescent="0.25">
      <c r="B21" s="156"/>
      <c r="C21" s="158"/>
      <c r="D21" s="20" t="e">
        <f>VLOOKUP($B21,#REF!,3,0)</f>
        <v>#REF!</v>
      </c>
      <c r="E21" s="20" t="e">
        <f>VLOOKUP($B21,#REF!,4,0)</f>
        <v>#REF!</v>
      </c>
      <c r="F21" s="20" t="e">
        <f>VLOOKUP($B21,#REF!,5,0)</f>
        <v>#REF!</v>
      </c>
      <c r="G21" s="20" t="e">
        <f>VLOOKUP($B21,#REF!,6,0)</f>
        <v>#REF!</v>
      </c>
      <c r="H21" s="20" t="e">
        <f>VLOOKUP($B21,#REF!,7,0)</f>
        <v>#REF!</v>
      </c>
      <c r="I21" s="20" t="e">
        <f>VLOOKUP($B21,#REF!,8,0)</f>
        <v>#REF!</v>
      </c>
      <c r="J21" s="160"/>
      <c r="K21" s="34" t="s">
        <v>13</v>
      </c>
      <c r="L21" s="36">
        <v>104</v>
      </c>
      <c r="M21" s="36">
        <v>100</v>
      </c>
      <c r="N21" s="36">
        <v>101</v>
      </c>
      <c r="O21" s="162"/>
      <c r="P21" s="13"/>
      <c r="Q21" s="13"/>
      <c r="R21" s="13"/>
      <c r="S21" s="13"/>
      <c r="T21" s="13"/>
      <c r="AF21" s="12"/>
      <c r="AG21" s="12"/>
      <c r="AH21" s="14"/>
      <c r="AI21" s="15"/>
      <c r="AJ21" s="15"/>
      <c r="AK21" s="15"/>
      <c r="AL21" s="15"/>
      <c r="AM21" s="15"/>
      <c r="AN21" s="15"/>
      <c r="AO21" s="15"/>
      <c r="AP21" s="15"/>
      <c r="AQ21" s="15"/>
      <c r="AR21" s="15"/>
      <c r="AS21" s="15"/>
      <c r="AT21" s="15"/>
      <c r="AU21" s="15"/>
      <c r="AV21" s="15"/>
      <c r="AW21" s="15"/>
      <c r="AX21" s="15"/>
      <c r="AY21" s="15"/>
      <c r="AZ21" s="15"/>
      <c r="BA21" s="15"/>
      <c r="BB21" s="15"/>
      <c r="BC21" s="15"/>
      <c r="BD21" s="15"/>
      <c r="BE21" s="15"/>
      <c r="BF21" s="15"/>
      <c r="BG21" s="15"/>
      <c r="BH21" s="15"/>
      <c r="BI21" s="15"/>
      <c r="BJ21" s="15"/>
      <c r="BK21" s="15"/>
      <c r="BL21" s="15"/>
      <c r="BM21" s="15"/>
      <c r="BN21" s="15"/>
      <c r="BO21" s="15"/>
      <c r="BP21" s="15"/>
      <c r="BQ21" s="15"/>
      <c r="BR21" s="15"/>
      <c r="BS21" s="15"/>
      <c r="BT21" s="15"/>
      <c r="BU21" s="15"/>
    </row>
    <row r="22" spans="2:73" ht="24.2" customHeight="1" x14ac:dyDescent="0.2">
      <c r="B22" s="164">
        <v>7</v>
      </c>
      <c r="C22" s="157" t="s">
        <v>28</v>
      </c>
      <c r="D22" s="19" t="e">
        <f>VLOOKUP($B22,#REF!,3,0)</f>
        <v>#REF!</v>
      </c>
      <c r="E22" s="19" t="e">
        <f>VLOOKUP($B22,#REF!,4,0)</f>
        <v>#REF!</v>
      </c>
      <c r="F22" s="19" t="e">
        <f>VLOOKUP($B22,#REF!,5,0)</f>
        <v>#REF!</v>
      </c>
      <c r="G22" s="19" t="e">
        <f>VLOOKUP($B22,#REF!,6,0)</f>
        <v>#REF!</v>
      </c>
      <c r="H22" s="19" t="e">
        <f>VLOOKUP($B22,#REF!,7,0)</f>
        <v>#REF!</v>
      </c>
      <c r="I22" s="19" t="e">
        <f>VLOOKUP($B22,#REF!,8,0)</f>
        <v>#REF!</v>
      </c>
      <c r="J22" s="159"/>
      <c r="K22" s="22" t="s">
        <v>12</v>
      </c>
      <c r="L22" s="44" t="s">
        <v>66</v>
      </c>
      <c r="M22" s="44" t="s">
        <v>66</v>
      </c>
      <c r="N22" s="44" t="s">
        <v>66</v>
      </c>
      <c r="O22" s="161" t="s">
        <v>69</v>
      </c>
      <c r="P22" s="13"/>
      <c r="Q22" s="13"/>
      <c r="R22" s="13"/>
      <c r="S22" s="13"/>
      <c r="T22" s="13"/>
      <c r="AF22" s="12"/>
      <c r="AG22" s="12"/>
      <c r="AH22" s="12"/>
    </row>
    <row r="23" spans="2:73" ht="24.2" customHeight="1" thickBot="1" x14ac:dyDescent="0.25">
      <c r="B23" s="156"/>
      <c r="C23" s="163"/>
      <c r="D23" s="20" t="e">
        <f>VLOOKUP($B23,#REF!,3,0)</f>
        <v>#REF!</v>
      </c>
      <c r="E23" s="20" t="e">
        <f>VLOOKUP($B23,#REF!,4,0)</f>
        <v>#REF!</v>
      </c>
      <c r="F23" s="20" t="e">
        <f>VLOOKUP($B23,#REF!,5,0)</f>
        <v>#REF!</v>
      </c>
      <c r="G23" s="20" t="e">
        <f>VLOOKUP($B23,#REF!,6,0)</f>
        <v>#REF!</v>
      </c>
      <c r="H23" s="20" t="e">
        <f>VLOOKUP($B23,#REF!,7,0)</f>
        <v>#REF!</v>
      </c>
      <c r="I23" s="20" t="e">
        <f>VLOOKUP($B23,#REF!,8,0)</f>
        <v>#REF!</v>
      </c>
      <c r="J23" s="160"/>
      <c r="K23" s="34" t="s">
        <v>13</v>
      </c>
      <c r="L23" s="36">
        <v>115</v>
      </c>
      <c r="M23" s="36">
        <v>114</v>
      </c>
      <c r="N23" s="36">
        <v>113</v>
      </c>
      <c r="O23" s="162"/>
      <c r="P23" s="13"/>
      <c r="Q23" s="13"/>
      <c r="R23" s="13"/>
      <c r="S23" s="13"/>
      <c r="T23" s="13"/>
      <c r="AF23" s="12"/>
      <c r="AG23" s="12"/>
      <c r="AH23" s="14"/>
      <c r="AI23" s="15"/>
      <c r="AJ23" s="15"/>
      <c r="AK23" s="15"/>
      <c r="AL23" s="15"/>
      <c r="AM23" s="15"/>
      <c r="AN23" s="15"/>
      <c r="AO23" s="15"/>
      <c r="AP23" s="15"/>
      <c r="AQ23" s="15"/>
      <c r="AR23" s="15"/>
      <c r="AS23" s="15"/>
      <c r="AT23" s="15"/>
      <c r="AU23" s="15"/>
      <c r="AV23" s="15"/>
      <c r="AW23" s="15"/>
      <c r="AX23" s="15"/>
      <c r="AY23" s="15"/>
      <c r="AZ23" s="15"/>
      <c r="BA23" s="15"/>
      <c r="BB23" s="15"/>
      <c r="BC23" s="15"/>
      <c r="BD23" s="15"/>
      <c r="BE23" s="15"/>
      <c r="BF23" s="15"/>
      <c r="BG23" s="15"/>
      <c r="BH23" s="15"/>
      <c r="BI23" s="15"/>
      <c r="BJ23" s="15"/>
      <c r="BK23" s="15"/>
      <c r="BL23" s="15"/>
      <c r="BM23" s="15"/>
      <c r="BN23" s="15"/>
      <c r="BO23" s="15"/>
      <c r="BP23" s="15"/>
      <c r="BQ23" s="15"/>
      <c r="BR23" s="15"/>
      <c r="BS23" s="15"/>
      <c r="BT23" s="15"/>
      <c r="BU23" s="15"/>
    </row>
    <row r="24" spans="2:73" ht="24.2" customHeight="1" x14ac:dyDescent="0.2">
      <c r="B24" s="164">
        <v>8</v>
      </c>
      <c r="C24" s="157" t="s">
        <v>29</v>
      </c>
      <c r="D24" s="19" t="e">
        <f>VLOOKUP($B24,#REF!,3,0)</f>
        <v>#REF!</v>
      </c>
      <c r="E24" s="19" t="e">
        <f>VLOOKUP($B24,#REF!,4,0)</f>
        <v>#REF!</v>
      </c>
      <c r="F24" s="19" t="e">
        <f>VLOOKUP($B24,#REF!,5,0)</f>
        <v>#REF!</v>
      </c>
      <c r="G24" s="19" t="e">
        <f>VLOOKUP($B24,#REF!,6,0)</f>
        <v>#REF!</v>
      </c>
      <c r="H24" s="19" t="e">
        <f>VLOOKUP($B24,#REF!,7,0)</f>
        <v>#REF!</v>
      </c>
      <c r="I24" s="19" t="e">
        <f>VLOOKUP($B24,#REF!,8,0)</f>
        <v>#REF!</v>
      </c>
      <c r="J24" s="159"/>
      <c r="K24" s="22" t="s">
        <v>12</v>
      </c>
      <c r="L24" s="44" t="s">
        <v>66</v>
      </c>
      <c r="M24" s="44" t="s">
        <v>66</v>
      </c>
      <c r="N24" s="44" t="s">
        <v>66</v>
      </c>
      <c r="O24" s="161" t="s">
        <v>69</v>
      </c>
      <c r="P24" s="13"/>
      <c r="Q24" s="13"/>
      <c r="R24" s="13"/>
      <c r="S24" s="13"/>
      <c r="T24" s="13"/>
      <c r="AF24" s="9"/>
      <c r="AG24" s="9"/>
      <c r="AH24" s="9"/>
    </row>
    <row r="25" spans="2:73" ht="24.2" customHeight="1" thickBot="1" x14ac:dyDescent="0.25">
      <c r="B25" s="156"/>
      <c r="C25" s="158"/>
      <c r="D25" s="20" t="e">
        <f>VLOOKUP($B25,#REF!,3,0)</f>
        <v>#REF!</v>
      </c>
      <c r="E25" s="20" t="e">
        <f>VLOOKUP($B25,#REF!,4,0)</f>
        <v>#REF!</v>
      </c>
      <c r="F25" s="20" t="e">
        <f>VLOOKUP($B25,#REF!,5,0)</f>
        <v>#REF!</v>
      </c>
      <c r="G25" s="20" t="e">
        <f>VLOOKUP($B25,#REF!,6,0)</f>
        <v>#REF!</v>
      </c>
      <c r="H25" s="20" t="e">
        <f>VLOOKUP($B25,#REF!,7,0)</f>
        <v>#REF!</v>
      </c>
      <c r="I25" s="20" t="e">
        <f>VLOOKUP($B25,#REF!,8,0)</f>
        <v>#REF!</v>
      </c>
      <c r="J25" s="160"/>
      <c r="K25" s="34" t="s">
        <v>13</v>
      </c>
      <c r="L25" s="36">
        <v>111</v>
      </c>
      <c r="M25" s="36">
        <v>115</v>
      </c>
      <c r="N25" s="36">
        <v>111</v>
      </c>
      <c r="O25" s="162"/>
      <c r="P25" s="13"/>
      <c r="Q25" s="13"/>
      <c r="R25" s="13"/>
      <c r="S25" s="13"/>
      <c r="T25" s="13"/>
      <c r="AF25" s="12"/>
      <c r="AG25" s="12"/>
      <c r="AH25" s="14"/>
      <c r="AI25" s="15"/>
      <c r="AJ25" s="15"/>
      <c r="AK25" s="15"/>
      <c r="AL25" s="15"/>
      <c r="AM25" s="15"/>
      <c r="AN25" s="15"/>
      <c r="AO25" s="15"/>
      <c r="AP25" s="15"/>
      <c r="AQ25" s="15"/>
      <c r="AR25" s="15"/>
      <c r="AS25" s="15"/>
      <c r="AT25" s="15"/>
      <c r="AU25" s="15"/>
      <c r="AV25" s="15"/>
      <c r="AW25" s="15"/>
      <c r="AX25" s="15"/>
      <c r="AY25" s="15"/>
      <c r="AZ25" s="15"/>
      <c r="BA25" s="15"/>
      <c r="BB25" s="15"/>
      <c r="BC25" s="15"/>
      <c r="BD25" s="15"/>
      <c r="BE25" s="15"/>
      <c r="BF25" s="15"/>
      <c r="BG25" s="15"/>
      <c r="BH25" s="15"/>
      <c r="BI25" s="15"/>
      <c r="BJ25" s="15"/>
      <c r="BK25" s="15"/>
      <c r="BL25" s="15"/>
      <c r="BM25" s="15"/>
      <c r="BN25" s="15"/>
      <c r="BO25" s="15"/>
      <c r="BP25" s="15"/>
      <c r="BQ25" s="15"/>
      <c r="BR25" s="15"/>
      <c r="BS25" s="15"/>
      <c r="BT25" s="15"/>
      <c r="BU25" s="15"/>
    </row>
    <row r="26" spans="2:73" ht="24.2" customHeight="1" x14ac:dyDescent="0.2">
      <c r="B26" s="164">
        <v>9</v>
      </c>
      <c r="C26" s="157" t="s">
        <v>28</v>
      </c>
      <c r="D26" s="19" t="e">
        <f>VLOOKUP($B26,#REF!,3,0)</f>
        <v>#REF!</v>
      </c>
      <c r="E26" s="19" t="e">
        <f>VLOOKUP($B26,#REF!,4,0)</f>
        <v>#REF!</v>
      </c>
      <c r="F26" s="19" t="e">
        <f>VLOOKUP($B26,#REF!,5,0)</f>
        <v>#REF!</v>
      </c>
      <c r="G26" s="19" t="e">
        <f>VLOOKUP($B26,#REF!,6,0)</f>
        <v>#REF!</v>
      </c>
      <c r="H26" s="19" t="e">
        <f>VLOOKUP($B26,#REF!,7,0)</f>
        <v>#REF!</v>
      </c>
      <c r="I26" s="19" t="e">
        <f>VLOOKUP($B26,#REF!,8,0)</f>
        <v>#REF!</v>
      </c>
      <c r="J26" s="159">
        <v>1135</v>
      </c>
      <c r="K26" s="22" t="s">
        <v>12</v>
      </c>
      <c r="L26" s="35">
        <v>92</v>
      </c>
      <c r="M26" s="35">
        <v>89</v>
      </c>
      <c r="N26" s="35">
        <v>87</v>
      </c>
      <c r="O26" s="161" t="s">
        <v>70</v>
      </c>
      <c r="P26" s="13"/>
      <c r="Q26" s="13"/>
      <c r="R26" s="13"/>
      <c r="S26" s="13"/>
      <c r="T26" s="13"/>
      <c r="AF26" s="12"/>
      <c r="AG26" s="12"/>
      <c r="AH26" s="12"/>
    </row>
    <row r="27" spans="2:73" ht="24.2" customHeight="1" thickBot="1" x14ac:dyDescent="0.25">
      <c r="B27" s="156"/>
      <c r="C27" s="163"/>
      <c r="D27" s="20" t="e">
        <f>VLOOKUP($B27,#REF!,3,0)</f>
        <v>#REF!</v>
      </c>
      <c r="E27" s="20" t="e">
        <f>VLOOKUP($B27,#REF!,4,0)</f>
        <v>#REF!</v>
      </c>
      <c r="F27" s="20" t="e">
        <f>VLOOKUP($B27,#REF!,5,0)</f>
        <v>#REF!</v>
      </c>
      <c r="G27" s="20" t="e">
        <f>VLOOKUP($B27,#REF!,6,0)</f>
        <v>#REF!</v>
      </c>
      <c r="H27" s="20" t="e">
        <f>VLOOKUP($B27,#REF!,7,0)</f>
        <v>#REF!</v>
      </c>
      <c r="I27" s="20" t="e">
        <f>VLOOKUP($B27,#REF!,8,0)</f>
        <v>#REF!</v>
      </c>
      <c r="J27" s="160"/>
      <c r="K27" s="34" t="s">
        <v>13</v>
      </c>
      <c r="L27" s="36">
        <v>100</v>
      </c>
      <c r="M27" s="36">
        <v>99</v>
      </c>
      <c r="N27" s="36">
        <v>96</v>
      </c>
      <c r="O27" s="162"/>
      <c r="P27" s="13"/>
      <c r="Q27" s="13"/>
      <c r="R27" s="13"/>
      <c r="S27" s="13"/>
      <c r="T27" s="13"/>
      <c r="AF27" s="12"/>
      <c r="AG27" s="12"/>
      <c r="AH27" s="14"/>
      <c r="AI27" s="15"/>
      <c r="AJ27" s="15"/>
      <c r="AK27" s="15"/>
      <c r="AL27" s="15"/>
      <c r="AM27" s="15"/>
      <c r="AN27" s="15"/>
      <c r="AO27" s="15"/>
      <c r="AP27" s="15"/>
      <c r="AQ27" s="15"/>
      <c r="AR27" s="15"/>
      <c r="AS27" s="15"/>
      <c r="AT27" s="15"/>
      <c r="AU27" s="15"/>
      <c r="AV27" s="15"/>
      <c r="AW27" s="15"/>
      <c r="AX27" s="15"/>
      <c r="AY27" s="15"/>
      <c r="AZ27" s="15"/>
      <c r="BA27" s="15"/>
      <c r="BB27" s="15"/>
      <c r="BC27" s="15"/>
      <c r="BD27" s="15"/>
      <c r="BE27" s="15"/>
      <c r="BF27" s="15"/>
      <c r="BG27" s="15"/>
      <c r="BH27" s="15"/>
      <c r="BI27" s="15"/>
      <c r="BJ27" s="15"/>
      <c r="BK27" s="15"/>
      <c r="BL27" s="15"/>
      <c r="BM27" s="15"/>
      <c r="BN27" s="15"/>
      <c r="BO27" s="15"/>
      <c r="BP27" s="15"/>
      <c r="BQ27" s="15"/>
      <c r="BR27" s="15"/>
      <c r="BS27" s="15"/>
      <c r="BT27" s="15"/>
      <c r="BU27" s="15"/>
    </row>
    <row r="28" spans="2:73" ht="24.2" customHeight="1" x14ac:dyDescent="0.2">
      <c r="B28" s="155">
        <v>10</v>
      </c>
      <c r="C28" s="157" t="s">
        <v>29</v>
      </c>
      <c r="D28" s="19" t="e">
        <f>VLOOKUP($B28,#REF!,3,0)</f>
        <v>#REF!</v>
      </c>
      <c r="E28" s="19" t="e">
        <f>VLOOKUP($B28,#REF!,4,0)</f>
        <v>#REF!</v>
      </c>
      <c r="F28" s="19" t="e">
        <f>VLOOKUP($B28,#REF!,5,0)</f>
        <v>#REF!</v>
      </c>
      <c r="G28" s="19" t="e">
        <f>VLOOKUP($B28,#REF!,6,0)</f>
        <v>#REF!</v>
      </c>
      <c r="H28" s="19" t="e">
        <f>VLOOKUP($B28,#REF!,7,0)</f>
        <v>#REF!</v>
      </c>
      <c r="I28" s="19" t="e">
        <f>VLOOKUP($B28,#REF!,8,0)</f>
        <v>#REF!</v>
      </c>
      <c r="J28" s="159"/>
      <c r="K28" s="22" t="s">
        <v>12</v>
      </c>
      <c r="L28" s="44" t="s">
        <v>66</v>
      </c>
      <c r="M28" s="44" t="s">
        <v>66</v>
      </c>
      <c r="N28" s="44" t="s">
        <v>66</v>
      </c>
      <c r="O28" s="161" t="s">
        <v>69</v>
      </c>
      <c r="P28" s="13"/>
      <c r="Q28" s="13"/>
      <c r="R28" s="13"/>
      <c r="S28" s="13"/>
      <c r="T28" s="13"/>
    </row>
    <row r="29" spans="2:73" ht="24.2" customHeight="1" thickBot="1" x14ac:dyDescent="0.25">
      <c r="B29" s="156"/>
      <c r="C29" s="158"/>
      <c r="D29" s="20" t="e">
        <f>VLOOKUP($B29,#REF!,3,0)</f>
        <v>#REF!</v>
      </c>
      <c r="E29" s="20" t="e">
        <f>VLOOKUP($B29,#REF!,4,0)</f>
        <v>#REF!</v>
      </c>
      <c r="F29" s="20" t="e">
        <f>VLOOKUP($B29,#REF!,5,0)</f>
        <v>#REF!</v>
      </c>
      <c r="G29" s="20" t="e">
        <f>VLOOKUP($B29,#REF!,6,0)</f>
        <v>#REF!</v>
      </c>
      <c r="H29" s="20" t="e">
        <f>VLOOKUP($B29,#REF!,7,0)</f>
        <v>#REF!</v>
      </c>
      <c r="I29" s="20" t="e">
        <f>VLOOKUP($B29,#REF!,8,0)</f>
        <v>#REF!</v>
      </c>
      <c r="J29" s="160"/>
      <c r="K29" s="34" t="s">
        <v>13</v>
      </c>
      <c r="L29" s="36">
        <v>100</v>
      </c>
      <c r="M29" s="36">
        <v>115</v>
      </c>
      <c r="N29" s="36">
        <v>124</v>
      </c>
      <c r="O29" s="162"/>
      <c r="P29" s="13"/>
      <c r="Q29" s="13"/>
      <c r="R29" s="13"/>
      <c r="S29" s="13"/>
      <c r="T29" s="13"/>
      <c r="AF29" s="12"/>
      <c r="AG29" s="12"/>
      <c r="AH29" s="14"/>
      <c r="AI29" s="15"/>
      <c r="AJ29" s="15"/>
      <c r="AK29" s="15"/>
      <c r="AL29" s="15"/>
      <c r="AM29" s="15"/>
      <c r="AN29" s="15"/>
      <c r="AO29" s="15"/>
      <c r="AP29" s="15"/>
      <c r="AQ29" s="15"/>
      <c r="AR29" s="15"/>
      <c r="AS29" s="15"/>
      <c r="AT29" s="15"/>
      <c r="AU29" s="15"/>
      <c r="AV29" s="15"/>
      <c r="AW29" s="15"/>
      <c r="AX29" s="15"/>
      <c r="AY29" s="15"/>
      <c r="AZ29" s="15"/>
      <c r="BA29" s="15"/>
      <c r="BB29" s="15"/>
      <c r="BC29" s="15"/>
      <c r="BD29" s="15"/>
      <c r="BE29" s="15"/>
      <c r="BF29" s="15"/>
      <c r="BG29" s="15"/>
      <c r="BH29" s="15"/>
      <c r="BI29" s="15"/>
      <c r="BJ29" s="15"/>
      <c r="BK29" s="15"/>
      <c r="BL29" s="15"/>
      <c r="BM29" s="15"/>
      <c r="BN29" s="15"/>
      <c r="BO29" s="15"/>
      <c r="BP29" s="15"/>
      <c r="BQ29" s="15"/>
      <c r="BR29" s="15"/>
      <c r="BS29" s="15"/>
      <c r="BT29" s="15"/>
      <c r="BU29" s="15"/>
    </row>
    <row r="30" spans="2:73" ht="24.2" customHeight="1" x14ac:dyDescent="0.2">
      <c r="B30" s="155">
        <v>11</v>
      </c>
      <c r="C30" s="157" t="s">
        <v>28</v>
      </c>
      <c r="D30" s="19" t="e">
        <f>VLOOKUP($B30,#REF!,3,0)</f>
        <v>#REF!</v>
      </c>
      <c r="E30" s="19" t="e">
        <f>VLOOKUP($B30,#REF!,4,0)</f>
        <v>#REF!</v>
      </c>
      <c r="F30" s="19" t="e">
        <f>VLOOKUP($B30,#REF!,5,0)</f>
        <v>#REF!</v>
      </c>
      <c r="G30" s="19" t="e">
        <f>VLOOKUP($B30,#REF!,6,0)</f>
        <v>#REF!</v>
      </c>
      <c r="H30" s="19" t="e">
        <f>VLOOKUP($B30,#REF!,7,0)</f>
        <v>#REF!</v>
      </c>
      <c r="I30" s="19" t="e">
        <f>VLOOKUP($B30,#REF!,8,0)</f>
        <v>#REF!</v>
      </c>
      <c r="J30" s="159"/>
      <c r="K30" s="22" t="s">
        <v>12</v>
      </c>
      <c r="L30" s="44">
        <v>94</v>
      </c>
      <c r="M30" s="44" t="s">
        <v>66</v>
      </c>
      <c r="N30" s="35">
        <v>98</v>
      </c>
      <c r="O30" s="161" t="s">
        <v>70</v>
      </c>
      <c r="P30" s="13"/>
      <c r="Q30" s="13"/>
      <c r="R30" s="13"/>
      <c r="S30" s="13"/>
      <c r="T30" s="13"/>
    </row>
    <row r="31" spans="2:73" ht="24.2" customHeight="1" thickBot="1" x14ac:dyDescent="0.25">
      <c r="B31" s="156"/>
      <c r="C31" s="163"/>
      <c r="D31" s="20" t="e">
        <f>VLOOKUP($B31,#REF!,3,0)</f>
        <v>#REF!</v>
      </c>
      <c r="E31" s="20" t="e">
        <f>VLOOKUP($B31,#REF!,4,0)</f>
        <v>#REF!</v>
      </c>
      <c r="F31" s="20" t="e">
        <f>VLOOKUP($B31,#REF!,5,0)</f>
        <v>#REF!</v>
      </c>
      <c r="G31" s="20" t="e">
        <f>VLOOKUP($B31,#REF!,6,0)</f>
        <v>#REF!</v>
      </c>
      <c r="H31" s="20" t="e">
        <f>VLOOKUP($B31,#REF!,7,0)</f>
        <v>#REF!</v>
      </c>
      <c r="I31" s="20" t="e">
        <f>VLOOKUP($B31,#REF!,8,0)</f>
        <v>#REF!</v>
      </c>
      <c r="J31" s="160"/>
      <c r="K31" s="34" t="s">
        <v>13</v>
      </c>
      <c r="L31" s="36">
        <v>115</v>
      </c>
      <c r="M31" s="36">
        <v>116</v>
      </c>
      <c r="N31" s="36">
        <v>111</v>
      </c>
      <c r="O31" s="162"/>
      <c r="P31" s="13"/>
      <c r="Q31" s="13"/>
      <c r="R31" s="13"/>
      <c r="S31" s="13"/>
      <c r="T31" s="13"/>
      <c r="AF31" s="12"/>
      <c r="AG31" s="12"/>
      <c r="AH31" s="14"/>
      <c r="AI31" s="15"/>
      <c r="AJ31" s="15"/>
      <c r="AK31" s="15"/>
      <c r="AL31" s="15"/>
      <c r="AM31" s="15"/>
      <c r="AN31" s="15"/>
      <c r="AO31" s="15"/>
      <c r="AP31" s="15"/>
      <c r="AQ31" s="15"/>
      <c r="AR31" s="15"/>
      <c r="AS31" s="15"/>
      <c r="AT31" s="15"/>
      <c r="AU31" s="15"/>
      <c r="AV31" s="15"/>
      <c r="AW31" s="15"/>
      <c r="AX31" s="15"/>
      <c r="AY31" s="15"/>
      <c r="AZ31" s="15"/>
      <c r="BA31" s="15"/>
      <c r="BB31" s="15"/>
      <c r="BC31" s="15"/>
      <c r="BD31" s="15"/>
      <c r="BE31" s="15"/>
      <c r="BF31" s="15"/>
      <c r="BG31" s="15"/>
      <c r="BH31" s="15"/>
      <c r="BI31" s="15"/>
      <c r="BJ31" s="15"/>
      <c r="BK31" s="15"/>
      <c r="BL31" s="15"/>
      <c r="BM31" s="15"/>
      <c r="BN31" s="15"/>
      <c r="BO31" s="15"/>
      <c r="BP31" s="15"/>
      <c r="BQ31" s="15"/>
      <c r="BR31" s="15"/>
      <c r="BS31" s="15"/>
      <c r="BT31" s="15"/>
      <c r="BU31" s="15"/>
    </row>
    <row r="32" spans="2:73" ht="24.2" customHeight="1" x14ac:dyDescent="0.2">
      <c r="B32" s="155">
        <v>12</v>
      </c>
      <c r="C32" s="157" t="s">
        <v>29</v>
      </c>
      <c r="D32" s="19" t="e">
        <f>VLOOKUP($B32,#REF!,3,0)</f>
        <v>#REF!</v>
      </c>
      <c r="E32" s="19" t="e">
        <f>VLOOKUP($B32,#REF!,4,0)</f>
        <v>#REF!</v>
      </c>
      <c r="F32" s="19" t="e">
        <f>VLOOKUP($B32,#REF!,5,0)</f>
        <v>#REF!</v>
      </c>
      <c r="G32" s="19" t="e">
        <f>VLOOKUP($B32,#REF!,6,0)</f>
        <v>#REF!</v>
      </c>
      <c r="H32" s="19" t="e">
        <f>VLOOKUP($B32,#REF!,7,0)</f>
        <v>#REF!</v>
      </c>
      <c r="I32" s="19" t="e">
        <f>VLOOKUP($B32,#REF!,8,0)</f>
        <v>#REF!</v>
      </c>
      <c r="J32" s="159"/>
      <c r="K32" s="22" t="s">
        <v>12</v>
      </c>
      <c r="L32" s="44" t="s">
        <v>66</v>
      </c>
      <c r="M32" s="44" t="s">
        <v>66</v>
      </c>
      <c r="N32" s="44" t="s">
        <v>66</v>
      </c>
      <c r="O32" s="161" t="s">
        <v>69</v>
      </c>
      <c r="P32" s="13"/>
      <c r="Q32" s="13"/>
      <c r="R32" s="13"/>
      <c r="S32" s="13"/>
      <c r="T32" s="13"/>
    </row>
    <row r="33" spans="2:73" ht="24.2" customHeight="1" thickBot="1" x14ac:dyDescent="0.25">
      <c r="B33" s="156"/>
      <c r="C33" s="158"/>
      <c r="D33" s="20" t="e">
        <f>VLOOKUP($B33,#REF!,3,0)</f>
        <v>#REF!</v>
      </c>
      <c r="E33" s="20" t="e">
        <f>VLOOKUP($B33,#REF!,4,0)</f>
        <v>#REF!</v>
      </c>
      <c r="F33" s="20" t="e">
        <f>VLOOKUP($B33,#REF!,5,0)</f>
        <v>#REF!</v>
      </c>
      <c r="G33" s="20" t="e">
        <f>VLOOKUP($B33,#REF!,6,0)</f>
        <v>#REF!</v>
      </c>
      <c r="H33" s="20" t="e">
        <f>VLOOKUP($B33,#REF!,7,0)</f>
        <v>#REF!</v>
      </c>
      <c r="I33" s="20" t="e">
        <f>VLOOKUP($B33,#REF!,8,0)</f>
        <v>#REF!</v>
      </c>
      <c r="J33" s="160"/>
      <c r="K33" s="34" t="s">
        <v>13</v>
      </c>
      <c r="L33" s="36">
        <v>132</v>
      </c>
      <c r="M33" s="36">
        <v>114</v>
      </c>
      <c r="N33" s="36">
        <v>116</v>
      </c>
      <c r="O33" s="162"/>
      <c r="P33" s="13"/>
      <c r="Q33" s="13"/>
      <c r="R33" s="13"/>
      <c r="S33" s="13"/>
      <c r="T33" s="13"/>
      <c r="AF33" s="12"/>
      <c r="AG33" s="12"/>
      <c r="AH33" s="14"/>
      <c r="AI33" s="15"/>
      <c r="AJ33" s="15"/>
      <c r="AK33" s="15"/>
      <c r="AL33" s="15"/>
      <c r="AM33" s="15"/>
      <c r="AN33" s="15"/>
      <c r="AO33" s="15"/>
      <c r="AP33" s="15"/>
      <c r="AQ33" s="15"/>
      <c r="AR33" s="15"/>
      <c r="AS33" s="15"/>
      <c r="AT33" s="15"/>
      <c r="AU33" s="15"/>
      <c r="AV33" s="15"/>
      <c r="AW33" s="15"/>
      <c r="AX33" s="15"/>
      <c r="AY33" s="15"/>
      <c r="AZ33" s="15"/>
      <c r="BA33" s="15"/>
      <c r="BB33" s="15"/>
      <c r="BC33" s="15"/>
      <c r="BD33" s="15"/>
      <c r="BE33" s="15"/>
      <c r="BF33" s="15"/>
      <c r="BG33" s="15"/>
      <c r="BH33" s="15"/>
      <c r="BI33" s="15"/>
      <c r="BJ33" s="15"/>
      <c r="BK33" s="15"/>
      <c r="BL33" s="15"/>
      <c r="BM33" s="15"/>
      <c r="BN33" s="15"/>
      <c r="BO33" s="15"/>
      <c r="BP33" s="15"/>
      <c r="BQ33" s="15"/>
      <c r="BR33" s="15"/>
      <c r="BS33" s="15"/>
      <c r="BT33" s="15"/>
      <c r="BU33" s="15"/>
    </row>
    <row r="34" spans="2:73" ht="24.2" customHeight="1" x14ac:dyDescent="0.2">
      <c r="B34" s="155">
        <v>13</v>
      </c>
      <c r="C34" s="157" t="s">
        <v>28</v>
      </c>
      <c r="D34" s="19" t="e">
        <f>VLOOKUP($B34,#REF!,3,0)</f>
        <v>#REF!</v>
      </c>
      <c r="E34" s="19" t="e">
        <f>VLOOKUP($B34,#REF!,4,0)</f>
        <v>#REF!</v>
      </c>
      <c r="F34" s="19" t="e">
        <f>VLOOKUP($B34,#REF!,5,0)</f>
        <v>#REF!</v>
      </c>
      <c r="G34" s="19" t="e">
        <f>VLOOKUP($B34,#REF!,6,0)</f>
        <v>#REF!</v>
      </c>
      <c r="H34" s="19" t="e">
        <f>VLOOKUP($B34,#REF!,7,0)</f>
        <v>#REF!</v>
      </c>
      <c r="I34" s="19" t="e">
        <f>VLOOKUP($B34,#REF!,8,0)</f>
        <v>#REF!</v>
      </c>
      <c r="J34" s="159"/>
      <c r="K34" s="22" t="s">
        <v>12</v>
      </c>
      <c r="L34" s="35">
        <v>81</v>
      </c>
      <c r="M34" s="35">
        <v>99</v>
      </c>
      <c r="N34" s="35">
        <v>97</v>
      </c>
      <c r="O34" s="161"/>
      <c r="P34" s="13"/>
      <c r="Q34" s="13"/>
      <c r="R34" s="13"/>
      <c r="S34" s="13"/>
      <c r="T34" s="13"/>
    </row>
    <row r="35" spans="2:73" ht="24.2" customHeight="1" thickBot="1" x14ac:dyDescent="0.25">
      <c r="B35" s="156"/>
      <c r="C35" s="163"/>
      <c r="D35" s="20" t="e">
        <f>VLOOKUP($B35,#REF!,3,0)</f>
        <v>#REF!</v>
      </c>
      <c r="E35" s="20" t="e">
        <f>VLOOKUP($B35,#REF!,4,0)</f>
        <v>#REF!</v>
      </c>
      <c r="F35" s="20" t="e">
        <f>VLOOKUP($B35,#REF!,5,0)</f>
        <v>#REF!</v>
      </c>
      <c r="G35" s="20" t="e">
        <f>VLOOKUP($B35,#REF!,6,0)</f>
        <v>#REF!</v>
      </c>
      <c r="H35" s="20" t="e">
        <f>VLOOKUP($B35,#REF!,7,0)</f>
        <v>#REF!</v>
      </c>
      <c r="I35" s="20" t="e">
        <f>VLOOKUP($B35,#REF!,8,0)</f>
        <v>#REF!</v>
      </c>
      <c r="J35" s="160"/>
      <c r="K35" s="34" t="s">
        <v>13</v>
      </c>
      <c r="L35" s="36">
        <v>95</v>
      </c>
      <c r="M35" s="36">
        <v>108</v>
      </c>
      <c r="N35" s="36">
        <v>104</v>
      </c>
      <c r="O35" s="162"/>
      <c r="P35" s="13"/>
      <c r="Q35" s="13"/>
      <c r="R35" s="13"/>
      <c r="S35" s="13"/>
      <c r="T35" s="13"/>
      <c r="AF35" s="12"/>
      <c r="AG35" s="12"/>
      <c r="AH35" s="14"/>
      <c r="AI35" s="15"/>
      <c r="AJ35" s="15"/>
      <c r="AK35" s="15"/>
      <c r="AL35" s="15"/>
      <c r="AM35" s="15"/>
      <c r="AN35" s="15"/>
      <c r="AO35" s="15"/>
      <c r="AP35" s="15"/>
      <c r="AQ35" s="15"/>
      <c r="AR35" s="15"/>
      <c r="AS35" s="15"/>
      <c r="AT35" s="15"/>
      <c r="AU35" s="15"/>
      <c r="AV35" s="15"/>
      <c r="AW35" s="15"/>
      <c r="AX35" s="15"/>
      <c r="AY35" s="15"/>
      <c r="AZ35" s="15"/>
      <c r="BA35" s="15"/>
      <c r="BB35" s="15"/>
      <c r="BC35" s="15"/>
      <c r="BD35" s="15"/>
      <c r="BE35" s="15"/>
      <c r="BF35" s="15"/>
      <c r="BG35" s="15"/>
      <c r="BH35" s="15"/>
      <c r="BI35" s="15"/>
      <c r="BJ35" s="15"/>
      <c r="BK35" s="15"/>
      <c r="BL35" s="15"/>
      <c r="BM35" s="15"/>
      <c r="BN35" s="15"/>
      <c r="BO35" s="15"/>
      <c r="BP35" s="15"/>
      <c r="BQ35" s="15"/>
      <c r="BR35" s="15"/>
      <c r="BS35" s="15"/>
      <c r="BT35" s="15"/>
      <c r="BU35" s="15"/>
    </row>
    <row r="36" spans="2:73" ht="24.2" customHeight="1" x14ac:dyDescent="0.2">
      <c r="B36" s="155">
        <v>14</v>
      </c>
      <c r="C36" s="157" t="s">
        <v>29</v>
      </c>
      <c r="D36" s="19" t="e">
        <f>VLOOKUP($B36,#REF!,3,0)</f>
        <v>#REF!</v>
      </c>
      <c r="E36" s="19" t="e">
        <f>VLOOKUP($B36,#REF!,4,0)</f>
        <v>#REF!</v>
      </c>
      <c r="F36" s="19" t="e">
        <f>VLOOKUP($B36,#REF!,5,0)</f>
        <v>#REF!</v>
      </c>
      <c r="G36" s="19" t="e">
        <f>VLOOKUP($B36,#REF!,6,0)</f>
        <v>#REF!</v>
      </c>
      <c r="H36" s="19" t="e">
        <f>VLOOKUP($B36,#REF!,7,0)</f>
        <v>#REF!</v>
      </c>
      <c r="I36" s="19" t="e">
        <f>VLOOKUP($B36,#REF!,8,0)</f>
        <v>#REF!</v>
      </c>
      <c r="J36" s="159"/>
      <c r="K36" s="22" t="s">
        <v>12</v>
      </c>
      <c r="L36" s="44" t="s">
        <v>66</v>
      </c>
      <c r="M36" s="44" t="s">
        <v>66</v>
      </c>
      <c r="N36" s="44" t="s">
        <v>66</v>
      </c>
      <c r="O36" s="161" t="s">
        <v>69</v>
      </c>
      <c r="P36" s="13"/>
      <c r="Q36" s="13"/>
      <c r="R36" s="13"/>
      <c r="S36" s="13"/>
      <c r="T36" s="13"/>
    </row>
    <row r="37" spans="2:73" ht="24.2" customHeight="1" thickBot="1" x14ac:dyDescent="0.25">
      <c r="B37" s="156"/>
      <c r="C37" s="158"/>
      <c r="D37" s="20" t="e">
        <f>VLOOKUP($B37,#REF!,3,0)</f>
        <v>#REF!</v>
      </c>
      <c r="E37" s="20" t="e">
        <f>VLOOKUP($B37,#REF!,4,0)</f>
        <v>#REF!</v>
      </c>
      <c r="F37" s="20" t="e">
        <f>VLOOKUP($B37,#REF!,5,0)</f>
        <v>#REF!</v>
      </c>
      <c r="G37" s="20" t="e">
        <f>VLOOKUP($B37,#REF!,6,0)</f>
        <v>#REF!</v>
      </c>
      <c r="H37" s="20" t="e">
        <f>VLOOKUP($B37,#REF!,7,0)</f>
        <v>#REF!</v>
      </c>
      <c r="I37" s="20" t="e">
        <f>VLOOKUP($B37,#REF!,8,0)</f>
        <v>#REF!</v>
      </c>
      <c r="J37" s="160"/>
      <c r="K37" s="34" t="s">
        <v>13</v>
      </c>
      <c r="L37" s="36">
        <v>126</v>
      </c>
      <c r="M37" s="36">
        <v>127</v>
      </c>
      <c r="N37" s="36">
        <v>121</v>
      </c>
      <c r="O37" s="162"/>
      <c r="P37" s="13"/>
      <c r="Q37" s="13"/>
      <c r="R37" s="13"/>
      <c r="S37" s="13"/>
      <c r="T37" s="13"/>
      <c r="AF37" s="12"/>
      <c r="AG37" s="12"/>
      <c r="AH37" s="14"/>
      <c r="AI37" s="15"/>
      <c r="AJ37" s="15"/>
      <c r="AK37" s="15"/>
      <c r="AL37" s="15"/>
      <c r="AM37" s="15"/>
      <c r="AN37" s="15"/>
      <c r="AO37" s="15"/>
      <c r="AP37" s="15"/>
      <c r="AQ37" s="15"/>
      <c r="AR37" s="15"/>
      <c r="AS37" s="15"/>
      <c r="AT37" s="15"/>
      <c r="AU37" s="15"/>
      <c r="AV37" s="15"/>
      <c r="AW37" s="15"/>
      <c r="AX37" s="15"/>
      <c r="AY37" s="15"/>
      <c r="AZ37" s="15"/>
      <c r="BA37" s="15"/>
      <c r="BB37" s="15"/>
      <c r="BC37" s="15"/>
      <c r="BD37" s="15"/>
      <c r="BE37" s="15"/>
      <c r="BF37" s="15"/>
      <c r="BG37" s="15"/>
      <c r="BH37" s="15"/>
      <c r="BI37" s="15"/>
      <c r="BJ37" s="15"/>
      <c r="BK37" s="15"/>
      <c r="BL37" s="15"/>
      <c r="BM37" s="15"/>
      <c r="BN37" s="15"/>
      <c r="BO37" s="15"/>
      <c r="BP37" s="15"/>
      <c r="BQ37" s="15"/>
      <c r="BR37" s="15"/>
      <c r="BS37" s="15"/>
      <c r="BT37" s="15"/>
      <c r="BU37" s="15"/>
    </row>
    <row r="38" spans="2:73" ht="24.2" customHeight="1" x14ac:dyDescent="0.2">
      <c r="B38" s="155">
        <v>15</v>
      </c>
      <c r="C38" s="157" t="s">
        <v>28</v>
      </c>
      <c r="D38" s="19" t="e">
        <f>VLOOKUP($B38,#REF!,3,0)</f>
        <v>#REF!</v>
      </c>
      <c r="E38" s="19" t="e">
        <f>VLOOKUP($B38,#REF!,4,0)</f>
        <v>#REF!</v>
      </c>
      <c r="F38" s="19" t="e">
        <f>VLOOKUP($B38,#REF!,5,0)</f>
        <v>#REF!</v>
      </c>
      <c r="G38" s="19" t="e">
        <f>VLOOKUP($B38,#REF!,6,0)</f>
        <v>#REF!</v>
      </c>
      <c r="H38" s="19" t="e">
        <f>VLOOKUP($B38,#REF!,7,0)</f>
        <v>#REF!</v>
      </c>
      <c r="I38" s="19" t="e">
        <f>VLOOKUP($B38,#REF!,8,0)</f>
        <v>#REF!</v>
      </c>
      <c r="J38" s="159"/>
      <c r="K38" s="22" t="s">
        <v>12</v>
      </c>
      <c r="L38" s="44">
        <v>97</v>
      </c>
      <c r="M38" s="35">
        <v>95</v>
      </c>
      <c r="N38" s="35">
        <v>93</v>
      </c>
      <c r="O38" s="161" t="s">
        <v>70</v>
      </c>
      <c r="P38" s="13"/>
      <c r="Q38" s="13"/>
      <c r="R38" s="13"/>
      <c r="S38" s="13"/>
      <c r="T38" s="13"/>
    </row>
    <row r="39" spans="2:73" ht="24.2" customHeight="1" thickBot="1" x14ac:dyDescent="0.25">
      <c r="B39" s="156"/>
      <c r="C39" s="163"/>
      <c r="D39" s="20" t="e">
        <f>VLOOKUP($B39,#REF!,3,0)</f>
        <v>#REF!</v>
      </c>
      <c r="E39" s="20" t="e">
        <f>VLOOKUP($B39,#REF!,4,0)</f>
        <v>#REF!</v>
      </c>
      <c r="F39" s="20" t="e">
        <f>VLOOKUP($B39,#REF!,5,0)</f>
        <v>#REF!</v>
      </c>
      <c r="G39" s="20" t="e">
        <f>VLOOKUP($B39,#REF!,6,0)</f>
        <v>#REF!</v>
      </c>
      <c r="H39" s="20" t="e">
        <f>VLOOKUP($B39,#REF!,7,0)</f>
        <v>#REF!</v>
      </c>
      <c r="I39" s="20" t="e">
        <f>VLOOKUP($B39,#REF!,8,0)</f>
        <v>#REF!</v>
      </c>
      <c r="J39" s="160"/>
      <c r="K39" s="34" t="s">
        <v>13</v>
      </c>
      <c r="L39" s="36">
        <v>117</v>
      </c>
      <c r="M39" s="36">
        <v>108</v>
      </c>
      <c r="N39" s="36">
        <v>105</v>
      </c>
      <c r="O39" s="162"/>
      <c r="P39" s="13"/>
      <c r="Q39" s="13"/>
      <c r="R39" s="13"/>
      <c r="S39" s="13"/>
      <c r="T39" s="13"/>
      <c r="AF39" s="12"/>
      <c r="AG39" s="12"/>
      <c r="AH39" s="14"/>
      <c r="AI39" s="15"/>
      <c r="AJ39" s="15"/>
      <c r="AK39" s="15"/>
      <c r="AL39" s="15"/>
      <c r="AM39" s="15"/>
      <c r="AN39" s="15"/>
      <c r="AO39" s="15"/>
      <c r="AP39" s="15"/>
      <c r="AQ39" s="15"/>
      <c r="AR39" s="15"/>
      <c r="AS39" s="15"/>
      <c r="AT39" s="15"/>
      <c r="AU39" s="15"/>
      <c r="AV39" s="15"/>
      <c r="AW39" s="15"/>
      <c r="AX39" s="15"/>
      <c r="AY39" s="15"/>
      <c r="AZ39" s="15"/>
      <c r="BA39" s="15"/>
      <c r="BB39" s="15"/>
      <c r="BC39" s="15"/>
      <c r="BD39" s="15"/>
      <c r="BE39" s="15"/>
      <c r="BF39" s="15"/>
      <c r="BG39" s="15"/>
      <c r="BH39" s="15"/>
      <c r="BI39" s="15"/>
      <c r="BJ39" s="15"/>
      <c r="BK39" s="15"/>
      <c r="BL39" s="15"/>
      <c r="BM39" s="15"/>
      <c r="BN39" s="15"/>
      <c r="BO39" s="15"/>
      <c r="BP39" s="15"/>
      <c r="BQ39" s="15"/>
      <c r="BR39" s="15"/>
      <c r="BS39" s="15"/>
      <c r="BT39" s="15"/>
      <c r="BU39" s="15"/>
    </row>
    <row r="40" spans="2:73" ht="24.2" customHeight="1" x14ac:dyDescent="0.2">
      <c r="B40" s="155">
        <v>16</v>
      </c>
      <c r="C40" s="157" t="s">
        <v>29</v>
      </c>
      <c r="D40" s="19" t="e">
        <f>VLOOKUP($B40,#REF!,3,0)</f>
        <v>#REF!</v>
      </c>
      <c r="E40" s="19" t="e">
        <f>VLOOKUP($B40,#REF!,4,0)</f>
        <v>#REF!</v>
      </c>
      <c r="F40" s="19" t="e">
        <f>VLOOKUP($B40,#REF!,5,0)</f>
        <v>#REF!</v>
      </c>
      <c r="G40" s="19" t="e">
        <f>VLOOKUP($B40,#REF!,6,0)</f>
        <v>#REF!</v>
      </c>
      <c r="H40" s="19" t="e">
        <f>VLOOKUP($B40,#REF!,7,0)</f>
        <v>#REF!</v>
      </c>
      <c r="I40" s="19" t="e">
        <f>VLOOKUP($B40,#REF!,8,0)</f>
        <v>#REF!</v>
      </c>
      <c r="J40" s="159"/>
      <c r="K40" s="22" t="s">
        <v>12</v>
      </c>
      <c r="L40" s="44">
        <v>92</v>
      </c>
      <c r="M40" s="44">
        <v>90</v>
      </c>
      <c r="N40" s="44" t="s">
        <v>66</v>
      </c>
      <c r="O40" s="161" t="s">
        <v>70</v>
      </c>
      <c r="P40" s="13"/>
      <c r="Q40" s="13"/>
      <c r="R40" s="13"/>
      <c r="S40" s="13"/>
      <c r="T40" s="13"/>
    </row>
    <row r="41" spans="2:73" ht="24.2" customHeight="1" thickBot="1" x14ac:dyDescent="0.25">
      <c r="B41" s="156"/>
      <c r="C41" s="158"/>
      <c r="D41" s="20" t="e">
        <f>VLOOKUP($B41,#REF!,3,0)</f>
        <v>#REF!</v>
      </c>
      <c r="E41" s="20" t="e">
        <f>VLOOKUP($B41,#REF!,4,0)</f>
        <v>#REF!</v>
      </c>
      <c r="F41" s="20" t="e">
        <f>VLOOKUP($B41,#REF!,5,0)</f>
        <v>#REF!</v>
      </c>
      <c r="G41" s="20" t="e">
        <f>VLOOKUP($B41,#REF!,6,0)</f>
        <v>#REF!</v>
      </c>
      <c r="H41" s="20" t="e">
        <f>VLOOKUP($B41,#REF!,7,0)</f>
        <v>#REF!</v>
      </c>
      <c r="I41" s="20" t="e">
        <f>VLOOKUP($B41,#REF!,8,0)</f>
        <v>#REF!</v>
      </c>
      <c r="J41" s="160"/>
      <c r="K41" s="34" t="s">
        <v>13</v>
      </c>
      <c r="L41" s="36">
        <v>105</v>
      </c>
      <c r="M41" s="36">
        <v>98</v>
      </c>
      <c r="N41" s="36">
        <v>109</v>
      </c>
      <c r="O41" s="162"/>
      <c r="P41" s="13"/>
      <c r="Q41" s="13"/>
      <c r="R41" s="13"/>
      <c r="S41" s="13"/>
      <c r="T41" s="13"/>
      <c r="AF41" s="12"/>
      <c r="AG41" s="12"/>
      <c r="AH41" s="14"/>
      <c r="AI41" s="15"/>
      <c r="AJ41" s="15"/>
      <c r="AK41" s="15"/>
      <c r="AL41" s="15"/>
      <c r="AM41" s="15"/>
      <c r="AN41" s="15"/>
      <c r="AO41" s="15"/>
      <c r="AP41" s="15"/>
      <c r="AQ41" s="15"/>
      <c r="AR41" s="15"/>
      <c r="AS41" s="15"/>
      <c r="AT41" s="15"/>
      <c r="AU41" s="15"/>
      <c r="AV41" s="15"/>
      <c r="AW41" s="15"/>
      <c r="AX41" s="15"/>
      <c r="AY41" s="15"/>
      <c r="AZ41" s="15"/>
      <c r="BA41" s="15"/>
      <c r="BB41" s="15"/>
      <c r="BC41" s="15"/>
      <c r="BD41" s="15"/>
      <c r="BE41" s="15"/>
      <c r="BF41" s="15"/>
      <c r="BG41" s="15"/>
      <c r="BH41" s="15"/>
      <c r="BI41" s="15"/>
      <c r="BJ41" s="15"/>
      <c r="BK41" s="15"/>
      <c r="BL41" s="15"/>
      <c r="BM41" s="15"/>
      <c r="BN41" s="15"/>
      <c r="BO41" s="15"/>
      <c r="BP41" s="15"/>
      <c r="BQ41" s="15"/>
      <c r="BR41" s="15"/>
      <c r="BS41" s="15"/>
      <c r="BT41" s="15"/>
      <c r="BU41" s="15"/>
    </row>
    <row r="42" spans="2:73" ht="24" customHeight="1" x14ac:dyDescent="0.2">
      <c r="B42" s="155">
        <v>17</v>
      </c>
      <c r="C42" s="157" t="s">
        <v>28</v>
      </c>
      <c r="D42" s="19" t="e">
        <f>VLOOKUP($B42,#REF!,3,0)</f>
        <v>#REF!</v>
      </c>
      <c r="E42" s="19" t="e">
        <f>VLOOKUP($B42,#REF!,4,0)</f>
        <v>#REF!</v>
      </c>
      <c r="F42" s="19" t="e">
        <f>VLOOKUP($B42,#REF!,5,0)</f>
        <v>#REF!</v>
      </c>
      <c r="G42" s="19" t="e">
        <f>VLOOKUP($B42,#REF!,6,0)</f>
        <v>#REF!</v>
      </c>
      <c r="H42" s="19" t="e">
        <f>VLOOKUP($B42,#REF!,7,0)</f>
        <v>#REF!</v>
      </c>
      <c r="I42" s="19" t="e">
        <f>VLOOKUP($B42,#REF!,8,0)</f>
        <v>#REF!</v>
      </c>
      <c r="J42" s="159">
        <v>1300</v>
      </c>
      <c r="K42" s="22" t="s">
        <v>12</v>
      </c>
      <c r="L42" s="44">
        <v>87</v>
      </c>
      <c r="M42" s="44">
        <v>94</v>
      </c>
      <c r="N42" s="35">
        <v>85</v>
      </c>
      <c r="O42" s="161"/>
    </row>
    <row r="43" spans="2:73" ht="24" customHeight="1" thickBot="1" x14ac:dyDescent="0.25">
      <c r="B43" s="156"/>
      <c r="C43" s="163"/>
      <c r="D43" s="20"/>
      <c r="E43" s="20"/>
      <c r="F43" s="20"/>
      <c r="G43" s="20"/>
      <c r="H43" s="20"/>
      <c r="I43" s="20"/>
      <c r="J43" s="160"/>
      <c r="K43" s="34" t="s">
        <v>13</v>
      </c>
      <c r="L43" s="36">
        <v>91</v>
      </c>
      <c r="M43" s="36">
        <v>85</v>
      </c>
      <c r="N43" s="36">
        <v>105</v>
      </c>
      <c r="O43" s="162"/>
    </row>
  </sheetData>
  <mergeCells count="70">
    <mergeCell ref="AF5:AH5"/>
    <mergeCell ref="L6:N6"/>
    <mergeCell ref="O7:O8"/>
    <mergeCell ref="B8:K8"/>
    <mergeCell ref="B10:B11"/>
    <mergeCell ref="C10:C11"/>
    <mergeCell ref="J10:J11"/>
    <mergeCell ref="B18:B19"/>
    <mergeCell ref="C18:C19"/>
    <mergeCell ref="J18:J19"/>
    <mergeCell ref="O18:O19"/>
    <mergeCell ref="B12:B13"/>
    <mergeCell ref="C12:C13"/>
    <mergeCell ref="J12:J13"/>
    <mergeCell ref="B14:B15"/>
    <mergeCell ref="C14:C15"/>
    <mergeCell ref="J14:J15"/>
    <mergeCell ref="O14:O15"/>
    <mergeCell ref="B16:B17"/>
    <mergeCell ref="C16:C17"/>
    <mergeCell ref="J16:J17"/>
    <mergeCell ref="O16:O17"/>
    <mergeCell ref="B20:B21"/>
    <mergeCell ref="C20:C21"/>
    <mergeCell ref="J20:J21"/>
    <mergeCell ref="O20:O21"/>
    <mergeCell ref="B22:B23"/>
    <mergeCell ref="C22:C23"/>
    <mergeCell ref="J22:J23"/>
    <mergeCell ref="O22:O23"/>
    <mergeCell ref="B24:B25"/>
    <mergeCell ref="C24:C25"/>
    <mergeCell ref="J24:J25"/>
    <mergeCell ref="O24:O25"/>
    <mergeCell ref="B26:B27"/>
    <mergeCell ref="C26:C27"/>
    <mergeCell ref="J26:J27"/>
    <mergeCell ref="O26:O27"/>
    <mergeCell ref="B28:B29"/>
    <mergeCell ref="C28:C29"/>
    <mergeCell ref="J28:J29"/>
    <mergeCell ref="O28:O29"/>
    <mergeCell ref="B30:B31"/>
    <mergeCell ref="C30:C31"/>
    <mergeCell ref="J30:J31"/>
    <mergeCell ref="O30:O31"/>
    <mergeCell ref="B32:B33"/>
    <mergeCell ref="C32:C33"/>
    <mergeCell ref="J32:J33"/>
    <mergeCell ref="O32:O33"/>
    <mergeCell ref="B34:B35"/>
    <mergeCell ref="C34:C35"/>
    <mergeCell ref="J34:J35"/>
    <mergeCell ref="O34:O35"/>
    <mergeCell ref="B36:B37"/>
    <mergeCell ref="C36:C37"/>
    <mergeCell ref="J36:J37"/>
    <mergeCell ref="O36:O37"/>
    <mergeCell ref="B38:B39"/>
    <mergeCell ref="C38:C39"/>
    <mergeCell ref="J38:J39"/>
    <mergeCell ref="O38:O39"/>
    <mergeCell ref="B40:B41"/>
    <mergeCell ref="C40:C41"/>
    <mergeCell ref="J40:J41"/>
    <mergeCell ref="O40:O41"/>
    <mergeCell ref="B42:B43"/>
    <mergeCell ref="C42:C43"/>
    <mergeCell ref="J42:J43"/>
    <mergeCell ref="O42:O43"/>
  </mergeCells>
  <pageMargins left="0.45" right="0" top="0.49" bottom="0" header="0.64" footer="0"/>
  <pageSetup paperSize="512" scale="72" orientation="portrait" r:id="rId1"/>
  <headerFooter alignWithMargin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A1:BU43"/>
  <sheetViews>
    <sheetView zoomScale="90" zoomScaleNormal="90" workbookViewId="0"/>
  </sheetViews>
  <sheetFormatPr defaultRowHeight="12.75" x14ac:dyDescent="0.2"/>
  <cols>
    <col min="1" max="1" width="5.42578125" customWidth="1"/>
    <col min="2" max="2" width="6.28515625" customWidth="1"/>
    <col min="3" max="3" width="12.7109375" customWidth="1"/>
    <col min="4" max="8" width="5.28515625" hidden="1" customWidth="1"/>
    <col min="9" max="9" width="7" hidden="1" customWidth="1"/>
    <col min="10" max="10" width="8.42578125" customWidth="1"/>
    <col min="11" max="14" width="12.7109375" customWidth="1"/>
    <col min="15" max="15" width="48.7109375" customWidth="1"/>
    <col min="22" max="22" width="7.5703125" customWidth="1"/>
    <col min="23" max="32" width="7.7109375" customWidth="1"/>
  </cols>
  <sheetData>
    <row r="1" spans="1:73" ht="15" customHeight="1" x14ac:dyDescent="0.25">
      <c r="A1" s="1" t="s">
        <v>33</v>
      </c>
    </row>
    <row r="2" spans="1:73" ht="20.25" customHeight="1" thickBot="1" x14ac:dyDescent="0.3">
      <c r="A2" s="1"/>
      <c r="M2" s="15" t="s">
        <v>0</v>
      </c>
      <c r="N2" s="23">
        <v>40767</v>
      </c>
      <c r="O2" s="29"/>
    </row>
    <row r="3" spans="1:73" ht="20.25" customHeight="1" thickBot="1" x14ac:dyDescent="0.25">
      <c r="A3" t="s">
        <v>1</v>
      </c>
      <c r="C3" s="38" t="s">
        <v>72</v>
      </c>
      <c r="D3" s="3"/>
      <c r="E3" s="3"/>
      <c r="F3" s="3"/>
      <c r="G3" s="3"/>
      <c r="H3" s="3"/>
      <c r="I3" s="3"/>
      <c r="J3" s="3"/>
      <c r="K3" s="3"/>
      <c r="L3" s="3"/>
      <c r="M3" s="15" t="s">
        <v>23</v>
      </c>
      <c r="N3" s="2">
        <v>224</v>
      </c>
      <c r="O3" s="30"/>
    </row>
    <row r="4" spans="1:73" ht="20.25" customHeight="1" thickBot="1" x14ac:dyDescent="0.25">
      <c r="B4" s="3" t="s">
        <v>73</v>
      </c>
      <c r="C4" s="38"/>
      <c r="D4" s="4"/>
      <c r="E4" s="4"/>
      <c r="F4" s="4"/>
      <c r="G4" s="4"/>
      <c r="H4" s="4"/>
      <c r="I4" s="4"/>
      <c r="J4" s="4"/>
      <c r="K4" s="4"/>
      <c r="L4" s="4"/>
      <c r="M4" s="15" t="s">
        <v>2</v>
      </c>
      <c r="N4" s="2" t="s">
        <v>26</v>
      </c>
      <c r="O4" s="30"/>
    </row>
    <row r="5" spans="1:73" ht="18" x14ac:dyDescent="0.2">
      <c r="B5" t="s">
        <v>74</v>
      </c>
      <c r="AE5" s="5"/>
      <c r="AF5" s="165"/>
      <c r="AG5" s="165"/>
      <c r="AH5" s="165"/>
    </row>
    <row r="6" spans="1:73" ht="18" x14ac:dyDescent="0.25">
      <c r="L6" s="174"/>
      <c r="M6" s="167"/>
      <c r="N6" s="168"/>
      <c r="O6" s="31"/>
      <c r="AE6" s="5"/>
      <c r="AF6" s="24"/>
      <c r="AG6" s="24"/>
      <c r="AH6" s="24"/>
    </row>
    <row r="7" spans="1:73" ht="25.5" customHeight="1" x14ac:dyDescent="0.2">
      <c r="B7" s="6" t="s">
        <v>3</v>
      </c>
      <c r="C7" s="7"/>
      <c r="D7" s="7" t="s">
        <v>4</v>
      </c>
      <c r="E7" s="6" t="s">
        <v>5</v>
      </c>
      <c r="F7" s="7" t="s">
        <v>6</v>
      </c>
      <c r="G7" s="6" t="s">
        <v>7</v>
      </c>
      <c r="H7" s="6" t="s">
        <v>8</v>
      </c>
      <c r="I7" s="6" t="s">
        <v>9</v>
      </c>
      <c r="J7" s="6" t="s">
        <v>11</v>
      </c>
      <c r="K7" s="8" t="s">
        <v>24</v>
      </c>
      <c r="L7" s="22" t="s">
        <v>30</v>
      </c>
      <c r="M7" s="22" t="s">
        <v>31</v>
      </c>
      <c r="N7" s="22" t="s">
        <v>32</v>
      </c>
      <c r="O7" s="169" t="s">
        <v>25</v>
      </c>
      <c r="AE7" s="10"/>
      <c r="AF7" s="9"/>
      <c r="AG7" s="9"/>
      <c r="AH7" s="11"/>
    </row>
    <row r="8" spans="1:73" ht="15.95" customHeight="1" thickBot="1" x14ac:dyDescent="0.25">
      <c r="B8" s="170"/>
      <c r="C8" s="171"/>
      <c r="D8" s="171"/>
      <c r="E8" s="171"/>
      <c r="F8" s="171"/>
      <c r="G8" s="171"/>
      <c r="H8" s="171"/>
      <c r="I8" s="171"/>
      <c r="J8" s="171"/>
      <c r="K8" s="172"/>
      <c r="L8" s="39" t="s">
        <v>27</v>
      </c>
      <c r="M8" s="39"/>
      <c r="N8" s="39"/>
      <c r="O8" s="163"/>
      <c r="AF8" s="12"/>
      <c r="AG8" s="12"/>
      <c r="AH8" s="12"/>
    </row>
    <row r="9" spans="1:73" ht="15.95" hidden="1" customHeight="1" x14ac:dyDescent="0.2">
      <c r="B9" s="25" t="s">
        <v>3</v>
      </c>
      <c r="C9" s="26" t="s">
        <v>10</v>
      </c>
      <c r="D9" s="26" t="s">
        <v>14</v>
      </c>
      <c r="E9" s="25" t="s">
        <v>15</v>
      </c>
      <c r="F9" s="26" t="s">
        <v>16</v>
      </c>
      <c r="G9" s="25" t="s">
        <v>17</v>
      </c>
      <c r="H9" s="25" t="s">
        <v>8</v>
      </c>
      <c r="I9" s="25" t="s">
        <v>18</v>
      </c>
      <c r="J9" s="27" t="s">
        <v>11</v>
      </c>
      <c r="K9" s="27" t="s">
        <v>19</v>
      </c>
      <c r="L9" s="28" t="s">
        <v>20</v>
      </c>
      <c r="M9" s="28" t="s">
        <v>21</v>
      </c>
      <c r="N9" s="28" t="s">
        <v>22</v>
      </c>
      <c r="O9" s="32"/>
      <c r="AF9" s="12"/>
      <c r="AG9" s="12"/>
      <c r="AH9" s="12"/>
    </row>
    <row r="10" spans="1:73" ht="24.2" customHeight="1" x14ac:dyDescent="0.2">
      <c r="B10" s="164">
        <v>1</v>
      </c>
      <c r="C10" s="157" t="s">
        <v>28</v>
      </c>
      <c r="D10" s="19" t="e">
        <f>VLOOKUP($B10,#REF!,3,0)</f>
        <v>#REF!</v>
      </c>
      <c r="E10" s="19" t="e">
        <f>VLOOKUP($B10,#REF!,4,0)</f>
        <v>#REF!</v>
      </c>
      <c r="F10" s="19" t="e">
        <f>VLOOKUP($B10,#REF!,5,0)</f>
        <v>#REF!</v>
      </c>
      <c r="G10" s="19" t="e">
        <f>VLOOKUP($B10,#REF!,6,0)</f>
        <v>#REF!</v>
      </c>
      <c r="H10" s="19" t="e">
        <f>VLOOKUP($B10,#REF!,7,0)</f>
        <v>#REF!</v>
      </c>
      <c r="I10" s="19" t="e">
        <f>VLOOKUP($B10,#REF!,8,0)</f>
        <v>#REF!</v>
      </c>
      <c r="J10" s="173">
        <v>955</v>
      </c>
      <c r="K10" s="22" t="s">
        <v>12</v>
      </c>
      <c r="L10" s="44" t="s">
        <v>66</v>
      </c>
      <c r="M10" s="35">
        <v>93</v>
      </c>
      <c r="N10" s="44">
        <v>97</v>
      </c>
      <c r="O10" s="40"/>
      <c r="P10" s="13"/>
      <c r="Q10" s="13"/>
      <c r="R10" s="13"/>
      <c r="S10" s="13"/>
      <c r="T10" s="13"/>
      <c r="AF10" s="12"/>
      <c r="AG10" s="12"/>
      <c r="AH10" s="14"/>
      <c r="AI10" s="15"/>
      <c r="AJ10" s="15"/>
      <c r="AK10" s="15"/>
      <c r="AL10" s="15"/>
      <c r="AM10" s="15"/>
      <c r="AN10" s="15"/>
      <c r="AO10" s="15"/>
      <c r="AP10" s="15"/>
      <c r="AQ10" s="15"/>
      <c r="AR10" s="15"/>
      <c r="AS10" s="15"/>
      <c r="AT10" s="15"/>
      <c r="AU10" s="15"/>
      <c r="AV10" s="15"/>
      <c r="AW10" s="15"/>
      <c r="AX10" s="15"/>
      <c r="AY10" s="15"/>
      <c r="AZ10" s="15"/>
      <c r="BA10" s="15"/>
      <c r="BB10" s="15"/>
      <c r="BC10" s="15"/>
      <c r="BD10" s="15"/>
      <c r="BE10" s="15"/>
      <c r="BF10" s="15"/>
      <c r="BG10" s="15"/>
      <c r="BH10" s="15"/>
      <c r="BI10" s="15"/>
      <c r="BJ10" s="15"/>
      <c r="BK10" s="15"/>
      <c r="BL10" s="15"/>
      <c r="BM10" s="15"/>
      <c r="BN10" s="15"/>
      <c r="BO10" s="15"/>
      <c r="BP10" s="15"/>
      <c r="BQ10" s="15"/>
      <c r="BR10" s="15"/>
      <c r="BS10" s="15"/>
      <c r="BT10" s="15"/>
      <c r="BU10" s="15"/>
    </row>
    <row r="11" spans="1:73" ht="24.2" customHeight="1" thickBot="1" x14ac:dyDescent="0.25">
      <c r="B11" s="156"/>
      <c r="C11" s="163"/>
      <c r="D11" s="20" t="e">
        <f>VLOOKUP($B11,#REF!,3,0)</f>
        <v>#REF!</v>
      </c>
      <c r="E11" s="20" t="e">
        <f>VLOOKUP($B11,#REF!,4,0)</f>
        <v>#REF!</v>
      </c>
      <c r="F11" s="20" t="e">
        <f>VLOOKUP($B11,#REF!,5,0)</f>
        <v>#REF!</v>
      </c>
      <c r="G11" s="20" t="e">
        <f>VLOOKUP($B11,#REF!,6,0)</f>
        <v>#REF!</v>
      </c>
      <c r="H11" s="20" t="e">
        <f>VLOOKUP($B11,#REF!,7,0)</f>
        <v>#REF!</v>
      </c>
      <c r="I11" s="20" t="e">
        <f>VLOOKUP($B11,#REF!,8,0)</f>
        <v>#REF!</v>
      </c>
      <c r="J11" s="160"/>
      <c r="K11" s="34" t="s">
        <v>13</v>
      </c>
      <c r="L11" s="36">
        <v>106</v>
      </c>
      <c r="M11" s="36">
        <v>100</v>
      </c>
      <c r="N11" s="36">
        <v>94</v>
      </c>
      <c r="O11" s="41"/>
      <c r="P11" s="13"/>
      <c r="Q11" s="13"/>
      <c r="R11" s="13"/>
      <c r="S11" s="13"/>
      <c r="T11" s="13"/>
      <c r="AF11" s="12"/>
      <c r="AG11" s="12"/>
      <c r="AH11" s="14"/>
      <c r="AI11" s="15"/>
      <c r="AJ11" s="15"/>
      <c r="AK11" s="15"/>
      <c r="AL11" s="15"/>
      <c r="AM11" s="15"/>
      <c r="AN11" s="15"/>
      <c r="AO11" s="15"/>
      <c r="AP11" s="15"/>
      <c r="AQ11" s="15"/>
      <c r="AR11" s="15"/>
      <c r="AS11" s="15"/>
      <c r="AT11" s="15"/>
      <c r="AU11" s="15"/>
      <c r="AV11" s="15"/>
      <c r="AW11" s="15"/>
      <c r="AX11" s="15"/>
      <c r="AY11" s="15"/>
      <c r="AZ11" s="15"/>
      <c r="BA11" s="15"/>
      <c r="BB11" s="15"/>
      <c r="BC11" s="15"/>
      <c r="BD11" s="15"/>
      <c r="BE11" s="15"/>
      <c r="BF11" s="15"/>
      <c r="BG11" s="15"/>
      <c r="BH11" s="15"/>
      <c r="BI11" s="15"/>
      <c r="BJ11" s="15"/>
      <c r="BK11" s="15"/>
      <c r="BL11" s="15"/>
      <c r="BM11" s="15"/>
      <c r="BN11" s="15"/>
      <c r="BO11" s="15"/>
      <c r="BP11" s="15"/>
      <c r="BQ11" s="15"/>
      <c r="BR11" s="15"/>
      <c r="BS11" s="15"/>
      <c r="BT11" s="15"/>
      <c r="BU11" s="15"/>
    </row>
    <row r="12" spans="1:73" ht="24.2" customHeight="1" x14ac:dyDescent="0.2">
      <c r="B12" s="164">
        <v>2</v>
      </c>
      <c r="C12" s="157" t="s">
        <v>29</v>
      </c>
      <c r="D12" s="21" t="e">
        <f>VLOOKUP($B12,#REF!,3,0)</f>
        <v>#REF!</v>
      </c>
      <c r="E12" s="21" t="e">
        <f>VLOOKUP($B12,#REF!,4,0)</f>
        <v>#REF!</v>
      </c>
      <c r="F12" s="21" t="e">
        <f>VLOOKUP($B12,#REF!,5,0)</f>
        <v>#REF!</v>
      </c>
      <c r="G12" s="21" t="e">
        <f>VLOOKUP($B12,#REF!,6,0)</f>
        <v>#REF!</v>
      </c>
      <c r="H12" s="21" t="e">
        <f>VLOOKUP($B12,#REF!,7,0)</f>
        <v>#REF!</v>
      </c>
      <c r="I12" s="21" t="e">
        <f>VLOOKUP($B12,#REF!,8,0)</f>
        <v>#REF!</v>
      </c>
      <c r="J12" s="159"/>
      <c r="K12" s="33" t="s">
        <v>12</v>
      </c>
      <c r="L12" s="35">
        <v>96</v>
      </c>
      <c r="M12" s="44" t="s">
        <v>66</v>
      </c>
      <c r="N12" s="44" t="s">
        <v>66</v>
      </c>
      <c r="O12" s="42"/>
      <c r="P12" s="13"/>
      <c r="Q12" s="16"/>
      <c r="R12" s="13"/>
      <c r="S12" s="17"/>
      <c r="T12" s="13"/>
      <c r="AF12" s="12"/>
      <c r="AG12" s="12"/>
      <c r="AH12" s="12"/>
      <c r="AI12" s="18"/>
      <c r="AJ12" s="18"/>
      <c r="AK12" s="18"/>
      <c r="AL12" s="18"/>
      <c r="AM12" s="18"/>
      <c r="AN12" s="18"/>
      <c r="AO12" s="18"/>
      <c r="AP12" s="18"/>
      <c r="AQ12" s="18"/>
      <c r="AR12" s="18"/>
      <c r="AS12" s="18"/>
      <c r="AT12" s="18"/>
      <c r="AU12" s="18"/>
      <c r="AV12" s="18"/>
      <c r="AW12" s="18"/>
      <c r="AX12" s="18"/>
      <c r="AY12" s="18"/>
      <c r="AZ12" s="18"/>
      <c r="BA12" s="18"/>
      <c r="BB12" s="18"/>
      <c r="BC12" s="18"/>
      <c r="BD12" s="18"/>
      <c r="BE12" s="18"/>
      <c r="BF12" s="18"/>
      <c r="BG12" s="18"/>
      <c r="BH12" s="18"/>
      <c r="BI12" s="18"/>
      <c r="BJ12" s="18"/>
      <c r="BK12" s="18"/>
      <c r="BL12" s="18"/>
      <c r="BM12" s="18"/>
      <c r="BN12" s="18"/>
      <c r="BO12" s="18"/>
      <c r="BP12" s="18"/>
      <c r="BQ12" s="18"/>
      <c r="BR12" s="18"/>
      <c r="BS12" s="18"/>
      <c r="BT12" s="18"/>
      <c r="BU12" s="18"/>
    </row>
    <row r="13" spans="1:73" ht="24.2" customHeight="1" thickBot="1" x14ac:dyDescent="0.25">
      <c r="B13" s="156"/>
      <c r="C13" s="158"/>
      <c r="D13" s="20" t="e">
        <f>VLOOKUP($B13,#REF!,3,0)</f>
        <v>#REF!</v>
      </c>
      <c r="E13" s="20" t="e">
        <f>VLOOKUP($B13,#REF!,4,0)</f>
        <v>#REF!</v>
      </c>
      <c r="F13" s="20" t="e">
        <f>VLOOKUP($B13,#REF!,5,0)</f>
        <v>#REF!</v>
      </c>
      <c r="G13" s="20" t="e">
        <f>VLOOKUP($B13,#REF!,6,0)</f>
        <v>#REF!</v>
      </c>
      <c r="H13" s="20" t="e">
        <f>VLOOKUP($B13,#REF!,7,0)</f>
        <v>#REF!</v>
      </c>
      <c r="I13" s="20" t="e">
        <f>VLOOKUP($B13,#REF!,8,0)</f>
        <v>#REF!</v>
      </c>
      <c r="J13" s="160"/>
      <c r="K13" s="34" t="s">
        <v>13</v>
      </c>
      <c r="L13" s="37">
        <v>107</v>
      </c>
      <c r="M13" s="36">
        <v>111</v>
      </c>
      <c r="N13" s="36">
        <v>109</v>
      </c>
      <c r="O13" s="43"/>
      <c r="P13" s="13"/>
      <c r="Q13" s="13"/>
      <c r="R13" s="13"/>
      <c r="S13" s="13"/>
      <c r="T13" s="13"/>
      <c r="AF13" s="12"/>
      <c r="AG13" s="12"/>
      <c r="AH13" s="14"/>
      <c r="AI13" s="15"/>
      <c r="AJ13" s="15"/>
      <c r="AK13" s="15"/>
      <c r="AL13" s="15"/>
      <c r="AM13" s="15"/>
      <c r="AN13" s="15"/>
      <c r="AO13" s="15"/>
      <c r="AP13" s="15"/>
      <c r="AQ13" s="15"/>
      <c r="AR13" s="15"/>
      <c r="AS13" s="15"/>
      <c r="AT13" s="15"/>
      <c r="AU13" s="15"/>
      <c r="AV13" s="15"/>
      <c r="AW13" s="15"/>
      <c r="AX13" s="15"/>
      <c r="AY13" s="15"/>
      <c r="AZ13" s="15"/>
      <c r="BA13" s="15"/>
      <c r="BB13" s="15"/>
      <c r="BC13" s="15"/>
      <c r="BD13" s="15"/>
      <c r="BE13" s="15"/>
      <c r="BF13" s="15"/>
      <c r="BG13" s="15"/>
      <c r="BH13" s="15"/>
      <c r="BI13" s="15"/>
      <c r="BJ13" s="15"/>
      <c r="BK13" s="15"/>
      <c r="BL13" s="15"/>
      <c r="BM13" s="15"/>
      <c r="BN13" s="15"/>
      <c r="BO13" s="15"/>
      <c r="BP13" s="15"/>
      <c r="BQ13" s="15"/>
      <c r="BR13" s="15"/>
      <c r="BS13" s="15"/>
      <c r="BT13" s="15"/>
      <c r="BU13" s="15"/>
    </row>
    <row r="14" spans="1:73" ht="24.2" customHeight="1" x14ac:dyDescent="0.2">
      <c r="B14" s="164">
        <v>3</v>
      </c>
      <c r="C14" s="157" t="s">
        <v>28</v>
      </c>
      <c r="D14" s="19" t="e">
        <f>VLOOKUP($B14,#REF!,3,0)</f>
        <v>#REF!</v>
      </c>
      <c r="E14" s="19" t="e">
        <f>VLOOKUP($B14,#REF!,4,0)</f>
        <v>#REF!</v>
      </c>
      <c r="F14" s="19" t="e">
        <f>VLOOKUP($B14,#REF!,5,0)</f>
        <v>#REF!</v>
      </c>
      <c r="G14" s="19" t="e">
        <f>VLOOKUP($B14,#REF!,6,0)</f>
        <v>#REF!</v>
      </c>
      <c r="H14" s="19" t="e">
        <f>VLOOKUP($B14,#REF!,7,0)</f>
        <v>#REF!</v>
      </c>
      <c r="I14" s="19" t="e">
        <f>VLOOKUP($B14,#REF!,8,0)</f>
        <v>#REF!</v>
      </c>
      <c r="J14" s="159"/>
      <c r="K14" s="22" t="s">
        <v>12</v>
      </c>
      <c r="L14" s="35">
        <v>98</v>
      </c>
      <c r="M14" s="35">
        <v>92</v>
      </c>
      <c r="N14" s="35">
        <v>93</v>
      </c>
      <c r="O14" s="161"/>
      <c r="P14" s="13"/>
      <c r="Q14" s="13"/>
      <c r="R14" s="13"/>
      <c r="S14" s="13"/>
      <c r="T14" s="13"/>
      <c r="AF14" s="12"/>
      <c r="AG14" s="12"/>
      <c r="AH14" s="12"/>
    </row>
    <row r="15" spans="1:73" ht="24.2" customHeight="1" thickBot="1" x14ac:dyDescent="0.25">
      <c r="B15" s="156"/>
      <c r="C15" s="163"/>
      <c r="D15" s="20" t="e">
        <f>VLOOKUP($B15,#REF!,3,0)</f>
        <v>#REF!</v>
      </c>
      <c r="E15" s="20" t="e">
        <f>VLOOKUP($B15,#REF!,4,0)</f>
        <v>#REF!</v>
      </c>
      <c r="F15" s="20" t="e">
        <f>VLOOKUP($B15,#REF!,5,0)</f>
        <v>#REF!</v>
      </c>
      <c r="G15" s="20" t="e">
        <f>VLOOKUP($B15,#REF!,6,0)</f>
        <v>#REF!</v>
      </c>
      <c r="H15" s="20" t="e">
        <f>VLOOKUP($B15,#REF!,7,0)</f>
        <v>#REF!</v>
      </c>
      <c r="I15" s="20" t="e">
        <f>VLOOKUP($B15,#REF!,8,0)</f>
        <v>#REF!</v>
      </c>
      <c r="J15" s="160"/>
      <c r="K15" s="34" t="s">
        <v>13</v>
      </c>
      <c r="L15" s="36">
        <v>109</v>
      </c>
      <c r="M15" s="36">
        <v>106</v>
      </c>
      <c r="N15" s="36">
        <v>98</v>
      </c>
      <c r="O15" s="162"/>
      <c r="P15" s="13"/>
      <c r="Q15" s="13"/>
      <c r="R15" s="13"/>
      <c r="S15" s="13"/>
      <c r="T15" s="13"/>
      <c r="AF15" s="12"/>
      <c r="AG15" s="12"/>
      <c r="AH15" s="14"/>
      <c r="AI15" s="15"/>
      <c r="AJ15" s="15"/>
      <c r="AK15" s="15"/>
      <c r="AL15" s="15"/>
      <c r="AM15" s="15"/>
      <c r="AN15" s="15"/>
      <c r="AO15" s="15"/>
      <c r="AP15" s="15"/>
      <c r="AQ15" s="15"/>
      <c r="AR15" s="15"/>
      <c r="AS15" s="15"/>
      <c r="AT15" s="15"/>
      <c r="AU15" s="15"/>
      <c r="AV15" s="15"/>
      <c r="AW15" s="15"/>
      <c r="AX15" s="15"/>
      <c r="AY15" s="15"/>
      <c r="AZ15" s="15"/>
      <c r="BA15" s="15"/>
      <c r="BB15" s="15"/>
      <c r="BC15" s="15"/>
      <c r="BD15" s="15"/>
      <c r="BE15" s="15"/>
      <c r="BF15" s="15"/>
      <c r="BG15" s="15"/>
      <c r="BH15" s="15"/>
      <c r="BI15" s="15"/>
      <c r="BJ15" s="15"/>
      <c r="BK15" s="15"/>
      <c r="BL15" s="15"/>
      <c r="BM15" s="15"/>
      <c r="BN15" s="15"/>
      <c r="BO15" s="15"/>
      <c r="BP15" s="15"/>
      <c r="BQ15" s="15"/>
      <c r="BR15" s="15"/>
      <c r="BS15" s="15"/>
      <c r="BT15" s="15"/>
      <c r="BU15" s="15"/>
    </row>
    <row r="16" spans="1:73" ht="24.2" customHeight="1" x14ac:dyDescent="0.2">
      <c r="B16" s="164">
        <v>4</v>
      </c>
      <c r="C16" s="157" t="s">
        <v>29</v>
      </c>
      <c r="D16" s="19" t="e">
        <f>VLOOKUP($B16,#REF!,3,0)</f>
        <v>#REF!</v>
      </c>
      <c r="E16" s="19" t="e">
        <f>VLOOKUP($B16,#REF!,4,0)</f>
        <v>#REF!</v>
      </c>
      <c r="F16" s="19" t="e">
        <f>VLOOKUP($B16,#REF!,5,0)</f>
        <v>#REF!</v>
      </c>
      <c r="G16" s="19" t="e">
        <f>VLOOKUP($B16,#REF!,6,0)</f>
        <v>#REF!</v>
      </c>
      <c r="H16" s="19" t="e">
        <f>VLOOKUP($B16,#REF!,7,0)</f>
        <v>#REF!</v>
      </c>
      <c r="I16" s="19" t="e">
        <f>VLOOKUP($B16,#REF!,8,0)</f>
        <v>#REF!</v>
      </c>
      <c r="J16" s="159"/>
      <c r="K16" s="22" t="s">
        <v>12</v>
      </c>
      <c r="L16" s="44" t="s">
        <v>66</v>
      </c>
      <c r="M16" s="44" t="s">
        <v>66</v>
      </c>
      <c r="N16" s="44" t="s">
        <v>66</v>
      </c>
      <c r="O16" s="161"/>
      <c r="P16" s="13"/>
      <c r="Q16" s="13"/>
      <c r="R16" s="13"/>
      <c r="S16" s="13"/>
      <c r="T16" s="13"/>
    </row>
    <row r="17" spans="2:73" ht="24.2" customHeight="1" thickBot="1" x14ac:dyDescent="0.25">
      <c r="B17" s="156"/>
      <c r="C17" s="158"/>
      <c r="D17" s="20" t="e">
        <f>VLOOKUP($B17,#REF!,3,0)</f>
        <v>#REF!</v>
      </c>
      <c r="E17" s="20" t="e">
        <f>VLOOKUP($B17,#REF!,4,0)</f>
        <v>#REF!</v>
      </c>
      <c r="F17" s="20" t="e">
        <f>VLOOKUP($B17,#REF!,5,0)</f>
        <v>#REF!</v>
      </c>
      <c r="G17" s="20" t="e">
        <f>VLOOKUP($B17,#REF!,6,0)</f>
        <v>#REF!</v>
      </c>
      <c r="H17" s="20" t="e">
        <f>VLOOKUP($B17,#REF!,7,0)</f>
        <v>#REF!</v>
      </c>
      <c r="I17" s="20" t="e">
        <f>VLOOKUP($B17,#REF!,8,0)</f>
        <v>#REF!</v>
      </c>
      <c r="J17" s="160"/>
      <c r="K17" s="34" t="s">
        <v>13</v>
      </c>
      <c r="L17" s="36">
        <v>119</v>
      </c>
      <c r="M17" s="36">
        <v>129</v>
      </c>
      <c r="N17" s="36">
        <v>118</v>
      </c>
      <c r="O17" s="162"/>
      <c r="P17" s="13"/>
      <c r="Q17" s="13"/>
      <c r="R17" s="13"/>
      <c r="S17" s="13"/>
      <c r="T17" s="13"/>
      <c r="AF17" s="12"/>
      <c r="AG17" s="12"/>
      <c r="AH17" s="14"/>
      <c r="AI17" s="15"/>
      <c r="AJ17" s="15"/>
      <c r="AK17" s="15"/>
      <c r="AL17" s="15"/>
      <c r="AM17" s="15"/>
      <c r="AN17" s="15"/>
      <c r="AO17" s="15"/>
      <c r="AP17" s="15"/>
      <c r="AQ17" s="15"/>
      <c r="AR17" s="15"/>
      <c r="AS17" s="15"/>
      <c r="AT17" s="15"/>
      <c r="AU17" s="15"/>
      <c r="AV17" s="15"/>
      <c r="AW17" s="15"/>
      <c r="AX17" s="15"/>
      <c r="AY17" s="15"/>
      <c r="AZ17" s="15"/>
      <c r="BA17" s="15"/>
      <c r="BB17" s="15"/>
      <c r="BC17" s="15"/>
      <c r="BD17" s="15"/>
      <c r="BE17" s="15"/>
      <c r="BF17" s="15"/>
      <c r="BG17" s="15"/>
      <c r="BH17" s="15"/>
      <c r="BI17" s="15"/>
      <c r="BJ17" s="15"/>
      <c r="BK17" s="15"/>
      <c r="BL17" s="15"/>
      <c r="BM17" s="15"/>
      <c r="BN17" s="15"/>
      <c r="BO17" s="15"/>
      <c r="BP17" s="15"/>
      <c r="BQ17" s="15"/>
      <c r="BR17" s="15"/>
      <c r="BS17" s="15"/>
      <c r="BT17" s="15"/>
      <c r="BU17" s="15"/>
    </row>
    <row r="18" spans="2:73" ht="24.2" customHeight="1" x14ac:dyDescent="0.2">
      <c r="B18" s="164">
        <v>5</v>
      </c>
      <c r="C18" s="157" t="s">
        <v>28</v>
      </c>
      <c r="D18" s="19" t="e">
        <f>VLOOKUP($B18,#REF!,3,0)</f>
        <v>#REF!</v>
      </c>
      <c r="E18" s="19" t="e">
        <f>VLOOKUP($B18,#REF!,4,0)</f>
        <v>#REF!</v>
      </c>
      <c r="F18" s="19" t="e">
        <f>VLOOKUP($B18,#REF!,5,0)</f>
        <v>#REF!</v>
      </c>
      <c r="G18" s="19" t="e">
        <f>VLOOKUP($B18,#REF!,6,0)</f>
        <v>#REF!</v>
      </c>
      <c r="H18" s="19" t="e">
        <f>VLOOKUP($B18,#REF!,7,0)</f>
        <v>#REF!</v>
      </c>
      <c r="I18" s="19" t="e">
        <f>VLOOKUP($B18,#REF!,8,0)</f>
        <v>#REF!</v>
      </c>
      <c r="J18" s="159"/>
      <c r="K18" s="22" t="s">
        <v>12</v>
      </c>
      <c r="L18" s="44" t="s">
        <v>66</v>
      </c>
      <c r="M18" s="44" t="s">
        <v>66</v>
      </c>
      <c r="N18" s="44" t="s">
        <v>66</v>
      </c>
      <c r="O18" s="161"/>
      <c r="P18" s="13"/>
      <c r="Q18" s="13"/>
      <c r="R18" s="13"/>
      <c r="S18" s="13"/>
      <c r="T18" s="13"/>
      <c r="AF18" s="12"/>
      <c r="AG18" s="12"/>
      <c r="AH18" s="12"/>
    </row>
    <row r="19" spans="2:73" ht="24.2" customHeight="1" thickBot="1" x14ac:dyDescent="0.25">
      <c r="B19" s="156"/>
      <c r="C19" s="163"/>
      <c r="D19" s="20" t="e">
        <f>VLOOKUP($B19,#REF!,3,0)</f>
        <v>#REF!</v>
      </c>
      <c r="E19" s="20" t="e">
        <f>VLOOKUP($B19,#REF!,4,0)</f>
        <v>#REF!</v>
      </c>
      <c r="F19" s="20" t="e">
        <f>VLOOKUP($B19,#REF!,5,0)</f>
        <v>#REF!</v>
      </c>
      <c r="G19" s="20" t="e">
        <f>VLOOKUP($B19,#REF!,6,0)</f>
        <v>#REF!</v>
      </c>
      <c r="H19" s="20" t="e">
        <f>VLOOKUP($B19,#REF!,7,0)</f>
        <v>#REF!</v>
      </c>
      <c r="I19" s="20" t="e">
        <f>VLOOKUP($B19,#REF!,8,0)</f>
        <v>#REF!</v>
      </c>
      <c r="J19" s="160"/>
      <c r="K19" s="34" t="s">
        <v>13</v>
      </c>
      <c r="L19" s="36">
        <v>111</v>
      </c>
      <c r="M19" s="36">
        <v>113</v>
      </c>
      <c r="N19" s="36">
        <v>110</v>
      </c>
      <c r="O19" s="162"/>
      <c r="P19" s="13"/>
      <c r="Q19" s="13"/>
      <c r="R19" s="13"/>
      <c r="S19" s="13"/>
      <c r="T19" s="13"/>
      <c r="AF19" s="12"/>
      <c r="AG19" s="12"/>
      <c r="AH19" s="14"/>
      <c r="AI19" s="15"/>
      <c r="AJ19" s="15"/>
      <c r="AK19" s="15"/>
      <c r="AL19" s="15"/>
      <c r="AM19" s="15"/>
      <c r="AN19" s="15"/>
      <c r="AO19" s="15"/>
      <c r="AP19" s="15"/>
      <c r="AQ19" s="15"/>
      <c r="AR19" s="15"/>
      <c r="AS19" s="15"/>
      <c r="AT19" s="15"/>
      <c r="AU19" s="15"/>
      <c r="AV19" s="15"/>
      <c r="AW19" s="15"/>
      <c r="AX19" s="15"/>
      <c r="AY19" s="15"/>
      <c r="AZ19" s="15"/>
      <c r="BA19" s="15"/>
      <c r="BB19" s="15"/>
      <c r="BC19" s="15"/>
      <c r="BD19" s="15"/>
      <c r="BE19" s="15"/>
      <c r="BF19" s="15"/>
      <c r="BG19" s="15"/>
      <c r="BH19" s="15"/>
      <c r="BI19" s="15"/>
      <c r="BJ19" s="15"/>
      <c r="BK19" s="15"/>
      <c r="BL19" s="15"/>
      <c r="BM19" s="15"/>
      <c r="BN19" s="15"/>
      <c r="BO19" s="15"/>
      <c r="BP19" s="15"/>
      <c r="BQ19" s="15"/>
      <c r="BR19" s="15"/>
      <c r="BS19" s="15"/>
      <c r="BT19" s="15"/>
      <c r="BU19" s="15"/>
    </row>
    <row r="20" spans="2:73" ht="24.2" customHeight="1" x14ac:dyDescent="0.2">
      <c r="B20" s="164">
        <v>6</v>
      </c>
      <c r="C20" s="157" t="s">
        <v>29</v>
      </c>
      <c r="D20" s="19" t="e">
        <f>VLOOKUP($B20,#REF!,3,0)</f>
        <v>#REF!</v>
      </c>
      <c r="E20" s="19" t="e">
        <f>VLOOKUP($B20,#REF!,4,0)</f>
        <v>#REF!</v>
      </c>
      <c r="F20" s="19" t="e">
        <f>VLOOKUP($B20,#REF!,5,0)</f>
        <v>#REF!</v>
      </c>
      <c r="G20" s="19" t="e">
        <f>VLOOKUP($B20,#REF!,6,0)</f>
        <v>#REF!</v>
      </c>
      <c r="H20" s="19" t="e">
        <f>VLOOKUP($B20,#REF!,7,0)</f>
        <v>#REF!</v>
      </c>
      <c r="I20" s="19" t="e">
        <f>VLOOKUP($B20,#REF!,8,0)</f>
        <v>#REF!</v>
      </c>
      <c r="J20" s="159"/>
      <c r="K20" s="22" t="s">
        <v>12</v>
      </c>
      <c r="L20" s="35">
        <v>100</v>
      </c>
      <c r="M20" s="44" t="s">
        <v>66</v>
      </c>
      <c r="N20" s="35">
        <v>98</v>
      </c>
      <c r="O20" s="161"/>
      <c r="P20" s="13"/>
      <c r="Q20" s="13"/>
      <c r="R20" s="13"/>
      <c r="S20" s="13"/>
      <c r="T20" s="13"/>
      <c r="AF20" s="12"/>
      <c r="AG20" s="12"/>
      <c r="AH20" s="12"/>
    </row>
    <row r="21" spans="2:73" ht="24.2" customHeight="1" thickBot="1" x14ac:dyDescent="0.25">
      <c r="B21" s="156"/>
      <c r="C21" s="158"/>
      <c r="D21" s="20" t="e">
        <f>VLOOKUP($B21,#REF!,3,0)</f>
        <v>#REF!</v>
      </c>
      <c r="E21" s="20" t="e">
        <f>VLOOKUP($B21,#REF!,4,0)</f>
        <v>#REF!</v>
      </c>
      <c r="F21" s="20" t="e">
        <f>VLOOKUP($B21,#REF!,5,0)</f>
        <v>#REF!</v>
      </c>
      <c r="G21" s="20" t="e">
        <f>VLOOKUP($B21,#REF!,6,0)</f>
        <v>#REF!</v>
      </c>
      <c r="H21" s="20" t="e">
        <f>VLOOKUP($B21,#REF!,7,0)</f>
        <v>#REF!</v>
      </c>
      <c r="I21" s="20" t="e">
        <f>VLOOKUP($B21,#REF!,8,0)</f>
        <v>#REF!</v>
      </c>
      <c r="J21" s="160"/>
      <c r="K21" s="34" t="s">
        <v>13</v>
      </c>
      <c r="L21" s="36">
        <v>108</v>
      </c>
      <c r="M21" s="36">
        <v>115</v>
      </c>
      <c r="N21" s="36">
        <v>114</v>
      </c>
      <c r="O21" s="162"/>
      <c r="P21" s="13"/>
      <c r="Q21" s="13"/>
      <c r="R21" s="13"/>
      <c r="S21" s="13"/>
      <c r="T21" s="13"/>
      <c r="AF21" s="12"/>
      <c r="AG21" s="12"/>
      <c r="AH21" s="14"/>
      <c r="AI21" s="15"/>
      <c r="AJ21" s="15"/>
      <c r="AK21" s="15"/>
      <c r="AL21" s="15"/>
      <c r="AM21" s="15"/>
      <c r="AN21" s="15"/>
      <c r="AO21" s="15"/>
      <c r="AP21" s="15"/>
      <c r="AQ21" s="15"/>
      <c r="AR21" s="15"/>
      <c r="AS21" s="15"/>
      <c r="AT21" s="15"/>
      <c r="AU21" s="15"/>
      <c r="AV21" s="15"/>
      <c r="AW21" s="15"/>
      <c r="AX21" s="15"/>
      <c r="AY21" s="15"/>
      <c r="AZ21" s="15"/>
      <c r="BA21" s="15"/>
      <c r="BB21" s="15"/>
      <c r="BC21" s="15"/>
      <c r="BD21" s="15"/>
      <c r="BE21" s="15"/>
      <c r="BF21" s="15"/>
      <c r="BG21" s="15"/>
      <c r="BH21" s="15"/>
      <c r="BI21" s="15"/>
      <c r="BJ21" s="15"/>
      <c r="BK21" s="15"/>
      <c r="BL21" s="15"/>
      <c r="BM21" s="15"/>
      <c r="BN21" s="15"/>
      <c r="BO21" s="15"/>
      <c r="BP21" s="15"/>
      <c r="BQ21" s="15"/>
      <c r="BR21" s="15"/>
      <c r="BS21" s="15"/>
      <c r="BT21" s="15"/>
      <c r="BU21" s="15"/>
    </row>
    <row r="22" spans="2:73" ht="24.2" customHeight="1" x14ac:dyDescent="0.2">
      <c r="B22" s="164">
        <v>7</v>
      </c>
      <c r="C22" s="157" t="s">
        <v>28</v>
      </c>
      <c r="D22" s="19" t="e">
        <f>VLOOKUP($B22,#REF!,3,0)</f>
        <v>#REF!</v>
      </c>
      <c r="E22" s="19" t="e">
        <f>VLOOKUP($B22,#REF!,4,0)</f>
        <v>#REF!</v>
      </c>
      <c r="F22" s="19" t="e">
        <f>VLOOKUP($B22,#REF!,5,0)</f>
        <v>#REF!</v>
      </c>
      <c r="G22" s="19" t="e">
        <f>VLOOKUP($B22,#REF!,6,0)</f>
        <v>#REF!</v>
      </c>
      <c r="H22" s="19" t="e">
        <f>VLOOKUP($B22,#REF!,7,0)</f>
        <v>#REF!</v>
      </c>
      <c r="I22" s="19" t="e">
        <f>VLOOKUP($B22,#REF!,8,0)</f>
        <v>#REF!</v>
      </c>
      <c r="J22" s="159"/>
      <c r="K22" s="22" t="s">
        <v>12</v>
      </c>
      <c r="L22" s="44" t="s">
        <v>66</v>
      </c>
      <c r="M22" s="44" t="s">
        <v>66</v>
      </c>
      <c r="N22" s="44" t="s">
        <v>66</v>
      </c>
      <c r="O22" s="161"/>
      <c r="P22" s="13"/>
      <c r="Q22" s="13"/>
      <c r="R22" s="13"/>
      <c r="S22" s="13"/>
      <c r="T22" s="13"/>
      <c r="AF22" s="12"/>
      <c r="AG22" s="12"/>
      <c r="AH22" s="12"/>
    </row>
    <row r="23" spans="2:73" ht="24.2" customHeight="1" thickBot="1" x14ac:dyDescent="0.25">
      <c r="B23" s="156"/>
      <c r="C23" s="163"/>
      <c r="D23" s="20" t="e">
        <f>VLOOKUP($B23,#REF!,3,0)</f>
        <v>#REF!</v>
      </c>
      <c r="E23" s="20" t="e">
        <f>VLOOKUP($B23,#REF!,4,0)</f>
        <v>#REF!</v>
      </c>
      <c r="F23" s="20" t="e">
        <f>VLOOKUP($B23,#REF!,5,0)</f>
        <v>#REF!</v>
      </c>
      <c r="G23" s="20" t="e">
        <f>VLOOKUP($B23,#REF!,6,0)</f>
        <v>#REF!</v>
      </c>
      <c r="H23" s="20" t="e">
        <f>VLOOKUP($B23,#REF!,7,0)</f>
        <v>#REF!</v>
      </c>
      <c r="I23" s="20" t="e">
        <f>VLOOKUP($B23,#REF!,8,0)</f>
        <v>#REF!</v>
      </c>
      <c r="J23" s="160"/>
      <c r="K23" s="34" t="s">
        <v>13</v>
      </c>
      <c r="L23" s="36">
        <v>121</v>
      </c>
      <c r="M23" s="36">
        <v>124</v>
      </c>
      <c r="N23" s="36">
        <v>115</v>
      </c>
      <c r="O23" s="162"/>
      <c r="P23" s="13"/>
      <c r="Q23" s="13"/>
      <c r="R23" s="13"/>
      <c r="S23" s="13"/>
      <c r="T23" s="13"/>
      <c r="AF23" s="12"/>
      <c r="AG23" s="12"/>
      <c r="AH23" s="14"/>
      <c r="AI23" s="15"/>
      <c r="AJ23" s="15"/>
      <c r="AK23" s="15"/>
      <c r="AL23" s="15"/>
      <c r="AM23" s="15"/>
      <c r="AN23" s="15"/>
      <c r="AO23" s="15"/>
      <c r="AP23" s="15"/>
      <c r="AQ23" s="15"/>
      <c r="AR23" s="15"/>
      <c r="AS23" s="15"/>
      <c r="AT23" s="15"/>
      <c r="AU23" s="15"/>
      <c r="AV23" s="15"/>
      <c r="AW23" s="15"/>
      <c r="AX23" s="15"/>
      <c r="AY23" s="15"/>
      <c r="AZ23" s="15"/>
      <c r="BA23" s="15"/>
      <c r="BB23" s="15"/>
      <c r="BC23" s="15"/>
      <c r="BD23" s="15"/>
      <c r="BE23" s="15"/>
      <c r="BF23" s="15"/>
      <c r="BG23" s="15"/>
      <c r="BH23" s="15"/>
      <c r="BI23" s="15"/>
      <c r="BJ23" s="15"/>
      <c r="BK23" s="15"/>
      <c r="BL23" s="15"/>
      <c r="BM23" s="15"/>
      <c r="BN23" s="15"/>
      <c r="BO23" s="15"/>
      <c r="BP23" s="15"/>
      <c r="BQ23" s="15"/>
      <c r="BR23" s="15"/>
      <c r="BS23" s="15"/>
      <c r="BT23" s="15"/>
      <c r="BU23" s="15"/>
    </row>
    <row r="24" spans="2:73" ht="24.2" customHeight="1" x14ac:dyDescent="0.2">
      <c r="B24" s="164">
        <v>8</v>
      </c>
      <c r="C24" s="157" t="s">
        <v>29</v>
      </c>
      <c r="D24" s="19" t="e">
        <f>VLOOKUP($B24,#REF!,3,0)</f>
        <v>#REF!</v>
      </c>
      <c r="E24" s="19" t="e">
        <f>VLOOKUP($B24,#REF!,4,0)</f>
        <v>#REF!</v>
      </c>
      <c r="F24" s="19" t="e">
        <f>VLOOKUP($B24,#REF!,5,0)</f>
        <v>#REF!</v>
      </c>
      <c r="G24" s="19" t="e">
        <f>VLOOKUP($B24,#REF!,6,0)</f>
        <v>#REF!</v>
      </c>
      <c r="H24" s="19" t="e">
        <f>VLOOKUP($B24,#REF!,7,0)</f>
        <v>#REF!</v>
      </c>
      <c r="I24" s="19" t="e">
        <f>VLOOKUP($B24,#REF!,8,0)</f>
        <v>#REF!</v>
      </c>
      <c r="J24" s="159"/>
      <c r="K24" s="22" t="s">
        <v>12</v>
      </c>
      <c r="L24" s="44" t="s">
        <v>66</v>
      </c>
      <c r="M24" s="44" t="s">
        <v>66</v>
      </c>
      <c r="N24" s="44" t="s">
        <v>66</v>
      </c>
      <c r="O24" s="161"/>
      <c r="P24" s="13"/>
      <c r="Q24" s="13"/>
      <c r="R24" s="13"/>
      <c r="S24" s="13"/>
      <c r="T24" s="13"/>
      <c r="AF24" s="9"/>
      <c r="AG24" s="9"/>
      <c r="AH24" s="9"/>
    </row>
    <row r="25" spans="2:73" ht="24.2" customHeight="1" thickBot="1" x14ac:dyDescent="0.25">
      <c r="B25" s="156"/>
      <c r="C25" s="158"/>
      <c r="D25" s="20" t="e">
        <f>VLOOKUP($B25,#REF!,3,0)</f>
        <v>#REF!</v>
      </c>
      <c r="E25" s="20" t="e">
        <f>VLOOKUP($B25,#REF!,4,0)</f>
        <v>#REF!</v>
      </c>
      <c r="F25" s="20" t="e">
        <f>VLOOKUP($B25,#REF!,5,0)</f>
        <v>#REF!</v>
      </c>
      <c r="G25" s="20" t="e">
        <f>VLOOKUP($B25,#REF!,6,0)</f>
        <v>#REF!</v>
      </c>
      <c r="H25" s="20" t="e">
        <f>VLOOKUP($B25,#REF!,7,0)</f>
        <v>#REF!</v>
      </c>
      <c r="I25" s="20" t="e">
        <f>VLOOKUP($B25,#REF!,8,0)</f>
        <v>#REF!</v>
      </c>
      <c r="J25" s="160"/>
      <c r="K25" s="34" t="s">
        <v>13</v>
      </c>
      <c r="L25" s="36">
        <v>113</v>
      </c>
      <c r="M25" s="36">
        <v>116</v>
      </c>
      <c r="N25" s="36">
        <v>113</v>
      </c>
      <c r="O25" s="162"/>
      <c r="P25" s="13"/>
      <c r="Q25" s="13"/>
      <c r="R25" s="13"/>
      <c r="S25" s="13"/>
      <c r="T25" s="13"/>
      <c r="AF25" s="12"/>
      <c r="AG25" s="12"/>
      <c r="AH25" s="14"/>
      <c r="AI25" s="15"/>
      <c r="AJ25" s="15"/>
      <c r="AK25" s="15"/>
      <c r="AL25" s="15"/>
      <c r="AM25" s="15"/>
      <c r="AN25" s="15"/>
      <c r="AO25" s="15"/>
      <c r="AP25" s="15"/>
      <c r="AQ25" s="15"/>
      <c r="AR25" s="15"/>
      <c r="AS25" s="15"/>
      <c r="AT25" s="15"/>
      <c r="AU25" s="15"/>
      <c r="AV25" s="15"/>
      <c r="AW25" s="15"/>
      <c r="AX25" s="15"/>
      <c r="AY25" s="15"/>
      <c r="AZ25" s="15"/>
      <c r="BA25" s="15"/>
      <c r="BB25" s="15"/>
      <c r="BC25" s="15"/>
      <c r="BD25" s="15"/>
      <c r="BE25" s="15"/>
      <c r="BF25" s="15"/>
      <c r="BG25" s="15"/>
      <c r="BH25" s="15"/>
      <c r="BI25" s="15"/>
      <c r="BJ25" s="15"/>
      <c r="BK25" s="15"/>
      <c r="BL25" s="15"/>
      <c r="BM25" s="15"/>
      <c r="BN25" s="15"/>
      <c r="BO25" s="15"/>
      <c r="BP25" s="15"/>
      <c r="BQ25" s="15"/>
      <c r="BR25" s="15"/>
      <c r="BS25" s="15"/>
      <c r="BT25" s="15"/>
      <c r="BU25" s="15"/>
    </row>
    <row r="26" spans="2:73" ht="24.2" customHeight="1" x14ac:dyDescent="0.2">
      <c r="B26" s="164">
        <v>9</v>
      </c>
      <c r="C26" s="157" t="s">
        <v>28</v>
      </c>
      <c r="D26" s="19" t="e">
        <f>VLOOKUP($B26,#REF!,3,0)</f>
        <v>#REF!</v>
      </c>
      <c r="E26" s="19" t="e">
        <f>VLOOKUP($B26,#REF!,4,0)</f>
        <v>#REF!</v>
      </c>
      <c r="F26" s="19" t="e">
        <f>VLOOKUP($B26,#REF!,5,0)</f>
        <v>#REF!</v>
      </c>
      <c r="G26" s="19" t="e">
        <f>VLOOKUP($B26,#REF!,6,0)</f>
        <v>#REF!</v>
      </c>
      <c r="H26" s="19" t="e">
        <f>VLOOKUP($B26,#REF!,7,0)</f>
        <v>#REF!</v>
      </c>
      <c r="I26" s="19" t="e">
        <f>VLOOKUP($B26,#REF!,8,0)</f>
        <v>#REF!</v>
      </c>
      <c r="J26" s="159">
        <v>1050</v>
      </c>
      <c r="K26" s="22" t="s">
        <v>12</v>
      </c>
      <c r="L26" s="35">
        <v>97</v>
      </c>
      <c r="M26" s="35">
        <v>92</v>
      </c>
      <c r="N26" s="35">
        <v>84</v>
      </c>
      <c r="O26" s="161"/>
      <c r="P26" s="13"/>
      <c r="Q26" s="13"/>
      <c r="R26" s="13"/>
      <c r="S26" s="13"/>
      <c r="T26" s="13"/>
      <c r="AF26" s="12"/>
      <c r="AG26" s="12"/>
      <c r="AH26" s="12"/>
    </row>
    <row r="27" spans="2:73" ht="24.2" customHeight="1" thickBot="1" x14ac:dyDescent="0.25">
      <c r="B27" s="156"/>
      <c r="C27" s="163"/>
      <c r="D27" s="20" t="e">
        <f>VLOOKUP($B27,#REF!,3,0)</f>
        <v>#REF!</v>
      </c>
      <c r="E27" s="20" t="e">
        <f>VLOOKUP($B27,#REF!,4,0)</f>
        <v>#REF!</v>
      </c>
      <c r="F27" s="20" t="e">
        <f>VLOOKUP($B27,#REF!,5,0)</f>
        <v>#REF!</v>
      </c>
      <c r="G27" s="20" t="e">
        <f>VLOOKUP($B27,#REF!,6,0)</f>
        <v>#REF!</v>
      </c>
      <c r="H27" s="20" t="e">
        <f>VLOOKUP($B27,#REF!,7,0)</f>
        <v>#REF!</v>
      </c>
      <c r="I27" s="20" t="e">
        <f>VLOOKUP($B27,#REF!,8,0)</f>
        <v>#REF!</v>
      </c>
      <c r="J27" s="160"/>
      <c r="K27" s="34" t="s">
        <v>13</v>
      </c>
      <c r="L27" s="36">
        <v>111</v>
      </c>
      <c r="M27" s="36">
        <v>105</v>
      </c>
      <c r="N27" s="36">
        <v>99</v>
      </c>
      <c r="O27" s="162"/>
      <c r="P27" s="13"/>
      <c r="Q27" s="13"/>
      <c r="R27" s="13"/>
      <c r="S27" s="13"/>
      <c r="T27" s="13"/>
      <c r="AF27" s="12"/>
      <c r="AG27" s="12"/>
      <c r="AH27" s="14"/>
      <c r="AI27" s="15"/>
      <c r="AJ27" s="15"/>
      <c r="AK27" s="15"/>
      <c r="AL27" s="15"/>
      <c r="AM27" s="15"/>
      <c r="AN27" s="15"/>
      <c r="AO27" s="15"/>
      <c r="AP27" s="15"/>
      <c r="AQ27" s="15"/>
      <c r="AR27" s="15"/>
      <c r="AS27" s="15"/>
      <c r="AT27" s="15"/>
      <c r="AU27" s="15"/>
      <c r="AV27" s="15"/>
      <c r="AW27" s="15"/>
      <c r="AX27" s="15"/>
      <c r="AY27" s="15"/>
      <c r="AZ27" s="15"/>
      <c r="BA27" s="15"/>
      <c r="BB27" s="15"/>
      <c r="BC27" s="15"/>
      <c r="BD27" s="15"/>
      <c r="BE27" s="15"/>
      <c r="BF27" s="15"/>
      <c r="BG27" s="15"/>
      <c r="BH27" s="15"/>
      <c r="BI27" s="15"/>
      <c r="BJ27" s="15"/>
      <c r="BK27" s="15"/>
      <c r="BL27" s="15"/>
      <c r="BM27" s="15"/>
      <c r="BN27" s="15"/>
      <c r="BO27" s="15"/>
      <c r="BP27" s="15"/>
      <c r="BQ27" s="15"/>
      <c r="BR27" s="15"/>
      <c r="BS27" s="15"/>
      <c r="BT27" s="15"/>
      <c r="BU27" s="15"/>
    </row>
    <row r="28" spans="2:73" ht="24.2" customHeight="1" x14ac:dyDescent="0.2">
      <c r="B28" s="155">
        <v>10</v>
      </c>
      <c r="C28" s="157" t="s">
        <v>29</v>
      </c>
      <c r="D28" s="19" t="e">
        <f>VLOOKUP($B28,#REF!,3,0)</f>
        <v>#REF!</v>
      </c>
      <c r="E28" s="19" t="e">
        <f>VLOOKUP($B28,#REF!,4,0)</f>
        <v>#REF!</v>
      </c>
      <c r="F28" s="19" t="e">
        <f>VLOOKUP($B28,#REF!,5,0)</f>
        <v>#REF!</v>
      </c>
      <c r="G28" s="19" t="e">
        <f>VLOOKUP($B28,#REF!,6,0)</f>
        <v>#REF!</v>
      </c>
      <c r="H28" s="19" t="e">
        <f>VLOOKUP($B28,#REF!,7,0)</f>
        <v>#REF!</v>
      </c>
      <c r="I28" s="19" t="e">
        <f>VLOOKUP($B28,#REF!,8,0)</f>
        <v>#REF!</v>
      </c>
      <c r="J28" s="159"/>
      <c r="K28" s="22" t="s">
        <v>12</v>
      </c>
      <c r="L28" s="44" t="s">
        <v>66</v>
      </c>
      <c r="M28" s="44" t="s">
        <v>66</v>
      </c>
      <c r="N28" s="44" t="s">
        <v>66</v>
      </c>
      <c r="O28" s="161"/>
      <c r="P28" s="13"/>
      <c r="Q28" s="13"/>
      <c r="R28" s="13"/>
      <c r="S28" s="13"/>
      <c r="T28" s="13"/>
    </row>
    <row r="29" spans="2:73" ht="24.2" customHeight="1" thickBot="1" x14ac:dyDescent="0.25">
      <c r="B29" s="156"/>
      <c r="C29" s="158"/>
      <c r="D29" s="20" t="e">
        <f>VLOOKUP($B29,#REF!,3,0)</f>
        <v>#REF!</v>
      </c>
      <c r="E29" s="20" t="e">
        <f>VLOOKUP($B29,#REF!,4,0)</f>
        <v>#REF!</v>
      </c>
      <c r="F29" s="20" t="e">
        <f>VLOOKUP($B29,#REF!,5,0)</f>
        <v>#REF!</v>
      </c>
      <c r="G29" s="20" t="e">
        <f>VLOOKUP($B29,#REF!,6,0)</f>
        <v>#REF!</v>
      </c>
      <c r="H29" s="20" t="e">
        <f>VLOOKUP($B29,#REF!,7,0)</f>
        <v>#REF!</v>
      </c>
      <c r="I29" s="20" t="e">
        <f>VLOOKUP($B29,#REF!,8,0)</f>
        <v>#REF!</v>
      </c>
      <c r="J29" s="160"/>
      <c r="K29" s="34" t="s">
        <v>13</v>
      </c>
      <c r="L29" s="36">
        <v>106</v>
      </c>
      <c r="M29" s="36">
        <v>116</v>
      </c>
      <c r="N29" s="36">
        <v>131</v>
      </c>
      <c r="O29" s="162"/>
      <c r="P29" s="13"/>
      <c r="Q29" s="13"/>
      <c r="R29" s="13"/>
      <c r="S29" s="13"/>
      <c r="T29" s="13"/>
      <c r="AF29" s="12"/>
      <c r="AG29" s="12"/>
      <c r="AH29" s="14"/>
      <c r="AI29" s="15"/>
      <c r="AJ29" s="15"/>
      <c r="AK29" s="15"/>
      <c r="AL29" s="15"/>
      <c r="AM29" s="15"/>
      <c r="AN29" s="15"/>
      <c r="AO29" s="15"/>
      <c r="AP29" s="15"/>
      <c r="AQ29" s="15"/>
      <c r="AR29" s="15"/>
      <c r="AS29" s="15"/>
      <c r="AT29" s="15"/>
      <c r="AU29" s="15"/>
      <c r="AV29" s="15"/>
      <c r="AW29" s="15"/>
      <c r="AX29" s="15"/>
      <c r="AY29" s="15"/>
      <c r="AZ29" s="15"/>
      <c r="BA29" s="15"/>
      <c r="BB29" s="15"/>
      <c r="BC29" s="15"/>
      <c r="BD29" s="15"/>
      <c r="BE29" s="15"/>
      <c r="BF29" s="15"/>
      <c r="BG29" s="15"/>
      <c r="BH29" s="15"/>
      <c r="BI29" s="15"/>
      <c r="BJ29" s="15"/>
      <c r="BK29" s="15"/>
      <c r="BL29" s="15"/>
      <c r="BM29" s="15"/>
      <c r="BN29" s="15"/>
      <c r="BO29" s="15"/>
      <c r="BP29" s="15"/>
      <c r="BQ29" s="15"/>
      <c r="BR29" s="15"/>
      <c r="BS29" s="15"/>
      <c r="BT29" s="15"/>
      <c r="BU29" s="15"/>
    </row>
    <row r="30" spans="2:73" ht="24.2" customHeight="1" x14ac:dyDescent="0.2">
      <c r="B30" s="155">
        <v>11</v>
      </c>
      <c r="C30" s="157" t="s">
        <v>28</v>
      </c>
      <c r="D30" s="19" t="e">
        <f>VLOOKUP($B30,#REF!,3,0)</f>
        <v>#REF!</v>
      </c>
      <c r="E30" s="19" t="e">
        <f>VLOOKUP($B30,#REF!,4,0)</f>
        <v>#REF!</v>
      </c>
      <c r="F30" s="19" t="e">
        <f>VLOOKUP($B30,#REF!,5,0)</f>
        <v>#REF!</v>
      </c>
      <c r="G30" s="19" t="e">
        <f>VLOOKUP($B30,#REF!,6,0)</f>
        <v>#REF!</v>
      </c>
      <c r="H30" s="19" t="e">
        <f>VLOOKUP($B30,#REF!,7,0)</f>
        <v>#REF!</v>
      </c>
      <c r="I30" s="19" t="e">
        <f>VLOOKUP($B30,#REF!,8,0)</f>
        <v>#REF!</v>
      </c>
      <c r="J30" s="159"/>
      <c r="K30" s="22" t="s">
        <v>12</v>
      </c>
      <c r="L30" s="44" t="s">
        <v>66</v>
      </c>
      <c r="M30" s="44" t="s">
        <v>66</v>
      </c>
      <c r="N30" s="44" t="s">
        <v>66</v>
      </c>
      <c r="O30" s="161"/>
      <c r="P30" s="13"/>
      <c r="Q30" s="13"/>
      <c r="R30" s="13"/>
      <c r="S30" s="13"/>
      <c r="T30" s="13"/>
    </row>
    <row r="31" spans="2:73" ht="24.2" customHeight="1" thickBot="1" x14ac:dyDescent="0.25">
      <c r="B31" s="156"/>
      <c r="C31" s="163"/>
      <c r="D31" s="20" t="e">
        <f>VLOOKUP($B31,#REF!,3,0)</f>
        <v>#REF!</v>
      </c>
      <c r="E31" s="20" t="e">
        <f>VLOOKUP($B31,#REF!,4,0)</f>
        <v>#REF!</v>
      </c>
      <c r="F31" s="20" t="e">
        <f>VLOOKUP($B31,#REF!,5,0)</f>
        <v>#REF!</v>
      </c>
      <c r="G31" s="20" t="e">
        <f>VLOOKUP($B31,#REF!,6,0)</f>
        <v>#REF!</v>
      </c>
      <c r="H31" s="20" t="e">
        <f>VLOOKUP($B31,#REF!,7,0)</f>
        <v>#REF!</v>
      </c>
      <c r="I31" s="20" t="e">
        <f>VLOOKUP($B31,#REF!,8,0)</f>
        <v>#REF!</v>
      </c>
      <c r="J31" s="160"/>
      <c r="K31" s="34" t="s">
        <v>13</v>
      </c>
      <c r="L31" s="36">
        <v>116</v>
      </c>
      <c r="M31" s="36">
        <v>119</v>
      </c>
      <c r="N31" s="36">
        <v>112</v>
      </c>
      <c r="O31" s="162"/>
      <c r="P31" s="13"/>
      <c r="Q31" s="13"/>
      <c r="R31" s="13"/>
      <c r="S31" s="13"/>
      <c r="T31" s="13"/>
      <c r="AF31" s="12"/>
      <c r="AG31" s="12"/>
      <c r="AH31" s="14"/>
      <c r="AI31" s="15"/>
      <c r="AJ31" s="15"/>
      <c r="AK31" s="15"/>
      <c r="AL31" s="15"/>
      <c r="AM31" s="15"/>
      <c r="AN31" s="15"/>
      <c r="AO31" s="15"/>
      <c r="AP31" s="15"/>
      <c r="AQ31" s="15"/>
      <c r="AR31" s="15"/>
      <c r="AS31" s="15"/>
      <c r="AT31" s="15"/>
      <c r="AU31" s="15"/>
      <c r="AV31" s="15"/>
      <c r="AW31" s="15"/>
      <c r="AX31" s="15"/>
      <c r="AY31" s="15"/>
      <c r="AZ31" s="15"/>
      <c r="BA31" s="15"/>
      <c r="BB31" s="15"/>
      <c r="BC31" s="15"/>
      <c r="BD31" s="15"/>
      <c r="BE31" s="15"/>
      <c r="BF31" s="15"/>
      <c r="BG31" s="15"/>
      <c r="BH31" s="15"/>
      <c r="BI31" s="15"/>
      <c r="BJ31" s="15"/>
      <c r="BK31" s="15"/>
      <c r="BL31" s="15"/>
      <c r="BM31" s="15"/>
      <c r="BN31" s="15"/>
      <c r="BO31" s="15"/>
      <c r="BP31" s="15"/>
      <c r="BQ31" s="15"/>
      <c r="BR31" s="15"/>
      <c r="BS31" s="15"/>
      <c r="BT31" s="15"/>
      <c r="BU31" s="15"/>
    </row>
    <row r="32" spans="2:73" ht="24.2" customHeight="1" x14ac:dyDescent="0.2">
      <c r="B32" s="155">
        <v>12</v>
      </c>
      <c r="C32" s="157" t="s">
        <v>29</v>
      </c>
      <c r="D32" s="19" t="e">
        <f>VLOOKUP($B32,#REF!,3,0)</f>
        <v>#REF!</v>
      </c>
      <c r="E32" s="19" t="e">
        <f>VLOOKUP($B32,#REF!,4,0)</f>
        <v>#REF!</v>
      </c>
      <c r="F32" s="19" t="e">
        <f>VLOOKUP($B32,#REF!,5,0)</f>
        <v>#REF!</v>
      </c>
      <c r="G32" s="19" t="e">
        <f>VLOOKUP($B32,#REF!,6,0)</f>
        <v>#REF!</v>
      </c>
      <c r="H32" s="19" t="e">
        <f>VLOOKUP($B32,#REF!,7,0)</f>
        <v>#REF!</v>
      </c>
      <c r="I32" s="19" t="e">
        <f>VLOOKUP($B32,#REF!,8,0)</f>
        <v>#REF!</v>
      </c>
      <c r="J32" s="159"/>
      <c r="K32" s="22" t="s">
        <v>12</v>
      </c>
      <c r="L32" s="44" t="s">
        <v>66</v>
      </c>
      <c r="M32" s="44" t="s">
        <v>66</v>
      </c>
      <c r="N32" s="44" t="s">
        <v>66</v>
      </c>
      <c r="O32" s="161"/>
      <c r="P32" s="13"/>
      <c r="Q32" s="13"/>
      <c r="R32" s="13"/>
      <c r="S32" s="13"/>
      <c r="T32" s="13"/>
    </row>
    <row r="33" spans="2:73" ht="24.2" customHeight="1" thickBot="1" x14ac:dyDescent="0.25">
      <c r="B33" s="156"/>
      <c r="C33" s="158"/>
      <c r="D33" s="20" t="e">
        <f>VLOOKUP($B33,#REF!,3,0)</f>
        <v>#REF!</v>
      </c>
      <c r="E33" s="20" t="e">
        <f>VLOOKUP($B33,#REF!,4,0)</f>
        <v>#REF!</v>
      </c>
      <c r="F33" s="20" t="e">
        <f>VLOOKUP($B33,#REF!,5,0)</f>
        <v>#REF!</v>
      </c>
      <c r="G33" s="20" t="e">
        <f>VLOOKUP($B33,#REF!,6,0)</f>
        <v>#REF!</v>
      </c>
      <c r="H33" s="20" t="e">
        <f>VLOOKUP($B33,#REF!,7,0)</f>
        <v>#REF!</v>
      </c>
      <c r="I33" s="20" t="e">
        <f>VLOOKUP($B33,#REF!,8,0)</f>
        <v>#REF!</v>
      </c>
      <c r="J33" s="160"/>
      <c r="K33" s="34" t="s">
        <v>13</v>
      </c>
      <c r="L33" s="36">
        <v>134</v>
      </c>
      <c r="M33" s="36">
        <v>134</v>
      </c>
      <c r="N33" s="36">
        <v>125</v>
      </c>
      <c r="O33" s="162"/>
      <c r="P33" s="13"/>
      <c r="Q33" s="13"/>
      <c r="R33" s="13"/>
      <c r="S33" s="13"/>
      <c r="T33" s="13"/>
      <c r="AF33" s="12"/>
      <c r="AG33" s="12"/>
      <c r="AH33" s="14"/>
      <c r="AI33" s="15"/>
      <c r="AJ33" s="15"/>
      <c r="AK33" s="15"/>
      <c r="AL33" s="15"/>
      <c r="AM33" s="15"/>
      <c r="AN33" s="15"/>
      <c r="AO33" s="15"/>
      <c r="AP33" s="15"/>
      <c r="AQ33" s="15"/>
      <c r="AR33" s="15"/>
      <c r="AS33" s="15"/>
      <c r="AT33" s="15"/>
      <c r="AU33" s="15"/>
      <c r="AV33" s="15"/>
      <c r="AW33" s="15"/>
      <c r="AX33" s="15"/>
      <c r="AY33" s="15"/>
      <c r="AZ33" s="15"/>
      <c r="BA33" s="15"/>
      <c r="BB33" s="15"/>
      <c r="BC33" s="15"/>
      <c r="BD33" s="15"/>
      <c r="BE33" s="15"/>
      <c r="BF33" s="15"/>
      <c r="BG33" s="15"/>
      <c r="BH33" s="15"/>
      <c r="BI33" s="15"/>
      <c r="BJ33" s="15"/>
      <c r="BK33" s="15"/>
      <c r="BL33" s="15"/>
      <c r="BM33" s="15"/>
      <c r="BN33" s="15"/>
      <c r="BO33" s="15"/>
      <c r="BP33" s="15"/>
      <c r="BQ33" s="15"/>
      <c r="BR33" s="15"/>
      <c r="BS33" s="15"/>
      <c r="BT33" s="15"/>
      <c r="BU33" s="15"/>
    </row>
    <row r="34" spans="2:73" ht="24.2" customHeight="1" x14ac:dyDescent="0.2">
      <c r="B34" s="155">
        <v>13</v>
      </c>
      <c r="C34" s="157" t="s">
        <v>28</v>
      </c>
      <c r="D34" s="19" t="e">
        <f>VLOOKUP($B34,#REF!,3,0)</f>
        <v>#REF!</v>
      </c>
      <c r="E34" s="19" t="e">
        <f>VLOOKUP($B34,#REF!,4,0)</f>
        <v>#REF!</v>
      </c>
      <c r="F34" s="19" t="e">
        <f>VLOOKUP($B34,#REF!,5,0)</f>
        <v>#REF!</v>
      </c>
      <c r="G34" s="19" t="e">
        <f>VLOOKUP($B34,#REF!,6,0)</f>
        <v>#REF!</v>
      </c>
      <c r="H34" s="19" t="e">
        <f>VLOOKUP($B34,#REF!,7,0)</f>
        <v>#REF!</v>
      </c>
      <c r="I34" s="19" t="e">
        <f>VLOOKUP($B34,#REF!,8,0)</f>
        <v>#REF!</v>
      </c>
      <c r="J34" s="159"/>
      <c r="K34" s="22" t="s">
        <v>12</v>
      </c>
      <c r="L34" s="35">
        <v>95</v>
      </c>
      <c r="M34" s="35">
        <v>96</v>
      </c>
      <c r="N34" s="35">
        <v>103</v>
      </c>
      <c r="O34" s="161"/>
      <c r="P34" s="13"/>
      <c r="Q34" s="13"/>
      <c r="R34" s="13"/>
      <c r="S34" s="13"/>
      <c r="T34" s="13"/>
    </row>
    <row r="35" spans="2:73" ht="24.2" customHeight="1" thickBot="1" x14ac:dyDescent="0.25">
      <c r="B35" s="156"/>
      <c r="C35" s="163"/>
      <c r="D35" s="20" t="e">
        <f>VLOOKUP($B35,#REF!,3,0)</f>
        <v>#REF!</v>
      </c>
      <c r="E35" s="20" t="e">
        <f>VLOOKUP($B35,#REF!,4,0)</f>
        <v>#REF!</v>
      </c>
      <c r="F35" s="20" t="e">
        <f>VLOOKUP($B35,#REF!,5,0)</f>
        <v>#REF!</v>
      </c>
      <c r="G35" s="20" t="e">
        <f>VLOOKUP($B35,#REF!,6,0)</f>
        <v>#REF!</v>
      </c>
      <c r="H35" s="20" t="e">
        <f>VLOOKUP($B35,#REF!,7,0)</f>
        <v>#REF!</v>
      </c>
      <c r="I35" s="20" t="e">
        <f>VLOOKUP($B35,#REF!,8,0)</f>
        <v>#REF!</v>
      </c>
      <c r="J35" s="160"/>
      <c r="K35" s="34" t="s">
        <v>13</v>
      </c>
      <c r="L35" s="36">
        <v>109</v>
      </c>
      <c r="M35" s="36">
        <v>111</v>
      </c>
      <c r="N35" s="36">
        <v>110</v>
      </c>
      <c r="O35" s="162"/>
      <c r="P35" s="13"/>
      <c r="Q35" s="13"/>
      <c r="R35" s="13"/>
      <c r="S35" s="13"/>
      <c r="T35" s="13"/>
      <c r="AF35" s="12"/>
      <c r="AG35" s="12"/>
      <c r="AH35" s="14"/>
      <c r="AI35" s="15"/>
      <c r="AJ35" s="15"/>
      <c r="AK35" s="15"/>
      <c r="AL35" s="15"/>
      <c r="AM35" s="15"/>
      <c r="AN35" s="15"/>
      <c r="AO35" s="15"/>
      <c r="AP35" s="15"/>
      <c r="AQ35" s="15"/>
      <c r="AR35" s="15"/>
      <c r="AS35" s="15"/>
      <c r="AT35" s="15"/>
      <c r="AU35" s="15"/>
      <c r="AV35" s="15"/>
      <c r="AW35" s="15"/>
      <c r="AX35" s="15"/>
      <c r="AY35" s="15"/>
      <c r="AZ35" s="15"/>
      <c r="BA35" s="15"/>
      <c r="BB35" s="15"/>
      <c r="BC35" s="15"/>
      <c r="BD35" s="15"/>
      <c r="BE35" s="15"/>
      <c r="BF35" s="15"/>
      <c r="BG35" s="15"/>
      <c r="BH35" s="15"/>
      <c r="BI35" s="15"/>
      <c r="BJ35" s="15"/>
      <c r="BK35" s="15"/>
      <c r="BL35" s="15"/>
      <c r="BM35" s="15"/>
      <c r="BN35" s="15"/>
      <c r="BO35" s="15"/>
      <c r="BP35" s="15"/>
      <c r="BQ35" s="15"/>
      <c r="BR35" s="15"/>
      <c r="BS35" s="15"/>
      <c r="BT35" s="15"/>
      <c r="BU35" s="15"/>
    </row>
    <row r="36" spans="2:73" ht="24.2" customHeight="1" x14ac:dyDescent="0.2">
      <c r="B36" s="155">
        <v>14</v>
      </c>
      <c r="C36" s="157" t="s">
        <v>29</v>
      </c>
      <c r="D36" s="19" t="e">
        <f>VLOOKUP($B36,#REF!,3,0)</f>
        <v>#REF!</v>
      </c>
      <c r="E36" s="19" t="e">
        <f>VLOOKUP($B36,#REF!,4,0)</f>
        <v>#REF!</v>
      </c>
      <c r="F36" s="19" t="e">
        <f>VLOOKUP($B36,#REF!,5,0)</f>
        <v>#REF!</v>
      </c>
      <c r="G36" s="19" t="e">
        <f>VLOOKUP($B36,#REF!,6,0)</f>
        <v>#REF!</v>
      </c>
      <c r="H36" s="19" t="e">
        <f>VLOOKUP($B36,#REF!,7,0)</f>
        <v>#REF!</v>
      </c>
      <c r="I36" s="19" t="e">
        <f>VLOOKUP($B36,#REF!,8,0)</f>
        <v>#REF!</v>
      </c>
      <c r="J36" s="159">
        <v>1120</v>
      </c>
      <c r="K36" s="22" t="s">
        <v>12</v>
      </c>
      <c r="L36" s="44" t="s">
        <v>66</v>
      </c>
      <c r="M36" s="44" t="s">
        <v>66</v>
      </c>
      <c r="N36" s="44" t="s">
        <v>66</v>
      </c>
      <c r="O36" s="161"/>
      <c r="P36" s="13"/>
      <c r="Q36" s="13"/>
      <c r="R36" s="13"/>
      <c r="S36" s="13"/>
      <c r="T36" s="13"/>
    </row>
    <row r="37" spans="2:73" ht="24.2" customHeight="1" thickBot="1" x14ac:dyDescent="0.25">
      <c r="B37" s="156"/>
      <c r="C37" s="158"/>
      <c r="D37" s="20" t="e">
        <f>VLOOKUP($B37,#REF!,3,0)</f>
        <v>#REF!</v>
      </c>
      <c r="E37" s="20" t="e">
        <f>VLOOKUP($B37,#REF!,4,0)</f>
        <v>#REF!</v>
      </c>
      <c r="F37" s="20" t="e">
        <f>VLOOKUP($B37,#REF!,5,0)</f>
        <v>#REF!</v>
      </c>
      <c r="G37" s="20" t="e">
        <f>VLOOKUP($B37,#REF!,6,0)</f>
        <v>#REF!</v>
      </c>
      <c r="H37" s="20" t="e">
        <f>VLOOKUP($B37,#REF!,7,0)</f>
        <v>#REF!</v>
      </c>
      <c r="I37" s="20" t="e">
        <f>VLOOKUP($B37,#REF!,8,0)</f>
        <v>#REF!</v>
      </c>
      <c r="J37" s="160"/>
      <c r="K37" s="34" t="s">
        <v>13</v>
      </c>
      <c r="L37" s="36">
        <v>134</v>
      </c>
      <c r="M37" s="36">
        <v>138</v>
      </c>
      <c r="N37" s="36">
        <v>131</v>
      </c>
      <c r="O37" s="162"/>
      <c r="P37" s="13"/>
      <c r="Q37" s="13"/>
      <c r="R37" s="13"/>
      <c r="S37" s="13"/>
      <c r="T37" s="13"/>
      <c r="AF37" s="12"/>
      <c r="AG37" s="12"/>
      <c r="AH37" s="14"/>
      <c r="AI37" s="15"/>
      <c r="AJ37" s="15"/>
      <c r="AK37" s="15"/>
      <c r="AL37" s="15"/>
      <c r="AM37" s="15"/>
      <c r="AN37" s="15"/>
      <c r="AO37" s="15"/>
      <c r="AP37" s="15"/>
      <c r="AQ37" s="15"/>
      <c r="AR37" s="15"/>
      <c r="AS37" s="15"/>
      <c r="AT37" s="15"/>
      <c r="AU37" s="15"/>
      <c r="AV37" s="15"/>
      <c r="AW37" s="15"/>
      <c r="AX37" s="15"/>
      <c r="AY37" s="15"/>
      <c r="AZ37" s="15"/>
      <c r="BA37" s="15"/>
      <c r="BB37" s="15"/>
      <c r="BC37" s="15"/>
      <c r="BD37" s="15"/>
      <c r="BE37" s="15"/>
      <c r="BF37" s="15"/>
      <c r="BG37" s="15"/>
      <c r="BH37" s="15"/>
      <c r="BI37" s="15"/>
      <c r="BJ37" s="15"/>
      <c r="BK37" s="15"/>
      <c r="BL37" s="15"/>
      <c r="BM37" s="15"/>
      <c r="BN37" s="15"/>
      <c r="BO37" s="15"/>
      <c r="BP37" s="15"/>
      <c r="BQ37" s="15"/>
      <c r="BR37" s="15"/>
      <c r="BS37" s="15"/>
      <c r="BT37" s="15"/>
      <c r="BU37" s="15"/>
    </row>
    <row r="38" spans="2:73" ht="24.2" customHeight="1" x14ac:dyDescent="0.2">
      <c r="B38" s="155">
        <v>15</v>
      </c>
      <c r="C38" s="157" t="s">
        <v>28</v>
      </c>
      <c r="D38" s="19" t="e">
        <f>VLOOKUP($B38,#REF!,3,0)</f>
        <v>#REF!</v>
      </c>
      <c r="E38" s="19" t="e">
        <f>VLOOKUP($B38,#REF!,4,0)</f>
        <v>#REF!</v>
      </c>
      <c r="F38" s="19" t="e">
        <f>VLOOKUP($B38,#REF!,5,0)</f>
        <v>#REF!</v>
      </c>
      <c r="G38" s="19" t="e">
        <f>VLOOKUP($B38,#REF!,6,0)</f>
        <v>#REF!</v>
      </c>
      <c r="H38" s="19" t="e">
        <f>VLOOKUP($B38,#REF!,7,0)</f>
        <v>#REF!</v>
      </c>
      <c r="I38" s="19" t="e">
        <f>VLOOKUP($B38,#REF!,8,0)</f>
        <v>#REF!</v>
      </c>
      <c r="J38" s="159"/>
      <c r="K38" s="22" t="s">
        <v>12</v>
      </c>
      <c r="L38" s="73"/>
      <c r="M38" s="74"/>
      <c r="N38" s="74"/>
      <c r="O38" s="161" t="s">
        <v>75</v>
      </c>
      <c r="P38" s="13"/>
      <c r="Q38" s="13"/>
      <c r="R38" s="13"/>
      <c r="S38" s="13"/>
      <c r="T38" s="13"/>
    </row>
    <row r="39" spans="2:73" ht="24.2" customHeight="1" thickBot="1" x14ac:dyDescent="0.25">
      <c r="B39" s="156"/>
      <c r="C39" s="163"/>
      <c r="D39" s="20" t="e">
        <f>VLOOKUP($B39,#REF!,3,0)</f>
        <v>#REF!</v>
      </c>
      <c r="E39" s="20" t="e">
        <f>VLOOKUP($B39,#REF!,4,0)</f>
        <v>#REF!</v>
      </c>
      <c r="F39" s="20" t="e">
        <f>VLOOKUP($B39,#REF!,5,0)</f>
        <v>#REF!</v>
      </c>
      <c r="G39" s="20" t="e">
        <f>VLOOKUP($B39,#REF!,6,0)</f>
        <v>#REF!</v>
      </c>
      <c r="H39" s="20" t="e">
        <f>VLOOKUP($B39,#REF!,7,0)</f>
        <v>#REF!</v>
      </c>
      <c r="I39" s="20" t="e">
        <f>VLOOKUP($B39,#REF!,8,0)</f>
        <v>#REF!</v>
      </c>
      <c r="J39" s="160"/>
      <c r="K39" s="34" t="s">
        <v>13</v>
      </c>
      <c r="L39" s="75"/>
      <c r="M39" s="75"/>
      <c r="N39" s="75"/>
      <c r="O39" s="162"/>
      <c r="P39" s="13"/>
      <c r="Q39" s="13"/>
      <c r="R39" s="13"/>
      <c r="S39" s="13"/>
      <c r="T39" s="13"/>
      <c r="AF39" s="12"/>
      <c r="AG39" s="12"/>
      <c r="AH39" s="14"/>
      <c r="AI39" s="15"/>
      <c r="AJ39" s="15"/>
      <c r="AK39" s="15"/>
      <c r="AL39" s="15"/>
      <c r="AM39" s="15"/>
      <c r="AN39" s="15"/>
      <c r="AO39" s="15"/>
      <c r="AP39" s="15"/>
      <c r="AQ39" s="15"/>
      <c r="AR39" s="15"/>
      <c r="AS39" s="15"/>
      <c r="AT39" s="15"/>
      <c r="AU39" s="15"/>
      <c r="AV39" s="15"/>
      <c r="AW39" s="15"/>
      <c r="AX39" s="15"/>
      <c r="AY39" s="15"/>
      <c r="AZ39" s="15"/>
      <c r="BA39" s="15"/>
      <c r="BB39" s="15"/>
      <c r="BC39" s="15"/>
      <c r="BD39" s="15"/>
      <c r="BE39" s="15"/>
      <c r="BF39" s="15"/>
      <c r="BG39" s="15"/>
      <c r="BH39" s="15"/>
      <c r="BI39" s="15"/>
      <c r="BJ39" s="15"/>
      <c r="BK39" s="15"/>
      <c r="BL39" s="15"/>
      <c r="BM39" s="15"/>
      <c r="BN39" s="15"/>
      <c r="BO39" s="15"/>
      <c r="BP39" s="15"/>
      <c r="BQ39" s="15"/>
      <c r="BR39" s="15"/>
      <c r="BS39" s="15"/>
      <c r="BT39" s="15"/>
      <c r="BU39" s="15"/>
    </row>
    <row r="40" spans="2:73" ht="24.2" customHeight="1" x14ac:dyDescent="0.2">
      <c r="B40" s="155">
        <v>16</v>
      </c>
      <c r="C40" s="157" t="s">
        <v>29</v>
      </c>
      <c r="D40" s="19" t="e">
        <f>VLOOKUP($B40,#REF!,3,0)</f>
        <v>#REF!</v>
      </c>
      <c r="E40" s="19" t="e">
        <f>VLOOKUP($B40,#REF!,4,0)</f>
        <v>#REF!</v>
      </c>
      <c r="F40" s="19" t="e">
        <f>VLOOKUP($B40,#REF!,5,0)</f>
        <v>#REF!</v>
      </c>
      <c r="G40" s="19" t="e">
        <f>VLOOKUP($B40,#REF!,6,0)</f>
        <v>#REF!</v>
      </c>
      <c r="H40" s="19" t="e">
        <f>VLOOKUP($B40,#REF!,7,0)</f>
        <v>#REF!</v>
      </c>
      <c r="I40" s="19" t="e">
        <f>VLOOKUP($B40,#REF!,8,0)</f>
        <v>#REF!</v>
      </c>
      <c r="J40" s="159"/>
      <c r="K40" s="22" t="s">
        <v>12</v>
      </c>
      <c r="L40" s="73"/>
      <c r="M40" s="73"/>
      <c r="N40" s="74"/>
      <c r="O40" s="161"/>
      <c r="P40" s="13"/>
      <c r="Q40" s="13"/>
      <c r="R40" s="13"/>
      <c r="S40" s="13"/>
      <c r="T40" s="13"/>
    </row>
    <row r="41" spans="2:73" ht="24.2" customHeight="1" thickBot="1" x14ac:dyDescent="0.25">
      <c r="B41" s="156"/>
      <c r="C41" s="158"/>
      <c r="D41" s="20" t="e">
        <f>VLOOKUP($B41,#REF!,3,0)</f>
        <v>#REF!</v>
      </c>
      <c r="E41" s="20" t="e">
        <f>VLOOKUP($B41,#REF!,4,0)</f>
        <v>#REF!</v>
      </c>
      <c r="F41" s="20" t="e">
        <f>VLOOKUP($B41,#REF!,5,0)</f>
        <v>#REF!</v>
      </c>
      <c r="G41" s="20" t="e">
        <f>VLOOKUP($B41,#REF!,6,0)</f>
        <v>#REF!</v>
      </c>
      <c r="H41" s="20" t="e">
        <f>VLOOKUP($B41,#REF!,7,0)</f>
        <v>#REF!</v>
      </c>
      <c r="I41" s="20" t="e">
        <f>VLOOKUP($B41,#REF!,8,0)</f>
        <v>#REF!</v>
      </c>
      <c r="J41" s="160"/>
      <c r="K41" s="34" t="s">
        <v>13</v>
      </c>
      <c r="L41" s="75"/>
      <c r="M41" s="75"/>
      <c r="N41" s="75"/>
      <c r="O41" s="162"/>
      <c r="P41" s="13"/>
      <c r="Q41" s="13"/>
      <c r="R41" s="13"/>
      <c r="S41" s="13"/>
      <c r="T41" s="13"/>
      <c r="AF41" s="12"/>
      <c r="AG41" s="12"/>
      <c r="AH41" s="14"/>
      <c r="AI41" s="15"/>
      <c r="AJ41" s="15"/>
      <c r="AK41" s="15"/>
      <c r="AL41" s="15"/>
      <c r="AM41" s="15"/>
      <c r="AN41" s="15"/>
      <c r="AO41" s="15"/>
      <c r="AP41" s="15"/>
      <c r="AQ41" s="15"/>
      <c r="AR41" s="15"/>
      <c r="AS41" s="15"/>
      <c r="AT41" s="15"/>
      <c r="AU41" s="15"/>
      <c r="AV41" s="15"/>
      <c r="AW41" s="15"/>
      <c r="AX41" s="15"/>
      <c r="AY41" s="15"/>
      <c r="AZ41" s="15"/>
      <c r="BA41" s="15"/>
      <c r="BB41" s="15"/>
      <c r="BC41" s="15"/>
      <c r="BD41" s="15"/>
      <c r="BE41" s="15"/>
      <c r="BF41" s="15"/>
      <c r="BG41" s="15"/>
      <c r="BH41" s="15"/>
      <c r="BI41" s="15"/>
      <c r="BJ41" s="15"/>
      <c r="BK41" s="15"/>
      <c r="BL41" s="15"/>
      <c r="BM41" s="15"/>
      <c r="BN41" s="15"/>
      <c r="BO41" s="15"/>
      <c r="BP41" s="15"/>
      <c r="BQ41" s="15"/>
      <c r="BR41" s="15"/>
      <c r="BS41" s="15"/>
      <c r="BT41" s="15"/>
      <c r="BU41" s="15"/>
    </row>
    <row r="42" spans="2:73" ht="24" customHeight="1" x14ac:dyDescent="0.2">
      <c r="B42" s="155">
        <v>17</v>
      </c>
      <c r="C42" s="157" t="s">
        <v>28</v>
      </c>
      <c r="D42" s="19" t="e">
        <f>VLOOKUP($B42,#REF!,3,0)</f>
        <v>#REF!</v>
      </c>
      <c r="E42" s="19" t="e">
        <f>VLOOKUP($B42,#REF!,4,0)</f>
        <v>#REF!</v>
      </c>
      <c r="F42" s="19" t="e">
        <f>VLOOKUP($B42,#REF!,5,0)</f>
        <v>#REF!</v>
      </c>
      <c r="G42" s="19" t="e">
        <f>VLOOKUP($B42,#REF!,6,0)</f>
        <v>#REF!</v>
      </c>
      <c r="H42" s="19" t="e">
        <f>VLOOKUP($B42,#REF!,7,0)</f>
        <v>#REF!</v>
      </c>
      <c r="I42" s="19" t="e">
        <f>VLOOKUP($B42,#REF!,8,0)</f>
        <v>#REF!</v>
      </c>
      <c r="J42" s="159"/>
      <c r="K42" s="22" t="s">
        <v>12</v>
      </c>
      <c r="L42" s="73"/>
      <c r="M42" s="73"/>
      <c r="N42" s="74"/>
      <c r="O42" s="161"/>
    </row>
    <row r="43" spans="2:73" ht="24" customHeight="1" thickBot="1" x14ac:dyDescent="0.25">
      <c r="B43" s="156"/>
      <c r="C43" s="163"/>
      <c r="D43" s="20"/>
      <c r="E43" s="20"/>
      <c r="F43" s="20"/>
      <c r="G43" s="20"/>
      <c r="H43" s="20"/>
      <c r="I43" s="20"/>
      <c r="J43" s="160"/>
      <c r="K43" s="34" t="s">
        <v>13</v>
      </c>
      <c r="L43" s="75"/>
      <c r="M43" s="75"/>
      <c r="N43" s="75"/>
      <c r="O43" s="162"/>
    </row>
  </sheetData>
  <mergeCells count="70">
    <mergeCell ref="B40:B41"/>
    <mergeCell ref="C40:C41"/>
    <mergeCell ref="J40:J41"/>
    <mergeCell ref="O40:O41"/>
    <mergeCell ref="B42:B43"/>
    <mergeCell ref="C42:C43"/>
    <mergeCell ref="J42:J43"/>
    <mergeCell ref="O42:O43"/>
    <mergeCell ref="B36:B37"/>
    <mergeCell ref="C36:C37"/>
    <mergeCell ref="J36:J37"/>
    <mergeCell ref="O36:O37"/>
    <mergeCell ref="B38:B39"/>
    <mergeCell ref="C38:C39"/>
    <mergeCell ref="J38:J39"/>
    <mergeCell ref="O38:O39"/>
    <mergeCell ref="B32:B33"/>
    <mergeCell ref="C32:C33"/>
    <mergeCell ref="J32:J33"/>
    <mergeCell ref="O32:O33"/>
    <mergeCell ref="B34:B35"/>
    <mergeCell ref="C34:C35"/>
    <mergeCell ref="J34:J35"/>
    <mergeCell ref="O34:O35"/>
    <mergeCell ref="B28:B29"/>
    <mergeCell ref="C28:C29"/>
    <mergeCell ref="J28:J29"/>
    <mergeCell ref="O28:O29"/>
    <mergeCell ref="B30:B31"/>
    <mergeCell ref="C30:C31"/>
    <mergeCell ref="J30:J31"/>
    <mergeCell ref="O30:O31"/>
    <mergeCell ref="B24:B25"/>
    <mergeCell ref="C24:C25"/>
    <mergeCell ref="J24:J25"/>
    <mergeCell ref="O24:O25"/>
    <mergeCell ref="B26:B27"/>
    <mergeCell ref="C26:C27"/>
    <mergeCell ref="J26:J27"/>
    <mergeCell ref="O26:O27"/>
    <mergeCell ref="B20:B21"/>
    <mergeCell ref="C20:C21"/>
    <mergeCell ref="J20:J21"/>
    <mergeCell ref="O20:O21"/>
    <mergeCell ref="B22:B23"/>
    <mergeCell ref="C22:C23"/>
    <mergeCell ref="J22:J23"/>
    <mergeCell ref="O22:O23"/>
    <mergeCell ref="B18:B19"/>
    <mergeCell ref="C18:C19"/>
    <mergeCell ref="J18:J19"/>
    <mergeCell ref="O18:O19"/>
    <mergeCell ref="B12:B13"/>
    <mergeCell ref="C12:C13"/>
    <mergeCell ref="J12:J13"/>
    <mergeCell ref="B14:B15"/>
    <mergeCell ref="C14:C15"/>
    <mergeCell ref="J14:J15"/>
    <mergeCell ref="O14:O15"/>
    <mergeCell ref="B16:B17"/>
    <mergeCell ref="C16:C17"/>
    <mergeCell ref="J16:J17"/>
    <mergeCell ref="O16:O17"/>
    <mergeCell ref="AF5:AH5"/>
    <mergeCell ref="L6:N6"/>
    <mergeCell ref="O7:O8"/>
    <mergeCell ref="B8:K8"/>
    <mergeCell ref="B10:B11"/>
    <mergeCell ref="C10:C11"/>
    <mergeCell ref="J10:J11"/>
  </mergeCells>
  <pageMargins left="0.45" right="0" top="0.49" bottom="0" header="0.64" footer="0"/>
  <pageSetup paperSize="512" scale="72" orientation="portrait" r:id="rId1"/>
  <headerFooter alignWithMargin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BU43"/>
  <sheetViews>
    <sheetView zoomScale="90" zoomScaleNormal="90" workbookViewId="0"/>
  </sheetViews>
  <sheetFormatPr defaultRowHeight="12.75" x14ac:dyDescent="0.2"/>
  <cols>
    <col min="1" max="1" width="5.42578125" customWidth="1"/>
    <col min="2" max="2" width="6.28515625" customWidth="1"/>
    <col min="3" max="3" width="12.7109375" customWidth="1"/>
    <col min="4" max="8" width="5.28515625" hidden="1" customWidth="1"/>
    <col min="9" max="9" width="7" hidden="1" customWidth="1"/>
    <col min="10" max="10" width="8.42578125" customWidth="1"/>
    <col min="11" max="14" width="12.7109375" customWidth="1"/>
    <col min="15" max="15" width="48.7109375" customWidth="1"/>
    <col min="22" max="22" width="7.5703125" customWidth="1"/>
    <col min="23" max="32" width="7.7109375" customWidth="1"/>
  </cols>
  <sheetData>
    <row r="1" spans="1:73" ht="15" customHeight="1" x14ac:dyDescent="0.25">
      <c r="A1" s="1" t="s">
        <v>33</v>
      </c>
    </row>
    <row r="2" spans="1:73" ht="20.25" customHeight="1" thickBot="1" x14ac:dyDescent="0.3">
      <c r="A2" s="1"/>
      <c r="M2" s="15" t="s">
        <v>0</v>
      </c>
      <c r="N2" s="23">
        <v>40774</v>
      </c>
      <c r="O2" s="29"/>
    </row>
    <row r="3" spans="1:73" ht="20.25" customHeight="1" thickBot="1" x14ac:dyDescent="0.25">
      <c r="A3" t="s">
        <v>1</v>
      </c>
      <c r="C3" s="38" t="s">
        <v>76</v>
      </c>
      <c r="D3" s="3"/>
      <c r="E3" s="3"/>
      <c r="F3" s="3"/>
      <c r="G3" s="3"/>
      <c r="H3" s="3"/>
      <c r="I3" s="3"/>
      <c r="J3" s="3"/>
      <c r="K3" s="3"/>
      <c r="L3" s="3"/>
      <c r="M3" s="15" t="s">
        <v>23</v>
      </c>
      <c r="N3" s="2">
        <v>231</v>
      </c>
      <c r="O3" s="30"/>
    </row>
    <row r="4" spans="1:73" ht="20.25" customHeight="1" thickBot="1" x14ac:dyDescent="0.25">
      <c r="B4" s="3" t="s">
        <v>77</v>
      </c>
      <c r="C4" s="38"/>
      <c r="D4" s="4"/>
      <c r="E4" s="4"/>
      <c r="F4" s="4"/>
      <c r="G4" s="4"/>
      <c r="H4" s="4"/>
      <c r="I4" s="4"/>
      <c r="J4" s="4"/>
      <c r="K4" s="4"/>
      <c r="L4" s="4"/>
      <c r="M4" s="15" t="s">
        <v>2</v>
      </c>
      <c r="N4" s="2" t="s">
        <v>26</v>
      </c>
      <c r="O4" s="30"/>
    </row>
    <row r="5" spans="1:73" ht="18" x14ac:dyDescent="0.2">
      <c r="AE5" s="5"/>
      <c r="AF5" s="165"/>
      <c r="AG5" s="165"/>
      <c r="AH5" s="165"/>
    </row>
    <row r="6" spans="1:73" ht="18" x14ac:dyDescent="0.25">
      <c r="L6" s="174"/>
      <c r="M6" s="167"/>
      <c r="N6" s="168"/>
      <c r="O6" s="31"/>
      <c r="AE6" s="5"/>
      <c r="AF6" s="24"/>
      <c r="AG6" s="24"/>
      <c r="AH6" s="24"/>
    </row>
    <row r="7" spans="1:73" ht="25.5" customHeight="1" x14ac:dyDescent="0.2">
      <c r="B7" s="6" t="s">
        <v>3</v>
      </c>
      <c r="C7" s="7"/>
      <c r="D7" s="7" t="s">
        <v>4</v>
      </c>
      <c r="E7" s="6" t="s">
        <v>5</v>
      </c>
      <c r="F7" s="7" t="s">
        <v>6</v>
      </c>
      <c r="G7" s="6" t="s">
        <v>7</v>
      </c>
      <c r="H7" s="6" t="s">
        <v>8</v>
      </c>
      <c r="I7" s="6" t="s">
        <v>9</v>
      </c>
      <c r="J7" s="6" t="s">
        <v>11</v>
      </c>
      <c r="K7" s="8" t="s">
        <v>24</v>
      </c>
      <c r="L7" s="22" t="s">
        <v>30</v>
      </c>
      <c r="M7" s="22" t="s">
        <v>31</v>
      </c>
      <c r="N7" s="22" t="s">
        <v>32</v>
      </c>
      <c r="O7" s="169" t="s">
        <v>25</v>
      </c>
      <c r="AE7" s="10"/>
      <c r="AF7" s="9"/>
      <c r="AG7" s="9"/>
      <c r="AH7" s="11"/>
    </row>
    <row r="8" spans="1:73" ht="15.95" customHeight="1" thickBot="1" x14ac:dyDescent="0.25">
      <c r="B8" s="170"/>
      <c r="C8" s="171"/>
      <c r="D8" s="171"/>
      <c r="E8" s="171"/>
      <c r="F8" s="171"/>
      <c r="G8" s="171"/>
      <c r="H8" s="171"/>
      <c r="I8" s="171"/>
      <c r="J8" s="171"/>
      <c r="K8" s="172"/>
      <c r="L8" s="39" t="s">
        <v>27</v>
      </c>
      <c r="M8" s="39"/>
      <c r="N8" s="39"/>
      <c r="O8" s="163"/>
      <c r="AF8" s="12"/>
      <c r="AG8" s="12"/>
      <c r="AH8" s="12"/>
    </row>
    <row r="9" spans="1:73" ht="15.95" hidden="1" customHeight="1" x14ac:dyDescent="0.2">
      <c r="B9" s="25" t="s">
        <v>3</v>
      </c>
      <c r="C9" s="26" t="s">
        <v>10</v>
      </c>
      <c r="D9" s="26" t="s">
        <v>14</v>
      </c>
      <c r="E9" s="25" t="s">
        <v>15</v>
      </c>
      <c r="F9" s="26" t="s">
        <v>16</v>
      </c>
      <c r="G9" s="25" t="s">
        <v>17</v>
      </c>
      <c r="H9" s="25" t="s">
        <v>8</v>
      </c>
      <c r="I9" s="25" t="s">
        <v>18</v>
      </c>
      <c r="J9" s="27" t="s">
        <v>11</v>
      </c>
      <c r="K9" s="27" t="s">
        <v>19</v>
      </c>
      <c r="L9" s="28" t="s">
        <v>20</v>
      </c>
      <c r="M9" s="28" t="s">
        <v>21</v>
      </c>
      <c r="N9" s="28" t="s">
        <v>22</v>
      </c>
      <c r="O9" s="32"/>
      <c r="AF9" s="12"/>
      <c r="AG9" s="12"/>
      <c r="AH9" s="12"/>
    </row>
    <row r="10" spans="1:73" ht="24.2" customHeight="1" x14ac:dyDescent="0.2">
      <c r="B10" s="164">
        <v>1</v>
      </c>
      <c r="C10" s="157" t="s">
        <v>28</v>
      </c>
      <c r="D10" s="19" t="e">
        <f>VLOOKUP($B10,#REF!,3,0)</f>
        <v>#REF!</v>
      </c>
      <c r="E10" s="19" t="e">
        <f>VLOOKUP($B10,#REF!,4,0)</f>
        <v>#REF!</v>
      </c>
      <c r="F10" s="19" t="e">
        <f>VLOOKUP($B10,#REF!,5,0)</f>
        <v>#REF!</v>
      </c>
      <c r="G10" s="19" t="e">
        <f>VLOOKUP($B10,#REF!,6,0)</f>
        <v>#REF!</v>
      </c>
      <c r="H10" s="19" t="e">
        <f>VLOOKUP($B10,#REF!,7,0)</f>
        <v>#REF!</v>
      </c>
      <c r="I10" s="19" t="e">
        <f>VLOOKUP($B10,#REF!,8,0)</f>
        <v>#REF!</v>
      </c>
      <c r="J10" s="173">
        <v>905</v>
      </c>
      <c r="K10" s="22" t="s">
        <v>12</v>
      </c>
      <c r="L10" s="44" t="s">
        <v>66</v>
      </c>
      <c r="M10" s="35">
        <v>98</v>
      </c>
      <c r="N10" s="44">
        <v>98</v>
      </c>
      <c r="O10" s="81"/>
      <c r="P10" s="13"/>
      <c r="Q10" s="13"/>
      <c r="R10" s="13"/>
      <c r="S10" s="13"/>
      <c r="T10" s="13"/>
      <c r="AF10" s="12"/>
      <c r="AG10" s="12"/>
      <c r="AH10" s="14"/>
      <c r="AI10" s="15"/>
      <c r="AJ10" s="15"/>
      <c r="AK10" s="15"/>
      <c r="AL10" s="15"/>
      <c r="AM10" s="15"/>
      <c r="AN10" s="15"/>
      <c r="AO10" s="15"/>
      <c r="AP10" s="15"/>
      <c r="AQ10" s="15"/>
      <c r="AR10" s="15"/>
      <c r="AS10" s="15"/>
      <c r="AT10" s="15"/>
      <c r="AU10" s="15"/>
      <c r="AV10" s="15"/>
      <c r="AW10" s="15"/>
      <c r="AX10" s="15"/>
      <c r="AY10" s="15"/>
      <c r="AZ10" s="15"/>
      <c r="BA10" s="15"/>
      <c r="BB10" s="15"/>
      <c r="BC10" s="15"/>
      <c r="BD10" s="15"/>
      <c r="BE10" s="15"/>
      <c r="BF10" s="15"/>
      <c r="BG10" s="15"/>
      <c r="BH10" s="15"/>
      <c r="BI10" s="15"/>
      <c r="BJ10" s="15"/>
      <c r="BK10" s="15"/>
      <c r="BL10" s="15"/>
      <c r="BM10" s="15"/>
      <c r="BN10" s="15"/>
      <c r="BO10" s="15"/>
      <c r="BP10" s="15"/>
      <c r="BQ10" s="15"/>
      <c r="BR10" s="15"/>
      <c r="BS10" s="15"/>
      <c r="BT10" s="15"/>
      <c r="BU10" s="15"/>
    </row>
    <row r="11" spans="1:73" ht="24.2" customHeight="1" thickBot="1" x14ac:dyDescent="0.25">
      <c r="B11" s="156"/>
      <c r="C11" s="163"/>
      <c r="D11" s="20" t="e">
        <f>VLOOKUP($B11,#REF!,3,0)</f>
        <v>#REF!</v>
      </c>
      <c r="E11" s="20" t="e">
        <f>VLOOKUP($B11,#REF!,4,0)</f>
        <v>#REF!</v>
      </c>
      <c r="F11" s="20" t="e">
        <f>VLOOKUP($B11,#REF!,5,0)</f>
        <v>#REF!</v>
      </c>
      <c r="G11" s="20" t="e">
        <f>VLOOKUP($B11,#REF!,6,0)</f>
        <v>#REF!</v>
      </c>
      <c r="H11" s="20" t="e">
        <f>VLOOKUP($B11,#REF!,7,0)</f>
        <v>#REF!</v>
      </c>
      <c r="I11" s="20" t="e">
        <f>VLOOKUP($B11,#REF!,8,0)</f>
        <v>#REF!</v>
      </c>
      <c r="J11" s="160"/>
      <c r="K11" s="34" t="s">
        <v>13</v>
      </c>
      <c r="L11" s="36">
        <v>112</v>
      </c>
      <c r="M11" s="36">
        <v>109</v>
      </c>
      <c r="N11" s="36">
        <v>107</v>
      </c>
      <c r="O11" s="83"/>
      <c r="P11" s="13"/>
      <c r="Q11" s="13"/>
      <c r="R11" s="13"/>
      <c r="S11" s="13"/>
      <c r="T11" s="13"/>
      <c r="AF11" s="12"/>
      <c r="AG11" s="12"/>
      <c r="AH11" s="14"/>
      <c r="AI11" s="15"/>
      <c r="AJ11" s="15"/>
      <c r="AK11" s="15"/>
      <c r="AL11" s="15"/>
      <c r="AM11" s="15"/>
      <c r="AN11" s="15"/>
      <c r="AO11" s="15"/>
      <c r="AP11" s="15"/>
      <c r="AQ11" s="15"/>
      <c r="AR11" s="15"/>
      <c r="AS11" s="15"/>
      <c r="AT11" s="15"/>
      <c r="AU11" s="15"/>
      <c r="AV11" s="15"/>
      <c r="AW11" s="15"/>
      <c r="AX11" s="15"/>
      <c r="AY11" s="15"/>
      <c r="AZ11" s="15"/>
      <c r="BA11" s="15"/>
      <c r="BB11" s="15"/>
      <c r="BC11" s="15"/>
      <c r="BD11" s="15"/>
      <c r="BE11" s="15"/>
      <c r="BF11" s="15"/>
      <c r="BG11" s="15"/>
      <c r="BH11" s="15"/>
      <c r="BI11" s="15"/>
      <c r="BJ11" s="15"/>
      <c r="BK11" s="15"/>
      <c r="BL11" s="15"/>
      <c r="BM11" s="15"/>
      <c r="BN11" s="15"/>
      <c r="BO11" s="15"/>
      <c r="BP11" s="15"/>
      <c r="BQ11" s="15"/>
      <c r="BR11" s="15"/>
      <c r="BS11" s="15"/>
      <c r="BT11" s="15"/>
      <c r="BU11" s="15"/>
    </row>
    <row r="12" spans="1:73" ht="24.2" customHeight="1" x14ac:dyDescent="0.2">
      <c r="B12" s="164">
        <v>2</v>
      </c>
      <c r="C12" s="157" t="s">
        <v>29</v>
      </c>
      <c r="D12" s="21" t="e">
        <f>VLOOKUP($B12,#REF!,3,0)</f>
        <v>#REF!</v>
      </c>
      <c r="E12" s="21" t="e">
        <f>VLOOKUP($B12,#REF!,4,0)</f>
        <v>#REF!</v>
      </c>
      <c r="F12" s="21" t="e">
        <f>VLOOKUP($B12,#REF!,5,0)</f>
        <v>#REF!</v>
      </c>
      <c r="G12" s="21" t="e">
        <f>VLOOKUP($B12,#REF!,6,0)</f>
        <v>#REF!</v>
      </c>
      <c r="H12" s="21" t="e">
        <f>VLOOKUP($B12,#REF!,7,0)</f>
        <v>#REF!</v>
      </c>
      <c r="I12" s="21" t="e">
        <f>VLOOKUP($B12,#REF!,8,0)</f>
        <v>#REF!</v>
      </c>
      <c r="J12" s="159"/>
      <c r="K12" s="33" t="s">
        <v>12</v>
      </c>
      <c r="L12" s="44" t="s">
        <v>66</v>
      </c>
      <c r="M12" s="44" t="s">
        <v>66</v>
      </c>
      <c r="N12" s="44" t="s">
        <v>66</v>
      </c>
      <c r="O12" s="81"/>
      <c r="P12" s="13"/>
      <c r="Q12" s="16"/>
      <c r="R12" s="13"/>
      <c r="S12" s="17"/>
      <c r="T12" s="13"/>
      <c r="AF12" s="12"/>
      <c r="AG12" s="12"/>
      <c r="AH12" s="12"/>
      <c r="AI12" s="18"/>
      <c r="AJ12" s="18"/>
      <c r="AK12" s="18"/>
      <c r="AL12" s="18"/>
      <c r="AM12" s="18"/>
      <c r="AN12" s="18"/>
      <c r="AO12" s="18"/>
      <c r="AP12" s="18"/>
      <c r="AQ12" s="18"/>
      <c r="AR12" s="18"/>
      <c r="AS12" s="18"/>
      <c r="AT12" s="18"/>
      <c r="AU12" s="18"/>
      <c r="AV12" s="18"/>
      <c r="AW12" s="18"/>
      <c r="AX12" s="18"/>
      <c r="AY12" s="18"/>
      <c r="AZ12" s="18"/>
      <c r="BA12" s="18"/>
      <c r="BB12" s="18"/>
      <c r="BC12" s="18"/>
      <c r="BD12" s="18"/>
      <c r="BE12" s="18"/>
      <c r="BF12" s="18"/>
      <c r="BG12" s="18"/>
      <c r="BH12" s="18"/>
      <c r="BI12" s="18"/>
      <c r="BJ12" s="18"/>
      <c r="BK12" s="18"/>
      <c r="BL12" s="18"/>
      <c r="BM12" s="18"/>
      <c r="BN12" s="18"/>
      <c r="BO12" s="18"/>
      <c r="BP12" s="18"/>
      <c r="BQ12" s="18"/>
      <c r="BR12" s="18"/>
      <c r="BS12" s="18"/>
      <c r="BT12" s="18"/>
      <c r="BU12" s="18"/>
    </row>
    <row r="13" spans="1:73" ht="24.2" customHeight="1" thickBot="1" x14ac:dyDescent="0.25">
      <c r="B13" s="156"/>
      <c r="C13" s="158"/>
      <c r="D13" s="20" t="e">
        <f>VLOOKUP($B13,#REF!,3,0)</f>
        <v>#REF!</v>
      </c>
      <c r="E13" s="20" t="e">
        <f>VLOOKUP($B13,#REF!,4,0)</f>
        <v>#REF!</v>
      </c>
      <c r="F13" s="20" t="e">
        <f>VLOOKUP($B13,#REF!,5,0)</f>
        <v>#REF!</v>
      </c>
      <c r="G13" s="20" t="e">
        <f>VLOOKUP($B13,#REF!,6,0)</f>
        <v>#REF!</v>
      </c>
      <c r="H13" s="20" t="e">
        <f>VLOOKUP($B13,#REF!,7,0)</f>
        <v>#REF!</v>
      </c>
      <c r="I13" s="20" t="e">
        <f>VLOOKUP($B13,#REF!,8,0)</f>
        <v>#REF!</v>
      </c>
      <c r="J13" s="160"/>
      <c r="K13" s="34" t="s">
        <v>13</v>
      </c>
      <c r="L13" s="37">
        <v>111</v>
      </c>
      <c r="M13" s="36">
        <v>114</v>
      </c>
      <c r="N13" s="36">
        <v>114</v>
      </c>
      <c r="O13" s="43"/>
      <c r="P13" s="13"/>
      <c r="Q13" s="13"/>
      <c r="R13" s="13"/>
      <c r="S13" s="13"/>
      <c r="T13" s="13"/>
      <c r="AF13" s="12"/>
      <c r="AG13" s="12"/>
      <c r="AH13" s="14"/>
      <c r="AI13" s="15"/>
      <c r="AJ13" s="15"/>
      <c r="AK13" s="15"/>
      <c r="AL13" s="15"/>
      <c r="AM13" s="15"/>
      <c r="AN13" s="15"/>
      <c r="AO13" s="15"/>
      <c r="AP13" s="15"/>
      <c r="AQ13" s="15"/>
      <c r="AR13" s="15"/>
      <c r="AS13" s="15"/>
      <c r="AT13" s="15"/>
      <c r="AU13" s="15"/>
      <c r="AV13" s="15"/>
      <c r="AW13" s="15"/>
      <c r="AX13" s="15"/>
      <c r="AY13" s="15"/>
      <c r="AZ13" s="15"/>
      <c r="BA13" s="15"/>
      <c r="BB13" s="15"/>
      <c r="BC13" s="15"/>
      <c r="BD13" s="15"/>
      <c r="BE13" s="15"/>
      <c r="BF13" s="15"/>
      <c r="BG13" s="15"/>
      <c r="BH13" s="15"/>
      <c r="BI13" s="15"/>
      <c r="BJ13" s="15"/>
      <c r="BK13" s="15"/>
      <c r="BL13" s="15"/>
      <c r="BM13" s="15"/>
      <c r="BN13" s="15"/>
      <c r="BO13" s="15"/>
      <c r="BP13" s="15"/>
      <c r="BQ13" s="15"/>
      <c r="BR13" s="15"/>
      <c r="BS13" s="15"/>
      <c r="BT13" s="15"/>
      <c r="BU13" s="15"/>
    </row>
    <row r="14" spans="1:73" ht="24.2" customHeight="1" x14ac:dyDescent="0.2">
      <c r="B14" s="164">
        <v>3</v>
      </c>
      <c r="C14" s="157" t="s">
        <v>28</v>
      </c>
      <c r="D14" s="19" t="e">
        <f>VLOOKUP($B14,#REF!,3,0)</f>
        <v>#REF!</v>
      </c>
      <c r="E14" s="19" t="e">
        <f>VLOOKUP($B14,#REF!,4,0)</f>
        <v>#REF!</v>
      </c>
      <c r="F14" s="19" t="e">
        <f>VLOOKUP($B14,#REF!,5,0)</f>
        <v>#REF!</v>
      </c>
      <c r="G14" s="19" t="e">
        <f>VLOOKUP($B14,#REF!,6,0)</f>
        <v>#REF!</v>
      </c>
      <c r="H14" s="19" t="e">
        <f>VLOOKUP($B14,#REF!,7,0)</f>
        <v>#REF!</v>
      </c>
      <c r="I14" s="19" t="e">
        <f>VLOOKUP($B14,#REF!,8,0)</f>
        <v>#REF!</v>
      </c>
      <c r="J14" s="159"/>
      <c r="K14" s="22" t="s">
        <v>12</v>
      </c>
      <c r="L14" s="44" t="s">
        <v>66</v>
      </c>
      <c r="M14" s="44" t="s">
        <v>66</v>
      </c>
      <c r="N14" s="44" t="s">
        <v>66</v>
      </c>
      <c r="O14" s="197"/>
      <c r="P14" s="13"/>
      <c r="Q14" s="13"/>
      <c r="R14" s="13"/>
      <c r="S14" s="13"/>
      <c r="T14" s="13"/>
      <c r="AF14" s="12"/>
      <c r="AG14" s="12"/>
      <c r="AH14" s="12"/>
    </row>
    <row r="15" spans="1:73" ht="24.2" customHeight="1" thickBot="1" x14ac:dyDescent="0.25">
      <c r="B15" s="156"/>
      <c r="C15" s="163"/>
      <c r="D15" s="20" t="e">
        <f>VLOOKUP($B15,#REF!,3,0)</f>
        <v>#REF!</v>
      </c>
      <c r="E15" s="20" t="e">
        <f>VLOOKUP($B15,#REF!,4,0)</f>
        <v>#REF!</v>
      </c>
      <c r="F15" s="20" t="e">
        <f>VLOOKUP($B15,#REF!,5,0)</f>
        <v>#REF!</v>
      </c>
      <c r="G15" s="20" t="e">
        <f>VLOOKUP($B15,#REF!,6,0)</f>
        <v>#REF!</v>
      </c>
      <c r="H15" s="20" t="e">
        <f>VLOOKUP($B15,#REF!,7,0)</f>
        <v>#REF!</v>
      </c>
      <c r="I15" s="20" t="e">
        <f>VLOOKUP($B15,#REF!,8,0)</f>
        <v>#REF!</v>
      </c>
      <c r="J15" s="160"/>
      <c r="K15" s="34" t="s">
        <v>13</v>
      </c>
      <c r="L15" s="36">
        <v>109</v>
      </c>
      <c r="M15" s="36">
        <v>114</v>
      </c>
      <c r="N15" s="36">
        <v>109</v>
      </c>
      <c r="O15" s="198"/>
      <c r="P15" s="13"/>
      <c r="Q15" s="13"/>
      <c r="R15" s="13"/>
      <c r="S15" s="13"/>
      <c r="T15" s="13"/>
      <c r="AF15" s="12"/>
      <c r="AG15" s="12"/>
      <c r="AH15" s="14"/>
      <c r="AI15" s="15"/>
      <c r="AJ15" s="15"/>
      <c r="AK15" s="15"/>
      <c r="AL15" s="15"/>
      <c r="AM15" s="15"/>
      <c r="AN15" s="15"/>
      <c r="AO15" s="15"/>
      <c r="AP15" s="15"/>
      <c r="AQ15" s="15"/>
      <c r="AR15" s="15"/>
      <c r="AS15" s="15"/>
      <c r="AT15" s="15"/>
      <c r="AU15" s="15"/>
      <c r="AV15" s="15"/>
      <c r="AW15" s="15"/>
      <c r="AX15" s="15"/>
      <c r="AY15" s="15"/>
      <c r="AZ15" s="15"/>
      <c r="BA15" s="15"/>
      <c r="BB15" s="15"/>
      <c r="BC15" s="15"/>
      <c r="BD15" s="15"/>
      <c r="BE15" s="15"/>
      <c r="BF15" s="15"/>
      <c r="BG15" s="15"/>
      <c r="BH15" s="15"/>
      <c r="BI15" s="15"/>
      <c r="BJ15" s="15"/>
      <c r="BK15" s="15"/>
      <c r="BL15" s="15"/>
      <c r="BM15" s="15"/>
      <c r="BN15" s="15"/>
      <c r="BO15" s="15"/>
      <c r="BP15" s="15"/>
      <c r="BQ15" s="15"/>
      <c r="BR15" s="15"/>
      <c r="BS15" s="15"/>
      <c r="BT15" s="15"/>
      <c r="BU15" s="15"/>
    </row>
    <row r="16" spans="1:73" ht="24.2" customHeight="1" x14ac:dyDescent="0.2">
      <c r="B16" s="164">
        <v>4</v>
      </c>
      <c r="C16" s="157" t="s">
        <v>29</v>
      </c>
      <c r="D16" s="19" t="e">
        <f>VLOOKUP($B16,#REF!,3,0)</f>
        <v>#REF!</v>
      </c>
      <c r="E16" s="19" t="e">
        <f>VLOOKUP($B16,#REF!,4,0)</f>
        <v>#REF!</v>
      </c>
      <c r="F16" s="19" t="e">
        <f>VLOOKUP($B16,#REF!,5,0)</f>
        <v>#REF!</v>
      </c>
      <c r="G16" s="19" t="e">
        <f>VLOOKUP($B16,#REF!,6,0)</f>
        <v>#REF!</v>
      </c>
      <c r="H16" s="19" t="e">
        <f>VLOOKUP($B16,#REF!,7,0)</f>
        <v>#REF!</v>
      </c>
      <c r="I16" s="19" t="e">
        <f>VLOOKUP($B16,#REF!,8,0)</f>
        <v>#REF!</v>
      </c>
      <c r="J16" s="159"/>
      <c r="K16" s="22" t="s">
        <v>12</v>
      </c>
      <c r="L16" s="44" t="s">
        <v>66</v>
      </c>
      <c r="M16" s="44" t="s">
        <v>66</v>
      </c>
      <c r="N16" s="44" t="s">
        <v>66</v>
      </c>
      <c r="O16" s="161"/>
      <c r="P16" s="13"/>
      <c r="Q16" s="13"/>
      <c r="R16" s="13"/>
      <c r="S16" s="13"/>
      <c r="T16" s="13"/>
    </row>
    <row r="17" spans="2:73" ht="24.2" customHeight="1" thickBot="1" x14ac:dyDescent="0.25">
      <c r="B17" s="156"/>
      <c r="C17" s="158"/>
      <c r="D17" s="20" t="e">
        <f>VLOOKUP($B17,#REF!,3,0)</f>
        <v>#REF!</v>
      </c>
      <c r="E17" s="20" t="e">
        <f>VLOOKUP($B17,#REF!,4,0)</f>
        <v>#REF!</v>
      </c>
      <c r="F17" s="20" t="e">
        <f>VLOOKUP($B17,#REF!,5,0)</f>
        <v>#REF!</v>
      </c>
      <c r="G17" s="20" t="e">
        <f>VLOOKUP($B17,#REF!,6,0)</f>
        <v>#REF!</v>
      </c>
      <c r="H17" s="20" t="e">
        <f>VLOOKUP($B17,#REF!,7,0)</f>
        <v>#REF!</v>
      </c>
      <c r="I17" s="20" t="e">
        <f>VLOOKUP($B17,#REF!,8,0)</f>
        <v>#REF!</v>
      </c>
      <c r="J17" s="160"/>
      <c r="K17" s="34" t="s">
        <v>13</v>
      </c>
      <c r="L17" s="36">
        <v>120</v>
      </c>
      <c r="M17" s="36">
        <v>126</v>
      </c>
      <c r="N17" s="36">
        <v>118</v>
      </c>
      <c r="O17" s="162"/>
      <c r="P17" s="13"/>
      <c r="Q17" s="13"/>
      <c r="R17" s="13"/>
      <c r="S17" s="13"/>
      <c r="T17" s="13"/>
      <c r="AF17" s="12"/>
      <c r="AG17" s="12"/>
      <c r="AH17" s="14"/>
      <c r="AI17" s="15"/>
      <c r="AJ17" s="15"/>
      <c r="AK17" s="15"/>
      <c r="AL17" s="15"/>
      <c r="AM17" s="15"/>
      <c r="AN17" s="15"/>
      <c r="AO17" s="15"/>
      <c r="AP17" s="15"/>
      <c r="AQ17" s="15"/>
      <c r="AR17" s="15"/>
      <c r="AS17" s="15"/>
      <c r="AT17" s="15"/>
      <c r="AU17" s="15"/>
      <c r="AV17" s="15"/>
      <c r="AW17" s="15"/>
      <c r="AX17" s="15"/>
      <c r="AY17" s="15"/>
      <c r="AZ17" s="15"/>
      <c r="BA17" s="15"/>
      <c r="BB17" s="15"/>
      <c r="BC17" s="15"/>
      <c r="BD17" s="15"/>
      <c r="BE17" s="15"/>
      <c r="BF17" s="15"/>
      <c r="BG17" s="15"/>
      <c r="BH17" s="15"/>
      <c r="BI17" s="15"/>
      <c r="BJ17" s="15"/>
      <c r="BK17" s="15"/>
      <c r="BL17" s="15"/>
      <c r="BM17" s="15"/>
      <c r="BN17" s="15"/>
      <c r="BO17" s="15"/>
      <c r="BP17" s="15"/>
      <c r="BQ17" s="15"/>
      <c r="BR17" s="15"/>
      <c r="BS17" s="15"/>
      <c r="BT17" s="15"/>
      <c r="BU17" s="15"/>
    </row>
    <row r="18" spans="2:73" ht="24.2" customHeight="1" x14ac:dyDescent="0.2">
      <c r="B18" s="164">
        <v>5</v>
      </c>
      <c r="C18" s="157" t="s">
        <v>28</v>
      </c>
      <c r="D18" s="19" t="e">
        <f>VLOOKUP($B18,#REF!,3,0)</f>
        <v>#REF!</v>
      </c>
      <c r="E18" s="19" t="e">
        <f>VLOOKUP($B18,#REF!,4,0)</f>
        <v>#REF!</v>
      </c>
      <c r="F18" s="19" t="e">
        <f>VLOOKUP($B18,#REF!,5,0)</f>
        <v>#REF!</v>
      </c>
      <c r="G18" s="19" t="e">
        <f>VLOOKUP($B18,#REF!,6,0)</f>
        <v>#REF!</v>
      </c>
      <c r="H18" s="19" t="e">
        <f>VLOOKUP($B18,#REF!,7,0)</f>
        <v>#REF!</v>
      </c>
      <c r="I18" s="19" t="e">
        <f>VLOOKUP($B18,#REF!,8,0)</f>
        <v>#REF!</v>
      </c>
      <c r="J18" s="159"/>
      <c r="K18" s="22" t="s">
        <v>12</v>
      </c>
      <c r="L18" s="44" t="s">
        <v>66</v>
      </c>
      <c r="M18" s="44" t="s">
        <v>66</v>
      </c>
      <c r="N18" s="44" t="s">
        <v>66</v>
      </c>
      <c r="O18" s="161"/>
      <c r="P18" s="13"/>
      <c r="Q18" s="13"/>
      <c r="R18" s="13"/>
      <c r="S18" s="13"/>
      <c r="T18" s="13"/>
      <c r="AF18" s="12"/>
      <c r="AG18" s="12"/>
      <c r="AH18" s="12"/>
    </row>
    <row r="19" spans="2:73" ht="24.2" customHeight="1" thickBot="1" x14ac:dyDescent="0.25">
      <c r="B19" s="156"/>
      <c r="C19" s="163"/>
      <c r="D19" s="20" t="e">
        <f>VLOOKUP($B19,#REF!,3,0)</f>
        <v>#REF!</v>
      </c>
      <c r="E19" s="20" t="e">
        <f>VLOOKUP($B19,#REF!,4,0)</f>
        <v>#REF!</v>
      </c>
      <c r="F19" s="20" t="e">
        <f>VLOOKUP($B19,#REF!,5,0)</f>
        <v>#REF!</v>
      </c>
      <c r="G19" s="20" t="e">
        <f>VLOOKUP($B19,#REF!,6,0)</f>
        <v>#REF!</v>
      </c>
      <c r="H19" s="20" t="e">
        <f>VLOOKUP($B19,#REF!,7,0)</f>
        <v>#REF!</v>
      </c>
      <c r="I19" s="20" t="e">
        <f>VLOOKUP($B19,#REF!,8,0)</f>
        <v>#REF!</v>
      </c>
      <c r="J19" s="160"/>
      <c r="K19" s="34" t="s">
        <v>13</v>
      </c>
      <c r="L19" s="36">
        <v>117</v>
      </c>
      <c r="M19" s="36">
        <v>120</v>
      </c>
      <c r="N19" s="36">
        <v>114</v>
      </c>
      <c r="O19" s="162"/>
      <c r="P19" s="13"/>
      <c r="Q19" s="13"/>
      <c r="R19" s="13"/>
      <c r="S19" s="13"/>
      <c r="T19" s="13"/>
      <c r="AF19" s="12"/>
      <c r="AG19" s="12"/>
      <c r="AH19" s="14"/>
      <c r="AI19" s="15"/>
      <c r="AJ19" s="15"/>
      <c r="AK19" s="15"/>
      <c r="AL19" s="15"/>
      <c r="AM19" s="15"/>
      <c r="AN19" s="15"/>
      <c r="AO19" s="15"/>
      <c r="AP19" s="15"/>
      <c r="AQ19" s="15"/>
      <c r="AR19" s="15"/>
      <c r="AS19" s="15"/>
      <c r="AT19" s="15"/>
      <c r="AU19" s="15"/>
      <c r="AV19" s="15"/>
      <c r="AW19" s="15"/>
      <c r="AX19" s="15"/>
      <c r="AY19" s="15"/>
      <c r="AZ19" s="15"/>
      <c r="BA19" s="15"/>
      <c r="BB19" s="15"/>
      <c r="BC19" s="15"/>
      <c r="BD19" s="15"/>
      <c r="BE19" s="15"/>
      <c r="BF19" s="15"/>
      <c r="BG19" s="15"/>
      <c r="BH19" s="15"/>
      <c r="BI19" s="15"/>
      <c r="BJ19" s="15"/>
      <c r="BK19" s="15"/>
      <c r="BL19" s="15"/>
      <c r="BM19" s="15"/>
      <c r="BN19" s="15"/>
      <c r="BO19" s="15"/>
      <c r="BP19" s="15"/>
      <c r="BQ19" s="15"/>
      <c r="BR19" s="15"/>
      <c r="BS19" s="15"/>
      <c r="BT19" s="15"/>
      <c r="BU19" s="15"/>
    </row>
    <row r="20" spans="2:73" ht="24.2" customHeight="1" x14ac:dyDescent="0.2">
      <c r="B20" s="164">
        <v>6</v>
      </c>
      <c r="C20" s="157" t="s">
        <v>29</v>
      </c>
      <c r="D20" s="19" t="e">
        <f>VLOOKUP($B20,#REF!,3,0)</f>
        <v>#REF!</v>
      </c>
      <c r="E20" s="19" t="e">
        <f>VLOOKUP($B20,#REF!,4,0)</f>
        <v>#REF!</v>
      </c>
      <c r="F20" s="19" t="e">
        <f>VLOOKUP($B20,#REF!,5,0)</f>
        <v>#REF!</v>
      </c>
      <c r="G20" s="19" t="e">
        <f>VLOOKUP($B20,#REF!,6,0)</f>
        <v>#REF!</v>
      </c>
      <c r="H20" s="19" t="e">
        <f>VLOOKUP($B20,#REF!,7,0)</f>
        <v>#REF!</v>
      </c>
      <c r="I20" s="19" t="e">
        <f>VLOOKUP($B20,#REF!,8,0)</f>
        <v>#REF!</v>
      </c>
      <c r="J20" s="159"/>
      <c r="K20" s="22" t="s">
        <v>12</v>
      </c>
      <c r="L20" s="44" t="s">
        <v>66</v>
      </c>
      <c r="M20" s="44" t="s">
        <v>66</v>
      </c>
      <c r="N20" s="44" t="s">
        <v>66</v>
      </c>
      <c r="O20" s="161"/>
      <c r="P20" s="13"/>
      <c r="Q20" s="13"/>
      <c r="R20" s="13"/>
      <c r="S20" s="13"/>
      <c r="T20" s="13"/>
      <c r="AF20" s="12"/>
      <c r="AG20" s="12"/>
      <c r="AH20" s="12"/>
    </row>
    <row r="21" spans="2:73" ht="24.2" customHeight="1" thickBot="1" x14ac:dyDescent="0.25">
      <c r="B21" s="156"/>
      <c r="C21" s="158"/>
      <c r="D21" s="20" t="e">
        <f>VLOOKUP($B21,#REF!,3,0)</f>
        <v>#REF!</v>
      </c>
      <c r="E21" s="20" t="e">
        <f>VLOOKUP($B21,#REF!,4,0)</f>
        <v>#REF!</v>
      </c>
      <c r="F21" s="20" t="e">
        <f>VLOOKUP($B21,#REF!,5,0)</f>
        <v>#REF!</v>
      </c>
      <c r="G21" s="20" t="e">
        <f>VLOOKUP($B21,#REF!,6,0)</f>
        <v>#REF!</v>
      </c>
      <c r="H21" s="20" t="e">
        <f>VLOOKUP($B21,#REF!,7,0)</f>
        <v>#REF!</v>
      </c>
      <c r="I21" s="20" t="e">
        <f>VLOOKUP($B21,#REF!,8,0)</f>
        <v>#REF!</v>
      </c>
      <c r="J21" s="160"/>
      <c r="K21" s="34" t="s">
        <v>13</v>
      </c>
      <c r="L21" s="36">
        <v>109</v>
      </c>
      <c r="M21" s="36">
        <v>124</v>
      </c>
      <c r="N21" s="36">
        <v>114</v>
      </c>
      <c r="O21" s="162"/>
      <c r="P21" s="13"/>
      <c r="Q21" s="13"/>
      <c r="R21" s="13"/>
      <c r="S21" s="13"/>
      <c r="T21" s="13"/>
      <c r="AF21" s="12"/>
      <c r="AG21" s="12"/>
      <c r="AH21" s="14"/>
      <c r="AI21" s="15"/>
      <c r="AJ21" s="15"/>
      <c r="AK21" s="15"/>
      <c r="AL21" s="15"/>
      <c r="AM21" s="15"/>
      <c r="AN21" s="15"/>
      <c r="AO21" s="15"/>
      <c r="AP21" s="15"/>
      <c r="AQ21" s="15"/>
      <c r="AR21" s="15"/>
      <c r="AS21" s="15"/>
      <c r="AT21" s="15"/>
      <c r="AU21" s="15"/>
      <c r="AV21" s="15"/>
      <c r="AW21" s="15"/>
      <c r="AX21" s="15"/>
      <c r="AY21" s="15"/>
      <c r="AZ21" s="15"/>
      <c r="BA21" s="15"/>
      <c r="BB21" s="15"/>
      <c r="BC21" s="15"/>
      <c r="BD21" s="15"/>
      <c r="BE21" s="15"/>
      <c r="BF21" s="15"/>
      <c r="BG21" s="15"/>
      <c r="BH21" s="15"/>
      <c r="BI21" s="15"/>
      <c r="BJ21" s="15"/>
      <c r="BK21" s="15"/>
      <c r="BL21" s="15"/>
      <c r="BM21" s="15"/>
      <c r="BN21" s="15"/>
      <c r="BO21" s="15"/>
      <c r="BP21" s="15"/>
      <c r="BQ21" s="15"/>
      <c r="BR21" s="15"/>
      <c r="BS21" s="15"/>
      <c r="BT21" s="15"/>
      <c r="BU21" s="15"/>
    </row>
    <row r="22" spans="2:73" ht="24.2" customHeight="1" x14ac:dyDescent="0.2">
      <c r="B22" s="164">
        <v>7</v>
      </c>
      <c r="C22" s="157" t="s">
        <v>28</v>
      </c>
      <c r="D22" s="19" t="e">
        <f>VLOOKUP($B22,#REF!,3,0)</f>
        <v>#REF!</v>
      </c>
      <c r="E22" s="19" t="e">
        <f>VLOOKUP($B22,#REF!,4,0)</f>
        <v>#REF!</v>
      </c>
      <c r="F22" s="19" t="e">
        <f>VLOOKUP($B22,#REF!,5,0)</f>
        <v>#REF!</v>
      </c>
      <c r="G22" s="19" t="e">
        <f>VLOOKUP($B22,#REF!,6,0)</f>
        <v>#REF!</v>
      </c>
      <c r="H22" s="19" t="e">
        <f>VLOOKUP($B22,#REF!,7,0)</f>
        <v>#REF!</v>
      </c>
      <c r="I22" s="19" t="e">
        <f>VLOOKUP($B22,#REF!,8,0)</f>
        <v>#REF!</v>
      </c>
      <c r="J22" s="159"/>
      <c r="K22" s="22" t="s">
        <v>12</v>
      </c>
      <c r="L22" s="44" t="s">
        <v>66</v>
      </c>
      <c r="M22" s="44" t="s">
        <v>66</v>
      </c>
      <c r="N22" s="44" t="s">
        <v>66</v>
      </c>
      <c r="O22" s="161"/>
      <c r="P22" s="13"/>
      <c r="Q22" s="13"/>
      <c r="R22" s="13"/>
      <c r="S22" s="13"/>
      <c r="T22" s="13"/>
      <c r="AF22" s="12"/>
      <c r="AG22" s="12"/>
      <c r="AH22" s="12"/>
    </row>
    <row r="23" spans="2:73" ht="24.2" customHeight="1" thickBot="1" x14ac:dyDescent="0.25">
      <c r="B23" s="156"/>
      <c r="C23" s="163"/>
      <c r="D23" s="20" t="e">
        <f>VLOOKUP($B23,#REF!,3,0)</f>
        <v>#REF!</v>
      </c>
      <c r="E23" s="20" t="e">
        <f>VLOOKUP($B23,#REF!,4,0)</f>
        <v>#REF!</v>
      </c>
      <c r="F23" s="20" t="e">
        <f>VLOOKUP($B23,#REF!,5,0)</f>
        <v>#REF!</v>
      </c>
      <c r="G23" s="20" t="e">
        <f>VLOOKUP($B23,#REF!,6,0)</f>
        <v>#REF!</v>
      </c>
      <c r="H23" s="20" t="e">
        <f>VLOOKUP($B23,#REF!,7,0)</f>
        <v>#REF!</v>
      </c>
      <c r="I23" s="20" t="e">
        <f>VLOOKUP($B23,#REF!,8,0)</f>
        <v>#REF!</v>
      </c>
      <c r="J23" s="160"/>
      <c r="K23" s="34" t="s">
        <v>13</v>
      </c>
      <c r="L23" s="36">
        <v>120</v>
      </c>
      <c r="M23" s="36">
        <v>128</v>
      </c>
      <c r="N23" s="36">
        <v>126</v>
      </c>
      <c r="O23" s="162"/>
      <c r="P23" s="13"/>
      <c r="Q23" s="13"/>
      <c r="R23" s="13"/>
      <c r="S23" s="13"/>
      <c r="T23" s="13"/>
      <c r="AF23" s="12"/>
      <c r="AG23" s="12"/>
      <c r="AH23" s="14"/>
      <c r="AI23" s="15"/>
      <c r="AJ23" s="15"/>
      <c r="AK23" s="15"/>
      <c r="AL23" s="15"/>
      <c r="AM23" s="15"/>
      <c r="AN23" s="15"/>
      <c r="AO23" s="15"/>
      <c r="AP23" s="15"/>
      <c r="AQ23" s="15"/>
      <c r="AR23" s="15"/>
      <c r="AS23" s="15"/>
      <c r="AT23" s="15"/>
      <c r="AU23" s="15"/>
      <c r="AV23" s="15"/>
      <c r="AW23" s="15"/>
      <c r="AX23" s="15"/>
      <c r="AY23" s="15"/>
      <c r="AZ23" s="15"/>
      <c r="BA23" s="15"/>
      <c r="BB23" s="15"/>
      <c r="BC23" s="15"/>
      <c r="BD23" s="15"/>
      <c r="BE23" s="15"/>
      <c r="BF23" s="15"/>
      <c r="BG23" s="15"/>
      <c r="BH23" s="15"/>
      <c r="BI23" s="15"/>
      <c r="BJ23" s="15"/>
      <c r="BK23" s="15"/>
      <c r="BL23" s="15"/>
      <c r="BM23" s="15"/>
      <c r="BN23" s="15"/>
      <c r="BO23" s="15"/>
      <c r="BP23" s="15"/>
      <c r="BQ23" s="15"/>
      <c r="BR23" s="15"/>
      <c r="BS23" s="15"/>
      <c r="BT23" s="15"/>
      <c r="BU23" s="15"/>
    </row>
    <row r="24" spans="2:73" ht="24.2" customHeight="1" x14ac:dyDescent="0.2">
      <c r="B24" s="164">
        <v>8</v>
      </c>
      <c r="C24" s="157" t="s">
        <v>29</v>
      </c>
      <c r="D24" s="19" t="e">
        <f>VLOOKUP($B24,#REF!,3,0)</f>
        <v>#REF!</v>
      </c>
      <c r="E24" s="19" t="e">
        <f>VLOOKUP($B24,#REF!,4,0)</f>
        <v>#REF!</v>
      </c>
      <c r="F24" s="19" t="e">
        <f>VLOOKUP($B24,#REF!,5,0)</f>
        <v>#REF!</v>
      </c>
      <c r="G24" s="19" t="e">
        <f>VLOOKUP($B24,#REF!,6,0)</f>
        <v>#REF!</v>
      </c>
      <c r="H24" s="19" t="e">
        <f>VLOOKUP($B24,#REF!,7,0)</f>
        <v>#REF!</v>
      </c>
      <c r="I24" s="19" t="e">
        <f>VLOOKUP($B24,#REF!,8,0)</f>
        <v>#REF!</v>
      </c>
      <c r="J24" s="159"/>
      <c r="K24" s="22" t="s">
        <v>12</v>
      </c>
      <c r="L24" s="44" t="s">
        <v>66</v>
      </c>
      <c r="M24" s="44" t="s">
        <v>66</v>
      </c>
      <c r="N24" s="44" t="s">
        <v>66</v>
      </c>
      <c r="O24" s="161"/>
      <c r="P24" s="13"/>
      <c r="Q24" s="13"/>
      <c r="R24" s="13"/>
      <c r="S24" s="13"/>
      <c r="T24" s="13"/>
      <c r="AF24" s="9"/>
      <c r="AG24" s="9"/>
      <c r="AH24" s="9"/>
    </row>
    <row r="25" spans="2:73" ht="24.2" customHeight="1" thickBot="1" x14ac:dyDescent="0.25">
      <c r="B25" s="156"/>
      <c r="C25" s="158"/>
      <c r="D25" s="20" t="e">
        <f>VLOOKUP($B25,#REF!,3,0)</f>
        <v>#REF!</v>
      </c>
      <c r="E25" s="20" t="e">
        <f>VLOOKUP($B25,#REF!,4,0)</f>
        <v>#REF!</v>
      </c>
      <c r="F25" s="20" t="e">
        <f>VLOOKUP($B25,#REF!,5,0)</f>
        <v>#REF!</v>
      </c>
      <c r="G25" s="20" t="e">
        <f>VLOOKUP($B25,#REF!,6,0)</f>
        <v>#REF!</v>
      </c>
      <c r="H25" s="20" t="e">
        <f>VLOOKUP($B25,#REF!,7,0)</f>
        <v>#REF!</v>
      </c>
      <c r="I25" s="20" t="e">
        <f>VLOOKUP($B25,#REF!,8,0)</f>
        <v>#REF!</v>
      </c>
      <c r="J25" s="160"/>
      <c r="K25" s="34" t="s">
        <v>13</v>
      </c>
      <c r="L25" s="36">
        <v>126</v>
      </c>
      <c r="M25" s="36">
        <v>123</v>
      </c>
      <c r="N25" s="36">
        <v>111</v>
      </c>
      <c r="O25" s="162"/>
      <c r="P25" s="13"/>
      <c r="Q25" s="13"/>
      <c r="R25" s="13"/>
      <c r="S25" s="13"/>
      <c r="T25" s="13"/>
      <c r="AF25" s="12"/>
      <c r="AG25" s="12"/>
      <c r="AH25" s="14"/>
      <c r="AI25" s="15"/>
      <c r="AJ25" s="15"/>
      <c r="AK25" s="15"/>
      <c r="AL25" s="15"/>
      <c r="AM25" s="15"/>
      <c r="AN25" s="15"/>
      <c r="AO25" s="15"/>
      <c r="AP25" s="15"/>
      <c r="AQ25" s="15"/>
      <c r="AR25" s="15"/>
      <c r="AS25" s="15"/>
      <c r="AT25" s="15"/>
      <c r="AU25" s="15"/>
      <c r="AV25" s="15"/>
      <c r="AW25" s="15"/>
      <c r="AX25" s="15"/>
      <c r="AY25" s="15"/>
      <c r="AZ25" s="15"/>
      <c r="BA25" s="15"/>
      <c r="BB25" s="15"/>
      <c r="BC25" s="15"/>
      <c r="BD25" s="15"/>
      <c r="BE25" s="15"/>
      <c r="BF25" s="15"/>
      <c r="BG25" s="15"/>
      <c r="BH25" s="15"/>
      <c r="BI25" s="15"/>
      <c r="BJ25" s="15"/>
      <c r="BK25" s="15"/>
      <c r="BL25" s="15"/>
      <c r="BM25" s="15"/>
      <c r="BN25" s="15"/>
      <c r="BO25" s="15"/>
      <c r="BP25" s="15"/>
      <c r="BQ25" s="15"/>
      <c r="BR25" s="15"/>
      <c r="BS25" s="15"/>
      <c r="BT25" s="15"/>
      <c r="BU25" s="15"/>
    </row>
    <row r="26" spans="2:73" ht="24.2" customHeight="1" x14ac:dyDescent="0.2">
      <c r="B26" s="164">
        <v>9</v>
      </c>
      <c r="C26" s="157" t="s">
        <v>28</v>
      </c>
      <c r="D26" s="19" t="e">
        <f>VLOOKUP($B26,#REF!,3,0)</f>
        <v>#REF!</v>
      </c>
      <c r="E26" s="19" t="e">
        <f>VLOOKUP($B26,#REF!,4,0)</f>
        <v>#REF!</v>
      </c>
      <c r="F26" s="19" t="e">
        <f>VLOOKUP($B26,#REF!,5,0)</f>
        <v>#REF!</v>
      </c>
      <c r="G26" s="19" t="e">
        <f>VLOOKUP($B26,#REF!,6,0)</f>
        <v>#REF!</v>
      </c>
      <c r="H26" s="19" t="e">
        <f>VLOOKUP($B26,#REF!,7,0)</f>
        <v>#REF!</v>
      </c>
      <c r="I26" s="19" t="e">
        <f>VLOOKUP($B26,#REF!,8,0)</f>
        <v>#REF!</v>
      </c>
      <c r="J26" s="159">
        <v>945</v>
      </c>
      <c r="K26" s="22" t="s">
        <v>12</v>
      </c>
      <c r="L26" s="44">
        <v>99</v>
      </c>
      <c r="M26" s="44" t="s">
        <v>66</v>
      </c>
      <c r="N26" s="44">
        <v>92</v>
      </c>
      <c r="O26" s="161"/>
      <c r="P26" s="13"/>
      <c r="Q26" s="13"/>
      <c r="R26" s="13"/>
      <c r="S26" s="13"/>
      <c r="T26" s="13"/>
      <c r="AF26" s="12"/>
      <c r="AG26" s="12"/>
      <c r="AH26" s="12"/>
    </row>
    <row r="27" spans="2:73" ht="24.2" customHeight="1" thickBot="1" x14ac:dyDescent="0.25">
      <c r="B27" s="156"/>
      <c r="C27" s="163"/>
      <c r="D27" s="20" t="e">
        <f>VLOOKUP($B27,#REF!,3,0)</f>
        <v>#REF!</v>
      </c>
      <c r="E27" s="20" t="e">
        <f>VLOOKUP($B27,#REF!,4,0)</f>
        <v>#REF!</v>
      </c>
      <c r="F27" s="20" t="e">
        <f>VLOOKUP($B27,#REF!,5,0)</f>
        <v>#REF!</v>
      </c>
      <c r="G27" s="20" t="e">
        <f>VLOOKUP($B27,#REF!,6,0)</f>
        <v>#REF!</v>
      </c>
      <c r="H27" s="20" t="e">
        <f>VLOOKUP($B27,#REF!,7,0)</f>
        <v>#REF!</v>
      </c>
      <c r="I27" s="20" t="e">
        <f>VLOOKUP($B27,#REF!,8,0)</f>
        <v>#REF!</v>
      </c>
      <c r="J27" s="160"/>
      <c r="K27" s="34" t="s">
        <v>13</v>
      </c>
      <c r="L27" s="36">
        <v>107</v>
      </c>
      <c r="M27" s="36">
        <v>111</v>
      </c>
      <c r="N27" s="36">
        <v>104</v>
      </c>
      <c r="O27" s="162"/>
      <c r="P27" s="13"/>
      <c r="Q27" s="13"/>
      <c r="R27" s="13"/>
      <c r="S27" s="13"/>
      <c r="T27" s="13"/>
      <c r="AF27" s="12"/>
      <c r="AG27" s="12"/>
      <c r="AH27" s="14"/>
      <c r="AI27" s="15"/>
      <c r="AJ27" s="15"/>
      <c r="AK27" s="15"/>
      <c r="AL27" s="15"/>
      <c r="AM27" s="15"/>
      <c r="AN27" s="15"/>
      <c r="AO27" s="15"/>
      <c r="AP27" s="15"/>
      <c r="AQ27" s="15"/>
      <c r="AR27" s="15"/>
      <c r="AS27" s="15"/>
      <c r="AT27" s="15"/>
      <c r="AU27" s="15"/>
      <c r="AV27" s="15"/>
      <c r="AW27" s="15"/>
      <c r="AX27" s="15"/>
      <c r="AY27" s="15"/>
      <c r="AZ27" s="15"/>
      <c r="BA27" s="15"/>
      <c r="BB27" s="15"/>
      <c r="BC27" s="15"/>
      <c r="BD27" s="15"/>
      <c r="BE27" s="15"/>
      <c r="BF27" s="15"/>
      <c r="BG27" s="15"/>
      <c r="BH27" s="15"/>
      <c r="BI27" s="15"/>
      <c r="BJ27" s="15"/>
      <c r="BK27" s="15"/>
      <c r="BL27" s="15"/>
      <c r="BM27" s="15"/>
      <c r="BN27" s="15"/>
      <c r="BO27" s="15"/>
      <c r="BP27" s="15"/>
      <c r="BQ27" s="15"/>
      <c r="BR27" s="15"/>
      <c r="BS27" s="15"/>
      <c r="BT27" s="15"/>
      <c r="BU27" s="15"/>
    </row>
    <row r="28" spans="2:73" ht="24.2" customHeight="1" x14ac:dyDescent="0.2">
      <c r="B28" s="155">
        <v>10</v>
      </c>
      <c r="C28" s="157" t="s">
        <v>29</v>
      </c>
      <c r="D28" s="19" t="e">
        <f>VLOOKUP($B28,#REF!,3,0)</f>
        <v>#REF!</v>
      </c>
      <c r="E28" s="19" t="e">
        <f>VLOOKUP($B28,#REF!,4,0)</f>
        <v>#REF!</v>
      </c>
      <c r="F28" s="19" t="e">
        <f>VLOOKUP($B28,#REF!,5,0)</f>
        <v>#REF!</v>
      </c>
      <c r="G28" s="19" t="e">
        <f>VLOOKUP($B28,#REF!,6,0)</f>
        <v>#REF!</v>
      </c>
      <c r="H28" s="19" t="e">
        <f>VLOOKUP($B28,#REF!,7,0)</f>
        <v>#REF!</v>
      </c>
      <c r="I28" s="19" t="e">
        <f>VLOOKUP($B28,#REF!,8,0)</f>
        <v>#REF!</v>
      </c>
      <c r="J28" s="159"/>
      <c r="K28" s="22" t="s">
        <v>12</v>
      </c>
      <c r="L28" s="44" t="s">
        <v>66</v>
      </c>
      <c r="M28" s="44" t="s">
        <v>66</v>
      </c>
      <c r="N28" s="44" t="s">
        <v>66</v>
      </c>
      <c r="O28" s="161"/>
      <c r="P28" s="13"/>
      <c r="Q28" s="13"/>
      <c r="R28" s="13"/>
      <c r="S28" s="13"/>
      <c r="T28" s="13"/>
    </row>
    <row r="29" spans="2:73" ht="24.2" customHeight="1" thickBot="1" x14ac:dyDescent="0.25">
      <c r="B29" s="156"/>
      <c r="C29" s="158"/>
      <c r="D29" s="20" t="e">
        <f>VLOOKUP($B29,#REF!,3,0)</f>
        <v>#REF!</v>
      </c>
      <c r="E29" s="20" t="e">
        <f>VLOOKUP($B29,#REF!,4,0)</f>
        <v>#REF!</v>
      </c>
      <c r="F29" s="20" t="e">
        <f>VLOOKUP($B29,#REF!,5,0)</f>
        <v>#REF!</v>
      </c>
      <c r="G29" s="20" t="e">
        <f>VLOOKUP($B29,#REF!,6,0)</f>
        <v>#REF!</v>
      </c>
      <c r="H29" s="20" t="e">
        <f>VLOOKUP($B29,#REF!,7,0)</f>
        <v>#REF!</v>
      </c>
      <c r="I29" s="20" t="e">
        <f>VLOOKUP($B29,#REF!,8,0)</f>
        <v>#REF!</v>
      </c>
      <c r="J29" s="160"/>
      <c r="K29" s="34" t="s">
        <v>13</v>
      </c>
      <c r="L29" s="36">
        <v>105</v>
      </c>
      <c r="M29" s="36">
        <v>118</v>
      </c>
      <c r="N29" s="36">
        <v>128</v>
      </c>
      <c r="O29" s="162"/>
      <c r="P29" s="13"/>
      <c r="Q29" s="13"/>
      <c r="R29" s="13"/>
      <c r="S29" s="13"/>
      <c r="T29" s="13"/>
      <c r="AF29" s="12"/>
      <c r="AG29" s="12"/>
      <c r="AH29" s="14"/>
      <c r="AI29" s="15"/>
      <c r="AJ29" s="15"/>
      <c r="AK29" s="15"/>
      <c r="AL29" s="15"/>
      <c r="AM29" s="15"/>
      <c r="AN29" s="15"/>
      <c r="AO29" s="15"/>
      <c r="AP29" s="15"/>
      <c r="AQ29" s="15"/>
      <c r="AR29" s="15"/>
      <c r="AS29" s="15"/>
      <c r="AT29" s="15"/>
      <c r="AU29" s="15"/>
      <c r="AV29" s="15"/>
      <c r="AW29" s="15"/>
      <c r="AX29" s="15"/>
      <c r="AY29" s="15"/>
      <c r="AZ29" s="15"/>
      <c r="BA29" s="15"/>
      <c r="BB29" s="15"/>
      <c r="BC29" s="15"/>
      <c r="BD29" s="15"/>
      <c r="BE29" s="15"/>
      <c r="BF29" s="15"/>
      <c r="BG29" s="15"/>
      <c r="BH29" s="15"/>
      <c r="BI29" s="15"/>
      <c r="BJ29" s="15"/>
      <c r="BK29" s="15"/>
      <c r="BL29" s="15"/>
      <c r="BM29" s="15"/>
      <c r="BN29" s="15"/>
      <c r="BO29" s="15"/>
      <c r="BP29" s="15"/>
      <c r="BQ29" s="15"/>
      <c r="BR29" s="15"/>
      <c r="BS29" s="15"/>
      <c r="BT29" s="15"/>
      <c r="BU29" s="15"/>
    </row>
    <row r="30" spans="2:73" ht="24.2" customHeight="1" x14ac:dyDescent="0.2">
      <c r="B30" s="155">
        <v>11</v>
      </c>
      <c r="C30" s="157" t="s">
        <v>28</v>
      </c>
      <c r="D30" s="19" t="e">
        <f>VLOOKUP($B30,#REF!,3,0)</f>
        <v>#REF!</v>
      </c>
      <c r="E30" s="19" t="e">
        <f>VLOOKUP($B30,#REF!,4,0)</f>
        <v>#REF!</v>
      </c>
      <c r="F30" s="19" t="e">
        <f>VLOOKUP($B30,#REF!,5,0)</f>
        <v>#REF!</v>
      </c>
      <c r="G30" s="19" t="e">
        <f>VLOOKUP($B30,#REF!,6,0)</f>
        <v>#REF!</v>
      </c>
      <c r="H30" s="19" t="e">
        <f>VLOOKUP($B30,#REF!,7,0)</f>
        <v>#REF!</v>
      </c>
      <c r="I30" s="19" t="e">
        <f>VLOOKUP($B30,#REF!,8,0)</f>
        <v>#REF!</v>
      </c>
      <c r="J30" s="159"/>
      <c r="K30" s="22" t="s">
        <v>12</v>
      </c>
      <c r="L30" s="44" t="s">
        <v>66</v>
      </c>
      <c r="M30" s="44" t="s">
        <v>66</v>
      </c>
      <c r="N30" s="44" t="s">
        <v>66</v>
      </c>
      <c r="O30" s="161"/>
      <c r="P30" s="13"/>
      <c r="Q30" s="13"/>
      <c r="R30" s="13"/>
      <c r="S30" s="13"/>
      <c r="T30" s="13"/>
    </row>
    <row r="31" spans="2:73" ht="24.2" customHeight="1" thickBot="1" x14ac:dyDescent="0.25">
      <c r="B31" s="156"/>
      <c r="C31" s="163"/>
      <c r="D31" s="20" t="e">
        <f>VLOOKUP($B31,#REF!,3,0)</f>
        <v>#REF!</v>
      </c>
      <c r="E31" s="20" t="e">
        <f>VLOOKUP($B31,#REF!,4,0)</f>
        <v>#REF!</v>
      </c>
      <c r="F31" s="20" t="e">
        <f>VLOOKUP($B31,#REF!,5,0)</f>
        <v>#REF!</v>
      </c>
      <c r="G31" s="20" t="e">
        <f>VLOOKUP($B31,#REF!,6,0)</f>
        <v>#REF!</v>
      </c>
      <c r="H31" s="20" t="e">
        <f>VLOOKUP($B31,#REF!,7,0)</f>
        <v>#REF!</v>
      </c>
      <c r="I31" s="20" t="e">
        <f>VLOOKUP($B31,#REF!,8,0)</f>
        <v>#REF!</v>
      </c>
      <c r="J31" s="160"/>
      <c r="K31" s="34" t="s">
        <v>13</v>
      </c>
      <c r="L31" s="36">
        <v>119</v>
      </c>
      <c r="M31" s="36">
        <v>122</v>
      </c>
      <c r="N31" s="36">
        <v>117</v>
      </c>
      <c r="O31" s="162"/>
      <c r="P31" s="13"/>
      <c r="Q31" s="13"/>
      <c r="R31" s="13"/>
      <c r="S31" s="13"/>
      <c r="T31" s="13"/>
      <c r="AF31" s="12"/>
      <c r="AG31" s="12"/>
      <c r="AH31" s="14"/>
      <c r="AI31" s="15"/>
      <c r="AJ31" s="15"/>
      <c r="AK31" s="15"/>
      <c r="AL31" s="15"/>
      <c r="AM31" s="15"/>
      <c r="AN31" s="15"/>
      <c r="AO31" s="15"/>
      <c r="AP31" s="15"/>
      <c r="AQ31" s="15"/>
      <c r="AR31" s="15"/>
      <c r="AS31" s="15"/>
      <c r="AT31" s="15"/>
      <c r="AU31" s="15"/>
      <c r="AV31" s="15"/>
      <c r="AW31" s="15"/>
      <c r="AX31" s="15"/>
      <c r="AY31" s="15"/>
      <c r="AZ31" s="15"/>
      <c r="BA31" s="15"/>
      <c r="BB31" s="15"/>
      <c r="BC31" s="15"/>
      <c r="BD31" s="15"/>
      <c r="BE31" s="15"/>
      <c r="BF31" s="15"/>
      <c r="BG31" s="15"/>
      <c r="BH31" s="15"/>
      <c r="BI31" s="15"/>
      <c r="BJ31" s="15"/>
      <c r="BK31" s="15"/>
      <c r="BL31" s="15"/>
      <c r="BM31" s="15"/>
      <c r="BN31" s="15"/>
      <c r="BO31" s="15"/>
      <c r="BP31" s="15"/>
      <c r="BQ31" s="15"/>
      <c r="BR31" s="15"/>
      <c r="BS31" s="15"/>
      <c r="BT31" s="15"/>
      <c r="BU31" s="15"/>
    </row>
    <row r="32" spans="2:73" ht="24.2" customHeight="1" x14ac:dyDescent="0.2">
      <c r="B32" s="155">
        <v>12</v>
      </c>
      <c r="C32" s="157" t="s">
        <v>29</v>
      </c>
      <c r="D32" s="19" t="e">
        <f>VLOOKUP($B32,#REF!,3,0)</f>
        <v>#REF!</v>
      </c>
      <c r="E32" s="19" t="e">
        <f>VLOOKUP($B32,#REF!,4,0)</f>
        <v>#REF!</v>
      </c>
      <c r="F32" s="19" t="e">
        <f>VLOOKUP($B32,#REF!,5,0)</f>
        <v>#REF!</v>
      </c>
      <c r="G32" s="19" t="e">
        <f>VLOOKUP($B32,#REF!,6,0)</f>
        <v>#REF!</v>
      </c>
      <c r="H32" s="19" t="e">
        <f>VLOOKUP($B32,#REF!,7,0)</f>
        <v>#REF!</v>
      </c>
      <c r="I32" s="19" t="e">
        <f>VLOOKUP($B32,#REF!,8,0)</f>
        <v>#REF!</v>
      </c>
      <c r="J32" s="159"/>
      <c r="K32" s="22" t="s">
        <v>12</v>
      </c>
      <c r="L32" s="44" t="s">
        <v>66</v>
      </c>
      <c r="M32" s="44" t="s">
        <v>66</v>
      </c>
      <c r="N32" s="44" t="s">
        <v>66</v>
      </c>
      <c r="O32" s="161"/>
      <c r="P32" s="13"/>
      <c r="Q32" s="13"/>
      <c r="R32" s="13"/>
      <c r="S32" s="13"/>
      <c r="T32" s="13"/>
    </row>
    <row r="33" spans="2:73" ht="24.2" customHeight="1" thickBot="1" x14ac:dyDescent="0.25">
      <c r="B33" s="156"/>
      <c r="C33" s="158"/>
      <c r="D33" s="20" t="e">
        <f>VLOOKUP($B33,#REF!,3,0)</f>
        <v>#REF!</v>
      </c>
      <c r="E33" s="20" t="e">
        <f>VLOOKUP($B33,#REF!,4,0)</f>
        <v>#REF!</v>
      </c>
      <c r="F33" s="20" t="e">
        <f>VLOOKUP($B33,#REF!,5,0)</f>
        <v>#REF!</v>
      </c>
      <c r="G33" s="20" t="e">
        <f>VLOOKUP($B33,#REF!,6,0)</f>
        <v>#REF!</v>
      </c>
      <c r="H33" s="20" t="e">
        <f>VLOOKUP($B33,#REF!,7,0)</f>
        <v>#REF!</v>
      </c>
      <c r="I33" s="20" t="e">
        <f>VLOOKUP($B33,#REF!,8,0)</f>
        <v>#REF!</v>
      </c>
      <c r="J33" s="160"/>
      <c r="K33" s="34" t="s">
        <v>13</v>
      </c>
      <c r="L33" s="36">
        <v>139</v>
      </c>
      <c r="M33" s="36">
        <v>141</v>
      </c>
      <c r="N33" s="36">
        <v>128</v>
      </c>
      <c r="O33" s="162"/>
      <c r="P33" s="13"/>
      <c r="Q33" s="13"/>
      <c r="R33" s="13"/>
      <c r="S33" s="13"/>
      <c r="T33" s="13"/>
      <c r="AF33" s="12"/>
      <c r="AG33" s="12"/>
      <c r="AH33" s="14"/>
      <c r="AI33" s="15"/>
      <c r="AJ33" s="15"/>
      <c r="AK33" s="15"/>
      <c r="AL33" s="15"/>
      <c r="AM33" s="15"/>
      <c r="AN33" s="15"/>
      <c r="AO33" s="15"/>
      <c r="AP33" s="15"/>
      <c r="AQ33" s="15"/>
      <c r="AR33" s="15"/>
      <c r="AS33" s="15"/>
      <c r="AT33" s="15"/>
      <c r="AU33" s="15"/>
      <c r="AV33" s="15"/>
      <c r="AW33" s="15"/>
      <c r="AX33" s="15"/>
      <c r="AY33" s="15"/>
      <c r="AZ33" s="15"/>
      <c r="BA33" s="15"/>
      <c r="BB33" s="15"/>
      <c r="BC33" s="15"/>
      <c r="BD33" s="15"/>
      <c r="BE33" s="15"/>
      <c r="BF33" s="15"/>
      <c r="BG33" s="15"/>
      <c r="BH33" s="15"/>
      <c r="BI33" s="15"/>
      <c r="BJ33" s="15"/>
      <c r="BK33" s="15"/>
      <c r="BL33" s="15"/>
      <c r="BM33" s="15"/>
      <c r="BN33" s="15"/>
      <c r="BO33" s="15"/>
      <c r="BP33" s="15"/>
      <c r="BQ33" s="15"/>
      <c r="BR33" s="15"/>
      <c r="BS33" s="15"/>
      <c r="BT33" s="15"/>
      <c r="BU33" s="15"/>
    </row>
    <row r="34" spans="2:73" ht="24.2" customHeight="1" x14ac:dyDescent="0.2">
      <c r="B34" s="155">
        <v>13</v>
      </c>
      <c r="C34" s="157" t="s">
        <v>28</v>
      </c>
      <c r="D34" s="19" t="e">
        <f>VLOOKUP($B34,#REF!,3,0)</f>
        <v>#REF!</v>
      </c>
      <c r="E34" s="19" t="e">
        <f>VLOOKUP($B34,#REF!,4,0)</f>
        <v>#REF!</v>
      </c>
      <c r="F34" s="19" t="e">
        <f>VLOOKUP($B34,#REF!,5,0)</f>
        <v>#REF!</v>
      </c>
      <c r="G34" s="19" t="e">
        <f>VLOOKUP($B34,#REF!,6,0)</f>
        <v>#REF!</v>
      </c>
      <c r="H34" s="19" t="e">
        <f>VLOOKUP($B34,#REF!,7,0)</f>
        <v>#REF!</v>
      </c>
      <c r="I34" s="19" t="e">
        <f>VLOOKUP($B34,#REF!,8,0)</f>
        <v>#REF!</v>
      </c>
      <c r="J34" s="159"/>
      <c r="K34" s="22" t="s">
        <v>12</v>
      </c>
      <c r="L34" s="44" t="s">
        <v>66</v>
      </c>
      <c r="M34" s="44" t="s">
        <v>66</v>
      </c>
      <c r="N34" s="44" t="s">
        <v>66</v>
      </c>
      <c r="O34" s="161"/>
      <c r="P34" s="13"/>
      <c r="Q34" s="13"/>
      <c r="R34" s="13"/>
      <c r="S34" s="13"/>
      <c r="T34" s="13"/>
    </row>
    <row r="35" spans="2:73" ht="24.2" customHeight="1" thickBot="1" x14ac:dyDescent="0.25">
      <c r="B35" s="156"/>
      <c r="C35" s="163"/>
      <c r="D35" s="20" t="e">
        <f>VLOOKUP($B35,#REF!,3,0)</f>
        <v>#REF!</v>
      </c>
      <c r="E35" s="20" t="e">
        <f>VLOOKUP($B35,#REF!,4,0)</f>
        <v>#REF!</v>
      </c>
      <c r="F35" s="20" t="e">
        <f>VLOOKUP($B35,#REF!,5,0)</f>
        <v>#REF!</v>
      </c>
      <c r="G35" s="20" t="e">
        <f>VLOOKUP($B35,#REF!,6,0)</f>
        <v>#REF!</v>
      </c>
      <c r="H35" s="20" t="e">
        <f>VLOOKUP($B35,#REF!,7,0)</f>
        <v>#REF!</v>
      </c>
      <c r="I35" s="20" t="e">
        <f>VLOOKUP($B35,#REF!,8,0)</f>
        <v>#REF!</v>
      </c>
      <c r="J35" s="160"/>
      <c r="K35" s="34" t="s">
        <v>13</v>
      </c>
      <c r="L35" s="36">
        <v>110</v>
      </c>
      <c r="M35" s="36">
        <v>115</v>
      </c>
      <c r="N35" s="36">
        <v>114</v>
      </c>
      <c r="O35" s="162"/>
      <c r="P35" s="13"/>
      <c r="Q35" s="13"/>
      <c r="R35" s="13"/>
      <c r="S35" s="13"/>
      <c r="T35" s="13"/>
      <c r="AF35" s="12"/>
      <c r="AG35" s="12"/>
      <c r="AH35" s="14"/>
      <c r="AI35" s="15"/>
      <c r="AJ35" s="15"/>
      <c r="AK35" s="15"/>
      <c r="AL35" s="15"/>
      <c r="AM35" s="15"/>
      <c r="AN35" s="15"/>
      <c r="AO35" s="15"/>
      <c r="AP35" s="15"/>
      <c r="AQ35" s="15"/>
      <c r="AR35" s="15"/>
      <c r="AS35" s="15"/>
      <c r="AT35" s="15"/>
      <c r="AU35" s="15"/>
      <c r="AV35" s="15"/>
      <c r="AW35" s="15"/>
      <c r="AX35" s="15"/>
      <c r="AY35" s="15"/>
      <c r="AZ35" s="15"/>
      <c r="BA35" s="15"/>
      <c r="BB35" s="15"/>
      <c r="BC35" s="15"/>
      <c r="BD35" s="15"/>
      <c r="BE35" s="15"/>
      <c r="BF35" s="15"/>
      <c r="BG35" s="15"/>
      <c r="BH35" s="15"/>
      <c r="BI35" s="15"/>
      <c r="BJ35" s="15"/>
      <c r="BK35" s="15"/>
      <c r="BL35" s="15"/>
      <c r="BM35" s="15"/>
      <c r="BN35" s="15"/>
      <c r="BO35" s="15"/>
      <c r="BP35" s="15"/>
      <c r="BQ35" s="15"/>
      <c r="BR35" s="15"/>
      <c r="BS35" s="15"/>
      <c r="BT35" s="15"/>
      <c r="BU35" s="15"/>
    </row>
    <row r="36" spans="2:73" ht="24.2" customHeight="1" x14ac:dyDescent="0.2">
      <c r="B36" s="155">
        <v>14</v>
      </c>
      <c r="C36" s="157" t="s">
        <v>29</v>
      </c>
      <c r="D36" s="19" t="e">
        <f>VLOOKUP($B36,#REF!,3,0)</f>
        <v>#REF!</v>
      </c>
      <c r="E36" s="19" t="e">
        <f>VLOOKUP($B36,#REF!,4,0)</f>
        <v>#REF!</v>
      </c>
      <c r="F36" s="19" t="e">
        <f>VLOOKUP($B36,#REF!,5,0)</f>
        <v>#REF!</v>
      </c>
      <c r="G36" s="19" t="e">
        <f>VLOOKUP($B36,#REF!,6,0)</f>
        <v>#REF!</v>
      </c>
      <c r="H36" s="19" t="e">
        <f>VLOOKUP($B36,#REF!,7,0)</f>
        <v>#REF!</v>
      </c>
      <c r="I36" s="19" t="e">
        <f>VLOOKUP($B36,#REF!,8,0)</f>
        <v>#REF!</v>
      </c>
      <c r="J36" s="159"/>
      <c r="K36" s="22" t="s">
        <v>12</v>
      </c>
      <c r="L36" s="44" t="s">
        <v>66</v>
      </c>
      <c r="M36" s="44" t="s">
        <v>66</v>
      </c>
      <c r="N36" s="44" t="s">
        <v>66</v>
      </c>
      <c r="O36" s="161"/>
      <c r="P36" s="13"/>
      <c r="Q36" s="13"/>
      <c r="R36" s="13"/>
      <c r="S36" s="13"/>
      <c r="T36" s="13"/>
    </row>
    <row r="37" spans="2:73" ht="24.2" customHeight="1" thickBot="1" x14ac:dyDescent="0.25">
      <c r="B37" s="156"/>
      <c r="C37" s="158"/>
      <c r="D37" s="20" t="e">
        <f>VLOOKUP($B37,#REF!,3,0)</f>
        <v>#REF!</v>
      </c>
      <c r="E37" s="20" t="e">
        <f>VLOOKUP($B37,#REF!,4,0)</f>
        <v>#REF!</v>
      </c>
      <c r="F37" s="20" t="e">
        <f>VLOOKUP($B37,#REF!,5,0)</f>
        <v>#REF!</v>
      </c>
      <c r="G37" s="20" t="e">
        <f>VLOOKUP($B37,#REF!,6,0)</f>
        <v>#REF!</v>
      </c>
      <c r="H37" s="20" t="e">
        <f>VLOOKUP($B37,#REF!,7,0)</f>
        <v>#REF!</v>
      </c>
      <c r="I37" s="20" t="e">
        <f>VLOOKUP($B37,#REF!,8,0)</f>
        <v>#REF!</v>
      </c>
      <c r="J37" s="160"/>
      <c r="K37" s="34" t="s">
        <v>13</v>
      </c>
      <c r="L37" s="36">
        <v>142</v>
      </c>
      <c r="M37" s="36">
        <v>139</v>
      </c>
      <c r="N37" s="36">
        <v>134</v>
      </c>
      <c r="O37" s="162"/>
      <c r="P37" s="13"/>
      <c r="Q37" s="13"/>
      <c r="R37" s="13"/>
      <c r="S37" s="13"/>
      <c r="T37" s="13"/>
      <c r="AF37" s="12"/>
      <c r="AG37" s="12"/>
      <c r="AH37" s="14"/>
      <c r="AI37" s="15"/>
      <c r="AJ37" s="15"/>
      <c r="AK37" s="15"/>
      <c r="AL37" s="15"/>
      <c r="AM37" s="15"/>
      <c r="AN37" s="15"/>
      <c r="AO37" s="15"/>
      <c r="AP37" s="15"/>
      <c r="AQ37" s="15"/>
      <c r="AR37" s="15"/>
      <c r="AS37" s="15"/>
      <c r="AT37" s="15"/>
      <c r="AU37" s="15"/>
      <c r="AV37" s="15"/>
      <c r="AW37" s="15"/>
      <c r="AX37" s="15"/>
      <c r="AY37" s="15"/>
      <c r="AZ37" s="15"/>
      <c r="BA37" s="15"/>
      <c r="BB37" s="15"/>
      <c r="BC37" s="15"/>
      <c r="BD37" s="15"/>
      <c r="BE37" s="15"/>
      <c r="BF37" s="15"/>
      <c r="BG37" s="15"/>
      <c r="BH37" s="15"/>
      <c r="BI37" s="15"/>
      <c r="BJ37" s="15"/>
      <c r="BK37" s="15"/>
      <c r="BL37" s="15"/>
      <c r="BM37" s="15"/>
      <c r="BN37" s="15"/>
      <c r="BO37" s="15"/>
      <c r="BP37" s="15"/>
      <c r="BQ37" s="15"/>
      <c r="BR37" s="15"/>
      <c r="BS37" s="15"/>
      <c r="BT37" s="15"/>
      <c r="BU37" s="15"/>
    </row>
    <row r="38" spans="2:73" ht="24.2" customHeight="1" x14ac:dyDescent="0.2">
      <c r="B38" s="155">
        <v>15</v>
      </c>
      <c r="C38" s="157" t="s">
        <v>28</v>
      </c>
      <c r="D38" s="19" t="e">
        <f>VLOOKUP($B38,#REF!,3,0)</f>
        <v>#REF!</v>
      </c>
      <c r="E38" s="19" t="e">
        <f>VLOOKUP($B38,#REF!,4,0)</f>
        <v>#REF!</v>
      </c>
      <c r="F38" s="19" t="e">
        <f>VLOOKUP($B38,#REF!,5,0)</f>
        <v>#REF!</v>
      </c>
      <c r="G38" s="19" t="e">
        <f>VLOOKUP($B38,#REF!,6,0)</f>
        <v>#REF!</v>
      </c>
      <c r="H38" s="19" t="e">
        <f>VLOOKUP($B38,#REF!,7,0)</f>
        <v>#REF!</v>
      </c>
      <c r="I38" s="19" t="e">
        <f>VLOOKUP($B38,#REF!,8,0)</f>
        <v>#REF!</v>
      </c>
      <c r="J38" s="159"/>
      <c r="K38" s="22" t="s">
        <v>12</v>
      </c>
      <c r="L38" s="44" t="s">
        <v>66</v>
      </c>
      <c r="M38" s="44" t="s">
        <v>66</v>
      </c>
      <c r="N38" s="44" t="s">
        <v>66</v>
      </c>
      <c r="O38" s="161"/>
      <c r="P38" s="13"/>
      <c r="Q38" s="13"/>
      <c r="R38" s="13"/>
      <c r="S38" s="13"/>
      <c r="T38" s="13"/>
    </row>
    <row r="39" spans="2:73" ht="24.2" customHeight="1" thickBot="1" x14ac:dyDescent="0.25">
      <c r="B39" s="156"/>
      <c r="C39" s="163"/>
      <c r="D39" s="20" t="e">
        <f>VLOOKUP($B39,#REF!,3,0)</f>
        <v>#REF!</v>
      </c>
      <c r="E39" s="20" t="e">
        <f>VLOOKUP($B39,#REF!,4,0)</f>
        <v>#REF!</v>
      </c>
      <c r="F39" s="20" t="e">
        <f>VLOOKUP($B39,#REF!,5,0)</f>
        <v>#REF!</v>
      </c>
      <c r="G39" s="20" t="e">
        <f>VLOOKUP($B39,#REF!,6,0)</f>
        <v>#REF!</v>
      </c>
      <c r="H39" s="20" t="e">
        <f>VLOOKUP($B39,#REF!,7,0)</f>
        <v>#REF!</v>
      </c>
      <c r="I39" s="20" t="e">
        <f>VLOOKUP($B39,#REF!,8,0)</f>
        <v>#REF!</v>
      </c>
      <c r="J39" s="160"/>
      <c r="K39" s="34" t="s">
        <v>13</v>
      </c>
      <c r="L39" s="36">
        <v>128</v>
      </c>
      <c r="M39" s="36">
        <v>116</v>
      </c>
      <c r="N39" s="36">
        <v>121</v>
      </c>
      <c r="O39" s="162"/>
      <c r="P39" s="13"/>
      <c r="Q39" s="13"/>
      <c r="R39" s="13"/>
      <c r="S39" s="13"/>
      <c r="T39" s="13"/>
      <c r="AF39" s="12"/>
      <c r="AG39" s="12"/>
      <c r="AH39" s="14"/>
      <c r="AI39" s="15"/>
      <c r="AJ39" s="15"/>
      <c r="AK39" s="15"/>
      <c r="AL39" s="15"/>
      <c r="AM39" s="15"/>
      <c r="AN39" s="15"/>
      <c r="AO39" s="15"/>
      <c r="AP39" s="15"/>
      <c r="AQ39" s="15"/>
      <c r="AR39" s="15"/>
      <c r="AS39" s="15"/>
      <c r="AT39" s="15"/>
      <c r="AU39" s="15"/>
      <c r="AV39" s="15"/>
      <c r="AW39" s="15"/>
      <c r="AX39" s="15"/>
      <c r="AY39" s="15"/>
      <c r="AZ39" s="15"/>
      <c r="BA39" s="15"/>
      <c r="BB39" s="15"/>
      <c r="BC39" s="15"/>
      <c r="BD39" s="15"/>
      <c r="BE39" s="15"/>
      <c r="BF39" s="15"/>
      <c r="BG39" s="15"/>
      <c r="BH39" s="15"/>
      <c r="BI39" s="15"/>
      <c r="BJ39" s="15"/>
      <c r="BK39" s="15"/>
      <c r="BL39" s="15"/>
      <c r="BM39" s="15"/>
      <c r="BN39" s="15"/>
      <c r="BO39" s="15"/>
      <c r="BP39" s="15"/>
      <c r="BQ39" s="15"/>
      <c r="BR39" s="15"/>
      <c r="BS39" s="15"/>
      <c r="BT39" s="15"/>
      <c r="BU39" s="15"/>
    </row>
    <row r="40" spans="2:73" ht="24.2" customHeight="1" x14ac:dyDescent="0.2">
      <c r="B40" s="155">
        <v>16</v>
      </c>
      <c r="C40" s="157" t="s">
        <v>29</v>
      </c>
      <c r="D40" s="19" t="e">
        <f>VLOOKUP($B40,#REF!,3,0)</f>
        <v>#REF!</v>
      </c>
      <c r="E40" s="19" t="e">
        <f>VLOOKUP($B40,#REF!,4,0)</f>
        <v>#REF!</v>
      </c>
      <c r="F40" s="19" t="e">
        <f>VLOOKUP($B40,#REF!,5,0)</f>
        <v>#REF!</v>
      </c>
      <c r="G40" s="19" t="e">
        <f>VLOOKUP($B40,#REF!,6,0)</f>
        <v>#REF!</v>
      </c>
      <c r="H40" s="19" t="e">
        <f>VLOOKUP($B40,#REF!,7,0)</f>
        <v>#REF!</v>
      </c>
      <c r="I40" s="19" t="e">
        <f>VLOOKUP($B40,#REF!,8,0)</f>
        <v>#REF!</v>
      </c>
      <c r="J40" s="159"/>
      <c r="K40" s="22" t="s">
        <v>12</v>
      </c>
      <c r="L40" s="44" t="s">
        <v>66</v>
      </c>
      <c r="M40" s="44" t="s">
        <v>66</v>
      </c>
      <c r="N40" s="44" t="s">
        <v>66</v>
      </c>
      <c r="O40" s="161"/>
      <c r="P40" s="13"/>
      <c r="Q40" s="13"/>
      <c r="R40" s="13"/>
      <c r="S40" s="13"/>
      <c r="T40" s="13"/>
    </row>
    <row r="41" spans="2:73" ht="24.2" customHeight="1" thickBot="1" x14ac:dyDescent="0.25">
      <c r="B41" s="156"/>
      <c r="C41" s="158"/>
      <c r="D41" s="20" t="e">
        <f>VLOOKUP($B41,#REF!,3,0)</f>
        <v>#REF!</v>
      </c>
      <c r="E41" s="20" t="e">
        <f>VLOOKUP($B41,#REF!,4,0)</f>
        <v>#REF!</v>
      </c>
      <c r="F41" s="20" t="e">
        <f>VLOOKUP($B41,#REF!,5,0)</f>
        <v>#REF!</v>
      </c>
      <c r="G41" s="20" t="e">
        <f>VLOOKUP($B41,#REF!,6,0)</f>
        <v>#REF!</v>
      </c>
      <c r="H41" s="20" t="e">
        <f>VLOOKUP($B41,#REF!,7,0)</f>
        <v>#REF!</v>
      </c>
      <c r="I41" s="20" t="e">
        <f>VLOOKUP($B41,#REF!,8,0)</f>
        <v>#REF!</v>
      </c>
      <c r="J41" s="160"/>
      <c r="K41" s="34" t="s">
        <v>13</v>
      </c>
      <c r="L41" s="36">
        <v>110</v>
      </c>
      <c r="M41" s="36">
        <v>111</v>
      </c>
      <c r="N41" s="36">
        <v>119</v>
      </c>
      <c r="O41" s="162"/>
      <c r="P41" s="13"/>
      <c r="Q41" s="13"/>
      <c r="R41" s="13"/>
      <c r="S41" s="13"/>
      <c r="T41" s="13"/>
      <c r="AF41" s="12"/>
      <c r="AG41" s="12"/>
      <c r="AH41" s="14"/>
      <c r="AI41" s="15"/>
      <c r="AJ41" s="15"/>
      <c r="AK41" s="15"/>
      <c r="AL41" s="15"/>
      <c r="AM41" s="15"/>
      <c r="AN41" s="15"/>
      <c r="AO41" s="15"/>
      <c r="AP41" s="15"/>
      <c r="AQ41" s="15"/>
      <c r="AR41" s="15"/>
      <c r="AS41" s="15"/>
      <c r="AT41" s="15"/>
      <c r="AU41" s="15"/>
      <c r="AV41" s="15"/>
      <c r="AW41" s="15"/>
      <c r="AX41" s="15"/>
      <c r="AY41" s="15"/>
      <c r="AZ41" s="15"/>
      <c r="BA41" s="15"/>
      <c r="BB41" s="15"/>
      <c r="BC41" s="15"/>
      <c r="BD41" s="15"/>
      <c r="BE41" s="15"/>
      <c r="BF41" s="15"/>
      <c r="BG41" s="15"/>
      <c r="BH41" s="15"/>
      <c r="BI41" s="15"/>
      <c r="BJ41" s="15"/>
      <c r="BK41" s="15"/>
      <c r="BL41" s="15"/>
      <c r="BM41" s="15"/>
      <c r="BN41" s="15"/>
      <c r="BO41" s="15"/>
      <c r="BP41" s="15"/>
      <c r="BQ41" s="15"/>
      <c r="BR41" s="15"/>
      <c r="BS41" s="15"/>
      <c r="BT41" s="15"/>
      <c r="BU41" s="15"/>
    </row>
    <row r="42" spans="2:73" ht="24" customHeight="1" x14ac:dyDescent="0.2">
      <c r="B42" s="155">
        <v>17</v>
      </c>
      <c r="C42" s="157" t="s">
        <v>28</v>
      </c>
      <c r="D42" s="19" t="e">
        <f>VLOOKUP($B42,#REF!,3,0)</f>
        <v>#REF!</v>
      </c>
      <c r="E42" s="19" t="e">
        <f>VLOOKUP($B42,#REF!,4,0)</f>
        <v>#REF!</v>
      </c>
      <c r="F42" s="19" t="e">
        <f>VLOOKUP($B42,#REF!,5,0)</f>
        <v>#REF!</v>
      </c>
      <c r="G42" s="19" t="e">
        <f>VLOOKUP($B42,#REF!,6,0)</f>
        <v>#REF!</v>
      </c>
      <c r="H42" s="19" t="e">
        <f>VLOOKUP($B42,#REF!,7,0)</f>
        <v>#REF!</v>
      </c>
      <c r="I42" s="19" t="e">
        <f>VLOOKUP($B42,#REF!,8,0)</f>
        <v>#REF!</v>
      </c>
      <c r="J42" s="159">
        <v>1050</v>
      </c>
      <c r="K42" s="22" t="s">
        <v>12</v>
      </c>
      <c r="L42" s="44" t="s">
        <v>66</v>
      </c>
      <c r="M42" s="44" t="s">
        <v>66</v>
      </c>
      <c r="N42" s="44" t="s">
        <v>66</v>
      </c>
      <c r="O42" s="161"/>
    </row>
    <row r="43" spans="2:73" ht="24" customHeight="1" thickBot="1" x14ac:dyDescent="0.25">
      <c r="B43" s="156"/>
      <c r="C43" s="163"/>
      <c r="D43" s="20"/>
      <c r="E43" s="20"/>
      <c r="F43" s="20"/>
      <c r="G43" s="20"/>
      <c r="H43" s="20"/>
      <c r="I43" s="20"/>
      <c r="J43" s="160"/>
      <c r="K43" s="34" t="s">
        <v>13</v>
      </c>
      <c r="L43" s="36">
        <v>117</v>
      </c>
      <c r="M43" s="36">
        <v>106</v>
      </c>
      <c r="N43" s="36">
        <v>128</v>
      </c>
      <c r="O43" s="162"/>
    </row>
  </sheetData>
  <mergeCells count="70">
    <mergeCell ref="AF5:AH5"/>
    <mergeCell ref="L6:N6"/>
    <mergeCell ref="O7:O8"/>
    <mergeCell ref="B8:K8"/>
    <mergeCell ref="B10:B11"/>
    <mergeCell ref="C10:C11"/>
    <mergeCell ref="J10:J11"/>
    <mergeCell ref="B18:B19"/>
    <mergeCell ref="C18:C19"/>
    <mergeCell ref="J18:J19"/>
    <mergeCell ref="O18:O19"/>
    <mergeCell ref="B12:B13"/>
    <mergeCell ref="C12:C13"/>
    <mergeCell ref="J12:J13"/>
    <mergeCell ref="B14:B15"/>
    <mergeCell ref="C14:C15"/>
    <mergeCell ref="J14:J15"/>
    <mergeCell ref="O14:O15"/>
    <mergeCell ref="B16:B17"/>
    <mergeCell ref="C16:C17"/>
    <mergeCell ref="J16:J17"/>
    <mergeCell ref="O16:O17"/>
    <mergeCell ref="B20:B21"/>
    <mergeCell ref="C20:C21"/>
    <mergeCell ref="J20:J21"/>
    <mergeCell ref="O20:O21"/>
    <mergeCell ref="B22:B23"/>
    <mergeCell ref="C22:C23"/>
    <mergeCell ref="J22:J23"/>
    <mergeCell ref="O22:O23"/>
    <mergeCell ref="B24:B25"/>
    <mergeCell ref="C24:C25"/>
    <mergeCell ref="J24:J25"/>
    <mergeCell ref="O24:O25"/>
    <mergeCell ref="B26:B27"/>
    <mergeCell ref="C26:C27"/>
    <mergeCell ref="J26:J27"/>
    <mergeCell ref="O26:O27"/>
    <mergeCell ref="B28:B29"/>
    <mergeCell ref="C28:C29"/>
    <mergeCell ref="J28:J29"/>
    <mergeCell ref="O28:O29"/>
    <mergeCell ref="B30:B31"/>
    <mergeCell ref="C30:C31"/>
    <mergeCell ref="J30:J31"/>
    <mergeCell ref="O30:O31"/>
    <mergeCell ref="B32:B33"/>
    <mergeCell ref="C32:C33"/>
    <mergeCell ref="J32:J33"/>
    <mergeCell ref="O32:O33"/>
    <mergeCell ref="B34:B35"/>
    <mergeCell ref="C34:C35"/>
    <mergeCell ref="J34:J35"/>
    <mergeCell ref="O34:O35"/>
    <mergeCell ref="B36:B37"/>
    <mergeCell ref="C36:C37"/>
    <mergeCell ref="J36:J37"/>
    <mergeCell ref="O36:O37"/>
    <mergeCell ref="B38:B39"/>
    <mergeCell ref="C38:C39"/>
    <mergeCell ref="J38:J39"/>
    <mergeCell ref="O38:O39"/>
    <mergeCell ref="B40:B41"/>
    <mergeCell ref="C40:C41"/>
    <mergeCell ref="J40:J41"/>
    <mergeCell ref="O40:O41"/>
    <mergeCell ref="B42:B43"/>
    <mergeCell ref="C42:C43"/>
    <mergeCell ref="J42:J43"/>
    <mergeCell ref="O42:O43"/>
  </mergeCells>
  <pageMargins left="0.45" right="0" top="0.49" bottom="0" header="0.64" footer="0"/>
  <pageSetup paperSize="512" scale="72" orientation="portrait" r:id="rId1"/>
  <headerFooter alignWithMargin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BI43"/>
  <sheetViews>
    <sheetView zoomScale="70" zoomScaleNormal="70" workbookViewId="0"/>
  </sheetViews>
  <sheetFormatPr defaultRowHeight="12.75" x14ac:dyDescent="0.2"/>
  <cols>
    <col min="1" max="1" width="5.42578125" customWidth="1"/>
    <col min="2" max="2" width="6.28515625" customWidth="1"/>
    <col min="3" max="17" width="12.7109375" customWidth="1"/>
    <col min="18" max="20" width="7.7109375" customWidth="1"/>
  </cols>
  <sheetData>
    <row r="1" spans="1:61" ht="15" customHeight="1" x14ac:dyDescent="0.25">
      <c r="A1" s="1" t="s">
        <v>33</v>
      </c>
    </row>
    <row r="2" spans="1:61" ht="20.25" customHeight="1" x14ac:dyDescent="0.25">
      <c r="A2" s="1"/>
    </row>
    <row r="3" spans="1:61" ht="20.25" customHeight="1" x14ac:dyDescent="0.2"/>
    <row r="4" spans="1:61" ht="20.25" customHeight="1" x14ac:dyDescent="0.25">
      <c r="C4" s="86" t="s">
        <v>93</v>
      </c>
    </row>
    <row r="5" spans="1:61" ht="18" x14ac:dyDescent="0.2">
      <c r="S5" s="5"/>
      <c r="T5" s="165"/>
      <c r="U5" s="165"/>
      <c r="V5" s="165"/>
    </row>
    <row r="6" spans="1:61" ht="25.15" customHeight="1" x14ac:dyDescent="0.2">
      <c r="D6" s="84" t="s">
        <v>79</v>
      </c>
      <c r="E6" s="84" t="s">
        <v>80</v>
      </c>
      <c r="F6" s="84" t="s">
        <v>86</v>
      </c>
      <c r="G6" s="84" t="s">
        <v>87</v>
      </c>
      <c r="H6" s="84" t="s">
        <v>88</v>
      </c>
      <c r="I6" s="84" t="s">
        <v>89</v>
      </c>
      <c r="J6" s="84" t="s">
        <v>90</v>
      </c>
      <c r="K6" s="84" t="s">
        <v>81</v>
      </c>
      <c r="L6" s="84" t="s">
        <v>82</v>
      </c>
      <c r="M6" s="84" t="s">
        <v>91</v>
      </c>
      <c r="N6" s="84" t="s">
        <v>83</v>
      </c>
      <c r="O6" s="84" t="s">
        <v>92</v>
      </c>
      <c r="P6" s="84" t="s">
        <v>84</v>
      </c>
      <c r="Q6" s="84" t="s">
        <v>85</v>
      </c>
      <c r="S6" s="5"/>
      <c r="T6" s="24"/>
      <c r="U6" s="24"/>
      <c r="V6" s="24"/>
    </row>
    <row r="7" spans="1:61" ht="22.5" customHeight="1" x14ac:dyDescent="0.2">
      <c r="B7" s="6" t="s">
        <v>3</v>
      </c>
      <c r="C7" s="8" t="s">
        <v>24</v>
      </c>
      <c r="D7" s="7" t="s">
        <v>78</v>
      </c>
      <c r="E7" s="7" t="s">
        <v>78</v>
      </c>
      <c r="F7" s="7" t="s">
        <v>78</v>
      </c>
      <c r="G7" s="7" t="s">
        <v>78</v>
      </c>
      <c r="H7" s="7" t="s">
        <v>78</v>
      </c>
      <c r="I7" s="7" t="s">
        <v>78</v>
      </c>
      <c r="J7" s="7" t="s">
        <v>78</v>
      </c>
      <c r="K7" s="7" t="s">
        <v>78</v>
      </c>
      <c r="L7" s="7" t="s">
        <v>78</v>
      </c>
      <c r="M7" s="7" t="s">
        <v>78</v>
      </c>
      <c r="N7" s="7" t="s">
        <v>78</v>
      </c>
      <c r="O7" s="7" t="s">
        <v>78</v>
      </c>
      <c r="P7" s="7" t="s">
        <v>78</v>
      </c>
      <c r="Q7" s="7" t="s">
        <v>78</v>
      </c>
      <c r="S7" s="10"/>
      <c r="T7" s="9"/>
      <c r="U7" s="9"/>
      <c r="V7" s="11"/>
    </row>
    <row r="8" spans="1:61" ht="6.95" customHeight="1" thickBot="1" x14ac:dyDescent="0.25">
      <c r="B8" s="170"/>
      <c r="C8" s="171"/>
      <c r="D8" s="76"/>
      <c r="E8" s="76"/>
      <c r="F8" s="76"/>
      <c r="G8" s="76"/>
      <c r="H8" s="76"/>
      <c r="I8" s="76"/>
      <c r="J8" s="76"/>
      <c r="K8" s="76"/>
      <c r="L8" s="76"/>
      <c r="M8" s="76"/>
      <c r="N8" s="76"/>
      <c r="O8" s="76"/>
      <c r="P8" s="76"/>
      <c r="Q8" s="76"/>
      <c r="T8" s="12"/>
      <c r="U8" s="12"/>
      <c r="V8" s="12"/>
    </row>
    <row r="9" spans="1:61" ht="15.95" hidden="1" customHeight="1" x14ac:dyDescent="0.2">
      <c r="B9" s="77" t="s">
        <v>3</v>
      </c>
      <c r="C9" s="78" t="s">
        <v>19</v>
      </c>
      <c r="T9" s="12"/>
      <c r="U9" s="12"/>
      <c r="V9" s="12"/>
    </row>
    <row r="10" spans="1:61" ht="30" customHeight="1" x14ac:dyDescent="0.2">
      <c r="B10" s="199">
        <v>1</v>
      </c>
      <c r="C10" s="79" t="s">
        <v>12</v>
      </c>
      <c r="D10" s="82">
        <f>IF(COUNT('doy130'!$L10:$N10)=3,(AVERAGE('doy130'!$L10:$N10)),"--")</f>
        <v>7</v>
      </c>
      <c r="E10" s="82">
        <f>IF(COUNT('doy139'!$L10:$N10)=3,(AVERAGE('doy139'!$L10:$N10)),"--")</f>
        <v>13</v>
      </c>
      <c r="F10" s="82">
        <f>IF(COUNT('doy146'!$L10:$N10)=3,(AVERAGE('doy146'!$L10:$N10)),"--")</f>
        <v>19.666666666666668</v>
      </c>
      <c r="G10" s="82">
        <f>IF(COUNT('doy153'!$L10:$N10)=3,(AVERAGE('doy153'!$L10:$N10)),"--")</f>
        <v>25.333333333333332</v>
      </c>
      <c r="H10" s="82">
        <f>IF(COUNT('doy159'!$L10:$N10)=3,(AVERAGE('doy159'!$L10:$N10)),"--")</f>
        <v>33.333333333333336</v>
      </c>
      <c r="I10" s="82">
        <f>IF(COUNT('doy168'!$L10:$N10)=3,(AVERAGE('doy168'!$L10:$N10)),"--")</f>
        <v>37</v>
      </c>
      <c r="J10" s="82">
        <f>IF(COUNT('doy173'!$L10:$N10)=3,(AVERAGE('doy173'!$L10:$N10)),"--")</f>
        <v>46.333333333333336</v>
      </c>
      <c r="K10" s="82">
        <f>IF(COUNT('doy179'!$L10:$N10)=3,(AVERAGE('doy179'!$L10:$N10)),"--")</f>
        <v>56.666666666666664</v>
      </c>
      <c r="L10" s="82">
        <f>IF(COUNT('doy187'!$L10:$N10)=3,(AVERAGE('doy187'!$L10:$N10)),"--")</f>
        <v>71.666666666666671</v>
      </c>
      <c r="M10" s="82">
        <f>IF(COUNT('doy193'!$L10:$N10)=3,(AVERAGE('doy193'!$L10:$N10)),"--")</f>
        <v>81.333333333333329</v>
      </c>
      <c r="N10" s="82">
        <f>IF(COUNT('doy203'!$L10:$N10)=3,(AVERAGE('doy203'!$L10:$N10)),"--")</f>
        <v>87</v>
      </c>
      <c r="O10" s="82" t="str">
        <f>IF(COUNT('doy213'!$L10:$N10)=3,(AVERAGE('doy213'!$L10:$N10)),"--")</f>
        <v>--</v>
      </c>
      <c r="P10" s="82" t="str">
        <f>IF(COUNT('doy224'!$L10:$N10)=3,(AVERAGE('doy224'!$L10:$N10)),"--")</f>
        <v>--</v>
      </c>
      <c r="Q10" s="82" t="str">
        <f>IF(COUNT('doy231'!$L10:$N10)=3,(AVERAGE('doy231'!$L10:$N10)),"--")</f>
        <v>--</v>
      </c>
      <c r="T10" s="12"/>
      <c r="U10" s="12"/>
      <c r="V10" s="14"/>
      <c r="W10" s="15"/>
      <c r="X10" s="15"/>
      <c r="Y10" s="15"/>
      <c r="Z10" s="15"/>
      <c r="AA10" s="15"/>
      <c r="AB10" s="15"/>
      <c r="AC10" s="15"/>
      <c r="AD10" s="15"/>
      <c r="AE10" s="15"/>
      <c r="AF10" s="15"/>
      <c r="AG10" s="15"/>
      <c r="AH10" s="15"/>
      <c r="AI10" s="15"/>
      <c r="AJ10" s="15"/>
      <c r="AK10" s="15"/>
      <c r="AL10" s="15"/>
      <c r="AM10" s="15"/>
      <c r="AN10" s="15"/>
      <c r="AO10" s="15"/>
      <c r="AP10" s="15"/>
      <c r="AQ10" s="15"/>
      <c r="AR10" s="15"/>
      <c r="AS10" s="15"/>
      <c r="AT10" s="15"/>
      <c r="AU10" s="15"/>
      <c r="AV10" s="15"/>
      <c r="AW10" s="15"/>
      <c r="AX10" s="15"/>
      <c r="AY10" s="15"/>
      <c r="AZ10" s="15"/>
      <c r="BA10" s="15"/>
      <c r="BB10" s="15"/>
      <c r="BC10" s="15"/>
      <c r="BD10" s="15"/>
      <c r="BE10" s="15"/>
      <c r="BF10" s="15"/>
      <c r="BG10" s="15"/>
      <c r="BH10" s="15"/>
      <c r="BI10" s="15"/>
    </row>
    <row r="11" spans="1:61" ht="30" customHeight="1" thickBot="1" x14ac:dyDescent="0.25">
      <c r="B11" s="200"/>
      <c r="C11" s="80" t="s">
        <v>13</v>
      </c>
      <c r="D11" s="85">
        <f>IF(COUNT('doy130'!$L11:$N11)=3,(AVERAGE('doy130'!$L11:$N11)),"--")</f>
        <v>8</v>
      </c>
      <c r="E11" s="85">
        <f>IF(COUNT('doy139'!$L11:$N11)=3,(AVERAGE('doy139'!$L11:$N11)),"--")</f>
        <v>15.666666666666666</v>
      </c>
      <c r="F11" s="85">
        <f>IF(COUNT('doy146'!$L11:$N11)=3,(AVERAGE('doy146'!$L11:$N11)),"--")</f>
        <v>20.333333333333332</v>
      </c>
      <c r="G11" s="85">
        <f>IF(COUNT('doy153'!$L11:$N11)=3,(AVERAGE('doy153'!$L11:$N11)),"--")</f>
        <v>26.666666666666668</v>
      </c>
      <c r="H11" s="85">
        <f>IF(COUNT('doy159'!$L11:$N11)=3,(AVERAGE('doy159'!$L11:$N11)),"--")</f>
        <v>38.333333333333336</v>
      </c>
      <c r="I11" s="85">
        <f>IF(COUNT('doy168'!$L11:$N11)=3,(AVERAGE('doy168'!$L11:$N11)),"--")</f>
        <v>50</v>
      </c>
      <c r="J11" s="85">
        <f>IF(COUNT('doy173'!$L11:$N11)=3,(AVERAGE('doy173'!$L11:$N11)),"--")</f>
        <v>53.666666666666664</v>
      </c>
      <c r="K11" s="85">
        <f>IF(COUNT('doy179'!$L11:$N11)=3,(AVERAGE('doy179'!$L11:$N11)),"--")</f>
        <v>64</v>
      </c>
      <c r="L11" s="85">
        <f>IF(COUNT('doy187'!$L11:$N11)=3,(AVERAGE('doy187'!$L11:$N11)),"--")</f>
        <v>76.333333333333329</v>
      </c>
      <c r="M11" s="85">
        <f>IF(COUNT('doy193'!$L11:$N11)=3,(AVERAGE('doy193'!$L11:$N11)),"--")</f>
        <v>87.666666666666671</v>
      </c>
      <c r="N11" s="85">
        <f>IF(COUNT('doy203'!$L11:$N11)=3,(AVERAGE('doy203'!$L11:$N11)),"--")</f>
        <v>97</v>
      </c>
      <c r="O11" s="85">
        <f>IF(COUNT('doy213'!$L11:$N11)=3,(AVERAGE('doy213'!$L11:$N11)),"--")</f>
        <v>100</v>
      </c>
      <c r="P11" s="85">
        <f>IF(COUNT('doy224'!$L11:$N11)=3,(AVERAGE('doy224'!$L11:$N11)),"--")</f>
        <v>100</v>
      </c>
      <c r="Q11" s="85">
        <f>IF(COUNT('doy231'!$L11:$N11)=3,(AVERAGE('doy231'!$L11:$N11)),"--")</f>
        <v>109.33333333333333</v>
      </c>
      <c r="T11" s="12"/>
      <c r="U11" s="12"/>
      <c r="V11" s="14"/>
      <c r="W11" s="15"/>
      <c r="X11" s="15"/>
      <c r="Y11" s="15"/>
      <c r="Z11" s="15"/>
      <c r="AA11" s="15"/>
      <c r="AB11" s="15"/>
      <c r="AC11" s="15"/>
      <c r="AD11" s="15"/>
      <c r="AE11" s="15"/>
      <c r="AF11" s="15"/>
      <c r="AG11" s="15"/>
      <c r="AH11" s="15"/>
      <c r="AI11" s="15"/>
      <c r="AJ11" s="15"/>
      <c r="AK11" s="15"/>
      <c r="AL11" s="15"/>
      <c r="AM11" s="15"/>
      <c r="AN11" s="15"/>
      <c r="AO11" s="15"/>
      <c r="AP11" s="15"/>
      <c r="AQ11" s="15"/>
      <c r="AR11" s="15"/>
      <c r="AS11" s="15"/>
      <c r="AT11" s="15"/>
      <c r="AU11" s="15"/>
      <c r="AV11" s="15"/>
      <c r="AW11" s="15"/>
      <c r="AX11" s="15"/>
      <c r="AY11" s="15"/>
      <c r="AZ11" s="15"/>
      <c r="BA11" s="15"/>
      <c r="BB11" s="15"/>
      <c r="BC11" s="15"/>
      <c r="BD11" s="15"/>
      <c r="BE11" s="15"/>
      <c r="BF11" s="15"/>
      <c r="BG11" s="15"/>
      <c r="BH11" s="15"/>
      <c r="BI11" s="15"/>
    </row>
    <row r="12" spans="1:61" ht="30" customHeight="1" x14ac:dyDescent="0.2">
      <c r="B12" s="199">
        <v>2</v>
      </c>
      <c r="C12" s="79" t="s">
        <v>12</v>
      </c>
      <c r="D12" s="82">
        <f>IF(COUNT('doy130'!$L12:$N12)=3,(AVERAGE('doy130'!$L12:$N12)),"--")</f>
        <v>6.333333333333333</v>
      </c>
      <c r="E12" s="82">
        <f>IF(COUNT('doy139'!$L12:$N12)=3,(AVERAGE('doy139'!$L12:$N12)),"--")</f>
        <v>12.333333333333334</v>
      </c>
      <c r="F12" s="82">
        <f>IF(COUNT('doy146'!$L12:$N12)=3,(AVERAGE('doy146'!$L12:$N12)),"--")</f>
        <v>18.333333333333332</v>
      </c>
      <c r="G12" s="82">
        <f>IF(COUNT('doy153'!$L12:$N12)=3,(AVERAGE('doy153'!$L12:$N12)),"--")</f>
        <v>27</v>
      </c>
      <c r="H12" s="82">
        <f>IF(COUNT('doy159'!$L12:$N12)=3,(AVERAGE('doy159'!$L12:$N12)),"--")</f>
        <v>36.333333333333336</v>
      </c>
      <c r="I12" s="82">
        <f>IF(COUNT('doy168'!$L12:$N12)=3,(AVERAGE('doy168'!$L12:$N12)),"--")</f>
        <v>42</v>
      </c>
      <c r="J12" s="82">
        <f>IF(COUNT('doy173'!$L12:$N12)=3,(AVERAGE('doy173'!$L12:$N12)),"--")</f>
        <v>52.333333333333336</v>
      </c>
      <c r="K12" s="82">
        <f>IF(COUNT('doy179'!$L12:$N12)=3,(AVERAGE('doy179'!$L12:$N12)),"--")</f>
        <v>60</v>
      </c>
      <c r="L12" s="82" t="str">
        <f>IF(COUNT('doy187'!$L12:$N12)=3,(AVERAGE('doy187'!$L12:$N12)),"--")</f>
        <v>--</v>
      </c>
      <c r="M12" s="82">
        <f>IF(COUNT('doy193'!$L12:$N12)=3,(AVERAGE('doy193'!$L12:$N12)),"--")</f>
        <v>73.333333333333329</v>
      </c>
      <c r="N12" s="82">
        <f>IF(COUNT('doy203'!$L12:$N12)=3,(AVERAGE('doy203'!$L12:$N12)),"--")</f>
        <v>98.333333333333329</v>
      </c>
      <c r="O12" s="82" t="str">
        <f>IF(COUNT('doy213'!$L12:$N12)=3,(AVERAGE('doy213'!$L12:$N12)),"--")</f>
        <v>--</v>
      </c>
      <c r="P12" s="82" t="str">
        <f>IF(COUNT('doy224'!$L12:$N12)=3,(AVERAGE('doy224'!$L12:$N12)),"--")</f>
        <v>--</v>
      </c>
      <c r="Q12" s="82" t="str">
        <f>IF(COUNT('doy231'!$L12:$N12)=3,(AVERAGE('doy231'!$L12:$N12)),"--")</f>
        <v>--</v>
      </c>
      <c r="T12" s="12"/>
      <c r="U12" s="12"/>
      <c r="V12" s="12"/>
      <c r="W12" s="18"/>
      <c r="X12" s="18"/>
      <c r="Y12" s="18"/>
      <c r="Z12" s="18"/>
      <c r="AA12" s="18"/>
      <c r="AB12" s="18"/>
      <c r="AC12" s="18"/>
      <c r="AD12" s="18"/>
      <c r="AE12" s="18"/>
      <c r="AF12" s="18"/>
      <c r="AG12" s="18"/>
      <c r="AH12" s="18"/>
      <c r="AI12" s="18"/>
      <c r="AJ12" s="18"/>
      <c r="AK12" s="18"/>
      <c r="AL12" s="18"/>
      <c r="AM12" s="18"/>
      <c r="AN12" s="18"/>
      <c r="AO12" s="18"/>
      <c r="AP12" s="18"/>
      <c r="AQ12" s="18"/>
      <c r="AR12" s="18"/>
      <c r="AS12" s="18"/>
      <c r="AT12" s="18"/>
      <c r="AU12" s="18"/>
      <c r="AV12" s="18"/>
      <c r="AW12" s="18"/>
      <c r="AX12" s="18"/>
      <c r="AY12" s="18"/>
      <c r="AZ12" s="18"/>
      <c r="BA12" s="18"/>
      <c r="BB12" s="18"/>
      <c r="BC12" s="18"/>
      <c r="BD12" s="18"/>
      <c r="BE12" s="18"/>
      <c r="BF12" s="18"/>
      <c r="BG12" s="18"/>
      <c r="BH12" s="18"/>
      <c r="BI12" s="18"/>
    </row>
    <row r="13" spans="1:61" ht="30" customHeight="1" thickBot="1" x14ac:dyDescent="0.25">
      <c r="B13" s="200"/>
      <c r="C13" s="80" t="s">
        <v>13</v>
      </c>
      <c r="D13" s="85">
        <f>IF(COUNT('doy130'!$L13:$N13)=3,(AVERAGE('doy130'!$L13:$N13)),"--")</f>
        <v>7.333333333333333</v>
      </c>
      <c r="E13" s="85">
        <f>IF(COUNT('doy139'!$L13:$N13)=3,(AVERAGE('doy139'!$L13:$N13)),"--")</f>
        <v>16</v>
      </c>
      <c r="F13" s="85">
        <f>IF(COUNT('doy146'!$L13:$N13)=3,(AVERAGE('doy146'!$L13:$N13)),"--")</f>
        <v>22.333333333333332</v>
      </c>
      <c r="G13" s="85">
        <f>IF(COUNT('doy153'!$L13:$N13)=3,(AVERAGE('doy153'!$L13:$N13)),"--")</f>
        <v>29</v>
      </c>
      <c r="H13" s="85">
        <f>IF(COUNT('doy159'!$L13:$N13)=3,(AVERAGE('doy159'!$L13:$N13)),"--")</f>
        <v>41.333333333333336</v>
      </c>
      <c r="I13" s="85">
        <f>IF(COUNT('doy168'!$L13:$N13)=3,(AVERAGE('doy168'!$L13:$N13)),"--")</f>
        <v>51.666666666666664</v>
      </c>
      <c r="J13" s="85">
        <f>IF(COUNT('doy173'!$L13:$N13)=3,(AVERAGE('doy173'!$L13:$N13)),"--")</f>
        <v>63.666666666666664</v>
      </c>
      <c r="K13" s="85">
        <f>IF(COUNT('doy179'!$L13:$N13)=3,(AVERAGE('doy179'!$L13:$N13)),"--")</f>
        <v>75.666666666666671</v>
      </c>
      <c r="L13" s="85" t="str">
        <f>IF(COUNT('doy187'!$L13:$N13)=3,(AVERAGE('doy187'!$L13:$N13)),"--")</f>
        <v>--</v>
      </c>
      <c r="M13" s="85">
        <f>IF(COUNT('doy193'!$L13:$N13)=3,(AVERAGE('doy193'!$L13:$N13)),"--")</f>
        <v>90.333333333333329</v>
      </c>
      <c r="N13" s="85">
        <f>IF(COUNT('doy203'!$L13:$N13)=3,(AVERAGE('doy203'!$L13:$N13)),"--")</f>
        <v>103</v>
      </c>
      <c r="O13" s="85">
        <f>IF(COUNT('doy213'!$L13:$N13)=3,(AVERAGE('doy213'!$L13:$N13)),"--")</f>
        <v>108.33333333333333</v>
      </c>
      <c r="P13" s="85">
        <f>IF(COUNT('doy224'!$L13:$N13)=3,(AVERAGE('doy224'!$L13:$N13)),"--")</f>
        <v>109</v>
      </c>
      <c r="Q13" s="85">
        <f>IF(COUNT('doy231'!$L13:$N13)=3,(AVERAGE('doy231'!$L13:$N13)),"--")</f>
        <v>113</v>
      </c>
      <c r="T13" s="12"/>
      <c r="U13" s="12"/>
      <c r="V13" s="14"/>
      <c r="W13" s="15"/>
      <c r="X13" s="15"/>
      <c r="Y13" s="15"/>
      <c r="Z13" s="15"/>
      <c r="AA13" s="15"/>
      <c r="AB13" s="15"/>
      <c r="AC13" s="15"/>
      <c r="AD13" s="15"/>
      <c r="AE13" s="15"/>
      <c r="AF13" s="15"/>
      <c r="AG13" s="15"/>
      <c r="AH13" s="15"/>
      <c r="AI13" s="15"/>
      <c r="AJ13" s="15"/>
      <c r="AK13" s="15"/>
      <c r="AL13" s="15"/>
      <c r="AM13" s="15"/>
      <c r="AN13" s="15"/>
      <c r="AO13" s="15"/>
      <c r="AP13" s="15"/>
      <c r="AQ13" s="15"/>
      <c r="AR13" s="15"/>
      <c r="AS13" s="15"/>
      <c r="AT13" s="15"/>
      <c r="AU13" s="15"/>
      <c r="AV13" s="15"/>
      <c r="AW13" s="15"/>
      <c r="AX13" s="15"/>
      <c r="AY13" s="15"/>
      <c r="AZ13" s="15"/>
      <c r="BA13" s="15"/>
      <c r="BB13" s="15"/>
      <c r="BC13" s="15"/>
      <c r="BD13" s="15"/>
      <c r="BE13" s="15"/>
      <c r="BF13" s="15"/>
      <c r="BG13" s="15"/>
      <c r="BH13" s="15"/>
      <c r="BI13" s="15"/>
    </row>
    <row r="14" spans="1:61" ht="30" customHeight="1" x14ac:dyDescent="0.2">
      <c r="B14" s="199">
        <v>3</v>
      </c>
      <c r="C14" s="79" t="s">
        <v>12</v>
      </c>
      <c r="D14" s="82">
        <f>IF(COUNT('doy130'!$L14:$N14)=3,(AVERAGE('doy130'!$L14:$N14)),"--")</f>
        <v>6.666666666666667</v>
      </c>
      <c r="E14" s="82">
        <f>IF(COUNT('doy139'!$L14:$N14)=3,(AVERAGE('doy139'!$L14:$N14)),"--")</f>
        <v>12</v>
      </c>
      <c r="F14" s="82">
        <f>IF(COUNT('doy146'!$L14:$N14)=3,(AVERAGE('doy146'!$L14:$N14)),"--")</f>
        <v>19</v>
      </c>
      <c r="G14" s="82">
        <f>IF(COUNT('doy153'!$L14:$N14)=3,(AVERAGE('doy153'!$L14:$N14)),"--")</f>
        <v>24.666666666666668</v>
      </c>
      <c r="H14" s="82">
        <f>IF(COUNT('doy159'!$L14:$N14)=3,(AVERAGE('doy159'!$L14:$N14)),"--")</f>
        <v>37</v>
      </c>
      <c r="I14" s="82" t="str">
        <f>IF(COUNT('doy168'!$L14:$N14)=3,(AVERAGE('doy168'!$L14:$N14)),"--")</f>
        <v>--</v>
      </c>
      <c r="J14" s="82">
        <f>IF(COUNT('doy173'!$L14:$N14)=3,(AVERAGE('doy173'!$L14:$N14)),"--")</f>
        <v>50.666666666666664</v>
      </c>
      <c r="K14" s="82">
        <f>IF(COUNT('doy179'!$L14:$N14)=3,(AVERAGE('doy179'!$L14:$N14)),"--")</f>
        <v>47.666666666666664</v>
      </c>
      <c r="L14" s="82">
        <f>IF(COUNT('doy187'!$L14:$N14)=3,(AVERAGE('doy187'!$L14:$N14)),"--")</f>
        <v>56.333333333333336</v>
      </c>
      <c r="M14" s="82">
        <f>IF(COUNT('doy193'!$L14:$N14)=3,(AVERAGE('doy193'!$L14:$N14)),"--")</f>
        <v>56.666666666666664</v>
      </c>
      <c r="N14" s="82">
        <f>IF(COUNT('doy203'!$L14:$N14)=3,(AVERAGE('doy203'!$L14:$N14)),"--")</f>
        <v>72.333333333333329</v>
      </c>
      <c r="O14" s="82">
        <f>IF(COUNT('doy213'!$L14:$N14)=3,(AVERAGE('doy213'!$L14:$N14)),"--")</f>
        <v>90.333333333333329</v>
      </c>
      <c r="P14" s="82">
        <f>IF(COUNT('doy224'!$L14:$N14)=3,(AVERAGE('doy224'!$L14:$N14)),"--")</f>
        <v>94.333333333333329</v>
      </c>
      <c r="Q14" s="82" t="str">
        <f>IF(COUNT('doy231'!$L14:$N14)=3,(AVERAGE('doy231'!$L14:$N14)),"--")</f>
        <v>--</v>
      </c>
      <c r="T14" s="12"/>
      <c r="U14" s="12"/>
      <c r="V14" s="12"/>
    </row>
    <row r="15" spans="1:61" ht="30" customHeight="1" thickBot="1" x14ac:dyDescent="0.25">
      <c r="B15" s="200"/>
      <c r="C15" s="80" t="s">
        <v>13</v>
      </c>
      <c r="D15" s="85">
        <f>IF(COUNT('doy130'!$L15:$N15)=3,(AVERAGE('doy130'!$L15:$N15)),"--")</f>
        <v>7.333333333333333</v>
      </c>
      <c r="E15" s="85">
        <f>IF(COUNT('doy139'!$L15:$N15)=3,(AVERAGE('doy139'!$L15:$N15)),"--")</f>
        <v>14.333333333333334</v>
      </c>
      <c r="F15" s="85">
        <f>IF(COUNT('doy146'!$L15:$N15)=3,(AVERAGE('doy146'!$L15:$N15)),"--")</f>
        <v>21.333333333333332</v>
      </c>
      <c r="G15" s="85">
        <f>IF(COUNT('doy153'!$L15:$N15)=3,(AVERAGE('doy153'!$L15:$N15)),"--")</f>
        <v>26</v>
      </c>
      <c r="H15" s="85">
        <f>IF(COUNT('doy159'!$L15:$N15)=3,(AVERAGE('doy159'!$L15:$N15)),"--")</f>
        <v>37.333333333333336</v>
      </c>
      <c r="I15" s="85" t="str">
        <f>IF(COUNT('doy168'!$L15:$N15)=3,(AVERAGE('doy168'!$L15:$N15)),"--")</f>
        <v>--</v>
      </c>
      <c r="J15" s="85">
        <f>IF(COUNT('doy173'!$L15:$N15)=3,(AVERAGE('doy173'!$L15:$N15)),"--")</f>
        <v>59</v>
      </c>
      <c r="K15" s="85">
        <f>IF(COUNT('doy179'!$L15:$N15)=3,(AVERAGE('doy179'!$L15:$N15)),"--")</f>
        <v>61.333333333333336</v>
      </c>
      <c r="L15" s="85">
        <f>IF(COUNT('doy187'!$L15:$N15)=3,(AVERAGE('doy187'!$L15:$N15)),"--")</f>
        <v>69.666666666666671</v>
      </c>
      <c r="M15" s="85">
        <f>IF(COUNT('doy193'!$L15:$N15)=3,(AVERAGE('doy193'!$L15:$N15)),"--")</f>
        <v>74.666666666666671</v>
      </c>
      <c r="N15" s="85">
        <f>IF(COUNT('doy203'!$L15:$N15)=3,(AVERAGE('doy203'!$L15:$N15)),"--")</f>
        <v>85</v>
      </c>
      <c r="O15" s="85">
        <f>IF(COUNT('doy213'!$L15:$N15)=3,(AVERAGE('doy213'!$L15:$N15)),"--")</f>
        <v>96</v>
      </c>
      <c r="P15" s="85">
        <f>IF(COUNT('doy224'!$L15:$N15)=3,(AVERAGE('doy224'!$L15:$N15)),"--")</f>
        <v>104.33333333333333</v>
      </c>
      <c r="Q15" s="85">
        <f>IF(COUNT('doy231'!$L15:$N15)=3,(AVERAGE('doy231'!$L15:$N15)),"--")</f>
        <v>110.66666666666667</v>
      </c>
      <c r="T15" s="12"/>
      <c r="U15" s="12"/>
      <c r="V15" s="14"/>
      <c r="W15" s="15"/>
      <c r="X15" s="15"/>
      <c r="Y15" s="15"/>
      <c r="Z15" s="15"/>
      <c r="AA15" s="15"/>
      <c r="AB15" s="15"/>
      <c r="AC15" s="15"/>
      <c r="AD15" s="15"/>
      <c r="AE15" s="15"/>
      <c r="AF15" s="15"/>
      <c r="AG15" s="15"/>
      <c r="AH15" s="15"/>
      <c r="AI15" s="15"/>
      <c r="AJ15" s="15"/>
      <c r="AK15" s="15"/>
      <c r="AL15" s="15"/>
      <c r="AM15" s="15"/>
      <c r="AN15" s="15"/>
      <c r="AO15" s="15"/>
      <c r="AP15" s="15"/>
      <c r="AQ15" s="15"/>
      <c r="AR15" s="15"/>
      <c r="AS15" s="15"/>
      <c r="AT15" s="15"/>
      <c r="AU15" s="15"/>
      <c r="AV15" s="15"/>
      <c r="AW15" s="15"/>
      <c r="AX15" s="15"/>
      <c r="AY15" s="15"/>
      <c r="AZ15" s="15"/>
      <c r="BA15" s="15"/>
      <c r="BB15" s="15"/>
      <c r="BC15" s="15"/>
      <c r="BD15" s="15"/>
      <c r="BE15" s="15"/>
      <c r="BF15" s="15"/>
      <c r="BG15" s="15"/>
      <c r="BH15" s="15"/>
      <c r="BI15" s="15"/>
    </row>
    <row r="16" spans="1:61" ht="30" customHeight="1" x14ac:dyDescent="0.2">
      <c r="B16" s="199">
        <v>4</v>
      </c>
      <c r="C16" s="79" t="s">
        <v>12</v>
      </c>
      <c r="D16" s="82">
        <f>IF(COUNT('doy130'!$L16:$N16)=3,(AVERAGE('doy130'!$L16:$N16)),"--")</f>
        <v>6.666666666666667</v>
      </c>
      <c r="E16" s="82">
        <f>IF(COUNT('doy139'!$L16:$N16)=3,(AVERAGE('doy139'!$L16:$N16)),"--")</f>
        <v>13</v>
      </c>
      <c r="F16" s="82">
        <f>IF(COUNT('doy146'!$L16:$N16)=3,(AVERAGE('doy146'!$L16:$N16)),"--")</f>
        <v>18.333333333333332</v>
      </c>
      <c r="G16" s="82">
        <f>IF(COUNT('doy153'!$L16:$N16)=3,(AVERAGE('doy153'!$L16:$N16)),"--")</f>
        <v>27.666666666666668</v>
      </c>
      <c r="H16" s="82">
        <f>IF(COUNT('doy159'!$L16:$N16)=3,(AVERAGE('doy159'!$L16:$N16)),"--")</f>
        <v>35.333333333333336</v>
      </c>
      <c r="I16" s="82">
        <f>IF(COUNT('doy168'!$L16:$N16)=3,(AVERAGE('doy168'!$L16:$N16)),"--")</f>
        <v>49.333333333333336</v>
      </c>
      <c r="J16" s="82">
        <f>IF(COUNT('doy173'!$L16:$N16)=3,(AVERAGE('doy173'!$L16:$N16)),"--")</f>
        <v>56</v>
      </c>
      <c r="K16" s="82">
        <f>IF(COUNT('doy179'!$L16:$N16)=3,(AVERAGE('doy179'!$L16:$N16)),"--")</f>
        <v>65.666666666666671</v>
      </c>
      <c r="L16" s="82" t="str">
        <f>IF(COUNT('doy187'!$L16:$N16)=3,(AVERAGE('doy187'!$L16:$N16)),"--")</f>
        <v>--</v>
      </c>
      <c r="M16" s="82">
        <f>IF(COUNT('doy193'!$L16:$N16)=3,(AVERAGE('doy193'!$L16:$N16)),"--")</f>
        <v>83</v>
      </c>
      <c r="N16" s="82">
        <f>IF(COUNT('doy203'!$L16:$N16)=3,(AVERAGE('doy203'!$L16:$N16)),"--")</f>
        <v>96.666666666666671</v>
      </c>
      <c r="O16" s="82" t="str">
        <f>IF(COUNT('doy213'!$L16:$N16)=3,(AVERAGE('doy213'!$L16:$N16)),"--")</f>
        <v>--</v>
      </c>
      <c r="P16" s="82" t="str">
        <f>IF(COUNT('doy224'!$L16:$N16)=3,(AVERAGE('doy224'!$L16:$N16)),"--")</f>
        <v>--</v>
      </c>
      <c r="Q16" s="82" t="str">
        <f>IF(COUNT('doy231'!$L16:$N16)=3,(AVERAGE('doy231'!$L16:$N16)),"--")</f>
        <v>--</v>
      </c>
    </row>
    <row r="17" spans="2:61" ht="30" customHeight="1" thickBot="1" x14ac:dyDescent="0.25">
      <c r="B17" s="200"/>
      <c r="C17" s="80" t="s">
        <v>13</v>
      </c>
      <c r="D17" s="85">
        <f>IF(COUNT('doy130'!$L17:$N17)=3,(AVERAGE('doy130'!$L17:$N17)),"--")</f>
        <v>8.3333333333333339</v>
      </c>
      <c r="E17" s="85">
        <f>IF(COUNT('doy139'!$L17:$N17)=3,(AVERAGE('doy139'!$L17:$N17)),"--")</f>
        <v>16.333333333333332</v>
      </c>
      <c r="F17" s="85">
        <f>IF(COUNT('doy146'!$L17:$N17)=3,(AVERAGE('doy146'!$L17:$N17)),"--")</f>
        <v>22.333333333333332</v>
      </c>
      <c r="G17" s="85">
        <f>IF(COUNT('doy153'!$L17:$N17)=3,(AVERAGE('doy153'!$L17:$N17)),"--")</f>
        <v>30.333333333333332</v>
      </c>
      <c r="H17" s="85">
        <f>IF(COUNT('doy159'!$L17:$N17)=3,(AVERAGE('doy159'!$L17:$N17)),"--")</f>
        <v>38</v>
      </c>
      <c r="I17" s="85">
        <f>IF(COUNT('doy168'!$L17:$N17)=3,(AVERAGE('doy168'!$L17:$N17)),"--")</f>
        <v>56.333333333333336</v>
      </c>
      <c r="J17" s="85">
        <f>IF(COUNT('doy173'!$L17:$N17)=3,(AVERAGE('doy173'!$L17:$N17)),"--")</f>
        <v>65.333333333333329</v>
      </c>
      <c r="K17" s="85">
        <f>IF(COUNT('doy179'!$L17:$N17)=3,(AVERAGE('doy179'!$L17:$N17)),"--")</f>
        <v>80.666666666666671</v>
      </c>
      <c r="L17" s="85" t="str">
        <f>IF(COUNT('doy187'!$L17:$N17)=3,(AVERAGE('doy187'!$L17:$N17)),"--")</f>
        <v>--</v>
      </c>
      <c r="M17" s="85">
        <f>IF(COUNT('doy193'!$L17:$N17)=3,(AVERAGE('doy193'!$L17:$N17)),"--")</f>
        <v>97</v>
      </c>
      <c r="N17" s="85">
        <f>IF(COUNT('doy203'!$L17:$N17)=3,(AVERAGE('doy203'!$L17:$N17)),"--")</f>
        <v>103.33333333333333</v>
      </c>
      <c r="O17" s="85">
        <f>IF(COUNT('doy213'!$L17:$N17)=3,(AVERAGE('doy213'!$L17:$N17)),"--")</f>
        <v>111.33333333333333</v>
      </c>
      <c r="P17" s="85">
        <f>IF(COUNT('doy224'!$L17:$N17)=3,(AVERAGE('doy224'!$L17:$N17)),"--")</f>
        <v>122</v>
      </c>
      <c r="Q17" s="85">
        <f>IF(COUNT('doy231'!$L17:$N17)=3,(AVERAGE('doy231'!$L17:$N17)),"--")</f>
        <v>121.33333333333333</v>
      </c>
      <c r="T17" s="12"/>
      <c r="U17" s="12"/>
      <c r="V17" s="14"/>
      <c r="W17" s="15"/>
      <c r="X17" s="15"/>
      <c r="Y17" s="15"/>
      <c r="Z17" s="15"/>
      <c r="AA17" s="15"/>
      <c r="AB17" s="15"/>
      <c r="AC17" s="15"/>
      <c r="AD17" s="15"/>
      <c r="AE17" s="15"/>
      <c r="AF17" s="15"/>
      <c r="AG17" s="15"/>
      <c r="AH17" s="15"/>
      <c r="AI17" s="15"/>
      <c r="AJ17" s="15"/>
      <c r="AK17" s="15"/>
      <c r="AL17" s="15"/>
      <c r="AM17" s="15"/>
      <c r="AN17" s="15"/>
      <c r="AO17" s="15"/>
      <c r="AP17" s="15"/>
      <c r="AQ17" s="15"/>
      <c r="AR17" s="15"/>
      <c r="AS17" s="15"/>
      <c r="AT17" s="15"/>
      <c r="AU17" s="15"/>
      <c r="AV17" s="15"/>
      <c r="AW17" s="15"/>
      <c r="AX17" s="15"/>
      <c r="AY17" s="15"/>
      <c r="AZ17" s="15"/>
      <c r="BA17" s="15"/>
      <c r="BB17" s="15"/>
      <c r="BC17" s="15"/>
      <c r="BD17" s="15"/>
      <c r="BE17" s="15"/>
      <c r="BF17" s="15"/>
      <c r="BG17" s="15"/>
      <c r="BH17" s="15"/>
      <c r="BI17" s="15"/>
    </row>
    <row r="18" spans="2:61" ht="30" customHeight="1" x14ac:dyDescent="0.2">
      <c r="B18" s="199">
        <v>5</v>
      </c>
      <c r="C18" s="79" t="s">
        <v>12</v>
      </c>
      <c r="D18" s="82">
        <f>IF(COUNT('doy130'!$L18:$N18)=3,(AVERAGE('doy130'!$L18:$N18)),"--")</f>
        <v>6</v>
      </c>
      <c r="E18" s="82">
        <f>IF(COUNT('doy139'!$L18:$N18)=3,(AVERAGE('doy139'!$L18:$N18)),"--")</f>
        <v>11.666666666666666</v>
      </c>
      <c r="F18" s="82">
        <f>IF(COUNT('doy146'!$L18:$N18)=3,(AVERAGE('doy146'!$L18:$N18)),"--")</f>
        <v>18.333333333333332</v>
      </c>
      <c r="G18" s="82">
        <f>IF(COUNT('doy153'!$L18:$N18)=3,(AVERAGE('doy153'!$L18:$N18)),"--")</f>
        <v>27.666666666666668</v>
      </c>
      <c r="H18" s="82">
        <f>IF(COUNT('doy159'!$L18:$N18)=3,(AVERAGE('doy159'!$L18:$N18)),"--")</f>
        <v>33.333333333333336</v>
      </c>
      <c r="I18" s="82">
        <f>IF(COUNT('doy168'!$L18:$N18)=3,(AVERAGE('doy168'!$L18:$N18)),"--")</f>
        <v>44</v>
      </c>
      <c r="J18" s="82">
        <f>IF(COUNT('doy173'!$L18:$N18)=3,(AVERAGE('doy173'!$L18:$N18)),"--")</f>
        <v>45.666666666666664</v>
      </c>
      <c r="K18" s="82">
        <f>IF(COUNT('doy179'!$L18:$N18)=3,(AVERAGE('doy179'!$L18:$N18)),"--")</f>
        <v>54.333333333333336</v>
      </c>
      <c r="L18" s="82">
        <f>IF(COUNT('doy187'!$L18:$N18)=3,(AVERAGE('doy187'!$L18:$N18)),"--")</f>
        <v>70.666666666666671</v>
      </c>
      <c r="M18" s="82">
        <f>IF(COUNT('doy193'!$L18:$N18)=3,(AVERAGE('doy193'!$L18:$N18)),"--")</f>
        <v>78</v>
      </c>
      <c r="N18" s="82">
        <f>IF(COUNT('doy203'!$L18:$N18)=3,(AVERAGE('doy203'!$L18:$N18)),"--")</f>
        <v>95</v>
      </c>
      <c r="O18" s="82">
        <f>IF(COUNT('doy213'!$L18:$N18)=3,(AVERAGE('doy213'!$L18:$N18)),"--")</f>
        <v>95</v>
      </c>
      <c r="P18" s="82" t="str">
        <f>IF(COUNT('doy224'!$L18:$N18)=3,(AVERAGE('doy224'!$L18:$N18)),"--")</f>
        <v>--</v>
      </c>
      <c r="Q18" s="82" t="str">
        <f>IF(COUNT('doy231'!$L18:$N18)=3,(AVERAGE('doy231'!$L18:$N18)),"--")</f>
        <v>--</v>
      </c>
      <c r="T18" s="12"/>
      <c r="U18" s="12"/>
      <c r="V18" s="12"/>
    </row>
    <row r="19" spans="2:61" ht="30" customHeight="1" thickBot="1" x14ac:dyDescent="0.25">
      <c r="B19" s="200"/>
      <c r="C19" s="80" t="s">
        <v>13</v>
      </c>
      <c r="D19" s="85">
        <f>IF(COUNT('doy130'!$L19:$N19)=3,(AVERAGE('doy130'!$L19:$N19)),"--")</f>
        <v>6.666666666666667</v>
      </c>
      <c r="E19" s="85">
        <f>IF(COUNT('doy139'!$L19:$N19)=3,(AVERAGE('doy139'!$L19:$N19)),"--")</f>
        <v>13.333333333333334</v>
      </c>
      <c r="F19" s="85">
        <f>IF(COUNT('doy146'!$L19:$N19)=3,(AVERAGE('doy146'!$L19:$N19)),"--")</f>
        <v>21</v>
      </c>
      <c r="G19" s="85">
        <f>IF(COUNT('doy153'!$L19:$N19)=3,(AVERAGE('doy153'!$L19:$N19)),"--")</f>
        <v>29.333333333333332</v>
      </c>
      <c r="H19" s="85">
        <f>IF(COUNT('doy159'!$L19:$N19)=3,(AVERAGE('doy159'!$L19:$N19)),"--")</f>
        <v>37</v>
      </c>
      <c r="I19" s="85">
        <f>IF(COUNT('doy168'!$L19:$N19)=3,(AVERAGE('doy168'!$L19:$N19)),"--")</f>
        <v>53.666666666666664</v>
      </c>
      <c r="J19" s="85">
        <f>IF(COUNT('doy173'!$L19:$N19)=3,(AVERAGE('doy173'!$L19:$N19)),"--")</f>
        <v>57</v>
      </c>
      <c r="K19" s="85">
        <f>IF(COUNT('doy179'!$L19:$N19)=3,(AVERAGE('doy179'!$L19:$N19)),"--")</f>
        <v>71</v>
      </c>
      <c r="L19" s="85">
        <f>IF(COUNT('doy187'!$L19:$N19)=3,(AVERAGE('doy187'!$L19:$N19)),"--")</f>
        <v>82</v>
      </c>
      <c r="M19" s="85">
        <f>IF(COUNT('doy193'!$L19:$N19)=3,(AVERAGE('doy193'!$L19:$N19)),"--")</f>
        <v>92.666666666666671</v>
      </c>
      <c r="N19" s="85">
        <f>IF(COUNT('doy203'!$L19:$N19)=3,(AVERAGE('doy203'!$L19:$N19)),"--")</f>
        <v>101.66666666666667</v>
      </c>
      <c r="O19" s="85">
        <f>IF(COUNT('doy213'!$L19:$N19)=3,(AVERAGE('doy213'!$L19:$N19)),"--")</f>
        <v>108</v>
      </c>
      <c r="P19" s="85">
        <f>IF(COUNT('doy224'!$L19:$N19)=3,(AVERAGE('doy224'!$L19:$N19)),"--")</f>
        <v>111.33333333333333</v>
      </c>
      <c r="Q19" s="85">
        <f>IF(COUNT('doy231'!$L19:$N19)=3,(AVERAGE('doy231'!$L19:$N19)),"--")</f>
        <v>117</v>
      </c>
      <c r="T19" s="12"/>
      <c r="U19" s="12"/>
      <c r="V19" s="14"/>
      <c r="W19" s="15"/>
      <c r="X19" s="15"/>
      <c r="Y19" s="15"/>
      <c r="Z19" s="15"/>
      <c r="AA19" s="15"/>
      <c r="AB19" s="15"/>
      <c r="AC19" s="15"/>
      <c r="AD19" s="15"/>
      <c r="AE19" s="15"/>
      <c r="AF19" s="15"/>
      <c r="AG19" s="15"/>
      <c r="AH19" s="15"/>
      <c r="AI19" s="15"/>
      <c r="AJ19" s="15"/>
      <c r="AK19" s="15"/>
      <c r="AL19" s="15"/>
      <c r="AM19" s="15"/>
      <c r="AN19" s="15"/>
      <c r="AO19" s="15"/>
      <c r="AP19" s="15"/>
      <c r="AQ19" s="15"/>
      <c r="AR19" s="15"/>
      <c r="AS19" s="15"/>
      <c r="AT19" s="15"/>
      <c r="AU19" s="15"/>
      <c r="AV19" s="15"/>
      <c r="AW19" s="15"/>
      <c r="AX19" s="15"/>
      <c r="AY19" s="15"/>
      <c r="AZ19" s="15"/>
      <c r="BA19" s="15"/>
      <c r="BB19" s="15"/>
      <c r="BC19" s="15"/>
      <c r="BD19" s="15"/>
      <c r="BE19" s="15"/>
      <c r="BF19" s="15"/>
      <c r="BG19" s="15"/>
      <c r="BH19" s="15"/>
      <c r="BI19" s="15"/>
    </row>
    <row r="20" spans="2:61" ht="30" customHeight="1" x14ac:dyDescent="0.2">
      <c r="B20" s="199">
        <v>6</v>
      </c>
      <c r="C20" s="79" t="s">
        <v>12</v>
      </c>
      <c r="D20" s="82">
        <f>IF(COUNT('doy130'!$L20:$N20)=3,(AVERAGE('doy130'!$L20:$N20)),"--")</f>
        <v>6.333333333333333</v>
      </c>
      <c r="E20" s="82">
        <f>IF(COUNT('doy139'!$L20:$N20)=3,(AVERAGE('doy139'!$L20:$N20)),"--")</f>
        <v>11.666666666666666</v>
      </c>
      <c r="F20" s="82">
        <f>IF(COUNT('doy146'!$L20:$N20)=3,(AVERAGE('doy146'!$L20:$N20)),"--")</f>
        <v>20</v>
      </c>
      <c r="G20" s="82">
        <f>IF(COUNT('doy153'!$L20:$N20)=3,(AVERAGE('doy153'!$L20:$N20)),"--")</f>
        <v>25</v>
      </c>
      <c r="H20" s="82">
        <f>IF(COUNT('doy159'!$L20:$N20)=3,(AVERAGE('doy159'!$L20:$N20)),"--")</f>
        <v>37</v>
      </c>
      <c r="I20" s="82">
        <f>IF(COUNT('doy168'!$L20:$N20)=3,(AVERAGE('doy168'!$L20:$N20)),"--")</f>
        <v>41.666666666666664</v>
      </c>
      <c r="J20" s="82">
        <f>IF(COUNT('doy173'!$L20:$N20)=3,(AVERAGE('doy173'!$L20:$N20)),"--")</f>
        <v>51</v>
      </c>
      <c r="K20" s="82">
        <f>IF(COUNT('doy179'!$L20:$N20)=3,(AVERAGE('doy179'!$L20:$N20)),"--")</f>
        <v>54.666666666666664</v>
      </c>
      <c r="L20" s="82">
        <f>IF(COUNT('doy187'!$L20:$N20)=3,(AVERAGE('doy187'!$L20:$N20)),"--")</f>
        <v>64.333333333333329</v>
      </c>
      <c r="M20" s="82">
        <f>IF(COUNT('doy193'!$L20:$N20)=3,(AVERAGE('doy193'!$L20:$N20)),"--")</f>
        <v>72.333333333333329</v>
      </c>
      <c r="N20" s="82">
        <f>IF(COUNT('doy203'!$L20:$N20)=3,(AVERAGE('doy203'!$L20:$N20)),"--")</f>
        <v>86.666666666666671</v>
      </c>
      <c r="O20" s="82" t="str">
        <f>IF(COUNT('doy213'!$L20:$N20)=3,(AVERAGE('doy213'!$L20:$N20)),"--")</f>
        <v>--</v>
      </c>
      <c r="P20" s="82" t="str">
        <f>IF(COUNT('doy224'!$L20:$N20)=3,(AVERAGE('doy224'!$L20:$N20)),"--")</f>
        <v>--</v>
      </c>
      <c r="Q20" s="82" t="str">
        <f>IF(COUNT('doy231'!$L20:$N20)=3,(AVERAGE('doy231'!$L20:$N20)),"--")</f>
        <v>--</v>
      </c>
      <c r="T20" s="12"/>
      <c r="U20" s="12"/>
      <c r="V20" s="12"/>
    </row>
    <row r="21" spans="2:61" ht="30" customHeight="1" thickBot="1" x14ac:dyDescent="0.25">
      <c r="B21" s="200"/>
      <c r="C21" s="80" t="s">
        <v>13</v>
      </c>
      <c r="D21" s="85">
        <f>IF(COUNT('doy130'!$L21:$N21)=3,(AVERAGE('doy130'!$L21:$N21)),"--")</f>
        <v>7.333333333333333</v>
      </c>
      <c r="E21" s="85">
        <f>IF(COUNT('doy139'!$L21:$N21)=3,(AVERAGE('doy139'!$L21:$N21)),"--")</f>
        <v>16</v>
      </c>
      <c r="F21" s="85">
        <f>IF(COUNT('doy146'!$L21:$N21)=3,(AVERAGE('doy146'!$L21:$N21)),"--")</f>
        <v>21.666666666666668</v>
      </c>
      <c r="G21" s="85">
        <f>IF(COUNT('doy153'!$L21:$N21)=3,(AVERAGE('doy153'!$L21:$N21)),"--")</f>
        <v>27.333333333333332</v>
      </c>
      <c r="H21" s="85">
        <f>IF(COUNT('doy159'!$L21:$N21)=3,(AVERAGE('doy159'!$L21:$N21)),"--")</f>
        <v>35.666666666666664</v>
      </c>
      <c r="I21" s="85">
        <f>IF(COUNT('doy168'!$L21:$N21)=3,(AVERAGE('doy168'!$L21:$N21)),"--")</f>
        <v>50.666666666666664</v>
      </c>
      <c r="J21" s="85">
        <f>IF(COUNT('doy173'!$L21:$N21)=3,(AVERAGE('doy173'!$L21:$N21)),"--")</f>
        <v>63.333333333333336</v>
      </c>
      <c r="K21" s="85">
        <f>IF(COUNT('doy179'!$L21:$N21)=3,(AVERAGE('doy179'!$L21:$N21)),"--")</f>
        <v>68</v>
      </c>
      <c r="L21" s="85">
        <f>IF(COUNT('doy187'!$L21:$N21)=3,(AVERAGE('doy187'!$L21:$N21)),"--")</f>
        <v>76.666666666666671</v>
      </c>
      <c r="M21" s="85">
        <f>IF(COUNT('doy193'!$L21:$N21)=3,(AVERAGE('doy193'!$L21:$N21)),"--")</f>
        <v>86</v>
      </c>
      <c r="N21" s="85">
        <f>IF(COUNT('doy203'!$L21:$N21)=3,(AVERAGE('doy203'!$L21:$N21)),"--")</f>
        <v>94.333333333333329</v>
      </c>
      <c r="O21" s="85">
        <f>IF(COUNT('doy213'!$L21:$N21)=3,(AVERAGE('doy213'!$L21:$N21)),"--")</f>
        <v>101.66666666666667</v>
      </c>
      <c r="P21" s="85">
        <f>IF(COUNT('doy224'!$L21:$N21)=3,(AVERAGE('doy224'!$L21:$N21)),"--")</f>
        <v>112.33333333333333</v>
      </c>
      <c r="Q21" s="85">
        <f>IF(COUNT('doy231'!$L21:$N21)=3,(AVERAGE('doy231'!$L21:$N21)),"--")</f>
        <v>115.66666666666667</v>
      </c>
      <c r="T21" s="12"/>
      <c r="U21" s="12"/>
      <c r="V21" s="14"/>
      <c r="W21" s="15"/>
      <c r="X21" s="15"/>
      <c r="Y21" s="15"/>
      <c r="Z21" s="15"/>
      <c r="AA21" s="15"/>
      <c r="AB21" s="15"/>
      <c r="AC21" s="15"/>
      <c r="AD21" s="15"/>
      <c r="AE21" s="15"/>
      <c r="AF21" s="15"/>
      <c r="AG21" s="15"/>
      <c r="AH21" s="15"/>
      <c r="AI21" s="15"/>
      <c r="AJ21" s="15"/>
      <c r="AK21" s="15"/>
      <c r="AL21" s="15"/>
      <c r="AM21" s="15"/>
      <c r="AN21" s="15"/>
      <c r="AO21" s="15"/>
      <c r="AP21" s="15"/>
      <c r="AQ21" s="15"/>
      <c r="AR21" s="15"/>
      <c r="AS21" s="15"/>
      <c r="AT21" s="15"/>
      <c r="AU21" s="15"/>
      <c r="AV21" s="15"/>
      <c r="AW21" s="15"/>
      <c r="AX21" s="15"/>
      <c r="AY21" s="15"/>
      <c r="AZ21" s="15"/>
      <c r="BA21" s="15"/>
      <c r="BB21" s="15"/>
      <c r="BC21" s="15"/>
      <c r="BD21" s="15"/>
      <c r="BE21" s="15"/>
      <c r="BF21" s="15"/>
      <c r="BG21" s="15"/>
      <c r="BH21" s="15"/>
      <c r="BI21" s="15"/>
    </row>
    <row r="22" spans="2:61" ht="30" customHeight="1" x14ac:dyDescent="0.2">
      <c r="B22" s="199">
        <v>7</v>
      </c>
      <c r="C22" s="79" t="s">
        <v>12</v>
      </c>
      <c r="D22" s="82">
        <f>IF(COUNT('doy130'!$L22:$N22)=3,(AVERAGE('doy130'!$L22:$N22)),"--")</f>
        <v>5</v>
      </c>
      <c r="E22" s="82">
        <f>IF(COUNT('doy139'!$L22:$N22)=3,(AVERAGE('doy139'!$L22:$N22)),"--")</f>
        <v>12</v>
      </c>
      <c r="F22" s="82">
        <f>IF(COUNT('doy146'!$L22:$N22)=3,(AVERAGE('doy146'!$L22:$N22)),"--")</f>
        <v>16</v>
      </c>
      <c r="G22" s="82">
        <f>IF(COUNT('doy153'!$L22:$N22)=3,(AVERAGE('doy153'!$L22:$N22)),"--")</f>
        <v>25</v>
      </c>
      <c r="H22" s="82">
        <f>IF(COUNT('doy159'!$L22:$N22)=3,(AVERAGE('doy159'!$L22:$N22)),"--")</f>
        <v>33.333333333333336</v>
      </c>
      <c r="I22" s="82">
        <f>IF(COUNT('doy168'!$L22:$N22)=3,(AVERAGE('doy168'!$L22:$N22)),"--")</f>
        <v>46.666666666666664</v>
      </c>
      <c r="J22" s="82">
        <f>IF(COUNT('doy173'!$L22:$N22)=3,(AVERAGE('doy173'!$L22:$N22)),"--")</f>
        <v>56.333333333333336</v>
      </c>
      <c r="K22" s="82">
        <f>IF(COUNT('doy179'!$L22:$N22)=3,(AVERAGE('doy179'!$L22:$N22)),"--")</f>
        <v>62.333333333333336</v>
      </c>
      <c r="L22" s="82">
        <f>IF(COUNT('doy187'!$L22:$N22)=3,(AVERAGE('doy187'!$L22:$N22)),"--")</f>
        <v>61</v>
      </c>
      <c r="M22" s="82">
        <f>IF(COUNT('doy193'!$L22:$N22)=3,(AVERAGE('doy193'!$L22:$N22)),"--")</f>
        <v>78</v>
      </c>
      <c r="N22" s="82">
        <f>IF(COUNT('doy203'!$L22:$N22)=3,(AVERAGE('doy203'!$L22:$N22)),"--")</f>
        <v>95</v>
      </c>
      <c r="O22" s="82" t="str">
        <f>IF(COUNT('doy213'!$L22:$N22)=3,(AVERAGE('doy213'!$L22:$N22)),"--")</f>
        <v>--</v>
      </c>
      <c r="P22" s="82" t="str">
        <f>IF(COUNT('doy224'!$L22:$N22)=3,(AVERAGE('doy224'!$L22:$N22)),"--")</f>
        <v>--</v>
      </c>
      <c r="Q22" s="82" t="str">
        <f>IF(COUNT('doy231'!$L22:$N22)=3,(AVERAGE('doy231'!$L22:$N22)),"--")</f>
        <v>--</v>
      </c>
      <c r="T22" s="12"/>
      <c r="U22" s="12"/>
      <c r="V22" s="12"/>
    </row>
    <row r="23" spans="2:61" ht="30" customHeight="1" thickBot="1" x14ac:dyDescent="0.25">
      <c r="B23" s="200"/>
      <c r="C23" s="80" t="s">
        <v>13</v>
      </c>
      <c r="D23" s="85">
        <f>IF(COUNT('doy130'!$L23:$N23)=3,(AVERAGE('doy130'!$L23:$N23)),"--")</f>
        <v>6.333333333333333</v>
      </c>
      <c r="E23" s="85">
        <f>IF(COUNT('doy139'!$L23:$N23)=3,(AVERAGE('doy139'!$L23:$N23)),"--")</f>
        <v>13</v>
      </c>
      <c r="F23" s="85">
        <f>IF(COUNT('doy146'!$L23:$N23)=3,(AVERAGE('doy146'!$L23:$N23)),"--")</f>
        <v>19.666666666666668</v>
      </c>
      <c r="G23" s="85">
        <f>IF(COUNT('doy153'!$L23:$N23)=3,(AVERAGE('doy153'!$L23:$N23)),"--")</f>
        <v>27</v>
      </c>
      <c r="H23" s="85">
        <f>IF(COUNT('doy159'!$L23:$N23)=3,(AVERAGE('doy159'!$L23:$N23)),"--")</f>
        <v>36.666666666666664</v>
      </c>
      <c r="I23" s="85">
        <f>IF(COUNT('doy168'!$L23:$N23)=3,(AVERAGE('doy168'!$L23:$N23)),"--")</f>
        <v>56.333333333333336</v>
      </c>
      <c r="J23" s="85">
        <f>IF(COUNT('doy173'!$L23:$N23)=3,(AVERAGE('doy173'!$L23:$N23)),"--")</f>
        <v>65.333333333333329</v>
      </c>
      <c r="K23" s="85">
        <f>IF(COUNT('doy179'!$L23:$N23)=3,(AVERAGE('doy179'!$L23:$N23)),"--")</f>
        <v>80.333333333333329</v>
      </c>
      <c r="L23" s="85">
        <f>IF(COUNT('doy187'!$L23:$N23)=3,(AVERAGE('doy187'!$L23:$N23)),"--")</f>
        <v>85.666666666666671</v>
      </c>
      <c r="M23" s="85">
        <f>IF(COUNT('doy193'!$L23:$N23)=3,(AVERAGE('doy193'!$L23:$N23)),"--")</f>
        <v>98.333333333333329</v>
      </c>
      <c r="N23" s="85">
        <f>IF(COUNT('doy203'!$L23:$N23)=3,(AVERAGE('doy203'!$L23:$N23)),"--")</f>
        <v>106.66666666666667</v>
      </c>
      <c r="O23" s="85">
        <f>IF(COUNT('doy213'!$L23:$N23)=3,(AVERAGE('doy213'!$L23:$N23)),"--")</f>
        <v>114</v>
      </c>
      <c r="P23" s="85">
        <f>IF(COUNT('doy224'!$L23:$N23)=3,(AVERAGE('doy224'!$L23:$N23)),"--")</f>
        <v>120</v>
      </c>
      <c r="Q23" s="85">
        <f>IF(COUNT('doy231'!$L23:$N23)=3,(AVERAGE('doy231'!$L23:$N23)),"--")</f>
        <v>124.66666666666667</v>
      </c>
      <c r="T23" s="12"/>
      <c r="U23" s="12"/>
      <c r="V23" s="14"/>
      <c r="W23" s="15"/>
      <c r="X23" s="15"/>
      <c r="Y23" s="15"/>
      <c r="Z23" s="15"/>
      <c r="AA23" s="15"/>
      <c r="AB23" s="15"/>
      <c r="AC23" s="15"/>
      <c r="AD23" s="15"/>
      <c r="AE23" s="15"/>
      <c r="AF23" s="15"/>
      <c r="AG23" s="15"/>
      <c r="AH23" s="15"/>
      <c r="AI23" s="15"/>
      <c r="AJ23" s="15"/>
      <c r="AK23" s="15"/>
      <c r="AL23" s="15"/>
      <c r="AM23" s="15"/>
      <c r="AN23" s="15"/>
      <c r="AO23" s="15"/>
      <c r="AP23" s="15"/>
      <c r="AQ23" s="15"/>
      <c r="AR23" s="15"/>
      <c r="AS23" s="15"/>
      <c r="AT23" s="15"/>
      <c r="AU23" s="15"/>
      <c r="AV23" s="15"/>
      <c r="AW23" s="15"/>
      <c r="AX23" s="15"/>
      <c r="AY23" s="15"/>
      <c r="AZ23" s="15"/>
      <c r="BA23" s="15"/>
      <c r="BB23" s="15"/>
      <c r="BC23" s="15"/>
      <c r="BD23" s="15"/>
      <c r="BE23" s="15"/>
      <c r="BF23" s="15"/>
      <c r="BG23" s="15"/>
      <c r="BH23" s="15"/>
      <c r="BI23" s="15"/>
    </row>
    <row r="24" spans="2:61" ht="30" customHeight="1" x14ac:dyDescent="0.2">
      <c r="B24" s="199">
        <v>8</v>
      </c>
      <c r="C24" s="79" t="s">
        <v>12</v>
      </c>
      <c r="D24" s="82">
        <f>IF(COUNT('doy130'!$L24:$N24)=3,(AVERAGE('doy130'!$L24:$N24)),"--")</f>
        <v>7</v>
      </c>
      <c r="E24" s="82">
        <f>IF(COUNT('doy139'!$L24:$N24)=3,(AVERAGE('doy139'!$L24:$N24)),"--")</f>
        <v>11.333333333333334</v>
      </c>
      <c r="F24" s="82">
        <f>IF(COUNT('doy146'!$L24:$N24)=3,(AVERAGE('doy146'!$L24:$N24)),"--")</f>
        <v>17.666666666666668</v>
      </c>
      <c r="G24" s="82">
        <f>IF(COUNT('doy153'!$L24:$N24)=3,(AVERAGE('doy153'!$L24:$N24)),"--")</f>
        <v>26</v>
      </c>
      <c r="H24" s="82">
        <f>IF(COUNT('doy159'!$L24:$N24)=3,(AVERAGE('doy159'!$L24:$N24)),"--")</f>
        <v>35</v>
      </c>
      <c r="I24" s="82">
        <f>IF(COUNT('doy168'!$L24:$N24)=3,(AVERAGE('doy168'!$L24:$N24)),"--")</f>
        <v>48.666666666666664</v>
      </c>
      <c r="J24" s="82">
        <f>IF(COUNT('doy173'!$L24:$N24)=3,(AVERAGE('doy173'!$L24:$N24)),"--")</f>
        <v>57.333333333333336</v>
      </c>
      <c r="K24" s="82">
        <f>IF(COUNT('doy179'!$L24:$N24)=3,(AVERAGE('doy179'!$L24:$N24)),"--")</f>
        <v>70.666666666666671</v>
      </c>
      <c r="L24" s="82" t="str">
        <f>IF(COUNT('doy187'!$L24:$N24)=3,(AVERAGE('doy187'!$L24:$N24)),"--")</f>
        <v>--</v>
      </c>
      <c r="M24" s="82">
        <f>IF(COUNT('doy193'!$L24:$N24)=3,(AVERAGE('doy193'!$L24:$N24)),"--")</f>
        <v>88.666666666666671</v>
      </c>
      <c r="N24" s="82" t="str">
        <f>IF(COUNT('doy203'!$L24:$N24)=3,(AVERAGE('doy203'!$L24:$N24)),"--")</f>
        <v>--</v>
      </c>
      <c r="O24" s="82" t="str">
        <f>IF(COUNT('doy213'!$L24:$N24)=3,(AVERAGE('doy213'!$L24:$N24)),"--")</f>
        <v>--</v>
      </c>
      <c r="P24" s="82" t="str">
        <f>IF(COUNT('doy224'!$L24:$N24)=3,(AVERAGE('doy224'!$L24:$N24)),"--")</f>
        <v>--</v>
      </c>
      <c r="Q24" s="82" t="str">
        <f>IF(COUNT('doy231'!$L24:$N24)=3,(AVERAGE('doy231'!$L24:$N24)),"--")</f>
        <v>--</v>
      </c>
      <c r="T24" s="9"/>
      <c r="U24" s="9"/>
      <c r="V24" s="9"/>
    </row>
    <row r="25" spans="2:61" ht="30" customHeight="1" thickBot="1" x14ac:dyDescent="0.25">
      <c r="B25" s="200"/>
      <c r="C25" s="80" t="s">
        <v>13</v>
      </c>
      <c r="D25" s="85">
        <f>IF(COUNT('doy130'!$L25:$N25)=3,(AVERAGE('doy130'!$L25:$N25)),"--")</f>
        <v>7</v>
      </c>
      <c r="E25" s="85">
        <f>IF(COUNT('doy139'!$L25:$N25)=3,(AVERAGE('doy139'!$L25:$N25)),"--")</f>
        <v>15</v>
      </c>
      <c r="F25" s="85">
        <f>IF(COUNT('doy146'!$L25:$N25)=3,(AVERAGE('doy146'!$L25:$N25)),"--")</f>
        <v>21.333333333333332</v>
      </c>
      <c r="G25" s="85">
        <f>IF(COUNT('doy153'!$L25:$N25)=3,(AVERAGE('doy153'!$L25:$N25)),"--")</f>
        <v>27.666666666666668</v>
      </c>
      <c r="H25" s="85">
        <f>IF(COUNT('doy159'!$L25:$N25)=3,(AVERAGE('doy159'!$L25:$N25)),"--")</f>
        <v>39</v>
      </c>
      <c r="I25" s="85">
        <f>IF(COUNT('doy168'!$L25:$N25)=3,(AVERAGE('doy168'!$L25:$N25)),"--")</f>
        <v>55.666666666666664</v>
      </c>
      <c r="J25" s="85">
        <f>IF(COUNT('doy173'!$L25:$N25)=3,(AVERAGE('doy173'!$L25:$N25)),"--")</f>
        <v>66</v>
      </c>
      <c r="K25" s="85">
        <f>IF(COUNT('doy179'!$L25:$N25)=3,(AVERAGE('doy179'!$L25:$N25)),"--")</f>
        <v>82.666666666666671</v>
      </c>
      <c r="L25" s="85" t="str">
        <f>IF(COUNT('doy187'!$L25:$N25)=3,(AVERAGE('doy187'!$L25:$N25)),"--")</f>
        <v>--</v>
      </c>
      <c r="M25" s="85">
        <f>IF(COUNT('doy193'!$L25:$N25)=3,(AVERAGE('doy193'!$L25:$N25)),"--")</f>
        <v>101</v>
      </c>
      <c r="N25" s="85">
        <f>IF(COUNT('doy203'!$L25:$N25)=3,(AVERAGE('doy203'!$L25:$N25)),"--")</f>
        <v>107.66666666666667</v>
      </c>
      <c r="O25" s="85">
        <f>IF(COUNT('doy213'!$L25:$N25)=3,(AVERAGE('doy213'!$L25:$N25)),"--")</f>
        <v>112.33333333333333</v>
      </c>
      <c r="P25" s="85">
        <f>IF(COUNT('doy224'!$L25:$N25)=3,(AVERAGE('doy224'!$L25:$N25)),"--")</f>
        <v>114</v>
      </c>
      <c r="Q25" s="85">
        <f>IF(COUNT('doy231'!$L25:$N25)=3,(AVERAGE('doy231'!$L25:$N25)),"--")</f>
        <v>120</v>
      </c>
      <c r="T25" s="12"/>
      <c r="U25" s="12"/>
      <c r="V25" s="14"/>
      <c r="W25" s="15"/>
      <c r="X25" s="15"/>
      <c r="Y25" s="15"/>
      <c r="Z25" s="15"/>
      <c r="AA25" s="15"/>
      <c r="AB25" s="15"/>
      <c r="AC25" s="15"/>
      <c r="AD25" s="15"/>
      <c r="AE25" s="15"/>
      <c r="AF25" s="15"/>
      <c r="AG25" s="15"/>
      <c r="AH25" s="15"/>
      <c r="AI25" s="15"/>
      <c r="AJ25" s="15"/>
      <c r="AK25" s="15"/>
      <c r="AL25" s="15"/>
      <c r="AM25" s="15"/>
      <c r="AN25" s="15"/>
      <c r="AO25" s="15"/>
      <c r="AP25" s="15"/>
      <c r="AQ25" s="15"/>
      <c r="AR25" s="15"/>
      <c r="AS25" s="15"/>
      <c r="AT25" s="15"/>
      <c r="AU25" s="15"/>
      <c r="AV25" s="15"/>
      <c r="AW25" s="15"/>
      <c r="AX25" s="15"/>
      <c r="AY25" s="15"/>
      <c r="AZ25" s="15"/>
      <c r="BA25" s="15"/>
      <c r="BB25" s="15"/>
      <c r="BC25" s="15"/>
      <c r="BD25" s="15"/>
      <c r="BE25" s="15"/>
      <c r="BF25" s="15"/>
      <c r="BG25" s="15"/>
      <c r="BH25" s="15"/>
      <c r="BI25" s="15"/>
    </row>
    <row r="26" spans="2:61" ht="30" customHeight="1" x14ac:dyDescent="0.2">
      <c r="B26" s="199">
        <v>9</v>
      </c>
      <c r="C26" s="79" t="s">
        <v>12</v>
      </c>
      <c r="D26" s="82">
        <f>IF(COUNT('doy130'!$L26:$N26)=3,(AVERAGE('doy130'!$L26:$N26)),"--")</f>
        <v>6.333333333333333</v>
      </c>
      <c r="E26" s="82">
        <f>IF(COUNT('doy139'!$L26:$N26)=3,(AVERAGE('doy139'!$L26:$N26)),"--")</f>
        <v>11.333333333333334</v>
      </c>
      <c r="F26" s="82">
        <f>IF(COUNT('doy146'!$L26:$N26)=3,(AVERAGE('doy146'!$L26:$N26)),"--")</f>
        <v>18.666666666666668</v>
      </c>
      <c r="G26" s="82">
        <f>IF(COUNT('doy153'!$L26:$N26)=3,(AVERAGE('doy153'!$L26:$N26)),"--")</f>
        <v>26</v>
      </c>
      <c r="H26" s="82">
        <f>IF(COUNT('doy159'!$L26:$N26)=3,(AVERAGE('doy159'!$L26:$N26)),"--")</f>
        <v>35.666666666666664</v>
      </c>
      <c r="I26" s="82">
        <f>IF(COUNT('doy168'!$L26:$N26)=3,(AVERAGE('doy168'!$L26:$N26)),"--")</f>
        <v>38.666666666666664</v>
      </c>
      <c r="J26" s="82">
        <f>IF(COUNT('doy173'!$L26:$N26)=3,(AVERAGE('doy173'!$L26:$N26)),"--")</f>
        <v>49</v>
      </c>
      <c r="K26" s="82">
        <f>IF(COUNT('doy179'!$L26:$N26)=3,(AVERAGE('doy179'!$L26:$N26)),"--")</f>
        <v>55</v>
      </c>
      <c r="L26" s="82">
        <f>IF(COUNT('doy187'!$L26:$N26)=3,(AVERAGE('doy187'!$L26:$N26)),"--")</f>
        <v>53</v>
      </c>
      <c r="M26" s="82">
        <f>IF(COUNT('doy193'!$L26:$N26)=3,(AVERAGE('doy193'!$L26:$N26)),"--")</f>
        <v>65</v>
      </c>
      <c r="N26" s="82">
        <f>IF(COUNT('doy203'!$L26:$N26)=3,(AVERAGE('doy203'!$L26:$N26)),"--")</f>
        <v>80</v>
      </c>
      <c r="O26" s="82">
        <f>IF(COUNT('doy213'!$L26:$N26)=3,(AVERAGE('doy213'!$L26:$N26)),"--")</f>
        <v>89.333333333333329</v>
      </c>
      <c r="P26" s="82">
        <f>IF(COUNT('doy224'!$L26:$N26)=3,(AVERAGE('doy224'!$L26:$N26)),"--")</f>
        <v>91</v>
      </c>
      <c r="Q26" s="82" t="str">
        <f>IF(COUNT('doy231'!$L26:$N26)=3,(AVERAGE('doy231'!$L26:$N26)),"--")</f>
        <v>--</v>
      </c>
      <c r="T26" s="12"/>
      <c r="U26" s="12"/>
      <c r="V26" s="12"/>
    </row>
    <row r="27" spans="2:61" ht="30" customHeight="1" thickBot="1" x14ac:dyDescent="0.25">
      <c r="B27" s="200"/>
      <c r="C27" s="80" t="s">
        <v>13</v>
      </c>
      <c r="D27" s="85">
        <f>IF(COUNT('doy130'!$L27:$N27)=3,(AVERAGE('doy130'!$L27:$N27)),"--")</f>
        <v>7.666666666666667</v>
      </c>
      <c r="E27" s="85">
        <f>IF(COUNT('doy139'!$L27:$N27)=3,(AVERAGE('doy139'!$L27:$N27)),"--")</f>
        <v>14</v>
      </c>
      <c r="F27" s="85">
        <f>IF(COUNT('doy146'!$L27:$N27)=3,(AVERAGE('doy146'!$L27:$N27)),"--")</f>
        <v>19.666666666666668</v>
      </c>
      <c r="G27" s="85">
        <f>IF(COUNT('doy153'!$L27:$N27)=3,(AVERAGE('doy153'!$L27:$N27)),"--")</f>
        <v>27</v>
      </c>
      <c r="H27" s="85">
        <f>IF(COUNT('doy159'!$L27:$N27)=3,(AVERAGE('doy159'!$L27:$N27)),"--")</f>
        <v>35.666666666666664</v>
      </c>
      <c r="I27" s="85">
        <f>IF(COUNT('doy168'!$L27:$N27)=3,(AVERAGE('doy168'!$L27:$N27)),"--")</f>
        <v>47</v>
      </c>
      <c r="J27" s="85">
        <f>IF(COUNT('doy173'!$L27:$N27)=3,(AVERAGE('doy173'!$L27:$N27)),"--")</f>
        <v>57</v>
      </c>
      <c r="K27" s="85">
        <f>IF(COUNT('doy179'!$L27:$N27)=3,(AVERAGE('doy179'!$L27:$N27)),"--")</f>
        <v>67</v>
      </c>
      <c r="L27" s="85">
        <f>IF(COUNT('doy187'!$L27:$N27)=3,(AVERAGE('doy187'!$L27:$N27)),"--")</f>
        <v>74.666666666666671</v>
      </c>
      <c r="M27" s="85">
        <f>IF(COUNT('doy193'!$L27:$N27)=3,(AVERAGE('doy193'!$L27:$N27)),"--")</f>
        <v>84.666666666666671</v>
      </c>
      <c r="N27" s="85">
        <f>IF(COUNT('doy203'!$L27:$N27)=3,(AVERAGE('doy203'!$L27:$N27)),"--")</f>
        <v>91.333333333333329</v>
      </c>
      <c r="O27" s="85">
        <f>IF(COUNT('doy213'!$L27:$N27)=3,(AVERAGE('doy213'!$L27:$N27)),"--")</f>
        <v>98.333333333333329</v>
      </c>
      <c r="P27" s="85">
        <f>IF(COUNT('doy224'!$L27:$N27)=3,(AVERAGE('doy224'!$L27:$N27)),"--")</f>
        <v>105</v>
      </c>
      <c r="Q27" s="85">
        <f>IF(COUNT('doy231'!$L27:$N27)=3,(AVERAGE('doy231'!$L27:$N27)),"--")</f>
        <v>107.33333333333333</v>
      </c>
      <c r="T27" s="12"/>
      <c r="U27" s="12"/>
      <c r="V27" s="14"/>
      <c r="W27" s="15"/>
      <c r="X27" s="15"/>
      <c r="Y27" s="15"/>
      <c r="Z27" s="15"/>
      <c r="AA27" s="15"/>
      <c r="AB27" s="15"/>
      <c r="AC27" s="15"/>
      <c r="AD27" s="15"/>
      <c r="AE27" s="15"/>
      <c r="AF27" s="15"/>
      <c r="AG27" s="15"/>
      <c r="AH27" s="15"/>
      <c r="AI27" s="15"/>
      <c r="AJ27" s="15"/>
      <c r="AK27" s="15"/>
      <c r="AL27" s="15"/>
      <c r="AM27" s="15"/>
      <c r="AN27" s="15"/>
      <c r="AO27" s="15"/>
      <c r="AP27" s="15"/>
      <c r="AQ27" s="15"/>
      <c r="AR27" s="15"/>
      <c r="AS27" s="15"/>
      <c r="AT27" s="15"/>
      <c r="AU27" s="15"/>
      <c r="AV27" s="15"/>
      <c r="AW27" s="15"/>
      <c r="AX27" s="15"/>
      <c r="AY27" s="15"/>
      <c r="AZ27" s="15"/>
      <c r="BA27" s="15"/>
      <c r="BB27" s="15"/>
      <c r="BC27" s="15"/>
      <c r="BD27" s="15"/>
      <c r="BE27" s="15"/>
      <c r="BF27" s="15"/>
      <c r="BG27" s="15"/>
      <c r="BH27" s="15"/>
      <c r="BI27" s="15"/>
    </row>
    <row r="28" spans="2:61" ht="30" customHeight="1" x14ac:dyDescent="0.2">
      <c r="B28" s="199">
        <v>10</v>
      </c>
      <c r="C28" s="79" t="s">
        <v>12</v>
      </c>
      <c r="D28" s="82">
        <f>IF(COUNT('doy130'!$L28:$N28)=3,(AVERAGE('doy130'!$L28:$N28)),"--")</f>
        <v>5.666666666666667</v>
      </c>
      <c r="E28" s="82">
        <f>IF(COUNT('doy139'!$L28:$N28)=3,(AVERAGE('doy139'!$L28:$N28)),"--")</f>
        <v>10.333333333333334</v>
      </c>
      <c r="F28" s="82">
        <f>IF(COUNT('doy146'!$L28:$N28)=3,(AVERAGE('doy146'!$L28:$N28)),"--")</f>
        <v>19.666666666666668</v>
      </c>
      <c r="G28" s="82">
        <f>IF(COUNT('doy153'!$L28:$N28)=3,(AVERAGE('doy153'!$L28:$N28)),"--")</f>
        <v>24.333333333333332</v>
      </c>
      <c r="H28" s="82">
        <f>IF(COUNT('doy159'!$L28:$N28)=3,(AVERAGE('doy159'!$L28:$N28)),"--")</f>
        <v>33</v>
      </c>
      <c r="I28" s="82">
        <f>IF(COUNT('doy168'!$L28:$N28)=3,(AVERAGE('doy168'!$L28:$N28)),"--")</f>
        <v>46.666666666666664</v>
      </c>
      <c r="J28" s="82">
        <f>IF(COUNT('doy173'!$L28:$N28)=3,(AVERAGE('doy173'!$L28:$N28)),"--")</f>
        <v>55.666666666666664</v>
      </c>
      <c r="K28" s="82">
        <f>IF(COUNT('doy179'!$L28:$N28)=3,(AVERAGE('doy179'!$L28:$N28)),"--")</f>
        <v>67</v>
      </c>
      <c r="L28" s="82" t="str">
        <f>IF(COUNT('doy187'!$L28:$N28)=3,(AVERAGE('doy187'!$L28:$N28)),"--")</f>
        <v>--</v>
      </c>
      <c r="M28" s="82">
        <f>IF(COUNT('doy193'!$L28:$N28)=3,(AVERAGE('doy193'!$L28:$N28)),"--")</f>
        <v>92</v>
      </c>
      <c r="N28" s="82" t="str">
        <f>IF(COUNT('doy203'!$L28:$N28)=3,(AVERAGE('doy203'!$L28:$N28)),"--")</f>
        <v>--</v>
      </c>
      <c r="O28" s="82" t="str">
        <f>IF(COUNT('doy213'!$L28:$N28)=3,(AVERAGE('doy213'!$L28:$N28)),"--")</f>
        <v>--</v>
      </c>
      <c r="P28" s="82" t="str">
        <f>IF(COUNT('doy224'!$L28:$N28)=3,(AVERAGE('doy224'!$L28:$N28)),"--")</f>
        <v>--</v>
      </c>
      <c r="Q28" s="82" t="str">
        <f>IF(COUNT('doy231'!$L28:$N28)=3,(AVERAGE('doy231'!$L28:$N28)),"--")</f>
        <v>--</v>
      </c>
    </row>
    <row r="29" spans="2:61" ht="30" customHeight="1" thickBot="1" x14ac:dyDescent="0.25">
      <c r="B29" s="200"/>
      <c r="C29" s="80" t="s">
        <v>13</v>
      </c>
      <c r="D29" s="85">
        <f>IF(COUNT('doy130'!$L29:$N29)=3,(AVERAGE('doy130'!$L29:$N29)),"--")</f>
        <v>7</v>
      </c>
      <c r="E29" s="85">
        <f>IF(COUNT('doy139'!$L29:$N29)=3,(AVERAGE('doy139'!$L29:$N29)),"--")</f>
        <v>14</v>
      </c>
      <c r="F29" s="85">
        <f>IF(COUNT('doy146'!$L29:$N29)=3,(AVERAGE('doy146'!$L29:$N29)),"--")</f>
        <v>22</v>
      </c>
      <c r="G29" s="85">
        <f>IF(COUNT('doy153'!$L29:$N29)=3,(AVERAGE('doy153'!$L29:$N29)),"--")</f>
        <v>27.666666666666668</v>
      </c>
      <c r="H29" s="85">
        <f>IF(COUNT('doy159'!$L29:$N29)=3,(AVERAGE('doy159'!$L29:$N29)),"--")</f>
        <v>37.666666666666664</v>
      </c>
      <c r="I29" s="85">
        <f>IF(COUNT('doy168'!$L29:$N29)=3,(AVERAGE('doy168'!$L29:$N29)),"--")</f>
        <v>53.666666666666664</v>
      </c>
      <c r="J29" s="85">
        <f>IF(COUNT('doy173'!$L29:$N29)=3,(AVERAGE('doy173'!$L29:$N29)),"--")</f>
        <v>66.666666666666671</v>
      </c>
      <c r="K29" s="85">
        <f>IF(COUNT('doy179'!$L29:$N29)=3,(AVERAGE('doy179'!$L29:$N29)),"--")</f>
        <v>79.666666666666671</v>
      </c>
      <c r="L29" s="85" t="str">
        <f>IF(COUNT('doy187'!$L29:$N29)=3,(AVERAGE('doy187'!$L29:$N29)),"--")</f>
        <v>--</v>
      </c>
      <c r="M29" s="85">
        <f>IF(COUNT('doy193'!$L29:$N29)=3,(AVERAGE('doy193'!$L29:$N29)),"--")</f>
        <v>96.666666666666671</v>
      </c>
      <c r="N29" s="85">
        <f>IF(COUNT('doy203'!$L29:$N29)=3,(AVERAGE('doy203'!$L29:$N29)),"--")</f>
        <v>107.66666666666667</v>
      </c>
      <c r="O29" s="85">
        <f>IF(COUNT('doy213'!$L29:$N29)=3,(AVERAGE('doy213'!$L29:$N29)),"--")</f>
        <v>113</v>
      </c>
      <c r="P29" s="85">
        <f>IF(COUNT('doy224'!$L29:$N29)=3,(AVERAGE('doy224'!$L29:$N29)),"--")</f>
        <v>117.66666666666667</v>
      </c>
      <c r="Q29" s="85">
        <f>IF(COUNT('doy231'!$L29:$N29)=3,(AVERAGE('doy231'!$L29:$N29)),"--")</f>
        <v>117</v>
      </c>
      <c r="T29" s="12"/>
      <c r="U29" s="12"/>
      <c r="V29" s="14"/>
      <c r="W29" s="15"/>
      <c r="X29" s="15"/>
      <c r="Y29" s="15"/>
      <c r="Z29" s="15"/>
      <c r="AA29" s="15"/>
      <c r="AB29" s="15"/>
      <c r="AC29" s="15"/>
      <c r="AD29" s="15"/>
      <c r="AE29" s="15"/>
      <c r="AF29" s="15"/>
      <c r="AG29" s="15"/>
      <c r="AH29" s="15"/>
      <c r="AI29" s="15"/>
      <c r="AJ29" s="15"/>
      <c r="AK29" s="15"/>
      <c r="AL29" s="15"/>
      <c r="AM29" s="15"/>
      <c r="AN29" s="15"/>
      <c r="AO29" s="15"/>
      <c r="AP29" s="15"/>
      <c r="AQ29" s="15"/>
      <c r="AR29" s="15"/>
      <c r="AS29" s="15"/>
      <c r="AT29" s="15"/>
      <c r="AU29" s="15"/>
      <c r="AV29" s="15"/>
      <c r="AW29" s="15"/>
      <c r="AX29" s="15"/>
      <c r="AY29" s="15"/>
      <c r="AZ29" s="15"/>
      <c r="BA29" s="15"/>
      <c r="BB29" s="15"/>
      <c r="BC29" s="15"/>
      <c r="BD29" s="15"/>
      <c r="BE29" s="15"/>
      <c r="BF29" s="15"/>
      <c r="BG29" s="15"/>
      <c r="BH29" s="15"/>
      <c r="BI29" s="15"/>
    </row>
    <row r="30" spans="2:61" ht="30" customHeight="1" x14ac:dyDescent="0.2">
      <c r="B30" s="199">
        <v>11</v>
      </c>
      <c r="C30" s="79" t="s">
        <v>12</v>
      </c>
      <c r="D30" s="82">
        <f>IF(COUNT('doy130'!$L30:$N30)=3,(AVERAGE('doy130'!$L30:$N30)),"--")</f>
        <v>5.666666666666667</v>
      </c>
      <c r="E30" s="82">
        <f>IF(COUNT('doy139'!$L30:$N30)=3,(AVERAGE('doy139'!$L30:$N30)),"--")</f>
        <v>13</v>
      </c>
      <c r="F30" s="82">
        <f>IF(COUNT('doy146'!$L30:$N30)=3,(AVERAGE('doy146'!$L30:$N30)),"--")</f>
        <v>17</v>
      </c>
      <c r="G30" s="82">
        <f>IF(COUNT('doy153'!$L30:$N30)=3,(AVERAGE('doy153'!$L30:$N30)),"--")</f>
        <v>26.666666666666668</v>
      </c>
      <c r="H30" s="82">
        <f>IF(COUNT('doy159'!$L30:$N30)=3,(AVERAGE('doy159'!$L30:$N30)),"--")</f>
        <v>36</v>
      </c>
      <c r="I30" s="82">
        <f>IF(COUNT('doy168'!$L30:$N30)=3,(AVERAGE('doy168'!$L30:$N30)),"--")</f>
        <v>46.666666666666664</v>
      </c>
      <c r="J30" s="82">
        <f>IF(COUNT('doy173'!$L30:$N30)=3,(AVERAGE('doy173'!$L30:$N30)),"--")</f>
        <v>49.666666666666664</v>
      </c>
      <c r="K30" s="82">
        <f>IF(COUNT('doy179'!$L30:$N30)=3,(AVERAGE('doy179'!$L30:$N30)),"--")</f>
        <v>57</v>
      </c>
      <c r="L30" s="82">
        <f>IF(COUNT('doy187'!$L30:$N30)=3,(AVERAGE('doy187'!$L30:$N30)),"--")</f>
        <v>69.666666666666671</v>
      </c>
      <c r="M30" s="82">
        <f>IF(COUNT('doy193'!$L30:$N30)=3,(AVERAGE('doy193'!$L30:$N30)),"--")</f>
        <v>77</v>
      </c>
      <c r="N30" s="82">
        <f>IF(COUNT('doy203'!$L30:$N30)=3,(AVERAGE('doy203'!$L30:$N30)),"--")</f>
        <v>91</v>
      </c>
      <c r="O30" s="82" t="str">
        <f>IF(COUNT('doy213'!$L30:$N30)=3,(AVERAGE('doy213'!$L30:$N30)),"--")</f>
        <v>--</v>
      </c>
      <c r="P30" s="82" t="str">
        <f>IF(COUNT('doy224'!$L30:$N30)=3,(AVERAGE('doy224'!$L30:$N30)),"--")</f>
        <v>--</v>
      </c>
      <c r="Q30" s="82" t="str">
        <f>IF(COUNT('doy231'!$L30:$N30)=3,(AVERAGE('doy231'!$L30:$N30)),"--")</f>
        <v>--</v>
      </c>
    </row>
    <row r="31" spans="2:61" ht="30" customHeight="1" thickBot="1" x14ac:dyDescent="0.25">
      <c r="B31" s="200"/>
      <c r="C31" s="80" t="s">
        <v>13</v>
      </c>
      <c r="D31" s="85">
        <f>IF(COUNT('doy130'!$L31:$N31)=3,(AVERAGE('doy130'!$L31:$N31)),"--")</f>
        <v>7</v>
      </c>
      <c r="E31" s="85">
        <f>IF(COUNT('doy139'!$L31:$N31)=3,(AVERAGE('doy139'!$L31:$N31)),"--")</f>
        <v>15.666666666666666</v>
      </c>
      <c r="F31" s="85">
        <f>IF(COUNT('doy146'!$L31:$N31)=3,(AVERAGE('doy146'!$L31:$N31)),"--")</f>
        <v>20.666666666666668</v>
      </c>
      <c r="G31" s="85">
        <f>IF(COUNT('doy153'!$L31:$N31)=3,(AVERAGE('doy153'!$L31:$N31)),"--")</f>
        <v>27.666666666666668</v>
      </c>
      <c r="H31" s="85">
        <f>IF(COUNT('doy159'!$L31:$N31)=3,(AVERAGE('doy159'!$L31:$N31)),"--")</f>
        <v>38.666666666666664</v>
      </c>
      <c r="I31" s="85">
        <f>IF(COUNT('doy168'!$L31:$N31)=3,(AVERAGE('doy168'!$L31:$N31)),"--")</f>
        <v>54</v>
      </c>
      <c r="J31" s="85">
        <f>IF(COUNT('doy173'!$L31:$N31)=3,(AVERAGE('doy173'!$L31:$N31)),"--")</f>
        <v>56.333333333333336</v>
      </c>
      <c r="K31" s="85">
        <f>IF(COUNT('doy179'!$L31:$N31)=3,(AVERAGE('doy179'!$L31:$N31)),"--")</f>
        <v>69</v>
      </c>
      <c r="L31" s="85">
        <f>IF(COUNT('doy187'!$L31:$N31)=3,(AVERAGE('doy187'!$L31:$N31)),"--")</f>
        <v>80.666666666666671</v>
      </c>
      <c r="M31" s="85">
        <f>IF(COUNT('doy193'!$L31:$N31)=3,(AVERAGE('doy193'!$L31:$N31)),"--")</f>
        <v>91.333333333333329</v>
      </c>
      <c r="N31" s="85">
        <f>IF(COUNT('doy203'!$L31:$N31)=3,(AVERAGE('doy203'!$L31:$N31)),"--")</f>
        <v>104.33333333333333</v>
      </c>
      <c r="O31" s="85">
        <f>IF(COUNT('doy213'!$L31:$N31)=3,(AVERAGE('doy213'!$L31:$N31)),"--")</f>
        <v>114</v>
      </c>
      <c r="P31" s="85">
        <f>IF(COUNT('doy224'!$L31:$N31)=3,(AVERAGE('doy224'!$L31:$N31)),"--")</f>
        <v>115.66666666666667</v>
      </c>
      <c r="Q31" s="85">
        <f>IF(COUNT('doy231'!$L31:$N31)=3,(AVERAGE('doy231'!$L31:$N31)),"--")</f>
        <v>119.33333333333333</v>
      </c>
      <c r="T31" s="12"/>
      <c r="U31" s="12"/>
      <c r="V31" s="14"/>
      <c r="W31" s="15"/>
      <c r="X31" s="15"/>
      <c r="Y31" s="15"/>
      <c r="Z31" s="15"/>
      <c r="AA31" s="15"/>
      <c r="AB31" s="15"/>
      <c r="AC31" s="15"/>
      <c r="AD31" s="15"/>
      <c r="AE31" s="15"/>
      <c r="AF31" s="15"/>
      <c r="AG31" s="15"/>
      <c r="AH31" s="15"/>
      <c r="AI31" s="15"/>
      <c r="AJ31" s="15"/>
      <c r="AK31" s="15"/>
      <c r="AL31" s="15"/>
      <c r="AM31" s="15"/>
      <c r="AN31" s="15"/>
      <c r="AO31" s="15"/>
      <c r="AP31" s="15"/>
      <c r="AQ31" s="15"/>
      <c r="AR31" s="15"/>
      <c r="AS31" s="15"/>
      <c r="AT31" s="15"/>
      <c r="AU31" s="15"/>
      <c r="AV31" s="15"/>
      <c r="AW31" s="15"/>
      <c r="AX31" s="15"/>
      <c r="AY31" s="15"/>
      <c r="AZ31" s="15"/>
      <c r="BA31" s="15"/>
      <c r="BB31" s="15"/>
      <c r="BC31" s="15"/>
      <c r="BD31" s="15"/>
      <c r="BE31" s="15"/>
      <c r="BF31" s="15"/>
      <c r="BG31" s="15"/>
      <c r="BH31" s="15"/>
      <c r="BI31" s="15"/>
    </row>
    <row r="32" spans="2:61" ht="30" customHeight="1" x14ac:dyDescent="0.2">
      <c r="B32" s="199">
        <v>12</v>
      </c>
      <c r="C32" s="79" t="s">
        <v>12</v>
      </c>
      <c r="D32" s="82">
        <f>IF(COUNT('doy130'!$L32:$N32)=3,(AVERAGE('doy130'!$L32:$N32)),"--")</f>
        <v>6.333333333333333</v>
      </c>
      <c r="E32" s="82">
        <f>IF(COUNT('doy139'!$L32:$N32)=3,(AVERAGE('doy139'!$L32:$N32)),"--")</f>
        <v>12</v>
      </c>
      <c r="F32" s="82">
        <f>IF(COUNT('doy146'!$L32:$N32)=3,(AVERAGE('doy146'!$L32:$N32)),"--")</f>
        <v>18.666666666666668</v>
      </c>
      <c r="G32" s="82">
        <f>IF(COUNT('doy153'!$L32:$N32)=3,(AVERAGE('doy153'!$L32:$N32)),"--")</f>
        <v>25</v>
      </c>
      <c r="H32" s="82">
        <f>IF(COUNT('doy159'!$L32:$N32)=3,(AVERAGE('doy159'!$L32:$N32)),"--")</f>
        <v>34.333333333333336</v>
      </c>
      <c r="I32" s="82">
        <f>IF(COUNT('doy168'!$L32:$N32)=3,(AVERAGE('doy168'!$L32:$N32)),"--")</f>
        <v>48.333333333333336</v>
      </c>
      <c r="J32" s="82">
        <f>IF(COUNT('doy173'!$L32:$N32)=3,(AVERAGE('doy173'!$L32:$N32)),"--")</f>
        <v>63.333333333333336</v>
      </c>
      <c r="K32" s="82">
        <f>IF(COUNT('doy179'!$L32:$N32)=3,(AVERAGE('doy179'!$L32:$N32)),"--")</f>
        <v>68</v>
      </c>
      <c r="L32" s="82">
        <f>IF(COUNT('doy187'!$L32:$N32)=3,(AVERAGE('doy187'!$L32:$N32)),"--")</f>
        <v>73.333333333333329</v>
      </c>
      <c r="M32" s="82">
        <f>IF(COUNT('doy193'!$L32:$N32)=3,(AVERAGE('doy193'!$L32:$N32)),"--")</f>
        <v>83</v>
      </c>
      <c r="N32" s="82" t="str">
        <f>IF(COUNT('doy203'!$L32:$N32)=3,(AVERAGE('doy203'!$L32:$N32)),"--")</f>
        <v>--</v>
      </c>
      <c r="O32" s="82" t="str">
        <f>IF(COUNT('doy213'!$L32:$N32)=3,(AVERAGE('doy213'!$L32:$N32)),"--")</f>
        <v>--</v>
      </c>
      <c r="P32" s="82" t="str">
        <f>IF(COUNT('doy224'!$L32:$N32)=3,(AVERAGE('doy224'!$L32:$N32)),"--")</f>
        <v>--</v>
      </c>
      <c r="Q32" s="82" t="str">
        <f>IF(COUNT('doy231'!$L32:$N32)=3,(AVERAGE('doy231'!$L32:$N32)),"--")</f>
        <v>--</v>
      </c>
    </row>
    <row r="33" spans="2:61" ht="30" customHeight="1" thickBot="1" x14ac:dyDescent="0.25">
      <c r="B33" s="200"/>
      <c r="C33" s="80" t="s">
        <v>13</v>
      </c>
      <c r="D33" s="85">
        <f>IF(COUNT('doy130'!$L33:$N33)=3,(AVERAGE('doy130'!$L33:$N33)),"--")</f>
        <v>7</v>
      </c>
      <c r="E33" s="85">
        <f>IF(COUNT('doy139'!$L33:$N33)=3,(AVERAGE('doy139'!$L33:$N33)),"--")</f>
        <v>13.666666666666666</v>
      </c>
      <c r="F33" s="85">
        <f>IF(COUNT('doy146'!$L33:$N33)=3,(AVERAGE('doy146'!$L33:$N33)),"--")</f>
        <v>21.333333333333332</v>
      </c>
      <c r="G33" s="85">
        <f>IF(COUNT('doy153'!$L33:$N33)=3,(AVERAGE('doy153'!$L33:$N33)),"--")</f>
        <v>28</v>
      </c>
      <c r="H33" s="85">
        <f>IF(COUNT('doy159'!$L33:$N33)=3,(AVERAGE('doy159'!$L33:$N33)),"--")</f>
        <v>39.333333333333336</v>
      </c>
      <c r="I33" s="85">
        <f>IF(COUNT('doy168'!$L33:$N33)=3,(AVERAGE('doy168'!$L33:$N33)),"--")</f>
        <v>58.333333333333336</v>
      </c>
      <c r="J33" s="85">
        <f>IF(COUNT('doy173'!$L33:$N33)=3,(AVERAGE('doy173'!$L33:$N33)),"--")</f>
        <v>68.333333333333329</v>
      </c>
      <c r="K33" s="85">
        <f>IF(COUNT('doy179'!$L33:$N33)=3,(AVERAGE('doy179'!$L33:$N33)),"--")</f>
        <v>83.333333333333329</v>
      </c>
      <c r="L33" s="85">
        <f>IF(COUNT('doy187'!$L33:$N33)=3,(AVERAGE('doy187'!$L33:$N33)),"--")</f>
        <v>91.666666666666671</v>
      </c>
      <c r="M33" s="85">
        <f>IF(COUNT('doy193'!$L33:$N33)=3,(AVERAGE('doy193'!$L33:$N33)),"--")</f>
        <v>96.666666666666671</v>
      </c>
      <c r="N33" s="85">
        <f>IF(COUNT('doy203'!$L33:$N33)=3,(AVERAGE('doy203'!$L33:$N33)),"--")</f>
        <v>109</v>
      </c>
      <c r="O33" s="85">
        <f>IF(COUNT('doy213'!$L33:$N33)=3,(AVERAGE('doy213'!$L33:$N33)),"--")</f>
        <v>120.66666666666667</v>
      </c>
      <c r="P33" s="85">
        <f>IF(COUNT('doy224'!$L33:$N33)=3,(AVERAGE('doy224'!$L33:$N33)),"--")</f>
        <v>131</v>
      </c>
      <c r="Q33" s="85">
        <f>IF(COUNT('doy231'!$L33:$N33)=3,(AVERAGE('doy231'!$L33:$N33)),"--")</f>
        <v>136</v>
      </c>
      <c r="T33" s="12"/>
      <c r="U33" s="12"/>
      <c r="V33" s="14"/>
      <c r="W33" s="15"/>
      <c r="X33" s="15"/>
      <c r="Y33" s="15"/>
      <c r="Z33" s="15"/>
      <c r="AA33" s="15"/>
      <c r="AB33" s="15"/>
      <c r="AC33" s="15"/>
      <c r="AD33" s="15"/>
      <c r="AE33" s="15"/>
      <c r="AF33" s="15"/>
      <c r="AG33" s="15"/>
      <c r="AH33" s="15"/>
      <c r="AI33" s="15"/>
      <c r="AJ33" s="15"/>
      <c r="AK33" s="15"/>
      <c r="AL33" s="15"/>
      <c r="AM33" s="15"/>
      <c r="AN33" s="15"/>
      <c r="AO33" s="15"/>
      <c r="AP33" s="15"/>
      <c r="AQ33" s="15"/>
      <c r="AR33" s="15"/>
      <c r="AS33" s="15"/>
      <c r="AT33" s="15"/>
      <c r="AU33" s="15"/>
      <c r="AV33" s="15"/>
      <c r="AW33" s="15"/>
      <c r="AX33" s="15"/>
      <c r="AY33" s="15"/>
      <c r="AZ33" s="15"/>
      <c r="BA33" s="15"/>
      <c r="BB33" s="15"/>
      <c r="BC33" s="15"/>
      <c r="BD33" s="15"/>
      <c r="BE33" s="15"/>
      <c r="BF33" s="15"/>
      <c r="BG33" s="15"/>
      <c r="BH33" s="15"/>
      <c r="BI33" s="15"/>
    </row>
    <row r="34" spans="2:61" ht="30" customHeight="1" x14ac:dyDescent="0.2">
      <c r="B34" s="199">
        <v>13</v>
      </c>
      <c r="C34" s="79" t="s">
        <v>12</v>
      </c>
      <c r="D34" s="82">
        <f>IF(COUNT('doy130'!$L34:$N34)=3,(AVERAGE('doy130'!$L34:$N34)),"--")</f>
        <v>5.333333333333333</v>
      </c>
      <c r="E34" s="82">
        <f>IF(COUNT('doy139'!$L34:$N34)=3,(AVERAGE('doy139'!$L34:$N34)),"--")</f>
        <v>10.333333333333334</v>
      </c>
      <c r="F34" s="82">
        <f>IF(COUNT('doy146'!$L34:$N34)=3,(AVERAGE('doy146'!$L34:$N34)),"--")</f>
        <v>17</v>
      </c>
      <c r="G34" s="82">
        <f>IF(COUNT('doy153'!$L34:$N34)=3,(AVERAGE('doy153'!$L34:$N34)),"--")</f>
        <v>24.333333333333332</v>
      </c>
      <c r="H34" s="82">
        <f>IF(COUNT('doy159'!$L34:$N34)=3,(AVERAGE('doy159'!$L34:$N34)),"--")</f>
        <v>31.666666666666668</v>
      </c>
      <c r="I34" s="82">
        <f>IF(COUNT('doy168'!$L34:$N34)=3,(AVERAGE('doy168'!$L34:$N34)),"--")</f>
        <v>33.666666666666664</v>
      </c>
      <c r="J34" s="82">
        <f>IF(COUNT('doy173'!$L34:$N34)=3,(AVERAGE('doy173'!$L34:$N34)),"--")</f>
        <v>47.666666666666664</v>
      </c>
      <c r="K34" s="82">
        <f>IF(COUNT('doy179'!$L34:$N34)=3,(AVERAGE('doy179'!$L34:$N34)),"--")</f>
        <v>51</v>
      </c>
      <c r="L34" s="82">
        <f>IF(COUNT('doy187'!$L34:$N34)=3,(AVERAGE('doy187'!$L34:$N34)),"--")</f>
        <v>56</v>
      </c>
      <c r="M34" s="82">
        <f>IF(COUNT('doy193'!$L34:$N34)=3,(AVERAGE('doy193'!$L34:$N34)),"--")</f>
        <v>62.333333333333336</v>
      </c>
      <c r="N34" s="82">
        <f>IF(COUNT('doy203'!$L34:$N34)=3,(AVERAGE('doy203'!$L34:$N34)),"--")</f>
        <v>86</v>
      </c>
      <c r="O34" s="82">
        <f>IF(COUNT('doy213'!$L34:$N34)=3,(AVERAGE('doy213'!$L34:$N34)),"--")</f>
        <v>92.333333333333329</v>
      </c>
      <c r="P34" s="82">
        <f>IF(COUNT('doy224'!$L34:$N34)=3,(AVERAGE('doy224'!$L34:$N34)),"--")</f>
        <v>98</v>
      </c>
      <c r="Q34" s="82" t="str">
        <f>IF(COUNT('doy231'!$L34:$N34)=3,(AVERAGE('doy231'!$L34:$N34)),"--")</f>
        <v>--</v>
      </c>
    </row>
    <row r="35" spans="2:61" ht="30" customHeight="1" thickBot="1" x14ac:dyDescent="0.25">
      <c r="B35" s="200"/>
      <c r="C35" s="80" t="s">
        <v>13</v>
      </c>
      <c r="D35" s="85">
        <f>IF(COUNT('doy130'!$L35:$N35)=3,(AVERAGE('doy130'!$L35:$N35)),"--")</f>
        <v>6.666666666666667</v>
      </c>
      <c r="E35" s="85">
        <f>IF(COUNT('doy139'!$L35:$N35)=3,(AVERAGE('doy139'!$L35:$N35)),"--")</f>
        <v>14.333333333333334</v>
      </c>
      <c r="F35" s="85">
        <f>IF(COUNT('doy146'!$L35:$N35)=3,(AVERAGE('doy146'!$L35:$N35)),"--")</f>
        <v>20.666666666666668</v>
      </c>
      <c r="G35" s="85">
        <f>IF(COUNT('doy153'!$L35:$N35)=3,(AVERAGE('doy153'!$L35:$N35)),"--")</f>
        <v>26</v>
      </c>
      <c r="H35" s="85">
        <f>IF(COUNT('doy159'!$L35:$N35)=3,(AVERAGE('doy159'!$L35:$N35)),"--")</f>
        <v>36</v>
      </c>
      <c r="I35" s="85">
        <f>IF(COUNT('doy168'!$L35:$N35)=3,(AVERAGE('doy168'!$L35:$N35)),"--")</f>
        <v>48.333333333333336</v>
      </c>
      <c r="J35" s="85">
        <f>IF(COUNT('doy173'!$L35:$N35)=3,(AVERAGE('doy173'!$L35:$N35)),"--")</f>
        <v>57</v>
      </c>
      <c r="K35" s="85">
        <f>IF(COUNT('doy179'!$L35:$N35)=3,(AVERAGE('doy179'!$L35:$N35)),"--")</f>
        <v>64.666666666666671</v>
      </c>
      <c r="L35" s="85">
        <f>IF(COUNT('doy187'!$L35:$N35)=3,(AVERAGE('doy187'!$L35:$N35)),"--")</f>
        <v>72.333333333333329</v>
      </c>
      <c r="M35" s="85">
        <f>IF(COUNT('doy193'!$L35:$N35)=3,(AVERAGE('doy193'!$L35:$N35)),"--")</f>
        <v>79.333333333333329</v>
      </c>
      <c r="N35" s="85">
        <f>IF(COUNT('doy203'!$L35:$N35)=3,(AVERAGE('doy203'!$L35:$N35)),"--")</f>
        <v>92.333333333333329</v>
      </c>
      <c r="O35" s="85">
        <f>IF(COUNT('doy213'!$L35:$N35)=3,(AVERAGE('doy213'!$L35:$N35)),"--")</f>
        <v>102.33333333333333</v>
      </c>
      <c r="P35" s="85">
        <f>IF(COUNT('doy224'!$L35:$N35)=3,(AVERAGE('doy224'!$L35:$N35)),"--")</f>
        <v>110</v>
      </c>
      <c r="Q35" s="85">
        <f>IF(COUNT('doy231'!$L35:$N35)=3,(AVERAGE('doy231'!$L35:$N35)),"--")</f>
        <v>113</v>
      </c>
      <c r="T35" s="12"/>
      <c r="U35" s="12"/>
      <c r="V35" s="14"/>
      <c r="W35" s="15"/>
      <c r="X35" s="15"/>
      <c r="Y35" s="15"/>
      <c r="Z35" s="15"/>
      <c r="AA35" s="15"/>
      <c r="AB35" s="15"/>
      <c r="AC35" s="15"/>
      <c r="AD35" s="15"/>
      <c r="AE35" s="15"/>
      <c r="AF35" s="15"/>
      <c r="AG35" s="15"/>
      <c r="AH35" s="15"/>
      <c r="AI35" s="15"/>
      <c r="AJ35" s="15"/>
      <c r="AK35" s="15"/>
      <c r="AL35" s="15"/>
      <c r="AM35" s="15"/>
      <c r="AN35" s="15"/>
      <c r="AO35" s="15"/>
      <c r="AP35" s="15"/>
      <c r="AQ35" s="15"/>
      <c r="AR35" s="15"/>
      <c r="AS35" s="15"/>
      <c r="AT35" s="15"/>
      <c r="AU35" s="15"/>
      <c r="AV35" s="15"/>
      <c r="AW35" s="15"/>
      <c r="AX35" s="15"/>
      <c r="AY35" s="15"/>
      <c r="AZ35" s="15"/>
      <c r="BA35" s="15"/>
      <c r="BB35" s="15"/>
      <c r="BC35" s="15"/>
      <c r="BD35" s="15"/>
      <c r="BE35" s="15"/>
      <c r="BF35" s="15"/>
      <c r="BG35" s="15"/>
      <c r="BH35" s="15"/>
      <c r="BI35" s="15"/>
    </row>
    <row r="36" spans="2:61" ht="30" customHeight="1" x14ac:dyDescent="0.2">
      <c r="B36" s="199">
        <v>14</v>
      </c>
      <c r="C36" s="79" t="s">
        <v>12</v>
      </c>
      <c r="D36" s="82">
        <f>IF(COUNT('doy130'!$L36:$N36)=3,(AVERAGE('doy130'!$L36:$N36)),"--")</f>
        <v>5.666666666666667</v>
      </c>
      <c r="E36" s="82">
        <f>IF(COUNT('doy139'!$L36:$N36)=3,(AVERAGE('doy139'!$L36:$N36)),"--")</f>
        <v>9.6666666666666661</v>
      </c>
      <c r="F36" s="82">
        <f>IF(COUNT('doy146'!$L36:$N36)=3,(AVERAGE('doy146'!$L36:$N36)),"--")</f>
        <v>19.333333333333332</v>
      </c>
      <c r="G36" s="82">
        <f>IF(COUNT('doy153'!$L36:$N36)=3,(AVERAGE('doy153'!$L36:$N36)),"--")</f>
        <v>26.666666666666668</v>
      </c>
      <c r="H36" s="82">
        <f>IF(COUNT('doy159'!$L36:$N36)=3,(AVERAGE('doy159'!$L36:$N36)),"--")</f>
        <v>36</v>
      </c>
      <c r="I36" s="82">
        <f>IF(COUNT('doy168'!$L36:$N36)=3,(AVERAGE('doy168'!$L36:$N36)),"--")</f>
        <v>42.333333333333336</v>
      </c>
      <c r="J36" s="82">
        <f>IF(COUNT('doy173'!$L36:$N36)=3,(AVERAGE('doy173'!$L36:$N36)),"--")</f>
        <v>55.333333333333336</v>
      </c>
      <c r="K36" s="82">
        <f>IF(COUNT('doy179'!$L36:$N36)=3,(AVERAGE('doy179'!$L36:$N36)),"--")</f>
        <v>59.666666666666664</v>
      </c>
      <c r="L36" s="82">
        <f>IF(COUNT('doy187'!$L36:$N36)=3,(AVERAGE('doy187'!$L36:$N36)),"--")</f>
        <v>70</v>
      </c>
      <c r="M36" s="82">
        <f>IF(COUNT('doy193'!$L36:$N36)=3,(AVERAGE('doy193'!$L36:$N36)),"--")</f>
        <v>82</v>
      </c>
      <c r="N36" s="82" t="str">
        <f>IF(COUNT('doy203'!$L36:$N36)=3,(AVERAGE('doy203'!$L36:$N36)),"--")</f>
        <v>--</v>
      </c>
      <c r="O36" s="82" t="str">
        <f>IF(COUNT('doy213'!$L36:$N36)=3,(AVERAGE('doy213'!$L36:$N36)),"--")</f>
        <v>--</v>
      </c>
      <c r="P36" s="82" t="str">
        <f>IF(COUNT('doy224'!$L36:$N36)=3,(AVERAGE('doy224'!$L36:$N36)),"--")</f>
        <v>--</v>
      </c>
      <c r="Q36" s="82" t="str">
        <f>IF(COUNT('doy231'!$L36:$N36)=3,(AVERAGE('doy231'!$L36:$N36)),"--")</f>
        <v>--</v>
      </c>
    </row>
    <row r="37" spans="2:61" ht="30" customHeight="1" thickBot="1" x14ac:dyDescent="0.25">
      <c r="B37" s="200"/>
      <c r="C37" s="80" t="s">
        <v>13</v>
      </c>
      <c r="D37" s="85">
        <f>IF(COUNT('doy130'!$L37:$N37)=3,(AVERAGE('doy130'!$L37:$N37)),"--")</f>
        <v>6.666666666666667</v>
      </c>
      <c r="E37" s="85">
        <f>IF(COUNT('doy139'!$L37:$N37)=3,(AVERAGE('doy139'!$L37:$N37)),"--")</f>
        <v>13.666666666666666</v>
      </c>
      <c r="F37" s="85">
        <f>IF(COUNT('doy146'!$L37:$N37)=3,(AVERAGE('doy146'!$L37:$N37)),"--")</f>
        <v>21.666666666666668</v>
      </c>
      <c r="G37" s="85">
        <f>IF(COUNT('doy153'!$L37:$N37)=3,(AVERAGE('doy153'!$L37:$N37)),"--")</f>
        <v>28</v>
      </c>
      <c r="H37" s="85">
        <f>IF(COUNT('doy159'!$L37:$N37)=3,(AVERAGE('doy159'!$L37:$N37)),"--")</f>
        <v>40.333333333333336</v>
      </c>
      <c r="I37" s="85">
        <f>IF(COUNT('doy168'!$L37:$N37)=3,(AVERAGE('doy168'!$L37:$N37)),"--")</f>
        <v>54.666666666666664</v>
      </c>
      <c r="J37" s="85">
        <f>IF(COUNT('doy173'!$L37:$N37)=3,(AVERAGE('doy173'!$L37:$N37)),"--")</f>
        <v>65.666666666666671</v>
      </c>
      <c r="K37" s="85">
        <f>IF(COUNT('doy179'!$L37:$N37)=3,(AVERAGE('doy179'!$L37:$N37)),"--")</f>
        <v>76.333333333333329</v>
      </c>
      <c r="L37" s="85">
        <f>IF(COUNT('doy187'!$L37:$N37)=3,(AVERAGE('doy187'!$L37:$N37)),"--")</f>
        <v>84.333333333333329</v>
      </c>
      <c r="M37" s="85">
        <f>IF(COUNT('doy193'!$L37:$N37)=3,(AVERAGE('doy193'!$L37:$N37)),"--")</f>
        <v>97.666666666666671</v>
      </c>
      <c r="N37" s="85">
        <f>IF(COUNT('doy203'!$L37:$N37)=3,(AVERAGE('doy203'!$L37:$N37)),"--")</f>
        <v>110</v>
      </c>
      <c r="O37" s="85">
        <f>IF(COUNT('doy213'!$L37:$N37)=3,(AVERAGE('doy213'!$L37:$N37)),"--")</f>
        <v>124.66666666666667</v>
      </c>
      <c r="P37" s="85">
        <f>IF(COUNT('doy224'!$L37:$N37)=3,(AVERAGE('doy224'!$L37:$N37)),"--")</f>
        <v>134.33333333333334</v>
      </c>
      <c r="Q37" s="85">
        <f>IF(COUNT('doy231'!$L37:$N37)=3,(AVERAGE('doy231'!$L37:$N37)),"--")</f>
        <v>138.33333333333334</v>
      </c>
      <c r="T37" s="12"/>
      <c r="U37" s="12"/>
      <c r="V37" s="14"/>
      <c r="W37" s="15"/>
      <c r="X37" s="15"/>
      <c r="Y37" s="15"/>
      <c r="Z37" s="15"/>
      <c r="AA37" s="15"/>
      <c r="AB37" s="15"/>
      <c r="AC37" s="15"/>
      <c r="AD37" s="15"/>
      <c r="AE37" s="15"/>
      <c r="AF37" s="15"/>
      <c r="AG37" s="15"/>
      <c r="AH37" s="15"/>
      <c r="AI37" s="15"/>
      <c r="AJ37" s="15"/>
      <c r="AK37" s="15"/>
      <c r="AL37" s="15"/>
      <c r="AM37" s="15"/>
      <c r="AN37" s="15"/>
      <c r="AO37" s="15"/>
      <c r="AP37" s="15"/>
      <c r="AQ37" s="15"/>
      <c r="AR37" s="15"/>
      <c r="AS37" s="15"/>
      <c r="AT37" s="15"/>
      <c r="AU37" s="15"/>
      <c r="AV37" s="15"/>
      <c r="AW37" s="15"/>
      <c r="AX37" s="15"/>
      <c r="AY37" s="15"/>
      <c r="AZ37" s="15"/>
      <c r="BA37" s="15"/>
      <c r="BB37" s="15"/>
      <c r="BC37" s="15"/>
      <c r="BD37" s="15"/>
      <c r="BE37" s="15"/>
      <c r="BF37" s="15"/>
      <c r="BG37" s="15"/>
      <c r="BH37" s="15"/>
      <c r="BI37" s="15"/>
    </row>
    <row r="38" spans="2:61" ht="30" customHeight="1" x14ac:dyDescent="0.2">
      <c r="B38" s="199">
        <v>15</v>
      </c>
      <c r="C38" s="79" t="s">
        <v>12</v>
      </c>
      <c r="D38" s="82">
        <f>IF(COUNT('doy130'!$L38:$N38)=3,(AVERAGE('doy130'!$L38:$N38)),"--")</f>
        <v>6.666666666666667</v>
      </c>
      <c r="E38" s="82">
        <f>IF(COUNT('doy139'!$L38:$N38)=3,(AVERAGE('doy139'!$L38:$N38)),"--")</f>
        <v>10.666666666666666</v>
      </c>
      <c r="F38" s="82">
        <f>IF(COUNT('doy146'!$L38:$N38)=3,(AVERAGE('doy146'!$L38:$N38)),"--")</f>
        <v>19.666666666666668</v>
      </c>
      <c r="G38" s="82">
        <f>IF(COUNT('doy153'!$L38:$N38)=3,(AVERAGE('doy153'!$L38:$N38)),"--")</f>
        <v>25.333333333333332</v>
      </c>
      <c r="H38" s="82">
        <f>IF(COUNT('doy159'!$L38:$N38)=3,(AVERAGE('doy159'!$L38:$N38)),"--")</f>
        <v>34.333333333333336</v>
      </c>
      <c r="I38" s="82">
        <f>IF(COUNT('doy168'!$L38:$N38)=3,(AVERAGE('doy168'!$L38:$N38)),"--")</f>
        <v>39</v>
      </c>
      <c r="J38" s="82">
        <f>IF(COUNT('doy173'!$L38:$N38)=3,(AVERAGE('doy173'!$L38:$N38)),"--")</f>
        <v>47.666666666666664</v>
      </c>
      <c r="K38" s="82">
        <f>IF(COUNT('doy179'!$L38:$N38)=3,(AVERAGE('doy179'!$L38:$N38)),"--")</f>
        <v>59.333333333333336</v>
      </c>
      <c r="L38" s="82">
        <f>IF(COUNT('doy187'!$L38:$N38)=3,(AVERAGE('doy187'!$L38:$N38)),"--")</f>
        <v>69.333333333333329</v>
      </c>
      <c r="M38" s="82">
        <f>IF(COUNT('doy193'!$L38:$N38)=3,(AVERAGE('doy193'!$L38:$N38)),"--")</f>
        <v>80</v>
      </c>
      <c r="N38" s="82">
        <f>IF(COUNT('doy203'!$L38:$N38)=3,(AVERAGE('doy203'!$L38:$N38)),"--")</f>
        <v>91</v>
      </c>
      <c r="O38" s="82">
        <f>IF(COUNT('doy213'!$L38:$N38)=3,(AVERAGE('doy213'!$L38:$N38)),"--")</f>
        <v>95</v>
      </c>
      <c r="P38" s="82" t="str">
        <f>IF(COUNT('doy224'!$L38:$N38)=3,(AVERAGE('doy224'!$L38:$N38)),"--")</f>
        <v>--</v>
      </c>
      <c r="Q38" s="82" t="str">
        <f>IF(COUNT('doy231'!$L38:$N38)=3,(AVERAGE('doy231'!$L38:$N38)),"--")</f>
        <v>--</v>
      </c>
    </row>
    <row r="39" spans="2:61" ht="30" customHeight="1" thickBot="1" x14ac:dyDescent="0.25">
      <c r="B39" s="200"/>
      <c r="C39" s="80" t="s">
        <v>13</v>
      </c>
      <c r="D39" s="85">
        <f>IF(COUNT('doy130'!$L39:$N39)=3,(AVERAGE('doy130'!$L39:$N39)),"--")</f>
        <v>7.333333333333333</v>
      </c>
      <c r="E39" s="85">
        <f>IF(COUNT('doy139'!$L39:$N39)=3,(AVERAGE('doy139'!$L39:$N39)),"--")</f>
        <v>13.333333333333334</v>
      </c>
      <c r="F39" s="85">
        <f>IF(COUNT('doy146'!$L39:$N39)=3,(AVERAGE('doy146'!$L39:$N39)),"--")</f>
        <v>21.666666666666668</v>
      </c>
      <c r="G39" s="85">
        <f>IF(COUNT('doy153'!$L39:$N39)=3,(AVERAGE('doy153'!$L39:$N39)),"--")</f>
        <v>29.333333333333332</v>
      </c>
      <c r="H39" s="85">
        <f>IF(COUNT('doy159'!$L39:$N39)=3,(AVERAGE('doy159'!$L39:$N39)),"--")</f>
        <v>40</v>
      </c>
      <c r="I39" s="85">
        <f>IF(COUNT('doy168'!$L39:$N39)=3,(AVERAGE('doy168'!$L39:$N39)),"--")</f>
        <v>54.333333333333336</v>
      </c>
      <c r="J39" s="85">
        <f>IF(COUNT('doy173'!$L39:$N39)=3,(AVERAGE('doy173'!$L39:$N39)),"--")</f>
        <v>57.333333333333336</v>
      </c>
      <c r="K39" s="85">
        <f>IF(COUNT('doy179'!$L39:$N39)=3,(AVERAGE('doy179'!$L39:$N39)),"--")</f>
        <v>69.666666666666671</v>
      </c>
      <c r="L39" s="85">
        <f>IF(COUNT('doy187'!$L39:$N39)=3,(AVERAGE('doy187'!$L39:$N39)),"--")</f>
        <v>78.666666666666671</v>
      </c>
      <c r="M39" s="85">
        <f>IF(COUNT('doy193'!$L39:$N39)=3,(AVERAGE('doy193'!$L39:$N39)),"--")</f>
        <v>91.333333333333329</v>
      </c>
      <c r="N39" s="85">
        <f>IF(COUNT('doy203'!$L39:$N39)=3,(AVERAGE('doy203'!$L39:$N39)),"--")</f>
        <v>102.66666666666667</v>
      </c>
      <c r="O39" s="85">
        <f>IF(COUNT('doy213'!$L39:$N39)=3,(AVERAGE('doy213'!$L39:$N39)),"--")</f>
        <v>110</v>
      </c>
      <c r="P39" s="85" t="str">
        <f>IF(COUNT('doy224'!$L39:$N39)=3,(AVERAGE('doy224'!$L39:$N39)),"--")</f>
        <v>--</v>
      </c>
      <c r="Q39" s="85">
        <f>IF(COUNT('doy231'!$L39:$N39)=3,(AVERAGE('doy231'!$L39:$N39)),"--")</f>
        <v>121.66666666666667</v>
      </c>
      <c r="T39" s="12"/>
      <c r="U39" s="12"/>
      <c r="V39" s="14"/>
      <c r="W39" s="15"/>
      <c r="X39" s="15"/>
      <c r="Y39" s="15"/>
      <c r="Z39" s="15"/>
      <c r="AA39" s="15"/>
      <c r="AB39" s="15"/>
      <c r="AC39" s="15"/>
      <c r="AD39" s="15"/>
      <c r="AE39" s="15"/>
      <c r="AF39" s="15"/>
      <c r="AG39" s="15"/>
      <c r="AH39" s="15"/>
      <c r="AI39" s="15"/>
      <c r="AJ39" s="15"/>
      <c r="AK39" s="15"/>
      <c r="AL39" s="15"/>
      <c r="AM39" s="15"/>
      <c r="AN39" s="15"/>
      <c r="AO39" s="15"/>
      <c r="AP39" s="15"/>
      <c r="AQ39" s="15"/>
      <c r="AR39" s="15"/>
      <c r="AS39" s="15"/>
      <c r="AT39" s="15"/>
      <c r="AU39" s="15"/>
      <c r="AV39" s="15"/>
      <c r="AW39" s="15"/>
      <c r="AX39" s="15"/>
      <c r="AY39" s="15"/>
      <c r="AZ39" s="15"/>
      <c r="BA39" s="15"/>
      <c r="BB39" s="15"/>
      <c r="BC39" s="15"/>
      <c r="BD39" s="15"/>
      <c r="BE39" s="15"/>
      <c r="BF39" s="15"/>
      <c r="BG39" s="15"/>
      <c r="BH39" s="15"/>
      <c r="BI39" s="15"/>
    </row>
    <row r="40" spans="2:61" ht="30" customHeight="1" x14ac:dyDescent="0.2">
      <c r="B40" s="199">
        <v>16</v>
      </c>
      <c r="C40" s="79" t="s">
        <v>12</v>
      </c>
      <c r="D40" s="82">
        <f>IF(COUNT('doy130'!$L40:$N40)=3,(AVERAGE('doy130'!$L40:$N40)),"--")</f>
        <v>6</v>
      </c>
      <c r="E40" s="82">
        <f>IF(COUNT('doy139'!$L40:$N40)=3,(AVERAGE('doy139'!$L40:$N40)),"--")</f>
        <v>11.333333333333334</v>
      </c>
      <c r="F40" s="82">
        <f>IF(COUNT('doy146'!$L40:$N40)=3,(AVERAGE('doy146'!$L40:$N40)),"--")</f>
        <v>19.333333333333332</v>
      </c>
      <c r="G40" s="82">
        <f>IF(COUNT('doy153'!$L40:$N40)=3,(AVERAGE('doy153'!$L40:$N40)),"--")</f>
        <v>27.333333333333332</v>
      </c>
      <c r="H40" s="82">
        <f>IF(COUNT('doy159'!$L40:$N40)=3,(AVERAGE('doy159'!$L40:$N40)),"--")</f>
        <v>37.333333333333336</v>
      </c>
      <c r="I40" s="82">
        <f>IF(COUNT('doy168'!$L40:$N40)=3,(AVERAGE('doy168'!$L40:$N40)),"--")</f>
        <v>42.666666666666664</v>
      </c>
      <c r="J40" s="82">
        <f>IF(COUNT('doy173'!$L40:$N40)=3,(AVERAGE('doy173'!$L40:$N40)),"--")</f>
        <v>54.666666666666664</v>
      </c>
      <c r="K40" s="82">
        <f>IF(COUNT('doy179'!$L40:$N40)=3,(AVERAGE('doy179'!$L40:$N40)),"--")</f>
        <v>67</v>
      </c>
      <c r="L40" s="82" t="str">
        <f>IF(COUNT('doy187'!$L40:$N40)=3,(AVERAGE('doy187'!$L40:$N40)),"--")</f>
        <v>--</v>
      </c>
      <c r="M40" s="82">
        <f>IF(COUNT('doy193'!$L40:$N40)=3,(AVERAGE('doy193'!$L40:$N40)),"--")</f>
        <v>76</v>
      </c>
      <c r="N40" s="82">
        <f>IF(COUNT('doy203'!$L40:$N40)=3,(AVERAGE('doy203'!$L40:$N40)),"--")</f>
        <v>89.333333333333329</v>
      </c>
      <c r="O40" s="82" t="str">
        <f>IF(COUNT('doy213'!$L40:$N40)=3,(AVERAGE('doy213'!$L40:$N40)),"--")</f>
        <v>--</v>
      </c>
      <c r="P40" s="82" t="str">
        <f>IF(COUNT('doy224'!$L40:$N40)=3,(AVERAGE('doy224'!$L40:$N40)),"--")</f>
        <v>--</v>
      </c>
      <c r="Q40" s="82" t="str">
        <f>IF(COUNT('doy231'!$L40:$N40)=3,(AVERAGE('doy231'!$L40:$N40)),"--")</f>
        <v>--</v>
      </c>
    </row>
    <row r="41" spans="2:61" ht="30" customHeight="1" thickBot="1" x14ac:dyDescent="0.25">
      <c r="B41" s="200"/>
      <c r="C41" s="80" t="s">
        <v>13</v>
      </c>
      <c r="D41" s="85">
        <f>IF(COUNT('doy130'!$L41:$N41)=3,(AVERAGE('doy130'!$L41:$N41)),"--")</f>
        <v>8.3333333333333339</v>
      </c>
      <c r="E41" s="85">
        <f>IF(COUNT('doy139'!$L41:$N41)=3,(AVERAGE('doy139'!$L41:$N41)),"--")</f>
        <v>15</v>
      </c>
      <c r="F41" s="85">
        <f>IF(COUNT('doy146'!$L41:$N41)=3,(AVERAGE('doy146'!$L41:$N41)),"--")</f>
        <v>24</v>
      </c>
      <c r="G41" s="85">
        <f>IF(COUNT('doy153'!$L41:$N41)=3,(AVERAGE('doy153'!$L41:$N41)),"--")</f>
        <v>29</v>
      </c>
      <c r="H41" s="85">
        <f>IF(COUNT('doy159'!$L41:$N41)=3,(AVERAGE('doy159'!$L41:$N41)),"--")</f>
        <v>40.666666666666664</v>
      </c>
      <c r="I41" s="85">
        <f>IF(COUNT('doy168'!$L41:$N41)=3,(AVERAGE('doy168'!$L41:$N41)),"--")</f>
        <v>52.333333333333336</v>
      </c>
      <c r="J41" s="85">
        <f>IF(COUNT('doy173'!$L41:$N41)=3,(AVERAGE('doy173'!$L41:$N41)),"--")</f>
        <v>63.666666666666664</v>
      </c>
      <c r="K41" s="85">
        <f>IF(COUNT('doy179'!$L41:$N41)=3,(AVERAGE('doy179'!$L41:$N41)),"--")</f>
        <v>78</v>
      </c>
      <c r="L41" s="85" t="str">
        <f>IF(COUNT('doy187'!$L41:$N41)=3,(AVERAGE('doy187'!$L41:$N41)),"--")</f>
        <v>--</v>
      </c>
      <c r="M41" s="85">
        <f>IF(COUNT('doy193'!$L41:$N41)=3,(AVERAGE('doy193'!$L41:$N41)),"--")</f>
        <v>92.666666666666671</v>
      </c>
      <c r="N41" s="85">
        <f>IF(COUNT('doy203'!$L41:$N41)=3,(AVERAGE('doy203'!$L41:$N41)),"--")</f>
        <v>101.66666666666667</v>
      </c>
      <c r="O41" s="85">
        <f>IF(COUNT('doy213'!$L41:$N41)=3,(AVERAGE('doy213'!$L41:$N41)),"--")</f>
        <v>104</v>
      </c>
      <c r="P41" s="85" t="str">
        <f>IF(COUNT('doy224'!$L41:$N41)=3,(AVERAGE('doy224'!$L41:$N41)),"--")</f>
        <v>--</v>
      </c>
      <c r="Q41" s="85">
        <f>IF(COUNT('doy231'!$L41:$N41)=3,(AVERAGE('doy231'!$L41:$N41)),"--")</f>
        <v>113.33333333333333</v>
      </c>
      <c r="T41" s="12"/>
      <c r="U41" s="12"/>
      <c r="V41" s="14"/>
      <c r="W41" s="15"/>
      <c r="X41" s="15"/>
      <c r="Y41" s="15"/>
      <c r="Z41" s="15"/>
      <c r="AA41" s="15"/>
      <c r="AB41" s="15"/>
      <c r="AC41" s="15"/>
      <c r="AD41" s="15"/>
      <c r="AE41" s="15"/>
      <c r="AF41" s="15"/>
      <c r="AG41" s="15"/>
      <c r="AH41" s="15"/>
      <c r="AI41" s="15"/>
      <c r="AJ41" s="15"/>
      <c r="AK41" s="15"/>
      <c r="AL41" s="15"/>
      <c r="AM41" s="15"/>
      <c r="AN41" s="15"/>
      <c r="AO41" s="15"/>
      <c r="AP41" s="15"/>
      <c r="AQ41" s="15"/>
      <c r="AR41" s="15"/>
      <c r="AS41" s="15"/>
      <c r="AT41" s="15"/>
      <c r="AU41" s="15"/>
      <c r="AV41" s="15"/>
      <c r="AW41" s="15"/>
      <c r="AX41" s="15"/>
      <c r="AY41" s="15"/>
      <c r="AZ41" s="15"/>
      <c r="BA41" s="15"/>
      <c r="BB41" s="15"/>
      <c r="BC41" s="15"/>
      <c r="BD41" s="15"/>
      <c r="BE41" s="15"/>
      <c r="BF41" s="15"/>
      <c r="BG41" s="15"/>
      <c r="BH41" s="15"/>
      <c r="BI41" s="15"/>
    </row>
    <row r="42" spans="2:61" ht="30" customHeight="1" x14ac:dyDescent="0.2">
      <c r="B42" s="199">
        <v>17</v>
      </c>
      <c r="C42" s="79" t="s">
        <v>12</v>
      </c>
      <c r="D42" s="82" t="str">
        <f>IF(COUNT('doy130'!$L42:$N42)=3,(AVERAGE('doy130'!$L42:$N42)),"--")</f>
        <v>--</v>
      </c>
      <c r="E42" s="82">
        <f>IF(COUNT('doy139'!$L42:$N42)=3,(AVERAGE('doy139'!$L42:$N42)),"--")</f>
        <v>10.333333333333334</v>
      </c>
      <c r="F42" s="82">
        <f>IF(COUNT('doy146'!$L42:$N42)=3,(AVERAGE('doy146'!$L42:$N42)),"--")</f>
        <v>18</v>
      </c>
      <c r="G42" s="82">
        <f>IF(COUNT('doy153'!$L42:$N42)=3,(AVERAGE('doy153'!$L42:$N42)),"--")</f>
        <v>25</v>
      </c>
      <c r="H42" s="82">
        <f>IF(COUNT('doy159'!$L42:$N42)=3,(AVERAGE('doy159'!$L42:$N42)),"--")</f>
        <v>36.666666666666664</v>
      </c>
      <c r="I42" s="82">
        <f>IF(COUNT('doy168'!$L42:$N42)=3,(AVERAGE('doy168'!$L42:$N42)),"--")</f>
        <v>40.333333333333336</v>
      </c>
      <c r="J42" s="82" t="str">
        <f>IF(COUNT('doy173'!$L42:$N42)=3,(AVERAGE('doy173'!$L42:$N42)),"--")</f>
        <v>--</v>
      </c>
      <c r="K42" s="82">
        <f>IF(COUNT('doy179'!$L42:$N42)=3,(AVERAGE('doy179'!$L42:$N42)),"--")</f>
        <v>46</v>
      </c>
      <c r="L42" s="82">
        <f>IF(COUNT('doy187'!$L42:$N42)=3,(AVERAGE('doy187'!$L42:$N42)),"--")</f>
        <v>54.333333333333336</v>
      </c>
      <c r="M42" s="82">
        <f>IF(COUNT('doy193'!$L42:$N42)=3,(AVERAGE('doy193'!$L42:$N42)),"--")</f>
        <v>51.666666666666664</v>
      </c>
      <c r="N42" s="82">
        <f>IF(COUNT('doy203'!$L42:$N42)=3,(AVERAGE('doy203'!$L42:$N42)),"--")</f>
        <v>67</v>
      </c>
      <c r="O42" s="82">
        <f>IF(COUNT('doy213'!$L42:$N42)=3,(AVERAGE('doy213'!$L42:$N42)),"--")</f>
        <v>88.666666666666671</v>
      </c>
      <c r="P42" s="82" t="str">
        <f>IF(COUNT('doy224'!$L42:$N42)=3,(AVERAGE('doy224'!$L42:$N42)),"--")</f>
        <v>--</v>
      </c>
      <c r="Q42" s="82" t="str">
        <f>IF(COUNT('doy231'!$L42:$N42)=3,(AVERAGE('doy231'!$L42:$N42)),"--")</f>
        <v>--</v>
      </c>
    </row>
    <row r="43" spans="2:61" ht="30" customHeight="1" thickBot="1" x14ac:dyDescent="0.25">
      <c r="B43" s="200"/>
      <c r="C43" s="80" t="s">
        <v>13</v>
      </c>
      <c r="D43" s="85" t="str">
        <f>IF(COUNT('doy130'!$L43:$N43)=3,(AVERAGE('doy130'!$L43:$N43)),"--")</f>
        <v>--</v>
      </c>
      <c r="E43" s="85">
        <f>IF(COUNT('doy139'!$L43:$N43)=3,(AVERAGE('doy139'!$L43:$N43)),"--")</f>
        <v>13</v>
      </c>
      <c r="F43" s="85">
        <f>IF(COUNT('doy146'!$L43:$N43)=3,(AVERAGE('doy146'!$L43:$N43)),"--")</f>
        <v>21</v>
      </c>
      <c r="G43" s="85">
        <f>IF(COUNT('doy153'!$L43:$N43)=3,(AVERAGE('doy153'!$L43:$N43)),"--")</f>
        <v>27.333333333333332</v>
      </c>
      <c r="H43" s="85">
        <f>IF(COUNT('doy159'!$L43:$N43)=3,(AVERAGE('doy159'!$L43:$N43)),"--")</f>
        <v>37.666666666666664</v>
      </c>
      <c r="I43" s="85">
        <f>IF(COUNT('doy168'!$L43:$N43)=3,(AVERAGE('doy168'!$L43:$N43)),"--")</f>
        <v>46.333333333333336</v>
      </c>
      <c r="J43" s="85" t="str">
        <f>IF(COUNT('doy173'!$L43:$N43)=3,(AVERAGE('doy173'!$L43:$N43)),"--")</f>
        <v>--</v>
      </c>
      <c r="K43" s="85">
        <f>IF(COUNT('doy179'!$L43:$N43)=3,(AVERAGE('doy179'!$L43:$N43)),"--")</f>
        <v>52.666666666666664</v>
      </c>
      <c r="L43" s="85">
        <f>IF(COUNT('doy187'!$L43:$N43)=3,(AVERAGE('doy187'!$L43:$N43)),"--")</f>
        <v>63.666666666666664</v>
      </c>
      <c r="M43" s="85">
        <f>IF(COUNT('doy193'!$L43:$N43)=3,(AVERAGE('doy193'!$L43:$N43)),"--")</f>
        <v>65.333333333333329</v>
      </c>
      <c r="N43" s="85">
        <f>IF(COUNT('doy203'!$L43:$N43)=3,(AVERAGE('doy203'!$L43:$N43)),"--")</f>
        <v>76.666666666666671</v>
      </c>
      <c r="O43" s="85">
        <f>IF(COUNT('doy213'!$L43:$N43)=3,(AVERAGE('doy213'!$L43:$N43)),"--")</f>
        <v>93.666666666666671</v>
      </c>
      <c r="P43" s="85" t="str">
        <f>IF(COUNT('doy224'!$L43:$N43)=3,(AVERAGE('doy224'!$L43:$N43)),"--")</f>
        <v>--</v>
      </c>
      <c r="Q43" s="85">
        <f>IF(COUNT('doy231'!$L43:$N43)=3,(AVERAGE('doy231'!$L43:$N43)),"--")</f>
        <v>117</v>
      </c>
    </row>
  </sheetData>
  <mergeCells count="19">
    <mergeCell ref="B42:B43"/>
    <mergeCell ref="B40:B41"/>
    <mergeCell ref="B36:B37"/>
    <mergeCell ref="B38:B39"/>
    <mergeCell ref="B32:B33"/>
    <mergeCell ref="B34:B35"/>
    <mergeCell ref="B28:B29"/>
    <mergeCell ref="B30:B31"/>
    <mergeCell ref="B24:B25"/>
    <mergeCell ref="B26:B27"/>
    <mergeCell ref="B20:B21"/>
    <mergeCell ref="B22:B23"/>
    <mergeCell ref="B18:B19"/>
    <mergeCell ref="B12:B13"/>
    <mergeCell ref="B14:B15"/>
    <mergeCell ref="B16:B17"/>
    <mergeCell ref="T5:V5"/>
    <mergeCell ref="B8:C8"/>
    <mergeCell ref="B10:B11"/>
  </mergeCells>
  <pageMargins left="0.45" right="0" top="0.49" bottom="0" header="0.64" footer="0"/>
  <pageSetup paperSize="512" scale="72" orientation="portrait" r:id="rId1"/>
  <headerFooter alignWithMargins="0"/>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6C4924-64D6-4D4F-B6AE-CE0AEF8E7E82}">
  <dimension ref="A1:O33"/>
  <sheetViews>
    <sheetView workbookViewId="0">
      <selection activeCell="O8" sqref="O8:O24"/>
    </sheetView>
  </sheetViews>
  <sheetFormatPr defaultRowHeight="15" x14ac:dyDescent="0.25"/>
  <cols>
    <col min="1" max="1" width="9.140625" style="90"/>
    <col min="2" max="11" width="10.7109375" style="90" customWidth="1"/>
    <col min="12" max="16384" width="9.140625" style="90"/>
  </cols>
  <sheetData>
    <row r="1" spans="1:15" x14ac:dyDescent="0.25">
      <c r="A1" s="104" t="s">
        <v>127</v>
      </c>
      <c r="B1" s="104"/>
    </row>
    <row r="2" spans="1:15" x14ac:dyDescent="0.25">
      <c r="A2" s="104"/>
      <c r="B2" s="104" t="s">
        <v>126</v>
      </c>
    </row>
    <row r="3" spans="1:15" x14ac:dyDescent="0.25">
      <c r="A3" s="104" t="s">
        <v>128</v>
      </c>
      <c r="B3" s="104">
        <v>115</v>
      </c>
      <c r="C3" s="90">
        <v>116</v>
      </c>
      <c r="D3" s="90">
        <v>117</v>
      </c>
      <c r="E3" s="90">
        <v>118</v>
      </c>
      <c r="F3" s="90">
        <v>119</v>
      </c>
      <c r="G3" s="90">
        <v>122</v>
      </c>
      <c r="H3" s="90">
        <v>123</v>
      </c>
      <c r="I3" s="90">
        <v>124</v>
      </c>
      <c r="J3" s="90">
        <v>126</v>
      </c>
      <c r="K3" s="90">
        <v>129</v>
      </c>
      <c r="L3" s="90">
        <v>139</v>
      </c>
      <c r="M3" s="90">
        <v>146</v>
      </c>
    </row>
    <row r="4" spans="1:15" ht="17.649999999999999" customHeight="1" x14ac:dyDescent="0.25">
      <c r="A4" s="100" t="s">
        <v>0</v>
      </c>
      <c r="B4" s="101" t="s">
        <v>125</v>
      </c>
      <c r="C4" s="103">
        <v>40659</v>
      </c>
      <c r="D4" s="103">
        <v>40660</v>
      </c>
      <c r="E4" s="103">
        <v>40661</v>
      </c>
      <c r="F4" s="103">
        <v>40662</v>
      </c>
      <c r="G4" s="103">
        <v>40665</v>
      </c>
      <c r="H4" s="103">
        <v>40666</v>
      </c>
      <c r="I4" s="103">
        <v>40667</v>
      </c>
      <c r="J4" s="103">
        <v>40669</v>
      </c>
      <c r="K4" s="103">
        <v>40672</v>
      </c>
      <c r="L4" s="103">
        <v>40682</v>
      </c>
      <c r="M4" s="102">
        <v>40689</v>
      </c>
    </row>
    <row r="5" spans="1:15" ht="17.649999999999999" customHeight="1" x14ac:dyDescent="0.25">
      <c r="A5" s="100" t="s">
        <v>124</v>
      </c>
      <c r="B5" s="101" t="s">
        <v>123</v>
      </c>
      <c r="C5" s="101" t="s">
        <v>122</v>
      </c>
      <c r="D5" s="101" t="s">
        <v>121</v>
      </c>
      <c r="E5" s="101" t="s">
        <v>120</v>
      </c>
      <c r="F5" s="101" t="s">
        <v>119</v>
      </c>
      <c r="G5" s="101" t="s">
        <v>118</v>
      </c>
      <c r="H5" s="101" t="s">
        <v>117</v>
      </c>
      <c r="I5" s="101" t="s">
        <v>116</v>
      </c>
      <c r="J5" s="101" t="s">
        <v>115</v>
      </c>
      <c r="K5" s="101" t="s">
        <v>114</v>
      </c>
      <c r="L5" s="101" t="s">
        <v>113</v>
      </c>
    </row>
    <row r="6" spans="1:15" ht="27.2" customHeight="1" x14ac:dyDescent="0.25">
      <c r="A6" s="100"/>
      <c r="B6" s="99" t="s">
        <v>112</v>
      </c>
      <c r="C6" s="99"/>
      <c r="D6" s="99"/>
      <c r="E6" s="99"/>
      <c r="F6" s="99"/>
      <c r="G6" s="99"/>
      <c r="L6" s="99"/>
    </row>
    <row r="7" spans="1:15" s="96" customFormat="1" ht="21.4" customHeight="1" x14ac:dyDescent="0.25">
      <c r="A7" s="98" t="s">
        <v>111</v>
      </c>
      <c r="B7" s="97" t="s">
        <v>110</v>
      </c>
      <c r="C7" s="97" t="s">
        <v>110</v>
      </c>
      <c r="D7" s="97" t="s">
        <v>110</v>
      </c>
      <c r="E7" s="97" t="s">
        <v>110</v>
      </c>
      <c r="F7" s="97" t="s">
        <v>110</v>
      </c>
      <c r="G7" s="97" t="s">
        <v>110</v>
      </c>
      <c r="H7" s="97" t="s">
        <v>110</v>
      </c>
      <c r="I7" s="97" t="s">
        <v>110</v>
      </c>
      <c r="J7" s="97" t="s">
        <v>110</v>
      </c>
      <c r="K7" s="97" t="s">
        <v>110</v>
      </c>
      <c r="L7" s="97" t="s">
        <v>110</v>
      </c>
      <c r="M7" s="97" t="s">
        <v>110</v>
      </c>
      <c r="N7" s="105">
        <v>0.5</v>
      </c>
    </row>
    <row r="8" spans="1:15" ht="25.15" customHeight="1" x14ac:dyDescent="0.25">
      <c r="A8" s="94">
        <v>1</v>
      </c>
      <c r="B8" s="93">
        <v>5</v>
      </c>
      <c r="C8" s="93">
        <v>9</v>
      </c>
      <c r="D8" s="93">
        <v>9</v>
      </c>
      <c r="E8" s="93">
        <v>11</v>
      </c>
      <c r="F8" s="93">
        <v>11</v>
      </c>
      <c r="G8" s="93">
        <v>13</v>
      </c>
      <c r="H8" s="93">
        <v>13</v>
      </c>
      <c r="I8" s="93">
        <v>13</v>
      </c>
      <c r="J8" s="93">
        <v>13</v>
      </c>
      <c r="K8" s="93">
        <v>13</v>
      </c>
      <c r="L8" s="93">
        <v>13</v>
      </c>
      <c r="M8" s="95">
        <v>13</v>
      </c>
      <c r="N8" s="90">
        <f>M8/2</f>
        <v>6.5</v>
      </c>
      <c r="O8" s="106">
        <f>B$3+(N8-B8)/(C8-B8)*(C$3-B$3)</f>
        <v>115.375</v>
      </c>
    </row>
    <row r="9" spans="1:15" ht="25.15" customHeight="1" x14ac:dyDescent="0.25">
      <c r="A9" s="94">
        <v>2</v>
      </c>
      <c r="B9" s="93">
        <v>9</v>
      </c>
      <c r="C9" s="93">
        <v>12</v>
      </c>
      <c r="D9" s="93">
        <v>13</v>
      </c>
      <c r="E9" s="93">
        <v>14</v>
      </c>
      <c r="F9" s="93">
        <v>15</v>
      </c>
      <c r="G9" s="93">
        <v>14</v>
      </c>
      <c r="H9" s="93">
        <v>15</v>
      </c>
      <c r="I9" s="93">
        <v>15</v>
      </c>
      <c r="J9" s="93">
        <v>15</v>
      </c>
      <c r="K9" s="93">
        <v>15</v>
      </c>
      <c r="L9" s="93">
        <v>15</v>
      </c>
      <c r="M9" s="95">
        <v>15</v>
      </c>
      <c r="N9" s="90">
        <f t="shared" ref="N9:N24" si="0">M9/2</f>
        <v>7.5</v>
      </c>
      <c r="O9" s="106">
        <f>B$3+(N9-B9)/(C9-B9)*(C$3-B$3)</f>
        <v>114.5</v>
      </c>
    </row>
    <row r="10" spans="1:15" ht="25.15" customHeight="1" x14ac:dyDescent="0.25">
      <c r="A10" s="94">
        <v>3</v>
      </c>
      <c r="B10" s="93">
        <v>7</v>
      </c>
      <c r="C10" s="93">
        <v>9</v>
      </c>
      <c r="D10" s="93">
        <v>9</v>
      </c>
      <c r="E10" s="93">
        <v>9</v>
      </c>
      <c r="F10" s="93">
        <v>9</v>
      </c>
      <c r="G10" s="93">
        <v>12</v>
      </c>
      <c r="H10" s="93">
        <v>12</v>
      </c>
      <c r="I10" s="93">
        <v>12</v>
      </c>
      <c r="J10" s="93">
        <v>12</v>
      </c>
      <c r="K10" s="93">
        <v>12</v>
      </c>
      <c r="L10" s="93">
        <v>12</v>
      </c>
      <c r="M10" s="95">
        <v>12</v>
      </c>
      <c r="N10" s="90">
        <f t="shared" si="0"/>
        <v>6</v>
      </c>
      <c r="O10" s="106">
        <f>B$3+(N10-B10)/(C10-B10)*(C$3-B$3)</f>
        <v>114.5</v>
      </c>
    </row>
    <row r="11" spans="1:15" ht="25.15" customHeight="1" x14ac:dyDescent="0.25">
      <c r="A11" s="94">
        <v>4</v>
      </c>
      <c r="B11" s="93">
        <v>5</v>
      </c>
      <c r="C11" s="93">
        <v>10</v>
      </c>
      <c r="D11" s="93">
        <v>13</v>
      </c>
      <c r="E11" s="93">
        <v>16</v>
      </c>
      <c r="F11" s="93">
        <v>16</v>
      </c>
      <c r="G11" s="93">
        <v>17</v>
      </c>
      <c r="H11" s="93">
        <v>17</v>
      </c>
      <c r="I11" s="93">
        <v>17</v>
      </c>
      <c r="J11" s="93">
        <v>17</v>
      </c>
      <c r="K11" s="93">
        <v>17</v>
      </c>
      <c r="L11" s="93">
        <v>17</v>
      </c>
      <c r="M11" s="95">
        <v>17</v>
      </c>
      <c r="N11" s="90">
        <f t="shared" si="0"/>
        <v>8.5</v>
      </c>
      <c r="O11" s="106">
        <f>B$3+(N11-B11)/(C11-B11)*(C$3-B$3)</f>
        <v>115.7</v>
      </c>
    </row>
    <row r="12" spans="1:15" ht="25.15" customHeight="1" x14ac:dyDescent="0.25">
      <c r="A12" s="94">
        <v>5</v>
      </c>
      <c r="B12" s="93">
        <v>1</v>
      </c>
      <c r="C12" s="93">
        <v>4</v>
      </c>
      <c r="D12" s="93">
        <v>11</v>
      </c>
      <c r="E12" s="93">
        <v>11</v>
      </c>
      <c r="F12" s="93">
        <v>13</v>
      </c>
      <c r="G12" s="93">
        <v>14</v>
      </c>
      <c r="H12" s="93">
        <v>15</v>
      </c>
      <c r="I12" s="93">
        <v>15</v>
      </c>
      <c r="J12" s="93">
        <v>15</v>
      </c>
      <c r="K12" s="93">
        <v>15</v>
      </c>
      <c r="L12" s="93">
        <v>15</v>
      </c>
      <c r="M12" s="92">
        <v>15</v>
      </c>
      <c r="N12" s="90">
        <f t="shared" si="0"/>
        <v>7.5</v>
      </c>
      <c r="O12" s="106">
        <f>C$3+(N12-C12)/(D12-C12)*(D$3-C$3)</f>
        <v>116.5</v>
      </c>
    </row>
    <row r="13" spans="1:15" ht="25.15" customHeight="1" x14ac:dyDescent="0.25">
      <c r="A13" s="94">
        <v>6</v>
      </c>
      <c r="B13" s="93">
        <v>6</v>
      </c>
      <c r="C13" s="93">
        <v>9</v>
      </c>
      <c r="D13" s="93">
        <v>13</v>
      </c>
      <c r="E13" s="93">
        <v>15</v>
      </c>
      <c r="F13" s="93">
        <v>15</v>
      </c>
      <c r="G13" s="93">
        <v>16</v>
      </c>
      <c r="H13" s="93">
        <v>16</v>
      </c>
      <c r="I13" s="93">
        <v>16</v>
      </c>
      <c r="J13" s="93">
        <v>16</v>
      </c>
      <c r="K13" s="93">
        <v>16</v>
      </c>
      <c r="L13" s="93">
        <v>15</v>
      </c>
      <c r="M13" s="95">
        <v>16</v>
      </c>
      <c r="N13" s="90">
        <f t="shared" si="0"/>
        <v>8</v>
      </c>
      <c r="O13" s="106">
        <f>B$3+(N13-B13)/(C13-B13)*(C$3-B$3)</f>
        <v>115.66666666666667</v>
      </c>
    </row>
    <row r="14" spans="1:15" ht="25.15" customHeight="1" x14ac:dyDescent="0.25">
      <c r="A14" s="94">
        <v>7</v>
      </c>
      <c r="B14" s="93">
        <v>6</v>
      </c>
      <c r="C14" s="93">
        <v>9</v>
      </c>
      <c r="D14" s="93">
        <v>10</v>
      </c>
      <c r="E14" s="93">
        <v>11</v>
      </c>
      <c r="F14" s="93">
        <v>12</v>
      </c>
      <c r="G14" s="93">
        <v>13</v>
      </c>
      <c r="H14" s="93">
        <v>15</v>
      </c>
      <c r="I14" s="93">
        <v>15</v>
      </c>
      <c r="J14" s="93">
        <v>15</v>
      </c>
      <c r="K14" s="93">
        <v>15</v>
      </c>
      <c r="L14" s="93">
        <v>15</v>
      </c>
      <c r="M14" s="95">
        <v>15</v>
      </c>
      <c r="N14" s="90">
        <f t="shared" si="0"/>
        <v>7.5</v>
      </c>
      <c r="O14" s="106">
        <f>B$3+(N14-B14)/(C14-B14)*(C$3-B$3)</f>
        <v>115.5</v>
      </c>
    </row>
    <row r="15" spans="1:15" ht="25.15" customHeight="1" x14ac:dyDescent="0.25">
      <c r="A15" s="94">
        <v>8</v>
      </c>
      <c r="B15" s="93">
        <v>5</v>
      </c>
      <c r="C15" s="93">
        <v>8</v>
      </c>
      <c r="D15" s="93">
        <v>12</v>
      </c>
      <c r="E15" s="93">
        <v>15</v>
      </c>
      <c r="F15" s="93">
        <v>16</v>
      </c>
      <c r="G15" s="93">
        <v>17</v>
      </c>
      <c r="H15" s="93">
        <v>17</v>
      </c>
      <c r="I15" s="93">
        <v>17</v>
      </c>
      <c r="J15" s="93">
        <v>17</v>
      </c>
      <c r="K15" s="93">
        <v>17</v>
      </c>
      <c r="L15" s="93">
        <v>17</v>
      </c>
      <c r="M15" s="95">
        <v>17</v>
      </c>
      <c r="N15" s="90">
        <f t="shared" si="0"/>
        <v>8.5</v>
      </c>
      <c r="O15" s="106">
        <f>C$3+(N15-C15)/(D15-C15)*(D$3-C$3)</f>
        <v>116.125</v>
      </c>
    </row>
    <row r="16" spans="1:15" ht="25.15" customHeight="1" x14ac:dyDescent="0.25">
      <c r="A16" s="94">
        <v>9</v>
      </c>
      <c r="B16" s="93">
        <v>8</v>
      </c>
      <c r="C16" s="93">
        <v>13</v>
      </c>
      <c r="D16" s="93">
        <v>15</v>
      </c>
      <c r="E16" s="93">
        <v>18</v>
      </c>
      <c r="F16" s="93">
        <v>19</v>
      </c>
      <c r="G16" s="93">
        <v>20</v>
      </c>
      <c r="H16" s="93">
        <v>20</v>
      </c>
      <c r="I16" s="93">
        <v>20</v>
      </c>
      <c r="J16" s="93">
        <v>20</v>
      </c>
      <c r="K16" s="93">
        <v>20</v>
      </c>
      <c r="L16" s="93">
        <v>20</v>
      </c>
      <c r="M16" s="95">
        <v>20</v>
      </c>
      <c r="N16" s="90">
        <f t="shared" si="0"/>
        <v>10</v>
      </c>
      <c r="O16" s="106">
        <f t="shared" ref="O16:O24" si="1">B$3+(N16-B16)/(C16-B16)*(C$3-B$3)</f>
        <v>115.4</v>
      </c>
    </row>
    <row r="17" spans="1:15" ht="25.15" customHeight="1" x14ac:dyDescent="0.25">
      <c r="A17" s="94">
        <v>10</v>
      </c>
      <c r="B17" s="93">
        <v>4</v>
      </c>
      <c r="C17" s="93">
        <v>7</v>
      </c>
      <c r="D17" s="93">
        <v>8</v>
      </c>
      <c r="E17" s="93">
        <v>12</v>
      </c>
      <c r="F17" s="93">
        <v>12</v>
      </c>
      <c r="G17" s="93">
        <v>12</v>
      </c>
      <c r="H17" s="93">
        <v>12</v>
      </c>
      <c r="I17" s="93">
        <v>12</v>
      </c>
      <c r="J17" s="93">
        <v>12</v>
      </c>
      <c r="K17" s="93">
        <v>11</v>
      </c>
      <c r="L17" s="93">
        <v>12</v>
      </c>
      <c r="M17" s="95">
        <v>12</v>
      </c>
      <c r="N17" s="90">
        <f t="shared" si="0"/>
        <v>6</v>
      </c>
      <c r="O17" s="106">
        <f t="shared" si="1"/>
        <v>115.66666666666667</v>
      </c>
    </row>
    <row r="18" spans="1:15" ht="25.15" customHeight="1" x14ac:dyDescent="0.25">
      <c r="A18" s="94">
        <v>11</v>
      </c>
      <c r="B18" s="93">
        <v>5</v>
      </c>
      <c r="C18" s="93">
        <v>11</v>
      </c>
      <c r="D18" s="93">
        <v>13</v>
      </c>
      <c r="E18" s="93">
        <v>15</v>
      </c>
      <c r="F18" s="93">
        <v>15</v>
      </c>
      <c r="G18" s="93">
        <v>15</v>
      </c>
      <c r="H18" s="93">
        <v>16</v>
      </c>
      <c r="I18" s="93">
        <v>16</v>
      </c>
      <c r="J18" s="93">
        <v>16</v>
      </c>
      <c r="K18" s="93">
        <v>16</v>
      </c>
      <c r="L18" s="93">
        <v>16</v>
      </c>
      <c r="M18" s="92">
        <v>15</v>
      </c>
      <c r="N18" s="90">
        <f t="shared" si="0"/>
        <v>7.5</v>
      </c>
      <c r="O18" s="106">
        <f t="shared" si="1"/>
        <v>115.41666666666667</v>
      </c>
    </row>
    <row r="19" spans="1:15" ht="25.15" customHeight="1" x14ac:dyDescent="0.25">
      <c r="A19" s="94">
        <v>12</v>
      </c>
      <c r="B19" s="93">
        <v>4</v>
      </c>
      <c r="C19" s="93">
        <v>6</v>
      </c>
      <c r="D19" s="93">
        <v>7</v>
      </c>
      <c r="E19" s="93">
        <v>8</v>
      </c>
      <c r="F19" s="93">
        <v>9</v>
      </c>
      <c r="G19" s="93">
        <v>9</v>
      </c>
      <c r="H19" s="93">
        <v>9</v>
      </c>
      <c r="I19" s="93">
        <v>9</v>
      </c>
      <c r="J19" s="93">
        <v>9</v>
      </c>
      <c r="K19" s="93">
        <v>9</v>
      </c>
      <c r="L19" s="93">
        <v>10</v>
      </c>
      <c r="M19" s="95">
        <v>10</v>
      </c>
      <c r="N19" s="90">
        <f t="shared" si="0"/>
        <v>5</v>
      </c>
      <c r="O19" s="106">
        <f t="shared" si="1"/>
        <v>115.5</v>
      </c>
    </row>
    <row r="20" spans="1:15" ht="25.15" customHeight="1" x14ac:dyDescent="0.25">
      <c r="A20" s="94">
        <v>13</v>
      </c>
      <c r="B20" s="93">
        <v>6</v>
      </c>
      <c r="C20" s="93">
        <v>8</v>
      </c>
      <c r="D20" s="93">
        <v>10</v>
      </c>
      <c r="E20" s="93">
        <v>11</v>
      </c>
      <c r="F20" s="93">
        <v>11</v>
      </c>
      <c r="G20" s="93">
        <v>12</v>
      </c>
      <c r="H20" s="93">
        <v>12</v>
      </c>
      <c r="I20" s="93">
        <v>12</v>
      </c>
      <c r="J20" s="93">
        <v>12</v>
      </c>
      <c r="K20" s="93">
        <v>12</v>
      </c>
      <c r="L20" s="93">
        <v>12</v>
      </c>
      <c r="M20" s="95">
        <v>13</v>
      </c>
      <c r="N20" s="90">
        <f t="shared" si="0"/>
        <v>6.5</v>
      </c>
      <c r="O20" s="106">
        <f t="shared" si="1"/>
        <v>115.25</v>
      </c>
    </row>
    <row r="21" spans="1:15" ht="25.15" customHeight="1" x14ac:dyDescent="0.25">
      <c r="A21" s="94">
        <v>14</v>
      </c>
      <c r="B21" s="93">
        <v>6</v>
      </c>
      <c r="C21" s="93">
        <v>7</v>
      </c>
      <c r="D21" s="93">
        <v>8</v>
      </c>
      <c r="E21" s="93">
        <v>9</v>
      </c>
      <c r="F21" s="93">
        <v>9</v>
      </c>
      <c r="G21" s="93">
        <v>9</v>
      </c>
      <c r="H21" s="93">
        <v>10</v>
      </c>
      <c r="I21" s="93">
        <v>10</v>
      </c>
      <c r="J21" s="93">
        <v>10</v>
      </c>
      <c r="K21" s="93">
        <v>10</v>
      </c>
      <c r="L21" s="93">
        <v>10</v>
      </c>
      <c r="M21" s="95">
        <v>9</v>
      </c>
      <c r="N21" s="90">
        <f t="shared" si="0"/>
        <v>4.5</v>
      </c>
      <c r="O21" s="106">
        <f t="shared" si="1"/>
        <v>113.5</v>
      </c>
    </row>
    <row r="22" spans="1:15" ht="25.15" customHeight="1" x14ac:dyDescent="0.25">
      <c r="A22" s="94">
        <v>15</v>
      </c>
      <c r="B22" s="93">
        <v>6</v>
      </c>
      <c r="C22" s="93">
        <v>8</v>
      </c>
      <c r="D22" s="93">
        <v>9</v>
      </c>
      <c r="E22" s="93">
        <v>10</v>
      </c>
      <c r="F22" s="93">
        <v>11</v>
      </c>
      <c r="G22" s="93">
        <v>11</v>
      </c>
      <c r="H22" s="93">
        <v>11</v>
      </c>
      <c r="I22" s="93">
        <v>11</v>
      </c>
      <c r="J22" s="93">
        <v>11</v>
      </c>
      <c r="K22" s="93">
        <v>11</v>
      </c>
      <c r="L22" s="93">
        <v>11</v>
      </c>
      <c r="M22" s="92">
        <v>11</v>
      </c>
      <c r="N22" s="90">
        <f t="shared" si="0"/>
        <v>5.5</v>
      </c>
      <c r="O22" s="106">
        <f t="shared" si="1"/>
        <v>114.75</v>
      </c>
    </row>
    <row r="23" spans="1:15" ht="25.15" customHeight="1" x14ac:dyDescent="0.25">
      <c r="A23" s="94">
        <v>16</v>
      </c>
      <c r="B23" s="93">
        <v>6</v>
      </c>
      <c r="C23" s="93">
        <v>7</v>
      </c>
      <c r="D23" s="93">
        <v>8</v>
      </c>
      <c r="E23" s="93">
        <v>10</v>
      </c>
      <c r="F23" s="93">
        <v>11</v>
      </c>
      <c r="G23" s="93">
        <v>11</v>
      </c>
      <c r="H23" s="93">
        <v>11</v>
      </c>
      <c r="I23" s="93">
        <v>11</v>
      </c>
      <c r="J23" s="93">
        <v>11</v>
      </c>
      <c r="K23" s="93">
        <v>11</v>
      </c>
      <c r="L23" s="93">
        <v>11</v>
      </c>
      <c r="M23" s="92">
        <v>11</v>
      </c>
      <c r="N23" s="90">
        <f t="shared" si="0"/>
        <v>5.5</v>
      </c>
      <c r="O23" s="106">
        <f t="shared" si="1"/>
        <v>114.5</v>
      </c>
    </row>
    <row r="24" spans="1:15" ht="25.15" customHeight="1" x14ac:dyDescent="0.25">
      <c r="A24" s="94">
        <v>17</v>
      </c>
      <c r="B24" s="93">
        <v>13</v>
      </c>
      <c r="C24" s="93">
        <v>17</v>
      </c>
      <c r="D24" s="93">
        <v>18</v>
      </c>
      <c r="E24" s="93">
        <v>19</v>
      </c>
      <c r="F24" s="93">
        <v>19</v>
      </c>
      <c r="G24" s="93">
        <v>19</v>
      </c>
      <c r="H24" s="93">
        <v>20</v>
      </c>
      <c r="I24" s="93">
        <v>20</v>
      </c>
      <c r="J24" s="93">
        <v>20</v>
      </c>
      <c r="K24" s="93">
        <v>20</v>
      </c>
      <c r="L24" s="93">
        <v>21</v>
      </c>
      <c r="M24" s="92">
        <v>20</v>
      </c>
      <c r="N24" s="90">
        <f t="shared" si="0"/>
        <v>10</v>
      </c>
      <c r="O24" s="106">
        <f t="shared" si="1"/>
        <v>114.25</v>
      </c>
    </row>
    <row r="27" spans="1:15" x14ac:dyDescent="0.25">
      <c r="B27" s="91">
        <f t="shared" ref="B27:M27" si="2">AVERAGE(B8:B24)</f>
        <v>6</v>
      </c>
      <c r="C27" s="91">
        <f t="shared" si="2"/>
        <v>9.0588235294117645</v>
      </c>
      <c r="D27" s="91">
        <f t="shared" si="2"/>
        <v>10.941176470588236</v>
      </c>
      <c r="E27" s="91">
        <f t="shared" si="2"/>
        <v>12.588235294117647</v>
      </c>
      <c r="F27" s="91">
        <f t="shared" si="2"/>
        <v>13.117647058823529</v>
      </c>
      <c r="G27" s="91">
        <f t="shared" si="2"/>
        <v>13.764705882352942</v>
      </c>
      <c r="H27" s="91">
        <f t="shared" si="2"/>
        <v>14.176470588235293</v>
      </c>
      <c r="I27" s="91">
        <f t="shared" si="2"/>
        <v>14.176470588235293</v>
      </c>
      <c r="J27" s="91">
        <f t="shared" si="2"/>
        <v>14.176470588235293</v>
      </c>
      <c r="K27" s="91">
        <f t="shared" si="2"/>
        <v>14.117647058823529</v>
      </c>
      <c r="L27" s="91">
        <f t="shared" si="2"/>
        <v>14.235294117647058</v>
      </c>
      <c r="M27" s="91">
        <f t="shared" si="2"/>
        <v>14.176470588235293</v>
      </c>
    </row>
    <row r="29" spans="1:15" x14ac:dyDescent="0.25">
      <c r="B29" s="90">
        <v>115</v>
      </c>
      <c r="C29" s="90">
        <v>116</v>
      </c>
      <c r="D29" s="90">
        <v>117</v>
      </c>
      <c r="E29" s="90">
        <v>118</v>
      </c>
      <c r="F29" s="90">
        <v>119</v>
      </c>
      <c r="G29" s="90">
        <v>122</v>
      </c>
      <c r="H29" s="90">
        <v>123</v>
      </c>
      <c r="I29" s="90">
        <v>124</v>
      </c>
      <c r="J29" s="90">
        <v>126</v>
      </c>
      <c r="K29" s="90">
        <v>129</v>
      </c>
      <c r="L29" s="90">
        <v>139</v>
      </c>
      <c r="M29" s="90">
        <v>146</v>
      </c>
    </row>
    <row r="31" spans="1:15" x14ac:dyDescent="0.25">
      <c r="B31" s="90">
        <f t="shared" ref="B31:M31" si="3">B27/100*2.54*12</f>
        <v>1.8288000000000002</v>
      </c>
      <c r="C31" s="90">
        <f t="shared" si="3"/>
        <v>2.7611294117647063</v>
      </c>
      <c r="D31" s="90">
        <f t="shared" si="3"/>
        <v>3.3348705882352947</v>
      </c>
      <c r="E31" s="90">
        <f t="shared" si="3"/>
        <v>3.8368941176470592</v>
      </c>
      <c r="F31" s="90">
        <f t="shared" si="3"/>
        <v>3.9982588235294116</v>
      </c>
      <c r="G31" s="90">
        <f t="shared" si="3"/>
        <v>4.1954823529411769</v>
      </c>
      <c r="H31" s="90">
        <f t="shared" si="3"/>
        <v>4.3209882352941174</v>
      </c>
      <c r="I31" s="90">
        <f t="shared" si="3"/>
        <v>4.3209882352941174</v>
      </c>
      <c r="J31" s="90">
        <f t="shared" si="3"/>
        <v>4.3209882352941174</v>
      </c>
      <c r="K31" s="90">
        <f t="shared" si="3"/>
        <v>4.3030588235294118</v>
      </c>
      <c r="L31" s="90">
        <f t="shared" si="3"/>
        <v>4.3389176470588229</v>
      </c>
      <c r="M31" s="90">
        <f t="shared" si="3"/>
        <v>4.3209882352941174</v>
      </c>
    </row>
    <row r="33" spans="3:4" x14ac:dyDescent="0.25">
      <c r="C33" s="90">
        <f>AVERAGE(H27:M27)/(1*1.02)</f>
        <v>13.898500576701267</v>
      </c>
      <c r="D33" s="90" t="s">
        <v>109</v>
      </c>
    </row>
  </sheetData>
  <pageMargins left="0.7" right="0.7" top="0.75" bottom="0.75" header="0.3" footer="0.3"/>
  <pageSetup scale="125" orientation="portrait" r:id="rId1"/>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AD72C4-65E0-4678-BA26-39F1E7C88D76}">
  <dimension ref="A1:BY53"/>
  <sheetViews>
    <sheetView topLeftCell="A4" zoomScale="80" zoomScaleNormal="80" workbookViewId="0">
      <selection activeCell="B37" sqref="B37:R53"/>
    </sheetView>
  </sheetViews>
  <sheetFormatPr defaultRowHeight="12.75" x14ac:dyDescent="0.2"/>
  <cols>
    <col min="1" max="1" width="5.42578125" style="111" customWidth="1"/>
    <col min="2" max="2" width="6.28515625" style="111" customWidth="1"/>
    <col min="3" max="3" width="12.7109375" style="111" customWidth="1"/>
    <col min="4" max="8" width="5.28515625" style="111" hidden="1" customWidth="1"/>
    <col min="9" max="9" width="7" style="111" hidden="1" customWidth="1"/>
    <col min="10" max="10" width="8.42578125" style="111" customWidth="1"/>
    <col min="11" max="18" width="12.7109375" style="111" customWidth="1"/>
    <col min="19" max="19" width="39.85546875" style="111" customWidth="1"/>
    <col min="20" max="25" width="9.140625" style="111"/>
    <col min="26" max="26" width="7.5703125" style="111" customWidth="1"/>
    <col min="27" max="36" width="7.7109375" style="111" customWidth="1"/>
    <col min="37" max="16384" width="9.140625" style="111"/>
  </cols>
  <sheetData>
    <row r="1" spans="1:77" ht="15" customHeight="1" x14ac:dyDescent="0.25">
      <c r="A1" s="151" t="s">
        <v>162</v>
      </c>
    </row>
    <row r="2" spans="1:77" ht="20.25" customHeight="1" thickBot="1" x14ac:dyDescent="0.3">
      <c r="A2" s="151"/>
      <c r="M2" s="127" t="s">
        <v>0</v>
      </c>
      <c r="N2" s="150">
        <v>40689</v>
      </c>
      <c r="P2" s="127"/>
      <c r="Q2" s="149"/>
      <c r="R2" s="149"/>
      <c r="S2" s="149"/>
    </row>
    <row r="3" spans="1:77" ht="20.25" customHeight="1" thickBot="1" x14ac:dyDescent="0.25">
      <c r="A3" s="111" t="s">
        <v>1</v>
      </c>
      <c r="C3" s="148" t="s">
        <v>161</v>
      </c>
      <c r="D3" s="148"/>
      <c r="E3" s="148"/>
      <c r="F3" s="148"/>
      <c r="G3" s="148"/>
      <c r="H3" s="148"/>
      <c r="I3" s="148"/>
      <c r="J3" s="148"/>
      <c r="K3" s="148"/>
      <c r="L3" s="148"/>
      <c r="M3" s="127" t="s">
        <v>23</v>
      </c>
      <c r="N3" s="147">
        <v>146</v>
      </c>
      <c r="O3" s="148"/>
      <c r="P3" s="127"/>
      <c r="Q3" s="145"/>
      <c r="R3" s="145"/>
      <c r="S3" s="145"/>
    </row>
    <row r="4" spans="1:77" ht="20.25" customHeight="1" thickBot="1" x14ac:dyDescent="0.25">
      <c r="B4" s="148"/>
      <c r="C4" s="148"/>
      <c r="D4" s="146"/>
      <c r="E4" s="146"/>
      <c r="F4" s="146"/>
      <c r="G4" s="146"/>
      <c r="H4" s="146"/>
      <c r="I4" s="146"/>
      <c r="J4" s="146"/>
      <c r="K4" s="146"/>
      <c r="L4" s="146"/>
      <c r="M4" s="127" t="s">
        <v>2</v>
      </c>
      <c r="N4" s="147" t="s">
        <v>26</v>
      </c>
      <c r="O4" s="146"/>
      <c r="P4" s="127"/>
      <c r="Q4" s="145"/>
      <c r="R4" s="145"/>
      <c r="S4" s="145"/>
    </row>
    <row r="5" spans="1:77" ht="18" x14ac:dyDescent="0.2">
      <c r="B5" s="111" t="s">
        <v>160</v>
      </c>
      <c r="AI5" s="142"/>
      <c r="AJ5" s="204"/>
      <c r="AK5" s="204"/>
      <c r="AL5" s="204"/>
    </row>
    <row r="6" spans="1:77" ht="18" x14ac:dyDescent="0.25">
      <c r="L6" s="205"/>
      <c r="M6" s="206"/>
      <c r="N6" s="206"/>
      <c r="O6" s="206"/>
      <c r="P6" s="206"/>
      <c r="Q6" s="210"/>
      <c r="R6" s="144"/>
      <c r="S6" s="143"/>
      <c r="AI6" s="142"/>
      <c r="AJ6" s="141"/>
      <c r="AK6" s="141"/>
      <c r="AL6" s="141"/>
    </row>
    <row r="7" spans="1:77" ht="25.5" customHeight="1" x14ac:dyDescent="0.2">
      <c r="B7" s="139" t="s">
        <v>159</v>
      </c>
      <c r="C7" s="140"/>
      <c r="D7" s="140" t="s">
        <v>4</v>
      </c>
      <c r="E7" s="139" t="s">
        <v>5</v>
      </c>
      <c r="F7" s="140" t="s">
        <v>6</v>
      </c>
      <c r="G7" s="139" t="s">
        <v>7</v>
      </c>
      <c r="H7" s="139" t="s">
        <v>8</v>
      </c>
      <c r="I7" s="139" t="s">
        <v>9</v>
      </c>
      <c r="J7" s="139" t="s">
        <v>11</v>
      </c>
      <c r="K7" s="138"/>
      <c r="L7" s="137" t="s">
        <v>30</v>
      </c>
      <c r="M7" s="137" t="s">
        <v>31</v>
      </c>
      <c r="N7" s="137" t="s">
        <v>32</v>
      </c>
      <c r="O7" s="137" t="s">
        <v>158</v>
      </c>
      <c r="P7" s="137" t="s">
        <v>157</v>
      </c>
      <c r="Q7" s="137" t="s">
        <v>156</v>
      </c>
      <c r="R7" s="137" t="s">
        <v>155</v>
      </c>
      <c r="S7" s="136" t="s">
        <v>25</v>
      </c>
      <c r="AI7" s="135"/>
      <c r="AJ7" s="123"/>
      <c r="AK7" s="123"/>
    </row>
    <row r="8" spans="1:77" ht="15.95" customHeight="1" thickBot="1" x14ac:dyDescent="0.25">
      <c r="B8" s="207"/>
      <c r="C8" s="208"/>
      <c r="D8" s="208"/>
      <c r="E8" s="208"/>
      <c r="F8" s="208"/>
      <c r="G8" s="208"/>
      <c r="H8" s="208"/>
      <c r="I8" s="208"/>
      <c r="J8" s="208"/>
      <c r="K8" s="209"/>
      <c r="L8" s="134" t="s">
        <v>27</v>
      </c>
      <c r="M8" s="134"/>
      <c r="N8" s="134"/>
      <c r="O8" s="134"/>
      <c r="P8" s="134"/>
      <c r="Q8" s="134"/>
      <c r="R8" s="134"/>
      <c r="S8" s="133"/>
      <c r="AJ8" s="121"/>
      <c r="AK8" s="121"/>
      <c r="AL8" s="121"/>
    </row>
    <row r="9" spans="1:77" ht="15.95" hidden="1" customHeight="1" x14ac:dyDescent="0.2">
      <c r="B9" s="131" t="s">
        <v>3</v>
      </c>
      <c r="C9" s="132" t="s">
        <v>10</v>
      </c>
      <c r="D9" s="132" t="s">
        <v>14</v>
      </c>
      <c r="E9" s="131" t="s">
        <v>15</v>
      </c>
      <c r="F9" s="132" t="s">
        <v>16</v>
      </c>
      <c r="G9" s="131" t="s">
        <v>17</v>
      </c>
      <c r="H9" s="131" t="s">
        <v>8</v>
      </c>
      <c r="I9" s="131" t="s">
        <v>18</v>
      </c>
      <c r="J9" s="130" t="s">
        <v>11</v>
      </c>
      <c r="K9" s="130" t="s">
        <v>19</v>
      </c>
      <c r="L9" s="129" t="s">
        <v>20</v>
      </c>
      <c r="M9" s="129" t="s">
        <v>21</v>
      </c>
      <c r="N9" s="129" t="s">
        <v>22</v>
      </c>
      <c r="O9" s="129" t="s">
        <v>20</v>
      </c>
      <c r="P9" s="129" t="s">
        <v>21</v>
      </c>
      <c r="Q9" s="129" t="s">
        <v>22</v>
      </c>
      <c r="R9" s="129" t="s">
        <v>22</v>
      </c>
      <c r="S9" s="129"/>
      <c r="AJ9" s="121"/>
      <c r="AK9" s="121"/>
      <c r="AL9" s="121"/>
    </row>
    <row r="10" spans="1:77" ht="35.1" customHeight="1" x14ac:dyDescent="0.2">
      <c r="B10" s="122">
        <v>1</v>
      </c>
      <c r="C10" s="115" t="s">
        <v>28</v>
      </c>
      <c r="D10" s="112" t="e">
        <f>VLOOKUP($B10,#REF!,3,0)</f>
        <v>#REF!</v>
      </c>
      <c r="E10" s="112" t="e">
        <f>VLOOKUP($B10,#REF!,4,0)</f>
        <v>#REF!</v>
      </c>
      <c r="F10" s="112" t="e">
        <f>VLOOKUP($B10,#REF!,5,0)</f>
        <v>#REF!</v>
      </c>
      <c r="G10" s="112" t="e">
        <f>VLOOKUP($B10,#REF!,6,0)</f>
        <v>#REF!</v>
      </c>
      <c r="H10" s="112" t="e">
        <f>VLOOKUP($B10,#REF!,7,0)</f>
        <v>#REF!</v>
      </c>
      <c r="I10" s="112" t="e">
        <f>VLOOKUP($B10,#REF!,8,0)</f>
        <v>#REF!</v>
      </c>
      <c r="J10" s="118">
        <v>800</v>
      </c>
      <c r="K10" s="112" t="s">
        <v>151</v>
      </c>
      <c r="L10" s="112">
        <v>15</v>
      </c>
      <c r="M10" s="112">
        <v>18</v>
      </c>
      <c r="N10" s="113">
        <v>15</v>
      </c>
      <c r="O10" s="112">
        <v>13</v>
      </c>
      <c r="P10" s="112">
        <v>12</v>
      </c>
      <c r="Q10" s="113">
        <v>14</v>
      </c>
      <c r="R10" s="113">
        <v>20</v>
      </c>
      <c r="S10" s="211" t="s">
        <v>154</v>
      </c>
      <c r="T10" s="117"/>
      <c r="U10" s="117"/>
      <c r="V10" s="117"/>
      <c r="W10" s="117"/>
      <c r="X10" s="117"/>
      <c r="AJ10" s="121"/>
      <c r="AK10" s="121"/>
      <c r="AL10" s="128"/>
      <c r="AM10" s="127"/>
      <c r="AN10" s="127"/>
      <c r="AO10" s="127"/>
      <c r="AP10" s="127"/>
      <c r="AQ10" s="127"/>
      <c r="AR10" s="127"/>
      <c r="AS10" s="127"/>
      <c r="AT10" s="127"/>
      <c r="AU10" s="127"/>
      <c r="AV10" s="127"/>
      <c r="AW10" s="127"/>
      <c r="AX10" s="127"/>
      <c r="AY10" s="127"/>
      <c r="AZ10" s="127"/>
      <c r="BA10" s="127"/>
      <c r="BB10" s="127"/>
      <c r="BC10" s="127"/>
      <c r="BD10" s="127"/>
      <c r="BE10" s="127"/>
      <c r="BF10" s="127"/>
      <c r="BG10" s="127"/>
      <c r="BH10" s="127"/>
      <c r="BI10" s="127"/>
      <c r="BJ10" s="127"/>
      <c r="BK10" s="127"/>
      <c r="BL10" s="127"/>
      <c r="BM10" s="127"/>
      <c r="BN10" s="127"/>
      <c r="BO10" s="127"/>
      <c r="BP10" s="127"/>
      <c r="BQ10" s="127"/>
      <c r="BR10" s="127"/>
      <c r="BS10" s="127"/>
      <c r="BT10" s="127"/>
      <c r="BU10" s="127"/>
      <c r="BV10" s="127"/>
      <c r="BW10" s="127"/>
      <c r="BX10" s="127"/>
      <c r="BY10" s="127"/>
    </row>
    <row r="11" spans="1:77" ht="35.1" customHeight="1" x14ac:dyDescent="0.2">
      <c r="B11" s="122">
        <v>2</v>
      </c>
      <c r="C11" s="115" t="s">
        <v>29</v>
      </c>
      <c r="D11" s="112" t="e">
        <f>VLOOKUP($B11,#REF!,3,0)</f>
        <v>#REF!</v>
      </c>
      <c r="E11" s="112" t="e">
        <f>VLOOKUP($B11,#REF!,4,0)</f>
        <v>#REF!</v>
      </c>
      <c r="F11" s="112" t="e">
        <f>VLOOKUP($B11,#REF!,5,0)</f>
        <v>#REF!</v>
      </c>
      <c r="G11" s="112" t="e">
        <f>VLOOKUP($B11,#REF!,6,0)</f>
        <v>#REF!</v>
      </c>
      <c r="H11" s="112" t="e">
        <f>VLOOKUP($B11,#REF!,7,0)</f>
        <v>#REF!</v>
      </c>
      <c r="I11" s="112" t="e">
        <f>VLOOKUP($B11,#REF!,8,0)</f>
        <v>#REF!</v>
      </c>
      <c r="J11" s="118"/>
      <c r="K11" s="112" t="s">
        <v>151</v>
      </c>
      <c r="L11" s="112">
        <v>24</v>
      </c>
      <c r="M11" s="112">
        <v>12</v>
      </c>
      <c r="N11" s="112">
        <v>13</v>
      </c>
      <c r="O11" s="112">
        <v>15</v>
      </c>
      <c r="P11" s="112">
        <v>16</v>
      </c>
      <c r="Q11" s="112">
        <v>17</v>
      </c>
      <c r="R11" s="112">
        <v>11</v>
      </c>
      <c r="S11" s="212"/>
      <c r="T11" s="117"/>
      <c r="U11" s="126"/>
      <c r="V11" s="117"/>
      <c r="W11" s="125"/>
      <c r="X11" s="117"/>
      <c r="AJ11" s="121"/>
      <c r="AK11" s="121"/>
      <c r="AL11" s="121"/>
      <c r="AM11" s="124"/>
      <c r="AN11" s="124"/>
      <c r="AO11" s="124"/>
      <c r="AP11" s="124"/>
      <c r="AQ11" s="124"/>
      <c r="AR11" s="124"/>
      <c r="AS11" s="124"/>
      <c r="AT11" s="124"/>
      <c r="AU11" s="124"/>
      <c r="AV11" s="124"/>
      <c r="AW11" s="124"/>
      <c r="AX11" s="124"/>
      <c r="AY11" s="124"/>
      <c r="AZ11" s="124"/>
      <c r="BA11" s="124"/>
      <c r="BB11" s="124"/>
      <c r="BC11" s="124"/>
      <c r="BD11" s="124"/>
      <c r="BE11" s="124"/>
      <c r="BF11" s="124"/>
      <c r="BG11" s="124"/>
      <c r="BH11" s="124"/>
      <c r="BI11" s="124"/>
      <c r="BJ11" s="124"/>
      <c r="BK11" s="124"/>
      <c r="BL11" s="124"/>
      <c r="BM11" s="124"/>
      <c r="BN11" s="124"/>
      <c r="BO11" s="124"/>
      <c r="BP11" s="124"/>
      <c r="BQ11" s="124"/>
      <c r="BR11" s="124"/>
      <c r="BS11" s="124"/>
      <c r="BT11" s="124"/>
      <c r="BU11" s="124"/>
      <c r="BV11" s="124"/>
      <c r="BW11" s="124"/>
      <c r="BX11" s="124"/>
      <c r="BY11" s="124"/>
    </row>
    <row r="12" spans="1:77" ht="35.1" customHeight="1" x14ac:dyDescent="0.2">
      <c r="B12" s="122">
        <v>3</v>
      </c>
      <c r="C12" s="115" t="s">
        <v>28</v>
      </c>
      <c r="D12" s="112" t="e">
        <f>VLOOKUP($B12,#REF!,3,0)</f>
        <v>#REF!</v>
      </c>
      <c r="E12" s="112" t="e">
        <f>VLOOKUP($B12,#REF!,4,0)</f>
        <v>#REF!</v>
      </c>
      <c r="F12" s="112" t="e">
        <f>VLOOKUP($B12,#REF!,5,0)</f>
        <v>#REF!</v>
      </c>
      <c r="G12" s="112" t="e">
        <f>VLOOKUP($B12,#REF!,6,0)</f>
        <v>#REF!</v>
      </c>
      <c r="H12" s="112" t="e">
        <f>VLOOKUP($B12,#REF!,7,0)</f>
        <v>#REF!</v>
      </c>
      <c r="I12" s="112" t="e">
        <f>VLOOKUP($B12,#REF!,8,0)</f>
        <v>#REF!</v>
      </c>
      <c r="J12" s="118"/>
      <c r="K12" s="112" t="s">
        <v>151</v>
      </c>
      <c r="L12" s="112">
        <v>15</v>
      </c>
      <c r="M12" s="112">
        <v>12</v>
      </c>
      <c r="N12" s="112">
        <v>15</v>
      </c>
      <c r="O12" s="112">
        <v>12</v>
      </c>
      <c r="P12" s="112">
        <v>15</v>
      </c>
      <c r="Q12" s="112">
        <v>15</v>
      </c>
      <c r="R12" s="112">
        <v>10</v>
      </c>
      <c r="S12" s="212"/>
      <c r="T12" s="117"/>
      <c r="U12" s="117"/>
      <c r="V12" s="117"/>
      <c r="W12" s="117"/>
      <c r="X12" s="117"/>
      <c r="AJ12" s="121"/>
      <c r="AK12" s="121"/>
      <c r="AL12" s="121"/>
    </row>
    <row r="13" spans="1:77" ht="35.1" customHeight="1" x14ac:dyDescent="0.2">
      <c r="B13" s="122">
        <v>4</v>
      </c>
      <c r="C13" s="115" t="s">
        <v>29</v>
      </c>
      <c r="D13" s="112" t="e">
        <f>VLOOKUP($B13,#REF!,3,0)</f>
        <v>#REF!</v>
      </c>
      <c r="E13" s="112" t="e">
        <f>VLOOKUP($B13,#REF!,4,0)</f>
        <v>#REF!</v>
      </c>
      <c r="F13" s="112" t="e">
        <f>VLOOKUP($B13,#REF!,5,0)</f>
        <v>#REF!</v>
      </c>
      <c r="G13" s="112" t="e">
        <f>VLOOKUP($B13,#REF!,6,0)</f>
        <v>#REF!</v>
      </c>
      <c r="H13" s="112" t="e">
        <f>VLOOKUP($B13,#REF!,7,0)</f>
        <v>#REF!</v>
      </c>
      <c r="I13" s="112" t="e">
        <f>VLOOKUP($B13,#REF!,8,0)</f>
        <v>#REF!</v>
      </c>
      <c r="J13" s="118"/>
      <c r="K13" s="112" t="s">
        <v>151</v>
      </c>
      <c r="L13" s="112">
        <v>16</v>
      </c>
      <c r="M13" s="112">
        <v>18</v>
      </c>
      <c r="N13" s="113">
        <v>18</v>
      </c>
      <c r="O13" s="112">
        <v>17</v>
      </c>
      <c r="P13" s="112">
        <v>13</v>
      </c>
      <c r="Q13" s="113">
        <v>18</v>
      </c>
      <c r="R13" s="113">
        <v>22</v>
      </c>
      <c r="S13" s="212"/>
      <c r="T13" s="117"/>
      <c r="U13" s="117"/>
      <c r="V13" s="117"/>
      <c r="W13" s="117"/>
      <c r="X13" s="117"/>
    </row>
    <row r="14" spans="1:77" ht="35.1" customHeight="1" x14ac:dyDescent="0.2">
      <c r="B14" s="122">
        <v>5</v>
      </c>
      <c r="C14" s="115" t="s">
        <v>28</v>
      </c>
      <c r="D14" s="112" t="e">
        <f>VLOOKUP($B14,#REF!,3,0)</f>
        <v>#REF!</v>
      </c>
      <c r="E14" s="112" t="e">
        <f>VLOOKUP($B14,#REF!,4,0)</f>
        <v>#REF!</v>
      </c>
      <c r="F14" s="112" t="e">
        <f>VLOOKUP($B14,#REF!,5,0)</f>
        <v>#REF!</v>
      </c>
      <c r="G14" s="112" t="e">
        <f>VLOOKUP($B14,#REF!,6,0)</f>
        <v>#REF!</v>
      </c>
      <c r="H14" s="112" t="e">
        <f>VLOOKUP($B14,#REF!,7,0)</f>
        <v>#REF!</v>
      </c>
      <c r="I14" s="112" t="e">
        <f>VLOOKUP($B14,#REF!,8,0)</f>
        <v>#REF!</v>
      </c>
      <c r="J14" s="118"/>
      <c r="K14" s="112" t="s">
        <v>151</v>
      </c>
      <c r="L14" s="113">
        <v>19</v>
      </c>
      <c r="M14" s="112">
        <v>17</v>
      </c>
      <c r="N14" s="113">
        <v>17</v>
      </c>
      <c r="O14" s="113">
        <v>15</v>
      </c>
      <c r="P14" s="112">
        <v>17</v>
      </c>
      <c r="Q14" s="113">
        <v>14</v>
      </c>
      <c r="R14" s="113">
        <v>18</v>
      </c>
      <c r="S14" s="212"/>
      <c r="T14" s="117"/>
      <c r="U14" s="117"/>
      <c r="V14" s="117"/>
      <c r="W14" s="117"/>
      <c r="X14" s="117"/>
      <c r="AJ14" s="121"/>
      <c r="AK14" s="121"/>
      <c r="AL14" s="121"/>
    </row>
    <row r="15" spans="1:77" ht="35.1" customHeight="1" x14ac:dyDescent="0.2">
      <c r="B15" s="122">
        <v>6</v>
      </c>
      <c r="C15" s="115" t="s">
        <v>29</v>
      </c>
      <c r="D15" s="112" t="e">
        <f>VLOOKUP($B15,#REF!,3,0)</f>
        <v>#REF!</v>
      </c>
      <c r="E15" s="112" t="e">
        <f>VLOOKUP($B15,#REF!,4,0)</f>
        <v>#REF!</v>
      </c>
      <c r="F15" s="112" t="e">
        <f>VLOOKUP($B15,#REF!,5,0)</f>
        <v>#REF!</v>
      </c>
      <c r="G15" s="112" t="e">
        <f>VLOOKUP($B15,#REF!,6,0)</f>
        <v>#REF!</v>
      </c>
      <c r="H15" s="112" t="e">
        <f>VLOOKUP($B15,#REF!,7,0)</f>
        <v>#REF!</v>
      </c>
      <c r="I15" s="112" t="e">
        <f>VLOOKUP($B15,#REF!,8,0)</f>
        <v>#REF!</v>
      </c>
      <c r="J15" s="118">
        <v>835</v>
      </c>
      <c r="K15" s="112" t="s">
        <v>151</v>
      </c>
      <c r="L15" s="112">
        <v>16</v>
      </c>
      <c r="M15" s="112">
        <v>12</v>
      </c>
      <c r="N15" s="112">
        <v>10</v>
      </c>
      <c r="O15" s="112">
        <v>16</v>
      </c>
      <c r="P15" s="112">
        <v>12</v>
      </c>
      <c r="Q15" s="112">
        <v>13</v>
      </c>
      <c r="R15" s="112">
        <v>15</v>
      </c>
      <c r="S15" s="212"/>
      <c r="T15" s="117"/>
      <c r="U15" s="117"/>
      <c r="V15" s="117"/>
      <c r="W15" s="117"/>
      <c r="X15" s="117"/>
      <c r="AJ15" s="121"/>
      <c r="AK15" s="121"/>
      <c r="AL15" s="121"/>
    </row>
    <row r="16" spans="1:77" ht="35.1" customHeight="1" x14ac:dyDescent="0.2">
      <c r="B16" s="122">
        <v>7</v>
      </c>
      <c r="C16" s="115" t="s">
        <v>28</v>
      </c>
      <c r="D16" s="112" t="e">
        <f>VLOOKUP($B16,#REF!,3,0)</f>
        <v>#REF!</v>
      </c>
      <c r="E16" s="112" t="e">
        <f>VLOOKUP($B16,#REF!,4,0)</f>
        <v>#REF!</v>
      </c>
      <c r="F16" s="112" t="e">
        <f>VLOOKUP($B16,#REF!,5,0)</f>
        <v>#REF!</v>
      </c>
      <c r="G16" s="112" t="e">
        <f>VLOOKUP($B16,#REF!,6,0)</f>
        <v>#REF!</v>
      </c>
      <c r="H16" s="112" t="e">
        <f>VLOOKUP($B16,#REF!,7,0)</f>
        <v>#REF!</v>
      </c>
      <c r="I16" s="112" t="e">
        <f>VLOOKUP($B16,#REF!,8,0)</f>
        <v>#REF!</v>
      </c>
      <c r="J16" s="118"/>
      <c r="K16" s="112" t="s">
        <v>151</v>
      </c>
      <c r="L16" s="112">
        <v>18</v>
      </c>
      <c r="M16" s="112">
        <v>16</v>
      </c>
      <c r="N16" s="112">
        <v>17</v>
      </c>
      <c r="O16" s="112">
        <v>15</v>
      </c>
      <c r="P16" s="112">
        <v>19</v>
      </c>
      <c r="Q16" s="112">
        <v>19</v>
      </c>
      <c r="R16" s="112">
        <v>14</v>
      </c>
      <c r="S16" s="120"/>
      <c r="T16" s="117"/>
      <c r="U16" s="117"/>
      <c r="V16" s="117"/>
      <c r="W16" s="117"/>
      <c r="X16" s="117"/>
      <c r="AJ16" s="121"/>
      <c r="AK16" s="121"/>
      <c r="AL16" s="121"/>
    </row>
    <row r="17" spans="2:38" ht="35.1" customHeight="1" x14ac:dyDescent="0.2">
      <c r="B17" s="122">
        <v>8</v>
      </c>
      <c r="C17" s="115" t="s">
        <v>29</v>
      </c>
      <c r="D17" s="112" t="e">
        <f>VLOOKUP($B17,#REF!,3,0)</f>
        <v>#REF!</v>
      </c>
      <c r="E17" s="112" t="e">
        <f>VLOOKUP($B17,#REF!,4,0)</f>
        <v>#REF!</v>
      </c>
      <c r="F17" s="112" t="e">
        <f>VLOOKUP($B17,#REF!,5,0)</f>
        <v>#REF!</v>
      </c>
      <c r="G17" s="112" t="e">
        <f>VLOOKUP($B17,#REF!,6,0)</f>
        <v>#REF!</v>
      </c>
      <c r="H17" s="112" t="e">
        <f>VLOOKUP($B17,#REF!,7,0)</f>
        <v>#REF!</v>
      </c>
      <c r="I17" s="112" t="e">
        <f>VLOOKUP($B17,#REF!,8,0)</f>
        <v>#REF!</v>
      </c>
      <c r="J17" s="118"/>
      <c r="K17" s="112" t="s">
        <v>151</v>
      </c>
      <c r="L17" s="112">
        <v>12</v>
      </c>
      <c r="M17" s="112">
        <v>18</v>
      </c>
      <c r="N17" s="112">
        <v>15</v>
      </c>
      <c r="O17" s="112">
        <v>17</v>
      </c>
      <c r="P17" s="112">
        <v>14</v>
      </c>
      <c r="Q17" s="112">
        <v>14</v>
      </c>
      <c r="R17" s="112">
        <v>12</v>
      </c>
      <c r="S17" s="120"/>
      <c r="T17" s="117"/>
      <c r="U17" s="117"/>
      <c r="V17" s="117"/>
      <c r="W17" s="117"/>
      <c r="X17" s="117"/>
      <c r="AJ17" s="123"/>
      <c r="AK17" s="123"/>
      <c r="AL17" s="123"/>
    </row>
    <row r="18" spans="2:38" ht="35.1" customHeight="1" x14ac:dyDescent="0.2">
      <c r="B18" s="122">
        <v>9</v>
      </c>
      <c r="C18" s="115" t="s">
        <v>28</v>
      </c>
      <c r="D18" s="112" t="e">
        <f>VLOOKUP($B18,#REF!,3,0)</f>
        <v>#REF!</v>
      </c>
      <c r="E18" s="112" t="e">
        <f>VLOOKUP($B18,#REF!,4,0)</f>
        <v>#REF!</v>
      </c>
      <c r="F18" s="112" t="e">
        <f>VLOOKUP($B18,#REF!,5,0)</f>
        <v>#REF!</v>
      </c>
      <c r="G18" s="112" t="e">
        <f>VLOOKUP($B18,#REF!,6,0)</f>
        <v>#REF!</v>
      </c>
      <c r="H18" s="112" t="e">
        <f>VLOOKUP($B18,#REF!,7,0)</f>
        <v>#REF!</v>
      </c>
      <c r="I18" s="112" t="e">
        <f>VLOOKUP($B18,#REF!,8,0)</f>
        <v>#REF!</v>
      </c>
      <c r="J18" s="118">
        <v>903</v>
      </c>
      <c r="K18" s="112" t="s">
        <v>151</v>
      </c>
      <c r="L18" s="112">
        <v>16</v>
      </c>
      <c r="M18" s="112">
        <v>14</v>
      </c>
      <c r="N18" s="112">
        <v>17</v>
      </c>
      <c r="O18" s="112">
        <v>20</v>
      </c>
      <c r="P18" s="112">
        <v>17</v>
      </c>
      <c r="Q18" s="112">
        <v>14</v>
      </c>
      <c r="R18" s="112">
        <v>16</v>
      </c>
      <c r="S18" s="120"/>
      <c r="T18" s="117"/>
      <c r="U18" s="117"/>
      <c r="V18" s="117"/>
      <c r="W18" s="117"/>
      <c r="X18" s="117"/>
      <c r="AJ18" s="121"/>
      <c r="AK18" s="121"/>
      <c r="AL18" s="121"/>
    </row>
    <row r="19" spans="2:38" ht="35.1" customHeight="1" x14ac:dyDescent="0.2">
      <c r="B19" s="116">
        <v>10</v>
      </c>
      <c r="C19" s="115" t="s">
        <v>29</v>
      </c>
      <c r="D19" s="112" t="e">
        <f>VLOOKUP($B19,#REF!,3,0)</f>
        <v>#REF!</v>
      </c>
      <c r="E19" s="112" t="e">
        <f>VLOOKUP($B19,#REF!,4,0)</f>
        <v>#REF!</v>
      </c>
      <c r="F19" s="112" t="e">
        <f>VLOOKUP($B19,#REF!,5,0)</f>
        <v>#REF!</v>
      </c>
      <c r="G19" s="112" t="e">
        <f>VLOOKUP($B19,#REF!,6,0)</f>
        <v>#REF!</v>
      </c>
      <c r="H19" s="112" t="e">
        <f>VLOOKUP($B19,#REF!,7,0)</f>
        <v>#REF!</v>
      </c>
      <c r="I19" s="112" t="e">
        <f>VLOOKUP($B19,#REF!,8,0)</f>
        <v>#REF!</v>
      </c>
      <c r="J19" s="118"/>
      <c r="K19" s="112" t="s">
        <v>151</v>
      </c>
      <c r="L19" s="112">
        <v>12</v>
      </c>
      <c r="M19" s="112">
        <v>14</v>
      </c>
      <c r="N19" s="112">
        <v>17</v>
      </c>
      <c r="O19" s="112">
        <v>12</v>
      </c>
      <c r="P19" s="112">
        <v>18</v>
      </c>
      <c r="Q19" s="112">
        <v>15</v>
      </c>
      <c r="R19" s="112">
        <v>11</v>
      </c>
      <c r="S19" s="120"/>
      <c r="T19" s="117"/>
      <c r="U19" s="117"/>
      <c r="V19" s="117"/>
      <c r="W19" s="117"/>
      <c r="X19" s="117"/>
    </row>
    <row r="20" spans="2:38" ht="35.1" customHeight="1" x14ac:dyDescent="0.2">
      <c r="B20" s="116">
        <v>11</v>
      </c>
      <c r="C20" s="115" t="s">
        <v>28</v>
      </c>
      <c r="D20" s="112" t="e">
        <f>VLOOKUP($B20,#REF!,3,0)</f>
        <v>#REF!</v>
      </c>
      <c r="E20" s="112" t="e">
        <f>VLOOKUP($B20,#REF!,4,0)</f>
        <v>#REF!</v>
      </c>
      <c r="F20" s="112" t="e">
        <f>VLOOKUP($B20,#REF!,5,0)</f>
        <v>#REF!</v>
      </c>
      <c r="G20" s="112" t="e">
        <f>VLOOKUP($B20,#REF!,6,0)</f>
        <v>#REF!</v>
      </c>
      <c r="H20" s="112" t="e">
        <f>VLOOKUP($B20,#REF!,7,0)</f>
        <v>#REF!</v>
      </c>
      <c r="I20" s="112" t="e">
        <f>VLOOKUP($B20,#REF!,8,0)</f>
        <v>#REF!</v>
      </c>
      <c r="J20" s="118"/>
      <c r="K20" s="112" t="s">
        <v>151</v>
      </c>
      <c r="L20" s="113">
        <v>20</v>
      </c>
      <c r="M20" s="112">
        <v>17</v>
      </c>
      <c r="N20" s="112">
        <v>15</v>
      </c>
      <c r="O20" s="113">
        <v>15</v>
      </c>
      <c r="P20" s="112">
        <v>16</v>
      </c>
      <c r="Q20" s="112">
        <v>16</v>
      </c>
      <c r="R20" s="112">
        <v>18</v>
      </c>
      <c r="S20" s="120"/>
      <c r="T20" s="117"/>
      <c r="U20" s="117"/>
      <c r="V20" s="117"/>
      <c r="W20" s="117"/>
      <c r="X20" s="117"/>
    </row>
    <row r="21" spans="2:38" ht="35.1" customHeight="1" x14ac:dyDescent="0.2">
      <c r="B21" s="116">
        <v>12</v>
      </c>
      <c r="C21" s="115" t="s">
        <v>29</v>
      </c>
      <c r="D21" s="112" t="e">
        <f>VLOOKUP($B21,#REF!,3,0)</f>
        <v>#REF!</v>
      </c>
      <c r="E21" s="112" t="e">
        <f>VLOOKUP($B21,#REF!,4,0)</f>
        <v>#REF!</v>
      </c>
      <c r="F21" s="112" t="e">
        <f>VLOOKUP($B21,#REF!,5,0)</f>
        <v>#REF!</v>
      </c>
      <c r="G21" s="112" t="e">
        <f>VLOOKUP($B21,#REF!,6,0)</f>
        <v>#REF!</v>
      </c>
      <c r="H21" s="112" t="e">
        <f>VLOOKUP($B21,#REF!,7,0)</f>
        <v>#REF!</v>
      </c>
      <c r="I21" s="112" t="e">
        <f>VLOOKUP($B21,#REF!,8,0)</f>
        <v>#REF!</v>
      </c>
      <c r="J21" s="118"/>
      <c r="K21" s="112" t="s">
        <v>151</v>
      </c>
      <c r="L21" s="112">
        <v>15</v>
      </c>
      <c r="M21" s="112">
        <v>17</v>
      </c>
      <c r="N21" s="112">
        <v>11</v>
      </c>
      <c r="O21" s="112">
        <v>10</v>
      </c>
      <c r="P21" s="112">
        <v>13</v>
      </c>
      <c r="Q21" s="112">
        <v>15</v>
      </c>
      <c r="R21" s="112">
        <v>16</v>
      </c>
      <c r="S21" s="120"/>
      <c r="T21" s="117"/>
      <c r="U21" s="117"/>
      <c r="V21" s="117"/>
      <c r="W21" s="117"/>
      <c r="X21" s="117"/>
    </row>
    <row r="22" spans="2:38" ht="35.1" customHeight="1" x14ac:dyDescent="0.2">
      <c r="B22" s="116">
        <v>13</v>
      </c>
      <c r="C22" s="115" t="s">
        <v>28</v>
      </c>
      <c r="D22" s="112" t="e">
        <f>VLOOKUP($B22,#REF!,3,0)</f>
        <v>#REF!</v>
      </c>
      <c r="E22" s="112" t="e">
        <f>VLOOKUP($B22,#REF!,4,0)</f>
        <v>#REF!</v>
      </c>
      <c r="F22" s="112" t="e">
        <f>VLOOKUP($B22,#REF!,5,0)</f>
        <v>#REF!</v>
      </c>
      <c r="G22" s="112" t="e">
        <f>VLOOKUP($B22,#REF!,6,0)</f>
        <v>#REF!</v>
      </c>
      <c r="H22" s="112" t="e">
        <f>VLOOKUP($B22,#REF!,7,0)</f>
        <v>#REF!</v>
      </c>
      <c r="I22" s="112" t="e">
        <f>VLOOKUP($B22,#REF!,8,0)</f>
        <v>#REF!</v>
      </c>
      <c r="J22" s="118"/>
      <c r="K22" s="112" t="s">
        <v>151</v>
      </c>
      <c r="L22" s="112">
        <v>10</v>
      </c>
      <c r="M22" s="112">
        <v>13</v>
      </c>
      <c r="N22" s="112">
        <v>17</v>
      </c>
      <c r="O22" s="112">
        <v>13</v>
      </c>
      <c r="P22" s="112">
        <v>17</v>
      </c>
      <c r="Q22" s="112">
        <v>12</v>
      </c>
      <c r="R22" s="112">
        <v>13</v>
      </c>
      <c r="S22" s="119"/>
      <c r="T22" s="117"/>
      <c r="U22" s="117"/>
      <c r="V22" s="117"/>
      <c r="W22" s="117"/>
      <c r="X22" s="117"/>
    </row>
    <row r="23" spans="2:38" ht="35.1" customHeight="1" x14ac:dyDescent="0.2">
      <c r="B23" s="116">
        <v>14</v>
      </c>
      <c r="C23" s="115" t="s">
        <v>29</v>
      </c>
      <c r="D23" s="112" t="e">
        <f>VLOOKUP($B23,#REF!,3,0)</f>
        <v>#REF!</v>
      </c>
      <c r="E23" s="112" t="e">
        <f>VLOOKUP($B23,#REF!,4,0)</f>
        <v>#REF!</v>
      </c>
      <c r="F23" s="112" t="e">
        <f>VLOOKUP($B23,#REF!,5,0)</f>
        <v>#REF!</v>
      </c>
      <c r="G23" s="112" t="e">
        <f>VLOOKUP($B23,#REF!,6,0)</f>
        <v>#REF!</v>
      </c>
      <c r="H23" s="112" t="e">
        <f>VLOOKUP($B23,#REF!,7,0)</f>
        <v>#REF!</v>
      </c>
      <c r="I23" s="112" t="e">
        <f>VLOOKUP($B23,#REF!,8,0)</f>
        <v>#REF!</v>
      </c>
      <c r="J23" s="118"/>
      <c r="K23" s="112" t="s">
        <v>151</v>
      </c>
      <c r="L23" s="112">
        <v>15</v>
      </c>
      <c r="M23" s="112">
        <v>14</v>
      </c>
      <c r="N23" s="112">
        <v>12</v>
      </c>
      <c r="O23" s="112">
        <v>9</v>
      </c>
      <c r="P23" s="112">
        <v>12</v>
      </c>
      <c r="Q23" s="112">
        <v>13</v>
      </c>
      <c r="R23" s="112">
        <v>15</v>
      </c>
      <c r="T23" s="117"/>
      <c r="U23" s="117"/>
      <c r="V23" s="117"/>
      <c r="W23" s="117"/>
      <c r="X23" s="117"/>
    </row>
    <row r="24" spans="2:38" ht="35.1" customHeight="1" x14ac:dyDescent="0.2">
      <c r="B24" s="116">
        <v>15</v>
      </c>
      <c r="C24" s="115" t="s">
        <v>28</v>
      </c>
      <c r="D24" s="112" t="e">
        <f>VLOOKUP($B24,#REF!,3,0)</f>
        <v>#REF!</v>
      </c>
      <c r="E24" s="112" t="e">
        <f>VLOOKUP($B24,#REF!,4,0)</f>
        <v>#REF!</v>
      </c>
      <c r="F24" s="112" t="e">
        <f>VLOOKUP($B24,#REF!,5,0)</f>
        <v>#REF!</v>
      </c>
      <c r="G24" s="112" t="e">
        <f>VLOOKUP($B24,#REF!,6,0)</f>
        <v>#REF!</v>
      </c>
      <c r="H24" s="112" t="e">
        <f>VLOOKUP($B24,#REF!,7,0)</f>
        <v>#REF!</v>
      </c>
      <c r="I24" s="112" t="e">
        <f>VLOOKUP($B24,#REF!,8,0)</f>
        <v>#REF!</v>
      </c>
      <c r="J24" s="118"/>
      <c r="K24" s="112" t="s">
        <v>151</v>
      </c>
      <c r="L24" s="113">
        <v>21</v>
      </c>
      <c r="M24" s="112">
        <v>20</v>
      </c>
      <c r="N24" s="112">
        <v>20</v>
      </c>
      <c r="O24" s="113">
        <v>11</v>
      </c>
      <c r="P24" s="112">
        <v>19</v>
      </c>
      <c r="Q24" s="112">
        <v>14</v>
      </c>
      <c r="R24" s="112">
        <v>16</v>
      </c>
      <c r="S24" s="201" t="s">
        <v>153</v>
      </c>
      <c r="T24" s="117"/>
      <c r="U24" s="117"/>
      <c r="V24" s="117"/>
      <c r="W24" s="117"/>
      <c r="X24" s="117"/>
    </row>
    <row r="25" spans="2:38" ht="35.1" customHeight="1" x14ac:dyDescent="0.2">
      <c r="B25" s="116">
        <v>16</v>
      </c>
      <c r="C25" s="115" t="s">
        <v>29</v>
      </c>
      <c r="D25" s="112" t="e">
        <f>VLOOKUP($B25,#REF!,3,0)</f>
        <v>#REF!</v>
      </c>
      <c r="E25" s="112" t="e">
        <f>VLOOKUP($B25,#REF!,4,0)</f>
        <v>#REF!</v>
      </c>
      <c r="F25" s="112" t="e">
        <f>VLOOKUP($B25,#REF!,5,0)</f>
        <v>#REF!</v>
      </c>
      <c r="G25" s="112" t="e">
        <f>VLOOKUP($B25,#REF!,6,0)</f>
        <v>#REF!</v>
      </c>
      <c r="H25" s="112" t="e">
        <f>VLOOKUP($B25,#REF!,7,0)</f>
        <v>#REF!</v>
      </c>
      <c r="I25" s="112" t="e">
        <f>VLOOKUP($B25,#REF!,8,0)</f>
        <v>#REF!</v>
      </c>
      <c r="J25" s="118"/>
      <c r="K25" s="112" t="s">
        <v>151</v>
      </c>
      <c r="L25" s="113">
        <v>19</v>
      </c>
      <c r="M25" s="113">
        <v>22</v>
      </c>
      <c r="N25" s="112">
        <v>23</v>
      </c>
      <c r="O25" s="113">
        <v>11</v>
      </c>
      <c r="P25" s="113">
        <v>15</v>
      </c>
      <c r="Q25" s="112">
        <v>17</v>
      </c>
      <c r="R25" s="112">
        <v>18</v>
      </c>
      <c r="S25" s="202"/>
      <c r="T25" s="117"/>
      <c r="U25" s="117"/>
      <c r="V25" s="117"/>
      <c r="W25" s="117"/>
      <c r="X25" s="117"/>
    </row>
    <row r="26" spans="2:38" ht="34.5" customHeight="1" x14ac:dyDescent="0.2">
      <c r="B26" s="116">
        <v>17</v>
      </c>
      <c r="C26" s="115" t="s">
        <v>28</v>
      </c>
      <c r="D26" s="112" t="e">
        <f>VLOOKUP($B26,#REF!,3,0)</f>
        <v>#REF!</v>
      </c>
      <c r="E26" s="112" t="e">
        <f>VLOOKUP($B26,#REF!,4,0)</f>
        <v>#REF!</v>
      </c>
      <c r="F26" s="112" t="e">
        <f>VLOOKUP($B26,#REF!,5,0)</f>
        <v>#REF!</v>
      </c>
      <c r="G26" s="112" t="e">
        <f>VLOOKUP($B26,#REF!,6,0)</f>
        <v>#REF!</v>
      </c>
      <c r="H26" s="112" t="e">
        <f>VLOOKUP($B26,#REF!,7,0)</f>
        <v>#REF!</v>
      </c>
      <c r="I26" s="112" t="e">
        <f>VLOOKUP($B26,#REF!,8,0)</f>
        <v>#REF!</v>
      </c>
      <c r="J26" s="114" t="s">
        <v>152</v>
      </c>
      <c r="K26" s="112" t="s">
        <v>151</v>
      </c>
      <c r="L26" s="113">
        <v>17</v>
      </c>
      <c r="M26" s="113">
        <v>21</v>
      </c>
      <c r="N26" s="112">
        <v>15</v>
      </c>
      <c r="O26" s="113">
        <v>20</v>
      </c>
      <c r="P26" s="113">
        <v>17</v>
      </c>
      <c r="Q26" s="112">
        <v>15</v>
      </c>
      <c r="R26" s="112">
        <v>20</v>
      </c>
      <c r="S26" s="203"/>
    </row>
    <row r="31" spans="2:38" x14ac:dyDescent="0.2">
      <c r="L31" s="111">
        <f t="shared" ref="L31:R31" si="0">AVERAGE(L10:L26)</f>
        <v>16.470588235294116</v>
      </c>
      <c r="M31" s="111">
        <f t="shared" si="0"/>
        <v>16.176470588235293</v>
      </c>
      <c r="N31" s="111">
        <f t="shared" si="0"/>
        <v>15.705882352941176</v>
      </c>
      <c r="O31" s="111">
        <f t="shared" si="0"/>
        <v>14.176470588235293</v>
      </c>
      <c r="P31" s="111">
        <f t="shared" si="0"/>
        <v>15.411764705882353</v>
      </c>
      <c r="Q31" s="111">
        <f t="shared" si="0"/>
        <v>15</v>
      </c>
      <c r="R31" s="111">
        <f t="shared" si="0"/>
        <v>15.588235294117647</v>
      </c>
    </row>
    <row r="34" spans="2:18" x14ac:dyDescent="0.2">
      <c r="N34" s="111">
        <f>AVERAGE(L10:R26)/(1*1.016)</f>
        <v>15.26004102428373</v>
      </c>
      <c r="O34" s="111" t="s">
        <v>109</v>
      </c>
    </row>
    <row r="37" spans="2:18" x14ac:dyDescent="0.2">
      <c r="B37" s="111">
        <v>1</v>
      </c>
      <c r="C37" s="111" t="s">
        <v>276</v>
      </c>
      <c r="L37" s="152">
        <f>L10/(1*1.016)</f>
        <v>14.763779527559056</v>
      </c>
      <c r="M37" s="152">
        <f t="shared" ref="M37:R37" si="1">M10/(1*1.016)</f>
        <v>17.716535433070867</v>
      </c>
      <c r="N37" s="152">
        <f t="shared" si="1"/>
        <v>14.763779527559056</v>
      </c>
      <c r="O37" s="152">
        <f t="shared" si="1"/>
        <v>12.795275590551181</v>
      </c>
      <c r="P37" s="152">
        <f t="shared" si="1"/>
        <v>11.811023622047244</v>
      </c>
      <c r="Q37" s="152">
        <f t="shared" si="1"/>
        <v>13.779527559055119</v>
      </c>
      <c r="R37" s="152">
        <f t="shared" si="1"/>
        <v>19.685039370078741</v>
      </c>
    </row>
    <row r="38" spans="2:18" x14ac:dyDescent="0.2">
      <c r="B38" s="111">
        <v>2</v>
      </c>
      <c r="C38" s="111" t="s">
        <v>277</v>
      </c>
      <c r="L38" s="152">
        <f t="shared" ref="L38:R38" si="2">L11/(1*1.016)</f>
        <v>23.622047244094489</v>
      </c>
      <c r="M38" s="152">
        <f t="shared" si="2"/>
        <v>11.811023622047244</v>
      </c>
      <c r="N38" s="152">
        <f t="shared" si="2"/>
        <v>12.795275590551181</v>
      </c>
      <c r="O38" s="152">
        <f t="shared" si="2"/>
        <v>14.763779527559056</v>
      </c>
      <c r="P38" s="152">
        <f t="shared" si="2"/>
        <v>15.748031496062993</v>
      </c>
      <c r="Q38" s="152">
        <f t="shared" si="2"/>
        <v>16.73228346456693</v>
      </c>
      <c r="R38" s="152">
        <f t="shared" si="2"/>
        <v>10.826771653543307</v>
      </c>
    </row>
    <row r="39" spans="2:18" x14ac:dyDescent="0.2">
      <c r="B39" s="111">
        <v>3</v>
      </c>
      <c r="C39" s="111" t="s">
        <v>276</v>
      </c>
      <c r="L39" s="152">
        <f t="shared" ref="L39:R39" si="3">L12/(1*1.016)</f>
        <v>14.763779527559056</v>
      </c>
      <c r="M39" s="152">
        <f t="shared" si="3"/>
        <v>11.811023622047244</v>
      </c>
      <c r="N39" s="152">
        <f t="shared" si="3"/>
        <v>14.763779527559056</v>
      </c>
      <c r="O39" s="152">
        <f t="shared" si="3"/>
        <v>11.811023622047244</v>
      </c>
      <c r="P39" s="152">
        <f t="shared" si="3"/>
        <v>14.763779527559056</v>
      </c>
      <c r="Q39" s="152">
        <f t="shared" si="3"/>
        <v>14.763779527559056</v>
      </c>
      <c r="R39" s="152">
        <f t="shared" si="3"/>
        <v>9.8425196850393704</v>
      </c>
    </row>
    <row r="40" spans="2:18" x14ac:dyDescent="0.2">
      <c r="B40" s="111">
        <v>4</v>
      </c>
      <c r="C40" s="111" t="s">
        <v>277</v>
      </c>
      <c r="L40" s="152">
        <f t="shared" ref="L40:R40" si="4">L13/(1*1.016)</f>
        <v>15.748031496062993</v>
      </c>
      <c r="M40" s="152">
        <f t="shared" si="4"/>
        <v>17.716535433070867</v>
      </c>
      <c r="N40" s="152">
        <f t="shared" si="4"/>
        <v>17.716535433070867</v>
      </c>
      <c r="O40" s="152">
        <f t="shared" si="4"/>
        <v>16.73228346456693</v>
      </c>
      <c r="P40" s="152">
        <f t="shared" si="4"/>
        <v>12.795275590551181</v>
      </c>
      <c r="Q40" s="152">
        <f t="shared" si="4"/>
        <v>17.716535433070867</v>
      </c>
      <c r="R40" s="152">
        <f t="shared" si="4"/>
        <v>21.653543307086615</v>
      </c>
    </row>
    <row r="41" spans="2:18" x14ac:dyDescent="0.2">
      <c r="B41" s="111">
        <v>5</v>
      </c>
      <c r="C41" s="111" t="s">
        <v>276</v>
      </c>
      <c r="L41" s="152">
        <f t="shared" ref="L41:R41" si="5">L14/(1*1.016)</f>
        <v>18.700787401574804</v>
      </c>
      <c r="M41" s="152">
        <f t="shared" si="5"/>
        <v>16.73228346456693</v>
      </c>
      <c r="N41" s="152">
        <f t="shared" si="5"/>
        <v>16.73228346456693</v>
      </c>
      <c r="O41" s="152">
        <f t="shared" si="5"/>
        <v>14.763779527559056</v>
      </c>
      <c r="P41" s="152">
        <f t="shared" si="5"/>
        <v>16.73228346456693</v>
      </c>
      <c r="Q41" s="152">
        <f t="shared" si="5"/>
        <v>13.779527559055119</v>
      </c>
      <c r="R41" s="152">
        <f t="shared" si="5"/>
        <v>17.716535433070867</v>
      </c>
    </row>
    <row r="42" spans="2:18" x14ac:dyDescent="0.2">
      <c r="B42" s="111">
        <v>6</v>
      </c>
      <c r="C42" s="111" t="s">
        <v>277</v>
      </c>
      <c r="L42" s="152">
        <f t="shared" ref="L42:R42" si="6">L15/(1*1.016)</f>
        <v>15.748031496062993</v>
      </c>
      <c r="M42" s="152">
        <f t="shared" si="6"/>
        <v>11.811023622047244</v>
      </c>
      <c r="N42" s="152">
        <f t="shared" si="6"/>
        <v>9.8425196850393704</v>
      </c>
      <c r="O42" s="152">
        <f t="shared" si="6"/>
        <v>15.748031496062993</v>
      </c>
      <c r="P42" s="152">
        <f t="shared" si="6"/>
        <v>11.811023622047244</v>
      </c>
      <c r="Q42" s="152">
        <f t="shared" si="6"/>
        <v>12.795275590551181</v>
      </c>
      <c r="R42" s="152">
        <f t="shared" si="6"/>
        <v>14.763779527559056</v>
      </c>
    </row>
    <row r="43" spans="2:18" x14ac:dyDescent="0.2">
      <c r="B43" s="111">
        <v>7</v>
      </c>
      <c r="C43" s="111" t="s">
        <v>276</v>
      </c>
      <c r="L43" s="152">
        <f t="shared" ref="L43:R43" si="7">L16/(1*1.016)</f>
        <v>17.716535433070867</v>
      </c>
      <c r="M43" s="152">
        <f t="shared" si="7"/>
        <v>15.748031496062993</v>
      </c>
      <c r="N43" s="152">
        <f t="shared" si="7"/>
        <v>16.73228346456693</v>
      </c>
      <c r="O43" s="152">
        <f t="shared" si="7"/>
        <v>14.763779527559056</v>
      </c>
      <c r="P43" s="152">
        <f t="shared" si="7"/>
        <v>18.700787401574804</v>
      </c>
      <c r="Q43" s="152">
        <f t="shared" si="7"/>
        <v>18.700787401574804</v>
      </c>
      <c r="R43" s="152">
        <f t="shared" si="7"/>
        <v>13.779527559055119</v>
      </c>
    </row>
    <row r="44" spans="2:18" x14ac:dyDescent="0.2">
      <c r="B44" s="111">
        <v>8</v>
      </c>
      <c r="C44" s="111" t="s">
        <v>277</v>
      </c>
      <c r="L44" s="152">
        <f t="shared" ref="L44:R44" si="8">L17/(1*1.016)</f>
        <v>11.811023622047244</v>
      </c>
      <c r="M44" s="152">
        <f t="shared" si="8"/>
        <v>17.716535433070867</v>
      </c>
      <c r="N44" s="152">
        <f t="shared" si="8"/>
        <v>14.763779527559056</v>
      </c>
      <c r="O44" s="152">
        <f t="shared" si="8"/>
        <v>16.73228346456693</v>
      </c>
      <c r="P44" s="152">
        <f t="shared" si="8"/>
        <v>13.779527559055119</v>
      </c>
      <c r="Q44" s="152">
        <f t="shared" si="8"/>
        <v>13.779527559055119</v>
      </c>
      <c r="R44" s="152">
        <f t="shared" si="8"/>
        <v>11.811023622047244</v>
      </c>
    </row>
    <row r="45" spans="2:18" x14ac:dyDescent="0.2">
      <c r="B45" s="111">
        <v>9</v>
      </c>
      <c r="C45" s="111" t="s">
        <v>276</v>
      </c>
      <c r="L45" s="152">
        <f t="shared" ref="L45:R45" si="9">L18/(1*1.016)</f>
        <v>15.748031496062993</v>
      </c>
      <c r="M45" s="152">
        <f t="shared" si="9"/>
        <v>13.779527559055119</v>
      </c>
      <c r="N45" s="152">
        <f t="shared" si="9"/>
        <v>16.73228346456693</v>
      </c>
      <c r="O45" s="152">
        <f t="shared" si="9"/>
        <v>19.685039370078741</v>
      </c>
      <c r="P45" s="152">
        <f t="shared" si="9"/>
        <v>16.73228346456693</v>
      </c>
      <c r="Q45" s="152">
        <f t="shared" si="9"/>
        <v>13.779527559055119</v>
      </c>
      <c r="R45" s="152">
        <f t="shared" si="9"/>
        <v>15.748031496062993</v>
      </c>
    </row>
    <row r="46" spans="2:18" x14ac:dyDescent="0.2">
      <c r="B46" s="111">
        <v>10</v>
      </c>
      <c r="C46" s="111" t="s">
        <v>277</v>
      </c>
      <c r="L46" s="152">
        <f t="shared" ref="L46:R46" si="10">L19/(1*1.016)</f>
        <v>11.811023622047244</v>
      </c>
      <c r="M46" s="152">
        <f t="shared" si="10"/>
        <v>13.779527559055119</v>
      </c>
      <c r="N46" s="152">
        <f t="shared" si="10"/>
        <v>16.73228346456693</v>
      </c>
      <c r="O46" s="152">
        <f t="shared" si="10"/>
        <v>11.811023622047244</v>
      </c>
      <c r="P46" s="152">
        <f t="shared" si="10"/>
        <v>17.716535433070867</v>
      </c>
      <c r="Q46" s="152">
        <f t="shared" si="10"/>
        <v>14.763779527559056</v>
      </c>
      <c r="R46" s="152">
        <f t="shared" si="10"/>
        <v>10.826771653543307</v>
      </c>
    </row>
    <row r="47" spans="2:18" x14ac:dyDescent="0.2">
      <c r="B47" s="111">
        <v>11</v>
      </c>
      <c r="C47" s="111" t="s">
        <v>276</v>
      </c>
      <c r="L47" s="152">
        <f t="shared" ref="L47:R47" si="11">L20/(1*1.016)</f>
        <v>19.685039370078741</v>
      </c>
      <c r="M47" s="152">
        <f t="shared" si="11"/>
        <v>16.73228346456693</v>
      </c>
      <c r="N47" s="152">
        <f t="shared" si="11"/>
        <v>14.763779527559056</v>
      </c>
      <c r="O47" s="152">
        <f t="shared" si="11"/>
        <v>14.763779527559056</v>
      </c>
      <c r="P47" s="152">
        <f t="shared" si="11"/>
        <v>15.748031496062993</v>
      </c>
      <c r="Q47" s="152">
        <f t="shared" si="11"/>
        <v>15.748031496062993</v>
      </c>
      <c r="R47" s="152">
        <f t="shared" si="11"/>
        <v>17.716535433070867</v>
      </c>
    </row>
    <row r="48" spans="2:18" x14ac:dyDescent="0.2">
      <c r="B48" s="111">
        <v>12</v>
      </c>
      <c r="C48" s="111" t="s">
        <v>277</v>
      </c>
      <c r="L48" s="152">
        <f t="shared" ref="L48:R48" si="12">L21/(1*1.016)</f>
        <v>14.763779527559056</v>
      </c>
      <c r="M48" s="152">
        <f t="shared" si="12"/>
        <v>16.73228346456693</v>
      </c>
      <c r="N48" s="152">
        <f t="shared" si="12"/>
        <v>10.826771653543307</v>
      </c>
      <c r="O48" s="152">
        <f t="shared" si="12"/>
        <v>9.8425196850393704</v>
      </c>
      <c r="P48" s="152">
        <f t="shared" si="12"/>
        <v>12.795275590551181</v>
      </c>
      <c r="Q48" s="152">
        <f t="shared" si="12"/>
        <v>14.763779527559056</v>
      </c>
      <c r="R48" s="152">
        <f t="shared" si="12"/>
        <v>15.748031496062993</v>
      </c>
    </row>
    <row r="49" spans="2:18" x14ac:dyDescent="0.2">
      <c r="B49" s="111">
        <v>13</v>
      </c>
      <c r="C49" s="111" t="s">
        <v>276</v>
      </c>
      <c r="L49" s="152">
        <f t="shared" ref="L49:R49" si="13">L22/(1*1.016)</f>
        <v>9.8425196850393704</v>
      </c>
      <c r="M49" s="152">
        <f t="shared" si="13"/>
        <v>12.795275590551181</v>
      </c>
      <c r="N49" s="152">
        <f t="shared" si="13"/>
        <v>16.73228346456693</v>
      </c>
      <c r="O49" s="152">
        <f t="shared" si="13"/>
        <v>12.795275590551181</v>
      </c>
      <c r="P49" s="152">
        <f t="shared" si="13"/>
        <v>16.73228346456693</v>
      </c>
      <c r="Q49" s="152">
        <f t="shared" si="13"/>
        <v>11.811023622047244</v>
      </c>
      <c r="R49" s="152">
        <f t="shared" si="13"/>
        <v>12.795275590551181</v>
      </c>
    </row>
    <row r="50" spans="2:18" x14ac:dyDescent="0.2">
      <c r="B50" s="111">
        <v>14</v>
      </c>
      <c r="C50" s="111" t="s">
        <v>277</v>
      </c>
      <c r="L50" s="152">
        <f t="shared" ref="L50:R50" si="14">L23/(1*1.016)</f>
        <v>14.763779527559056</v>
      </c>
      <c r="M50" s="152">
        <f t="shared" si="14"/>
        <v>13.779527559055119</v>
      </c>
      <c r="N50" s="152">
        <f t="shared" si="14"/>
        <v>11.811023622047244</v>
      </c>
      <c r="O50" s="152">
        <f t="shared" si="14"/>
        <v>8.8582677165354333</v>
      </c>
      <c r="P50" s="152">
        <f t="shared" si="14"/>
        <v>11.811023622047244</v>
      </c>
      <c r="Q50" s="152">
        <f t="shared" si="14"/>
        <v>12.795275590551181</v>
      </c>
      <c r="R50" s="152">
        <f t="shared" si="14"/>
        <v>14.763779527559056</v>
      </c>
    </row>
    <row r="51" spans="2:18" x14ac:dyDescent="0.2">
      <c r="B51" s="111">
        <v>15</v>
      </c>
      <c r="C51" s="111" t="s">
        <v>276</v>
      </c>
      <c r="L51" s="152">
        <f t="shared" ref="L51:R51" si="15">L24/(1*1.016)</f>
        <v>20.669291338582678</v>
      </c>
      <c r="M51" s="152">
        <f t="shared" si="15"/>
        <v>19.685039370078741</v>
      </c>
      <c r="N51" s="152">
        <f t="shared" si="15"/>
        <v>19.685039370078741</v>
      </c>
      <c r="O51" s="152">
        <f t="shared" si="15"/>
        <v>10.826771653543307</v>
      </c>
      <c r="P51" s="152">
        <f t="shared" si="15"/>
        <v>18.700787401574804</v>
      </c>
      <c r="Q51" s="152">
        <f t="shared" si="15"/>
        <v>13.779527559055119</v>
      </c>
      <c r="R51" s="152">
        <f t="shared" si="15"/>
        <v>15.748031496062993</v>
      </c>
    </row>
    <row r="52" spans="2:18" x14ac:dyDescent="0.2">
      <c r="B52" s="111">
        <v>16</v>
      </c>
      <c r="C52" s="111" t="s">
        <v>277</v>
      </c>
      <c r="L52" s="152">
        <f t="shared" ref="L52:R52" si="16">L25/(1*1.016)</f>
        <v>18.700787401574804</v>
      </c>
      <c r="M52" s="152">
        <f t="shared" si="16"/>
        <v>21.653543307086615</v>
      </c>
      <c r="N52" s="152">
        <f t="shared" si="16"/>
        <v>22.637795275590552</v>
      </c>
      <c r="O52" s="152">
        <f t="shared" si="16"/>
        <v>10.826771653543307</v>
      </c>
      <c r="P52" s="152">
        <f t="shared" si="16"/>
        <v>14.763779527559056</v>
      </c>
      <c r="Q52" s="152">
        <f t="shared" si="16"/>
        <v>16.73228346456693</v>
      </c>
      <c r="R52" s="152">
        <f t="shared" si="16"/>
        <v>17.716535433070867</v>
      </c>
    </row>
    <row r="53" spans="2:18" x14ac:dyDescent="0.2">
      <c r="B53" s="111">
        <v>17</v>
      </c>
      <c r="C53" s="111" t="s">
        <v>276</v>
      </c>
      <c r="L53" s="152">
        <f t="shared" ref="L53:R53" si="17">L26/(1*1.016)</f>
        <v>16.73228346456693</v>
      </c>
      <c r="M53" s="152">
        <f t="shared" si="17"/>
        <v>20.669291338582678</v>
      </c>
      <c r="N53" s="152">
        <f t="shared" si="17"/>
        <v>14.763779527559056</v>
      </c>
      <c r="O53" s="152">
        <f t="shared" si="17"/>
        <v>19.685039370078741</v>
      </c>
      <c r="P53" s="152">
        <f t="shared" si="17"/>
        <v>16.73228346456693</v>
      </c>
      <c r="Q53" s="152">
        <f t="shared" si="17"/>
        <v>14.763779527559056</v>
      </c>
      <c r="R53" s="152">
        <f t="shared" si="17"/>
        <v>19.685039370078741</v>
      </c>
    </row>
  </sheetData>
  <mergeCells count="6">
    <mergeCell ref="S24:S26"/>
    <mergeCell ref="AJ5:AL5"/>
    <mergeCell ref="L6:N6"/>
    <mergeCell ref="B8:K8"/>
    <mergeCell ref="O6:Q6"/>
    <mergeCell ref="S10:S15"/>
  </mergeCells>
  <pageMargins left="0.45" right="0" top="0.24" bottom="0.25" header="0" footer="0"/>
  <pageSetup paperSize="512" scale="75" orientation="landscape" r:id="rId1"/>
  <headerFooter alignWithMargins="0"/>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5284D1-BB98-4B00-B27C-B07F760699EF}">
  <dimension ref="A1:BT43"/>
  <sheetViews>
    <sheetView zoomScale="90" zoomScaleNormal="90" workbookViewId="0">
      <selection activeCell="B5" sqref="B5"/>
    </sheetView>
  </sheetViews>
  <sheetFormatPr defaultRowHeight="12.75" x14ac:dyDescent="0.2"/>
  <cols>
    <col min="1" max="1" width="5.42578125" style="111" customWidth="1"/>
    <col min="2" max="2" width="6.28515625" style="111" customWidth="1"/>
    <col min="3" max="3" width="12.7109375" style="111" customWidth="1"/>
    <col min="4" max="8" width="5.28515625" style="111" hidden="1" customWidth="1"/>
    <col min="9" max="9" width="7" style="111" hidden="1" customWidth="1"/>
    <col min="10" max="10" width="8.42578125" style="111" customWidth="1"/>
    <col min="11" max="14" width="12.7109375" style="111" customWidth="1"/>
    <col min="15" max="15" width="11.7109375" style="111" customWidth="1"/>
    <col min="16" max="17" width="9.140625" style="111"/>
    <col min="18" max="19" width="8.85546875" style="142" customWidth="1"/>
    <col min="20" max="20" width="9.140625" style="111"/>
    <col min="21" max="21" width="7.5703125" style="111" customWidth="1"/>
    <col min="22" max="31" width="7.7109375" style="111" customWidth="1"/>
    <col min="32" max="16384" width="9.140625" style="111"/>
  </cols>
  <sheetData>
    <row r="1" spans="1:72" ht="15" customHeight="1" x14ac:dyDescent="0.25">
      <c r="A1" s="151" t="s">
        <v>292</v>
      </c>
    </row>
    <row r="2" spans="1:72" ht="20.25" customHeight="1" thickBot="1" x14ac:dyDescent="0.3">
      <c r="A2" s="151"/>
      <c r="M2" s="127" t="s">
        <v>0</v>
      </c>
      <c r="N2" s="150">
        <v>40756</v>
      </c>
    </row>
    <row r="3" spans="1:72" ht="20.25" customHeight="1" thickBot="1" x14ac:dyDescent="0.25">
      <c r="A3" s="111" t="s">
        <v>1</v>
      </c>
      <c r="C3" s="148" t="s">
        <v>291</v>
      </c>
      <c r="D3" s="148"/>
      <c r="E3" s="148"/>
      <c r="F3" s="148"/>
      <c r="G3" s="148"/>
      <c r="H3" s="148"/>
      <c r="I3" s="148"/>
      <c r="J3" s="148"/>
      <c r="K3" s="148"/>
      <c r="L3" s="148"/>
      <c r="M3" s="127" t="s">
        <v>23</v>
      </c>
      <c r="N3" s="147">
        <v>213</v>
      </c>
    </row>
    <row r="4" spans="1:72" ht="20.25" customHeight="1" thickBot="1" x14ac:dyDescent="0.25">
      <c r="B4" s="148" t="s">
        <v>290</v>
      </c>
      <c r="C4" s="148"/>
      <c r="D4" s="146"/>
      <c r="E4" s="146"/>
      <c r="F4" s="146"/>
      <c r="G4" s="146"/>
      <c r="H4" s="146"/>
      <c r="I4" s="146"/>
      <c r="J4" s="146"/>
      <c r="K4" s="146"/>
      <c r="L4" s="146"/>
      <c r="M4" s="127" t="s">
        <v>2</v>
      </c>
      <c r="N4" s="147" t="s">
        <v>26</v>
      </c>
    </row>
    <row r="5" spans="1:72" ht="18" x14ac:dyDescent="0.2">
      <c r="B5" s="111" t="s">
        <v>289</v>
      </c>
      <c r="AD5" s="142"/>
      <c r="AE5" s="204"/>
      <c r="AF5" s="204"/>
      <c r="AG5" s="204"/>
    </row>
    <row r="6" spans="1:72" ht="18" x14ac:dyDescent="0.25">
      <c r="L6" s="205"/>
      <c r="M6" s="206"/>
      <c r="N6" s="261"/>
      <c r="AD6" s="142"/>
      <c r="AE6" s="141"/>
      <c r="AF6" s="141"/>
      <c r="AG6" s="141"/>
    </row>
    <row r="7" spans="1:72" ht="25.5" customHeight="1" thickBot="1" x14ac:dyDescent="0.25">
      <c r="B7" s="259" t="s">
        <v>159</v>
      </c>
      <c r="C7" s="260"/>
      <c r="D7" s="260" t="s">
        <v>4</v>
      </c>
      <c r="E7" s="259" t="s">
        <v>5</v>
      </c>
      <c r="F7" s="260" t="s">
        <v>6</v>
      </c>
      <c r="G7" s="259" t="s">
        <v>7</v>
      </c>
      <c r="H7" s="259" t="s">
        <v>8</v>
      </c>
      <c r="I7" s="259" t="s">
        <v>9</v>
      </c>
      <c r="J7" s="259" t="s">
        <v>14</v>
      </c>
      <c r="K7" s="138" t="s">
        <v>24</v>
      </c>
      <c r="L7" s="137" t="s">
        <v>30</v>
      </c>
      <c r="M7" s="137" t="s">
        <v>31</v>
      </c>
      <c r="N7" s="137" t="s">
        <v>32</v>
      </c>
      <c r="P7" s="258" t="s">
        <v>288</v>
      </c>
      <c r="AD7" s="135"/>
      <c r="AE7" s="123"/>
      <c r="AF7" s="123"/>
    </row>
    <row r="8" spans="1:72" ht="15.95" customHeight="1" thickTop="1" thickBot="1" x14ac:dyDescent="0.3">
      <c r="B8" s="207"/>
      <c r="C8" s="208"/>
      <c r="D8" s="208"/>
      <c r="E8" s="208"/>
      <c r="F8" s="208"/>
      <c r="G8" s="208"/>
      <c r="H8" s="208"/>
      <c r="I8" s="208"/>
      <c r="J8" s="208"/>
      <c r="K8" s="209"/>
      <c r="L8" s="134" t="s">
        <v>27</v>
      </c>
      <c r="M8" s="134"/>
      <c r="N8" s="134"/>
      <c r="R8" s="257"/>
      <c r="S8" s="256" t="s">
        <v>288</v>
      </c>
      <c r="AE8" s="121"/>
      <c r="AF8" s="121"/>
      <c r="AG8" s="121"/>
    </row>
    <row r="9" spans="1:72" ht="15.95" hidden="1" customHeight="1" x14ac:dyDescent="0.2">
      <c r="B9" s="254" t="s">
        <v>3</v>
      </c>
      <c r="C9" s="255" t="s">
        <v>10</v>
      </c>
      <c r="D9" s="255" t="s">
        <v>14</v>
      </c>
      <c r="E9" s="254" t="s">
        <v>15</v>
      </c>
      <c r="F9" s="255" t="s">
        <v>16</v>
      </c>
      <c r="G9" s="254" t="s">
        <v>17</v>
      </c>
      <c r="H9" s="254" t="s">
        <v>8</v>
      </c>
      <c r="I9" s="254" t="s">
        <v>18</v>
      </c>
      <c r="J9" s="253" t="s">
        <v>11</v>
      </c>
      <c r="K9" s="253" t="s">
        <v>19</v>
      </c>
      <c r="L9" s="252" t="s">
        <v>20</v>
      </c>
      <c r="M9" s="252" t="s">
        <v>21</v>
      </c>
      <c r="N9" s="252" t="s">
        <v>22</v>
      </c>
      <c r="R9" s="251"/>
      <c r="S9" s="250"/>
      <c r="AE9" s="121"/>
      <c r="AF9" s="121"/>
      <c r="AG9" s="121"/>
    </row>
    <row r="10" spans="1:72" ht="24.2" customHeight="1" x14ac:dyDescent="0.2">
      <c r="B10" s="237">
        <v>1</v>
      </c>
      <c r="C10" s="249" t="s">
        <v>287</v>
      </c>
      <c r="D10" s="244" t="e">
        <f>VLOOKUP($B10,#REF!,3,0)</f>
        <v>#REF!</v>
      </c>
      <c r="E10" s="244" t="e">
        <f>VLOOKUP($B10,#REF!,4,0)</f>
        <v>#REF!</v>
      </c>
      <c r="F10" s="244" t="e">
        <f>VLOOKUP($B10,#REF!,5,0)</f>
        <v>#REF!</v>
      </c>
      <c r="G10" s="244" t="e">
        <f>VLOOKUP($B10,#REF!,6,0)</f>
        <v>#REF!</v>
      </c>
      <c r="H10" s="244" t="e">
        <f>VLOOKUP($B10,#REF!,7,0)</f>
        <v>#REF!</v>
      </c>
      <c r="I10" s="244" t="e">
        <f>VLOOKUP($B10,#REF!,8,0)</f>
        <v>#REF!</v>
      </c>
      <c r="J10" s="248" t="s">
        <v>284</v>
      </c>
      <c r="K10" s="234" t="s">
        <v>281</v>
      </c>
      <c r="L10" s="233">
        <v>3</v>
      </c>
      <c r="M10" s="233">
        <v>4</v>
      </c>
      <c r="N10" s="232">
        <v>2</v>
      </c>
      <c r="O10" s="117"/>
      <c r="P10" s="213">
        <f>AVERAGE(L10:N11)</f>
        <v>3</v>
      </c>
      <c r="Q10" s="117"/>
      <c r="R10" s="243" t="s">
        <v>285</v>
      </c>
      <c r="S10" s="242">
        <f>AVERAGE(L16:N17,L22:N23,L32:N33,L36:N37)</f>
        <v>4.166666666666667</v>
      </c>
      <c r="AE10" s="121"/>
      <c r="AF10" s="121"/>
      <c r="AG10" s="128"/>
      <c r="AH10" s="127"/>
      <c r="AI10" s="127"/>
      <c r="AJ10" s="127"/>
      <c r="AK10" s="127"/>
      <c r="AL10" s="127"/>
      <c r="AM10" s="127"/>
      <c r="AN10" s="127"/>
      <c r="AO10" s="127"/>
      <c r="AP10" s="127"/>
      <c r="AQ10" s="127"/>
      <c r="AR10" s="127"/>
      <c r="AS10" s="127"/>
      <c r="AT10" s="127"/>
      <c r="AU10" s="127"/>
      <c r="AV10" s="127"/>
      <c r="AW10" s="127"/>
      <c r="AX10" s="127"/>
      <c r="AY10" s="127"/>
      <c r="AZ10" s="127"/>
      <c r="BA10" s="127"/>
      <c r="BB10" s="127"/>
      <c r="BC10" s="127"/>
      <c r="BD10" s="127"/>
      <c r="BE10" s="127"/>
      <c r="BF10" s="127"/>
      <c r="BG10" s="127"/>
      <c r="BH10" s="127"/>
      <c r="BI10" s="127"/>
      <c r="BJ10" s="127"/>
      <c r="BK10" s="127"/>
      <c r="BL10" s="127"/>
      <c r="BM10" s="127"/>
      <c r="BN10" s="127"/>
      <c r="BO10" s="127"/>
      <c r="BP10" s="127"/>
      <c r="BQ10" s="127"/>
      <c r="BR10" s="127"/>
      <c r="BS10" s="127"/>
      <c r="BT10" s="127"/>
    </row>
    <row r="11" spans="1:72" ht="24.2" customHeight="1" thickBot="1" x14ac:dyDescent="0.25">
      <c r="B11" s="221"/>
      <c r="C11" s="247"/>
      <c r="D11" s="219" t="e">
        <f>VLOOKUP($B11,#REF!,3,0)</f>
        <v>#REF!</v>
      </c>
      <c r="E11" s="219" t="e">
        <f>VLOOKUP($B11,#REF!,4,0)</f>
        <v>#REF!</v>
      </c>
      <c r="F11" s="219" t="e">
        <f>VLOOKUP($B11,#REF!,5,0)</f>
        <v>#REF!</v>
      </c>
      <c r="G11" s="219" t="e">
        <f>VLOOKUP($B11,#REF!,6,0)</f>
        <v>#REF!</v>
      </c>
      <c r="H11" s="219" t="e">
        <f>VLOOKUP($B11,#REF!,7,0)</f>
        <v>#REF!</v>
      </c>
      <c r="I11" s="219" t="e">
        <f>VLOOKUP($B11,#REF!,8,0)</f>
        <v>#REF!</v>
      </c>
      <c r="J11" s="230"/>
      <c r="K11" s="229"/>
      <c r="L11" s="228"/>
      <c r="M11" s="228"/>
      <c r="N11" s="228"/>
      <c r="O11" s="117"/>
      <c r="P11" s="213"/>
      <c r="Q11" s="117"/>
      <c r="R11" s="241"/>
      <c r="S11" s="240"/>
      <c r="AE11" s="121"/>
      <c r="AF11" s="121"/>
      <c r="AG11" s="128"/>
      <c r="AH11" s="127"/>
      <c r="AI11" s="127"/>
      <c r="AJ11" s="127"/>
      <c r="AK11" s="127"/>
      <c r="AL11" s="127"/>
      <c r="AM11" s="127"/>
      <c r="AN11" s="127"/>
      <c r="AO11" s="127"/>
      <c r="AP11" s="127"/>
      <c r="AQ11" s="127"/>
      <c r="AR11" s="127"/>
      <c r="AS11" s="127"/>
      <c r="AT11" s="127"/>
      <c r="AU11" s="127"/>
      <c r="AV11" s="127"/>
      <c r="AW11" s="127"/>
      <c r="AX11" s="127"/>
      <c r="AY11" s="127"/>
      <c r="AZ11" s="127"/>
      <c r="BA11" s="127"/>
      <c r="BB11" s="127"/>
      <c r="BC11" s="127"/>
      <c r="BD11" s="127"/>
      <c r="BE11" s="127"/>
      <c r="BF11" s="127"/>
      <c r="BG11" s="127"/>
      <c r="BH11" s="127"/>
      <c r="BI11" s="127"/>
      <c r="BJ11" s="127"/>
      <c r="BK11" s="127"/>
      <c r="BL11" s="127"/>
      <c r="BM11" s="127"/>
      <c r="BN11" s="127"/>
      <c r="BO11" s="127"/>
      <c r="BP11" s="127"/>
      <c r="BQ11" s="127"/>
      <c r="BR11" s="127"/>
      <c r="BS11" s="127"/>
      <c r="BT11" s="127"/>
    </row>
    <row r="12" spans="1:72" ht="24.2" customHeight="1" x14ac:dyDescent="0.2">
      <c r="B12" s="237">
        <v>2</v>
      </c>
      <c r="C12" s="236" t="s">
        <v>29</v>
      </c>
      <c r="D12" s="246" t="e">
        <f>VLOOKUP($B12,#REF!,3,0)</f>
        <v>#REF!</v>
      </c>
      <c r="E12" s="246" t="e">
        <f>VLOOKUP($B12,#REF!,4,0)</f>
        <v>#REF!</v>
      </c>
      <c r="F12" s="246" t="e">
        <f>VLOOKUP($B12,#REF!,5,0)</f>
        <v>#REF!</v>
      </c>
      <c r="G12" s="246" t="e">
        <f>VLOOKUP($B12,#REF!,6,0)</f>
        <v>#REF!</v>
      </c>
      <c r="H12" s="246" t="e">
        <f>VLOOKUP($B12,#REF!,7,0)</f>
        <v>#REF!</v>
      </c>
      <c r="I12" s="246" t="e">
        <f>VLOOKUP($B12,#REF!,8,0)</f>
        <v>#REF!</v>
      </c>
      <c r="J12" s="235" t="s">
        <v>283</v>
      </c>
      <c r="K12" s="234" t="s">
        <v>281</v>
      </c>
      <c r="L12" s="233">
        <v>4</v>
      </c>
      <c r="M12" s="233">
        <v>3</v>
      </c>
      <c r="N12" s="232">
        <v>3</v>
      </c>
      <c r="O12" s="117"/>
      <c r="P12" s="213">
        <f>AVERAGE(L12:N13)</f>
        <v>3.3333333333333335</v>
      </c>
      <c r="Q12" s="117"/>
      <c r="R12" s="245" t="s">
        <v>283</v>
      </c>
      <c r="S12" s="242">
        <f>AVERAGE(L12:N13,L24:N25,L28:N29,L40:N41)</f>
        <v>2.9166666666666665</v>
      </c>
      <c r="AE12" s="121"/>
      <c r="AF12" s="121"/>
      <c r="AG12" s="121"/>
      <c r="AH12" s="124"/>
      <c r="AI12" s="124"/>
      <c r="AJ12" s="124"/>
      <c r="AK12" s="124"/>
      <c r="AL12" s="124"/>
      <c r="AM12" s="124"/>
      <c r="AN12" s="124"/>
      <c r="AO12" s="124"/>
      <c r="AP12" s="124"/>
      <c r="AQ12" s="124"/>
      <c r="AR12" s="124"/>
      <c r="AS12" s="124"/>
      <c r="AT12" s="124"/>
      <c r="AU12" s="124"/>
      <c r="AV12" s="124"/>
      <c r="AW12" s="124"/>
      <c r="AX12" s="124"/>
      <c r="AY12" s="124"/>
      <c r="AZ12" s="124"/>
      <c r="BA12" s="124"/>
      <c r="BB12" s="124"/>
      <c r="BC12" s="124"/>
      <c r="BD12" s="124"/>
      <c r="BE12" s="124"/>
      <c r="BF12" s="124"/>
      <c r="BG12" s="124"/>
      <c r="BH12" s="124"/>
      <c r="BI12" s="124"/>
      <c r="BJ12" s="124"/>
      <c r="BK12" s="124"/>
      <c r="BL12" s="124"/>
      <c r="BM12" s="124"/>
      <c r="BN12" s="124"/>
      <c r="BO12" s="124"/>
      <c r="BP12" s="124"/>
      <c r="BQ12" s="124"/>
      <c r="BR12" s="124"/>
      <c r="BS12" s="124"/>
      <c r="BT12" s="124"/>
    </row>
    <row r="13" spans="1:72" ht="24.2" customHeight="1" thickBot="1" x14ac:dyDescent="0.25">
      <c r="B13" s="221"/>
      <c r="C13" s="231"/>
      <c r="D13" s="219" t="e">
        <f>VLOOKUP($B13,#REF!,3,0)</f>
        <v>#REF!</v>
      </c>
      <c r="E13" s="219" t="e">
        <f>VLOOKUP($B13,#REF!,4,0)</f>
        <v>#REF!</v>
      </c>
      <c r="F13" s="219" t="e">
        <f>VLOOKUP($B13,#REF!,5,0)</f>
        <v>#REF!</v>
      </c>
      <c r="G13" s="219" t="e">
        <f>VLOOKUP($B13,#REF!,6,0)</f>
        <v>#REF!</v>
      </c>
      <c r="H13" s="219" t="e">
        <f>VLOOKUP($B13,#REF!,7,0)</f>
        <v>#REF!</v>
      </c>
      <c r="I13" s="219" t="e">
        <f>VLOOKUP($B13,#REF!,8,0)</f>
        <v>#REF!</v>
      </c>
      <c r="J13" s="230"/>
      <c r="K13" s="229"/>
      <c r="L13" s="228"/>
      <c r="M13" s="228"/>
      <c r="N13" s="228"/>
      <c r="O13" s="117"/>
      <c r="P13" s="213"/>
      <c r="Q13" s="117"/>
      <c r="R13" s="241"/>
      <c r="S13" s="240"/>
      <c r="AE13" s="121"/>
      <c r="AF13" s="121"/>
      <c r="AG13" s="128"/>
      <c r="AH13" s="127"/>
      <c r="AI13" s="127"/>
      <c r="AJ13" s="127"/>
      <c r="AK13" s="127"/>
      <c r="AL13" s="127"/>
      <c r="AM13" s="127"/>
      <c r="AN13" s="127"/>
      <c r="AO13" s="127"/>
      <c r="AP13" s="127"/>
      <c r="AQ13" s="127"/>
      <c r="AR13" s="127"/>
      <c r="AS13" s="127"/>
      <c r="AT13" s="127"/>
      <c r="AU13" s="127"/>
      <c r="AV13" s="127"/>
      <c r="AW13" s="127"/>
      <c r="AX13" s="127"/>
      <c r="AY13" s="127"/>
      <c r="AZ13" s="127"/>
      <c r="BA13" s="127"/>
      <c r="BB13" s="127"/>
      <c r="BC13" s="127"/>
      <c r="BD13" s="127"/>
      <c r="BE13" s="127"/>
      <c r="BF13" s="127"/>
      <c r="BG13" s="127"/>
      <c r="BH13" s="127"/>
      <c r="BI13" s="127"/>
      <c r="BJ13" s="127"/>
      <c r="BK13" s="127"/>
      <c r="BL13" s="127"/>
      <c r="BM13" s="127"/>
      <c r="BN13" s="127"/>
      <c r="BO13" s="127"/>
      <c r="BP13" s="127"/>
      <c r="BQ13" s="127"/>
      <c r="BR13" s="127"/>
      <c r="BS13" s="127"/>
      <c r="BT13" s="127"/>
    </row>
    <row r="14" spans="1:72" ht="24.2" customHeight="1" x14ac:dyDescent="0.2">
      <c r="B14" s="237">
        <v>3</v>
      </c>
      <c r="C14" s="236" t="s">
        <v>28</v>
      </c>
      <c r="D14" s="244" t="e">
        <f>VLOOKUP($B14,#REF!,3,0)</f>
        <v>#REF!</v>
      </c>
      <c r="E14" s="244" t="e">
        <f>VLOOKUP($B14,#REF!,4,0)</f>
        <v>#REF!</v>
      </c>
      <c r="F14" s="244" t="e">
        <f>VLOOKUP($B14,#REF!,5,0)</f>
        <v>#REF!</v>
      </c>
      <c r="G14" s="244" t="e">
        <f>VLOOKUP($B14,#REF!,6,0)</f>
        <v>#REF!</v>
      </c>
      <c r="H14" s="244" t="e">
        <f>VLOOKUP($B14,#REF!,7,0)</f>
        <v>#REF!</v>
      </c>
      <c r="I14" s="244" t="e">
        <f>VLOOKUP($B14,#REF!,8,0)</f>
        <v>#REF!</v>
      </c>
      <c r="J14" s="235" t="s">
        <v>286</v>
      </c>
      <c r="K14" s="234" t="s">
        <v>281</v>
      </c>
      <c r="L14" s="233">
        <v>3</v>
      </c>
      <c r="M14" s="233">
        <v>3</v>
      </c>
      <c r="N14" s="232">
        <v>4</v>
      </c>
      <c r="O14" s="117"/>
      <c r="P14" s="213">
        <f>AVERAGE(L14:N15)</f>
        <v>3.3333333333333335</v>
      </c>
      <c r="Q14" s="117"/>
      <c r="R14" s="243" t="s">
        <v>286</v>
      </c>
      <c r="S14" s="242">
        <f>AVERAGE(L14:N15,L20:N21,L26:N27,L34:N35)</f>
        <v>3.0833333333333335</v>
      </c>
      <c r="AE14" s="121"/>
      <c r="AF14" s="121"/>
      <c r="AG14" s="121"/>
    </row>
    <row r="15" spans="1:72" ht="24.2" customHeight="1" thickBot="1" x14ac:dyDescent="0.25">
      <c r="B15" s="221"/>
      <c r="C15" s="231"/>
      <c r="D15" s="219" t="e">
        <f>VLOOKUP($B15,#REF!,3,0)</f>
        <v>#REF!</v>
      </c>
      <c r="E15" s="219" t="e">
        <f>VLOOKUP($B15,#REF!,4,0)</f>
        <v>#REF!</v>
      </c>
      <c r="F15" s="219" t="e">
        <f>VLOOKUP($B15,#REF!,5,0)</f>
        <v>#REF!</v>
      </c>
      <c r="G15" s="219" t="e">
        <f>VLOOKUP($B15,#REF!,6,0)</f>
        <v>#REF!</v>
      </c>
      <c r="H15" s="219" t="e">
        <f>VLOOKUP($B15,#REF!,7,0)</f>
        <v>#REF!</v>
      </c>
      <c r="I15" s="219" t="e">
        <f>VLOOKUP($B15,#REF!,8,0)</f>
        <v>#REF!</v>
      </c>
      <c r="J15" s="230"/>
      <c r="K15" s="229"/>
      <c r="L15" s="228"/>
      <c r="M15" s="228"/>
      <c r="N15" s="228"/>
      <c r="O15" s="117"/>
      <c r="P15" s="213"/>
      <c r="Q15" s="117"/>
      <c r="R15" s="241"/>
      <c r="S15" s="240"/>
      <c r="AE15" s="121"/>
      <c r="AF15" s="121"/>
      <c r="AG15" s="128"/>
      <c r="AH15" s="127"/>
      <c r="AI15" s="127"/>
      <c r="AJ15" s="127"/>
      <c r="AK15" s="127"/>
      <c r="AL15" s="127"/>
      <c r="AM15" s="127"/>
      <c r="AN15" s="127"/>
      <c r="AO15" s="127"/>
      <c r="AP15" s="127"/>
      <c r="AQ15" s="127"/>
      <c r="AR15" s="127"/>
      <c r="AS15" s="127"/>
      <c r="AT15" s="127"/>
      <c r="AU15" s="127"/>
      <c r="AV15" s="127"/>
      <c r="AW15" s="127"/>
      <c r="AX15" s="127"/>
      <c r="AY15" s="127"/>
      <c r="AZ15" s="127"/>
      <c r="BA15" s="127"/>
      <c r="BB15" s="127"/>
      <c r="BC15" s="127"/>
      <c r="BD15" s="127"/>
      <c r="BE15" s="127"/>
      <c r="BF15" s="127"/>
      <c r="BG15" s="127"/>
      <c r="BH15" s="127"/>
      <c r="BI15" s="127"/>
      <c r="BJ15" s="127"/>
      <c r="BK15" s="127"/>
      <c r="BL15" s="127"/>
      <c r="BM15" s="127"/>
      <c r="BN15" s="127"/>
      <c r="BO15" s="127"/>
      <c r="BP15" s="127"/>
      <c r="BQ15" s="127"/>
      <c r="BR15" s="127"/>
      <c r="BS15" s="127"/>
      <c r="BT15" s="127"/>
    </row>
    <row r="16" spans="1:72" ht="24.2" customHeight="1" thickBot="1" x14ac:dyDescent="0.25">
      <c r="B16" s="237">
        <v>4</v>
      </c>
      <c r="C16" s="236" t="s">
        <v>29</v>
      </c>
      <c r="D16" s="112" t="e">
        <f>VLOOKUP($B16,#REF!,3,0)</f>
        <v>#REF!</v>
      </c>
      <c r="E16" s="112" t="e">
        <f>VLOOKUP($B16,#REF!,4,0)</f>
        <v>#REF!</v>
      </c>
      <c r="F16" s="112" t="e">
        <f>VLOOKUP($B16,#REF!,5,0)</f>
        <v>#REF!</v>
      </c>
      <c r="G16" s="112" t="e">
        <f>VLOOKUP($B16,#REF!,6,0)</f>
        <v>#REF!</v>
      </c>
      <c r="H16" s="112" t="e">
        <f>VLOOKUP($B16,#REF!,7,0)</f>
        <v>#REF!</v>
      </c>
      <c r="I16" s="112" t="e">
        <f>VLOOKUP($B16,#REF!,8,0)</f>
        <v>#REF!</v>
      </c>
      <c r="J16" s="235" t="s">
        <v>285</v>
      </c>
      <c r="K16" s="234" t="s">
        <v>281</v>
      </c>
      <c r="L16" s="233">
        <v>4</v>
      </c>
      <c r="M16" s="233">
        <v>4</v>
      </c>
      <c r="N16" s="232">
        <v>3</v>
      </c>
      <c r="O16" s="117"/>
      <c r="P16" s="213">
        <f>AVERAGE(L16:N17)</f>
        <v>3.6666666666666665</v>
      </c>
      <c r="Q16" s="117"/>
      <c r="R16" s="239" t="s">
        <v>284</v>
      </c>
      <c r="S16" s="238">
        <f>AVERAGE(L10:N11,L18:N19,L30:N31,L38:N39)</f>
        <v>3.3333333333333335</v>
      </c>
    </row>
    <row r="17" spans="2:72" ht="24.2" customHeight="1" thickTop="1" thickBot="1" x14ac:dyDescent="0.25">
      <c r="B17" s="221"/>
      <c r="C17" s="231"/>
      <c r="D17" s="219" t="e">
        <f>VLOOKUP($B17,#REF!,3,0)</f>
        <v>#REF!</v>
      </c>
      <c r="E17" s="219" t="e">
        <f>VLOOKUP($B17,#REF!,4,0)</f>
        <v>#REF!</v>
      </c>
      <c r="F17" s="219" t="e">
        <f>VLOOKUP($B17,#REF!,5,0)</f>
        <v>#REF!</v>
      </c>
      <c r="G17" s="219" t="e">
        <f>VLOOKUP($B17,#REF!,6,0)</f>
        <v>#REF!</v>
      </c>
      <c r="H17" s="219" t="e">
        <f>VLOOKUP($B17,#REF!,7,0)</f>
        <v>#REF!</v>
      </c>
      <c r="I17" s="219" t="e">
        <f>VLOOKUP($B17,#REF!,8,0)</f>
        <v>#REF!</v>
      </c>
      <c r="J17" s="230"/>
      <c r="K17" s="229"/>
      <c r="L17" s="228"/>
      <c r="M17" s="228"/>
      <c r="N17" s="228"/>
      <c r="O17" s="117"/>
      <c r="P17" s="213"/>
      <c r="Q17" s="117"/>
      <c r="AE17" s="121"/>
      <c r="AF17" s="121"/>
      <c r="AG17" s="128"/>
      <c r="AH17" s="127"/>
      <c r="AI17" s="127"/>
      <c r="AJ17" s="127"/>
      <c r="AK17" s="127"/>
      <c r="AL17" s="127"/>
      <c r="AM17" s="127"/>
      <c r="AN17" s="127"/>
      <c r="AO17" s="127"/>
      <c r="AP17" s="127"/>
      <c r="AQ17" s="127"/>
      <c r="AR17" s="127"/>
      <c r="AS17" s="127"/>
      <c r="AT17" s="127"/>
      <c r="AU17" s="127"/>
      <c r="AV17" s="127"/>
      <c r="AW17" s="127"/>
      <c r="AX17" s="127"/>
      <c r="AY17" s="127"/>
      <c r="AZ17" s="127"/>
      <c r="BA17" s="127"/>
      <c r="BB17" s="127"/>
      <c r="BC17" s="127"/>
      <c r="BD17" s="127"/>
      <c r="BE17" s="127"/>
      <c r="BF17" s="127"/>
      <c r="BG17" s="127"/>
      <c r="BH17" s="127"/>
      <c r="BI17" s="127"/>
      <c r="BJ17" s="127"/>
      <c r="BK17" s="127"/>
      <c r="BL17" s="127"/>
      <c r="BM17" s="127"/>
      <c r="BN17" s="127"/>
      <c r="BO17" s="127"/>
      <c r="BP17" s="127"/>
      <c r="BQ17" s="127"/>
      <c r="BR17" s="127"/>
      <c r="BS17" s="127"/>
      <c r="BT17" s="127"/>
    </row>
    <row r="18" spans="2:72" ht="24.2" customHeight="1" x14ac:dyDescent="0.2">
      <c r="B18" s="237">
        <v>5</v>
      </c>
      <c r="C18" s="236" t="s">
        <v>28</v>
      </c>
      <c r="D18" s="112" t="e">
        <f>VLOOKUP($B18,#REF!,3,0)</f>
        <v>#REF!</v>
      </c>
      <c r="E18" s="112" t="e">
        <f>VLOOKUP($B18,#REF!,4,0)</f>
        <v>#REF!</v>
      </c>
      <c r="F18" s="112" t="e">
        <f>VLOOKUP($B18,#REF!,5,0)</f>
        <v>#REF!</v>
      </c>
      <c r="G18" s="112" t="e">
        <f>VLOOKUP($B18,#REF!,6,0)</f>
        <v>#REF!</v>
      </c>
      <c r="H18" s="112" t="e">
        <f>VLOOKUP($B18,#REF!,7,0)</f>
        <v>#REF!</v>
      </c>
      <c r="I18" s="112" t="e">
        <f>VLOOKUP($B18,#REF!,8,0)</f>
        <v>#REF!</v>
      </c>
      <c r="J18" s="235" t="s">
        <v>284</v>
      </c>
      <c r="K18" s="234" t="s">
        <v>281</v>
      </c>
      <c r="L18" s="233">
        <v>3</v>
      </c>
      <c r="M18" s="233">
        <v>3</v>
      </c>
      <c r="N18" s="232">
        <v>2</v>
      </c>
      <c r="O18" s="117"/>
      <c r="P18" s="213">
        <f>AVERAGE(L18:N19)</f>
        <v>2.6666666666666665</v>
      </c>
      <c r="Q18" s="117"/>
      <c r="AE18" s="121"/>
      <c r="AF18" s="121"/>
      <c r="AG18" s="121"/>
    </row>
    <row r="19" spans="2:72" ht="24.2" customHeight="1" thickBot="1" x14ac:dyDescent="0.25">
      <c r="B19" s="221"/>
      <c r="C19" s="231"/>
      <c r="D19" s="219" t="e">
        <f>VLOOKUP($B19,#REF!,3,0)</f>
        <v>#REF!</v>
      </c>
      <c r="E19" s="219" t="e">
        <f>VLOOKUP($B19,#REF!,4,0)</f>
        <v>#REF!</v>
      </c>
      <c r="F19" s="219" t="e">
        <f>VLOOKUP($B19,#REF!,5,0)</f>
        <v>#REF!</v>
      </c>
      <c r="G19" s="219" t="e">
        <f>VLOOKUP($B19,#REF!,6,0)</f>
        <v>#REF!</v>
      </c>
      <c r="H19" s="219" t="e">
        <f>VLOOKUP($B19,#REF!,7,0)</f>
        <v>#REF!</v>
      </c>
      <c r="I19" s="219" t="e">
        <f>VLOOKUP($B19,#REF!,8,0)</f>
        <v>#REF!</v>
      </c>
      <c r="J19" s="230"/>
      <c r="K19" s="229"/>
      <c r="L19" s="228"/>
      <c r="M19" s="228"/>
      <c r="N19" s="228"/>
      <c r="O19" s="117"/>
      <c r="P19" s="213"/>
      <c r="Q19" s="117"/>
      <c r="AE19" s="121"/>
      <c r="AF19" s="121"/>
      <c r="AG19" s="128"/>
      <c r="AH19" s="127"/>
      <c r="AI19" s="127"/>
      <c r="AJ19" s="127"/>
      <c r="AK19" s="127"/>
      <c r="AL19" s="127"/>
      <c r="AM19" s="127"/>
      <c r="AN19" s="127"/>
      <c r="AO19" s="127"/>
      <c r="AP19" s="127"/>
      <c r="AQ19" s="127"/>
      <c r="AR19" s="127"/>
      <c r="AS19" s="127"/>
      <c r="AT19" s="127"/>
      <c r="AU19" s="127"/>
      <c r="AV19" s="127"/>
      <c r="AW19" s="127"/>
      <c r="AX19" s="127"/>
      <c r="AY19" s="127"/>
      <c r="AZ19" s="127"/>
      <c r="BA19" s="127"/>
      <c r="BB19" s="127"/>
      <c r="BC19" s="127"/>
      <c r="BD19" s="127"/>
      <c r="BE19" s="127"/>
      <c r="BF19" s="127"/>
      <c r="BG19" s="127"/>
      <c r="BH19" s="127"/>
      <c r="BI19" s="127"/>
      <c r="BJ19" s="127"/>
      <c r="BK19" s="127"/>
      <c r="BL19" s="127"/>
      <c r="BM19" s="127"/>
      <c r="BN19" s="127"/>
      <c r="BO19" s="127"/>
      <c r="BP19" s="127"/>
      <c r="BQ19" s="127"/>
      <c r="BR19" s="127"/>
      <c r="BS19" s="127"/>
      <c r="BT19" s="127"/>
    </row>
    <row r="20" spans="2:72" ht="24.2" customHeight="1" x14ac:dyDescent="0.2">
      <c r="B20" s="237">
        <v>6</v>
      </c>
      <c r="C20" s="236" t="s">
        <v>29</v>
      </c>
      <c r="D20" s="112" t="e">
        <f>VLOOKUP($B20,#REF!,3,0)</f>
        <v>#REF!</v>
      </c>
      <c r="E20" s="112" t="e">
        <f>VLOOKUP($B20,#REF!,4,0)</f>
        <v>#REF!</v>
      </c>
      <c r="F20" s="112" t="e">
        <f>VLOOKUP($B20,#REF!,5,0)</f>
        <v>#REF!</v>
      </c>
      <c r="G20" s="112" t="e">
        <f>VLOOKUP($B20,#REF!,6,0)</f>
        <v>#REF!</v>
      </c>
      <c r="H20" s="112" t="e">
        <f>VLOOKUP($B20,#REF!,7,0)</f>
        <v>#REF!</v>
      </c>
      <c r="I20" s="112" t="e">
        <f>VLOOKUP($B20,#REF!,8,0)</f>
        <v>#REF!</v>
      </c>
      <c r="J20" s="235" t="s">
        <v>286</v>
      </c>
      <c r="K20" s="234" t="s">
        <v>281</v>
      </c>
      <c r="L20" s="233">
        <v>3</v>
      </c>
      <c r="M20" s="233">
        <v>3</v>
      </c>
      <c r="N20" s="232">
        <v>4</v>
      </c>
      <c r="O20" s="117"/>
      <c r="P20" s="213">
        <f>AVERAGE(L20:N21)</f>
        <v>3.3333333333333335</v>
      </c>
      <c r="Q20" s="117"/>
      <c r="AE20" s="121"/>
      <c r="AF20" s="121"/>
      <c r="AG20" s="121"/>
    </row>
    <row r="21" spans="2:72" ht="24.2" customHeight="1" thickBot="1" x14ac:dyDescent="0.25">
      <c r="B21" s="221"/>
      <c r="C21" s="231"/>
      <c r="D21" s="219" t="e">
        <f>VLOOKUP($B21,#REF!,3,0)</f>
        <v>#REF!</v>
      </c>
      <c r="E21" s="219" t="e">
        <f>VLOOKUP($B21,#REF!,4,0)</f>
        <v>#REF!</v>
      </c>
      <c r="F21" s="219" t="e">
        <f>VLOOKUP($B21,#REF!,5,0)</f>
        <v>#REF!</v>
      </c>
      <c r="G21" s="219" t="e">
        <f>VLOOKUP($B21,#REF!,6,0)</f>
        <v>#REF!</v>
      </c>
      <c r="H21" s="219" t="e">
        <f>VLOOKUP($B21,#REF!,7,0)</f>
        <v>#REF!</v>
      </c>
      <c r="I21" s="219" t="e">
        <f>VLOOKUP($B21,#REF!,8,0)</f>
        <v>#REF!</v>
      </c>
      <c r="J21" s="230"/>
      <c r="K21" s="229"/>
      <c r="L21" s="228"/>
      <c r="M21" s="228"/>
      <c r="N21" s="228"/>
      <c r="O21" s="117"/>
      <c r="P21" s="213"/>
      <c r="Q21" s="117"/>
      <c r="AE21" s="121"/>
      <c r="AF21" s="121"/>
      <c r="AG21" s="128"/>
      <c r="AH21" s="127"/>
      <c r="AI21" s="127"/>
      <c r="AJ21" s="127"/>
      <c r="AK21" s="127"/>
      <c r="AL21" s="127"/>
      <c r="AM21" s="127"/>
      <c r="AN21" s="127"/>
      <c r="AO21" s="127"/>
      <c r="AP21" s="127"/>
      <c r="AQ21" s="127"/>
      <c r="AR21" s="127"/>
      <c r="AS21" s="127"/>
      <c r="AT21" s="127"/>
      <c r="AU21" s="127"/>
      <c r="AV21" s="127"/>
      <c r="AW21" s="127"/>
      <c r="AX21" s="127"/>
      <c r="AY21" s="127"/>
      <c r="AZ21" s="127"/>
      <c r="BA21" s="127"/>
      <c r="BB21" s="127"/>
      <c r="BC21" s="127"/>
      <c r="BD21" s="127"/>
      <c r="BE21" s="127"/>
      <c r="BF21" s="127"/>
      <c r="BG21" s="127"/>
      <c r="BH21" s="127"/>
      <c r="BI21" s="127"/>
      <c r="BJ21" s="127"/>
      <c r="BK21" s="127"/>
      <c r="BL21" s="127"/>
      <c r="BM21" s="127"/>
      <c r="BN21" s="127"/>
      <c r="BO21" s="127"/>
      <c r="BP21" s="127"/>
      <c r="BQ21" s="127"/>
      <c r="BR21" s="127"/>
      <c r="BS21" s="127"/>
      <c r="BT21" s="127"/>
    </row>
    <row r="22" spans="2:72" ht="24.2" customHeight="1" x14ac:dyDescent="0.2">
      <c r="B22" s="237">
        <v>7</v>
      </c>
      <c r="C22" s="236" t="s">
        <v>28</v>
      </c>
      <c r="D22" s="112" t="e">
        <f>VLOOKUP($B22,#REF!,3,0)</f>
        <v>#REF!</v>
      </c>
      <c r="E22" s="112" t="e">
        <f>VLOOKUP($B22,#REF!,4,0)</f>
        <v>#REF!</v>
      </c>
      <c r="F22" s="112" t="e">
        <f>VLOOKUP($B22,#REF!,5,0)</f>
        <v>#REF!</v>
      </c>
      <c r="G22" s="112" t="e">
        <f>VLOOKUP($B22,#REF!,6,0)</f>
        <v>#REF!</v>
      </c>
      <c r="H22" s="112" t="e">
        <f>VLOOKUP($B22,#REF!,7,0)</f>
        <v>#REF!</v>
      </c>
      <c r="I22" s="112" t="e">
        <f>VLOOKUP($B22,#REF!,8,0)</f>
        <v>#REF!</v>
      </c>
      <c r="J22" s="235" t="s">
        <v>285</v>
      </c>
      <c r="K22" s="234" t="s">
        <v>281</v>
      </c>
      <c r="L22" s="233">
        <v>4</v>
      </c>
      <c r="M22" s="233">
        <v>4</v>
      </c>
      <c r="N22" s="232">
        <v>3</v>
      </c>
      <c r="O22" s="117"/>
      <c r="P22" s="213">
        <f>AVERAGE(L22:N23)</f>
        <v>3.6666666666666665</v>
      </c>
      <c r="Q22" s="117"/>
      <c r="AE22" s="121"/>
      <c r="AF22" s="121"/>
      <c r="AG22" s="121"/>
    </row>
    <row r="23" spans="2:72" ht="24.2" customHeight="1" thickBot="1" x14ac:dyDescent="0.25">
      <c r="B23" s="221"/>
      <c r="C23" s="231"/>
      <c r="D23" s="219" t="e">
        <f>VLOOKUP($B23,#REF!,3,0)</f>
        <v>#REF!</v>
      </c>
      <c r="E23" s="219" t="e">
        <f>VLOOKUP($B23,#REF!,4,0)</f>
        <v>#REF!</v>
      </c>
      <c r="F23" s="219" t="e">
        <f>VLOOKUP($B23,#REF!,5,0)</f>
        <v>#REF!</v>
      </c>
      <c r="G23" s="219" t="e">
        <f>VLOOKUP($B23,#REF!,6,0)</f>
        <v>#REF!</v>
      </c>
      <c r="H23" s="219" t="e">
        <f>VLOOKUP($B23,#REF!,7,0)</f>
        <v>#REF!</v>
      </c>
      <c r="I23" s="219" t="e">
        <f>VLOOKUP($B23,#REF!,8,0)</f>
        <v>#REF!</v>
      </c>
      <c r="J23" s="230"/>
      <c r="K23" s="229"/>
      <c r="L23" s="228"/>
      <c r="M23" s="228"/>
      <c r="N23" s="228"/>
      <c r="O23" s="117"/>
      <c r="P23" s="213"/>
      <c r="Q23" s="117"/>
      <c r="AE23" s="121"/>
      <c r="AF23" s="121"/>
      <c r="AG23" s="128"/>
      <c r="AH23" s="127"/>
      <c r="AI23" s="127"/>
      <c r="AJ23" s="127"/>
      <c r="AK23" s="127"/>
      <c r="AL23" s="127"/>
      <c r="AM23" s="127"/>
      <c r="AN23" s="127"/>
      <c r="AO23" s="127"/>
      <c r="AP23" s="127"/>
      <c r="AQ23" s="127"/>
      <c r="AR23" s="127"/>
      <c r="AS23" s="127"/>
      <c r="AT23" s="127"/>
      <c r="AU23" s="127"/>
      <c r="AV23" s="127"/>
      <c r="AW23" s="127"/>
      <c r="AX23" s="127"/>
      <c r="AY23" s="127"/>
      <c r="AZ23" s="127"/>
      <c r="BA23" s="127"/>
      <c r="BB23" s="127"/>
      <c r="BC23" s="127"/>
      <c r="BD23" s="127"/>
      <c r="BE23" s="127"/>
      <c r="BF23" s="127"/>
      <c r="BG23" s="127"/>
      <c r="BH23" s="127"/>
      <c r="BI23" s="127"/>
      <c r="BJ23" s="127"/>
      <c r="BK23" s="127"/>
      <c r="BL23" s="127"/>
      <c r="BM23" s="127"/>
      <c r="BN23" s="127"/>
      <c r="BO23" s="127"/>
      <c r="BP23" s="127"/>
      <c r="BQ23" s="127"/>
      <c r="BR23" s="127"/>
      <c r="BS23" s="127"/>
      <c r="BT23" s="127"/>
    </row>
    <row r="24" spans="2:72" ht="24.2" customHeight="1" x14ac:dyDescent="0.2">
      <c r="B24" s="237">
        <v>8</v>
      </c>
      <c r="C24" s="236" t="s">
        <v>29</v>
      </c>
      <c r="D24" s="112" t="e">
        <f>VLOOKUP($B24,#REF!,3,0)</f>
        <v>#REF!</v>
      </c>
      <c r="E24" s="112" t="e">
        <f>VLOOKUP($B24,#REF!,4,0)</f>
        <v>#REF!</v>
      </c>
      <c r="F24" s="112" t="e">
        <f>VLOOKUP($B24,#REF!,5,0)</f>
        <v>#REF!</v>
      </c>
      <c r="G24" s="112" t="e">
        <f>VLOOKUP($B24,#REF!,6,0)</f>
        <v>#REF!</v>
      </c>
      <c r="H24" s="112" t="e">
        <f>VLOOKUP($B24,#REF!,7,0)</f>
        <v>#REF!</v>
      </c>
      <c r="I24" s="112" t="e">
        <f>VLOOKUP($B24,#REF!,8,0)</f>
        <v>#REF!</v>
      </c>
      <c r="J24" s="235" t="s">
        <v>283</v>
      </c>
      <c r="K24" s="234" t="s">
        <v>281</v>
      </c>
      <c r="L24" s="233">
        <v>3</v>
      </c>
      <c r="M24" s="233">
        <v>2</v>
      </c>
      <c r="N24" s="232">
        <v>2</v>
      </c>
      <c r="O24" s="117"/>
      <c r="P24" s="213">
        <f>AVERAGE(L24:N25)</f>
        <v>2.3333333333333335</v>
      </c>
      <c r="Q24" s="117"/>
      <c r="AE24" s="123"/>
      <c r="AF24" s="123"/>
      <c r="AG24" s="123"/>
    </row>
    <row r="25" spans="2:72" ht="24.2" customHeight="1" thickBot="1" x14ac:dyDescent="0.25">
      <c r="B25" s="221"/>
      <c r="C25" s="231"/>
      <c r="D25" s="219" t="e">
        <f>VLOOKUP($B25,#REF!,3,0)</f>
        <v>#REF!</v>
      </c>
      <c r="E25" s="219" t="e">
        <f>VLOOKUP($B25,#REF!,4,0)</f>
        <v>#REF!</v>
      </c>
      <c r="F25" s="219" t="e">
        <f>VLOOKUP($B25,#REF!,5,0)</f>
        <v>#REF!</v>
      </c>
      <c r="G25" s="219" t="e">
        <f>VLOOKUP($B25,#REF!,6,0)</f>
        <v>#REF!</v>
      </c>
      <c r="H25" s="219" t="e">
        <f>VLOOKUP($B25,#REF!,7,0)</f>
        <v>#REF!</v>
      </c>
      <c r="I25" s="219" t="e">
        <f>VLOOKUP($B25,#REF!,8,0)</f>
        <v>#REF!</v>
      </c>
      <c r="J25" s="230"/>
      <c r="K25" s="229"/>
      <c r="L25" s="228"/>
      <c r="M25" s="228"/>
      <c r="N25" s="228"/>
      <c r="O25" s="117"/>
      <c r="P25" s="213"/>
      <c r="Q25" s="117"/>
      <c r="AE25" s="121"/>
      <c r="AF25" s="121"/>
      <c r="AG25" s="128"/>
      <c r="AH25" s="127"/>
      <c r="AI25" s="127"/>
      <c r="AJ25" s="127"/>
      <c r="AK25" s="127"/>
      <c r="AL25" s="127"/>
      <c r="AM25" s="127"/>
      <c r="AN25" s="127"/>
      <c r="AO25" s="127"/>
      <c r="AP25" s="127"/>
      <c r="AQ25" s="127"/>
      <c r="AR25" s="127"/>
      <c r="AS25" s="127"/>
      <c r="AT25" s="127"/>
      <c r="AU25" s="127"/>
      <c r="AV25" s="127"/>
      <c r="AW25" s="127"/>
      <c r="AX25" s="127"/>
      <c r="AY25" s="127"/>
      <c r="AZ25" s="127"/>
      <c r="BA25" s="127"/>
      <c r="BB25" s="127"/>
      <c r="BC25" s="127"/>
      <c r="BD25" s="127"/>
      <c r="BE25" s="127"/>
      <c r="BF25" s="127"/>
      <c r="BG25" s="127"/>
      <c r="BH25" s="127"/>
      <c r="BI25" s="127"/>
      <c r="BJ25" s="127"/>
      <c r="BK25" s="127"/>
      <c r="BL25" s="127"/>
      <c r="BM25" s="127"/>
      <c r="BN25" s="127"/>
      <c r="BO25" s="127"/>
      <c r="BP25" s="127"/>
      <c r="BQ25" s="127"/>
      <c r="BR25" s="127"/>
      <c r="BS25" s="127"/>
      <c r="BT25" s="127"/>
    </row>
    <row r="26" spans="2:72" ht="24.2" customHeight="1" x14ac:dyDescent="0.2">
      <c r="B26" s="237">
        <v>9</v>
      </c>
      <c r="C26" s="236" t="s">
        <v>28</v>
      </c>
      <c r="D26" s="112" t="e">
        <f>VLOOKUP($B26,#REF!,3,0)</f>
        <v>#REF!</v>
      </c>
      <c r="E26" s="112" t="e">
        <f>VLOOKUP($B26,#REF!,4,0)</f>
        <v>#REF!</v>
      </c>
      <c r="F26" s="112" t="e">
        <f>VLOOKUP($B26,#REF!,5,0)</f>
        <v>#REF!</v>
      </c>
      <c r="G26" s="112" t="e">
        <f>VLOOKUP($B26,#REF!,6,0)</f>
        <v>#REF!</v>
      </c>
      <c r="H26" s="112" t="e">
        <f>VLOOKUP($B26,#REF!,7,0)</f>
        <v>#REF!</v>
      </c>
      <c r="I26" s="112" t="e">
        <f>VLOOKUP($B26,#REF!,8,0)</f>
        <v>#REF!</v>
      </c>
      <c r="J26" s="235" t="s">
        <v>286</v>
      </c>
      <c r="K26" s="234" t="s">
        <v>281</v>
      </c>
      <c r="L26" s="233">
        <v>3</v>
      </c>
      <c r="M26" s="233">
        <v>3</v>
      </c>
      <c r="N26" s="232">
        <v>2</v>
      </c>
      <c r="O26" s="117"/>
      <c r="P26" s="213">
        <f>AVERAGE(L26:N27)</f>
        <v>2.6666666666666665</v>
      </c>
      <c r="Q26" s="117"/>
      <c r="AE26" s="121"/>
      <c r="AF26" s="121"/>
      <c r="AG26" s="121"/>
    </row>
    <row r="27" spans="2:72" ht="24.2" customHeight="1" thickBot="1" x14ac:dyDescent="0.25">
      <c r="B27" s="221"/>
      <c r="C27" s="231"/>
      <c r="D27" s="219" t="e">
        <f>VLOOKUP($B27,#REF!,3,0)</f>
        <v>#REF!</v>
      </c>
      <c r="E27" s="219" t="e">
        <f>VLOOKUP($B27,#REF!,4,0)</f>
        <v>#REF!</v>
      </c>
      <c r="F27" s="219" t="e">
        <f>VLOOKUP($B27,#REF!,5,0)</f>
        <v>#REF!</v>
      </c>
      <c r="G27" s="219" t="e">
        <f>VLOOKUP($B27,#REF!,6,0)</f>
        <v>#REF!</v>
      </c>
      <c r="H27" s="219" t="e">
        <f>VLOOKUP($B27,#REF!,7,0)</f>
        <v>#REF!</v>
      </c>
      <c r="I27" s="219" t="e">
        <f>VLOOKUP($B27,#REF!,8,0)</f>
        <v>#REF!</v>
      </c>
      <c r="J27" s="230"/>
      <c r="K27" s="229"/>
      <c r="L27" s="228"/>
      <c r="M27" s="228"/>
      <c r="N27" s="228"/>
      <c r="O27" s="117"/>
      <c r="P27" s="213"/>
      <c r="Q27" s="117"/>
      <c r="AE27" s="121"/>
      <c r="AF27" s="121"/>
      <c r="AG27" s="128"/>
      <c r="AH27" s="127"/>
      <c r="AI27" s="127"/>
      <c r="AJ27" s="127"/>
      <c r="AK27" s="127"/>
      <c r="AL27" s="127"/>
      <c r="AM27" s="127"/>
      <c r="AN27" s="127"/>
      <c r="AO27" s="127"/>
      <c r="AP27" s="127"/>
      <c r="AQ27" s="127"/>
      <c r="AR27" s="127"/>
      <c r="AS27" s="127"/>
      <c r="AT27" s="127"/>
      <c r="AU27" s="127"/>
      <c r="AV27" s="127"/>
      <c r="AW27" s="127"/>
      <c r="AX27" s="127"/>
      <c r="AY27" s="127"/>
      <c r="AZ27" s="127"/>
      <c r="BA27" s="127"/>
      <c r="BB27" s="127"/>
      <c r="BC27" s="127"/>
      <c r="BD27" s="127"/>
      <c r="BE27" s="127"/>
      <c r="BF27" s="127"/>
      <c r="BG27" s="127"/>
      <c r="BH27" s="127"/>
      <c r="BI27" s="127"/>
      <c r="BJ27" s="127"/>
      <c r="BK27" s="127"/>
      <c r="BL27" s="127"/>
      <c r="BM27" s="127"/>
      <c r="BN27" s="127"/>
      <c r="BO27" s="127"/>
      <c r="BP27" s="127"/>
      <c r="BQ27" s="127"/>
      <c r="BR27" s="127"/>
      <c r="BS27" s="127"/>
      <c r="BT27" s="127"/>
    </row>
    <row r="28" spans="2:72" ht="24.2" customHeight="1" x14ac:dyDescent="0.2">
      <c r="B28" s="227">
        <v>10</v>
      </c>
      <c r="C28" s="236" t="s">
        <v>29</v>
      </c>
      <c r="D28" s="112" t="e">
        <f>VLOOKUP($B28,#REF!,3,0)</f>
        <v>#REF!</v>
      </c>
      <c r="E28" s="112" t="e">
        <f>VLOOKUP($B28,#REF!,4,0)</f>
        <v>#REF!</v>
      </c>
      <c r="F28" s="112" t="e">
        <f>VLOOKUP($B28,#REF!,5,0)</f>
        <v>#REF!</v>
      </c>
      <c r="G28" s="112" t="e">
        <f>VLOOKUP($B28,#REF!,6,0)</f>
        <v>#REF!</v>
      </c>
      <c r="H28" s="112" t="e">
        <f>VLOOKUP($B28,#REF!,7,0)</f>
        <v>#REF!</v>
      </c>
      <c r="I28" s="112" t="e">
        <f>VLOOKUP($B28,#REF!,8,0)</f>
        <v>#REF!</v>
      </c>
      <c r="J28" s="235" t="s">
        <v>283</v>
      </c>
      <c r="K28" s="234" t="s">
        <v>281</v>
      </c>
      <c r="L28" s="233">
        <v>3</v>
      </c>
      <c r="M28" s="233">
        <v>3</v>
      </c>
      <c r="N28" s="232">
        <v>3</v>
      </c>
      <c r="O28" s="117"/>
      <c r="P28" s="213">
        <f>AVERAGE(L28:N29)</f>
        <v>3</v>
      </c>
      <c r="Q28" s="117"/>
    </row>
    <row r="29" spans="2:72" ht="24.2" customHeight="1" thickBot="1" x14ac:dyDescent="0.25">
      <c r="B29" s="221"/>
      <c r="C29" s="231"/>
      <c r="D29" s="219" t="e">
        <f>VLOOKUP($B29,#REF!,3,0)</f>
        <v>#REF!</v>
      </c>
      <c r="E29" s="219" t="e">
        <f>VLOOKUP($B29,#REF!,4,0)</f>
        <v>#REF!</v>
      </c>
      <c r="F29" s="219" t="e">
        <f>VLOOKUP($B29,#REF!,5,0)</f>
        <v>#REF!</v>
      </c>
      <c r="G29" s="219" t="e">
        <f>VLOOKUP($B29,#REF!,6,0)</f>
        <v>#REF!</v>
      </c>
      <c r="H29" s="219" t="e">
        <f>VLOOKUP($B29,#REF!,7,0)</f>
        <v>#REF!</v>
      </c>
      <c r="I29" s="219" t="e">
        <f>VLOOKUP($B29,#REF!,8,0)</f>
        <v>#REF!</v>
      </c>
      <c r="J29" s="230"/>
      <c r="K29" s="229"/>
      <c r="L29" s="228"/>
      <c r="M29" s="228"/>
      <c r="N29" s="228"/>
      <c r="O29" s="117"/>
      <c r="P29" s="213"/>
      <c r="Q29" s="117"/>
      <c r="AE29" s="121"/>
      <c r="AF29" s="121"/>
      <c r="AG29" s="128"/>
      <c r="AH29" s="127"/>
      <c r="AI29" s="127"/>
      <c r="AJ29" s="127"/>
      <c r="AK29" s="127"/>
      <c r="AL29" s="127"/>
      <c r="AM29" s="127"/>
      <c r="AN29" s="127"/>
      <c r="AO29" s="127"/>
      <c r="AP29" s="127"/>
      <c r="AQ29" s="127"/>
      <c r="AR29" s="127"/>
      <c r="AS29" s="127"/>
      <c r="AT29" s="127"/>
      <c r="AU29" s="127"/>
      <c r="AV29" s="127"/>
      <c r="AW29" s="127"/>
      <c r="AX29" s="127"/>
      <c r="AY29" s="127"/>
      <c r="AZ29" s="127"/>
      <c r="BA29" s="127"/>
      <c r="BB29" s="127"/>
      <c r="BC29" s="127"/>
      <c r="BD29" s="127"/>
      <c r="BE29" s="127"/>
      <c r="BF29" s="127"/>
      <c r="BG29" s="127"/>
      <c r="BH29" s="127"/>
      <c r="BI29" s="127"/>
      <c r="BJ29" s="127"/>
      <c r="BK29" s="127"/>
      <c r="BL29" s="127"/>
      <c r="BM29" s="127"/>
      <c r="BN29" s="127"/>
      <c r="BO29" s="127"/>
      <c r="BP29" s="127"/>
      <c r="BQ29" s="127"/>
      <c r="BR29" s="127"/>
      <c r="BS29" s="127"/>
      <c r="BT29" s="127"/>
    </row>
    <row r="30" spans="2:72" ht="24.2" customHeight="1" x14ac:dyDescent="0.2">
      <c r="B30" s="227">
        <v>11</v>
      </c>
      <c r="C30" s="236" t="s">
        <v>28</v>
      </c>
      <c r="D30" s="112" t="e">
        <f>VLOOKUP($B30,#REF!,3,0)</f>
        <v>#REF!</v>
      </c>
      <c r="E30" s="112" t="e">
        <f>VLOOKUP($B30,#REF!,4,0)</f>
        <v>#REF!</v>
      </c>
      <c r="F30" s="112" t="e">
        <f>VLOOKUP($B30,#REF!,5,0)</f>
        <v>#REF!</v>
      </c>
      <c r="G30" s="112" t="e">
        <f>VLOOKUP($B30,#REF!,6,0)</f>
        <v>#REF!</v>
      </c>
      <c r="H30" s="112" t="e">
        <f>VLOOKUP($B30,#REF!,7,0)</f>
        <v>#REF!</v>
      </c>
      <c r="I30" s="112" t="e">
        <f>VLOOKUP($B30,#REF!,8,0)</f>
        <v>#REF!</v>
      </c>
      <c r="J30" s="235" t="s">
        <v>284</v>
      </c>
      <c r="K30" s="234" t="s">
        <v>281</v>
      </c>
      <c r="L30" s="233">
        <v>5</v>
      </c>
      <c r="M30" s="233">
        <v>3</v>
      </c>
      <c r="N30" s="232">
        <v>4</v>
      </c>
      <c r="O30" s="117"/>
      <c r="P30" s="213">
        <f>AVERAGE(L30:N31)</f>
        <v>4</v>
      </c>
      <c r="Q30" s="117"/>
    </row>
    <row r="31" spans="2:72" ht="24.2" customHeight="1" thickBot="1" x14ac:dyDescent="0.25">
      <c r="B31" s="221"/>
      <c r="C31" s="231"/>
      <c r="D31" s="219" t="e">
        <f>VLOOKUP($B31,#REF!,3,0)</f>
        <v>#REF!</v>
      </c>
      <c r="E31" s="219" t="e">
        <f>VLOOKUP($B31,#REF!,4,0)</f>
        <v>#REF!</v>
      </c>
      <c r="F31" s="219" t="e">
        <f>VLOOKUP($B31,#REF!,5,0)</f>
        <v>#REF!</v>
      </c>
      <c r="G31" s="219" t="e">
        <f>VLOOKUP($B31,#REF!,6,0)</f>
        <v>#REF!</v>
      </c>
      <c r="H31" s="219" t="e">
        <f>VLOOKUP($B31,#REF!,7,0)</f>
        <v>#REF!</v>
      </c>
      <c r="I31" s="219" t="e">
        <f>VLOOKUP($B31,#REF!,8,0)</f>
        <v>#REF!</v>
      </c>
      <c r="J31" s="230"/>
      <c r="K31" s="229"/>
      <c r="L31" s="228"/>
      <c r="M31" s="228"/>
      <c r="N31" s="228"/>
      <c r="O31" s="117"/>
      <c r="P31" s="213"/>
      <c r="Q31" s="117"/>
      <c r="AE31" s="121"/>
      <c r="AF31" s="121"/>
      <c r="AG31" s="128"/>
      <c r="AH31" s="127"/>
      <c r="AI31" s="127"/>
      <c r="AJ31" s="127"/>
      <c r="AK31" s="127"/>
      <c r="AL31" s="127"/>
      <c r="AM31" s="127"/>
      <c r="AN31" s="127"/>
      <c r="AO31" s="127"/>
      <c r="AP31" s="127"/>
      <c r="AQ31" s="127"/>
      <c r="AR31" s="127"/>
      <c r="AS31" s="127"/>
      <c r="AT31" s="127"/>
      <c r="AU31" s="127"/>
      <c r="AV31" s="127"/>
      <c r="AW31" s="127"/>
      <c r="AX31" s="127"/>
      <c r="AY31" s="127"/>
      <c r="AZ31" s="127"/>
      <c r="BA31" s="127"/>
      <c r="BB31" s="127"/>
      <c r="BC31" s="127"/>
      <c r="BD31" s="127"/>
      <c r="BE31" s="127"/>
      <c r="BF31" s="127"/>
      <c r="BG31" s="127"/>
      <c r="BH31" s="127"/>
      <c r="BI31" s="127"/>
      <c r="BJ31" s="127"/>
      <c r="BK31" s="127"/>
      <c r="BL31" s="127"/>
      <c r="BM31" s="127"/>
      <c r="BN31" s="127"/>
      <c r="BO31" s="127"/>
      <c r="BP31" s="127"/>
      <c r="BQ31" s="127"/>
      <c r="BR31" s="127"/>
      <c r="BS31" s="127"/>
      <c r="BT31" s="127"/>
    </row>
    <row r="32" spans="2:72" ht="24.2" customHeight="1" x14ac:dyDescent="0.2">
      <c r="B32" s="227">
        <v>12</v>
      </c>
      <c r="C32" s="236" t="s">
        <v>29</v>
      </c>
      <c r="D32" s="112" t="e">
        <f>VLOOKUP($B32,#REF!,3,0)</f>
        <v>#REF!</v>
      </c>
      <c r="E32" s="112" t="e">
        <f>VLOOKUP($B32,#REF!,4,0)</f>
        <v>#REF!</v>
      </c>
      <c r="F32" s="112" t="e">
        <f>VLOOKUP($B32,#REF!,5,0)</f>
        <v>#REF!</v>
      </c>
      <c r="G32" s="112" t="e">
        <f>VLOOKUP($B32,#REF!,6,0)</f>
        <v>#REF!</v>
      </c>
      <c r="H32" s="112" t="e">
        <f>VLOOKUP($B32,#REF!,7,0)</f>
        <v>#REF!</v>
      </c>
      <c r="I32" s="112" t="e">
        <f>VLOOKUP($B32,#REF!,8,0)</f>
        <v>#REF!</v>
      </c>
      <c r="J32" s="235" t="s">
        <v>285</v>
      </c>
      <c r="K32" s="234" t="s">
        <v>281</v>
      </c>
      <c r="L32" s="233">
        <v>4</v>
      </c>
      <c r="M32" s="233">
        <v>4</v>
      </c>
      <c r="N32" s="232">
        <v>4</v>
      </c>
      <c r="O32" s="117"/>
      <c r="P32" s="213">
        <f>AVERAGE(L32:N33)</f>
        <v>4</v>
      </c>
      <c r="Q32" s="117"/>
    </row>
    <row r="33" spans="2:72" ht="24.2" customHeight="1" thickBot="1" x14ac:dyDescent="0.25">
      <c r="B33" s="221"/>
      <c r="C33" s="231"/>
      <c r="D33" s="219" t="e">
        <f>VLOOKUP($B33,#REF!,3,0)</f>
        <v>#REF!</v>
      </c>
      <c r="E33" s="219" t="e">
        <f>VLOOKUP($B33,#REF!,4,0)</f>
        <v>#REF!</v>
      </c>
      <c r="F33" s="219" t="e">
        <f>VLOOKUP($B33,#REF!,5,0)</f>
        <v>#REF!</v>
      </c>
      <c r="G33" s="219" t="e">
        <f>VLOOKUP($B33,#REF!,6,0)</f>
        <v>#REF!</v>
      </c>
      <c r="H33" s="219" t="e">
        <f>VLOOKUP($B33,#REF!,7,0)</f>
        <v>#REF!</v>
      </c>
      <c r="I33" s="219" t="e">
        <f>VLOOKUP($B33,#REF!,8,0)</f>
        <v>#REF!</v>
      </c>
      <c r="J33" s="230"/>
      <c r="K33" s="229"/>
      <c r="L33" s="228"/>
      <c r="M33" s="228"/>
      <c r="N33" s="228"/>
      <c r="O33" s="117"/>
      <c r="P33" s="213"/>
      <c r="Q33" s="117"/>
      <c r="AE33" s="121"/>
      <c r="AF33" s="121"/>
      <c r="AG33" s="128"/>
      <c r="AH33" s="127"/>
      <c r="AI33" s="127"/>
      <c r="AJ33" s="127"/>
      <c r="AK33" s="127"/>
      <c r="AL33" s="127"/>
      <c r="AM33" s="127"/>
      <c r="AN33" s="127"/>
      <c r="AO33" s="127"/>
      <c r="AP33" s="127"/>
      <c r="AQ33" s="127"/>
      <c r="AR33" s="127"/>
      <c r="AS33" s="127"/>
      <c r="AT33" s="127"/>
      <c r="AU33" s="127"/>
      <c r="AV33" s="127"/>
      <c r="AW33" s="127"/>
      <c r="AX33" s="127"/>
      <c r="AY33" s="127"/>
      <c r="AZ33" s="127"/>
      <c r="BA33" s="127"/>
      <c r="BB33" s="127"/>
      <c r="BC33" s="127"/>
      <c r="BD33" s="127"/>
      <c r="BE33" s="127"/>
      <c r="BF33" s="127"/>
      <c r="BG33" s="127"/>
      <c r="BH33" s="127"/>
      <c r="BI33" s="127"/>
      <c r="BJ33" s="127"/>
      <c r="BK33" s="127"/>
      <c r="BL33" s="127"/>
      <c r="BM33" s="127"/>
      <c r="BN33" s="127"/>
      <c r="BO33" s="127"/>
      <c r="BP33" s="127"/>
      <c r="BQ33" s="127"/>
      <c r="BR33" s="127"/>
      <c r="BS33" s="127"/>
      <c r="BT33" s="127"/>
    </row>
    <row r="34" spans="2:72" ht="24.2" customHeight="1" x14ac:dyDescent="0.2">
      <c r="B34" s="227">
        <v>13</v>
      </c>
      <c r="C34" s="236" t="s">
        <v>28</v>
      </c>
      <c r="D34" s="112" t="e">
        <f>VLOOKUP($B34,#REF!,3,0)</f>
        <v>#REF!</v>
      </c>
      <c r="E34" s="112" t="e">
        <f>VLOOKUP($B34,#REF!,4,0)</f>
        <v>#REF!</v>
      </c>
      <c r="F34" s="112" t="e">
        <f>VLOOKUP($B34,#REF!,5,0)</f>
        <v>#REF!</v>
      </c>
      <c r="G34" s="112" t="e">
        <f>VLOOKUP($B34,#REF!,6,0)</f>
        <v>#REF!</v>
      </c>
      <c r="H34" s="112" t="e">
        <f>VLOOKUP($B34,#REF!,7,0)</f>
        <v>#REF!</v>
      </c>
      <c r="I34" s="112" t="e">
        <f>VLOOKUP($B34,#REF!,8,0)</f>
        <v>#REF!</v>
      </c>
      <c r="J34" s="235" t="s">
        <v>286</v>
      </c>
      <c r="K34" s="234" t="s">
        <v>281</v>
      </c>
      <c r="L34" s="233">
        <v>4</v>
      </c>
      <c r="M34" s="233">
        <v>2</v>
      </c>
      <c r="N34" s="232">
        <v>3</v>
      </c>
      <c r="O34" s="117"/>
      <c r="P34" s="213">
        <f>AVERAGE(L34:N35)</f>
        <v>3</v>
      </c>
      <c r="Q34" s="117"/>
    </row>
    <row r="35" spans="2:72" ht="24.2" customHeight="1" thickBot="1" x14ac:dyDescent="0.25">
      <c r="B35" s="221"/>
      <c r="C35" s="231"/>
      <c r="D35" s="219" t="e">
        <f>VLOOKUP($B35,#REF!,3,0)</f>
        <v>#REF!</v>
      </c>
      <c r="E35" s="219" t="e">
        <f>VLOOKUP($B35,#REF!,4,0)</f>
        <v>#REF!</v>
      </c>
      <c r="F35" s="219" t="e">
        <f>VLOOKUP($B35,#REF!,5,0)</f>
        <v>#REF!</v>
      </c>
      <c r="G35" s="219" t="e">
        <f>VLOOKUP($B35,#REF!,6,0)</f>
        <v>#REF!</v>
      </c>
      <c r="H35" s="219" t="e">
        <f>VLOOKUP($B35,#REF!,7,0)</f>
        <v>#REF!</v>
      </c>
      <c r="I35" s="219" t="e">
        <f>VLOOKUP($B35,#REF!,8,0)</f>
        <v>#REF!</v>
      </c>
      <c r="J35" s="230"/>
      <c r="K35" s="229"/>
      <c r="L35" s="228"/>
      <c r="M35" s="228"/>
      <c r="N35" s="228"/>
      <c r="O35" s="117"/>
      <c r="P35" s="213"/>
      <c r="Q35" s="117"/>
      <c r="AE35" s="121"/>
      <c r="AF35" s="121"/>
      <c r="AG35" s="128"/>
      <c r="AH35" s="127"/>
      <c r="AI35" s="127"/>
      <c r="AJ35" s="127"/>
      <c r="AK35" s="127"/>
      <c r="AL35" s="127"/>
      <c r="AM35" s="127"/>
      <c r="AN35" s="127"/>
      <c r="AO35" s="127"/>
      <c r="AP35" s="127"/>
      <c r="AQ35" s="127"/>
      <c r="AR35" s="127"/>
      <c r="AS35" s="127"/>
      <c r="AT35" s="127"/>
      <c r="AU35" s="127"/>
      <c r="AV35" s="127"/>
      <c r="AW35" s="127"/>
      <c r="AX35" s="127"/>
      <c r="AY35" s="127"/>
      <c r="AZ35" s="127"/>
      <c r="BA35" s="127"/>
      <c r="BB35" s="127"/>
      <c r="BC35" s="127"/>
      <c r="BD35" s="127"/>
      <c r="BE35" s="127"/>
      <c r="BF35" s="127"/>
      <c r="BG35" s="127"/>
      <c r="BH35" s="127"/>
      <c r="BI35" s="127"/>
      <c r="BJ35" s="127"/>
      <c r="BK35" s="127"/>
      <c r="BL35" s="127"/>
      <c r="BM35" s="127"/>
      <c r="BN35" s="127"/>
      <c r="BO35" s="127"/>
      <c r="BP35" s="127"/>
      <c r="BQ35" s="127"/>
      <c r="BR35" s="127"/>
      <c r="BS35" s="127"/>
      <c r="BT35" s="127"/>
    </row>
    <row r="36" spans="2:72" ht="24.2" customHeight="1" x14ac:dyDescent="0.2">
      <c r="B36" s="227">
        <v>14</v>
      </c>
      <c r="C36" s="236" t="s">
        <v>29</v>
      </c>
      <c r="D36" s="112" t="e">
        <f>VLOOKUP($B36,#REF!,3,0)</f>
        <v>#REF!</v>
      </c>
      <c r="E36" s="112" t="e">
        <f>VLOOKUP($B36,#REF!,4,0)</f>
        <v>#REF!</v>
      </c>
      <c r="F36" s="112" t="e">
        <f>VLOOKUP($B36,#REF!,5,0)</f>
        <v>#REF!</v>
      </c>
      <c r="G36" s="112" t="e">
        <f>VLOOKUP($B36,#REF!,6,0)</f>
        <v>#REF!</v>
      </c>
      <c r="H36" s="112" t="e">
        <f>VLOOKUP($B36,#REF!,7,0)</f>
        <v>#REF!</v>
      </c>
      <c r="I36" s="112" t="e">
        <f>VLOOKUP($B36,#REF!,8,0)</f>
        <v>#REF!</v>
      </c>
      <c r="J36" s="235" t="s">
        <v>285</v>
      </c>
      <c r="K36" s="234" t="s">
        <v>281</v>
      </c>
      <c r="L36" s="233">
        <v>5</v>
      </c>
      <c r="M36" s="233">
        <v>5</v>
      </c>
      <c r="N36" s="232">
        <v>6</v>
      </c>
      <c r="O36" s="117"/>
      <c r="P36" s="213">
        <f>AVERAGE(L36:N37)</f>
        <v>5.333333333333333</v>
      </c>
      <c r="Q36" s="117"/>
    </row>
    <row r="37" spans="2:72" ht="24.2" customHeight="1" thickBot="1" x14ac:dyDescent="0.25">
      <c r="B37" s="221"/>
      <c r="C37" s="231"/>
      <c r="D37" s="219" t="e">
        <f>VLOOKUP($B37,#REF!,3,0)</f>
        <v>#REF!</v>
      </c>
      <c r="E37" s="219" t="e">
        <f>VLOOKUP($B37,#REF!,4,0)</f>
        <v>#REF!</v>
      </c>
      <c r="F37" s="219" t="e">
        <f>VLOOKUP($B37,#REF!,5,0)</f>
        <v>#REF!</v>
      </c>
      <c r="G37" s="219" t="e">
        <f>VLOOKUP($B37,#REF!,6,0)</f>
        <v>#REF!</v>
      </c>
      <c r="H37" s="219" t="e">
        <f>VLOOKUP($B37,#REF!,7,0)</f>
        <v>#REF!</v>
      </c>
      <c r="I37" s="219" t="e">
        <f>VLOOKUP($B37,#REF!,8,0)</f>
        <v>#REF!</v>
      </c>
      <c r="J37" s="230"/>
      <c r="K37" s="229"/>
      <c r="L37" s="228"/>
      <c r="M37" s="228"/>
      <c r="N37" s="228"/>
      <c r="O37" s="117"/>
      <c r="P37" s="213"/>
      <c r="Q37" s="117"/>
      <c r="AE37" s="121"/>
      <c r="AF37" s="121"/>
      <c r="AG37" s="128"/>
      <c r="AH37" s="127"/>
      <c r="AI37" s="127"/>
      <c r="AJ37" s="127"/>
      <c r="AK37" s="127"/>
      <c r="AL37" s="127"/>
      <c r="AM37" s="127"/>
      <c r="AN37" s="127"/>
      <c r="AO37" s="127"/>
      <c r="AP37" s="127"/>
      <c r="AQ37" s="127"/>
      <c r="AR37" s="127"/>
      <c r="AS37" s="127"/>
      <c r="AT37" s="127"/>
      <c r="AU37" s="127"/>
      <c r="AV37" s="127"/>
      <c r="AW37" s="127"/>
      <c r="AX37" s="127"/>
      <c r="AY37" s="127"/>
      <c r="AZ37" s="127"/>
      <c r="BA37" s="127"/>
      <c r="BB37" s="127"/>
      <c r="BC37" s="127"/>
      <c r="BD37" s="127"/>
      <c r="BE37" s="127"/>
      <c r="BF37" s="127"/>
      <c r="BG37" s="127"/>
      <c r="BH37" s="127"/>
      <c r="BI37" s="127"/>
      <c r="BJ37" s="127"/>
      <c r="BK37" s="127"/>
      <c r="BL37" s="127"/>
      <c r="BM37" s="127"/>
      <c r="BN37" s="127"/>
      <c r="BO37" s="127"/>
      <c r="BP37" s="127"/>
      <c r="BQ37" s="127"/>
      <c r="BR37" s="127"/>
      <c r="BS37" s="127"/>
      <c r="BT37" s="127"/>
    </row>
    <row r="38" spans="2:72" ht="24.2" customHeight="1" x14ac:dyDescent="0.2">
      <c r="B38" s="227">
        <v>15</v>
      </c>
      <c r="C38" s="226" t="s">
        <v>28</v>
      </c>
      <c r="D38" s="112" t="e">
        <f>VLOOKUP($B38,#REF!,3,0)</f>
        <v>#REF!</v>
      </c>
      <c r="E38" s="112" t="e">
        <f>VLOOKUP($B38,#REF!,4,0)</f>
        <v>#REF!</v>
      </c>
      <c r="F38" s="112" t="e">
        <f>VLOOKUP($B38,#REF!,5,0)</f>
        <v>#REF!</v>
      </c>
      <c r="G38" s="112" t="e">
        <f>VLOOKUP($B38,#REF!,6,0)</f>
        <v>#REF!</v>
      </c>
      <c r="H38" s="112" t="e">
        <f>VLOOKUP($B38,#REF!,7,0)</f>
        <v>#REF!</v>
      </c>
      <c r="I38" s="112" t="e">
        <f>VLOOKUP($B38,#REF!,8,0)</f>
        <v>#REF!</v>
      </c>
      <c r="J38" s="235" t="s">
        <v>284</v>
      </c>
      <c r="K38" s="224" t="s">
        <v>281</v>
      </c>
      <c r="L38" s="223">
        <v>4</v>
      </c>
      <c r="M38" s="223">
        <v>4</v>
      </c>
      <c r="N38" s="222">
        <v>3</v>
      </c>
      <c r="O38" s="117"/>
      <c r="P38" s="213">
        <f>AVERAGE(L38:N39)</f>
        <v>3.6666666666666665</v>
      </c>
      <c r="Q38" s="117"/>
    </row>
    <row r="39" spans="2:72" ht="24.2" customHeight="1" thickBot="1" x14ac:dyDescent="0.25">
      <c r="B39" s="221"/>
      <c r="C39" s="220"/>
      <c r="D39" s="219" t="e">
        <f>VLOOKUP($B39,#REF!,3,0)</f>
        <v>#REF!</v>
      </c>
      <c r="E39" s="219" t="e">
        <f>VLOOKUP($B39,#REF!,4,0)</f>
        <v>#REF!</v>
      </c>
      <c r="F39" s="219" t="e">
        <f>VLOOKUP($B39,#REF!,5,0)</f>
        <v>#REF!</v>
      </c>
      <c r="G39" s="219" t="e">
        <f>VLOOKUP($B39,#REF!,6,0)</f>
        <v>#REF!</v>
      </c>
      <c r="H39" s="219" t="e">
        <f>VLOOKUP($B39,#REF!,7,0)</f>
        <v>#REF!</v>
      </c>
      <c r="I39" s="219" t="e">
        <f>VLOOKUP($B39,#REF!,8,0)</f>
        <v>#REF!</v>
      </c>
      <c r="J39" s="230"/>
      <c r="K39" s="217"/>
      <c r="L39" s="216"/>
      <c r="M39" s="216"/>
      <c r="N39" s="215"/>
      <c r="O39" s="117"/>
      <c r="P39" s="213"/>
      <c r="Q39" s="117"/>
      <c r="AE39" s="121"/>
      <c r="AF39" s="121"/>
      <c r="AG39" s="128"/>
      <c r="AH39" s="127"/>
      <c r="AI39" s="127"/>
      <c r="AJ39" s="127"/>
      <c r="AK39" s="127"/>
      <c r="AL39" s="127"/>
      <c r="AM39" s="127"/>
      <c r="AN39" s="127"/>
      <c r="AO39" s="127"/>
      <c r="AP39" s="127"/>
      <c r="AQ39" s="127"/>
      <c r="AR39" s="127"/>
      <c r="AS39" s="127"/>
      <c r="AT39" s="127"/>
      <c r="AU39" s="127"/>
      <c r="AV39" s="127"/>
      <c r="AW39" s="127"/>
      <c r="AX39" s="127"/>
      <c r="AY39" s="127"/>
      <c r="AZ39" s="127"/>
      <c r="BA39" s="127"/>
      <c r="BB39" s="127"/>
      <c r="BC39" s="127"/>
      <c r="BD39" s="127"/>
      <c r="BE39" s="127"/>
      <c r="BF39" s="127"/>
      <c r="BG39" s="127"/>
      <c r="BH39" s="127"/>
      <c r="BI39" s="127"/>
      <c r="BJ39" s="127"/>
      <c r="BK39" s="127"/>
      <c r="BL39" s="127"/>
      <c r="BM39" s="127"/>
      <c r="BN39" s="127"/>
      <c r="BO39" s="127"/>
      <c r="BP39" s="127"/>
      <c r="BQ39" s="127"/>
      <c r="BR39" s="127"/>
      <c r="BS39" s="127"/>
      <c r="BT39" s="127"/>
    </row>
    <row r="40" spans="2:72" ht="24.2" customHeight="1" x14ac:dyDescent="0.2">
      <c r="B40" s="227">
        <v>16</v>
      </c>
      <c r="C40" s="236" t="s">
        <v>29</v>
      </c>
      <c r="D40" s="112" t="e">
        <f>VLOOKUP($B40,#REF!,3,0)</f>
        <v>#REF!</v>
      </c>
      <c r="E40" s="112" t="e">
        <f>VLOOKUP($B40,#REF!,4,0)</f>
        <v>#REF!</v>
      </c>
      <c r="F40" s="112" t="e">
        <f>VLOOKUP($B40,#REF!,5,0)</f>
        <v>#REF!</v>
      </c>
      <c r="G40" s="112" t="e">
        <f>VLOOKUP($B40,#REF!,6,0)</f>
        <v>#REF!</v>
      </c>
      <c r="H40" s="112" t="e">
        <f>VLOOKUP($B40,#REF!,7,0)</f>
        <v>#REF!</v>
      </c>
      <c r="I40" s="112" t="e">
        <f>VLOOKUP($B40,#REF!,8,0)</f>
        <v>#REF!</v>
      </c>
      <c r="J40" s="235" t="s">
        <v>283</v>
      </c>
      <c r="K40" s="234" t="s">
        <v>281</v>
      </c>
      <c r="L40" s="233">
        <v>3</v>
      </c>
      <c r="M40" s="233">
        <v>3</v>
      </c>
      <c r="N40" s="232">
        <v>3</v>
      </c>
      <c r="O40" s="117"/>
      <c r="P40" s="213">
        <f>AVERAGE(L40:N41)</f>
        <v>3</v>
      </c>
      <c r="Q40" s="117"/>
    </row>
    <row r="41" spans="2:72" ht="23.25" customHeight="1" thickBot="1" x14ac:dyDescent="0.25">
      <c r="B41" s="221"/>
      <c r="C41" s="231"/>
      <c r="D41" s="219" t="e">
        <f>VLOOKUP($B41,#REF!,3,0)</f>
        <v>#REF!</v>
      </c>
      <c r="E41" s="219" t="e">
        <f>VLOOKUP($B41,#REF!,4,0)</f>
        <v>#REF!</v>
      </c>
      <c r="F41" s="219" t="e">
        <f>VLOOKUP($B41,#REF!,5,0)</f>
        <v>#REF!</v>
      </c>
      <c r="G41" s="219" t="e">
        <f>VLOOKUP($B41,#REF!,6,0)</f>
        <v>#REF!</v>
      </c>
      <c r="H41" s="219" t="e">
        <f>VLOOKUP($B41,#REF!,7,0)</f>
        <v>#REF!</v>
      </c>
      <c r="I41" s="219" t="e">
        <f>VLOOKUP($B41,#REF!,8,0)</f>
        <v>#REF!</v>
      </c>
      <c r="J41" s="230"/>
      <c r="K41" s="229"/>
      <c r="L41" s="228"/>
      <c r="M41" s="228"/>
      <c r="N41" s="228"/>
      <c r="O41" s="117"/>
      <c r="P41" s="213"/>
      <c r="Q41" s="117"/>
      <c r="AE41" s="121"/>
      <c r="AF41" s="121"/>
      <c r="AG41" s="128"/>
      <c r="AH41" s="127"/>
      <c r="AI41" s="127"/>
      <c r="AJ41" s="127"/>
      <c r="AK41" s="127"/>
      <c r="AL41" s="127"/>
      <c r="AM41" s="127"/>
      <c r="AN41" s="127"/>
      <c r="AO41" s="127"/>
      <c r="AP41" s="127"/>
      <c r="AQ41" s="127"/>
      <c r="AR41" s="127"/>
      <c r="AS41" s="127"/>
      <c r="AT41" s="127"/>
      <c r="AU41" s="127"/>
      <c r="AV41" s="127"/>
      <c r="AW41" s="127"/>
      <c r="AX41" s="127"/>
      <c r="AY41" s="127"/>
      <c r="AZ41" s="127"/>
      <c r="BA41" s="127"/>
      <c r="BB41" s="127"/>
      <c r="BC41" s="127"/>
      <c r="BD41" s="127"/>
      <c r="BE41" s="127"/>
      <c r="BF41" s="127"/>
      <c r="BG41" s="127"/>
      <c r="BH41" s="127"/>
      <c r="BI41" s="127"/>
      <c r="BJ41" s="127"/>
      <c r="BK41" s="127"/>
      <c r="BL41" s="127"/>
      <c r="BM41" s="127"/>
      <c r="BN41" s="127"/>
      <c r="BO41" s="127"/>
      <c r="BP41" s="127"/>
      <c r="BQ41" s="127"/>
      <c r="BR41" s="127"/>
      <c r="BS41" s="127"/>
      <c r="BT41" s="127"/>
    </row>
    <row r="42" spans="2:72" ht="22.5" customHeight="1" x14ac:dyDescent="0.2">
      <c r="B42" s="227">
        <v>17</v>
      </c>
      <c r="C42" s="226" t="s">
        <v>28</v>
      </c>
      <c r="D42" s="112" t="e">
        <f>VLOOKUP($B42,#REF!,3,0)</f>
        <v>#REF!</v>
      </c>
      <c r="E42" s="112" t="e">
        <f>VLOOKUP($B42,#REF!,4,0)</f>
        <v>#REF!</v>
      </c>
      <c r="F42" s="112" t="e">
        <f>VLOOKUP($B42,#REF!,5,0)</f>
        <v>#REF!</v>
      </c>
      <c r="G42" s="112" t="e">
        <f>VLOOKUP($B42,#REF!,6,0)</f>
        <v>#REF!</v>
      </c>
      <c r="H42" s="112" t="e">
        <f>VLOOKUP($B42,#REF!,7,0)</f>
        <v>#REF!</v>
      </c>
      <c r="I42" s="112" t="e">
        <f>VLOOKUP($B42,#REF!,8,0)</f>
        <v>#REF!</v>
      </c>
      <c r="J42" s="225" t="s">
        <v>282</v>
      </c>
      <c r="K42" s="224" t="s">
        <v>281</v>
      </c>
      <c r="L42" s="223">
        <v>5</v>
      </c>
      <c r="M42" s="223">
        <v>5</v>
      </c>
      <c r="N42" s="222">
        <v>5</v>
      </c>
      <c r="O42" s="214" t="s">
        <v>280</v>
      </c>
      <c r="P42" s="213">
        <f>AVERAGE(L42:N43)</f>
        <v>5</v>
      </c>
    </row>
    <row r="43" spans="2:72" ht="22.5" customHeight="1" thickBot="1" x14ac:dyDescent="0.25">
      <c r="B43" s="221"/>
      <c r="C43" s="220"/>
      <c r="D43" s="219" t="e">
        <f>VLOOKUP($B43,#REF!,3,0)</f>
        <v>#REF!</v>
      </c>
      <c r="E43" s="219" t="e">
        <f>VLOOKUP($B43,#REF!,4,0)</f>
        <v>#REF!</v>
      </c>
      <c r="F43" s="219" t="e">
        <f>VLOOKUP($B43,#REF!,5,0)</f>
        <v>#REF!</v>
      </c>
      <c r="G43" s="219" t="e">
        <f>VLOOKUP($B43,#REF!,6,0)</f>
        <v>#REF!</v>
      </c>
      <c r="H43" s="219" t="e">
        <f>VLOOKUP($B43,#REF!,7,0)</f>
        <v>#REF!</v>
      </c>
      <c r="I43" s="219" t="e">
        <f>VLOOKUP($B43,#REF!,8,0)</f>
        <v>#REF!</v>
      </c>
      <c r="J43" s="218"/>
      <c r="K43" s="217"/>
      <c r="L43" s="216"/>
      <c r="M43" s="216"/>
      <c r="N43" s="215"/>
      <c r="O43" s="214"/>
      <c r="P43" s="213"/>
    </row>
  </sheetData>
  <mergeCells count="140">
    <mergeCell ref="N38:N39"/>
    <mergeCell ref="P38:P39"/>
    <mergeCell ref="B40:B41"/>
    <mergeCell ref="C40:C41"/>
    <mergeCell ref="J40:J41"/>
    <mergeCell ref="K40:K41"/>
    <mergeCell ref="L40:L41"/>
    <mergeCell ref="M40:M41"/>
    <mergeCell ref="N40:N41"/>
    <mergeCell ref="P40:P41"/>
    <mergeCell ref="B38:B39"/>
    <mergeCell ref="C38:C39"/>
    <mergeCell ref="J38:J39"/>
    <mergeCell ref="K38:K39"/>
    <mergeCell ref="L38:L39"/>
    <mergeCell ref="M38:M39"/>
    <mergeCell ref="N34:N35"/>
    <mergeCell ref="P34:P35"/>
    <mergeCell ref="B36:B37"/>
    <mergeCell ref="C36:C37"/>
    <mergeCell ref="J36:J37"/>
    <mergeCell ref="K36:K37"/>
    <mergeCell ref="L36:L37"/>
    <mergeCell ref="M36:M37"/>
    <mergeCell ref="N36:N37"/>
    <mergeCell ref="P36:P37"/>
    <mergeCell ref="B34:B35"/>
    <mergeCell ref="C34:C35"/>
    <mergeCell ref="J34:J35"/>
    <mergeCell ref="K34:K35"/>
    <mergeCell ref="L34:L35"/>
    <mergeCell ref="M34:M35"/>
    <mergeCell ref="N30:N31"/>
    <mergeCell ref="P30:P31"/>
    <mergeCell ref="B32:B33"/>
    <mergeCell ref="C32:C33"/>
    <mergeCell ref="J32:J33"/>
    <mergeCell ref="K32:K33"/>
    <mergeCell ref="L32:L33"/>
    <mergeCell ref="M32:M33"/>
    <mergeCell ref="N32:N33"/>
    <mergeCell ref="P32:P33"/>
    <mergeCell ref="B30:B31"/>
    <mergeCell ref="C30:C31"/>
    <mergeCell ref="J30:J31"/>
    <mergeCell ref="K30:K31"/>
    <mergeCell ref="L30:L31"/>
    <mergeCell ref="M30:M31"/>
    <mergeCell ref="N26:N27"/>
    <mergeCell ref="P26:P27"/>
    <mergeCell ref="B28:B29"/>
    <mergeCell ref="C28:C29"/>
    <mergeCell ref="J28:J29"/>
    <mergeCell ref="K28:K29"/>
    <mergeCell ref="L28:L29"/>
    <mergeCell ref="M28:M29"/>
    <mergeCell ref="N28:N29"/>
    <mergeCell ref="P28:P29"/>
    <mergeCell ref="B26:B27"/>
    <mergeCell ref="C26:C27"/>
    <mergeCell ref="J26:J27"/>
    <mergeCell ref="K26:K27"/>
    <mergeCell ref="L26:L27"/>
    <mergeCell ref="M26:M27"/>
    <mergeCell ref="N22:N23"/>
    <mergeCell ref="P22:P23"/>
    <mergeCell ref="B24:B25"/>
    <mergeCell ref="C24:C25"/>
    <mergeCell ref="J24:J25"/>
    <mergeCell ref="K24:K25"/>
    <mergeCell ref="L24:L25"/>
    <mergeCell ref="M24:M25"/>
    <mergeCell ref="N24:N25"/>
    <mergeCell ref="P24:P25"/>
    <mergeCell ref="B22:B23"/>
    <mergeCell ref="C22:C23"/>
    <mergeCell ref="J22:J23"/>
    <mergeCell ref="K22:K23"/>
    <mergeCell ref="L22:L23"/>
    <mergeCell ref="M22:M23"/>
    <mergeCell ref="N18:N19"/>
    <mergeCell ref="P18:P19"/>
    <mergeCell ref="B20:B21"/>
    <mergeCell ref="C20:C21"/>
    <mergeCell ref="J20:J21"/>
    <mergeCell ref="K20:K21"/>
    <mergeCell ref="L20:L21"/>
    <mergeCell ref="M20:M21"/>
    <mergeCell ref="N20:N21"/>
    <mergeCell ref="P20:P21"/>
    <mergeCell ref="B18:B19"/>
    <mergeCell ref="C18:C19"/>
    <mergeCell ref="J18:J19"/>
    <mergeCell ref="K18:K19"/>
    <mergeCell ref="L18:L19"/>
    <mergeCell ref="M18:M19"/>
    <mergeCell ref="N14:N15"/>
    <mergeCell ref="P14:P15"/>
    <mergeCell ref="B16:B17"/>
    <mergeCell ref="C16:C17"/>
    <mergeCell ref="J16:J17"/>
    <mergeCell ref="K16:K17"/>
    <mergeCell ref="L16:L17"/>
    <mergeCell ref="M16:M17"/>
    <mergeCell ref="N16:N17"/>
    <mergeCell ref="P16:P17"/>
    <mergeCell ref="B14:B15"/>
    <mergeCell ref="C14:C15"/>
    <mergeCell ref="J14:J15"/>
    <mergeCell ref="K14:K15"/>
    <mergeCell ref="L14:L15"/>
    <mergeCell ref="M14:M15"/>
    <mergeCell ref="P10:P11"/>
    <mergeCell ref="B12:B13"/>
    <mergeCell ref="C12:C13"/>
    <mergeCell ref="J12:J13"/>
    <mergeCell ref="K12:K13"/>
    <mergeCell ref="L12:L13"/>
    <mergeCell ref="M12:M13"/>
    <mergeCell ref="N12:N13"/>
    <mergeCell ref="P12:P13"/>
    <mergeCell ref="AE5:AG5"/>
    <mergeCell ref="L6:N6"/>
    <mergeCell ref="B8:K8"/>
    <mergeCell ref="B10:B11"/>
    <mergeCell ref="C10:C11"/>
    <mergeCell ref="J10:J11"/>
    <mergeCell ref="K10:K11"/>
    <mergeCell ref="L10:L11"/>
    <mergeCell ref="M10:M11"/>
    <mergeCell ref="N10:N11"/>
    <mergeCell ref="N42:N43"/>
    <mergeCell ref="P42:P43"/>
    <mergeCell ref="C42:C43"/>
    <mergeCell ref="B42:B43"/>
    <mergeCell ref="J42:J43"/>
    <mergeCell ref="K42:K43"/>
    <mergeCell ref="L42:L43"/>
    <mergeCell ref="M42:M43"/>
    <mergeCell ref="O42:O43"/>
  </mergeCells>
  <pageMargins left="0.45" right="0" top="0.49" bottom="0" header="0.64" footer="0"/>
  <pageSetup paperSize="512" fitToHeight="2" orientation="portrait" r:id="rId1"/>
  <headerFooter alignWithMargins="0"/>
  <rowBreaks count="1" manualBreakCount="1">
    <brk id="25" max="13" man="1"/>
  </row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24</vt:i4>
      </vt:variant>
      <vt:variant>
        <vt:lpstr>Named Ranges</vt:lpstr>
      </vt:variant>
      <vt:variant>
        <vt:i4>35</vt:i4>
      </vt:variant>
    </vt:vector>
  </HeadingPairs>
  <TitlesOfParts>
    <vt:vector size="59" baseType="lpstr">
      <vt:lpstr>Height</vt:lpstr>
      <vt:lpstr>Width</vt:lpstr>
      <vt:lpstr>LAImeter</vt:lpstr>
      <vt:lpstr>SPAD</vt:lpstr>
      <vt:lpstr>Density</vt:lpstr>
      <vt:lpstr>Develop</vt:lpstr>
      <vt:lpstr>doy130</vt:lpstr>
      <vt:lpstr>doy139</vt:lpstr>
      <vt:lpstr>doy146</vt:lpstr>
      <vt:lpstr>doy153</vt:lpstr>
      <vt:lpstr>doy159</vt:lpstr>
      <vt:lpstr>doy168</vt:lpstr>
      <vt:lpstr>doy173</vt:lpstr>
      <vt:lpstr>doy179</vt:lpstr>
      <vt:lpstr>doy187</vt:lpstr>
      <vt:lpstr>doy193</vt:lpstr>
      <vt:lpstr>doy203</vt:lpstr>
      <vt:lpstr>doy213</vt:lpstr>
      <vt:lpstr>doy224</vt:lpstr>
      <vt:lpstr>doy231</vt:lpstr>
      <vt:lpstr>Averages</vt:lpstr>
      <vt:lpstr>Emergence</vt:lpstr>
      <vt:lpstr>Counts</vt:lpstr>
      <vt:lpstr>NAWF</vt:lpstr>
      <vt:lpstr>Averages!Print_Area</vt:lpstr>
      <vt:lpstr>Counts!Print_Area</vt:lpstr>
      <vt:lpstr>'doy130'!Print_Area</vt:lpstr>
      <vt:lpstr>'doy139'!Print_Area</vt:lpstr>
      <vt:lpstr>'doy146'!Print_Area</vt:lpstr>
      <vt:lpstr>'doy153'!Print_Area</vt:lpstr>
      <vt:lpstr>'doy159'!Print_Area</vt:lpstr>
      <vt:lpstr>'doy168'!Print_Area</vt:lpstr>
      <vt:lpstr>'doy173'!Print_Area</vt:lpstr>
      <vt:lpstr>'doy179'!Print_Area</vt:lpstr>
      <vt:lpstr>'doy187'!Print_Area</vt:lpstr>
      <vt:lpstr>'doy193'!Print_Area</vt:lpstr>
      <vt:lpstr>'doy203'!Print_Area</vt:lpstr>
      <vt:lpstr>'doy213'!Print_Area</vt:lpstr>
      <vt:lpstr>'doy224'!Print_Area</vt:lpstr>
      <vt:lpstr>'doy231'!Print_Area</vt:lpstr>
      <vt:lpstr>Emergence!Print_Area</vt:lpstr>
      <vt:lpstr>NAWF!Print_Area</vt:lpstr>
      <vt:lpstr>Averages!Print_Titles</vt:lpstr>
      <vt:lpstr>Counts!Print_Titles</vt:lpstr>
      <vt:lpstr>'doy130'!Print_Titles</vt:lpstr>
      <vt:lpstr>'doy139'!Print_Titles</vt:lpstr>
      <vt:lpstr>'doy146'!Print_Titles</vt:lpstr>
      <vt:lpstr>'doy153'!Print_Titles</vt:lpstr>
      <vt:lpstr>'doy159'!Print_Titles</vt:lpstr>
      <vt:lpstr>'doy168'!Print_Titles</vt:lpstr>
      <vt:lpstr>'doy173'!Print_Titles</vt:lpstr>
      <vt:lpstr>'doy179'!Print_Titles</vt:lpstr>
      <vt:lpstr>'doy187'!Print_Titles</vt:lpstr>
      <vt:lpstr>'doy193'!Print_Titles</vt:lpstr>
      <vt:lpstr>'doy203'!Print_Titles</vt:lpstr>
      <vt:lpstr>'doy213'!Print_Titles</vt:lpstr>
      <vt:lpstr>'doy224'!Print_Titles</vt:lpstr>
      <vt:lpstr>'doy231'!Print_Titles</vt:lpstr>
      <vt:lpstr>NAWF!Print_Titles</vt:lpstr>
    </vt:vector>
  </TitlesOfParts>
  <Company>Home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PJP</dc:creator>
  <cp:lastModifiedBy>Reviewer</cp:lastModifiedBy>
  <cp:lastPrinted>2011-07-06T20:46:30Z</cp:lastPrinted>
  <dcterms:created xsi:type="dcterms:W3CDTF">2003-06-15T15:35:55Z</dcterms:created>
  <dcterms:modified xsi:type="dcterms:W3CDTF">2025-08-14T13:06:43Z</dcterms:modified>
</cp:coreProperties>
</file>