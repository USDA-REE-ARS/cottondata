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1_F033_CO_RSIS\"/>
    </mc:Choice>
  </mc:AlternateContent>
  <xr:revisionPtr revIDLastSave="0" documentId="13_ncr:1_{7CBBFE07-8B67-493C-A41A-42CF0C231DF5}" xr6:coauthVersionLast="47" xr6:coauthVersionMax="47" xr10:uidLastSave="{00000000-0000-0000-0000-000000000000}"/>
  <bookViews>
    <workbookView xWindow="-1815" yWindow="-26850" windowWidth="16230" windowHeight="26310" xr2:uid="{EDD8493E-22F9-4363-B206-02BA4DA4CD3D}"/>
  </bookViews>
  <sheets>
    <sheet name="SoilChemDF" sheetId="1" r:id="rId1"/>
    <sheet name="NO3 p01-p05" sheetId="2" r:id="rId2"/>
    <sheet name="NO3 p05-p09" sheetId="3" r:id="rId3"/>
    <sheet name="NO3 p09-p14" sheetId="4" r:id="rId4"/>
    <sheet name="NO3 p14-p17" sheetId="5" r:id="rId5"/>
  </sheets>
  <definedNames>
    <definedName name="_xlnm.Print_Area" localSheetId="1">'NO3 p01-p05'!$A$1:$M$90</definedName>
    <definedName name="_xlnm.Print_Area" localSheetId="2">'NO3 p05-p09'!$A$1:$M$111</definedName>
    <definedName name="_xlnm.Print_Area" localSheetId="3">'NO3 p09-p14'!$A$1:$M$107</definedName>
    <definedName name="_xlnm.Print_Area" localSheetId="4">'NO3 p14-p17'!$A$1:$K$90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2" i="1"/>
  <c r="K26" i="5"/>
  <c r="L26" i="5"/>
  <c r="M26" i="5"/>
  <c r="K27" i="5"/>
  <c r="L27" i="5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K32" i="5"/>
  <c r="L32" i="5"/>
  <c r="M32" i="5"/>
  <c r="K33" i="5"/>
  <c r="L33" i="5"/>
  <c r="M33" i="5"/>
  <c r="K34" i="5"/>
  <c r="L34" i="5"/>
  <c r="M34" i="5"/>
  <c r="K39" i="5"/>
  <c r="L39" i="5"/>
  <c r="M39" i="5"/>
  <c r="K40" i="5"/>
  <c r="L40" i="5"/>
  <c r="M40" i="5" s="1"/>
  <c r="K41" i="5"/>
  <c r="L41" i="5"/>
  <c r="M41" i="5"/>
  <c r="K42" i="5"/>
  <c r="L42" i="5"/>
  <c r="M42" i="5"/>
  <c r="K43" i="5"/>
  <c r="L43" i="5"/>
  <c r="M43" i="5"/>
  <c r="K44" i="5"/>
  <c r="L44" i="5"/>
  <c r="M44" i="5"/>
  <c r="K45" i="5"/>
  <c r="L45" i="5"/>
  <c r="M45" i="5"/>
  <c r="K46" i="5"/>
  <c r="L46" i="5"/>
  <c r="M46" i="5"/>
  <c r="K47" i="5"/>
  <c r="L47" i="5"/>
  <c r="M47" i="5"/>
  <c r="K48" i="5"/>
  <c r="L48" i="5"/>
  <c r="M48" i="5"/>
  <c r="K49" i="5"/>
  <c r="L49" i="5"/>
  <c r="M49" i="5"/>
  <c r="K50" i="5"/>
  <c r="L50" i="5"/>
  <c r="M50" i="5"/>
  <c r="K51" i="5"/>
  <c r="L51" i="5"/>
  <c r="M51" i="5" s="1"/>
  <c r="K52" i="5"/>
  <c r="L52" i="5"/>
  <c r="M52" i="5"/>
  <c r="K53" i="5"/>
  <c r="L53" i="5"/>
  <c r="M53" i="5"/>
  <c r="K58" i="5"/>
  <c r="L58" i="5"/>
  <c r="M58" i="5"/>
  <c r="K59" i="5"/>
  <c r="L59" i="5"/>
  <c r="M59" i="5"/>
  <c r="K60" i="5"/>
  <c r="L60" i="5"/>
  <c r="M60" i="5"/>
  <c r="K61" i="5"/>
  <c r="L61" i="5"/>
  <c r="M61" i="5" s="1"/>
  <c r="K62" i="5"/>
  <c r="L62" i="5"/>
  <c r="M62" i="5" s="1"/>
  <c r="K63" i="5"/>
  <c r="L63" i="5"/>
  <c r="M63" i="5"/>
  <c r="K64" i="5"/>
  <c r="L64" i="5"/>
  <c r="M64" i="5"/>
  <c r="K65" i="5"/>
  <c r="L65" i="5"/>
  <c r="M65" i="5"/>
  <c r="K66" i="5"/>
  <c r="L66" i="5"/>
  <c r="M66" i="5"/>
  <c r="F92" i="5"/>
  <c r="F93" i="5"/>
  <c r="F94" i="5"/>
  <c r="K26" i="4"/>
  <c r="L26" i="4"/>
  <c r="M26" i="4"/>
  <c r="K27" i="4"/>
  <c r="L27" i="4"/>
  <c r="M27" i="4"/>
  <c r="K28" i="4"/>
  <c r="L28" i="4"/>
  <c r="M28" i="4"/>
  <c r="K29" i="4"/>
  <c r="L29" i="4"/>
  <c r="M29" i="4"/>
  <c r="K30" i="4"/>
  <c r="L30" i="4"/>
  <c r="M30" i="4"/>
  <c r="K31" i="4"/>
  <c r="L31" i="4"/>
  <c r="M31" i="4"/>
  <c r="K32" i="4"/>
  <c r="L32" i="4"/>
  <c r="M32" i="4"/>
  <c r="K33" i="4"/>
  <c r="L33" i="4"/>
  <c r="M33" i="4"/>
  <c r="K34" i="4"/>
  <c r="L34" i="4"/>
  <c r="M34" i="4"/>
  <c r="K35" i="4"/>
  <c r="L35" i="4"/>
  <c r="M35" i="4"/>
  <c r="K36" i="4"/>
  <c r="L36" i="4"/>
  <c r="M36" i="4" s="1"/>
  <c r="K37" i="4"/>
  <c r="L37" i="4"/>
  <c r="M37" i="4"/>
  <c r="K38" i="4"/>
  <c r="L38" i="4"/>
  <c r="M38" i="4"/>
  <c r="K43" i="4"/>
  <c r="L43" i="4"/>
  <c r="M43" i="4"/>
  <c r="K44" i="4"/>
  <c r="L44" i="4"/>
  <c r="M44" i="4"/>
  <c r="K45" i="4"/>
  <c r="L45" i="4"/>
  <c r="M45" i="4"/>
  <c r="K46" i="4"/>
  <c r="L46" i="4"/>
  <c r="M46" i="4" s="1"/>
  <c r="K47" i="4"/>
  <c r="L47" i="4"/>
  <c r="M47" i="4"/>
  <c r="K48" i="4"/>
  <c r="L48" i="4"/>
  <c r="M48" i="4"/>
  <c r="K49" i="4"/>
  <c r="L49" i="4"/>
  <c r="M49" i="4"/>
  <c r="K50" i="4"/>
  <c r="L50" i="4"/>
  <c r="M50" i="4"/>
  <c r="K51" i="4"/>
  <c r="L51" i="4"/>
  <c r="M51" i="4"/>
  <c r="K52" i="4"/>
  <c r="L52" i="4"/>
  <c r="M52" i="4"/>
  <c r="K53" i="4"/>
  <c r="L53" i="4"/>
  <c r="M53" i="4"/>
  <c r="K54" i="4"/>
  <c r="L54" i="4"/>
  <c r="M54" i="4"/>
  <c r="K55" i="4"/>
  <c r="L55" i="4"/>
  <c r="M55" i="4"/>
  <c r="K56" i="4"/>
  <c r="L56" i="4"/>
  <c r="M56" i="4"/>
  <c r="K57" i="4"/>
  <c r="L57" i="4"/>
  <c r="M57" i="4"/>
  <c r="K62" i="4"/>
  <c r="L62" i="4"/>
  <c r="M62" i="4"/>
  <c r="K63" i="4"/>
  <c r="L63" i="4"/>
  <c r="M63" i="4"/>
  <c r="K64" i="4"/>
  <c r="L64" i="4"/>
  <c r="M64" i="4"/>
  <c r="K65" i="4"/>
  <c r="L65" i="4"/>
  <c r="M65" i="4"/>
  <c r="K66" i="4"/>
  <c r="L66" i="4"/>
  <c r="M66" i="4"/>
  <c r="K67" i="4"/>
  <c r="L67" i="4"/>
  <c r="M67" i="4"/>
  <c r="K68" i="4"/>
  <c r="L68" i="4"/>
  <c r="M68" i="4"/>
  <c r="K69" i="4"/>
  <c r="L69" i="4"/>
  <c r="M69" i="4"/>
  <c r="K70" i="4"/>
  <c r="L70" i="4"/>
  <c r="M70" i="4"/>
  <c r="K71" i="4"/>
  <c r="L71" i="4"/>
  <c r="M71" i="4"/>
  <c r="K72" i="4"/>
  <c r="L72" i="4"/>
  <c r="M72" i="4"/>
  <c r="K73" i="4"/>
  <c r="L73" i="4"/>
  <c r="M73" i="4"/>
  <c r="F109" i="4"/>
  <c r="F110" i="4"/>
  <c r="F111" i="4"/>
  <c r="K26" i="3"/>
  <c r="L26" i="3"/>
  <c r="M26" i="3"/>
  <c r="K27" i="3"/>
  <c r="L27" i="3"/>
  <c r="M27" i="3"/>
  <c r="K28" i="3"/>
  <c r="L28" i="3"/>
  <c r="M28" i="3"/>
  <c r="K29" i="3"/>
  <c r="L29" i="3"/>
  <c r="M29" i="3"/>
  <c r="K30" i="3"/>
  <c r="L30" i="3"/>
  <c r="M30" i="3"/>
  <c r="K31" i="3"/>
  <c r="L31" i="3"/>
  <c r="M31" i="3"/>
  <c r="K32" i="3"/>
  <c r="L32" i="3"/>
  <c r="M32" i="3"/>
  <c r="K33" i="3"/>
  <c r="L33" i="3"/>
  <c r="M33" i="3"/>
  <c r="K38" i="3"/>
  <c r="L38" i="3"/>
  <c r="M38" i="3"/>
  <c r="K39" i="3"/>
  <c r="L39" i="3"/>
  <c r="M39" i="3"/>
  <c r="K40" i="3"/>
  <c r="L40" i="3"/>
  <c r="M40" i="3" s="1"/>
  <c r="K41" i="3"/>
  <c r="L41" i="3"/>
  <c r="M41" i="3"/>
  <c r="K42" i="3"/>
  <c r="L42" i="3"/>
  <c r="M42" i="3"/>
  <c r="K43" i="3"/>
  <c r="L43" i="3"/>
  <c r="M43" i="3"/>
  <c r="K44" i="3"/>
  <c r="L44" i="3"/>
  <c r="M44" i="3"/>
  <c r="K45" i="3"/>
  <c r="L45" i="3"/>
  <c r="M45" i="3"/>
  <c r="K46" i="3"/>
  <c r="L46" i="3"/>
  <c r="M46" i="3"/>
  <c r="K51" i="3"/>
  <c r="L51" i="3"/>
  <c r="M51" i="3"/>
  <c r="K52" i="3"/>
  <c r="L52" i="3"/>
  <c r="M52" i="3"/>
  <c r="K53" i="3"/>
  <c r="L53" i="3"/>
  <c r="M53" i="3"/>
  <c r="K54" i="3"/>
  <c r="L54" i="3"/>
  <c r="M54" i="3"/>
  <c r="K55" i="3"/>
  <c r="L55" i="3"/>
  <c r="M55" i="3"/>
  <c r="K56" i="3"/>
  <c r="L56" i="3"/>
  <c r="M56" i="3"/>
  <c r="K57" i="3"/>
  <c r="L57" i="3"/>
  <c r="M57" i="3"/>
  <c r="K58" i="3"/>
  <c r="L58" i="3"/>
  <c r="M58" i="3"/>
  <c r="K59" i="3"/>
  <c r="L59" i="3"/>
  <c r="M59" i="3"/>
  <c r="K60" i="3"/>
  <c r="L60" i="3"/>
  <c r="M60" i="3"/>
  <c r="K61" i="3"/>
  <c r="L61" i="3"/>
  <c r="M61" i="3"/>
  <c r="K62" i="3"/>
  <c r="L62" i="3"/>
  <c r="M62" i="3"/>
  <c r="K67" i="3"/>
  <c r="L67" i="3"/>
  <c r="M67" i="3"/>
  <c r="K68" i="3"/>
  <c r="L68" i="3"/>
  <c r="M68" i="3"/>
  <c r="K69" i="3"/>
  <c r="L69" i="3"/>
  <c r="M69" i="3"/>
  <c r="K70" i="3"/>
  <c r="L70" i="3"/>
  <c r="M70" i="3"/>
  <c r="K71" i="3"/>
  <c r="L71" i="3"/>
  <c r="M71" i="3"/>
  <c r="K72" i="3"/>
  <c r="L72" i="3"/>
  <c r="M72" i="3"/>
  <c r="K73" i="3"/>
  <c r="L73" i="3"/>
  <c r="M73" i="3"/>
  <c r="K74" i="3"/>
  <c r="L74" i="3"/>
  <c r="M74" i="3"/>
  <c r="K75" i="3"/>
  <c r="L75" i="3"/>
  <c r="M75" i="3"/>
  <c r="K76" i="3"/>
  <c r="L76" i="3"/>
  <c r="M76" i="3"/>
  <c r="K77" i="3"/>
  <c r="L77" i="3"/>
  <c r="M77" i="3"/>
  <c r="F114" i="3"/>
  <c r="F115" i="3"/>
  <c r="F116" i="3"/>
  <c r="K26" i="2"/>
  <c r="L26" i="2"/>
  <c r="M26" i="2"/>
  <c r="K27" i="2"/>
  <c r="L27" i="2"/>
  <c r="M27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L44" i="2"/>
  <c r="M44" i="2"/>
  <c r="K45" i="2"/>
  <c r="L45" i="2"/>
  <c r="M45" i="2"/>
  <c r="K46" i="2"/>
  <c r="L46" i="2"/>
  <c r="M46" i="2"/>
  <c r="K47" i="2"/>
  <c r="L47" i="2"/>
  <c r="M47" i="2"/>
  <c r="K52" i="2"/>
  <c r="L52" i="2"/>
  <c r="M52" i="2"/>
  <c r="K53" i="2"/>
  <c r="L53" i="2"/>
  <c r="M53" i="2"/>
  <c r="K54" i="2"/>
  <c r="L54" i="2"/>
  <c r="M54" i="2"/>
  <c r="K55" i="2"/>
  <c r="L55" i="2"/>
  <c r="M55" i="2" s="1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K65" i="2"/>
  <c r="L65" i="2"/>
  <c r="M65" i="2"/>
  <c r="K66" i="2"/>
  <c r="L66" i="2"/>
  <c r="M66" i="2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F94" i="2"/>
  <c r="F95" i="2"/>
  <c r="F96" i="2"/>
</calcChain>
</file>

<file path=xl/sharedStrings.xml><?xml version="1.0" encoding="utf-8"?>
<sst xmlns="http://schemas.openxmlformats.org/spreadsheetml/2006/main" count="992" uniqueCount="321">
  <si>
    <t>FB</t>
  </si>
  <si>
    <t>nitrate</t>
  </si>
  <si>
    <t>D7</t>
  </si>
  <si>
    <t>B</t>
  </si>
  <si>
    <t>H2O</t>
  </si>
  <si>
    <t>cup 59 rerun</t>
  </si>
  <si>
    <t>cup 58 rerun</t>
  </si>
  <si>
    <t>cup 57 rerun</t>
  </si>
  <si>
    <t>cup 56 rerun</t>
  </si>
  <si>
    <t>cup 54 rerun</t>
  </si>
  <si>
    <t>5-4 30</t>
  </si>
  <si>
    <t>5-2 90</t>
  </si>
  <si>
    <t>5-2 60</t>
  </si>
  <si>
    <t>5-2 30</t>
  </si>
  <si>
    <t>4-6 90</t>
  </si>
  <si>
    <t>4-6 60</t>
  </si>
  <si>
    <t>4-6 30</t>
  </si>
  <si>
    <t>4-4 90</t>
  </si>
  <si>
    <t>4-4 60</t>
  </si>
  <si>
    <t>4-4 30</t>
  </si>
  <si>
    <t>4-2 90</t>
  </si>
  <si>
    <t>4-2 60</t>
  </si>
  <si>
    <t>4-2 30</t>
  </si>
  <si>
    <t>3-6 90</t>
  </si>
  <si>
    <t>3-6 60</t>
  </si>
  <si>
    <t>3-6 30</t>
  </si>
  <si>
    <t>3-4 90</t>
  </si>
  <si>
    <t>3-4 60</t>
  </si>
  <si>
    <t>3-4 30</t>
  </si>
  <si>
    <t>3-2 90</t>
  </si>
  <si>
    <t>3-2 60</t>
  </si>
  <si>
    <t>3-2 30</t>
  </si>
  <si>
    <t>2-6 90</t>
  </si>
  <si>
    <t>2-6 60</t>
  </si>
  <si>
    <t>2-6 30</t>
  </si>
  <si>
    <t>2-4 90</t>
  </si>
  <si>
    <t>2-4 60</t>
  </si>
  <si>
    <t>2-4 30</t>
  </si>
  <si>
    <t>2-2 90</t>
  </si>
  <si>
    <t>2-2 60</t>
  </si>
  <si>
    <t>2-2 30</t>
  </si>
  <si>
    <t>1-6 90</t>
  </si>
  <si>
    <t>1-6 60</t>
  </si>
  <si>
    <t>1-6 30</t>
  </si>
  <si>
    <t>1-4 90</t>
  </si>
  <si>
    <t>1-4 60</t>
  </si>
  <si>
    <t>1-4 30</t>
  </si>
  <si>
    <t>1-2 90</t>
  </si>
  <si>
    <t>1-2 60</t>
  </si>
  <si>
    <t>1-2 30</t>
  </si>
  <si>
    <t>10.0 ppm std.</t>
  </si>
  <si>
    <t>8.0 ppm std.</t>
  </si>
  <si>
    <t>5 ppm std.(voided)</t>
  </si>
  <si>
    <t>2.0 ppm std.</t>
  </si>
  <si>
    <t>1.0 ppm std.</t>
  </si>
  <si>
    <t>0.5 ppm std.</t>
  </si>
  <si>
    <t>0 ppm std.</t>
  </si>
  <si>
    <t>calc. ppm</t>
  </si>
  <si>
    <t>ppm N</t>
  </si>
  <si>
    <t>std.</t>
  </si>
  <si>
    <t>CO</t>
  </si>
  <si>
    <t xml:space="preserve">SYNC </t>
  </si>
  <si>
    <t>IB</t>
  </si>
  <si>
    <t>Dilution</t>
  </si>
  <si>
    <t>Height</t>
  </si>
  <si>
    <t>Concentration</t>
  </si>
  <si>
    <t>Sample ID</t>
  </si>
  <si>
    <t>Sample Number</t>
  </si>
  <si>
    <t>Method Name</t>
  </si>
  <si>
    <t>Run Date</t>
  </si>
  <si>
    <t>Date</t>
  </si>
  <si>
    <t>pounds N/acre</t>
  </si>
  <si>
    <t>in the sample</t>
  </si>
  <si>
    <t>ug/gm</t>
  </si>
  <si>
    <t>Uncorrected</t>
  </si>
  <si>
    <t>Corrected</t>
  </si>
  <si>
    <t>for dilution if any</t>
  </si>
  <si>
    <t>Report</t>
  </si>
  <si>
    <t>kg N per hectare</t>
  </si>
  <si>
    <t>extract corrected</t>
  </si>
  <si>
    <t>ppm nitrate-N in</t>
  </si>
  <si>
    <t xml:space="preserve">(20gm soil+20ml H2O) </t>
  </si>
  <si>
    <t>on P: drive 5-26-11</t>
  </si>
  <si>
    <t>Sample Report to Excel</t>
  </si>
  <si>
    <t>SAMPLES OF 4-26 TO 5-5-11</t>
  </si>
  <si>
    <t>Labtronics, Inc.</t>
  </si>
  <si>
    <t>SOIL NITRATE-N</t>
  </si>
  <si>
    <t>New Analyzer Program v. 4.0</t>
  </si>
  <si>
    <t>FIELD 33 SAMPLES 1-5</t>
  </si>
  <si>
    <t>Doug H.</t>
  </si>
  <si>
    <t>analyzed on</t>
  </si>
  <si>
    <t>cup 66 rerun</t>
  </si>
  <si>
    <t>cup 65 rerun</t>
  </si>
  <si>
    <t>cup 62 rerun</t>
  </si>
  <si>
    <t>cup 50 rerun</t>
  </si>
  <si>
    <t>cup 49 rerun</t>
  </si>
  <si>
    <t>cup 48 rerun</t>
  </si>
  <si>
    <t>cup 47 rerun</t>
  </si>
  <si>
    <t>cup 46 rerun</t>
  </si>
  <si>
    <t>cup 43 rerun</t>
  </si>
  <si>
    <t>cup 42 rerun</t>
  </si>
  <si>
    <t>cup 41 rerun</t>
  </si>
  <si>
    <t>cup 40 rerun</t>
  </si>
  <si>
    <t>cup 33 rerun</t>
  </si>
  <si>
    <t>cup 30 rerun</t>
  </si>
  <si>
    <t>cup 28 rerun</t>
  </si>
  <si>
    <t>cup 27 rerun</t>
  </si>
  <si>
    <t>cup 22 rerun</t>
  </si>
  <si>
    <t>cup 21 rerun</t>
  </si>
  <si>
    <t>cup 20 rerun</t>
  </si>
  <si>
    <t>cup 17 rerun</t>
  </si>
  <si>
    <t>9-6 60</t>
  </si>
  <si>
    <t>9-6 30</t>
  </si>
  <si>
    <t>9-4 90</t>
  </si>
  <si>
    <t>9-4 60</t>
  </si>
  <si>
    <t>9-4 30</t>
  </si>
  <si>
    <t>9-2 90</t>
  </si>
  <si>
    <t>9-2 60</t>
  </si>
  <si>
    <t>9-2 30</t>
  </si>
  <si>
    <t>8-6 90</t>
  </si>
  <si>
    <t>8-6 60</t>
  </si>
  <si>
    <t>8-6 30</t>
  </si>
  <si>
    <t>8-4 90</t>
  </si>
  <si>
    <t>8-4 60</t>
  </si>
  <si>
    <t>8-4 30</t>
  </si>
  <si>
    <t>8-2 90</t>
  </si>
  <si>
    <t>8-2 60</t>
  </si>
  <si>
    <t>8-2 30</t>
  </si>
  <si>
    <t>7-6 90</t>
  </si>
  <si>
    <t>7-6 60</t>
  </si>
  <si>
    <t>7-6 30</t>
  </si>
  <si>
    <t>7-4 90</t>
  </si>
  <si>
    <t>7-4 60</t>
  </si>
  <si>
    <t>7-4 30</t>
  </si>
  <si>
    <t>7-2 90</t>
  </si>
  <si>
    <t>7-2 60</t>
  </si>
  <si>
    <t>7-2 30</t>
  </si>
  <si>
    <t>6-6 90</t>
  </si>
  <si>
    <t>6-6 60</t>
  </si>
  <si>
    <t>6-6 30</t>
  </si>
  <si>
    <t>6-4 90</t>
  </si>
  <si>
    <t>6-4 60</t>
  </si>
  <si>
    <t>6-4 30</t>
  </si>
  <si>
    <t>6-2 90</t>
  </si>
  <si>
    <t>6-2 60</t>
  </si>
  <si>
    <t>6-2 30</t>
  </si>
  <si>
    <t>5-6 90</t>
  </si>
  <si>
    <t>5-6 60</t>
  </si>
  <si>
    <t>5-6 30</t>
  </si>
  <si>
    <t>5-4 90</t>
  </si>
  <si>
    <t>5-4 60</t>
  </si>
  <si>
    <t>5.0 ppm std.</t>
  </si>
  <si>
    <t>(used A.A. software values)</t>
  </si>
  <si>
    <t>FIELD 33 SAMPLES 5-9</t>
  </si>
  <si>
    <t>60 rerun</t>
  </si>
  <si>
    <t>54 rerun</t>
  </si>
  <si>
    <t>52 rerun</t>
  </si>
  <si>
    <t>51 rerun</t>
  </si>
  <si>
    <t>44 rerun</t>
  </si>
  <si>
    <t>42 rerun</t>
  </si>
  <si>
    <t>41 rerun</t>
  </si>
  <si>
    <t>38 rerun</t>
  </si>
  <si>
    <t>35 rerun</t>
  </si>
  <si>
    <t>32 rerun</t>
  </si>
  <si>
    <t>27 rerun</t>
  </si>
  <si>
    <t>26 rerun</t>
  </si>
  <si>
    <t>25 rerun</t>
  </si>
  <si>
    <t>22 rerun</t>
  </si>
  <si>
    <t>21 rerun</t>
  </si>
  <si>
    <t>20 rerun</t>
  </si>
  <si>
    <t>19 rerun</t>
  </si>
  <si>
    <t>18 rerun</t>
  </si>
  <si>
    <t>17 rerun</t>
  </si>
  <si>
    <t>16 rerun</t>
  </si>
  <si>
    <t>15 rerun</t>
  </si>
  <si>
    <t>14-2 90</t>
  </si>
  <si>
    <t>14-2 60</t>
  </si>
  <si>
    <t>14-2 30</t>
  </si>
  <si>
    <t>13-6 90</t>
  </si>
  <si>
    <t>13-6 60</t>
  </si>
  <si>
    <t>13-6 30</t>
  </si>
  <si>
    <t>13-4 90</t>
  </si>
  <si>
    <t>13-4 60</t>
  </si>
  <si>
    <t>13-4 30</t>
  </si>
  <si>
    <t>13-2 90</t>
  </si>
  <si>
    <t>13-2 60</t>
  </si>
  <si>
    <t>13-2 30</t>
  </si>
  <si>
    <t>12-6 90</t>
  </si>
  <si>
    <t>12-6 60</t>
  </si>
  <si>
    <t>12-6 30</t>
  </si>
  <si>
    <t>12-4 90</t>
  </si>
  <si>
    <t>12-4 60</t>
  </si>
  <si>
    <t>12-4 30</t>
  </si>
  <si>
    <t>12-2 90</t>
  </si>
  <si>
    <t>12-2 60</t>
  </si>
  <si>
    <t>12-2 30</t>
  </si>
  <si>
    <t>11-6 90</t>
  </si>
  <si>
    <t>11-6 60</t>
  </si>
  <si>
    <t>11-6 30</t>
  </si>
  <si>
    <t>11-4 90</t>
  </si>
  <si>
    <t>11-4 60</t>
  </si>
  <si>
    <t>11-4 30</t>
  </si>
  <si>
    <t>11-2 90</t>
  </si>
  <si>
    <t>11-2 60</t>
  </si>
  <si>
    <t>11-2 30</t>
  </si>
  <si>
    <t>10-6 90</t>
  </si>
  <si>
    <t>10-6 60</t>
  </si>
  <si>
    <t>10-6 30</t>
  </si>
  <si>
    <t>10-4 90</t>
  </si>
  <si>
    <t>10-4 60</t>
  </si>
  <si>
    <t>10-4 30</t>
  </si>
  <si>
    <t>10-2 90</t>
  </si>
  <si>
    <t>10-2 60</t>
  </si>
  <si>
    <t>10-2 30</t>
  </si>
  <si>
    <t>9-6 90</t>
  </si>
  <si>
    <t>8.0 ppm std.(voided)</t>
  </si>
  <si>
    <t>2.0ppm std.</t>
  </si>
  <si>
    <t>on P: drive 6-20-11</t>
  </si>
  <si>
    <t>FIELD 33 SAMPLES 9-14</t>
  </si>
  <si>
    <t>cup 53 rerun</t>
  </si>
  <si>
    <t>cup 52 rerun</t>
  </si>
  <si>
    <t>cup 51 rerun</t>
  </si>
  <si>
    <t>cup 38 rerun</t>
  </si>
  <si>
    <t>cup 37 rerun</t>
  </si>
  <si>
    <t>cup 34 rerun</t>
  </si>
  <si>
    <t>cup 31 rerun</t>
  </si>
  <si>
    <t>cup 18 rerun</t>
  </si>
  <si>
    <t>cup 15 rerun</t>
  </si>
  <si>
    <t>17-6 90</t>
  </si>
  <si>
    <t>17-6 60</t>
  </si>
  <si>
    <t>17-6 30</t>
  </si>
  <si>
    <t>17-4 90</t>
  </si>
  <si>
    <t>17-4 60</t>
  </si>
  <si>
    <t>17-4 30</t>
  </si>
  <si>
    <t>17-2 90</t>
  </si>
  <si>
    <t>17-2 60</t>
  </si>
  <si>
    <t>17-2 30</t>
  </si>
  <si>
    <t>16-6 90</t>
  </si>
  <si>
    <t>16-6 60</t>
  </si>
  <si>
    <t>16-6 30</t>
  </si>
  <si>
    <t>16-4 90</t>
  </si>
  <si>
    <t>16-4 60</t>
  </si>
  <si>
    <t>16-4 30</t>
  </si>
  <si>
    <t>16-2 90</t>
  </si>
  <si>
    <t>16-2 60</t>
  </si>
  <si>
    <t>16-2 30</t>
  </si>
  <si>
    <t>15-6 90</t>
  </si>
  <si>
    <t>15-6 60</t>
  </si>
  <si>
    <t>15-6 30</t>
  </si>
  <si>
    <t>15-4 90</t>
  </si>
  <si>
    <t>15-4 60</t>
  </si>
  <si>
    <t>15-4 30</t>
  </si>
  <si>
    <t>15-2 90</t>
  </si>
  <si>
    <t>15-2 60</t>
  </si>
  <si>
    <t>15-2 30</t>
  </si>
  <si>
    <t>14-6 90</t>
  </si>
  <si>
    <t>14-6 60</t>
  </si>
  <si>
    <t>14-6 30</t>
  </si>
  <si>
    <t>14-4 90</t>
  </si>
  <si>
    <t>14-4 60</t>
  </si>
  <si>
    <t>14-4 30</t>
  </si>
  <si>
    <t>gm soil</t>
  </si>
  <si>
    <t xml:space="preserve">N per </t>
  </si>
  <si>
    <t>ug nitrate</t>
  </si>
  <si>
    <t>30 cm soil lengths</t>
  </si>
  <si>
    <t>FIELD 33 SAMPLES 14-17</t>
  </si>
  <si>
    <t>Year</t>
  </si>
  <si>
    <t>DOY</t>
  </si>
  <si>
    <t>SOIL_DATE</t>
  </si>
  <si>
    <t>Sample</t>
  </si>
  <si>
    <t>Depth</t>
  </si>
  <si>
    <t>SNO3</t>
  </si>
  <si>
    <t>p01-2</t>
  </si>
  <si>
    <t>p01-4</t>
  </si>
  <si>
    <t>p01-6</t>
  </si>
  <si>
    <t>p02-2</t>
  </si>
  <si>
    <t>p02-4</t>
  </si>
  <si>
    <t>p02-6</t>
  </si>
  <si>
    <t>p03-2</t>
  </si>
  <si>
    <t>p03-4</t>
  </si>
  <si>
    <t>p03-6</t>
  </si>
  <si>
    <t>p04-2</t>
  </si>
  <si>
    <t>p04-4</t>
  </si>
  <si>
    <t>p04-6</t>
  </si>
  <si>
    <t>p05-2</t>
  </si>
  <si>
    <t>p05-4</t>
  </si>
  <si>
    <t>p05-6</t>
  </si>
  <si>
    <t>p06-2</t>
  </si>
  <si>
    <t>p06-4</t>
  </si>
  <si>
    <t>p06-6</t>
  </si>
  <si>
    <t>p07-2</t>
  </si>
  <si>
    <t>p07-4</t>
  </si>
  <si>
    <t>p07-6</t>
  </si>
  <si>
    <t>p08-2</t>
  </si>
  <si>
    <t>p08-4</t>
  </si>
  <si>
    <t>p08-6</t>
  </si>
  <si>
    <t>p09-2</t>
  </si>
  <si>
    <t>p09-4</t>
  </si>
  <si>
    <t>p09-6</t>
  </si>
  <si>
    <t>p10-2</t>
  </si>
  <si>
    <t>p10-4</t>
  </si>
  <si>
    <t>p10-6</t>
  </si>
  <si>
    <t>p11-2</t>
  </si>
  <si>
    <t>p11-4</t>
  </si>
  <si>
    <t>p11-6</t>
  </si>
  <si>
    <t>p12-2</t>
  </si>
  <si>
    <t>p12-4</t>
  </si>
  <si>
    <t>p12-6</t>
  </si>
  <si>
    <t>p13-2</t>
  </si>
  <si>
    <t>p13-4</t>
  </si>
  <si>
    <t>p13-6</t>
  </si>
  <si>
    <t>p14-2</t>
  </si>
  <si>
    <t>p14-4</t>
  </si>
  <si>
    <t>p14-6</t>
  </si>
  <si>
    <t>p15-2</t>
  </si>
  <si>
    <t>p15-4</t>
  </si>
  <si>
    <t>p15-6</t>
  </si>
  <si>
    <t>p16-2</t>
  </si>
  <si>
    <t>p16-4</t>
  </si>
  <si>
    <t>p16-6</t>
  </si>
  <si>
    <t>Depth2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</si>
</sst>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9"/>
      <color theme="9" tint="-0.499984740745262"/>
      <name val="Arial"/>
      <family val="2"/>
    </font>
    <font>
      <b/>
      <sz val="10"/>
      <color indexed="16"/>
      <name val="Arial"/>
      <family val="2"/>
    </font>
    <font>
      <sz val="7"/>
      <color theme="2" tint="-0.89999084444715716"/>
      <name val="Arial"/>
      <family val="2"/>
    </font>
    <font>
      <sz val="10"/>
      <color indexed="18"/>
      <name val="Arial"/>
      <family val="2"/>
    </font>
    <font>
      <sz val="10"/>
      <color indexed="16"/>
      <name val="Arial"/>
      <family val="2"/>
    </font>
    <font>
      <b/>
      <sz val="12"/>
      <color indexed="18"/>
      <name val="Arial"/>
      <family val="2"/>
    </font>
    <font>
      <sz val="9"/>
      <color indexed="59"/>
      <name val="Arial"/>
      <family val="2"/>
    </font>
    <font>
      <b/>
      <sz val="10"/>
      <color indexed="9"/>
      <name val="Arial"/>
      <family val="2"/>
    </font>
    <font>
      <sz val="7"/>
      <name val="Arial"/>
      <family val="2"/>
    </font>
    <font>
      <b/>
      <sz val="7"/>
      <color theme="2" tint="-0.89999084444715716"/>
      <name val="Arial"/>
      <family val="2"/>
    </font>
    <font>
      <sz val="9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2" fontId="1" fillId="0" borderId="0" xfId="1" applyNumberFormat="1" applyAlignment="1">
      <alignment horizontal="center"/>
    </xf>
    <xf numFmtId="0" fontId="1" fillId="0" borderId="0" xfId="1" applyAlignment="1">
      <alignment horizontal="left"/>
    </xf>
    <xf numFmtId="21" fontId="1" fillId="0" borderId="0" xfId="1" applyNumberFormat="1"/>
    <xf numFmtId="14" fontId="1" fillId="0" borderId="0" xfId="1" applyNumberFormat="1" applyAlignment="1">
      <alignment horizontal="left"/>
    </xf>
    <xf numFmtId="0" fontId="1" fillId="2" borderId="0" xfId="1" applyFill="1"/>
    <xf numFmtId="0" fontId="1" fillId="2" borderId="0" xfId="1" applyFill="1" applyAlignment="1">
      <alignment horizontal="left"/>
    </xf>
    <xf numFmtId="0" fontId="1" fillId="0" borderId="1" xfId="1" applyBorder="1"/>
    <xf numFmtId="2" fontId="1" fillId="0" borderId="1" xfId="1" applyNumberFormat="1" applyBorder="1" applyAlignment="1">
      <alignment horizontal="center"/>
    </xf>
    <xf numFmtId="21" fontId="1" fillId="0" borderId="1" xfId="1" applyNumberFormat="1" applyBorder="1"/>
    <xf numFmtId="0" fontId="1" fillId="3" borderId="1" xfId="1" applyFill="1" applyBorder="1" applyAlignment="1">
      <alignment horizontal="left"/>
    </xf>
    <xf numFmtId="0" fontId="1" fillId="0" borderId="1" xfId="1" applyBorder="1" applyAlignment="1">
      <alignment horizontal="left"/>
    </xf>
    <xf numFmtId="14" fontId="1" fillId="0" borderId="1" xfId="1" applyNumberFormat="1" applyBorder="1" applyAlignment="1">
      <alignment horizontal="left"/>
    </xf>
    <xf numFmtId="0" fontId="1" fillId="3" borderId="0" xfId="1" applyFill="1" applyAlignment="1">
      <alignment horizontal="left"/>
    </xf>
    <xf numFmtId="2" fontId="1" fillId="3" borderId="0" xfId="1" applyNumberFormat="1" applyFill="1" applyAlignment="1">
      <alignment horizontal="left"/>
    </xf>
    <xf numFmtId="0" fontId="1" fillId="4" borderId="0" xfId="1" applyFill="1" applyAlignment="1">
      <alignment horizontal="left"/>
    </xf>
    <xf numFmtId="0" fontId="1" fillId="0" borderId="0" xfId="1" applyAlignment="1">
      <alignment horizontal="center"/>
    </xf>
    <xf numFmtId="0" fontId="2" fillId="0" borderId="0" xfId="1" applyFont="1" applyAlignment="1">
      <alignment horizontal="left"/>
    </xf>
    <xf numFmtId="0" fontId="1" fillId="0" borderId="2" xfId="1" applyBorder="1" applyAlignment="1">
      <alignment horizontal="center"/>
    </xf>
    <xf numFmtId="0" fontId="3" fillId="0" borderId="0" xfId="1" applyFont="1"/>
    <xf numFmtId="2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2" fontId="4" fillId="0" borderId="2" xfId="1" applyNumberFormat="1" applyFont="1" applyBorder="1" applyAlignment="1">
      <alignment horizontal="center"/>
    </xf>
    <xf numFmtId="2" fontId="5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14" fontId="3" fillId="0" borderId="0" xfId="1" applyNumberFormat="1" applyFont="1" applyAlignment="1">
      <alignment horizontal="left"/>
    </xf>
    <xf numFmtId="15" fontId="12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12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0" fontId="1" fillId="0" borderId="1" xfId="1" applyBorder="1" applyAlignment="1">
      <alignment horizontal="center"/>
    </xf>
    <xf numFmtId="0" fontId="1" fillId="5" borderId="1" xfId="1" applyFill="1" applyBorder="1" applyAlignment="1">
      <alignment horizontal="left"/>
    </xf>
    <xf numFmtId="0" fontId="1" fillId="5" borderId="0" xfId="1" applyFill="1" applyAlignment="1">
      <alignment horizontal="left"/>
    </xf>
    <xf numFmtId="0" fontId="1" fillId="2" borderId="0" xfId="1" applyFill="1" applyAlignment="1">
      <alignment horizontal="center"/>
    </xf>
    <xf numFmtId="0" fontId="1" fillId="6" borderId="0" xfId="1" applyFill="1" applyAlignment="1">
      <alignment horizontal="left"/>
    </xf>
    <xf numFmtId="2" fontId="4" fillId="0" borderId="1" xfId="1" applyNumberFormat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2" fontId="9" fillId="0" borderId="0" xfId="1" applyNumberFormat="1" applyFont="1" applyAlignment="1">
      <alignment horizontal="center"/>
    </xf>
    <xf numFmtId="0" fontId="3" fillId="2" borderId="0" xfId="1" applyFont="1" applyFill="1" applyAlignment="1">
      <alignment horizontal="left"/>
    </xf>
    <xf numFmtId="2" fontId="3" fillId="2" borderId="0" xfId="1" applyNumberFormat="1" applyFont="1" applyFill="1" applyAlignment="1">
      <alignment horizontal="center"/>
    </xf>
    <xf numFmtId="14" fontId="9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14" fillId="0" borderId="0" xfId="1" applyFont="1" applyAlignment="1">
      <alignment horizontal="left"/>
    </xf>
    <xf numFmtId="0" fontId="3" fillId="0" borderId="2" xfId="1" applyFont="1" applyBorder="1" applyAlignment="1">
      <alignment horizontal="center"/>
    </xf>
    <xf numFmtId="2" fontId="15" fillId="0" borderId="0" xfId="1" applyNumberFormat="1" applyFont="1" applyAlignment="1">
      <alignment horizontal="center"/>
    </xf>
    <xf numFmtId="0" fontId="15" fillId="0" borderId="0" xfId="1" applyFont="1" applyAlignment="1">
      <alignment horizontal="left"/>
    </xf>
    <xf numFmtId="0" fontId="16" fillId="2" borderId="0" xfId="1" applyFont="1" applyFill="1" applyAlignment="1">
      <alignment horizontal="left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4C518068-77CB-4E91-9BDC-FF977352C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40830449826991"/>
          <c:y val="7.2164948453608241E-2"/>
          <c:w val="0.7854671280276817"/>
          <c:h val="0.69587628865979378"/>
        </c:manualLayout>
      </c:layout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'NO3 p01-p05'!$O$15:$O$20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'NO3 p01-p05'!$P$15:$P$20</c:f>
              <c:numCache>
                <c:formatCode>General</c:formatCode>
                <c:ptCount val="6"/>
                <c:pt idx="0">
                  <c:v>0.27</c:v>
                </c:pt>
                <c:pt idx="1">
                  <c:v>0.66</c:v>
                </c:pt>
                <c:pt idx="2">
                  <c:v>1.06</c:v>
                </c:pt>
                <c:pt idx="3">
                  <c:v>1.83</c:v>
                </c:pt>
                <c:pt idx="4">
                  <c:v>7.06</c:v>
                </c:pt>
                <c:pt idx="5">
                  <c:v>10.63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CC-42D4-BF98-1B18AE263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15168"/>
        <c:axId val="1"/>
      </c:scatterChart>
      <c:valAx>
        <c:axId val="153121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1516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68013468013468"/>
          <c:y val="7.9545454545454544E-2"/>
          <c:w val="0.7912457912457912"/>
          <c:h val="0.78409090909090906"/>
        </c:manualLayout>
      </c:layout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6.8785139231333461E-2"/>
                  <c:y val="-5.505829213208814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'NO3 p05-p09'!$P$16:$P$22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'NO3 p05-p09'!$Q$16:$Q$22</c:f>
              <c:numCache>
                <c:formatCode>General</c:formatCode>
                <c:ptCount val="7"/>
                <c:pt idx="0">
                  <c:v>-0.1</c:v>
                </c:pt>
                <c:pt idx="1">
                  <c:v>0.41</c:v>
                </c:pt>
                <c:pt idx="2">
                  <c:v>1.21</c:v>
                </c:pt>
                <c:pt idx="3">
                  <c:v>2.0699999999999998</c:v>
                </c:pt>
                <c:pt idx="4">
                  <c:v>4.99</c:v>
                </c:pt>
                <c:pt idx="5">
                  <c:v>7.78</c:v>
                </c:pt>
                <c:pt idx="6">
                  <c:v>10.130000000000001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23-45F4-BA93-5F93744A7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13248"/>
        <c:axId val="1"/>
      </c:scatterChart>
      <c:valAx>
        <c:axId val="153121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1324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35087719298245"/>
          <c:y val="8.0924855491329481E-2"/>
          <c:w val="0.78245614035087718"/>
          <c:h val="0.65895953757225434"/>
        </c:manualLayout>
      </c:layout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1.5541004742828199E-2"/>
                  <c:y val="-2.3911519730553912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'NO3 p09-p14'!$O$14:$O$19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10</c:v>
                </c:pt>
              </c:numCache>
            </c:numRef>
          </c:xVal>
          <c:yVal>
            <c:numRef>
              <c:f>'NO3 p09-p14'!$P$14:$P$19</c:f>
              <c:numCache>
                <c:formatCode>General</c:formatCode>
                <c:ptCount val="6"/>
                <c:pt idx="0">
                  <c:v>0.1</c:v>
                </c:pt>
                <c:pt idx="1">
                  <c:v>0.67</c:v>
                </c:pt>
                <c:pt idx="2">
                  <c:v>1</c:v>
                </c:pt>
                <c:pt idx="3">
                  <c:v>1.88</c:v>
                </c:pt>
                <c:pt idx="4">
                  <c:v>4.71</c:v>
                </c:pt>
                <c:pt idx="5">
                  <c:v>10.15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1-480B-88E4-E44AB952D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20928"/>
        <c:axId val="1"/>
      </c:scatterChart>
      <c:valAx>
        <c:axId val="153122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209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29315960912052"/>
          <c:y val="7.9545454545454544E-2"/>
          <c:w val="0.79804560260586321"/>
          <c:h val="0.78409090909090906"/>
        </c:manualLayout>
      </c:layout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2.7456633067446373E-2"/>
                  <c:y val="-3.1079694583631592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'NO3 p14-p17'!$P$15:$P$21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</c:numCache>
            </c:numRef>
          </c:xVal>
          <c:yVal>
            <c:numRef>
              <c:f>'NO3 p14-p17'!$Q$15:$Q$21</c:f>
              <c:numCache>
                <c:formatCode>General</c:formatCode>
                <c:ptCount val="7"/>
                <c:pt idx="0">
                  <c:v>-0.11</c:v>
                </c:pt>
                <c:pt idx="1">
                  <c:v>0.52</c:v>
                </c:pt>
                <c:pt idx="2">
                  <c:v>0.91</c:v>
                </c:pt>
                <c:pt idx="3">
                  <c:v>2.42</c:v>
                </c:pt>
                <c:pt idx="4">
                  <c:v>4.78</c:v>
                </c:pt>
                <c:pt idx="5">
                  <c:v>7.83</c:v>
                </c:pt>
                <c:pt idx="6">
                  <c:v>10.14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1E-457C-89A8-786307EDA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22368"/>
        <c:axId val="1"/>
      </c:scatterChart>
      <c:valAx>
        <c:axId val="153122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22236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0</xdr:row>
      <xdr:rowOff>161925</xdr:rowOff>
    </xdr:from>
    <xdr:to>
      <xdr:col>18</xdr:col>
      <xdr:colOff>466725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36823-61A8-48FA-8A4F-64190E407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419100</xdr:colOff>
      <xdr:row>2</xdr:row>
      <xdr:rowOff>0</xdr:rowOff>
    </xdr:from>
    <xdr:to>
      <xdr:col>19</xdr:col>
      <xdr:colOff>200025</xdr:colOff>
      <xdr:row>12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7D311-DB26-41FF-B0EC-660BC5676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0</xdr:row>
      <xdr:rowOff>171450</xdr:rowOff>
    </xdr:from>
    <xdr:to>
      <xdr:col>18</xdr:col>
      <xdr:colOff>400050</xdr:colOff>
      <xdr:row>10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BF99B-58A4-46E3-8095-496FE1A0C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190500</xdr:colOff>
      <xdr:row>1</xdr:row>
      <xdr:rowOff>76200</xdr:rowOff>
    </xdr:from>
    <xdr:to>
      <xdr:col>20</xdr:col>
      <xdr:colOff>66675</xdr:colOff>
      <xdr:row>11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290F0-18A1-4070-836C-6C64359DB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B6AC-9758-417A-92D8-714809E6735E}">
  <dimension ref="A1:G145"/>
  <sheetViews>
    <sheetView tabSelected="1" workbookViewId="0"/>
  </sheetViews>
  <sheetFormatPr defaultRowHeight="15" x14ac:dyDescent="0.25"/>
  <cols>
    <col min="3" max="3" width="10.42578125" bestFit="1" customWidth="1"/>
  </cols>
  <sheetData>
    <row r="1" spans="1:7" x14ac:dyDescent="0.25">
      <c r="A1" t="s">
        <v>266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320</v>
      </c>
    </row>
    <row r="2" spans="1:7" x14ac:dyDescent="0.25">
      <c r="A2">
        <v>2011</v>
      </c>
      <c r="B2">
        <v>121</v>
      </c>
      <c r="C2" s="61">
        <v>40664</v>
      </c>
      <c r="D2" t="s">
        <v>272</v>
      </c>
      <c r="E2">
        <v>30</v>
      </c>
      <c r="F2" s="62">
        <v>0.54</v>
      </c>
      <c r="G2">
        <f>E2-15</f>
        <v>15</v>
      </c>
    </row>
    <row r="3" spans="1:7" x14ac:dyDescent="0.25">
      <c r="A3">
        <v>2011</v>
      </c>
      <c r="B3">
        <v>121</v>
      </c>
      <c r="C3" s="61">
        <v>40664</v>
      </c>
      <c r="D3" t="s">
        <v>272</v>
      </c>
      <c r="E3">
        <v>60</v>
      </c>
      <c r="F3" s="62">
        <v>1.65</v>
      </c>
      <c r="G3">
        <f t="shared" ref="G3:G66" si="0">E3-15</f>
        <v>45</v>
      </c>
    </row>
    <row r="4" spans="1:7" x14ac:dyDescent="0.25">
      <c r="A4">
        <v>2011</v>
      </c>
      <c r="B4">
        <v>121</v>
      </c>
      <c r="C4" s="61">
        <v>40664</v>
      </c>
      <c r="D4" t="s">
        <v>272</v>
      </c>
      <c r="E4">
        <v>90</v>
      </c>
      <c r="F4" s="62">
        <v>2.5499999999999998</v>
      </c>
      <c r="G4">
        <f t="shared" si="0"/>
        <v>75</v>
      </c>
    </row>
    <row r="5" spans="1:7" x14ac:dyDescent="0.25">
      <c r="A5">
        <v>2011</v>
      </c>
      <c r="B5">
        <v>121</v>
      </c>
      <c r="C5" s="61">
        <v>40664</v>
      </c>
      <c r="D5" t="s">
        <v>273</v>
      </c>
      <c r="E5">
        <v>30</v>
      </c>
      <c r="F5" s="62">
        <v>1.44</v>
      </c>
      <c r="G5">
        <f t="shared" si="0"/>
        <v>15</v>
      </c>
    </row>
    <row r="6" spans="1:7" x14ac:dyDescent="0.25">
      <c r="A6">
        <v>2011</v>
      </c>
      <c r="B6">
        <v>121</v>
      </c>
      <c r="C6" s="61">
        <v>40664</v>
      </c>
      <c r="D6" t="s">
        <v>273</v>
      </c>
      <c r="E6">
        <v>60</v>
      </c>
      <c r="F6" s="62">
        <v>3.34</v>
      </c>
      <c r="G6">
        <f t="shared" si="0"/>
        <v>45</v>
      </c>
    </row>
    <row r="7" spans="1:7" x14ac:dyDescent="0.25">
      <c r="A7">
        <v>2011</v>
      </c>
      <c r="B7">
        <v>121</v>
      </c>
      <c r="C7" s="61">
        <v>40664</v>
      </c>
      <c r="D7" t="s">
        <v>273</v>
      </c>
      <c r="E7">
        <v>90</v>
      </c>
      <c r="F7" s="62">
        <v>3.18</v>
      </c>
      <c r="G7">
        <f t="shared" si="0"/>
        <v>75</v>
      </c>
    </row>
    <row r="8" spans="1:7" x14ac:dyDescent="0.25">
      <c r="A8">
        <v>2011</v>
      </c>
      <c r="B8">
        <v>121</v>
      </c>
      <c r="C8" s="61">
        <v>40664</v>
      </c>
      <c r="D8" t="s">
        <v>274</v>
      </c>
      <c r="E8">
        <v>30</v>
      </c>
      <c r="F8" s="62">
        <v>6.38</v>
      </c>
      <c r="G8">
        <f t="shared" si="0"/>
        <v>15</v>
      </c>
    </row>
    <row r="9" spans="1:7" x14ac:dyDescent="0.25">
      <c r="A9">
        <v>2011</v>
      </c>
      <c r="B9">
        <v>121</v>
      </c>
      <c r="C9" s="61">
        <v>40664</v>
      </c>
      <c r="D9" t="s">
        <v>274</v>
      </c>
      <c r="E9">
        <v>60</v>
      </c>
      <c r="F9" s="62">
        <v>2.38</v>
      </c>
      <c r="G9">
        <f t="shared" si="0"/>
        <v>45</v>
      </c>
    </row>
    <row r="10" spans="1:7" x14ac:dyDescent="0.25">
      <c r="A10">
        <v>2011</v>
      </c>
      <c r="B10">
        <v>121</v>
      </c>
      <c r="C10" s="61">
        <v>40664</v>
      </c>
      <c r="D10" t="s">
        <v>274</v>
      </c>
      <c r="E10">
        <v>90</v>
      </c>
      <c r="F10" s="62">
        <v>9.66</v>
      </c>
      <c r="G10">
        <f t="shared" si="0"/>
        <v>75</v>
      </c>
    </row>
    <row r="11" spans="1:7" x14ac:dyDescent="0.25">
      <c r="A11">
        <v>2011</v>
      </c>
      <c r="B11">
        <v>121</v>
      </c>
      <c r="C11" s="61">
        <v>40664</v>
      </c>
      <c r="D11" t="s">
        <v>275</v>
      </c>
      <c r="E11">
        <v>30</v>
      </c>
      <c r="F11" s="62">
        <v>5.28</v>
      </c>
      <c r="G11">
        <f t="shared" si="0"/>
        <v>15</v>
      </c>
    </row>
    <row r="12" spans="1:7" x14ac:dyDescent="0.25">
      <c r="A12">
        <v>2011</v>
      </c>
      <c r="B12">
        <v>121</v>
      </c>
      <c r="C12" s="61">
        <v>40664</v>
      </c>
      <c r="D12" t="s">
        <v>275</v>
      </c>
      <c r="E12">
        <v>60</v>
      </c>
      <c r="F12" s="62">
        <v>9.0500000000000007</v>
      </c>
      <c r="G12">
        <f t="shared" si="0"/>
        <v>45</v>
      </c>
    </row>
    <row r="13" spans="1:7" x14ac:dyDescent="0.25">
      <c r="A13">
        <v>2011</v>
      </c>
      <c r="B13">
        <v>121</v>
      </c>
      <c r="C13" s="61">
        <v>40664</v>
      </c>
      <c r="D13" t="s">
        <v>275</v>
      </c>
      <c r="E13">
        <v>90</v>
      </c>
      <c r="F13" s="62">
        <v>10.99</v>
      </c>
      <c r="G13">
        <f t="shared" si="0"/>
        <v>75</v>
      </c>
    </row>
    <row r="14" spans="1:7" x14ac:dyDescent="0.25">
      <c r="A14">
        <v>2011</v>
      </c>
      <c r="B14">
        <v>121</v>
      </c>
      <c r="C14" s="61">
        <v>40664</v>
      </c>
      <c r="D14" t="s">
        <v>276</v>
      </c>
      <c r="E14">
        <v>30</v>
      </c>
      <c r="F14" s="62">
        <v>9.52</v>
      </c>
      <c r="G14">
        <f t="shared" si="0"/>
        <v>15</v>
      </c>
    </row>
    <row r="15" spans="1:7" x14ac:dyDescent="0.25">
      <c r="A15">
        <v>2011</v>
      </c>
      <c r="B15">
        <v>121</v>
      </c>
      <c r="C15" s="61">
        <v>40664</v>
      </c>
      <c r="D15" t="s">
        <v>276</v>
      </c>
      <c r="E15">
        <v>60</v>
      </c>
      <c r="F15" s="62">
        <v>7.08</v>
      </c>
      <c r="G15">
        <f t="shared" si="0"/>
        <v>45</v>
      </c>
    </row>
    <row r="16" spans="1:7" x14ac:dyDescent="0.25">
      <c r="A16">
        <v>2011</v>
      </c>
      <c r="B16">
        <v>121</v>
      </c>
      <c r="C16" s="61">
        <v>40664</v>
      </c>
      <c r="D16" t="s">
        <v>276</v>
      </c>
      <c r="E16">
        <v>90</v>
      </c>
      <c r="F16" s="62">
        <v>7.96</v>
      </c>
      <c r="G16">
        <f t="shared" si="0"/>
        <v>75</v>
      </c>
    </row>
    <row r="17" spans="1:7" x14ac:dyDescent="0.25">
      <c r="A17">
        <v>2011</v>
      </c>
      <c r="B17">
        <v>121</v>
      </c>
      <c r="C17" s="61">
        <v>40664</v>
      </c>
      <c r="D17" t="s">
        <v>277</v>
      </c>
      <c r="E17">
        <v>30</v>
      </c>
      <c r="F17" s="62">
        <v>9.09</v>
      </c>
      <c r="G17">
        <f t="shared" si="0"/>
        <v>15</v>
      </c>
    </row>
    <row r="18" spans="1:7" x14ac:dyDescent="0.25">
      <c r="A18">
        <v>2011</v>
      </c>
      <c r="B18">
        <v>121</v>
      </c>
      <c r="C18" s="61">
        <v>40664</v>
      </c>
      <c r="D18" t="s">
        <v>277</v>
      </c>
      <c r="E18">
        <v>60</v>
      </c>
      <c r="F18" s="62">
        <v>4.5</v>
      </c>
      <c r="G18">
        <f t="shared" si="0"/>
        <v>45</v>
      </c>
    </row>
    <row r="19" spans="1:7" x14ac:dyDescent="0.25">
      <c r="A19">
        <v>2011</v>
      </c>
      <c r="B19">
        <v>121</v>
      </c>
      <c r="C19" s="61">
        <v>40664</v>
      </c>
      <c r="D19" t="s">
        <v>277</v>
      </c>
      <c r="E19">
        <v>90</v>
      </c>
      <c r="F19" s="62">
        <v>4.0599999999999996</v>
      </c>
      <c r="G19">
        <f t="shared" si="0"/>
        <v>75</v>
      </c>
    </row>
    <row r="20" spans="1:7" x14ac:dyDescent="0.25">
      <c r="A20">
        <v>2011</v>
      </c>
      <c r="B20">
        <v>121</v>
      </c>
      <c r="C20" s="61">
        <v>40664</v>
      </c>
      <c r="D20" t="s">
        <v>278</v>
      </c>
      <c r="E20">
        <v>30</v>
      </c>
      <c r="F20" s="62">
        <v>2.06</v>
      </c>
      <c r="G20">
        <f t="shared" si="0"/>
        <v>15</v>
      </c>
    </row>
    <row r="21" spans="1:7" x14ac:dyDescent="0.25">
      <c r="A21">
        <v>2011</v>
      </c>
      <c r="B21">
        <v>121</v>
      </c>
      <c r="C21" s="61">
        <v>40664</v>
      </c>
      <c r="D21" t="s">
        <v>278</v>
      </c>
      <c r="E21">
        <v>60</v>
      </c>
      <c r="F21" s="62">
        <v>4.8899999999999997</v>
      </c>
      <c r="G21">
        <f t="shared" si="0"/>
        <v>45</v>
      </c>
    </row>
    <row r="22" spans="1:7" x14ac:dyDescent="0.25">
      <c r="A22">
        <v>2011</v>
      </c>
      <c r="B22">
        <v>121</v>
      </c>
      <c r="C22" s="61">
        <v>40664</v>
      </c>
      <c r="D22" t="s">
        <v>278</v>
      </c>
      <c r="E22">
        <v>90</v>
      </c>
      <c r="F22" s="62">
        <v>2.82</v>
      </c>
      <c r="G22">
        <f t="shared" si="0"/>
        <v>75</v>
      </c>
    </row>
    <row r="23" spans="1:7" x14ac:dyDescent="0.25">
      <c r="A23">
        <v>2011</v>
      </c>
      <c r="B23">
        <v>121</v>
      </c>
      <c r="C23" s="61">
        <v>40664</v>
      </c>
      <c r="D23" t="s">
        <v>279</v>
      </c>
      <c r="E23">
        <v>30</v>
      </c>
      <c r="F23" s="62">
        <v>0.78</v>
      </c>
      <c r="G23">
        <f t="shared" si="0"/>
        <v>15</v>
      </c>
    </row>
    <row r="24" spans="1:7" x14ac:dyDescent="0.25">
      <c r="A24">
        <v>2011</v>
      </c>
      <c r="B24">
        <v>121</v>
      </c>
      <c r="C24" s="61">
        <v>40664</v>
      </c>
      <c r="D24" t="s">
        <v>279</v>
      </c>
      <c r="E24">
        <v>60</v>
      </c>
      <c r="F24" s="62">
        <v>1.25</v>
      </c>
      <c r="G24">
        <f t="shared" si="0"/>
        <v>45</v>
      </c>
    </row>
    <row r="25" spans="1:7" x14ac:dyDescent="0.25">
      <c r="A25">
        <v>2011</v>
      </c>
      <c r="B25">
        <v>121</v>
      </c>
      <c r="C25" s="61">
        <v>40664</v>
      </c>
      <c r="D25" t="s">
        <v>279</v>
      </c>
      <c r="E25">
        <v>90</v>
      </c>
      <c r="F25" s="62">
        <v>2.21</v>
      </c>
      <c r="G25">
        <f t="shared" si="0"/>
        <v>75</v>
      </c>
    </row>
    <row r="26" spans="1:7" x14ac:dyDescent="0.25">
      <c r="A26">
        <v>2011</v>
      </c>
      <c r="B26">
        <v>121</v>
      </c>
      <c r="C26" s="61">
        <v>40664</v>
      </c>
      <c r="D26" t="s">
        <v>280</v>
      </c>
      <c r="E26">
        <v>30</v>
      </c>
      <c r="F26" s="62">
        <v>7.46</v>
      </c>
      <c r="G26">
        <f t="shared" si="0"/>
        <v>15</v>
      </c>
    </row>
    <row r="27" spans="1:7" x14ac:dyDescent="0.25">
      <c r="A27">
        <v>2011</v>
      </c>
      <c r="B27">
        <v>121</v>
      </c>
      <c r="C27" s="61">
        <v>40664</v>
      </c>
      <c r="D27" t="s">
        <v>280</v>
      </c>
      <c r="E27">
        <v>60</v>
      </c>
      <c r="F27" s="62">
        <v>4.2</v>
      </c>
      <c r="G27">
        <f t="shared" si="0"/>
        <v>45</v>
      </c>
    </row>
    <row r="28" spans="1:7" x14ac:dyDescent="0.25">
      <c r="A28">
        <v>2011</v>
      </c>
      <c r="B28">
        <v>121</v>
      </c>
      <c r="C28" s="61">
        <v>40664</v>
      </c>
      <c r="D28" t="s">
        <v>280</v>
      </c>
      <c r="E28">
        <v>90</v>
      </c>
      <c r="F28" s="62">
        <v>7.02</v>
      </c>
      <c r="G28">
        <f t="shared" si="0"/>
        <v>75</v>
      </c>
    </row>
    <row r="29" spans="1:7" x14ac:dyDescent="0.25">
      <c r="A29">
        <v>2011</v>
      </c>
      <c r="B29">
        <v>121</v>
      </c>
      <c r="C29" s="61">
        <v>40664</v>
      </c>
      <c r="D29" t="s">
        <v>281</v>
      </c>
      <c r="E29">
        <v>30</v>
      </c>
      <c r="F29" s="62">
        <v>8.91</v>
      </c>
      <c r="G29">
        <f t="shared" si="0"/>
        <v>15</v>
      </c>
    </row>
    <row r="30" spans="1:7" x14ac:dyDescent="0.25">
      <c r="A30">
        <v>2011</v>
      </c>
      <c r="B30">
        <v>121</v>
      </c>
      <c r="C30" s="61">
        <v>40664</v>
      </c>
      <c r="D30" t="s">
        <v>281</v>
      </c>
      <c r="E30">
        <v>60</v>
      </c>
      <c r="F30" s="62">
        <v>9.33</v>
      </c>
      <c r="G30">
        <f t="shared" si="0"/>
        <v>45</v>
      </c>
    </row>
    <row r="31" spans="1:7" x14ac:dyDescent="0.25">
      <c r="A31">
        <v>2011</v>
      </c>
      <c r="B31">
        <v>121</v>
      </c>
      <c r="C31" s="61">
        <v>40664</v>
      </c>
      <c r="D31" t="s">
        <v>281</v>
      </c>
      <c r="E31">
        <v>90</v>
      </c>
      <c r="F31" s="62">
        <v>15.89</v>
      </c>
      <c r="G31">
        <f t="shared" si="0"/>
        <v>75</v>
      </c>
    </row>
    <row r="32" spans="1:7" x14ac:dyDescent="0.25">
      <c r="A32">
        <v>2011</v>
      </c>
      <c r="B32">
        <v>121</v>
      </c>
      <c r="C32" s="61">
        <v>40664</v>
      </c>
      <c r="D32" t="s">
        <v>282</v>
      </c>
      <c r="E32">
        <v>30</v>
      </c>
      <c r="F32" s="62">
        <v>14.96</v>
      </c>
      <c r="G32">
        <f t="shared" si="0"/>
        <v>15</v>
      </c>
    </row>
    <row r="33" spans="1:7" x14ac:dyDescent="0.25">
      <c r="A33">
        <v>2011</v>
      </c>
      <c r="B33">
        <v>121</v>
      </c>
      <c r="C33" s="61">
        <v>40664</v>
      </c>
      <c r="D33" t="s">
        <v>282</v>
      </c>
      <c r="E33">
        <v>60</v>
      </c>
      <c r="F33" s="62">
        <v>29.68</v>
      </c>
      <c r="G33">
        <f t="shared" si="0"/>
        <v>45</v>
      </c>
    </row>
    <row r="34" spans="1:7" x14ac:dyDescent="0.25">
      <c r="A34">
        <v>2011</v>
      </c>
      <c r="B34">
        <v>121</v>
      </c>
      <c r="C34" s="61">
        <v>40664</v>
      </c>
      <c r="D34" t="s">
        <v>282</v>
      </c>
      <c r="E34">
        <v>90</v>
      </c>
      <c r="F34" s="62">
        <v>10.66</v>
      </c>
      <c r="G34">
        <f t="shared" si="0"/>
        <v>75</v>
      </c>
    </row>
    <row r="35" spans="1:7" x14ac:dyDescent="0.25">
      <c r="A35">
        <v>2011</v>
      </c>
      <c r="B35">
        <v>121</v>
      </c>
      <c r="C35" s="61">
        <v>40664</v>
      </c>
      <c r="D35" t="s">
        <v>283</v>
      </c>
      <c r="E35">
        <v>30</v>
      </c>
      <c r="F35" s="62">
        <v>4.62</v>
      </c>
      <c r="G35">
        <f t="shared" si="0"/>
        <v>15</v>
      </c>
    </row>
    <row r="36" spans="1:7" x14ac:dyDescent="0.25">
      <c r="A36">
        <v>2011</v>
      </c>
      <c r="B36">
        <v>121</v>
      </c>
      <c r="C36" s="61">
        <v>40664</v>
      </c>
      <c r="D36" t="s">
        <v>283</v>
      </c>
      <c r="E36">
        <v>60</v>
      </c>
      <c r="F36" s="62">
        <v>2.33</v>
      </c>
      <c r="G36">
        <f t="shared" si="0"/>
        <v>45</v>
      </c>
    </row>
    <row r="37" spans="1:7" x14ac:dyDescent="0.25">
      <c r="A37">
        <v>2011</v>
      </c>
      <c r="B37">
        <v>121</v>
      </c>
      <c r="C37" s="61">
        <v>40664</v>
      </c>
      <c r="D37" t="s">
        <v>283</v>
      </c>
      <c r="E37">
        <v>90</v>
      </c>
      <c r="F37" s="62">
        <v>2.82</v>
      </c>
      <c r="G37">
        <f t="shared" si="0"/>
        <v>75</v>
      </c>
    </row>
    <row r="38" spans="1:7" x14ac:dyDescent="0.25">
      <c r="A38">
        <v>2011</v>
      </c>
      <c r="B38">
        <v>121</v>
      </c>
      <c r="C38" s="61">
        <v>40664</v>
      </c>
      <c r="D38" t="s">
        <v>284</v>
      </c>
      <c r="E38">
        <v>30</v>
      </c>
      <c r="F38" s="62">
        <v>2.84</v>
      </c>
      <c r="G38">
        <f t="shared" si="0"/>
        <v>15</v>
      </c>
    </row>
    <row r="39" spans="1:7" x14ac:dyDescent="0.25">
      <c r="A39">
        <v>2011</v>
      </c>
      <c r="B39">
        <v>121</v>
      </c>
      <c r="C39" s="61">
        <v>40664</v>
      </c>
      <c r="D39" t="s">
        <v>284</v>
      </c>
      <c r="E39">
        <v>60</v>
      </c>
      <c r="F39" s="62">
        <v>3.14</v>
      </c>
      <c r="G39">
        <f t="shared" si="0"/>
        <v>45</v>
      </c>
    </row>
    <row r="40" spans="1:7" x14ac:dyDescent="0.25">
      <c r="A40">
        <v>2011</v>
      </c>
      <c r="B40">
        <v>121</v>
      </c>
      <c r="C40" s="61">
        <v>40664</v>
      </c>
      <c r="D40" t="s">
        <v>284</v>
      </c>
      <c r="E40">
        <v>90</v>
      </c>
      <c r="F40" s="62">
        <v>4.4800000000000004</v>
      </c>
      <c r="G40">
        <f t="shared" si="0"/>
        <v>75</v>
      </c>
    </row>
    <row r="41" spans="1:7" x14ac:dyDescent="0.25">
      <c r="A41">
        <v>2011</v>
      </c>
      <c r="B41">
        <v>121</v>
      </c>
      <c r="C41" s="61">
        <v>40664</v>
      </c>
      <c r="D41" t="s">
        <v>285</v>
      </c>
      <c r="E41">
        <v>30</v>
      </c>
      <c r="F41" s="62">
        <v>2.5299999999999998</v>
      </c>
      <c r="G41">
        <f t="shared" si="0"/>
        <v>15</v>
      </c>
    </row>
    <row r="42" spans="1:7" x14ac:dyDescent="0.25">
      <c r="A42">
        <v>2011</v>
      </c>
      <c r="B42">
        <v>121</v>
      </c>
      <c r="C42" s="61">
        <v>40664</v>
      </c>
      <c r="D42" t="s">
        <v>285</v>
      </c>
      <c r="E42">
        <v>60</v>
      </c>
      <c r="F42" s="62">
        <v>7.8</v>
      </c>
      <c r="G42">
        <f t="shared" si="0"/>
        <v>45</v>
      </c>
    </row>
    <row r="43" spans="1:7" x14ac:dyDescent="0.25">
      <c r="A43">
        <v>2011</v>
      </c>
      <c r="B43">
        <v>121</v>
      </c>
      <c r="C43" s="61">
        <v>40664</v>
      </c>
      <c r="D43" t="s">
        <v>285</v>
      </c>
      <c r="E43">
        <v>90</v>
      </c>
      <c r="F43" s="62">
        <v>3.09</v>
      </c>
      <c r="G43">
        <f t="shared" si="0"/>
        <v>75</v>
      </c>
    </row>
    <row r="44" spans="1:7" x14ac:dyDescent="0.25">
      <c r="A44">
        <v>2011</v>
      </c>
      <c r="B44">
        <v>121</v>
      </c>
      <c r="C44" s="61">
        <v>40664</v>
      </c>
      <c r="D44" t="s">
        <v>286</v>
      </c>
      <c r="E44">
        <v>30</v>
      </c>
      <c r="F44" s="62">
        <v>10.3</v>
      </c>
      <c r="G44">
        <f t="shared" si="0"/>
        <v>15</v>
      </c>
    </row>
    <row r="45" spans="1:7" x14ac:dyDescent="0.25">
      <c r="A45">
        <v>2011</v>
      </c>
      <c r="B45">
        <v>121</v>
      </c>
      <c r="C45" s="61">
        <v>40664</v>
      </c>
      <c r="D45" t="s">
        <v>286</v>
      </c>
      <c r="E45">
        <v>60</v>
      </c>
      <c r="F45" s="62">
        <v>8.2200000000000006</v>
      </c>
      <c r="G45">
        <f t="shared" si="0"/>
        <v>45</v>
      </c>
    </row>
    <row r="46" spans="1:7" x14ac:dyDescent="0.25">
      <c r="A46">
        <v>2011</v>
      </c>
      <c r="B46">
        <v>121</v>
      </c>
      <c r="C46" s="61">
        <v>40664</v>
      </c>
      <c r="D46" t="s">
        <v>286</v>
      </c>
      <c r="E46">
        <v>90</v>
      </c>
      <c r="F46" s="62">
        <v>3.38</v>
      </c>
      <c r="G46">
        <f t="shared" si="0"/>
        <v>75</v>
      </c>
    </row>
    <row r="47" spans="1:7" x14ac:dyDescent="0.25">
      <c r="A47">
        <v>2011</v>
      </c>
      <c r="B47">
        <v>121</v>
      </c>
      <c r="C47" s="61">
        <v>40664</v>
      </c>
      <c r="D47" t="s">
        <v>287</v>
      </c>
      <c r="E47">
        <v>30</v>
      </c>
      <c r="F47" s="62">
        <v>11.44</v>
      </c>
      <c r="G47">
        <f t="shared" si="0"/>
        <v>15</v>
      </c>
    </row>
    <row r="48" spans="1:7" x14ac:dyDescent="0.25">
      <c r="A48">
        <v>2011</v>
      </c>
      <c r="B48">
        <v>121</v>
      </c>
      <c r="C48" s="61">
        <v>40664</v>
      </c>
      <c r="D48" t="s">
        <v>287</v>
      </c>
      <c r="E48">
        <v>60</v>
      </c>
      <c r="F48" s="62">
        <v>12.99</v>
      </c>
      <c r="G48">
        <f t="shared" si="0"/>
        <v>45</v>
      </c>
    </row>
    <row r="49" spans="1:7" x14ac:dyDescent="0.25">
      <c r="A49">
        <v>2011</v>
      </c>
      <c r="B49">
        <v>121</v>
      </c>
      <c r="C49" s="61">
        <v>40664</v>
      </c>
      <c r="D49" t="s">
        <v>287</v>
      </c>
      <c r="E49">
        <v>90</v>
      </c>
      <c r="F49" s="62">
        <v>17.64</v>
      </c>
      <c r="G49">
        <f t="shared" si="0"/>
        <v>75</v>
      </c>
    </row>
    <row r="50" spans="1:7" x14ac:dyDescent="0.25">
      <c r="A50">
        <v>2011</v>
      </c>
      <c r="B50">
        <v>121</v>
      </c>
      <c r="C50" s="61">
        <v>40664</v>
      </c>
      <c r="D50" t="s">
        <v>288</v>
      </c>
      <c r="E50">
        <v>30</v>
      </c>
      <c r="F50" s="62">
        <v>15.9</v>
      </c>
      <c r="G50">
        <f t="shared" si="0"/>
        <v>15</v>
      </c>
    </row>
    <row r="51" spans="1:7" x14ac:dyDescent="0.25">
      <c r="A51">
        <v>2011</v>
      </c>
      <c r="B51">
        <v>121</v>
      </c>
      <c r="C51" s="61">
        <v>40664</v>
      </c>
      <c r="D51" t="s">
        <v>288</v>
      </c>
      <c r="E51">
        <v>60</v>
      </c>
      <c r="F51" s="62">
        <v>16.559999999999999</v>
      </c>
      <c r="G51">
        <f t="shared" si="0"/>
        <v>45</v>
      </c>
    </row>
    <row r="52" spans="1:7" x14ac:dyDescent="0.25">
      <c r="A52">
        <v>2011</v>
      </c>
      <c r="B52">
        <v>121</v>
      </c>
      <c r="C52" s="61">
        <v>40664</v>
      </c>
      <c r="D52" t="s">
        <v>288</v>
      </c>
      <c r="E52">
        <v>90</v>
      </c>
      <c r="F52" s="62">
        <v>11.08</v>
      </c>
      <c r="G52">
        <f t="shared" si="0"/>
        <v>75</v>
      </c>
    </row>
    <row r="53" spans="1:7" x14ac:dyDescent="0.25">
      <c r="A53">
        <v>2011</v>
      </c>
      <c r="B53">
        <v>121</v>
      </c>
      <c r="C53" s="61">
        <v>40664</v>
      </c>
      <c r="D53" t="s">
        <v>289</v>
      </c>
      <c r="E53">
        <v>30</v>
      </c>
      <c r="F53" s="62">
        <v>14.43</v>
      </c>
      <c r="G53">
        <f t="shared" si="0"/>
        <v>15</v>
      </c>
    </row>
    <row r="54" spans="1:7" x14ac:dyDescent="0.25">
      <c r="A54">
        <v>2011</v>
      </c>
      <c r="B54">
        <v>121</v>
      </c>
      <c r="C54" s="61">
        <v>40664</v>
      </c>
      <c r="D54" t="s">
        <v>289</v>
      </c>
      <c r="E54">
        <v>60</v>
      </c>
      <c r="F54" s="62">
        <v>8.85</v>
      </c>
      <c r="G54">
        <f t="shared" si="0"/>
        <v>45</v>
      </c>
    </row>
    <row r="55" spans="1:7" x14ac:dyDescent="0.25">
      <c r="A55">
        <v>2011</v>
      </c>
      <c r="B55">
        <v>121</v>
      </c>
      <c r="C55" s="61">
        <v>40664</v>
      </c>
      <c r="D55" t="s">
        <v>289</v>
      </c>
      <c r="E55">
        <v>90</v>
      </c>
      <c r="F55" s="62">
        <v>2.4700000000000002</v>
      </c>
      <c r="G55">
        <f t="shared" si="0"/>
        <v>75</v>
      </c>
    </row>
    <row r="56" spans="1:7" x14ac:dyDescent="0.25">
      <c r="A56">
        <v>2011</v>
      </c>
      <c r="B56">
        <v>121</v>
      </c>
      <c r="C56" s="61">
        <v>40664</v>
      </c>
      <c r="D56" t="s">
        <v>290</v>
      </c>
      <c r="E56">
        <v>30</v>
      </c>
      <c r="F56" s="62">
        <v>12.08</v>
      </c>
      <c r="G56">
        <f t="shared" si="0"/>
        <v>15</v>
      </c>
    </row>
    <row r="57" spans="1:7" x14ac:dyDescent="0.25">
      <c r="A57">
        <v>2011</v>
      </c>
      <c r="B57">
        <v>121</v>
      </c>
      <c r="C57" s="61">
        <v>40664</v>
      </c>
      <c r="D57" t="s">
        <v>290</v>
      </c>
      <c r="E57">
        <v>60</v>
      </c>
      <c r="F57" s="62">
        <v>9.43</v>
      </c>
      <c r="G57">
        <f t="shared" si="0"/>
        <v>45</v>
      </c>
    </row>
    <row r="58" spans="1:7" x14ac:dyDescent="0.25">
      <c r="A58">
        <v>2011</v>
      </c>
      <c r="B58">
        <v>121</v>
      </c>
      <c r="C58" s="61">
        <v>40664</v>
      </c>
      <c r="D58" t="s">
        <v>290</v>
      </c>
      <c r="E58">
        <v>90</v>
      </c>
      <c r="F58" s="62">
        <v>1.95</v>
      </c>
      <c r="G58">
        <f t="shared" si="0"/>
        <v>75</v>
      </c>
    </row>
    <row r="59" spans="1:7" x14ac:dyDescent="0.25">
      <c r="A59">
        <v>2011</v>
      </c>
      <c r="B59">
        <v>121</v>
      </c>
      <c r="C59" s="61">
        <v>40664</v>
      </c>
      <c r="D59" t="s">
        <v>291</v>
      </c>
      <c r="E59">
        <v>30</v>
      </c>
      <c r="F59" s="62">
        <v>13.59</v>
      </c>
      <c r="G59">
        <f t="shared" si="0"/>
        <v>15</v>
      </c>
    </row>
    <row r="60" spans="1:7" x14ac:dyDescent="0.25">
      <c r="A60">
        <v>2011</v>
      </c>
      <c r="B60">
        <v>121</v>
      </c>
      <c r="C60" s="61">
        <v>40664</v>
      </c>
      <c r="D60" t="s">
        <v>291</v>
      </c>
      <c r="E60">
        <v>60</v>
      </c>
      <c r="F60" s="62">
        <v>11.23</v>
      </c>
      <c r="G60">
        <f t="shared" si="0"/>
        <v>45</v>
      </c>
    </row>
    <row r="61" spans="1:7" x14ac:dyDescent="0.25">
      <c r="A61">
        <v>2011</v>
      </c>
      <c r="B61">
        <v>121</v>
      </c>
      <c r="C61" s="61">
        <v>40664</v>
      </c>
      <c r="D61" t="s">
        <v>291</v>
      </c>
      <c r="E61">
        <v>90</v>
      </c>
      <c r="F61" s="62">
        <v>10.74</v>
      </c>
      <c r="G61">
        <f t="shared" si="0"/>
        <v>75</v>
      </c>
    </row>
    <row r="62" spans="1:7" x14ac:dyDescent="0.25">
      <c r="A62">
        <v>2011</v>
      </c>
      <c r="B62">
        <v>121</v>
      </c>
      <c r="C62" s="61">
        <v>40664</v>
      </c>
      <c r="D62" t="s">
        <v>292</v>
      </c>
      <c r="E62">
        <v>30</v>
      </c>
      <c r="F62" s="62">
        <v>12.77</v>
      </c>
      <c r="G62">
        <f t="shared" si="0"/>
        <v>15</v>
      </c>
    </row>
    <row r="63" spans="1:7" x14ac:dyDescent="0.25">
      <c r="A63">
        <v>2011</v>
      </c>
      <c r="B63">
        <v>121</v>
      </c>
      <c r="C63" s="61">
        <v>40664</v>
      </c>
      <c r="D63" t="s">
        <v>292</v>
      </c>
      <c r="E63">
        <v>60</v>
      </c>
      <c r="F63" s="62">
        <v>7.2</v>
      </c>
      <c r="G63">
        <f t="shared" si="0"/>
        <v>45</v>
      </c>
    </row>
    <row r="64" spans="1:7" x14ac:dyDescent="0.25">
      <c r="A64">
        <v>2011</v>
      </c>
      <c r="B64">
        <v>121</v>
      </c>
      <c r="C64" s="61">
        <v>40664</v>
      </c>
      <c r="D64" t="s">
        <v>292</v>
      </c>
      <c r="E64">
        <v>90</v>
      </c>
      <c r="F64" s="62">
        <v>2.4</v>
      </c>
      <c r="G64">
        <f t="shared" si="0"/>
        <v>75</v>
      </c>
    </row>
    <row r="65" spans="1:7" x14ac:dyDescent="0.25">
      <c r="A65">
        <v>2011</v>
      </c>
      <c r="B65">
        <v>121</v>
      </c>
      <c r="C65" s="61">
        <v>40664</v>
      </c>
      <c r="D65" t="s">
        <v>293</v>
      </c>
      <c r="E65">
        <v>30</v>
      </c>
      <c r="F65" s="62">
        <v>29.19</v>
      </c>
      <c r="G65">
        <f t="shared" si="0"/>
        <v>15</v>
      </c>
    </row>
    <row r="66" spans="1:7" x14ac:dyDescent="0.25">
      <c r="A66">
        <v>2011</v>
      </c>
      <c r="B66">
        <v>121</v>
      </c>
      <c r="C66" s="61">
        <v>40664</v>
      </c>
      <c r="D66" t="s">
        <v>293</v>
      </c>
      <c r="E66">
        <v>60</v>
      </c>
      <c r="F66" s="62">
        <v>24.34</v>
      </c>
      <c r="G66">
        <f t="shared" si="0"/>
        <v>45</v>
      </c>
    </row>
    <row r="67" spans="1:7" x14ac:dyDescent="0.25">
      <c r="A67">
        <v>2011</v>
      </c>
      <c r="B67">
        <v>121</v>
      </c>
      <c r="C67" s="61">
        <v>40664</v>
      </c>
      <c r="D67" t="s">
        <v>293</v>
      </c>
      <c r="E67">
        <v>90</v>
      </c>
      <c r="F67" s="62">
        <v>15.7</v>
      </c>
      <c r="G67">
        <f t="shared" ref="G67:G130" si="1">E67-15</f>
        <v>75</v>
      </c>
    </row>
    <row r="68" spans="1:7" x14ac:dyDescent="0.25">
      <c r="A68">
        <v>2011</v>
      </c>
      <c r="B68">
        <v>121</v>
      </c>
      <c r="C68" s="61">
        <v>40664</v>
      </c>
      <c r="D68" t="s">
        <v>294</v>
      </c>
      <c r="E68">
        <v>30</v>
      </c>
      <c r="F68" s="62">
        <v>13.88</v>
      </c>
      <c r="G68">
        <f t="shared" si="1"/>
        <v>15</v>
      </c>
    </row>
    <row r="69" spans="1:7" x14ac:dyDescent="0.25">
      <c r="A69">
        <v>2011</v>
      </c>
      <c r="B69">
        <v>121</v>
      </c>
      <c r="C69" s="61">
        <v>40664</v>
      </c>
      <c r="D69" t="s">
        <v>294</v>
      </c>
      <c r="E69">
        <v>60</v>
      </c>
      <c r="F69" s="62">
        <v>10.35</v>
      </c>
      <c r="G69">
        <f t="shared" si="1"/>
        <v>45</v>
      </c>
    </row>
    <row r="70" spans="1:7" x14ac:dyDescent="0.25">
      <c r="A70">
        <v>2011</v>
      </c>
      <c r="B70">
        <v>121</v>
      </c>
      <c r="C70" s="61">
        <v>40664</v>
      </c>
      <c r="D70" t="s">
        <v>294</v>
      </c>
      <c r="E70">
        <v>90</v>
      </c>
      <c r="F70" s="62">
        <v>6.84</v>
      </c>
      <c r="G70">
        <f t="shared" si="1"/>
        <v>75</v>
      </c>
    </row>
    <row r="71" spans="1:7" x14ac:dyDescent="0.25">
      <c r="A71">
        <v>2011</v>
      </c>
      <c r="B71">
        <v>121</v>
      </c>
      <c r="C71" s="61">
        <v>40664</v>
      </c>
      <c r="D71" t="s">
        <v>295</v>
      </c>
      <c r="E71">
        <v>30</v>
      </c>
      <c r="F71" s="62">
        <v>18.760000000000002</v>
      </c>
      <c r="G71">
        <f t="shared" si="1"/>
        <v>15</v>
      </c>
    </row>
    <row r="72" spans="1:7" x14ac:dyDescent="0.25">
      <c r="A72">
        <v>2011</v>
      </c>
      <c r="B72">
        <v>121</v>
      </c>
      <c r="C72" s="61">
        <v>40664</v>
      </c>
      <c r="D72" t="s">
        <v>295</v>
      </c>
      <c r="E72">
        <v>60</v>
      </c>
      <c r="F72" s="62">
        <v>7.39</v>
      </c>
      <c r="G72">
        <f t="shared" si="1"/>
        <v>45</v>
      </c>
    </row>
    <row r="73" spans="1:7" x14ac:dyDescent="0.25">
      <c r="A73">
        <v>2011</v>
      </c>
      <c r="B73">
        <v>121</v>
      </c>
      <c r="C73" s="61">
        <v>40664</v>
      </c>
      <c r="D73" t="s">
        <v>295</v>
      </c>
      <c r="E73">
        <v>90</v>
      </c>
      <c r="F73" s="62">
        <v>2.36</v>
      </c>
      <c r="G73">
        <f t="shared" si="1"/>
        <v>75</v>
      </c>
    </row>
    <row r="74" spans="1:7" x14ac:dyDescent="0.25">
      <c r="A74">
        <v>2011</v>
      </c>
      <c r="B74">
        <v>121</v>
      </c>
      <c r="C74" s="61">
        <v>40664</v>
      </c>
      <c r="D74" t="s">
        <v>296</v>
      </c>
      <c r="E74">
        <v>30</v>
      </c>
      <c r="F74" s="62">
        <v>9.4700000000000006</v>
      </c>
      <c r="G74">
        <f t="shared" si="1"/>
        <v>15</v>
      </c>
    </row>
    <row r="75" spans="1:7" x14ac:dyDescent="0.25">
      <c r="A75">
        <v>2011</v>
      </c>
      <c r="B75">
        <v>121</v>
      </c>
      <c r="C75" s="61">
        <v>40664</v>
      </c>
      <c r="D75" t="s">
        <v>296</v>
      </c>
      <c r="E75">
        <v>60</v>
      </c>
      <c r="F75" s="62">
        <v>7.44</v>
      </c>
      <c r="G75">
        <f t="shared" si="1"/>
        <v>45</v>
      </c>
    </row>
    <row r="76" spans="1:7" x14ac:dyDescent="0.25">
      <c r="A76">
        <v>2011</v>
      </c>
      <c r="B76">
        <v>121</v>
      </c>
      <c r="C76" s="61">
        <v>40664</v>
      </c>
      <c r="D76" t="s">
        <v>296</v>
      </c>
      <c r="E76">
        <v>90</v>
      </c>
      <c r="F76" s="62">
        <v>5.64</v>
      </c>
      <c r="G76">
        <f t="shared" si="1"/>
        <v>75</v>
      </c>
    </row>
    <row r="77" spans="1:7" x14ac:dyDescent="0.25">
      <c r="A77">
        <v>2011</v>
      </c>
      <c r="B77">
        <v>121</v>
      </c>
      <c r="C77" s="61">
        <v>40664</v>
      </c>
      <c r="D77" t="s">
        <v>297</v>
      </c>
      <c r="E77">
        <v>30</v>
      </c>
      <c r="F77" s="62">
        <v>20.48</v>
      </c>
      <c r="G77">
        <f t="shared" si="1"/>
        <v>15</v>
      </c>
    </row>
    <row r="78" spans="1:7" x14ac:dyDescent="0.25">
      <c r="A78">
        <v>2011</v>
      </c>
      <c r="B78">
        <v>121</v>
      </c>
      <c r="C78" s="61">
        <v>40664</v>
      </c>
      <c r="D78" t="s">
        <v>297</v>
      </c>
      <c r="E78">
        <v>60</v>
      </c>
      <c r="F78" s="62">
        <v>5.17</v>
      </c>
      <c r="G78">
        <f t="shared" si="1"/>
        <v>45</v>
      </c>
    </row>
    <row r="79" spans="1:7" x14ac:dyDescent="0.25">
      <c r="A79">
        <v>2011</v>
      </c>
      <c r="B79">
        <v>121</v>
      </c>
      <c r="C79" s="61">
        <v>40664</v>
      </c>
      <c r="D79" t="s">
        <v>297</v>
      </c>
      <c r="E79">
        <v>90</v>
      </c>
      <c r="F79" s="62">
        <v>3.45</v>
      </c>
      <c r="G79">
        <f t="shared" si="1"/>
        <v>75</v>
      </c>
    </row>
    <row r="80" spans="1:7" x14ac:dyDescent="0.25">
      <c r="A80">
        <v>2011</v>
      </c>
      <c r="B80">
        <v>121</v>
      </c>
      <c r="C80" s="61">
        <v>40664</v>
      </c>
      <c r="D80" t="s">
        <v>298</v>
      </c>
      <c r="E80">
        <v>30</v>
      </c>
      <c r="F80" s="62">
        <v>9.82</v>
      </c>
      <c r="G80">
        <f t="shared" si="1"/>
        <v>15</v>
      </c>
    </row>
    <row r="81" spans="1:7" x14ac:dyDescent="0.25">
      <c r="A81">
        <v>2011</v>
      </c>
      <c r="B81">
        <v>121</v>
      </c>
      <c r="C81" s="61">
        <v>40664</v>
      </c>
      <c r="D81" t="s">
        <v>298</v>
      </c>
      <c r="E81">
        <v>60</v>
      </c>
      <c r="F81" s="62">
        <v>10.46</v>
      </c>
      <c r="G81">
        <f t="shared" si="1"/>
        <v>45</v>
      </c>
    </row>
    <row r="82" spans="1:7" x14ac:dyDescent="0.25">
      <c r="A82">
        <v>2011</v>
      </c>
      <c r="B82">
        <v>121</v>
      </c>
      <c r="C82" s="61">
        <v>40664</v>
      </c>
      <c r="D82" t="s">
        <v>298</v>
      </c>
      <c r="E82">
        <v>90</v>
      </c>
      <c r="F82" s="62">
        <v>13.55</v>
      </c>
      <c r="G82">
        <f t="shared" si="1"/>
        <v>75</v>
      </c>
    </row>
    <row r="83" spans="1:7" x14ac:dyDescent="0.25">
      <c r="A83">
        <v>2011</v>
      </c>
      <c r="B83">
        <v>121</v>
      </c>
      <c r="C83" s="61">
        <v>40664</v>
      </c>
      <c r="D83" t="s">
        <v>299</v>
      </c>
      <c r="E83">
        <v>30</v>
      </c>
      <c r="F83" s="62">
        <v>21.27</v>
      </c>
      <c r="G83">
        <f t="shared" si="1"/>
        <v>15</v>
      </c>
    </row>
    <row r="84" spans="1:7" x14ac:dyDescent="0.25">
      <c r="A84">
        <v>2011</v>
      </c>
      <c r="B84">
        <v>121</v>
      </c>
      <c r="C84" s="61">
        <v>40664</v>
      </c>
      <c r="D84" t="s">
        <v>299</v>
      </c>
      <c r="E84">
        <v>60</v>
      </c>
      <c r="F84" s="62">
        <v>18.54</v>
      </c>
      <c r="G84">
        <f t="shared" si="1"/>
        <v>45</v>
      </c>
    </row>
    <row r="85" spans="1:7" x14ac:dyDescent="0.25">
      <c r="A85">
        <v>2011</v>
      </c>
      <c r="B85">
        <v>121</v>
      </c>
      <c r="C85" s="61">
        <v>40664</v>
      </c>
      <c r="D85" t="s">
        <v>299</v>
      </c>
      <c r="E85">
        <v>90</v>
      </c>
      <c r="F85" s="62">
        <v>19.45</v>
      </c>
      <c r="G85">
        <f t="shared" si="1"/>
        <v>75</v>
      </c>
    </row>
    <row r="86" spans="1:7" x14ac:dyDescent="0.25">
      <c r="A86">
        <v>2011</v>
      </c>
      <c r="B86">
        <v>121</v>
      </c>
      <c r="C86" s="61">
        <v>40664</v>
      </c>
      <c r="D86" t="s">
        <v>300</v>
      </c>
      <c r="E86">
        <v>30</v>
      </c>
      <c r="F86" s="62">
        <v>19.84</v>
      </c>
      <c r="G86">
        <f t="shared" si="1"/>
        <v>15</v>
      </c>
    </row>
    <row r="87" spans="1:7" x14ac:dyDescent="0.25">
      <c r="A87">
        <v>2011</v>
      </c>
      <c r="B87">
        <v>121</v>
      </c>
      <c r="C87" s="61">
        <v>40664</v>
      </c>
      <c r="D87" t="s">
        <v>300</v>
      </c>
      <c r="E87">
        <v>60</v>
      </c>
      <c r="F87" s="62">
        <v>18.95</v>
      </c>
      <c r="G87">
        <f t="shared" si="1"/>
        <v>45</v>
      </c>
    </row>
    <row r="88" spans="1:7" x14ac:dyDescent="0.25">
      <c r="A88">
        <v>2011</v>
      </c>
      <c r="B88">
        <v>121</v>
      </c>
      <c r="C88" s="61">
        <v>40664</v>
      </c>
      <c r="D88" t="s">
        <v>300</v>
      </c>
      <c r="E88">
        <v>90</v>
      </c>
      <c r="F88" s="62">
        <v>15.55</v>
      </c>
      <c r="G88">
        <f t="shared" si="1"/>
        <v>75</v>
      </c>
    </row>
    <row r="89" spans="1:7" x14ac:dyDescent="0.25">
      <c r="A89">
        <v>2011</v>
      </c>
      <c r="B89">
        <v>121</v>
      </c>
      <c r="C89" s="61">
        <v>40664</v>
      </c>
      <c r="D89" t="s">
        <v>301</v>
      </c>
      <c r="E89">
        <v>30</v>
      </c>
      <c r="F89" s="62">
        <v>15.62</v>
      </c>
      <c r="G89">
        <f t="shared" si="1"/>
        <v>15</v>
      </c>
    </row>
    <row r="90" spans="1:7" x14ac:dyDescent="0.25">
      <c r="A90">
        <v>2011</v>
      </c>
      <c r="B90">
        <v>121</v>
      </c>
      <c r="C90" s="61">
        <v>40664</v>
      </c>
      <c r="D90" t="s">
        <v>301</v>
      </c>
      <c r="E90">
        <v>60</v>
      </c>
      <c r="F90" s="62">
        <v>10.49</v>
      </c>
      <c r="G90">
        <f t="shared" si="1"/>
        <v>45</v>
      </c>
    </row>
    <row r="91" spans="1:7" x14ac:dyDescent="0.25">
      <c r="A91">
        <v>2011</v>
      </c>
      <c r="B91">
        <v>121</v>
      </c>
      <c r="C91" s="61">
        <v>40664</v>
      </c>
      <c r="D91" t="s">
        <v>301</v>
      </c>
      <c r="E91">
        <v>90</v>
      </c>
      <c r="F91" s="62">
        <v>10.5</v>
      </c>
      <c r="G91">
        <f t="shared" si="1"/>
        <v>75</v>
      </c>
    </row>
    <row r="92" spans="1:7" x14ac:dyDescent="0.25">
      <c r="A92">
        <v>2011</v>
      </c>
      <c r="B92">
        <v>121</v>
      </c>
      <c r="C92" s="61">
        <v>40664</v>
      </c>
      <c r="D92" t="s">
        <v>302</v>
      </c>
      <c r="E92">
        <v>30</v>
      </c>
      <c r="F92" s="62">
        <v>11.44</v>
      </c>
      <c r="G92">
        <f t="shared" si="1"/>
        <v>15</v>
      </c>
    </row>
    <row r="93" spans="1:7" x14ac:dyDescent="0.25">
      <c r="A93">
        <v>2011</v>
      </c>
      <c r="B93">
        <v>121</v>
      </c>
      <c r="C93" s="61">
        <v>40664</v>
      </c>
      <c r="D93" t="s">
        <v>302</v>
      </c>
      <c r="E93">
        <v>60</v>
      </c>
      <c r="F93" s="62">
        <v>15.62</v>
      </c>
      <c r="G93">
        <f t="shared" si="1"/>
        <v>45</v>
      </c>
    </row>
    <row r="94" spans="1:7" x14ac:dyDescent="0.25">
      <c r="A94">
        <v>2011</v>
      </c>
      <c r="B94">
        <v>121</v>
      </c>
      <c r="C94" s="61">
        <v>40664</v>
      </c>
      <c r="D94" t="s">
        <v>302</v>
      </c>
      <c r="E94">
        <v>90</v>
      </c>
      <c r="F94" s="62">
        <v>14.12</v>
      </c>
      <c r="G94">
        <f t="shared" si="1"/>
        <v>75</v>
      </c>
    </row>
    <row r="95" spans="1:7" x14ac:dyDescent="0.25">
      <c r="A95">
        <v>2011</v>
      </c>
      <c r="B95">
        <v>121</v>
      </c>
      <c r="C95" s="61">
        <v>40664</v>
      </c>
      <c r="D95" t="s">
        <v>303</v>
      </c>
      <c r="E95">
        <v>30</v>
      </c>
      <c r="F95" s="62">
        <v>17.920000000000002</v>
      </c>
      <c r="G95">
        <f t="shared" si="1"/>
        <v>15</v>
      </c>
    </row>
    <row r="96" spans="1:7" x14ac:dyDescent="0.25">
      <c r="A96">
        <v>2011</v>
      </c>
      <c r="B96">
        <v>121</v>
      </c>
      <c r="C96" s="61">
        <v>40664</v>
      </c>
      <c r="D96" t="s">
        <v>303</v>
      </c>
      <c r="E96">
        <v>60</v>
      </c>
      <c r="F96" s="62">
        <v>7.47</v>
      </c>
      <c r="G96">
        <f t="shared" si="1"/>
        <v>45</v>
      </c>
    </row>
    <row r="97" spans="1:7" x14ac:dyDescent="0.25">
      <c r="A97">
        <v>2011</v>
      </c>
      <c r="B97">
        <v>121</v>
      </c>
      <c r="C97" s="61">
        <v>40664</v>
      </c>
      <c r="D97" t="s">
        <v>303</v>
      </c>
      <c r="E97">
        <v>90</v>
      </c>
      <c r="F97" s="62">
        <v>2.61</v>
      </c>
      <c r="G97">
        <f t="shared" si="1"/>
        <v>75</v>
      </c>
    </row>
    <row r="98" spans="1:7" x14ac:dyDescent="0.25">
      <c r="A98">
        <v>2011</v>
      </c>
      <c r="B98">
        <v>121</v>
      </c>
      <c r="C98" s="61">
        <v>40664</v>
      </c>
      <c r="D98" t="s">
        <v>304</v>
      </c>
      <c r="E98">
        <v>30</v>
      </c>
      <c r="F98" s="62">
        <v>21.94</v>
      </c>
      <c r="G98">
        <f t="shared" si="1"/>
        <v>15</v>
      </c>
    </row>
    <row r="99" spans="1:7" x14ac:dyDescent="0.25">
      <c r="A99">
        <v>2011</v>
      </c>
      <c r="B99">
        <v>121</v>
      </c>
      <c r="C99" s="61">
        <v>40664</v>
      </c>
      <c r="D99" t="s">
        <v>304</v>
      </c>
      <c r="E99">
        <v>60</v>
      </c>
      <c r="F99" s="62">
        <v>9.7100000000000009</v>
      </c>
      <c r="G99">
        <f t="shared" si="1"/>
        <v>45</v>
      </c>
    </row>
    <row r="100" spans="1:7" x14ac:dyDescent="0.25">
      <c r="A100">
        <v>2011</v>
      </c>
      <c r="B100">
        <v>121</v>
      </c>
      <c r="C100" s="61">
        <v>40664</v>
      </c>
      <c r="D100" t="s">
        <v>304</v>
      </c>
      <c r="E100">
        <v>90</v>
      </c>
      <c r="F100" s="62">
        <v>3.65</v>
      </c>
      <c r="G100">
        <f t="shared" si="1"/>
        <v>75</v>
      </c>
    </row>
    <row r="101" spans="1:7" x14ac:dyDescent="0.25">
      <c r="A101">
        <v>2011</v>
      </c>
      <c r="B101">
        <v>121</v>
      </c>
      <c r="C101" s="61">
        <v>40664</v>
      </c>
      <c r="D101" t="s">
        <v>305</v>
      </c>
      <c r="E101">
        <v>30</v>
      </c>
      <c r="F101" s="62">
        <v>15.19</v>
      </c>
      <c r="G101">
        <f t="shared" si="1"/>
        <v>15</v>
      </c>
    </row>
    <row r="102" spans="1:7" x14ac:dyDescent="0.25">
      <c r="A102">
        <v>2011</v>
      </c>
      <c r="B102">
        <v>121</v>
      </c>
      <c r="C102" s="61">
        <v>40664</v>
      </c>
      <c r="D102" t="s">
        <v>305</v>
      </c>
      <c r="E102">
        <v>60</v>
      </c>
      <c r="F102" s="62">
        <v>10.27</v>
      </c>
      <c r="G102">
        <f t="shared" si="1"/>
        <v>45</v>
      </c>
    </row>
    <row r="103" spans="1:7" x14ac:dyDescent="0.25">
      <c r="A103">
        <v>2011</v>
      </c>
      <c r="B103">
        <v>121</v>
      </c>
      <c r="C103" s="61">
        <v>40664</v>
      </c>
      <c r="D103" t="s">
        <v>305</v>
      </c>
      <c r="E103">
        <v>90</v>
      </c>
      <c r="F103" s="62">
        <v>11.17</v>
      </c>
      <c r="G103">
        <f t="shared" si="1"/>
        <v>75</v>
      </c>
    </row>
    <row r="104" spans="1:7" x14ac:dyDescent="0.25">
      <c r="A104">
        <v>2011</v>
      </c>
      <c r="B104">
        <v>121</v>
      </c>
      <c r="C104" s="61">
        <v>40664</v>
      </c>
      <c r="D104" t="s">
        <v>306</v>
      </c>
      <c r="E104">
        <v>30</v>
      </c>
      <c r="F104" s="62">
        <v>33.729999999999997</v>
      </c>
      <c r="G104">
        <f t="shared" si="1"/>
        <v>15</v>
      </c>
    </row>
    <row r="105" spans="1:7" x14ac:dyDescent="0.25">
      <c r="A105">
        <v>2011</v>
      </c>
      <c r="B105">
        <v>121</v>
      </c>
      <c r="C105" s="61">
        <v>40664</v>
      </c>
      <c r="D105" t="s">
        <v>306</v>
      </c>
      <c r="E105">
        <v>60</v>
      </c>
      <c r="F105" s="62">
        <v>18.059999999999999</v>
      </c>
      <c r="G105">
        <f t="shared" si="1"/>
        <v>45</v>
      </c>
    </row>
    <row r="106" spans="1:7" x14ac:dyDescent="0.25">
      <c r="A106">
        <v>2011</v>
      </c>
      <c r="B106">
        <v>121</v>
      </c>
      <c r="C106" s="61">
        <v>40664</v>
      </c>
      <c r="D106" t="s">
        <v>306</v>
      </c>
      <c r="E106">
        <v>90</v>
      </c>
      <c r="F106" s="62">
        <v>10.52</v>
      </c>
      <c r="G106">
        <f t="shared" si="1"/>
        <v>75</v>
      </c>
    </row>
    <row r="107" spans="1:7" x14ac:dyDescent="0.25">
      <c r="A107">
        <v>2011</v>
      </c>
      <c r="B107">
        <v>121</v>
      </c>
      <c r="C107" s="61">
        <v>40664</v>
      </c>
      <c r="D107" t="s">
        <v>307</v>
      </c>
      <c r="E107">
        <v>30</v>
      </c>
      <c r="F107" s="62">
        <v>30.43</v>
      </c>
      <c r="G107">
        <f t="shared" si="1"/>
        <v>15</v>
      </c>
    </row>
    <row r="108" spans="1:7" x14ac:dyDescent="0.25">
      <c r="A108">
        <v>2011</v>
      </c>
      <c r="B108">
        <v>121</v>
      </c>
      <c r="C108" s="61">
        <v>40664</v>
      </c>
      <c r="D108" t="s">
        <v>307</v>
      </c>
      <c r="E108">
        <v>60</v>
      </c>
      <c r="F108" s="62">
        <v>8.61</v>
      </c>
      <c r="G108">
        <f t="shared" si="1"/>
        <v>45</v>
      </c>
    </row>
    <row r="109" spans="1:7" x14ac:dyDescent="0.25">
      <c r="A109">
        <v>2011</v>
      </c>
      <c r="B109">
        <v>121</v>
      </c>
      <c r="C109" s="61">
        <v>40664</v>
      </c>
      <c r="D109" t="s">
        <v>307</v>
      </c>
      <c r="E109">
        <v>90</v>
      </c>
      <c r="F109" s="62">
        <v>6.95</v>
      </c>
      <c r="G109">
        <f t="shared" si="1"/>
        <v>75</v>
      </c>
    </row>
    <row r="110" spans="1:7" x14ac:dyDescent="0.25">
      <c r="A110">
        <v>2011</v>
      </c>
      <c r="B110">
        <v>121</v>
      </c>
      <c r="C110" s="61">
        <v>40664</v>
      </c>
      <c r="D110" t="s">
        <v>308</v>
      </c>
      <c r="E110">
        <v>30</v>
      </c>
      <c r="F110" s="62">
        <v>39.85</v>
      </c>
      <c r="G110">
        <f t="shared" si="1"/>
        <v>15</v>
      </c>
    </row>
    <row r="111" spans="1:7" x14ac:dyDescent="0.25">
      <c r="A111">
        <v>2011</v>
      </c>
      <c r="B111">
        <v>121</v>
      </c>
      <c r="C111" s="61">
        <v>40664</v>
      </c>
      <c r="D111" t="s">
        <v>308</v>
      </c>
      <c r="E111">
        <v>60</v>
      </c>
      <c r="F111" s="62">
        <v>14.24</v>
      </c>
      <c r="G111">
        <f t="shared" si="1"/>
        <v>45</v>
      </c>
    </row>
    <row r="112" spans="1:7" x14ac:dyDescent="0.25">
      <c r="A112">
        <v>2011</v>
      </c>
      <c r="B112">
        <v>121</v>
      </c>
      <c r="C112" s="61">
        <v>40664</v>
      </c>
      <c r="D112" t="s">
        <v>308</v>
      </c>
      <c r="E112">
        <v>90</v>
      </c>
      <c r="F112" s="62">
        <v>5.4</v>
      </c>
      <c r="G112">
        <f t="shared" si="1"/>
        <v>75</v>
      </c>
    </row>
    <row r="113" spans="1:7" x14ac:dyDescent="0.25">
      <c r="A113">
        <v>2011</v>
      </c>
      <c r="B113">
        <v>121</v>
      </c>
      <c r="C113" s="61">
        <v>40664</v>
      </c>
      <c r="D113" t="s">
        <v>309</v>
      </c>
      <c r="E113">
        <v>30</v>
      </c>
      <c r="F113" s="62">
        <v>15.47</v>
      </c>
      <c r="G113">
        <f t="shared" si="1"/>
        <v>15</v>
      </c>
    </row>
    <row r="114" spans="1:7" x14ac:dyDescent="0.25">
      <c r="A114">
        <v>2011</v>
      </c>
      <c r="B114">
        <v>121</v>
      </c>
      <c r="C114" s="61">
        <v>40664</v>
      </c>
      <c r="D114" t="s">
        <v>309</v>
      </c>
      <c r="E114">
        <v>60</v>
      </c>
      <c r="F114" s="62">
        <v>8.36</v>
      </c>
      <c r="G114">
        <f t="shared" si="1"/>
        <v>45</v>
      </c>
    </row>
    <row r="115" spans="1:7" x14ac:dyDescent="0.25">
      <c r="A115">
        <v>2011</v>
      </c>
      <c r="B115">
        <v>121</v>
      </c>
      <c r="C115" s="61">
        <v>40664</v>
      </c>
      <c r="D115" t="s">
        <v>309</v>
      </c>
      <c r="E115">
        <v>90</v>
      </c>
      <c r="F115" s="62">
        <v>9.14</v>
      </c>
      <c r="G115">
        <f t="shared" si="1"/>
        <v>75</v>
      </c>
    </row>
    <row r="116" spans="1:7" x14ac:dyDescent="0.25">
      <c r="A116">
        <v>2011</v>
      </c>
      <c r="B116">
        <v>121</v>
      </c>
      <c r="C116" s="61">
        <v>40664</v>
      </c>
      <c r="D116" t="s">
        <v>310</v>
      </c>
      <c r="E116">
        <v>30</v>
      </c>
      <c r="F116" s="62">
        <v>11.18</v>
      </c>
      <c r="G116">
        <f t="shared" si="1"/>
        <v>15</v>
      </c>
    </row>
    <row r="117" spans="1:7" x14ac:dyDescent="0.25">
      <c r="A117">
        <v>2011</v>
      </c>
      <c r="B117">
        <v>121</v>
      </c>
      <c r="C117" s="61">
        <v>40664</v>
      </c>
      <c r="D117" t="s">
        <v>310</v>
      </c>
      <c r="E117">
        <v>60</v>
      </c>
      <c r="F117" s="62">
        <v>7.21</v>
      </c>
      <c r="G117">
        <f t="shared" si="1"/>
        <v>45</v>
      </c>
    </row>
    <row r="118" spans="1:7" x14ac:dyDescent="0.25">
      <c r="A118">
        <v>2011</v>
      </c>
      <c r="B118">
        <v>121</v>
      </c>
      <c r="C118" s="61">
        <v>40664</v>
      </c>
      <c r="D118" t="s">
        <v>310</v>
      </c>
      <c r="E118">
        <v>90</v>
      </c>
      <c r="F118" s="62">
        <v>2.41</v>
      </c>
      <c r="G118">
        <f t="shared" si="1"/>
        <v>75</v>
      </c>
    </row>
    <row r="119" spans="1:7" x14ac:dyDescent="0.25">
      <c r="A119">
        <v>2011</v>
      </c>
      <c r="B119">
        <v>121</v>
      </c>
      <c r="C119" s="61">
        <v>40664</v>
      </c>
      <c r="D119" t="s">
        <v>311</v>
      </c>
      <c r="E119">
        <v>30</v>
      </c>
      <c r="F119" s="62">
        <v>30.78</v>
      </c>
      <c r="G119">
        <f t="shared" si="1"/>
        <v>15</v>
      </c>
    </row>
    <row r="120" spans="1:7" x14ac:dyDescent="0.25">
      <c r="A120">
        <v>2011</v>
      </c>
      <c r="B120">
        <v>121</v>
      </c>
      <c r="C120" s="61">
        <v>40664</v>
      </c>
      <c r="D120" t="s">
        <v>311</v>
      </c>
      <c r="E120">
        <v>60</v>
      </c>
      <c r="F120" s="62">
        <v>6.57</v>
      </c>
      <c r="G120">
        <f t="shared" si="1"/>
        <v>45</v>
      </c>
    </row>
    <row r="121" spans="1:7" x14ac:dyDescent="0.25">
      <c r="A121">
        <v>2011</v>
      </c>
      <c r="B121">
        <v>121</v>
      </c>
      <c r="C121" s="61">
        <v>40664</v>
      </c>
      <c r="D121" t="s">
        <v>311</v>
      </c>
      <c r="E121">
        <v>90</v>
      </c>
      <c r="F121" s="62">
        <v>4.58</v>
      </c>
      <c r="G121">
        <f t="shared" si="1"/>
        <v>75</v>
      </c>
    </row>
    <row r="122" spans="1:7" x14ac:dyDescent="0.25">
      <c r="A122">
        <v>2011</v>
      </c>
      <c r="B122">
        <v>121</v>
      </c>
      <c r="C122" s="61">
        <v>40664</v>
      </c>
      <c r="D122" t="s">
        <v>312</v>
      </c>
      <c r="E122">
        <v>30</v>
      </c>
      <c r="F122" s="62">
        <v>14.06</v>
      </c>
      <c r="G122">
        <f t="shared" si="1"/>
        <v>15</v>
      </c>
    </row>
    <row r="123" spans="1:7" x14ac:dyDescent="0.25">
      <c r="A123">
        <v>2011</v>
      </c>
      <c r="B123">
        <v>121</v>
      </c>
      <c r="C123" s="61">
        <v>40664</v>
      </c>
      <c r="D123" t="s">
        <v>312</v>
      </c>
      <c r="E123">
        <v>60</v>
      </c>
      <c r="F123" s="62">
        <v>5.81</v>
      </c>
      <c r="G123">
        <f t="shared" si="1"/>
        <v>45</v>
      </c>
    </row>
    <row r="124" spans="1:7" x14ac:dyDescent="0.25">
      <c r="A124">
        <v>2011</v>
      </c>
      <c r="B124">
        <v>121</v>
      </c>
      <c r="C124" s="61">
        <v>40664</v>
      </c>
      <c r="D124" t="s">
        <v>312</v>
      </c>
      <c r="E124">
        <v>90</v>
      </c>
      <c r="F124" s="62">
        <v>2.61</v>
      </c>
      <c r="G124">
        <f t="shared" si="1"/>
        <v>75</v>
      </c>
    </row>
    <row r="125" spans="1:7" x14ac:dyDescent="0.25">
      <c r="A125">
        <v>2011</v>
      </c>
      <c r="B125">
        <v>121</v>
      </c>
      <c r="C125" s="61">
        <v>40664</v>
      </c>
      <c r="D125" t="s">
        <v>313</v>
      </c>
      <c r="E125">
        <v>30</v>
      </c>
      <c r="F125" s="62">
        <v>14.7</v>
      </c>
      <c r="G125">
        <f t="shared" si="1"/>
        <v>15</v>
      </c>
    </row>
    <row r="126" spans="1:7" x14ac:dyDescent="0.25">
      <c r="A126">
        <v>2011</v>
      </c>
      <c r="B126">
        <v>121</v>
      </c>
      <c r="C126" s="61">
        <v>40664</v>
      </c>
      <c r="D126" t="s">
        <v>313</v>
      </c>
      <c r="E126">
        <v>60</v>
      </c>
      <c r="F126" s="62">
        <v>5.1100000000000003</v>
      </c>
      <c r="G126">
        <f t="shared" si="1"/>
        <v>45</v>
      </c>
    </row>
    <row r="127" spans="1:7" x14ac:dyDescent="0.25">
      <c r="A127">
        <v>2011</v>
      </c>
      <c r="B127">
        <v>121</v>
      </c>
      <c r="C127" s="61">
        <v>40664</v>
      </c>
      <c r="D127" t="s">
        <v>313</v>
      </c>
      <c r="E127">
        <v>90</v>
      </c>
      <c r="F127" s="62">
        <v>4.9400000000000004</v>
      </c>
      <c r="G127">
        <f t="shared" si="1"/>
        <v>75</v>
      </c>
    </row>
    <row r="128" spans="1:7" x14ac:dyDescent="0.25">
      <c r="A128">
        <v>2011</v>
      </c>
      <c r="B128">
        <v>121</v>
      </c>
      <c r="C128" s="61">
        <v>40664</v>
      </c>
      <c r="D128" t="s">
        <v>314</v>
      </c>
      <c r="E128">
        <v>30</v>
      </c>
      <c r="F128" s="62">
        <v>9.68</v>
      </c>
      <c r="G128">
        <f t="shared" si="1"/>
        <v>15</v>
      </c>
    </row>
    <row r="129" spans="1:7" x14ac:dyDescent="0.25">
      <c r="A129">
        <v>2011</v>
      </c>
      <c r="B129">
        <v>121</v>
      </c>
      <c r="C129" s="61">
        <v>40664</v>
      </c>
      <c r="D129" t="s">
        <v>314</v>
      </c>
      <c r="E129">
        <v>60</v>
      </c>
      <c r="F129" s="62">
        <v>5.9</v>
      </c>
      <c r="G129">
        <f t="shared" si="1"/>
        <v>45</v>
      </c>
    </row>
    <row r="130" spans="1:7" x14ac:dyDescent="0.25">
      <c r="A130">
        <v>2011</v>
      </c>
      <c r="B130">
        <v>121</v>
      </c>
      <c r="C130" s="61">
        <v>40664</v>
      </c>
      <c r="D130" t="s">
        <v>314</v>
      </c>
      <c r="E130">
        <v>90</v>
      </c>
      <c r="F130" s="62">
        <v>2.11</v>
      </c>
      <c r="G130">
        <f t="shared" si="1"/>
        <v>75</v>
      </c>
    </row>
    <row r="131" spans="1:7" x14ac:dyDescent="0.25">
      <c r="A131">
        <v>2011</v>
      </c>
      <c r="B131">
        <v>121</v>
      </c>
      <c r="C131" s="61">
        <v>40664</v>
      </c>
      <c r="D131" t="s">
        <v>315</v>
      </c>
      <c r="E131">
        <v>30</v>
      </c>
      <c r="F131" s="62">
        <v>11.51</v>
      </c>
      <c r="G131">
        <f t="shared" ref="G131:G145" si="2">E131-15</f>
        <v>15</v>
      </c>
    </row>
    <row r="132" spans="1:7" x14ac:dyDescent="0.25">
      <c r="A132">
        <v>2011</v>
      </c>
      <c r="B132">
        <v>121</v>
      </c>
      <c r="C132" s="61">
        <v>40664</v>
      </c>
      <c r="D132" t="s">
        <v>315</v>
      </c>
      <c r="E132">
        <v>60</v>
      </c>
      <c r="F132" s="62">
        <v>9.25</v>
      </c>
      <c r="G132">
        <f t="shared" si="2"/>
        <v>45</v>
      </c>
    </row>
    <row r="133" spans="1:7" x14ac:dyDescent="0.25">
      <c r="A133">
        <v>2011</v>
      </c>
      <c r="B133">
        <v>121</v>
      </c>
      <c r="C133" s="61">
        <v>40664</v>
      </c>
      <c r="D133" t="s">
        <v>315</v>
      </c>
      <c r="E133">
        <v>90</v>
      </c>
      <c r="F133" s="62">
        <v>6.78</v>
      </c>
      <c r="G133">
        <f t="shared" si="2"/>
        <v>75</v>
      </c>
    </row>
    <row r="134" spans="1:7" x14ac:dyDescent="0.25">
      <c r="A134">
        <v>2011</v>
      </c>
      <c r="B134">
        <v>121</v>
      </c>
      <c r="C134" s="61">
        <v>40664</v>
      </c>
      <c r="D134" t="s">
        <v>316</v>
      </c>
      <c r="E134">
        <v>30</v>
      </c>
      <c r="F134" s="62">
        <v>10.37</v>
      </c>
      <c r="G134">
        <f t="shared" si="2"/>
        <v>15</v>
      </c>
    </row>
    <row r="135" spans="1:7" x14ac:dyDescent="0.25">
      <c r="A135">
        <v>2011</v>
      </c>
      <c r="B135">
        <v>121</v>
      </c>
      <c r="C135" s="61">
        <v>40664</v>
      </c>
      <c r="D135" t="s">
        <v>316</v>
      </c>
      <c r="E135">
        <v>60</v>
      </c>
      <c r="F135" s="62">
        <v>5.36</v>
      </c>
      <c r="G135">
        <f t="shared" si="2"/>
        <v>45</v>
      </c>
    </row>
    <row r="136" spans="1:7" x14ac:dyDescent="0.25">
      <c r="A136">
        <v>2011</v>
      </c>
      <c r="B136">
        <v>121</v>
      </c>
      <c r="C136" s="61">
        <v>40664</v>
      </c>
      <c r="D136" t="s">
        <v>316</v>
      </c>
      <c r="E136">
        <v>90</v>
      </c>
      <c r="F136" s="62">
        <v>8.99</v>
      </c>
      <c r="G136">
        <f t="shared" si="2"/>
        <v>75</v>
      </c>
    </row>
    <row r="137" spans="1:7" x14ac:dyDescent="0.25">
      <c r="A137">
        <v>2011</v>
      </c>
      <c r="B137">
        <v>121</v>
      </c>
      <c r="C137" s="61">
        <v>40664</v>
      </c>
      <c r="D137" t="s">
        <v>317</v>
      </c>
      <c r="E137">
        <v>30</v>
      </c>
      <c r="F137" s="62">
        <v>12.17</v>
      </c>
      <c r="G137">
        <f t="shared" si="2"/>
        <v>15</v>
      </c>
    </row>
    <row r="138" spans="1:7" x14ac:dyDescent="0.25">
      <c r="A138">
        <v>2011</v>
      </c>
      <c r="B138">
        <v>121</v>
      </c>
      <c r="C138" s="61">
        <v>40664</v>
      </c>
      <c r="D138" t="s">
        <v>317</v>
      </c>
      <c r="E138">
        <v>60</v>
      </c>
      <c r="F138" s="62">
        <v>9.2799999999999994</v>
      </c>
      <c r="G138">
        <f t="shared" si="2"/>
        <v>45</v>
      </c>
    </row>
    <row r="139" spans="1:7" x14ac:dyDescent="0.25">
      <c r="A139">
        <v>2011</v>
      </c>
      <c r="B139">
        <v>121</v>
      </c>
      <c r="C139" s="61">
        <v>40664</v>
      </c>
      <c r="D139" t="s">
        <v>317</v>
      </c>
      <c r="E139">
        <v>90</v>
      </c>
      <c r="F139" s="62">
        <v>3.23</v>
      </c>
      <c r="G139">
        <f t="shared" si="2"/>
        <v>75</v>
      </c>
    </row>
    <row r="140" spans="1:7" x14ac:dyDescent="0.25">
      <c r="A140">
        <v>2011</v>
      </c>
      <c r="B140">
        <v>121</v>
      </c>
      <c r="C140" s="61">
        <v>40664</v>
      </c>
      <c r="D140" t="s">
        <v>318</v>
      </c>
      <c r="E140">
        <v>30</v>
      </c>
      <c r="F140" s="62">
        <v>11.11</v>
      </c>
      <c r="G140">
        <f t="shared" si="2"/>
        <v>15</v>
      </c>
    </row>
    <row r="141" spans="1:7" x14ac:dyDescent="0.25">
      <c r="A141">
        <v>2011</v>
      </c>
      <c r="B141">
        <v>121</v>
      </c>
      <c r="C141" s="61">
        <v>40664</v>
      </c>
      <c r="D141" t="s">
        <v>318</v>
      </c>
      <c r="E141">
        <v>60</v>
      </c>
      <c r="F141" s="62">
        <v>19.2</v>
      </c>
      <c r="G141">
        <f t="shared" si="2"/>
        <v>45</v>
      </c>
    </row>
    <row r="142" spans="1:7" x14ac:dyDescent="0.25">
      <c r="A142">
        <v>2011</v>
      </c>
      <c r="B142">
        <v>121</v>
      </c>
      <c r="C142" s="61">
        <v>40664</v>
      </c>
      <c r="D142" t="s">
        <v>318</v>
      </c>
      <c r="E142">
        <v>90</v>
      </c>
      <c r="F142" s="62">
        <v>2.34</v>
      </c>
      <c r="G142">
        <f t="shared" si="2"/>
        <v>75</v>
      </c>
    </row>
    <row r="143" spans="1:7" x14ac:dyDescent="0.25">
      <c r="A143">
        <v>2011</v>
      </c>
      <c r="B143">
        <v>121</v>
      </c>
      <c r="C143" s="61">
        <v>40664</v>
      </c>
      <c r="D143" t="s">
        <v>319</v>
      </c>
      <c r="E143">
        <v>30</v>
      </c>
      <c r="F143" s="62">
        <v>11.47</v>
      </c>
      <c r="G143">
        <f t="shared" si="2"/>
        <v>15</v>
      </c>
    </row>
    <row r="144" spans="1:7" x14ac:dyDescent="0.25">
      <c r="A144">
        <v>2011</v>
      </c>
      <c r="B144">
        <v>121</v>
      </c>
      <c r="C144" s="61">
        <v>40664</v>
      </c>
      <c r="D144" t="s">
        <v>319</v>
      </c>
      <c r="E144">
        <v>60</v>
      </c>
      <c r="F144" s="62">
        <v>8.58</v>
      </c>
      <c r="G144">
        <f t="shared" si="2"/>
        <v>45</v>
      </c>
    </row>
    <row r="145" spans="1:7" x14ac:dyDescent="0.25">
      <c r="A145">
        <v>2011</v>
      </c>
      <c r="B145">
        <v>121</v>
      </c>
      <c r="C145" s="61">
        <v>40664</v>
      </c>
      <c r="D145" t="s">
        <v>319</v>
      </c>
      <c r="E145">
        <v>90</v>
      </c>
      <c r="F145" s="62">
        <v>1.71</v>
      </c>
      <c r="G145">
        <f t="shared" si="2"/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68D7-01EE-4769-8522-E3471AA91A0D}">
  <sheetPr>
    <pageSetUpPr fitToPage="1"/>
  </sheetPr>
  <dimension ref="A1:AC96"/>
  <sheetViews>
    <sheetView workbookViewId="0"/>
  </sheetViews>
  <sheetFormatPr defaultRowHeight="12.75" x14ac:dyDescent="0.2"/>
  <cols>
    <col min="1" max="3" width="13.7109375" style="3" customWidth="1"/>
    <col min="4" max="4" width="15.85546875" style="3" bestFit="1" customWidth="1"/>
    <col min="5" max="5" width="13.7109375" style="3" customWidth="1"/>
    <col min="6" max="6" width="14.7109375" style="3" customWidth="1"/>
    <col min="7" max="7" width="13.7109375" style="2" customWidth="1"/>
    <col min="8" max="8" width="12" style="2" bestFit="1" customWidth="1"/>
    <col min="9" max="9" width="9.140625" style="1"/>
    <col min="10" max="10" width="10.7109375" style="1" bestFit="1" customWidth="1"/>
    <col min="11" max="11" width="6.7109375" style="2" bestFit="1" customWidth="1"/>
    <col min="12" max="12" width="16.140625" style="2" bestFit="1" customWidth="1"/>
    <col min="13" max="13" width="14.140625" style="2" bestFit="1" customWidth="1"/>
    <col min="14" max="16384" width="9.140625" style="1"/>
  </cols>
  <sheetData>
    <row r="1" spans="1:16" s="20" customFormat="1" ht="15.75" x14ac:dyDescent="0.25">
      <c r="A1" s="38"/>
      <c r="B1" s="23"/>
      <c r="C1" s="37" t="s">
        <v>90</v>
      </c>
      <c r="D1" s="36" t="s">
        <v>89</v>
      </c>
      <c r="E1" s="33" t="s">
        <v>88</v>
      </c>
      <c r="F1" s="33"/>
      <c r="G1" s="21"/>
      <c r="H1" s="28"/>
      <c r="K1" s="21"/>
      <c r="L1" s="21"/>
      <c r="M1" s="21"/>
    </row>
    <row r="2" spans="1:16" s="20" customFormat="1" ht="15.75" x14ac:dyDescent="0.25">
      <c r="A2" s="23" t="s">
        <v>87</v>
      </c>
      <c r="B2" s="23"/>
      <c r="C2" s="35">
        <v>40689</v>
      </c>
      <c r="D2" s="34"/>
      <c r="E2" s="33" t="s">
        <v>86</v>
      </c>
      <c r="F2" s="33"/>
      <c r="G2" s="21"/>
      <c r="H2" s="28"/>
      <c r="K2" s="21"/>
      <c r="L2" s="21"/>
      <c r="M2" s="21"/>
    </row>
    <row r="3" spans="1:16" s="20" customFormat="1" ht="15.75" x14ac:dyDescent="0.25">
      <c r="A3" s="23" t="s">
        <v>85</v>
      </c>
      <c r="B3" s="23"/>
      <c r="C3" s="23"/>
      <c r="D3" s="23"/>
      <c r="E3" s="33" t="s">
        <v>84</v>
      </c>
      <c r="F3" s="33"/>
      <c r="G3" s="21"/>
      <c r="H3" s="21"/>
      <c r="K3" s="21"/>
      <c r="L3" s="21"/>
      <c r="M3" s="21"/>
    </row>
    <row r="4" spans="1:16" s="20" customFormat="1" x14ac:dyDescent="0.2">
      <c r="A4" s="29" t="s">
        <v>83</v>
      </c>
      <c r="B4" s="23"/>
      <c r="C4" s="23"/>
      <c r="D4" s="23"/>
      <c r="E4" s="23"/>
      <c r="F4" s="23"/>
      <c r="G4" s="21"/>
      <c r="H4" s="21"/>
      <c r="K4" s="21"/>
      <c r="L4" s="21"/>
      <c r="M4" s="21"/>
    </row>
    <row r="5" spans="1:16" s="20" customFormat="1" x14ac:dyDescent="0.2">
      <c r="A5" s="32" t="s">
        <v>82</v>
      </c>
      <c r="B5" s="31"/>
      <c r="C5" s="23"/>
      <c r="D5" s="23"/>
      <c r="E5" s="23"/>
      <c r="F5" s="30" t="s">
        <v>81</v>
      </c>
      <c r="G5" s="21"/>
      <c r="H5" s="21"/>
      <c r="K5" s="21"/>
      <c r="L5" s="21"/>
      <c r="M5" s="21"/>
    </row>
    <row r="6" spans="1:16" s="20" customFormat="1" x14ac:dyDescent="0.2">
      <c r="A6" s="29"/>
      <c r="B6" s="23"/>
      <c r="C6" s="23"/>
      <c r="D6" s="23"/>
      <c r="E6" s="23"/>
      <c r="F6" s="27" t="s">
        <v>80</v>
      </c>
      <c r="G6" s="21"/>
      <c r="H6" s="21"/>
      <c r="K6" s="21"/>
      <c r="L6" s="21"/>
      <c r="M6" s="21"/>
    </row>
    <row r="7" spans="1:16" s="20" customFormat="1" x14ac:dyDescent="0.2">
      <c r="A7" s="23"/>
      <c r="B7" s="23"/>
      <c r="C7" s="23"/>
      <c r="D7" s="23"/>
      <c r="E7" s="23"/>
      <c r="F7" s="27" t="s">
        <v>79</v>
      </c>
      <c r="G7" s="21"/>
      <c r="H7" s="21"/>
      <c r="K7" s="21"/>
      <c r="L7" s="28" t="s">
        <v>78</v>
      </c>
      <c r="M7" s="21"/>
    </row>
    <row r="8" spans="1:16" s="20" customFormat="1" x14ac:dyDescent="0.2">
      <c r="A8" s="22" t="s">
        <v>77</v>
      </c>
      <c r="B8" s="23"/>
      <c r="C8" s="23"/>
      <c r="D8" s="23"/>
      <c r="E8" s="23"/>
      <c r="F8" s="27" t="s">
        <v>76</v>
      </c>
      <c r="G8" s="21" t="s">
        <v>75</v>
      </c>
      <c r="H8" s="21" t="s">
        <v>74</v>
      </c>
      <c r="K8" s="26" t="s">
        <v>73</v>
      </c>
      <c r="L8" s="25" t="s">
        <v>72</v>
      </c>
      <c r="M8" s="24" t="s">
        <v>71</v>
      </c>
    </row>
    <row r="9" spans="1:16" s="20" customFormat="1" x14ac:dyDescent="0.2">
      <c r="A9" s="22" t="s">
        <v>70</v>
      </c>
      <c r="B9" s="22" t="s">
        <v>69</v>
      </c>
      <c r="C9" s="23" t="s">
        <v>68</v>
      </c>
      <c r="D9" s="23" t="s">
        <v>67</v>
      </c>
      <c r="E9" s="22" t="s">
        <v>66</v>
      </c>
      <c r="F9" s="22" t="s">
        <v>65</v>
      </c>
      <c r="G9" s="21" t="s">
        <v>64</v>
      </c>
      <c r="H9" s="21" t="s">
        <v>64</v>
      </c>
      <c r="I9" s="22" t="s">
        <v>63</v>
      </c>
      <c r="J9" s="22"/>
      <c r="K9" s="21"/>
      <c r="L9" s="21"/>
      <c r="M9" s="21"/>
    </row>
    <row r="11" spans="1:16" x14ac:dyDescent="0.2">
      <c r="A11" s="5">
        <v>40689</v>
      </c>
      <c r="B11" s="5">
        <v>40689</v>
      </c>
      <c r="C11" s="3" t="s">
        <v>1</v>
      </c>
      <c r="D11" s="3">
        <v>0</v>
      </c>
      <c r="E11" s="3" t="s">
        <v>62</v>
      </c>
      <c r="F11" s="3">
        <v>4.0199999999999996</v>
      </c>
      <c r="G11" s="2">
        <v>0</v>
      </c>
      <c r="H11" s="2">
        <v>4.0165699999999998</v>
      </c>
      <c r="I11" s="1">
        <v>1</v>
      </c>
      <c r="J11" s="4"/>
    </row>
    <row r="12" spans="1:16" x14ac:dyDescent="0.2">
      <c r="A12" s="5">
        <v>40689</v>
      </c>
      <c r="B12" s="5">
        <v>40689</v>
      </c>
      <c r="C12" s="3" t="s">
        <v>1</v>
      </c>
      <c r="D12" s="3">
        <v>1</v>
      </c>
      <c r="E12" s="3" t="s">
        <v>61</v>
      </c>
      <c r="F12" s="3">
        <v>65.31</v>
      </c>
      <c r="G12" s="2">
        <v>61.261600000000001</v>
      </c>
      <c r="H12" s="2">
        <v>65.306100000000001</v>
      </c>
      <c r="I12" s="1">
        <v>1</v>
      </c>
      <c r="J12" s="4"/>
    </row>
    <row r="13" spans="1:16" x14ac:dyDescent="0.2">
      <c r="A13" s="5">
        <v>40689</v>
      </c>
      <c r="B13" s="5">
        <v>40689</v>
      </c>
      <c r="C13" s="3" t="s">
        <v>1</v>
      </c>
      <c r="D13" s="3">
        <v>2</v>
      </c>
      <c r="E13" s="3" t="s">
        <v>60</v>
      </c>
      <c r="F13" s="3">
        <v>4.5599999999999996</v>
      </c>
      <c r="G13" s="2">
        <v>0.49097000000000002</v>
      </c>
      <c r="H13" s="2">
        <v>4.5632999999999999</v>
      </c>
      <c r="I13" s="1">
        <v>1</v>
      </c>
      <c r="J13" s="4"/>
      <c r="O13" s="17" t="s">
        <v>59</v>
      </c>
    </row>
    <row r="14" spans="1:16" x14ac:dyDescent="0.2">
      <c r="A14" s="5">
        <v>40689</v>
      </c>
      <c r="B14" s="5">
        <v>40689</v>
      </c>
      <c r="C14" s="3" t="s">
        <v>1</v>
      </c>
      <c r="D14" s="3">
        <v>3</v>
      </c>
      <c r="E14" s="3" t="s">
        <v>3</v>
      </c>
      <c r="F14" s="3">
        <v>4.0999999999999996</v>
      </c>
      <c r="G14" s="2">
        <v>0</v>
      </c>
      <c r="H14" s="2">
        <v>4.1002000000000001</v>
      </c>
      <c r="I14" s="1">
        <v>1</v>
      </c>
      <c r="J14" s="4"/>
      <c r="O14" s="19" t="s">
        <v>58</v>
      </c>
      <c r="P14" s="19" t="s">
        <v>57</v>
      </c>
    </row>
    <row r="15" spans="1:16" x14ac:dyDescent="0.2">
      <c r="A15" s="5">
        <v>40689</v>
      </c>
      <c r="B15" s="5">
        <v>40689</v>
      </c>
      <c r="C15" s="3" t="s">
        <v>1</v>
      </c>
      <c r="D15" s="3">
        <v>4</v>
      </c>
      <c r="E15" s="16" t="s">
        <v>56</v>
      </c>
      <c r="F15" s="16">
        <v>0.27</v>
      </c>
      <c r="G15" s="2">
        <v>-8.5964100000000002E-2</v>
      </c>
      <c r="H15" s="2">
        <v>4.0523100000000003</v>
      </c>
      <c r="I15" s="1">
        <v>1</v>
      </c>
      <c r="J15" s="4"/>
      <c r="O15" s="17">
        <v>0</v>
      </c>
      <c r="P15" s="3">
        <v>0.27</v>
      </c>
    </row>
    <row r="16" spans="1:16" x14ac:dyDescent="0.2">
      <c r="A16" s="5">
        <v>40689</v>
      </c>
      <c r="B16" s="5">
        <v>40689</v>
      </c>
      <c r="C16" s="3" t="s">
        <v>1</v>
      </c>
      <c r="D16" s="3">
        <v>5</v>
      </c>
      <c r="E16" s="16" t="s">
        <v>55</v>
      </c>
      <c r="F16" s="16">
        <v>0.66</v>
      </c>
      <c r="G16" s="2">
        <v>2.44021</v>
      </c>
      <c r="H16" s="2">
        <v>6.58521</v>
      </c>
      <c r="I16" s="1">
        <v>1</v>
      </c>
      <c r="J16" s="4"/>
      <c r="O16" s="17">
        <v>0.5</v>
      </c>
      <c r="P16" s="3">
        <v>0.66</v>
      </c>
    </row>
    <row r="17" spans="1:16" x14ac:dyDescent="0.2">
      <c r="A17" s="5">
        <v>40689</v>
      </c>
      <c r="B17" s="5">
        <v>40689</v>
      </c>
      <c r="C17" s="3" t="s">
        <v>1</v>
      </c>
      <c r="D17" s="3">
        <v>6</v>
      </c>
      <c r="E17" s="16" t="s">
        <v>54</v>
      </c>
      <c r="F17" s="16">
        <v>1.06</v>
      </c>
      <c r="G17" s="2">
        <v>5.0549999999999997</v>
      </c>
      <c r="H17" s="2">
        <v>9.2262299999999993</v>
      </c>
      <c r="I17" s="1">
        <v>1</v>
      </c>
      <c r="J17" s="4"/>
      <c r="O17" s="17">
        <v>1</v>
      </c>
      <c r="P17" s="3">
        <v>1.06</v>
      </c>
    </row>
    <row r="18" spans="1:16" x14ac:dyDescent="0.2">
      <c r="A18" s="5">
        <v>40689</v>
      </c>
      <c r="B18" s="5">
        <v>40689</v>
      </c>
      <c r="C18" s="3" t="s">
        <v>1</v>
      </c>
      <c r="D18" s="3">
        <v>7</v>
      </c>
      <c r="E18" s="16" t="s">
        <v>53</v>
      </c>
      <c r="F18" s="16">
        <v>1.83</v>
      </c>
      <c r="G18" s="2">
        <v>10.099</v>
      </c>
      <c r="H18" s="2">
        <v>14.2973</v>
      </c>
      <c r="I18" s="1">
        <v>1</v>
      </c>
      <c r="J18" s="4"/>
      <c r="O18" s="17">
        <v>2</v>
      </c>
      <c r="P18" s="3">
        <v>1.83</v>
      </c>
    </row>
    <row r="19" spans="1:16" x14ac:dyDescent="0.2">
      <c r="A19" s="5">
        <v>40689</v>
      </c>
      <c r="B19" s="5">
        <v>40689</v>
      </c>
      <c r="C19" s="3" t="s">
        <v>1</v>
      </c>
      <c r="D19" s="3">
        <v>8</v>
      </c>
      <c r="E19" s="18" t="s">
        <v>52</v>
      </c>
      <c r="F19" s="3">
        <v>4.1100000000000003</v>
      </c>
      <c r="G19" s="2">
        <v>25.066400000000002</v>
      </c>
      <c r="H19" s="2">
        <v>29.310099999999998</v>
      </c>
      <c r="I19" s="1">
        <v>1</v>
      </c>
      <c r="J19" s="4"/>
      <c r="O19" s="17">
        <v>8</v>
      </c>
      <c r="P19" s="3">
        <v>7.06</v>
      </c>
    </row>
    <row r="20" spans="1:16" x14ac:dyDescent="0.2">
      <c r="A20" s="5">
        <v>40689</v>
      </c>
      <c r="B20" s="5">
        <v>40689</v>
      </c>
      <c r="C20" s="3" t="s">
        <v>1</v>
      </c>
      <c r="D20" s="3">
        <v>9</v>
      </c>
      <c r="E20" s="16" t="s">
        <v>51</v>
      </c>
      <c r="F20" s="16">
        <v>7.06</v>
      </c>
      <c r="G20" s="2">
        <v>44.375700000000002</v>
      </c>
      <c r="H20" s="2">
        <v>48.739899999999999</v>
      </c>
      <c r="I20" s="1">
        <v>1</v>
      </c>
      <c r="J20" s="4"/>
      <c r="O20" s="17">
        <v>10</v>
      </c>
      <c r="P20" s="3">
        <v>10.63</v>
      </c>
    </row>
    <row r="21" spans="1:16" x14ac:dyDescent="0.2">
      <c r="A21" s="5">
        <v>40689</v>
      </c>
      <c r="B21" s="5">
        <v>40689</v>
      </c>
      <c r="C21" s="3" t="s">
        <v>1</v>
      </c>
      <c r="D21" s="3">
        <v>10</v>
      </c>
      <c r="E21" s="16" t="s">
        <v>50</v>
      </c>
      <c r="F21" s="16">
        <v>10.63</v>
      </c>
      <c r="G21" s="2">
        <v>67.7834</v>
      </c>
      <c r="H21" s="2">
        <v>72.301400000000001</v>
      </c>
      <c r="I21" s="1">
        <v>1</v>
      </c>
      <c r="J21" s="4"/>
    </row>
    <row r="22" spans="1:16" x14ac:dyDescent="0.2">
      <c r="A22" s="5">
        <v>40689</v>
      </c>
      <c r="B22" s="5">
        <v>40689</v>
      </c>
      <c r="C22" s="3" t="s">
        <v>1</v>
      </c>
      <c r="D22" s="3">
        <v>11</v>
      </c>
      <c r="E22" s="3" t="s">
        <v>4</v>
      </c>
      <c r="F22" s="3">
        <v>0.28000000000000003</v>
      </c>
      <c r="G22" s="2">
        <v>-6.0913199999999999E-3</v>
      </c>
      <c r="H22" s="2">
        <v>4.6975899999999999</v>
      </c>
      <c r="I22" s="1">
        <v>1</v>
      </c>
      <c r="J22" s="4"/>
    </row>
    <row r="23" spans="1:16" x14ac:dyDescent="0.2">
      <c r="A23" s="5">
        <v>40689</v>
      </c>
      <c r="B23" s="5">
        <v>40689</v>
      </c>
      <c r="C23" s="3" t="s">
        <v>1</v>
      </c>
      <c r="D23" s="3">
        <v>12</v>
      </c>
      <c r="E23" s="3" t="s">
        <v>3</v>
      </c>
      <c r="F23" s="3">
        <v>0.28000000000000003</v>
      </c>
      <c r="G23" s="2">
        <v>0</v>
      </c>
      <c r="H23" s="2">
        <v>4.1639900000000001</v>
      </c>
      <c r="I23" s="1">
        <v>1</v>
      </c>
      <c r="J23" s="4"/>
    </row>
    <row r="24" spans="1:16" x14ac:dyDescent="0.2">
      <c r="A24" s="5">
        <v>40689</v>
      </c>
      <c r="B24" s="5">
        <v>40689</v>
      </c>
      <c r="C24" s="3" t="s">
        <v>1</v>
      </c>
      <c r="D24" s="3">
        <v>13</v>
      </c>
      <c r="E24" s="3" t="s">
        <v>2</v>
      </c>
      <c r="F24" s="3">
        <v>10.63</v>
      </c>
      <c r="G24" s="2">
        <v>67.7834</v>
      </c>
      <c r="H24" s="2">
        <v>58.158700000000003</v>
      </c>
      <c r="I24" s="1">
        <v>1</v>
      </c>
      <c r="J24" s="4"/>
    </row>
    <row r="25" spans="1:16" x14ac:dyDescent="0.2">
      <c r="A25" s="5">
        <v>40689</v>
      </c>
      <c r="B25" s="5">
        <v>40689</v>
      </c>
      <c r="C25" s="3" t="s">
        <v>1</v>
      </c>
      <c r="D25" s="3">
        <v>14</v>
      </c>
      <c r="E25" s="3" t="s">
        <v>4</v>
      </c>
      <c r="F25" s="3">
        <v>0.26</v>
      </c>
      <c r="G25" s="2">
        <v>-0.159499</v>
      </c>
      <c r="H25" s="2">
        <v>4.4885299999999999</v>
      </c>
      <c r="I25" s="1">
        <v>1</v>
      </c>
      <c r="J25" s="4"/>
    </row>
    <row r="26" spans="1:16" x14ac:dyDescent="0.2">
      <c r="A26" s="5">
        <v>40689</v>
      </c>
      <c r="B26" s="5">
        <v>40689</v>
      </c>
      <c r="C26" s="3" t="s">
        <v>1</v>
      </c>
      <c r="D26" s="3">
        <v>15</v>
      </c>
      <c r="E26" s="15" t="s">
        <v>49</v>
      </c>
      <c r="F26" s="14">
        <v>0.54</v>
      </c>
      <c r="G26" s="2">
        <v>1.6928700000000001</v>
      </c>
      <c r="H26" s="2">
        <v>5.5679499999999997</v>
      </c>
      <c r="I26" s="1">
        <v>1</v>
      </c>
      <c r="J26" s="4"/>
      <c r="K26" s="2">
        <f t="shared" ref="K26:K34" si="0">F26*(20/20)</f>
        <v>0.54</v>
      </c>
      <c r="L26" s="2">
        <f t="shared" ref="L26:L34" si="1">F26*(20/20)*1.6*30*(1/1000000000)*(10000)*(10000)</f>
        <v>2.5920000000000001</v>
      </c>
      <c r="M26" s="2">
        <f t="shared" ref="M26:M34" si="2">L26*0.89218</f>
        <v>2.3125305599999999</v>
      </c>
    </row>
    <row r="27" spans="1:16" x14ac:dyDescent="0.2">
      <c r="A27" s="5">
        <v>40689</v>
      </c>
      <c r="B27" s="5">
        <v>40689</v>
      </c>
      <c r="C27" s="3" t="s">
        <v>1</v>
      </c>
      <c r="D27" s="3">
        <v>16</v>
      </c>
      <c r="E27" s="14" t="s">
        <v>48</v>
      </c>
      <c r="F27" s="14">
        <v>1.65</v>
      </c>
      <c r="G27" s="2">
        <v>8.9313400000000005</v>
      </c>
      <c r="H27" s="2">
        <v>11.3726</v>
      </c>
      <c r="I27" s="1">
        <v>1</v>
      </c>
      <c r="J27" s="4"/>
      <c r="K27" s="2">
        <f t="shared" si="0"/>
        <v>1.65</v>
      </c>
      <c r="L27" s="2">
        <f t="shared" si="1"/>
        <v>7.9200000000000008</v>
      </c>
      <c r="M27" s="2">
        <f t="shared" si="2"/>
        <v>7.0660656000000008</v>
      </c>
    </row>
    <row r="28" spans="1:16" x14ac:dyDescent="0.2">
      <c r="A28" s="5">
        <v>40689</v>
      </c>
      <c r="B28" s="5">
        <v>40689</v>
      </c>
      <c r="C28" s="3" t="s">
        <v>1</v>
      </c>
      <c r="D28" s="3">
        <v>17</v>
      </c>
      <c r="E28" s="14" t="s">
        <v>47</v>
      </c>
      <c r="F28" s="14">
        <v>2.5499999999999998</v>
      </c>
      <c r="G28" s="2">
        <v>14.836499999999999</v>
      </c>
      <c r="H28" s="2">
        <v>16.162700000000001</v>
      </c>
      <c r="I28" s="1">
        <v>1</v>
      </c>
      <c r="J28" s="4"/>
      <c r="K28" s="2">
        <f t="shared" si="0"/>
        <v>2.5499999999999998</v>
      </c>
      <c r="L28" s="2">
        <f t="shared" si="1"/>
        <v>12.24</v>
      </c>
      <c r="M28" s="2">
        <f t="shared" si="2"/>
        <v>10.9202832</v>
      </c>
    </row>
    <row r="29" spans="1:16" x14ac:dyDescent="0.2">
      <c r="A29" s="5">
        <v>40689</v>
      </c>
      <c r="B29" s="5">
        <v>40689</v>
      </c>
      <c r="C29" s="3" t="s">
        <v>1</v>
      </c>
      <c r="D29" s="3">
        <v>18</v>
      </c>
      <c r="E29" s="14" t="s">
        <v>46</v>
      </c>
      <c r="F29" s="14">
        <v>1.44</v>
      </c>
      <c r="G29" s="2">
        <v>7.5707500000000003</v>
      </c>
      <c r="H29" s="2">
        <v>10.395300000000001</v>
      </c>
      <c r="I29" s="1">
        <v>1</v>
      </c>
      <c r="J29" s="4"/>
      <c r="K29" s="2">
        <f t="shared" si="0"/>
        <v>1.44</v>
      </c>
      <c r="L29" s="2">
        <f t="shared" si="1"/>
        <v>6.9119999999999999</v>
      </c>
      <c r="M29" s="2">
        <f t="shared" si="2"/>
        <v>6.16674816</v>
      </c>
    </row>
    <row r="30" spans="1:16" x14ac:dyDescent="0.2">
      <c r="A30" s="5">
        <v>40689</v>
      </c>
      <c r="B30" s="5">
        <v>40689</v>
      </c>
      <c r="C30" s="3" t="s">
        <v>1</v>
      </c>
      <c r="D30" s="3">
        <v>19</v>
      </c>
      <c r="E30" s="14" t="s">
        <v>45</v>
      </c>
      <c r="F30" s="14">
        <v>3.34</v>
      </c>
      <c r="G30" s="2">
        <v>20.023800000000001</v>
      </c>
      <c r="H30" s="2">
        <v>20.370999999999999</v>
      </c>
      <c r="I30" s="1">
        <v>1</v>
      </c>
      <c r="J30" s="4"/>
      <c r="K30" s="2">
        <f t="shared" si="0"/>
        <v>3.34</v>
      </c>
      <c r="L30" s="2">
        <f t="shared" si="1"/>
        <v>16.032</v>
      </c>
      <c r="M30" s="2">
        <f t="shared" si="2"/>
        <v>14.30342976</v>
      </c>
    </row>
    <row r="31" spans="1:16" x14ac:dyDescent="0.2">
      <c r="A31" s="5">
        <v>40689</v>
      </c>
      <c r="B31" s="5">
        <v>40689</v>
      </c>
      <c r="C31" s="3" t="s">
        <v>1</v>
      </c>
      <c r="D31" s="3">
        <v>20</v>
      </c>
      <c r="E31" s="14" t="s">
        <v>44</v>
      </c>
      <c r="F31" s="14">
        <v>3.18</v>
      </c>
      <c r="G31" s="2">
        <v>18.9998</v>
      </c>
      <c r="H31" s="2">
        <v>19.653300000000002</v>
      </c>
      <c r="I31" s="1">
        <v>1</v>
      </c>
      <c r="J31" s="4"/>
      <c r="K31" s="2">
        <f t="shared" si="0"/>
        <v>3.18</v>
      </c>
      <c r="L31" s="2">
        <f t="shared" si="1"/>
        <v>15.264000000000005</v>
      </c>
      <c r="M31" s="2">
        <f t="shared" si="2"/>
        <v>13.618235520000004</v>
      </c>
    </row>
    <row r="32" spans="1:16" x14ac:dyDescent="0.2">
      <c r="A32" s="5">
        <v>40689</v>
      </c>
      <c r="B32" s="5">
        <v>40689</v>
      </c>
      <c r="C32" s="3" t="s">
        <v>1</v>
      </c>
      <c r="D32" s="3">
        <v>21</v>
      </c>
      <c r="E32" s="14" t="s">
        <v>43</v>
      </c>
      <c r="F32" s="14">
        <v>6.38</v>
      </c>
      <c r="G32" s="2">
        <v>39.9131</v>
      </c>
      <c r="H32" s="2">
        <v>36.5289</v>
      </c>
      <c r="I32" s="1">
        <v>1</v>
      </c>
      <c r="J32" s="4"/>
      <c r="K32" s="2">
        <f t="shared" si="0"/>
        <v>6.38</v>
      </c>
      <c r="L32" s="2">
        <f t="shared" si="1"/>
        <v>30.624000000000002</v>
      </c>
      <c r="M32" s="2">
        <f t="shared" si="2"/>
        <v>27.32212032</v>
      </c>
    </row>
    <row r="33" spans="1:13" x14ac:dyDescent="0.2">
      <c r="A33" s="5">
        <v>40689</v>
      </c>
      <c r="B33" s="5">
        <v>40689</v>
      </c>
      <c r="C33" s="3" t="s">
        <v>1</v>
      </c>
      <c r="D33" s="3">
        <v>22</v>
      </c>
      <c r="E33" s="14" t="s">
        <v>42</v>
      </c>
      <c r="F33" s="14">
        <v>2.38</v>
      </c>
      <c r="G33" s="2">
        <v>13.7037</v>
      </c>
      <c r="H33" s="2">
        <v>15.5604</v>
      </c>
      <c r="I33" s="1">
        <v>1</v>
      </c>
      <c r="J33" s="4"/>
      <c r="K33" s="2">
        <f t="shared" si="0"/>
        <v>2.38</v>
      </c>
      <c r="L33" s="2">
        <f t="shared" si="1"/>
        <v>11.423999999999999</v>
      </c>
      <c r="M33" s="2">
        <f t="shared" si="2"/>
        <v>10.19226432</v>
      </c>
    </row>
    <row r="34" spans="1:13" x14ac:dyDescent="0.2">
      <c r="A34" s="5">
        <v>40689</v>
      </c>
      <c r="B34" s="5">
        <v>40689</v>
      </c>
      <c r="C34" s="3" t="s">
        <v>1</v>
      </c>
      <c r="D34" s="3">
        <v>23</v>
      </c>
      <c r="E34" s="14" t="s">
        <v>41</v>
      </c>
      <c r="F34" s="14">
        <v>9.66</v>
      </c>
      <c r="G34" s="2">
        <v>61.398699999999998</v>
      </c>
      <c r="H34" s="2">
        <v>53.975200000000001</v>
      </c>
      <c r="I34" s="1">
        <v>1</v>
      </c>
      <c r="J34" s="4"/>
      <c r="K34" s="2">
        <f t="shared" si="0"/>
        <v>9.66</v>
      </c>
      <c r="L34" s="2">
        <f t="shared" si="1"/>
        <v>46.368000000000009</v>
      </c>
      <c r="M34" s="2">
        <f t="shared" si="2"/>
        <v>41.368602240000008</v>
      </c>
    </row>
    <row r="35" spans="1:13" x14ac:dyDescent="0.2">
      <c r="A35" s="5">
        <v>40689</v>
      </c>
      <c r="B35" s="5">
        <v>40689</v>
      </c>
      <c r="C35" s="3" t="s">
        <v>1</v>
      </c>
      <c r="D35" s="3">
        <v>24</v>
      </c>
      <c r="E35" s="3" t="s">
        <v>4</v>
      </c>
      <c r="F35" s="3">
        <v>0.3</v>
      </c>
      <c r="G35" s="2">
        <v>7.54552E-2</v>
      </c>
      <c r="H35" s="2">
        <v>4.7064199999999996</v>
      </c>
      <c r="I35" s="1">
        <v>1</v>
      </c>
      <c r="J35" s="4"/>
    </row>
    <row r="36" spans="1:13" x14ac:dyDescent="0.2">
      <c r="A36" s="5">
        <v>40689</v>
      </c>
      <c r="B36" s="5">
        <v>40689</v>
      </c>
      <c r="C36" s="3" t="s">
        <v>1</v>
      </c>
      <c r="D36" s="3">
        <v>25</v>
      </c>
      <c r="E36" s="3" t="s">
        <v>3</v>
      </c>
      <c r="F36" s="3">
        <v>0.28000000000000003</v>
      </c>
      <c r="G36" s="2">
        <v>0</v>
      </c>
      <c r="H36" s="2">
        <v>4.2436400000000001</v>
      </c>
      <c r="I36" s="1">
        <v>1</v>
      </c>
      <c r="J36" s="4"/>
    </row>
    <row r="37" spans="1:13" x14ac:dyDescent="0.2">
      <c r="A37" s="5">
        <v>40689</v>
      </c>
      <c r="B37" s="5">
        <v>40689</v>
      </c>
      <c r="C37" s="3" t="s">
        <v>1</v>
      </c>
      <c r="D37" s="3">
        <v>26</v>
      </c>
      <c r="E37" s="3" t="s">
        <v>2</v>
      </c>
      <c r="F37" s="3">
        <v>10.63</v>
      </c>
      <c r="G37" s="2">
        <v>67.7834</v>
      </c>
      <c r="H37" s="2">
        <v>59.3245</v>
      </c>
      <c r="I37" s="1">
        <v>1</v>
      </c>
      <c r="J37" s="4"/>
    </row>
    <row r="38" spans="1:13" x14ac:dyDescent="0.2">
      <c r="A38" s="5">
        <v>40689</v>
      </c>
      <c r="B38" s="5">
        <v>40689</v>
      </c>
      <c r="C38" s="3" t="s">
        <v>1</v>
      </c>
      <c r="D38" s="3">
        <v>27</v>
      </c>
      <c r="E38" s="3" t="s">
        <v>4</v>
      </c>
      <c r="F38" s="3">
        <v>0.27</v>
      </c>
      <c r="G38" s="2">
        <v>-8.75856E-2</v>
      </c>
      <c r="H38" s="2">
        <v>4.6374199999999997</v>
      </c>
      <c r="I38" s="1">
        <v>1</v>
      </c>
      <c r="J38" s="4"/>
    </row>
    <row r="39" spans="1:13" x14ac:dyDescent="0.2">
      <c r="A39" s="5">
        <v>40689</v>
      </c>
      <c r="B39" s="5">
        <v>40689</v>
      </c>
      <c r="C39" s="3" t="s">
        <v>1</v>
      </c>
      <c r="D39" s="3">
        <v>28</v>
      </c>
      <c r="E39" s="14" t="s">
        <v>40</v>
      </c>
      <c r="F39" s="14">
        <v>5.28</v>
      </c>
      <c r="G39" s="2">
        <v>32.751899999999999</v>
      </c>
      <c r="H39" s="2">
        <v>30.6783</v>
      </c>
      <c r="I39" s="1">
        <v>1</v>
      </c>
      <c r="J39" s="4"/>
      <c r="K39" s="2">
        <f t="shared" ref="K39:K47" si="3">F39*(20/20)</f>
        <v>5.28</v>
      </c>
      <c r="L39" s="2">
        <f t="shared" ref="L39:L47" si="4">F39*(20/20)*1.6*30*(1/1000000000)*(10000)*(10000)</f>
        <v>25.344000000000005</v>
      </c>
      <c r="M39" s="2">
        <f t="shared" ref="M39:M47" si="5">L39*0.89218</f>
        <v>22.611409920000003</v>
      </c>
    </row>
    <row r="40" spans="1:13" x14ac:dyDescent="0.2">
      <c r="A40" s="5">
        <v>40689</v>
      </c>
      <c r="B40" s="5">
        <v>40689</v>
      </c>
      <c r="C40" s="3" t="s">
        <v>1</v>
      </c>
      <c r="D40" s="3">
        <v>29</v>
      </c>
      <c r="E40" s="14" t="s">
        <v>39</v>
      </c>
      <c r="F40" s="14">
        <v>9.0500000000000007</v>
      </c>
      <c r="G40" s="2">
        <v>57.428699999999999</v>
      </c>
      <c r="H40" s="2">
        <v>50.565100000000001</v>
      </c>
      <c r="I40" s="1">
        <v>1</v>
      </c>
      <c r="J40" s="4"/>
      <c r="K40" s="2">
        <f t="shared" si="3"/>
        <v>9.0500000000000007</v>
      </c>
      <c r="L40" s="2">
        <f t="shared" si="4"/>
        <v>43.440000000000012</v>
      </c>
      <c r="M40" s="2">
        <f t="shared" si="5"/>
        <v>38.756299200000008</v>
      </c>
    </row>
    <row r="41" spans="1:13" x14ac:dyDescent="0.2">
      <c r="A41" s="5">
        <v>40689</v>
      </c>
      <c r="B41" s="5">
        <v>40689</v>
      </c>
      <c r="C41" s="3" t="s">
        <v>1</v>
      </c>
      <c r="D41" s="3">
        <v>30</v>
      </c>
      <c r="E41" s="14" t="s">
        <v>38</v>
      </c>
      <c r="F41" s="14">
        <v>10.99</v>
      </c>
      <c r="G41" s="2">
        <v>70.128299999999996</v>
      </c>
      <c r="H41" s="2">
        <v>60.677999999999997</v>
      </c>
      <c r="I41" s="1">
        <v>1</v>
      </c>
      <c r="J41" s="4"/>
      <c r="K41" s="2">
        <f t="shared" si="3"/>
        <v>10.99</v>
      </c>
      <c r="L41" s="2">
        <f t="shared" si="4"/>
        <v>52.75200000000001</v>
      </c>
      <c r="M41" s="2">
        <f t="shared" si="5"/>
        <v>47.064279360000008</v>
      </c>
    </row>
    <row r="42" spans="1:13" x14ac:dyDescent="0.2">
      <c r="A42" s="5">
        <v>40689</v>
      </c>
      <c r="B42" s="5">
        <v>40689</v>
      </c>
      <c r="C42" s="3" t="s">
        <v>1</v>
      </c>
      <c r="D42" s="3">
        <v>31</v>
      </c>
      <c r="E42" s="14" t="s">
        <v>37</v>
      </c>
      <c r="F42" s="14">
        <v>9.52</v>
      </c>
      <c r="G42" s="2">
        <v>60.523699999999998</v>
      </c>
      <c r="H42" s="2">
        <v>52.894199999999998</v>
      </c>
      <c r="I42" s="1">
        <v>1</v>
      </c>
      <c r="J42" s="4"/>
      <c r="K42" s="2">
        <f t="shared" si="3"/>
        <v>9.52</v>
      </c>
      <c r="L42" s="2">
        <f t="shared" si="4"/>
        <v>45.695999999999998</v>
      </c>
      <c r="M42" s="2">
        <f t="shared" si="5"/>
        <v>40.769057279999998</v>
      </c>
    </row>
    <row r="43" spans="1:13" x14ac:dyDescent="0.2">
      <c r="A43" s="5">
        <v>40689</v>
      </c>
      <c r="B43" s="5">
        <v>40689</v>
      </c>
      <c r="C43" s="3" t="s">
        <v>1</v>
      </c>
      <c r="D43" s="3">
        <v>32</v>
      </c>
      <c r="E43" s="14" t="s">
        <v>36</v>
      </c>
      <c r="F43" s="14">
        <v>7.08</v>
      </c>
      <c r="G43" s="2">
        <v>44.519399999999997</v>
      </c>
      <c r="H43" s="2">
        <v>39.969099999999997</v>
      </c>
      <c r="I43" s="1">
        <v>1</v>
      </c>
      <c r="J43" s="4"/>
      <c r="K43" s="2">
        <f t="shared" si="3"/>
        <v>7.08</v>
      </c>
      <c r="L43" s="2">
        <f t="shared" si="4"/>
        <v>33.984000000000009</v>
      </c>
      <c r="M43" s="2">
        <f t="shared" si="5"/>
        <v>30.319845120000007</v>
      </c>
    </row>
    <row r="44" spans="1:13" x14ac:dyDescent="0.2">
      <c r="A44" s="5">
        <v>40689</v>
      </c>
      <c r="B44" s="5">
        <v>40689</v>
      </c>
      <c r="C44" s="3" t="s">
        <v>1</v>
      </c>
      <c r="D44" s="3">
        <v>33</v>
      </c>
      <c r="E44" s="14" t="s">
        <v>35</v>
      </c>
      <c r="F44" s="14">
        <v>7.96</v>
      </c>
      <c r="G44" s="2">
        <v>50.283099999999997</v>
      </c>
      <c r="H44" s="2">
        <v>44.284500000000001</v>
      </c>
      <c r="I44" s="1">
        <v>1</v>
      </c>
      <c r="J44" s="4"/>
      <c r="K44" s="2">
        <f t="shared" si="3"/>
        <v>7.96</v>
      </c>
      <c r="L44" s="2">
        <f t="shared" si="4"/>
        <v>38.208000000000006</v>
      </c>
      <c r="M44" s="2">
        <f t="shared" si="5"/>
        <v>34.088413440000004</v>
      </c>
    </row>
    <row r="45" spans="1:13" x14ac:dyDescent="0.2">
      <c r="A45" s="5">
        <v>40689</v>
      </c>
      <c r="B45" s="5">
        <v>40689</v>
      </c>
      <c r="C45" s="3" t="s">
        <v>1</v>
      </c>
      <c r="D45" s="3">
        <v>34</v>
      </c>
      <c r="E45" s="14" t="s">
        <v>34</v>
      </c>
      <c r="F45" s="14">
        <v>9.09</v>
      </c>
      <c r="G45" s="2">
        <v>57.657299999999999</v>
      </c>
      <c r="H45" s="2">
        <v>49.960099999999997</v>
      </c>
      <c r="I45" s="1">
        <v>1</v>
      </c>
      <c r="J45" s="4"/>
      <c r="K45" s="2">
        <f t="shared" si="3"/>
        <v>9.09</v>
      </c>
      <c r="L45" s="2">
        <f t="shared" si="4"/>
        <v>43.632000000000005</v>
      </c>
      <c r="M45" s="2">
        <f t="shared" si="5"/>
        <v>38.927597760000005</v>
      </c>
    </row>
    <row r="46" spans="1:13" x14ac:dyDescent="0.2">
      <c r="A46" s="5">
        <v>40689</v>
      </c>
      <c r="B46" s="5">
        <v>40689</v>
      </c>
      <c r="C46" s="3" t="s">
        <v>1</v>
      </c>
      <c r="D46" s="3">
        <v>35</v>
      </c>
      <c r="E46" s="14" t="s">
        <v>33</v>
      </c>
      <c r="F46" s="14">
        <v>4.5</v>
      </c>
      <c r="G46" s="2">
        <v>27.588699999999999</v>
      </c>
      <c r="H46" s="2">
        <v>26.2957</v>
      </c>
      <c r="I46" s="1">
        <v>1</v>
      </c>
      <c r="J46" s="4"/>
      <c r="K46" s="2">
        <f t="shared" si="3"/>
        <v>4.5</v>
      </c>
      <c r="L46" s="2">
        <f t="shared" si="4"/>
        <v>21.6</v>
      </c>
      <c r="M46" s="2">
        <f t="shared" si="5"/>
        <v>19.271088000000002</v>
      </c>
    </row>
    <row r="47" spans="1:13" x14ac:dyDescent="0.2">
      <c r="A47" s="5">
        <v>40689</v>
      </c>
      <c r="B47" s="5">
        <v>40689</v>
      </c>
      <c r="C47" s="3" t="s">
        <v>1</v>
      </c>
      <c r="D47" s="3">
        <v>36</v>
      </c>
      <c r="E47" s="14" t="s">
        <v>32</v>
      </c>
      <c r="F47" s="14">
        <v>4.0599999999999996</v>
      </c>
      <c r="G47" s="2">
        <v>24.702000000000002</v>
      </c>
      <c r="H47" s="2">
        <v>23.788399999999999</v>
      </c>
      <c r="I47" s="1">
        <v>1</v>
      </c>
      <c r="J47" s="4"/>
      <c r="K47" s="2">
        <f t="shared" si="3"/>
        <v>4.0599999999999996</v>
      </c>
      <c r="L47" s="2">
        <f t="shared" si="4"/>
        <v>19.488</v>
      </c>
      <c r="M47" s="2">
        <f t="shared" si="5"/>
        <v>17.386803839999999</v>
      </c>
    </row>
    <row r="48" spans="1:13" x14ac:dyDescent="0.2">
      <c r="A48" s="5">
        <v>40689</v>
      </c>
      <c r="B48" s="5">
        <v>40689</v>
      </c>
      <c r="C48" s="3" t="s">
        <v>1</v>
      </c>
      <c r="D48" s="3">
        <v>37</v>
      </c>
      <c r="E48" s="3" t="s">
        <v>4</v>
      </c>
      <c r="F48" s="3">
        <v>0.27</v>
      </c>
      <c r="G48" s="2">
        <v>-7.4159100000000006E-2</v>
      </c>
      <c r="H48" s="2">
        <v>4.4639199999999999</v>
      </c>
      <c r="I48" s="1">
        <v>1</v>
      </c>
      <c r="J48" s="4"/>
    </row>
    <row r="49" spans="1:13" x14ac:dyDescent="0.2">
      <c r="A49" s="5">
        <v>40689</v>
      </c>
      <c r="B49" s="5">
        <v>40689</v>
      </c>
      <c r="C49" s="3" t="s">
        <v>1</v>
      </c>
      <c r="D49" s="3">
        <v>38</v>
      </c>
      <c r="E49" s="3" t="s">
        <v>3</v>
      </c>
      <c r="F49" s="3">
        <v>0.28000000000000003</v>
      </c>
      <c r="G49" s="2">
        <v>0</v>
      </c>
      <c r="H49" s="2">
        <v>4.3499400000000001</v>
      </c>
      <c r="I49" s="1">
        <v>1</v>
      </c>
      <c r="J49" s="4"/>
    </row>
    <row r="50" spans="1:13" x14ac:dyDescent="0.2">
      <c r="A50" s="5">
        <v>40689</v>
      </c>
      <c r="B50" s="5">
        <v>40689</v>
      </c>
      <c r="C50" s="3" t="s">
        <v>1</v>
      </c>
      <c r="D50" s="3">
        <v>39</v>
      </c>
      <c r="E50" s="3" t="s">
        <v>2</v>
      </c>
      <c r="F50" s="3">
        <v>10.63</v>
      </c>
      <c r="G50" s="2">
        <v>67.7834</v>
      </c>
      <c r="H50" s="2">
        <v>56.608400000000003</v>
      </c>
      <c r="I50" s="1">
        <v>1</v>
      </c>
      <c r="J50" s="4"/>
    </row>
    <row r="51" spans="1:13" x14ac:dyDescent="0.2">
      <c r="A51" s="5">
        <v>40689</v>
      </c>
      <c r="B51" s="5">
        <v>40689</v>
      </c>
      <c r="C51" s="3" t="s">
        <v>1</v>
      </c>
      <c r="D51" s="3">
        <v>40</v>
      </c>
      <c r="E51" s="3" t="s">
        <v>4</v>
      </c>
      <c r="F51" s="3">
        <v>0.27</v>
      </c>
      <c r="G51" s="2">
        <v>-8.3348400000000003E-2</v>
      </c>
      <c r="H51" s="2">
        <v>4.7381099999999998</v>
      </c>
      <c r="I51" s="1">
        <v>1</v>
      </c>
      <c r="J51" s="4"/>
    </row>
    <row r="52" spans="1:13" x14ac:dyDescent="0.2">
      <c r="A52" s="5">
        <v>40689</v>
      </c>
      <c r="B52" s="5">
        <v>40689</v>
      </c>
      <c r="C52" s="3" t="s">
        <v>1</v>
      </c>
      <c r="D52" s="3">
        <v>41</v>
      </c>
      <c r="E52" s="14" t="s">
        <v>31</v>
      </c>
      <c r="F52" s="14">
        <v>2.06</v>
      </c>
      <c r="G52" s="2">
        <v>11.661799999999999</v>
      </c>
      <c r="H52" s="2">
        <v>13.4885</v>
      </c>
      <c r="I52" s="1">
        <v>1</v>
      </c>
      <c r="J52" s="4"/>
      <c r="K52" s="2">
        <f t="shared" ref="K52:K60" si="6">F52*(20/20)</f>
        <v>2.06</v>
      </c>
      <c r="L52" s="2">
        <f t="shared" ref="L52:L60" si="7">F52*(20/20)*1.6*30*(1/1000000000)*(10000)*(10000)</f>
        <v>9.8880000000000017</v>
      </c>
      <c r="M52" s="2">
        <f t="shared" ref="M52:M60" si="8">L52*0.89218</f>
        <v>8.8218758400000006</v>
      </c>
    </row>
    <row r="53" spans="1:13" x14ac:dyDescent="0.2">
      <c r="A53" s="5">
        <v>40689</v>
      </c>
      <c r="B53" s="5">
        <v>40689</v>
      </c>
      <c r="C53" s="3" t="s">
        <v>1</v>
      </c>
      <c r="D53" s="3">
        <v>42</v>
      </c>
      <c r="E53" s="14" t="s">
        <v>30</v>
      </c>
      <c r="F53" s="14">
        <v>4.8899999999999997</v>
      </c>
      <c r="G53" s="2">
        <v>30.192399999999999</v>
      </c>
      <c r="H53" s="2">
        <v>28.080300000000001</v>
      </c>
      <c r="I53" s="1">
        <v>1</v>
      </c>
      <c r="J53" s="4"/>
      <c r="K53" s="2">
        <f t="shared" si="6"/>
        <v>4.8899999999999997</v>
      </c>
      <c r="L53" s="2">
        <f t="shared" si="7"/>
        <v>23.472000000000001</v>
      </c>
      <c r="M53" s="2">
        <f t="shared" si="8"/>
        <v>20.941248959999999</v>
      </c>
    </row>
    <row r="54" spans="1:13" x14ac:dyDescent="0.2">
      <c r="A54" s="5">
        <v>40689</v>
      </c>
      <c r="B54" s="5">
        <v>40689</v>
      </c>
      <c r="C54" s="3" t="s">
        <v>1</v>
      </c>
      <c r="D54" s="3">
        <v>43</v>
      </c>
      <c r="E54" s="14" t="s">
        <v>29</v>
      </c>
      <c r="F54" s="14">
        <v>2.82</v>
      </c>
      <c r="G54" s="2">
        <v>16.613800000000001</v>
      </c>
      <c r="H54" s="2">
        <v>17.658899999999999</v>
      </c>
      <c r="I54" s="1">
        <v>1</v>
      </c>
      <c r="J54" s="4"/>
      <c r="K54" s="2">
        <f t="shared" si="6"/>
        <v>2.82</v>
      </c>
      <c r="L54" s="2">
        <f t="shared" si="7"/>
        <v>13.536</v>
      </c>
      <c r="M54" s="2">
        <f t="shared" si="8"/>
        <v>12.07654848</v>
      </c>
    </row>
    <row r="55" spans="1:13" x14ac:dyDescent="0.2">
      <c r="A55" s="5">
        <v>40689</v>
      </c>
      <c r="B55" s="5">
        <v>40689</v>
      </c>
      <c r="C55" s="3" t="s">
        <v>1</v>
      </c>
      <c r="D55" s="3">
        <v>44</v>
      </c>
      <c r="E55" s="14" t="s">
        <v>28</v>
      </c>
      <c r="F55" s="14">
        <v>0.78</v>
      </c>
      <c r="G55" s="2">
        <v>3.2238600000000002</v>
      </c>
      <c r="H55" s="2">
        <v>7.09924</v>
      </c>
      <c r="I55" s="1">
        <v>1</v>
      </c>
      <c r="J55" s="4"/>
      <c r="K55" s="2">
        <f t="shared" si="6"/>
        <v>0.78</v>
      </c>
      <c r="L55" s="2">
        <f t="shared" si="7"/>
        <v>3.7440000000000011</v>
      </c>
      <c r="M55" s="2">
        <f t="shared" si="8"/>
        <v>3.3403219200000009</v>
      </c>
    </row>
    <row r="56" spans="1:13" x14ac:dyDescent="0.2">
      <c r="A56" s="5">
        <v>40689</v>
      </c>
      <c r="B56" s="5">
        <v>40689</v>
      </c>
      <c r="C56" s="3" t="s">
        <v>1</v>
      </c>
      <c r="D56" s="3">
        <v>45</v>
      </c>
      <c r="E56" s="14" t="s">
        <v>27</v>
      </c>
      <c r="F56" s="14">
        <v>1.25</v>
      </c>
      <c r="G56" s="2">
        <v>6.3001399999999999</v>
      </c>
      <c r="H56" s="2">
        <v>9.4798600000000004</v>
      </c>
      <c r="I56" s="1">
        <v>1</v>
      </c>
      <c r="J56" s="4"/>
      <c r="K56" s="2">
        <f t="shared" si="6"/>
        <v>1.25</v>
      </c>
      <c r="L56" s="2">
        <f t="shared" si="7"/>
        <v>6.0000000000000009</v>
      </c>
      <c r="M56" s="2">
        <f t="shared" si="8"/>
        <v>5.3530800000000003</v>
      </c>
    </row>
    <row r="57" spans="1:13" x14ac:dyDescent="0.2">
      <c r="A57" s="5">
        <v>40689</v>
      </c>
      <c r="B57" s="5">
        <v>40689</v>
      </c>
      <c r="C57" s="3" t="s">
        <v>1</v>
      </c>
      <c r="D57" s="3">
        <v>46</v>
      </c>
      <c r="E57" s="14" t="s">
        <v>26</v>
      </c>
      <c r="F57" s="14">
        <v>2.21</v>
      </c>
      <c r="G57" s="2">
        <v>12.630599999999999</v>
      </c>
      <c r="H57" s="2">
        <v>14.5703</v>
      </c>
      <c r="I57" s="1">
        <v>1</v>
      </c>
      <c r="J57" s="4"/>
      <c r="K57" s="2">
        <f t="shared" si="6"/>
        <v>2.21</v>
      </c>
      <c r="L57" s="2">
        <f t="shared" si="7"/>
        <v>10.608000000000001</v>
      </c>
      <c r="M57" s="2">
        <f t="shared" si="8"/>
        <v>9.4642454400000009</v>
      </c>
    </row>
    <row r="58" spans="1:13" x14ac:dyDescent="0.2">
      <c r="A58" s="5">
        <v>40689</v>
      </c>
      <c r="B58" s="5">
        <v>40689</v>
      </c>
      <c r="C58" s="3" t="s">
        <v>1</v>
      </c>
      <c r="D58" s="3">
        <v>47</v>
      </c>
      <c r="E58" s="14" t="s">
        <v>25</v>
      </c>
      <c r="F58" s="14">
        <v>7.46</v>
      </c>
      <c r="G58" s="2">
        <v>47.026699999999998</v>
      </c>
      <c r="H58" s="2">
        <v>42.1633</v>
      </c>
      <c r="I58" s="1">
        <v>1</v>
      </c>
      <c r="J58" s="4"/>
      <c r="K58" s="2">
        <f t="shared" si="6"/>
        <v>7.46</v>
      </c>
      <c r="L58" s="2">
        <f t="shared" si="7"/>
        <v>35.808</v>
      </c>
      <c r="M58" s="2">
        <f t="shared" si="8"/>
        <v>31.947181439999998</v>
      </c>
    </row>
    <row r="59" spans="1:13" x14ac:dyDescent="0.2">
      <c r="A59" s="5">
        <v>40689</v>
      </c>
      <c r="B59" s="5">
        <v>40689</v>
      </c>
      <c r="C59" s="3" t="s">
        <v>1</v>
      </c>
      <c r="D59" s="3">
        <v>48</v>
      </c>
      <c r="E59" s="14" t="s">
        <v>24</v>
      </c>
      <c r="F59" s="14">
        <v>4.2</v>
      </c>
      <c r="G59" s="2">
        <v>25.6404</v>
      </c>
      <c r="H59" s="2">
        <v>25.386199999999999</v>
      </c>
      <c r="I59" s="1">
        <v>1</v>
      </c>
      <c r="J59" s="4"/>
      <c r="K59" s="2">
        <f t="shared" si="6"/>
        <v>4.2</v>
      </c>
      <c r="L59" s="2">
        <f t="shared" si="7"/>
        <v>20.160000000000004</v>
      </c>
      <c r="M59" s="2">
        <f t="shared" si="8"/>
        <v>17.986348800000002</v>
      </c>
    </row>
    <row r="60" spans="1:13" x14ac:dyDescent="0.2">
      <c r="A60" s="5">
        <v>40689</v>
      </c>
      <c r="B60" s="5">
        <v>40689</v>
      </c>
      <c r="C60" s="3" t="s">
        <v>1</v>
      </c>
      <c r="D60" s="3">
        <v>49</v>
      </c>
      <c r="E60" s="14" t="s">
        <v>23</v>
      </c>
      <c r="F60" s="14">
        <v>7.02</v>
      </c>
      <c r="G60" s="2">
        <v>44.138599999999997</v>
      </c>
      <c r="H60" s="2">
        <v>40.297400000000003</v>
      </c>
      <c r="I60" s="1">
        <v>1</v>
      </c>
      <c r="J60" s="4"/>
      <c r="K60" s="2">
        <f t="shared" si="6"/>
        <v>7.02</v>
      </c>
      <c r="L60" s="2">
        <f t="shared" si="7"/>
        <v>33.696000000000005</v>
      </c>
      <c r="M60" s="2">
        <f t="shared" si="8"/>
        <v>30.062897280000005</v>
      </c>
    </row>
    <row r="61" spans="1:13" x14ac:dyDescent="0.2">
      <c r="A61" s="5">
        <v>40689</v>
      </c>
      <c r="B61" s="5">
        <v>40689</v>
      </c>
      <c r="C61" s="3" t="s">
        <v>1</v>
      </c>
      <c r="D61" s="3">
        <v>50</v>
      </c>
      <c r="E61" s="3" t="s">
        <v>4</v>
      </c>
      <c r="F61" s="3">
        <v>0.28000000000000003</v>
      </c>
      <c r="G61" s="2">
        <v>-2.25233E-2</v>
      </c>
      <c r="H61" s="2">
        <v>4.7857799999999999</v>
      </c>
      <c r="I61" s="1">
        <v>1</v>
      </c>
      <c r="J61" s="4"/>
    </row>
    <row r="62" spans="1:13" x14ac:dyDescent="0.2">
      <c r="A62" s="5">
        <v>40689</v>
      </c>
      <c r="B62" s="5">
        <v>40689</v>
      </c>
      <c r="C62" s="3" t="s">
        <v>1</v>
      </c>
      <c r="D62" s="3">
        <v>51</v>
      </c>
      <c r="E62" s="3" t="s">
        <v>3</v>
      </c>
      <c r="F62" s="3">
        <v>0.28000000000000003</v>
      </c>
      <c r="G62" s="2">
        <v>0</v>
      </c>
      <c r="H62" s="2">
        <v>4.5120300000000002</v>
      </c>
      <c r="I62" s="1">
        <v>1</v>
      </c>
      <c r="J62" s="4"/>
    </row>
    <row r="63" spans="1:13" x14ac:dyDescent="0.2">
      <c r="A63" s="5">
        <v>40689</v>
      </c>
      <c r="B63" s="5">
        <v>40689</v>
      </c>
      <c r="C63" s="3" t="s">
        <v>1</v>
      </c>
      <c r="D63" s="3">
        <v>52</v>
      </c>
      <c r="E63" s="3" t="s">
        <v>2</v>
      </c>
      <c r="F63" s="3">
        <v>10.63</v>
      </c>
      <c r="G63" s="2">
        <v>67.7834</v>
      </c>
      <c r="H63" s="2">
        <v>60.0548</v>
      </c>
      <c r="I63" s="1">
        <v>1</v>
      </c>
      <c r="J63" s="4"/>
    </row>
    <row r="64" spans="1:13" x14ac:dyDescent="0.2">
      <c r="A64" s="5">
        <v>40689</v>
      </c>
      <c r="B64" s="5">
        <v>40689</v>
      </c>
      <c r="C64" s="3" t="s">
        <v>1</v>
      </c>
      <c r="D64" s="3">
        <v>53</v>
      </c>
      <c r="E64" s="3" t="s">
        <v>4</v>
      </c>
      <c r="F64" s="3">
        <v>0.27</v>
      </c>
      <c r="G64" s="2">
        <v>-9.6565999999999999E-2</v>
      </c>
      <c r="H64" s="2">
        <v>4.9199099999999998</v>
      </c>
      <c r="I64" s="1">
        <v>1</v>
      </c>
      <c r="J64" s="4"/>
    </row>
    <row r="65" spans="1:29" x14ac:dyDescent="0.2">
      <c r="A65" s="5">
        <v>40689</v>
      </c>
      <c r="B65" s="5">
        <v>40689</v>
      </c>
      <c r="C65" s="3" t="s">
        <v>1</v>
      </c>
      <c r="D65" s="3">
        <v>54</v>
      </c>
      <c r="E65" s="14" t="s">
        <v>22</v>
      </c>
      <c r="F65" s="14">
        <v>8.91</v>
      </c>
      <c r="G65" s="2">
        <v>68.070800000000006</v>
      </c>
      <c r="H65" s="2">
        <v>61.777999999999999</v>
      </c>
      <c r="I65" s="1">
        <v>1</v>
      </c>
      <c r="J65" s="4"/>
      <c r="K65" s="2">
        <f t="shared" ref="K65:K77" si="9">F65*(20/20)</f>
        <v>8.91</v>
      </c>
      <c r="L65" s="2">
        <f t="shared" ref="L65:L77" si="10">F65*(20/20)*1.6*30*(1/1000000000)*(10000)*(10000)</f>
        <v>42.768000000000001</v>
      </c>
      <c r="M65" s="2">
        <f t="shared" ref="M65:M77" si="11">L65*0.89218</f>
        <v>38.156754239999998</v>
      </c>
    </row>
    <row r="66" spans="1:29" x14ac:dyDescent="0.2">
      <c r="A66" s="5">
        <v>40689</v>
      </c>
      <c r="B66" s="5">
        <v>40689</v>
      </c>
      <c r="C66" s="3" t="s">
        <v>1</v>
      </c>
      <c r="D66" s="3">
        <v>55</v>
      </c>
      <c r="E66" s="14" t="s">
        <v>21</v>
      </c>
      <c r="F66" s="14">
        <v>9.33</v>
      </c>
      <c r="G66" s="2">
        <v>59.268999999999998</v>
      </c>
      <c r="H66" s="2">
        <v>55.487900000000003</v>
      </c>
      <c r="I66" s="1">
        <v>1</v>
      </c>
      <c r="J66" s="4"/>
      <c r="K66" s="2">
        <f t="shared" si="9"/>
        <v>9.33</v>
      </c>
      <c r="L66" s="2">
        <f t="shared" si="10"/>
        <v>44.784000000000006</v>
      </c>
      <c r="M66" s="2">
        <f t="shared" si="11"/>
        <v>39.955389120000007</v>
      </c>
    </row>
    <row r="67" spans="1:29" x14ac:dyDescent="0.2">
      <c r="A67" s="5">
        <v>40689</v>
      </c>
      <c r="B67" s="5">
        <v>40689</v>
      </c>
      <c r="C67" s="3" t="s">
        <v>1</v>
      </c>
      <c r="D67" s="3">
        <v>56</v>
      </c>
      <c r="E67" s="14" t="s">
        <v>20</v>
      </c>
      <c r="F67" s="14">
        <v>15.89</v>
      </c>
      <c r="G67" s="2">
        <v>89.868099999999998</v>
      </c>
      <c r="H67" s="2">
        <v>82.521000000000001</v>
      </c>
      <c r="I67" s="1">
        <v>1</v>
      </c>
      <c r="J67" s="4"/>
      <c r="K67" s="2">
        <f t="shared" si="9"/>
        <v>15.89</v>
      </c>
      <c r="L67" s="2">
        <f t="shared" si="10"/>
        <v>76.27200000000002</v>
      </c>
      <c r="M67" s="2">
        <f t="shared" si="11"/>
        <v>68.048352960000017</v>
      </c>
    </row>
    <row r="68" spans="1:29" x14ac:dyDescent="0.2">
      <c r="A68" s="5">
        <v>40689</v>
      </c>
      <c r="B68" s="5">
        <v>40689</v>
      </c>
      <c r="C68" s="3" t="s">
        <v>1</v>
      </c>
      <c r="D68" s="3">
        <v>57</v>
      </c>
      <c r="E68" s="14" t="s">
        <v>19</v>
      </c>
      <c r="F68" s="14">
        <v>14.96</v>
      </c>
      <c r="G68" s="2">
        <v>107.58799999999999</v>
      </c>
      <c r="H68" s="2">
        <v>99.281199999999998</v>
      </c>
      <c r="I68" s="1">
        <v>1</v>
      </c>
      <c r="J68" s="4"/>
      <c r="K68" s="2">
        <f t="shared" si="9"/>
        <v>14.96</v>
      </c>
      <c r="L68" s="2">
        <f t="shared" si="10"/>
        <v>71.808000000000021</v>
      </c>
      <c r="M68" s="2">
        <f t="shared" si="11"/>
        <v>64.065661440000014</v>
      </c>
    </row>
    <row r="69" spans="1:29" x14ac:dyDescent="0.2">
      <c r="A69" s="5">
        <v>40689</v>
      </c>
      <c r="B69" s="5">
        <v>40689</v>
      </c>
      <c r="C69" s="3" t="s">
        <v>1</v>
      </c>
      <c r="D69" s="3">
        <v>58</v>
      </c>
      <c r="E69" s="14" t="s">
        <v>18</v>
      </c>
      <c r="F69" s="14">
        <v>29.68</v>
      </c>
      <c r="G69" s="2">
        <v>142.18299999999999</v>
      </c>
      <c r="H69" s="2">
        <v>131.37100000000001</v>
      </c>
      <c r="I69" s="1">
        <v>1</v>
      </c>
      <c r="J69" s="4"/>
      <c r="K69" s="2">
        <f t="shared" si="9"/>
        <v>29.68</v>
      </c>
      <c r="L69" s="2">
        <f t="shared" si="10"/>
        <v>142.464</v>
      </c>
      <c r="M69" s="2">
        <f t="shared" si="11"/>
        <v>127.10353151999999</v>
      </c>
    </row>
    <row r="70" spans="1:29" x14ac:dyDescent="0.2">
      <c r="A70" s="5">
        <v>40689</v>
      </c>
      <c r="B70" s="5">
        <v>40689</v>
      </c>
      <c r="C70" s="3" t="s">
        <v>1</v>
      </c>
      <c r="D70" s="3">
        <v>59</v>
      </c>
      <c r="E70" s="14" t="s">
        <v>17</v>
      </c>
      <c r="F70" s="14">
        <v>10.66</v>
      </c>
      <c r="G70" s="2">
        <v>93.8673</v>
      </c>
      <c r="H70" s="2">
        <v>89.9756</v>
      </c>
      <c r="I70" s="1">
        <v>1</v>
      </c>
      <c r="J70" s="4"/>
      <c r="K70" s="2">
        <f t="shared" si="9"/>
        <v>10.66</v>
      </c>
      <c r="L70" s="2">
        <f t="shared" si="10"/>
        <v>51.167999999999992</v>
      </c>
      <c r="M70" s="2">
        <f t="shared" si="11"/>
        <v>45.651066239999992</v>
      </c>
    </row>
    <row r="71" spans="1:29" x14ac:dyDescent="0.2">
      <c r="A71" s="5">
        <v>40689</v>
      </c>
      <c r="B71" s="5">
        <v>40689</v>
      </c>
      <c r="C71" s="3" t="s">
        <v>1</v>
      </c>
      <c r="D71" s="3">
        <v>60</v>
      </c>
      <c r="E71" s="14" t="s">
        <v>16</v>
      </c>
      <c r="F71" s="14">
        <v>4.62</v>
      </c>
      <c r="G71" s="2">
        <v>28.379200000000001</v>
      </c>
      <c r="H71" s="2">
        <v>31.2027</v>
      </c>
      <c r="I71" s="1">
        <v>1</v>
      </c>
      <c r="J71" s="4"/>
      <c r="K71" s="2">
        <f t="shared" si="9"/>
        <v>4.62</v>
      </c>
      <c r="L71" s="2">
        <f t="shared" si="10"/>
        <v>22.176000000000002</v>
      </c>
      <c r="M71" s="2">
        <f t="shared" si="11"/>
        <v>19.78498368</v>
      </c>
    </row>
    <row r="72" spans="1:29" x14ac:dyDescent="0.2">
      <c r="A72" s="5">
        <v>40689</v>
      </c>
      <c r="B72" s="5">
        <v>40689</v>
      </c>
      <c r="C72" s="3" t="s">
        <v>1</v>
      </c>
      <c r="D72" s="3">
        <v>61</v>
      </c>
      <c r="E72" s="14" t="s">
        <v>15</v>
      </c>
      <c r="F72" s="14">
        <v>2.33</v>
      </c>
      <c r="G72" s="2">
        <v>13.414999999999999</v>
      </c>
      <c r="H72" s="2">
        <v>17.316500000000001</v>
      </c>
      <c r="I72" s="1">
        <v>1</v>
      </c>
      <c r="J72" s="4"/>
      <c r="K72" s="2">
        <f t="shared" si="9"/>
        <v>2.33</v>
      </c>
      <c r="L72" s="2">
        <f t="shared" si="10"/>
        <v>11.184000000000001</v>
      </c>
      <c r="M72" s="2">
        <f t="shared" si="11"/>
        <v>9.9781411200000001</v>
      </c>
    </row>
    <row r="73" spans="1:29" x14ac:dyDescent="0.2">
      <c r="A73" s="5">
        <v>40689</v>
      </c>
      <c r="B73" s="5">
        <v>40689</v>
      </c>
      <c r="C73" s="3" t="s">
        <v>1</v>
      </c>
      <c r="D73" s="3">
        <v>62</v>
      </c>
      <c r="E73" s="14" t="s">
        <v>14</v>
      </c>
      <c r="F73" s="14">
        <v>2.82</v>
      </c>
      <c r="G73" s="2">
        <v>16.6434</v>
      </c>
      <c r="H73" s="2">
        <v>20.435700000000001</v>
      </c>
      <c r="I73" s="1">
        <v>1</v>
      </c>
      <c r="J73" s="4"/>
      <c r="K73" s="2">
        <f t="shared" si="9"/>
        <v>2.82</v>
      </c>
      <c r="L73" s="2">
        <f t="shared" si="10"/>
        <v>13.536</v>
      </c>
      <c r="M73" s="2">
        <f t="shared" si="11"/>
        <v>12.07654848</v>
      </c>
    </row>
    <row r="74" spans="1:29" x14ac:dyDescent="0.2">
      <c r="A74" s="5">
        <v>40689</v>
      </c>
      <c r="B74" s="5">
        <v>40689</v>
      </c>
      <c r="C74" s="3" t="s">
        <v>1</v>
      </c>
      <c r="D74" s="3">
        <v>63</v>
      </c>
      <c r="E74" s="14" t="s">
        <v>13</v>
      </c>
      <c r="F74" s="14">
        <v>2.84</v>
      </c>
      <c r="G74" s="2">
        <v>16.738099999999999</v>
      </c>
      <c r="H74" s="2">
        <v>20.796500000000002</v>
      </c>
      <c r="I74" s="1">
        <v>1</v>
      </c>
      <c r="J74" s="4"/>
      <c r="K74" s="2">
        <f t="shared" si="9"/>
        <v>2.84</v>
      </c>
      <c r="L74" s="2">
        <f t="shared" si="10"/>
        <v>13.632</v>
      </c>
      <c r="M74" s="2">
        <f t="shared" si="11"/>
        <v>12.16219776</v>
      </c>
    </row>
    <row r="75" spans="1:29" x14ac:dyDescent="0.2">
      <c r="A75" s="5">
        <v>40689</v>
      </c>
      <c r="B75" s="5">
        <v>40689</v>
      </c>
      <c r="C75" s="3" t="s">
        <v>1</v>
      </c>
      <c r="D75" s="3">
        <v>64</v>
      </c>
      <c r="E75" s="14" t="s">
        <v>12</v>
      </c>
      <c r="F75" s="14">
        <v>3.14</v>
      </c>
      <c r="G75" s="2">
        <v>18.7257</v>
      </c>
      <c r="H75" s="2">
        <v>22.974</v>
      </c>
      <c r="I75" s="1">
        <v>1</v>
      </c>
      <c r="J75" s="4"/>
      <c r="K75" s="2">
        <f t="shared" si="9"/>
        <v>3.14</v>
      </c>
      <c r="L75" s="2">
        <f t="shared" si="10"/>
        <v>15.072000000000005</v>
      </c>
      <c r="M75" s="2">
        <f t="shared" si="11"/>
        <v>13.446936960000004</v>
      </c>
    </row>
    <row r="76" spans="1:29" x14ac:dyDescent="0.2">
      <c r="A76" s="5">
        <v>40689</v>
      </c>
      <c r="B76" s="5">
        <v>40689</v>
      </c>
      <c r="C76" s="3" t="s">
        <v>1</v>
      </c>
      <c r="D76" s="3">
        <v>65</v>
      </c>
      <c r="E76" s="14" t="s">
        <v>11</v>
      </c>
      <c r="F76" s="14">
        <v>4.4800000000000004</v>
      </c>
      <c r="G76" s="2">
        <v>27.5077</v>
      </c>
      <c r="H76" s="2">
        <v>31.891500000000001</v>
      </c>
      <c r="I76" s="1">
        <v>1</v>
      </c>
      <c r="J76" s="4"/>
      <c r="K76" s="2">
        <f t="shared" si="9"/>
        <v>4.4800000000000004</v>
      </c>
      <c r="L76" s="2">
        <f t="shared" si="10"/>
        <v>21.504000000000001</v>
      </c>
      <c r="M76" s="2">
        <f t="shared" si="11"/>
        <v>19.185438720000001</v>
      </c>
    </row>
    <row r="77" spans="1:29" s="8" customFormat="1" ht="13.5" thickBot="1" x14ac:dyDescent="0.25">
      <c r="A77" s="13">
        <v>40689</v>
      </c>
      <c r="B77" s="13">
        <v>40689</v>
      </c>
      <c r="C77" s="12" t="s">
        <v>1</v>
      </c>
      <c r="D77" s="12">
        <v>66</v>
      </c>
      <c r="E77" s="11" t="s">
        <v>10</v>
      </c>
      <c r="F77" s="11">
        <v>2.5299999999999998</v>
      </c>
      <c r="G77" s="9">
        <v>14.7052</v>
      </c>
      <c r="H77" s="9">
        <v>19.6477</v>
      </c>
      <c r="I77" s="8">
        <v>1</v>
      </c>
      <c r="J77" s="10"/>
      <c r="K77" s="9">
        <f t="shared" si="9"/>
        <v>2.5299999999999998</v>
      </c>
      <c r="L77" s="9">
        <f t="shared" si="10"/>
        <v>12.144</v>
      </c>
      <c r="M77" s="9">
        <f t="shared" si="11"/>
        <v>10.83463392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">
      <c r="A78" s="5">
        <v>40689</v>
      </c>
      <c r="B78" s="5">
        <v>40689</v>
      </c>
      <c r="C78" s="3" t="s">
        <v>1</v>
      </c>
      <c r="D78" s="3">
        <v>67</v>
      </c>
      <c r="E78" s="3" t="s">
        <v>4</v>
      </c>
      <c r="F78" s="3">
        <v>0.28000000000000003</v>
      </c>
      <c r="G78" s="2">
        <v>-5.4741400000000003E-2</v>
      </c>
      <c r="H78" s="2">
        <v>4.8786300000000002</v>
      </c>
      <c r="I78" s="1">
        <v>1</v>
      </c>
      <c r="J78" s="4"/>
    </row>
    <row r="79" spans="1:29" x14ac:dyDescent="0.2">
      <c r="A79" s="5">
        <v>40689</v>
      </c>
      <c r="B79" s="5">
        <v>40689</v>
      </c>
      <c r="C79" s="3" t="s">
        <v>1</v>
      </c>
      <c r="D79" s="3">
        <v>68</v>
      </c>
      <c r="E79" s="3" t="s">
        <v>3</v>
      </c>
      <c r="F79" s="3">
        <v>0.28000000000000003</v>
      </c>
      <c r="G79" s="2">
        <v>0</v>
      </c>
      <c r="H79" s="2">
        <v>4.8026099999999996</v>
      </c>
      <c r="I79" s="1">
        <v>1</v>
      </c>
      <c r="J79" s="4"/>
    </row>
    <row r="80" spans="1:29" x14ac:dyDescent="0.2">
      <c r="A80" s="5">
        <v>40689</v>
      </c>
      <c r="B80" s="5">
        <v>40689</v>
      </c>
      <c r="C80" s="3" t="s">
        <v>1</v>
      </c>
      <c r="D80" s="3">
        <v>69</v>
      </c>
      <c r="E80" s="3" t="s">
        <v>2</v>
      </c>
      <c r="F80" s="3">
        <v>10.63</v>
      </c>
      <c r="G80" s="2">
        <v>67.7834</v>
      </c>
      <c r="H80" s="2">
        <v>75.599999999999994</v>
      </c>
      <c r="I80" s="1">
        <v>1</v>
      </c>
      <c r="J80" s="4"/>
    </row>
    <row r="81" spans="1:10" x14ac:dyDescent="0.2">
      <c r="A81" s="5">
        <v>40689</v>
      </c>
      <c r="B81" s="5">
        <v>40689</v>
      </c>
      <c r="C81" s="3" t="s">
        <v>1</v>
      </c>
      <c r="D81" s="3">
        <v>70</v>
      </c>
      <c r="E81" s="3" t="s">
        <v>4</v>
      </c>
      <c r="F81" s="3">
        <v>0.26</v>
      </c>
      <c r="G81" s="2">
        <v>-0.178146</v>
      </c>
      <c r="H81" s="2">
        <v>5.2148500000000002</v>
      </c>
      <c r="I81" s="1">
        <v>1</v>
      </c>
      <c r="J81" s="4"/>
    </row>
    <row r="82" spans="1:10" x14ac:dyDescent="0.2">
      <c r="A82" s="5">
        <v>40689</v>
      </c>
      <c r="B82" s="5">
        <v>40689</v>
      </c>
      <c r="C82" s="3" t="s">
        <v>1</v>
      </c>
      <c r="D82" s="3">
        <v>71</v>
      </c>
      <c r="E82" s="7" t="s">
        <v>9</v>
      </c>
      <c r="F82" s="3">
        <v>8.91</v>
      </c>
      <c r="G82" s="2">
        <v>27.326899999999998</v>
      </c>
      <c r="H82" s="2">
        <v>32.684600000000003</v>
      </c>
      <c r="I82" s="6">
        <v>2</v>
      </c>
      <c r="J82" s="4"/>
    </row>
    <row r="83" spans="1:10" x14ac:dyDescent="0.2">
      <c r="A83" s="5">
        <v>40689</v>
      </c>
      <c r="B83" s="5">
        <v>40689</v>
      </c>
      <c r="C83" s="3" t="s">
        <v>1</v>
      </c>
      <c r="D83" s="3">
        <v>72</v>
      </c>
      <c r="E83" s="7" t="s">
        <v>8</v>
      </c>
      <c r="F83" s="3">
        <v>15.89</v>
      </c>
      <c r="G83" s="2">
        <v>50.187100000000001</v>
      </c>
      <c r="H83" s="2">
        <v>55.531599999999997</v>
      </c>
      <c r="I83" s="6">
        <v>2</v>
      </c>
      <c r="J83" s="4"/>
    </row>
    <row r="84" spans="1:10" x14ac:dyDescent="0.2">
      <c r="A84" s="5">
        <v>40689</v>
      </c>
      <c r="B84" s="5">
        <v>40689</v>
      </c>
      <c r="C84" s="3" t="s">
        <v>1</v>
      </c>
      <c r="D84" s="3">
        <v>73</v>
      </c>
      <c r="E84" s="7" t="s">
        <v>7</v>
      </c>
      <c r="F84" s="3">
        <v>14.96</v>
      </c>
      <c r="G84" s="2">
        <v>47.144100000000002</v>
      </c>
      <c r="H84" s="2">
        <v>52.078000000000003</v>
      </c>
      <c r="I84" s="6">
        <v>2</v>
      </c>
      <c r="J84" s="4"/>
    </row>
    <row r="85" spans="1:10" x14ac:dyDescent="0.2">
      <c r="A85" s="5">
        <v>40689</v>
      </c>
      <c r="B85" s="5">
        <v>40689</v>
      </c>
      <c r="C85" s="3" t="s">
        <v>1</v>
      </c>
      <c r="D85" s="3">
        <v>74</v>
      </c>
      <c r="E85" s="7" t="s">
        <v>6</v>
      </c>
      <c r="F85" s="3">
        <v>29.68</v>
      </c>
      <c r="G85" s="2">
        <v>17.5779</v>
      </c>
      <c r="H85" s="2">
        <v>22.5061</v>
      </c>
      <c r="I85" s="6">
        <v>10</v>
      </c>
      <c r="J85" s="4"/>
    </row>
    <row r="86" spans="1:10" x14ac:dyDescent="0.2">
      <c r="A86" s="5">
        <v>40689</v>
      </c>
      <c r="B86" s="5">
        <v>40689</v>
      </c>
      <c r="C86" s="3" t="s">
        <v>1</v>
      </c>
      <c r="D86" s="3">
        <v>75</v>
      </c>
      <c r="E86" s="7" t="s">
        <v>5</v>
      </c>
      <c r="F86" s="3">
        <v>10.66</v>
      </c>
      <c r="G86" s="2">
        <v>33.0413</v>
      </c>
      <c r="H86" s="2">
        <v>37.0702</v>
      </c>
      <c r="I86" s="6">
        <v>2</v>
      </c>
      <c r="J86" s="4"/>
    </row>
    <row r="87" spans="1:10" x14ac:dyDescent="0.2">
      <c r="A87" s="5">
        <v>40689</v>
      </c>
      <c r="B87" s="5">
        <v>40689</v>
      </c>
      <c r="C87" s="3" t="s">
        <v>1</v>
      </c>
      <c r="D87" s="3">
        <v>76</v>
      </c>
      <c r="E87" s="3" t="s">
        <v>4</v>
      </c>
      <c r="F87" s="3">
        <v>0.27</v>
      </c>
      <c r="G87" s="2">
        <v>-0.101863</v>
      </c>
      <c r="H87" s="2">
        <v>5.0835499999999998</v>
      </c>
      <c r="I87" s="1">
        <v>1</v>
      </c>
      <c r="J87" s="4"/>
    </row>
    <row r="88" spans="1:10" x14ac:dyDescent="0.2">
      <c r="A88" s="5">
        <v>40689</v>
      </c>
      <c r="B88" s="5">
        <v>40689</v>
      </c>
      <c r="C88" s="3" t="s">
        <v>1</v>
      </c>
      <c r="D88" s="3">
        <v>77</v>
      </c>
      <c r="E88" s="3" t="s">
        <v>3</v>
      </c>
      <c r="F88" s="3">
        <v>0.28000000000000003</v>
      </c>
      <c r="G88" s="2">
        <v>0</v>
      </c>
      <c r="H88" s="2">
        <v>4.9132699999999998</v>
      </c>
      <c r="I88" s="1">
        <v>1</v>
      </c>
      <c r="J88" s="4"/>
    </row>
    <row r="89" spans="1:10" x14ac:dyDescent="0.2">
      <c r="A89" s="5">
        <v>40689</v>
      </c>
      <c r="B89" s="5">
        <v>40689</v>
      </c>
      <c r="C89" s="3" t="s">
        <v>1</v>
      </c>
      <c r="D89" s="3">
        <v>78</v>
      </c>
      <c r="E89" s="3" t="s">
        <v>2</v>
      </c>
      <c r="F89" s="3">
        <v>10.63</v>
      </c>
      <c r="G89" s="2">
        <v>67.7834</v>
      </c>
      <c r="H89" s="2">
        <v>68.377700000000004</v>
      </c>
      <c r="I89" s="1">
        <v>1</v>
      </c>
      <c r="J89" s="4"/>
    </row>
    <row r="90" spans="1:10" x14ac:dyDescent="0.2">
      <c r="A90" s="5">
        <v>40689</v>
      </c>
      <c r="B90" s="5">
        <v>40689</v>
      </c>
      <c r="C90" s="3" t="s">
        <v>1</v>
      </c>
      <c r="D90" s="3">
        <v>0</v>
      </c>
      <c r="E90" s="3" t="s">
        <v>0</v>
      </c>
      <c r="F90" s="3">
        <v>0.28000000000000003</v>
      </c>
      <c r="G90" s="2">
        <v>0</v>
      </c>
      <c r="H90" s="2">
        <v>4.9767299999999999</v>
      </c>
      <c r="I90" s="1">
        <v>1</v>
      </c>
      <c r="J90" s="4"/>
    </row>
    <row r="94" spans="1:10" x14ac:dyDescent="0.2">
      <c r="F94" s="3">
        <f>AVERAGE(F26,F29,F32,F39,F42,F45,F52,F55,F58,F65,F68,F71,F74)</f>
        <v>5.6830769230769249</v>
      </c>
    </row>
    <row r="95" spans="1:10" x14ac:dyDescent="0.2">
      <c r="F95" s="3">
        <f>AVERAGE(F27,F30,F33,F40,F43,F46,F53,F56,F59,F66,F69,F72,F75)</f>
        <v>6.3707692307692305</v>
      </c>
    </row>
    <row r="96" spans="1:10" x14ac:dyDescent="0.2">
      <c r="F96" s="3">
        <f>AVERAGE(F28,F31,F34,F41,F44,F47,F54,F57,F60,F67,F70,F73,F76)</f>
        <v>6.4846153846153847</v>
      </c>
    </row>
  </sheetData>
  <printOptions gridLines="1"/>
  <pageMargins left="0.75" right="0.75" top="1" bottom="1" header="0.5" footer="0.5"/>
  <pageSetup scale="53" fitToHeight="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F286-5533-4C56-B3E1-043FB88502E5}">
  <sheetPr>
    <pageSetUpPr fitToPage="1"/>
  </sheetPr>
  <dimension ref="A1:Z116"/>
  <sheetViews>
    <sheetView workbookViewId="0"/>
  </sheetViews>
  <sheetFormatPr defaultRowHeight="12.75" x14ac:dyDescent="0.2"/>
  <cols>
    <col min="1" max="3" width="13.7109375" style="3" customWidth="1"/>
    <col min="4" max="4" width="15.85546875" style="3" bestFit="1" customWidth="1"/>
    <col min="5" max="5" width="13.7109375" style="3" customWidth="1"/>
    <col min="6" max="6" width="14.7109375" style="3" customWidth="1"/>
    <col min="7" max="7" width="13.7109375" style="2" customWidth="1"/>
    <col min="8" max="8" width="12" style="2" bestFit="1" customWidth="1"/>
    <col min="9" max="9" width="9.140625" style="1"/>
    <col min="10" max="10" width="10.7109375" style="1" bestFit="1" customWidth="1"/>
    <col min="11" max="11" width="6.7109375" style="17" bestFit="1" customWidth="1"/>
    <col min="12" max="12" width="24" style="17" bestFit="1" customWidth="1"/>
    <col min="13" max="13" width="24" style="2" bestFit="1" customWidth="1"/>
    <col min="14" max="16384" width="9.140625" style="1"/>
  </cols>
  <sheetData>
    <row r="1" spans="1:17" s="20" customFormat="1" ht="15.75" x14ac:dyDescent="0.25">
      <c r="A1" s="38"/>
      <c r="B1" s="23"/>
      <c r="C1" s="52" t="s">
        <v>90</v>
      </c>
      <c r="D1" s="36" t="s">
        <v>89</v>
      </c>
      <c r="E1" s="33" t="s">
        <v>153</v>
      </c>
      <c r="F1" s="33"/>
      <c r="G1" s="21"/>
      <c r="K1" s="22"/>
      <c r="L1" s="22"/>
      <c r="M1" s="21"/>
    </row>
    <row r="2" spans="1:17" s="20" customFormat="1" ht="15.75" x14ac:dyDescent="0.25">
      <c r="A2" s="23" t="s">
        <v>87</v>
      </c>
      <c r="B2" s="23"/>
      <c r="C2" s="51">
        <v>40709</v>
      </c>
      <c r="D2" s="34"/>
      <c r="E2" s="33" t="s">
        <v>86</v>
      </c>
      <c r="F2" s="33"/>
      <c r="G2" s="21"/>
      <c r="K2" s="22"/>
      <c r="L2" s="22"/>
      <c r="M2" s="21"/>
    </row>
    <row r="3" spans="1:17" s="20" customFormat="1" ht="15.75" x14ac:dyDescent="0.25">
      <c r="A3" s="23" t="s">
        <v>85</v>
      </c>
      <c r="B3" s="23"/>
      <c r="C3" s="23"/>
      <c r="D3" s="23"/>
      <c r="E3" s="33" t="s">
        <v>84</v>
      </c>
      <c r="F3" s="33"/>
      <c r="G3" s="21"/>
      <c r="K3" s="22"/>
      <c r="L3" s="22"/>
      <c r="M3" s="21"/>
    </row>
    <row r="4" spans="1:17" s="20" customFormat="1" x14ac:dyDescent="0.2">
      <c r="A4" s="29" t="s">
        <v>83</v>
      </c>
      <c r="B4" s="23"/>
      <c r="C4" s="23"/>
      <c r="D4" s="23"/>
      <c r="E4" s="23"/>
      <c r="F4" s="23"/>
      <c r="G4" s="21"/>
      <c r="H4" s="21"/>
      <c r="K4" s="22"/>
      <c r="L4" s="22"/>
      <c r="M4" s="21"/>
    </row>
    <row r="5" spans="1:17" s="20" customFormat="1" x14ac:dyDescent="0.2">
      <c r="A5" s="29"/>
      <c r="B5" s="23"/>
      <c r="C5" s="23"/>
      <c r="D5" s="23"/>
      <c r="E5" s="23"/>
      <c r="F5" s="30" t="s">
        <v>81</v>
      </c>
      <c r="G5" s="50"/>
      <c r="H5" s="21"/>
      <c r="K5" s="22"/>
      <c r="L5" s="22"/>
      <c r="M5" s="21"/>
    </row>
    <row r="6" spans="1:17" s="20" customFormat="1" x14ac:dyDescent="0.2">
      <c r="A6" s="29"/>
      <c r="B6" s="23"/>
      <c r="C6" s="23"/>
      <c r="D6" s="23"/>
      <c r="E6" s="49"/>
      <c r="F6" s="27" t="s">
        <v>80</v>
      </c>
      <c r="G6" s="21"/>
      <c r="H6" s="21"/>
      <c r="K6" s="22"/>
      <c r="L6" s="22"/>
      <c r="M6" s="21"/>
    </row>
    <row r="7" spans="1:17" s="20" customFormat="1" x14ac:dyDescent="0.2">
      <c r="A7" s="23"/>
      <c r="B7" s="23"/>
      <c r="C7" s="23"/>
      <c r="D7" s="23"/>
      <c r="F7" s="27" t="s">
        <v>79</v>
      </c>
      <c r="G7" s="21"/>
      <c r="H7" s="21"/>
      <c r="K7" s="21"/>
      <c r="L7" s="48" t="s">
        <v>152</v>
      </c>
      <c r="M7" s="48" t="s">
        <v>152</v>
      </c>
    </row>
    <row r="8" spans="1:17" s="20" customFormat="1" x14ac:dyDescent="0.2">
      <c r="A8" s="22" t="s">
        <v>77</v>
      </c>
      <c r="B8" s="23"/>
      <c r="C8" s="23"/>
      <c r="D8" s="23"/>
      <c r="F8" s="27" t="s">
        <v>76</v>
      </c>
      <c r="G8" s="21" t="s">
        <v>75</v>
      </c>
      <c r="H8" s="21" t="s">
        <v>74</v>
      </c>
      <c r="K8" s="21"/>
      <c r="L8" s="28" t="s">
        <v>78</v>
      </c>
      <c r="M8" s="21"/>
    </row>
    <row r="9" spans="1:17" s="20" customFormat="1" ht="13.5" thickBot="1" x14ac:dyDescent="0.25">
      <c r="A9" s="22" t="s">
        <v>70</v>
      </c>
      <c r="B9" s="22" t="s">
        <v>69</v>
      </c>
      <c r="C9" s="23" t="s">
        <v>68</v>
      </c>
      <c r="D9" s="23" t="s">
        <v>67</v>
      </c>
      <c r="E9" s="47" t="s">
        <v>66</v>
      </c>
      <c r="F9" s="47" t="s">
        <v>65</v>
      </c>
      <c r="G9" s="21" t="s">
        <v>64</v>
      </c>
      <c r="H9" s="21" t="s">
        <v>64</v>
      </c>
      <c r="I9" s="22" t="s">
        <v>63</v>
      </c>
      <c r="J9" s="22"/>
      <c r="K9" s="46" t="s">
        <v>73</v>
      </c>
      <c r="L9" s="45" t="s">
        <v>72</v>
      </c>
      <c r="M9" s="44" t="s">
        <v>71</v>
      </c>
    </row>
    <row r="11" spans="1:17" x14ac:dyDescent="0.2">
      <c r="A11" s="5">
        <v>40709</v>
      </c>
      <c r="B11" s="5">
        <v>40709</v>
      </c>
      <c r="C11" s="3" t="s">
        <v>1</v>
      </c>
      <c r="D11" s="3">
        <v>0</v>
      </c>
      <c r="E11" s="3" t="s">
        <v>62</v>
      </c>
      <c r="F11" s="3">
        <v>3.99</v>
      </c>
      <c r="G11" s="2">
        <v>0</v>
      </c>
      <c r="H11" s="2">
        <v>3.9913699999999999</v>
      </c>
      <c r="I11" s="1">
        <v>1</v>
      </c>
    </row>
    <row r="12" spans="1:17" x14ac:dyDescent="0.2">
      <c r="A12" s="5">
        <v>40709</v>
      </c>
      <c r="B12" s="5">
        <v>40709</v>
      </c>
      <c r="C12" s="3" t="s">
        <v>1</v>
      </c>
      <c r="D12" s="3">
        <v>1</v>
      </c>
      <c r="E12" s="3" t="s">
        <v>61</v>
      </c>
      <c r="F12" s="3">
        <v>51.89</v>
      </c>
      <c r="G12" s="2">
        <v>47.854900000000001</v>
      </c>
      <c r="H12" s="2">
        <v>51.887099999999997</v>
      </c>
      <c r="I12" s="1">
        <v>1</v>
      </c>
    </row>
    <row r="13" spans="1:17" x14ac:dyDescent="0.2">
      <c r="A13" s="5">
        <v>40709</v>
      </c>
      <c r="B13" s="5">
        <v>40709</v>
      </c>
      <c r="C13" s="3" t="s">
        <v>1</v>
      </c>
      <c r="D13" s="3">
        <v>2</v>
      </c>
      <c r="E13" s="3" t="s">
        <v>60</v>
      </c>
      <c r="F13" s="3">
        <v>4.4800000000000004</v>
      </c>
      <c r="G13" s="2">
        <v>0.40194099999999999</v>
      </c>
      <c r="H13" s="2">
        <v>4.4750899999999998</v>
      </c>
      <c r="I13" s="1">
        <v>1</v>
      </c>
    </row>
    <row r="14" spans="1:17" x14ac:dyDescent="0.2">
      <c r="A14" s="5">
        <v>40709</v>
      </c>
      <c r="B14" s="5">
        <v>40709</v>
      </c>
      <c r="C14" s="3" t="s">
        <v>1</v>
      </c>
      <c r="D14" s="3">
        <v>3</v>
      </c>
      <c r="E14" s="3" t="s">
        <v>3</v>
      </c>
      <c r="F14" s="3">
        <v>4.1100000000000003</v>
      </c>
      <c r="G14" s="2">
        <v>0</v>
      </c>
      <c r="H14" s="2">
        <v>4.1140299999999996</v>
      </c>
      <c r="I14" s="1">
        <v>1</v>
      </c>
      <c r="P14" s="17" t="s">
        <v>59</v>
      </c>
    </row>
    <row r="15" spans="1:17" x14ac:dyDescent="0.2">
      <c r="A15" s="5">
        <v>40709</v>
      </c>
      <c r="B15" s="5">
        <v>40709</v>
      </c>
      <c r="C15" s="3" t="s">
        <v>1</v>
      </c>
      <c r="D15" s="3">
        <v>4</v>
      </c>
      <c r="E15" s="43" t="s">
        <v>56</v>
      </c>
      <c r="F15" s="43">
        <v>-0.1</v>
      </c>
      <c r="G15" s="2">
        <v>-8.5064200000000006E-2</v>
      </c>
      <c r="H15" s="2">
        <v>4.0766099999999996</v>
      </c>
      <c r="I15" s="1">
        <v>1</v>
      </c>
      <c r="P15" s="19" t="s">
        <v>58</v>
      </c>
      <c r="Q15" s="19" t="s">
        <v>57</v>
      </c>
    </row>
    <row r="16" spans="1:17" x14ac:dyDescent="0.2">
      <c r="A16" s="5">
        <v>40709</v>
      </c>
      <c r="B16" s="5">
        <v>40709</v>
      </c>
      <c r="C16" s="3" t="s">
        <v>1</v>
      </c>
      <c r="D16" s="3">
        <v>5</v>
      </c>
      <c r="E16" s="43" t="s">
        <v>55</v>
      </c>
      <c r="F16" s="43">
        <v>0.41</v>
      </c>
      <c r="G16" s="2">
        <v>2.57891</v>
      </c>
      <c r="H16" s="2">
        <v>6.7569400000000002</v>
      </c>
      <c r="I16" s="1">
        <v>1</v>
      </c>
      <c r="P16" s="17">
        <v>0</v>
      </c>
      <c r="Q16" s="42">
        <v>-0.1</v>
      </c>
    </row>
    <row r="17" spans="1:17" x14ac:dyDescent="0.2">
      <c r="A17" s="5">
        <v>40709</v>
      </c>
      <c r="B17" s="5">
        <v>40709</v>
      </c>
      <c r="C17" s="3" t="s">
        <v>1</v>
      </c>
      <c r="D17" s="3">
        <v>6</v>
      </c>
      <c r="E17" s="43" t="s">
        <v>54</v>
      </c>
      <c r="F17" s="43">
        <v>1.21</v>
      </c>
      <c r="G17" s="2">
        <v>6.81813</v>
      </c>
      <c r="H17" s="2">
        <v>11.032999999999999</v>
      </c>
      <c r="I17" s="1">
        <v>1</v>
      </c>
      <c r="P17" s="17">
        <v>0.5</v>
      </c>
      <c r="Q17" s="42">
        <v>0.41</v>
      </c>
    </row>
    <row r="18" spans="1:17" x14ac:dyDescent="0.2">
      <c r="A18" s="5">
        <v>40709</v>
      </c>
      <c r="B18" s="5">
        <v>40709</v>
      </c>
      <c r="C18" s="3" t="s">
        <v>1</v>
      </c>
      <c r="D18" s="3">
        <v>7</v>
      </c>
      <c r="E18" s="43" t="s">
        <v>53</v>
      </c>
      <c r="F18" s="43">
        <v>2.0699999999999998</v>
      </c>
      <c r="G18" s="2">
        <v>11.3642</v>
      </c>
      <c r="H18" s="2">
        <v>15.628</v>
      </c>
      <c r="I18" s="1">
        <v>1</v>
      </c>
      <c r="P18" s="17">
        <v>1</v>
      </c>
      <c r="Q18" s="42">
        <v>1.21</v>
      </c>
    </row>
    <row r="19" spans="1:17" x14ac:dyDescent="0.2">
      <c r="A19" s="5">
        <v>40709</v>
      </c>
      <c r="B19" s="5">
        <v>40709</v>
      </c>
      <c r="C19" s="3" t="s">
        <v>1</v>
      </c>
      <c r="D19" s="3">
        <v>8</v>
      </c>
      <c r="E19" s="43" t="s">
        <v>151</v>
      </c>
      <c r="F19" s="43">
        <v>4.99</v>
      </c>
      <c r="G19" s="2">
        <v>26.744900000000001</v>
      </c>
      <c r="H19" s="2">
        <v>31.059899999999999</v>
      </c>
      <c r="I19" s="1">
        <v>1</v>
      </c>
      <c r="P19" s="17">
        <v>2</v>
      </c>
      <c r="Q19" s="42">
        <v>2.0699999999999998</v>
      </c>
    </row>
    <row r="20" spans="1:17" x14ac:dyDescent="0.2">
      <c r="A20" s="5">
        <v>40709</v>
      </c>
      <c r="B20" s="5">
        <v>40709</v>
      </c>
      <c r="C20" s="3" t="s">
        <v>1</v>
      </c>
      <c r="D20" s="3">
        <v>9</v>
      </c>
      <c r="E20" s="43" t="s">
        <v>51</v>
      </c>
      <c r="F20" s="43">
        <v>7.78</v>
      </c>
      <c r="G20" s="2">
        <v>41.441600000000001</v>
      </c>
      <c r="H20" s="2">
        <v>45.889600000000002</v>
      </c>
      <c r="I20" s="1">
        <v>1</v>
      </c>
      <c r="P20" s="17">
        <v>5</v>
      </c>
      <c r="Q20" s="42">
        <v>4.99</v>
      </c>
    </row>
    <row r="21" spans="1:17" x14ac:dyDescent="0.2">
      <c r="A21" s="5">
        <v>40709</v>
      </c>
      <c r="B21" s="5">
        <v>40709</v>
      </c>
      <c r="C21" s="3" t="s">
        <v>1</v>
      </c>
      <c r="D21" s="3">
        <v>10</v>
      </c>
      <c r="E21" s="43" t="s">
        <v>50</v>
      </c>
      <c r="F21" s="43">
        <v>10.130000000000001</v>
      </c>
      <c r="G21" s="2">
        <v>53.809699999999999</v>
      </c>
      <c r="H21" s="2">
        <v>58.386099999999999</v>
      </c>
      <c r="I21" s="1">
        <v>1</v>
      </c>
      <c r="P21" s="17">
        <v>8</v>
      </c>
      <c r="Q21" s="42">
        <v>7.78</v>
      </c>
    </row>
    <row r="22" spans="1:17" x14ac:dyDescent="0.2">
      <c r="A22" s="5">
        <v>40709</v>
      </c>
      <c r="B22" s="5">
        <v>40709</v>
      </c>
      <c r="C22" s="3" t="s">
        <v>1</v>
      </c>
      <c r="D22" s="3">
        <v>11</v>
      </c>
      <c r="E22" s="3" t="s">
        <v>4</v>
      </c>
      <c r="F22" s="3">
        <v>-0.08</v>
      </c>
      <c r="G22" s="2">
        <v>1.19265E-2</v>
      </c>
      <c r="H22" s="2">
        <v>4.6988799999999999</v>
      </c>
      <c r="I22" s="1">
        <v>1</v>
      </c>
      <c r="P22" s="17">
        <v>10</v>
      </c>
      <c r="Q22" s="42">
        <v>10.130000000000001</v>
      </c>
    </row>
    <row r="23" spans="1:17" x14ac:dyDescent="0.2">
      <c r="A23" s="5">
        <v>40709</v>
      </c>
      <c r="B23" s="5">
        <v>40709</v>
      </c>
      <c r="C23" s="3" t="s">
        <v>1</v>
      </c>
      <c r="D23" s="3">
        <v>12</v>
      </c>
      <c r="E23" s="3" t="s">
        <v>3</v>
      </c>
      <c r="F23" s="3">
        <v>-0.08</v>
      </c>
      <c r="G23" s="2">
        <v>0</v>
      </c>
      <c r="H23" s="2">
        <v>4.2637499999999999</v>
      </c>
      <c r="I23" s="1">
        <v>1</v>
      </c>
    </row>
    <row r="24" spans="1:17" x14ac:dyDescent="0.2">
      <c r="A24" s="5">
        <v>40709</v>
      </c>
      <c r="B24" s="5">
        <v>40709</v>
      </c>
      <c r="C24" s="3" t="s">
        <v>1</v>
      </c>
      <c r="D24" s="3">
        <v>13</v>
      </c>
      <c r="E24" s="3" t="s">
        <v>2</v>
      </c>
      <c r="F24" s="3">
        <v>10.130000000000001</v>
      </c>
      <c r="G24" s="2">
        <v>53.809699999999999</v>
      </c>
      <c r="H24" s="2">
        <v>54.346899999999998</v>
      </c>
      <c r="I24" s="1">
        <v>1</v>
      </c>
    </row>
    <row r="25" spans="1:17" x14ac:dyDescent="0.2">
      <c r="A25" s="5">
        <v>40709</v>
      </c>
      <c r="B25" s="5">
        <v>40709</v>
      </c>
      <c r="C25" s="3" t="s">
        <v>1</v>
      </c>
      <c r="D25" s="3">
        <v>14</v>
      </c>
      <c r="E25" s="3" t="s">
        <v>4</v>
      </c>
      <c r="F25" s="3">
        <v>-0.09</v>
      </c>
      <c r="G25" s="2">
        <v>-4.6427200000000002E-2</v>
      </c>
      <c r="H25" s="2">
        <v>4.6599899999999996</v>
      </c>
      <c r="I25" s="1">
        <v>1</v>
      </c>
    </row>
    <row r="26" spans="1:17" x14ac:dyDescent="0.2">
      <c r="A26" s="5">
        <v>40709</v>
      </c>
      <c r="B26" s="5">
        <v>40709</v>
      </c>
      <c r="C26" s="3" t="s">
        <v>1</v>
      </c>
      <c r="D26" s="3">
        <v>15</v>
      </c>
      <c r="E26" s="41" t="s">
        <v>150</v>
      </c>
      <c r="F26" s="41">
        <v>7.8</v>
      </c>
      <c r="G26" s="2">
        <v>41.552199999999999</v>
      </c>
      <c r="H26" s="2">
        <v>43.014000000000003</v>
      </c>
      <c r="I26" s="1">
        <v>1</v>
      </c>
      <c r="K26" s="17">
        <f t="shared" ref="K26:K33" si="0">F26*(20/20)</f>
        <v>7.8</v>
      </c>
      <c r="L26" s="17">
        <f t="shared" ref="L26:L33" si="1">F26*(20/20)*1.6*30*(1/1000000000)*(10000)*(10000)</f>
        <v>37.440000000000005</v>
      </c>
      <c r="M26" s="2">
        <f t="shared" ref="M26:M33" si="2">L26*0.89218</f>
        <v>33.403219200000002</v>
      </c>
    </row>
    <row r="27" spans="1:17" x14ac:dyDescent="0.2">
      <c r="A27" s="5">
        <v>40709</v>
      </c>
      <c r="B27" s="5">
        <v>40709</v>
      </c>
      <c r="C27" s="3" t="s">
        <v>1</v>
      </c>
      <c r="D27" s="3">
        <v>16</v>
      </c>
      <c r="E27" s="41" t="s">
        <v>149</v>
      </c>
      <c r="F27" s="41">
        <v>3.09</v>
      </c>
      <c r="G27" s="2">
        <v>16.738099999999999</v>
      </c>
      <c r="H27" s="2">
        <v>20.231300000000001</v>
      </c>
      <c r="I27" s="1">
        <v>1</v>
      </c>
      <c r="K27" s="17">
        <f t="shared" si="0"/>
        <v>3.09</v>
      </c>
      <c r="L27" s="17">
        <f t="shared" si="1"/>
        <v>14.831999999999999</v>
      </c>
      <c r="M27" s="2">
        <f t="shared" si="2"/>
        <v>13.232813759999999</v>
      </c>
    </row>
    <row r="28" spans="1:17" x14ac:dyDescent="0.2">
      <c r="A28" s="5">
        <v>40709</v>
      </c>
      <c r="B28" s="5">
        <v>40709</v>
      </c>
      <c r="C28" s="3" t="s">
        <v>1</v>
      </c>
      <c r="D28" s="3">
        <v>17</v>
      </c>
      <c r="E28" s="41" t="s">
        <v>148</v>
      </c>
      <c r="F28" s="41">
        <v>10.3</v>
      </c>
      <c r="G28" s="2">
        <v>81.818799999999996</v>
      </c>
      <c r="H28" s="2">
        <v>80.698899999999995</v>
      </c>
      <c r="I28" s="1">
        <v>1</v>
      </c>
      <c r="K28" s="17">
        <f t="shared" si="0"/>
        <v>10.3</v>
      </c>
      <c r="L28" s="17">
        <f t="shared" si="1"/>
        <v>49.440000000000005</v>
      </c>
      <c r="M28" s="2">
        <f t="shared" si="2"/>
        <v>44.109379200000006</v>
      </c>
    </row>
    <row r="29" spans="1:17" x14ac:dyDescent="0.2">
      <c r="A29" s="5">
        <v>40709</v>
      </c>
      <c r="B29" s="5">
        <v>40709</v>
      </c>
      <c r="C29" s="3" t="s">
        <v>1</v>
      </c>
      <c r="D29" s="3">
        <v>18</v>
      </c>
      <c r="E29" s="41" t="s">
        <v>147</v>
      </c>
      <c r="F29" s="41">
        <v>8.2200000000000006</v>
      </c>
      <c r="G29" s="2">
        <v>43.765599999999999</v>
      </c>
      <c r="H29" s="2">
        <v>45.742899999999999</v>
      </c>
      <c r="I29" s="1">
        <v>1</v>
      </c>
      <c r="K29" s="17">
        <f t="shared" si="0"/>
        <v>8.2200000000000006</v>
      </c>
      <c r="L29" s="17">
        <f t="shared" si="1"/>
        <v>39.456000000000003</v>
      </c>
      <c r="M29" s="2">
        <f t="shared" si="2"/>
        <v>35.201854080000004</v>
      </c>
    </row>
    <row r="30" spans="1:17" x14ac:dyDescent="0.2">
      <c r="A30" s="5">
        <v>40709</v>
      </c>
      <c r="B30" s="5">
        <v>40709</v>
      </c>
      <c r="C30" s="3" t="s">
        <v>1</v>
      </c>
      <c r="D30" s="3">
        <v>19</v>
      </c>
      <c r="E30" s="41" t="s">
        <v>146</v>
      </c>
      <c r="F30" s="41">
        <v>3.38</v>
      </c>
      <c r="G30" s="2">
        <v>18.2395</v>
      </c>
      <c r="H30" s="2">
        <v>21.715699999999998</v>
      </c>
      <c r="I30" s="1">
        <v>1</v>
      </c>
      <c r="K30" s="17">
        <f t="shared" si="0"/>
        <v>3.38</v>
      </c>
      <c r="L30" s="17">
        <f t="shared" si="1"/>
        <v>16.224</v>
      </c>
      <c r="M30" s="2">
        <f t="shared" si="2"/>
        <v>14.474728320000001</v>
      </c>
    </row>
    <row r="31" spans="1:17" x14ac:dyDescent="0.2">
      <c r="A31" s="5">
        <v>40709</v>
      </c>
      <c r="B31" s="5">
        <v>40709</v>
      </c>
      <c r="C31" s="3" t="s">
        <v>1</v>
      </c>
      <c r="D31" s="3">
        <v>20</v>
      </c>
      <c r="E31" s="41" t="s">
        <v>145</v>
      </c>
      <c r="F31" s="41">
        <v>11.44</v>
      </c>
      <c r="G31" s="2">
        <v>71.772499999999994</v>
      </c>
      <c r="H31" s="2">
        <v>71.481399999999994</v>
      </c>
      <c r="I31" s="1">
        <v>1</v>
      </c>
      <c r="K31" s="17">
        <f t="shared" si="0"/>
        <v>11.44</v>
      </c>
      <c r="L31" s="17">
        <f t="shared" si="1"/>
        <v>54.912000000000006</v>
      </c>
      <c r="M31" s="2">
        <f t="shared" si="2"/>
        <v>48.991388160000007</v>
      </c>
    </row>
    <row r="32" spans="1:17" x14ac:dyDescent="0.2">
      <c r="A32" s="5">
        <v>40709</v>
      </c>
      <c r="B32" s="5">
        <v>40709</v>
      </c>
      <c r="C32" s="3" t="s">
        <v>1</v>
      </c>
      <c r="D32" s="3">
        <v>21</v>
      </c>
      <c r="E32" s="41" t="s">
        <v>144</v>
      </c>
      <c r="F32" s="41">
        <v>12.99</v>
      </c>
      <c r="G32" s="2">
        <v>86.968999999999994</v>
      </c>
      <c r="H32" s="2">
        <v>86.077600000000004</v>
      </c>
      <c r="I32" s="1">
        <v>1</v>
      </c>
      <c r="K32" s="17">
        <f t="shared" si="0"/>
        <v>12.99</v>
      </c>
      <c r="L32" s="17">
        <f t="shared" si="1"/>
        <v>62.352000000000018</v>
      </c>
      <c r="M32" s="2">
        <f t="shared" si="2"/>
        <v>55.629207360000017</v>
      </c>
    </row>
    <row r="33" spans="1:13" x14ac:dyDescent="0.2">
      <c r="A33" s="5">
        <v>40709</v>
      </c>
      <c r="B33" s="5">
        <v>40709</v>
      </c>
      <c r="C33" s="3" t="s">
        <v>1</v>
      </c>
      <c r="D33" s="3">
        <v>22</v>
      </c>
      <c r="E33" s="41" t="s">
        <v>143</v>
      </c>
      <c r="F33" s="41">
        <v>17.64</v>
      </c>
      <c r="G33" s="2">
        <v>93.377700000000004</v>
      </c>
      <c r="H33" s="2">
        <v>92.218299999999999</v>
      </c>
      <c r="I33" s="1">
        <v>1</v>
      </c>
      <c r="K33" s="17">
        <f t="shared" si="0"/>
        <v>17.64</v>
      </c>
      <c r="L33" s="17">
        <f t="shared" si="1"/>
        <v>84.672000000000025</v>
      </c>
      <c r="M33" s="2">
        <f t="shared" si="2"/>
        <v>75.542664960000025</v>
      </c>
    </row>
    <row r="34" spans="1:13" x14ac:dyDescent="0.2">
      <c r="A34" s="5">
        <v>40709</v>
      </c>
      <c r="B34" s="5">
        <v>40709</v>
      </c>
      <c r="C34" s="3" t="s">
        <v>1</v>
      </c>
      <c r="D34" s="3">
        <v>23</v>
      </c>
      <c r="E34" s="3" t="s">
        <v>4</v>
      </c>
      <c r="F34" s="3">
        <v>-0.05</v>
      </c>
      <c r="G34" s="2">
        <v>0.20114599999999999</v>
      </c>
      <c r="H34" s="2">
        <v>5.3103499999999997</v>
      </c>
      <c r="I34" s="1">
        <v>1</v>
      </c>
    </row>
    <row r="35" spans="1:13" x14ac:dyDescent="0.2">
      <c r="A35" s="5">
        <v>40709</v>
      </c>
      <c r="B35" s="5">
        <v>40709</v>
      </c>
      <c r="C35" s="3" t="s">
        <v>1</v>
      </c>
      <c r="D35" s="3">
        <v>24</v>
      </c>
      <c r="E35" s="3" t="s">
        <v>3</v>
      </c>
      <c r="F35" s="3">
        <v>-0.08</v>
      </c>
      <c r="G35" s="2">
        <v>0</v>
      </c>
      <c r="H35" s="2">
        <v>4.4422199999999998</v>
      </c>
      <c r="I35" s="1">
        <v>1</v>
      </c>
    </row>
    <row r="36" spans="1:13" x14ac:dyDescent="0.2">
      <c r="A36" s="5">
        <v>40709</v>
      </c>
      <c r="B36" s="5">
        <v>40709</v>
      </c>
      <c r="C36" s="3" t="s">
        <v>1</v>
      </c>
      <c r="D36" s="3">
        <v>25</v>
      </c>
      <c r="E36" s="3" t="s">
        <v>2</v>
      </c>
      <c r="F36" s="3">
        <v>10.130000000000001</v>
      </c>
      <c r="G36" s="2">
        <v>53.809699999999999</v>
      </c>
      <c r="H36" s="2">
        <v>54.761200000000002</v>
      </c>
      <c r="I36" s="1">
        <v>1</v>
      </c>
    </row>
    <row r="37" spans="1:13" x14ac:dyDescent="0.2">
      <c r="A37" s="5">
        <v>40709</v>
      </c>
      <c r="B37" s="5">
        <v>40709</v>
      </c>
      <c r="C37" s="3" t="s">
        <v>1</v>
      </c>
      <c r="D37" s="3">
        <v>26</v>
      </c>
      <c r="E37" s="3" t="s">
        <v>4</v>
      </c>
      <c r="F37" s="3">
        <v>-0.11</v>
      </c>
      <c r="G37" s="2">
        <v>-0.13949400000000001</v>
      </c>
      <c r="H37" s="2">
        <v>4.71936</v>
      </c>
      <c r="I37" s="1">
        <v>1</v>
      </c>
    </row>
    <row r="38" spans="1:13" x14ac:dyDescent="0.2">
      <c r="A38" s="5">
        <v>40709</v>
      </c>
      <c r="B38" s="5">
        <v>40709</v>
      </c>
      <c r="C38" s="3" t="s">
        <v>1</v>
      </c>
      <c r="D38" s="3">
        <v>27</v>
      </c>
      <c r="E38" s="41" t="s">
        <v>142</v>
      </c>
      <c r="F38" s="41">
        <v>15.9</v>
      </c>
      <c r="G38" s="2">
        <v>94.383099999999999</v>
      </c>
      <c r="H38" s="2">
        <v>92.568799999999996</v>
      </c>
      <c r="I38" s="1">
        <v>1</v>
      </c>
      <c r="K38" s="17">
        <f t="shared" ref="K38:K46" si="3">F38*(20/20)</f>
        <v>15.9</v>
      </c>
      <c r="L38" s="17">
        <f t="shared" ref="L38:L46" si="4">F38*(20/20)*1.6*30*(1/1000000000)*(10000)*(10000)</f>
        <v>76.320000000000007</v>
      </c>
      <c r="M38" s="2">
        <f t="shared" ref="M38:M46" si="5">L38*0.89218</f>
        <v>68.091177600000009</v>
      </c>
    </row>
    <row r="39" spans="1:13" x14ac:dyDescent="0.2">
      <c r="A39" s="5">
        <v>40709</v>
      </c>
      <c r="B39" s="5">
        <v>40709</v>
      </c>
      <c r="C39" s="3" t="s">
        <v>1</v>
      </c>
      <c r="D39" s="3">
        <v>28</v>
      </c>
      <c r="E39" s="41" t="s">
        <v>141</v>
      </c>
      <c r="F39" s="41">
        <v>16.559999999999999</v>
      </c>
      <c r="G39" s="2">
        <v>77.490099999999998</v>
      </c>
      <c r="H39" s="2">
        <v>77.416200000000003</v>
      </c>
      <c r="I39" s="1">
        <v>1</v>
      </c>
      <c r="K39" s="17">
        <f t="shared" si="3"/>
        <v>16.559999999999999</v>
      </c>
      <c r="L39" s="17">
        <f t="shared" si="4"/>
        <v>79.488</v>
      </c>
      <c r="M39" s="2">
        <f t="shared" si="5"/>
        <v>70.917603839999998</v>
      </c>
    </row>
    <row r="40" spans="1:13" x14ac:dyDescent="0.2">
      <c r="A40" s="5">
        <v>40709</v>
      </c>
      <c r="B40" s="5">
        <v>40709</v>
      </c>
      <c r="C40" s="3" t="s">
        <v>1</v>
      </c>
      <c r="D40" s="3">
        <v>29</v>
      </c>
      <c r="E40" s="41" t="s">
        <v>140</v>
      </c>
      <c r="F40" s="41">
        <v>11.08</v>
      </c>
      <c r="G40" s="2">
        <v>58.791400000000003</v>
      </c>
      <c r="H40" s="2">
        <v>59.822800000000001</v>
      </c>
      <c r="I40" s="1">
        <v>1</v>
      </c>
      <c r="K40" s="17">
        <f t="shared" si="3"/>
        <v>11.08</v>
      </c>
      <c r="L40" s="17">
        <f t="shared" si="4"/>
        <v>53.184000000000012</v>
      </c>
      <c r="M40" s="2">
        <f t="shared" si="5"/>
        <v>47.449701120000007</v>
      </c>
    </row>
    <row r="41" spans="1:13" x14ac:dyDescent="0.2">
      <c r="A41" s="5">
        <v>40709</v>
      </c>
      <c r="B41" s="5">
        <v>40709</v>
      </c>
      <c r="C41" s="3" t="s">
        <v>1</v>
      </c>
      <c r="D41" s="3">
        <v>30</v>
      </c>
      <c r="E41" s="41" t="s">
        <v>139</v>
      </c>
      <c r="F41" s="41">
        <v>14.43</v>
      </c>
      <c r="G41" s="2">
        <v>81.281599999999997</v>
      </c>
      <c r="H41" s="2">
        <v>80.608800000000002</v>
      </c>
      <c r="I41" s="1">
        <v>1</v>
      </c>
      <c r="K41" s="17">
        <f t="shared" si="3"/>
        <v>14.43</v>
      </c>
      <c r="L41" s="17">
        <f t="shared" si="4"/>
        <v>69.263999999999996</v>
      </c>
      <c r="M41" s="2">
        <f t="shared" si="5"/>
        <v>61.795955519999993</v>
      </c>
    </row>
    <row r="42" spans="1:13" x14ac:dyDescent="0.2">
      <c r="A42" s="5">
        <v>40709</v>
      </c>
      <c r="B42" s="5">
        <v>40709</v>
      </c>
      <c r="C42" s="3" t="s">
        <v>1</v>
      </c>
      <c r="D42" s="3">
        <v>31</v>
      </c>
      <c r="E42" s="41" t="s">
        <v>138</v>
      </c>
      <c r="F42" s="41">
        <v>8.85</v>
      </c>
      <c r="G42" s="2">
        <v>47.064100000000003</v>
      </c>
      <c r="H42" s="2">
        <v>48.854999999999997</v>
      </c>
      <c r="I42" s="1">
        <v>1</v>
      </c>
      <c r="K42" s="17">
        <f t="shared" si="3"/>
        <v>8.85</v>
      </c>
      <c r="L42" s="17">
        <f t="shared" si="4"/>
        <v>42.48</v>
      </c>
      <c r="M42" s="2">
        <f t="shared" si="5"/>
        <v>37.899806399999996</v>
      </c>
    </row>
    <row r="43" spans="1:13" x14ac:dyDescent="0.2">
      <c r="A43" s="5">
        <v>40709</v>
      </c>
      <c r="B43" s="5">
        <v>40709</v>
      </c>
      <c r="C43" s="3" t="s">
        <v>1</v>
      </c>
      <c r="D43" s="3">
        <v>32</v>
      </c>
      <c r="E43" s="41" t="s">
        <v>137</v>
      </c>
      <c r="F43" s="41">
        <v>2.4700000000000002</v>
      </c>
      <c r="G43" s="2">
        <v>13.4406</v>
      </c>
      <c r="H43" s="2">
        <v>17.296700000000001</v>
      </c>
      <c r="I43" s="1">
        <v>1</v>
      </c>
      <c r="K43" s="17">
        <f t="shared" si="3"/>
        <v>2.4700000000000002</v>
      </c>
      <c r="L43" s="17">
        <f t="shared" si="4"/>
        <v>11.856000000000002</v>
      </c>
      <c r="M43" s="2">
        <f t="shared" si="5"/>
        <v>10.577686080000001</v>
      </c>
    </row>
    <row r="44" spans="1:13" x14ac:dyDescent="0.2">
      <c r="A44" s="5">
        <v>40709</v>
      </c>
      <c r="B44" s="5">
        <v>40709</v>
      </c>
      <c r="C44" s="3" t="s">
        <v>1</v>
      </c>
      <c r="D44" s="3">
        <v>33</v>
      </c>
      <c r="E44" s="41" t="s">
        <v>136</v>
      </c>
      <c r="F44" s="41">
        <v>12.08</v>
      </c>
      <c r="G44" s="2">
        <v>64.825400000000002</v>
      </c>
      <c r="H44" s="2">
        <v>64.837800000000001</v>
      </c>
      <c r="I44" s="1">
        <v>1</v>
      </c>
      <c r="K44" s="17">
        <f t="shared" si="3"/>
        <v>12.08</v>
      </c>
      <c r="L44" s="17">
        <f t="shared" si="4"/>
        <v>57.984000000000023</v>
      </c>
      <c r="M44" s="2">
        <f t="shared" si="5"/>
        <v>51.732165120000019</v>
      </c>
    </row>
    <row r="45" spans="1:13" x14ac:dyDescent="0.2">
      <c r="A45" s="5">
        <v>40709</v>
      </c>
      <c r="B45" s="5">
        <v>40709</v>
      </c>
      <c r="C45" s="3" t="s">
        <v>1</v>
      </c>
      <c r="D45" s="3">
        <v>34</v>
      </c>
      <c r="E45" s="41" t="s">
        <v>135</v>
      </c>
      <c r="F45" s="41">
        <v>9.43</v>
      </c>
      <c r="G45" s="2">
        <v>50.089500000000001</v>
      </c>
      <c r="H45" s="2">
        <v>51.460500000000003</v>
      </c>
      <c r="I45" s="1">
        <v>1</v>
      </c>
      <c r="K45" s="17">
        <f t="shared" si="3"/>
        <v>9.43</v>
      </c>
      <c r="L45" s="17">
        <f t="shared" si="4"/>
        <v>45.26400000000001</v>
      </c>
      <c r="M45" s="2">
        <f t="shared" si="5"/>
        <v>40.383635520000006</v>
      </c>
    </row>
    <row r="46" spans="1:13" x14ac:dyDescent="0.2">
      <c r="A46" s="5">
        <v>40709</v>
      </c>
      <c r="B46" s="5">
        <v>40709</v>
      </c>
      <c r="C46" s="3" t="s">
        <v>1</v>
      </c>
      <c r="D46" s="3">
        <v>35</v>
      </c>
      <c r="E46" s="41" t="s">
        <v>134</v>
      </c>
      <c r="F46" s="41">
        <v>1.95</v>
      </c>
      <c r="G46" s="2">
        <v>10.7059</v>
      </c>
      <c r="H46" s="2">
        <v>14.7453</v>
      </c>
      <c r="I46" s="1">
        <v>1</v>
      </c>
      <c r="K46" s="17">
        <f t="shared" si="3"/>
        <v>1.95</v>
      </c>
      <c r="L46" s="17">
        <f t="shared" si="4"/>
        <v>9.3600000000000012</v>
      </c>
      <c r="M46" s="2">
        <f t="shared" si="5"/>
        <v>8.3508048000000006</v>
      </c>
    </row>
    <row r="47" spans="1:13" x14ac:dyDescent="0.2">
      <c r="A47" s="5">
        <v>40709</v>
      </c>
      <c r="B47" s="5">
        <v>40709</v>
      </c>
      <c r="C47" s="3" t="s">
        <v>1</v>
      </c>
      <c r="D47" s="3">
        <v>36</v>
      </c>
      <c r="E47" s="3" t="s">
        <v>4</v>
      </c>
      <c r="F47" s="3">
        <v>-0.06</v>
      </c>
      <c r="G47" s="2">
        <v>0.121115</v>
      </c>
      <c r="H47" s="2">
        <v>4.6335100000000002</v>
      </c>
      <c r="I47" s="1">
        <v>1</v>
      </c>
    </row>
    <row r="48" spans="1:13" x14ac:dyDescent="0.2">
      <c r="A48" s="5">
        <v>40709</v>
      </c>
      <c r="B48" s="5">
        <v>40709</v>
      </c>
      <c r="C48" s="3" t="s">
        <v>1</v>
      </c>
      <c r="D48" s="3">
        <v>37</v>
      </c>
      <c r="E48" s="3" t="s">
        <v>3</v>
      </c>
      <c r="F48" s="3">
        <v>-0.08</v>
      </c>
      <c r="G48" s="2">
        <v>0</v>
      </c>
      <c r="H48" s="2">
        <v>4.4072300000000002</v>
      </c>
      <c r="I48" s="1">
        <v>1</v>
      </c>
    </row>
    <row r="49" spans="1:13" x14ac:dyDescent="0.2">
      <c r="A49" s="5">
        <v>40709</v>
      </c>
      <c r="B49" s="5">
        <v>40709</v>
      </c>
      <c r="C49" s="3" t="s">
        <v>1</v>
      </c>
      <c r="D49" s="3">
        <v>38</v>
      </c>
      <c r="E49" s="3" t="s">
        <v>2</v>
      </c>
      <c r="F49" s="3">
        <v>10.130000000000001</v>
      </c>
      <c r="G49" s="2">
        <v>53.809699999999999</v>
      </c>
      <c r="H49" s="2">
        <v>54.347900000000003</v>
      </c>
      <c r="I49" s="1">
        <v>1</v>
      </c>
    </row>
    <row r="50" spans="1:13" x14ac:dyDescent="0.2">
      <c r="A50" s="5">
        <v>40709</v>
      </c>
      <c r="B50" s="5">
        <v>40709</v>
      </c>
      <c r="C50" s="3" t="s">
        <v>1</v>
      </c>
      <c r="D50" s="3">
        <v>39</v>
      </c>
      <c r="E50" s="3" t="s">
        <v>4</v>
      </c>
      <c r="F50" s="3">
        <v>-0.09</v>
      </c>
      <c r="G50" s="2">
        <v>-1.2134600000000001E-2</v>
      </c>
      <c r="H50" s="2">
        <v>4.8337500000000002</v>
      </c>
      <c r="I50" s="1">
        <v>1</v>
      </c>
    </row>
    <row r="51" spans="1:13" x14ac:dyDescent="0.2">
      <c r="A51" s="5">
        <v>40709</v>
      </c>
      <c r="B51" s="5">
        <v>40709</v>
      </c>
      <c r="C51" s="3" t="s">
        <v>1</v>
      </c>
      <c r="D51" s="3">
        <v>40</v>
      </c>
      <c r="E51" s="41" t="s">
        <v>133</v>
      </c>
      <c r="F51" s="41">
        <v>13.59</v>
      </c>
      <c r="G51" s="2">
        <v>88.279700000000005</v>
      </c>
      <c r="H51" s="2">
        <v>86.225700000000003</v>
      </c>
      <c r="I51" s="1">
        <v>1</v>
      </c>
      <c r="K51" s="17">
        <f t="shared" ref="K51:K62" si="6">F51*(20/20)</f>
        <v>13.59</v>
      </c>
      <c r="L51" s="17">
        <f t="shared" ref="L51:L62" si="7">F51*(20/20)*1.6*30*(1/1000000000)*(10000)*(10000)</f>
        <v>65.231999999999999</v>
      </c>
      <c r="M51" s="2">
        <f t="shared" ref="M51:M62" si="8">L51*0.89218</f>
        <v>58.198685759999996</v>
      </c>
    </row>
    <row r="52" spans="1:13" x14ac:dyDescent="0.2">
      <c r="A52" s="5">
        <v>40709</v>
      </c>
      <c r="B52" s="5">
        <v>40709</v>
      </c>
      <c r="C52" s="3" t="s">
        <v>1</v>
      </c>
      <c r="D52" s="3">
        <v>41</v>
      </c>
      <c r="E52" s="41" t="s">
        <v>132</v>
      </c>
      <c r="F52" s="41">
        <v>11.23</v>
      </c>
      <c r="G52" s="2">
        <v>63.981000000000002</v>
      </c>
      <c r="H52" s="2">
        <v>64.313199999999995</v>
      </c>
      <c r="I52" s="1">
        <v>1</v>
      </c>
      <c r="K52" s="17">
        <f t="shared" si="6"/>
        <v>11.23</v>
      </c>
      <c r="L52" s="17">
        <f t="shared" si="7"/>
        <v>53.904000000000003</v>
      </c>
      <c r="M52" s="2">
        <f t="shared" si="8"/>
        <v>48.092070720000002</v>
      </c>
    </row>
    <row r="53" spans="1:13" x14ac:dyDescent="0.2">
      <c r="A53" s="5">
        <v>40709</v>
      </c>
      <c r="B53" s="5">
        <v>40709</v>
      </c>
      <c r="C53" s="3" t="s">
        <v>1</v>
      </c>
      <c r="D53" s="3">
        <v>42</v>
      </c>
      <c r="E53" s="41" t="s">
        <v>131</v>
      </c>
      <c r="F53" s="41">
        <v>10.74</v>
      </c>
      <c r="G53" s="2">
        <v>65.778499999999994</v>
      </c>
      <c r="H53" s="2">
        <v>65.782499999999999</v>
      </c>
      <c r="I53" s="1">
        <v>1</v>
      </c>
      <c r="K53" s="17">
        <f t="shared" si="6"/>
        <v>10.74</v>
      </c>
      <c r="L53" s="17">
        <f t="shared" si="7"/>
        <v>51.552000000000007</v>
      </c>
      <c r="M53" s="2">
        <f t="shared" si="8"/>
        <v>45.993663360000006</v>
      </c>
    </row>
    <row r="54" spans="1:13" x14ac:dyDescent="0.2">
      <c r="A54" s="5">
        <v>40709</v>
      </c>
      <c r="B54" s="5">
        <v>40709</v>
      </c>
      <c r="C54" s="3" t="s">
        <v>1</v>
      </c>
      <c r="D54" s="3">
        <v>43</v>
      </c>
      <c r="E54" s="41" t="s">
        <v>130</v>
      </c>
      <c r="F54" s="41">
        <v>12.77</v>
      </c>
      <c r="G54" s="2">
        <v>70.394499999999994</v>
      </c>
      <c r="H54" s="2">
        <v>70.030199999999994</v>
      </c>
      <c r="I54" s="1">
        <v>1</v>
      </c>
      <c r="K54" s="17">
        <f t="shared" si="6"/>
        <v>12.77</v>
      </c>
      <c r="L54" s="17">
        <f t="shared" si="7"/>
        <v>61.296000000000006</v>
      </c>
      <c r="M54" s="2">
        <f t="shared" si="8"/>
        <v>54.687065280000006</v>
      </c>
    </row>
    <row r="55" spans="1:13" x14ac:dyDescent="0.2">
      <c r="A55" s="5">
        <v>40709</v>
      </c>
      <c r="B55" s="5">
        <v>40709</v>
      </c>
      <c r="C55" s="3" t="s">
        <v>1</v>
      </c>
      <c r="D55" s="3">
        <v>44</v>
      </c>
      <c r="E55" s="41" t="s">
        <v>129</v>
      </c>
      <c r="F55" s="41">
        <v>7.2</v>
      </c>
      <c r="G55" s="2">
        <v>38.356699999999996</v>
      </c>
      <c r="H55" s="2">
        <v>40.449300000000001</v>
      </c>
      <c r="I55" s="1">
        <v>1</v>
      </c>
      <c r="K55" s="17">
        <f t="shared" si="6"/>
        <v>7.2</v>
      </c>
      <c r="L55" s="17">
        <f t="shared" si="7"/>
        <v>34.56</v>
      </c>
      <c r="M55" s="2">
        <f t="shared" si="8"/>
        <v>30.833740800000001</v>
      </c>
    </row>
    <row r="56" spans="1:13" x14ac:dyDescent="0.2">
      <c r="A56" s="5">
        <v>40709</v>
      </c>
      <c r="B56" s="5">
        <v>40709</v>
      </c>
      <c r="C56" s="3" t="s">
        <v>1</v>
      </c>
      <c r="D56" s="3">
        <v>45</v>
      </c>
      <c r="E56" s="41" t="s">
        <v>128</v>
      </c>
      <c r="F56" s="41">
        <v>2.4</v>
      </c>
      <c r="G56" s="2">
        <v>13.087300000000001</v>
      </c>
      <c r="H56" s="2">
        <v>16.899899999999999</v>
      </c>
      <c r="I56" s="1">
        <v>1</v>
      </c>
      <c r="K56" s="17">
        <f t="shared" si="6"/>
        <v>2.4</v>
      </c>
      <c r="L56" s="17">
        <f t="shared" si="7"/>
        <v>11.52</v>
      </c>
      <c r="M56" s="2">
        <f t="shared" si="8"/>
        <v>10.2779136</v>
      </c>
    </row>
    <row r="57" spans="1:13" x14ac:dyDescent="0.2">
      <c r="A57" s="5">
        <v>40709</v>
      </c>
      <c r="B57" s="5">
        <v>40709</v>
      </c>
      <c r="C57" s="3" t="s">
        <v>1</v>
      </c>
      <c r="D57" s="3">
        <v>46</v>
      </c>
      <c r="E57" s="41" t="s">
        <v>127</v>
      </c>
      <c r="F57" s="41">
        <v>29.19</v>
      </c>
      <c r="G57" s="2">
        <v>107.93300000000001</v>
      </c>
      <c r="H57" s="2">
        <v>104.18</v>
      </c>
      <c r="I57" s="1">
        <v>1</v>
      </c>
      <c r="K57" s="17">
        <f t="shared" si="6"/>
        <v>29.19</v>
      </c>
      <c r="L57" s="17">
        <f t="shared" si="7"/>
        <v>140.11200000000002</v>
      </c>
      <c r="M57" s="2">
        <f t="shared" si="8"/>
        <v>125.00512416000002</v>
      </c>
    </row>
    <row r="58" spans="1:13" x14ac:dyDescent="0.2">
      <c r="A58" s="5">
        <v>40709</v>
      </c>
      <c r="B58" s="5">
        <v>40709</v>
      </c>
      <c r="C58" s="3" t="s">
        <v>1</v>
      </c>
      <c r="D58" s="3">
        <v>47</v>
      </c>
      <c r="E58" s="41" t="s">
        <v>126</v>
      </c>
      <c r="F58" s="41">
        <v>24.34</v>
      </c>
      <c r="G58" s="2">
        <v>107.845</v>
      </c>
      <c r="H58" s="2">
        <v>104.70099999999999</v>
      </c>
      <c r="I58" s="1">
        <v>1</v>
      </c>
      <c r="K58" s="17">
        <f t="shared" si="6"/>
        <v>24.34</v>
      </c>
      <c r="L58" s="17">
        <f t="shared" si="7"/>
        <v>116.83200000000004</v>
      </c>
      <c r="M58" s="2">
        <f t="shared" si="8"/>
        <v>104.23517376000002</v>
      </c>
    </row>
    <row r="59" spans="1:13" x14ac:dyDescent="0.2">
      <c r="A59" s="5">
        <v>40709</v>
      </c>
      <c r="B59" s="5">
        <v>40709</v>
      </c>
      <c r="C59" s="3" t="s">
        <v>1</v>
      </c>
      <c r="D59" s="3">
        <v>48</v>
      </c>
      <c r="E59" s="41" t="s">
        <v>125</v>
      </c>
      <c r="F59" s="41">
        <v>15.7</v>
      </c>
      <c r="G59" s="2">
        <v>90.546099999999996</v>
      </c>
      <c r="H59" s="2">
        <v>88.721599999999995</v>
      </c>
      <c r="I59" s="1">
        <v>1</v>
      </c>
      <c r="K59" s="17">
        <f t="shared" si="6"/>
        <v>15.7</v>
      </c>
      <c r="L59" s="17">
        <f t="shared" si="7"/>
        <v>75.360000000000014</v>
      </c>
      <c r="M59" s="2">
        <f t="shared" si="8"/>
        <v>67.234684800000011</v>
      </c>
    </row>
    <row r="60" spans="1:13" x14ac:dyDescent="0.2">
      <c r="A60" s="5">
        <v>40709</v>
      </c>
      <c r="B60" s="5">
        <v>40709</v>
      </c>
      <c r="C60" s="3" t="s">
        <v>1</v>
      </c>
      <c r="D60" s="3">
        <v>49</v>
      </c>
      <c r="E60" s="41" t="s">
        <v>124</v>
      </c>
      <c r="F60" s="41">
        <v>13.88</v>
      </c>
      <c r="G60" s="2">
        <v>89.457999999999998</v>
      </c>
      <c r="H60" s="2">
        <v>87.555899999999994</v>
      </c>
      <c r="I60" s="1">
        <v>1</v>
      </c>
      <c r="K60" s="17">
        <f t="shared" si="6"/>
        <v>13.88</v>
      </c>
      <c r="L60" s="17">
        <f t="shared" si="7"/>
        <v>66.623999999999995</v>
      </c>
      <c r="M60" s="2">
        <f t="shared" si="8"/>
        <v>59.440600319999994</v>
      </c>
    </row>
    <row r="61" spans="1:13" x14ac:dyDescent="0.2">
      <c r="A61" s="5">
        <v>40709</v>
      </c>
      <c r="B61" s="5">
        <v>40709</v>
      </c>
      <c r="C61" s="3" t="s">
        <v>1</v>
      </c>
      <c r="D61" s="3">
        <v>50</v>
      </c>
      <c r="E61" s="41" t="s">
        <v>123</v>
      </c>
      <c r="F61" s="41">
        <v>10.35</v>
      </c>
      <c r="G61" s="2">
        <v>67.529799999999994</v>
      </c>
      <c r="H61" s="2">
        <v>67.341499999999996</v>
      </c>
      <c r="I61" s="1">
        <v>1</v>
      </c>
      <c r="K61" s="17">
        <f t="shared" si="6"/>
        <v>10.35</v>
      </c>
      <c r="L61" s="17">
        <f t="shared" si="7"/>
        <v>49.679999999999993</v>
      </c>
      <c r="M61" s="2">
        <f t="shared" si="8"/>
        <v>44.323502399999995</v>
      </c>
    </row>
    <row r="62" spans="1:13" x14ac:dyDescent="0.2">
      <c r="A62" s="5">
        <v>40709</v>
      </c>
      <c r="B62" s="5">
        <v>40709</v>
      </c>
      <c r="C62" s="3" t="s">
        <v>1</v>
      </c>
      <c r="D62" s="3">
        <v>51</v>
      </c>
      <c r="E62" s="41" t="s">
        <v>122</v>
      </c>
      <c r="F62" s="41">
        <v>6.84</v>
      </c>
      <c r="G62" s="2">
        <v>36.480400000000003</v>
      </c>
      <c r="H62" s="2">
        <v>38.630699999999997</v>
      </c>
      <c r="I62" s="1">
        <v>1</v>
      </c>
      <c r="K62" s="17">
        <f t="shared" si="6"/>
        <v>6.84</v>
      </c>
      <c r="L62" s="17">
        <f t="shared" si="7"/>
        <v>32.832000000000008</v>
      </c>
      <c r="M62" s="2">
        <f t="shared" si="8"/>
        <v>29.292053760000005</v>
      </c>
    </row>
    <row r="63" spans="1:13" x14ac:dyDescent="0.2">
      <c r="A63" s="5">
        <v>40709</v>
      </c>
      <c r="B63" s="5">
        <v>40709</v>
      </c>
      <c r="C63" s="3" t="s">
        <v>1</v>
      </c>
      <c r="D63" s="3">
        <v>52</v>
      </c>
      <c r="E63" s="3" t="s">
        <v>4</v>
      </c>
      <c r="F63" s="3">
        <v>-7.0000000000000007E-2</v>
      </c>
      <c r="G63" s="2">
        <v>8.5713499999999998E-2</v>
      </c>
      <c r="H63" s="2">
        <v>4.9876699999999996</v>
      </c>
      <c r="I63" s="1">
        <v>1</v>
      </c>
    </row>
    <row r="64" spans="1:13" x14ac:dyDescent="0.2">
      <c r="A64" s="5">
        <v>40709</v>
      </c>
      <c r="B64" s="5">
        <v>40709</v>
      </c>
      <c r="C64" s="3" t="s">
        <v>1</v>
      </c>
      <c r="D64" s="3">
        <v>53</v>
      </c>
      <c r="E64" s="3" t="s">
        <v>3</v>
      </c>
      <c r="F64" s="3">
        <v>-0.08</v>
      </c>
      <c r="G64" s="2">
        <v>0</v>
      </c>
      <c r="H64" s="2">
        <v>4.6317899999999996</v>
      </c>
      <c r="I64" s="1">
        <v>1</v>
      </c>
    </row>
    <row r="65" spans="1:26" x14ac:dyDescent="0.2">
      <c r="A65" s="5">
        <v>40709</v>
      </c>
      <c r="B65" s="5">
        <v>40709</v>
      </c>
      <c r="C65" s="3" t="s">
        <v>1</v>
      </c>
      <c r="D65" s="3">
        <v>54</v>
      </c>
      <c r="E65" s="3" t="s">
        <v>2</v>
      </c>
      <c r="F65" s="3">
        <v>10.130000000000001</v>
      </c>
      <c r="G65" s="2">
        <v>53.809699999999999</v>
      </c>
      <c r="H65" s="2">
        <v>54.018599999999999</v>
      </c>
      <c r="I65" s="1">
        <v>1</v>
      </c>
    </row>
    <row r="66" spans="1:26" x14ac:dyDescent="0.2">
      <c r="A66" s="5">
        <v>40709</v>
      </c>
      <c r="B66" s="5">
        <v>40709</v>
      </c>
      <c r="C66" s="3" t="s">
        <v>1</v>
      </c>
      <c r="D66" s="3">
        <v>55</v>
      </c>
      <c r="E66" s="3" t="s">
        <v>4</v>
      </c>
      <c r="F66" s="3">
        <v>-7.0000000000000007E-2</v>
      </c>
      <c r="G66" s="2">
        <v>5.7971300000000003E-2</v>
      </c>
      <c r="H66" s="2">
        <v>5.1185900000000002</v>
      </c>
      <c r="I66" s="1">
        <v>1</v>
      </c>
    </row>
    <row r="67" spans="1:26" x14ac:dyDescent="0.2">
      <c r="A67" s="5">
        <v>40709</v>
      </c>
      <c r="B67" s="5">
        <v>40709</v>
      </c>
      <c r="C67" s="3" t="s">
        <v>1</v>
      </c>
      <c r="D67" s="3">
        <v>56</v>
      </c>
      <c r="E67" s="41" t="s">
        <v>121</v>
      </c>
      <c r="F67" s="41">
        <v>18.760000000000002</v>
      </c>
      <c r="G67" s="2">
        <v>99.240099999999998</v>
      </c>
      <c r="H67" s="2">
        <v>98.652500000000003</v>
      </c>
      <c r="I67" s="1">
        <v>1</v>
      </c>
      <c r="K67" s="17">
        <f t="shared" ref="K67:K77" si="9">F67*(20/20)</f>
        <v>18.760000000000002</v>
      </c>
      <c r="L67" s="17">
        <f t="shared" ref="L67:L77" si="10">F67*(20/20)*1.6*30*(1/1000000000)*(10000)*(10000)</f>
        <v>90.048000000000016</v>
      </c>
      <c r="M67" s="2">
        <f t="shared" ref="M67:M77" si="11">L67*0.89218</f>
        <v>80.339024640000005</v>
      </c>
    </row>
    <row r="68" spans="1:26" x14ac:dyDescent="0.2">
      <c r="A68" s="5">
        <v>40709</v>
      </c>
      <c r="B68" s="5">
        <v>40709</v>
      </c>
      <c r="C68" s="3" t="s">
        <v>1</v>
      </c>
      <c r="D68" s="3">
        <v>57</v>
      </c>
      <c r="E68" s="41" t="s">
        <v>120</v>
      </c>
      <c r="F68" s="41">
        <v>7.39</v>
      </c>
      <c r="G68" s="2">
        <v>39.348500000000001</v>
      </c>
      <c r="H68" s="2">
        <v>43.288600000000002</v>
      </c>
      <c r="I68" s="1">
        <v>1</v>
      </c>
      <c r="K68" s="17">
        <f t="shared" si="9"/>
        <v>7.39</v>
      </c>
      <c r="L68" s="17">
        <f t="shared" si="10"/>
        <v>35.472000000000001</v>
      </c>
      <c r="M68" s="2">
        <f t="shared" si="11"/>
        <v>31.64740896</v>
      </c>
    </row>
    <row r="69" spans="1:26" x14ac:dyDescent="0.2">
      <c r="A69" s="5">
        <v>40709</v>
      </c>
      <c r="B69" s="5">
        <v>40709</v>
      </c>
      <c r="C69" s="3" t="s">
        <v>1</v>
      </c>
      <c r="D69" s="3">
        <v>58</v>
      </c>
      <c r="E69" s="41" t="s">
        <v>119</v>
      </c>
      <c r="F69" s="41">
        <v>2.36</v>
      </c>
      <c r="G69" s="2">
        <v>12.894500000000001</v>
      </c>
      <c r="H69" s="2">
        <v>17.6372</v>
      </c>
      <c r="I69" s="1">
        <v>1</v>
      </c>
      <c r="K69" s="17">
        <f t="shared" si="9"/>
        <v>2.36</v>
      </c>
      <c r="L69" s="17">
        <f t="shared" si="10"/>
        <v>11.327999999999999</v>
      </c>
      <c r="M69" s="2">
        <f t="shared" si="11"/>
        <v>10.106615039999999</v>
      </c>
    </row>
    <row r="70" spans="1:26" x14ac:dyDescent="0.2">
      <c r="A70" s="5">
        <v>40709</v>
      </c>
      <c r="B70" s="5">
        <v>40709</v>
      </c>
      <c r="C70" s="3" t="s">
        <v>1</v>
      </c>
      <c r="D70" s="3">
        <v>59</v>
      </c>
      <c r="E70" s="41" t="s">
        <v>118</v>
      </c>
      <c r="F70" s="41">
        <v>9.4700000000000006</v>
      </c>
      <c r="G70" s="2">
        <v>60.881</v>
      </c>
      <c r="H70" s="2">
        <v>65.417900000000003</v>
      </c>
      <c r="I70" s="1">
        <v>1</v>
      </c>
      <c r="K70" s="17">
        <f t="shared" si="9"/>
        <v>9.4700000000000006</v>
      </c>
      <c r="L70" s="17">
        <f t="shared" si="10"/>
        <v>45.456000000000003</v>
      </c>
      <c r="M70" s="2">
        <f t="shared" si="11"/>
        <v>40.554934080000002</v>
      </c>
    </row>
    <row r="71" spans="1:26" x14ac:dyDescent="0.2">
      <c r="A71" s="5">
        <v>40709</v>
      </c>
      <c r="B71" s="5">
        <v>40709</v>
      </c>
      <c r="C71" s="3" t="s">
        <v>1</v>
      </c>
      <c r="D71" s="3">
        <v>60</v>
      </c>
      <c r="E71" s="41" t="s">
        <v>117</v>
      </c>
      <c r="F71" s="41">
        <v>7.44</v>
      </c>
      <c r="G71" s="2">
        <v>39.624000000000002</v>
      </c>
      <c r="H71" s="2">
        <v>45.323300000000003</v>
      </c>
      <c r="I71" s="1">
        <v>1</v>
      </c>
      <c r="K71" s="17">
        <f t="shared" si="9"/>
        <v>7.44</v>
      </c>
      <c r="L71" s="17">
        <f t="shared" si="10"/>
        <v>35.712000000000003</v>
      </c>
      <c r="M71" s="2">
        <f t="shared" si="11"/>
        <v>31.861532160000003</v>
      </c>
    </row>
    <row r="72" spans="1:26" x14ac:dyDescent="0.2">
      <c r="A72" s="5">
        <v>40709</v>
      </c>
      <c r="B72" s="5">
        <v>40709</v>
      </c>
      <c r="C72" s="3" t="s">
        <v>1</v>
      </c>
      <c r="D72" s="3">
        <v>61</v>
      </c>
      <c r="E72" s="41" t="s">
        <v>116</v>
      </c>
      <c r="F72" s="41">
        <v>5.64</v>
      </c>
      <c r="G72" s="2">
        <v>30.137899999999998</v>
      </c>
      <c r="H72" s="2">
        <v>36.1203</v>
      </c>
      <c r="I72" s="1">
        <v>1</v>
      </c>
      <c r="K72" s="17">
        <f t="shared" si="9"/>
        <v>5.64</v>
      </c>
      <c r="L72" s="17">
        <f t="shared" si="10"/>
        <v>27.071999999999999</v>
      </c>
      <c r="M72" s="2">
        <f t="shared" si="11"/>
        <v>24.153096959999999</v>
      </c>
    </row>
    <row r="73" spans="1:26" x14ac:dyDescent="0.2">
      <c r="A73" s="5">
        <v>40709</v>
      </c>
      <c r="B73" s="5">
        <v>40709</v>
      </c>
      <c r="C73" s="3" t="s">
        <v>1</v>
      </c>
      <c r="D73" s="3">
        <v>62</v>
      </c>
      <c r="E73" s="41" t="s">
        <v>115</v>
      </c>
      <c r="F73" s="41">
        <v>20.48</v>
      </c>
      <c r="G73" s="2">
        <v>68.8506</v>
      </c>
      <c r="H73" s="2">
        <v>77.213999999999999</v>
      </c>
      <c r="I73" s="1">
        <v>1</v>
      </c>
      <c r="K73" s="17">
        <f t="shared" si="9"/>
        <v>20.48</v>
      </c>
      <c r="L73" s="17">
        <f t="shared" si="10"/>
        <v>98.304000000000002</v>
      </c>
      <c r="M73" s="2">
        <f t="shared" si="11"/>
        <v>87.704862719999994</v>
      </c>
    </row>
    <row r="74" spans="1:26" x14ac:dyDescent="0.2">
      <c r="A74" s="5">
        <v>40709</v>
      </c>
      <c r="B74" s="5">
        <v>40709</v>
      </c>
      <c r="C74" s="3" t="s">
        <v>1</v>
      </c>
      <c r="D74" s="3">
        <v>63</v>
      </c>
      <c r="E74" s="41" t="s">
        <v>114</v>
      </c>
      <c r="F74" s="41">
        <v>5.17</v>
      </c>
      <c r="G74" s="2">
        <v>27.651299999999999</v>
      </c>
      <c r="H74" s="2">
        <v>34.866</v>
      </c>
      <c r="I74" s="1">
        <v>1</v>
      </c>
      <c r="K74" s="17">
        <f t="shared" si="9"/>
        <v>5.17</v>
      </c>
      <c r="L74" s="17">
        <f t="shared" si="10"/>
        <v>24.815999999999999</v>
      </c>
      <c r="M74" s="2">
        <f t="shared" si="11"/>
        <v>22.140338879999998</v>
      </c>
    </row>
    <row r="75" spans="1:26" x14ac:dyDescent="0.2">
      <c r="A75" s="5">
        <v>40709</v>
      </c>
      <c r="B75" s="5">
        <v>40709</v>
      </c>
      <c r="C75" s="3" t="s">
        <v>1</v>
      </c>
      <c r="D75" s="3">
        <v>64</v>
      </c>
      <c r="E75" s="41" t="s">
        <v>113</v>
      </c>
      <c r="F75" s="41">
        <v>3.45</v>
      </c>
      <c r="G75" s="2">
        <v>18.631399999999999</v>
      </c>
      <c r="H75" s="2">
        <v>25.298999999999999</v>
      </c>
      <c r="I75" s="1">
        <v>1</v>
      </c>
      <c r="K75" s="17">
        <f t="shared" si="9"/>
        <v>3.45</v>
      </c>
      <c r="L75" s="17">
        <f t="shared" si="10"/>
        <v>16.560000000000002</v>
      </c>
      <c r="M75" s="2">
        <f t="shared" si="11"/>
        <v>14.774500800000002</v>
      </c>
    </row>
    <row r="76" spans="1:26" x14ac:dyDescent="0.2">
      <c r="A76" s="5">
        <v>40709</v>
      </c>
      <c r="B76" s="5">
        <v>40709</v>
      </c>
      <c r="C76" s="3" t="s">
        <v>1</v>
      </c>
      <c r="D76" s="3">
        <v>65</v>
      </c>
      <c r="E76" s="41" t="s">
        <v>112</v>
      </c>
      <c r="F76" s="41">
        <v>9.82</v>
      </c>
      <c r="G76" s="2">
        <v>50.642600000000002</v>
      </c>
      <c r="H76" s="2">
        <v>61.100200000000001</v>
      </c>
      <c r="I76" s="1">
        <v>1</v>
      </c>
      <c r="K76" s="17">
        <f t="shared" si="9"/>
        <v>9.82</v>
      </c>
      <c r="L76" s="17">
        <f t="shared" si="10"/>
        <v>47.13600000000001</v>
      </c>
      <c r="M76" s="2">
        <f t="shared" si="11"/>
        <v>42.05379648000001</v>
      </c>
    </row>
    <row r="77" spans="1:26" s="8" customFormat="1" ht="13.5" thickBot="1" x14ac:dyDescent="0.25">
      <c r="A77" s="13">
        <v>40709</v>
      </c>
      <c r="B77" s="13">
        <v>40709</v>
      </c>
      <c r="C77" s="12" t="s">
        <v>1</v>
      </c>
      <c r="D77" s="12">
        <v>66</v>
      </c>
      <c r="E77" s="40" t="s">
        <v>111</v>
      </c>
      <c r="F77" s="40">
        <v>10.46</v>
      </c>
      <c r="G77" s="9">
        <v>47.618200000000002</v>
      </c>
      <c r="H77" s="9">
        <v>59.051600000000001</v>
      </c>
      <c r="I77" s="8">
        <v>1</v>
      </c>
      <c r="K77" s="39">
        <f t="shared" si="9"/>
        <v>10.46</v>
      </c>
      <c r="L77" s="39">
        <f t="shared" si="10"/>
        <v>50.208000000000013</v>
      </c>
      <c r="M77" s="9">
        <f t="shared" si="11"/>
        <v>44.794573440000008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5">
        <v>40709</v>
      </c>
      <c r="B78" s="5">
        <v>40709</v>
      </c>
      <c r="C78" s="3" t="s">
        <v>1</v>
      </c>
      <c r="D78" s="3">
        <v>67</v>
      </c>
      <c r="E78" s="3" t="s">
        <v>4</v>
      </c>
      <c r="F78" s="3">
        <v>-7.0000000000000007E-2</v>
      </c>
      <c r="G78" s="2">
        <v>7.5048400000000001E-2</v>
      </c>
      <c r="H78" s="2">
        <v>5.34246</v>
      </c>
      <c r="I78" s="1">
        <v>1</v>
      </c>
    </row>
    <row r="79" spans="1:26" x14ac:dyDescent="0.2">
      <c r="A79" s="5">
        <v>40709</v>
      </c>
      <c r="B79" s="5">
        <v>40709</v>
      </c>
      <c r="C79" s="3" t="s">
        <v>1</v>
      </c>
      <c r="D79" s="3">
        <v>68</v>
      </c>
      <c r="E79" s="3" t="s">
        <v>3</v>
      </c>
      <c r="F79" s="3">
        <v>-0.08</v>
      </c>
      <c r="G79" s="2">
        <v>0</v>
      </c>
      <c r="H79" s="2">
        <v>4.8236499999999998</v>
      </c>
      <c r="I79" s="1">
        <v>1</v>
      </c>
    </row>
    <row r="80" spans="1:26" x14ac:dyDescent="0.2">
      <c r="A80" s="5">
        <v>40709</v>
      </c>
      <c r="B80" s="5">
        <v>40709</v>
      </c>
      <c r="C80" s="3" t="s">
        <v>1</v>
      </c>
      <c r="D80" s="3">
        <v>69</v>
      </c>
      <c r="E80" s="3" t="s">
        <v>2</v>
      </c>
      <c r="F80" s="3">
        <v>10.130000000000001</v>
      </c>
      <c r="G80" s="2">
        <v>53.809699999999999</v>
      </c>
      <c r="H80" s="2">
        <v>69.396900000000002</v>
      </c>
      <c r="I80" s="1">
        <v>1</v>
      </c>
    </row>
    <row r="81" spans="1:9" x14ac:dyDescent="0.2">
      <c r="A81" s="5">
        <v>40709</v>
      </c>
      <c r="B81" s="5">
        <v>40709</v>
      </c>
      <c r="C81" s="3" t="s">
        <v>1</v>
      </c>
      <c r="D81" s="3">
        <v>70</v>
      </c>
      <c r="E81" s="3" t="s">
        <v>4</v>
      </c>
      <c r="F81" s="3">
        <v>-0.1</v>
      </c>
      <c r="G81" s="2">
        <v>-7.5788999999999995E-2</v>
      </c>
      <c r="H81" s="2">
        <v>5.2703199999999999</v>
      </c>
      <c r="I81" s="1">
        <v>1</v>
      </c>
    </row>
    <row r="82" spans="1:9" x14ac:dyDescent="0.2">
      <c r="A82" s="5">
        <v>40709</v>
      </c>
      <c r="B82" s="5">
        <v>40709</v>
      </c>
      <c r="C82" s="3" t="s">
        <v>1</v>
      </c>
      <c r="D82" s="3">
        <v>71</v>
      </c>
      <c r="E82" s="3" t="s">
        <v>110</v>
      </c>
      <c r="F82" s="3">
        <v>10.3</v>
      </c>
      <c r="G82" s="2">
        <v>27.5624</v>
      </c>
      <c r="H82" s="2">
        <v>36.767099999999999</v>
      </c>
      <c r="I82" s="1">
        <v>2</v>
      </c>
    </row>
    <row r="83" spans="1:9" x14ac:dyDescent="0.2">
      <c r="A83" s="5">
        <v>40709</v>
      </c>
      <c r="B83" s="5">
        <v>40709</v>
      </c>
      <c r="C83" s="3" t="s">
        <v>1</v>
      </c>
      <c r="D83" s="3">
        <v>72</v>
      </c>
      <c r="E83" s="3" t="s">
        <v>109</v>
      </c>
      <c r="F83" s="3">
        <v>11.44</v>
      </c>
      <c r="G83" s="2">
        <v>30.559799999999999</v>
      </c>
      <c r="H83" s="2">
        <v>39.857199999999999</v>
      </c>
      <c r="I83" s="1">
        <v>2</v>
      </c>
    </row>
    <row r="84" spans="1:9" x14ac:dyDescent="0.2">
      <c r="A84" s="5">
        <v>40709</v>
      </c>
      <c r="B84" s="5">
        <v>40709</v>
      </c>
      <c r="C84" s="3" t="s">
        <v>1</v>
      </c>
      <c r="D84" s="3">
        <v>73</v>
      </c>
      <c r="E84" s="3" t="s">
        <v>108</v>
      </c>
      <c r="F84" s="3">
        <v>12.99</v>
      </c>
      <c r="G84" s="2">
        <v>34.6646</v>
      </c>
      <c r="H84" s="2">
        <v>43.883600000000001</v>
      </c>
      <c r="I84" s="1">
        <v>2</v>
      </c>
    </row>
    <row r="85" spans="1:9" x14ac:dyDescent="0.2">
      <c r="A85" s="5">
        <v>40709</v>
      </c>
      <c r="B85" s="5">
        <v>40709</v>
      </c>
      <c r="C85" s="3" t="s">
        <v>1</v>
      </c>
      <c r="D85" s="3">
        <v>74</v>
      </c>
      <c r="E85" s="3" t="s">
        <v>107</v>
      </c>
      <c r="F85" s="3">
        <v>20.27</v>
      </c>
      <c r="G85" s="2">
        <v>53.814</v>
      </c>
      <c r="H85" s="2">
        <v>64.308800000000005</v>
      </c>
      <c r="I85" s="1">
        <v>2</v>
      </c>
    </row>
    <row r="86" spans="1:9" x14ac:dyDescent="0.2">
      <c r="A86" s="5">
        <v>40709</v>
      </c>
      <c r="B86" s="5">
        <v>40709</v>
      </c>
      <c r="C86" s="3" t="s">
        <v>1</v>
      </c>
      <c r="D86" s="3">
        <v>75</v>
      </c>
      <c r="E86" s="3" t="s">
        <v>106</v>
      </c>
      <c r="F86" s="3">
        <v>15.9</v>
      </c>
      <c r="G86" s="2">
        <v>42.325200000000002</v>
      </c>
      <c r="H86" s="2">
        <v>51.039299999999997</v>
      </c>
      <c r="I86" s="1">
        <v>2</v>
      </c>
    </row>
    <row r="87" spans="1:9" x14ac:dyDescent="0.2">
      <c r="A87" s="5">
        <v>40709</v>
      </c>
      <c r="B87" s="5">
        <v>40709</v>
      </c>
      <c r="C87" s="3" t="s">
        <v>1</v>
      </c>
      <c r="D87" s="3">
        <v>76</v>
      </c>
      <c r="E87" s="3" t="s">
        <v>105</v>
      </c>
      <c r="F87" s="3">
        <v>16.559999999999999</v>
      </c>
      <c r="G87" s="2">
        <v>44.067500000000003</v>
      </c>
      <c r="H87" s="2">
        <v>52.095399999999998</v>
      </c>
      <c r="I87" s="1">
        <v>2</v>
      </c>
    </row>
    <row r="88" spans="1:9" x14ac:dyDescent="0.2">
      <c r="A88" s="5">
        <v>40709</v>
      </c>
      <c r="B88" s="5">
        <v>40709</v>
      </c>
      <c r="C88" s="3" t="s">
        <v>1</v>
      </c>
      <c r="D88" s="3">
        <v>77</v>
      </c>
      <c r="E88" s="3" t="s">
        <v>104</v>
      </c>
      <c r="F88" s="3">
        <v>14.43</v>
      </c>
      <c r="G88" s="2">
        <v>38.4557</v>
      </c>
      <c r="H88" s="2">
        <v>45.465200000000003</v>
      </c>
      <c r="I88" s="1">
        <v>2</v>
      </c>
    </row>
    <row r="89" spans="1:9" x14ac:dyDescent="0.2">
      <c r="A89" s="5">
        <v>40709</v>
      </c>
      <c r="B89" s="5">
        <v>40709</v>
      </c>
      <c r="C89" s="3" t="s">
        <v>1</v>
      </c>
      <c r="D89" s="3">
        <v>78</v>
      </c>
      <c r="E89" s="3" t="s">
        <v>103</v>
      </c>
      <c r="F89" s="3">
        <v>12.08</v>
      </c>
      <c r="G89" s="2">
        <v>32.259</v>
      </c>
      <c r="H89" s="2">
        <v>38.436700000000002</v>
      </c>
      <c r="I89" s="1">
        <v>2</v>
      </c>
    </row>
    <row r="90" spans="1:9" x14ac:dyDescent="0.2">
      <c r="A90" s="5">
        <v>40709</v>
      </c>
      <c r="B90" s="5">
        <v>40709</v>
      </c>
      <c r="C90" s="3" t="s">
        <v>1</v>
      </c>
      <c r="D90" s="3">
        <v>79</v>
      </c>
      <c r="E90" s="3" t="s">
        <v>102</v>
      </c>
      <c r="F90" s="3">
        <v>13.59</v>
      </c>
      <c r="G90" s="2">
        <v>36.222999999999999</v>
      </c>
      <c r="H90" s="2">
        <v>41.880400000000002</v>
      </c>
      <c r="I90" s="1">
        <v>2</v>
      </c>
    </row>
    <row r="91" spans="1:9" x14ac:dyDescent="0.2">
      <c r="A91" s="5">
        <v>40709</v>
      </c>
      <c r="B91" s="5">
        <v>40709</v>
      </c>
      <c r="C91" s="3" t="s">
        <v>1</v>
      </c>
      <c r="D91" s="3">
        <v>80</v>
      </c>
      <c r="E91" s="3" t="s">
        <v>101</v>
      </c>
      <c r="F91" s="3">
        <v>11.23</v>
      </c>
      <c r="G91" s="2">
        <v>30.0045</v>
      </c>
      <c r="H91" s="2">
        <v>35.15</v>
      </c>
      <c r="I91" s="1">
        <v>2</v>
      </c>
    </row>
    <row r="92" spans="1:9" x14ac:dyDescent="0.2">
      <c r="A92" s="5">
        <v>40709</v>
      </c>
      <c r="B92" s="5">
        <v>40709</v>
      </c>
      <c r="C92" s="3" t="s">
        <v>1</v>
      </c>
      <c r="D92" s="3">
        <v>81</v>
      </c>
      <c r="E92" s="3" t="s">
        <v>100</v>
      </c>
      <c r="F92" s="3">
        <v>10.74</v>
      </c>
      <c r="G92" s="2">
        <v>28.7149</v>
      </c>
      <c r="H92" s="2">
        <v>33.3904</v>
      </c>
      <c r="I92" s="1">
        <v>2</v>
      </c>
    </row>
    <row r="93" spans="1:9" x14ac:dyDescent="0.2">
      <c r="A93" s="5">
        <v>40709</v>
      </c>
      <c r="B93" s="5">
        <v>40709</v>
      </c>
      <c r="C93" s="3" t="s">
        <v>1</v>
      </c>
      <c r="D93" s="3">
        <v>82</v>
      </c>
      <c r="E93" s="3" t="s">
        <v>4</v>
      </c>
      <c r="F93" s="3">
        <v>-0.09</v>
      </c>
      <c r="G93" s="2">
        <v>-4.7714899999999998E-2</v>
      </c>
      <c r="H93" s="2">
        <v>5.1184900000000004</v>
      </c>
      <c r="I93" s="1">
        <v>1</v>
      </c>
    </row>
    <row r="94" spans="1:9" x14ac:dyDescent="0.2">
      <c r="A94" s="5">
        <v>40709</v>
      </c>
      <c r="B94" s="5">
        <v>40709</v>
      </c>
      <c r="C94" s="3" t="s">
        <v>1</v>
      </c>
      <c r="D94" s="3">
        <v>83</v>
      </c>
      <c r="E94" s="3" t="s">
        <v>3</v>
      </c>
      <c r="F94" s="3">
        <v>-0.08</v>
      </c>
      <c r="G94" s="2">
        <v>0</v>
      </c>
      <c r="H94" s="2">
        <v>4.9196</v>
      </c>
      <c r="I94" s="1">
        <v>1</v>
      </c>
    </row>
    <row r="95" spans="1:9" x14ac:dyDescent="0.2">
      <c r="A95" s="5">
        <v>40709</v>
      </c>
      <c r="B95" s="5">
        <v>40709</v>
      </c>
      <c r="C95" s="3" t="s">
        <v>1</v>
      </c>
      <c r="D95" s="3">
        <v>84</v>
      </c>
      <c r="E95" s="3" t="s">
        <v>2</v>
      </c>
      <c r="F95" s="3">
        <v>10.130000000000001</v>
      </c>
      <c r="G95" s="2">
        <v>53.809699999999999</v>
      </c>
      <c r="H95" s="2">
        <v>55.581499999999998</v>
      </c>
      <c r="I95" s="1">
        <v>1</v>
      </c>
    </row>
    <row r="96" spans="1:9" x14ac:dyDescent="0.2">
      <c r="A96" s="5">
        <v>40709</v>
      </c>
      <c r="B96" s="5">
        <v>40709</v>
      </c>
      <c r="C96" s="3" t="s">
        <v>1</v>
      </c>
      <c r="D96" s="3">
        <v>85</v>
      </c>
      <c r="E96" s="3" t="s">
        <v>4</v>
      </c>
      <c r="F96" s="3">
        <v>-0.09</v>
      </c>
      <c r="G96" s="2">
        <v>-2.9169299999999999E-2</v>
      </c>
      <c r="H96" s="2">
        <v>5.3394399999999997</v>
      </c>
      <c r="I96" s="1">
        <v>1</v>
      </c>
    </row>
    <row r="97" spans="1:9" x14ac:dyDescent="0.2">
      <c r="A97" s="5">
        <v>40709</v>
      </c>
      <c r="B97" s="5">
        <v>40709</v>
      </c>
      <c r="C97" s="3" t="s">
        <v>1</v>
      </c>
      <c r="D97" s="3">
        <v>86</v>
      </c>
      <c r="E97" s="3" t="s">
        <v>99</v>
      </c>
      <c r="F97" s="3">
        <v>12.77</v>
      </c>
      <c r="G97" s="2">
        <v>34.065600000000003</v>
      </c>
      <c r="H97" s="2">
        <v>37.093200000000003</v>
      </c>
      <c r="I97" s="1">
        <v>2</v>
      </c>
    </row>
    <row r="98" spans="1:9" x14ac:dyDescent="0.2">
      <c r="A98" s="5">
        <v>40709</v>
      </c>
      <c r="B98" s="5">
        <v>40709</v>
      </c>
      <c r="C98" s="3" t="s">
        <v>1</v>
      </c>
      <c r="D98" s="3">
        <v>87</v>
      </c>
      <c r="E98" s="3" t="s">
        <v>98</v>
      </c>
      <c r="F98" s="3">
        <v>29.19</v>
      </c>
      <c r="G98" s="2">
        <v>15.8149</v>
      </c>
      <c r="H98" s="2">
        <v>20.163499999999999</v>
      </c>
      <c r="I98" s="1">
        <v>10</v>
      </c>
    </row>
    <row r="99" spans="1:9" x14ac:dyDescent="0.2">
      <c r="A99" s="5">
        <v>40709</v>
      </c>
      <c r="B99" s="5">
        <v>40709</v>
      </c>
      <c r="C99" s="3" t="s">
        <v>1</v>
      </c>
      <c r="D99" s="3">
        <v>88</v>
      </c>
      <c r="E99" s="3" t="s">
        <v>97</v>
      </c>
      <c r="F99" s="3">
        <v>24.34</v>
      </c>
      <c r="G99" s="2">
        <v>13.260400000000001</v>
      </c>
      <c r="H99" s="2">
        <v>17.648099999999999</v>
      </c>
      <c r="I99" s="1">
        <v>10</v>
      </c>
    </row>
    <row r="100" spans="1:9" x14ac:dyDescent="0.2">
      <c r="A100" s="5">
        <v>40709</v>
      </c>
      <c r="B100" s="5">
        <v>40709</v>
      </c>
      <c r="C100" s="3" t="s">
        <v>1</v>
      </c>
      <c r="D100" s="3">
        <v>89</v>
      </c>
      <c r="E100" s="3" t="s">
        <v>96</v>
      </c>
      <c r="F100" s="3">
        <v>15.7</v>
      </c>
      <c r="G100" s="2">
        <v>41.780299999999997</v>
      </c>
      <c r="H100" s="2">
        <v>44.587200000000003</v>
      </c>
      <c r="I100" s="1">
        <v>2</v>
      </c>
    </row>
    <row r="101" spans="1:9" x14ac:dyDescent="0.2">
      <c r="A101" s="5">
        <v>40709</v>
      </c>
      <c r="B101" s="5">
        <v>40709</v>
      </c>
      <c r="C101" s="3" t="s">
        <v>1</v>
      </c>
      <c r="D101" s="3">
        <v>90</v>
      </c>
      <c r="E101" s="3" t="s">
        <v>95</v>
      </c>
      <c r="F101" s="3">
        <v>13.88</v>
      </c>
      <c r="G101" s="2">
        <v>36.998800000000003</v>
      </c>
      <c r="H101" s="2">
        <v>40.319200000000002</v>
      </c>
      <c r="I101" s="1">
        <v>2</v>
      </c>
    </row>
    <row r="102" spans="1:9" x14ac:dyDescent="0.2">
      <c r="A102" s="5">
        <v>40709</v>
      </c>
      <c r="B102" s="5">
        <v>40709</v>
      </c>
      <c r="C102" s="3" t="s">
        <v>1</v>
      </c>
      <c r="D102" s="3">
        <v>91</v>
      </c>
      <c r="E102" s="3" t="s">
        <v>94</v>
      </c>
      <c r="F102" s="3">
        <v>10.35</v>
      </c>
      <c r="G102" s="2">
        <v>27.6935</v>
      </c>
      <c r="H102" s="2">
        <v>31.523599999999998</v>
      </c>
      <c r="I102" s="1">
        <v>2</v>
      </c>
    </row>
    <row r="103" spans="1:9" x14ac:dyDescent="0.2">
      <c r="A103" s="5">
        <v>40709</v>
      </c>
      <c r="B103" s="5">
        <v>40709</v>
      </c>
      <c r="C103" s="3" t="s">
        <v>1</v>
      </c>
      <c r="D103" s="3">
        <v>92</v>
      </c>
      <c r="E103" s="3" t="s">
        <v>8</v>
      </c>
      <c r="F103" s="3">
        <v>3.95</v>
      </c>
      <c r="G103" s="2">
        <v>10.8348</v>
      </c>
      <c r="H103" s="2">
        <v>15.5274</v>
      </c>
      <c r="I103" s="1">
        <v>2</v>
      </c>
    </row>
    <row r="104" spans="1:9" x14ac:dyDescent="0.2">
      <c r="A104" s="5">
        <v>40709</v>
      </c>
      <c r="B104" s="5">
        <v>40709</v>
      </c>
      <c r="C104" s="3" t="s">
        <v>1</v>
      </c>
      <c r="D104" s="3">
        <v>93</v>
      </c>
      <c r="E104" s="3" t="s">
        <v>5</v>
      </c>
      <c r="F104" s="3">
        <v>9.4700000000000006</v>
      </c>
      <c r="G104" s="2">
        <v>25.3735</v>
      </c>
      <c r="H104" s="2">
        <v>29.207799999999999</v>
      </c>
      <c r="I104" s="1">
        <v>2</v>
      </c>
    </row>
    <row r="105" spans="1:9" x14ac:dyDescent="0.2">
      <c r="A105" s="5">
        <v>40709</v>
      </c>
      <c r="B105" s="5">
        <v>40709</v>
      </c>
      <c r="C105" s="3" t="s">
        <v>1</v>
      </c>
      <c r="D105" s="3">
        <v>94</v>
      </c>
      <c r="E105" s="3" t="s">
        <v>93</v>
      </c>
      <c r="F105" s="3">
        <v>20.48</v>
      </c>
      <c r="G105" s="2">
        <v>54.388199999999998</v>
      </c>
      <c r="H105" s="2">
        <v>56.848700000000001</v>
      </c>
      <c r="I105" s="1">
        <v>2</v>
      </c>
    </row>
    <row r="106" spans="1:9" x14ac:dyDescent="0.2">
      <c r="A106" s="5">
        <v>40709</v>
      </c>
      <c r="B106" s="5">
        <v>40709</v>
      </c>
      <c r="C106" s="3" t="s">
        <v>1</v>
      </c>
      <c r="D106" s="3">
        <v>95</v>
      </c>
      <c r="E106" s="3" t="s">
        <v>92</v>
      </c>
      <c r="F106" s="3">
        <v>9.82</v>
      </c>
      <c r="G106" s="2">
        <v>26.305900000000001</v>
      </c>
      <c r="H106" s="2">
        <v>30.446200000000001</v>
      </c>
      <c r="I106" s="1">
        <v>2</v>
      </c>
    </row>
    <row r="107" spans="1:9" x14ac:dyDescent="0.2">
      <c r="A107" s="5">
        <v>40709</v>
      </c>
      <c r="B107" s="5">
        <v>40709</v>
      </c>
      <c r="C107" s="3" t="s">
        <v>1</v>
      </c>
      <c r="D107" s="3">
        <v>96</v>
      </c>
      <c r="E107" s="3" t="s">
        <v>91</v>
      </c>
      <c r="F107" s="3">
        <v>10.46</v>
      </c>
      <c r="G107" s="2">
        <v>27.991199999999999</v>
      </c>
      <c r="H107" s="2">
        <v>31.896799999999999</v>
      </c>
      <c r="I107" s="1">
        <v>2</v>
      </c>
    </row>
    <row r="108" spans="1:9" x14ac:dyDescent="0.2">
      <c r="A108" s="5">
        <v>40709</v>
      </c>
      <c r="B108" s="5">
        <v>40709</v>
      </c>
      <c r="C108" s="3" t="s">
        <v>1</v>
      </c>
      <c r="D108" s="3">
        <v>97</v>
      </c>
      <c r="E108" s="3" t="s">
        <v>4</v>
      </c>
      <c r="F108" s="3">
        <v>-0.1</v>
      </c>
      <c r="G108" s="2">
        <v>-8.2713300000000003E-2</v>
      </c>
      <c r="H108" s="2">
        <v>5.2535400000000001</v>
      </c>
      <c r="I108" s="1">
        <v>1</v>
      </c>
    </row>
    <row r="109" spans="1:9" x14ac:dyDescent="0.2">
      <c r="A109" s="5">
        <v>40709</v>
      </c>
      <c r="B109" s="5">
        <v>40709</v>
      </c>
      <c r="C109" s="3" t="s">
        <v>1</v>
      </c>
      <c r="D109" s="3">
        <v>98</v>
      </c>
      <c r="E109" s="3" t="s">
        <v>3</v>
      </c>
      <c r="F109" s="3">
        <v>-0.08</v>
      </c>
      <c r="G109" s="2">
        <v>0</v>
      </c>
      <c r="H109" s="2">
        <v>5.1318799999999998</v>
      </c>
      <c r="I109" s="1">
        <v>1</v>
      </c>
    </row>
    <row r="110" spans="1:9" x14ac:dyDescent="0.2">
      <c r="A110" s="5">
        <v>40709</v>
      </c>
      <c r="B110" s="5">
        <v>40709</v>
      </c>
      <c r="C110" s="3" t="s">
        <v>1</v>
      </c>
      <c r="D110" s="3">
        <v>99</v>
      </c>
      <c r="E110" s="3" t="s">
        <v>2</v>
      </c>
      <c r="F110" s="3">
        <v>10.130000000000001</v>
      </c>
      <c r="G110" s="2">
        <v>53.809699999999999</v>
      </c>
      <c r="H110" s="2">
        <v>56.461300000000001</v>
      </c>
      <c r="I110" s="1">
        <v>1</v>
      </c>
    </row>
    <row r="111" spans="1:9" x14ac:dyDescent="0.2">
      <c r="A111" s="5">
        <v>40709</v>
      </c>
      <c r="B111" s="5">
        <v>40709</v>
      </c>
      <c r="C111" s="3" t="s">
        <v>1</v>
      </c>
      <c r="D111" s="3">
        <v>0</v>
      </c>
      <c r="E111" s="3" t="s">
        <v>0</v>
      </c>
      <c r="F111" s="3">
        <v>-0.08</v>
      </c>
      <c r="G111" s="2">
        <v>0</v>
      </c>
      <c r="H111" s="2">
        <v>5.2821800000000003</v>
      </c>
      <c r="I111" s="1">
        <v>1</v>
      </c>
    </row>
    <row r="114" spans="6:6" x14ac:dyDescent="0.2">
      <c r="F114" s="3">
        <f>AVERAGE(F26,F28,F31,F38,F41,F44,F51,F54,F57,F60,F67,F70,F73)</f>
        <v>14.62230769230769</v>
      </c>
    </row>
    <row r="115" spans="6:6" x14ac:dyDescent="0.2">
      <c r="F115" s="3">
        <f>AVERAGE(F27,F29,F32,F39,F42,F45,F52,F55,F58,F61,F68,F71,F74)</f>
        <v>10.173846153846153</v>
      </c>
    </row>
    <row r="116" spans="6:6" x14ac:dyDescent="0.2">
      <c r="F116" s="3">
        <f>AVERAGE(F28,F30,F33,F40,F43,F46,F53,F56,F59,F62,F69,F72,F75)</f>
        <v>7.226923076923077</v>
      </c>
    </row>
  </sheetData>
  <printOptions gridLines="1"/>
  <pageMargins left="0.75" right="0.75" top="1" bottom="1" header="0.5" footer="0.5"/>
  <pageSetup scale="48" fitToHeight="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C88E-6EF5-4588-B80A-706DB10FD6EE}">
  <sheetPr>
    <pageSetUpPr fitToPage="1"/>
  </sheetPr>
  <dimension ref="A1:Y111"/>
  <sheetViews>
    <sheetView workbookViewId="0"/>
  </sheetViews>
  <sheetFormatPr defaultRowHeight="12.75" x14ac:dyDescent="0.2"/>
  <cols>
    <col min="1" max="3" width="13.7109375" style="3" customWidth="1"/>
    <col min="4" max="4" width="15.85546875" style="3" bestFit="1" customWidth="1"/>
    <col min="5" max="5" width="13.7109375" style="3" customWidth="1"/>
    <col min="6" max="6" width="14.7109375" style="3" customWidth="1"/>
    <col min="7" max="7" width="13.7109375" style="2" customWidth="1"/>
    <col min="8" max="8" width="12" style="2" bestFit="1" customWidth="1"/>
    <col min="9" max="9" width="9.140625" style="1"/>
    <col min="10" max="10" width="10.7109375" style="1" bestFit="1" customWidth="1"/>
    <col min="11" max="11" width="6.7109375" style="17" bestFit="1" customWidth="1"/>
    <col min="12" max="12" width="16.140625" style="2" bestFit="1" customWidth="1"/>
    <col min="13" max="13" width="14.140625" style="2" bestFit="1" customWidth="1"/>
    <col min="14" max="16384" width="9.140625" style="1"/>
  </cols>
  <sheetData>
    <row r="1" spans="1:16" s="20" customFormat="1" ht="15.75" x14ac:dyDescent="0.25">
      <c r="A1" s="38"/>
      <c r="B1" s="23"/>
      <c r="C1" s="59" t="s">
        <v>90</v>
      </c>
      <c r="D1" s="36" t="s">
        <v>89</v>
      </c>
      <c r="E1" s="33" t="s">
        <v>218</v>
      </c>
      <c r="F1" s="33"/>
      <c r="G1" s="21"/>
      <c r="H1" s="21"/>
      <c r="K1" s="22"/>
      <c r="L1" s="21"/>
      <c r="M1" s="21"/>
    </row>
    <row r="2" spans="1:16" s="20" customFormat="1" ht="15.75" x14ac:dyDescent="0.25">
      <c r="A2" s="23" t="s">
        <v>87</v>
      </c>
      <c r="B2" s="23"/>
      <c r="C2" s="58">
        <v>40710</v>
      </c>
      <c r="D2" s="34"/>
      <c r="E2" s="33" t="s">
        <v>86</v>
      </c>
      <c r="F2" s="33"/>
      <c r="G2" s="21"/>
      <c r="H2" s="21"/>
      <c r="K2" s="22"/>
      <c r="L2" s="21"/>
      <c r="M2" s="21"/>
    </row>
    <row r="3" spans="1:16" s="20" customFormat="1" ht="15.75" x14ac:dyDescent="0.25">
      <c r="A3" s="23" t="s">
        <v>85</v>
      </c>
      <c r="B3" s="23"/>
      <c r="C3" s="23"/>
      <c r="D3" s="23"/>
      <c r="E3" s="33" t="s">
        <v>84</v>
      </c>
      <c r="F3" s="33"/>
      <c r="G3" s="21"/>
      <c r="H3" s="21"/>
      <c r="K3" s="22"/>
      <c r="L3" s="21"/>
      <c r="M3" s="21"/>
    </row>
    <row r="4" spans="1:16" s="20" customFormat="1" x14ac:dyDescent="0.2">
      <c r="A4" s="29" t="s">
        <v>83</v>
      </c>
      <c r="B4" s="23"/>
      <c r="C4" s="23"/>
      <c r="D4" s="23"/>
      <c r="E4" s="23"/>
      <c r="F4" s="23"/>
      <c r="G4" s="21"/>
      <c r="H4" s="21"/>
      <c r="K4" s="22"/>
      <c r="L4" s="21"/>
      <c r="M4" s="21"/>
    </row>
    <row r="5" spans="1:16" s="20" customFormat="1" x14ac:dyDescent="0.2">
      <c r="A5" s="57" t="s">
        <v>217</v>
      </c>
      <c r="B5" s="57"/>
      <c r="E5" s="56"/>
      <c r="F5" s="30" t="s">
        <v>81</v>
      </c>
      <c r="G5" s="55"/>
      <c r="H5" s="21"/>
      <c r="K5" s="22"/>
      <c r="L5" s="21"/>
      <c r="M5" s="21"/>
    </row>
    <row r="6" spans="1:16" s="20" customFormat="1" x14ac:dyDescent="0.2">
      <c r="A6" s="29"/>
      <c r="B6" s="23"/>
      <c r="C6" s="23"/>
      <c r="D6" s="23"/>
      <c r="E6" s="23"/>
      <c r="F6" s="27" t="s">
        <v>80</v>
      </c>
      <c r="G6" s="21"/>
      <c r="H6" s="21"/>
      <c r="K6" s="22"/>
      <c r="L6" s="21"/>
      <c r="M6" s="21"/>
    </row>
    <row r="7" spans="1:16" s="20" customFormat="1" x14ac:dyDescent="0.2">
      <c r="A7" s="23"/>
      <c r="B7" s="23"/>
      <c r="C7" s="23"/>
      <c r="D7" s="23"/>
      <c r="E7" s="23"/>
      <c r="F7" s="27" t="s">
        <v>79</v>
      </c>
      <c r="G7" s="21"/>
      <c r="H7" s="21"/>
      <c r="K7" s="22"/>
      <c r="L7" s="21"/>
      <c r="M7" s="21"/>
    </row>
    <row r="8" spans="1:16" s="20" customFormat="1" x14ac:dyDescent="0.2">
      <c r="A8" s="22" t="s">
        <v>77</v>
      </c>
      <c r="B8" s="23"/>
      <c r="C8" s="23"/>
      <c r="D8" s="23"/>
      <c r="E8" s="23"/>
      <c r="F8" s="27" t="s">
        <v>76</v>
      </c>
      <c r="G8" s="21" t="s">
        <v>75</v>
      </c>
      <c r="H8" s="21" t="s">
        <v>74</v>
      </c>
      <c r="K8" s="21"/>
      <c r="L8" s="28" t="s">
        <v>78</v>
      </c>
      <c r="M8" s="21"/>
    </row>
    <row r="9" spans="1:16" s="20" customFormat="1" x14ac:dyDescent="0.2">
      <c r="A9" s="22" t="s">
        <v>70</v>
      </c>
      <c r="B9" s="22" t="s">
        <v>69</v>
      </c>
      <c r="C9" s="23" t="s">
        <v>68</v>
      </c>
      <c r="D9" s="23" t="s">
        <v>67</v>
      </c>
      <c r="E9" s="54" t="s">
        <v>66</v>
      </c>
      <c r="F9" s="54" t="s">
        <v>65</v>
      </c>
      <c r="G9" s="21" t="s">
        <v>64</v>
      </c>
      <c r="H9" s="21" t="s">
        <v>64</v>
      </c>
      <c r="I9" s="22" t="s">
        <v>63</v>
      </c>
      <c r="J9" s="22"/>
      <c r="K9" s="26" t="s">
        <v>73</v>
      </c>
      <c r="L9" s="25" t="s">
        <v>72</v>
      </c>
      <c r="M9" s="24" t="s">
        <v>71</v>
      </c>
    </row>
    <row r="11" spans="1:16" x14ac:dyDescent="0.2">
      <c r="A11" s="5">
        <v>40714</v>
      </c>
      <c r="B11" s="5">
        <v>40710</v>
      </c>
      <c r="C11" s="3" t="s">
        <v>1</v>
      </c>
      <c r="D11" s="3">
        <v>0</v>
      </c>
      <c r="E11" s="3" t="s">
        <v>62</v>
      </c>
      <c r="F11" s="3">
        <v>3.91</v>
      </c>
      <c r="G11" s="2">
        <v>0</v>
      </c>
      <c r="H11" s="2">
        <v>3.9083999999999999</v>
      </c>
      <c r="I11" s="1">
        <v>1</v>
      </c>
    </row>
    <row r="12" spans="1:16" x14ac:dyDescent="0.2">
      <c r="A12" s="5">
        <v>40714</v>
      </c>
      <c r="B12" s="5">
        <v>40710</v>
      </c>
      <c r="C12" s="3" t="s">
        <v>1</v>
      </c>
      <c r="D12" s="3">
        <v>1</v>
      </c>
      <c r="E12" s="3" t="s">
        <v>61</v>
      </c>
      <c r="F12" s="3">
        <v>59.73</v>
      </c>
      <c r="G12" s="2">
        <v>55.748600000000003</v>
      </c>
      <c r="H12" s="2">
        <v>59.727499999999999</v>
      </c>
      <c r="I12" s="1">
        <v>1</v>
      </c>
      <c r="O12" s="17" t="s">
        <v>59</v>
      </c>
    </row>
    <row r="13" spans="1:16" x14ac:dyDescent="0.2">
      <c r="A13" s="5">
        <v>40714</v>
      </c>
      <c r="B13" s="5">
        <v>40710</v>
      </c>
      <c r="C13" s="3" t="s">
        <v>1</v>
      </c>
      <c r="D13" s="3">
        <v>2</v>
      </c>
      <c r="E13" s="3" t="s">
        <v>60</v>
      </c>
      <c r="F13" s="3">
        <v>4.55</v>
      </c>
      <c r="G13" s="2">
        <v>0.50043300000000002</v>
      </c>
      <c r="H13" s="2">
        <v>4.5496400000000001</v>
      </c>
      <c r="I13" s="1">
        <v>1</v>
      </c>
      <c r="O13" s="19" t="s">
        <v>58</v>
      </c>
      <c r="P13" s="19" t="s">
        <v>57</v>
      </c>
    </row>
    <row r="14" spans="1:16" x14ac:dyDescent="0.2">
      <c r="A14" s="5">
        <v>40714</v>
      </c>
      <c r="B14" s="5">
        <v>40710</v>
      </c>
      <c r="C14" s="3" t="s">
        <v>1</v>
      </c>
      <c r="D14" s="3">
        <v>3</v>
      </c>
      <c r="E14" s="3" t="s">
        <v>3</v>
      </c>
      <c r="F14" s="3">
        <v>4.12</v>
      </c>
      <c r="G14" s="2">
        <v>0</v>
      </c>
      <c r="H14" s="2">
        <v>4.1196099999999998</v>
      </c>
      <c r="I14" s="1">
        <v>1</v>
      </c>
      <c r="O14" s="17">
        <v>0</v>
      </c>
      <c r="P14" s="7">
        <v>0.1</v>
      </c>
    </row>
    <row r="15" spans="1:16" x14ac:dyDescent="0.2">
      <c r="A15" s="5">
        <v>40714</v>
      </c>
      <c r="B15" s="5">
        <v>40710</v>
      </c>
      <c r="C15" s="3" t="s">
        <v>1</v>
      </c>
      <c r="D15" s="3">
        <v>4</v>
      </c>
      <c r="E15" s="16" t="s">
        <v>56</v>
      </c>
      <c r="F15" s="16">
        <v>0.1</v>
      </c>
      <c r="G15" s="2">
        <v>-6.32075E-2</v>
      </c>
      <c r="H15" s="2">
        <v>4.1052600000000004</v>
      </c>
      <c r="I15" s="1">
        <v>1</v>
      </c>
      <c r="O15" s="17">
        <v>0.5</v>
      </c>
      <c r="P15" s="7">
        <v>0.67</v>
      </c>
    </row>
    <row r="16" spans="1:16" x14ac:dyDescent="0.2">
      <c r="A16" s="5">
        <v>40714</v>
      </c>
      <c r="B16" s="5">
        <v>40710</v>
      </c>
      <c r="C16" s="3" t="s">
        <v>1</v>
      </c>
      <c r="D16" s="3">
        <v>5</v>
      </c>
      <c r="E16" s="16" t="s">
        <v>55</v>
      </c>
      <c r="F16" s="16">
        <v>0.67</v>
      </c>
      <c r="G16" s="2">
        <v>3.6898399999999998</v>
      </c>
      <c r="H16" s="2">
        <v>7.8753200000000003</v>
      </c>
      <c r="I16" s="1">
        <v>1</v>
      </c>
      <c r="O16" s="17">
        <v>1</v>
      </c>
      <c r="P16" s="7">
        <v>1</v>
      </c>
    </row>
    <row r="17" spans="1:16" x14ac:dyDescent="0.2">
      <c r="A17" s="5">
        <v>40714</v>
      </c>
      <c r="B17" s="5">
        <v>40710</v>
      </c>
      <c r="C17" s="3" t="s">
        <v>1</v>
      </c>
      <c r="D17" s="3">
        <v>6</v>
      </c>
      <c r="E17" s="16" t="s">
        <v>54</v>
      </c>
      <c r="F17" s="16">
        <v>1</v>
      </c>
      <c r="G17" s="2">
        <v>5.8533099999999996</v>
      </c>
      <c r="H17" s="2">
        <v>10.085000000000001</v>
      </c>
      <c r="I17" s="1">
        <v>1</v>
      </c>
      <c r="O17" s="17">
        <v>2</v>
      </c>
      <c r="P17" s="7">
        <v>1.88</v>
      </c>
    </row>
    <row r="18" spans="1:16" x14ac:dyDescent="0.2">
      <c r="A18" s="5">
        <v>40714</v>
      </c>
      <c r="B18" s="5">
        <v>40710</v>
      </c>
      <c r="C18" s="3" t="s">
        <v>1</v>
      </c>
      <c r="D18" s="3">
        <v>7</v>
      </c>
      <c r="E18" s="16" t="s">
        <v>216</v>
      </c>
      <c r="F18" s="16">
        <v>1.88</v>
      </c>
      <c r="G18" s="2">
        <v>11.608499999999999</v>
      </c>
      <c r="H18" s="2">
        <v>15.8743</v>
      </c>
      <c r="I18" s="1">
        <v>1</v>
      </c>
      <c r="O18" s="17">
        <v>5</v>
      </c>
      <c r="P18" s="7">
        <v>4.71</v>
      </c>
    </row>
    <row r="19" spans="1:16" x14ac:dyDescent="0.2">
      <c r="A19" s="5">
        <v>40714</v>
      </c>
      <c r="B19" s="5">
        <v>40710</v>
      </c>
      <c r="C19" s="3" t="s">
        <v>1</v>
      </c>
      <c r="D19" s="3">
        <v>8</v>
      </c>
      <c r="E19" s="16" t="s">
        <v>151</v>
      </c>
      <c r="F19" s="16">
        <v>4.71</v>
      </c>
      <c r="G19" s="2">
        <v>30.240500000000001</v>
      </c>
      <c r="H19" s="2">
        <v>34.567999999999998</v>
      </c>
      <c r="I19" s="1">
        <v>1</v>
      </c>
      <c r="O19" s="17">
        <v>10</v>
      </c>
      <c r="P19" s="7">
        <v>10.15</v>
      </c>
    </row>
    <row r="20" spans="1:16" x14ac:dyDescent="0.2">
      <c r="A20" s="5">
        <v>40714</v>
      </c>
      <c r="B20" s="5">
        <v>40710</v>
      </c>
      <c r="C20" s="3" t="s">
        <v>1</v>
      </c>
      <c r="D20" s="3">
        <v>9</v>
      </c>
      <c r="E20" s="53" t="s">
        <v>215</v>
      </c>
      <c r="F20" s="3">
        <v>6.86</v>
      </c>
      <c r="G20" s="2">
        <v>44.373199999999997</v>
      </c>
      <c r="H20" s="2">
        <v>48.861899999999999</v>
      </c>
      <c r="I20" s="1">
        <v>1</v>
      </c>
    </row>
    <row r="21" spans="1:16" x14ac:dyDescent="0.2">
      <c r="A21" s="5">
        <v>40714</v>
      </c>
      <c r="B21" s="5">
        <v>40710</v>
      </c>
      <c r="C21" s="3" t="s">
        <v>1</v>
      </c>
      <c r="D21" s="3">
        <v>10</v>
      </c>
      <c r="E21" s="16" t="s">
        <v>50</v>
      </c>
      <c r="F21" s="16">
        <v>10.15</v>
      </c>
      <c r="G21" s="2">
        <v>65.984399999999994</v>
      </c>
      <c r="H21" s="2">
        <v>70.600300000000004</v>
      </c>
      <c r="I21" s="1">
        <v>1</v>
      </c>
    </row>
    <row r="22" spans="1:16" x14ac:dyDescent="0.2">
      <c r="A22" s="5">
        <v>40714</v>
      </c>
      <c r="B22" s="5">
        <v>40710</v>
      </c>
      <c r="C22" s="3" t="s">
        <v>1</v>
      </c>
      <c r="D22" s="3">
        <v>11</v>
      </c>
      <c r="E22" s="3" t="s">
        <v>4</v>
      </c>
      <c r="F22" s="3">
        <v>0.12</v>
      </c>
      <c r="G22" s="2">
        <v>5.0426199999999997E-2</v>
      </c>
      <c r="H22" s="2">
        <v>4.8504500000000004</v>
      </c>
      <c r="I22" s="1">
        <v>1</v>
      </c>
    </row>
    <row r="23" spans="1:16" x14ac:dyDescent="0.2">
      <c r="A23" s="5">
        <v>40714</v>
      </c>
      <c r="B23" s="5">
        <v>40710</v>
      </c>
      <c r="C23" s="3" t="s">
        <v>1</v>
      </c>
      <c r="D23" s="3">
        <v>12</v>
      </c>
      <c r="E23" s="3" t="s">
        <v>3</v>
      </c>
      <c r="F23" s="3">
        <v>0.11</v>
      </c>
      <c r="G23" s="2">
        <v>0</v>
      </c>
      <c r="H23" s="2">
        <v>4.2737299999999996</v>
      </c>
      <c r="I23" s="1">
        <v>1</v>
      </c>
    </row>
    <row r="24" spans="1:16" x14ac:dyDescent="0.2">
      <c r="A24" s="5">
        <v>40714</v>
      </c>
      <c r="B24" s="5">
        <v>40710</v>
      </c>
      <c r="C24" s="3" t="s">
        <v>1</v>
      </c>
      <c r="D24" s="3">
        <v>13</v>
      </c>
      <c r="E24" s="3" t="s">
        <v>2</v>
      </c>
      <c r="F24" s="3">
        <v>10.15</v>
      </c>
      <c r="G24" s="2">
        <v>65.984399999999994</v>
      </c>
      <c r="H24" s="2">
        <v>68.440799999999996</v>
      </c>
      <c r="I24" s="1">
        <v>1</v>
      </c>
    </row>
    <row r="25" spans="1:16" x14ac:dyDescent="0.2">
      <c r="A25" s="5">
        <v>40714</v>
      </c>
      <c r="B25" s="5">
        <v>40710</v>
      </c>
      <c r="C25" s="3" t="s">
        <v>1</v>
      </c>
      <c r="D25" s="3">
        <v>14</v>
      </c>
      <c r="E25" s="3" t="s">
        <v>4</v>
      </c>
      <c r="F25" s="3">
        <v>0.11</v>
      </c>
      <c r="G25" s="2">
        <v>6.8552500000000002E-3</v>
      </c>
      <c r="H25" s="2">
        <v>4.8314599999999999</v>
      </c>
      <c r="I25" s="1">
        <v>1</v>
      </c>
    </row>
    <row r="26" spans="1:16" x14ac:dyDescent="0.2">
      <c r="A26" s="5">
        <v>40714</v>
      </c>
      <c r="B26" s="5">
        <v>40710</v>
      </c>
      <c r="C26" s="3" t="s">
        <v>1</v>
      </c>
      <c r="D26" s="3">
        <v>15</v>
      </c>
      <c r="E26" s="41" t="s">
        <v>214</v>
      </c>
      <c r="F26" s="41">
        <v>13.55</v>
      </c>
      <c r="G26" s="2">
        <v>76.821299999999994</v>
      </c>
      <c r="H26" s="2">
        <v>76.433300000000003</v>
      </c>
      <c r="I26" s="1">
        <v>1</v>
      </c>
      <c r="K26" s="17">
        <f t="shared" ref="K26:K38" si="0">F26*(20/20)</f>
        <v>13.55</v>
      </c>
      <c r="L26" s="2">
        <f t="shared" ref="L26:L38" si="1">F26*(20/20)*1.6*30*(1/1000000000)*(10000)*(10000)</f>
        <v>65.04000000000002</v>
      </c>
      <c r="M26" s="2">
        <f t="shared" ref="M26:M38" si="2">L26*0.89218</f>
        <v>58.027387200000014</v>
      </c>
    </row>
    <row r="27" spans="1:16" x14ac:dyDescent="0.2">
      <c r="A27" s="5">
        <v>40714</v>
      </c>
      <c r="B27" s="5">
        <v>40710</v>
      </c>
      <c r="C27" s="3" t="s">
        <v>1</v>
      </c>
      <c r="D27" s="3">
        <v>16</v>
      </c>
      <c r="E27" s="41" t="s">
        <v>213</v>
      </c>
      <c r="F27" s="41">
        <v>21.27</v>
      </c>
      <c r="G27" s="2">
        <v>114.078</v>
      </c>
      <c r="H27" s="2">
        <v>110.148</v>
      </c>
      <c r="I27" s="1">
        <v>1</v>
      </c>
      <c r="K27" s="17">
        <f t="shared" si="0"/>
        <v>21.27</v>
      </c>
      <c r="L27" s="2">
        <f t="shared" si="1"/>
        <v>102.09600000000003</v>
      </c>
      <c r="M27" s="2">
        <f t="shared" si="2"/>
        <v>91.088009280000023</v>
      </c>
    </row>
    <row r="28" spans="1:16" x14ac:dyDescent="0.2">
      <c r="A28" s="5">
        <v>40714</v>
      </c>
      <c r="B28" s="5">
        <v>40710</v>
      </c>
      <c r="C28" s="3" t="s">
        <v>1</v>
      </c>
      <c r="D28" s="3">
        <v>17</v>
      </c>
      <c r="E28" s="41" t="s">
        <v>212</v>
      </c>
      <c r="F28" s="41">
        <v>18.54</v>
      </c>
      <c r="G28" s="2">
        <v>124.295</v>
      </c>
      <c r="H28" s="2">
        <v>117.93899999999999</v>
      </c>
      <c r="I28" s="1">
        <v>1</v>
      </c>
      <c r="K28" s="17">
        <f t="shared" si="0"/>
        <v>18.54</v>
      </c>
      <c r="L28" s="2">
        <f t="shared" si="1"/>
        <v>88.992000000000019</v>
      </c>
      <c r="M28" s="2">
        <f t="shared" si="2"/>
        <v>79.396882560000009</v>
      </c>
    </row>
    <row r="29" spans="1:16" x14ac:dyDescent="0.2">
      <c r="A29" s="5">
        <v>40714</v>
      </c>
      <c r="B29" s="5">
        <v>40710</v>
      </c>
      <c r="C29" s="3" t="s">
        <v>1</v>
      </c>
      <c r="D29" s="3">
        <v>18</v>
      </c>
      <c r="E29" s="41" t="s">
        <v>211</v>
      </c>
      <c r="F29" s="41">
        <v>19.45</v>
      </c>
      <c r="G29" s="2">
        <v>106.551</v>
      </c>
      <c r="H29" s="2">
        <v>100.334</v>
      </c>
      <c r="I29" s="1">
        <v>1</v>
      </c>
      <c r="K29" s="17">
        <f t="shared" si="0"/>
        <v>19.45</v>
      </c>
      <c r="L29" s="2">
        <f t="shared" si="1"/>
        <v>93.36</v>
      </c>
      <c r="M29" s="2">
        <f t="shared" si="2"/>
        <v>83.293924799999999</v>
      </c>
    </row>
    <row r="30" spans="1:16" x14ac:dyDescent="0.2">
      <c r="A30" s="5">
        <v>40714</v>
      </c>
      <c r="B30" s="5">
        <v>40710</v>
      </c>
      <c r="C30" s="3" t="s">
        <v>1</v>
      </c>
      <c r="D30" s="3">
        <v>19</v>
      </c>
      <c r="E30" s="41" t="s">
        <v>210</v>
      </c>
      <c r="F30" s="41">
        <v>19.84</v>
      </c>
      <c r="G30" s="2">
        <v>123.48699999999999</v>
      </c>
      <c r="H30" s="2">
        <v>113.551</v>
      </c>
      <c r="I30" s="1">
        <v>1</v>
      </c>
      <c r="K30" s="17">
        <f t="shared" si="0"/>
        <v>19.84</v>
      </c>
      <c r="L30" s="2">
        <f t="shared" si="1"/>
        <v>95.232000000000014</v>
      </c>
      <c r="M30" s="2">
        <f t="shared" si="2"/>
        <v>84.964085760000003</v>
      </c>
    </row>
    <row r="31" spans="1:16" x14ac:dyDescent="0.2">
      <c r="A31" s="5">
        <v>40714</v>
      </c>
      <c r="B31" s="5">
        <v>40710</v>
      </c>
      <c r="C31" s="3" t="s">
        <v>1</v>
      </c>
      <c r="D31" s="3">
        <v>20</v>
      </c>
      <c r="E31" s="41" t="s">
        <v>209</v>
      </c>
      <c r="F31" s="41">
        <v>18.95</v>
      </c>
      <c r="G31" s="2">
        <v>104.837</v>
      </c>
      <c r="H31" s="2">
        <v>95.832499999999996</v>
      </c>
      <c r="I31" s="1">
        <v>1</v>
      </c>
      <c r="K31" s="17">
        <f t="shared" si="0"/>
        <v>18.95</v>
      </c>
      <c r="L31" s="2">
        <f t="shared" si="1"/>
        <v>90.96</v>
      </c>
      <c r="M31" s="2">
        <f t="shared" si="2"/>
        <v>81.152692799999997</v>
      </c>
    </row>
    <row r="32" spans="1:16" x14ac:dyDescent="0.2">
      <c r="A32" s="5">
        <v>40714</v>
      </c>
      <c r="B32" s="5">
        <v>40710</v>
      </c>
      <c r="C32" s="3" t="s">
        <v>1</v>
      </c>
      <c r="D32" s="3">
        <v>21</v>
      </c>
      <c r="E32" s="41" t="s">
        <v>208</v>
      </c>
      <c r="F32" s="41">
        <v>15.55</v>
      </c>
      <c r="G32" s="2">
        <v>94.479299999999995</v>
      </c>
      <c r="H32" s="2">
        <v>85.485799999999998</v>
      </c>
      <c r="I32" s="1">
        <v>1</v>
      </c>
      <c r="K32" s="17">
        <f t="shared" si="0"/>
        <v>15.55</v>
      </c>
      <c r="L32" s="2">
        <f t="shared" si="1"/>
        <v>74.640000000000015</v>
      </c>
      <c r="M32" s="2">
        <f t="shared" si="2"/>
        <v>66.592315200000016</v>
      </c>
    </row>
    <row r="33" spans="1:13" x14ac:dyDescent="0.2">
      <c r="A33" s="5">
        <v>40714</v>
      </c>
      <c r="B33" s="5">
        <v>40710</v>
      </c>
      <c r="C33" s="3" t="s">
        <v>1</v>
      </c>
      <c r="D33" s="3">
        <v>22</v>
      </c>
      <c r="E33" s="41" t="s">
        <v>207</v>
      </c>
      <c r="F33" s="41">
        <v>15.62</v>
      </c>
      <c r="G33" s="2">
        <v>94.877099999999999</v>
      </c>
      <c r="H33" s="2">
        <v>84.518000000000001</v>
      </c>
      <c r="I33" s="1">
        <v>1</v>
      </c>
      <c r="K33" s="17">
        <f t="shared" si="0"/>
        <v>15.62</v>
      </c>
      <c r="L33" s="2">
        <f t="shared" si="1"/>
        <v>74.976000000000013</v>
      </c>
      <c r="M33" s="2">
        <f t="shared" si="2"/>
        <v>66.892087680000003</v>
      </c>
    </row>
    <row r="34" spans="1:13" x14ac:dyDescent="0.2">
      <c r="A34" s="5">
        <v>40714</v>
      </c>
      <c r="B34" s="5">
        <v>40710</v>
      </c>
      <c r="C34" s="3" t="s">
        <v>1</v>
      </c>
      <c r="D34" s="3">
        <v>23</v>
      </c>
      <c r="E34" s="41" t="s">
        <v>206</v>
      </c>
      <c r="F34" s="41">
        <v>10.49</v>
      </c>
      <c r="G34" s="2">
        <v>68.265600000000006</v>
      </c>
      <c r="H34" s="2">
        <v>61.369399999999999</v>
      </c>
      <c r="I34" s="1">
        <v>1</v>
      </c>
      <c r="K34" s="17">
        <f t="shared" si="0"/>
        <v>10.49</v>
      </c>
      <c r="L34" s="2">
        <f t="shared" si="1"/>
        <v>50.352000000000018</v>
      </c>
      <c r="M34" s="2">
        <f t="shared" si="2"/>
        <v>44.923047360000012</v>
      </c>
    </row>
    <row r="35" spans="1:13" x14ac:dyDescent="0.2">
      <c r="A35" s="5">
        <v>40714</v>
      </c>
      <c r="B35" s="5">
        <v>40710</v>
      </c>
      <c r="C35" s="3" t="s">
        <v>1</v>
      </c>
      <c r="D35" s="3">
        <v>24</v>
      </c>
      <c r="E35" s="41" t="s">
        <v>205</v>
      </c>
      <c r="F35" s="41">
        <v>10.5</v>
      </c>
      <c r="G35" s="2">
        <v>68.312600000000003</v>
      </c>
      <c r="H35" s="2">
        <v>60.402799999999999</v>
      </c>
      <c r="I35" s="1">
        <v>1</v>
      </c>
      <c r="K35" s="17">
        <f t="shared" si="0"/>
        <v>10.5</v>
      </c>
      <c r="L35" s="2">
        <f t="shared" si="1"/>
        <v>50.400000000000013</v>
      </c>
      <c r="M35" s="2">
        <f t="shared" si="2"/>
        <v>44.965872000000012</v>
      </c>
    </row>
    <row r="36" spans="1:13" x14ac:dyDescent="0.2">
      <c r="A36" s="5">
        <v>40714</v>
      </c>
      <c r="B36" s="5">
        <v>40710</v>
      </c>
      <c r="C36" s="3" t="s">
        <v>1</v>
      </c>
      <c r="D36" s="3">
        <v>25</v>
      </c>
      <c r="E36" s="41" t="s">
        <v>204</v>
      </c>
      <c r="F36" s="41">
        <v>11.44</v>
      </c>
      <c r="G36" s="2">
        <v>84.6614</v>
      </c>
      <c r="H36" s="2">
        <v>72.683599999999998</v>
      </c>
      <c r="I36" s="1">
        <v>1</v>
      </c>
      <c r="K36" s="17">
        <f t="shared" si="0"/>
        <v>11.44</v>
      </c>
      <c r="L36" s="2">
        <f t="shared" si="1"/>
        <v>54.912000000000006</v>
      </c>
      <c r="M36" s="2">
        <f t="shared" si="2"/>
        <v>48.991388160000007</v>
      </c>
    </row>
    <row r="37" spans="1:13" x14ac:dyDescent="0.2">
      <c r="A37" s="5">
        <v>40714</v>
      </c>
      <c r="B37" s="5">
        <v>40710</v>
      </c>
      <c r="C37" s="3" t="s">
        <v>1</v>
      </c>
      <c r="D37" s="3">
        <v>26</v>
      </c>
      <c r="E37" s="41" t="s">
        <v>203</v>
      </c>
      <c r="F37" s="41">
        <v>15.62</v>
      </c>
      <c r="G37" s="2">
        <v>99.304100000000005</v>
      </c>
      <c r="H37" s="2">
        <v>83.365099999999998</v>
      </c>
      <c r="I37" s="1">
        <v>1</v>
      </c>
      <c r="K37" s="17">
        <f t="shared" si="0"/>
        <v>15.62</v>
      </c>
      <c r="L37" s="2">
        <f t="shared" si="1"/>
        <v>74.976000000000013</v>
      </c>
      <c r="M37" s="2">
        <f t="shared" si="2"/>
        <v>66.892087680000003</v>
      </c>
    </row>
    <row r="38" spans="1:13" x14ac:dyDescent="0.2">
      <c r="A38" s="5">
        <v>40714</v>
      </c>
      <c r="B38" s="5">
        <v>40710</v>
      </c>
      <c r="C38" s="3" t="s">
        <v>1</v>
      </c>
      <c r="D38" s="3">
        <v>27</v>
      </c>
      <c r="E38" s="41" t="s">
        <v>202</v>
      </c>
      <c r="F38" s="41">
        <v>14.12</v>
      </c>
      <c r="G38" s="2">
        <v>76.967200000000005</v>
      </c>
      <c r="H38" s="2">
        <v>64.966899999999995</v>
      </c>
      <c r="I38" s="1">
        <v>1</v>
      </c>
      <c r="K38" s="17">
        <f t="shared" si="0"/>
        <v>14.12</v>
      </c>
      <c r="L38" s="2">
        <f t="shared" si="1"/>
        <v>67.77600000000001</v>
      </c>
      <c r="M38" s="2">
        <f t="shared" si="2"/>
        <v>60.468391680000011</v>
      </c>
    </row>
    <row r="39" spans="1:13" x14ac:dyDescent="0.2">
      <c r="A39" s="5">
        <v>40714</v>
      </c>
      <c r="B39" s="5">
        <v>40710</v>
      </c>
      <c r="C39" s="3" t="s">
        <v>1</v>
      </c>
      <c r="D39" s="3">
        <v>28</v>
      </c>
      <c r="E39" s="3" t="s">
        <v>4</v>
      </c>
      <c r="F39" s="3">
        <v>0.16</v>
      </c>
      <c r="G39" s="2">
        <v>0.359989</v>
      </c>
      <c r="H39" s="2">
        <v>5.2416200000000002</v>
      </c>
      <c r="I39" s="1">
        <v>1</v>
      </c>
    </row>
    <row r="40" spans="1:13" x14ac:dyDescent="0.2">
      <c r="A40" s="5">
        <v>40714</v>
      </c>
      <c r="B40" s="5">
        <v>40710</v>
      </c>
      <c r="C40" s="3" t="s">
        <v>1</v>
      </c>
      <c r="D40" s="3">
        <v>29</v>
      </c>
      <c r="E40" s="3" t="s">
        <v>3</v>
      </c>
      <c r="F40" s="3">
        <v>0.11</v>
      </c>
      <c r="G40" s="2">
        <v>0</v>
      </c>
      <c r="H40" s="2">
        <v>4.4769699999999997</v>
      </c>
      <c r="I40" s="1">
        <v>1</v>
      </c>
    </row>
    <row r="41" spans="1:13" x14ac:dyDescent="0.2">
      <c r="A41" s="5">
        <v>40714</v>
      </c>
      <c r="B41" s="5">
        <v>40710</v>
      </c>
      <c r="C41" s="3" t="s">
        <v>1</v>
      </c>
      <c r="D41" s="3">
        <v>30</v>
      </c>
      <c r="E41" s="3" t="s">
        <v>2</v>
      </c>
      <c r="F41" s="3">
        <v>10.15</v>
      </c>
      <c r="G41" s="2">
        <v>65.984399999999994</v>
      </c>
      <c r="H41" s="2">
        <v>53.744799999999998</v>
      </c>
      <c r="I41" s="1">
        <v>1</v>
      </c>
    </row>
    <row r="42" spans="1:13" x14ac:dyDescent="0.2">
      <c r="A42" s="5">
        <v>40714</v>
      </c>
      <c r="B42" s="5">
        <v>40710</v>
      </c>
      <c r="C42" s="3" t="s">
        <v>1</v>
      </c>
      <c r="D42" s="3">
        <v>31</v>
      </c>
      <c r="E42" s="3" t="s">
        <v>4</v>
      </c>
      <c r="F42" s="3">
        <v>0.1</v>
      </c>
      <c r="G42" s="2">
        <v>-5.1676899999999998E-2</v>
      </c>
      <c r="H42" s="2">
        <v>4.8716699999999999</v>
      </c>
      <c r="I42" s="1">
        <v>1</v>
      </c>
    </row>
    <row r="43" spans="1:13" x14ac:dyDescent="0.2">
      <c r="A43" s="5">
        <v>40714</v>
      </c>
      <c r="B43" s="5">
        <v>40710</v>
      </c>
      <c r="C43" s="3" t="s">
        <v>1</v>
      </c>
      <c r="D43" s="3">
        <v>32</v>
      </c>
      <c r="E43" s="41" t="s">
        <v>201</v>
      </c>
      <c r="F43" s="41">
        <v>17.920000000000002</v>
      </c>
      <c r="G43" s="2">
        <v>119.19</v>
      </c>
      <c r="H43" s="2">
        <v>93.931700000000006</v>
      </c>
      <c r="I43" s="1">
        <v>1</v>
      </c>
      <c r="K43" s="17">
        <f t="shared" ref="K43:K57" si="3">F43*(20/20)</f>
        <v>17.920000000000002</v>
      </c>
      <c r="L43" s="2">
        <f t="shared" ref="L43:L57" si="4">F43*(20/20)*1.6*30*(1/1000000000)*(10000)*(10000)</f>
        <v>86.016000000000005</v>
      </c>
      <c r="M43" s="2">
        <f t="shared" ref="M43:M57" si="5">L43*0.89218</f>
        <v>76.741754880000002</v>
      </c>
    </row>
    <row r="44" spans="1:13" x14ac:dyDescent="0.2">
      <c r="A44" s="5">
        <v>40714</v>
      </c>
      <c r="B44" s="5">
        <v>40710</v>
      </c>
      <c r="C44" s="3" t="s">
        <v>1</v>
      </c>
      <c r="D44" s="3">
        <v>33</v>
      </c>
      <c r="E44" s="41" t="s">
        <v>200</v>
      </c>
      <c r="F44" s="41">
        <v>7.47</v>
      </c>
      <c r="G44" s="2">
        <v>48.4054</v>
      </c>
      <c r="H44" s="2">
        <v>41.638399999999997</v>
      </c>
      <c r="I44" s="1">
        <v>1</v>
      </c>
      <c r="K44" s="17">
        <f t="shared" si="3"/>
        <v>7.47</v>
      </c>
      <c r="L44" s="2">
        <f t="shared" si="4"/>
        <v>35.856000000000002</v>
      </c>
      <c r="M44" s="2">
        <f t="shared" si="5"/>
        <v>31.990006080000001</v>
      </c>
    </row>
    <row r="45" spans="1:13" x14ac:dyDescent="0.2">
      <c r="A45" s="5">
        <v>40714</v>
      </c>
      <c r="B45" s="5">
        <v>40710</v>
      </c>
      <c r="C45" s="3" t="s">
        <v>1</v>
      </c>
      <c r="D45" s="3">
        <v>34</v>
      </c>
      <c r="E45" s="41" t="s">
        <v>199</v>
      </c>
      <c r="F45" s="41">
        <v>2.61</v>
      </c>
      <c r="G45" s="2">
        <v>16.449000000000002</v>
      </c>
      <c r="H45" s="2">
        <v>17.248100000000001</v>
      </c>
      <c r="I45" s="1">
        <v>1</v>
      </c>
      <c r="K45" s="17">
        <f t="shared" si="3"/>
        <v>2.61</v>
      </c>
      <c r="L45" s="2">
        <f t="shared" si="4"/>
        <v>12.528000000000002</v>
      </c>
      <c r="M45" s="2">
        <f t="shared" si="5"/>
        <v>11.177231040000002</v>
      </c>
    </row>
    <row r="46" spans="1:13" x14ac:dyDescent="0.2">
      <c r="A46" s="5">
        <v>40714</v>
      </c>
      <c r="B46" s="5">
        <v>40710</v>
      </c>
      <c r="C46" s="3" t="s">
        <v>1</v>
      </c>
      <c r="D46" s="3">
        <v>35</v>
      </c>
      <c r="E46" s="41" t="s">
        <v>198</v>
      </c>
      <c r="F46" s="41">
        <v>21.94</v>
      </c>
      <c r="G46" s="2">
        <v>114.84099999999999</v>
      </c>
      <c r="H46" s="2">
        <v>91.487799999999993</v>
      </c>
      <c r="I46" s="1">
        <v>1</v>
      </c>
      <c r="K46" s="17">
        <f t="shared" si="3"/>
        <v>21.94</v>
      </c>
      <c r="L46" s="2">
        <f t="shared" si="4"/>
        <v>105.31200000000003</v>
      </c>
      <c r="M46" s="2">
        <f t="shared" si="5"/>
        <v>93.957260160000018</v>
      </c>
    </row>
    <row r="47" spans="1:13" x14ac:dyDescent="0.2">
      <c r="A47" s="5">
        <v>40714</v>
      </c>
      <c r="B47" s="5">
        <v>40710</v>
      </c>
      <c r="C47" s="3" t="s">
        <v>1</v>
      </c>
      <c r="D47" s="3">
        <v>36</v>
      </c>
      <c r="E47" s="41" t="s">
        <v>197</v>
      </c>
      <c r="F47" s="41">
        <v>9.7100000000000009</v>
      </c>
      <c r="G47" s="2">
        <v>63.110199999999999</v>
      </c>
      <c r="H47" s="2">
        <v>53.088999999999999</v>
      </c>
      <c r="I47" s="1">
        <v>1</v>
      </c>
      <c r="K47" s="17">
        <f t="shared" si="3"/>
        <v>9.7100000000000009</v>
      </c>
      <c r="L47" s="2">
        <f t="shared" si="4"/>
        <v>46.608000000000004</v>
      </c>
      <c r="M47" s="2">
        <f t="shared" si="5"/>
        <v>41.582725440000004</v>
      </c>
    </row>
    <row r="48" spans="1:13" x14ac:dyDescent="0.2">
      <c r="A48" s="5">
        <v>40714</v>
      </c>
      <c r="B48" s="5">
        <v>40710</v>
      </c>
      <c r="C48" s="3" t="s">
        <v>1</v>
      </c>
      <c r="D48" s="3">
        <v>37</v>
      </c>
      <c r="E48" s="41" t="s">
        <v>196</v>
      </c>
      <c r="F48" s="41">
        <v>3.65</v>
      </c>
      <c r="G48" s="2">
        <v>23.283200000000001</v>
      </c>
      <c r="H48" s="2">
        <v>22.6602</v>
      </c>
      <c r="I48" s="1">
        <v>1</v>
      </c>
      <c r="K48" s="17">
        <f t="shared" si="3"/>
        <v>3.65</v>
      </c>
      <c r="L48" s="2">
        <f t="shared" si="4"/>
        <v>17.52</v>
      </c>
      <c r="M48" s="2">
        <f t="shared" si="5"/>
        <v>15.630993599999998</v>
      </c>
    </row>
    <row r="49" spans="1:13" x14ac:dyDescent="0.2">
      <c r="A49" s="5">
        <v>40714</v>
      </c>
      <c r="B49" s="5">
        <v>40710</v>
      </c>
      <c r="C49" s="3" t="s">
        <v>1</v>
      </c>
      <c r="D49" s="3">
        <v>38</v>
      </c>
      <c r="E49" s="41" t="s">
        <v>195</v>
      </c>
      <c r="F49" s="41">
        <v>15.19</v>
      </c>
      <c r="G49" s="2">
        <v>92.581500000000005</v>
      </c>
      <c r="H49" s="2">
        <v>75.298000000000002</v>
      </c>
      <c r="I49" s="1">
        <v>1</v>
      </c>
      <c r="K49" s="17">
        <f t="shared" si="3"/>
        <v>15.19</v>
      </c>
      <c r="L49" s="2">
        <f t="shared" si="4"/>
        <v>72.91200000000002</v>
      </c>
      <c r="M49" s="2">
        <f t="shared" si="5"/>
        <v>65.050628160000016</v>
      </c>
    </row>
    <row r="50" spans="1:13" x14ac:dyDescent="0.2">
      <c r="A50" s="5">
        <v>40714</v>
      </c>
      <c r="B50" s="5">
        <v>40710</v>
      </c>
      <c r="C50" s="3" t="s">
        <v>1</v>
      </c>
      <c r="D50" s="3">
        <v>39</v>
      </c>
      <c r="E50" s="41" t="s">
        <v>194</v>
      </c>
      <c r="F50" s="41">
        <v>10.27</v>
      </c>
      <c r="G50" s="2">
        <v>66.800299999999993</v>
      </c>
      <c r="H50" s="2">
        <v>56.202500000000001</v>
      </c>
      <c r="I50" s="1">
        <v>1</v>
      </c>
      <c r="K50" s="17">
        <f t="shared" si="3"/>
        <v>10.27</v>
      </c>
      <c r="L50" s="2">
        <f t="shared" si="4"/>
        <v>49.295999999999999</v>
      </c>
      <c r="M50" s="2">
        <f t="shared" si="5"/>
        <v>43.980905279999995</v>
      </c>
    </row>
    <row r="51" spans="1:13" x14ac:dyDescent="0.2">
      <c r="A51" s="5">
        <v>40714</v>
      </c>
      <c r="B51" s="5">
        <v>40710</v>
      </c>
      <c r="C51" s="3" t="s">
        <v>1</v>
      </c>
      <c r="D51" s="3">
        <v>40</v>
      </c>
      <c r="E51" s="41" t="s">
        <v>193</v>
      </c>
      <c r="F51" s="41">
        <v>11.17</v>
      </c>
      <c r="G51" s="2">
        <v>72.714100000000002</v>
      </c>
      <c r="H51" s="2">
        <v>60.735500000000002</v>
      </c>
      <c r="I51" s="1">
        <v>1</v>
      </c>
      <c r="K51" s="17">
        <f t="shared" si="3"/>
        <v>11.17</v>
      </c>
      <c r="L51" s="2">
        <f t="shared" si="4"/>
        <v>53.616</v>
      </c>
      <c r="M51" s="2">
        <f t="shared" si="5"/>
        <v>47.83512288</v>
      </c>
    </row>
    <row r="52" spans="1:13" x14ac:dyDescent="0.2">
      <c r="A52" s="5">
        <v>40714</v>
      </c>
      <c r="B52" s="5">
        <v>40710</v>
      </c>
      <c r="C52" s="3" t="s">
        <v>1</v>
      </c>
      <c r="D52" s="3">
        <v>41</v>
      </c>
      <c r="E52" s="41" t="s">
        <v>192</v>
      </c>
      <c r="F52" s="41">
        <v>33.729999999999997</v>
      </c>
      <c r="G52" s="2">
        <v>120.982</v>
      </c>
      <c r="H52" s="2">
        <v>98.0197</v>
      </c>
      <c r="I52" s="1">
        <v>1</v>
      </c>
      <c r="K52" s="17">
        <f t="shared" si="3"/>
        <v>33.729999999999997</v>
      </c>
      <c r="L52" s="2">
        <f t="shared" si="4"/>
        <v>161.904</v>
      </c>
      <c r="M52" s="2">
        <f t="shared" si="5"/>
        <v>144.44751072</v>
      </c>
    </row>
    <row r="53" spans="1:13" x14ac:dyDescent="0.2">
      <c r="A53" s="5">
        <v>40714</v>
      </c>
      <c r="B53" s="5">
        <v>40710</v>
      </c>
      <c r="C53" s="3" t="s">
        <v>1</v>
      </c>
      <c r="D53" s="3">
        <v>42</v>
      </c>
      <c r="E53" s="41" t="s">
        <v>191</v>
      </c>
      <c r="F53" s="41">
        <v>18.059999999999999</v>
      </c>
      <c r="G53" s="2">
        <v>87.726299999999995</v>
      </c>
      <c r="H53" s="2">
        <v>72.948300000000003</v>
      </c>
      <c r="I53" s="1">
        <v>1</v>
      </c>
      <c r="K53" s="17">
        <f t="shared" si="3"/>
        <v>18.059999999999999</v>
      </c>
      <c r="L53" s="2">
        <f t="shared" si="4"/>
        <v>86.688000000000002</v>
      </c>
      <c r="M53" s="2">
        <f t="shared" si="5"/>
        <v>77.341299840000005</v>
      </c>
    </row>
    <row r="54" spans="1:13" x14ac:dyDescent="0.2">
      <c r="A54" s="5">
        <v>40714</v>
      </c>
      <c r="B54" s="5">
        <v>40710</v>
      </c>
      <c r="C54" s="3" t="s">
        <v>1</v>
      </c>
      <c r="D54" s="3">
        <v>43</v>
      </c>
      <c r="E54" s="41" t="s">
        <v>190</v>
      </c>
      <c r="F54" s="41">
        <v>10.52</v>
      </c>
      <c r="G54" s="2">
        <v>68.446200000000005</v>
      </c>
      <c r="H54" s="2">
        <v>58.054600000000001</v>
      </c>
      <c r="I54" s="1">
        <v>1</v>
      </c>
      <c r="K54" s="17">
        <f t="shared" si="3"/>
        <v>10.52</v>
      </c>
      <c r="L54" s="2">
        <f t="shared" si="4"/>
        <v>50.496000000000016</v>
      </c>
      <c r="M54" s="2">
        <f t="shared" si="5"/>
        <v>45.05152128000001</v>
      </c>
    </row>
    <row r="55" spans="1:13" x14ac:dyDescent="0.2">
      <c r="A55" s="5">
        <v>40714</v>
      </c>
      <c r="B55" s="5">
        <v>40710</v>
      </c>
      <c r="C55" s="3" t="s">
        <v>1</v>
      </c>
      <c r="D55" s="3">
        <v>44</v>
      </c>
      <c r="E55" s="41" t="s">
        <v>189</v>
      </c>
      <c r="F55" s="41">
        <v>30.43</v>
      </c>
      <c r="G55" s="2">
        <v>151.53200000000001</v>
      </c>
      <c r="H55" s="2">
        <v>122.46299999999999</v>
      </c>
      <c r="I55" s="1">
        <v>1</v>
      </c>
      <c r="K55" s="17">
        <f t="shared" si="3"/>
        <v>30.43</v>
      </c>
      <c r="L55" s="2">
        <f t="shared" si="4"/>
        <v>146.06399999999999</v>
      </c>
      <c r="M55" s="2">
        <f t="shared" si="5"/>
        <v>130.31537951999999</v>
      </c>
    </row>
    <row r="56" spans="1:13" x14ac:dyDescent="0.2">
      <c r="A56" s="5">
        <v>40714</v>
      </c>
      <c r="B56" s="5">
        <v>40710</v>
      </c>
      <c r="C56" s="3" t="s">
        <v>1</v>
      </c>
      <c r="D56" s="3">
        <v>45</v>
      </c>
      <c r="E56" s="41" t="s">
        <v>188</v>
      </c>
      <c r="F56" s="41">
        <v>8.61</v>
      </c>
      <c r="G56" s="2">
        <v>55.915599999999998</v>
      </c>
      <c r="H56" s="2">
        <v>49.012599999999999</v>
      </c>
      <c r="I56" s="1">
        <v>1</v>
      </c>
      <c r="K56" s="17">
        <f t="shared" si="3"/>
        <v>8.61</v>
      </c>
      <c r="L56" s="2">
        <f t="shared" si="4"/>
        <v>41.327999999999996</v>
      </c>
      <c r="M56" s="2">
        <f t="shared" si="5"/>
        <v>36.872015039999994</v>
      </c>
    </row>
    <row r="57" spans="1:13" x14ac:dyDescent="0.2">
      <c r="A57" s="5">
        <v>40714</v>
      </c>
      <c r="B57" s="5">
        <v>40710</v>
      </c>
      <c r="C57" s="3" t="s">
        <v>1</v>
      </c>
      <c r="D57" s="3">
        <v>46</v>
      </c>
      <c r="E57" s="41" t="s">
        <v>187</v>
      </c>
      <c r="F57" s="41">
        <v>6.95</v>
      </c>
      <c r="G57" s="2">
        <v>44.948900000000002</v>
      </c>
      <c r="H57" s="2">
        <v>40.033499999999997</v>
      </c>
      <c r="I57" s="1">
        <v>1</v>
      </c>
      <c r="K57" s="17">
        <f t="shared" si="3"/>
        <v>6.95</v>
      </c>
      <c r="L57" s="2">
        <f t="shared" si="4"/>
        <v>33.360000000000007</v>
      </c>
      <c r="M57" s="2">
        <f t="shared" si="5"/>
        <v>29.763124800000003</v>
      </c>
    </row>
    <row r="58" spans="1:13" x14ac:dyDescent="0.2">
      <c r="A58" s="5">
        <v>40714</v>
      </c>
      <c r="B58" s="5">
        <v>40710</v>
      </c>
      <c r="C58" s="3" t="s">
        <v>1</v>
      </c>
      <c r="D58" s="3">
        <v>47</v>
      </c>
      <c r="E58" s="3" t="s">
        <v>4</v>
      </c>
      <c r="F58" s="3">
        <v>0.12</v>
      </c>
      <c r="G58" s="2">
        <v>4.1184999999999999E-2</v>
      </c>
      <c r="H58" s="2">
        <v>4.9912000000000001</v>
      </c>
      <c r="I58" s="1">
        <v>1</v>
      </c>
    </row>
    <row r="59" spans="1:13" x14ac:dyDescent="0.2">
      <c r="A59" s="5">
        <v>40714</v>
      </c>
      <c r="B59" s="5">
        <v>40710</v>
      </c>
      <c r="C59" s="3" t="s">
        <v>1</v>
      </c>
      <c r="D59" s="3">
        <v>48</v>
      </c>
      <c r="E59" s="3" t="s">
        <v>3</v>
      </c>
      <c r="F59" s="3">
        <v>0.11</v>
      </c>
      <c r="G59" s="2">
        <v>0</v>
      </c>
      <c r="H59" s="2">
        <v>4.6602600000000001</v>
      </c>
      <c r="I59" s="1">
        <v>1</v>
      </c>
    </row>
    <row r="60" spans="1:13" x14ac:dyDescent="0.2">
      <c r="A60" s="5">
        <v>40714</v>
      </c>
      <c r="B60" s="5">
        <v>40710</v>
      </c>
      <c r="C60" s="3" t="s">
        <v>1</v>
      </c>
      <c r="D60" s="3">
        <v>49</v>
      </c>
      <c r="E60" s="3" t="s">
        <v>2</v>
      </c>
      <c r="F60" s="3">
        <v>10.15</v>
      </c>
      <c r="G60" s="2">
        <v>65.984399999999994</v>
      </c>
      <c r="H60" s="2">
        <v>56.537799999999997</v>
      </c>
      <c r="I60" s="1">
        <v>1</v>
      </c>
    </row>
    <row r="61" spans="1:13" x14ac:dyDescent="0.2">
      <c r="A61" s="5">
        <v>40714</v>
      </c>
      <c r="B61" s="5">
        <v>40710</v>
      </c>
      <c r="C61" s="3" t="s">
        <v>1</v>
      </c>
      <c r="D61" s="3">
        <v>50</v>
      </c>
      <c r="E61" s="3" t="s">
        <v>4</v>
      </c>
      <c r="F61" s="3">
        <v>0.12</v>
      </c>
      <c r="G61" s="2">
        <v>6.6390400000000002E-2</v>
      </c>
      <c r="H61" s="2">
        <v>5.1682699999999997</v>
      </c>
      <c r="I61" s="1">
        <v>1</v>
      </c>
    </row>
    <row r="62" spans="1:13" x14ac:dyDescent="0.2">
      <c r="A62" s="5">
        <v>40714</v>
      </c>
      <c r="B62" s="5">
        <v>40710</v>
      </c>
      <c r="C62" s="3" t="s">
        <v>1</v>
      </c>
      <c r="D62" s="3">
        <v>51</v>
      </c>
      <c r="E62" s="41" t="s">
        <v>186</v>
      </c>
      <c r="F62" s="41">
        <v>39.85</v>
      </c>
      <c r="G62" s="2">
        <v>161.88999999999999</v>
      </c>
      <c r="H62" s="2">
        <v>131.47300000000001</v>
      </c>
      <c r="I62" s="1">
        <v>1</v>
      </c>
      <c r="K62" s="17">
        <f t="shared" ref="K62:K73" si="6">F62*(20/20)</f>
        <v>39.85</v>
      </c>
      <c r="L62" s="2">
        <f t="shared" ref="L62:L73" si="7">F62*(20/20)*1.6*30*(1/1000000000)*(10000)*(10000)</f>
        <v>191.28000000000003</v>
      </c>
      <c r="M62" s="2">
        <f t="shared" ref="M62:M73" si="8">L62*0.89218</f>
        <v>170.65619040000001</v>
      </c>
    </row>
    <row r="63" spans="1:13" x14ac:dyDescent="0.2">
      <c r="A63" s="5">
        <v>40714</v>
      </c>
      <c r="B63" s="5">
        <v>40710</v>
      </c>
      <c r="C63" s="3" t="s">
        <v>1</v>
      </c>
      <c r="D63" s="3">
        <v>52</v>
      </c>
      <c r="E63" s="41" t="s">
        <v>185</v>
      </c>
      <c r="F63" s="41">
        <v>14.24</v>
      </c>
      <c r="G63" s="2">
        <v>81.072699999999998</v>
      </c>
      <c r="H63" s="2">
        <v>69.078999999999994</v>
      </c>
      <c r="I63" s="1">
        <v>1</v>
      </c>
      <c r="K63" s="17">
        <f t="shared" si="6"/>
        <v>14.24</v>
      </c>
      <c r="L63" s="2">
        <f t="shared" si="7"/>
        <v>68.352000000000018</v>
      </c>
      <c r="M63" s="2">
        <f t="shared" si="8"/>
        <v>60.982287360000015</v>
      </c>
    </row>
    <row r="64" spans="1:13" x14ac:dyDescent="0.2">
      <c r="A64" s="5">
        <v>40714</v>
      </c>
      <c r="B64" s="5">
        <v>40710</v>
      </c>
      <c r="C64" s="3" t="s">
        <v>1</v>
      </c>
      <c r="D64" s="3">
        <v>53</v>
      </c>
      <c r="E64" s="41" t="s">
        <v>184</v>
      </c>
      <c r="F64" s="41">
        <v>5.4</v>
      </c>
      <c r="G64" s="2">
        <v>34.801600000000001</v>
      </c>
      <c r="H64" s="2">
        <v>32.398600000000002</v>
      </c>
      <c r="I64" s="1">
        <v>1</v>
      </c>
      <c r="K64" s="17">
        <f t="shared" si="6"/>
        <v>5.4</v>
      </c>
      <c r="L64" s="2">
        <f t="shared" si="7"/>
        <v>25.920000000000005</v>
      </c>
      <c r="M64" s="2">
        <f t="shared" si="8"/>
        <v>23.125305600000004</v>
      </c>
    </row>
    <row r="65" spans="1:25" x14ac:dyDescent="0.2">
      <c r="A65" s="5">
        <v>40714</v>
      </c>
      <c r="B65" s="5">
        <v>40710</v>
      </c>
      <c r="C65" s="3" t="s">
        <v>1</v>
      </c>
      <c r="D65" s="3">
        <v>54</v>
      </c>
      <c r="E65" s="41" t="s">
        <v>183</v>
      </c>
      <c r="F65" s="41">
        <v>15.47</v>
      </c>
      <c r="G65" s="2">
        <v>80.700299999999999</v>
      </c>
      <c r="H65" s="2">
        <v>67.835599999999999</v>
      </c>
      <c r="I65" s="1">
        <v>1</v>
      </c>
      <c r="K65" s="17">
        <f t="shared" si="6"/>
        <v>15.47</v>
      </c>
      <c r="L65" s="2">
        <f t="shared" si="7"/>
        <v>74.256000000000014</v>
      </c>
      <c r="M65" s="2">
        <f t="shared" si="8"/>
        <v>66.249718080000008</v>
      </c>
    </row>
    <row r="66" spans="1:25" x14ac:dyDescent="0.2">
      <c r="A66" s="5">
        <v>40714</v>
      </c>
      <c r="B66" s="5">
        <v>40710</v>
      </c>
      <c r="C66" s="3" t="s">
        <v>1</v>
      </c>
      <c r="D66" s="3">
        <v>55</v>
      </c>
      <c r="E66" s="41" t="s">
        <v>182</v>
      </c>
      <c r="F66" s="41">
        <v>8.36</v>
      </c>
      <c r="G66" s="2">
        <v>54.255200000000002</v>
      </c>
      <c r="H66" s="2">
        <v>47.448300000000003</v>
      </c>
      <c r="I66" s="1">
        <v>1</v>
      </c>
      <c r="K66" s="17">
        <f t="shared" si="6"/>
        <v>8.36</v>
      </c>
      <c r="L66" s="2">
        <f t="shared" si="7"/>
        <v>40.128000000000007</v>
      </c>
      <c r="M66" s="2">
        <f t="shared" si="8"/>
        <v>35.801399040000007</v>
      </c>
    </row>
    <row r="67" spans="1:25" x14ac:dyDescent="0.2">
      <c r="A67" s="5">
        <v>40714</v>
      </c>
      <c r="B67" s="5">
        <v>40710</v>
      </c>
      <c r="C67" s="3" t="s">
        <v>1</v>
      </c>
      <c r="D67" s="3">
        <v>56</v>
      </c>
      <c r="E67" s="41" t="s">
        <v>181</v>
      </c>
      <c r="F67" s="41">
        <v>9.14</v>
      </c>
      <c r="G67" s="2">
        <v>59.340699999999998</v>
      </c>
      <c r="H67" s="2">
        <v>51.18</v>
      </c>
      <c r="I67" s="1">
        <v>1</v>
      </c>
      <c r="K67" s="17">
        <f t="shared" si="6"/>
        <v>9.14</v>
      </c>
      <c r="L67" s="2">
        <f t="shared" si="7"/>
        <v>43.872000000000007</v>
      </c>
      <c r="M67" s="2">
        <f t="shared" si="8"/>
        <v>39.141720960000008</v>
      </c>
    </row>
    <row r="68" spans="1:25" x14ac:dyDescent="0.2">
      <c r="A68" s="5">
        <v>40714</v>
      </c>
      <c r="B68" s="5">
        <v>40710</v>
      </c>
      <c r="C68" s="3" t="s">
        <v>1</v>
      </c>
      <c r="D68" s="3">
        <v>57</v>
      </c>
      <c r="E68" s="41" t="s">
        <v>180</v>
      </c>
      <c r="F68" s="41">
        <v>11.18</v>
      </c>
      <c r="G68" s="2">
        <v>72.811199999999999</v>
      </c>
      <c r="H68" s="2">
        <v>61.584200000000003</v>
      </c>
      <c r="I68" s="1">
        <v>1</v>
      </c>
      <c r="K68" s="17">
        <f t="shared" si="6"/>
        <v>11.18</v>
      </c>
      <c r="L68" s="2">
        <f t="shared" si="7"/>
        <v>53.664000000000009</v>
      </c>
      <c r="M68" s="2">
        <f t="shared" si="8"/>
        <v>47.877947520000006</v>
      </c>
    </row>
    <row r="69" spans="1:25" x14ac:dyDescent="0.2">
      <c r="A69" s="5">
        <v>40714</v>
      </c>
      <c r="B69" s="5">
        <v>40710</v>
      </c>
      <c r="C69" s="3" t="s">
        <v>1</v>
      </c>
      <c r="D69" s="3">
        <v>58</v>
      </c>
      <c r="E69" s="41" t="s">
        <v>179</v>
      </c>
      <c r="F69" s="41">
        <v>7.21</v>
      </c>
      <c r="G69" s="2">
        <v>46.691200000000002</v>
      </c>
      <c r="H69" s="2">
        <v>41.368499999999997</v>
      </c>
      <c r="I69" s="1">
        <v>1</v>
      </c>
      <c r="K69" s="17">
        <f t="shared" si="6"/>
        <v>7.21</v>
      </c>
      <c r="L69" s="2">
        <f t="shared" si="7"/>
        <v>34.608000000000004</v>
      </c>
      <c r="M69" s="2">
        <f t="shared" si="8"/>
        <v>30.876565440000004</v>
      </c>
    </row>
    <row r="70" spans="1:25" x14ac:dyDescent="0.2">
      <c r="A70" s="5">
        <v>40714</v>
      </c>
      <c r="B70" s="5">
        <v>40710</v>
      </c>
      <c r="C70" s="3" t="s">
        <v>1</v>
      </c>
      <c r="D70" s="3">
        <v>59</v>
      </c>
      <c r="E70" s="41" t="s">
        <v>178</v>
      </c>
      <c r="F70" s="41">
        <v>2.41</v>
      </c>
      <c r="G70" s="2">
        <v>15.1511</v>
      </c>
      <c r="H70" s="2">
        <v>16.796399999999998</v>
      </c>
      <c r="I70" s="1">
        <v>1</v>
      </c>
      <c r="K70" s="17">
        <f t="shared" si="6"/>
        <v>2.41</v>
      </c>
      <c r="L70" s="2">
        <f t="shared" si="7"/>
        <v>11.568000000000001</v>
      </c>
      <c r="M70" s="2">
        <f t="shared" si="8"/>
        <v>10.320738240000001</v>
      </c>
    </row>
    <row r="71" spans="1:25" x14ac:dyDescent="0.2">
      <c r="A71" s="5">
        <v>40714</v>
      </c>
      <c r="B71" s="5">
        <v>40710</v>
      </c>
      <c r="C71" s="3" t="s">
        <v>1</v>
      </c>
      <c r="D71" s="3">
        <v>60</v>
      </c>
      <c r="E71" s="41" t="s">
        <v>177</v>
      </c>
      <c r="F71" s="41">
        <v>30.78</v>
      </c>
      <c r="G71" s="2">
        <v>111.99299999999999</v>
      </c>
      <c r="H71" s="2">
        <v>91.292699999999996</v>
      </c>
      <c r="I71" s="1">
        <v>1</v>
      </c>
      <c r="K71" s="17">
        <f t="shared" si="6"/>
        <v>30.78</v>
      </c>
      <c r="L71" s="2">
        <f t="shared" si="7"/>
        <v>147.744</v>
      </c>
      <c r="M71" s="2">
        <f t="shared" si="8"/>
        <v>131.81424192</v>
      </c>
    </row>
    <row r="72" spans="1:25" x14ac:dyDescent="0.2">
      <c r="A72" s="5">
        <v>40714</v>
      </c>
      <c r="B72" s="5">
        <v>40710</v>
      </c>
      <c r="C72" s="3" t="s">
        <v>1</v>
      </c>
      <c r="D72" s="3">
        <v>61</v>
      </c>
      <c r="E72" s="41" t="s">
        <v>176</v>
      </c>
      <c r="F72" s="41">
        <v>6.57</v>
      </c>
      <c r="G72" s="2">
        <v>42.449599999999997</v>
      </c>
      <c r="H72" s="2">
        <v>38.183900000000001</v>
      </c>
      <c r="I72" s="1">
        <v>1</v>
      </c>
      <c r="K72" s="17">
        <f t="shared" si="6"/>
        <v>6.57</v>
      </c>
      <c r="L72" s="2">
        <f t="shared" si="7"/>
        <v>31.536000000000005</v>
      </c>
      <c r="M72" s="2">
        <f t="shared" si="8"/>
        <v>28.135788480000002</v>
      </c>
    </row>
    <row r="73" spans="1:25" s="8" customFormat="1" ht="13.5" thickBot="1" x14ac:dyDescent="0.25">
      <c r="A73" s="13">
        <v>40714</v>
      </c>
      <c r="B73" s="13">
        <v>40710</v>
      </c>
      <c r="C73" s="12" t="s">
        <v>1</v>
      </c>
      <c r="D73" s="12">
        <v>62</v>
      </c>
      <c r="E73" s="40" t="s">
        <v>175</v>
      </c>
      <c r="F73" s="40">
        <v>4.58</v>
      </c>
      <c r="G73" s="9">
        <v>29.400099999999998</v>
      </c>
      <c r="H73" s="9">
        <v>27.699200000000001</v>
      </c>
      <c r="I73" s="8">
        <v>1</v>
      </c>
      <c r="K73" s="39">
        <f t="shared" si="6"/>
        <v>4.58</v>
      </c>
      <c r="L73" s="9">
        <f t="shared" si="7"/>
        <v>21.984000000000002</v>
      </c>
      <c r="M73" s="9">
        <f t="shared" si="8"/>
        <v>19.61368512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5">
        <v>40714</v>
      </c>
      <c r="B74" s="5">
        <v>40710</v>
      </c>
      <c r="C74" s="3" t="s">
        <v>1</v>
      </c>
      <c r="D74" s="3">
        <v>63</v>
      </c>
      <c r="E74" s="3" t="s">
        <v>4</v>
      </c>
      <c r="F74" s="3">
        <v>0.1</v>
      </c>
      <c r="G74" s="2">
        <v>-7.6662800000000003E-2</v>
      </c>
      <c r="H74" s="2">
        <v>4.9676299999999998</v>
      </c>
      <c r="I74" s="1">
        <v>1</v>
      </c>
    </row>
    <row r="75" spans="1:25" x14ac:dyDescent="0.2">
      <c r="A75" s="5">
        <v>40714</v>
      </c>
      <c r="B75" s="5">
        <v>40710</v>
      </c>
      <c r="C75" s="3" t="s">
        <v>1</v>
      </c>
      <c r="D75" s="3">
        <v>64</v>
      </c>
      <c r="E75" s="3" t="s">
        <v>3</v>
      </c>
      <c r="F75" s="3">
        <v>0.11</v>
      </c>
      <c r="G75" s="2">
        <v>0</v>
      </c>
      <c r="H75" s="2">
        <v>4.8232600000000003</v>
      </c>
      <c r="I75" s="1">
        <v>1</v>
      </c>
    </row>
    <row r="76" spans="1:25" x14ac:dyDescent="0.2">
      <c r="A76" s="5">
        <v>40714</v>
      </c>
      <c r="B76" s="5">
        <v>40710</v>
      </c>
      <c r="C76" s="3" t="s">
        <v>1</v>
      </c>
      <c r="D76" s="3">
        <v>65</v>
      </c>
      <c r="E76" s="3" t="s">
        <v>2</v>
      </c>
      <c r="F76" s="3">
        <v>10.15</v>
      </c>
      <c r="G76" s="2">
        <v>65.984399999999994</v>
      </c>
      <c r="H76" s="2">
        <v>55.358499999999999</v>
      </c>
      <c r="I76" s="1">
        <v>1</v>
      </c>
    </row>
    <row r="77" spans="1:25" x14ac:dyDescent="0.2">
      <c r="A77" s="5">
        <v>40714</v>
      </c>
      <c r="B77" s="5">
        <v>40710</v>
      </c>
      <c r="C77" s="3" t="s">
        <v>1</v>
      </c>
      <c r="D77" s="3">
        <v>66</v>
      </c>
      <c r="E77" s="3" t="s">
        <v>4</v>
      </c>
      <c r="F77" s="3">
        <v>0.12</v>
      </c>
      <c r="G77" s="2">
        <v>8.4593600000000005E-2</v>
      </c>
      <c r="H77" s="2">
        <v>5.3538699999999997</v>
      </c>
      <c r="I77" s="1">
        <v>1</v>
      </c>
    </row>
    <row r="78" spans="1:25" x14ac:dyDescent="0.2">
      <c r="A78" s="5">
        <v>40714</v>
      </c>
      <c r="B78" s="5">
        <v>40710</v>
      </c>
      <c r="C78" s="3" t="s">
        <v>1</v>
      </c>
      <c r="D78" s="3">
        <v>67</v>
      </c>
      <c r="E78" s="3" t="s">
        <v>174</v>
      </c>
      <c r="F78" s="3">
        <v>13.55</v>
      </c>
      <c r="G78" s="2">
        <v>8.1905000000000001</v>
      </c>
      <c r="H78" s="2">
        <v>11.453900000000001</v>
      </c>
      <c r="I78" s="1">
        <v>10</v>
      </c>
    </row>
    <row r="79" spans="1:25" x14ac:dyDescent="0.2">
      <c r="A79" s="5">
        <v>40714</v>
      </c>
      <c r="B79" s="5">
        <v>40710</v>
      </c>
      <c r="C79" s="3" t="s">
        <v>1</v>
      </c>
      <c r="D79" s="3">
        <v>68</v>
      </c>
      <c r="E79" s="3" t="s">
        <v>173</v>
      </c>
      <c r="F79" s="3">
        <v>21.27</v>
      </c>
      <c r="G79" s="2">
        <v>13.2645</v>
      </c>
      <c r="H79" s="2">
        <v>15.7964</v>
      </c>
      <c r="I79" s="1">
        <v>10</v>
      </c>
    </row>
    <row r="80" spans="1:25" x14ac:dyDescent="0.2">
      <c r="A80" s="5">
        <v>40714</v>
      </c>
      <c r="B80" s="5">
        <v>40710</v>
      </c>
      <c r="C80" s="3" t="s">
        <v>1</v>
      </c>
      <c r="D80" s="3">
        <v>69</v>
      </c>
      <c r="E80" s="3" t="s">
        <v>172</v>
      </c>
      <c r="F80" s="3">
        <v>18.54</v>
      </c>
      <c r="G80" s="2">
        <v>11.468500000000001</v>
      </c>
      <c r="H80" s="2">
        <v>14.5929</v>
      </c>
      <c r="I80" s="1">
        <v>10</v>
      </c>
    </row>
    <row r="81" spans="1:9" x14ac:dyDescent="0.2">
      <c r="A81" s="5">
        <v>40714</v>
      </c>
      <c r="B81" s="5">
        <v>40710</v>
      </c>
      <c r="C81" s="3" t="s">
        <v>1</v>
      </c>
      <c r="D81" s="3">
        <v>70</v>
      </c>
      <c r="E81" s="3" t="s">
        <v>171</v>
      </c>
      <c r="F81" s="3">
        <v>19.45</v>
      </c>
      <c r="G81" s="2">
        <v>12.0684</v>
      </c>
      <c r="H81" s="2">
        <v>15.3306</v>
      </c>
      <c r="I81" s="1">
        <v>10</v>
      </c>
    </row>
    <row r="82" spans="1:9" x14ac:dyDescent="0.2">
      <c r="A82" s="5">
        <v>40714</v>
      </c>
      <c r="B82" s="5">
        <v>40710</v>
      </c>
      <c r="C82" s="3" t="s">
        <v>1</v>
      </c>
      <c r="D82" s="3">
        <v>71</v>
      </c>
      <c r="E82" s="3" t="s">
        <v>170</v>
      </c>
      <c r="F82" s="3">
        <v>19.84</v>
      </c>
      <c r="G82" s="2">
        <v>12.3262</v>
      </c>
      <c r="H82" s="2">
        <v>15.818899999999999</v>
      </c>
      <c r="I82" s="1">
        <v>10</v>
      </c>
    </row>
    <row r="83" spans="1:9" x14ac:dyDescent="0.2">
      <c r="A83" s="5">
        <v>40714</v>
      </c>
      <c r="B83" s="5">
        <v>40710</v>
      </c>
      <c r="C83" s="3" t="s">
        <v>1</v>
      </c>
      <c r="D83" s="3">
        <v>72</v>
      </c>
      <c r="E83" s="3" t="s">
        <v>169</v>
      </c>
      <c r="F83" s="3">
        <v>18.95</v>
      </c>
      <c r="G83" s="2">
        <v>11.7387</v>
      </c>
      <c r="H83" s="2">
        <v>15.573</v>
      </c>
      <c r="I83" s="1">
        <v>10</v>
      </c>
    </row>
    <row r="84" spans="1:9" x14ac:dyDescent="0.2">
      <c r="A84" s="5">
        <v>40714</v>
      </c>
      <c r="B84" s="5">
        <v>40710</v>
      </c>
      <c r="C84" s="3" t="s">
        <v>1</v>
      </c>
      <c r="D84" s="3">
        <v>73</v>
      </c>
      <c r="E84" s="3" t="s">
        <v>168</v>
      </c>
      <c r="F84" s="3">
        <v>15.55</v>
      </c>
      <c r="G84" s="2">
        <v>9.5042500000000008</v>
      </c>
      <c r="H84" s="2">
        <v>13.8028</v>
      </c>
      <c r="I84" s="1">
        <v>10</v>
      </c>
    </row>
    <row r="85" spans="1:9" x14ac:dyDescent="0.2">
      <c r="A85" s="5">
        <v>40714</v>
      </c>
      <c r="B85" s="5">
        <v>40710</v>
      </c>
      <c r="C85" s="3" t="s">
        <v>1</v>
      </c>
      <c r="D85" s="3">
        <v>74</v>
      </c>
      <c r="E85" s="3" t="s">
        <v>167</v>
      </c>
      <c r="F85" s="3">
        <v>15.62</v>
      </c>
      <c r="G85" s="2">
        <v>9.5489300000000004</v>
      </c>
      <c r="H85" s="2">
        <v>14.067</v>
      </c>
      <c r="I85" s="1">
        <v>10</v>
      </c>
    </row>
    <row r="86" spans="1:9" x14ac:dyDescent="0.2">
      <c r="A86" s="5">
        <v>40714</v>
      </c>
      <c r="B86" s="5">
        <v>40710</v>
      </c>
      <c r="C86" s="3" t="s">
        <v>1</v>
      </c>
      <c r="D86" s="3">
        <v>75</v>
      </c>
      <c r="E86" s="3" t="s">
        <v>166</v>
      </c>
      <c r="F86" s="3">
        <v>11.44</v>
      </c>
      <c r="G86" s="2">
        <v>36.898299999999999</v>
      </c>
      <c r="H86" s="2">
        <v>40.599299999999999</v>
      </c>
      <c r="I86" s="1">
        <v>2</v>
      </c>
    </row>
    <row r="87" spans="1:9" x14ac:dyDescent="0.2">
      <c r="A87" s="5">
        <v>40714</v>
      </c>
      <c r="B87" s="5">
        <v>40710</v>
      </c>
      <c r="C87" s="3" t="s">
        <v>1</v>
      </c>
      <c r="D87" s="3">
        <v>76</v>
      </c>
      <c r="E87" s="3" t="s">
        <v>165</v>
      </c>
      <c r="F87" s="3">
        <v>15.62</v>
      </c>
      <c r="G87" s="2">
        <v>50.633499999999998</v>
      </c>
      <c r="H87" s="2">
        <v>55.301099999999998</v>
      </c>
      <c r="I87" s="1">
        <v>2</v>
      </c>
    </row>
    <row r="88" spans="1:9" x14ac:dyDescent="0.2">
      <c r="A88" s="5">
        <v>40714</v>
      </c>
      <c r="B88" s="5">
        <v>40710</v>
      </c>
      <c r="C88" s="3" t="s">
        <v>1</v>
      </c>
      <c r="D88" s="3">
        <v>77</v>
      </c>
      <c r="E88" s="3" t="s">
        <v>164</v>
      </c>
      <c r="F88" s="3">
        <v>14.12</v>
      </c>
      <c r="G88" s="2">
        <v>45.710599999999999</v>
      </c>
      <c r="H88" s="2">
        <v>51.795299999999997</v>
      </c>
      <c r="I88" s="1">
        <v>2</v>
      </c>
    </row>
    <row r="89" spans="1:9" x14ac:dyDescent="0.2">
      <c r="A89" s="5">
        <v>40714</v>
      </c>
      <c r="B89" s="5">
        <v>40710</v>
      </c>
      <c r="C89" s="3" t="s">
        <v>1</v>
      </c>
      <c r="D89" s="3">
        <v>78</v>
      </c>
      <c r="E89" s="3" t="s">
        <v>4</v>
      </c>
      <c r="F89" s="3">
        <v>0.1</v>
      </c>
      <c r="G89" s="2">
        <v>-5.9631299999999998E-2</v>
      </c>
      <c r="H89" s="2">
        <v>5.4266699999999997</v>
      </c>
      <c r="I89" s="1">
        <v>1</v>
      </c>
    </row>
    <row r="90" spans="1:9" x14ac:dyDescent="0.2">
      <c r="A90" s="5">
        <v>40714</v>
      </c>
      <c r="B90" s="5">
        <v>40710</v>
      </c>
      <c r="C90" s="3" t="s">
        <v>1</v>
      </c>
      <c r="D90" s="3">
        <v>79</v>
      </c>
      <c r="E90" s="3" t="s">
        <v>3</v>
      </c>
      <c r="F90" s="3">
        <v>0.11</v>
      </c>
      <c r="G90" s="2">
        <v>0</v>
      </c>
      <c r="H90" s="2">
        <v>5.1087400000000001</v>
      </c>
      <c r="I90" s="1">
        <v>1</v>
      </c>
    </row>
    <row r="91" spans="1:9" x14ac:dyDescent="0.2">
      <c r="A91" s="5">
        <v>40714</v>
      </c>
      <c r="B91" s="5">
        <v>40710</v>
      </c>
      <c r="C91" s="3" t="s">
        <v>1</v>
      </c>
      <c r="D91" s="3">
        <v>80</v>
      </c>
      <c r="E91" s="3" t="s">
        <v>2</v>
      </c>
      <c r="F91" s="3">
        <v>10.15</v>
      </c>
      <c r="G91" s="2">
        <v>65.984399999999994</v>
      </c>
      <c r="H91" s="2">
        <v>77.906899999999993</v>
      </c>
      <c r="I91" s="1">
        <v>1</v>
      </c>
    </row>
    <row r="92" spans="1:9" x14ac:dyDescent="0.2">
      <c r="A92" s="5">
        <v>40714</v>
      </c>
      <c r="B92" s="5">
        <v>40710</v>
      </c>
      <c r="C92" s="3" t="s">
        <v>1</v>
      </c>
      <c r="D92" s="3">
        <v>81</v>
      </c>
      <c r="E92" s="3" t="s">
        <v>4</v>
      </c>
      <c r="F92" s="3">
        <v>1.24</v>
      </c>
      <c r="G92" s="2">
        <v>7.4497400000000003</v>
      </c>
      <c r="H92" s="2">
        <v>13.9688</v>
      </c>
      <c r="I92" s="1">
        <v>1</v>
      </c>
    </row>
    <row r="93" spans="1:9" x14ac:dyDescent="0.2">
      <c r="A93" s="5">
        <v>40714</v>
      </c>
      <c r="B93" s="5">
        <v>40710</v>
      </c>
      <c r="C93" s="3" t="s">
        <v>1</v>
      </c>
      <c r="D93" s="3">
        <v>82</v>
      </c>
      <c r="E93" s="3" t="s">
        <v>163</v>
      </c>
      <c r="F93" s="3">
        <v>17.920000000000002</v>
      </c>
      <c r="G93" s="2">
        <v>11.0602</v>
      </c>
      <c r="H93" s="2">
        <v>17.448599999999999</v>
      </c>
      <c r="I93" s="1">
        <v>10</v>
      </c>
    </row>
    <row r="94" spans="1:9" x14ac:dyDescent="0.2">
      <c r="A94" s="5">
        <v>40714</v>
      </c>
      <c r="B94" s="5">
        <v>40710</v>
      </c>
      <c r="C94" s="3" t="s">
        <v>1</v>
      </c>
      <c r="D94" s="3">
        <v>83</v>
      </c>
      <c r="E94" s="3" t="s">
        <v>162</v>
      </c>
      <c r="F94" s="3">
        <v>21.94</v>
      </c>
      <c r="G94" s="2">
        <v>13.7049</v>
      </c>
      <c r="H94" s="2">
        <v>20.371300000000002</v>
      </c>
      <c r="I94" s="1">
        <v>10</v>
      </c>
    </row>
    <row r="95" spans="1:9" x14ac:dyDescent="0.2">
      <c r="A95" s="5">
        <v>40714</v>
      </c>
      <c r="B95" s="5">
        <v>40710</v>
      </c>
      <c r="C95" s="3" t="s">
        <v>1</v>
      </c>
      <c r="D95" s="3">
        <v>84</v>
      </c>
      <c r="E95" s="3" t="s">
        <v>161</v>
      </c>
      <c r="F95" s="3">
        <v>15.19</v>
      </c>
      <c r="G95" s="2">
        <v>49.198599999999999</v>
      </c>
      <c r="H95" s="2">
        <v>59.101799999999997</v>
      </c>
      <c r="I95" s="1">
        <v>2</v>
      </c>
    </row>
    <row r="96" spans="1:9" x14ac:dyDescent="0.2">
      <c r="A96" s="5">
        <v>40714</v>
      </c>
      <c r="B96" s="5">
        <v>40710</v>
      </c>
      <c r="C96" s="3" t="s">
        <v>1</v>
      </c>
      <c r="D96" s="3">
        <v>85</v>
      </c>
      <c r="E96" s="3" t="s">
        <v>160</v>
      </c>
      <c r="F96" s="3">
        <v>33.729999999999997</v>
      </c>
      <c r="G96" s="2">
        <v>21.4559</v>
      </c>
      <c r="H96" s="2">
        <v>29.117000000000001</v>
      </c>
      <c r="I96" s="1">
        <v>10</v>
      </c>
    </row>
    <row r="97" spans="1:9" x14ac:dyDescent="0.2">
      <c r="A97" s="5">
        <v>40714</v>
      </c>
      <c r="B97" s="5">
        <v>40710</v>
      </c>
      <c r="C97" s="3" t="s">
        <v>1</v>
      </c>
      <c r="D97" s="3">
        <v>86</v>
      </c>
      <c r="E97" s="3" t="s">
        <v>159</v>
      </c>
      <c r="F97" s="3">
        <v>18.059999999999999</v>
      </c>
      <c r="G97" s="2">
        <v>11.154299999999999</v>
      </c>
      <c r="H97" s="2">
        <v>17.683599999999998</v>
      </c>
      <c r="I97" s="1">
        <v>10</v>
      </c>
    </row>
    <row r="98" spans="1:9" x14ac:dyDescent="0.2">
      <c r="A98" s="5">
        <v>40714</v>
      </c>
      <c r="B98" s="5">
        <v>40710</v>
      </c>
      <c r="C98" s="3" t="s">
        <v>1</v>
      </c>
      <c r="D98" s="3">
        <v>87</v>
      </c>
      <c r="E98" s="3" t="s">
        <v>158</v>
      </c>
      <c r="F98" s="3">
        <v>30.43</v>
      </c>
      <c r="G98" s="2">
        <v>19.2882</v>
      </c>
      <c r="H98" s="2">
        <v>26.4023</v>
      </c>
      <c r="I98" s="1">
        <v>10</v>
      </c>
    </row>
    <row r="99" spans="1:9" x14ac:dyDescent="0.2">
      <c r="A99" s="5">
        <v>40714</v>
      </c>
      <c r="B99" s="5">
        <v>40710</v>
      </c>
      <c r="C99" s="3" t="s">
        <v>1</v>
      </c>
      <c r="D99" s="3">
        <v>88</v>
      </c>
      <c r="E99" s="3" t="s">
        <v>157</v>
      </c>
      <c r="F99" s="3">
        <v>39.85</v>
      </c>
      <c r="G99" s="2">
        <v>25.48</v>
      </c>
      <c r="H99" s="2">
        <v>33.134799999999998</v>
      </c>
      <c r="I99" s="1">
        <v>10</v>
      </c>
    </row>
    <row r="100" spans="1:9" x14ac:dyDescent="0.2">
      <c r="A100" s="5">
        <v>40714</v>
      </c>
      <c r="B100" s="5">
        <v>40710</v>
      </c>
      <c r="C100" s="3" t="s">
        <v>1</v>
      </c>
      <c r="D100" s="3">
        <v>89</v>
      </c>
      <c r="E100" s="3" t="s">
        <v>156</v>
      </c>
      <c r="F100" s="3">
        <v>14.24</v>
      </c>
      <c r="G100" s="2">
        <v>46.084200000000003</v>
      </c>
      <c r="H100" s="2">
        <v>55.335299999999997</v>
      </c>
      <c r="I100" s="1">
        <v>2</v>
      </c>
    </row>
    <row r="101" spans="1:9" x14ac:dyDescent="0.2">
      <c r="A101" s="5">
        <v>40714</v>
      </c>
      <c r="B101" s="5">
        <v>40710</v>
      </c>
      <c r="C101" s="3" t="s">
        <v>1</v>
      </c>
      <c r="D101" s="3">
        <v>90</v>
      </c>
      <c r="E101" s="3" t="s">
        <v>155</v>
      </c>
      <c r="F101" s="3">
        <v>15.47</v>
      </c>
      <c r="G101" s="2">
        <v>50.130499999999998</v>
      </c>
      <c r="H101" s="2">
        <v>59.76</v>
      </c>
      <c r="I101" s="1">
        <v>2</v>
      </c>
    </row>
    <row r="102" spans="1:9" x14ac:dyDescent="0.2">
      <c r="A102" s="5">
        <v>40714</v>
      </c>
      <c r="B102" s="5">
        <v>40710</v>
      </c>
      <c r="C102" s="3" t="s">
        <v>1</v>
      </c>
      <c r="D102" s="3">
        <v>91</v>
      </c>
      <c r="E102" s="3" t="s">
        <v>154</v>
      </c>
      <c r="F102" s="3">
        <v>30.78</v>
      </c>
      <c r="G102" s="2">
        <v>19.5184</v>
      </c>
      <c r="H102" s="2">
        <v>26.901499999999999</v>
      </c>
      <c r="I102" s="1">
        <v>10</v>
      </c>
    </row>
    <row r="103" spans="1:9" x14ac:dyDescent="0.2">
      <c r="A103" s="5">
        <v>40714</v>
      </c>
      <c r="B103" s="5">
        <v>40710</v>
      </c>
      <c r="C103" s="3" t="s">
        <v>1</v>
      </c>
      <c r="D103" s="3">
        <v>92</v>
      </c>
      <c r="E103" s="3" t="s">
        <v>4</v>
      </c>
      <c r="F103" s="3">
        <v>0.59</v>
      </c>
      <c r="G103" s="2">
        <v>3.1323799999999999</v>
      </c>
      <c r="H103" s="2">
        <v>9.1230200000000004</v>
      </c>
      <c r="I103" s="1">
        <v>1</v>
      </c>
    </row>
    <row r="104" spans="1:9" x14ac:dyDescent="0.2">
      <c r="A104" s="5">
        <v>40714</v>
      </c>
      <c r="B104" s="5">
        <v>40710</v>
      </c>
      <c r="C104" s="3" t="s">
        <v>1</v>
      </c>
      <c r="D104" s="3">
        <v>93</v>
      </c>
      <c r="E104" s="3" t="s">
        <v>3</v>
      </c>
      <c r="F104" s="3">
        <v>0.11</v>
      </c>
      <c r="G104" s="2">
        <v>0</v>
      </c>
      <c r="H104" s="2">
        <v>5.6044299999999998</v>
      </c>
      <c r="I104" s="1">
        <v>1</v>
      </c>
    </row>
    <row r="105" spans="1:9" x14ac:dyDescent="0.2">
      <c r="A105" s="5">
        <v>40714</v>
      </c>
      <c r="B105" s="5">
        <v>40710</v>
      </c>
      <c r="C105" s="3" t="s">
        <v>1</v>
      </c>
      <c r="D105" s="3">
        <v>94</v>
      </c>
      <c r="E105" s="3" t="s">
        <v>2</v>
      </c>
      <c r="F105" s="3">
        <v>10.15</v>
      </c>
      <c r="G105" s="2">
        <v>65.984399999999994</v>
      </c>
      <c r="H105" s="2">
        <v>77.852699999999999</v>
      </c>
      <c r="I105" s="1">
        <v>1</v>
      </c>
    </row>
    <row r="106" spans="1:9" x14ac:dyDescent="0.2">
      <c r="A106" s="5">
        <v>40714</v>
      </c>
      <c r="B106" s="5">
        <v>40710</v>
      </c>
      <c r="C106" s="3" t="s">
        <v>1</v>
      </c>
      <c r="D106" s="3">
        <v>0</v>
      </c>
      <c r="E106" s="3" t="s">
        <v>0</v>
      </c>
      <c r="F106" s="3">
        <v>0.11</v>
      </c>
      <c r="G106" s="2">
        <v>0</v>
      </c>
      <c r="H106" s="2">
        <v>9.7293000000000003</v>
      </c>
      <c r="I106" s="1">
        <v>1</v>
      </c>
    </row>
    <row r="109" spans="1:9" x14ac:dyDescent="0.2">
      <c r="F109" s="3">
        <f>AVERAGE(F27,F30,F33,F36,F43,F46,F49,F52,F55,F62,F65,F68,F71)</f>
        <v>21.896923076923073</v>
      </c>
    </row>
    <row r="110" spans="1:9" x14ac:dyDescent="0.2">
      <c r="F110" s="3">
        <f>AVERAGE(F28,F31,F34,F37,F44,F47,F50,F53,F56,F63,F66,F69,F72)</f>
        <v>11.853846153846153</v>
      </c>
    </row>
    <row r="111" spans="1:9" x14ac:dyDescent="0.2">
      <c r="F111" s="3">
        <f>AVERAGE(F29,F32,F35,F38,F45,F48,F51,F54,F57,F64,F67,F70,F73)</f>
        <v>8.9269230769230763</v>
      </c>
    </row>
  </sheetData>
  <printOptions gridLines="1"/>
  <pageMargins left="0.75" right="0.75" top="1" bottom="1" header="0.5" footer="0.5"/>
  <pageSetup scale="53" fitToHeight="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A11C-BBDB-408D-9D1E-7FB5FA56F8DE}">
  <sheetPr>
    <pageSetUpPr fitToPage="1"/>
  </sheetPr>
  <dimension ref="A1:AM94"/>
  <sheetViews>
    <sheetView workbookViewId="0"/>
  </sheetViews>
  <sheetFormatPr defaultRowHeight="12.75" x14ac:dyDescent="0.2"/>
  <cols>
    <col min="1" max="3" width="13.7109375" style="3" customWidth="1"/>
    <col min="4" max="4" width="15.85546875" style="3" bestFit="1" customWidth="1"/>
    <col min="5" max="5" width="13.7109375" style="3" customWidth="1"/>
    <col min="6" max="6" width="14.7109375" style="3" customWidth="1"/>
    <col min="7" max="7" width="13.7109375" style="2" customWidth="1"/>
    <col min="8" max="8" width="12" style="2" bestFit="1" customWidth="1"/>
    <col min="9" max="9" width="9.140625" style="1"/>
    <col min="10" max="10" width="10.7109375" style="1" bestFit="1" customWidth="1"/>
    <col min="11" max="11" width="9.7109375" style="17" bestFit="1" customWidth="1"/>
    <col min="12" max="12" width="16.140625" style="2" bestFit="1" customWidth="1"/>
    <col min="13" max="13" width="14.140625" style="2" bestFit="1" customWidth="1"/>
    <col min="14" max="16384" width="9.140625" style="1"/>
  </cols>
  <sheetData>
    <row r="1" spans="1:17" s="20" customFormat="1" ht="15.75" x14ac:dyDescent="0.25">
      <c r="A1" s="38"/>
      <c r="B1" s="23"/>
      <c r="C1" s="23"/>
      <c r="D1" s="60" t="s">
        <v>89</v>
      </c>
      <c r="E1" s="33" t="s">
        <v>265</v>
      </c>
      <c r="F1" s="33"/>
      <c r="G1" s="21"/>
      <c r="H1" s="21"/>
      <c r="K1" s="22"/>
      <c r="L1" s="21"/>
      <c r="M1" s="21"/>
    </row>
    <row r="2" spans="1:17" s="20" customFormat="1" ht="15.75" x14ac:dyDescent="0.25">
      <c r="A2" s="23" t="s">
        <v>87</v>
      </c>
      <c r="B2" s="23"/>
      <c r="C2" s="23"/>
      <c r="D2" s="34"/>
      <c r="E2" s="33" t="s">
        <v>86</v>
      </c>
      <c r="F2" s="33"/>
      <c r="G2" s="21"/>
      <c r="H2" s="21"/>
      <c r="K2" s="22"/>
      <c r="L2" s="21"/>
      <c r="M2" s="21"/>
    </row>
    <row r="3" spans="1:17" s="20" customFormat="1" ht="15.75" x14ac:dyDescent="0.25">
      <c r="A3" s="23" t="s">
        <v>85</v>
      </c>
      <c r="B3" s="23"/>
      <c r="C3" s="23"/>
      <c r="D3" s="23"/>
      <c r="E3" s="33" t="s">
        <v>84</v>
      </c>
      <c r="F3" s="33"/>
      <c r="G3" s="21"/>
      <c r="H3" s="21"/>
      <c r="K3" s="22"/>
      <c r="L3" s="21"/>
      <c r="M3" s="21"/>
    </row>
    <row r="4" spans="1:17" s="20" customFormat="1" x14ac:dyDescent="0.2">
      <c r="A4" s="29"/>
      <c r="B4" s="23"/>
      <c r="C4" s="23"/>
      <c r="D4" s="31" t="s">
        <v>264</v>
      </c>
      <c r="E4" s="23"/>
      <c r="F4" s="23"/>
      <c r="G4" s="21"/>
      <c r="H4" s="21"/>
      <c r="K4" s="22"/>
      <c r="L4" s="21"/>
      <c r="M4" s="21"/>
    </row>
    <row r="5" spans="1:17" s="20" customFormat="1" x14ac:dyDescent="0.2">
      <c r="A5" s="29"/>
      <c r="B5" s="23"/>
      <c r="C5" s="49"/>
      <c r="D5" s="49"/>
      <c r="E5" s="23"/>
      <c r="F5" s="30" t="s">
        <v>81</v>
      </c>
      <c r="G5" s="21"/>
      <c r="H5" s="21"/>
      <c r="K5" s="22"/>
      <c r="L5" s="21"/>
      <c r="M5" s="21"/>
    </row>
    <row r="6" spans="1:17" s="20" customFormat="1" x14ac:dyDescent="0.2">
      <c r="A6" s="29"/>
      <c r="B6" s="23"/>
      <c r="C6" s="23"/>
      <c r="D6" s="23"/>
      <c r="E6" s="23"/>
      <c r="F6" s="27" t="s">
        <v>80</v>
      </c>
      <c r="G6" s="21"/>
      <c r="H6" s="21"/>
      <c r="K6" s="22"/>
      <c r="L6" s="21"/>
      <c r="M6" s="21"/>
    </row>
    <row r="7" spans="1:17" s="20" customFormat="1" x14ac:dyDescent="0.2">
      <c r="A7" s="23"/>
      <c r="B7" s="23"/>
      <c r="C7" s="23"/>
      <c r="D7" s="23"/>
      <c r="E7" s="23"/>
      <c r="F7" s="27" t="s">
        <v>79</v>
      </c>
      <c r="G7" s="21"/>
      <c r="H7" s="21"/>
      <c r="K7" s="22" t="s">
        <v>263</v>
      </c>
      <c r="L7" s="21"/>
      <c r="M7" s="21"/>
    </row>
    <row r="8" spans="1:17" s="20" customFormat="1" x14ac:dyDescent="0.2">
      <c r="A8" s="22" t="s">
        <v>77</v>
      </c>
      <c r="B8" s="23"/>
      <c r="C8" s="23"/>
      <c r="D8" s="23"/>
      <c r="E8" s="23"/>
      <c r="F8" s="27" t="s">
        <v>76</v>
      </c>
      <c r="G8" s="21" t="s">
        <v>75</v>
      </c>
      <c r="H8" s="21" t="s">
        <v>74</v>
      </c>
      <c r="K8" s="21" t="s">
        <v>262</v>
      </c>
      <c r="L8" s="28" t="s">
        <v>78</v>
      </c>
      <c r="M8" s="21"/>
    </row>
    <row r="9" spans="1:17" s="20" customFormat="1" x14ac:dyDescent="0.2">
      <c r="A9" s="22" t="s">
        <v>70</v>
      </c>
      <c r="B9" s="22" t="s">
        <v>69</v>
      </c>
      <c r="C9" s="23" t="s">
        <v>68</v>
      </c>
      <c r="D9" s="23" t="s">
        <v>67</v>
      </c>
      <c r="E9" s="54" t="s">
        <v>66</v>
      </c>
      <c r="F9" s="54" t="s">
        <v>65</v>
      </c>
      <c r="G9" s="21" t="s">
        <v>64</v>
      </c>
      <c r="H9" s="21" t="s">
        <v>64</v>
      </c>
      <c r="I9" s="22" t="s">
        <v>63</v>
      </c>
      <c r="J9" s="22"/>
      <c r="K9" s="26" t="s">
        <v>261</v>
      </c>
      <c r="L9" s="25" t="s">
        <v>72</v>
      </c>
      <c r="M9" s="24" t="s">
        <v>71</v>
      </c>
    </row>
    <row r="11" spans="1:17" x14ac:dyDescent="0.2">
      <c r="A11" s="5">
        <v>40718</v>
      </c>
      <c r="B11" s="5">
        <v>40718</v>
      </c>
      <c r="C11" s="3" t="s">
        <v>1</v>
      </c>
      <c r="D11" s="3">
        <v>0</v>
      </c>
      <c r="E11" s="3" t="s">
        <v>62</v>
      </c>
      <c r="F11" s="3">
        <v>3.97</v>
      </c>
      <c r="G11" s="2">
        <v>0</v>
      </c>
      <c r="H11" s="2">
        <v>3.9738099999999998</v>
      </c>
      <c r="I11" s="1">
        <v>1</v>
      </c>
    </row>
    <row r="12" spans="1:17" x14ac:dyDescent="0.2">
      <c r="A12" s="5">
        <v>40718</v>
      </c>
      <c r="B12" s="5">
        <v>40718</v>
      </c>
      <c r="C12" s="3" t="s">
        <v>1</v>
      </c>
      <c r="D12" s="3">
        <v>1</v>
      </c>
      <c r="E12" s="3" t="s">
        <v>61</v>
      </c>
      <c r="F12" s="3">
        <v>54.04</v>
      </c>
      <c r="G12" s="2">
        <v>50.037599999999998</v>
      </c>
      <c r="H12" s="2">
        <v>54.041899999999998</v>
      </c>
      <c r="I12" s="1">
        <v>1</v>
      </c>
    </row>
    <row r="13" spans="1:17" x14ac:dyDescent="0.2">
      <c r="A13" s="5">
        <v>40718</v>
      </c>
      <c r="B13" s="5">
        <v>40718</v>
      </c>
      <c r="C13" s="3" t="s">
        <v>1</v>
      </c>
      <c r="D13" s="3">
        <v>2</v>
      </c>
      <c r="E13" s="3" t="s">
        <v>60</v>
      </c>
      <c r="F13" s="3">
        <v>4.5599999999999996</v>
      </c>
      <c r="G13" s="2">
        <v>0.52089600000000003</v>
      </c>
      <c r="H13" s="2">
        <v>4.55572</v>
      </c>
      <c r="I13" s="1">
        <v>1</v>
      </c>
      <c r="P13" s="17" t="s">
        <v>59</v>
      </c>
    </row>
    <row r="14" spans="1:17" x14ac:dyDescent="0.2">
      <c r="A14" s="5">
        <v>40718</v>
      </c>
      <c r="B14" s="5">
        <v>40718</v>
      </c>
      <c r="C14" s="3" t="s">
        <v>1</v>
      </c>
      <c r="D14" s="3">
        <v>3</v>
      </c>
      <c r="E14" s="3" t="s">
        <v>3</v>
      </c>
      <c r="F14" s="3">
        <v>4.07</v>
      </c>
      <c r="G14" s="2">
        <v>0</v>
      </c>
      <c r="H14" s="2">
        <v>4.0653300000000003</v>
      </c>
      <c r="I14" s="1">
        <v>1</v>
      </c>
      <c r="P14" s="19" t="s">
        <v>58</v>
      </c>
      <c r="Q14" s="19" t="s">
        <v>57</v>
      </c>
    </row>
    <row r="15" spans="1:17" x14ac:dyDescent="0.2">
      <c r="A15" s="5">
        <v>40718</v>
      </c>
      <c r="B15" s="5">
        <v>40718</v>
      </c>
      <c r="C15" s="3" t="s">
        <v>1</v>
      </c>
      <c r="D15" s="3">
        <v>4</v>
      </c>
      <c r="E15" s="16" t="s">
        <v>56</v>
      </c>
      <c r="F15" s="16">
        <v>-0.11</v>
      </c>
      <c r="G15" s="2">
        <v>-3.5343600000000003E-2</v>
      </c>
      <c r="H15" s="2">
        <v>4.0769900000000003</v>
      </c>
      <c r="I15" s="1">
        <v>1</v>
      </c>
      <c r="P15" s="17">
        <v>0</v>
      </c>
      <c r="Q15" s="3">
        <v>-0.11</v>
      </c>
    </row>
    <row r="16" spans="1:17" x14ac:dyDescent="0.2">
      <c r="A16" s="5">
        <v>40718</v>
      </c>
      <c r="B16" s="5">
        <v>40718</v>
      </c>
      <c r="C16" s="3" t="s">
        <v>1</v>
      </c>
      <c r="D16" s="3">
        <v>5</v>
      </c>
      <c r="E16" s="16" t="s">
        <v>55</v>
      </c>
      <c r="F16" s="16">
        <v>0.52</v>
      </c>
      <c r="G16" s="2">
        <v>3.5069400000000002</v>
      </c>
      <c r="H16" s="2">
        <v>7.6265599999999996</v>
      </c>
      <c r="I16" s="1">
        <v>1</v>
      </c>
      <c r="P16" s="17">
        <v>0.5</v>
      </c>
      <c r="Q16" s="3">
        <v>0.52</v>
      </c>
    </row>
    <row r="17" spans="1:17" x14ac:dyDescent="0.2">
      <c r="A17" s="5">
        <v>40718</v>
      </c>
      <c r="B17" s="5">
        <v>40718</v>
      </c>
      <c r="C17" s="3" t="s">
        <v>1</v>
      </c>
      <c r="D17" s="3">
        <v>6</v>
      </c>
      <c r="E17" s="16" t="s">
        <v>54</v>
      </c>
      <c r="F17" s="16">
        <v>0.91</v>
      </c>
      <c r="G17" s="2">
        <v>5.6646799999999997</v>
      </c>
      <c r="H17" s="2">
        <v>9.8262499999999999</v>
      </c>
      <c r="I17" s="1">
        <v>1</v>
      </c>
      <c r="P17" s="17">
        <v>1</v>
      </c>
      <c r="Q17" s="3">
        <v>0.91</v>
      </c>
    </row>
    <row r="18" spans="1:17" x14ac:dyDescent="0.2">
      <c r="A18" s="5">
        <v>40718</v>
      </c>
      <c r="B18" s="5">
        <v>40718</v>
      </c>
      <c r="C18" s="3" t="s">
        <v>1</v>
      </c>
      <c r="D18" s="3">
        <v>7</v>
      </c>
      <c r="E18" s="16" t="s">
        <v>53</v>
      </c>
      <c r="F18" s="16">
        <v>2.42</v>
      </c>
      <c r="G18" s="2">
        <v>14.088100000000001</v>
      </c>
      <c r="H18" s="2">
        <v>18.278400000000001</v>
      </c>
      <c r="I18" s="1">
        <v>1</v>
      </c>
      <c r="P18" s="17">
        <v>2</v>
      </c>
      <c r="Q18" s="3">
        <v>2.42</v>
      </c>
    </row>
    <row r="19" spans="1:17" x14ac:dyDescent="0.2">
      <c r="A19" s="5">
        <v>40718</v>
      </c>
      <c r="B19" s="5">
        <v>40718</v>
      </c>
      <c r="C19" s="3" t="s">
        <v>1</v>
      </c>
      <c r="D19" s="3">
        <v>8</v>
      </c>
      <c r="E19" s="16" t="s">
        <v>151</v>
      </c>
      <c r="F19" s="16">
        <v>4.78</v>
      </c>
      <c r="G19" s="2">
        <v>27.2502</v>
      </c>
      <c r="H19" s="2">
        <v>31.5305</v>
      </c>
      <c r="I19" s="1">
        <v>1</v>
      </c>
      <c r="P19" s="17">
        <v>5</v>
      </c>
      <c r="Q19" s="3">
        <v>4.78</v>
      </c>
    </row>
    <row r="20" spans="1:17" x14ac:dyDescent="0.2">
      <c r="A20" s="5">
        <v>40718</v>
      </c>
      <c r="B20" s="5">
        <v>40718</v>
      </c>
      <c r="C20" s="3" t="s">
        <v>1</v>
      </c>
      <c r="D20" s="3">
        <v>9</v>
      </c>
      <c r="E20" s="16" t="s">
        <v>51</v>
      </c>
      <c r="F20" s="16">
        <v>7.83</v>
      </c>
      <c r="G20" s="2">
        <v>44.1982</v>
      </c>
      <c r="H20" s="2">
        <v>48.615400000000001</v>
      </c>
      <c r="I20" s="1">
        <v>1</v>
      </c>
      <c r="P20" s="17">
        <v>8</v>
      </c>
      <c r="Q20" s="3">
        <v>7.83</v>
      </c>
    </row>
    <row r="21" spans="1:17" x14ac:dyDescent="0.2">
      <c r="A21" s="5">
        <v>40718</v>
      </c>
      <c r="B21" s="5">
        <v>40718</v>
      </c>
      <c r="C21" s="3" t="s">
        <v>1</v>
      </c>
      <c r="D21" s="3">
        <v>10</v>
      </c>
      <c r="E21" s="16" t="s">
        <v>50</v>
      </c>
      <c r="F21" s="16">
        <v>10.14</v>
      </c>
      <c r="G21" s="2">
        <v>57.107500000000002</v>
      </c>
      <c r="H21" s="2">
        <v>61.699199999999998</v>
      </c>
      <c r="I21" s="1">
        <v>1</v>
      </c>
      <c r="P21" s="17">
        <v>10</v>
      </c>
      <c r="Q21" s="3">
        <v>10.14</v>
      </c>
    </row>
    <row r="22" spans="1:17" x14ac:dyDescent="0.2">
      <c r="A22" s="5">
        <v>40718</v>
      </c>
      <c r="B22" s="5">
        <v>40718</v>
      </c>
      <c r="C22" s="3" t="s">
        <v>1</v>
      </c>
      <c r="D22" s="3">
        <v>11</v>
      </c>
      <c r="E22" s="3" t="s">
        <v>4</v>
      </c>
      <c r="F22" s="3">
        <v>-0.11</v>
      </c>
      <c r="G22" s="2">
        <v>-5.2231800000000002E-2</v>
      </c>
      <c r="H22" s="2">
        <v>4.6716699999999998</v>
      </c>
      <c r="I22" s="1">
        <v>1</v>
      </c>
    </row>
    <row r="23" spans="1:17" x14ac:dyDescent="0.2">
      <c r="A23" s="5">
        <v>40718</v>
      </c>
      <c r="B23" s="5">
        <v>40718</v>
      </c>
      <c r="C23" s="3" t="s">
        <v>1</v>
      </c>
      <c r="D23" s="3">
        <v>12</v>
      </c>
      <c r="E23" s="3" t="s">
        <v>3</v>
      </c>
      <c r="F23" s="3">
        <v>-0.1</v>
      </c>
      <c r="G23" s="2">
        <v>0</v>
      </c>
      <c r="H23" s="2">
        <v>4.12995</v>
      </c>
      <c r="I23" s="1">
        <v>1</v>
      </c>
    </row>
    <row r="24" spans="1:17" x14ac:dyDescent="0.2">
      <c r="A24" s="5">
        <v>40718</v>
      </c>
      <c r="B24" s="5">
        <v>40718</v>
      </c>
      <c r="C24" s="3" t="s">
        <v>1</v>
      </c>
      <c r="D24" s="3">
        <v>13</v>
      </c>
      <c r="E24" s="3" t="s">
        <v>2</v>
      </c>
      <c r="F24" s="3">
        <v>10.14</v>
      </c>
      <c r="G24" s="2">
        <v>57.107500000000002</v>
      </c>
      <c r="H24" s="2">
        <v>73.168499999999995</v>
      </c>
      <c r="I24" s="1">
        <v>1</v>
      </c>
    </row>
    <row r="25" spans="1:17" x14ac:dyDescent="0.2">
      <c r="A25" s="5">
        <v>40718</v>
      </c>
      <c r="B25" s="5">
        <v>40718</v>
      </c>
      <c r="C25" s="3" t="s">
        <v>1</v>
      </c>
      <c r="D25" s="3">
        <v>14</v>
      </c>
      <c r="E25" s="3" t="s">
        <v>4</v>
      </c>
      <c r="F25" s="3">
        <v>-0.13</v>
      </c>
      <c r="G25" s="2">
        <v>-0.13492000000000001</v>
      </c>
      <c r="H25" s="2">
        <v>4.6904399999999997</v>
      </c>
      <c r="I25" s="1">
        <v>1</v>
      </c>
    </row>
    <row r="26" spans="1:17" x14ac:dyDescent="0.2">
      <c r="A26" s="5">
        <v>40718</v>
      </c>
      <c r="B26" s="5">
        <v>40718</v>
      </c>
      <c r="C26" s="3" t="s">
        <v>1</v>
      </c>
      <c r="D26" s="3">
        <v>15</v>
      </c>
      <c r="E26" s="3" t="s">
        <v>260</v>
      </c>
      <c r="F26" s="3">
        <v>14.06</v>
      </c>
      <c r="G26" s="2">
        <v>70.390600000000006</v>
      </c>
      <c r="H26" s="2">
        <v>84.865799999999993</v>
      </c>
      <c r="I26" s="1">
        <v>1</v>
      </c>
      <c r="K26" s="17">
        <f t="shared" ref="K26:K34" si="0">F26*(20/20)</f>
        <v>14.06</v>
      </c>
      <c r="L26" s="2">
        <f t="shared" ref="L26:L34" si="1">F26*(20/20)*1.6*30*(1/1000000000)*(10000)*(10000)</f>
        <v>67.488000000000014</v>
      </c>
      <c r="M26" s="2">
        <f t="shared" ref="M26:M34" si="2">L26*0.89218</f>
        <v>60.211443840000008</v>
      </c>
    </row>
    <row r="27" spans="1:17" x14ac:dyDescent="0.2">
      <c r="A27" s="5">
        <v>40718</v>
      </c>
      <c r="B27" s="5">
        <v>40718</v>
      </c>
      <c r="C27" s="3" t="s">
        <v>1</v>
      </c>
      <c r="D27" s="3">
        <v>16</v>
      </c>
      <c r="E27" s="3" t="s">
        <v>259</v>
      </c>
      <c r="F27" s="3">
        <v>5.81</v>
      </c>
      <c r="G27" s="2">
        <v>32.969499999999996</v>
      </c>
      <c r="H27" s="2">
        <v>41.813600000000001</v>
      </c>
      <c r="I27" s="1">
        <v>1</v>
      </c>
      <c r="K27" s="17">
        <f t="shared" si="0"/>
        <v>5.81</v>
      </c>
      <c r="L27" s="2">
        <f t="shared" si="1"/>
        <v>27.888000000000002</v>
      </c>
      <c r="M27" s="2">
        <f t="shared" si="2"/>
        <v>24.88111584</v>
      </c>
    </row>
    <row r="28" spans="1:17" x14ac:dyDescent="0.2">
      <c r="A28" s="5">
        <v>40718</v>
      </c>
      <c r="B28" s="5">
        <v>40718</v>
      </c>
      <c r="C28" s="3" t="s">
        <v>1</v>
      </c>
      <c r="D28" s="3">
        <v>17</v>
      </c>
      <c r="E28" s="3" t="s">
        <v>258</v>
      </c>
      <c r="F28" s="3">
        <v>2.61</v>
      </c>
      <c r="G28" s="2">
        <v>15.1516</v>
      </c>
      <c r="H28" s="2">
        <v>21.066700000000001</v>
      </c>
      <c r="I28" s="1">
        <v>1</v>
      </c>
      <c r="K28" s="17">
        <f t="shared" si="0"/>
        <v>2.61</v>
      </c>
      <c r="L28" s="2">
        <f t="shared" si="1"/>
        <v>12.528000000000002</v>
      </c>
      <c r="M28" s="2">
        <f t="shared" si="2"/>
        <v>11.177231040000002</v>
      </c>
    </row>
    <row r="29" spans="1:17" x14ac:dyDescent="0.2">
      <c r="A29" s="5">
        <v>40718</v>
      </c>
      <c r="B29" s="5">
        <v>40718</v>
      </c>
      <c r="C29" s="3" t="s">
        <v>1</v>
      </c>
      <c r="D29" s="3">
        <v>18</v>
      </c>
      <c r="E29" s="3" t="s">
        <v>257</v>
      </c>
      <c r="F29" s="3">
        <v>14.7</v>
      </c>
      <c r="G29" s="2">
        <v>81.130399999999995</v>
      </c>
      <c r="H29" s="2">
        <v>90.700699999999998</v>
      </c>
      <c r="I29" s="1">
        <v>1</v>
      </c>
      <c r="K29" s="17">
        <f t="shared" si="0"/>
        <v>14.7</v>
      </c>
      <c r="L29" s="2">
        <f t="shared" si="1"/>
        <v>70.56</v>
      </c>
      <c r="M29" s="2">
        <f t="shared" si="2"/>
        <v>62.952220799999999</v>
      </c>
    </row>
    <row r="30" spans="1:17" x14ac:dyDescent="0.2">
      <c r="A30" s="5">
        <v>40718</v>
      </c>
      <c r="B30" s="5">
        <v>40718</v>
      </c>
      <c r="C30" s="3" t="s">
        <v>1</v>
      </c>
      <c r="D30" s="3">
        <v>19</v>
      </c>
      <c r="E30" s="3" t="s">
        <v>256</v>
      </c>
      <c r="F30" s="3">
        <v>5.1100000000000003</v>
      </c>
      <c r="G30" s="2">
        <v>29.047899999999998</v>
      </c>
      <c r="H30" s="2">
        <v>35.227699999999999</v>
      </c>
      <c r="I30" s="1">
        <v>1</v>
      </c>
      <c r="K30" s="17">
        <f t="shared" si="0"/>
        <v>5.1100000000000003</v>
      </c>
      <c r="L30" s="2">
        <f t="shared" si="1"/>
        <v>24.528000000000002</v>
      </c>
      <c r="M30" s="2">
        <f t="shared" si="2"/>
        <v>21.883391040000003</v>
      </c>
    </row>
    <row r="31" spans="1:17" x14ac:dyDescent="0.2">
      <c r="A31" s="5">
        <v>40718</v>
      </c>
      <c r="B31" s="5">
        <v>40718</v>
      </c>
      <c r="C31" s="3" t="s">
        <v>1</v>
      </c>
      <c r="D31" s="3">
        <v>20</v>
      </c>
      <c r="E31" s="3" t="s">
        <v>255</v>
      </c>
      <c r="F31" s="3">
        <v>4.9400000000000004</v>
      </c>
      <c r="G31" s="2">
        <v>28.0932</v>
      </c>
      <c r="H31" s="2">
        <v>33.029499999999999</v>
      </c>
      <c r="I31" s="1">
        <v>1</v>
      </c>
      <c r="K31" s="17">
        <f t="shared" si="0"/>
        <v>4.9400000000000004</v>
      </c>
      <c r="L31" s="2">
        <f t="shared" si="1"/>
        <v>23.712000000000003</v>
      </c>
      <c r="M31" s="2">
        <f t="shared" si="2"/>
        <v>21.155372160000002</v>
      </c>
    </row>
    <row r="32" spans="1:17" x14ac:dyDescent="0.2">
      <c r="A32" s="5">
        <v>40718</v>
      </c>
      <c r="B32" s="5">
        <v>40718</v>
      </c>
      <c r="C32" s="3" t="s">
        <v>1</v>
      </c>
      <c r="D32" s="3">
        <v>21</v>
      </c>
      <c r="E32" s="3" t="s">
        <v>254</v>
      </c>
      <c r="F32" s="3">
        <v>9.68</v>
      </c>
      <c r="G32" s="2">
        <v>66.849000000000004</v>
      </c>
      <c r="H32" s="2">
        <v>70.878500000000003</v>
      </c>
      <c r="I32" s="1">
        <v>1</v>
      </c>
      <c r="K32" s="17">
        <f t="shared" si="0"/>
        <v>9.68</v>
      </c>
      <c r="L32" s="2">
        <f t="shared" si="1"/>
        <v>46.463999999999999</v>
      </c>
      <c r="M32" s="2">
        <f t="shared" si="2"/>
        <v>41.45425152</v>
      </c>
    </row>
    <row r="33" spans="1:13" x14ac:dyDescent="0.2">
      <c r="A33" s="5">
        <v>40718</v>
      </c>
      <c r="B33" s="5">
        <v>40718</v>
      </c>
      <c r="C33" s="3" t="s">
        <v>1</v>
      </c>
      <c r="D33" s="3">
        <v>22</v>
      </c>
      <c r="E33" s="3" t="s">
        <v>253</v>
      </c>
      <c r="F33" s="3">
        <v>5.9</v>
      </c>
      <c r="G33" s="2">
        <v>33.488799999999998</v>
      </c>
      <c r="H33" s="2">
        <v>37.384599999999999</v>
      </c>
      <c r="I33" s="1">
        <v>1</v>
      </c>
      <c r="K33" s="17">
        <f t="shared" si="0"/>
        <v>5.9</v>
      </c>
      <c r="L33" s="2">
        <f t="shared" si="1"/>
        <v>28.320000000000004</v>
      </c>
      <c r="M33" s="2">
        <f t="shared" si="2"/>
        <v>25.266537600000003</v>
      </c>
    </row>
    <row r="34" spans="1:13" x14ac:dyDescent="0.2">
      <c r="A34" s="5">
        <v>40718</v>
      </c>
      <c r="B34" s="5">
        <v>40718</v>
      </c>
      <c r="C34" s="3" t="s">
        <v>1</v>
      </c>
      <c r="D34" s="3">
        <v>23</v>
      </c>
      <c r="E34" s="3" t="s">
        <v>252</v>
      </c>
      <c r="F34" s="3">
        <v>2.11</v>
      </c>
      <c r="G34" s="2">
        <v>12.3408</v>
      </c>
      <c r="H34" s="2">
        <v>16.249099999999999</v>
      </c>
      <c r="I34" s="1">
        <v>1</v>
      </c>
      <c r="K34" s="17">
        <f t="shared" si="0"/>
        <v>2.11</v>
      </c>
      <c r="L34" s="2">
        <f t="shared" si="1"/>
        <v>10.128000000000002</v>
      </c>
      <c r="M34" s="2">
        <f t="shared" si="2"/>
        <v>9.0359990400000019</v>
      </c>
    </row>
    <row r="35" spans="1:13" x14ac:dyDescent="0.2">
      <c r="A35" s="5">
        <v>40718</v>
      </c>
      <c r="B35" s="5">
        <v>40718</v>
      </c>
      <c r="C35" s="3" t="s">
        <v>1</v>
      </c>
      <c r="D35" s="3">
        <v>24</v>
      </c>
      <c r="E35" s="3" t="s">
        <v>4</v>
      </c>
      <c r="F35" s="3">
        <v>-0.12</v>
      </c>
      <c r="G35" s="2">
        <v>-7.6325500000000004E-2</v>
      </c>
      <c r="H35" s="2">
        <v>4.2333800000000004</v>
      </c>
      <c r="I35" s="1">
        <v>1</v>
      </c>
    </row>
    <row r="36" spans="1:13" x14ac:dyDescent="0.2">
      <c r="A36" s="5">
        <v>40718</v>
      </c>
      <c r="B36" s="5">
        <v>40718</v>
      </c>
      <c r="C36" s="3" t="s">
        <v>1</v>
      </c>
      <c r="D36" s="3">
        <v>25</v>
      </c>
      <c r="E36" s="3" t="s">
        <v>3</v>
      </c>
      <c r="F36" s="3">
        <v>-0.1</v>
      </c>
      <c r="G36" s="2">
        <v>0</v>
      </c>
      <c r="H36" s="2">
        <v>4.1466000000000003</v>
      </c>
      <c r="I36" s="1">
        <v>1</v>
      </c>
    </row>
    <row r="37" spans="1:13" x14ac:dyDescent="0.2">
      <c r="A37" s="5">
        <v>40718</v>
      </c>
      <c r="B37" s="5">
        <v>40718</v>
      </c>
      <c r="C37" s="3" t="s">
        <v>1</v>
      </c>
      <c r="D37" s="3">
        <v>26</v>
      </c>
      <c r="E37" s="3" t="s">
        <v>2</v>
      </c>
      <c r="F37" s="3">
        <v>10.14</v>
      </c>
      <c r="G37" s="2">
        <v>57.107500000000002</v>
      </c>
      <c r="H37" s="2">
        <v>55.255299999999998</v>
      </c>
      <c r="I37" s="1">
        <v>1</v>
      </c>
    </row>
    <row r="38" spans="1:13" x14ac:dyDescent="0.2">
      <c r="A38" s="5">
        <v>40718</v>
      </c>
      <c r="B38" s="5">
        <v>40718</v>
      </c>
      <c r="C38" s="3" t="s">
        <v>1</v>
      </c>
      <c r="D38" s="3">
        <v>27</v>
      </c>
      <c r="E38" s="3" t="s">
        <v>4</v>
      </c>
      <c r="F38" s="3">
        <v>-0.13</v>
      </c>
      <c r="G38" s="2">
        <v>-0.14930299999999999</v>
      </c>
      <c r="H38" s="2">
        <v>4.56107</v>
      </c>
      <c r="I38" s="1">
        <v>1</v>
      </c>
    </row>
    <row r="39" spans="1:13" x14ac:dyDescent="0.2">
      <c r="A39" s="5">
        <v>40718</v>
      </c>
      <c r="B39" s="5">
        <v>40718</v>
      </c>
      <c r="C39" s="3" t="s">
        <v>1</v>
      </c>
      <c r="D39" s="3">
        <v>28</v>
      </c>
      <c r="E39" s="3" t="s">
        <v>251</v>
      </c>
      <c r="F39" s="3">
        <v>11.51</v>
      </c>
      <c r="G39" s="2">
        <v>76.298199999999994</v>
      </c>
      <c r="H39" s="2">
        <v>74.104399999999998</v>
      </c>
      <c r="I39" s="1">
        <v>1</v>
      </c>
      <c r="K39" s="17">
        <f t="shared" ref="K39:K53" si="3">F39*(20/20)</f>
        <v>11.51</v>
      </c>
      <c r="L39" s="2">
        <f t="shared" ref="L39:L53" si="4">F39*(20/20)*1.6*30*(1/1000000000)*(10000)*(10000)</f>
        <v>55.248000000000005</v>
      </c>
      <c r="M39" s="2">
        <f t="shared" ref="M39:M53" si="5">L39*0.89218</f>
        <v>49.291160640000001</v>
      </c>
    </row>
    <row r="40" spans="1:13" x14ac:dyDescent="0.2">
      <c r="A40" s="5">
        <v>40718</v>
      </c>
      <c r="B40" s="5">
        <v>40718</v>
      </c>
      <c r="C40" s="3" t="s">
        <v>1</v>
      </c>
      <c r="D40" s="3">
        <v>29</v>
      </c>
      <c r="E40" s="3" t="s">
        <v>250</v>
      </c>
      <c r="F40" s="3">
        <v>9.25</v>
      </c>
      <c r="G40" s="2">
        <v>52.123600000000003</v>
      </c>
      <c r="H40" s="2">
        <v>53.2363</v>
      </c>
      <c r="I40" s="1">
        <v>1</v>
      </c>
      <c r="K40" s="17">
        <f t="shared" si="3"/>
        <v>9.25</v>
      </c>
      <c r="L40" s="2">
        <f t="shared" si="4"/>
        <v>44.400000000000006</v>
      </c>
      <c r="M40" s="2">
        <f t="shared" si="5"/>
        <v>39.612792000000006</v>
      </c>
    </row>
    <row r="41" spans="1:13" x14ac:dyDescent="0.2">
      <c r="A41" s="5">
        <v>40718</v>
      </c>
      <c r="B41" s="5">
        <v>40718</v>
      </c>
      <c r="C41" s="3" t="s">
        <v>1</v>
      </c>
      <c r="D41" s="3">
        <v>30</v>
      </c>
      <c r="E41" s="3" t="s">
        <v>249</v>
      </c>
      <c r="F41" s="3">
        <v>6.78</v>
      </c>
      <c r="G41" s="2">
        <v>38.358899999999998</v>
      </c>
      <c r="H41" s="2">
        <v>40.716999999999999</v>
      </c>
      <c r="I41" s="1">
        <v>1</v>
      </c>
      <c r="K41" s="17">
        <f t="shared" si="3"/>
        <v>6.78</v>
      </c>
      <c r="L41" s="2">
        <f t="shared" si="4"/>
        <v>32.544000000000004</v>
      </c>
      <c r="M41" s="2">
        <f t="shared" si="5"/>
        <v>29.035105920000003</v>
      </c>
    </row>
    <row r="42" spans="1:13" x14ac:dyDescent="0.2">
      <c r="A42" s="5">
        <v>40718</v>
      </c>
      <c r="B42" s="5">
        <v>40718</v>
      </c>
      <c r="C42" s="3" t="s">
        <v>1</v>
      </c>
      <c r="D42" s="3">
        <v>31</v>
      </c>
      <c r="E42" s="3" t="s">
        <v>248</v>
      </c>
      <c r="F42" s="3">
        <v>10.37</v>
      </c>
      <c r="G42" s="2">
        <v>64.384600000000006</v>
      </c>
      <c r="H42" s="2">
        <v>65.814400000000006</v>
      </c>
      <c r="I42" s="1">
        <v>1</v>
      </c>
      <c r="K42" s="17">
        <f t="shared" si="3"/>
        <v>10.37</v>
      </c>
      <c r="L42" s="2">
        <f t="shared" si="4"/>
        <v>49.775999999999996</v>
      </c>
      <c r="M42" s="2">
        <f t="shared" si="5"/>
        <v>44.409151679999994</v>
      </c>
    </row>
    <row r="43" spans="1:13" x14ac:dyDescent="0.2">
      <c r="A43" s="5">
        <v>40718</v>
      </c>
      <c r="B43" s="5">
        <v>40718</v>
      </c>
      <c r="C43" s="3" t="s">
        <v>1</v>
      </c>
      <c r="D43" s="3">
        <v>32</v>
      </c>
      <c r="E43" s="3" t="s">
        <v>247</v>
      </c>
      <c r="F43" s="3">
        <v>5.36</v>
      </c>
      <c r="G43" s="2">
        <v>30.450700000000001</v>
      </c>
      <c r="H43" s="2">
        <v>34.160299999999999</v>
      </c>
      <c r="I43" s="1">
        <v>1</v>
      </c>
      <c r="K43" s="17">
        <f t="shared" si="3"/>
        <v>5.36</v>
      </c>
      <c r="L43" s="2">
        <f t="shared" si="4"/>
        <v>25.728000000000005</v>
      </c>
      <c r="M43" s="2">
        <f t="shared" si="5"/>
        <v>22.954007040000004</v>
      </c>
    </row>
    <row r="44" spans="1:13" x14ac:dyDescent="0.2">
      <c r="A44" s="5">
        <v>40718</v>
      </c>
      <c r="B44" s="5">
        <v>40718</v>
      </c>
      <c r="C44" s="3" t="s">
        <v>1</v>
      </c>
      <c r="D44" s="3">
        <v>33</v>
      </c>
      <c r="E44" s="3" t="s">
        <v>246</v>
      </c>
      <c r="F44" s="3">
        <v>8.99</v>
      </c>
      <c r="G44" s="2">
        <v>50.716099999999997</v>
      </c>
      <c r="H44" s="2">
        <v>54.020299999999999</v>
      </c>
      <c r="I44" s="1">
        <v>1</v>
      </c>
      <c r="K44" s="17">
        <f t="shared" si="3"/>
        <v>8.99</v>
      </c>
      <c r="L44" s="2">
        <f t="shared" si="4"/>
        <v>43.152000000000001</v>
      </c>
      <c r="M44" s="2">
        <f t="shared" si="5"/>
        <v>38.499351359999999</v>
      </c>
    </row>
    <row r="45" spans="1:13" x14ac:dyDescent="0.2">
      <c r="A45" s="5">
        <v>40718</v>
      </c>
      <c r="B45" s="5">
        <v>40718</v>
      </c>
      <c r="C45" s="3" t="s">
        <v>1</v>
      </c>
      <c r="D45" s="3">
        <v>34</v>
      </c>
      <c r="E45" s="3" t="s">
        <v>245</v>
      </c>
      <c r="F45" s="3">
        <v>12.17</v>
      </c>
      <c r="G45" s="2">
        <v>91.240799999999993</v>
      </c>
      <c r="H45" s="2">
        <v>94.958100000000002</v>
      </c>
      <c r="I45" s="1">
        <v>1</v>
      </c>
      <c r="K45" s="17">
        <f t="shared" si="3"/>
        <v>12.17</v>
      </c>
      <c r="L45" s="2">
        <f t="shared" si="4"/>
        <v>58.416000000000018</v>
      </c>
      <c r="M45" s="2">
        <f t="shared" si="5"/>
        <v>52.117586880000012</v>
      </c>
    </row>
    <row r="46" spans="1:13" x14ac:dyDescent="0.2">
      <c r="A46" s="5">
        <v>40718</v>
      </c>
      <c r="B46" s="5">
        <v>40718</v>
      </c>
      <c r="C46" s="3" t="s">
        <v>1</v>
      </c>
      <c r="D46" s="3">
        <v>35</v>
      </c>
      <c r="E46" s="3" t="s">
        <v>244</v>
      </c>
      <c r="F46" s="3">
        <v>9.2799999999999994</v>
      </c>
      <c r="G46" s="2">
        <v>52.292999999999999</v>
      </c>
      <c r="H46" s="2">
        <v>57.536200000000001</v>
      </c>
      <c r="I46" s="1">
        <v>1</v>
      </c>
      <c r="K46" s="17">
        <f t="shared" si="3"/>
        <v>9.2799999999999994</v>
      </c>
      <c r="L46" s="2">
        <f t="shared" si="4"/>
        <v>44.543999999999997</v>
      </c>
      <c r="M46" s="2">
        <f t="shared" si="5"/>
        <v>39.741265919999996</v>
      </c>
    </row>
    <row r="47" spans="1:13" x14ac:dyDescent="0.2">
      <c r="A47" s="5">
        <v>40718</v>
      </c>
      <c r="B47" s="5">
        <v>40718</v>
      </c>
      <c r="C47" s="3" t="s">
        <v>1</v>
      </c>
      <c r="D47" s="3">
        <v>36</v>
      </c>
      <c r="E47" s="3" t="s">
        <v>243</v>
      </c>
      <c r="F47" s="3">
        <v>3.23</v>
      </c>
      <c r="G47" s="2">
        <v>18.559799999999999</v>
      </c>
      <c r="H47" s="2">
        <v>23.613900000000001</v>
      </c>
      <c r="I47" s="1">
        <v>1</v>
      </c>
      <c r="K47" s="17">
        <f t="shared" si="3"/>
        <v>3.23</v>
      </c>
      <c r="L47" s="2">
        <f t="shared" si="4"/>
        <v>15.504</v>
      </c>
      <c r="M47" s="2">
        <f t="shared" si="5"/>
        <v>13.832358719999998</v>
      </c>
    </row>
    <row r="48" spans="1:13" x14ac:dyDescent="0.2">
      <c r="A48" s="5">
        <v>40718</v>
      </c>
      <c r="B48" s="5">
        <v>40718</v>
      </c>
      <c r="C48" s="3" t="s">
        <v>1</v>
      </c>
      <c r="D48" s="3">
        <v>37</v>
      </c>
      <c r="E48" s="3" t="s">
        <v>242</v>
      </c>
      <c r="F48" s="3">
        <v>11.11</v>
      </c>
      <c r="G48" s="2">
        <v>69.269400000000005</v>
      </c>
      <c r="H48" s="2">
        <v>75.781400000000005</v>
      </c>
      <c r="I48" s="1">
        <v>1</v>
      </c>
      <c r="K48" s="17">
        <f t="shared" si="3"/>
        <v>11.11</v>
      </c>
      <c r="L48" s="2">
        <f t="shared" si="4"/>
        <v>53.328000000000003</v>
      </c>
      <c r="M48" s="2">
        <f t="shared" si="5"/>
        <v>47.578175039999998</v>
      </c>
    </row>
    <row r="49" spans="1:13" x14ac:dyDescent="0.2">
      <c r="A49" s="5">
        <v>40718</v>
      </c>
      <c r="B49" s="5">
        <v>40718</v>
      </c>
      <c r="C49" s="3" t="s">
        <v>1</v>
      </c>
      <c r="D49" s="3">
        <v>38</v>
      </c>
      <c r="E49" s="3" t="s">
        <v>241</v>
      </c>
      <c r="F49" s="3">
        <v>19.2</v>
      </c>
      <c r="G49" s="2">
        <v>98.703500000000005</v>
      </c>
      <c r="H49" s="2">
        <v>108.041</v>
      </c>
      <c r="I49" s="1">
        <v>1</v>
      </c>
      <c r="K49" s="17">
        <f t="shared" si="3"/>
        <v>19.2</v>
      </c>
      <c r="L49" s="2">
        <f t="shared" si="4"/>
        <v>92.16</v>
      </c>
      <c r="M49" s="2">
        <f t="shared" si="5"/>
        <v>82.223308799999998</v>
      </c>
    </row>
    <row r="50" spans="1:13" x14ac:dyDescent="0.2">
      <c r="A50" s="5">
        <v>40718</v>
      </c>
      <c r="B50" s="5">
        <v>40718</v>
      </c>
      <c r="C50" s="3" t="s">
        <v>1</v>
      </c>
      <c r="D50" s="3">
        <v>39</v>
      </c>
      <c r="E50" s="3" t="s">
        <v>240</v>
      </c>
      <c r="F50" s="3">
        <v>2.34</v>
      </c>
      <c r="G50" s="2">
        <v>13.6043</v>
      </c>
      <c r="H50" s="2">
        <v>19.6754</v>
      </c>
      <c r="I50" s="1">
        <v>1</v>
      </c>
      <c r="K50" s="17">
        <f t="shared" si="3"/>
        <v>2.34</v>
      </c>
      <c r="L50" s="2">
        <f t="shared" si="4"/>
        <v>11.231999999999999</v>
      </c>
      <c r="M50" s="2">
        <f t="shared" si="5"/>
        <v>10.020965759999999</v>
      </c>
    </row>
    <row r="51" spans="1:13" x14ac:dyDescent="0.2">
      <c r="A51" s="5">
        <v>40718</v>
      </c>
      <c r="B51" s="5">
        <v>40718</v>
      </c>
      <c r="C51" s="3" t="s">
        <v>1</v>
      </c>
      <c r="D51" s="3">
        <v>40</v>
      </c>
      <c r="E51" s="3" t="s">
        <v>239</v>
      </c>
      <c r="F51" s="3">
        <v>11.47</v>
      </c>
      <c r="G51" s="2">
        <v>56.5732</v>
      </c>
      <c r="H51" s="2">
        <v>65.197500000000005</v>
      </c>
      <c r="I51" s="1">
        <v>1</v>
      </c>
      <c r="K51" s="17">
        <f t="shared" si="3"/>
        <v>11.47</v>
      </c>
      <c r="L51" s="2">
        <f t="shared" si="4"/>
        <v>55.056000000000012</v>
      </c>
      <c r="M51" s="2">
        <f t="shared" si="5"/>
        <v>49.119862080000011</v>
      </c>
    </row>
    <row r="52" spans="1:13" x14ac:dyDescent="0.2">
      <c r="A52" s="5">
        <v>40718</v>
      </c>
      <c r="B52" s="5">
        <v>40718</v>
      </c>
      <c r="C52" s="3" t="s">
        <v>1</v>
      </c>
      <c r="D52" s="3">
        <v>41</v>
      </c>
      <c r="E52" s="3" t="s">
        <v>238</v>
      </c>
      <c r="F52" s="3">
        <v>8.58</v>
      </c>
      <c r="G52" s="2">
        <v>48.4129</v>
      </c>
      <c r="H52" s="2">
        <v>57.639200000000002</v>
      </c>
      <c r="I52" s="1">
        <v>1</v>
      </c>
      <c r="K52" s="17">
        <f t="shared" si="3"/>
        <v>8.58</v>
      </c>
      <c r="L52" s="2">
        <f t="shared" si="4"/>
        <v>41.184000000000005</v>
      </c>
      <c r="M52" s="2">
        <f t="shared" si="5"/>
        <v>36.743541120000003</v>
      </c>
    </row>
    <row r="53" spans="1:13" x14ac:dyDescent="0.2">
      <c r="A53" s="5">
        <v>40718</v>
      </c>
      <c r="B53" s="5">
        <v>40718</v>
      </c>
      <c r="C53" s="3" t="s">
        <v>1</v>
      </c>
      <c r="D53" s="3">
        <v>42</v>
      </c>
      <c r="E53" s="3" t="s">
        <v>237</v>
      </c>
      <c r="F53" s="3">
        <v>1.71</v>
      </c>
      <c r="G53" s="2">
        <v>10.1081</v>
      </c>
      <c r="H53" s="2">
        <v>15.967499999999999</v>
      </c>
      <c r="I53" s="1">
        <v>1</v>
      </c>
      <c r="K53" s="17">
        <f t="shared" si="3"/>
        <v>1.71</v>
      </c>
      <c r="L53" s="2">
        <f t="shared" si="4"/>
        <v>8.208000000000002</v>
      </c>
      <c r="M53" s="2">
        <f t="shared" si="5"/>
        <v>7.3230134400000013</v>
      </c>
    </row>
    <row r="54" spans="1:13" x14ac:dyDescent="0.2">
      <c r="A54" s="5">
        <v>40718</v>
      </c>
      <c r="B54" s="5">
        <v>40718</v>
      </c>
      <c r="C54" s="3" t="s">
        <v>1</v>
      </c>
      <c r="D54" s="3">
        <v>43</v>
      </c>
      <c r="E54" s="3" t="s">
        <v>4</v>
      </c>
      <c r="F54" s="3">
        <v>-0.09</v>
      </c>
      <c r="G54" s="2">
        <v>6.0056600000000002E-2</v>
      </c>
      <c r="H54" s="2">
        <v>4.4460600000000001</v>
      </c>
      <c r="I54" s="1">
        <v>1</v>
      </c>
    </row>
    <row r="55" spans="1:13" x14ac:dyDescent="0.2">
      <c r="A55" s="5">
        <v>40718</v>
      </c>
      <c r="B55" s="5">
        <v>40718</v>
      </c>
      <c r="C55" s="3" t="s">
        <v>1</v>
      </c>
      <c r="D55" s="3">
        <v>44</v>
      </c>
      <c r="E55" s="3" t="s">
        <v>3</v>
      </c>
      <c r="F55" s="3">
        <v>-0.1</v>
      </c>
      <c r="G55" s="2">
        <v>0</v>
      </c>
      <c r="H55" s="2">
        <v>4.2264099999999996</v>
      </c>
      <c r="I55" s="1">
        <v>1</v>
      </c>
    </row>
    <row r="56" spans="1:13" x14ac:dyDescent="0.2">
      <c r="A56" s="5">
        <v>40718</v>
      </c>
      <c r="B56" s="5">
        <v>40718</v>
      </c>
      <c r="C56" s="3" t="s">
        <v>1</v>
      </c>
      <c r="D56" s="3">
        <v>45</v>
      </c>
      <c r="E56" s="3" t="s">
        <v>2</v>
      </c>
      <c r="F56" s="3">
        <v>10.14</v>
      </c>
      <c r="G56" s="2">
        <v>57.107500000000002</v>
      </c>
      <c r="H56" s="2">
        <v>70.4161</v>
      </c>
      <c r="I56" s="1">
        <v>1</v>
      </c>
    </row>
    <row r="57" spans="1:13" x14ac:dyDescent="0.2">
      <c r="A57" s="5">
        <v>40718</v>
      </c>
      <c r="B57" s="5">
        <v>40718</v>
      </c>
      <c r="C57" s="3" t="s">
        <v>1</v>
      </c>
      <c r="D57" s="3">
        <v>46</v>
      </c>
      <c r="E57" s="3" t="s">
        <v>4</v>
      </c>
      <c r="F57" s="3">
        <v>-0.14000000000000001</v>
      </c>
      <c r="G57" s="2">
        <v>-0.185113</v>
      </c>
      <c r="H57" s="2">
        <v>4.7253800000000004</v>
      </c>
      <c r="I57" s="1">
        <v>1</v>
      </c>
    </row>
    <row r="58" spans="1:13" x14ac:dyDescent="0.2">
      <c r="A58" s="5">
        <v>40718</v>
      </c>
      <c r="B58" s="5">
        <v>40718</v>
      </c>
      <c r="C58" s="3" t="s">
        <v>1</v>
      </c>
      <c r="D58" s="3">
        <v>47</v>
      </c>
      <c r="E58" s="3" t="s">
        <v>236</v>
      </c>
      <c r="F58" s="3">
        <v>21.53</v>
      </c>
      <c r="G58" s="2">
        <v>78.777500000000003</v>
      </c>
      <c r="H58" s="2">
        <v>95.749899999999997</v>
      </c>
      <c r="I58" s="1">
        <v>1</v>
      </c>
      <c r="K58" s="17">
        <f t="shared" ref="K58:K66" si="6">F58*(20/20)</f>
        <v>21.53</v>
      </c>
      <c r="L58" s="2">
        <f t="shared" ref="L58:L66" si="7">F58*(20/20)*1.6*30*(1/1000000000)*(10000)*(10000)</f>
        <v>103.34400000000002</v>
      </c>
      <c r="M58" s="2">
        <f t="shared" ref="M58:M66" si="8">L58*0.89218</f>
        <v>92.201449920000016</v>
      </c>
    </row>
    <row r="59" spans="1:13" x14ac:dyDescent="0.2">
      <c r="A59" s="5">
        <v>40718</v>
      </c>
      <c r="B59" s="5">
        <v>40718</v>
      </c>
      <c r="C59" s="3" t="s">
        <v>1</v>
      </c>
      <c r="D59" s="3">
        <v>48</v>
      </c>
      <c r="E59" s="3" t="s">
        <v>235</v>
      </c>
      <c r="F59" s="3">
        <v>4.74</v>
      </c>
      <c r="G59" s="2">
        <v>26.976400000000002</v>
      </c>
      <c r="H59" s="2">
        <v>36.560899999999997</v>
      </c>
      <c r="I59" s="1">
        <v>1</v>
      </c>
      <c r="K59" s="17">
        <f t="shared" si="6"/>
        <v>4.74</v>
      </c>
      <c r="L59" s="2">
        <f t="shared" si="7"/>
        <v>22.752000000000002</v>
      </c>
      <c r="M59" s="2">
        <f t="shared" si="8"/>
        <v>20.298879360000001</v>
      </c>
    </row>
    <row r="60" spans="1:13" x14ac:dyDescent="0.2">
      <c r="A60" s="5">
        <v>40718</v>
      </c>
      <c r="B60" s="5">
        <v>40718</v>
      </c>
      <c r="C60" s="3" t="s">
        <v>1</v>
      </c>
      <c r="D60" s="3">
        <v>49</v>
      </c>
      <c r="E60" s="3" t="s">
        <v>234</v>
      </c>
      <c r="F60" s="3">
        <v>3.29</v>
      </c>
      <c r="G60" s="2">
        <v>18.913499999999999</v>
      </c>
      <c r="H60" s="2">
        <v>26.648599999999998</v>
      </c>
      <c r="I60" s="1">
        <v>1</v>
      </c>
      <c r="K60" s="17">
        <f t="shared" si="6"/>
        <v>3.29</v>
      </c>
      <c r="L60" s="2">
        <f t="shared" si="7"/>
        <v>15.792000000000002</v>
      </c>
      <c r="M60" s="2">
        <f t="shared" si="8"/>
        <v>14.089306560000001</v>
      </c>
    </row>
    <row r="61" spans="1:13" x14ac:dyDescent="0.2">
      <c r="A61" s="5">
        <v>40718</v>
      </c>
      <c r="B61" s="5">
        <v>40718</v>
      </c>
      <c r="C61" s="3" t="s">
        <v>1</v>
      </c>
      <c r="D61" s="3">
        <v>50</v>
      </c>
      <c r="E61" s="3" t="s">
        <v>233</v>
      </c>
      <c r="F61" s="3">
        <v>28.02</v>
      </c>
      <c r="G61" s="2">
        <v>109.03700000000001</v>
      </c>
      <c r="H61" s="2">
        <v>131.56</v>
      </c>
      <c r="I61" s="1">
        <v>1</v>
      </c>
      <c r="K61" s="17">
        <f t="shared" si="6"/>
        <v>28.02</v>
      </c>
      <c r="L61" s="2">
        <f t="shared" si="7"/>
        <v>134.49600000000004</v>
      </c>
      <c r="M61" s="2">
        <f t="shared" si="8"/>
        <v>119.99464128000002</v>
      </c>
    </row>
    <row r="62" spans="1:13" x14ac:dyDescent="0.2">
      <c r="A62" s="5">
        <v>40718</v>
      </c>
      <c r="B62" s="5">
        <v>40718</v>
      </c>
      <c r="C62" s="3" t="s">
        <v>1</v>
      </c>
      <c r="D62" s="3">
        <v>51</v>
      </c>
      <c r="E62" s="3" t="s">
        <v>232</v>
      </c>
      <c r="F62" s="3">
        <v>20.56</v>
      </c>
      <c r="G62" s="2">
        <v>84.101699999999994</v>
      </c>
      <c r="H62" s="2">
        <v>103.669</v>
      </c>
      <c r="I62" s="1">
        <v>1</v>
      </c>
      <c r="K62" s="17">
        <f t="shared" si="6"/>
        <v>20.56</v>
      </c>
      <c r="L62" s="2">
        <f t="shared" si="7"/>
        <v>98.688000000000002</v>
      </c>
      <c r="M62" s="2">
        <f t="shared" si="8"/>
        <v>88.047459840000002</v>
      </c>
    </row>
    <row r="63" spans="1:13" x14ac:dyDescent="0.2">
      <c r="A63" s="5">
        <v>40718</v>
      </c>
      <c r="B63" s="5">
        <v>40718</v>
      </c>
      <c r="C63" s="3" t="s">
        <v>1</v>
      </c>
      <c r="D63" s="3">
        <v>52</v>
      </c>
      <c r="E63" s="3" t="s">
        <v>231</v>
      </c>
      <c r="F63" s="3">
        <v>44.39</v>
      </c>
      <c r="G63" s="2">
        <v>108.108</v>
      </c>
      <c r="H63" s="2">
        <v>131.547</v>
      </c>
      <c r="I63" s="1">
        <v>1</v>
      </c>
      <c r="K63" s="17">
        <f t="shared" si="6"/>
        <v>44.39</v>
      </c>
      <c r="L63" s="2">
        <f t="shared" si="7"/>
        <v>213.07200000000003</v>
      </c>
      <c r="M63" s="2">
        <f t="shared" si="8"/>
        <v>190.09857696000003</v>
      </c>
    </row>
    <row r="64" spans="1:13" x14ac:dyDescent="0.2">
      <c r="A64" s="5">
        <v>40718</v>
      </c>
      <c r="B64" s="5">
        <v>40718</v>
      </c>
      <c r="C64" s="3" t="s">
        <v>1</v>
      </c>
      <c r="D64" s="3">
        <v>53</v>
      </c>
      <c r="E64" s="3" t="s">
        <v>230</v>
      </c>
      <c r="F64" s="3">
        <v>14.93</v>
      </c>
      <c r="G64" s="2">
        <v>68.353300000000004</v>
      </c>
      <c r="H64" s="2">
        <v>85.512600000000006</v>
      </c>
      <c r="I64" s="1">
        <v>1</v>
      </c>
      <c r="K64" s="17">
        <f t="shared" si="6"/>
        <v>14.93</v>
      </c>
      <c r="L64" s="2">
        <f t="shared" si="7"/>
        <v>71.664000000000001</v>
      </c>
      <c r="M64" s="2">
        <f t="shared" si="8"/>
        <v>63.937187520000002</v>
      </c>
    </row>
    <row r="65" spans="1:39" x14ac:dyDescent="0.2">
      <c r="A65" s="5">
        <v>40718</v>
      </c>
      <c r="B65" s="5">
        <v>40718</v>
      </c>
      <c r="C65" s="3" t="s">
        <v>1</v>
      </c>
      <c r="D65" s="3">
        <v>54</v>
      </c>
      <c r="E65" s="3" t="s">
        <v>229</v>
      </c>
      <c r="F65" s="3">
        <v>20.46</v>
      </c>
      <c r="G65" s="2">
        <v>95.290999999999997</v>
      </c>
      <c r="H65" s="2">
        <v>116.687</v>
      </c>
      <c r="I65" s="1">
        <v>1</v>
      </c>
      <c r="K65" s="17">
        <f t="shared" si="6"/>
        <v>20.46</v>
      </c>
      <c r="L65" s="2">
        <f t="shared" si="7"/>
        <v>98.208000000000013</v>
      </c>
      <c r="M65" s="2">
        <f t="shared" si="8"/>
        <v>87.61921344000001</v>
      </c>
    </row>
    <row r="66" spans="1:39" s="8" customFormat="1" ht="13.5" thickBot="1" x14ac:dyDescent="0.25">
      <c r="A66" s="13">
        <v>40718</v>
      </c>
      <c r="B66" s="13">
        <v>40718</v>
      </c>
      <c r="C66" s="12" t="s">
        <v>1</v>
      </c>
      <c r="D66" s="12">
        <v>55</v>
      </c>
      <c r="E66" s="12" t="s">
        <v>228</v>
      </c>
      <c r="F66" s="12">
        <v>5.5</v>
      </c>
      <c r="G66" s="9">
        <v>31.236999999999998</v>
      </c>
      <c r="H66" s="9">
        <v>42.0944</v>
      </c>
      <c r="I66" s="8">
        <v>1</v>
      </c>
      <c r="K66" s="39">
        <f t="shared" si="6"/>
        <v>5.5</v>
      </c>
      <c r="L66" s="9">
        <f t="shared" si="7"/>
        <v>26.400000000000006</v>
      </c>
      <c r="M66" s="9">
        <f t="shared" si="8"/>
        <v>23.553552000000003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x14ac:dyDescent="0.2">
      <c r="A67" s="5">
        <v>40718</v>
      </c>
      <c r="B67" s="5">
        <v>40718</v>
      </c>
      <c r="C67" s="3" t="s">
        <v>1</v>
      </c>
      <c r="D67" s="3">
        <v>56</v>
      </c>
      <c r="E67" s="3" t="s">
        <v>4</v>
      </c>
      <c r="F67" s="3">
        <v>-0.11</v>
      </c>
      <c r="G67" s="2">
        <v>-3.52506E-2</v>
      </c>
      <c r="H67" s="2">
        <v>4.7408000000000001</v>
      </c>
      <c r="I67" s="1">
        <v>1</v>
      </c>
    </row>
    <row r="68" spans="1:39" x14ac:dyDescent="0.2">
      <c r="A68" s="5">
        <v>40718</v>
      </c>
      <c r="B68" s="5">
        <v>40718</v>
      </c>
      <c r="C68" s="3" t="s">
        <v>1</v>
      </c>
      <c r="D68" s="3">
        <v>57</v>
      </c>
      <c r="E68" s="3" t="s">
        <v>3</v>
      </c>
      <c r="F68" s="3">
        <v>-0.1</v>
      </c>
      <c r="G68" s="2">
        <v>0</v>
      </c>
      <c r="H68" s="2">
        <v>4.3818000000000001</v>
      </c>
      <c r="I68" s="1">
        <v>1</v>
      </c>
    </row>
    <row r="69" spans="1:39" x14ac:dyDescent="0.2">
      <c r="A69" s="5">
        <v>40718</v>
      </c>
      <c r="B69" s="5">
        <v>40718</v>
      </c>
      <c r="C69" s="3" t="s">
        <v>1</v>
      </c>
      <c r="D69" s="3">
        <v>58</v>
      </c>
      <c r="E69" s="3" t="s">
        <v>2</v>
      </c>
      <c r="F69" s="3">
        <v>10.14</v>
      </c>
      <c r="G69" s="2">
        <v>57.107500000000002</v>
      </c>
      <c r="H69" s="2">
        <v>71.557199999999995</v>
      </c>
      <c r="I69" s="1">
        <v>1</v>
      </c>
    </row>
    <row r="70" spans="1:39" x14ac:dyDescent="0.2">
      <c r="A70" s="5">
        <v>40718</v>
      </c>
      <c r="B70" s="5">
        <v>40718</v>
      </c>
      <c r="C70" s="3" t="s">
        <v>1</v>
      </c>
      <c r="D70" s="3">
        <v>59</v>
      </c>
      <c r="E70" s="3" t="s">
        <v>4</v>
      </c>
      <c r="F70" s="3">
        <v>-0.12</v>
      </c>
      <c r="G70" s="2">
        <v>-0.10144499999999999</v>
      </c>
      <c r="H70" s="2">
        <v>4.9638799999999996</v>
      </c>
      <c r="I70" s="1">
        <v>1</v>
      </c>
    </row>
    <row r="71" spans="1:39" x14ac:dyDescent="0.2">
      <c r="A71" s="5">
        <v>40718</v>
      </c>
      <c r="B71" s="5">
        <v>40718</v>
      </c>
      <c r="C71" s="3" t="s">
        <v>1</v>
      </c>
      <c r="D71" s="3">
        <v>60</v>
      </c>
      <c r="E71" s="3" t="s">
        <v>227</v>
      </c>
      <c r="F71" s="3">
        <v>14.06</v>
      </c>
      <c r="G71" s="2">
        <v>39.770000000000003</v>
      </c>
      <c r="H71" s="2">
        <v>49.600999999999999</v>
      </c>
      <c r="I71" s="1">
        <v>2</v>
      </c>
    </row>
    <row r="72" spans="1:39" x14ac:dyDescent="0.2">
      <c r="A72" s="5">
        <v>40718</v>
      </c>
      <c r="B72" s="5">
        <v>40718</v>
      </c>
      <c r="C72" s="3" t="s">
        <v>1</v>
      </c>
      <c r="D72" s="3">
        <v>61</v>
      </c>
      <c r="E72" s="3" t="s">
        <v>226</v>
      </c>
      <c r="F72" s="3">
        <v>14.7</v>
      </c>
      <c r="G72" s="2">
        <v>41.537599999999998</v>
      </c>
      <c r="H72" s="2">
        <v>51.261499999999998</v>
      </c>
      <c r="I72" s="1">
        <v>2</v>
      </c>
    </row>
    <row r="73" spans="1:39" x14ac:dyDescent="0.2">
      <c r="A73" s="5">
        <v>40718</v>
      </c>
      <c r="B73" s="5">
        <v>40718</v>
      </c>
      <c r="C73" s="3" t="s">
        <v>1</v>
      </c>
      <c r="D73" s="3">
        <v>62</v>
      </c>
      <c r="E73" s="3" t="s">
        <v>108</v>
      </c>
      <c r="F73" s="3">
        <v>9.68</v>
      </c>
      <c r="G73" s="2">
        <v>27.5701</v>
      </c>
      <c r="H73" s="2">
        <v>35.145099999999999</v>
      </c>
      <c r="I73" s="1">
        <v>2</v>
      </c>
    </row>
    <row r="74" spans="1:39" x14ac:dyDescent="0.2">
      <c r="A74" s="5">
        <v>40718</v>
      </c>
      <c r="B74" s="5">
        <v>40718</v>
      </c>
      <c r="C74" s="3" t="s">
        <v>1</v>
      </c>
      <c r="D74" s="3">
        <v>63</v>
      </c>
      <c r="E74" s="3" t="s">
        <v>105</v>
      </c>
      <c r="F74" s="3">
        <v>11.51</v>
      </c>
      <c r="G74" s="2">
        <v>32.659799999999997</v>
      </c>
      <c r="H74" s="2">
        <v>40.018900000000002</v>
      </c>
      <c r="I74" s="1">
        <v>2</v>
      </c>
    </row>
    <row r="75" spans="1:39" x14ac:dyDescent="0.2">
      <c r="A75" s="5">
        <v>40718</v>
      </c>
      <c r="B75" s="5">
        <v>40718</v>
      </c>
      <c r="C75" s="3" t="s">
        <v>1</v>
      </c>
      <c r="D75" s="3">
        <v>64</v>
      </c>
      <c r="E75" s="3" t="s">
        <v>225</v>
      </c>
      <c r="F75" s="3">
        <v>10.37</v>
      </c>
      <c r="G75" s="2">
        <v>29.4848</v>
      </c>
      <c r="H75" s="2">
        <v>36.134599999999999</v>
      </c>
      <c r="I75" s="1">
        <v>2</v>
      </c>
    </row>
    <row r="76" spans="1:39" x14ac:dyDescent="0.2">
      <c r="A76" s="5">
        <v>40718</v>
      </c>
      <c r="B76" s="5">
        <v>40718</v>
      </c>
      <c r="C76" s="3" t="s">
        <v>1</v>
      </c>
      <c r="D76" s="3">
        <v>65</v>
      </c>
      <c r="E76" s="3" t="s">
        <v>224</v>
      </c>
      <c r="F76" s="3">
        <v>12.17</v>
      </c>
      <c r="G76" s="2">
        <v>7.3645300000000002</v>
      </c>
      <c r="H76" s="2">
        <v>12.43</v>
      </c>
      <c r="I76" s="1">
        <v>10</v>
      </c>
    </row>
    <row r="77" spans="1:39" x14ac:dyDescent="0.2">
      <c r="A77" s="5">
        <v>40718</v>
      </c>
      <c r="B77" s="5">
        <v>40718</v>
      </c>
      <c r="C77" s="3" t="s">
        <v>1</v>
      </c>
      <c r="D77" s="3">
        <v>66</v>
      </c>
      <c r="E77" s="3" t="s">
        <v>223</v>
      </c>
      <c r="F77" s="3">
        <v>11.11</v>
      </c>
      <c r="G77" s="2">
        <v>31.551400000000001</v>
      </c>
      <c r="H77" s="2">
        <v>37.034599999999998</v>
      </c>
      <c r="I77" s="1">
        <v>2</v>
      </c>
    </row>
    <row r="78" spans="1:39" x14ac:dyDescent="0.2">
      <c r="A78" s="5">
        <v>40718</v>
      </c>
      <c r="B78" s="5">
        <v>40718</v>
      </c>
      <c r="C78" s="3" t="s">
        <v>1</v>
      </c>
      <c r="D78" s="3">
        <v>67</v>
      </c>
      <c r="E78" s="3" t="s">
        <v>222</v>
      </c>
      <c r="F78" s="3">
        <v>19.2</v>
      </c>
      <c r="G78" s="2">
        <v>11.2814</v>
      </c>
      <c r="H78" s="2">
        <v>16.195900000000002</v>
      </c>
      <c r="I78" s="1">
        <v>10</v>
      </c>
    </row>
    <row r="79" spans="1:39" x14ac:dyDescent="0.2">
      <c r="A79" s="5">
        <v>40718</v>
      </c>
      <c r="B79" s="5">
        <v>40718</v>
      </c>
      <c r="C79" s="3" t="s">
        <v>1</v>
      </c>
      <c r="D79" s="3">
        <v>68</v>
      </c>
      <c r="E79" s="3" t="s">
        <v>102</v>
      </c>
      <c r="F79" s="3">
        <v>11.47</v>
      </c>
      <c r="G79" s="2">
        <v>32.548999999999999</v>
      </c>
      <c r="H79" s="2">
        <v>37.095100000000002</v>
      </c>
      <c r="I79" s="1">
        <v>2</v>
      </c>
    </row>
    <row r="80" spans="1:39" x14ac:dyDescent="0.2">
      <c r="A80" s="5">
        <v>40718</v>
      </c>
      <c r="B80" s="5">
        <v>40718</v>
      </c>
      <c r="C80" s="3" t="s">
        <v>1</v>
      </c>
      <c r="D80" s="3">
        <v>69</v>
      </c>
      <c r="E80" s="3" t="s">
        <v>97</v>
      </c>
      <c r="F80" s="3">
        <v>21.53</v>
      </c>
      <c r="G80" s="2">
        <v>60.593299999999999</v>
      </c>
      <c r="H80" s="2">
        <v>64.430999999999997</v>
      </c>
      <c r="I80" s="1">
        <v>2</v>
      </c>
    </row>
    <row r="81" spans="1:9" x14ac:dyDescent="0.2">
      <c r="A81" s="5">
        <v>40718</v>
      </c>
      <c r="B81" s="5">
        <v>40718</v>
      </c>
      <c r="C81" s="3" t="s">
        <v>1</v>
      </c>
      <c r="D81" s="3">
        <v>70</v>
      </c>
      <c r="E81" s="3" t="s">
        <v>94</v>
      </c>
      <c r="F81" s="3">
        <v>28.02</v>
      </c>
      <c r="G81" s="2">
        <v>16.197900000000001</v>
      </c>
      <c r="H81" s="2">
        <v>20.694299999999998</v>
      </c>
      <c r="I81" s="1">
        <v>10</v>
      </c>
    </row>
    <row r="82" spans="1:9" x14ac:dyDescent="0.2">
      <c r="A82" s="5">
        <v>40718</v>
      </c>
      <c r="B82" s="5">
        <v>40718</v>
      </c>
      <c r="C82" s="3" t="s">
        <v>1</v>
      </c>
      <c r="D82" s="3">
        <v>71</v>
      </c>
      <c r="E82" s="3" t="s">
        <v>221</v>
      </c>
      <c r="F82" s="3">
        <v>20.56</v>
      </c>
      <c r="G82" s="2">
        <v>12.0406</v>
      </c>
      <c r="H82" s="2">
        <v>16.103200000000001</v>
      </c>
      <c r="I82" s="1">
        <v>10</v>
      </c>
    </row>
    <row r="83" spans="1:9" x14ac:dyDescent="0.2">
      <c r="A83" s="5">
        <v>40718</v>
      </c>
      <c r="B83" s="5">
        <v>40718</v>
      </c>
      <c r="C83" s="3" t="s">
        <v>1</v>
      </c>
      <c r="D83" s="3">
        <v>72</v>
      </c>
      <c r="E83" s="3" t="s">
        <v>220</v>
      </c>
      <c r="F83" s="3">
        <v>44.39</v>
      </c>
      <c r="G83" s="2">
        <v>25.325399999999998</v>
      </c>
      <c r="H83" s="2">
        <v>28.446300000000001</v>
      </c>
      <c r="I83" s="1">
        <v>10</v>
      </c>
    </row>
    <row r="84" spans="1:9" x14ac:dyDescent="0.2">
      <c r="A84" s="5">
        <v>40718</v>
      </c>
      <c r="B84" s="5">
        <v>40718</v>
      </c>
      <c r="C84" s="3" t="s">
        <v>1</v>
      </c>
      <c r="D84" s="3">
        <v>73</v>
      </c>
      <c r="E84" s="3" t="s">
        <v>219</v>
      </c>
      <c r="F84" s="3">
        <v>14.93</v>
      </c>
      <c r="G84" s="2">
        <v>42.192100000000003</v>
      </c>
      <c r="H84" s="2">
        <v>43.938699999999997</v>
      </c>
      <c r="I84" s="1">
        <v>2</v>
      </c>
    </row>
    <row r="85" spans="1:9" x14ac:dyDescent="0.2">
      <c r="A85" s="5">
        <v>40718</v>
      </c>
      <c r="B85" s="5">
        <v>40718</v>
      </c>
      <c r="C85" s="3" t="s">
        <v>1</v>
      </c>
      <c r="D85" s="3">
        <v>74</v>
      </c>
      <c r="E85" s="3" t="s">
        <v>9</v>
      </c>
      <c r="F85" s="3">
        <v>20.46</v>
      </c>
      <c r="G85" s="2">
        <v>11.986599999999999</v>
      </c>
      <c r="H85" s="2">
        <v>15.8102</v>
      </c>
      <c r="I85" s="1">
        <v>10</v>
      </c>
    </row>
    <row r="86" spans="1:9" x14ac:dyDescent="0.2">
      <c r="A86" s="5">
        <v>40718</v>
      </c>
      <c r="B86" s="5">
        <v>40718</v>
      </c>
      <c r="C86" s="3" t="s">
        <v>1</v>
      </c>
      <c r="D86" s="3">
        <v>75</v>
      </c>
      <c r="E86" s="3" t="s">
        <v>4</v>
      </c>
      <c r="F86" s="3">
        <v>-0.12</v>
      </c>
      <c r="G86" s="2">
        <v>-7.5632500000000005E-2</v>
      </c>
      <c r="H86" s="2">
        <v>4.4539499999999999</v>
      </c>
      <c r="I86" s="1">
        <v>1</v>
      </c>
    </row>
    <row r="87" spans="1:9" x14ac:dyDescent="0.2">
      <c r="A87" s="5">
        <v>40718</v>
      </c>
      <c r="B87" s="5">
        <v>40718</v>
      </c>
      <c r="C87" s="3" t="s">
        <v>1</v>
      </c>
      <c r="D87" s="3">
        <v>76</v>
      </c>
      <c r="E87" s="3" t="s">
        <v>3</v>
      </c>
      <c r="F87" s="3">
        <v>-0.1</v>
      </c>
      <c r="G87" s="2">
        <v>0</v>
      </c>
      <c r="H87" s="2">
        <v>4.3668500000000003</v>
      </c>
      <c r="I87" s="1">
        <v>1</v>
      </c>
    </row>
    <row r="88" spans="1:9" x14ac:dyDescent="0.2">
      <c r="A88" s="5">
        <v>40718</v>
      </c>
      <c r="B88" s="5">
        <v>40718</v>
      </c>
      <c r="C88" s="3" t="s">
        <v>1</v>
      </c>
      <c r="D88" s="3">
        <v>77</v>
      </c>
      <c r="E88" s="3" t="s">
        <v>2</v>
      </c>
      <c r="F88" s="3">
        <v>10.14</v>
      </c>
      <c r="G88" s="2">
        <v>57.107500000000002</v>
      </c>
      <c r="H88" s="2">
        <v>54.842500000000001</v>
      </c>
      <c r="I88" s="1">
        <v>1</v>
      </c>
    </row>
    <row r="89" spans="1:9" x14ac:dyDescent="0.2">
      <c r="A89" s="5">
        <v>40718</v>
      </c>
      <c r="B89" s="5">
        <v>40718</v>
      </c>
      <c r="C89" s="3" t="s">
        <v>1</v>
      </c>
      <c r="D89" s="3">
        <v>0</v>
      </c>
      <c r="E89" s="3" t="s">
        <v>0</v>
      </c>
      <c r="F89" s="3">
        <v>-0.1</v>
      </c>
      <c r="G89" s="2">
        <v>0</v>
      </c>
      <c r="H89" s="2">
        <v>4.4392899999999997</v>
      </c>
      <c r="I89" s="1">
        <v>1</v>
      </c>
    </row>
    <row r="92" spans="1:9" x14ac:dyDescent="0.2">
      <c r="F92" s="3">
        <f>AVERAGE(F26,F29,F32,F39,F42,F45,F48,F51,F58,F61,F64)</f>
        <v>14.504545454545456</v>
      </c>
    </row>
    <row r="93" spans="1:9" x14ac:dyDescent="0.2">
      <c r="F93" s="3">
        <f>AVERAGE(F27,F30,F33,F40,F43,F46,F49,F52,F59,F62,F65)</f>
        <v>10.386363636363637</v>
      </c>
    </row>
    <row r="94" spans="1:9" x14ac:dyDescent="0.2">
      <c r="F94" s="3">
        <f>AVERAGE(F28,F31,F34,F41,F44,F47,F50,F53,F60,F63,F66)</f>
        <v>7.8081818181818186</v>
      </c>
    </row>
  </sheetData>
  <printOptions gridLines="1"/>
  <pageMargins left="0.75" right="0.75" top="1" bottom="1" header="0.5" footer="0.5"/>
  <pageSetup scale="64" fitToHeight="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SoilChemDF</vt:lpstr>
      <vt:lpstr>NO3 p01-p05</vt:lpstr>
      <vt:lpstr>NO3 p05-p09</vt:lpstr>
      <vt:lpstr>NO3 p09-p14</vt:lpstr>
      <vt:lpstr>NO3 p14-p17</vt:lpstr>
      <vt:lpstr>'NO3 p01-p05'!Print_Area</vt:lpstr>
      <vt:lpstr>'NO3 p05-p09'!Print_Area</vt:lpstr>
      <vt:lpstr>'NO3 p09-p14'!Print_Area</vt:lpstr>
      <vt:lpstr>'NO3 p14-p17'!Print_Area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2025-08-12T19:43:18Z</dcterms:created>
  <dcterms:modified xsi:type="dcterms:W3CDTF">2026-04-09T13:26:07Z</dcterms:modified>
</cp:coreProperties>
</file>