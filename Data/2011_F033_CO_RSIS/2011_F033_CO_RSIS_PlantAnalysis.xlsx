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1_F033_CO_RSIS\"/>
    </mc:Choice>
  </mc:AlternateContent>
  <xr:revisionPtr revIDLastSave="0" documentId="13_ncr:1_{AEF5F69E-5F3A-4EAB-A0B6-D04669F9F8F2}" xr6:coauthVersionLast="47" xr6:coauthVersionMax="47" xr10:uidLastSave="{00000000-0000-0000-0000-000000000000}"/>
  <bookViews>
    <workbookView xWindow="-1320" yWindow="-27240" windowWidth="17655" windowHeight="15615" xr2:uid="{F71E01BD-9837-44DA-A92B-65CB4EFE60D7}"/>
  </bookViews>
  <sheets>
    <sheet name="PlantDF" sheetId="14" r:id="rId1"/>
    <sheet name="1June11" sheetId="9" r:id="rId2"/>
    <sheet name="30June11" sheetId="10" r:id="rId3"/>
    <sheet name="27July11" sheetId="12" r:id="rId4"/>
    <sheet name="24Aug11" sheetId="13" r:id="rId5"/>
    <sheet name="Blank" sheetId="8" r:id="rId6"/>
  </sheets>
  <definedNames>
    <definedName name="_xlnm.Print_Area" localSheetId="1">'1June11'!$A$1:$P$20</definedName>
    <definedName name="_xlnm.Print_Area" localSheetId="4">'24Aug11'!$B$1:$S$20</definedName>
    <definedName name="_xlnm.Print_Area" localSheetId="3">'27July11'!$B$1:$T$20</definedName>
    <definedName name="_xlnm.Print_Area" localSheetId="2">'30June11'!$B$4:$Q$20</definedName>
    <definedName name="_xlnm.Print_Area" localSheetId="5">Blank!$B$1:$J$20</definedName>
    <definedName name="_xlnm.Print_Titles" localSheetId="2">'30June11'!$B:$B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" i="13" l="1"/>
  <c r="AA15" i="13"/>
  <c r="AA16" i="13"/>
  <c r="AA17" i="13"/>
  <c r="AA18" i="13"/>
  <c r="AA19" i="13"/>
  <c r="AA20" i="13"/>
  <c r="AA13" i="13"/>
  <c r="Y14" i="12"/>
  <c r="Y15" i="12"/>
  <c r="Y16" i="12"/>
  <c r="Y17" i="12"/>
  <c r="Y18" i="12"/>
  <c r="Y19" i="12"/>
  <c r="Y20" i="12"/>
  <c r="Y13" i="12"/>
  <c r="V14" i="10"/>
  <c r="V15" i="10"/>
  <c r="V16" i="10"/>
  <c r="V17" i="10"/>
  <c r="V18" i="10"/>
  <c r="V19" i="10"/>
  <c r="V20" i="10"/>
  <c r="V13" i="10"/>
  <c r="S14" i="9"/>
  <c r="S15" i="9"/>
  <c r="S16" i="9"/>
  <c r="S17" i="9"/>
  <c r="S18" i="9"/>
  <c r="S19" i="9"/>
  <c r="S20" i="9"/>
  <c r="S13" i="9"/>
  <c r="AB14" i="13"/>
  <c r="AC14" i="13"/>
  <c r="AD14" i="13"/>
  <c r="AE14" i="13"/>
  <c r="AB15" i="13"/>
  <c r="AC15" i="13"/>
  <c r="AD15" i="13"/>
  <c r="AE15" i="13"/>
  <c r="AB16" i="13"/>
  <c r="AC16" i="13"/>
  <c r="AD16" i="13"/>
  <c r="AE16" i="13"/>
  <c r="AG16" i="13"/>
  <c r="AB17" i="13"/>
  <c r="AC17" i="13"/>
  <c r="AD17" i="13"/>
  <c r="AE17" i="13"/>
  <c r="AB18" i="13"/>
  <c r="AC18" i="13"/>
  <c r="AD18" i="13"/>
  <c r="AE18" i="13"/>
  <c r="AG18" i="13"/>
  <c r="AB19" i="13"/>
  <c r="AC19" i="13"/>
  <c r="AD19" i="13"/>
  <c r="AE19" i="13"/>
  <c r="AB20" i="13"/>
  <c r="AC20" i="13"/>
  <c r="AD20" i="13"/>
  <c r="AE20" i="13"/>
  <c r="AG20" i="13"/>
  <c r="AE13" i="13"/>
  <c r="AD13" i="13"/>
  <c r="AC13" i="13"/>
  <c r="AB13" i="13"/>
  <c r="Z14" i="12"/>
  <c r="AA14" i="12"/>
  <c r="AB14" i="12"/>
  <c r="Z15" i="12"/>
  <c r="AA15" i="12"/>
  <c r="AB15" i="12"/>
  <c r="Z16" i="12"/>
  <c r="AA16" i="12"/>
  <c r="AB16" i="12"/>
  <c r="Z17" i="12"/>
  <c r="AA17" i="12"/>
  <c r="AB17" i="12"/>
  <c r="Z18" i="12"/>
  <c r="AA18" i="12"/>
  <c r="AB18" i="12"/>
  <c r="Z19" i="12"/>
  <c r="AA19" i="12"/>
  <c r="AB19" i="12"/>
  <c r="Z20" i="12"/>
  <c r="AA20" i="12"/>
  <c r="AB20" i="12"/>
  <c r="AB13" i="12"/>
  <c r="AA13" i="12"/>
  <c r="Z13" i="12"/>
  <c r="W14" i="10"/>
  <c r="X14" i="10"/>
  <c r="Y14" i="10"/>
  <c r="AA14" i="10"/>
  <c r="AB14" i="10"/>
  <c r="W15" i="10"/>
  <c r="X15" i="10"/>
  <c r="Y15" i="10"/>
  <c r="AA15" i="10"/>
  <c r="AB15" i="10"/>
  <c r="W16" i="10"/>
  <c r="X16" i="10"/>
  <c r="Y16" i="10"/>
  <c r="AA16" i="10"/>
  <c r="AB16" i="10"/>
  <c r="W17" i="10"/>
  <c r="X17" i="10"/>
  <c r="Y17" i="10"/>
  <c r="AA17" i="10"/>
  <c r="AB17" i="10"/>
  <c r="W18" i="10"/>
  <c r="X18" i="10"/>
  <c r="Y18" i="10"/>
  <c r="AA18" i="10"/>
  <c r="AB18" i="10"/>
  <c r="W19" i="10"/>
  <c r="X19" i="10"/>
  <c r="Y19" i="10"/>
  <c r="AA19" i="10"/>
  <c r="AB19" i="10"/>
  <c r="W20" i="10"/>
  <c r="X20" i="10"/>
  <c r="Y20" i="10"/>
  <c r="AA20" i="10"/>
  <c r="AB20" i="10"/>
  <c r="AB13" i="10"/>
  <c r="AA13" i="10"/>
  <c r="Y13" i="10"/>
  <c r="X13" i="10"/>
  <c r="W13" i="10"/>
  <c r="T14" i="9"/>
  <c r="X14" i="9"/>
  <c r="Y14" i="9"/>
  <c r="Z14" i="9"/>
  <c r="AD14" i="9"/>
  <c r="AA14" i="9" s="1"/>
  <c r="AE14" i="9"/>
  <c r="T15" i="9"/>
  <c r="X15" i="9"/>
  <c r="Y15" i="9"/>
  <c r="Z15" i="9"/>
  <c r="AD15" i="9"/>
  <c r="AE15" i="9"/>
  <c r="T16" i="9"/>
  <c r="X16" i="9"/>
  <c r="Y16" i="9"/>
  <c r="Z16" i="9"/>
  <c r="AD16" i="9"/>
  <c r="AA16" i="9" s="1"/>
  <c r="AE16" i="9"/>
  <c r="T17" i="9"/>
  <c r="X17" i="9"/>
  <c r="Y17" i="9"/>
  <c r="Z17" i="9"/>
  <c r="AD17" i="9"/>
  <c r="AE17" i="9"/>
  <c r="T18" i="9"/>
  <c r="X18" i="9"/>
  <c r="Y18" i="9"/>
  <c r="Z18" i="9"/>
  <c r="AD18" i="9"/>
  <c r="AA18" i="9" s="1"/>
  <c r="AE18" i="9"/>
  <c r="T19" i="9"/>
  <c r="X19" i="9"/>
  <c r="Y19" i="9"/>
  <c r="Z19" i="9"/>
  <c r="AD19" i="9"/>
  <c r="AA19" i="9" s="1"/>
  <c r="AE19" i="9"/>
  <c r="T20" i="9"/>
  <c r="X20" i="9"/>
  <c r="Y20" i="9"/>
  <c r="Z20" i="9"/>
  <c r="AD20" i="9"/>
  <c r="AA20" i="9" s="1"/>
  <c r="AE20" i="9"/>
  <c r="AE13" i="9"/>
  <c r="AD13" i="9"/>
  <c r="Z13" i="9"/>
  <c r="Y13" i="9"/>
  <c r="X13" i="9"/>
  <c r="T13" i="9"/>
  <c r="R13" i="9"/>
  <c r="Q13" i="9"/>
  <c r="P13" i="9"/>
  <c r="AC15" i="9" l="1"/>
  <c r="AA15" i="9"/>
  <c r="AB15" i="9"/>
  <c r="AB17" i="9"/>
  <c r="AA17" i="9"/>
  <c r="AB13" i="9"/>
  <c r="AC13" i="9"/>
  <c r="AA13" i="9"/>
  <c r="AB20" i="9"/>
  <c r="AC16" i="9"/>
  <c r="AB16" i="9"/>
  <c r="AC19" i="9"/>
  <c r="AB19" i="9"/>
  <c r="AC14" i="9"/>
  <c r="AB14" i="9"/>
  <c r="AC17" i="9"/>
  <c r="AC20" i="9"/>
  <c r="AC18" i="9"/>
  <c r="AB18" i="9"/>
  <c r="H24" i="13" l="1"/>
  <c r="I24" i="13" s="1"/>
  <c r="I33" i="13" s="1"/>
  <c r="U17" i="10"/>
  <c r="U18" i="10"/>
  <c r="U19" i="10"/>
  <c r="U20" i="10"/>
  <c r="R14" i="9"/>
  <c r="R21" i="9" s="1"/>
  <c r="R15" i="9"/>
  <c r="R16" i="9"/>
  <c r="R17" i="9"/>
  <c r="R18" i="9"/>
  <c r="R19" i="9"/>
  <c r="R20" i="9"/>
  <c r="C21" i="13"/>
  <c r="C21" i="12"/>
  <c r="C21" i="10"/>
  <c r="C21" i="9"/>
  <c r="Q14" i="9"/>
  <c r="Q15" i="9"/>
  <c r="Q16" i="9"/>
  <c r="Q17" i="9"/>
  <c r="Q18" i="9"/>
  <c r="Q19" i="9"/>
  <c r="Q20" i="9"/>
  <c r="T19" i="10"/>
  <c r="N23" i="13"/>
  <c r="N24" i="13" s="1"/>
  <c r="U55" i="13"/>
  <c r="V27" i="13"/>
  <c r="U57" i="13" s="1"/>
  <c r="T26" i="12"/>
  <c r="U56" i="13" s="1"/>
  <c r="Q26" i="10"/>
  <c r="N25" i="9"/>
  <c r="U54" i="13" s="1"/>
  <c r="I29" i="13"/>
  <c r="H31" i="13"/>
  <c r="I31" i="13" s="1"/>
  <c r="H25" i="13"/>
  <c r="I25" i="13" s="1"/>
  <c r="H26" i="13"/>
  <c r="I26" i="13" s="1"/>
  <c r="H27" i="13"/>
  <c r="I27" i="13" s="1"/>
  <c r="H28" i="13"/>
  <c r="I28" i="13" s="1"/>
  <c r="H29" i="13"/>
  <c r="H30" i="13"/>
  <c r="I30" i="13" s="1"/>
  <c r="S14" i="10"/>
  <c r="S15" i="10"/>
  <c r="S16" i="10"/>
  <c r="S17" i="10"/>
  <c r="S18" i="10"/>
  <c r="S19" i="10"/>
  <c r="S20" i="10"/>
  <c r="S13" i="10"/>
  <c r="S21" i="10" s="1"/>
  <c r="P14" i="9"/>
  <c r="P15" i="9"/>
  <c r="P16" i="9"/>
  <c r="P17" i="9"/>
  <c r="P18" i="9"/>
  <c r="P19" i="9"/>
  <c r="P20" i="9"/>
  <c r="P21" i="9"/>
  <c r="T20" i="13"/>
  <c r="T19" i="13"/>
  <c r="T18" i="13"/>
  <c r="T17" i="13"/>
  <c r="T16" i="13"/>
  <c r="T15" i="13"/>
  <c r="T14" i="13"/>
  <c r="T13" i="13"/>
  <c r="Q19" i="13"/>
  <c r="AG19" i="13" s="1"/>
  <c r="Q17" i="13"/>
  <c r="AG17" i="13" s="1"/>
  <c r="Q15" i="13"/>
  <c r="AG15" i="13" s="1"/>
  <c r="Q14" i="13"/>
  <c r="AG14" i="13" s="1"/>
  <c r="Q13" i="13"/>
  <c r="AG13" i="13" s="1"/>
  <c r="N20" i="13"/>
  <c r="N19" i="13"/>
  <c r="N18" i="13"/>
  <c r="N17" i="13"/>
  <c r="N16" i="13"/>
  <c r="N15" i="13"/>
  <c r="N14" i="13"/>
  <c r="N13" i="13"/>
  <c r="R20" i="12"/>
  <c r="R19" i="12"/>
  <c r="R18" i="12"/>
  <c r="R17" i="12"/>
  <c r="R16" i="12"/>
  <c r="R15" i="12"/>
  <c r="R14" i="12"/>
  <c r="R13" i="12"/>
  <c r="O20" i="12"/>
  <c r="AE20" i="12" s="1"/>
  <c r="O19" i="12"/>
  <c r="O18" i="12"/>
  <c r="AE18" i="12" s="1"/>
  <c r="O17" i="12"/>
  <c r="O16" i="12"/>
  <c r="AE16" i="12" s="1"/>
  <c r="O15" i="12"/>
  <c r="O14" i="12"/>
  <c r="AE14" i="12" s="1"/>
  <c r="O13" i="12"/>
  <c r="AE13" i="12" s="1"/>
  <c r="L20" i="12"/>
  <c r="L19" i="12"/>
  <c r="L18" i="12"/>
  <c r="L17" i="12"/>
  <c r="L16" i="12"/>
  <c r="L15" i="12"/>
  <c r="L14" i="12"/>
  <c r="L13" i="12"/>
  <c r="M20" i="10"/>
  <c r="M19" i="10"/>
  <c r="M18" i="10"/>
  <c r="M17" i="10"/>
  <c r="M16" i="10"/>
  <c r="M15" i="10"/>
  <c r="M14" i="10"/>
  <c r="M13" i="10"/>
  <c r="Q21" i="9" l="1"/>
  <c r="Z18" i="13"/>
  <c r="Y17" i="13"/>
  <c r="Y19" i="13"/>
  <c r="W14" i="12"/>
  <c r="W20" i="12"/>
  <c r="X19" i="12"/>
  <c r="X18" i="12"/>
  <c r="W17" i="12"/>
  <c r="X16" i="12"/>
  <c r="W13" i="12"/>
  <c r="X20" i="13"/>
  <c r="AF20" i="13"/>
  <c r="X19" i="13"/>
  <c r="AF19" i="13"/>
  <c r="AF18" i="13"/>
  <c r="X18" i="13"/>
  <c r="X17" i="13"/>
  <c r="AF17" i="13"/>
  <c r="X16" i="13"/>
  <c r="AF16" i="13"/>
  <c r="X15" i="13"/>
  <c r="AF15" i="13"/>
  <c r="X14" i="13"/>
  <c r="AF14" i="13"/>
  <c r="AF13" i="13"/>
  <c r="X13" i="13"/>
  <c r="AM20" i="13"/>
  <c r="Y20" i="13"/>
  <c r="AH20" i="13"/>
  <c r="AL20" i="13"/>
  <c r="Z20" i="13"/>
  <c r="AM19" i="13"/>
  <c r="AH19" i="13"/>
  <c r="AL19" i="13"/>
  <c r="Y18" i="13"/>
  <c r="AM18" i="13"/>
  <c r="AH18" i="13"/>
  <c r="AL18" i="13"/>
  <c r="AH17" i="13"/>
  <c r="AM17" i="13"/>
  <c r="AL17" i="13"/>
  <c r="AL16" i="13"/>
  <c r="AH16" i="13"/>
  <c r="AM16" i="13"/>
  <c r="Z15" i="13"/>
  <c r="AL15" i="13"/>
  <c r="AM15" i="13"/>
  <c r="AH15" i="13"/>
  <c r="Z14" i="13"/>
  <c r="AH14" i="13"/>
  <c r="AM14" i="13"/>
  <c r="AL14" i="13"/>
  <c r="Y13" i="13"/>
  <c r="Z13" i="13"/>
  <c r="AM13" i="13"/>
  <c r="AH13" i="13"/>
  <c r="AL13" i="13"/>
  <c r="V20" i="12"/>
  <c r="AD20" i="12"/>
  <c r="V19" i="12"/>
  <c r="AD19" i="12"/>
  <c r="V18" i="12"/>
  <c r="AD18" i="12"/>
  <c r="V17" i="12"/>
  <c r="AD17" i="12"/>
  <c r="V16" i="12"/>
  <c r="AD16" i="12"/>
  <c r="V15" i="12"/>
  <c r="AD15" i="12"/>
  <c r="AD14" i="12"/>
  <c r="V14" i="12"/>
  <c r="V21" i="12" s="1"/>
  <c r="X14" i="12"/>
  <c r="AD13" i="12"/>
  <c r="V13" i="12"/>
  <c r="AE19" i="12"/>
  <c r="W19" i="12"/>
  <c r="AE17" i="12"/>
  <c r="X17" i="12"/>
  <c r="W15" i="12"/>
  <c r="X15" i="12"/>
  <c r="AE15" i="12"/>
  <c r="AJ20" i="12"/>
  <c r="AK20" i="12"/>
  <c r="AF20" i="12"/>
  <c r="AF19" i="12"/>
  <c r="AK19" i="12"/>
  <c r="AJ19" i="12"/>
  <c r="AJ18" i="12"/>
  <c r="AF18" i="12"/>
  <c r="AK18" i="12"/>
  <c r="AK17" i="12"/>
  <c r="AF17" i="12"/>
  <c r="AJ17" i="12"/>
  <c r="AK16" i="12"/>
  <c r="AJ16" i="12"/>
  <c r="AF16" i="12"/>
  <c r="AJ15" i="12"/>
  <c r="AF15" i="12"/>
  <c r="AK15" i="12"/>
  <c r="AJ14" i="12"/>
  <c r="AF14" i="12"/>
  <c r="AK14" i="12"/>
  <c r="AJ13" i="12"/>
  <c r="AF13" i="12"/>
  <c r="AK13" i="12"/>
  <c r="T20" i="10"/>
  <c r="AH20" i="10"/>
  <c r="AC20" i="10"/>
  <c r="AG20" i="10"/>
  <c r="AG19" i="10"/>
  <c r="AC19" i="10"/>
  <c r="AH19" i="10"/>
  <c r="T18" i="10"/>
  <c r="AG18" i="10"/>
  <c r="AC18" i="10"/>
  <c r="AH18" i="10"/>
  <c r="T17" i="10"/>
  <c r="AH17" i="10"/>
  <c r="AC17" i="10"/>
  <c r="AG17" i="10"/>
  <c r="T16" i="10"/>
  <c r="AH16" i="10"/>
  <c r="AG16" i="10"/>
  <c r="AC16" i="10"/>
  <c r="T15" i="10"/>
  <c r="AG15" i="10"/>
  <c r="AC15" i="10"/>
  <c r="AH15" i="10"/>
  <c r="T14" i="10"/>
  <c r="AC14" i="10"/>
  <c r="AG14" i="10"/>
  <c r="AH14" i="10"/>
  <c r="U13" i="10"/>
  <c r="AH13" i="10"/>
  <c r="AC13" i="10"/>
  <c r="AG13" i="10"/>
  <c r="X23" i="13"/>
  <c r="U16" i="10"/>
  <c r="T13" i="10"/>
  <c r="T21" i="10" s="1"/>
  <c r="U15" i="10"/>
  <c r="U14" i="10"/>
  <c r="U21" i="10" s="1"/>
  <c r="W16" i="12"/>
  <c r="X13" i="12"/>
  <c r="X20" i="12"/>
  <c r="Z19" i="13"/>
  <c r="X21" i="13"/>
  <c r="Z17" i="13"/>
  <c r="Y16" i="13"/>
  <c r="Z16" i="13"/>
  <c r="Z21" i="13" s="1"/>
  <c r="Y15" i="13"/>
  <c r="Y14" i="13"/>
  <c r="Y21" i="13" s="1"/>
  <c r="W18" i="12"/>
  <c r="AK20" i="13" l="1"/>
  <c r="AI20" i="13"/>
  <c r="AJ20" i="13"/>
  <c r="AJ19" i="13"/>
  <c r="AI19" i="13"/>
  <c r="AK19" i="13"/>
  <c r="AK18" i="13"/>
  <c r="AJ18" i="13"/>
  <c r="AI18" i="13"/>
  <c r="AI17" i="13"/>
  <c r="AJ17" i="13"/>
  <c r="AK17" i="13"/>
  <c r="AJ16" i="13"/>
  <c r="AK16" i="13"/>
  <c r="AI16" i="13"/>
  <c r="AJ15" i="13"/>
  <c r="AK15" i="13"/>
  <c r="AI15" i="13"/>
  <c r="AJ14" i="13"/>
  <c r="AK14" i="13"/>
  <c r="AI14" i="13"/>
  <c r="AJ13" i="13"/>
  <c r="AI13" i="13"/>
  <c r="AK13" i="13"/>
  <c r="AI20" i="12"/>
  <c r="AH20" i="12"/>
  <c r="AG20" i="12"/>
  <c r="AH19" i="12"/>
  <c r="AI19" i="12"/>
  <c r="AG19" i="12"/>
  <c r="AI18" i="12"/>
  <c r="AH18" i="12"/>
  <c r="AG18" i="12"/>
  <c r="AH17" i="12"/>
  <c r="AI17" i="12"/>
  <c r="AG17" i="12"/>
  <c r="AH16" i="12"/>
  <c r="AI16" i="12"/>
  <c r="AG16" i="12"/>
  <c r="AH15" i="12"/>
  <c r="AI15" i="12"/>
  <c r="AG15" i="12"/>
  <c r="AH14" i="12"/>
  <c r="AI14" i="12"/>
  <c r="AG14" i="12"/>
  <c r="AH13" i="12"/>
  <c r="AG13" i="12"/>
  <c r="AI13" i="12"/>
  <c r="AF20" i="10"/>
  <c r="AE20" i="10"/>
  <c r="AD20" i="10"/>
  <c r="AD19" i="10"/>
  <c r="AE19" i="10"/>
  <c r="AF19" i="10"/>
  <c r="AD18" i="10"/>
  <c r="AF18" i="10"/>
  <c r="AE18" i="10"/>
  <c r="AF17" i="10"/>
  <c r="AE17" i="10"/>
  <c r="AD17" i="10"/>
  <c r="AE16" i="10"/>
  <c r="AF16" i="10"/>
  <c r="AD16" i="10"/>
  <c r="AE15" i="10"/>
  <c r="AF15" i="10"/>
  <c r="AD15" i="10"/>
  <c r="AF14" i="10"/>
  <c r="AE14" i="10"/>
  <c r="AD14" i="10"/>
  <c r="AD13" i="10"/>
  <c r="AF13" i="10"/>
  <c r="AE13" i="10"/>
  <c r="W21" i="12"/>
  <c r="X21" i="12"/>
  <c r="Z23" i="13"/>
</calcChain>
</file>

<file path=xl/sharedStrings.xml><?xml version="1.0" encoding="utf-8"?>
<sst xmlns="http://schemas.openxmlformats.org/spreadsheetml/2006/main" count="272" uniqueCount="114">
  <si>
    <t>Plant Samples</t>
  </si>
  <si>
    <t>Date collected:</t>
  </si>
  <si>
    <t xml:space="preserve"> Collected by:</t>
  </si>
  <si>
    <t>Processed by:</t>
  </si>
  <si>
    <t>Total # plants collected</t>
  </si>
  <si>
    <t>Date weighed:</t>
  </si>
  <si>
    <t>Date processed:</t>
  </si>
  <si>
    <t>Stems (g)</t>
  </si>
  <si>
    <t>Leaves (g)</t>
  </si>
  <si>
    <t>KRT</t>
  </si>
  <si>
    <t>SMM</t>
  </si>
  <si>
    <r>
      <t>Green Leaf Area (cm</t>
    </r>
    <r>
      <rPr>
        <b/>
        <vertAlign val="superscript"/>
        <sz val="10"/>
        <color indexed="8"/>
        <rFont val="Arial"/>
        <family val="2"/>
      </rPr>
      <t>2</t>
    </r>
    <r>
      <rPr>
        <b/>
        <sz val="10"/>
        <color indexed="8"/>
        <rFont val="Arial"/>
        <family val="2"/>
      </rPr>
      <t>)</t>
    </r>
  </si>
  <si>
    <t>Notes</t>
  </si>
  <si>
    <t>Plot</t>
  </si>
  <si>
    <t>-8 median plants-</t>
  </si>
  <si>
    <t>Petioles (g)</t>
  </si>
  <si>
    <t>Roots (g)</t>
  </si>
  <si>
    <t>Squares (g)</t>
  </si>
  <si>
    <t># Squares</t>
  </si>
  <si>
    <t>FISE - Cotton 2009</t>
  </si>
  <si>
    <t>Field 33</t>
  </si>
  <si>
    <r>
      <rPr>
        <b/>
        <sz val="12"/>
        <color indexed="8"/>
        <rFont val="Arial Rounded MT Bold"/>
        <family val="2"/>
      </rPr>
      <t>1</t>
    </r>
    <r>
      <rPr>
        <b/>
        <sz val="12"/>
        <color indexed="8"/>
        <rFont val="Arial"/>
        <family val="2"/>
      </rPr>
      <t xml:space="preserve">       </t>
    </r>
    <r>
      <rPr>
        <b/>
        <sz val="8"/>
        <color indexed="8"/>
        <rFont val="Arial"/>
        <family val="2"/>
      </rPr>
      <t>MAC</t>
    </r>
  </si>
  <si>
    <r>
      <rPr>
        <b/>
        <sz val="12"/>
        <color indexed="8"/>
        <rFont val="Arial Rounded MT Bold"/>
        <family val="2"/>
      </rPr>
      <t>3</t>
    </r>
    <r>
      <rPr>
        <b/>
        <sz val="12"/>
        <color indexed="8"/>
        <rFont val="Arial"/>
        <family val="2"/>
      </rPr>
      <t xml:space="preserve">          </t>
    </r>
    <r>
      <rPr>
        <b/>
        <sz val="8"/>
        <color indexed="8"/>
        <rFont val="Arial"/>
        <family val="2"/>
      </rPr>
      <t>FAO</t>
    </r>
  </si>
  <si>
    <r>
      <rPr>
        <b/>
        <sz val="12"/>
        <color indexed="8"/>
        <rFont val="Arial Rounded MT Bold"/>
        <family val="2"/>
      </rPr>
      <t>5</t>
    </r>
    <r>
      <rPr>
        <b/>
        <sz val="12"/>
        <color indexed="8"/>
        <rFont val="Arial"/>
        <family val="2"/>
      </rPr>
      <t xml:space="preserve">        </t>
    </r>
    <r>
      <rPr>
        <b/>
        <sz val="8"/>
        <color indexed="8"/>
        <rFont val="Arial"/>
        <family val="2"/>
      </rPr>
      <t>MAC</t>
    </r>
  </si>
  <si>
    <r>
      <rPr>
        <b/>
        <sz val="12"/>
        <color indexed="8"/>
        <rFont val="Arial Rounded MT Bold"/>
        <family val="2"/>
      </rPr>
      <t>7</t>
    </r>
    <r>
      <rPr>
        <b/>
        <sz val="12"/>
        <color indexed="8"/>
        <rFont val="Arial"/>
        <family val="2"/>
      </rPr>
      <t xml:space="preserve">        </t>
    </r>
    <r>
      <rPr>
        <b/>
        <sz val="8"/>
        <color indexed="8"/>
        <rFont val="Arial"/>
        <family val="2"/>
      </rPr>
      <t>NDA</t>
    </r>
  </si>
  <si>
    <r>
      <rPr>
        <b/>
        <sz val="12"/>
        <color indexed="8"/>
        <rFont val="Arial Rounded MT Bold"/>
        <family val="2"/>
      </rPr>
      <t>10</t>
    </r>
    <r>
      <rPr>
        <b/>
        <sz val="12"/>
        <color indexed="8"/>
        <rFont val="Arial"/>
        <family val="2"/>
      </rPr>
      <t xml:space="preserve">        </t>
    </r>
    <r>
      <rPr>
        <b/>
        <sz val="8"/>
        <color indexed="8"/>
        <rFont val="Arial"/>
        <family val="2"/>
      </rPr>
      <t>NDB</t>
    </r>
  </si>
  <si>
    <r>
      <rPr>
        <b/>
        <sz val="12"/>
        <color indexed="8"/>
        <rFont val="Arial Rounded MT Bold"/>
        <family val="2"/>
      </rPr>
      <t>12</t>
    </r>
    <r>
      <rPr>
        <b/>
        <sz val="12"/>
        <color indexed="8"/>
        <rFont val="Arial"/>
        <family val="2"/>
      </rPr>
      <t xml:space="preserve">       </t>
    </r>
    <r>
      <rPr>
        <b/>
        <sz val="8"/>
        <color indexed="8"/>
        <rFont val="Arial"/>
        <family val="2"/>
      </rPr>
      <t xml:space="preserve"> NDA</t>
    </r>
  </si>
  <si>
    <r>
      <rPr>
        <b/>
        <sz val="12"/>
        <color indexed="8"/>
        <rFont val="Arial Rounded MT Bold"/>
        <family val="2"/>
      </rPr>
      <t>13</t>
    </r>
    <r>
      <rPr>
        <b/>
        <sz val="12"/>
        <color indexed="8"/>
        <rFont val="Arial"/>
        <family val="2"/>
      </rPr>
      <t xml:space="preserve">      </t>
    </r>
    <r>
      <rPr>
        <b/>
        <sz val="8"/>
        <color indexed="8"/>
        <rFont val="Arial"/>
        <family val="2"/>
      </rPr>
      <t>FAO</t>
    </r>
  </si>
  <si>
    <r>
      <rPr>
        <b/>
        <sz val="12"/>
        <color indexed="8"/>
        <rFont val="Arial Rounded MT Bold"/>
        <family val="2"/>
      </rPr>
      <t xml:space="preserve">16     </t>
    </r>
    <r>
      <rPr>
        <b/>
        <sz val="12"/>
        <color indexed="8"/>
        <rFont val="Arial"/>
        <family val="2"/>
      </rPr>
      <t xml:space="preserve"> </t>
    </r>
    <r>
      <rPr>
        <b/>
        <sz val="8"/>
        <color indexed="8"/>
        <rFont val="Arial"/>
        <family val="2"/>
      </rPr>
      <t>NDB</t>
    </r>
  </si>
  <si>
    <t>Bulk IN Bag (g)</t>
  </si>
  <si>
    <t>Bulk Plant wt.(g)</t>
  </si>
  <si>
    <t># Open Flowers</t>
  </si>
  <si>
    <t># White Flowers</t>
  </si>
  <si>
    <t># Bolls (including pink flowers)</t>
  </si>
  <si>
    <t>Reproductive bits (squares, flowers, bolls - g)</t>
  </si>
  <si>
    <t>Bag wt (g)</t>
  </si>
  <si>
    <t>Bulk in bag (g)</t>
  </si>
  <si>
    <t>Stems in bag (g)</t>
  </si>
  <si>
    <t>Leaves in bag (g)</t>
  </si>
  <si>
    <t>Reproductive bits (squares, flowers, bolls) (g)</t>
  </si>
  <si>
    <t># Open Bolls</t>
  </si>
  <si>
    <t># Unopened Bolls</t>
  </si>
  <si>
    <t>FISE - Cotton 2011</t>
  </si>
  <si>
    <t># plants with squares</t>
  </si>
  <si>
    <t>30 June &amp; 1 July 2011</t>
  </si>
  <si>
    <t xml:space="preserve"> 30 June</t>
  </si>
  <si>
    <t>1 July</t>
  </si>
  <si>
    <t>7/27/2011 &amp; 28 July (plot 10 recollected)</t>
  </si>
  <si>
    <t>27-29 July</t>
  </si>
  <si>
    <t>SMM &amp; KRT</t>
  </si>
  <si>
    <t>processed</t>
  </si>
  <si>
    <t>27 July</t>
  </si>
  <si>
    <t>29 July</t>
  </si>
  <si>
    <t>28 July</t>
  </si>
  <si>
    <t>wilted in the field</t>
  </si>
  <si>
    <t>some chlorosis from layby spray</t>
  </si>
  <si>
    <t>collected only .5 meter.  Recollected 28 July (1 full meter)</t>
  </si>
  <si>
    <t>KRT &amp; SMM</t>
  </si>
  <si>
    <t>24, 25 &amp; 26 Aug</t>
  </si>
  <si>
    <t>Very few brown leaves.  And most of the brown leaves have dropped and are in the "bulk" bag.</t>
  </si>
  <si>
    <t>--</t>
  </si>
  <si>
    <t>Some stems cut small - easy to weigh without bag</t>
  </si>
  <si>
    <t>g/cm2</t>
  </si>
  <si>
    <t>kg/ha</t>
  </si>
  <si>
    <t>SQRNUM</t>
  </si>
  <si>
    <t>FLRNUM</t>
  </si>
  <si>
    <t>LWPD</t>
  </si>
  <si>
    <t>SWPD</t>
  </si>
  <si>
    <t>CWPD</t>
  </si>
  <si>
    <t>LWAD</t>
  </si>
  <si>
    <t>SWAD</t>
  </si>
  <si>
    <t>PWAD</t>
  </si>
  <si>
    <t>CWAD</t>
  </si>
  <si>
    <t>LAIDL</t>
  </si>
  <si>
    <t>GBNUM</t>
  </si>
  <si>
    <t>MBNUM</t>
  </si>
  <si>
    <t>Year</t>
  </si>
  <si>
    <t>DOY</t>
  </si>
  <si>
    <t>PSDATE</t>
  </si>
  <si>
    <t>NumPlts</t>
  </si>
  <si>
    <t>SID</t>
  </si>
  <si>
    <t>p01-S1</t>
  </si>
  <si>
    <t>p03-S1</t>
  </si>
  <si>
    <t>p05-S1</t>
  </si>
  <si>
    <t>p07-S1</t>
  </si>
  <si>
    <t>p10-S1</t>
  </si>
  <si>
    <t>p12-S1</t>
  </si>
  <si>
    <t>p13-S1</t>
  </si>
  <si>
    <t>p16-S1</t>
  </si>
  <si>
    <t>p02-S2</t>
  </si>
  <si>
    <t>p04-S2</t>
  </si>
  <si>
    <t>p06-S2</t>
  </si>
  <si>
    <t>p08-S2</t>
  </si>
  <si>
    <t>p09-S2</t>
  </si>
  <si>
    <t>p11-S2</t>
  </si>
  <si>
    <t>p14-S2</t>
  </si>
  <si>
    <t>p15-S2</t>
  </si>
  <si>
    <t>p01-S3</t>
  </si>
  <si>
    <t>p03-S3</t>
  </si>
  <si>
    <t>p05-S3</t>
  </si>
  <si>
    <t>p07-S3</t>
  </si>
  <si>
    <t>p10-S3</t>
  </si>
  <si>
    <t>p12-S3</t>
  </si>
  <si>
    <t>p13-S3</t>
  </si>
  <si>
    <t>p16-S3</t>
  </si>
  <si>
    <t>p02-S4</t>
  </si>
  <si>
    <t>p04-S4</t>
  </si>
  <si>
    <t>p06-S4</t>
  </si>
  <si>
    <t>p08-S4</t>
  </si>
  <si>
    <t>p09-S4</t>
  </si>
  <si>
    <t>p11-S4</t>
  </si>
  <si>
    <t>p14-S4</t>
  </si>
  <si>
    <t>p15-S4</t>
  </si>
  <si>
    <t>LAID_LAB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</si>
</sst>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"/>
    <numFmt numFmtId="166" formatCode="0.000"/>
  </numFmts>
  <fonts count="29" x14ac:knownFonts="1">
    <font>
      <sz val="11"/>
      <color theme="1"/>
      <name val="Calibri"/>
      <family val="2"/>
      <scheme val="minor"/>
    </font>
    <font>
      <b/>
      <vertAlign val="superscript"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 Rounded MT Bold"/>
      <family val="2"/>
    </font>
    <font>
      <b/>
      <sz val="14"/>
      <name val="Arial"/>
      <family val="2"/>
    </font>
    <font>
      <sz val="14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u/>
      <sz val="11"/>
      <color theme="6" tint="-0.499984740745262"/>
      <name val="Arial"/>
      <family val="2"/>
    </font>
    <font>
      <b/>
      <sz val="11"/>
      <color theme="6" tint="-0.499984740745262"/>
      <name val="Arial"/>
      <family val="2"/>
    </font>
    <font>
      <sz val="11"/>
      <color theme="6" tint="-0.49998474074526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 Black"/>
      <family val="2"/>
    </font>
    <font>
      <b/>
      <sz val="12"/>
      <color theme="1"/>
      <name val="Arial Rounded MT Bold"/>
      <family val="2"/>
    </font>
    <font>
      <b/>
      <sz val="8"/>
      <color theme="1"/>
      <name val="Arial"/>
      <family val="2"/>
    </font>
    <font>
      <b/>
      <sz val="11"/>
      <color theme="1"/>
      <name val="Arial Rounded MT Bold"/>
      <family val="2"/>
    </font>
    <font>
      <b/>
      <sz val="10"/>
      <color theme="1"/>
      <name val="Arial Rounded MT Bold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6" tint="-0.499984740745262"/>
      <name val="Arial"/>
      <family val="2"/>
    </font>
    <font>
      <b/>
      <sz val="14"/>
      <color theme="6" tint="-0.499984740745262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theme="0" tint="-0.149967955565050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46375B"/>
      </left>
      <right/>
      <top/>
      <bottom style="double">
        <color rgb="FF46375B"/>
      </bottom>
      <diagonal/>
    </border>
    <border>
      <left/>
      <right/>
      <top/>
      <bottom style="double">
        <color rgb="FF46375B"/>
      </bottom>
      <diagonal/>
    </border>
    <border>
      <left/>
      <right style="double">
        <color rgb="FF46375B"/>
      </right>
      <top/>
      <bottom style="double">
        <color rgb="FF46375B"/>
      </bottom>
      <diagonal/>
    </border>
    <border>
      <left style="double">
        <color rgb="FF46375B"/>
      </left>
      <right style="double">
        <color rgb="FF46375B"/>
      </right>
      <top/>
      <bottom style="double">
        <color rgb="FF46375B"/>
      </bottom>
      <diagonal/>
    </border>
    <border>
      <left style="double">
        <color rgb="FF46375B"/>
      </left>
      <right style="thin">
        <color indexed="64"/>
      </right>
      <top style="double">
        <color rgb="FF46375B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46375B"/>
      </top>
      <bottom style="thin">
        <color indexed="64"/>
      </bottom>
      <diagonal/>
    </border>
    <border>
      <left style="thin">
        <color indexed="64"/>
      </left>
      <right style="double">
        <color rgb="FF46375B"/>
      </right>
      <top style="double">
        <color rgb="FF46375B"/>
      </top>
      <bottom style="thin">
        <color indexed="64"/>
      </bottom>
      <diagonal/>
    </border>
    <border>
      <left style="double">
        <color rgb="FF46375B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46375B"/>
      </left>
      <right style="thin">
        <color indexed="64"/>
      </right>
      <top style="thin">
        <color indexed="64"/>
      </top>
      <bottom style="double">
        <color rgb="FF46375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46375B"/>
      </bottom>
      <diagonal/>
    </border>
    <border>
      <left/>
      <right style="double">
        <color rgb="FF46375B"/>
      </right>
      <top/>
      <bottom/>
      <diagonal/>
    </border>
    <border>
      <left style="thin">
        <color indexed="64"/>
      </left>
      <right style="double">
        <color rgb="FF46375B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46375B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46375B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/>
    </xf>
    <xf numFmtId="0" fontId="9" fillId="0" borderId="1" xfId="0" applyFont="1" applyBorder="1"/>
    <xf numFmtId="0" fontId="9" fillId="3" borderId="0" xfId="0" applyFont="1" applyFill="1"/>
    <xf numFmtId="15" fontId="9" fillId="0" borderId="1" xfId="0" applyNumberFormat="1" applyFont="1" applyBorder="1"/>
    <xf numFmtId="0" fontId="11" fillId="0" borderId="0" xfId="0" quotePrefix="1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2" fillId="3" borderId="0" xfId="0" applyFont="1" applyFill="1"/>
    <xf numFmtId="0" fontId="13" fillId="0" borderId="1" xfId="0" applyFont="1" applyBorder="1" applyAlignment="1">
      <alignment horizontal="center" wrapText="1"/>
    </xf>
    <xf numFmtId="0" fontId="13" fillId="3" borderId="1" xfId="0" applyFont="1" applyFill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9" fillId="0" borderId="0" xfId="0" applyFont="1" applyAlignment="1">
      <alignment horizontal="centerContinuous" vertical="top" wrapText="1"/>
    </xf>
    <xf numFmtId="0" fontId="14" fillId="0" borderId="0" xfId="0" quotePrefix="1" applyFont="1" applyAlignment="1">
      <alignment horizontal="centerContinuous"/>
    </xf>
    <xf numFmtId="0" fontId="15" fillId="0" borderId="0" xfId="0" applyFont="1" applyAlignment="1">
      <alignment horizontal="centerContinuous"/>
    </xf>
    <xf numFmtId="0" fontId="16" fillId="0" borderId="0" xfId="0" applyFont="1" applyAlignment="1">
      <alignment horizontal="centerContinuous"/>
    </xf>
    <xf numFmtId="0" fontId="17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15" fontId="9" fillId="0" borderId="0" xfId="0" applyNumberFormat="1" applyFont="1"/>
    <xf numFmtId="0" fontId="20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23" fillId="0" borderId="0" xfId="0" applyFont="1" applyAlignment="1">
      <alignment horizontal="center" wrapText="1"/>
    </xf>
    <xf numFmtId="0" fontId="23" fillId="0" borderId="21" xfId="0" applyFont="1" applyBorder="1" applyAlignment="1">
      <alignment horizontal="center" wrapText="1"/>
    </xf>
    <xf numFmtId="0" fontId="23" fillId="0" borderId="22" xfId="0" applyFont="1" applyBorder="1" applyAlignment="1">
      <alignment horizontal="center" wrapText="1"/>
    </xf>
    <xf numFmtId="0" fontId="19" fillId="0" borderId="23" xfId="0" applyFont="1" applyBorder="1" applyAlignment="1">
      <alignment horizontal="center" wrapText="1"/>
    </xf>
    <xf numFmtId="0" fontId="21" fillId="0" borderId="24" xfId="0" applyFont="1" applyBorder="1" applyAlignment="1">
      <alignment horizontal="center" wrapText="1"/>
    </xf>
    <xf numFmtId="0" fontId="22" fillId="0" borderId="24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25" fillId="0" borderId="5" xfId="0" applyFont="1" applyBorder="1" applyAlignment="1">
      <alignment vertical="center" wrapText="1"/>
    </xf>
    <xf numFmtId="2" fontId="26" fillId="0" borderId="6" xfId="0" applyNumberFormat="1" applyFont="1" applyBorder="1" applyAlignment="1">
      <alignment horizontal="center" vertical="center"/>
    </xf>
    <xf numFmtId="2" fontId="26" fillId="0" borderId="7" xfId="0" applyNumberFormat="1" applyFont="1" applyBorder="1" applyAlignment="1">
      <alignment horizontal="center" vertical="center"/>
    </xf>
    <xf numFmtId="2" fontId="26" fillId="0" borderId="3" xfId="0" applyNumberFormat="1" applyFont="1" applyBorder="1" applyAlignment="1">
      <alignment horizontal="center" vertical="center"/>
    </xf>
    <xf numFmtId="2" fontId="26" fillId="0" borderId="2" xfId="0" applyNumberFormat="1" applyFont="1" applyBorder="1" applyAlignment="1">
      <alignment horizontal="center" vertical="center"/>
    </xf>
    <xf numFmtId="2" fontId="26" fillId="0" borderId="8" xfId="0" applyNumberFormat="1" applyFont="1" applyBorder="1" applyAlignment="1">
      <alignment horizontal="center" vertical="center"/>
    </xf>
    <xf numFmtId="2" fontId="26" fillId="0" borderId="9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26" fillId="0" borderId="11" xfId="0" applyNumberFormat="1" applyFont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2" fontId="25" fillId="0" borderId="2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26" fillId="0" borderId="25" xfId="0" applyNumberFormat="1" applyFont="1" applyBorder="1" applyAlignment="1">
      <alignment horizontal="center" vertical="center"/>
    </xf>
    <xf numFmtId="2" fontId="26" fillId="0" borderId="26" xfId="0" applyNumberFormat="1" applyFont="1" applyBorder="1" applyAlignment="1">
      <alignment horizontal="center" vertical="center"/>
    </xf>
    <xf numFmtId="2" fontId="27" fillId="0" borderId="27" xfId="0" applyNumberFormat="1" applyFont="1" applyBorder="1" applyAlignment="1">
      <alignment horizontal="center" vertical="center"/>
    </xf>
    <xf numFmtId="2" fontId="27" fillId="0" borderId="12" xfId="0" applyNumberFormat="1" applyFont="1" applyBorder="1" applyAlignment="1">
      <alignment horizontal="center" vertical="center"/>
    </xf>
    <xf numFmtId="2" fontId="27" fillId="0" borderId="13" xfId="0" applyNumberFormat="1" applyFont="1" applyBorder="1" applyAlignment="1">
      <alignment horizontal="center" vertical="center"/>
    </xf>
    <xf numFmtId="2" fontId="26" fillId="0" borderId="28" xfId="0" applyNumberFormat="1" applyFont="1" applyBorder="1" applyAlignment="1">
      <alignment horizontal="center" vertical="center"/>
    </xf>
    <xf numFmtId="2" fontId="27" fillId="0" borderId="3" xfId="0" applyNumberFormat="1" applyFont="1" applyBorder="1" applyAlignment="1">
      <alignment horizontal="center" vertical="center"/>
    </xf>
    <xf numFmtId="2" fontId="27" fillId="0" borderId="2" xfId="0" applyNumberFormat="1" applyFont="1" applyBorder="1" applyAlignment="1">
      <alignment horizontal="center" vertical="center"/>
    </xf>
    <xf numFmtId="2" fontId="26" fillId="0" borderId="29" xfId="0" applyNumberFormat="1" applyFont="1" applyBorder="1" applyAlignment="1">
      <alignment horizontal="center" vertical="center"/>
    </xf>
    <xf numFmtId="2" fontId="26" fillId="0" borderId="30" xfId="0" applyNumberFormat="1" applyFont="1" applyBorder="1" applyAlignment="1">
      <alignment horizontal="center" vertical="center"/>
    </xf>
    <xf numFmtId="0" fontId="25" fillId="0" borderId="0" xfId="0" applyFont="1" applyAlignment="1">
      <alignment wrapText="1"/>
    </xf>
    <xf numFmtId="15" fontId="9" fillId="0" borderId="1" xfId="0" applyNumberFormat="1" applyFont="1" applyBorder="1" applyAlignment="1">
      <alignment horizontal="center" vertical="center"/>
    </xf>
    <xf numFmtId="2" fontId="26" fillId="0" borderId="14" xfId="0" applyNumberFormat="1" applyFon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/>
    </xf>
    <xf numFmtId="2" fontId="26" fillId="0" borderId="15" xfId="0" applyNumberFormat="1" applyFont="1" applyBorder="1" applyAlignment="1">
      <alignment horizontal="center" vertical="center"/>
    </xf>
    <xf numFmtId="0" fontId="14" fillId="0" borderId="0" xfId="0" quotePrefix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9" fontId="9" fillId="0" borderId="3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16" fontId="23" fillId="0" borderId="0" xfId="0" applyNumberFormat="1" applyFont="1" applyAlignment="1">
      <alignment horizontal="center" vertical="center" wrapText="1"/>
    </xf>
    <xf numFmtId="0" fontId="19" fillId="0" borderId="31" xfId="0" applyFont="1" applyBorder="1" applyAlignment="1">
      <alignment horizontal="center" wrapText="1"/>
    </xf>
    <xf numFmtId="2" fontId="27" fillId="0" borderId="32" xfId="0" applyNumberFormat="1" applyFont="1" applyBorder="1" applyAlignment="1">
      <alignment horizontal="center" vertical="center"/>
    </xf>
    <xf numFmtId="2" fontId="27" fillId="0" borderId="33" xfId="0" applyNumberFormat="1" applyFont="1" applyBorder="1" applyAlignment="1">
      <alignment horizontal="center" vertical="center"/>
    </xf>
    <xf numFmtId="2" fontId="27" fillId="0" borderId="34" xfId="0" applyNumberFormat="1" applyFont="1" applyBorder="1" applyAlignment="1">
      <alignment horizontal="center" vertical="center"/>
    </xf>
    <xf numFmtId="2" fontId="26" fillId="0" borderId="28" xfId="0" quotePrefix="1" applyNumberFormat="1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2" fontId="9" fillId="0" borderId="0" xfId="0" applyNumberFormat="1" applyFont="1"/>
    <xf numFmtId="0" fontId="28" fillId="0" borderId="0" xfId="0" applyFont="1"/>
    <xf numFmtId="2" fontId="0" fillId="0" borderId="0" xfId="0" applyNumberFormat="1"/>
    <xf numFmtId="2" fontId="9" fillId="0" borderId="0" xfId="0" applyNumberFormat="1" applyFont="1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" fontId="12" fillId="0" borderId="16" xfId="0" quotePrefix="1" applyNumberFormat="1" applyFont="1" applyBorder="1" applyAlignment="1">
      <alignment horizontal="center" vertical="center" textRotation="255"/>
    </xf>
    <xf numFmtId="0" fontId="12" fillId="0" borderId="17" xfId="0" applyFont="1" applyBorder="1" applyAlignment="1">
      <alignment horizontal="center" vertical="center" textRotation="255"/>
    </xf>
    <xf numFmtId="0" fontId="12" fillId="0" borderId="18" xfId="0" applyFont="1" applyBorder="1" applyAlignment="1">
      <alignment horizontal="center" vertical="center" textRotation="255"/>
    </xf>
    <xf numFmtId="0" fontId="12" fillId="0" borderId="16" xfId="0" quotePrefix="1" applyFont="1" applyBorder="1" applyAlignment="1">
      <alignment horizontal="center" vertical="center" textRotation="255"/>
    </xf>
    <xf numFmtId="0" fontId="8" fillId="0" borderId="17" xfId="0" applyFont="1" applyBorder="1" applyAlignment="1">
      <alignment horizontal="center" vertical="center" textRotation="255"/>
    </xf>
    <xf numFmtId="0" fontId="8" fillId="0" borderId="18" xfId="0" applyFont="1" applyBorder="1" applyAlignment="1">
      <alignment horizontal="center" vertical="center" textRotation="255"/>
    </xf>
    <xf numFmtId="0" fontId="25" fillId="0" borderId="19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'24Aug11'!$T$54:$T$57</c:f>
              <c:numCache>
                <c:formatCode>General</c:formatCode>
                <c:ptCount val="4"/>
                <c:pt idx="0">
                  <c:v>152</c:v>
                </c:pt>
                <c:pt idx="1">
                  <c:v>181</c:v>
                </c:pt>
                <c:pt idx="2">
                  <c:v>208</c:v>
                </c:pt>
                <c:pt idx="3">
                  <c:v>236</c:v>
                </c:pt>
              </c:numCache>
            </c:numRef>
          </c:xVal>
          <c:yVal>
            <c:numRef>
              <c:f>'24Aug11'!$U$54:$U$57</c:f>
              <c:numCache>
                <c:formatCode>0.00</c:formatCode>
                <c:ptCount val="4"/>
                <c:pt idx="0">
                  <c:v>5.9999999999999991E-2</c:v>
                </c:pt>
                <c:pt idx="1">
                  <c:v>18.127499999999998</c:v>
                </c:pt>
                <c:pt idx="2">
                  <c:v>142.63499999999999</c:v>
                </c:pt>
                <c:pt idx="3">
                  <c:v>300.6225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2E-45E5-A2D5-C515CEA04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896368"/>
        <c:axId val="1"/>
      </c:scatterChart>
      <c:valAx>
        <c:axId val="1631896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6318963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61</xdr:row>
      <xdr:rowOff>161925</xdr:rowOff>
    </xdr:from>
    <xdr:to>
      <xdr:col>22</xdr:col>
      <xdr:colOff>47625</xdr:colOff>
      <xdr:row>87</xdr:row>
      <xdr:rowOff>0</xdr:rowOff>
    </xdr:to>
    <xdr:graphicFrame macro="">
      <xdr:nvGraphicFramePr>
        <xdr:cNvPr id="2065" name="Chart 1">
          <a:extLst>
            <a:ext uri="{FF2B5EF4-FFF2-40B4-BE49-F238E27FC236}">
              <a16:creationId xmlns:a16="http://schemas.microsoft.com/office/drawing/2014/main" id="{8FC0B0F9-7477-3BB1-BED8-375C6C758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891C8-1486-4C07-B578-5B618A0FFE49}">
  <dimension ref="A1:Q33"/>
  <sheetViews>
    <sheetView tabSelected="1" workbookViewId="0"/>
  </sheetViews>
  <sheetFormatPr defaultRowHeight="15" x14ac:dyDescent="0.25"/>
  <cols>
    <col min="3" max="3" width="10.7109375" bestFit="1" customWidth="1"/>
  </cols>
  <sheetData>
    <row r="1" spans="1:17" x14ac:dyDescent="0.25">
      <c r="A1" t="s">
        <v>76</v>
      </c>
      <c r="B1" t="s">
        <v>77</v>
      </c>
      <c r="C1" t="s">
        <v>78</v>
      </c>
      <c r="D1" t="s">
        <v>80</v>
      </c>
      <c r="E1" t="s">
        <v>79</v>
      </c>
      <c r="F1" t="s">
        <v>64</v>
      </c>
      <c r="G1" t="s">
        <v>65</v>
      </c>
      <c r="H1" t="s">
        <v>74</v>
      </c>
      <c r="I1" t="s">
        <v>75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113</v>
      </c>
    </row>
    <row r="2" spans="1:17" x14ac:dyDescent="0.25">
      <c r="A2">
        <v>2011</v>
      </c>
      <c r="B2">
        <v>152</v>
      </c>
      <c r="C2" s="89">
        <v>40695</v>
      </c>
      <c r="D2" t="s">
        <v>81</v>
      </c>
      <c r="E2">
        <v>18</v>
      </c>
      <c r="F2" s="90">
        <v>1.375</v>
      </c>
      <c r="G2" s="90">
        <v>0</v>
      </c>
      <c r="H2" s="90">
        <v>0</v>
      </c>
      <c r="I2" s="90">
        <v>0</v>
      </c>
      <c r="J2" s="87">
        <v>1.635</v>
      </c>
      <c r="K2" s="87">
        <v>1.10375</v>
      </c>
      <c r="L2" s="87">
        <v>2.6594444444444445</v>
      </c>
      <c r="M2" s="90">
        <v>280.25426732981703</v>
      </c>
      <c r="N2" s="90">
        <v>189.19305661485356</v>
      </c>
      <c r="O2" s="90">
        <v>1.7140933781640186</v>
      </c>
      <c r="P2" s="90">
        <v>471.16141732283461</v>
      </c>
      <c r="Q2" s="91">
        <v>0.36313925263093816</v>
      </c>
    </row>
    <row r="3" spans="1:17" x14ac:dyDescent="0.25">
      <c r="A3">
        <v>2011</v>
      </c>
      <c r="B3">
        <v>152</v>
      </c>
      <c r="C3" s="89">
        <v>40695</v>
      </c>
      <c r="D3" t="s">
        <v>82</v>
      </c>
      <c r="E3">
        <v>15</v>
      </c>
      <c r="F3" s="90">
        <v>1.625</v>
      </c>
      <c r="G3" s="90">
        <v>0</v>
      </c>
      <c r="H3" s="90">
        <v>0</v>
      </c>
      <c r="I3" s="90">
        <v>0</v>
      </c>
      <c r="J3" s="87">
        <v>1.7437499999999999</v>
      </c>
      <c r="K3" s="87">
        <v>1.2</v>
      </c>
      <c r="L3" s="87">
        <v>2.9253333333333336</v>
      </c>
      <c r="M3" s="90">
        <v>254.85880730644712</v>
      </c>
      <c r="N3" s="90">
        <v>175.38670610336149</v>
      </c>
      <c r="O3" s="90">
        <v>1.6442503697190136</v>
      </c>
      <c r="P3" s="90">
        <v>431.88976377952758</v>
      </c>
      <c r="Q3" s="91">
        <v>0.33640631786508923</v>
      </c>
    </row>
    <row r="4" spans="1:17" x14ac:dyDescent="0.25">
      <c r="A4">
        <v>2011</v>
      </c>
      <c r="B4">
        <v>152</v>
      </c>
      <c r="C4" s="89">
        <v>40695</v>
      </c>
      <c r="D4" t="s">
        <v>83</v>
      </c>
      <c r="E4">
        <v>23</v>
      </c>
      <c r="F4" s="90">
        <v>0.875</v>
      </c>
      <c r="G4" s="90">
        <v>0</v>
      </c>
      <c r="H4" s="90">
        <v>0</v>
      </c>
      <c r="I4" s="90">
        <v>0</v>
      </c>
      <c r="J4" s="87">
        <v>1.3975</v>
      </c>
      <c r="K4" s="87">
        <v>0.95374999999999999</v>
      </c>
      <c r="L4" s="87">
        <v>2.2878260869565219</v>
      </c>
      <c r="M4" s="90">
        <v>307.50247761780702</v>
      </c>
      <c r="N4" s="90">
        <v>209.86081433129408</v>
      </c>
      <c r="O4" s="90">
        <v>0.55009387767049567</v>
      </c>
      <c r="P4" s="90">
        <v>517.91338582677167</v>
      </c>
      <c r="Q4" s="91">
        <v>0.41327177794690162</v>
      </c>
    </row>
    <row r="5" spans="1:17" x14ac:dyDescent="0.25">
      <c r="A5">
        <v>2011</v>
      </c>
      <c r="B5">
        <v>152</v>
      </c>
      <c r="C5" s="89">
        <v>40695</v>
      </c>
      <c r="D5" t="s">
        <v>84</v>
      </c>
      <c r="E5">
        <v>19</v>
      </c>
      <c r="F5" s="90">
        <v>1.375</v>
      </c>
      <c r="G5" s="90">
        <v>0</v>
      </c>
      <c r="H5" s="90">
        <v>0</v>
      </c>
      <c r="I5" s="90">
        <v>0</v>
      </c>
      <c r="J5" s="87">
        <v>1.4512499999999999</v>
      </c>
      <c r="K5" s="87">
        <v>0.92749999999999999</v>
      </c>
      <c r="L5" s="87">
        <v>2.1831578947368424</v>
      </c>
      <c r="M5" s="90">
        <v>248.03705855449385</v>
      </c>
      <c r="N5" s="90">
        <v>158.52153096247585</v>
      </c>
      <c r="O5" s="90">
        <v>1.7091270184633516</v>
      </c>
      <c r="P5" s="90">
        <v>408.26771653543307</v>
      </c>
      <c r="Q5" s="91">
        <v>0.34361144142696454</v>
      </c>
    </row>
    <row r="6" spans="1:17" x14ac:dyDescent="0.25">
      <c r="A6">
        <v>2011</v>
      </c>
      <c r="B6">
        <v>152</v>
      </c>
      <c r="C6" s="89">
        <v>40695</v>
      </c>
      <c r="D6" t="s">
        <v>85</v>
      </c>
      <c r="E6">
        <v>18</v>
      </c>
      <c r="F6" s="90">
        <v>1.125</v>
      </c>
      <c r="G6" s="90">
        <v>0</v>
      </c>
      <c r="H6" s="90">
        <v>0</v>
      </c>
      <c r="I6" s="90">
        <v>0</v>
      </c>
      <c r="J6" s="87">
        <v>1.6575</v>
      </c>
      <c r="K6" s="87">
        <v>1.0362499999999999</v>
      </c>
      <c r="L6" s="87">
        <v>2.5438888888888886</v>
      </c>
      <c r="M6" s="90">
        <v>276.67295494313203</v>
      </c>
      <c r="N6" s="90">
        <v>172.97275991542719</v>
      </c>
      <c r="O6" s="90">
        <v>1.0432615193934089</v>
      </c>
      <c r="P6" s="90">
        <v>450.68897637795271</v>
      </c>
      <c r="Q6" s="91">
        <v>0.34904817958953038</v>
      </c>
    </row>
    <row r="7" spans="1:17" x14ac:dyDescent="0.25">
      <c r="A7">
        <v>2011</v>
      </c>
      <c r="B7">
        <v>152</v>
      </c>
      <c r="C7" s="89">
        <v>40695</v>
      </c>
      <c r="D7" t="s">
        <v>86</v>
      </c>
      <c r="E7">
        <v>21</v>
      </c>
      <c r="F7" s="90">
        <v>1.375</v>
      </c>
      <c r="G7" s="90">
        <v>0</v>
      </c>
      <c r="H7" s="90">
        <v>0</v>
      </c>
      <c r="I7" s="90">
        <v>0</v>
      </c>
      <c r="J7" s="87">
        <v>1.35375</v>
      </c>
      <c r="K7" s="87">
        <v>0.99875000000000003</v>
      </c>
      <c r="L7" s="87">
        <v>2.2514285714285713</v>
      </c>
      <c r="M7" s="90">
        <v>266.65541807274093</v>
      </c>
      <c r="N7" s="90">
        <v>196.72915885514311</v>
      </c>
      <c r="O7" s="90">
        <v>1.9697537807774028</v>
      </c>
      <c r="P7" s="90">
        <v>465.35433070866139</v>
      </c>
      <c r="Q7" s="91">
        <v>0.36233867016622923</v>
      </c>
    </row>
    <row r="8" spans="1:17" x14ac:dyDescent="0.25">
      <c r="A8">
        <v>2011</v>
      </c>
      <c r="B8">
        <v>152</v>
      </c>
      <c r="C8" s="89">
        <v>40695</v>
      </c>
      <c r="D8" t="s">
        <v>87</v>
      </c>
      <c r="E8">
        <v>20</v>
      </c>
      <c r="F8" s="90">
        <v>1</v>
      </c>
      <c r="G8" s="90">
        <v>0</v>
      </c>
      <c r="H8" s="90">
        <v>0</v>
      </c>
      <c r="I8" s="90">
        <v>0</v>
      </c>
      <c r="J8" s="87">
        <v>1.5075000000000001</v>
      </c>
      <c r="K8" s="87">
        <v>0.95250000000000001</v>
      </c>
      <c r="L8" s="87">
        <v>2.5820000000000003</v>
      </c>
      <c r="M8" s="90">
        <v>310.83715321588858</v>
      </c>
      <c r="N8" s="90">
        <v>196.39959432048681</v>
      </c>
      <c r="O8" s="90">
        <v>1.0309689990576736</v>
      </c>
      <c r="P8" s="90">
        <v>508.26771653543307</v>
      </c>
      <c r="Q8" s="91">
        <v>0.4189858012170386</v>
      </c>
    </row>
    <row r="9" spans="1:17" x14ac:dyDescent="0.25">
      <c r="A9">
        <v>2011</v>
      </c>
      <c r="B9">
        <v>152</v>
      </c>
      <c r="C9" s="89">
        <v>40695</v>
      </c>
      <c r="D9" t="s">
        <v>88</v>
      </c>
      <c r="E9">
        <v>17</v>
      </c>
      <c r="F9" s="90">
        <v>0.625</v>
      </c>
      <c r="G9" s="90">
        <v>0</v>
      </c>
      <c r="H9" s="90">
        <v>0</v>
      </c>
      <c r="I9" s="90">
        <v>0</v>
      </c>
      <c r="J9" s="87">
        <v>1.675</v>
      </c>
      <c r="K9" s="87">
        <v>1.20875</v>
      </c>
      <c r="L9" s="87">
        <v>2.8823529411764701</v>
      </c>
      <c r="M9" s="90">
        <v>279.64510710501298</v>
      </c>
      <c r="N9" s="90">
        <v>201.80359594816983</v>
      </c>
      <c r="O9" s="90">
        <v>0.83476151374630747</v>
      </c>
      <c r="P9" s="90">
        <v>482.28346456692913</v>
      </c>
      <c r="Q9" s="91">
        <v>0.37652961529419376</v>
      </c>
    </row>
    <row r="10" spans="1:17" x14ac:dyDescent="0.25">
      <c r="A10">
        <v>2011</v>
      </c>
      <c r="B10">
        <v>181</v>
      </c>
      <c r="C10" s="89">
        <v>40724</v>
      </c>
      <c r="D10" t="s">
        <v>89</v>
      </c>
      <c r="E10">
        <v>14</v>
      </c>
      <c r="F10" s="90">
        <v>20</v>
      </c>
      <c r="G10" s="90">
        <v>0.625</v>
      </c>
      <c r="H10" s="90">
        <v>1.125</v>
      </c>
      <c r="I10" s="90">
        <v>0</v>
      </c>
      <c r="J10" s="87">
        <v>12.828749999999999</v>
      </c>
      <c r="K10" s="87">
        <v>15.85125</v>
      </c>
      <c r="L10" s="87">
        <v>31.57928571428571</v>
      </c>
      <c r="M10" s="90">
        <v>1819.1121004859115</v>
      </c>
      <c r="N10" s="90">
        <v>2247.7015050435398</v>
      </c>
      <c r="O10" s="90">
        <v>284.66277242330443</v>
      </c>
      <c r="P10" s="90">
        <v>4351.4763779527557</v>
      </c>
      <c r="Q10" s="91">
        <v>2.9781468880799267</v>
      </c>
    </row>
    <row r="11" spans="1:17" x14ac:dyDescent="0.25">
      <c r="A11">
        <v>2011</v>
      </c>
      <c r="B11">
        <v>181</v>
      </c>
      <c r="C11" s="89">
        <v>40724</v>
      </c>
      <c r="D11" t="s">
        <v>90</v>
      </c>
      <c r="E11">
        <v>17</v>
      </c>
      <c r="F11" s="90">
        <v>15.875</v>
      </c>
      <c r="G11" s="90">
        <v>0.375</v>
      </c>
      <c r="H11" s="90">
        <v>2.625</v>
      </c>
      <c r="I11" s="90">
        <v>0</v>
      </c>
      <c r="J11" s="87">
        <v>11.76375</v>
      </c>
      <c r="K11" s="87">
        <v>14.155000000000001</v>
      </c>
      <c r="L11" s="87">
        <v>27.856470588235297</v>
      </c>
      <c r="M11" s="90">
        <v>1957.4676829437553</v>
      </c>
      <c r="N11" s="90">
        <v>2355.3675530395376</v>
      </c>
      <c r="O11" s="90">
        <v>348.18838606395138</v>
      </c>
      <c r="P11" s="90">
        <v>4661.0236220472443</v>
      </c>
      <c r="Q11" s="91">
        <v>3.1965108225990475</v>
      </c>
    </row>
    <row r="12" spans="1:17" x14ac:dyDescent="0.25">
      <c r="A12">
        <v>2011</v>
      </c>
      <c r="B12">
        <v>181</v>
      </c>
      <c r="C12" s="89">
        <v>40724</v>
      </c>
      <c r="D12" t="s">
        <v>91</v>
      </c>
      <c r="E12">
        <v>22</v>
      </c>
      <c r="F12" s="90">
        <v>11.125</v>
      </c>
      <c r="G12" s="90">
        <v>0.375</v>
      </c>
      <c r="H12" s="90">
        <v>1.875</v>
      </c>
      <c r="I12" s="90">
        <v>0</v>
      </c>
      <c r="J12" s="87">
        <v>7.9050000000000002</v>
      </c>
      <c r="K12" s="87">
        <v>9.4075000000000006</v>
      </c>
      <c r="L12" s="87">
        <v>18.329999999999998</v>
      </c>
      <c r="M12" s="90">
        <v>1664.051547554169</v>
      </c>
      <c r="N12" s="90">
        <v>1980.3371200020044</v>
      </c>
      <c r="O12" s="90">
        <v>324.70582063280278</v>
      </c>
      <c r="P12" s="90">
        <v>3969.0944881889764</v>
      </c>
      <c r="Q12" s="91">
        <v>2.378193846741711</v>
      </c>
    </row>
    <row r="13" spans="1:17" x14ac:dyDescent="0.25">
      <c r="A13">
        <v>2011</v>
      </c>
      <c r="B13">
        <v>181</v>
      </c>
      <c r="C13" s="89">
        <v>40724</v>
      </c>
      <c r="D13" t="s">
        <v>92</v>
      </c>
      <c r="E13">
        <v>19</v>
      </c>
      <c r="F13" s="90">
        <v>17.375</v>
      </c>
      <c r="G13" s="90">
        <v>0.375</v>
      </c>
      <c r="H13" s="90">
        <v>3.375</v>
      </c>
      <c r="I13" s="90">
        <v>0</v>
      </c>
      <c r="J13" s="87">
        <v>10.9025</v>
      </c>
      <c r="K13" s="87">
        <v>13.5725</v>
      </c>
      <c r="L13" s="87">
        <v>24.450526315789478</v>
      </c>
      <c r="M13" s="90">
        <v>1848.3028188005678</v>
      </c>
      <c r="N13" s="90">
        <v>2300.9484070782578</v>
      </c>
      <c r="O13" s="90">
        <v>423.18971900306514</v>
      </c>
      <c r="P13" s="90">
        <v>4572.4409448818906</v>
      </c>
      <c r="Q13" s="91">
        <v>3.1956439472039166</v>
      </c>
    </row>
    <row r="14" spans="1:17" x14ac:dyDescent="0.25">
      <c r="A14">
        <v>2011</v>
      </c>
      <c r="B14">
        <v>181</v>
      </c>
      <c r="C14" s="89">
        <v>40724</v>
      </c>
      <c r="D14" t="s">
        <v>93</v>
      </c>
      <c r="E14">
        <v>21</v>
      </c>
      <c r="F14" s="90">
        <v>11.875</v>
      </c>
      <c r="G14" s="90">
        <v>0.5</v>
      </c>
      <c r="H14" s="90">
        <v>2.25</v>
      </c>
      <c r="I14" s="90">
        <v>0</v>
      </c>
      <c r="J14" s="87">
        <v>7.8987499999999997</v>
      </c>
      <c r="K14" s="87">
        <v>8.9674999999999994</v>
      </c>
      <c r="L14" s="87">
        <v>17.68</v>
      </c>
      <c r="M14" s="90">
        <v>1543.0481622473435</v>
      </c>
      <c r="N14" s="90">
        <v>1751.8321753382561</v>
      </c>
      <c r="O14" s="90">
        <v>359.45037107581732</v>
      </c>
      <c r="P14" s="90">
        <v>3654.3307086614172</v>
      </c>
      <c r="Q14" s="91">
        <v>2.2822168261376281</v>
      </c>
    </row>
    <row r="15" spans="1:17" x14ac:dyDescent="0.25">
      <c r="A15">
        <v>2011</v>
      </c>
      <c r="B15">
        <v>181</v>
      </c>
      <c r="C15" s="89">
        <v>40724</v>
      </c>
      <c r="D15" t="s">
        <v>94</v>
      </c>
      <c r="E15">
        <v>17</v>
      </c>
      <c r="F15" s="90">
        <v>16.25</v>
      </c>
      <c r="G15" s="90">
        <v>0.875</v>
      </c>
      <c r="H15" s="90">
        <v>3.125</v>
      </c>
      <c r="I15" s="90">
        <v>0</v>
      </c>
      <c r="J15" s="87">
        <v>10.255000000000001</v>
      </c>
      <c r="K15" s="87">
        <v>12.170000000000002</v>
      </c>
      <c r="L15" s="87">
        <v>22.231764705882352</v>
      </c>
      <c r="M15" s="90">
        <v>1480.8050377806805</v>
      </c>
      <c r="N15" s="90">
        <v>1757.3278702867754</v>
      </c>
      <c r="O15" s="90">
        <v>481.74898169632331</v>
      </c>
      <c r="P15" s="90">
        <v>3719.8818897637793</v>
      </c>
      <c r="Q15" s="91">
        <v>2.1029814109193943</v>
      </c>
    </row>
    <row r="16" spans="1:17" x14ac:dyDescent="0.25">
      <c r="A16">
        <v>2011</v>
      </c>
      <c r="B16">
        <v>181</v>
      </c>
      <c r="C16" s="89">
        <v>40724</v>
      </c>
      <c r="D16" t="s">
        <v>95</v>
      </c>
      <c r="E16">
        <v>17</v>
      </c>
      <c r="F16" s="90">
        <v>12.75</v>
      </c>
      <c r="G16" s="90">
        <v>0.375</v>
      </c>
      <c r="H16" s="90">
        <v>3.5</v>
      </c>
      <c r="I16" s="90">
        <v>0</v>
      </c>
      <c r="J16" s="87">
        <v>11.20875</v>
      </c>
      <c r="K16" s="87">
        <v>13.442500000000001</v>
      </c>
      <c r="L16" s="87">
        <v>25.898823529411768</v>
      </c>
      <c r="M16" s="90">
        <v>1780.1171272918389</v>
      </c>
      <c r="N16" s="90">
        <v>2134.8700331098958</v>
      </c>
      <c r="O16" s="90">
        <v>418.47740652740003</v>
      </c>
      <c r="P16" s="90">
        <v>4333.464566929134</v>
      </c>
      <c r="Q16" s="91">
        <v>2.9603107619243785</v>
      </c>
    </row>
    <row r="17" spans="1:17" x14ac:dyDescent="0.25">
      <c r="A17">
        <v>2011</v>
      </c>
      <c r="B17">
        <v>181</v>
      </c>
      <c r="C17" s="89">
        <v>40724</v>
      </c>
      <c r="D17" t="s">
        <v>96</v>
      </c>
      <c r="E17">
        <v>17</v>
      </c>
      <c r="F17" s="90">
        <v>13.125</v>
      </c>
      <c r="G17" s="90">
        <v>0.625</v>
      </c>
      <c r="H17" s="90">
        <v>2.375</v>
      </c>
      <c r="I17" s="90">
        <v>0</v>
      </c>
      <c r="J17" s="87">
        <v>10.4825</v>
      </c>
      <c r="K17" s="87">
        <v>12.305</v>
      </c>
      <c r="L17" s="87">
        <v>24.799411764705884</v>
      </c>
      <c r="M17" s="90">
        <v>1742.3279106497127</v>
      </c>
      <c r="N17" s="90">
        <v>2045.2511271685873</v>
      </c>
      <c r="O17" s="90">
        <v>361.92883619744816</v>
      </c>
      <c r="P17" s="90">
        <v>4149.5078740157478</v>
      </c>
      <c r="Q17" s="91">
        <v>2.7915475563426599</v>
      </c>
    </row>
    <row r="18" spans="1:17" x14ac:dyDescent="0.25">
      <c r="A18">
        <v>2011</v>
      </c>
      <c r="B18">
        <v>208</v>
      </c>
      <c r="C18" s="89">
        <v>40751</v>
      </c>
      <c r="D18" t="s">
        <v>97</v>
      </c>
      <c r="E18">
        <v>16</v>
      </c>
      <c r="F18" s="90">
        <v>3.25</v>
      </c>
      <c r="G18" s="90">
        <v>0.375</v>
      </c>
      <c r="H18" s="90">
        <v>6.5</v>
      </c>
      <c r="I18" s="90">
        <v>0</v>
      </c>
      <c r="J18" s="87">
        <v>12.834999999999999</v>
      </c>
      <c r="K18" s="87">
        <v>15.87</v>
      </c>
      <c r="L18" s="87">
        <v>50.936875000000001</v>
      </c>
      <c r="M18" s="90">
        <v>2308.0571639510144</v>
      </c>
      <c r="N18" s="90">
        <v>2853.8268166655707</v>
      </c>
      <c r="O18" s="90">
        <v>2859.6711374936513</v>
      </c>
      <c r="P18" s="90">
        <v>8021.5551181102364</v>
      </c>
      <c r="Q18" s="91">
        <v>3.7974598488301949</v>
      </c>
    </row>
    <row r="19" spans="1:17" x14ac:dyDescent="0.25">
      <c r="A19">
        <v>2011</v>
      </c>
      <c r="B19">
        <v>208</v>
      </c>
      <c r="C19" s="89">
        <v>40751</v>
      </c>
      <c r="D19" t="s">
        <v>98</v>
      </c>
      <c r="E19">
        <v>19</v>
      </c>
      <c r="F19" s="90">
        <v>1.625</v>
      </c>
      <c r="G19" s="90">
        <v>0.125</v>
      </c>
      <c r="H19" s="90">
        <v>6.75</v>
      </c>
      <c r="I19" s="90">
        <v>0</v>
      </c>
      <c r="J19" s="87">
        <v>12.848749999999999</v>
      </c>
      <c r="K19" s="87">
        <v>13.807499999999999</v>
      </c>
      <c r="L19" s="87">
        <v>43.094210526315784</v>
      </c>
      <c r="M19" s="90">
        <v>2418.6281998965455</v>
      </c>
      <c r="N19" s="90">
        <v>2599.1017702166791</v>
      </c>
      <c r="O19" s="90">
        <v>3041.2267228001615</v>
      </c>
      <c r="P19" s="90">
        <v>8058.9566929133862</v>
      </c>
      <c r="Q19" s="91">
        <v>4.0271253664003677</v>
      </c>
    </row>
    <row r="20" spans="1:17" x14ac:dyDescent="0.25">
      <c r="A20">
        <v>2011</v>
      </c>
      <c r="B20">
        <v>208</v>
      </c>
      <c r="C20" s="89">
        <v>40751</v>
      </c>
      <c r="D20" t="s">
        <v>99</v>
      </c>
      <c r="E20">
        <v>18</v>
      </c>
      <c r="F20" s="90">
        <v>2.5</v>
      </c>
      <c r="G20" s="90">
        <v>0.125</v>
      </c>
      <c r="H20" s="90">
        <v>8.875</v>
      </c>
      <c r="I20" s="90">
        <v>0</v>
      </c>
      <c r="J20" s="87">
        <v>12.77</v>
      </c>
      <c r="K20" s="87">
        <v>16.628749999999997</v>
      </c>
      <c r="L20" s="87">
        <v>46.062777777777775</v>
      </c>
      <c r="M20" s="90">
        <v>2245.1727785905141</v>
      </c>
      <c r="N20" s="90">
        <v>2923.6035115103373</v>
      </c>
      <c r="O20" s="90">
        <v>2991.9520563558399</v>
      </c>
      <c r="P20" s="90">
        <v>8160.7283464566926</v>
      </c>
      <c r="Q20" s="91">
        <v>4.0881660167718046</v>
      </c>
    </row>
    <row r="21" spans="1:17" x14ac:dyDescent="0.25">
      <c r="A21">
        <v>2011</v>
      </c>
      <c r="B21">
        <v>208</v>
      </c>
      <c r="C21" s="89">
        <v>40751</v>
      </c>
      <c r="D21" t="s">
        <v>100</v>
      </c>
      <c r="E21">
        <v>19</v>
      </c>
      <c r="F21" s="90">
        <v>3.875</v>
      </c>
      <c r="G21" s="90">
        <v>0.25</v>
      </c>
      <c r="H21" s="90">
        <v>8.375</v>
      </c>
      <c r="I21" s="90">
        <v>0</v>
      </c>
      <c r="J21" s="87">
        <v>14.84</v>
      </c>
      <c r="K21" s="87">
        <v>18.483750000000001</v>
      </c>
      <c r="L21" s="87">
        <v>57.744210526315797</v>
      </c>
      <c r="M21" s="90">
        <v>2968.0335450498196</v>
      </c>
      <c r="N21" s="90">
        <v>3696.7917815575879</v>
      </c>
      <c r="O21" s="90">
        <v>4133.7967206366884</v>
      </c>
      <c r="P21" s="90">
        <v>10798.622047244095</v>
      </c>
      <c r="Q21" s="91">
        <v>5.4968121255904983</v>
      </c>
    </row>
    <row r="22" spans="1:17" x14ac:dyDescent="0.25">
      <c r="A22">
        <v>2011</v>
      </c>
      <c r="B22">
        <v>208</v>
      </c>
      <c r="C22" s="89">
        <v>40751</v>
      </c>
      <c r="D22" t="s">
        <v>101</v>
      </c>
      <c r="E22">
        <v>15</v>
      </c>
      <c r="F22" s="90">
        <v>11</v>
      </c>
      <c r="G22" s="90">
        <v>0.25</v>
      </c>
      <c r="H22" s="90">
        <v>9.125</v>
      </c>
      <c r="I22" s="90">
        <v>0</v>
      </c>
      <c r="J22" s="87">
        <v>18.901249999999997</v>
      </c>
      <c r="K22" s="87">
        <v>24.778750000000002</v>
      </c>
      <c r="L22" s="87">
        <v>67.028666666666652</v>
      </c>
      <c r="M22" s="90">
        <v>2882.9546897452096</v>
      </c>
      <c r="N22" s="90">
        <v>3779.4332924290266</v>
      </c>
      <c r="O22" s="90">
        <v>3233.5765847548946</v>
      </c>
      <c r="P22" s="90">
        <v>9895.9645669291313</v>
      </c>
      <c r="Q22" s="91">
        <v>5.6499887094709056</v>
      </c>
    </row>
    <row r="23" spans="1:17" x14ac:dyDescent="0.25">
      <c r="A23">
        <v>2011</v>
      </c>
      <c r="B23">
        <v>208</v>
      </c>
      <c r="C23" s="89">
        <v>40751</v>
      </c>
      <c r="D23" t="s">
        <v>102</v>
      </c>
      <c r="E23">
        <v>14</v>
      </c>
      <c r="F23" s="90">
        <v>5.875</v>
      </c>
      <c r="G23" s="90">
        <v>0.375</v>
      </c>
      <c r="H23" s="90">
        <v>8</v>
      </c>
      <c r="I23" s="90">
        <v>0</v>
      </c>
      <c r="J23" s="87">
        <v>18.270000000000003</v>
      </c>
      <c r="K23" s="87">
        <v>22.353750000000002</v>
      </c>
      <c r="L23" s="87">
        <v>58.932857142857138</v>
      </c>
      <c r="M23" s="90">
        <v>2571.0322183949897</v>
      </c>
      <c r="N23" s="90">
        <v>3145.7149125313081</v>
      </c>
      <c r="O23" s="90">
        <v>2403.9221604122827</v>
      </c>
      <c r="P23" s="90">
        <v>8120.6692913385814</v>
      </c>
      <c r="Q23" s="91">
        <v>4.7323809367460594</v>
      </c>
    </row>
    <row r="24" spans="1:17" x14ac:dyDescent="0.25">
      <c r="A24">
        <v>2011</v>
      </c>
      <c r="B24">
        <v>208</v>
      </c>
      <c r="C24" s="89">
        <v>40751</v>
      </c>
      <c r="D24" t="s">
        <v>103</v>
      </c>
      <c r="E24">
        <v>18</v>
      </c>
      <c r="F24" s="90">
        <v>1.375</v>
      </c>
      <c r="G24" s="90">
        <v>0.25</v>
      </c>
      <c r="H24" s="90">
        <v>8.375</v>
      </c>
      <c r="I24" s="90">
        <v>0</v>
      </c>
      <c r="J24" s="87">
        <v>13.59125</v>
      </c>
      <c r="K24" s="87">
        <v>14.719999999999999</v>
      </c>
      <c r="L24" s="87">
        <v>47.164444444444449</v>
      </c>
      <c r="M24" s="90">
        <v>2419.6697728220215</v>
      </c>
      <c r="N24" s="90">
        <v>2620.6227577257541</v>
      </c>
      <c r="O24" s="90">
        <v>3315.6129812632485</v>
      </c>
      <c r="P24" s="90">
        <v>8355.9055118110246</v>
      </c>
      <c r="Q24" s="91">
        <v>4.2569542062275776</v>
      </c>
    </row>
    <row r="25" spans="1:17" x14ac:dyDescent="0.25">
      <c r="A25">
        <v>2011</v>
      </c>
      <c r="B25">
        <v>208</v>
      </c>
      <c r="C25" s="89">
        <v>40751</v>
      </c>
      <c r="D25" t="s">
        <v>104</v>
      </c>
      <c r="E25">
        <v>16</v>
      </c>
      <c r="F25" s="90">
        <v>2.5</v>
      </c>
      <c r="G25" s="90">
        <v>0.375</v>
      </c>
      <c r="H25" s="90">
        <v>7.25</v>
      </c>
      <c r="I25" s="90">
        <v>0</v>
      </c>
      <c r="J25" s="87">
        <v>13.09125</v>
      </c>
      <c r="K25" s="87">
        <v>17.422500000000003</v>
      </c>
      <c r="L25" s="87">
        <v>46.409374999999997</v>
      </c>
      <c r="M25" s="90">
        <v>2057.7068717816933</v>
      </c>
      <c r="N25" s="90">
        <v>2738.5007523052841</v>
      </c>
      <c r="O25" s="90">
        <v>2512.355368039006</v>
      </c>
      <c r="P25" s="90">
        <v>7308.5629921259833</v>
      </c>
      <c r="Q25" s="91">
        <v>3.1200596890951293</v>
      </c>
    </row>
    <row r="26" spans="1:17" x14ac:dyDescent="0.25">
      <c r="A26">
        <v>2011</v>
      </c>
      <c r="B26">
        <v>236</v>
      </c>
      <c r="C26" s="89">
        <v>40779</v>
      </c>
      <c r="D26" t="s">
        <v>105</v>
      </c>
      <c r="E26">
        <v>14</v>
      </c>
      <c r="F26" s="90">
        <v>4.5</v>
      </c>
      <c r="G26" s="90">
        <v>0.125</v>
      </c>
      <c r="H26" s="90">
        <v>11.125</v>
      </c>
      <c r="I26" s="90">
        <v>3.25</v>
      </c>
      <c r="J26" s="87">
        <v>22.8825</v>
      </c>
      <c r="K26" s="87">
        <v>32.251249999999999</v>
      </c>
      <c r="L26" s="87">
        <v>103.15999999999998</v>
      </c>
      <c r="M26" s="90">
        <v>3247.015501320654</v>
      </c>
      <c r="N26" s="90">
        <v>4576.4365207895871</v>
      </c>
      <c r="O26" s="90">
        <v>6391.5086078110144</v>
      </c>
      <c r="P26" s="90">
        <v>14214.960629921256</v>
      </c>
      <c r="Q26" s="91">
        <v>5.8079468794517375</v>
      </c>
    </row>
    <row r="27" spans="1:17" x14ac:dyDescent="0.25">
      <c r="A27">
        <v>2011</v>
      </c>
      <c r="B27">
        <v>236</v>
      </c>
      <c r="C27" s="89">
        <v>40779</v>
      </c>
      <c r="D27" t="s">
        <v>106</v>
      </c>
      <c r="E27">
        <v>13</v>
      </c>
      <c r="F27" s="90">
        <v>13</v>
      </c>
      <c r="G27" s="90">
        <v>0.375</v>
      </c>
      <c r="H27" s="90">
        <v>11.875</v>
      </c>
      <c r="I27" s="90">
        <v>4.25</v>
      </c>
      <c r="J27" s="87">
        <v>25.033750000000001</v>
      </c>
      <c r="K27" s="87">
        <v>32.626249999999999</v>
      </c>
      <c r="L27" s="87">
        <v>110.42</v>
      </c>
      <c r="M27" s="90">
        <v>3178.7040028200149</v>
      </c>
      <c r="N27" s="90">
        <v>4142.7749127480511</v>
      </c>
      <c r="O27" s="90">
        <v>6807.0643915185492</v>
      </c>
      <c r="P27" s="90">
        <v>14128.543307086615</v>
      </c>
      <c r="Q27" s="91">
        <v>5.5974522076921476</v>
      </c>
    </row>
    <row r="28" spans="1:17" x14ac:dyDescent="0.25">
      <c r="A28">
        <v>2011</v>
      </c>
      <c r="B28">
        <v>236</v>
      </c>
      <c r="C28" s="89">
        <v>40779</v>
      </c>
      <c r="D28" t="s">
        <v>107</v>
      </c>
      <c r="E28">
        <v>15</v>
      </c>
      <c r="F28" s="90">
        <v>14</v>
      </c>
      <c r="G28" s="90">
        <v>0.875</v>
      </c>
      <c r="H28" s="90">
        <v>7.5</v>
      </c>
      <c r="I28" s="90">
        <v>4.125</v>
      </c>
      <c r="J28" s="87">
        <v>21.85125</v>
      </c>
      <c r="K28" s="87">
        <v>26.39</v>
      </c>
      <c r="L28" s="87">
        <v>96.420666666666662</v>
      </c>
      <c r="M28" s="90">
        <v>3484.4348676217824</v>
      </c>
      <c r="N28" s="90">
        <v>4208.1911175122177</v>
      </c>
      <c r="O28" s="90">
        <v>6542.7086605352897</v>
      </c>
      <c r="P28" s="90">
        <v>14235.334645669291</v>
      </c>
      <c r="Q28" s="91">
        <v>6.1924911636866256</v>
      </c>
    </row>
    <row r="29" spans="1:17" x14ac:dyDescent="0.25">
      <c r="A29">
        <v>2011</v>
      </c>
      <c r="B29">
        <v>236</v>
      </c>
      <c r="C29" s="89">
        <v>40779</v>
      </c>
      <c r="D29" t="s">
        <v>108</v>
      </c>
      <c r="E29">
        <v>20</v>
      </c>
      <c r="F29" s="90">
        <v>6.125</v>
      </c>
      <c r="G29" s="90">
        <v>0</v>
      </c>
      <c r="H29" s="90">
        <v>4.625</v>
      </c>
      <c r="I29" s="90">
        <v>0.4</v>
      </c>
      <c r="J29" s="87">
        <v>14.78875</v>
      </c>
      <c r="K29" s="87">
        <v>19.172499999999999</v>
      </c>
      <c r="L29" s="87">
        <v>75.358000000000004</v>
      </c>
      <c r="M29" s="90">
        <v>3265.4951165572625</v>
      </c>
      <c r="N29" s="90">
        <v>4233.4683541336562</v>
      </c>
      <c r="O29" s="90">
        <v>7335.2884978130169</v>
      </c>
      <c r="P29" s="90">
        <v>14834.251968503937</v>
      </c>
      <c r="Q29" s="91">
        <v>5.5425921253982242</v>
      </c>
    </row>
    <row r="30" spans="1:17" x14ac:dyDescent="0.25">
      <c r="A30">
        <v>2011</v>
      </c>
      <c r="B30">
        <v>236</v>
      </c>
      <c r="C30" s="89">
        <v>40779</v>
      </c>
      <c r="D30" t="s">
        <v>109</v>
      </c>
      <c r="E30">
        <v>17</v>
      </c>
      <c r="F30" s="90">
        <v>15.875</v>
      </c>
      <c r="G30" s="90">
        <v>0.375</v>
      </c>
      <c r="H30" s="90">
        <v>6.75</v>
      </c>
      <c r="I30" s="90">
        <v>3.625</v>
      </c>
      <c r="J30" s="87">
        <v>21.116250000000001</v>
      </c>
      <c r="K30" s="87">
        <v>26.033749999999998</v>
      </c>
      <c r="L30" s="87">
        <v>79.590000000000018</v>
      </c>
      <c r="M30" s="90">
        <v>3550.3491193690352</v>
      </c>
      <c r="N30" s="90">
        <v>4377.1456289053986</v>
      </c>
      <c r="O30" s="90">
        <v>5389.7296611743859</v>
      </c>
      <c r="P30" s="90">
        <v>13317.22440944882</v>
      </c>
      <c r="Q30" s="91">
        <v>8.061160884539083</v>
      </c>
    </row>
    <row r="31" spans="1:17" x14ac:dyDescent="0.25">
      <c r="A31">
        <v>2011</v>
      </c>
      <c r="B31">
        <v>236</v>
      </c>
      <c r="C31" s="89">
        <v>40779</v>
      </c>
      <c r="D31" t="s">
        <v>110</v>
      </c>
      <c r="E31">
        <v>17</v>
      </c>
      <c r="F31" s="90">
        <v>8.25</v>
      </c>
      <c r="G31" s="90">
        <v>0.75</v>
      </c>
      <c r="H31" s="90">
        <v>7.5</v>
      </c>
      <c r="I31" s="90">
        <v>1.875</v>
      </c>
      <c r="J31" s="87">
        <v>18.59375</v>
      </c>
      <c r="K31" s="87">
        <v>24.1675</v>
      </c>
      <c r="L31" s="87">
        <v>86.729411764705887</v>
      </c>
      <c r="M31" s="90">
        <v>3264.4222994945703</v>
      </c>
      <c r="N31" s="90">
        <v>4242.9808899783548</v>
      </c>
      <c r="O31" s="90">
        <v>7004.4078341491231</v>
      </c>
      <c r="P31" s="90">
        <v>14511.811023622047</v>
      </c>
      <c r="Q31" s="91">
        <v>5.8274601506405928</v>
      </c>
    </row>
    <row r="32" spans="1:17" x14ac:dyDescent="0.25">
      <c r="A32">
        <v>2011</v>
      </c>
      <c r="B32">
        <v>236</v>
      </c>
      <c r="C32" s="89">
        <v>40779</v>
      </c>
      <c r="D32" t="s">
        <v>111</v>
      </c>
      <c r="E32">
        <v>17</v>
      </c>
      <c r="F32" s="90">
        <v>12.125</v>
      </c>
      <c r="G32" s="90">
        <v>0.25</v>
      </c>
      <c r="H32" s="90">
        <v>7.875</v>
      </c>
      <c r="I32" s="90">
        <v>1.875</v>
      </c>
      <c r="J32" s="87">
        <v>15.606249999999999</v>
      </c>
      <c r="K32" s="87">
        <v>23.598749999999999</v>
      </c>
      <c r="L32" s="87">
        <v>68.322352941176476</v>
      </c>
      <c r="M32" s="90">
        <v>2873.218796190989</v>
      </c>
      <c r="N32" s="90">
        <v>4344.693444396451</v>
      </c>
      <c r="O32" s="90">
        <v>4213.9775231920876</v>
      </c>
      <c r="P32" s="90">
        <v>11431.889763779527</v>
      </c>
      <c r="Q32" s="91">
        <v>5.4403598191393661</v>
      </c>
    </row>
    <row r="33" spans="1:17" x14ac:dyDescent="0.25">
      <c r="A33">
        <v>2011</v>
      </c>
      <c r="B33">
        <v>236</v>
      </c>
      <c r="C33" s="89">
        <v>40779</v>
      </c>
      <c r="D33" t="s">
        <v>112</v>
      </c>
      <c r="E33">
        <v>20</v>
      </c>
      <c r="F33" s="90">
        <v>14.25</v>
      </c>
      <c r="G33" s="90">
        <v>0.25</v>
      </c>
      <c r="H33" s="90">
        <v>10.75</v>
      </c>
      <c r="I33" s="90">
        <v>1.75</v>
      </c>
      <c r="J33" s="87">
        <v>22.47</v>
      </c>
      <c r="K33" s="87">
        <v>31.015000000000001</v>
      </c>
      <c r="L33" s="87">
        <v>68.216000000000008</v>
      </c>
      <c r="M33" s="90">
        <v>3493.7178820342697</v>
      </c>
      <c r="N33" s="90">
        <v>4822.3257726432084</v>
      </c>
      <c r="O33" s="90">
        <v>5112.3028020154343</v>
      </c>
      <c r="P33" s="90">
        <v>13428.346456692914</v>
      </c>
      <c r="Q33" s="91">
        <v>5.6708778572538909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3BD2-C8D0-4307-8471-7AA925E1407A}">
  <sheetPr>
    <pageSetUpPr fitToPage="1"/>
  </sheetPr>
  <dimension ref="B1:AF86"/>
  <sheetViews>
    <sheetView zoomScale="67" zoomScaleNormal="67" workbookViewId="0">
      <selection activeCell="S13" sqref="S13:AE20"/>
    </sheetView>
  </sheetViews>
  <sheetFormatPr defaultRowHeight="14.25" x14ac:dyDescent="0.2"/>
  <cols>
    <col min="1" max="1" width="2.7109375" style="1" customWidth="1"/>
    <col min="2" max="2" width="6.7109375" style="1" customWidth="1"/>
    <col min="3" max="3" width="10.28515625" style="1" customWidth="1"/>
    <col min="4" max="4" width="2" style="1" customWidth="1"/>
    <col min="5" max="5" width="10.7109375" style="1" customWidth="1"/>
    <col min="6" max="6" width="0.28515625" style="1" customWidth="1"/>
    <col min="7" max="7" width="16.140625" style="1" customWidth="1"/>
    <col min="8" max="8" width="17.7109375" style="1" customWidth="1"/>
    <col min="9" max="9" width="2" style="1" customWidth="1"/>
    <col min="10" max="16" width="15.7109375" style="1" customWidth="1"/>
    <col min="17" max="17" width="19" style="1" customWidth="1"/>
    <col min="18" max="16384" width="9.140625" style="1"/>
  </cols>
  <sheetData>
    <row r="1" spans="2:32" x14ac:dyDescent="0.2">
      <c r="B1" s="1" t="s">
        <v>42</v>
      </c>
    </row>
    <row r="2" spans="2:32" x14ac:dyDescent="0.2">
      <c r="B2" s="1" t="s">
        <v>20</v>
      </c>
    </row>
    <row r="4" spans="2:32" x14ac:dyDescent="0.2">
      <c r="B4" s="1" t="s">
        <v>0</v>
      </c>
    </row>
    <row r="5" spans="2:32" x14ac:dyDescent="0.2">
      <c r="C5" s="5" t="s">
        <v>1</v>
      </c>
      <c r="D5" s="6"/>
      <c r="E5" s="8">
        <v>40695</v>
      </c>
    </row>
    <row r="6" spans="2:32" x14ac:dyDescent="0.2">
      <c r="C6" s="5" t="s">
        <v>2</v>
      </c>
      <c r="D6" s="6"/>
      <c r="E6" s="6" t="s">
        <v>10</v>
      </c>
    </row>
    <row r="8" spans="2:32" ht="18" customHeight="1" x14ac:dyDescent="0.2">
      <c r="C8" s="5" t="s">
        <v>6</v>
      </c>
      <c r="D8" s="6"/>
      <c r="E8" s="8">
        <v>40695</v>
      </c>
      <c r="J8" s="5" t="s">
        <v>5</v>
      </c>
      <c r="K8" s="5"/>
      <c r="L8" s="5"/>
      <c r="M8" s="8">
        <v>40701</v>
      </c>
    </row>
    <row r="9" spans="2:32" ht="18" customHeight="1" x14ac:dyDescent="0.2">
      <c r="C9" s="5" t="s">
        <v>3</v>
      </c>
      <c r="D9" s="6"/>
      <c r="E9" s="6" t="s">
        <v>10</v>
      </c>
    </row>
    <row r="10" spans="2:32" ht="18" customHeight="1" x14ac:dyDescent="0.2">
      <c r="C10" s="5"/>
      <c r="J10" s="15"/>
      <c r="K10" s="15"/>
      <c r="L10" s="15"/>
      <c r="M10" s="15"/>
      <c r="N10" s="15"/>
      <c r="O10" s="15"/>
      <c r="P10" s="15"/>
    </row>
    <row r="11" spans="2:32" ht="18" customHeight="1" x14ac:dyDescent="0.25">
      <c r="D11" s="7"/>
      <c r="E11" s="9" t="s">
        <v>14</v>
      </c>
      <c r="F11" s="9"/>
      <c r="G11" s="9"/>
      <c r="H11" s="10"/>
      <c r="I11" s="11"/>
      <c r="J11" s="16"/>
      <c r="K11" s="16"/>
      <c r="L11" s="16"/>
      <c r="M11" s="17"/>
      <c r="N11" s="18"/>
      <c r="O11" s="18"/>
      <c r="P11" s="18"/>
    </row>
    <row r="12" spans="2:32" ht="48.6" customHeight="1" x14ac:dyDescent="0.25">
      <c r="B12" s="19" t="s">
        <v>13</v>
      </c>
      <c r="C12" s="12" t="s">
        <v>4</v>
      </c>
      <c r="D12" s="13"/>
      <c r="E12" s="12" t="s">
        <v>18</v>
      </c>
      <c r="G12" s="37" t="s">
        <v>43</v>
      </c>
      <c r="H12" s="12" t="s">
        <v>11</v>
      </c>
      <c r="I12" s="13"/>
      <c r="J12" s="22" t="s">
        <v>30</v>
      </c>
      <c r="K12" s="12" t="s">
        <v>7</v>
      </c>
      <c r="L12" s="12" t="s">
        <v>8</v>
      </c>
      <c r="M12" s="14" t="s">
        <v>15</v>
      </c>
      <c r="N12" s="14" t="s">
        <v>17</v>
      </c>
      <c r="O12" s="14" t="s">
        <v>12</v>
      </c>
      <c r="S12" s="1" t="s">
        <v>79</v>
      </c>
      <c r="T12" s="86" t="s">
        <v>64</v>
      </c>
      <c r="U12" s="86" t="s">
        <v>65</v>
      </c>
      <c r="V12" s="86" t="s">
        <v>74</v>
      </c>
      <c r="W12" s="86" t="s">
        <v>75</v>
      </c>
      <c r="X12" s="86" t="s">
        <v>66</v>
      </c>
      <c r="Y12" s="86" t="s">
        <v>67</v>
      </c>
      <c r="Z12" s="86" t="s">
        <v>68</v>
      </c>
      <c r="AA12" s="86" t="s">
        <v>69</v>
      </c>
      <c r="AB12" s="86" t="s">
        <v>70</v>
      </c>
      <c r="AC12" s="86" t="s">
        <v>71</v>
      </c>
      <c r="AD12" s="86" t="s">
        <v>72</v>
      </c>
      <c r="AE12" s="86" t="s">
        <v>73</v>
      </c>
      <c r="AF12" s="86"/>
    </row>
    <row r="13" spans="2:32" ht="49.9" customHeight="1" x14ac:dyDescent="0.25">
      <c r="B13" s="20" t="s">
        <v>21</v>
      </c>
      <c r="C13" s="40">
        <v>18</v>
      </c>
      <c r="D13" s="41"/>
      <c r="E13" s="40">
        <v>11</v>
      </c>
      <c r="F13" s="52"/>
      <c r="G13" s="52">
        <v>6</v>
      </c>
      <c r="H13" s="53">
        <v>1694.84</v>
      </c>
      <c r="I13" s="42"/>
      <c r="J13" s="54">
        <v>25.88</v>
      </c>
      <c r="K13" s="55">
        <v>6.58</v>
      </c>
      <c r="L13" s="56">
        <v>13.08</v>
      </c>
      <c r="M13" s="56">
        <v>2.25</v>
      </c>
      <c r="N13" s="56">
        <v>0.08</v>
      </c>
      <c r="O13" s="88"/>
      <c r="P13" s="1">
        <f>H13/L13</f>
        <v>129.5749235474006</v>
      </c>
      <c r="Q13" s="1">
        <f>SUM(J13:N13)/(100*102)*100*100*10000/1000</f>
        <v>469.31372549019608</v>
      </c>
      <c r="R13" s="1">
        <f>H13*SUM(J13:N13)/SUM(K13:N13)/(100*102)</f>
        <v>0.36171517713042467</v>
      </c>
      <c r="S13" s="1">
        <f>C13</f>
        <v>18</v>
      </c>
      <c r="T13">
        <f>E13/8</f>
        <v>1.375</v>
      </c>
      <c r="U13">
        <v>0</v>
      </c>
      <c r="V13">
        <v>0</v>
      </c>
      <c r="W13">
        <v>0</v>
      </c>
      <c r="X13">
        <f>L13/8</f>
        <v>1.635</v>
      </c>
      <c r="Y13">
        <f>(K13+M13)/8</f>
        <v>1.10375</v>
      </c>
      <c r="Z13">
        <f>SUM(J13:N13)/C13</f>
        <v>2.6594444444444445</v>
      </c>
      <c r="AA13">
        <f>AD13*(L13/SUM(K13:N13))</f>
        <v>280.25426732981703</v>
      </c>
      <c r="AB13">
        <f>AD13*(SUM(K13,M13)/SUM(K13:N13))</f>
        <v>189.19305661485356</v>
      </c>
      <c r="AC13">
        <f>AD13*(N13/SUM(K13:N13))</f>
        <v>1.7140933781640186</v>
      </c>
      <c r="AD13">
        <f>SUM(J13:N13)/1000/(1.016*1)*10000</f>
        <v>471.16141732283461</v>
      </c>
      <c r="AE13">
        <f>(H13*SUM(J13:N13)/SUM(K13:N13))/(100*100)/(1.016*1)</f>
        <v>0.36313925263093816</v>
      </c>
      <c r="AF13" s="87"/>
    </row>
    <row r="14" spans="2:32" ht="49.9" customHeight="1" x14ac:dyDescent="0.25">
      <c r="B14" s="20" t="s">
        <v>22</v>
      </c>
      <c r="C14" s="40">
        <v>15</v>
      </c>
      <c r="D14" s="41"/>
      <c r="E14" s="40">
        <v>13</v>
      </c>
      <c r="F14" s="52"/>
      <c r="G14" s="52">
        <v>6</v>
      </c>
      <c r="H14" s="53">
        <v>1841.36</v>
      </c>
      <c r="I14" s="42"/>
      <c r="J14" s="54">
        <v>20.239999999999998</v>
      </c>
      <c r="K14" s="55">
        <v>7.06</v>
      </c>
      <c r="L14" s="56">
        <v>13.95</v>
      </c>
      <c r="M14" s="56">
        <v>2.54</v>
      </c>
      <c r="N14" s="56">
        <v>0.09</v>
      </c>
      <c r="O14" s="88"/>
      <c r="P14" s="1">
        <f t="shared" ref="P14:P20" si="0">H14/L14</f>
        <v>131.99713261648745</v>
      </c>
      <c r="Q14" s="1">
        <f t="shared" ref="Q14:Q20" si="1">SUM(J14:N14)/(100*102)*100*100*10000/1000</f>
        <v>430.19607843137254</v>
      </c>
      <c r="R14" s="1">
        <f t="shared" ref="R14:R20" si="2">H14*SUM(J14:N14)/SUM(K14:N14)/(100*102)</f>
        <v>0.33508707740287319</v>
      </c>
      <c r="S14" s="1">
        <f t="shared" ref="S14:S20" si="3">C14</f>
        <v>15</v>
      </c>
      <c r="T14">
        <f t="shared" ref="T14:T20" si="4">E14/8</f>
        <v>1.625</v>
      </c>
      <c r="U14">
        <v>0</v>
      </c>
      <c r="V14">
        <v>0</v>
      </c>
      <c r="W14">
        <v>0</v>
      </c>
      <c r="X14">
        <f t="shared" ref="X14:X20" si="5">L14/8</f>
        <v>1.7437499999999999</v>
      </c>
      <c r="Y14">
        <f t="shared" ref="Y14:Y20" si="6">(K14+M14)/8</f>
        <v>1.2</v>
      </c>
      <c r="Z14">
        <f t="shared" ref="Z14:Z20" si="7">SUM(J14:N14)/C14</f>
        <v>2.9253333333333336</v>
      </c>
      <c r="AA14">
        <f t="shared" ref="AA14:AA20" si="8">AD14*(L14/SUM(K14:N14))</f>
        <v>254.85880730644712</v>
      </c>
      <c r="AB14">
        <f t="shared" ref="AB14:AB20" si="9">AD14*(SUM(K14,M14)/SUM(K14:N14))</f>
        <v>175.38670610336149</v>
      </c>
      <c r="AC14">
        <f t="shared" ref="AC14:AC20" si="10">AD14*(N14/SUM(K14:N14))</f>
        <v>1.6442503697190136</v>
      </c>
      <c r="AD14">
        <f t="shared" ref="AD14:AD20" si="11">SUM(J14:N14)/1000/(1.016*1)*10000</f>
        <v>431.88976377952758</v>
      </c>
      <c r="AE14">
        <f t="shared" ref="AE14:AE20" si="12">(H14*SUM(J14:N14)/SUM(K14:N14))/(100*100)/(1.016*1)</f>
        <v>0.33640631786508923</v>
      </c>
      <c r="AF14" s="87"/>
    </row>
    <row r="15" spans="2:32" ht="49.9" customHeight="1" x14ac:dyDescent="0.25">
      <c r="B15" s="20" t="s">
        <v>23</v>
      </c>
      <c r="C15" s="40">
        <v>23</v>
      </c>
      <c r="D15" s="41"/>
      <c r="E15" s="40">
        <v>7</v>
      </c>
      <c r="F15" s="52"/>
      <c r="G15" s="52">
        <v>6</v>
      </c>
      <c r="H15" s="53">
        <v>1502.55</v>
      </c>
      <c r="I15" s="42"/>
      <c r="J15" s="54">
        <v>33.79</v>
      </c>
      <c r="K15" s="55">
        <v>5.71</v>
      </c>
      <c r="L15" s="56">
        <v>11.18</v>
      </c>
      <c r="M15" s="56">
        <v>1.92</v>
      </c>
      <c r="N15" s="56">
        <v>0.02</v>
      </c>
      <c r="O15" s="88"/>
      <c r="P15" s="1">
        <f t="shared" si="0"/>
        <v>134.39624329159213</v>
      </c>
      <c r="Q15" s="1">
        <f t="shared" si="1"/>
        <v>515.88235294117658</v>
      </c>
      <c r="R15" s="1">
        <f t="shared" si="2"/>
        <v>0.41165110430789414</v>
      </c>
      <c r="S15" s="1">
        <f t="shared" si="3"/>
        <v>23</v>
      </c>
      <c r="T15">
        <f t="shared" si="4"/>
        <v>0.875</v>
      </c>
      <c r="U15">
        <v>0</v>
      </c>
      <c r="V15">
        <v>0</v>
      </c>
      <c r="W15">
        <v>0</v>
      </c>
      <c r="X15">
        <f t="shared" si="5"/>
        <v>1.3975</v>
      </c>
      <c r="Y15">
        <f t="shared" si="6"/>
        <v>0.95374999999999999</v>
      </c>
      <c r="Z15">
        <f t="shared" si="7"/>
        <v>2.2878260869565219</v>
      </c>
      <c r="AA15">
        <f t="shared" si="8"/>
        <v>307.50247761780702</v>
      </c>
      <c r="AB15">
        <f t="shared" si="9"/>
        <v>209.86081433129408</v>
      </c>
      <c r="AC15">
        <f t="shared" si="10"/>
        <v>0.55009387767049567</v>
      </c>
      <c r="AD15">
        <f t="shared" si="11"/>
        <v>517.91338582677167</v>
      </c>
      <c r="AE15">
        <f t="shared" si="12"/>
        <v>0.41327177794690162</v>
      </c>
      <c r="AF15" s="87"/>
    </row>
    <row r="16" spans="2:32" ht="49.9" customHeight="1" x14ac:dyDescent="0.25">
      <c r="B16" s="20" t="s">
        <v>24</v>
      </c>
      <c r="C16" s="40">
        <v>19</v>
      </c>
      <c r="D16" s="41"/>
      <c r="E16" s="40">
        <v>11</v>
      </c>
      <c r="F16" s="52"/>
      <c r="G16" s="52">
        <v>5</v>
      </c>
      <c r="H16" s="53">
        <v>1608.36</v>
      </c>
      <c r="I16" s="42"/>
      <c r="J16" s="54">
        <v>22.37</v>
      </c>
      <c r="K16" s="55">
        <v>5.5</v>
      </c>
      <c r="L16" s="56">
        <v>11.61</v>
      </c>
      <c r="M16" s="56">
        <v>1.92</v>
      </c>
      <c r="N16" s="56">
        <v>0.08</v>
      </c>
      <c r="O16" s="88"/>
      <c r="P16" s="1">
        <f t="shared" si="0"/>
        <v>138.53229974160206</v>
      </c>
      <c r="Q16" s="1">
        <f t="shared" si="1"/>
        <v>406.66666666666669</v>
      </c>
      <c r="R16" s="1">
        <f t="shared" si="2"/>
        <v>0.34226394557823131</v>
      </c>
      <c r="S16" s="1">
        <f t="shared" si="3"/>
        <v>19</v>
      </c>
      <c r="T16">
        <f t="shared" si="4"/>
        <v>1.375</v>
      </c>
      <c r="U16">
        <v>0</v>
      </c>
      <c r="V16">
        <v>0</v>
      </c>
      <c r="W16">
        <v>0</v>
      </c>
      <c r="X16">
        <f t="shared" si="5"/>
        <v>1.4512499999999999</v>
      </c>
      <c r="Y16">
        <f t="shared" si="6"/>
        <v>0.92749999999999999</v>
      </c>
      <c r="Z16">
        <f t="shared" si="7"/>
        <v>2.1831578947368424</v>
      </c>
      <c r="AA16">
        <f t="shared" si="8"/>
        <v>248.03705855449385</v>
      </c>
      <c r="AB16">
        <f t="shared" si="9"/>
        <v>158.52153096247585</v>
      </c>
      <c r="AC16">
        <f t="shared" si="10"/>
        <v>1.7091270184633516</v>
      </c>
      <c r="AD16">
        <f t="shared" si="11"/>
        <v>408.26771653543307</v>
      </c>
      <c r="AE16">
        <f t="shared" si="12"/>
        <v>0.34361144142696454</v>
      </c>
      <c r="AF16" s="87"/>
    </row>
    <row r="17" spans="2:32" ht="49.9" customHeight="1" x14ac:dyDescent="0.25">
      <c r="B17" s="20" t="s">
        <v>25</v>
      </c>
      <c r="C17" s="40">
        <v>18</v>
      </c>
      <c r="D17" s="41"/>
      <c r="E17" s="40">
        <v>9</v>
      </c>
      <c r="F17" s="52"/>
      <c r="G17" s="52">
        <v>5</v>
      </c>
      <c r="H17" s="53">
        <v>1672.87</v>
      </c>
      <c r="I17" s="42"/>
      <c r="J17" s="54">
        <v>24.19</v>
      </c>
      <c r="K17" s="55">
        <v>6.01</v>
      </c>
      <c r="L17" s="56">
        <v>13.26</v>
      </c>
      <c r="M17" s="56">
        <v>2.2799999999999998</v>
      </c>
      <c r="N17" s="56">
        <v>0.05</v>
      </c>
      <c r="O17" s="88"/>
      <c r="P17" s="1">
        <f t="shared" si="0"/>
        <v>126.15912518853695</v>
      </c>
      <c r="Q17" s="1">
        <f t="shared" si="1"/>
        <v>448.92156862745094</v>
      </c>
      <c r="R17" s="1">
        <f t="shared" si="2"/>
        <v>0.34767936319898324</v>
      </c>
      <c r="S17" s="1">
        <f t="shared" si="3"/>
        <v>18</v>
      </c>
      <c r="T17">
        <f t="shared" si="4"/>
        <v>1.125</v>
      </c>
      <c r="U17">
        <v>0</v>
      </c>
      <c r="V17">
        <v>0</v>
      </c>
      <c r="W17">
        <v>0</v>
      </c>
      <c r="X17">
        <f t="shared" si="5"/>
        <v>1.6575</v>
      </c>
      <c r="Y17">
        <f t="shared" si="6"/>
        <v>1.0362499999999999</v>
      </c>
      <c r="Z17">
        <f t="shared" si="7"/>
        <v>2.5438888888888886</v>
      </c>
      <c r="AA17">
        <f t="shared" si="8"/>
        <v>276.67295494313203</v>
      </c>
      <c r="AB17">
        <f t="shared" si="9"/>
        <v>172.97275991542719</v>
      </c>
      <c r="AC17">
        <f t="shared" si="10"/>
        <v>1.0432615193934089</v>
      </c>
      <c r="AD17">
        <f t="shared" si="11"/>
        <v>450.68897637795271</v>
      </c>
      <c r="AE17">
        <f t="shared" si="12"/>
        <v>0.34904817958953038</v>
      </c>
      <c r="AF17" s="87"/>
    </row>
    <row r="18" spans="2:32" ht="49.9" customHeight="1" x14ac:dyDescent="0.25">
      <c r="B18" s="20" t="s">
        <v>26</v>
      </c>
      <c r="C18" s="40">
        <v>21</v>
      </c>
      <c r="D18" s="41"/>
      <c r="E18" s="40">
        <v>11</v>
      </c>
      <c r="F18" s="52"/>
      <c r="G18" s="52">
        <v>5</v>
      </c>
      <c r="H18" s="53">
        <v>1471.61</v>
      </c>
      <c r="I18" s="42"/>
      <c r="J18" s="54">
        <v>28.38</v>
      </c>
      <c r="K18" s="55">
        <v>5.82</v>
      </c>
      <c r="L18" s="56">
        <v>10.83</v>
      </c>
      <c r="M18" s="56">
        <v>2.17</v>
      </c>
      <c r="N18" s="56">
        <v>0.08</v>
      </c>
      <c r="O18" s="88"/>
      <c r="P18" s="1">
        <f t="shared" si="0"/>
        <v>135.88273314866112</v>
      </c>
      <c r="Q18" s="1">
        <f t="shared" si="1"/>
        <v>463.52941176470586</v>
      </c>
      <c r="R18" s="1">
        <f t="shared" si="2"/>
        <v>0.36091773420479301</v>
      </c>
      <c r="S18" s="1">
        <f t="shared" si="3"/>
        <v>21</v>
      </c>
      <c r="T18">
        <f t="shared" si="4"/>
        <v>1.375</v>
      </c>
      <c r="U18">
        <v>0</v>
      </c>
      <c r="V18">
        <v>0</v>
      </c>
      <c r="W18">
        <v>0</v>
      </c>
      <c r="X18">
        <f t="shared" si="5"/>
        <v>1.35375</v>
      </c>
      <c r="Y18">
        <f t="shared" si="6"/>
        <v>0.99875000000000003</v>
      </c>
      <c r="Z18">
        <f t="shared" si="7"/>
        <v>2.2514285714285713</v>
      </c>
      <c r="AA18">
        <f t="shared" si="8"/>
        <v>266.65541807274093</v>
      </c>
      <c r="AB18">
        <f t="shared" si="9"/>
        <v>196.72915885514311</v>
      </c>
      <c r="AC18">
        <f t="shared" si="10"/>
        <v>1.9697537807774028</v>
      </c>
      <c r="AD18">
        <f t="shared" si="11"/>
        <v>465.35433070866139</v>
      </c>
      <c r="AE18">
        <f t="shared" si="12"/>
        <v>0.36233867016622923</v>
      </c>
      <c r="AF18" s="87"/>
    </row>
    <row r="19" spans="2:32" s="4" customFormat="1" ht="49.9" customHeight="1" x14ac:dyDescent="0.25">
      <c r="B19" s="20" t="s">
        <v>27</v>
      </c>
      <c r="C19" s="40">
        <v>20</v>
      </c>
      <c r="D19" s="41"/>
      <c r="E19" s="40">
        <v>8</v>
      </c>
      <c r="F19" s="52"/>
      <c r="G19" s="52">
        <v>7</v>
      </c>
      <c r="H19" s="53">
        <v>1625.6</v>
      </c>
      <c r="I19" s="42"/>
      <c r="J19" s="54">
        <v>31.92</v>
      </c>
      <c r="K19" s="55">
        <v>5.63</v>
      </c>
      <c r="L19" s="56">
        <v>12.06</v>
      </c>
      <c r="M19" s="56">
        <v>1.99</v>
      </c>
      <c r="N19" s="56">
        <v>0.04</v>
      </c>
      <c r="O19" s="88"/>
      <c r="P19" s="1">
        <f t="shared" si="0"/>
        <v>134.7927031509121</v>
      </c>
      <c r="Q19" s="1">
        <f t="shared" si="1"/>
        <v>506.2745098039216</v>
      </c>
      <c r="R19" s="1">
        <f t="shared" si="2"/>
        <v>0.41734271964363845</v>
      </c>
      <c r="S19" s="1">
        <f t="shared" si="3"/>
        <v>20</v>
      </c>
      <c r="T19">
        <f t="shared" si="4"/>
        <v>1</v>
      </c>
      <c r="U19">
        <v>0</v>
      </c>
      <c r="V19">
        <v>0</v>
      </c>
      <c r="W19">
        <v>0</v>
      </c>
      <c r="X19">
        <f t="shared" si="5"/>
        <v>1.5075000000000001</v>
      </c>
      <c r="Y19">
        <f t="shared" si="6"/>
        <v>0.95250000000000001</v>
      </c>
      <c r="Z19">
        <f t="shared" si="7"/>
        <v>2.5820000000000003</v>
      </c>
      <c r="AA19">
        <f t="shared" si="8"/>
        <v>310.83715321588858</v>
      </c>
      <c r="AB19">
        <f t="shared" si="9"/>
        <v>196.39959432048681</v>
      </c>
      <c r="AC19">
        <f t="shared" si="10"/>
        <v>1.0309689990576736</v>
      </c>
      <c r="AD19">
        <f t="shared" si="11"/>
        <v>508.26771653543307</v>
      </c>
      <c r="AE19">
        <f t="shared" si="12"/>
        <v>0.4189858012170386</v>
      </c>
      <c r="AF19" s="87"/>
    </row>
    <row r="20" spans="2:32" ht="49.9" customHeight="1" x14ac:dyDescent="0.25">
      <c r="B20" s="20" t="s">
        <v>28</v>
      </c>
      <c r="C20" s="40">
        <v>17</v>
      </c>
      <c r="D20" s="41"/>
      <c r="E20" s="40">
        <v>5</v>
      </c>
      <c r="F20" s="52"/>
      <c r="G20" s="52">
        <v>5</v>
      </c>
      <c r="H20" s="53">
        <v>1804.25</v>
      </c>
      <c r="I20" s="42"/>
      <c r="J20" s="54">
        <v>25.89</v>
      </c>
      <c r="K20" s="55">
        <v>7.27</v>
      </c>
      <c r="L20" s="56">
        <v>13.4</v>
      </c>
      <c r="M20" s="56">
        <v>2.4</v>
      </c>
      <c r="N20" s="56">
        <v>0.04</v>
      </c>
      <c r="O20" s="88"/>
      <c r="P20" s="1">
        <f t="shared" si="0"/>
        <v>134.6455223880597</v>
      </c>
      <c r="Q20" s="1">
        <f t="shared" si="1"/>
        <v>480.39215686274503</v>
      </c>
      <c r="R20" s="1">
        <f t="shared" si="2"/>
        <v>0.37505302856754985</v>
      </c>
      <c r="S20" s="1">
        <f t="shared" si="3"/>
        <v>17</v>
      </c>
      <c r="T20">
        <f t="shared" si="4"/>
        <v>0.625</v>
      </c>
      <c r="U20">
        <v>0</v>
      </c>
      <c r="V20">
        <v>0</v>
      </c>
      <c r="W20">
        <v>0</v>
      </c>
      <c r="X20">
        <f t="shared" si="5"/>
        <v>1.675</v>
      </c>
      <c r="Y20">
        <f t="shared" si="6"/>
        <v>1.20875</v>
      </c>
      <c r="Z20">
        <f t="shared" si="7"/>
        <v>2.8823529411764701</v>
      </c>
      <c r="AA20">
        <f t="shared" si="8"/>
        <v>279.64510710501298</v>
      </c>
      <c r="AB20">
        <f t="shared" si="9"/>
        <v>201.80359594816983</v>
      </c>
      <c r="AC20">
        <f t="shared" si="10"/>
        <v>0.83476151374630747</v>
      </c>
      <c r="AD20">
        <f t="shared" si="11"/>
        <v>482.28346456692913</v>
      </c>
      <c r="AE20">
        <f t="shared" si="12"/>
        <v>0.37652961529419376</v>
      </c>
      <c r="AF20" s="87"/>
    </row>
    <row r="21" spans="2:32" ht="29.85" customHeight="1" x14ac:dyDescent="0.2">
      <c r="C21" s="1">
        <f>AVERAGE(C13:C20)</f>
        <v>18.875</v>
      </c>
      <c r="P21" s="1">
        <f>AVERAGE(P13:P20)</f>
        <v>133.24758538415651</v>
      </c>
      <c r="Q21" s="1">
        <f>AVERAGE(Q13:Q20)</f>
        <v>465.14705882352945</v>
      </c>
      <c r="R21" s="1">
        <f>AVERAGE(R13:R20)</f>
        <v>0.36896376875429848</v>
      </c>
    </row>
    <row r="22" spans="2:32" ht="14.25" customHeight="1" x14ac:dyDescent="0.2"/>
    <row r="23" spans="2:32" ht="14.25" customHeight="1" x14ac:dyDescent="0.2"/>
    <row r="24" spans="2:32" ht="14.25" customHeight="1" x14ac:dyDescent="0.2"/>
    <row r="25" spans="2:32" ht="14.25" customHeight="1" x14ac:dyDescent="0.2">
      <c r="N25" s="85">
        <f>AVERAGE(N13:N20)</f>
        <v>5.9999999999999991E-2</v>
      </c>
    </row>
    <row r="26" spans="2:32" ht="14.25" customHeight="1" x14ac:dyDescent="0.2"/>
    <row r="27" spans="2:32" ht="14.25" customHeight="1" x14ac:dyDescent="0.2"/>
    <row r="28" spans="2:32" ht="14.25" customHeight="1" x14ac:dyDescent="0.2"/>
    <row r="29" spans="2:32" ht="14.25" customHeight="1" x14ac:dyDescent="0.2"/>
    <row r="30" spans="2:32" ht="14.25" customHeight="1" x14ac:dyDescent="0.2"/>
    <row r="31" spans="2:32" ht="14.25" customHeight="1" x14ac:dyDescent="0.2"/>
    <row r="32" spans="2: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</sheetData>
  <pageMargins left="0.18" right="0.18" top="0.75" bottom="0.75" header="0.3" footer="0.3"/>
  <pageSetup scale="8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BDA7-0449-4E42-A5DF-A4AEF84BBCEB}">
  <dimension ref="A1:AH86"/>
  <sheetViews>
    <sheetView topLeftCell="G1" zoomScale="70" zoomScaleNormal="70" workbookViewId="0">
      <selection activeCell="V13" sqref="V13:AH20"/>
    </sheetView>
  </sheetViews>
  <sheetFormatPr defaultRowHeight="14.25" x14ac:dyDescent="0.2"/>
  <cols>
    <col min="1" max="1" width="3.85546875" style="1" customWidth="1"/>
    <col min="2" max="2" width="6.7109375" style="1" customWidth="1"/>
    <col min="3" max="3" width="12.28515625" style="1" customWidth="1"/>
    <col min="4" max="4" width="2" style="1" customWidth="1"/>
    <col min="5" max="7" width="15.7109375" style="1" customWidth="1"/>
    <col min="8" max="8" width="24.140625" style="1" customWidth="1"/>
    <col min="9" max="9" width="2" style="1" customWidth="1"/>
    <col min="10" max="10" width="18.140625" style="1" customWidth="1"/>
    <col min="11" max="17" width="15.7109375" style="1" customWidth="1"/>
    <col min="18" max="16384" width="9.140625" style="1"/>
  </cols>
  <sheetData>
    <row r="1" spans="1:34" x14ac:dyDescent="0.2">
      <c r="B1" s="1" t="s">
        <v>42</v>
      </c>
    </row>
    <row r="2" spans="1:34" x14ac:dyDescent="0.2">
      <c r="B2" s="1" t="s">
        <v>20</v>
      </c>
    </row>
    <row r="4" spans="1:34" x14ac:dyDescent="0.2">
      <c r="D4" s="1" t="s">
        <v>0</v>
      </c>
    </row>
    <row r="5" spans="1:34" x14ac:dyDescent="0.2">
      <c r="D5" s="5" t="s">
        <v>1</v>
      </c>
      <c r="E5" s="8">
        <v>40724</v>
      </c>
      <c r="F5" s="8"/>
    </row>
    <row r="6" spans="1:34" x14ac:dyDescent="0.2">
      <c r="D6" s="5" t="s">
        <v>2</v>
      </c>
      <c r="E6" s="6" t="s">
        <v>10</v>
      </c>
      <c r="F6" s="6"/>
    </row>
    <row r="8" spans="1:34" ht="18" customHeight="1" x14ac:dyDescent="0.2">
      <c r="D8" s="5" t="s">
        <v>6</v>
      </c>
      <c r="E8" s="6" t="s">
        <v>44</v>
      </c>
      <c r="F8" s="8"/>
      <c r="K8" s="5" t="s">
        <v>5</v>
      </c>
      <c r="L8" s="68">
        <v>40731</v>
      </c>
    </row>
    <row r="9" spans="1:34" ht="18" customHeight="1" x14ac:dyDescent="0.2">
      <c r="D9" s="5" t="s">
        <v>3</v>
      </c>
      <c r="E9" s="6" t="s">
        <v>10</v>
      </c>
      <c r="F9" s="6"/>
    </row>
    <row r="10" spans="1:34" ht="18" customHeight="1" x14ac:dyDescent="0.2">
      <c r="C10" s="5"/>
      <c r="J10" s="15"/>
      <c r="K10" s="15"/>
      <c r="L10" s="15"/>
      <c r="M10" s="15"/>
      <c r="N10" s="15"/>
      <c r="O10" s="15"/>
      <c r="P10" s="15"/>
    </row>
    <row r="11" spans="1:34" ht="18" customHeight="1" x14ac:dyDescent="0.25">
      <c r="D11" s="7"/>
      <c r="E11" s="9" t="s">
        <v>14</v>
      </c>
      <c r="F11" s="9"/>
      <c r="G11" s="9"/>
      <c r="H11" s="10"/>
      <c r="I11" s="11"/>
      <c r="J11" s="16"/>
      <c r="K11" s="17"/>
      <c r="L11" s="17"/>
      <c r="M11" s="18"/>
      <c r="N11" s="18"/>
      <c r="O11" s="18"/>
      <c r="P11" s="18"/>
    </row>
    <row r="12" spans="1:34" ht="48.6" customHeight="1" thickBot="1" x14ac:dyDescent="0.35">
      <c r="B12" s="19" t="s">
        <v>13</v>
      </c>
      <c r="C12" s="12" t="s">
        <v>4</v>
      </c>
      <c r="D12" s="13"/>
      <c r="E12" s="12" t="s">
        <v>18</v>
      </c>
      <c r="F12" s="12" t="s">
        <v>32</v>
      </c>
      <c r="G12" s="12" t="s">
        <v>33</v>
      </c>
      <c r="H12" s="12" t="s">
        <v>11</v>
      </c>
      <c r="I12" s="13"/>
      <c r="J12" s="14" t="s">
        <v>12</v>
      </c>
      <c r="K12" s="21" t="s">
        <v>29</v>
      </c>
      <c r="L12" s="21" t="s">
        <v>35</v>
      </c>
      <c r="M12" s="22" t="s">
        <v>30</v>
      </c>
      <c r="N12" s="12" t="s">
        <v>7</v>
      </c>
      <c r="O12" s="12" t="s">
        <v>8</v>
      </c>
      <c r="P12" s="14" t="s">
        <v>15</v>
      </c>
      <c r="Q12" s="24" t="s">
        <v>34</v>
      </c>
      <c r="V12" s="1" t="s">
        <v>79</v>
      </c>
      <c r="W12" s="86" t="s">
        <v>64</v>
      </c>
      <c r="X12" s="86" t="s">
        <v>65</v>
      </c>
      <c r="Y12" s="86" t="s">
        <v>74</v>
      </c>
      <c r="Z12" s="86" t="s">
        <v>75</v>
      </c>
      <c r="AA12" s="86" t="s">
        <v>66</v>
      </c>
      <c r="AB12" s="86" t="s">
        <v>67</v>
      </c>
      <c r="AC12" s="86" t="s">
        <v>68</v>
      </c>
      <c r="AD12" s="86" t="s">
        <v>69</v>
      </c>
      <c r="AE12" s="86" t="s">
        <v>70</v>
      </c>
      <c r="AF12" s="86" t="s">
        <v>71</v>
      </c>
      <c r="AG12" s="86" t="s">
        <v>72</v>
      </c>
      <c r="AH12" s="86" t="s">
        <v>73</v>
      </c>
    </row>
    <row r="13" spans="1:34" ht="40.15" customHeight="1" thickTop="1" x14ac:dyDescent="0.25">
      <c r="A13" s="92" t="s">
        <v>45</v>
      </c>
      <c r="B13" s="39">
        <v>2</v>
      </c>
      <c r="C13" s="40">
        <v>14</v>
      </c>
      <c r="D13" s="41"/>
      <c r="E13" s="40">
        <v>160</v>
      </c>
      <c r="F13" s="40">
        <v>5</v>
      </c>
      <c r="G13" s="40">
        <v>9</v>
      </c>
      <c r="H13" s="40">
        <v>16802</v>
      </c>
      <c r="I13" s="42"/>
      <c r="J13" s="43"/>
      <c r="K13" s="44">
        <v>265.58999999999997</v>
      </c>
      <c r="L13" s="69">
        <v>68.98</v>
      </c>
      <c r="M13" s="45">
        <f>K13-L13</f>
        <v>196.60999999999996</v>
      </c>
      <c r="N13" s="46">
        <v>103.42</v>
      </c>
      <c r="O13" s="47">
        <v>102.63</v>
      </c>
      <c r="P13" s="47">
        <v>23.39</v>
      </c>
      <c r="Q13" s="47">
        <v>16.059999999999999</v>
      </c>
      <c r="S13" s="1">
        <f>H13/O13</f>
        <v>163.71431355354187</v>
      </c>
      <c r="T13" s="1">
        <f>(M13+N13+O13+P13+Q13)/(100*102)*100*100*10000/1000</f>
        <v>4334.4117647058811</v>
      </c>
      <c r="U13" s="1">
        <f>H13*SUM(M13:Q13)/SUM(N13:Q13)/(100*102)</f>
        <v>2.9664678806756917</v>
      </c>
      <c r="V13" s="1">
        <f>C13</f>
        <v>14</v>
      </c>
      <c r="W13">
        <f>E13/8</f>
        <v>20</v>
      </c>
      <c r="X13">
        <f>F13/8</f>
        <v>0.625</v>
      </c>
      <c r="Y13">
        <f>G13/8</f>
        <v>1.125</v>
      </c>
      <c r="Z13">
        <v>0</v>
      </c>
      <c r="AA13">
        <f>O13/8</f>
        <v>12.828749999999999</v>
      </c>
      <c r="AB13">
        <f>(N13+P13)/8</f>
        <v>15.85125</v>
      </c>
      <c r="AC13">
        <f>SUM(M13:Q13)/C13</f>
        <v>31.57928571428571</v>
      </c>
      <c r="AD13">
        <f>AG13*(O13/SUM(N13:Q13))</f>
        <v>1819.1121004859115</v>
      </c>
      <c r="AE13">
        <f>AG13*(SUM(N13,P13)/SUM(N13:Q13))</f>
        <v>2247.7015050435398</v>
      </c>
      <c r="AF13">
        <f>AG13*(Q13/SUM(N13:Q13))</f>
        <v>284.66277242330443</v>
      </c>
      <c r="AG13">
        <f>SUM(M13:Q13)/1000/(1.016*1)*10000</f>
        <v>4351.4763779527557</v>
      </c>
      <c r="AH13">
        <f>(H13*SUM(M13:Q13)/SUM(N13:Q13))/(100*100)/(1.016*1)</f>
        <v>2.9781468880799267</v>
      </c>
    </row>
    <row r="14" spans="1:34" ht="40.15" customHeight="1" x14ac:dyDescent="0.25">
      <c r="A14" s="93"/>
      <c r="B14" s="39">
        <v>4</v>
      </c>
      <c r="C14" s="40">
        <v>17</v>
      </c>
      <c r="D14" s="41"/>
      <c r="E14" s="40">
        <v>127</v>
      </c>
      <c r="F14" s="40">
        <v>3</v>
      </c>
      <c r="G14" s="40">
        <v>21</v>
      </c>
      <c r="H14" s="40">
        <v>15368</v>
      </c>
      <c r="I14" s="42"/>
      <c r="J14" s="43"/>
      <c r="K14" s="48">
        <v>318.85000000000002</v>
      </c>
      <c r="L14" s="70">
        <v>69.38</v>
      </c>
      <c r="M14" s="49">
        <f t="shared" ref="M14:M20" si="0">K14-L14</f>
        <v>249.47000000000003</v>
      </c>
      <c r="N14" s="46">
        <v>91.26</v>
      </c>
      <c r="O14" s="47">
        <v>94.11</v>
      </c>
      <c r="P14" s="47">
        <v>21.98</v>
      </c>
      <c r="Q14" s="47">
        <v>16.739999999999998</v>
      </c>
      <c r="S14" s="1">
        <f t="shared" ref="S14:S20" si="1">H14/O14</f>
        <v>163.29826798427374</v>
      </c>
      <c r="T14" s="1">
        <f t="shared" ref="T14:T20" si="2">(M14+N14+O14+P14+Q14)/(100*102)*100*100*10000/1000</f>
        <v>4642.7450980392159</v>
      </c>
      <c r="U14" s="1">
        <f t="shared" ref="U14:U20" si="3">H14*SUM(M14:Q14)/SUM(N14:Q14)/(100*102)</f>
        <v>3.1839754860398357</v>
      </c>
      <c r="V14" s="1">
        <f t="shared" ref="V14:V20" si="4">C14</f>
        <v>17</v>
      </c>
      <c r="W14">
        <f t="shared" ref="W14:W20" si="5">E14/8</f>
        <v>15.875</v>
      </c>
      <c r="X14">
        <f t="shared" ref="X14:X20" si="6">F14/8</f>
        <v>0.375</v>
      </c>
      <c r="Y14">
        <f t="shared" ref="Y14:Y20" si="7">G14/8</f>
        <v>2.625</v>
      </c>
      <c r="Z14">
        <v>0</v>
      </c>
      <c r="AA14">
        <f t="shared" ref="AA14:AA20" si="8">O14/8</f>
        <v>11.76375</v>
      </c>
      <c r="AB14">
        <f t="shared" ref="AB14:AB20" si="9">(N14+P14)/8</f>
        <v>14.155000000000001</v>
      </c>
      <c r="AC14">
        <f t="shared" ref="AC14:AC20" si="10">SUM(M14:Q14)/C14</f>
        <v>27.856470588235297</v>
      </c>
      <c r="AD14">
        <f t="shared" ref="AD14:AD20" si="11">AG14*(O14/SUM(N14:Q14))</f>
        <v>1957.4676829437553</v>
      </c>
      <c r="AE14">
        <f t="shared" ref="AE14:AE20" si="12">AG14*(SUM(N14,P14)/SUM(N14:Q14))</f>
        <v>2355.3675530395376</v>
      </c>
      <c r="AF14">
        <f t="shared" ref="AF14:AF20" si="13">AG14*(Q14/SUM(N14:Q14))</f>
        <v>348.18838606395138</v>
      </c>
      <c r="AG14">
        <f t="shared" ref="AG14:AG20" si="14">SUM(M14:Q14)/1000/(1.016*1)*10000</f>
        <v>4661.0236220472443</v>
      </c>
      <c r="AH14">
        <f t="shared" ref="AH14:AH20" si="15">(H14*SUM(M14:Q14)/SUM(N14:Q14))/(100*100)/(1.016*1)</f>
        <v>3.1965108225990475</v>
      </c>
    </row>
    <row r="15" spans="1:34" ht="40.15" customHeight="1" x14ac:dyDescent="0.25">
      <c r="A15" s="93"/>
      <c r="B15" s="39">
        <v>6</v>
      </c>
      <c r="C15" s="40">
        <v>22</v>
      </c>
      <c r="D15" s="41"/>
      <c r="E15" s="40">
        <v>89</v>
      </c>
      <c r="F15" s="40">
        <v>3</v>
      </c>
      <c r="G15" s="40">
        <v>15</v>
      </c>
      <c r="H15" s="40">
        <v>9038</v>
      </c>
      <c r="I15" s="42"/>
      <c r="J15" s="43"/>
      <c r="K15" s="48">
        <v>321.67</v>
      </c>
      <c r="L15" s="70">
        <v>69.25</v>
      </c>
      <c r="M15" s="49">
        <f t="shared" si="0"/>
        <v>252.42000000000002</v>
      </c>
      <c r="N15" s="46">
        <v>61.77</v>
      </c>
      <c r="O15" s="47">
        <v>63.24</v>
      </c>
      <c r="P15" s="47">
        <v>13.49</v>
      </c>
      <c r="Q15" s="47">
        <v>12.34</v>
      </c>
      <c r="S15" s="1">
        <f t="shared" si="1"/>
        <v>142.91587602783048</v>
      </c>
      <c r="T15" s="1">
        <f t="shared" si="2"/>
        <v>3953.5294117647054</v>
      </c>
      <c r="U15" s="1">
        <f t="shared" si="3"/>
        <v>2.3688675963623318</v>
      </c>
      <c r="V15" s="1">
        <f t="shared" si="4"/>
        <v>22</v>
      </c>
      <c r="W15">
        <f t="shared" si="5"/>
        <v>11.125</v>
      </c>
      <c r="X15">
        <f t="shared" si="6"/>
        <v>0.375</v>
      </c>
      <c r="Y15">
        <f t="shared" si="7"/>
        <v>1.875</v>
      </c>
      <c r="Z15">
        <v>0</v>
      </c>
      <c r="AA15">
        <f t="shared" si="8"/>
        <v>7.9050000000000002</v>
      </c>
      <c r="AB15">
        <f t="shared" si="9"/>
        <v>9.4075000000000006</v>
      </c>
      <c r="AC15">
        <f t="shared" si="10"/>
        <v>18.329999999999998</v>
      </c>
      <c r="AD15">
        <f t="shared" si="11"/>
        <v>1664.051547554169</v>
      </c>
      <c r="AE15">
        <f t="shared" si="12"/>
        <v>1980.3371200020044</v>
      </c>
      <c r="AF15">
        <f t="shared" si="13"/>
        <v>324.70582063280278</v>
      </c>
      <c r="AG15">
        <f t="shared" si="14"/>
        <v>3969.0944881889764</v>
      </c>
      <c r="AH15">
        <f t="shared" si="15"/>
        <v>2.378193846741711</v>
      </c>
    </row>
    <row r="16" spans="1:34" ht="40.15" customHeight="1" x14ac:dyDescent="0.25">
      <c r="A16" s="93"/>
      <c r="B16" s="39">
        <v>8</v>
      </c>
      <c r="C16" s="40">
        <v>19</v>
      </c>
      <c r="D16" s="41"/>
      <c r="E16" s="40">
        <v>139</v>
      </c>
      <c r="F16" s="40">
        <v>3</v>
      </c>
      <c r="G16" s="40">
        <v>27</v>
      </c>
      <c r="H16" s="40">
        <v>15080</v>
      </c>
      <c r="I16" s="42"/>
      <c r="J16" s="43"/>
      <c r="K16" s="48">
        <v>318.60000000000002</v>
      </c>
      <c r="L16" s="70">
        <v>69.81</v>
      </c>
      <c r="M16" s="49">
        <f t="shared" si="0"/>
        <v>248.79000000000002</v>
      </c>
      <c r="N16" s="46">
        <v>88.35</v>
      </c>
      <c r="O16" s="47">
        <v>87.22</v>
      </c>
      <c r="P16" s="47">
        <v>20.23</v>
      </c>
      <c r="Q16" s="47">
        <v>19.97</v>
      </c>
      <c r="S16" s="1">
        <f t="shared" si="1"/>
        <v>172.89612474203165</v>
      </c>
      <c r="T16" s="1">
        <f t="shared" si="2"/>
        <v>4554.5098039215691</v>
      </c>
      <c r="U16" s="1">
        <f t="shared" si="3"/>
        <v>3.1831120101560582</v>
      </c>
      <c r="V16" s="1">
        <f t="shared" si="4"/>
        <v>19</v>
      </c>
      <c r="W16">
        <f t="shared" si="5"/>
        <v>17.375</v>
      </c>
      <c r="X16">
        <f t="shared" si="6"/>
        <v>0.375</v>
      </c>
      <c r="Y16">
        <f t="shared" si="7"/>
        <v>3.375</v>
      </c>
      <c r="Z16">
        <v>0</v>
      </c>
      <c r="AA16">
        <f t="shared" si="8"/>
        <v>10.9025</v>
      </c>
      <c r="AB16">
        <f t="shared" si="9"/>
        <v>13.5725</v>
      </c>
      <c r="AC16">
        <f t="shared" si="10"/>
        <v>24.450526315789478</v>
      </c>
      <c r="AD16">
        <f t="shared" si="11"/>
        <v>1848.3028188005678</v>
      </c>
      <c r="AE16">
        <f t="shared" si="12"/>
        <v>2300.9484070782578</v>
      </c>
      <c r="AF16">
        <f t="shared" si="13"/>
        <v>423.18971900306514</v>
      </c>
      <c r="AG16">
        <f t="shared" si="14"/>
        <v>4572.4409448818906</v>
      </c>
      <c r="AH16">
        <f t="shared" si="15"/>
        <v>3.1956439472039166</v>
      </c>
    </row>
    <row r="17" spans="1:34" ht="40.15" customHeight="1" thickBot="1" x14ac:dyDescent="0.3">
      <c r="A17" s="94"/>
      <c r="B17" s="39">
        <v>9</v>
      </c>
      <c r="C17" s="40">
        <v>21</v>
      </c>
      <c r="D17" s="41"/>
      <c r="E17" s="40">
        <v>95</v>
      </c>
      <c r="F17" s="40">
        <v>4</v>
      </c>
      <c r="G17" s="40">
        <v>18</v>
      </c>
      <c r="H17" s="40">
        <v>9346</v>
      </c>
      <c r="I17" s="42"/>
      <c r="J17" s="43"/>
      <c r="K17" s="48">
        <v>291.49</v>
      </c>
      <c r="L17" s="70">
        <v>69.86</v>
      </c>
      <c r="M17" s="49">
        <f t="shared" si="0"/>
        <v>221.63</v>
      </c>
      <c r="N17" s="46">
        <v>58.66</v>
      </c>
      <c r="O17" s="47">
        <v>63.19</v>
      </c>
      <c r="P17" s="47">
        <v>13.08</v>
      </c>
      <c r="Q17" s="47">
        <v>14.72</v>
      </c>
      <c r="S17" s="1">
        <f t="shared" si="1"/>
        <v>147.90314923247351</v>
      </c>
      <c r="T17" s="1">
        <f t="shared" si="2"/>
        <v>3639.9999999999995</v>
      </c>
      <c r="U17" s="1">
        <f t="shared" si="3"/>
        <v>2.2732669562312062</v>
      </c>
      <c r="V17" s="1">
        <f t="shared" si="4"/>
        <v>21</v>
      </c>
      <c r="W17">
        <f t="shared" si="5"/>
        <v>11.875</v>
      </c>
      <c r="X17">
        <f t="shared" si="6"/>
        <v>0.5</v>
      </c>
      <c r="Y17">
        <f t="shared" si="7"/>
        <v>2.25</v>
      </c>
      <c r="Z17">
        <v>0</v>
      </c>
      <c r="AA17">
        <f t="shared" si="8"/>
        <v>7.8987499999999997</v>
      </c>
      <c r="AB17">
        <f t="shared" si="9"/>
        <v>8.9674999999999994</v>
      </c>
      <c r="AC17">
        <f t="shared" si="10"/>
        <v>17.68</v>
      </c>
      <c r="AD17">
        <f t="shared" si="11"/>
        <v>1543.0481622473435</v>
      </c>
      <c r="AE17">
        <f t="shared" si="12"/>
        <v>1751.8321753382561</v>
      </c>
      <c r="AF17">
        <f t="shared" si="13"/>
        <v>359.45037107581732</v>
      </c>
      <c r="AG17">
        <f t="shared" si="14"/>
        <v>3654.3307086614172</v>
      </c>
      <c r="AH17">
        <f t="shared" si="15"/>
        <v>2.2822168261376281</v>
      </c>
    </row>
    <row r="18" spans="1:34" ht="40.15" customHeight="1" x14ac:dyDescent="0.25">
      <c r="A18" s="95" t="s">
        <v>46</v>
      </c>
      <c r="B18" s="39">
        <v>11</v>
      </c>
      <c r="C18" s="40">
        <v>17</v>
      </c>
      <c r="D18" s="41"/>
      <c r="E18" s="40">
        <v>130</v>
      </c>
      <c r="F18" s="40">
        <v>7</v>
      </c>
      <c r="G18" s="40">
        <v>25</v>
      </c>
      <c r="H18" s="40">
        <v>11651</v>
      </c>
      <c r="I18" s="42"/>
      <c r="J18" s="43"/>
      <c r="K18" s="48">
        <v>241.16</v>
      </c>
      <c r="L18" s="70">
        <v>69.31</v>
      </c>
      <c r="M18" s="49">
        <f t="shared" si="0"/>
        <v>171.85</v>
      </c>
      <c r="N18" s="46">
        <v>80.680000000000007</v>
      </c>
      <c r="O18" s="47">
        <v>82.04</v>
      </c>
      <c r="P18" s="47">
        <v>16.68</v>
      </c>
      <c r="Q18" s="47">
        <v>26.69</v>
      </c>
      <c r="S18" s="1">
        <f t="shared" si="1"/>
        <v>142.01608971233543</v>
      </c>
      <c r="T18" s="1">
        <f t="shared" si="2"/>
        <v>3705.2941176470586</v>
      </c>
      <c r="U18" s="1">
        <f t="shared" si="3"/>
        <v>2.0947344249942197</v>
      </c>
      <c r="V18" s="1">
        <f t="shared" si="4"/>
        <v>17</v>
      </c>
      <c r="W18">
        <f t="shared" si="5"/>
        <v>16.25</v>
      </c>
      <c r="X18">
        <f t="shared" si="6"/>
        <v>0.875</v>
      </c>
      <c r="Y18">
        <f t="shared" si="7"/>
        <v>3.125</v>
      </c>
      <c r="Z18">
        <v>0</v>
      </c>
      <c r="AA18">
        <f t="shared" si="8"/>
        <v>10.255000000000001</v>
      </c>
      <c r="AB18">
        <f t="shared" si="9"/>
        <v>12.170000000000002</v>
      </c>
      <c r="AC18">
        <f t="shared" si="10"/>
        <v>22.231764705882352</v>
      </c>
      <c r="AD18">
        <f t="shared" si="11"/>
        <v>1480.8050377806805</v>
      </c>
      <c r="AE18">
        <f t="shared" si="12"/>
        <v>1757.3278702867754</v>
      </c>
      <c r="AF18">
        <f t="shared" si="13"/>
        <v>481.74898169632331</v>
      </c>
      <c r="AG18">
        <f t="shared" si="14"/>
        <v>3719.8818897637793</v>
      </c>
      <c r="AH18">
        <f t="shared" si="15"/>
        <v>2.1029814109193943</v>
      </c>
    </row>
    <row r="19" spans="1:34" s="4" customFormat="1" ht="40.15" customHeight="1" x14ac:dyDescent="0.25">
      <c r="A19" s="96"/>
      <c r="B19" s="39">
        <v>14</v>
      </c>
      <c r="C19" s="40">
        <v>17</v>
      </c>
      <c r="D19" s="41"/>
      <c r="E19" s="40">
        <v>102</v>
      </c>
      <c r="F19" s="40">
        <v>3</v>
      </c>
      <c r="G19" s="40">
        <v>28</v>
      </c>
      <c r="H19" s="40">
        <v>14912</v>
      </c>
      <c r="I19" s="42"/>
      <c r="J19" s="43"/>
      <c r="K19" s="48">
        <v>292.06</v>
      </c>
      <c r="L19" s="70">
        <v>70.069999999999993</v>
      </c>
      <c r="M19" s="49">
        <f t="shared" si="0"/>
        <v>221.99</v>
      </c>
      <c r="N19" s="46">
        <v>87.84</v>
      </c>
      <c r="O19" s="47">
        <v>89.67</v>
      </c>
      <c r="P19" s="47">
        <v>19.7</v>
      </c>
      <c r="Q19" s="47">
        <v>21.08</v>
      </c>
      <c r="R19" s="2"/>
      <c r="S19" s="1">
        <f t="shared" si="1"/>
        <v>166.29865060778408</v>
      </c>
      <c r="T19" s="1">
        <f t="shared" si="2"/>
        <v>4316.4705882352955</v>
      </c>
      <c r="U19" s="1">
        <f t="shared" si="3"/>
        <v>2.9487017001129106</v>
      </c>
      <c r="V19" s="1">
        <f t="shared" si="4"/>
        <v>17</v>
      </c>
      <c r="W19">
        <f t="shared" si="5"/>
        <v>12.75</v>
      </c>
      <c r="X19">
        <f t="shared" si="6"/>
        <v>0.375</v>
      </c>
      <c r="Y19">
        <f t="shared" si="7"/>
        <v>3.5</v>
      </c>
      <c r="Z19">
        <v>0</v>
      </c>
      <c r="AA19">
        <f t="shared" si="8"/>
        <v>11.20875</v>
      </c>
      <c r="AB19">
        <f t="shared" si="9"/>
        <v>13.442500000000001</v>
      </c>
      <c r="AC19">
        <f t="shared" si="10"/>
        <v>25.898823529411768</v>
      </c>
      <c r="AD19">
        <f t="shared" si="11"/>
        <v>1780.1171272918389</v>
      </c>
      <c r="AE19">
        <f t="shared" si="12"/>
        <v>2134.8700331098958</v>
      </c>
      <c r="AF19">
        <f t="shared" si="13"/>
        <v>418.47740652740003</v>
      </c>
      <c r="AG19">
        <f t="shared" si="14"/>
        <v>4333.464566929134</v>
      </c>
      <c r="AH19">
        <f t="shared" si="15"/>
        <v>2.9603107619243785</v>
      </c>
    </row>
    <row r="20" spans="1:34" ht="40.15" customHeight="1" thickBot="1" x14ac:dyDescent="0.3">
      <c r="A20" s="97"/>
      <c r="B20" s="39">
        <v>15</v>
      </c>
      <c r="C20" s="40">
        <v>17</v>
      </c>
      <c r="D20" s="41"/>
      <c r="E20" s="40">
        <v>105</v>
      </c>
      <c r="F20" s="40">
        <v>5</v>
      </c>
      <c r="G20" s="40">
        <v>19</v>
      </c>
      <c r="H20" s="40">
        <v>13436</v>
      </c>
      <c r="I20" s="42"/>
      <c r="J20" s="43"/>
      <c r="K20" s="50">
        <v>292.05</v>
      </c>
      <c r="L20" s="71">
        <v>70.180000000000007</v>
      </c>
      <c r="M20" s="51">
        <f t="shared" si="0"/>
        <v>221.87</v>
      </c>
      <c r="N20" s="46">
        <v>81.459999999999994</v>
      </c>
      <c r="O20" s="47">
        <v>83.86</v>
      </c>
      <c r="P20" s="47">
        <v>16.98</v>
      </c>
      <c r="Q20" s="47">
        <v>17.420000000000002</v>
      </c>
      <c r="S20" s="1">
        <f t="shared" si="1"/>
        <v>160.21941330789411</v>
      </c>
      <c r="T20" s="1">
        <f t="shared" si="2"/>
        <v>4133.2352941176478</v>
      </c>
      <c r="U20" s="1">
        <f t="shared" si="3"/>
        <v>2.7806003110236692</v>
      </c>
      <c r="V20" s="1">
        <f t="shared" si="4"/>
        <v>17</v>
      </c>
      <c r="W20">
        <f t="shared" si="5"/>
        <v>13.125</v>
      </c>
      <c r="X20">
        <f t="shared" si="6"/>
        <v>0.625</v>
      </c>
      <c r="Y20">
        <f t="shared" si="7"/>
        <v>2.375</v>
      </c>
      <c r="Z20">
        <v>0</v>
      </c>
      <c r="AA20">
        <f t="shared" si="8"/>
        <v>10.4825</v>
      </c>
      <c r="AB20">
        <f t="shared" si="9"/>
        <v>12.305</v>
      </c>
      <c r="AC20">
        <f t="shared" si="10"/>
        <v>24.799411764705884</v>
      </c>
      <c r="AD20">
        <f t="shared" si="11"/>
        <v>1742.3279106497127</v>
      </c>
      <c r="AE20">
        <f t="shared" si="12"/>
        <v>2045.2511271685873</v>
      </c>
      <c r="AF20">
        <f t="shared" si="13"/>
        <v>361.92883619744816</v>
      </c>
      <c r="AG20">
        <f t="shared" si="14"/>
        <v>4149.5078740157478</v>
      </c>
      <c r="AH20">
        <f t="shared" si="15"/>
        <v>2.7915475563426599</v>
      </c>
    </row>
    <row r="21" spans="1:34" ht="29.85" customHeight="1" x14ac:dyDescent="0.2">
      <c r="A21" s="38"/>
      <c r="C21" s="1">
        <f>AVERAGE(C13:C20)</f>
        <v>18</v>
      </c>
      <c r="S21" s="1">
        <f>AVERAGE(S13:S20)</f>
        <v>157.40773564602063</v>
      </c>
      <c r="T21" s="1">
        <f>AVERAGE(T13:T20)</f>
        <v>4160.0245098039222</v>
      </c>
      <c r="U21" s="1">
        <f>AVERAGE(U13:U20)</f>
        <v>2.7249657956994904</v>
      </c>
    </row>
    <row r="22" spans="1:34" ht="14.25" customHeight="1" x14ac:dyDescent="0.2"/>
    <row r="23" spans="1:34" ht="14.25" customHeight="1" x14ac:dyDescent="0.2"/>
    <row r="24" spans="1:34" ht="14.25" customHeight="1" x14ac:dyDescent="0.2"/>
    <row r="25" spans="1:34" ht="14.25" customHeight="1" x14ac:dyDescent="0.2"/>
    <row r="26" spans="1:34" ht="14.25" customHeight="1" x14ac:dyDescent="0.2">
      <c r="Q26" s="85">
        <f>AVERAGE(Q13:Q20)</f>
        <v>18.127499999999998</v>
      </c>
    </row>
    <row r="27" spans="1:34" ht="14.25" customHeight="1" x14ac:dyDescent="0.2"/>
    <row r="28" spans="1:34" ht="14.25" customHeight="1" x14ac:dyDescent="0.2"/>
    <row r="29" spans="1:34" ht="14.25" customHeight="1" x14ac:dyDescent="0.2"/>
    <row r="30" spans="1:34" ht="14.25" customHeight="1" x14ac:dyDescent="0.2"/>
    <row r="31" spans="1:34" ht="14.25" customHeight="1" x14ac:dyDescent="0.2"/>
    <row r="32" spans="1:3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</sheetData>
  <mergeCells count="2">
    <mergeCell ref="A13:A17"/>
    <mergeCell ref="A18:A20"/>
  </mergeCells>
  <pageMargins left="0.18" right="0.18" top="0.75" bottom="0.75" header="0.3" footer="0.3"/>
  <pageSetup scale="97" orientation="landscape" r:id="rId1"/>
  <colBreaks count="1" manualBreakCount="1">
    <brk id="10" min="3" max="1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858B-ED1C-475E-8753-0D21F809F6FE}">
  <dimension ref="A1:AL86"/>
  <sheetViews>
    <sheetView topLeftCell="I1" zoomScale="70" zoomScaleNormal="70" workbookViewId="0">
      <selection activeCell="Y13" sqref="Y13:AK20"/>
    </sheetView>
  </sheetViews>
  <sheetFormatPr defaultRowHeight="14.25" x14ac:dyDescent="0.2"/>
  <cols>
    <col min="1" max="1" width="9.7109375" style="1" customWidth="1"/>
    <col min="2" max="2" width="6.7109375" style="1" customWidth="1"/>
    <col min="3" max="3" width="11.42578125" style="1" customWidth="1"/>
    <col min="4" max="4" width="2" style="1" customWidth="1"/>
    <col min="5" max="7" width="15.7109375" style="1" customWidth="1"/>
    <col min="8" max="9" width="24.140625" style="1" customWidth="1"/>
    <col min="10" max="11" width="10.7109375" style="1" customWidth="1"/>
    <col min="12" max="12" width="13.7109375" style="1" customWidth="1"/>
    <col min="13" max="14" width="10.7109375" style="1" customWidth="1"/>
    <col min="15" max="15" width="13.7109375" style="1" customWidth="1"/>
    <col min="16" max="17" width="10.7109375" style="1" customWidth="1"/>
    <col min="18" max="20" width="13.7109375" style="1" customWidth="1"/>
    <col min="21" max="16384" width="9.140625" style="1"/>
  </cols>
  <sheetData>
    <row r="1" spans="1:37" x14ac:dyDescent="0.2">
      <c r="B1" s="1" t="s">
        <v>42</v>
      </c>
    </row>
    <row r="2" spans="1:37" x14ac:dyDescent="0.2">
      <c r="B2" s="1" t="s">
        <v>20</v>
      </c>
    </row>
    <row r="4" spans="1:37" x14ac:dyDescent="0.2">
      <c r="B4" s="1" t="s">
        <v>0</v>
      </c>
    </row>
    <row r="5" spans="1:37" x14ac:dyDescent="0.2">
      <c r="B5" s="29"/>
      <c r="C5" s="29" t="s">
        <v>1</v>
      </c>
      <c r="D5" s="6"/>
      <c r="E5" s="8" t="s">
        <v>47</v>
      </c>
      <c r="F5" s="23"/>
    </row>
    <row r="6" spans="1:37" x14ac:dyDescent="0.2">
      <c r="B6" s="29"/>
      <c r="C6" s="29" t="s">
        <v>2</v>
      </c>
      <c r="D6" s="6"/>
      <c r="E6" s="6" t="s">
        <v>10</v>
      </c>
    </row>
    <row r="7" spans="1:37" x14ac:dyDescent="0.2">
      <c r="B7" s="29"/>
      <c r="C7" s="29"/>
    </row>
    <row r="8" spans="1:37" ht="18" customHeight="1" x14ac:dyDescent="0.2">
      <c r="B8" s="29"/>
      <c r="C8" s="29" t="s">
        <v>6</v>
      </c>
      <c r="D8" s="6"/>
      <c r="E8" s="8" t="s">
        <v>48</v>
      </c>
      <c r="F8" s="23"/>
      <c r="K8" s="5" t="s">
        <v>5</v>
      </c>
      <c r="L8" s="8">
        <v>40764</v>
      </c>
      <c r="M8" s="23"/>
    </row>
    <row r="9" spans="1:37" ht="18" customHeight="1" x14ac:dyDescent="0.2">
      <c r="B9" s="29"/>
      <c r="C9" s="29" t="s">
        <v>3</v>
      </c>
      <c r="D9" s="6"/>
      <c r="E9" s="6" t="s">
        <v>49</v>
      </c>
    </row>
    <row r="10" spans="1:37" ht="18" customHeight="1" x14ac:dyDescent="0.2">
      <c r="C10" s="5"/>
      <c r="J10" s="15"/>
      <c r="K10" s="15"/>
      <c r="L10" s="15"/>
      <c r="M10" s="15"/>
      <c r="N10" s="15"/>
      <c r="O10" s="15"/>
      <c r="P10" s="15"/>
      <c r="Q10" s="15"/>
      <c r="R10" s="15"/>
    </row>
    <row r="11" spans="1:37" ht="18" customHeight="1" x14ac:dyDescent="0.25">
      <c r="D11" s="7"/>
      <c r="E11" s="9" t="s">
        <v>14</v>
      </c>
      <c r="F11" s="9"/>
      <c r="G11" s="9"/>
      <c r="H11" s="10"/>
      <c r="I11" s="10"/>
      <c r="J11" s="72"/>
      <c r="K11" s="72"/>
      <c r="L11" s="73"/>
      <c r="M11" s="73"/>
      <c r="N11" s="74"/>
      <c r="O11" s="74"/>
      <c r="P11" s="74"/>
      <c r="Q11" s="74"/>
      <c r="R11" s="74"/>
    </row>
    <row r="12" spans="1:37" ht="54" customHeight="1" thickBot="1" x14ac:dyDescent="0.3">
      <c r="A12" s="1" t="s">
        <v>50</v>
      </c>
      <c r="B12" s="19" t="s">
        <v>13</v>
      </c>
      <c r="C12" s="12" t="s">
        <v>4</v>
      </c>
      <c r="D12" s="13"/>
      <c r="E12" s="12" t="s">
        <v>18</v>
      </c>
      <c r="F12" s="12" t="s">
        <v>32</v>
      </c>
      <c r="G12" s="12" t="s">
        <v>33</v>
      </c>
      <c r="H12" s="12" t="s">
        <v>11</v>
      </c>
      <c r="I12" s="12" t="s">
        <v>12</v>
      </c>
      <c r="J12" s="31" t="s">
        <v>36</v>
      </c>
      <c r="K12" s="32" t="s">
        <v>35</v>
      </c>
      <c r="L12" s="33" t="s">
        <v>30</v>
      </c>
      <c r="M12" s="31" t="s">
        <v>37</v>
      </c>
      <c r="N12" s="32" t="s">
        <v>35</v>
      </c>
      <c r="O12" s="33" t="s">
        <v>7</v>
      </c>
      <c r="P12" s="31" t="s">
        <v>38</v>
      </c>
      <c r="Q12" s="32" t="s">
        <v>35</v>
      </c>
      <c r="R12" s="33" t="s">
        <v>8</v>
      </c>
      <c r="S12" s="34" t="s">
        <v>15</v>
      </c>
      <c r="T12" s="35" t="s">
        <v>39</v>
      </c>
      <c r="Y12" s="1" t="s">
        <v>79</v>
      </c>
      <c r="Z12" s="86" t="s">
        <v>64</v>
      </c>
      <c r="AA12" s="86" t="s">
        <v>65</v>
      </c>
      <c r="AB12" s="86" t="s">
        <v>74</v>
      </c>
      <c r="AC12" s="86" t="s">
        <v>75</v>
      </c>
      <c r="AD12" s="86" t="s">
        <v>66</v>
      </c>
      <c r="AE12" s="86" t="s">
        <v>67</v>
      </c>
      <c r="AF12" s="86" t="s">
        <v>68</v>
      </c>
      <c r="AG12" s="86" t="s">
        <v>69</v>
      </c>
      <c r="AH12" s="86" t="s">
        <v>70</v>
      </c>
      <c r="AI12" s="86" t="s">
        <v>71</v>
      </c>
      <c r="AJ12" s="86" t="s">
        <v>72</v>
      </c>
      <c r="AK12" s="86" t="s">
        <v>73</v>
      </c>
    </row>
    <row r="13" spans="1:37" ht="40.15" customHeight="1" thickTop="1" thickBot="1" x14ac:dyDescent="0.3">
      <c r="A13" s="75" t="s">
        <v>52</v>
      </c>
      <c r="B13" s="25">
        <v>1</v>
      </c>
      <c r="C13" s="40">
        <v>16</v>
      </c>
      <c r="D13" s="41"/>
      <c r="E13" s="40">
        <v>26</v>
      </c>
      <c r="F13" s="40">
        <v>3</v>
      </c>
      <c r="G13" s="40">
        <v>52</v>
      </c>
      <c r="H13" s="40">
        <v>16894</v>
      </c>
      <c r="I13" s="77" t="s">
        <v>54</v>
      </c>
      <c r="J13" s="57">
        <v>521.08000000000004</v>
      </c>
      <c r="K13" s="58">
        <v>62.95</v>
      </c>
      <c r="L13" s="59">
        <f>J13-K13</f>
        <v>458.13000000000005</v>
      </c>
      <c r="M13" s="57">
        <v>124.41</v>
      </c>
      <c r="N13" s="58">
        <v>16.670000000000002</v>
      </c>
      <c r="O13" s="59">
        <f t="shared" ref="O13:O20" si="0">M13-N13</f>
        <v>107.74</v>
      </c>
      <c r="P13" s="57">
        <v>119.41</v>
      </c>
      <c r="Q13" s="58">
        <v>16.73</v>
      </c>
      <c r="R13" s="59">
        <f t="shared" ref="R13:R20" si="1">P13-Q13</f>
        <v>102.67999999999999</v>
      </c>
      <c r="S13" s="60">
        <v>19.22</v>
      </c>
      <c r="T13" s="61">
        <v>127.22</v>
      </c>
      <c r="V13" s="1">
        <f>H13/R13</f>
        <v>164.53058044409818</v>
      </c>
      <c r="W13" s="1">
        <f>(L13+O13+R13+S13+T13)/(100*102)*100*100*10000/1000</f>
        <v>7990.0980392156853</v>
      </c>
      <c r="X13" s="1">
        <f>H13*SUM(L13,O13,R13,S13,T13)/SUM(O13,R13,S13,T13)/(100*102)</f>
        <v>3.7825678494230179</v>
      </c>
      <c r="Y13" s="1">
        <f>C13</f>
        <v>16</v>
      </c>
      <c r="Z13">
        <f>E13/8</f>
        <v>3.25</v>
      </c>
      <c r="AA13">
        <f>F13/8</f>
        <v>0.375</v>
      </c>
      <c r="AB13">
        <f>G13/8</f>
        <v>6.5</v>
      </c>
      <c r="AC13">
        <v>0</v>
      </c>
      <c r="AD13">
        <f>R13/8</f>
        <v>12.834999999999999</v>
      </c>
      <c r="AE13">
        <f>(O13+S13)/8</f>
        <v>15.87</v>
      </c>
      <c r="AF13">
        <f>SUM(L13,O13,R13,S13,T13)/C13</f>
        <v>50.936875000000001</v>
      </c>
      <c r="AG13">
        <f>AJ13*(R13/SUM(O13,R13,S13,T13))</f>
        <v>2308.0571639510144</v>
      </c>
      <c r="AH13">
        <f>AJ13*(SUM(O13,S13)/SUM(O13,R13,S13,T13))</f>
        <v>2853.8268166655707</v>
      </c>
      <c r="AI13">
        <f>AJ13*(T13/SUM(O13,R13,S13,T13))</f>
        <v>2859.6711374936513</v>
      </c>
      <c r="AJ13">
        <f>SUM(L13,O13,R13,S13,T13)/1000/(1.016*1)*10000</f>
        <v>8021.5551181102364</v>
      </c>
      <c r="AK13">
        <f>(H13*SUM(L13,O13,R13,S13,T13)/SUM(O13,R13,S13,T13))/(100*100)/(1.016*1)</f>
        <v>3.7974598488301949</v>
      </c>
    </row>
    <row r="14" spans="1:37" ht="40.15" customHeight="1" thickTop="1" thickBot="1" x14ac:dyDescent="0.3">
      <c r="A14" s="75" t="s">
        <v>52</v>
      </c>
      <c r="B14" s="25">
        <v>3</v>
      </c>
      <c r="C14" s="40">
        <v>19</v>
      </c>
      <c r="D14" s="41"/>
      <c r="E14" s="40">
        <v>13</v>
      </c>
      <c r="F14" s="40">
        <v>1</v>
      </c>
      <c r="G14" s="40">
        <v>54</v>
      </c>
      <c r="H14" s="40">
        <v>17115</v>
      </c>
      <c r="I14" s="77"/>
      <c r="J14" s="62">
        <v>553.30999999999995</v>
      </c>
      <c r="K14" s="47">
        <v>77.02</v>
      </c>
      <c r="L14" s="59">
        <f t="shared" ref="L14:L20" si="2">J14-K14</f>
        <v>476.28999999999996</v>
      </c>
      <c r="M14" s="62">
        <v>108.28</v>
      </c>
      <c r="N14" s="47">
        <v>16.68</v>
      </c>
      <c r="O14" s="59">
        <f t="shared" si="0"/>
        <v>91.6</v>
      </c>
      <c r="P14" s="62">
        <v>134.57</v>
      </c>
      <c r="Q14" s="47">
        <v>31.78</v>
      </c>
      <c r="R14" s="59">
        <f t="shared" si="1"/>
        <v>102.78999999999999</v>
      </c>
      <c r="S14" s="63">
        <v>18.86</v>
      </c>
      <c r="T14" s="64">
        <v>129.25</v>
      </c>
      <c r="V14" s="1">
        <f t="shared" ref="V14:V20" si="3">H14/R14</f>
        <v>166.50452378636055</v>
      </c>
      <c r="W14" s="1">
        <f t="shared" ref="W14:W19" si="4">(L14+O14+R14+S14+T14)/(100*102)*100*100*10000/1000</f>
        <v>8027.3529411764703</v>
      </c>
      <c r="X14" s="1">
        <f t="shared" ref="X14:X20" si="5">H14*SUM(L14,O14,R14,S14,T14)/SUM(O14,R14,S14,T14)/(100*102)</f>
        <v>4.01133271790468</v>
      </c>
      <c r="Y14" s="1">
        <f t="shared" ref="Y14:Y20" si="6">C14</f>
        <v>19</v>
      </c>
      <c r="Z14">
        <f t="shared" ref="Z14:Z20" si="7">E14/8</f>
        <v>1.625</v>
      </c>
      <c r="AA14">
        <f t="shared" ref="AA14:AA20" si="8">F14/8</f>
        <v>0.125</v>
      </c>
      <c r="AB14">
        <f t="shared" ref="AB14:AB20" si="9">G14/8</f>
        <v>6.75</v>
      </c>
      <c r="AC14">
        <v>0</v>
      </c>
      <c r="AD14">
        <f t="shared" ref="AD14:AD20" si="10">R14/8</f>
        <v>12.848749999999999</v>
      </c>
      <c r="AE14">
        <f t="shared" ref="AE14:AE20" si="11">(O14+S14)/8</f>
        <v>13.807499999999999</v>
      </c>
      <c r="AF14">
        <f t="shared" ref="AF14:AF20" si="12">SUM(L14,O14,R14,S14,T14)/C14</f>
        <v>43.094210526315784</v>
      </c>
      <c r="AG14">
        <f t="shared" ref="AG14:AG20" si="13">AJ14*(R14/SUM(O14,R14,S14,T14))</f>
        <v>2418.6281998965455</v>
      </c>
      <c r="AH14">
        <f t="shared" ref="AH14:AH20" si="14">AJ14*(SUM(O14,S14)/SUM(O14,R14,S14,T14))</f>
        <v>2599.1017702166791</v>
      </c>
      <c r="AI14">
        <f t="shared" ref="AI14:AI20" si="15">AJ14*(T14/SUM(O14,R14,S14,T14))</f>
        <v>3041.2267228001615</v>
      </c>
      <c r="AJ14">
        <f t="shared" ref="AJ14:AJ20" si="16">SUM(L14,O14,R14,S14,T14)/1000/(1.016*1)*10000</f>
        <v>8058.9566929133862</v>
      </c>
      <c r="AK14">
        <f t="shared" ref="AK14:AK20" si="17">(H14*SUM(L14,O14,R14,S14,T14)/SUM(O14,R14,S14,T14))/(100*100)/(1.016*1)</f>
        <v>4.0271253664003677</v>
      </c>
    </row>
    <row r="15" spans="1:37" ht="40.15" customHeight="1" thickTop="1" thickBot="1" x14ac:dyDescent="0.3">
      <c r="A15" s="75" t="s">
        <v>53</v>
      </c>
      <c r="B15" s="25">
        <v>5</v>
      </c>
      <c r="C15" s="40">
        <v>18</v>
      </c>
      <c r="D15" s="41"/>
      <c r="E15" s="40">
        <v>20</v>
      </c>
      <c r="F15" s="40">
        <v>1</v>
      </c>
      <c r="G15" s="40">
        <v>71</v>
      </c>
      <c r="H15" s="40">
        <v>18602</v>
      </c>
      <c r="I15" s="77"/>
      <c r="J15" s="62">
        <v>520.5</v>
      </c>
      <c r="K15" s="47">
        <v>62.7</v>
      </c>
      <c r="L15" s="59">
        <f t="shared" si="2"/>
        <v>457.8</v>
      </c>
      <c r="M15" s="62">
        <v>128.04</v>
      </c>
      <c r="N15" s="47">
        <v>16.649999999999999</v>
      </c>
      <c r="O15" s="59">
        <f t="shared" si="0"/>
        <v>111.38999999999999</v>
      </c>
      <c r="P15" s="62">
        <v>133.91</v>
      </c>
      <c r="Q15" s="47">
        <v>31.75</v>
      </c>
      <c r="R15" s="59">
        <f t="shared" si="1"/>
        <v>102.16</v>
      </c>
      <c r="S15" s="63">
        <v>21.64</v>
      </c>
      <c r="T15" s="64">
        <v>136.13999999999999</v>
      </c>
      <c r="V15" s="1">
        <f t="shared" si="3"/>
        <v>182.08692247454974</v>
      </c>
      <c r="W15" s="1">
        <f t="shared" si="4"/>
        <v>8128.7254901960778</v>
      </c>
      <c r="X15" s="1">
        <f t="shared" si="5"/>
        <v>4.0721339931766209</v>
      </c>
      <c r="Y15" s="1">
        <f t="shared" si="6"/>
        <v>18</v>
      </c>
      <c r="Z15">
        <f t="shared" si="7"/>
        <v>2.5</v>
      </c>
      <c r="AA15">
        <f t="shared" si="8"/>
        <v>0.125</v>
      </c>
      <c r="AB15">
        <f t="shared" si="9"/>
        <v>8.875</v>
      </c>
      <c r="AC15">
        <v>0</v>
      </c>
      <c r="AD15">
        <f t="shared" si="10"/>
        <v>12.77</v>
      </c>
      <c r="AE15">
        <f t="shared" si="11"/>
        <v>16.628749999999997</v>
      </c>
      <c r="AF15">
        <f t="shared" si="12"/>
        <v>46.062777777777775</v>
      </c>
      <c r="AG15">
        <f t="shared" si="13"/>
        <v>2245.1727785905141</v>
      </c>
      <c r="AH15">
        <f t="shared" si="14"/>
        <v>2923.6035115103373</v>
      </c>
      <c r="AI15">
        <f t="shared" si="15"/>
        <v>2991.9520563558399</v>
      </c>
      <c r="AJ15">
        <f t="shared" si="16"/>
        <v>8160.7283464566926</v>
      </c>
      <c r="AK15">
        <f t="shared" si="17"/>
        <v>4.0881660167718046</v>
      </c>
    </row>
    <row r="16" spans="1:37" ht="40.15" customHeight="1" thickTop="1" thickBot="1" x14ac:dyDescent="0.3">
      <c r="A16" s="75" t="s">
        <v>53</v>
      </c>
      <c r="B16" s="25">
        <v>7</v>
      </c>
      <c r="C16" s="40">
        <v>19</v>
      </c>
      <c r="D16" s="41"/>
      <c r="E16" s="40">
        <v>31</v>
      </c>
      <c r="F16" s="40">
        <v>2</v>
      </c>
      <c r="G16" s="40">
        <v>67</v>
      </c>
      <c r="H16" s="40">
        <v>21987</v>
      </c>
      <c r="I16" s="77"/>
      <c r="J16" s="62">
        <v>729.58</v>
      </c>
      <c r="K16" s="47">
        <v>64.38</v>
      </c>
      <c r="L16" s="59">
        <f t="shared" si="2"/>
        <v>665.2</v>
      </c>
      <c r="M16" s="62">
        <v>138.29</v>
      </c>
      <c r="N16" s="47">
        <v>16.54</v>
      </c>
      <c r="O16" s="59">
        <f t="shared" si="0"/>
        <v>121.75</v>
      </c>
      <c r="P16" s="62">
        <v>150.26</v>
      </c>
      <c r="Q16" s="47">
        <v>31.54</v>
      </c>
      <c r="R16" s="59">
        <f t="shared" si="1"/>
        <v>118.72</v>
      </c>
      <c r="S16" s="63">
        <v>26.12</v>
      </c>
      <c r="T16" s="64">
        <v>165.35</v>
      </c>
      <c r="V16" s="1">
        <f t="shared" si="3"/>
        <v>185.2004716981132</v>
      </c>
      <c r="W16" s="1">
        <f t="shared" si="4"/>
        <v>10756.274509803923</v>
      </c>
      <c r="X16" s="1">
        <f t="shared" si="5"/>
        <v>5.4752559996077901</v>
      </c>
      <c r="Y16" s="1">
        <f t="shared" si="6"/>
        <v>19</v>
      </c>
      <c r="Z16">
        <f t="shared" si="7"/>
        <v>3.875</v>
      </c>
      <c r="AA16">
        <f t="shared" si="8"/>
        <v>0.25</v>
      </c>
      <c r="AB16">
        <f t="shared" si="9"/>
        <v>8.375</v>
      </c>
      <c r="AC16">
        <v>0</v>
      </c>
      <c r="AD16">
        <f t="shared" si="10"/>
        <v>14.84</v>
      </c>
      <c r="AE16">
        <f t="shared" si="11"/>
        <v>18.483750000000001</v>
      </c>
      <c r="AF16">
        <f t="shared" si="12"/>
        <v>57.744210526315797</v>
      </c>
      <c r="AG16">
        <f t="shared" si="13"/>
        <v>2968.0335450498196</v>
      </c>
      <c r="AH16">
        <f t="shared" si="14"/>
        <v>3696.7917815575879</v>
      </c>
      <c r="AI16">
        <f t="shared" si="15"/>
        <v>4133.7967206366884</v>
      </c>
      <c r="AJ16">
        <f t="shared" si="16"/>
        <v>10798.622047244095</v>
      </c>
      <c r="AK16">
        <f t="shared" si="17"/>
        <v>5.4968121255904983</v>
      </c>
    </row>
    <row r="17" spans="1:38" ht="40.15" customHeight="1" thickTop="1" thickBot="1" x14ac:dyDescent="0.3">
      <c r="A17" s="76" t="s">
        <v>52</v>
      </c>
      <c r="B17" s="25">
        <v>10</v>
      </c>
      <c r="C17" s="40">
        <v>15</v>
      </c>
      <c r="D17" s="41"/>
      <c r="E17" s="40">
        <v>88</v>
      </c>
      <c r="F17" s="40">
        <v>2</v>
      </c>
      <c r="G17" s="40">
        <v>73</v>
      </c>
      <c r="H17" s="40">
        <v>29634</v>
      </c>
      <c r="I17" s="77" t="s">
        <v>56</v>
      </c>
      <c r="J17" s="62">
        <v>554.92999999999995</v>
      </c>
      <c r="K17" s="47">
        <v>68.540000000000006</v>
      </c>
      <c r="L17" s="59">
        <f t="shared" si="2"/>
        <v>486.38999999999993</v>
      </c>
      <c r="M17" s="62">
        <v>204.69</v>
      </c>
      <c r="N17" s="47">
        <v>31.6</v>
      </c>
      <c r="O17" s="59">
        <f t="shared" si="0"/>
        <v>173.09</v>
      </c>
      <c r="P17" s="62">
        <v>167.88</v>
      </c>
      <c r="Q17" s="47">
        <v>16.670000000000002</v>
      </c>
      <c r="R17" s="59">
        <f t="shared" si="1"/>
        <v>151.20999999999998</v>
      </c>
      <c r="S17" s="63">
        <v>25.14</v>
      </c>
      <c r="T17" s="64">
        <v>169.6</v>
      </c>
      <c r="V17" s="1">
        <f t="shared" si="3"/>
        <v>195.97910191124927</v>
      </c>
      <c r="W17" s="1">
        <f t="shared" si="4"/>
        <v>9857.1568627450961</v>
      </c>
      <c r="X17" s="1">
        <f t="shared" si="5"/>
        <v>5.6278318910023923</v>
      </c>
      <c r="Y17" s="1">
        <f t="shared" si="6"/>
        <v>15</v>
      </c>
      <c r="Z17">
        <f t="shared" si="7"/>
        <v>11</v>
      </c>
      <c r="AA17">
        <f t="shared" si="8"/>
        <v>0.25</v>
      </c>
      <c r="AB17">
        <f t="shared" si="9"/>
        <v>9.125</v>
      </c>
      <c r="AC17">
        <v>0</v>
      </c>
      <c r="AD17">
        <f t="shared" si="10"/>
        <v>18.901249999999997</v>
      </c>
      <c r="AE17">
        <f t="shared" si="11"/>
        <v>24.778750000000002</v>
      </c>
      <c r="AF17">
        <f t="shared" si="12"/>
        <v>67.028666666666652</v>
      </c>
      <c r="AG17">
        <f t="shared" si="13"/>
        <v>2882.9546897452096</v>
      </c>
      <c r="AH17">
        <f t="shared" si="14"/>
        <v>3779.4332924290266</v>
      </c>
      <c r="AI17">
        <f t="shared" si="15"/>
        <v>3233.5765847548946</v>
      </c>
      <c r="AJ17">
        <f t="shared" si="16"/>
        <v>9895.9645669291313</v>
      </c>
      <c r="AK17">
        <f t="shared" si="17"/>
        <v>5.6499887094709056</v>
      </c>
    </row>
    <row r="18" spans="1:38" ht="40.15" customHeight="1" thickTop="1" thickBot="1" x14ac:dyDescent="0.3">
      <c r="A18" s="75" t="s">
        <v>53</v>
      </c>
      <c r="B18" s="25">
        <v>12</v>
      </c>
      <c r="C18" s="40">
        <v>14</v>
      </c>
      <c r="D18" s="41"/>
      <c r="E18" s="40">
        <v>47</v>
      </c>
      <c r="F18" s="40">
        <v>3</v>
      </c>
      <c r="G18" s="40">
        <v>64</v>
      </c>
      <c r="H18" s="40">
        <v>26903</v>
      </c>
      <c r="I18" s="77" t="s">
        <v>55</v>
      </c>
      <c r="J18" s="62">
        <v>432.06</v>
      </c>
      <c r="K18" s="47">
        <v>68.650000000000006</v>
      </c>
      <c r="L18" s="59">
        <f t="shared" si="2"/>
        <v>363.40999999999997</v>
      </c>
      <c r="M18" s="62">
        <v>164.78</v>
      </c>
      <c r="N18" s="47">
        <v>16.63</v>
      </c>
      <c r="O18" s="59">
        <f t="shared" si="0"/>
        <v>148.15</v>
      </c>
      <c r="P18" s="62">
        <v>169.05</v>
      </c>
      <c r="Q18" s="47">
        <v>22.89</v>
      </c>
      <c r="R18" s="59">
        <f t="shared" si="1"/>
        <v>146.16000000000003</v>
      </c>
      <c r="S18" s="63">
        <v>30.68</v>
      </c>
      <c r="T18" s="64">
        <v>136.66</v>
      </c>
      <c r="V18" s="1">
        <f t="shared" si="3"/>
        <v>184.0654077723043</v>
      </c>
      <c r="W18" s="1">
        <f t="shared" si="4"/>
        <v>8088.823529411764</v>
      </c>
      <c r="X18" s="1">
        <f t="shared" si="5"/>
        <v>4.7138225801313691</v>
      </c>
      <c r="Y18" s="1">
        <f t="shared" si="6"/>
        <v>14</v>
      </c>
      <c r="Z18">
        <f t="shared" si="7"/>
        <v>5.875</v>
      </c>
      <c r="AA18">
        <f t="shared" si="8"/>
        <v>0.375</v>
      </c>
      <c r="AB18">
        <f t="shared" si="9"/>
        <v>8</v>
      </c>
      <c r="AC18">
        <v>0</v>
      </c>
      <c r="AD18">
        <f t="shared" si="10"/>
        <v>18.270000000000003</v>
      </c>
      <c r="AE18">
        <f t="shared" si="11"/>
        <v>22.353750000000002</v>
      </c>
      <c r="AF18">
        <f t="shared" si="12"/>
        <v>58.932857142857138</v>
      </c>
      <c r="AG18">
        <f t="shared" si="13"/>
        <v>2571.0322183949897</v>
      </c>
      <c r="AH18">
        <f t="shared" si="14"/>
        <v>3145.7149125313081</v>
      </c>
      <c r="AI18">
        <f t="shared" si="15"/>
        <v>2403.9221604122827</v>
      </c>
      <c r="AJ18">
        <f t="shared" si="16"/>
        <v>8120.6692913385814</v>
      </c>
      <c r="AK18">
        <f t="shared" si="17"/>
        <v>4.7323809367460594</v>
      </c>
    </row>
    <row r="19" spans="1:38" s="4" customFormat="1" ht="40.15" customHeight="1" thickTop="1" thickBot="1" x14ac:dyDescent="0.3">
      <c r="A19" s="75" t="s">
        <v>53</v>
      </c>
      <c r="B19" s="25">
        <v>13</v>
      </c>
      <c r="C19" s="40">
        <v>18</v>
      </c>
      <c r="D19" s="41"/>
      <c r="E19" s="40">
        <v>11</v>
      </c>
      <c r="F19" s="40">
        <v>2</v>
      </c>
      <c r="G19" s="40">
        <v>67</v>
      </c>
      <c r="H19" s="40">
        <v>19129</v>
      </c>
      <c r="I19" s="77"/>
      <c r="J19" s="62">
        <v>529.96</v>
      </c>
      <c r="K19" s="47">
        <v>56.48</v>
      </c>
      <c r="L19" s="59">
        <f t="shared" si="2"/>
        <v>473.48</v>
      </c>
      <c r="M19" s="62">
        <v>113.28</v>
      </c>
      <c r="N19" s="47">
        <v>16.71</v>
      </c>
      <c r="O19" s="59">
        <f t="shared" si="0"/>
        <v>96.57</v>
      </c>
      <c r="P19" s="62">
        <v>124.36</v>
      </c>
      <c r="Q19" s="47">
        <v>15.63</v>
      </c>
      <c r="R19" s="59">
        <f t="shared" si="1"/>
        <v>108.73</v>
      </c>
      <c r="S19" s="63">
        <v>21.19</v>
      </c>
      <c r="T19" s="64">
        <v>148.99</v>
      </c>
      <c r="U19" s="2"/>
      <c r="V19" s="1">
        <f t="shared" si="3"/>
        <v>175.93120573898648</v>
      </c>
      <c r="W19" s="1">
        <f t="shared" si="4"/>
        <v>8323.1372549019597</v>
      </c>
      <c r="X19" s="1">
        <f t="shared" si="5"/>
        <v>4.2402602681639392</v>
      </c>
      <c r="Y19" s="1">
        <f t="shared" si="6"/>
        <v>18</v>
      </c>
      <c r="Z19">
        <f t="shared" si="7"/>
        <v>1.375</v>
      </c>
      <c r="AA19">
        <f t="shared" si="8"/>
        <v>0.25</v>
      </c>
      <c r="AB19">
        <f t="shared" si="9"/>
        <v>8.375</v>
      </c>
      <c r="AC19">
        <v>0</v>
      </c>
      <c r="AD19">
        <f t="shared" si="10"/>
        <v>13.59125</v>
      </c>
      <c r="AE19">
        <f t="shared" si="11"/>
        <v>14.719999999999999</v>
      </c>
      <c r="AF19">
        <f t="shared" si="12"/>
        <v>47.164444444444449</v>
      </c>
      <c r="AG19">
        <f t="shared" si="13"/>
        <v>2419.6697728220215</v>
      </c>
      <c r="AH19">
        <f t="shared" si="14"/>
        <v>2620.6227577257541</v>
      </c>
      <c r="AI19">
        <f t="shared" si="15"/>
        <v>3315.6129812632485</v>
      </c>
      <c r="AJ19">
        <f t="shared" si="16"/>
        <v>8355.9055118110246</v>
      </c>
      <c r="AK19">
        <f t="shared" si="17"/>
        <v>4.2569542062275776</v>
      </c>
      <c r="AL19" s="1"/>
    </row>
    <row r="20" spans="1:38" ht="40.15" customHeight="1" thickTop="1" thickBot="1" x14ac:dyDescent="0.3">
      <c r="A20" s="76" t="s">
        <v>51</v>
      </c>
      <c r="B20" s="25">
        <v>16</v>
      </c>
      <c r="C20" s="40">
        <v>16</v>
      </c>
      <c r="D20" s="41"/>
      <c r="E20" s="40">
        <v>20</v>
      </c>
      <c r="F20" s="40">
        <v>3</v>
      </c>
      <c r="G20" s="40">
        <v>58</v>
      </c>
      <c r="H20" s="40">
        <v>15880</v>
      </c>
      <c r="I20" s="77"/>
      <c r="J20" s="65">
        <v>439.53</v>
      </c>
      <c r="K20" s="66">
        <v>68.959999999999994</v>
      </c>
      <c r="L20" s="59">
        <f t="shared" si="2"/>
        <v>370.57</v>
      </c>
      <c r="M20" s="65">
        <v>134.43</v>
      </c>
      <c r="N20" s="66">
        <v>15.6</v>
      </c>
      <c r="O20" s="59">
        <f t="shared" si="0"/>
        <v>118.83000000000001</v>
      </c>
      <c r="P20" s="65">
        <v>120.34</v>
      </c>
      <c r="Q20" s="66">
        <v>15.61</v>
      </c>
      <c r="R20" s="59">
        <f t="shared" si="1"/>
        <v>104.73</v>
      </c>
      <c r="S20" s="63">
        <v>20.55</v>
      </c>
      <c r="T20" s="64">
        <v>127.87</v>
      </c>
      <c r="V20" s="1">
        <f t="shared" si="3"/>
        <v>151.62799579872052</v>
      </c>
      <c r="W20" s="1">
        <f>(L20+O20+R20+S20+T20)/(100*102)*100*100*10000/1000</f>
        <v>7279.901960784312</v>
      </c>
      <c r="X20" s="1">
        <f t="shared" si="5"/>
        <v>3.1078241609025996</v>
      </c>
      <c r="Y20" s="1">
        <f t="shared" si="6"/>
        <v>16</v>
      </c>
      <c r="Z20">
        <f t="shared" si="7"/>
        <v>2.5</v>
      </c>
      <c r="AA20">
        <f t="shared" si="8"/>
        <v>0.375</v>
      </c>
      <c r="AB20">
        <f t="shared" si="9"/>
        <v>7.25</v>
      </c>
      <c r="AC20">
        <v>0</v>
      </c>
      <c r="AD20">
        <f t="shared" si="10"/>
        <v>13.09125</v>
      </c>
      <c r="AE20">
        <f t="shared" si="11"/>
        <v>17.422500000000003</v>
      </c>
      <c r="AF20">
        <f t="shared" si="12"/>
        <v>46.409374999999997</v>
      </c>
      <c r="AG20">
        <f t="shared" si="13"/>
        <v>2057.7068717816933</v>
      </c>
      <c r="AH20">
        <f t="shared" si="14"/>
        <v>2738.5007523052841</v>
      </c>
      <c r="AI20">
        <f t="shared" si="15"/>
        <v>2512.355368039006</v>
      </c>
      <c r="AJ20">
        <f t="shared" si="16"/>
        <v>7308.5629921259833</v>
      </c>
      <c r="AK20">
        <f t="shared" si="17"/>
        <v>3.1200596890951293</v>
      </c>
    </row>
    <row r="21" spans="1:38" ht="29.85" customHeight="1" thickTop="1" x14ac:dyDescent="0.2">
      <c r="C21" s="1">
        <f>AVERAGE(C13:C20)</f>
        <v>16.875</v>
      </c>
      <c r="V21" s="1">
        <f>AVERAGE(V13:V20)</f>
        <v>175.74077620304777</v>
      </c>
      <c r="W21" s="1">
        <f>AVERAGE(W13:W20)</f>
        <v>8556.4338235294108</v>
      </c>
      <c r="X21" s="1">
        <f>AVERAGE(X13:X20)</f>
        <v>4.3788786825390513</v>
      </c>
    </row>
    <row r="22" spans="1:38" ht="14.25" customHeight="1" x14ac:dyDescent="0.2"/>
    <row r="23" spans="1:38" ht="14.25" customHeight="1" x14ac:dyDescent="0.2"/>
    <row r="24" spans="1:38" ht="14.25" customHeight="1" x14ac:dyDescent="0.2"/>
    <row r="25" spans="1:38" ht="14.25" customHeight="1" x14ac:dyDescent="0.2"/>
    <row r="26" spans="1:38" ht="14.25" customHeight="1" x14ac:dyDescent="0.2">
      <c r="T26" s="85">
        <f>AVERAGE(T13:T20)</f>
        <v>142.63499999999999</v>
      </c>
    </row>
    <row r="27" spans="1:38" ht="14.25" customHeight="1" x14ac:dyDescent="0.2"/>
    <row r="28" spans="1:38" ht="14.25" customHeight="1" x14ac:dyDescent="0.2"/>
    <row r="29" spans="1:38" ht="14.25" customHeight="1" x14ac:dyDescent="0.2"/>
    <row r="30" spans="1:38" ht="14.25" customHeight="1" x14ac:dyDescent="0.2"/>
    <row r="31" spans="1:38" ht="14.25" customHeight="1" x14ac:dyDescent="0.2"/>
    <row r="32" spans="1:38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</sheetData>
  <printOptions horizontalCentered="1" verticalCentered="1"/>
  <pageMargins left="0.18" right="0.18" top="0.75" bottom="0.75" header="0.3" footer="0.3"/>
  <pageSetup scale="95" fitToWidth="2" orientation="landscape" r:id="rId1"/>
  <colBreaks count="1" manualBreakCount="1">
    <brk id="9" max="1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D17F-DBB8-4599-ADB0-251BC132CCC9}">
  <dimension ref="A1:AM86"/>
  <sheetViews>
    <sheetView topLeftCell="J1" zoomScale="60" zoomScaleNormal="60" workbookViewId="0">
      <selection activeCell="AA13" sqref="AA13:AM20"/>
    </sheetView>
  </sheetViews>
  <sheetFormatPr defaultRowHeight="14.25" x14ac:dyDescent="0.2"/>
  <cols>
    <col min="1" max="1" width="8" style="1" customWidth="1"/>
    <col min="2" max="2" width="8.28515625" style="1" customWidth="1"/>
    <col min="3" max="3" width="10.28515625" style="1" customWidth="1"/>
    <col min="4" max="4" width="2" style="1" customWidth="1"/>
    <col min="5" max="8" width="15.7109375" style="1" customWidth="1"/>
    <col min="9" max="10" width="24.140625" style="1" customWidth="1"/>
    <col min="11" max="11" width="9" style="1" customWidth="1"/>
    <col min="12" max="20" width="15.7109375" style="1" customWidth="1"/>
    <col min="21" max="21" width="17.7109375" style="1" customWidth="1"/>
    <col min="22" max="22" width="18.28515625" style="1" customWidth="1"/>
    <col min="23" max="16384" width="9.140625" style="1"/>
  </cols>
  <sheetData>
    <row r="1" spans="1:39" x14ac:dyDescent="0.2">
      <c r="B1" s="1" t="s">
        <v>42</v>
      </c>
    </row>
    <row r="2" spans="1:39" x14ac:dyDescent="0.2">
      <c r="B2" s="1" t="s">
        <v>20</v>
      </c>
    </row>
    <row r="4" spans="1:39" x14ac:dyDescent="0.2">
      <c r="B4" s="1" t="s">
        <v>0</v>
      </c>
    </row>
    <row r="5" spans="1:39" x14ac:dyDescent="0.2">
      <c r="B5" s="29"/>
      <c r="D5" s="5" t="s">
        <v>1</v>
      </c>
      <c r="E5" s="8">
        <v>40779</v>
      </c>
      <c r="F5" s="23"/>
    </row>
    <row r="6" spans="1:39" x14ac:dyDescent="0.2">
      <c r="B6" s="29"/>
      <c r="D6" s="5" t="s">
        <v>2</v>
      </c>
      <c r="E6" s="6" t="s">
        <v>57</v>
      </c>
    </row>
    <row r="7" spans="1:39" x14ac:dyDescent="0.2">
      <c r="B7" s="29"/>
      <c r="C7" s="29"/>
    </row>
    <row r="8" spans="1:39" ht="18" customHeight="1" x14ac:dyDescent="0.2">
      <c r="B8" s="29"/>
      <c r="D8" s="5" t="s">
        <v>6</v>
      </c>
      <c r="E8" s="8" t="s">
        <v>58</v>
      </c>
      <c r="F8" s="23"/>
      <c r="M8" s="5" t="s">
        <v>5</v>
      </c>
      <c r="N8" s="8">
        <v>40788</v>
      </c>
      <c r="O8" s="23"/>
    </row>
    <row r="9" spans="1:39" ht="18" customHeight="1" x14ac:dyDescent="0.2">
      <c r="B9" s="29"/>
      <c r="D9" s="5" t="s">
        <v>3</v>
      </c>
      <c r="E9" s="6" t="s">
        <v>10</v>
      </c>
    </row>
    <row r="10" spans="1:39" ht="18" customHeight="1" x14ac:dyDescent="0.2">
      <c r="C10" s="5"/>
      <c r="L10" s="15"/>
      <c r="M10" s="15"/>
      <c r="N10" s="15"/>
      <c r="O10" s="15"/>
      <c r="P10" s="15"/>
      <c r="Q10" s="15"/>
      <c r="R10" s="15"/>
      <c r="S10" s="15"/>
    </row>
    <row r="11" spans="1:39" ht="18" customHeight="1" x14ac:dyDescent="0.25">
      <c r="D11" s="7"/>
      <c r="E11" s="9" t="s">
        <v>14</v>
      </c>
      <c r="F11" s="9"/>
      <c r="G11" s="9"/>
      <c r="H11" s="9"/>
      <c r="I11" s="10"/>
      <c r="J11" s="10"/>
      <c r="K11" s="11"/>
      <c r="L11" s="16"/>
      <c r="M11" s="16"/>
      <c r="N11" s="17"/>
      <c r="O11" s="84" t="s">
        <v>61</v>
      </c>
      <c r="P11" s="18"/>
      <c r="Q11" s="18"/>
      <c r="R11" s="18"/>
      <c r="S11" s="18"/>
    </row>
    <row r="12" spans="1:39" ht="54" customHeight="1" thickBot="1" x14ac:dyDescent="0.3">
      <c r="B12" s="36" t="s">
        <v>13</v>
      </c>
      <c r="C12" s="12" t="s">
        <v>4</v>
      </c>
      <c r="D12" s="13"/>
      <c r="E12" s="12" t="s">
        <v>18</v>
      </c>
      <c r="F12" s="12" t="s">
        <v>32</v>
      </c>
      <c r="G12" s="12" t="s">
        <v>41</v>
      </c>
      <c r="H12" s="12" t="s">
        <v>40</v>
      </c>
      <c r="I12" s="12" t="s">
        <v>11</v>
      </c>
      <c r="J12" s="12" t="s">
        <v>12</v>
      </c>
      <c r="K12" s="13"/>
      <c r="L12" s="31" t="s">
        <v>36</v>
      </c>
      <c r="M12" s="32" t="s">
        <v>35</v>
      </c>
      <c r="N12" s="79" t="s">
        <v>30</v>
      </c>
      <c r="O12" s="31" t="s">
        <v>37</v>
      </c>
      <c r="P12" s="32" t="s">
        <v>35</v>
      </c>
      <c r="Q12" s="33" t="s">
        <v>7</v>
      </c>
      <c r="R12" s="31" t="s">
        <v>38</v>
      </c>
      <c r="S12" s="32" t="s">
        <v>35</v>
      </c>
      <c r="T12" s="33" t="s">
        <v>8</v>
      </c>
      <c r="U12" s="34" t="s">
        <v>15</v>
      </c>
      <c r="V12" s="35" t="s">
        <v>39</v>
      </c>
      <c r="AA12" s="1" t="s">
        <v>79</v>
      </c>
      <c r="AB12" s="86" t="s">
        <v>64</v>
      </c>
      <c r="AC12" s="86" t="s">
        <v>65</v>
      </c>
      <c r="AD12" s="86" t="s">
        <v>74</v>
      </c>
      <c r="AE12" s="86" t="s">
        <v>75</v>
      </c>
      <c r="AF12" s="86" t="s">
        <v>66</v>
      </c>
      <c r="AG12" s="86" t="s">
        <v>67</v>
      </c>
      <c r="AH12" s="86" t="s">
        <v>68</v>
      </c>
      <c r="AI12" s="86" t="s">
        <v>69</v>
      </c>
      <c r="AJ12" s="86" t="s">
        <v>70</v>
      </c>
      <c r="AK12" s="86" t="s">
        <v>71</v>
      </c>
      <c r="AL12" s="86" t="s">
        <v>72</v>
      </c>
      <c r="AM12" s="86" t="s">
        <v>73</v>
      </c>
    </row>
    <row r="13" spans="1:39" ht="40.15" customHeight="1" thickTop="1" x14ac:dyDescent="0.25">
      <c r="A13" s="78">
        <v>40779</v>
      </c>
      <c r="B13" s="25">
        <v>2</v>
      </c>
      <c r="C13" s="40">
        <v>14</v>
      </c>
      <c r="D13" s="41"/>
      <c r="E13" s="40">
        <v>36</v>
      </c>
      <c r="F13" s="40">
        <v>1</v>
      </c>
      <c r="G13" s="40">
        <v>89</v>
      </c>
      <c r="H13" s="40">
        <v>26</v>
      </c>
      <c r="I13" s="40">
        <v>32744</v>
      </c>
      <c r="J13" s="98" t="s">
        <v>59</v>
      </c>
      <c r="K13" s="20">
        <v>2</v>
      </c>
      <c r="L13" s="57">
        <v>712.14</v>
      </c>
      <c r="M13" s="58">
        <v>69.31</v>
      </c>
      <c r="N13" s="80">
        <f>L13-M13</f>
        <v>642.82999999999993</v>
      </c>
      <c r="O13" s="57">
        <v>245.45</v>
      </c>
      <c r="P13" s="58">
        <v>23.11</v>
      </c>
      <c r="Q13" s="80">
        <f>O13-P13</f>
        <v>222.33999999999997</v>
      </c>
      <c r="R13" s="57">
        <v>215.33</v>
      </c>
      <c r="S13" s="58">
        <v>32.270000000000003</v>
      </c>
      <c r="T13" s="81">
        <f t="shared" ref="T13:T20" si="0">R13-S13</f>
        <v>183.06</v>
      </c>
      <c r="U13" s="60">
        <v>35.67</v>
      </c>
      <c r="V13" s="61">
        <v>360.34</v>
      </c>
      <c r="X13" s="1">
        <f>I13/T13</f>
        <v>178.87031574347208</v>
      </c>
      <c r="Y13" s="1">
        <f>(N13+Q13+T13+U13+V13)/(100*102)*100*100*10000/1000</f>
        <v>14159.215686274507</v>
      </c>
      <c r="Z13" s="1">
        <f>I13*SUM(N13,Q13,T13,U13,V13)/SUM(Q13,T13,U13,V13)/(102*100)</f>
        <v>5.7851706171793778</v>
      </c>
      <c r="AA13" s="1">
        <f>C13</f>
        <v>14</v>
      </c>
      <c r="AB13">
        <f>E13/8</f>
        <v>4.5</v>
      </c>
      <c r="AC13">
        <f>F13/8</f>
        <v>0.125</v>
      </c>
      <c r="AD13">
        <f>G13/8</f>
        <v>11.125</v>
      </c>
      <c r="AE13">
        <f>H13/8</f>
        <v>3.25</v>
      </c>
      <c r="AF13">
        <f>T13/8</f>
        <v>22.8825</v>
      </c>
      <c r="AG13">
        <f>(Q13+U13)/8</f>
        <v>32.251249999999999</v>
      </c>
      <c r="AH13">
        <f>SUM(N13,Q13,T13,U13,V13)/C13</f>
        <v>103.15999999999998</v>
      </c>
      <c r="AI13">
        <f>AL13*(T13/SUM(Q13,T13,U13,V13))</f>
        <v>3247.015501320654</v>
      </c>
      <c r="AJ13">
        <f>AL13*(SUM(Q13,U13)/SUM(Q13,T13,U13,V13))</f>
        <v>4576.4365207895871</v>
      </c>
      <c r="AK13">
        <f>AL13*(V13/SUM(Q13,T13,U13,V13))</f>
        <v>6391.5086078110144</v>
      </c>
      <c r="AL13">
        <f>SUM(N13,Q13,T13,U13,V13)/1000/(1.016*1)*10000</f>
        <v>14214.960629921256</v>
      </c>
      <c r="AM13">
        <f>(I13*SUM(N13,Q13,T13,U13,V13)/SUM(Q13,T13,U13,V13))/(100*100)/(1.016*1)</f>
        <v>5.8079468794517375</v>
      </c>
    </row>
    <row r="14" spans="1:39" ht="40.15" customHeight="1" x14ac:dyDescent="0.25">
      <c r="A14" s="78">
        <v>40780</v>
      </c>
      <c r="B14" s="25">
        <v>4</v>
      </c>
      <c r="C14" s="40">
        <v>13</v>
      </c>
      <c r="D14" s="41"/>
      <c r="E14" s="40">
        <v>104</v>
      </c>
      <c r="F14" s="40">
        <v>3</v>
      </c>
      <c r="G14" s="40">
        <v>95</v>
      </c>
      <c r="H14" s="40">
        <v>34</v>
      </c>
      <c r="I14" s="40">
        <v>35266</v>
      </c>
      <c r="J14" s="99"/>
      <c r="K14" s="20">
        <v>4</v>
      </c>
      <c r="L14" s="62">
        <v>615.05999999999995</v>
      </c>
      <c r="M14" s="47">
        <v>69.75</v>
      </c>
      <c r="N14" s="81">
        <f t="shared" ref="N14:N20" si="1">L14-M14</f>
        <v>545.30999999999995</v>
      </c>
      <c r="O14" s="62">
        <v>236.51</v>
      </c>
      <c r="P14" s="47">
        <v>17.03</v>
      </c>
      <c r="Q14" s="81">
        <f>O14-P14</f>
        <v>219.48</v>
      </c>
      <c r="R14" s="62">
        <v>217.46</v>
      </c>
      <c r="S14" s="47">
        <v>17.190000000000001</v>
      </c>
      <c r="T14" s="81">
        <f t="shared" si="0"/>
        <v>200.27</v>
      </c>
      <c r="U14" s="63">
        <v>41.53</v>
      </c>
      <c r="V14" s="64">
        <v>428.87</v>
      </c>
      <c r="X14" s="1">
        <f t="shared" ref="X14:X20" si="2">I14/T14</f>
        <v>176.09227542817194</v>
      </c>
      <c r="Y14" s="1">
        <f t="shared" ref="Y14:Y19" si="3">(N14+Q14+T14+U14+V14)/(100*102)*100*100*10000/1000</f>
        <v>14073.13725490196</v>
      </c>
      <c r="Z14" s="1">
        <f t="shared" ref="Z14:Z20" si="4">I14*SUM(N14,Q14,T14,U14,V14)/SUM(Q14,T14,U14,V14)/(102*100)</f>
        <v>5.5755014147208062</v>
      </c>
      <c r="AA14" s="1">
        <f t="shared" ref="AA14:AA20" si="5">C14</f>
        <v>13</v>
      </c>
      <c r="AB14">
        <f t="shared" ref="AB14:AB20" si="6">E14/8</f>
        <v>13</v>
      </c>
      <c r="AC14">
        <f t="shared" ref="AC14:AC20" si="7">F14/8</f>
        <v>0.375</v>
      </c>
      <c r="AD14">
        <f t="shared" ref="AD14:AD20" si="8">G14/8</f>
        <v>11.875</v>
      </c>
      <c r="AE14">
        <f t="shared" ref="AE14:AE20" si="9">H14/8</f>
        <v>4.25</v>
      </c>
      <c r="AF14">
        <f t="shared" ref="AF14:AF20" si="10">T14/8</f>
        <v>25.033750000000001</v>
      </c>
      <c r="AG14">
        <f t="shared" ref="AG14:AG20" si="11">(Q14+U14)/8</f>
        <v>32.626249999999999</v>
      </c>
      <c r="AH14">
        <f t="shared" ref="AH14:AH20" si="12">SUM(N14,Q14,T14,U14,V14)/C14</f>
        <v>110.42</v>
      </c>
      <c r="AI14">
        <f t="shared" ref="AI14:AI20" si="13">AL14*(T14/SUM(Q14,T14,U14,V14))</f>
        <v>3178.7040028200149</v>
      </c>
      <c r="AJ14">
        <f t="shared" ref="AJ14:AJ20" si="14">AL14*(SUM(Q14,U14)/SUM(Q14,T14,U14,V14))</f>
        <v>4142.7749127480511</v>
      </c>
      <c r="AK14">
        <f t="shared" ref="AK14:AK20" si="15">AL14*(V14/SUM(Q14,T14,U14,V14))</f>
        <v>6807.0643915185492</v>
      </c>
      <c r="AL14">
        <f t="shared" ref="AL14:AL20" si="16">SUM(N14,Q14,T14,U14,V14)/1000/(1.016*1)*10000</f>
        <v>14128.543307086615</v>
      </c>
      <c r="AM14">
        <f t="shared" ref="AM14:AM20" si="17">(I14*SUM(N14,Q14,T14,U14,V14)/SUM(Q14,T14,U14,V14))/(100*100)/(1.016*1)</f>
        <v>5.5974522076921476</v>
      </c>
    </row>
    <row r="15" spans="1:39" ht="40.15" customHeight="1" x14ac:dyDescent="0.25">
      <c r="A15" s="78">
        <v>40780</v>
      </c>
      <c r="B15" s="25">
        <v>6</v>
      </c>
      <c r="C15" s="40">
        <v>15</v>
      </c>
      <c r="D15" s="41"/>
      <c r="E15" s="40">
        <v>112</v>
      </c>
      <c r="F15" s="40">
        <v>7</v>
      </c>
      <c r="G15" s="40">
        <v>60</v>
      </c>
      <c r="H15" s="40">
        <v>33</v>
      </c>
      <c r="I15" s="40">
        <v>31067</v>
      </c>
      <c r="J15" s="99"/>
      <c r="K15" s="20">
        <v>6</v>
      </c>
      <c r="L15" s="62">
        <v>801.48</v>
      </c>
      <c r="M15" s="47">
        <v>69.34</v>
      </c>
      <c r="N15" s="81">
        <f t="shared" si="1"/>
        <v>732.14</v>
      </c>
      <c r="O15" s="62">
        <v>192.99</v>
      </c>
      <c r="P15" s="47">
        <v>17.11</v>
      </c>
      <c r="Q15" s="81">
        <f>O15-P15</f>
        <v>175.88</v>
      </c>
      <c r="R15" s="62">
        <v>191.9</v>
      </c>
      <c r="S15" s="47">
        <v>17.09</v>
      </c>
      <c r="T15" s="81">
        <f t="shared" si="0"/>
        <v>174.81</v>
      </c>
      <c r="U15" s="63">
        <v>35.24</v>
      </c>
      <c r="V15" s="64">
        <v>328.24</v>
      </c>
      <c r="X15" s="1">
        <f t="shared" si="2"/>
        <v>177.71866598020708</v>
      </c>
      <c r="Y15" s="1">
        <f t="shared" si="3"/>
        <v>14179.50980392157</v>
      </c>
      <c r="Z15" s="1">
        <f t="shared" si="4"/>
        <v>6.1682068846133449</v>
      </c>
      <c r="AA15" s="1">
        <f t="shared" si="5"/>
        <v>15</v>
      </c>
      <c r="AB15">
        <f t="shared" si="6"/>
        <v>14</v>
      </c>
      <c r="AC15">
        <f t="shared" si="7"/>
        <v>0.875</v>
      </c>
      <c r="AD15">
        <f t="shared" si="8"/>
        <v>7.5</v>
      </c>
      <c r="AE15">
        <f t="shared" si="9"/>
        <v>4.125</v>
      </c>
      <c r="AF15">
        <f t="shared" si="10"/>
        <v>21.85125</v>
      </c>
      <c r="AG15">
        <f t="shared" si="11"/>
        <v>26.39</v>
      </c>
      <c r="AH15">
        <f t="shared" si="12"/>
        <v>96.420666666666662</v>
      </c>
      <c r="AI15">
        <f t="shared" si="13"/>
        <v>3484.4348676217824</v>
      </c>
      <c r="AJ15">
        <f t="shared" si="14"/>
        <v>4208.1911175122177</v>
      </c>
      <c r="AK15">
        <f t="shared" si="15"/>
        <v>6542.7086605352897</v>
      </c>
      <c r="AL15">
        <f t="shared" si="16"/>
        <v>14235.334645669291</v>
      </c>
      <c r="AM15">
        <f t="shared" si="17"/>
        <v>6.1924911636866256</v>
      </c>
    </row>
    <row r="16" spans="1:39" ht="40.15" customHeight="1" x14ac:dyDescent="0.25">
      <c r="A16" s="78">
        <v>40780</v>
      </c>
      <c r="B16" s="25">
        <v>8</v>
      </c>
      <c r="C16" s="40">
        <v>20</v>
      </c>
      <c r="D16" s="41"/>
      <c r="E16" s="40">
        <v>49</v>
      </c>
      <c r="F16" s="40">
        <v>0</v>
      </c>
      <c r="G16" s="40">
        <v>37</v>
      </c>
      <c r="H16" s="40">
        <v>3.2</v>
      </c>
      <c r="I16" s="40">
        <v>20081</v>
      </c>
      <c r="J16" s="99"/>
      <c r="K16" s="20">
        <v>8</v>
      </c>
      <c r="L16" s="62">
        <v>1039.99</v>
      </c>
      <c r="M16" s="47">
        <v>70.28</v>
      </c>
      <c r="N16" s="81">
        <f t="shared" si="1"/>
        <v>969.71</v>
      </c>
      <c r="O16" s="83" t="s">
        <v>60</v>
      </c>
      <c r="P16" s="83" t="s">
        <v>60</v>
      </c>
      <c r="Q16" s="81">
        <v>130.49</v>
      </c>
      <c r="R16" s="62">
        <v>135.43</v>
      </c>
      <c r="S16" s="47">
        <v>17.12</v>
      </c>
      <c r="T16" s="81">
        <f t="shared" si="0"/>
        <v>118.31</v>
      </c>
      <c r="U16" s="63">
        <v>22.89</v>
      </c>
      <c r="V16" s="64">
        <v>265.76</v>
      </c>
      <c r="X16" s="1">
        <f>I16/T16</f>
        <v>169.7320598427859</v>
      </c>
      <c r="Y16" s="1">
        <f t="shared" si="3"/>
        <v>14776.078431372549</v>
      </c>
      <c r="Z16" s="1">
        <f t="shared" si="4"/>
        <v>5.5208564700045057</v>
      </c>
      <c r="AA16" s="1">
        <f t="shared" si="5"/>
        <v>20</v>
      </c>
      <c r="AB16">
        <f t="shared" si="6"/>
        <v>6.125</v>
      </c>
      <c r="AC16">
        <f t="shared" si="7"/>
        <v>0</v>
      </c>
      <c r="AD16">
        <f t="shared" si="8"/>
        <v>4.625</v>
      </c>
      <c r="AE16">
        <f t="shared" si="9"/>
        <v>0.4</v>
      </c>
      <c r="AF16">
        <f t="shared" si="10"/>
        <v>14.78875</v>
      </c>
      <c r="AG16">
        <f t="shared" si="11"/>
        <v>19.172499999999999</v>
      </c>
      <c r="AH16">
        <f t="shared" si="12"/>
        <v>75.358000000000004</v>
      </c>
      <c r="AI16">
        <f t="shared" si="13"/>
        <v>3265.4951165572625</v>
      </c>
      <c r="AJ16">
        <f t="shared" si="14"/>
        <v>4233.4683541336562</v>
      </c>
      <c r="AK16">
        <f t="shared" si="15"/>
        <v>7335.2884978130169</v>
      </c>
      <c r="AL16">
        <f t="shared" si="16"/>
        <v>14834.251968503937</v>
      </c>
      <c r="AM16">
        <f t="shared" si="17"/>
        <v>5.5425921253982242</v>
      </c>
    </row>
    <row r="17" spans="1:39" ht="40.15" customHeight="1" x14ac:dyDescent="0.25">
      <c r="A17" s="78">
        <v>40781</v>
      </c>
      <c r="B17" s="25">
        <v>9</v>
      </c>
      <c r="C17" s="40">
        <v>17</v>
      </c>
      <c r="D17" s="41"/>
      <c r="E17" s="40">
        <v>127</v>
      </c>
      <c r="F17" s="40">
        <v>3</v>
      </c>
      <c r="G17" s="40">
        <v>54</v>
      </c>
      <c r="H17" s="40">
        <v>29</v>
      </c>
      <c r="I17" s="40">
        <v>38356</v>
      </c>
      <c r="J17" s="99"/>
      <c r="K17" s="20">
        <v>9</v>
      </c>
      <c r="L17" s="62">
        <v>789.2</v>
      </c>
      <c r="M17" s="47">
        <v>69.819999999999993</v>
      </c>
      <c r="N17" s="81">
        <f t="shared" si="1"/>
        <v>719.38000000000011</v>
      </c>
      <c r="O17" s="62">
        <v>189.98</v>
      </c>
      <c r="P17" s="47">
        <v>16.91</v>
      </c>
      <c r="Q17" s="81">
        <f>O17-P17</f>
        <v>173.07</v>
      </c>
      <c r="R17" s="62">
        <v>186</v>
      </c>
      <c r="S17" s="47">
        <v>17.07</v>
      </c>
      <c r="T17" s="81">
        <f t="shared" si="0"/>
        <v>168.93</v>
      </c>
      <c r="U17" s="63">
        <v>35.200000000000003</v>
      </c>
      <c r="V17" s="64">
        <v>256.45</v>
      </c>
      <c r="X17" s="1">
        <f t="shared" si="2"/>
        <v>227.05262534777717</v>
      </c>
      <c r="Y17" s="1">
        <f>(N17+Q17+T17+U17+V17)/(100*102)*100*100*10000/1000</f>
        <v>13265.000000000002</v>
      </c>
      <c r="Z17" s="1">
        <f t="shared" si="4"/>
        <v>8.0295484889134396</v>
      </c>
      <c r="AA17" s="1">
        <f t="shared" si="5"/>
        <v>17</v>
      </c>
      <c r="AB17">
        <f t="shared" si="6"/>
        <v>15.875</v>
      </c>
      <c r="AC17">
        <f t="shared" si="7"/>
        <v>0.375</v>
      </c>
      <c r="AD17">
        <f t="shared" si="8"/>
        <v>6.75</v>
      </c>
      <c r="AE17">
        <f t="shared" si="9"/>
        <v>3.625</v>
      </c>
      <c r="AF17">
        <f t="shared" si="10"/>
        <v>21.116250000000001</v>
      </c>
      <c r="AG17">
        <f t="shared" si="11"/>
        <v>26.033749999999998</v>
      </c>
      <c r="AH17">
        <f t="shared" si="12"/>
        <v>79.590000000000018</v>
      </c>
      <c r="AI17">
        <f t="shared" si="13"/>
        <v>3550.3491193690352</v>
      </c>
      <c r="AJ17">
        <f t="shared" si="14"/>
        <v>4377.1456289053986</v>
      </c>
      <c r="AK17">
        <f t="shared" si="15"/>
        <v>5389.7296611743859</v>
      </c>
      <c r="AL17">
        <f t="shared" si="16"/>
        <v>13317.22440944882</v>
      </c>
      <c r="AM17">
        <f t="shared" si="17"/>
        <v>8.061160884539083</v>
      </c>
    </row>
    <row r="18" spans="1:39" ht="40.15" customHeight="1" x14ac:dyDescent="0.25">
      <c r="A18" s="78">
        <v>40781</v>
      </c>
      <c r="B18" s="25">
        <v>11</v>
      </c>
      <c r="C18" s="40">
        <v>17</v>
      </c>
      <c r="D18" s="41"/>
      <c r="E18" s="40">
        <v>66</v>
      </c>
      <c r="F18" s="40">
        <v>6</v>
      </c>
      <c r="G18" s="40">
        <v>60</v>
      </c>
      <c r="H18" s="40">
        <v>15</v>
      </c>
      <c r="I18" s="40">
        <v>26554</v>
      </c>
      <c r="J18" s="99"/>
      <c r="K18" s="20">
        <v>11</v>
      </c>
      <c r="L18" s="62">
        <v>882.74</v>
      </c>
      <c r="M18" s="47">
        <v>69.599999999999994</v>
      </c>
      <c r="N18" s="81">
        <f t="shared" si="1"/>
        <v>813.14</v>
      </c>
      <c r="O18" s="83" t="s">
        <v>60</v>
      </c>
      <c r="P18" s="83" t="s">
        <v>60</v>
      </c>
      <c r="Q18" s="81">
        <v>162.59</v>
      </c>
      <c r="R18" s="62">
        <v>164.74</v>
      </c>
      <c r="S18" s="47">
        <v>15.99</v>
      </c>
      <c r="T18" s="81">
        <f t="shared" si="0"/>
        <v>148.75</v>
      </c>
      <c r="U18" s="63">
        <v>30.75</v>
      </c>
      <c r="V18" s="64">
        <v>319.17</v>
      </c>
      <c r="X18" s="1">
        <f t="shared" si="2"/>
        <v>178.51428571428571</v>
      </c>
      <c r="Y18" s="1">
        <f>(N18+Q18+T18+U18+V18)/(100*102)*100*100*10000/1000</f>
        <v>14454.901960784315</v>
      </c>
      <c r="Z18" s="1">
        <f t="shared" si="4"/>
        <v>5.8046073657361204</v>
      </c>
      <c r="AA18" s="1">
        <f t="shared" si="5"/>
        <v>17</v>
      </c>
      <c r="AB18">
        <f t="shared" si="6"/>
        <v>8.25</v>
      </c>
      <c r="AC18">
        <f t="shared" si="7"/>
        <v>0.75</v>
      </c>
      <c r="AD18">
        <f t="shared" si="8"/>
        <v>7.5</v>
      </c>
      <c r="AE18">
        <f t="shared" si="9"/>
        <v>1.875</v>
      </c>
      <c r="AF18">
        <f t="shared" si="10"/>
        <v>18.59375</v>
      </c>
      <c r="AG18">
        <f t="shared" si="11"/>
        <v>24.1675</v>
      </c>
      <c r="AH18">
        <f t="shared" si="12"/>
        <v>86.729411764705887</v>
      </c>
      <c r="AI18">
        <f t="shared" si="13"/>
        <v>3264.4222994945703</v>
      </c>
      <c r="AJ18">
        <f t="shared" si="14"/>
        <v>4242.9808899783548</v>
      </c>
      <c r="AK18">
        <f t="shared" si="15"/>
        <v>7004.4078341491231</v>
      </c>
      <c r="AL18">
        <f t="shared" si="16"/>
        <v>14511.811023622047</v>
      </c>
      <c r="AM18">
        <f t="shared" si="17"/>
        <v>5.8274601506405928</v>
      </c>
    </row>
    <row r="19" spans="1:39" s="4" customFormat="1" ht="40.15" customHeight="1" x14ac:dyDescent="0.25">
      <c r="A19" s="78">
        <v>40781</v>
      </c>
      <c r="B19" s="25">
        <v>14</v>
      </c>
      <c r="C19" s="40">
        <v>17</v>
      </c>
      <c r="D19" s="41"/>
      <c r="E19" s="40">
        <v>97</v>
      </c>
      <c r="F19" s="40">
        <v>2</v>
      </c>
      <c r="G19" s="40">
        <v>63</v>
      </c>
      <c r="H19" s="40">
        <v>15</v>
      </c>
      <c r="I19" s="40">
        <v>23640</v>
      </c>
      <c r="J19" s="99"/>
      <c r="K19" s="20">
        <v>14</v>
      </c>
      <c r="L19" s="62">
        <v>734.42</v>
      </c>
      <c r="M19" s="47">
        <v>69.69</v>
      </c>
      <c r="N19" s="81">
        <f t="shared" si="1"/>
        <v>664.73</v>
      </c>
      <c r="O19" s="62">
        <v>174.38</v>
      </c>
      <c r="P19" s="62">
        <v>16.649999999999999</v>
      </c>
      <c r="Q19" s="81">
        <f>O19-P19</f>
        <v>157.72999999999999</v>
      </c>
      <c r="R19" s="62">
        <v>141.47999999999999</v>
      </c>
      <c r="S19" s="47">
        <v>16.63</v>
      </c>
      <c r="T19" s="81">
        <f t="shared" si="0"/>
        <v>124.85</v>
      </c>
      <c r="U19" s="63">
        <v>31.06</v>
      </c>
      <c r="V19" s="64">
        <v>183.11</v>
      </c>
      <c r="W19" s="2"/>
      <c r="X19" s="1">
        <f t="shared" si="2"/>
        <v>189.347216659992</v>
      </c>
      <c r="Y19" s="1">
        <f t="shared" si="3"/>
        <v>11387.058823529413</v>
      </c>
      <c r="Z19" s="1">
        <f t="shared" si="4"/>
        <v>5.4190250747505839</v>
      </c>
      <c r="AA19" s="1">
        <f t="shared" si="5"/>
        <v>17</v>
      </c>
      <c r="AB19">
        <f t="shared" si="6"/>
        <v>12.125</v>
      </c>
      <c r="AC19">
        <f t="shared" si="7"/>
        <v>0.25</v>
      </c>
      <c r="AD19">
        <f t="shared" si="8"/>
        <v>7.875</v>
      </c>
      <c r="AE19">
        <f t="shared" si="9"/>
        <v>1.875</v>
      </c>
      <c r="AF19">
        <f t="shared" si="10"/>
        <v>15.606249999999999</v>
      </c>
      <c r="AG19">
        <f t="shared" si="11"/>
        <v>23.598749999999999</v>
      </c>
      <c r="AH19">
        <f t="shared" si="12"/>
        <v>68.322352941176476</v>
      </c>
      <c r="AI19">
        <f t="shared" si="13"/>
        <v>2873.218796190989</v>
      </c>
      <c r="AJ19">
        <f t="shared" si="14"/>
        <v>4344.693444396451</v>
      </c>
      <c r="AK19">
        <f t="shared" si="15"/>
        <v>4213.9775231920876</v>
      </c>
      <c r="AL19">
        <f t="shared" si="16"/>
        <v>11431.889763779527</v>
      </c>
      <c r="AM19">
        <f t="shared" si="17"/>
        <v>5.4403598191393661</v>
      </c>
    </row>
    <row r="20" spans="1:39" ht="40.15" customHeight="1" thickBot="1" x14ac:dyDescent="0.3">
      <c r="A20" s="78">
        <v>40781</v>
      </c>
      <c r="B20" s="25">
        <v>15</v>
      </c>
      <c r="C20" s="40">
        <v>20</v>
      </c>
      <c r="D20" s="41"/>
      <c r="E20" s="40">
        <v>114</v>
      </c>
      <c r="F20" s="40">
        <v>2</v>
      </c>
      <c r="G20" s="40">
        <v>86</v>
      </c>
      <c r="H20" s="40">
        <v>14</v>
      </c>
      <c r="I20" s="40">
        <v>29178</v>
      </c>
      <c r="J20" s="100"/>
      <c r="K20" s="20">
        <v>15</v>
      </c>
      <c r="L20" s="65">
        <v>743.08</v>
      </c>
      <c r="M20" s="66">
        <v>69.680000000000007</v>
      </c>
      <c r="N20" s="82">
        <f t="shared" si="1"/>
        <v>673.40000000000009</v>
      </c>
      <c r="O20" s="83" t="s">
        <v>60</v>
      </c>
      <c r="P20" s="83" t="s">
        <v>60</v>
      </c>
      <c r="Q20" s="82">
        <v>209.96</v>
      </c>
      <c r="R20" s="65">
        <v>195.75</v>
      </c>
      <c r="S20" s="66">
        <v>15.99</v>
      </c>
      <c r="T20" s="81">
        <f t="shared" si="0"/>
        <v>179.76</v>
      </c>
      <c r="U20" s="63">
        <v>38.159999999999997</v>
      </c>
      <c r="V20" s="64">
        <v>263.04000000000002</v>
      </c>
      <c r="X20" s="1">
        <f t="shared" si="2"/>
        <v>162.31642189586117</v>
      </c>
      <c r="Y20" s="1">
        <f>(N20+Q20+T20+U20+V20)/(100*102)*100*100*10000/1000</f>
        <v>13375.686274509806</v>
      </c>
      <c r="Z20" s="1">
        <f t="shared" si="4"/>
        <v>5.6486391205587774</v>
      </c>
      <c r="AA20" s="1">
        <f t="shared" si="5"/>
        <v>20</v>
      </c>
      <c r="AB20">
        <f t="shared" si="6"/>
        <v>14.25</v>
      </c>
      <c r="AC20">
        <f t="shared" si="7"/>
        <v>0.25</v>
      </c>
      <c r="AD20">
        <f t="shared" si="8"/>
        <v>10.75</v>
      </c>
      <c r="AE20">
        <f t="shared" si="9"/>
        <v>1.75</v>
      </c>
      <c r="AF20">
        <f t="shared" si="10"/>
        <v>22.47</v>
      </c>
      <c r="AG20">
        <f t="shared" si="11"/>
        <v>31.015000000000001</v>
      </c>
      <c r="AH20">
        <f t="shared" si="12"/>
        <v>68.216000000000008</v>
      </c>
      <c r="AI20">
        <f t="shared" si="13"/>
        <v>3493.7178820342697</v>
      </c>
      <c r="AJ20">
        <f t="shared" si="14"/>
        <v>4822.3257726432084</v>
      </c>
      <c r="AK20">
        <f t="shared" si="15"/>
        <v>5112.3028020154343</v>
      </c>
      <c r="AL20">
        <f t="shared" si="16"/>
        <v>13428.346456692914</v>
      </c>
      <c r="AM20">
        <f t="shared" si="17"/>
        <v>5.6708778572538909</v>
      </c>
    </row>
    <row r="21" spans="1:39" ht="29.85" customHeight="1" thickTop="1" x14ac:dyDescent="0.2">
      <c r="C21" s="1">
        <f>AVERAGE(C13:C20)</f>
        <v>16.625</v>
      </c>
      <c r="X21" s="1">
        <f>AVERAGE(X13:X20)</f>
        <v>182.45548332656912</v>
      </c>
      <c r="Y21" s="1">
        <f>AVERAGE(Y13:Y20)</f>
        <v>13708.823529411766</v>
      </c>
      <c r="Z21" s="1">
        <f>AVERAGE(Z13:Z20)</f>
        <v>5.9939444295596189</v>
      </c>
    </row>
    <row r="22" spans="1:39" ht="14.25" customHeight="1" x14ac:dyDescent="0.2"/>
    <row r="23" spans="1:39" ht="14.25" customHeight="1" x14ac:dyDescent="0.2">
      <c r="N23" s="85">
        <f>AVERAGE(N13:N20)/(100*102)</f>
        <v>7.0596078431372541E-2</v>
      </c>
      <c r="O23" s="1" t="s">
        <v>62</v>
      </c>
      <c r="X23" s="1">
        <f>AVERAGE(X13:X16,X18:X20)</f>
        <v>176.08446303782515</v>
      </c>
      <c r="Z23" s="1">
        <f>AVERAGE(Z13:Z16,Z18:Z20)</f>
        <v>5.7031438496519309</v>
      </c>
    </row>
    <row r="24" spans="1:39" ht="14.25" customHeight="1" x14ac:dyDescent="0.2">
      <c r="H24" s="1">
        <f>G13+H13</f>
        <v>115</v>
      </c>
      <c r="I24" s="1">
        <f>H13/H24</f>
        <v>0.22608695652173913</v>
      </c>
      <c r="N24" s="1">
        <f>N23*100*100*10000/1000</f>
        <v>7059.6078431372543</v>
      </c>
      <c r="O24" s="1" t="s">
        <v>63</v>
      </c>
    </row>
    <row r="25" spans="1:39" ht="14.25" customHeight="1" x14ac:dyDescent="0.2">
      <c r="H25" s="1">
        <f t="shared" ref="H25:H31" si="18">G14+H14</f>
        <v>129</v>
      </c>
      <c r="I25" s="1">
        <f t="shared" ref="I25:I31" si="19">H14/H25</f>
        <v>0.26356589147286824</v>
      </c>
    </row>
    <row r="26" spans="1:39" ht="14.25" customHeight="1" x14ac:dyDescent="0.2">
      <c r="H26" s="1">
        <f t="shared" si="18"/>
        <v>93</v>
      </c>
      <c r="I26" s="1">
        <f t="shared" si="19"/>
        <v>0.35483870967741937</v>
      </c>
    </row>
    <row r="27" spans="1:39" ht="14.25" customHeight="1" x14ac:dyDescent="0.2">
      <c r="H27" s="1">
        <f t="shared" si="18"/>
        <v>40.200000000000003</v>
      </c>
      <c r="I27" s="1">
        <f t="shared" si="19"/>
        <v>7.9601990049751242E-2</v>
      </c>
      <c r="V27" s="85">
        <f>AVERAGE(V13:V20)</f>
        <v>300.6225</v>
      </c>
    </row>
    <row r="28" spans="1:39" ht="14.25" customHeight="1" x14ac:dyDescent="0.2">
      <c r="H28" s="1">
        <f t="shared" si="18"/>
        <v>83</v>
      </c>
      <c r="I28" s="1">
        <f t="shared" si="19"/>
        <v>0.3493975903614458</v>
      </c>
    </row>
    <row r="29" spans="1:39" ht="14.25" customHeight="1" x14ac:dyDescent="0.2">
      <c r="H29" s="1">
        <f t="shared" si="18"/>
        <v>75</v>
      </c>
      <c r="I29" s="1">
        <f t="shared" si="19"/>
        <v>0.2</v>
      </c>
    </row>
    <row r="30" spans="1:39" ht="14.25" customHeight="1" x14ac:dyDescent="0.2">
      <c r="H30" s="1">
        <f t="shared" si="18"/>
        <v>78</v>
      </c>
      <c r="I30" s="1">
        <f t="shared" si="19"/>
        <v>0.19230769230769232</v>
      </c>
    </row>
    <row r="31" spans="1:39" ht="14.25" customHeight="1" x14ac:dyDescent="0.2">
      <c r="H31" s="1">
        <f t="shared" si="18"/>
        <v>100</v>
      </c>
      <c r="I31" s="1">
        <f t="shared" si="19"/>
        <v>0.14000000000000001</v>
      </c>
    </row>
    <row r="32" spans="1:39" ht="14.25" customHeight="1" x14ac:dyDescent="0.2"/>
    <row r="33" spans="9:9" ht="14.25" customHeight="1" x14ac:dyDescent="0.2">
      <c r="I33" s="1">
        <f>AVERAGE(I24:I31)</f>
        <v>0.22572485379886453</v>
      </c>
    </row>
    <row r="34" spans="9:9" ht="14.25" customHeight="1" x14ac:dyDescent="0.2"/>
    <row r="35" spans="9:9" ht="14.25" customHeight="1" x14ac:dyDescent="0.2"/>
    <row r="36" spans="9:9" ht="14.25" customHeight="1" x14ac:dyDescent="0.2"/>
    <row r="37" spans="9:9" ht="14.25" customHeight="1" x14ac:dyDescent="0.2"/>
    <row r="38" spans="9:9" ht="14.25" customHeight="1" x14ac:dyDescent="0.2"/>
    <row r="39" spans="9:9" ht="14.25" customHeight="1" x14ac:dyDescent="0.2"/>
    <row r="40" spans="9:9" ht="14.25" customHeight="1" x14ac:dyDescent="0.2"/>
    <row r="41" spans="9:9" ht="14.25" customHeight="1" x14ac:dyDescent="0.2"/>
    <row r="42" spans="9:9" ht="14.25" customHeight="1" x14ac:dyDescent="0.2"/>
    <row r="43" spans="9:9" ht="14.25" customHeight="1" x14ac:dyDescent="0.2"/>
    <row r="44" spans="9:9" ht="14.25" customHeight="1" x14ac:dyDescent="0.2"/>
    <row r="45" spans="9:9" ht="14.25" customHeight="1" x14ac:dyDescent="0.2"/>
    <row r="46" spans="9:9" ht="14.25" customHeight="1" x14ac:dyDescent="0.2"/>
    <row r="47" spans="9:9" ht="14.25" customHeight="1" x14ac:dyDescent="0.2"/>
    <row r="48" spans="9:9" ht="14.25" customHeight="1" x14ac:dyDescent="0.2"/>
    <row r="49" spans="20:21" ht="14.25" customHeight="1" x14ac:dyDescent="0.2"/>
    <row r="50" spans="20:21" ht="14.25" customHeight="1" x14ac:dyDescent="0.2"/>
    <row r="51" spans="20:21" ht="14.25" customHeight="1" x14ac:dyDescent="0.2"/>
    <row r="52" spans="20:21" ht="14.25" customHeight="1" x14ac:dyDescent="0.2"/>
    <row r="53" spans="20:21" ht="14.25" customHeight="1" x14ac:dyDescent="0.2"/>
    <row r="54" spans="20:21" ht="14.25" customHeight="1" x14ac:dyDescent="0.2">
      <c r="T54" s="1">
        <v>152</v>
      </c>
      <c r="U54" s="85">
        <f>'1June11'!N25</f>
        <v>5.9999999999999991E-2</v>
      </c>
    </row>
    <row r="55" spans="20:21" ht="14.25" customHeight="1" x14ac:dyDescent="0.2">
      <c r="T55" s="1">
        <v>181</v>
      </c>
      <c r="U55" s="85">
        <f>'30June11'!Q26</f>
        <v>18.127499999999998</v>
      </c>
    </row>
    <row r="56" spans="20:21" ht="14.25" customHeight="1" x14ac:dyDescent="0.2">
      <c r="T56" s="1">
        <v>208</v>
      </c>
      <c r="U56" s="85">
        <f>'27July11'!T26</f>
        <v>142.63499999999999</v>
      </c>
    </row>
    <row r="57" spans="20:21" ht="14.25" customHeight="1" x14ac:dyDescent="0.2">
      <c r="T57" s="1">
        <v>236</v>
      </c>
      <c r="U57" s="85">
        <f>V27</f>
        <v>300.6225</v>
      </c>
    </row>
    <row r="58" spans="20:21" ht="14.25" customHeight="1" x14ac:dyDescent="0.2"/>
    <row r="59" spans="20:21" ht="14.25" customHeight="1" x14ac:dyDescent="0.2"/>
    <row r="60" spans="20:21" ht="14.25" customHeight="1" x14ac:dyDescent="0.2"/>
    <row r="61" spans="20:21" ht="14.25" customHeight="1" x14ac:dyDescent="0.2"/>
    <row r="62" spans="20:21" ht="14.25" customHeight="1" x14ac:dyDescent="0.2"/>
    <row r="63" spans="20:21" ht="14.25" customHeight="1" x14ac:dyDescent="0.2"/>
    <row r="64" spans="20:21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</sheetData>
  <mergeCells count="1">
    <mergeCell ref="J13:J20"/>
  </mergeCells>
  <pageMargins left="0.18" right="0.18" top="0.75" bottom="0.75" header="0.3" footer="0.3"/>
  <pageSetup scale="95" fitToWidth="2" orientation="landscape" r:id="rId1"/>
  <colBreaks count="1" manualBreakCount="1">
    <brk id="10" max="1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101A-0EC2-49D7-803D-0D823FB1E759}">
  <sheetPr>
    <pageSetUpPr fitToPage="1"/>
  </sheetPr>
  <dimension ref="B1:AC86"/>
  <sheetViews>
    <sheetView topLeftCell="A6" zoomScale="79" zoomScaleNormal="79" workbookViewId="0">
      <selection activeCell="E18" sqref="E18"/>
    </sheetView>
  </sheetViews>
  <sheetFormatPr defaultRowHeight="14.25" x14ac:dyDescent="0.2"/>
  <cols>
    <col min="1" max="1" width="3.85546875" style="1" customWidth="1"/>
    <col min="2" max="2" width="8.28515625" style="1" customWidth="1"/>
    <col min="3" max="3" width="10.28515625" style="1" customWidth="1"/>
    <col min="4" max="4" width="2" style="1" customWidth="1"/>
    <col min="5" max="8" width="15.7109375" style="1" customWidth="1"/>
    <col min="9" max="9" width="24.140625" style="1" customWidth="1"/>
    <col min="10" max="10" width="19" style="1" customWidth="1"/>
    <col min="11" max="11" width="2" style="1" customWidth="1"/>
    <col min="12" max="20" width="15.7109375" style="1" customWidth="1"/>
    <col min="21" max="21" width="97.28515625" style="1" customWidth="1"/>
    <col min="22" max="16384" width="9.140625" style="1"/>
  </cols>
  <sheetData>
    <row r="1" spans="2:21" x14ac:dyDescent="0.2">
      <c r="B1" s="1" t="s">
        <v>19</v>
      </c>
    </row>
    <row r="2" spans="2:21" x14ac:dyDescent="0.2">
      <c r="B2" s="1" t="s">
        <v>20</v>
      </c>
    </row>
    <row r="4" spans="2:21" x14ac:dyDescent="0.2">
      <c r="B4" s="1" t="s">
        <v>0</v>
      </c>
    </row>
    <row r="5" spans="2:21" x14ac:dyDescent="0.2">
      <c r="B5" s="29"/>
      <c r="C5" s="29" t="s">
        <v>1</v>
      </c>
      <c r="D5" s="6"/>
      <c r="E5" s="8"/>
      <c r="F5" s="23"/>
    </row>
    <row r="6" spans="2:21" x14ac:dyDescent="0.2">
      <c r="B6" s="29"/>
      <c r="C6" s="29" t="s">
        <v>2</v>
      </c>
      <c r="D6" s="6"/>
      <c r="E6" s="6" t="s">
        <v>9</v>
      </c>
    </row>
    <row r="7" spans="2:21" x14ac:dyDescent="0.2">
      <c r="B7" s="29"/>
      <c r="C7" s="29"/>
    </row>
    <row r="8" spans="2:21" ht="18" customHeight="1" x14ac:dyDescent="0.2">
      <c r="B8" s="29"/>
      <c r="C8" s="29" t="s">
        <v>6</v>
      </c>
      <c r="D8" s="6"/>
      <c r="E8" s="8"/>
      <c r="F8" s="23"/>
      <c r="M8" s="5" t="s">
        <v>5</v>
      </c>
      <c r="N8" s="8"/>
      <c r="O8" s="23"/>
    </row>
    <row r="9" spans="2:21" ht="18" customHeight="1" x14ac:dyDescent="0.2">
      <c r="B9" s="29"/>
      <c r="C9" s="29" t="s">
        <v>3</v>
      </c>
      <c r="D9" s="6"/>
      <c r="E9" s="6" t="s">
        <v>10</v>
      </c>
      <c r="N9" s="1" t="s">
        <v>10</v>
      </c>
    </row>
    <row r="10" spans="2:21" ht="18" customHeight="1" x14ac:dyDescent="0.2">
      <c r="C10" s="5"/>
      <c r="L10" s="15"/>
      <c r="M10" s="15"/>
      <c r="N10" s="15"/>
      <c r="O10" s="15"/>
      <c r="P10" s="15"/>
      <c r="Q10" s="15"/>
      <c r="R10" s="15"/>
      <c r="S10" s="15"/>
      <c r="T10" s="15"/>
    </row>
    <row r="11" spans="2:21" ht="18" customHeight="1" x14ac:dyDescent="0.25">
      <c r="D11" s="7"/>
      <c r="E11" s="9" t="s">
        <v>14</v>
      </c>
      <c r="F11" s="9"/>
      <c r="G11" s="9"/>
      <c r="H11" s="9"/>
      <c r="I11" s="10"/>
      <c r="J11" s="10"/>
      <c r="K11" s="11"/>
      <c r="L11" s="16"/>
      <c r="M11" s="16"/>
      <c r="N11" s="17"/>
      <c r="O11" s="17"/>
      <c r="P11" s="18"/>
      <c r="Q11" s="18"/>
      <c r="R11" s="18"/>
      <c r="S11" s="18"/>
      <c r="T11" s="18"/>
    </row>
    <row r="12" spans="2:21" ht="54" customHeight="1" x14ac:dyDescent="0.25">
      <c r="B12" s="36" t="s">
        <v>13</v>
      </c>
      <c r="C12" s="12" t="s">
        <v>4</v>
      </c>
      <c r="D12" s="13"/>
      <c r="E12" s="12" t="s">
        <v>18</v>
      </c>
      <c r="F12" s="12" t="s">
        <v>31</v>
      </c>
      <c r="G12" s="12" t="s">
        <v>41</v>
      </c>
      <c r="H12" s="12" t="s">
        <v>40</v>
      </c>
      <c r="I12" s="12" t="s">
        <v>11</v>
      </c>
      <c r="J12" s="12"/>
      <c r="K12" s="13"/>
      <c r="L12" s="26" t="s">
        <v>36</v>
      </c>
      <c r="M12" s="30" t="s">
        <v>35</v>
      </c>
      <c r="N12" s="26" t="s">
        <v>37</v>
      </c>
      <c r="O12" s="30" t="s">
        <v>35</v>
      </c>
      <c r="P12" s="26" t="s">
        <v>38</v>
      </c>
      <c r="Q12" s="30" t="s">
        <v>35</v>
      </c>
      <c r="R12" s="27" t="s">
        <v>15</v>
      </c>
      <c r="S12" s="14" t="s">
        <v>16</v>
      </c>
      <c r="T12" s="28" t="s">
        <v>39</v>
      </c>
      <c r="U12" s="14" t="s">
        <v>12</v>
      </c>
    </row>
    <row r="13" spans="2:21" ht="40.15" customHeight="1" x14ac:dyDescent="0.25">
      <c r="B13" s="20">
        <v>2</v>
      </c>
      <c r="C13" s="40"/>
      <c r="D13" s="41"/>
      <c r="E13" s="40"/>
      <c r="F13" s="40"/>
      <c r="G13" s="40"/>
      <c r="H13" s="40"/>
      <c r="I13" s="40"/>
      <c r="J13" s="40"/>
      <c r="K13" s="41"/>
      <c r="L13" s="47"/>
      <c r="M13" s="47"/>
      <c r="N13" s="47"/>
      <c r="O13" s="47"/>
      <c r="P13" s="47"/>
      <c r="Q13" s="47"/>
      <c r="R13" s="47"/>
      <c r="S13" s="47"/>
      <c r="T13" s="47"/>
      <c r="U13" s="67"/>
    </row>
    <row r="14" spans="2:21" ht="40.15" customHeight="1" x14ac:dyDescent="0.25">
      <c r="B14" s="20">
        <v>4</v>
      </c>
      <c r="C14" s="40"/>
      <c r="D14" s="41"/>
      <c r="E14" s="40"/>
      <c r="F14" s="40"/>
      <c r="G14" s="40"/>
      <c r="H14" s="40"/>
      <c r="I14" s="40"/>
      <c r="J14" s="40"/>
      <c r="K14" s="41"/>
      <c r="L14" s="47"/>
      <c r="M14" s="47"/>
      <c r="N14" s="47"/>
      <c r="O14" s="47"/>
      <c r="P14" s="47"/>
      <c r="Q14" s="47"/>
      <c r="R14" s="47"/>
      <c r="S14" s="47"/>
      <c r="T14" s="47"/>
      <c r="U14" s="67"/>
    </row>
    <row r="15" spans="2:21" ht="40.15" customHeight="1" x14ac:dyDescent="0.25">
      <c r="B15" s="20">
        <v>6</v>
      </c>
      <c r="C15" s="40"/>
      <c r="D15" s="41"/>
      <c r="E15" s="40"/>
      <c r="F15" s="40"/>
      <c r="G15" s="40"/>
      <c r="H15" s="40"/>
      <c r="I15" s="40"/>
      <c r="J15" s="40"/>
      <c r="K15" s="41"/>
      <c r="L15" s="47"/>
      <c r="M15" s="47"/>
      <c r="N15" s="47"/>
      <c r="O15" s="47"/>
      <c r="P15" s="47"/>
      <c r="Q15" s="47"/>
      <c r="R15" s="47"/>
      <c r="S15" s="47"/>
      <c r="T15" s="47"/>
      <c r="U15" s="67"/>
    </row>
    <row r="16" spans="2:21" ht="40.15" customHeight="1" x14ac:dyDescent="0.25">
      <c r="B16" s="20">
        <v>8</v>
      </c>
      <c r="C16" s="40"/>
      <c r="D16" s="41"/>
      <c r="E16" s="40"/>
      <c r="F16" s="40"/>
      <c r="G16" s="40"/>
      <c r="H16" s="40"/>
      <c r="I16" s="40"/>
      <c r="J16" s="40"/>
      <c r="K16" s="41"/>
      <c r="L16" s="47"/>
      <c r="M16" s="47"/>
      <c r="N16" s="47"/>
      <c r="O16" s="47"/>
      <c r="P16" s="47"/>
      <c r="Q16" s="47"/>
      <c r="R16" s="47"/>
      <c r="S16" s="47"/>
      <c r="T16" s="47"/>
      <c r="U16" s="67"/>
    </row>
    <row r="17" spans="2:29" ht="40.15" customHeight="1" x14ac:dyDescent="0.25">
      <c r="B17" s="20">
        <v>9</v>
      </c>
      <c r="C17" s="40"/>
      <c r="D17" s="41"/>
      <c r="E17" s="40"/>
      <c r="F17" s="40"/>
      <c r="G17" s="40"/>
      <c r="H17" s="40"/>
      <c r="I17" s="40"/>
      <c r="J17" s="40"/>
      <c r="K17" s="41"/>
      <c r="L17" s="47"/>
      <c r="M17" s="47"/>
      <c r="N17" s="47"/>
      <c r="O17" s="47"/>
      <c r="P17" s="47"/>
      <c r="Q17" s="47"/>
      <c r="R17" s="47"/>
      <c r="S17" s="47"/>
      <c r="T17" s="47"/>
      <c r="U17" s="67"/>
    </row>
    <row r="18" spans="2:29" ht="40.15" customHeight="1" x14ac:dyDescent="0.25">
      <c r="B18" s="20">
        <v>11</v>
      </c>
      <c r="C18" s="40"/>
      <c r="D18" s="41"/>
      <c r="E18" s="40"/>
      <c r="F18" s="40"/>
      <c r="G18" s="40"/>
      <c r="H18" s="40"/>
      <c r="I18" s="40"/>
      <c r="J18" s="40"/>
      <c r="K18" s="41"/>
      <c r="L18" s="47"/>
      <c r="M18" s="47"/>
      <c r="N18" s="47"/>
      <c r="O18" s="47"/>
      <c r="P18" s="47"/>
      <c r="Q18" s="47"/>
      <c r="R18" s="47"/>
      <c r="S18" s="47"/>
      <c r="T18" s="47"/>
      <c r="U18" s="67"/>
    </row>
    <row r="19" spans="2:29" s="4" customFormat="1" ht="40.15" customHeight="1" x14ac:dyDescent="0.25">
      <c r="B19" s="20">
        <v>14</v>
      </c>
      <c r="C19" s="40"/>
      <c r="D19" s="41"/>
      <c r="E19" s="40"/>
      <c r="F19" s="40"/>
      <c r="G19" s="40"/>
      <c r="H19" s="40"/>
      <c r="I19" s="40"/>
      <c r="J19" s="40"/>
      <c r="K19" s="41"/>
      <c r="L19" s="47"/>
      <c r="M19" s="47"/>
      <c r="N19" s="47"/>
      <c r="O19" s="47"/>
      <c r="P19" s="47"/>
      <c r="Q19" s="47"/>
      <c r="R19" s="47"/>
      <c r="S19" s="47"/>
      <c r="T19" s="47"/>
      <c r="U19" s="67"/>
      <c r="V19" s="2"/>
      <c r="W19" s="2"/>
      <c r="X19" s="2"/>
      <c r="Y19" s="2"/>
      <c r="Z19" s="2"/>
      <c r="AA19" s="2"/>
      <c r="AB19" s="3"/>
      <c r="AC19" s="3"/>
    </row>
    <row r="20" spans="2:29" ht="40.15" customHeight="1" x14ac:dyDescent="0.25">
      <c r="B20" s="20">
        <v>15</v>
      </c>
      <c r="C20" s="40"/>
      <c r="D20" s="41"/>
      <c r="E20" s="40"/>
      <c r="F20" s="40"/>
      <c r="G20" s="40"/>
      <c r="H20" s="40"/>
      <c r="I20" s="40"/>
      <c r="J20" s="40"/>
      <c r="K20" s="41"/>
      <c r="L20" s="47"/>
      <c r="M20" s="47"/>
      <c r="N20" s="47"/>
      <c r="O20" s="47"/>
      <c r="P20" s="47"/>
      <c r="Q20" s="47"/>
      <c r="R20" s="47"/>
      <c r="S20" s="47"/>
      <c r="T20" s="47"/>
      <c r="U20" s="67"/>
    </row>
    <row r="21" spans="2:29" ht="29.85" customHeight="1" x14ac:dyDescent="0.2"/>
    <row r="22" spans="2:29" ht="14.25" customHeight="1" x14ac:dyDescent="0.2"/>
    <row r="23" spans="2:29" ht="14.25" customHeight="1" x14ac:dyDescent="0.2"/>
    <row r="24" spans="2:29" ht="14.25" customHeight="1" x14ac:dyDescent="0.2"/>
    <row r="25" spans="2:29" ht="14.25" customHeight="1" x14ac:dyDescent="0.2"/>
    <row r="26" spans="2:29" ht="14.25" customHeight="1" x14ac:dyDescent="0.2"/>
    <row r="27" spans="2:29" ht="14.25" customHeight="1" x14ac:dyDescent="0.2"/>
    <row r="28" spans="2:29" ht="14.25" customHeight="1" x14ac:dyDescent="0.2"/>
    <row r="29" spans="2:29" ht="14.25" customHeight="1" x14ac:dyDescent="0.2"/>
    <row r="30" spans="2:29" ht="14.25" customHeight="1" x14ac:dyDescent="0.2"/>
    <row r="31" spans="2:29" ht="14.25" customHeight="1" x14ac:dyDescent="0.2"/>
    <row r="32" spans="2:2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</sheetData>
  <pageMargins left="0.18" right="0.18" top="0.75" bottom="0.75" header="0.3" footer="0.3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PlantDF</vt:lpstr>
      <vt:lpstr>1June11</vt:lpstr>
      <vt:lpstr>30June11</vt:lpstr>
      <vt:lpstr>27July11</vt:lpstr>
      <vt:lpstr>24Aug11</vt:lpstr>
      <vt:lpstr>Blank</vt:lpstr>
      <vt:lpstr>'1June11'!Print_Area</vt:lpstr>
      <vt:lpstr>'24Aug11'!Print_Area</vt:lpstr>
      <vt:lpstr>'27July11'!Print_Area</vt:lpstr>
      <vt:lpstr>'30June11'!Print_Area</vt:lpstr>
      <vt:lpstr>Blank!Print_Area</vt:lpstr>
      <vt:lpstr>'30June11'!Print_Titles</vt:lpstr>
    </vt:vector>
  </TitlesOfParts>
  <Company>ALARC ARS USDA GOV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Suzette Maneely</dc:creator>
  <cp:lastModifiedBy>Reviewer</cp:lastModifiedBy>
  <cp:lastPrinted>2011-08-24T17:13:41Z</cp:lastPrinted>
  <dcterms:created xsi:type="dcterms:W3CDTF">2009-01-28T22:14:37Z</dcterms:created>
  <dcterms:modified xsi:type="dcterms:W3CDTF">2026-01-15T22:22:33Z</dcterms:modified>
</cp:coreProperties>
</file>