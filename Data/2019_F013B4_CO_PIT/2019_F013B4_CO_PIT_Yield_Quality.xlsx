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39A040F4-14B2-4DB7-A1E0-E512D3150217}" xr6:coauthVersionLast="47" xr6:coauthVersionMax="47" xr10:uidLastSave="{00000000-0000-0000-0000-000000000000}"/>
  <bookViews>
    <workbookView xWindow="-4125" yWindow="-26835" windowWidth="17370" windowHeight="24285" xr2:uid="{A0C8E5E1-3BB8-481A-9E5C-615F618DEDC4}"/>
  </bookViews>
  <sheets>
    <sheet name="Raw Scale" sheetId="1" r:id="rId1"/>
    <sheet name="Zone Scale" sheetId="4" r:id="rId2"/>
    <sheet name="Plot Scale" sheetId="2" r:id="rId3"/>
    <sheet name="Compa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90" i="1" l="1"/>
  <c r="BF90" i="1"/>
  <c r="BG92" i="1"/>
  <c r="BF92" i="1"/>
  <c r="BG94" i="1"/>
  <c r="BF94" i="1"/>
  <c r="BG96" i="1"/>
  <c r="BF96" i="1"/>
  <c r="BG88" i="1"/>
  <c r="BF88" i="1"/>
  <c r="BG86" i="1"/>
  <c r="BF86" i="1"/>
  <c r="BG84" i="1"/>
  <c r="BF84" i="1"/>
  <c r="BG82" i="1"/>
  <c r="BF82" i="1"/>
  <c r="BG80" i="1"/>
  <c r="BF80" i="1"/>
  <c r="BG78" i="1"/>
  <c r="BF78" i="1"/>
  <c r="BG76" i="1"/>
  <c r="BF76" i="1"/>
  <c r="BG74" i="1"/>
  <c r="BF74" i="1"/>
  <c r="BG72" i="1"/>
  <c r="BF72" i="1"/>
  <c r="BG70" i="1"/>
  <c r="BF70" i="1"/>
  <c r="BG68" i="1"/>
  <c r="BF68" i="1"/>
  <c r="BG66" i="1"/>
  <c r="BF66" i="1"/>
  <c r="BG64" i="1"/>
  <c r="BF64" i="1"/>
  <c r="BG62" i="1"/>
  <c r="BF62" i="1"/>
  <c r="BG60" i="1"/>
  <c r="BF60" i="1"/>
  <c r="BG58" i="1"/>
  <c r="BF58" i="1"/>
  <c r="BG56" i="1"/>
  <c r="BF56" i="1"/>
  <c r="BG54" i="1"/>
  <c r="BF54" i="1"/>
  <c r="BG52" i="1"/>
  <c r="BF52" i="1"/>
  <c r="BG50" i="1"/>
  <c r="BF50" i="1"/>
  <c r="BK50" i="1"/>
  <c r="BJ50" i="1"/>
  <c r="BI50" i="1"/>
  <c r="BD50" i="1"/>
  <c r="AZ50" i="1"/>
  <c r="AY50" i="1"/>
  <c r="AX50" i="1"/>
  <c r="AW50" i="1"/>
  <c r="AU50" i="1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F439" i="4" s="1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F535" i="4" s="1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F7" i="4"/>
  <c r="F511" i="4" l="1"/>
  <c r="F559" i="4"/>
  <c r="F487" i="4"/>
  <c r="F463" i="4"/>
  <c r="F415" i="4"/>
  <c r="F391" i="4"/>
  <c r="F367" i="4"/>
  <c r="F343" i="4"/>
  <c r="F319" i="4"/>
  <c r="F295" i="4"/>
  <c r="F271" i="4"/>
  <c r="F247" i="4"/>
  <c r="F223" i="4"/>
  <c r="F199" i="4"/>
  <c r="F175" i="4"/>
  <c r="F151" i="4"/>
  <c r="F127" i="4"/>
  <c r="F103" i="4"/>
  <c r="F79" i="4"/>
  <c r="F55" i="4"/>
  <c r="F31" i="4"/>
  <c r="BS96" i="1" l="1"/>
  <c r="BR96" i="1"/>
  <c r="BQ96" i="1"/>
  <c r="BP96" i="1"/>
  <c r="BO96" i="1"/>
  <c r="BN96" i="1"/>
  <c r="BM96" i="1"/>
  <c r="BL96" i="1"/>
  <c r="BC96" i="1"/>
  <c r="BB96" i="1"/>
  <c r="BE96" i="1" s="1"/>
  <c r="BA96" i="1"/>
  <c r="AZ96" i="1"/>
  <c r="AV96" i="1"/>
  <c r="AU96" i="1"/>
  <c r="AT96" i="1"/>
  <c r="AP96" i="1"/>
  <c r="AO96" i="1"/>
  <c r="AN96" i="1"/>
  <c r="BS94" i="1"/>
  <c r="BR94" i="1"/>
  <c r="BQ94" i="1"/>
  <c r="BP94" i="1"/>
  <c r="BO94" i="1"/>
  <c r="BN94" i="1"/>
  <c r="BM94" i="1"/>
  <c r="BL94" i="1"/>
  <c r="BC94" i="1"/>
  <c r="BB94" i="1"/>
  <c r="BA94" i="1"/>
  <c r="AZ94" i="1"/>
  <c r="AV94" i="1"/>
  <c r="AU94" i="1"/>
  <c r="AT94" i="1"/>
  <c r="AP94" i="1"/>
  <c r="AO94" i="1"/>
  <c r="AN94" i="1"/>
  <c r="BS92" i="1"/>
  <c r="BR92" i="1"/>
  <c r="BQ92" i="1"/>
  <c r="BP92" i="1"/>
  <c r="BO92" i="1"/>
  <c r="BN92" i="1"/>
  <c r="BM92" i="1"/>
  <c r="BL92" i="1"/>
  <c r="BC92" i="1"/>
  <c r="BB92" i="1"/>
  <c r="BA92" i="1"/>
  <c r="AZ92" i="1"/>
  <c r="AV92" i="1"/>
  <c r="AU92" i="1"/>
  <c r="AT92" i="1"/>
  <c r="AP92" i="1"/>
  <c r="AO92" i="1"/>
  <c r="AN92" i="1"/>
  <c r="BS90" i="1"/>
  <c r="BR90" i="1"/>
  <c r="BQ90" i="1"/>
  <c r="BP90" i="1"/>
  <c r="BO90" i="1"/>
  <c r="BN90" i="1"/>
  <c r="BM90" i="1"/>
  <c r="BL90" i="1"/>
  <c r="BC90" i="1"/>
  <c r="BB90" i="1"/>
  <c r="BE90" i="1" s="1"/>
  <c r="BA90" i="1"/>
  <c r="AZ90" i="1"/>
  <c r="AV90" i="1"/>
  <c r="AU90" i="1"/>
  <c r="AT90" i="1"/>
  <c r="AP90" i="1"/>
  <c r="AO90" i="1"/>
  <c r="AN90" i="1"/>
  <c r="BS88" i="1"/>
  <c r="BR88" i="1"/>
  <c r="BQ88" i="1"/>
  <c r="BP88" i="1"/>
  <c r="BO88" i="1"/>
  <c r="BN88" i="1"/>
  <c r="BM88" i="1"/>
  <c r="BL88" i="1"/>
  <c r="BC88" i="1"/>
  <c r="BB88" i="1"/>
  <c r="BA88" i="1"/>
  <c r="AZ88" i="1"/>
  <c r="AV88" i="1"/>
  <c r="AU88" i="1"/>
  <c r="AT88" i="1"/>
  <c r="AP88" i="1"/>
  <c r="AO88" i="1"/>
  <c r="AN88" i="1"/>
  <c r="BS86" i="1"/>
  <c r="BR86" i="1"/>
  <c r="BQ86" i="1"/>
  <c r="BP86" i="1"/>
  <c r="BO86" i="1"/>
  <c r="BN86" i="1"/>
  <c r="BM86" i="1"/>
  <c r="BL86" i="1"/>
  <c r="BC86" i="1"/>
  <c r="BB86" i="1"/>
  <c r="BA86" i="1"/>
  <c r="AZ86" i="1"/>
  <c r="AV86" i="1"/>
  <c r="AU86" i="1"/>
  <c r="AT86" i="1"/>
  <c r="AP86" i="1"/>
  <c r="AO86" i="1"/>
  <c r="AN86" i="1"/>
  <c r="BS84" i="1"/>
  <c r="BR84" i="1"/>
  <c r="BQ84" i="1"/>
  <c r="BP84" i="1"/>
  <c r="BO84" i="1"/>
  <c r="BN84" i="1"/>
  <c r="BM84" i="1"/>
  <c r="BL84" i="1"/>
  <c r="BC84" i="1"/>
  <c r="BB84" i="1"/>
  <c r="BA84" i="1"/>
  <c r="AZ84" i="1"/>
  <c r="BD84" i="1" s="1"/>
  <c r="AV84" i="1"/>
  <c r="AU84" i="1"/>
  <c r="AT84" i="1"/>
  <c r="AP84" i="1"/>
  <c r="AO84" i="1"/>
  <c r="AN84" i="1"/>
  <c r="BS82" i="1"/>
  <c r="BR82" i="1"/>
  <c r="BQ82" i="1"/>
  <c r="BP82" i="1"/>
  <c r="BO82" i="1"/>
  <c r="BN82" i="1"/>
  <c r="BM82" i="1"/>
  <c r="BL82" i="1"/>
  <c r="BC82" i="1"/>
  <c r="BB82" i="1"/>
  <c r="BE82" i="1" s="1"/>
  <c r="BA82" i="1"/>
  <c r="AZ82" i="1"/>
  <c r="AV82" i="1"/>
  <c r="AU82" i="1"/>
  <c r="AT82" i="1"/>
  <c r="AP82" i="1"/>
  <c r="AO82" i="1"/>
  <c r="AN82" i="1"/>
  <c r="BS80" i="1"/>
  <c r="BR80" i="1"/>
  <c r="BQ80" i="1"/>
  <c r="BP80" i="1"/>
  <c r="BO80" i="1"/>
  <c r="BN80" i="1"/>
  <c r="BM80" i="1"/>
  <c r="BL80" i="1"/>
  <c r="BC80" i="1"/>
  <c r="BB80" i="1"/>
  <c r="BE80" i="1" s="1"/>
  <c r="BA80" i="1"/>
  <c r="AZ80" i="1"/>
  <c r="AV80" i="1"/>
  <c r="AU80" i="1"/>
  <c r="AT80" i="1"/>
  <c r="AP80" i="1"/>
  <c r="AO80" i="1"/>
  <c r="AN80" i="1"/>
  <c r="BS78" i="1"/>
  <c r="BR78" i="1"/>
  <c r="BQ78" i="1"/>
  <c r="BP78" i="1"/>
  <c r="BO78" i="1"/>
  <c r="BN78" i="1"/>
  <c r="BM78" i="1"/>
  <c r="BL78" i="1"/>
  <c r="BC78" i="1"/>
  <c r="BB78" i="1"/>
  <c r="BA78" i="1"/>
  <c r="AZ78" i="1"/>
  <c r="AV78" i="1"/>
  <c r="AU78" i="1"/>
  <c r="AT78" i="1"/>
  <c r="AP78" i="1"/>
  <c r="AO78" i="1"/>
  <c r="AN78" i="1"/>
  <c r="BS76" i="1"/>
  <c r="BR76" i="1"/>
  <c r="BQ76" i="1"/>
  <c r="BP76" i="1"/>
  <c r="BO76" i="1"/>
  <c r="BN76" i="1"/>
  <c r="BM76" i="1"/>
  <c r="BL76" i="1"/>
  <c r="BC76" i="1"/>
  <c r="BB76" i="1"/>
  <c r="BA76" i="1"/>
  <c r="AZ76" i="1"/>
  <c r="BD76" i="1" s="1"/>
  <c r="AV76" i="1"/>
  <c r="AU76" i="1"/>
  <c r="AT76" i="1"/>
  <c r="AP76" i="1"/>
  <c r="AO76" i="1"/>
  <c r="AN76" i="1"/>
  <c r="BS74" i="1"/>
  <c r="BR74" i="1"/>
  <c r="BQ74" i="1"/>
  <c r="BP74" i="1"/>
  <c r="BO74" i="1"/>
  <c r="BN74" i="1"/>
  <c r="BM74" i="1"/>
  <c r="BL74" i="1"/>
  <c r="BC74" i="1"/>
  <c r="BB74" i="1"/>
  <c r="BA74" i="1"/>
  <c r="AZ74" i="1"/>
  <c r="AV74" i="1"/>
  <c r="AU74" i="1"/>
  <c r="AT74" i="1"/>
  <c r="AP74" i="1"/>
  <c r="AO74" i="1"/>
  <c r="AN74" i="1"/>
  <c r="BS72" i="1"/>
  <c r="BR72" i="1"/>
  <c r="BQ72" i="1"/>
  <c r="BP72" i="1"/>
  <c r="BO72" i="1"/>
  <c r="BN72" i="1"/>
  <c r="BM72" i="1"/>
  <c r="BL72" i="1"/>
  <c r="BC72" i="1"/>
  <c r="BB72" i="1"/>
  <c r="BE72" i="1" s="1"/>
  <c r="BA72" i="1"/>
  <c r="AZ72" i="1"/>
  <c r="AV72" i="1"/>
  <c r="AU72" i="1"/>
  <c r="AT72" i="1"/>
  <c r="AP72" i="1"/>
  <c r="AO72" i="1"/>
  <c r="AN72" i="1"/>
  <c r="BS70" i="1"/>
  <c r="BR70" i="1"/>
  <c r="BQ70" i="1"/>
  <c r="BP70" i="1"/>
  <c r="BO70" i="1"/>
  <c r="BN70" i="1"/>
  <c r="BM70" i="1"/>
  <c r="BL70" i="1"/>
  <c r="BC70" i="1"/>
  <c r="BB70" i="1"/>
  <c r="BA70" i="1"/>
  <c r="AZ70" i="1"/>
  <c r="AV70" i="1"/>
  <c r="AU70" i="1"/>
  <c r="AT70" i="1"/>
  <c r="AP70" i="1"/>
  <c r="AO70" i="1"/>
  <c r="AN70" i="1"/>
  <c r="BS68" i="1"/>
  <c r="BR68" i="1"/>
  <c r="BQ68" i="1"/>
  <c r="BP68" i="1"/>
  <c r="BO68" i="1"/>
  <c r="BN68" i="1"/>
  <c r="BM68" i="1"/>
  <c r="BL68" i="1"/>
  <c r="BC68" i="1"/>
  <c r="BB68" i="1"/>
  <c r="BA68" i="1"/>
  <c r="AZ68" i="1"/>
  <c r="AV68" i="1"/>
  <c r="AU68" i="1"/>
  <c r="AT68" i="1"/>
  <c r="AP68" i="1"/>
  <c r="AO68" i="1"/>
  <c r="AN68" i="1"/>
  <c r="BS66" i="1"/>
  <c r="BR66" i="1"/>
  <c r="BQ66" i="1"/>
  <c r="BP66" i="1"/>
  <c r="BO66" i="1"/>
  <c r="BN66" i="1"/>
  <c r="BM66" i="1"/>
  <c r="BL66" i="1"/>
  <c r="BC66" i="1"/>
  <c r="BB66" i="1"/>
  <c r="BA66" i="1"/>
  <c r="AZ66" i="1"/>
  <c r="AV66" i="1"/>
  <c r="AU66" i="1"/>
  <c r="AT66" i="1"/>
  <c r="AP66" i="1"/>
  <c r="AO66" i="1"/>
  <c r="AN66" i="1"/>
  <c r="BS64" i="1"/>
  <c r="BR64" i="1"/>
  <c r="BQ64" i="1"/>
  <c r="BP64" i="1"/>
  <c r="BO64" i="1"/>
  <c r="BN64" i="1"/>
  <c r="BM64" i="1"/>
  <c r="BL64" i="1"/>
  <c r="BC64" i="1"/>
  <c r="BB64" i="1"/>
  <c r="BA64" i="1"/>
  <c r="AZ64" i="1"/>
  <c r="AV64" i="1"/>
  <c r="AU64" i="1"/>
  <c r="AT64" i="1"/>
  <c r="AP64" i="1"/>
  <c r="AO64" i="1"/>
  <c r="AN64" i="1"/>
  <c r="BS62" i="1"/>
  <c r="BR62" i="1"/>
  <c r="BQ62" i="1"/>
  <c r="BP62" i="1"/>
  <c r="BO62" i="1"/>
  <c r="BN62" i="1"/>
  <c r="BM62" i="1"/>
  <c r="BL62" i="1"/>
  <c r="BC62" i="1"/>
  <c r="BB62" i="1"/>
  <c r="BA62" i="1"/>
  <c r="AZ62" i="1"/>
  <c r="AV62" i="1"/>
  <c r="AU62" i="1"/>
  <c r="AT62" i="1"/>
  <c r="AP62" i="1"/>
  <c r="AO62" i="1"/>
  <c r="AN62" i="1"/>
  <c r="BS60" i="1"/>
  <c r="BR60" i="1"/>
  <c r="BQ60" i="1"/>
  <c r="BP60" i="1"/>
  <c r="BO60" i="1"/>
  <c r="BN60" i="1"/>
  <c r="BM60" i="1"/>
  <c r="BL60" i="1"/>
  <c r="BC60" i="1"/>
  <c r="BB60" i="1"/>
  <c r="BA60" i="1"/>
  <c r="AZ60" i="1"/>
  <c r="AV60" i="1"/>
  <c r="AU60" i="1"/>
  <c r="AT60" i="1"/>
  <c r="AP60" i="1"/>
  <c r="AO60" i="1"/>
  <c r="AN60" i="1"/>
  <c r="BS58" i="1"/>
  <c r="BR58" i="1"/>
  <c r="BQ58" i="1"/>
  <c r="BP58" i="1"/>
  <c r="BO58" i="1"/>
  <c r="BN58" i="1"/>
  <c r="BM58" i="1"/>
  <c r="BL58" i="1"/>
  <c r="BC58" i="1"/>
  <c r="BB58" i="1"/>
  <c r="BA58" i="1"/>
  <c r="AZ58" i="1"/>
  <c r="AV58" i="1"/>
  <c r="AU58" i="1"/>
  <c r="AT58" i="1"/>
  <c r="AP58" i="1"/>
  <c r="AO58" i="1"/>
  <c r="AN58" i="1"/>
  <c r="BS56" i="1"/>
  <c r="BR56" i="1"/>
  <c r="BQ56" i="1"/>
  <c r="BP56" i="1"/>
  <c r="BO56" i="1"/>
  <c r="BN56" i="1"/>
  <c r="BM56" i="1"/>
  <c r="BL56" i="1"/>
  <c r="BC56" i="1"/>
  <c r="BB56" i="1"/>
  <c r="BA56" i="1"/>
  <c r="AZ56" i="1"/>
  <c r="AV56" i="1"/>
  <c r="AU56" i="1"/>
  <c r="AT56" i="1"/>
  <c r="AP56" i="1"/>
  <c r="AO56" i="1"/>
  <c r="AN56" i="1"/>
  <c r="BS54" i="1"/>
  <c r="BR54" i="1"/>
  <c r="BQ54" i="1"/>
  <c r="BP54" i="1"/>
  <c r="BO54" i="1"/>
  <c r="BN54" i="1"/>
  <c r="BM54" i="1"/>
  <c r="BL54" i="1"/>
  <c r="BC54" i="1"/>
  <c r="BB54" i="1"/>
  <c r="BA54" i="1"/>
  <c r="AZ54" i="1"/>
  <c r="AV54" i="1"/>
  <c r="AU54" i="1"/>
  <c r="AT54" i="1"/>
  <c r="AP54" i="1"/>
  <c r="AO54" i="1"/>
  <c r="AN54" i="1"/>
  <c r="BS52" i="1"/>
  <c r="BR52" i="1"/>
  <c r="BQ52" i="1"/>
  <c r="BP52" i="1"/>
  <c r="BO52" i="1"/>
  <c r="BN52" i="1"/>
  <c r="BM52" i="1"/>
  <c r="BL52" i="1"/>
  <c r="BC52" i="1"/>
  <c r="BB52" i="1"/>
  <c r="BA52" i="1"/>
  <c r="AZ52" i="1"/>
  <c r="AV52" i="1"/>
  <c r="AU52" i="1"/>
  <c r="AT52" i="1"/>
  <c r="AP52" i="1"/>
  <c r="AO52" i="1"/>
  <c r="AN52" i="1"/>
  <c r="BO50" i="1"/>
  <c r="BP50" i="1"/>
  <c r="BQ50" i="1"/>
  <c r="BR50" i="1"/>
  <c r="BS50" i="1"/>
  <c r="BN50" i="1"/>
  <c r="BM50" i="1"/>
  <c r="BL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T50" i="1"/>
  <c r="S50" i="1"/>
  <c r="BA50" i="1"/>
  <c r="BB50" i="1"/>
  <c r="BC50" i="1"/>
  <c r="AV50" i="1"/>
  <c r="AT50" i="1"/>
  <c r="AP50" i="1"/>
  <c r="AO50" i="1"/>
  <c r="AN50" i="1"/>
  <c r="BD56" i="1" l="1"/>
  <c r="BE78" i="1"/>
  <c r="BD88" i="1"/>
  <c r="BE84" i="1"/>
  <c r="BD80" i="1"/>
  <c r="BE56" i="1"/>
  <c r="BD66" i="1"/>
  <c r="BD92" i="1"/>
  <c r="AQ58" i="1"/>
  <c r="AX58" i="1" s="1"/>
  <c r="AQ74" i="1"/>
  <c r="AW74" i="1" s="1"/>
  <c r="BD94" i="1"/>
  <c r="BD96" i="1"/>
  <c r="BD72" i="1"/>
  <c r="AQ52" i="1"/>
  <c r="AW52" i="1" s="1"/>
  <c r="AQ68" i="1"/>
  <c r="AW68" i="1" s="1"/>
  <c r="BE52" i="1"/>
  <c r="BD54" i="1"/>
  <c r="BD62" i="1"/>
  <c r="BE68" i="1"/>
  <c r="BD70" i="1"/>
  <c r="AQ88" i="1"/>
  <c r="AX88" i="1" s="1"/>
  <c r="AQ54" i="1"/>
  <c r="AX54" i="1" s="1"/>
  <c r="AQ92" i="1"/>
  <c r="AW92" i="1" s="1"/>
  <c r="BE66" i="1"/>
  <c r="BD68" i="1"/>
  <c r="AQ86" i="1"/>
  <c r="AX86" i="1" s="1"/>
  <c r="BE58" i="1"/>
  <c r="BD60" i="1"/>
  <c r="BD78" i="1"/>
  <c r="AQ62" i="1"/>
  <c r="AX62" i="1" s="1"/>
  <c r="BD64" i="1"/>
  <c r="AQ80" i="1"/>
  <c r="AX80" i="1" s="1"/>
  <c r="BE88" i="1"/>
  <c r="AQ56" i="1"/>
  <c r="AW56" i="1" s="1"/>
  <c r="BE64" i="1"/>
  <c r="AQ82" i="1"/>
  <c r="AX82" i="1" s="1"/>
  <c r="AQ94" i="1"/>
  <c r="AW94" i="1" s="1"/>
  <c r="BD58" i="1"/>
  <c r="BE62" i="1"/>
  <c r="BE50" i="1"/>
  <c r="AQ60" i="1"/>
  <c r="AX60" i="1" s="1"/>
  <c r="BE76" i="1"/>
  <c r="BD82" i="1"/>
  <c r="BE86" i="1"/>
  <c r="BE92" i="1"/>
  <c r="AQ96" i="1"/>
  <c r="AX96" i="1" s="1"/>
  <c r="AQ66" i="1"/>
  <c r="AW66" i="1" s="1"/>
  <c r="AQ72" i="1"/>
  <c r="AW72" i="1" s="1"/>
  <c r="AQ76" i="1"/>
  <c r="BD90" i="1"/>
  <c r="BD52" i="1"/>
  <c r="BD74" i="1"/>
  <c r="AQ78" i="1"/>
  <c r="AW78" i="1" s="1"/>
  <c r="BE94" i="1"/>
  <c r="BE54" i="1"/>
  <c r="BE60" i="1"/>
  <c r="AQ64" i="1"/>
  <c r="AX64" i="1" s="1"/>
  <c r="AQ70" i="1"/>
  <c r="AW70" i="1" s="1"/>
  <c r="BE70" i="1"/>
  <c r="BE74" i="1"/>
  <c r="AQ84" i="1"/>
  <c r="AX84" i="1" s="1"/>
  <c r="BD86" i="1"/>
  <c r="AQ90" i="1"/>
  <c r="AW90" i="1" s="1"/>
  <c r="AQ50" i="1"/>
  <c r="AX74" i="1" l="1"/>
  <c r="AY74" i="1" s="1"/>
  <c r="AX56" i="1"/>
  <c r="AY56" i="1" s="1"/>
  <c r="AW54" i="1"/>
  <c r="AY54" i="1" s="1"/>
  <c r="AW80" i="1"/>
  <c r="AY80" i="1" s="1"/>
  <c r="AW62" i="1"/>
  <c r="AY62" i="1" s="1"/>
  <c r="AW58" i="1"/>
  <c r="AY58" i="1" s="1"/>
  <c r="AX52" i="1"/>
  <c r="AY52" i="1" s="1"/>
  <c r="AX72" i="1"/>
  <c r="AY72" i="1" s="1"/>
  <c r="AX68" i="1"/>
  <c r="AY68" i="1" s="1"/>
  <c r="AW64" i="1"/>
  <c r="AY64" i="1" s="1"/>
  <c r="AW86" i="1"/>
  <c r="AY86" i="1" s="1"/>
  <c r="AW88" i="1"/>
  <c r="AY88" i="1" s="1"/>
  <c r="AW82" i="1"/>
  <c r="AY82" i="1" s="1"/>
  <c r="AW60" i="1"/>
  <c r="AY60" i="1" s="1"/>
  <c r="AX92" i="1"/>
  <c r="AY92" i="1" s="1"/>
  <c r="AW96" i="1"/>
  <c r="AY96" i="1" s="1"/>
  <c r="AX70" i="1"/>
  <c r="AY70" i="1" s="1"/>
  <c r="AX78" i="1"/>
  <c r="AY78" i="1" s="1"/>
  <c r="AX66" i="1"/>
  <c r="AY66" i="1" s="1"/>
  <c r="AX94" i="1"/>
  <c r="AY94" i="1" s="1"/>
  <c r="AW84" i="1"/>
  <c r="AY84" i="1" s="1"/>
  <c r="AX76" i="1"/>
  <c r="AX90" i="1"/>
  <c r="AY90" i="1" s="1"/>
  <c r="AW76" i="1"/>
  <c r="AY76" i="1" l="1"/>
  <c r="G51" i="1"/>
  <c r="M51" i="1" s="1"/>
  <c r="G52" i="1"/>
  <c r="M52" i="1" s="1"/>
  <c r="G53" i="1"/>
  <c r="M53" i="1" s="1"/>
  <c r="G54" i="1"/>
  <c r="M54" i="1" s="1"/>
  <c r="G55" i="1"/>
  <c r="G56" i="1"/>
  <c r="M56" i="1" s="1"/>
  <c r="G57" i="1"/>
  <c r="M57" i="1" s="1"/>
  <c r="G58" i="1"/>
  <c r="G59" i="1"/>
  <c r="M59" i="1" s="1"/>
  <c r="G60" i="1"/>
  <c r="M60" i="1" s="1"/>
  <c r="G61" i="1"/>
  <c r="G62" i="1"/>
  <c r="M62" i="1" s="1"/>
  <c r="G63" i="1"/>
  <c r="G64" i="1"/>
  <c r="M64" i="1" s="1"/>
  <c r="G65" i="1"/>
  <c r="M65" i="1" s="1"/>
  <c r="G66" i="1"/>
  <c r="G67" i="1"/>
  <c r="M67" i="1" s="1"/>
  <c r="G68" i="1"/>
  <c r="M68" i="1" s="1"/>
  <c r="G69" i="1"/>
  <c r="M69" i="1" s="1"/>
  <c r="G70" i="1"/>
  <c r="M70" i="1" s="1"/>
  <c r="G71" i="1"/>
  <c r="G72" i="1"/>
  <c r="M72" i="1" s="1"/>
  <c r="G73" i="1"/>
  <c r="M73" i="1" s="1"/>
  <c r="G74" i="1"/>
  <c r="L74" i="1" s="1"/>
  <c r="G75" i="1"/>
  <c r="M75" i="1" s="1"/>
  <c r="G76" i="1"/>
  <c r="M76" i="1" s="1"/>
  <c r="G77" i="1"/>
  <c r="M77" i="1" s="1"/>
  <c r="G78" i="1"/>
  <c r="M78" i="1" s="1"/>
  <c r="G79" i="1"/>
  <c r="L79" i="1" s="1"/>
  <c r="G80" i="1"/>
  <c r="M80" i="1" s="1"/>
  <c r="G81" i="1"/>
  <c r="M81" i="1" s="1"/>
  <c r="G82" i="1"/>
  <c r="L82" i="1" s="1"/>
  <c r="G83" i="1"/>
  <c r="M83" i="1" s="1"/>
  <c r="G84" i="1"/>
  <c r="M84" i="1" s="1"/>
  <c r="G85" i="1"/>
  <c r="M85" i="1" s="1"/>
  <c r="G86" i="1"/>
  <c r="M86" i="1" s="1"/>
  <c r="G87" i="1"/>
  <c r="L87" i="1" s="1"/>
  <c r="G88" i="1"/>
  <c r="M88" i="1" s="1"/>
  <c r="G89" i="1"/>
  <c r="M89" i="1" s="1"/>
  <c r="G90" i="1"/>
  <c r="G91" i="1"/>
  <c r="M91" i="1" s="1"/>
  <c r="G92" i="1"/>
  <c r="M92" i="1" s="1"/>
  <c r="G93" i="1"/>
  <c r="M93" i="1" s="1"/>
  <c r="G94" i="1"/>
  <c r="M94" i="1" s="1"/>
  <c r="G95" i="1"/>
  <c r="L95" i="1" s="1"/>
  <c r="G96" i="1"/>
  <c r="M96" i="1" s="1"/>
  <c r="G97" i="1"/>
  <c r="M97" i="1" s="1"/>
  <c r="G50" i="1"/>
  <c r="L90" i="1" l="1"/>
  <c r="L58" i="1"/>
  <c r="M82" i="1"/>
  <c r="N82" i="1" s="1"/>
  <c r="M66" i="1"/>
  <c r="L97" i="1"/>
  <c r="N97" i="1" s="1"/>
  <c r="L89" i="1"/>
  <c r="N89" i="1" s="1"/>
  <c r="L81" i="1"/>
  <c r="N81" i="1" s="1"/>
  <c r="L73" i="1"/>
  <c r="N73" i="1" s="1"/>
  <c r="L65" i="1"/>
  <c r="N65" i="1" s="1"/>
  <c r="L57" i="1"/>
  <c r="N57" i="1" s="1"/>
  <c r="L50" i="1"/>
  <c r="L66" i="1"/>
  <c r="M90" i="1"/>
  <c r="M74" i="1"/>
  <c r="N74" i="1" s="1"/>
  <c r="M58" i="1"/>
  <c r="L96" i="1"/>
  <c r="N96" i="1" s="1"/>
  <c r="L88" i="1"/>
  <c r="N88" i="1" s="1"/>
  <c r="L80" i="1"/>
  <c r="N80" i="1" s="1"/>
  <c r="L72" i="1"/>
  <c r="N72" i="1" s="1"/>
  <c r="L64" i="1"/>
  <c r="N64" i="1" s="1"/>
  <c r="L56" i="1"/>
  <c r="N56" i="1" s="1"/>
  <c r="L71" i="1"/>
  <c r="L63" i="1"/>
  <c r="L55" i="1"/>
  <c r="M95" i="1"/>
  <c r="N95" i="1" s="1"/>
  <c r="M87" i="1"/>
  <c r="N87" i="1" s="1"/>
  <c r="M79" i="1"/>
  <c r="N79" i="1" s="1"/>
  <c r="M71" i="1"/>
  <c r="M63" i="1"/>
  <c r="M55" i="1"/>
  <c r="M50" i="1"/>
  <c r="L94" i="1"/>
  <c r="N94" i="1" s="1"/>
  <c r="L86" i="1"/>
  <c r="N86" i="1" s="1"/>
  <c r="L78" i="1"/>
  <c r="N78" i="1" s="1"/>
  <c r="L70" i="1"/>
  <c r="N70" i="1" s="1"/>
  <c r="L62" i="1"/>
  <c r="N62" i="1" s="1"/>
  <c r="L54" i="1"/>
  <c r="N54" i="1" s="1"/>
  <c r="L85" i="1"/>
  <c r="N85" i="1" s="1"/>
  <c r="L69" i="1"/>
  <c r="N69" i="1" s="1"/>
  <c r="L61" i="1"/>
  <c r="M61" i="1"/>
  <c r="L92" i="1"/>
  <c r="N92" i="1" s="1"/>
  <c r="L84" i="1"/>
  <c r="N84" i="1" s="1"/>
  <c r="L76" i="1"/>
  <c r="N76" i="1" s="1"/>
  <c r="L68" i="1"/>
  <c r="N68" i="1" s="1"/>
  <c r="L60" i="1"/>
  <c r="N60" i="1" s="1"/>
  <c r="L52" i="1"/>
  <c r="N52" i="1" s="1"/>
  <c r="L93" i="1"/>
  <c r="N93" i="1" s="1"/>
  <c r="L77" i="1"/>
  <c r="N77" i="1" s="1"/>
  <c r="L53" i="1"/>
  <c r="N53" i="1" s="1"/>
  <c r="L91" i="1"/>
  <c r="N91" i="1" s="1"/>
  <c r="L83" i="1"/>
  <c r="N83" i="1" s="1"/>
  <c r="L75" i="1"/>
  <c r="N75" i="1" s="1"/>
  <c r="L67" i="1"/>
  <c r="N67" i="1" s="1"/>
  <c r="L59" i="1"/>
  <c r="N59" i="1" s="1"/>
  <c r="L51" i="1"/>
  <c r="N51" i="1" s="1"/>
  <c r="A38" i="1"/>
  <c r="AR94" i="1" l="1"/>
  <c r="AR52" i="1"/>
  <c r="AR56" i="1"/>
  <c r="AR68" i="1"/>
  <c r="AR88" i="1"/>
  <c r="AR74" i="1"/>
  <c r="AR58" i="1"/>
  <c r="AR54" i="1"/>
  <c r="AR62" i="1"/>
  <c r="AR80" i="1"/>
  <c r="AR82" i="1"/>
  <c r="AR72" i="1"/>
  <c r="AR86" i="1"/>
  <c r="AR92" i="1"/>
  <c r="AR90" i="1"/>
  <c r="AR84" i="1"/>
  <c r="AR64" i="1"/>
  <c r="AR66" i="1"/>
  <c r="AR78" i="1"/>
  <c r="AR76" i="1"/>
  <c r="AR96" i="1"/>
  <c r="AR70" i="1"/>
  <c r="AR60" i="1"/>
  <c r="H90" i="1"/>
  <c r="V90" i="1" s="1"/>
  <c r="Y90" i="1" s="1"/>
  <c r="AR50" i="1"/>
  <c r="N66" i="1"/>
  <c r="N71" i="1"/>
  <c r="N50" i="1"/>
  <c r="N90" i="1"/>
  <c r="H70" i="1"/>
  <c r="N55" i="1"/>
  <c r="H72" i="1"/>
  <c r="H65" i="1"/>
  <c r="H50" i="1"/>
  <c r="H51" i="1"/>
  <c r="N61" i="1"/>
  <c r="H78" i="1"/>
  <c r="H80" i="1"/>
  <c r="H73" i="1"/>
  <c r="H74" i="1"/>
  <c r="H79" i="1"/>
  <c r="H59" i="1"/>
  <c r="H86" i="1"/>
  <c r="H81" i="1"/>
  <c r="H67" i="1"/>
  <c r="H93" i="1"/>
  <c r="H60" i="1"/>
  <c r="H53" i="1"/>
  <c r="H94" i="1"/>
  <c r="H96" i="1"/>
  <c r="H89" i="1"/>
  <c r="H58" i="1"/>
  <c r="H55" i="1"/>
  <c r="H77" i="1"/>
  <c r="H52" i="1"/>
  <c r="H88" i="1"/>
  <c r="H75" i="1"/>
  <c r="H68" i="1"/>
  <c r="H69" i="1"/>
  <c r="H87" i="1"/>
  <c r="H97" i="1"/>
  <c r="H66" i="1"/>
  <c r="H63" i="1"/>
  <c r="H61" i="1"/>
  <c r="H76" i="1"/>
  <c r="H85" i="1"/>
  <c r="H91" i="1"/>
  <c r="H84" i="1"/>
  <c r="H82" i="1"/>
  <c r="H54" i="1"/>
  <c r="N63" i="1"/>
  <c r="H56" i="1"/>
  <c r="H71" i="1"/>
  <c r="H83" i="1"/>
  <c r="H95" i="1"/>
  <c r="H92" i="1"/>
  <c r="H62" i="1"/>
  <c r="H64" i="1"/>
  <c r="H57" i="1"/>
  <c r="N58" i="1"/>
  <c r="AJ35" i="1" l="1"/>
  <c r="AI35" i="1"/>
  <c r="BJ54" i="1"/>
  <c r="BJ90" i="1"/>
  <c r="BJ74" i="1"/>
  <c r="BJ86" i="1"/>
  <c r="BJ76" i="1"/>
  <c r="BJ56" i="1"/>
  <c r="BJ84" i="1"/>
  <c r="BJ60" i="1"/>
  <c r="BJ58" i="1"/>
  <c r="BJ70" i="1"/>
  <c r="BJ92" i="1"/>
  <c r="BJ96" i="1"/>
  <c r="BJ88" i="1"/>
  <c r="BJ72" i="1"/>
  <c r="BJ68" i="1"/>
  <c r="BJ78" i="1"/>
  <c r="BJ82" i="1"/>
  <c r="BJ66" i="1"/>
  <c r="BJ80" i="1"/>
  <c r="BJ52" i="1"/>
  <c r="BJ64" i="1"/>
  <c r="BJ62" i="1"/>
  <c r="BJ94" i="1"/>
  <c r="U90" i="1"/>
  <c r="X90" i="1" s="1"/>
  <c r="Z90" i="1" s="1"/>
  <c r="V60" i="1"/>
  <c r="Y60" i="1" s="1"/>
  <c r="U60" i="1"/>
  <c r="X60" i="1" s="1"/>
  <c r="V62" i="1"/>
  <c r="Y62" i="1" s="1"/>
  <c r="U62" i="1"/>
  <c r="X62" i="1" s="1"/>
  <c r="V82" i="1"/>
  <c r="Y82" i="1" s="1"/>
  <c r="U82" i="1"/>
  <c r="X82" i="1" s="1"/>
  <c r="V97" i="1"/>
  <c r="Y97" i="1" s="1"/>
  <c r="U97" i="1"/>
  <c r="X97" i="1" s="1"/>
  <c r="U55" i="1"/>
  <c r="X55" i="1" s="1"/>
  <c r="V55" i="1"/>
  <c r="Y55" i="1" s="1"/>
  <c r="V67" i="1"/>
  <c r="Y67" i="1" s="1"/>
  <c r="U67" i="1"/>
  <c r="X67" i="1" s="1"/>
  <c r="V78" i="1"/>
  <c r="Y78" i="1" s="1"/>
  <c r="U78" i="1"/>
  <c r="X78" i="1" s="1"/>
  <c r="V57" i="1"/>
  <c r="Y57" i="1" s="1"/>
  <c r="U57" i="1"/>
  <c r="X57" i="1" s="1"/>
  <c r="V73" i="1"/>
  <c r="Y73" i="1" s="1"/>
  <c r="U73" i="1"/>
  <c r="X73" i="1" s="1"/>
  <c r="V93" i="1"/>
  <c r="Y93" i="1" s="1"/>
  <c r="U93" i="1"/>
  <c r="X93" i="1" s="1"/>
  <c r="V84" i="1"/>
  <c r="Y84" i="1" s="1"/>
  <c r="U84" i="1"/>
  <c r="X84" i="1" s="1"/>
  <c r="V87" i="1"/>
  <c r="Y87" i="1" s="1"/>
  <c r="U87" i="1"/>
  <c r="X87" i="1" s="1"/>
  <c r="V58" i="1"/>
  <c r="Y58" i="1" s="1"/>
  <c r="U58" i="1"/>
  <c r="X58" i="1" s="1"/>
  <c r="V81" i="1"/>
  <c r="Y81" i="1" s="1"/>
  <c r="U81" i="1"/>
  <c r="X81" i="1" s="1"/>
  <c r="V52" i="1"/>
  <c r="Y52" i="1" s="1"/>
  <c r="U52" i="1"/>
  <c r="X52" i="1" s="1"/>
  <c r="V77" i="1"/>
  <c r="Y77" i="1" s="1"/>
  <c r="U77" i="1"/>
  <c r="X77" i="1" s="1"/>
  <c r="V95" i="1"/>
  <c r="Y95" i="1" s="1"/>
  <c r="U95" i="1"/>
  <c r="X95" i="1" s="1"/>
  <c r="V91" i="1"/>
  <c r="Y91" i="1" s="1"/>
  <c r="U91" i="1"/>
  <c r="X91" i="1" s="1"/>
  <c r="V69" i="1"/>
  <c r="Y69" i="1" s="1"/>
  <c r="U69" i="1"/>
  <c r="X69" i="1" s="1"/>
  <c r="V89" i="1"/>
  <c r="Y89" i="1" s="1"/>
  <c r="U89" i="1"/>
  <c r="X89" i="1" s="1"/>
  <c r="V86" i="1"/>
  <c r="Y86" i="1" s="1"/>
  <c r="U86" i="1"/>
  <c r="X86" i="1" s="1"/>
  <c r="V51" i="1"/>
  <c r="Y51" i="1" s="1"/>
  <c r="U51" i="1"/>
  <c r="X51" i="1" s="1"/>
  <c r="V64" i="1"/>
  <c r="Y64" i="1" s="1"/>
  <c r="U64" i="1"/>
  <c r="X64" i="1" s="1"/>
  <c r="V70" i="1"/>
  <c r="Y70" i="1" s="1"/>
  <c r="U70" i="1"/>
  <c r="X70" i="1" s="1"/>
  <c r="V83" i="1"/>
  <c r="Y83" i="1" s="1"/>
  <c r="U83" i="1"/>
  <c r="X83" i="1" s="1"/>
  <c r="V85" i="1"/>
  <c r="Y85" i="1" s="1"/>
  <c r="U85" i="1"/>
  <c r="X85" i="1" s="1"/>
  <c r="V68" i="1"/>
  <c r="Y68" i="1" s="1"/>
  <c r="U68" i="1"/>
  <c r="X68" i="1" s="1"/>
  <c r="U96" i="1"/>
  <c r="X96" i="1" s="1"/>
  <c r="V96" i="1"/>
  <c r="Y96" i="1" s="1"/>
  <c r="V59" i="1"/>
  <c r="Y59" i="1" s="1"/>
  <c r="U59" i="1"/>
  <c r="X59" i="1" s="1"/>
  <c r="V50" i="1"/>
  <c r="U50" i="1"/>
  <c r="V66" i="1"/>
  <c r="Y66" i="1" s="1"/>
  <c r="U66" i="1"/>
  <c r="X66" i="1" s="1"/>
  <c r="V80" i="1"/>
  <c r="Y80" i="1" s="1"/>
  <c r="U80" i="1"/>
  <c r="X80" i="1" s="1"/>
  <c r="V71" i="1"/>
  <c r="Y71" i="1" s="1"/>
  <c r="U71" i="1"/>
  <c r="X71" i="1" s="1"/>
  <c r="V76" i="1"/>
  <c r="Y76" i="1" s="1"/>
  <c r="U76" i="1"/>
  <c r="X76" i="1" s="1"/>
  <c r="V75" i="1"/>
  <c r="Y75" i="1" s="1"/>
  <c r="U75" i="1"/>
  <c r="X75" i="1" s="1"/>
  <c r="V94" i="1"/>
  <c r="Y94" i="1" s="1"/>
  <c r="U94" i="1"/>
  <c r="X94" i="1" s="1"/>
  <c r="V79" i="1"/>
  <c r="Y79" i="1" s="1"/>
  <c r="U79" i="1"/>
  <c r="X79" i="1" s="1"/>
  <c r="V65" i="1"/>
  <c r="Y65" i="1" s="1"/>
  <c r="U65" i="1"/>
  <c r="X65" i="1" s="1"/>
  <c r="V63" i="1"/>
  <c r="Y63" i="1" s="1"/>
  <c r="U63" i="1"/>
  <c r="X63" i="1" s="1"/>
  <c r="V54" i="1"/>
  <c r="Y54" i="1" s="1"/>
  <c r="U54" i="1"/>
  <c r="X54" i="1" s="1"/>
  <c r="V92" i="1"/>
  <c r="Y92" i="1" s="1"/>
  <c r="U92" i="1"/>
  <c r="X92" i="1" s="1"/>
  <c r="V56" i="1"/>
  <c r="Y56" i="1" s="1"/>
  <c r="U56" i="1"/>
  <c r="X56" i="1" s="1"/>
  <c r="V61" i="1"/>
  <c r="Y61" i="1" s="1"/>
  <c r="U61" i="1"/>
  <c r="X61" i="1" s="1"/>
  <c r="V88" i="1"/>
  <c r="Y88" i="1" s="1"/>
  <c r="U88" i="1"/>
  <c r="X88" i="1" s="1"/>
  <c r="V53" i="1"/>
  <c r="Y53" i="1" s="1"/>
  <c r="U53" i="1"/>
  <c r="X53" i="1" s="1"/>
  <c r="V74" i="1"/>
  <c r="Y74" i="1" s="1"/>
  <c r="U74" i="1"/>
  <c r="X74" i="1" s="1"/>
  <c r="V72" i="1"/>
  <c r="Y72" i="1" s="1"/>
  <c r="U72" i="1"/>
  <c r="X72" i="1" s="1"/>
  <c r="X50" i="1" l="1"/>
  <c r="AJ36" i="1"/>
  <c r="AI36" i="1"/>
  <c r="Y50" i="1"/>
  <c r="AI37" i="1"/>
  <c r="AJ37" i="1"/>
  <c r="W90" i="1"/>
  <c r="BH74" i="1"/>
  <c r="BI74" i="1"/>
  <c r="BK74" i="1" s="1"/>
  <c r="BH66" i="1"/>
  <c r="BI66" i="1"/>
  <c r="BK66" i="1" s="1"/>
  <c r="BI56" i="1"/>
  <c r="BK56" i="1" s="1"/>
  <c r="BH56" i="1"/>
  <c r="BI62" i="1"/>
  <c r="BK62" i="1" s="1"/>
  <c r="BH62" i="1"/>
  <c r="BI72" i="1"/>
  <c r="BK72" i="1" s="1"/>
  <c r="BH72" i="1"/>
  <c r="BI70" i="1"/>
  <c r="BK70" i="1" s="1"/>
  <c r="BH70" i="1"/>
  <c r="BI90" i="1"/>
  <c r="BK90" i="1" s="1"/>
  <c r="BH90" i="1"/>
  <c r="BI78" i="1"/>
  <c r="BK78" i="1" s="1"/>
  <c r="BH78" i="1"/>
  <c r="BH86" i="1"/>
  <c r="BI86" i="1"/>
  <c r="BK86" i="1" s="1"/>
  <c r="BH60" i="1"/>
  <c r="BI60" i="1"/>
  <c r="BK60" i="1" s="1"/>
  <c r="BI94" i="1"/>
  <c r="BK94" i="1" s="1"/>
  <c r="BH94" i="1"/>
  <c r="BI92" i="1"/>
  <c r="BK92" i="1" s="1"/>
  <c r="BH92" i="1"/>
  <c r="BI68" i="1"/>
  <c r="BK68" i="1" s="1"/>
  <c r="BH68" i="1"/>
  <c r="BH82" i="1"/>
  <c r="BI82" i="1"/>
  <c r="BK82" i="1" s="1"/>
  <c r="BH58" i="1"/>
  <c r="BI58" i="1"/>
  <c r="BK58" i="1" s="1"/>
  <c r="BI76" i="1"/>
  <c r="BK76" i="1" s="1"/>
  <c r="BH76" i="1"/>
  <c r="BH52" i="1"/>
  <c r="BI52" i="1"/>
  <c r="BK52" i="1" s="1"/>
  <c r="BI96" i="1"/>
  <c r="BK96" i="1" s="1"/>
  <c r="BH96" i="1"/>
  <c r="BH80" i="1"/>
  <c r="BI80" i="1"/>
  <c r="BK80" i="1" s="1"/>
  <c r="BI84" i="1"/>
  <c r="BK84" i="1" s="1"/>
  <c r="BH84" i="1"/>
  <c r="BI64" i="1"/>
  <c r="BK64" i="1" s="1"/>
  <c r="BH64" i="1"/>
  <c r="BI88" i="1"/>
  <c r="BK88" i="1" s="1"/>
  <c r="BH88" i="1"/>
  <c r="BI54" i="1"/>
  <c r="BK54" i="1" s="1"/>
  <c r="BH54" i="1"/>
  <c r="BH50" i="1"/>
  <c r="W61" i="1"/>
  <c r="Z61" i="1"/>
  <c r="Z94" i="1"/>
  <c r="W94" i="1"/>
  <c r="Z89" i="1"/>
  <c r="W89" i="1"/>
  <c r="W77" i="1"/>
  <c r="Z77" i="1"/>
  <c r="Z87" i="1"/>
  <c r="W87" i="1"/>
  <c r="Z97" i="1"/>
  <c r="W97" i="1"/>
  <c r="Z96" i="1"/>
  <c r="W96" i="1"/>
  <c r="Z74" i="1"/>
  <c r="W74" i="1"/>
  <c r="Z56" i="1"/>
  <c r="W56" i="1"/>
  <c r="W75" i="1"/>
  <c r="Z75" i="1"/>
  <c r="Z66" i="1"/>
  <c r="W66" i="1"/>
  <c r="W68" i="1"/>
  <c r="Z68" i="1"/>
  <c r="Z64" i="1"/>
  <c r="W64" i="1"/>
  <c r="W69" i="1"/>
  <c r="Z69" i="1"/>
  <c r="W52" i="1"/>
  <c r="Z52" i="1"/>
  <c r="W84" i="1"/>
  <c r="Z84" i="1"/>
  <c r="Z78" i="1"/>
  <c r="W78" i="1"/>
  <c r="Z82" i="1"/>
  <c r="W82" i="1"/>
  <c r="Z72" i="1"/>
  <c r="W72" i="1"/>
  <c r="Z63" i="1"/>
  <c r="W63" i="1"/>
  <c r="Z80" i="1"/>
  <c r="W80" i="1"/>
  <c r="Z70" i="1"/>
  <c r="W70" i="1"/>
  <c r="Z57" i="1"/>
  <c r="W57" i="1"/>
  <c r="Z55" i="1"/>
  <c r="W55" i="1"/>
  <c r="W53" i="1"/>
  <c r="Z53" i="1"/>
  <c r="W92" i="1"/>
  <c r="Z92" i="1"/>
  <c r="Z65" i="1"/>
  <c r="W65" i="1"/>
  <c r="W76" i="1"/>
  <c r="Z76" i="1"/>
  <c r="W50" i="1"/>
  <c r="W85" i="1"/>
  <c r="Z85" i="1"/>
  <c r="W51" i="1"/>
  <c r="Z51" i="1"/>
  <c r="W91" i="1"/>
  <c r="Z91" i="1"/>
  <c r="Z81" i="1"/>
  <c r="W81" i="1"/>
  <c r="W93" i="1"/>
  <c r="Z93" i="1"/>
  <c r="W67" i="1"/>
  <c r="Z67" i="1"/>
  <c r="Z62" i="1"/>
  <c r="W62" i="1"/>
  <c r="Z88" i="1"/>
  <c r="W88" i="1"/>
  <c r="Z54" i="1"/>
  <c r="W54" i="1"/>
  <c r="Z79" i="1"/>
  <c r="W79" i="1"/>
  <c r="Z71" i="1"/>
  <c r="W71" i="1"/>
  <c r="W59" i="1"/>
  <c r="Z59" i="1"/>
  <c r="W83" i="1"/>
  <c r="Z83" i="1"/>
  <c r="Z86" i="1"/>
  <c r="W86" i="1"/>
  <c r="Z95" i="1"/>
  <c r="W95" i="1"/>
  <c r="Z58" i="1"/>
  <c r="W58" i="1"/>
  <c r="Z73" i="1"/>
  <c r="W73" i="1"/>
  <c r="W60" i="1"/>
  <c r="Z60" i="1"/>
  <c r="Z50" i="1" l="1"/>
  <c r="AI38" i="1"/>
  <c r="AJ38" i="1"/>
  <c r="AJ41" i="1"/>
  <c r="AI41" i="1"/>
  <c r="AI40" i="1"/>
  <c r="AJ40" i="1"/>
  <c r="AI39" i="1"/>
  <c r="AJ39" i="1"/>
</calcChain>
</file>

<file path=xl/sharedStrings.xml><?xml version="1.0" encoding="utf-8"?>
<sst xmlns="http://schemas.openxmlformats.org/spreadsheetml/2006/main" count="1448" uniqueCount="854">
  <si>
    <t>Harvest</t>
  </si>
  <si>
    <t>in bag</t>
  </si>
  <si>
    <t>Parameters</t>
  </si>
  <si>
    <t>less bag</t>
  </si>
  <si>
    <t>m2 per ha</t>
  </si>
  <si>
    <t>WBWAH</t>
  </si>
  <si>
    <t>(kg/ha)</t>
  </si>
  <si>
    <t>(%)</t>
  </si>
  <si>
    <t>FFRAC</t>
  </si>
  <si>
    <t>SFRAC</t>
  </si>
  <si>
    <t>TFRAC</t>
  </si>
  <si>
    <t>Moisture</t>
  </si>
  <si>
    <t>Ginning</t>
  </si>
  <si>
    <t>Bulk wt</t>
  </si>
  <si>
    <t>(kg)</t>
  </si>
  <si>
    <t>Seed wt</t>
  </si>
  <si>
    <t>Fiber wt</t>
  </si>
  <si>
    <t>(g/g)</t>
  </si>
  <si>
    <t>(g)</t>
  </si>
  <si>
    <t>Sample</t>
  </si>
  <si>
    <t>weight</t>
  </si>
  <si>
    <t>Wet</t>
  </si>
  <si>
    <t>Dry</t>
  </si>
  <si>
    <t>Weight</t>
  </si>
  <si>
    <t>Bag</t>
  </si>
  <si>
    <t>WFWAH</t>
  </si>
  <si>
    <t>WSWAH</t>
  </si>
  <si>
    <t>WSCWAH</t>
  </si>
  <si>
    <t>Compute</t>
  </si>
  <si>
    <t>DFWAH</t>
  </si>
  <si>
    <t>DSWAH</t>
  </si>
  <si>
    <t>DSCWAH</t>
  </si>
  <si>
    <t>PID</t>
  </si>
  <si>
    <t>Plot-scale calculations</t>
  </si>
  <si>
    <t>FBMIC</t>
  </si>
  <si>
    <t>FBLTH</t>
  </si>
  <si>
    <t>FBUNI</t>
  </si>
  <si>
    <t>FBSTR</t>
  </si>
  <si>
    <t>FBELO</t>
  </si>
  <si>
    <t>FBSFI</t>
  </si>
  <si>
    <t>(g/tex)</t>
  </si>
  <si>
    <t>Quality</t>
  </si>
  <si>
    <t>HVI Sample ID</t>
  </si>
  <si>
    <t>(inches)</t>
  </si>
  <si>
    <t>GNDAT</t>
  </si>
  <si>
    <t>Date</t>
  </si>
  <si>
    <t>QLDAT</t>
  </si>
  <si>
    <t>in bin</t>
  </si>
  <si>
    <t>Weight of seed bin at MAC gin (kg)</t>
  </si>
  <si>
    <t>Original</t>
  </si>
  <si>
    <t>Spreadsheet</t>
  </si>
  <si>
    <t>HID</t>
  </si>
  <si>
    <t>11W</t>
  </si>
  <si>
    <t>11E</t>
  </si>
  <si>
    <t>12W</t>
  </si>
  <si>
    <t>12E</t>
  </si>
  <si>
    <t>13W</t>
  </si>
  <si>
    <t>13E</t>
  </si>
  <si>
    <t>14W</t>
  </si>
  <si>
    <t>14E</t>
  </si>
  <si>
    <t>21W</t>
  </si>
  <si>
    <t>21E</t>
  </si>
  <si>
    <t>22W</t>
  </si>
  <si>
    <t>22E</t>
  </si>
  <si>
    <t>23W</t>
  </si>
  <si>
    <t>23E</t>
  </si>
  <si>
    <t>24W</t>
  </si>
  <si>
    <t>24E</t>
  </si>
  <si>
    <t>31W</t>
  </si>
  <si>
    <t>31E</t>
  </si>
  <si>
    <t>32W</t>
  </si>
  <si>
    <t>32E</t>
  </si>
  <si>
    <t>33W</t>
  </si>
  <si>
    <t>33E</t>
  </si>
  <si>
    <t>34W</t>
  </si>
  <si>
    <t>34E</t>
  </si>
  <si>
    <t>41W</t>
  </si>
  <si>
    <t>41E</t>
  </si>
  <si>
    <t>42W</t>
  </si>
  <si>
    <t>42E</t>
  </si>
  <si>
    <t>43W</t>
  </si>
  <si>
    <t>43E</t>
  </si>
  <si>
    <t>44W</t>
  </si>
  <si>
    <t>44E</t>
  </si>
  <si>
    <t>51W</t>
  </si>
  <si>
    <t>51E</t>
  </si>
  <si>
    <t>52W</t>
  </si>
  <si>
    <t>52E</t>
  </si>
  <si>
    <t>53W</t>
  </si>
  <si>
    <t>53E</t>
  </si>
  <si>
    <t>54W</t>
  </si>
  <si>
    <t>54E</t>
  </si>
  <si>
    <t>61W</t>
  </si>
  <si>
    <t>61E</t>
  </si>
  <si>
    <t>62W</t>
  </si>
  <si>
    <t>62E</t>
  </si>
  <si>
    <t>63W</t>
  </si>
  <si>
    <t>63E</t>
  </si>
  <si>
    <t>64W</t>
  </si>
  <si>
    <t>64E</t>
  </si>
  <si>
    <t>ID</t>
  </si>
  <si>
    <t>Column A - ID (ID)</t>
  </si>
  <si>
    <t>Column B - Harvest Area ID (HID)</t>
  </si>
  <si>
    <t>Size of harvest area (2 40-inch rows by 2 m) (m2)</t>
  </si>
  <si>
    <t>HARM</t>
  </si>
  <si>
    <t>HADAT</t>
  </si>
  <si>
    <t>Hand</t>
  </si>
  <si>
    <t>Column C - Harvest method (HARM)</t>
  </si>
  <si>
    <t>Column D - Harvest date (HADAT, mm/dd/yyyy)</t>
  </si>
  <si>
    <t>Column J - Weight of fiber in bag after ginning (kg). Weigh using scale at MAC gin.</t>
  </si>
  <si>
    <t>Column K - Weight of fuzzy seed in tub after ginning (kg). Weigh using scale at MAC gin.</t>
  </si>
  <si>
    <t>Column L - Fiber fraction of bulk harvest after ginning (FFRAC, g/g)</t>
  </si>
  <si>
    <t>Column M - Seed fraction of bulk harvest after ginning (SFRAC, g/g)</t>
  </si>
  <si>
    <t>Column N - Trash fraction of bulk harvest after ginning (TFRAC, g/g)</t>
  </si>
  <si>
    <t>Column G - Weight of bulk cotton minus bag weight (kg)</t>
  </si>
  <si>
    <t>Column H - Wet bulk weight at harvest (fiber + seed + trash) (WBWAH, kg/ha)</t>
  </si>
  <si>
    <t>Column I - Ginning Date (GNDAT, mm/dd/yyyy). Ginned using the MAC large gin with cleaners.</t>
  </si>
  <si>
    <t>Column E - Weight of bulk cotton in bag (kg). Hand harvest 2 rows by 2 m into mesh bags. Weigh using scale at MAC gin.</t>
  </si>
  <si>
    <t>Weight of yellow mesh bag for fiber (kg)</t>
  </si>
  <si>
    <t>Column F - Weight of empty bag (kg).</t>
  </si>
  <si>
    <t>Fiber</t>
  </si>
  <si>
    <t xml:space="preserve">Dry </t>
  </si>
  <si>
    <t xml:space="preserve">Fiber </t>
  </si>
  <si>
    <t>Seed</t>
  </si>
  <si>
    <t>Column O - Wet fiber weight prior to oven drying (g)</t>
  </si>
  <si>
    <t>Column P - Dry fiber weight after oven drying (g)</t>
  </si>
  <si>
    <t>Column R - Dry seed weight after oven drying (g)</t>
  </si>
  <si>
    <t>Column Q - Wet seed weight prior to oven drying (g)</t>
  </si>
  <si>
    <t>Column U - Wet fiber weight at harvest (WFWAH, kg/ha)</t>
  </si>
  <si>
    <t>Column W - Wet seed cotton weight at harvest (fiber + seed) (WSCWAH, kg/ha)</t>
  </si>
  <si>
    <t>Column X - Dry fiber weight at harvest (DFWAH, kg/ha)</t>
  </si>
  <si>
    <t>Column Y - Dry seed weight at harvest (DSWAH, kg/ha)</t>
  </si>
  <si>
    <t>Column Z - Dry seed cotton weight at harvest (fiber + seed) (DSCWAH, kg/ha)</t>
  </si>
  <si>
    <t>Column AB - Quality measurement date (QLDAT, mm/dd/yyyy)</t>
  </si>
  <si>
    <t>Column AC - Micronaire (FBMIC)</t>
  </si>
  <si>
    <t>Column AD - Upper half mean fiber length (FBLTH, inches)</t>
  </si>
  <si>
    <t>Column AE - Fiber uniformity (FBUNI, %)</t>
  </si>
  <si>
    <t>Column AF - Fiber strength (FBSTR, g/tex)</t>
  </si>
  <si>
    <t>Column AG - Fiber elongation (FBELO, %)</t>
  </si>
  <si>
    <t>0991913411202</t>
  </si>
  <si>
    <t>0991913412204</t>
  </si>
  <si>
    <t>0991913413206</t>
  </si>
  <si>
    <t>0991913414208</t>
  </si>
  <si>
    <t>0991913421210</t>
  </si>
  <si>
    <t>0991913422212</t>
  </si>
  <si>
    <t>0991913423214</t>
  </si>
  <si>
    <t>0991913424216</t>
  </si>
  <si>
    <t>0991913431218</t>
  </si>
  <si>
    <t>0991913432220</t>
  </si>
  <si>
    <t>0991913433222</t>
  </si>
  <si>
    <t>0991913434224</t>
  </si>
  <si>
    <t>0991913441226</t>
  </si>
  <si>
    <t>0991913442228</t>
  </si>
  <si>
    <t>0991913443230</t>
  </si>
  <si>
    <t>0991913444232</t>
  </si>
  <si>
    <t>0991913451234</t>
  </si>
  <si>
    <t>0991913452236</t>
  </si>
  <si>
    <t>0991913453238</t>
  </si>
  <si>
    <t>0991913454240</t>
  </si>
  <si>
    <t>0991913461242</t>
  </si>
  <si>
    <t>0991913462244</t>
  </si>
  <si>
    <t>0991913463246</t>
  </si>
  <si>
    <t>0991913464248</t>
  </si>
  <si>
    <t>0991913411101</t>
  </si>
  <si>
    <t>0991913412103</t>
  </si>
  <si>
    <t>0991913413105</t>
  </si>
  <si>
    <t>0991913414107</t>
  </si>
  <si>
    <t>0991913421109</t>
  </si>
  <si>
    <t>0991913422111</t>
  </si>
  <si>
    <t>0991913423113</t>
  </si>
  <si>
    <t>0991913424115</t>
  </si>
  <si>
    <t>0991913431117</t>
  </si>
  <si>
    <t>0991913432119</t>
  </si>
  <si>
    <t>0991913433121</t>
  </si>
  <si>
    <t>0991913434123</t>
  </si>
  <si>
    <t>0991913441125</t>
  </si>
  <si>
    <t>0991913442127</t>
  </si>
  <si>
    <t>0991913443129</t>
  </si>
  <si>
    <t>0991913444131</t>
  </si>
  <si>
    <t>0991913451133</t>
  </si>
  <si>
    <t>0991913452135</t>
  </si>
  <si>
    <t>0991913453137</t>
  </si>
  <si>
    <t>0991913454139</t>
  </si>
  <si>
    <t>0991913461141</t>
  </si>
  <si>
    <t>0991913462143</t>
  </si>
  <si>
    <t>0991913463145</t>
  </si>
  <si>
    <t>0991913464147</t>
  </si>
  <si>
    <t>Column AH - Short Fiber Index (FBSFI, %)</t>
  </si>
  <si>
    <t>Column AA - Sample ID for fiber samples sent to Cotton Incorporated HVI.</t>
  </si>
  <si>
    <t>Handpick</t>
  </si>
  <si>
    <t>Yield</t>
  </si>
  <si>
    <t>kg/ha</t>
  </si>
  <si>
    <t>Area</t>
  </si>
  <si>
    <t>Column V - Wet seed weight at harvest (WSWAH, kg/ha)</t>
  </si>
  <si>
    <t>Column S - Fiber water content after ginning (FWCAG, %)</t>
  </si>
  <si>
    <t>Column T - Seed water content after ginning (SWCAG, %)</t>
  </si>
  <si>
    <t>FWCAG</t>
  </si>
  <si>
    <t>SWCAG</t>
  </si>
  <si>
    <t>p11W</t>
  </si>
  <si>
    <t>p12W</t>
  </si>
  <si>
    <t>p12E</t>
  </si>
  <si>
    <t>p13W</t>
  </si>
  <si>
    <t>p13E</t>
  </si>
  <si>
    <t>p14W</t>
  </si>
  <si>
    <t>p14E</t>
  </si>
  <si>
    <t>p21W</t>
  </si>
  <si>
    <t>p21E</t>
  </si>
  <si>
    <t>p22W</t>
  </si>
  <si>
    <t>p22E</t>
  </si>
  <si>
    <t>p23W</t>
  </si>
  <si>
    <t>p23E</t>
  </si>
  <si>
    <t>p24W</t>
  </si>
  <si>
    <t>p24E</t>
  </si>
  <si>
    <t>p31W</t>
  </si>
  <si>
    <t>p31E</t>
  </si>
  <si>
    <t>p32W</t>
  </si>
  <si>
    <t>p32E</t>
  </si>
  <si>
    <t>p33W</t>
  </si>
  <si>
    <t>p33E</t>
  </si>
  <si>
    <t>p34W</t>
  </si>
  <si>
    <t>p34E</t>
  </si>
  <si>
    <t>p41W</t>
  </si>
  <si>
    <t>p41E</t>
  </si>
  <si>
    <t>p42W</t>
  </si>
  <si>
    <t>p42E</t>
  </si>
  <si>
    <t>p43W</t>
  </si>
  <si>
    <t>p43E</t>
  </si>
  <si>
    <t>p44W</t>
  </si>
  <si>
    <t>p44E</t>
  </si>
  <si>
    <t>p51W</t>
  </si>
  <si>
    <t>p51E</t>
  </si>
  <si>
    <t>p52W</t>
  </si>
  <si>
    <t>p52E</t>
  </si>
  <si>
    <t>p53W</t>
  </si>
  <si>
    <t>p53E</t>
  </si>
  <si>
    <t>p54W</t>
  </si>
  <si>
    <t>p54E</t>
  </si>
  <si>
    <t>p61W</t>
  </si>
  <si>
    <t>p61E</t>
  </si>
  <si>
    <t>p62W</t>
  </si>
  <si>
    <t>p62E</t>
  </si>
  <si>
    <t>p63W</t>
  </si>
  <si>
    <t>p63E</t>
  </si>
  <si>
    <t>p64W</t>
  </si>
  <si>
    <t>p64E</t>
  </si>
  <si>
    <t>p11E</t>
  </si>
  <si>
    <t>24-24</t>
  </si>
  <si>
    <t>24-20</t>
  </si>
  <si>
    <t>24-16</t>
  </si>
  <si>
    <t>24-12</t>
  </si>
  <si>
    <t>24-08</t>
  </si>
  <si>
    <t>24-04</t>
  </si>
  <si>
    <t>23-24</t>
  </si>
  <si>
    <t>23-20</t>
  </si>
  <si>
    <t>23-16</t>
  </si>
  <si>
    <t>23-12</t>
  </si>
  <si>
    <t>23-08</t>
  </si>
  <si>
    <t>23-04</t>
  </si>
  <si>
    <t>22-24</t>
  </si>
  <si>
    <t>22-20</t>
  </si>
  <si>
    <t>22-16</t>
  </si>
  <si>
    <t>22-12</t>
  </si>
  <si>
    <t>22-08</t>
  </si>
  <si>
    <t>22-04</t>
  </si>
  <si>
    <t>21-24</t>
  </si>
  <si>
    <t>21-20</t>
  </si>
  <si>
    <t>21-16</t>
  </si>
  <si>
    <t>21-12</t>
  </si>
  <si>
    <t>21-08</t>
  </si>
  <si>
    <t>21-04</t>
  </si>
  <si>
    <t>24-23</t>
  </si>
  <si>
    <t>24-19</t>
  </si>
  <si>
    <t>24-15</t>
  </si>
  <si>
    <t>24-11</t>
  </si>
  <si>
    <t>24-07</t>
  </si>
  <si>
    <t>24-03</t>
  </si>
  <si>
    <t>23-23</t>
  </si>
  <si>
    <t>23-19</t>
  </si>
  <si>
    <t>23-15</t>
  </si>
  <si>
    <t>23-11</t>
  </si>
  <si>
    <t>23-07</t>
  </si>
  <si>
    <t>23-03</t>
  </si>
  <si>
    <t>22-23</t>
  </si>
  <si>
    <t>22-19</t>
  </si>
  <si>
    <t>22-15</t>
  </si>
  <si>
    <t>22-11</t>
  </si>
  <si>
    <t>22-07</t>
  </si>
  <si>
    <t>22-03</t>
  </si>
  <si>
    <t>21-23</t>
  </si>
  <si>
    <t>21-19</t>
  </si>
  <si>
    <t>21-15</t>
  </si>
  <si>
    <t>21-11</t>
  </si>
  <si>
    <t>21-07</t>
  </si>
  <si>
    <t>21-03</t>
  </si>
  <si>
    <t>24-22</t>
  </si>
  <si>
    <t>24-18</t>
  </si>
  <si>
    <t>24-14</t>
  </si>
  <si>
    <t>24-10</t>
  </si>
  <si>
    <t>24-06</t>
  </si>
  <si>
    <t>24-02</t>
  </si>
  <si>
    <t>23-22</t>
  </si>
  <si>
    <t>23-18</t>
  </si>
  <si>
    <t>23-14</t>
  </si>
  <si>
    <t>23-10</t>
  </si>
  <si>
    <t>23-06</t>
  </si>
  <si>
    <t>23-02</t>
  </si>
  <si>
    <t>22-22</t>
  </si>
  <si>
    <t>22-18</t>
  </si>
  <si>
    <t>22-14</t>
  </si>
  <si>
    <t>22-10</t>
  </si>
  <si>
    <t>22-06</t>
  </si>
  <si>
    <t>22-02</t>
  </si>
  <si>
    <t>21-22</t>
  </si>
  <si>
    <t>21-18</t>
  </si>
  <si>
    <t>21-14</t>
  </si>
  <si>
    <t>21-10</t>
  </si>
  <si>
    <t>21-06</t>
  </si>
  <si>
    <t>21-02</t>
  </si>
  <si>
    <t>24-21</t>
  </si>
  <si>
    <t>24-17</t>
  </si>
  <si>
    <t>24-13</t>
  </si>
  <si>
    <t>24-09</t>
  </si>
  <si>
    <t>24-05</t>
  </si>
  <si>
    <t>24-01</t>
  </si>
  <si>
    <t>23-21</t>
  </si>
  <si>
    <t>23-17</t>
  </si>
  <si>
    <t>23-13</t>
  </si>
  <si>
    <t>23-09</t>
  </si>
  <si>
    <t>23-05</t>
  </si>
  <si>
    <t>23-01</t>
  </si>
  <si>
    <t>22-21</t>
  </si>
  <si>
    <t>22-17</t>
  </si>
  <si>
    <t>22-13</t>
  </si>
  <si>
    <t>22-09</t>
  </si>
  <si>
    <t>22-05</t>
  </si>
  <si>
    <t>22-01</t>
  </si>
  <si>
    <t>21-21</t>
  </si>
  <si>
    <t>21-17</t>
  </si>
  <si>
    <t>21-13</t>
  </si>
  <si>
    <t>21-09</t>
  </si>
  <si>
    <t>21-05</t>
  </si>
  <si>
    <t>21-01</t>
  </si>
  <si>
    <t>14-24</t>
  </si>
  <si>
    <t>14-20</t>
  </si>
  <si>
    <t>14-16</t>
  </si>
  <si>
    <t>14-12</t>
  </si>
  <si>
    <t>14-08</t>
  </si>
  <si>
    <t>14-04</t>
  </si>
  <si>
    <t>13-24</t>
  </si>
  <si>
    <t>13-20</t>
  </si>
  <si>
    <t>13-16</t>
  </si>
  <si>
    <t>13-12</t>
  </si>
  <si>
    <t>13-08</t>
  </si>
  <si>
    <t>13-04</t>
  </si>
  <si>
    <t>14-23</t>
  </si>
  <si>
    <t>14-19</t>
  </si>
  <si>
    <t>14-15</t>
  </si>
  <si>
    <t>14-11</t>
  </si>
  <si>
    <t>14-07</t>
  </si>
  <si>
    <t>14-03</t>
  </si>
  <si>
    <t>13-23</t>
  </si>
  <si>
    <t>13-19</t>
  </si>
  <si>
    <t>13-15</t>
  </si>
  <si>
    <t>13-11</t>
  </si>
  <si>
    <t>13-07</t>
  </si>
  <si>
    <t>13-03</t>
  </si>
  <si>
    <t>14-22</t>
  </si>
  <si>
    <t>14-18</t>
  </si>
  <si>
    <t>14-14</t>
  </si>
  <si>
    <t>14-10</t>
  </si>
  <si>
    <t>14-06</t>
  </si>
  <si>
    <t>14-02</t>
  </si>
  <si>
    <t>13-22</t>
  </si>
  <si>
    <t>13-18</t>
  </si>
  <si>
    <t>13-14</t>
  </si>
  <si>
    <t>13-10</t>
  </si>
  <si>
    <t>13-06</t>
  </si>
  <si>
    <t>13-02</t>
  </si>
  <si>
    <t>14-21</t>
  </si>
  <si>
    <t>14-17</t>
  </si>
  <si>
    <t>14-13</t>
  </si>
  <si>
    <t>14-09</t>
  </si>
  <si>
    <t>14-05</t>
  </si>
  <si>
    <t>14-01</t>
  </si>
  <si>
    <t>13-21</t>
  </si>
  <si>
    <t>13-17</t>
  </si>
  <si>
    <t>13-13</t>
  </si>
  <si>
    <t>13-09</t>
  </si>
  <si>
    <t>13-05</t>
  </si>
  <si>
    <t>13-01</t>
  </si>
  <si>
    <t>44-24</t>
  </si>
  <si>
    <t>44-20</t>
  </si>
  <si>
    <t>44-16</t>
  </si>
  <si>
    <t>44-12</t>
  </si>
  <si>
    <t>44-08</t>
  </si>
  <si>
    <t>44-04</t>
  </si>
  <si>
    <t>43-24</t>
  </si>
  <si>
    <t>43-20</t>
  </si>
  <si>
    <t>43-16</t>
  </si>
  <si>
    <t>43-12</t>
  </si>
  <si>
    <t>43-08</t>
  </si>
  <si>
    <t>43-04</t>
  </si>
  <si>
    <t>42-24</t>
  </si>
  <si>
    <t>42-20</t>
  </si>
  <si>
    <t>42-16</t>
  </si>
  <si>
    <t>42-12</t>
  </si>
  <si>
    <t>42-08</t>
  </si>
  <si>
    <t>42-04</t>
  </si>
  <si>
    <t>41-24</t>
  </si>
  <si>
    <t>41-20</t>
  </si>
  <si>
    <t>41-16</t>
  </si>
  <si>
    <t>41-12</t>
  </si>
  <si>
    <t>41-08</t>
  </si>
  <si>
    <t>41-04</t>
  </si>
  <si>
    <t>44-23</t>
  </si>
  <si>
    <t>44-19</t>
  </si>
  <si>
    <t>44-15</t>
  </si>
  <si>
    <t>44-11</t>
  </si>
  <si>
    <t>44-07</t>
  </si>
  <si>
    <t>44-03</t>
  </si>
  <si>
    <t>43-23</t>
  </si>
  <si>
    <t>43-19</t>
  </si>
  <si>
    <t>43-15</t>
  </si>
  <si>
    <t>43-11</t>
  </si>
  <si>
    <t>43-07</t>
  </si>
  <si>
    <t>43-03</t>
  </si>
  <si>
    <t>42-23</t>
  </si>
  <si>
    <t>42-19</t>
  </si>
  <si>
    <t>42-15</t>
  </si>
  <si>
    <t>42-11</t>
  </si>
  <si>
    <t>42-07</t>
  </si>
  <si>
    <t>42-03</t>
  </si>
  <si>
    <t>41-23</t>
  </si>
  <si>
    <t>41-19</t>
  </si>
  <si>
    <t>41-15</t>
  </si>
  <si>
    <t>41-11</t>
  </si>
  <si>
    <t>41-07</t>
  </si>
  <si>
    <t>41-03</t>
  </si>
  <si>
    <t>44-22</t>
  </si>
  <si>
    <t>44-18</t>
  </si>
  <si>
    <t>44-14</t>
  </si>
  <si>
    <t>44-10</t>
  </si>
  <si>
    <t>44-06</t>
  </si>
  <si>
    <t>44-02</t>
  </si>
  <si>
    <t>43-22</t>
  </si>
  <si>
    <t>43-18</t>
  </si>
  <si>
    <t>43-14</t>
  </si>
  <si>
    <t>43-10</t>
  </si>
  <si>
    <t>43-06</t>
  </si>
  <si>
    <t>43-02</t>
  </si>
  <si>
    <t>42-22</t>
  </si>
  <si>
    <t>42-18</t>
  </si>
  <si>
    <t>42-14</t>
  </si>
  <si>
    <t>42-10</t>
  </si>
  <si>
    <t>42-06</t>
  </si>
  <si>
    <t>42-02</t>
  </si>
  <si>
    <t>41-22</t>
  </si>
  <si>
    <t>41-18</t>
  </si>
  <si>
    <t>41-14</t>
  </si>
  <si>
    <t>41-10</t>
  </si>
  <si>
    <t>41-06</t>
  </si>
  <si>
    <t>41-02</t>
  </si>
  <si>
    <t>44-21</t>
  </si>
  <si>
    <t>44-17</t>
  </si>
  <si>
    <t>44-13</t>
  </si>
  <si>
    <t>44-09</t>
  </si>
  <si>
    <t>44-05</t>
  </si>
  <si>
    <t>44-01</t>
  </si>
  <si>
    <t>43-21</t>
  </si>
  <si>
    <t>43-17</t>
  </si>
  <si>
    <t>43-13</t>
  </si>
  <si>
    <t>43-09</t>
  </si>
  <si>
    <t>43-05</t>
  </si>
  <si>
    <t>43-01</t>
  </si>
  <si>
    <t>42-21</t>
  </si>
  <si>
    <t>42-17</t>
  </si>
  <si>
    <t>42-13</t>
  </si>
  <si>
    <t>42-09</t>
  </si>
  <si>
    <t>42-05</t>
  </si>
  <si>
    <t>42-01</t>
  </si>
  <si>
    <t>41-21</t>
  </si>
  <si>
    <t>41-17</t>
  </si>
  <si>
    <t>41-13</t>
  </si>
  <si>
    <t>41-09</t>
  </si>
  <si>
    <t>41-05</t>
  </si>
  <si>
    <t>41-01</t>
  </si>
  <si>
    <t>34-24</t>
  </si>
  <si>
    <t>34-20</t>
  </si>
  <si>
    <t>34-16</t>
  </si>
  <si>
    <t>34-12</t>
  </si>
  <si>
    <t>34-08</t>
  </si>
  <si>
    <t>34-04</t>
  </si>
  <si>
    <t>33-24</t>
  </si>
  <si>
    <t>33-20</t>
  </si>
  <si>
    <t>33-16</t>
  </si>
  <si>
    <t>33-12</t>
  </si>
  <si>
    <t>33-08</t>
  </si>
  <si>
    <t>33-04</t>
  </si>
  <si>
    <t>32-24</t>
  </si>
  <si>
    <t>32-20</t>
  </si>
  <si>
    <t>32-16</t>
  </si>
  <si>
    <t>32-12</t>
  </si>
  <si>
    <t>32-08</t>
  </si>
  <si>
    <t>32-04</t>
  </si>
  <si>
    <t>31-24</t>
  </si>
  <si>
    <t>31-20</t>
  </si>
  <si>
    <t>31-16</t>
  </si>
  <si>
    <t>31-12</t>
  </si>
  <si>
    <t>31-08</t>
  </si>
  <si>
    <t>31-04</t>
  </si>
  <si>
    <t>34-23</t>
  </si>
  <si>
    <t>34-19</t>
  </si>
  <si>
    <t>34-15</t>
  </si>
  <si>
    <t>34-11</t>
  </si>
  <si>
    <t>34-07</t>
  </si>
  <si>
    <t>34-03</t>
  </si>
  <si>
    <t>33-23</t>
  </si>
  <si>
    <t>33-19</t>
  </si>
  <si>
    <t>33-15</t>
  </si>
  <si>
    <t>33-11</t>
  </si>
  <si>
    <t>33-07</t>
  </si>
  <si>
    <t>33-03</t>
  </si>
  <si>
    <t>32-23</t>
  </si>
  <si>
    <t>32-19</t>
  </si>
  <si>
    <t>32-15</t>
  </si>
  <si>
    <t>32-11</t>
  </si>
  <si>
    <t>32-07</t>
  </si>
  <si>
    <t>32-03</t>
  </si>
  <si>
    <t>31-23</t>
  </si>
  <si>
    <t>31-19</t>
  </si>
  <si>
    <t>31-15</t>
  </si>
  <si>
    <t>31-11</t>
  </si>
  <si>
    <t>31-07</t>
  </si>
  <si>
    <t>31-03</t>
  </si>
  <si>
    <t>34-22</t>
  </si>
  <si>
    <t>34-18</t>
  </si>
  <si>
    <t>34-14</t>
  </si>
  <si>
    <t>34-10</t>
  </si>
  <si>
    <t>34-06</t>
  </si>
  <si>
    <t>34-02</t>
  </si>
  <si>
    <t>33-22</t>
  </si>
  <si>
    <t>33-18</t>
  </si>
  <si>
    <t>33-14</t>
  </si>
  <si>
    <t>33-10</t>
  </si>
  <si>
    <t>33-06</t>
  </si>
  <si>
    <t>33-02</t>
  </si>
  <si>
    <t>32-22</t>
  </si>
  <si>
    <t>32-18</t>
  </si>
  <si>
    <t>32-14</t>
  </si>
  <si>
    <t>32-10</t>
  </si>
  <si>
    <t>32-06</t>
  </si>
  <si>
    <t>32-02</t>
  </si>
  <si>
    <t>31-22</t>
  </si>
  <si>
    <t>31-18</t>
  </si>
  <si>
    <t>31-14</t>
  </si>
  <si>
    <t>31-10</t>
  </si>
  <si>
    <t>31-06</t>
  </si>
  <si>
    <t>31-02</t>
  </si>
  <si>
    <t>34-21</t>
  </si>
  <si>
    <t>34-17</t>
  </si>
  <si>
    <t>34-13</t>
  </si>
  <si>
    <t>34-09</t>
  </si>
  <si>
    <t>34-05</t>
  </si>
  <si>
    <t>34-01</t>
  </si>
  <si>
    <t>33-21</t>
  </si>
  <si>
    <t>33-17</t>
  </si>
  <si>
    <t>33-13</t>
  </si>
  <si>
    <t>33-09</t>
  </si>
  <si>
    <t>33-05</t>
  </si>
  <si>
    <t>33-01</t>
  </si>
  <si>
    <t>32-21</t>
  </si>
  <si>
    <t>32-17</t>
  </si>
  <si>
    <t>32-13</t>
  </si>
  <si>
    <t>32-09</t>
  </si>
  <si>
    <t>32-05</t>
  </si>
  <si>
    <t>32-01</t>
  </si>
  <si>
    <t>31-21</t>
  </si>
  <si>
    <t>31-17</t>
  </si>
  <si>
    <t>31-13</t>
  </si>
  <si>
    <t>31-09</t>
  </si>
  <si>
    <t>31-05</t>
  </si>
  <si>
    <t>31-01</t>
  </si>
  <si>
    <t>64-24</t>
  </si>
  <si>
    <t>64-20</t>
  </si>
  <si>
    <t>64-16</t>
  </si>
  <si>
    <t>64-12</t>
  </si>
  <si>
    <t>64-08</t>
  </si>
  <si>
    <t>64-04</t>
  </si>
  <si>
    <t>63-24</t>
  </si>
  <si>
    <t>63-20</t>
  </si>
  <si>
    <t>63-16</t>
  </si>
  <si>
    <t>63-12</t>
  </si>
  <si>
    <t>63-08</t>
  </si>
  <si>
    <t>63-04</t>
  </si>
  <si>
    <t>62-24</t>
  </si>
  <si>
    <t>62-20</t>
  </si>
  <si>
    <t>62-16</t>
  </si>
  <si>
    <t>62-12</t>
  </si>
  <si>
    <t>62-08</t>
  </si>
  <si>
    <t>62-04</t>
  </si>
  <si>
    <t>61-24</t>
  </si>
  <si>
    <t>61-20</t>
  </si>
  <si>
    <t>61-16</t>
  </si>
  <si>
    <t>61-12</t>
  </si>
  <si>
    <t>61-08</t>
  </si>
  <si>
    <t>61-04</t>
  </si>
  <si>
    <t>64-23</t>
  </si>
  <si>
    <t>64-19</t>
  </si>
  <si>
    <t>64-15</t>
  </si>
  <si>
    <t>64-11</t>
  </si>
  <si>
    <t>64-07</t>
  </si>
  <si>
    <t>64-03</t>
  </si>
  <si>
    <t>63-23</t>
  </si>
  <si>
    <t>63-19</t>
  </si>
  <si>
    <t>63-15</t>
  </si>
  <si>
    <t>63-11</t>
  </si>
  <si>
    <t>63-07</t>
  </si>
  <si>
    <t>63-03</t>
  </si>
  <si>
    <t>62-23</t>
  </si>
  <si>
    <t>62-19</t>
  </si>
  <si>
    <t>62-15</t>
  </si>
  <si>
    <t>62-11</t>
  </si>
  <si>
    <t>62-07</t>
  </si>
  <si>
    <t>62-03</t>
  </si>
  <si>
    <t>61-23</t>
  </si>
  <si>
    <t>61-19</t>
  </si>
  <si>
    <t>61-15</t>
  </si>
  <si>
    <t>61-11</t>
  </si>
  <si>
    <t>61-07</t>
  </si>
  <si>
    <t>61-03</t>
  </si>
  <si>
    <t>64-22</t>
  </si>
  <si>
    <t>64-18</t>
  </si>
  <si>
    <t>64-14</t>
  </si>
  <si>
    <t>64-10</t>
  </si>
  <si>
    <t>64-06</t>
  </si>
  <si>
    <t>64-02</t>
  </si>
  <si>
    <t>63-22</t>
  </si>
  <si>
    <t>63-18</t>
  </si>
  <si>
    <t>63-14</t>
  </si>
  <si>
    <t>63-10</t>
  </si>
  <si>
    <t>63-06</t>
  </si>
  <si>
    <t>63-02</t>
  </si>
  <si>
    <t>62-22</t>
  </si>
  <si>
    <t>62-18</t>
  </si>
  <si>
    <t>62-14</t>
  </si>
  <si>
    <t>62-10</t>
  </si>
  <si>
    <t>62-06</t>
  </si>
  <si>
    <t>62-02</t>
  </si>
  <si>
    <t>61-22</t>
  </si>
  <si>
    <t>61-18</t>
  </si>
  <si>
    <t>61-14</t>
  </si>
  <si>
    <t>61-10</t>
  </si>
  <si>
    <t>61-06</t>
  </si>
  <si>
    <t>61-02</t>
  </si>
  <si>
    <t>64-21</t>
  </si>
  <si>
    <t>64-17</t>
  </si>
  <si>
    <t>64-13</t>
  </si>
  <si>
    <t>64-09</t>
  </si>
  <si>
    <t>64-05</t>
  </si>
  <si>
    <t>64-01</t>
  </si>
  <si>
    <t>63-21</t>
  </si>
  <si>
    <t>63-17</t>
  </si>
  <si>
    <t>63-13</t>
  </si>
  <si>
    <t>63-09</t>
  </si>
  <si>
    <t>63-05</t>
  </si>
  <si>
    <t>63-01</t>
  </si>
  <si>
    <t>62-21</t>
  </si>
  <si>
    <t>62-17</t>
  </si>
  <si>
    <t>62-13</t>
  </si>
  <si>
    <t>62-09</t>
  </si>
  <si>
    <t>62-05</t>
  </si>
  <si>
    <t>62-01</t>
  </si>
  <si>
    <t>61-21</t>
  </si>
  <si>
    <t>61-17</t>
  </si>
  <si>
    <t>61-13</t>
  </si>
  <si>
    <t>61-09</t>
  </si>
  <si>
    <t>61-05</t>
  </si>
  <si>
    <t>61-01</t>
  </si>
  <si>
    <t>54-24</t>
  </si>
  <si>
    <t>54-20</t>
  </si>
  <si>
    <t>54-16</t>
  </si>
  <si>
    <t>54-12</t>
  </si>
  <si>
    <t>54-08</t>
  </si>
  <si>
    <t>54-04</t>
  </si>
  <si>
    <t>53-24</t>
  </si>
  <si>
    <t>53-20</t>
  </si>
  <si>
    <t>53-16</t>
  </si>
  <si>
    <t>53-12</t>
  </si>
  <si>
    <t>53-08</t>
  </si>
  <si>
    <t>53-04</t>
  </si>
  <si>
    <t>52-24</t>
  </si>
  <si>
    <t>52-20</t>
  </si>
  <si>
    <t>52-16</t>
  </si>
  <si>
    <t>52-12</t>
  </si>
  <si>
    <t>52-08</t>
  </si>
  <si>
    <t>52-04</t>
  </si>
  <si>
    <t>51-24</t>
  </si>
  <si>
    <t>51-20</t>
  </si>
  <si>
    <t>51-16</t>
  </si>
  <si>
    <t>51-12</t>
  </si>
  <si>
    <t>51-08</t>
  </si>
  <si>
    <t>51-04</t>
  </si>
  <si>
    <t>54-23</t>
  </si>
  <si>
    <t>54-19</t>
  </si>
  <si>
    <t>54-15</t>
  </si>
  <si>
    <t>54-11</t>
  </si>
  <si>
    <t>54-07</t>
  </si>
  <si>
    <t>54-03</t>
  </si>
  <si>
    <t>53-23</t>
  </si>
  <si>
    <t>53-19</t>
  </si>
  <si>
    <t>53-15</t>
  </si>
  <si>
    <t>53-11</t>
  </si>
  <si>
    <t>53-07</t>
  </si>
  <si>
    <t>53-03</t>
  </si>
  <si>
    <t>52-23</t>
  </si>
  <si>
    <t>52-19</t>
  </si>
  <si>
    <t>52-15</t>
  </si>
  <si>
    <t>52-11</t>
  </si>
  <si>
    <t>52-07</t>
  </si>
  <si>
    <t>52-03</t>
  </si>
  <si>
    <t>51-23</t>
  </si>
  <si>
    <t>51-19</t>
  </si>
  <si>
    <t>51-15</t>
  </si>
  <si>
    <t>51-11</t>
  </si>
  <si>
    <t>51-07</t>
  </si>
  <si>
    <t>51-03</t>
  </si>
  <si>
    <t>54-22</t>
  </si>
  <si>
    <t>54-18</t>
  </si>
  <si>
    <t>54-14</t>
  </si>
  <si>
    <t>54-10</t>
  </si>
  <si>
    <t>54-06</t>
  </si>
  <si>
    <t>54-02</t>
  </si>
  <si>
    <t>53-22</t>
  </si>
  <si>
    <t>53-18</t>
  </si>
  <si>
    <t>53-14</t>
  </si>
  <si>
    <t>53-10</t>
  </si>
  <si>
    <t>53-06</t>
  </si>
  <si>
    <t>53-02</t>
  </si>
  <si>
    <t>52-22</t>
  </si>
  <si>
    <t>52-18</t>
  </si>
  <si>
    <t>52-14</t>
  </si>
  <si>
    <t>52-10</t>
  </si>
  <si>
    <t>52-06</t>
  </si>
  <si>
    <t>52-02</t>
  </si>
  <si>
    <t>51-22</t>
  </si>
  <si>
    <t>51-18</t>
  </si>
  <si>
    <t>51-14</t>
  </si>
  <si>
    <t>51-10</t>
  </si>
  <si>
    <t>51-06</t>
  </si>
  <si>
    <t>51-02</t>
  </si>
  <si>
    <t>54-21</t>
  </si>
  <si>
    <t>54-17</t>
  </si>
  <si>
    <t>54-13</t>
  </si>
  <si>
    <t>54-09</t>
  </si>
  <si>
    <t>54-05</t>
  </si>
  <si>
    <t>54-01</t>
  </si>
  <si>
    <t>53-21</t>
  </si>
  <si>
    <t>53-17</t>
  </si>
  <si>
    <t>53-13</t>
  </si>
  <si>
    <t>53-09</t>
  </si>
  <si>
    <t>53-05</t>
  </si>
  <si>
    <t>53-01</t>
  </si>
  <si>
    <t>52-21</t>
  </si>
  <si>
    <t>52-17</t>
  </si>
  <si>
    <t>52-13</t>
  </si>
  <si>
    <t>52-09</t>
  </si>
  <si>
    <t>52-05</t>
  </si>
  <si>
    <t>52-01</t>
  </si>
  <si>
    <t>51-21</t>
  </si>
  <si>
    <t>51-17</t>
  </si>
  <si>
    <t>51-13</t>
  </si>
  <si>
    <t>51-09</t>
  </si>
  <si>
    <t>51-05</t>
  </si>
  <si>
    <t>51-01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</si>
  <si>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</si>
  <si>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</si>
  <si>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</si>
  <si>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</si>
  <si>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</si>
  <si>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</si>
  <si>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</si>
  <si>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</si>
  <si>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</si>
  <si>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</si>
  <si>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</si>
  <si>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</si>
  <si>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</si>
  <si>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</si>
  <si>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</si>
  <si>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</si>
  <si>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</si>
  <si>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</si>
  <si>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</si>
  <si>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</si>
  <si>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</si>
  <si>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</si>
  <si>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</si>
  <si>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</si>
  <si>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</si>
  <si>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</si>
  <si>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</si>
  <si>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</si>
  <si>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</si>
  <si>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</si>
  <si>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</si>
  <si>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</si>
  <si>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</si>
  <si>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</si>
  <si>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</si>
  <si>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</si>
  <si>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</si>
  <si>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</si>
  <si>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</si>
  <si>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</si>
  <si>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</si>
  <si>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</si>
  <si>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</si>
  <si>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</si>
  <si>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</si>
  <si>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</si>
  <si>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</si>
  <si>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</si>
  <si>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AgLeader</t>
  </si>
  <si>
    <t>Monitor</t>
  </si>
  <si>
    <t>SeedCotton</t>
  </si>
  <si>
    <t>ZID</t>
  </si>
  <si>
    <t>Adjusted</t>
  </si>
  <si>
    <t>Handpicked</t>
  </si>
  <si>
    <t>Plot-scale</t>
  </si>
  <si>
    <t>r</t>
  </si>
  <si>
    <t>p11</t>
  </si>
  <si>
    <t>p12</t>
  </si>
  <si>
    <t>p13</t>
  </si>
  <si>
    <t>p14</t>
  </si>
  <si>
    <t>p21</t>
  </si>
  <si>
    <t>p22</t>
  </si>
  <si>
    <t>p23</t>
  </si>
  <si>
    <t>p24</t>
  </si>
  <si>
    <t>p31</t>
  </si>
  <si>
    <t>p32</t>
  </si>
  <si>
    <t>p33</t>
  </si>
  <si>
    <t>p34</t>
  </si>
  <si>
    <t>p41</t>
  </si>
  <si>
    <t>p42</t>
  </si>
  <si>
    <t>p43</t>
  </si>
  <si>
    <t>p44</t>
  </si>
  <si>
    <t>p51</t>
  </si>
  <si>
    <t>p52</t>
  </si>
  <si>
    <t>p53</t>
  </si>
  <si>
    <t>p54</t>
  </si>
  <si>
    <t>p61</t>
  </si>
  <si>
    <t>p62</t>
  </si>
  <si>
    <t>p63</t>
  </si>
  <si>
    <t>p64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</si>
</sst>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mm/dd/yyyy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2" borderId="0" xfId="0" applyNumberFormat="1" applyFill="1"/>
    <xf numFmtId="167" fontId="0" fillId="0" borderId="0" xfId="0" applyNumberFormat="1"/>
    <xf numFmtId="49" fontId="0" fillId="2" borderId="0" xfId="0" applyNumberFormat="1" applyFill="1"/>
    <xf numFmtId="14" fontId="0" fillId="2" borderId="0" xfId="0" applyNumberFormat="1" applyFill="1"/>
    <xf numFmtId="49" fontId="0" fillId="0" borderId="0" xfId="0" applyNumberFormat="1"/>
  </cellXfs>
  <cellStyles count="3">
    <cellStyle name="Normal" xfId="0" builtinId="0"/>
    <cellStyle name="Normal 2" xfId="2" xr:uid="{9975BD0D-8745-4147-A5EC-15B99D8AB865}"/>
    <cellStyle name="Normal 3" xfId="1" xr:uid="{E9664043-597C-49BE-B574-A4C570FE3A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Handpicked</a:t>
            </a:r>
            <a:r>
              <a:rPr lang="en-US" baseline="0"/>
              <a:t> Harvest Areas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24604995567607"/>
                  <c:y val="-2.60836178391685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'Raw Scale'!$AJ$50:$AJ$97</c:f>
              <c:numCache>
                <c:formatCode>0.0</c:formatCode>
                <c:ptCount val="48"/>
                <c:pt idx="0">
                  <c:v>4678.30799999999</c:v>
                </c:pt>
                <c:pt idx="1">
                  <c:v>3649.1806666666598</c:v>
                </c:pt>
                <c:pt idx="2">
                  <c:v>5212.5069999999896</c:v>
                </c:pt>
                <c:pt idx="3">
                  <c:v>4300.4404999999897</c:v>
                </c:pt>
                <c:pt idx="4">
                  <c:v>3984.2656666666599</c:v>
                </c:pt>
                <c:pt idx="5">
                  <c:v>3550.0789999999902</c:v>
                </c:pt>
                <c:pt idx="6">
                  <c:v>4793.7374999999902</c:v>
                </c:pt>
                <c:pt idx="7">
                  <c:v>3534.9153333333302</c:v>
                </c:pt>
                <c:pt idx="8">
                  <c:v>4918.54899999999</c:v>
                </c:pt>
                <c:pt idx="9">
                  <c:v>3871.2466666666601</c:v>
                </c:pt>
                <c:pt idx="10">
                  <c:v>4578.9719999999897</c:v>
                </c:pt>
                <c:pt idx="11">
                  <c:v>5241.1449999999904</c:v>
                </c:pt>
                <c:pt idx="12">
                  <c:v>3695.9915000000001</c:v>
                </c:pt>
                <c:pt idx="13">
                  <c:v>3479.4534999999901</c:v>
                </c:pt>
                <c:pt idx="14">
                  <c:v>4546.8319999999903</c:v>
                </c:pt>
                <c:pt idx="15">
                  <c:v>3868.7833333333301</c:v>
                </c:pt>
                <c:pt idx="16">
                  <c:v>4969.1360000000004</c:v>
                </c:pt>
                <c:pt idx="17">
                  <c:v>4928.1364999999896</c:v>
                </c:pt>
                <c:pt idx="18">
                  <c:v>5394.8429999999898</c:v>
                </c:pt>
                <c:pt idx="19">
                  <c:v>4504.0934999999899</c:v>
                </c:pt>
                <c:pt idx="20">
                  <c:v>4210.1383333333297</c:v>
                </c:pt>
                <c:pt idx="21">
                  <c:v>3915.6855</c:v>
                </c:pt>
                <c:pt idx="22">
                  <c:v>4654.6925000000001</c:v>
                </c:pt>
                <c:pt idx="23">
                  <c:v>3903.6370000000002</c:v>
                </c:pt>
                <c:pt idx="24">
                  <c:v>4713.3033333333296</c:v>
                </c:pt>
                <c:pt idx="25">
                  <c:v>4033.41049999999</c:v>
                </c:pt>
                <c:pt idx="26">
                  <c:v>5122.0654999999997</c:v>
                </c:pt>
                <c:pt idx="27">
                  <c:v>5384.3885</c:v>
                </c:pt>
                <c:pt idx="28">
                  <c:v>4847.875</c:v>
                </c:pt>
                <c:pt idx="29">
                  <c:v>4758.9679999999898</c:v>
                </c:pt>
                <c:pt idx="30">
                  <c:v>4445.4534999999896</c:v>
                </c:pt>
                <c:pt idx="31">
                  <c:v>3872.6929999999902</c:v>
                </c:pt>
                <c:pt idx="32">
                  <c:v>5005.0749999999998</c:v>
                </c:pt>
                <c:pt idx="33">
                  <c:v>4321.2469999999903</c:v>
                </c:pt>
                <c:pt idx="34">
                  <c:v>5857.0659999999898</c:v>
                </c:pt>
                <c:pt idx="35">
                  <c:v>5173.7089999999898</c:v>
                </c:pt>
                <c:pt idx="36">
                  <c:v>5210.8940000000002</c:v>
                </c:pt>
                <c:pt idx="37">
                  <c:v>4529.2479999999896</c:v>
                </c:pt>
                <c:pt idx="38">
                  <c:v>4419.0493333333297</c:v>
                </c:pt>
                <c:pt idx="39">
                  <c:v>3757.7069999999899</c:v>
                </c:pt>
                <c:pt idx="40">
                  <c:v>4528.96</c:v>
                </c:pt>
                <c:pt idx="41">
                  <c:v>4258.7834999999905</c:v>
                </c:pt>
                <c:pt idx="42">
                  <c:v>4431.7939999999899</c:v>
                </c:pt>
                <c:pt idx="43">
                  <c:v>4446.5659999999998</c:v>
                </c:pt>
                <c:pt idx="44">
                  <c:v>4522.55</c:v>
                </c:pt>
                <c:pt idx="45">
                  <c:v>4468.72749999999</c:v>
                </c:pt>
                <c:pt idx="46">
                  <c:v>2111.93299999999</c:v>
                </c:pt>
                <c:pt idx="47">
                  <c:v>3513.9090000000001</c:v>
                </c:pt>
              </c:numCache>
            </c:numRef>
          </c:xVal>
          <c:yVal>
            <c:numRef>
              <c:f>'Raw Scale'!$H$50:$H$97</c:f>
              <c:numCache>
                <c:formatCode>0.0</c:formatCode>
                <c:ptCount val="48"/>
                <c:pt idx="0">
                  <c:v>5118.110236220472</c:v>
                </c:pt>
                <c:pt idx="1">
                  <c:v>5610.2362204724395</c:v>
                </c:pt>
                <c:pt idx="2">
                  <c:v>5511.8110236220464</c:v>
                </c:pt>
                <c:pt idx="3">
                  <c:v>6053.1496062992128</c:v>
                </c:pt>
                <c:pt idx="4">
                  <c:v>4478.3464566929133</c:v>
                </c:pt>
                <c:pt idx="5">
                  <c:v>4060.0393700787404</c:v>
                </c:pt>
                <c:pt idx="6">
                  <c:v>6274.6062992125981</c:v>
                </c:pt>
                <c:pt idx="7">
                  <c:v>5167.3228346456681</c:v>
                </c:pt>
                <c:pt idx="8">
                  <c:v>5954.7244094488187</c:v>
                </c:pt>
                <c:pt idx="9">
                  <c:v>5880.9055118110227</c:v>
                </c:pt>
                <c:pt idx="10">
                  <c:v>5782.4803149606287</c:v>
                </c:pt>
                <c:pt idx="11">
                  <c:v>6988.1889763779527</c:v>
                </c:pt>
                <c:pt idx="12">
                  <c:v>5388.7795275590543</c:v>
                </c:pt>
                <c:pt idx="13">
                  <c:v>5093.5039370078739</c:v>
                </c:pt>
                <c:pt idx="14">
                  <c:v>5511.8110236220464</c:v>
                </c:pt>
                <c:pt idx="15">
                  <c:v>4970.4724409448818</c:v>
                </c:pt>
                <c:pt idx="16">
                  <c:v>5684.0551181102364</c:v>
                </c:pt>
                <c:pt idx="17">
                  <c:v>6692.9133858267705</c:v>
                </c:pt>
                <c:pt idx="18">
                  <c:v>5757.8740157480315</c:v>
                </c:pt>
                <c:pt idx="19">
                  <c:v>5265.7480314960621</c:v>
                </c:pt>
                <c:pt idx="20">
                  <c:v>4970.4724409448818</c:v>
                </c:pt>
                <c:pt idx="21">
                  <c:v>4945.8661417322828</c:v>
                </c:pt>
                <c:pt idx="22">
                  <c:v>5536.4173228346463</c:v>
                </c:pt>
                <c:pt idx="23">
                  <c:v>5118.110236220472</c:v>
                </c:pt>
                <c:pt idx="24">
                  <c:v>6569.8818897637793</c:v>
                </c:pt>
                <c:pt idx="25">
                  <c:v>5339.5669291338572</c:v>
                </c:pt>
                <c:pt idx="26">
                  <c:v>5954.7244094488187</c:v>
                </c:pt>
                <c:pt idx="27">
                  <c:v>6077.7559055118099</c:v>
                </c:pt>
                <c:pt idx="28">
                  <c:v>5905.5118110236217</c:v>
                </c:pt>
                <c:pt idx="29">
                  <c:v>6299.212598425197</c:v>
                </c:pt>
                <c:pt idx="30">
                  <c:v>5167.3228346456681</c:v>
                </c:pt>
                <c:pt idx="31">
                  <c:v>4872.0472440944886</c:v>
                </c:pt>
                <c:pt idx="32">
                  <c:v>5880.9055118110227</c:v>
                </c:pt>
                <c:pt idx="33">
                  <c:v>5733.2677165354326</c:v>
                </c:pt>
                <c:pt idx="34">
                  <c:v>6250</c:v>
                </c:pt>
                <c:pt idx="35">
                  <c:v>6053.1496062992128</c:v>
                </c:pt>
                <c:pt idx="36">
                  <c:v>5979.3307086614168</c:v>
                </c:pt>
                <c:pt idx="37">
                  <c:v>5708.6614173228345</c:v>
                </c:pt>
                <c:pt idx="38">
                  <c:v>5585.6299212598424</c:v>
                </c:pt>
                <c:pt idx="39">
                  <c:v>4749.0157480314956</c:v>
                </c:pt>
                <c:pt idx="40">
                  <c:v>5290.3543307086611</c:v>
                </c:pt>
                <c:pt idx="41">
                  <c:v>6102.3622047244098</c:v>
                </c:pt>
                <c:pt idx="42">
                  <c:v>4256.8897637795271</c:v>
                </c:pt>
                <c:pt idx="43">
                  <c:v>6865.1574803149606</c:v>
                </c:pt>
                <c:pt idx="44">
                  <c:v>4404.5275590551182</c:v>
                </c:pt>
                <c:pt idx="45">
                  <c:v>5807.0866141732276</c:v>
                </c:pt>
                <c:pt idx="46">
                  <c:v>3174.2125984251966</c:v>
                </c:pt>
                <c:pt idx="47">
                  <c:v>4773.6220472440946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B-4AE1-8961-535089459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600040"/>
        <c:axId val="732600760"/>
      </c:scatterChart>
      <c:valAx>
        <c:axId val="732600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AgLeader Seed</a:t>
                </a:r>
                <a:r>
                  <a:rPr lang="en-US" baseline="0"/>
                  <a:t> Cotton Yield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00760"/>
        <c:crosses val="autoZero"/>
        <c:crossBetween val="midCat"/>
      </c:valAx>
      <c:valAx>
        <c:axId val="732600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WBWAH</a:t>
                </a:r>
                <a:r>
                  <a:rPr lang="en-US" baseline="0"/>
                  <a:t>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00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Plot-level Yield: AgLeader</a:t>
            </a:r>
            <a:r>
              <a:rPr lang="en-US" baseline="0"/>
              <a:t> vs Handpicked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187096983247464"/>
                  <c:y val="-8.322281269611617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'Zone Scale'!$H$7:$H$30</c:f>
              <c:numCache>
                <c:formatCode>0.0</c:formatCode>
                <c:ptCount val="24"/>
                <c:pt idx="0">
                  <c:v>5364.1732283464562</c:v>
                </c:pt>
                <c:pt idx="1">
                  <c:v>5782.4803149606287</c:v>
                </c:pt>
                <c:pt idx="2">
                  <c:v>4269.1929133858266</c:v>
                </c:pt>
                <c:pt idx="3">
                  <c:v>5720.9645669291331</c:v>
                </c:pt>
                <c:pt idx="4">
                  <c:v>5917.8149606299203</c:v>
                </c:pt>
                <c:pt idx="5">
                  <c:v>6385.3346456692907</c:v>
                </c:pt>
                <c:pt idx="6">
                  <c:v>5241.1417322834641</c:v>
                </c:pt>
                <c:pt idx="7">
                  <c:v>5241.1417322834641</c:v>
                </c:pt>
                <c:pt idx="8">
                  <c:v>6188.4842519685035</c:v>
                </c:pt>
                <c:pt idx="9">
                  <c:v>5511.8110236220464</c:v>
                </c:pt>
                <c:pt idx="10">
                  <c:v>4958.1692913385814</c:v>
                </c:pt>
                <c:pt idx="11">
                  <c:v>5327.2637795275587</c:v>
                </c:pt>
                <c:pt idx="12">
                  <c:v>5954.7244094488187</c:v>
                </c:pt>
                <c:pt idx="13">
                  <c:v>6016.2401574803152</c:v>
                </c:pt>
                <c:pt idx="14">
                  <c:v>6102.3622047244098</c:v>
                </c:pt>
                <c:pt idx="15">
                  <c:v>5019.6850393700788</c:v>
                </c:pt>
                <c:pt idx="16">
                  <c:v>5807.0866141732276</c:v>
                </c:pt>
                <c:pt idx="17">
                  <c:v>6151.5748031496069</c:v>
                </c:pt>
                <c:pt idx="18">
                  <c:v>5843.9960629921261</c:v>
                </c:pt>
                <c:pt idx="19">
                  <c:v>5167.3228346456681</c:v>
                </c:pt>
                <c:pt idx="20">
                  <c:v>5696.358267716535</c:v>
                </c:pt>
                <c:pt idx="21">
                  <c:v>5561.0236220472434</c:v>
                </c:pt>
                <c:pt idx="22">
                  <c:v>5105.8070866141725</c:v>
                </c:pt>
                <c:pt idx="23">
                  <c:v>3973.9173228346458</c:v>
                </c:pt>
              </c:numCache>
            </c:numRef>
          </c:xVal>
          <c:yVal>
            <c:numRef>
              <c:f>'Zone Scale'!$I$7:$I$30</c:f>
              <c:numCache>
                <c:formatCode>0.0</c:formatCode>
                <c:ptCount val="24"/>
                <c:pt idx="0">
                  <c:v>5261.539287866638</c:v>
                </c:pt>
                <c:pt idx="1">
                  <c:v>5617.2557335750453</c:v>
                </c:pt>
                <c:pt idx="2">
                  <c:v>5245.2145114970936</c:v>
                </c:pt>
                <c:pt idx="3">
                  <c:v>5318.1083774265308</c:v>
                </c:pt>
                <c:pt idx="4">
                  <c:v>5639.7838906451716</c:v>
                </c:pt>
                <c:pt idx="5">
                  <c:v>5900.9246594721735</c:v>
                </c:pt>
                <c:pt idx="6">
                  <c:v>5495.4250275711665</c:v>
                </c:pt>
                <c:pt idx="7">
                  <c:v>5452.4641004138975</c:v>
                </c:pt>
                <c:pt idx="8">
                  <c:v>5789.3208590551221</c:v>
                </c:pt>
                <c:pt idx="9">
                  <c:v>5843.0280182664965</c:v>
                </c:pt>
                <c:pt idx="10">
                  <c:v>5542.9340006800339</c:v>
                </c:pt>
                <c:pt idx="11">
                  <c:v>5433.7252985701352</c:v>
                </c:pt>
                <c:pt idx="12">
                  <c:v>5565.3309455097515</c:v>
                </c:pt>
                <c:pt idx="13">
                  <c:v>5759.0550094734572</c:v>
                </c:pt>
                <c:pt idx="14">
                  <c:v>5736.836004997519</c:v>
                </c:pt>
                <c:pt idx="15">
                  <c:v>5229.8530747799896</c:v>
                </c:pt>
                <c:pt idx="16">
                  <c:v>5667.8560201700684</c:v>
                </c:pt>
                <c:pt idx="17">
                  <c:v>5827.0564144271275</c:v>
                </c:pt>
                <c:pt idx="18">
                  <c:v>5615.569962032595</c:v>
                </c:pt>
                <c:pt idx="19">
                  <c:v>5056.9521092178538</c:v>
                </c:pt>
                <c:pt idx="20">
                  <c:v>5583.4070389346352</c:v>
                </c:pt>
                <c:pt idx="21">
                  <c:v>5447.2230030377932</c:v>
                </c:pt>
                <c:pt idx="22">
                  <c:v>5377.5401925364622</c:v>
                </c:pt>
                <c:pt idx="23">
                  <c:v>4434.17833274444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B-4B32-8209-3835D098C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1423880"/>
        <c:axId val="845654552"/>
      </c:scatterChart>
      <c:valAx>
        <c:axId val="841423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Plot-level yield from hand</a:t>
                </a:r>
                <a:r>
                  <a:rPr lang="en-US" baseline="0"/>
                  <a:t> harvest data (kg/ha)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654552"/>
        <c:crosses val="autoZero"/>
        <c:crossBetween val="midCat"/>
      </c:valAx>
      <c:valAx>
        <c:axId val="845654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Plot-level</a:t>
                </a:r>
                <a:r>
                  <a:rPr lang="en-US" baseline="0"/>
                  <a:t> yield from AgLeader data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423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C5-4F0F-A57D-EC477B0C2A4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Compare!$Q$8:$Q$55</c:f>
              <c:numCache>
                <c:formatCode>General</c:formatCode>
                <c:ptCount val="48"/>
                <c:pt idx="0">
                  <c:v>1960.5915737805503</c:v>
                </c:pt>
                <c:pt idx="1">
                  <c:v>2109.6676713630382</c:v>
                </c:pt>
                <c:pt idx="2">
                  <c:v>2008.9901562262253</c:v>
                </c:pt>
                <c:pt idx="3">
                  <c:v>2104.2959776530765</c:v>
                </c:pt>
                <c:pt idx="4">
                  <c:v>1674.8402227613053</c:v>
                </c:pt>
                <c:pt idx="5">
                  <c:v>1530.9379763822958</c:v>
                </c:pt>
                <c:pt idx="6">
                  <c:v>2344.7755704463048</c:v>
                </c:pt>
                <c:pt idx="7">
                  <c:v>1960.7891068553845</c:v>
                </c:pt>
                <c:pt idx="8">
                  <c:v>2441.1341611144767</c:v>
                </c:pt>
                <c:pt idx="9">
                  <c:v>1964.1093064473948</c:v>
                </c:pt>
                <c:pt idx="10">
                  <c:v>2251.7312139887431</c:v>
                </c:pt>
                <c:pt idx="11">
                  <c:v>2682.4565494233489</c:v>
                </c:pt>
                <c:pt idx="12">
                  <c:v>1965.3622760705161</c:v>
                </c:pt>
                <c:pt idx="13">
                  <c:v>1869.8978114867996</c:v>
                </c:pt>
                <c:pt idx="14">
                  <c:v>2160.4449008176862</c:v>
                </c:pt>
                <c:pt idx="15">
                  <c:v>1918.8930026130843</c:v>
                </c:pt>
                <c:pt idx="16">
                  <c:v>2161.3058229488001</c:v>
                </c:pt>
                <c:pt idx="17">
                  <c:v>2540.2115160403423</c:v>
                </c:pt>
                <c:pt idx="18">
                  <c:v>2160.7158288558026</c:v>
                </c:pt>
                <c:pt idx="19">
                  <c:v>2113.4979486787447</c:v>
                </c:pt>
                <c:pt idx="20">
                  <c:v>1825.0726957885452</c:v>
                </c:pt>
                <c:pt idx="21">
                  <c:v>1921.4330633348022</c:v>
                </c:pt>
                <c:pt idx="22">
                  <c:v>2211.4720920723403</c:v>
                </c:pt>
                <c:pt idx="23">
                  <c:v>1969.9879572204072</c:v>
                </c:pt>
                <c:pt idx="24">
                  <c:v>2405.88843246652</c:v>
                </c:pt>
                <c:pt idx="25">
                  <c:v>2115.1728214038876</c:v>
                </c:pt>
                <c:pt idx="26">
                  <c:v>2310.652872426821</c:v>
                </c:pt>
                <c:pt idx="27">
                  <c:v>2358.6760645900094</c:v>
                </c:pt>
                <c:pt idx="28">
                  <c:v>2163.1277861626618</c:v>
                </c:pt>
                <c:pt idx="29">
                  <c:v>2501.2816504165562</c:v>
                </c:pt>
                <c:pt idx="30">
                  <c:v>1923.9251827728922</c:v>
                </c:pt>
                <c:pt idx="31">
                  <c:v>1875.0996364636633</c:v>
                </c:pt>
                <c:pt idx="32">
                  <c:v>2209.3617504542694</c:v>
                </c:pt>
                <c:pt idx="33">
                  <c:v>2211.5157663567979</c:v>
                </c:pt>
                <c:pt idx="34">
                  <c:v>2406.0991690637707</c:v>
                </c:pt>
                <c:pt idx="35">
                  <c:v>2309.316227287205</c:v>
                </c:pt>
                <c:pt idx="36">
                  <c:v>2358.6125639404559</c:v>
                </c:pt>
                <c:pt idx="37">
                  <c:v>2211.967672174781</c:v>
                </c:pt>
                <c:pt idx="38">
                  <c:v>2116.5793072546426</c:v>
                </c:pt>
                <c:pt idx="39">
                  <c:v>1877.465449960283</c:v>
                </c:pt>
                <c:pt idx="40">
                  <c:v>2066.6113769677095</c:v>
                </c:pt>
                <c:pt idx="41">
                  <c:v>2358.4191399152023</c:v>
                </c:pt>
                <c:pt idx="42">
                  <c:v>1639.3758867602037</c:v>
                </c:pt>
                <c:pt idx="43">
                  <c:v>2596.103909729472</c:v>
                </c:pt>
                <c:pt idx="44">
                  <c:v>1685.8922365607075</c:v>
                </c:pt>
                <c:pt idx="45">
                  <c:v>2264.9512560929875</c:v>
                </c:pt>
                <c:pt idx="46">
                  <c:v>1251.5106366713458</c:v>
                </c:pt>
                <c:pt idx="47">
                  <c:v>1732.948103433446</c:v>
                </c:pt>
              </c:numCache>
            </c:numRef>
          </c:xVal>
          <c:yVal>
            <c:numRef>
              <c:f>'Raw Scale'!$X$50:$X$97</c:f>
              <c:numCache>
                <c:formatCode>0.0</c:formatCode>
                <c:ptCount val="48"/>
                <c:pt idx="0">
                  <c:v>1960.5915737805501</c:v>
                </c:pt>
                <c:pt idx="1">
                  <c:v>2109.6676713630377</c:v>
                </c:pt>
                <c:pt idx="2">
                  <c:v>2008.9901562262244</c:v>
                </c:pt>
                <c:pt idx="3">
                  <c:v>2104.2959776530765</c:v>
                </c:pt>
                <c:pt idx="4">
                  <c:v>1674.8402227613053</c:v>
                </c:pt>
                <c:pt idx="5">
                  <c:v>1530.9379763822958</c:v>
                </c:pt>
                <c:pt idx="6">
                  <c:v>2344.7755704463048</c:v>
                </c:pt>
                <c:pt idx="7">
                  <c:v>1960.7891068553843</c:v>
                </c:pt>
                <c:pt idx="8">
                  <c:v>2441.1341611144762</c:v>
                </c:pt>
                <c:pt idx="9">
                  <c:v>1964.1093064473951</c:v>
                </c:pt>
                <c:pt idx="10">
                  <c:v>2251.7312139887435</c:v>
                </c:pt>
                <c:pt idx="11">
                  <c:v>2682.4565494233493</c:v>
                </c:pt>
                <c:pt idx="12">
                  <c:v>1965.3622760705157</c:v>
                </c:pt>
                <c:pt idx="13">
                  <c:v>1869.8978114868</c:v>
                </c:pt>
                <c:pt idx="14">
                  <c:v>2160.4449008176862</c:v>
                </c:pt>
                <c:pt idx="15">
                  <c:v>1918.8930026130843</c:v>
                </c:pt>
                <c:pt idx="16">
                  <c:v>2161.3058229488001</c:v>
                </c:pt>
                <c:pt idx="17">
                  <c:v>2540.2115160403418</c:v>
                </c:pt>
                <c:pt idx="18">
                  <c:v>2160.7158288558026</c:v>
                </c:pt>
                <c:pt idx="19">
                  <c:v>2113.4979486787452</c:v>
                </c:pt>
                <c:pt idx="20">
                  <c:v>1825.0726957885452</c:v>
                </c:pt>
                <c:pt idx="21">
                  <c:v>1921.433063334802</c:v>
                </c:pt>
                <c:pt idx="22">
                  <c:v>2211.4720920723403</c:v>
                </c:pt>
                <c:pt idx="23">
                  <c:v>1969.987957220407</c:v>
                </c:pt>
                <c:pt idx="24">
                  <c:v>2405.8884324665205</c:v>
                </c:pt>
                <c:pt idx="25">
                  <c:v>2115.1728214038867</c:v>
                </c:pt>
                <c:pt idx="26">
                  <c:v>2310.652872426821</c:v>
                </c:pt>
                <c:pt idx="27">
                  <c:v>2358.6760645900094</c:v>
                </c:pt>
                <c:pt idx="28">
                  <c:v>2163.1277861626618</c:v>
                </c:pt>
                <c:pt idx="29">
                  <c:v>2501.2816504165567</c:v>
                </c:pt>
                <c:pt idx="30">
                  <c:v>1923.9251827728922</c:v>
                </c:pt>
                <c:pt idx="31">
                  <c:v>1875.0996364636635</c:v>
                </c:pt>
                <c:pt idx="32">
                  <c:v>2209.3617504542694</c:v>
                </c:pt>
                <c:pt idx="33">
                  <c:v>2211.5157663567975</c:v>
                </c:pt>
                <c:pt idx="34">
                  <c:v>2406.0991690637707</c:v>
                </c:pt>
                <c:pt idx="35">
                  <c:v>2309.316227287205</c:v>
                </c:pt>
                <c:pt idx="36">
                  <c:v>2358.6125639404563</c:v>
                </c:pt>
                <c:pt idx="37">
                  <c:v>2211.967672174781</c:v>
                </c:pt>
                <c:pt idx="38">
                  <c:v>2116.5793072546426</c:v>
                </c:pt>
                <c:pt idx="39">
                  <c:v>1877.465449960283</c:v>
                </c:pt>
                <c:pt idx="40">
                  <c:v>2066.611376967709</c:v>
                </c:pt>
                <c:pt idx="41">
                  <c:v>2358.4191399152028</c:v>
                </c:pt>
                <c:pt idx="42">
                  <c:v>1639.3758867602032</c:v>
                </c:pt>
                <c:pt idx="43">
                  <c:v>2596.103909729472</c:v>
                </c:pt>
                <c:pt idx="44">
                  <c:v>1685.8922365607075</c:v>
                </c:pt>
                <c:pt idx="45">
                  <c:v>2264.9512560929879</c:v>
                </c:pt>
                <c:pt idx="46">
                  <c:v>1251.5106366713458</c:v>
                </c:pt>
                <c:pt idx="47">
                  <c:v>1732.948103433446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C5-4F0F-A57D-EC477B0C2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D4-486D-B94B-DCCF1F815CE5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Compare!$R$8:$R$55</c:f>
              <c:numCache>
                <c:formatCode>General</c:formatCode>
                <c:ptCount val="48"/>
                <c:pt idx="0">
                  <c:v>2409.913196341412</c:v>
                </c:pt>
                <c:pt idx="1">
                  <c:v>2737.8736532357966</c:v>
                </c:pt>
                <c:pt idx="2">
                  <c:v>2879.4890920503822</c:v>
                </c:pt>
                <c:pt idx="3">
                  <c:v>2926.2400754855976</c:v>
                </c:pt>
                <c:pt idx="4">
                  <c:v>2222.4349973657463</c:v>
                </c:pt>
                <c:pt idx="5">
                  <c:v>1892.6921071767922</c:v>
                </c:pt>
                <c:pt idx="6">
                  <c:v>3118.7286411786154</c:v>
                </c:pt>
                <c:pt idx="7">
                  <c:v>2603.4784473299846</c:v>
                </c:pt>
                <c:pt idx="8">
                  <c:v>3121.7897731278654</c:v>
                </c:pt>
                <c:pt idx="9">
                  <c:v>2835.6494390042608</c:v>
                </c:pt>
                <c:pt idx="10">
                  <c:v>2881.871180054362</c:v>
                </c:pt>
                <c:pt idx="11">
                  <c:v>3495.4092081725516</c:v>
                </c:pt>
                <c:pt idx="12">
                  <c:v>2599.607637556082</c:v>
                </c:pt>
                <c:pt idx="13">
                  <c:v>2506.4208677309357</c:v>
                </c:pt>
                <c:pt idx="14">
                  <c:v>2649.6540962019903</c:v>
                </c:pt>
                <c:pt idx="15">
                  <c:v>2461.116393646093</c:v>
                </c:pt>
                <c:pt idx="16">
                  <c:v>2881.1985526113676</c:v>
                </c:pt>
                <c:pt idx="17">
                  <c:v>3356.0424571375029</c:v>
                </c:pt>
                <c:pt idx="18">
                  <c:v>2927.4231985576348</c:v>
                </c:pt>
                <c:pt idx="19">
                  <c:v>2696.1238956839893</c:v>
                </c:pt>
                <c:pt idx="20">
                  <c:v>2505.3876902589227</c:v>
                </c:pt>
                <c:pt idx="21">
                  <c:v>2459.2562543447129</c:v>
                </c:pt>
                <c:pt idx="22">
                  <c:v>2836.3233975555891</c:v>
                </c:pt>
                <c:pt idx="23">
                  <c:v>2508.2439582315747</c:v>
                </c:pt>
                <c:pt idx="24">
                  <c:v>3313.6430642830201</c:v>
                </c:pt>
                <c:pt idx="25">
                  <c:v>2602.6521446734178</c:v>
                </c:pt>
                <c:pt idx="26">
                  <c:v>2978.9324940095671</c:v>
                </c:pt>
                <c:pt idx="27">
                  <c:v>3073.4896996109778</c:v>
                </c:pt>
                <c:pt idx="28">
                  <c:v>2839.5592429407207</c:v>
                </c:pt>
                <c:pt idx="29">
                  <c:v>3073.7732690658158</c:v>
                </c:pt>
                <c:pt idx="30">
                  <c:v>2604.1814590843151</c:v>
                </c:pt>
                <c:pt idx="31">
                  <c:v>2415.22669210204</c:v>
                </c:pt>
                <c:pt idx="32">
                  <c:v>2931.4127832290005</c:v>
                </c:pt>
                <c:pt idx="33">
                  <c:v>2883.2578199037293</c:v>
                </c:pt>
                <c:pt idx="34">
                  <c:v>3217.2200170912097</c:v>
                </c:pt>
                <c:pt idx="35">
                  <c:v>3072.7643745505384</c:v>
                </c:pt>
                <c:pt idx="36">
                  <c:v>3029.4536858389383</c:v>
                </c:pt>
                <c:pt idx="37">
                  <c:v>2792.4130537437081</c:v>
                </c:pt>
                <c:pt idx="38">
                  <c:v>2744.1547725427372</c:v>
                </c:pt>
                <c:pt idx="39">
                  <c:v>2366.7750486413088</c:v>
                </c:pt>
                <c:pt idx="40">
                  <c:v>2698.1531788853881</c:v>
                </c:pt>
                <c:pt idx="41">
                  <c:v>2935.3846995982285</c:v>
                </c:pt>
                <c:pt idx="42">
                  <c:v>2176.9939576266415</c:v>
                </c:pt>
                <c:pt idx="43">
                  <c:v>3405.0662968142278</c:v>
                </c:pt>
                <c:pt idx="44">
                  <c:v>2226.1216051139527</c:v>
                </c:pt>
                <c:pt idx="45">
                  <c:v>2844.8846885845433</c:v>
                </c:pt>
                <c:pt idx="46">
                  <c:v>1612.7076344621757</c:v>
                </c:pt>
                <c:pt idx="47">
                  <c:v>2321.8708381036945</c:v>
                </c:pt>
              </c:numCache>
            </c:numRef>
          </c:xVal>
          <c:yVal>
            <c:numRef>
              <c:f>'Raw Scale'!$Y$50:$Y$97</c:f>
              <c:numCache>
                <c:formatCode>0.0</c:formatCode>
                <c:ptCount val="48"/>
                <c:pt idx="0">
                  <c:v>2409.9131963414115</c:v>
                </c:pt>
                <c:pt idx="1">
                  <c:v>2737.8736532357962</c:v>
                </c:pt>
                <c:pt idx="2">
                  <c:v>2879.4890920503826</c:v>
                </c:pt>
                <c:pt idx="3">
                  <c:v>2926.2400754855971</c:v>
                </c:pt>
                <c:pt idx="4">
                  <c:v>2222.4349973657463</c:v>
                </c:pt>
                <c:pt idx="5">
                  <c:v>1892.6921071767922</c:v>
                </c:pt>
                <c:pt idx="6">
                  <c:v>3118.7286411786149</c:v>
                </c:pt>
                <c:pt idx="7">
                  <c:v>2603.4784473299837</c:v>
                </c:pt>
                <c:pt idx="8">
                  <c:v>3121.7897731278649</c:v>
                </c:pt>
                <c:pt idx="9">
                  <c:v>2835.6494390042608</c:v>
                </c:pt>
                <c:pt idx="10">
                  <c:v>2881.8711800543624</c:v>
                </c:pt>
                <c:pt idx="11">
                  <c:v>3495.4092081725521</c:v>
                </c:pt>
                <c:pt idx="12">
                  <c:v>2599.607637556082</c:v>
                </c:pt>
                <c:pt idx="13">
                  <c:v>2506.4208677309362</c:v>
                </c:pt>
                <c:pt idx="14">
                  <c:v>2649.6540962019903</c:v>
                </c:pt>
                <c:pt idx="15">
                  <c:v>2461.116393646093</c:v>
                </c:pt>
                <c:pt idx="16">
                  <c:v>2881.1985526113681</c:v>
                </c:pt>
                <c:pt idx="17">
                  <c:v>3356.0424571375024</c:v>
                </c:pt>
                <c:pt idx="18">
                  <c:v>2927.4231985576348</c:v>
                </c:pt>
                <c:pt idx="19">
                  <c:v>2696.1238956839898</c:v>
                </c:pt>
                <c:pt idx="20">
                  <c:v>2505.3876902589222</c:v>
                </c:pt>
                <c:pt idx="21">
                  <c:v>2459.2562543447129</c:v>
                </c:pt>
                <c:pt idx="22">
                  <c:v>2836.3233975555895</c:v>
                </c:pt>
                <c:pt idx="23">
                  <c:v>2508.2439582315742</c:v>
                </c:pt>
                <c:pt idx="24">
                  <c:v>3313.6430642830205</c:v>
                </c:pt>
                <c:pt idx="25">
                  <c:v>2602.6521446734168</c:v>
                </c:pt>
                <c:pt idx="26">
                  <c:v>2978.9324940095667</c:v>
                </c:pt>
                <c:pt idx="27">
                  <c:v>3073.4896996109778</c:v>
                </c:pt>
                <c:pt idx="28">
                  <c:v>2839.5592429407207</c:v>
                </c:pt>
                <c:pt idx="29">
                  <c:v>3073.7732690658163</c:v>
                </c:pt>
                <c:pt idx="30">
                  <c:v>2604.1814590843142</c:v>
                </c:pt>
                <c:pt idx="31">
                  <c:v>2415.22669210204</c:v>
                </c:pt>
                <c:pt idx="32">
                  <c:v>2931.4127832290005</c:v>
                </c:pt>
                <c:pt idx="33">
                  <c:v>2883.2578199037293</c:v>
                </c:pt>
                <c:pt idx="34">
                  <c:v>3217.2200170912097</c:v>
                </c:pt>
                <c:pt idx="35">
                  <c:v>3072.7643745505384</c:v>
                </c:pt>
                <c:pt idx="36">
                  <c:v>3029.4536858389392</c:v>
                </c:pt>
                <c:pt idx="37">
                  <c:v>2792.4130537437081</c:v>
                </c:pt>
                <c:pt idx="38">
                  <c:v>2744.1547725427372</c:v>
                </c:pt>
                <c:pt idx="39">
                  <c:v>2366.7750486413083</c:v>
                </c:pt>
                <c:pt idx="40">
                  <c:v>2698.1531788853886</c:v>
                </c:pt>
                <c:pt idx="41">
                  <c:v>2935.3846995982285</c:v>
                </c:pt>
                <c:pt idx="42">
                  <c:v>2176.9939576266415</c:v>
                </c:pt>
                <c:pt idx="43">
                  <c:v>3405.0662968142274</c:v>
                </c:pt>
                <c:pt idx="44">
                  <c:v>2226.1216051139527</c:v>
                </c:pt>
                <c:pt idx="45">
                  <c:v>2844.8846885845428</c:v>
                </c:pt>
                <c:pt idx="46">
                  <c:v>1612.7076344621753</c:v>
                </c:pt>
                <c:pt idx="47">
                  <c:v>2321.8708381036945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D4-486D-B94B-DCCF1F81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0-46C8-B8E2-188286949DF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Compare!$B$8:$B$55</c:f>
              <c:numCache>
                <c:formatCode>General</c:formatCode>
                <c:ptCount val="48"/>
                <c:pt idx="0">
                  <c:v>2017.7165354330712</c:v>
                </c:pt>
                <c:pt idx="1">
                  <c:v>2165.3543307086611</c:v>
                </c:pt>
                <c:pt idx="2">
                  <c:v>2066.9291338582684</c:v>
                </c:pt>
                <c:pt idx="3">
                  <c:v>2165.3543307086611</c:v>
                </c:pt>
                <c:pt idx="4">
                  <c:v>1722.4409448818897</c:v>
                </c:pt>
                <c:pt idx="5">
                  <c:v>1574.8031496062993</c:v>
                </c:pt>
                <c:pt idx="6">
                  <c:v>2411.4173228346458</c:v>
                </c:pt>
                <c:pt idx="7">
                  <c:v>2017.7165354330712</c:v>
                </c:pt>
                <c:pt idx="8">
                  <c:v>2509.8425196850399</c:v>
                </c:pt>
                <c:pt idx="9">
                  <c:v>2017.7165354330707</c:v>
                </c:pt>
                <c:pt idx="10">
                  <c:v>2312.9921259842513</c:v>
                </c:pt>
                <c:pt idx="11">
                  <c:v>2755.9055118110232</c:v>
                </c:pt>
                <c:pt idx="12">
                  <c:v>2017.7165354330712</c:v>
                </c:pt>
                <c:pt idx="13">
                  <c:v>1919.2913385826771</c:v>
                </c:pt>
                <c:pt idx="14">
                  <c:v>2214.5669291338581</c:v>
                </c:pt>
                <c:pt idx="15">
                  <c:v>1968.5039370078741</c:v>
                </c:pt>
                <c:pt idx="16">
                  <c:v>2214.5669291338581</c:v>
                </c:pt>
                <c:pt idx="17">
                  <c:v>2608.2677165354335</c:v>
                </c:pt>
                <c:pt idx="18">
                  <c:v>2214.5669291338581</c:v>
                </c:pt>
                <c:pt idx="19">
                  <c:v>2165.3543307086607</c:v>
                </c:pt>
                <c:pt idx="20">
                  <c:v>1870.0787401574803</c:v>
                </c:pt>
                <c:pt idx="21">
                  <c:v>1968.5039370078744</c:v>
                </c:pt>
                <c:pt idx="22">
                  <c:v>2263.7795275590552</c:v>
                </c:pt>
                <c:pt idx="23">
                  <c:v>2017.7165354330712</c:v>
                </c:pt>
                <c:pt idx="24">
                  <c:v>2460.6299212598424</c:v>
                </c:pt>
                <c:pt idx="25">
                  <c:v>2165.3543307086616</c:v>
                </c:pt>
                <c:pt idx="26">
                  <c:v>2362.2047244094488</c:v>
                </c:pt>
                <c:pt idx="27">
                  <c:v>2411.4173228346453</c:v>
                </c:pt>
                <c:pt idx="28">
                  <c:v>2214.5669291338581</c:v>
                </c:pt>
                <c:pt idx="29">
                  <c:v>2559.055118110236</c:v>
                </c:pt>
                <c:pt idx="30">
                  <c:v>1968.5039370078741</c:v>
                </c:pt>
                <c:pt idx="31">
                  <c:v>1919.2913385826771</c:v>
                </c:pt>
                <c:pt idx="32">
                  <c:v>2263.7795275590547</c:v>
                </c:pt>
                <c:pt idx="33">
                  <c:v>2263.7795275590552</c:v>
                </c:pt>
                <c:pt idx="34">
                  <c:v>2460.6299212598424</c:v>
                </c:pt>
                <c:pt idx="35">
                  <c:v>2362.2047244094488</c:v>
                </c:pt>
                <c:pt idx="36">
                  <c:v>2411.4173228346453</c:v>
                </c:pt>
                <c:pt idx="37">
                  <c:v>2263.7795275590552</c:v>
                </c:pt>
                <c:pt idx="38">
                  <c:v>2165.3543307086611</c:v>
                </c:pt>
                <c:pt idx="39">
                  <c:v>1919.2913385826771</c:v>
                </c:pt>
                <c:pt idx="40">
                  <c:v>2116.1417322834645</c:v>
                </c:pt>
                <c:pt idx="41">
                  <c:v>2411.4173228346453</c:v>
                </c:pt>
                <c:pt idx="42">
                  <c:v>1673.2283464566931</c:v>
                </c:pt>
                <c:pt idx="43">
                  <c:v>2657.48031496063</c:v>
                </c:pt>
                <c:pt idx="44">
                  <c:v>1722.4409448818897</c:v>
                </c:pt>
                <c:pt idx="45">
                  <c:v>2312.9921259842513</c:v>
                </c:pt>
                <c:pt idx="46">
                  <c:v>1279.527559055118</c:v>
                </c:pt>
                <c:pt idx="47">
                  <c:v>1771.6535433070865</c:v>
                </c:pt>
              </c:numCache>
            </c:numRef>
          </c:xVal>
          <c:yVal>
            <c:numRef>
              <c:f>'Raw Scale'!$U$50:$U$97</c:f>
              <c:numCache>
                <c:formatCode>0.0</c:formatCode>
                <c:ptCount val="48"/>
                <c:pt idx="0">
                  <c:v>2017.7165354330709</c:v>
                </c:pt>
                <c:pt idx="1">
                  <c:v>2165.3543307086607</c:v>
                </c:pt>
                <c:pt idx="2">
                  <c:v>2066.9291338582675</c:v>
                </c:pt>
                <c:pt idx="3">
                  <c:v>2165.3543307086611</c:v>
                </c:pt>
                <c:pt idx="4">
                  <c:v>1722.4409448818897</c:v>
                </c:pt>
                <c:pt idx="5">
                  <c:v>1574.8031496062993</c:v>
                </c:pt>
                <c:pt idx="6">
                  <c:v>2411.4173228346458</c:v>
                </c:pt>
                <c:pt idx="7">
                  <c:v>2017.7165354330709</c:v>
                </c:pt>
                <c:pt idx="8">
                  <c:v>2509.8425196850394</c:v>
                </c:pt>
                <c:pt idx="9">
                  <c:v>2017.7165354330709</c:v>
                </c:pt>
                <c:pt idx="10">
                  <c:v>2312.9921259842517</c:v>
                </c:pt>
                <c:pt idx="11">
                  <c:v>2755.9055118110236</c:v>
                </c:pt>
                <c:pt idx="12">
                  <c:v>2017.7165354330707</c:v>
                </c:pt>
                <c:pt idx="13">
                  <c:v>1919.2913385826776</c:v>
                </c:pt>
                <c:pt idx="14">
                  <c:v>2214.5669291338581</c:v>
                </c:pt>
                <c:pt idx="15">
                  <c:v>1968.5039370078741</c:v>
                </c:pt>
                <c:pt idx="16">
                  <c:v>2214.5669291338581</c:v>
                </c:pt>
                <c:pt idx="17">
                  <c:v>2608.267716535433</c:v>
                </c:pt>
                <c:pt idx="18">
                  <c:v>2214.5669291338581</c:v>
                </c:pt>
                <c:pt idx="19">
                  <c:v>2165.3543307086611</c:v>
                </c:pt>
                <c:pt idx="20">
                  <c:v>1870.0787401574803</c:v>
                </c:pt>
                <c:pt idx="21">
                  <c:v>1968.5039370078741</c:v>
                </c:pt>
                <c:pt idx="22">
                  <c:v>2263.7795275590552</c:v>
                </c:pt>
                <c:pt idx="23">
                  <c:v>2017.7165354330709</c:v>
                </c:pt>
                <c:pt idx="24">
                  <c:v>2460.6299212598428</c:v>
                </c:pt>
                <c:pt idx="25">
                  <c:v>2165.3543307086607</c:v>
                </c:pt>
                <c:pt idx="26">
                  <c:v>2362.2047244094488</c:v>
                </c:pt>
                <c:pt idx="27">
                  <c:v>2411.4173228346453</c:v>
                </c:pt>
                <c:pt idx="28">
                  <c:v>2214.5669291338581</c:v>
                </c:pt>
                <c:pt idx="29">
                  <c:v>2559.0551181102364</c:v>
                </c:pt>
                <c:pt idx="30">
                  <c:v>1968.5039370078741</c:v>
                </c:pt>
                <c:pt idx="31">
                  <c:v>1919.2913385826773</c:v>
                </c:pt>
                <c:pt idx="32">
                  <c:v>2263.7795275590547</c:v>
                </c:pt>
                <c:pt idx="33">
                  <c:v>2263.7795275590547</c:v>
                </c:pt>
                <c:pt idx="34">
                  <c:v>2460.6299212598424</c:v>
                </c:pt>
                <c:pt idx="35">
                  <c:v>2362.2047244094488</c:v>
                </c:pt>
                <c:pt idx="36">
                  <c:v>2411.4173228346458</c:v>
                </c:pt>
                <c:pt idx="37">
                  <c:v>2263.7795275590552</c:v>
                </c:pt>
                <c:pt idx="38">
                  <c:v>2165.3543307086611</c:v>
                </c:pt>
                <c:pt idx="39">
                  <c:v>1919.2913385826771</c:v>
                </c:pt>
                <c:pt idx="40">
                  <c:v>2116.1417322834641</c:v>
                </c:pt>
                <c:pt idx="41">
                  <c:v>2411.4173228346458</c:v>
                </c:pt>
                <c:pt idx="42">
                  <c:v>1673.2283464566926</c:v>
                </c:pt>
                <c:pt idx="43">
                  <c:v>2657.48031496063</c:v>
                </c:pt>
                <c:pt idx="44">
                  <c:v>1722.4409448818897</c:v>
                </c:pt>
                <c:pt idx="45">
                  <c:v>2312.9921259842517</c:v>
                </c:pt>
                <c:pt idx="46">
                  <c:v>1279.527559055118</c:v>
                </c:pt>
                <c:pt idx="47">
                  <c:v>1771.6535433070865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60-46C8-B8E2-188286949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rgbClr val="4472C4"/>
              </a:solidFill>
              <a:round/>
            </a:ln>
            <a:effectLst/>
          </c:spPr>
          <c:marker>
            <c:symbol val="none"/>
          </c:marker>
          <c:x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Compare!$AC$4:$AC$5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BE-4642-AA57-DA2C8DC727B4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Compare!$C$8:$C$55</c:f>
              <c:numCache>
                <c:formatCode>General</c:formatCode>
                <c:ptCount val="48"/>
                <c:pt idx="0">
                  <c:v>2509.8425196850399</c:v>
                </c:pt>
                <c:pt idx="1">
                  <c:v>2854.3307086614172</c:v>
                </c:pt>
                <c:pt idx="2">
                  <c:v>3001.9685039370074</c:v>
                </c:pt>
                <c:pt idx="3">
                  <c:v>3051.1811023622049</c:v>
                </c:pt>
                <c:pt idx="4">
                  <c:v>2312.9921259842522</c:v>
                </c:pt>
                <c:pt idx="5">
                  <c:v>1968.5039370078741</c:v>
                </c:pt>
                <c:pt idx="6">
                  <c:v>3248.0314960629926</c:v>
                </c:pt>
                <c:pt idx="7">
                  <c:v>2706.6929133858271</c:v>
                </c:pt>
                <c:pt idx="8">
                  <c:v>3248.031496062993</c:v>
                </c:pt>
                <c:pt idx="9">
                  <c:v>2952.7559055118113</c:v>
                </c:pt>
                <c:pt idx="10">
                  <c:v>3001.9685039370074</c:v>
                </c:pt>
                <c:pt idx="11">
                  <c:v>3641.732283464567</c:v>
                </c:pt>
                <c:pt idx="12">
                  <c:v>2706.6929133858266</c:v>
                </c:pt>
                <c:pt idx="13">
                  <c:v>2608.2677165354335</c:v>
                </c:pt>
                <c:pt idx="14">
                  <c:v>2755.9055118110232</c:v>
                </c:pt>
                <c:pt idx="15">
                  <c:v>2559.0551181102369</c:v>
                </c:pt>
                <c:pt idx="16">
                  <c:v>3001.9685039370074</c:v>
                </c:pt>
                <c:pt idx="17">
                  <c:v>3494.0944881889773</c:v>
                </c:pt>
                <c:pt idx="18">
                  <c:v>3051.1811023622049</c:v>
                </c:pt>
                <c:pt idx="19">
                  <c:v>2805.1181102362198</c:v>
                </c:pt>
                <c:pt idx="20">
                  <c:v>2608.2677165354339</c:v>
                </c:pt>
                <c:pt idx="21">
                  <c:v>2559.0551181102369</c:v>
                </c:pt>
                <c:pt idx="22">
                  <c:v>2952.7559055118109</c:v>
                </c:pt>
                <c:pt idx="23">
                  <c:v>2608.2677165354335</c:v>
                </c:pt>
                <c:pt idx="24">
                  <c:v>3444.8818897637793</c:v>
                </c:pt>
                <c:pt idx="25">
                  <c:v>2706.6929133858266</c:v>
                </c:pt>
                <c:pt idx="26">
                  <c:v>3100.3937007874024</c:v>
                </c:pt>
                <c:pt idx="27">
                  <c:v>3198.8188976377951</c:v>
                </c:pt>
                <c:pt idx="28">
                  <c:v>2952.7559055118109</c:v>
                </c:pt>
                <c:pt idx="29">
                  <c:v>3198.8188976377951</c:v>
                </c:pt>
                <c:pt idx="30">
                  <c:v>2706.6929133858271</c:v>
                </c:pt>
                <c:pt idx="31">
                  <c:v>2509.8425196850399</c:v>
                </c:pt>
                <c:pt idx="32">
                  <c:v>3051.1811023622045</c:v>
                </c:pt>
                <c:pt idx="33">
                  <c:v>3001.968503937007</c:v>
                </c:pt>
                <c:pt idx="34">
                  <c:v>3346.4566929133862</c:v>
                </c:pt>
                <c:pt idx="35">
                  <c:v>3198.8188976377951</c:v>
                </c:pt>
                <c:pt idx="36">
                  <c:v>3149.6062992125976</c:v>
                </c:pt>
                <c:pt idx="37">
                  <c:v>2903.5433070866138</c:v>
                </c:pt>
                <c:pt idx="38">
                  <c:v>2854.3307086614172</c:v>
                </c:pt>
                <c:pt idx="39">
                  <c:v>2460.6299212598437</c:v>
                </c:pt>
                <c:pt idx="40">
                  <c:v>2805.1181102362198</c:v>
                </c:pt>
                <c:pt idx="41">
                  <c:v>3051.1811023622049</c:v>
                </c:pt>
                <c:pt idx="42">
                  <c:v>2263.7795275590552</c:v>
                </c:pt>
                <c:pt idx="43">
                  <c:v>3543.3070866141743</c:v>
                </c:pt>
                <c:pt idx="44">
                  <c:v>2312.9921259842527</c:v>
                </c:pt>
                <c:pt idx="45">
                  <c:v>2952.7559055118109</c:v>
                </c:pt>
                <c:pt idx="46">
                  <c:v>1673.2283464566931</c:v>
                </c:pt>
                <c:pt idx="47">
                  <c:v>2411.4173228346463</c:v>
                </c:pt>
              </c:numCache>
            </c:numRef>
          </c:xVal>
          <c:yVal>
            <c:numRef>
              <c:f>'Raw Scale'!$V$50:$V$97</c:f>
              <c:numCache>
                <c:formatCode>0.0</c:formatCode>
                <c:ptCount val="48"/>
                <c:pt idx="0">
                  <c:v>2509.8425196850394</c:v>
                </c:pt>
                <c:pt idx="1">
                  <c:v>2854.3307086614168</c:v>
                </c:pt>
                <c:pt idx="2">
                  <c:v>3001.9685039370079</c:v>
                </c:pt>
                <c:pt idx="3">
                  <c:v>3051.1811023622045</c:v>
                </c:pt>
                <c:pt idx="4">
                  <c:v>2312.9921259842522</c:v>
                </c:pt>
                <c:pt idx="5">
                  <c:v>1968.5039370078741</c:v>
                </c:pt>
                <c:pt idx="6">
                  <c:v>3248.0314960629921</c:v>
                </c:pt>
                <c:pt idx="7">
                  <c:v>2706.6929133858262</c:v>
                </c:pt>
                <c:pt idx="8">
                  <c:v>3248.0314960629926</c:v>
                </c:pt>
                <c:pt idx="9">
                  <c:v>2952.7559055118113</c:v>
                </c:pt>
                <c:pt idx="10">
                  <c:v>3001.9685039370079</c:v>
                </c:pt>
                <c:pt idx="11">
                  <c:v>3641.7322834645674</c:v>
                </c:pt>
                <c:pt idx="12">
                  <c:v>2706.6929133858262</c:v>
                </c:pt>
                <c:pt idx="13">
                  <c:v>2608.2677165354339</c:v>
                </c:pt>
                <c:pt idx="14">
                  <c:v>2755.9055118110232</c:v>
                </c:pt>
                <c:pt idx="15">
                  <c:v>2559.0551181102369</c:v>
                </c:pt>
                <c:pt idx="16">
                  <c:v>3001.9685039370079</c:v>
                </c:pt>
                <c:pt idx="17">
                  <c:v>3494.0944881889768</c:v>
                </c:pt>
                <c:pt idx="18">
                  <c:v>3051.1811023622049</c:v>
                </c:pt>
                <c:pt idx="19">
                  <c:v>2805.1181102362202</c:v>
                </c:pt>
                <c:pt idx="20">
                  <c:v>2608.2677165354335</c:v>
                </c:pt>
                <c:pt idx="21">
                  <c:v>2559.0551181102369</c:v>
                </c:pt>
                <c:pt idx="22">
                  <c:v>2952.7559055118113</c:v>
                </c:pt>
                <c:pt idx="23">
                  <c:v>2608.267716535433</c:v>
                </c:pt>
                <c:pt idx="24">
                  <c:v>3444.8818897637798</c:v>
                </c:pt>
                <c:pt idx="25">
                  <c:v>2706.6929133858257</c:v>
                </c:pt>
                <c:pt idx="26">
                  <c:v>3100.3937007874019</c:v>
                </c:pt>
                <c:pt idx="27">
                  <c:v>3198.8188976377951</c:v>
                </c:pt>
                <c:pt idx="28">
                  <c:v>2952.7559055118109</c:v>
                </c:pt>
                <c:pt idx="29">
                  <c:v>3198.8188976377955</c:v>
                </c:pt>
                <c:pt idx="30">
                  <c:v>2706.6929133858262</c:v>
                </c:pt>
                <c:pt idx="31">
                  <c:v>2509.8425196850399</c:v>
                </c:pt>
                <c:pt idx="32">
                  <c:v>3051.1811023622045</c:v>
                </c:pt>
                <c:pt idx="33">
                  <c:v>3001.968503937007</c:v>
                </c:pt>
                <c:pt idx="34">
                  <c:v>3346.4566929133862</c:v>
                </c:pt>
                <c:pt idx="35">
                  <c:v>3198.8188976377951</c:v>
                </c:pt>
                <c:pt idx="36">
                  <c:v>3149.6062992125985</c:v>
                </c:pt>
                <c:pt idx="37">
                  <c:v>2903.5433070866138</c:v>
                </c:pt>
                <c:pt idx="38">
                  <c:v>2854.3307086614172</c:v>
                </c:pt>
                <c:pt idx="39">
                  <c:v>2460.6299212598433</c:v>
                </c:pt>
                <c:pt idx="40">
                  <c:v>2805.1181102362202</c:v>
                </c:pt>
                <c:pt idx="41">
                  <c:v>3051.1811023622049</c:v>
                </c:pt>
                <c:pt idx="42">
                  <c:v>2263.7795275590552</c:v>
                </c:pt>
                <c:pt idx="43">
                  <c:v>3543.3070866141738</c:v>
                </c:pt>
                <c:pt idx="44">
                  <c:v>2312.9921259842527</c:v>
                </c:pt>
                <c:pt idx="45">
                  <c:v>2952.7559055118104</c:v>
                </c:pt>
                <c:pt idx="46">
                  <c:v>1673.2283464566926</c:v>
                </c:pt>
                <c:pt idx="47">
                  <c:v>2411.4173228346463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BE-4642-AA57-DA2C8DC72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847968"/>
        <c:axId val="358847608"/>
      </c:scatterChart>
      <c:valAx>
        <c:axId val="35884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608"/>
        <c:crosses val="autoZero"/>
        <c:crossBetween val="midCat"/>
      </c:valAx>
      <c:valAx>
        <c:axId val="35884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847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167639</xdr:colOff>
      <xdr:row>11</xdr:row>
      <xdr:rowOff>154305</xdr:rowOff>
    </xdr:from>
    <xdr:to>
      <xdr:col>37</xdr:col>
      <xdr:colOff>390524</xdr:colOff>
      <xdr:row>29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4B3DD2-9852-4E8E-AEED-A4EB4527B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171450</xdr:colOff>
      <xdr:row>10</xdr:row>
      <xdr:rowOff>20954</xdr:rowOff>
    </xdr:from>
    <xdr:to>
      <xdr:col>17</xdr:col>
      <xdr:colOff>228600</xdr:colOff>
      <xdr:row>27</xdr:row>
      <xdr:rowOff>179069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964B69-F135-9A68-2A96-2E3CF436A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472440</xdr:colOff>
      <xdr:row>2</xdr:row>
      <xdr:rowOff>85725</xdr:rowOff>
    </xdr:from>
    <xdr:to>
      <xdr:col>27</xdr:col>
      <xdr:colOff>19050</xdr:colOff>
      <xdr:row>20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9DFEE1-3226-18C6-CE37-65701BD75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21</xdr:row>
      <xdr:rowOff>104775</xdr:rowOff>
    </xdr:from>
    <xdr:to>
      <xdr:col>27</xdr:col>
      <xdr:colOff>15240</xdr:colOff>
      <xdr:row>39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2C97AF-C4F2-4CA2-9A44-D127A82BF2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3810</xdr:colOff>
      <xdr:row>3</xdr:row>
      <xdr:rowOff>0</xdr:rowOff>
    </xdr:from>
    <xdr:to>
      <xdr:col>12</xdr:col>
      <xdr:colOff>152400</xdr:colOff>
      <xdr:row>21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115021-4C05-4EE7-B541-DB5EE28F4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22</xdr:row>
      <xdr:rowOff>15240</xdr:rowOff>
    </xdr:from>
    <xdr:to>
      <xdr:col>12</xdr:col>
      <xdr:colOff>156210</xdr:colOff>
      <xdr:row>40</xdr:row>
      <xdr:rowOff>15240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FE776FD-5CCE-4FF7-A962-FAA4BEF82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81E-168C-4CB2-BE56-FDC05C3116BF}">
  <dimension ref="A1:BS268"/>
  <sheetViews>
    <sheetView tabSelected="1" workbookViewId="0"/>
  </sheetViews>
  <sheetFormatPr defaultRowHeight="14.4" x14ac:dyDescent="0.3"/>
  <cols>
    <col min="4" max="4" width="10.5546875" bestFit="1" customWidth="1"/>
    <col min="7" max="7" width="9.88671875" bestFit="1" customWidth="1"/>
    <col min="9" max="9" width="10.5546875" bestFit="1" customWidth="1"/>
    <col min="11" max="11" width="10.5546875" bestFit="1" customWidth="1"/>
    <col min="27" max="27" width="14.109375" bestFit="1" customWidth="1"/>
    <col min="28" max="28" width="10.5546875" bestFit="1" customWidth="1"/>
    <col min="29" max="29" width="8.88671875" customWidth="1"/>
    <col min="30" max="30" width="8.77734375" customWidth="1"/>
    <col min="31" max="31" width="10.5546875" bestFit="1" customWidth="1"/>
    <col min="40" max="40" width="10.5546875" bestFit="1" customWidth="1"/>
    <col min="46" max="46" width="10.5546875" bestFit="1" customWidth="1"/>
    <col min="53" max="53" width="10.5546875" bestFit="1" customWidth="1"/>
    <col min="64" max="64" width="14.109375" bestFit="1" customWidth="1"/>
    <col min="65" max="65" width="10.5546875" bestFit="1" customWidth="1"/>
    <col min="67" max="67" width="10.5546875" bestFit="1" customWidth="1"/>
  </cols>
  <sheetData>
    <row r="1" spans="1:1" x14ac:dyDescent="0.3">
      <c r="A1" t="s">
        <v>101</v>
      </c>
    </row>
    <row r="2" spans="1:1" x14ac:dyDescent="0.3">
      <c r="A2" t="s">
        <v>102</v>
      </c>
    </row>
    <row r="3" spans="1:1" x14ac:dyDescent="0.3">
      <c r="A3" t="s">
        <v>107</v>
      </c>
    </row>
    <row r="4" spans="1:1" x14ac:dyDescent="0.3">
      <c r="A4" t="s">
        <v>108</v>
      </c>
    </row>
    <row r="5" spans="1:1" x14ac:dyDescent="0.3">
      <c r="A5" t="s">
        <v>117</v>
      </c>
    </row>
    <row r="6" spans="1:1" x14ac:dyDescent="0.3">
      <c r="A6" t="s">
        <v>119</v>
      </c>
    </row>
    <row r="7" spans="1:1" x14ac:dyDescent="0.3">
      <c r="A7" t="s">
        <v>114</v>
      </c>
    </row>
    <row r="8" spans="1:1" x14ac:dyDescent="0.3">
      <c r="A8" t="s">
        <v>115</v>
      </c>
    </row>
    <row r="9" spans="1:1" x14ac:dyDescent="0.3">
      <c r="A9" t="s">
        <v>116</v>
      </c>
    </row>
    <row r="10" spans="1:1" x14ac:dyDescent="0.3">
      <c r="A10" t="s">
        <v>109</v>
      </c>
    </row>
    <row r="11" spans="1:1" x14ac:dyDescent="0.3">
      <c r="A11" t="s">
        <v>110</v>
      </c>
    </row>
    <row r="12" spans="1:1" x14ac:dyDescent="0.3">
      <c r="A12" t="s">
        <v>111</v>
      </c>
    </row>
    <row r="13" spans="1:1" x14ac:dyDescent="0.3">
      <c r="A13" t="s">
        <v>112</v>
      </c>
    </row>
    <row r="14" spans="1:1" x14ac:dyDescent="0.3">
      <c r="A14" t="s">
        <v>113</v>
      </c>
    </row>
    <row r="15" spans="1:1" x14ac:dyDescent="0.3">
      <c r="A15" t="s">
        <v>124</v>
      </c>
    </row>
    <row r="16" spans="1:1" x14ac:dyDescent="0.3">
      <c r="A16" t="s">
        <v>125</v>
      </c>
    </row>
    <row r="17" spans="1:1" x14ac:dyDescent="0.3">
      <c r="A17" t="s">
        <v>127</v>
      </c>
    </row>
    <row r="18" spans="1:1" x14ac:dyDescent="0.3">
      <c r="A18" t="s">
        <v>126</v>
      </c>
    </row>
    <row r="19" spans="1:1" x14ac:dyDescent="0.3">
      <c r="A19" t="s">
        <v>194</v>
      </c>
    </row>
    <row r="20" spans="1:1" x14ac:dyDescent="0.3">
      <c r="A20" t="s">
        <v>195</v>
      </c>
    </row>
    <row r="21" spans="1:1" x14ac:dyDescent="0.3">
      <c r="A21" t="s">
        <v>128</v>
      </c>
    </row>
    <row r="22" spans="1:1" x14ac:dyDescent="0.3">
      <c r="A22" t="s">
        <v>193</v>
      </c>
    </row>
    <row r="23" spans="1:1" x14ac:dyDescent="0.3">
      <c r="A23" t="s">
        <v>129</v>
      </c>
    </row>
    <row r="24" spans="1:1" x14ac:dyDescent="0.3">
      <c r="A24" t="s">
        <v>130</v>
      </c>
    </row>
    <row r="25" spans="1:1" x14ac:dyDescent="0.3">
      <c r="A25" t="s">
        <v>131</v>
      </c>
    </row>
    <row r="26" spans="1:1" x14ac:dyDescent="0.3">
      <c r="A26" t="s">
        <v>132</v>
      </c>
    </row>
    <row r="27" spans="1:1" x14ac:dyDescent="0.3">
      <c r="A27" t="s">
        <v>188</v>
      </c>
    </row>
    <row r="28" spans="1:1" x14ac:dyDescent="0.3">
      <c r="A28" t="s">
        <v>133</v>
      </c>
    </row>
    <row r="29" spans="1:1" x14ac:dyDescent="0.3">
      <c r="A29" t="s">
        <v>134</v>
      </c>
    </row>
    <row r="30" spans="1:1" x14ac:dyDescent="0.3">
      <c r="A30" t="s">
        <v>135</v>
      </c>
    </row>
    <row r="31" spans="1:1" x14ac:dyDescent="0.3">
      <c r="A31" t="s">
        <v>136</v>
      </c>
    </row>
    <row r="32" spans="1:1" x14ac:dyDescent="0.3">
      <c r="A32" t="s">
        <v>137</v>
      </c>
    </row>
    <row r="33" spans="1:71" x14ac:dyDescent="0.3">
      <c r="A33" t="s">
        <v>138</v>
      </c>
    </row>
    <row r="34" spans="1:71" x14ac:dyDescent="0.3">
      <c r="A34" t="s">
        <v>187</v>
      </c>
      <c r="AI34" t="s">
        <v>829</v>
      </c>
      <c r="AJ34" t="s">
        <v>829</v>
      </c>
    </row>
    <row r="35" spans="1:71" x14ac:dyDescent="0.3">
      <c r="AH35" t="s">
        <v>5</v>
      </c>
      <c r="AI35">
        <f>CORREL($AI$50:$AI$97,H$50:H$97)</f>
        <v>0.69539774676343857</v>
      </c>
      <c r="AJ35">
        <f>CORREL($AJ$50:$AJ$97,H$50:H$97)</f>
        <v>0.695397692453259</v>
      </c>
    </row>
    <row r="36" spans="1:71" x14ac:dyDescent="0.3">
      <c r="AH36" t="s">
        <v>25</v>
      </c>
      <c r="AI36">
        <f>CORREL($AI$50:$AI$97,U$50:U$97)</f>
        <v>0.72266309202906931</v>
      </c>
      <c r="AJ36">
        <f>CORREL($AJ$50:$AJ$97,U$50:U$97)</f>
        <v>0.72266306936650515</v>
      </c>
    </row>
    <row r="37" spans="1:71" x14ac:dyDescent="0.3">
      <c r="A37" t="s">
        <v>2</v>
      </c>
      <c r="AH37" t="s">
        <v>26</v>
      </c>
      <c r="AI37">
        <f>CORREL($AI$50:$AI$97,V$50:V$97)</f>
        <v>0.74634719766856483</v>
      </c>
      <c r="AJ37">
        <f>CORREL($AJ$50:$AJ$97,V$50:V$97)</f>
        <v>0.7463471759550907</v>
      </c>
    </row>
    <row r="38" spans="1:71" x14ac:dyDescent="0.3">
      <c r="A38">
        <f>2*1.016*2</f>
        <v>4.0640000000000001</v>
      </c>
      <c r="B38" t="s">
        <v>103</v>
      </c>
      <c r="AH38" t="s">
        <v>27</v>
      </c>
      <c r="AI38">
        <f>CORREL($AI$50:$AI$97,W$50:W$97)</f>
        <v>0.74263380752449204</v>
      </c>
      <c r="AJ38">
        <f>CORREL($AJ$50:$AJ$97,W$50:W$97)</f>
        <v>0.7426337852142787</v>
      </c>
    </row>
    <row r="39" spans="1:71" x14ac:dyDescent="0.3">
      <c r="A39">
        <v>10000</v>
      </c>
      <c r="B39" t="s">
        <v>4</v>
      </c>
      <c r="AH39" t="s">
        <v>29</v>
      </c>
      <c r="AI39">
        <f>CORREL($AI$50:$AI$97,X$50:X$97)</f>
        <v>0.72402413634993978</v>
      </c>
      <c r="AJ39">
        <f>CORREL($AJ$50:$AJ$97,X$50:X$97)</f>
        <v>0.72402411068967154</v>
      </c>
    </row>
    <row r="40" spans="1:71" x14ac:dyDescent="0.3">
      <c r="A40">
        <v>0.28000000000000003</v>
      </c>
      <c r="B40" t="s">
        <v>118</v>
      </c>
      <c r="I40" s="2"/>
      <c r="AH40" t="s">
        <v>30</v>
      </c>
      <c r="AI40">
        <f>CORREL($AI$50:$AI$97,Y$50:Y$97)</f>
        <v>0.74596339596070038</v>
      </c>
      <c r="AJ40">
        <f>CORREL($AJ$50:$AJ$97,Y$50:Y$97)</f>
        <v>0.745963372801695</v>
      </c>
    </row>
    <row r="41" spans="1:71" x14ac:dyDescent="0.3">
      <c r="A41">
        <v>1.68</v>
      </c>
      <c r="B41" t="s">
        <v>48</v>
      </c>
      <c r="AH41" t="s">
        <v>31</v>
      </c>
      <c r="AI41">
        <f>CORREL($AI$50:$AI$97,Z$50:Z$97)</f>
        <v>0.74298244548779391</v>
      </c>
      <c r="AJ41">
        <f>CORREL($AJ$50:$AJ$97,Z$50:Z$97)</f>
        <v>0.74298242103740608</v>
      </c>
    </row>
    <row r="42" spans="1:71" x14ac:dyDescent="0.3">
      <c r="AL42" t="s">
        <v>33</v>
      </c>
    </row>
    <row r="44" spans="1:71" x14ac:dyDescent="0.3">
      <c r="B44" s="3"/>
      <c r="C44" s="3" t="s">
        <v>0</v>
      </c>
      <c r="D44" s="3" t="s">
        <v>0</v>
      </c>
      <c r="E44" t="s">
        <v>0</v>
      </c>
      <c r="F44" t="s">
        <v>0</v>
      </c>
      <c r="G44" t="s">
        <v>0</v>
      </c>
      <c r="H44" s="3" t="s">
        <v>0</v>
      </c>
      <c r="I44" s="3" t="s">
        <v>12</v>
      </c>
      <c r="J44" t="s">
        <v>12</v>
      </c>
      <c r="K44" t="s">
        <v>12</v>
      </c>
      <c r="L44" s="3" t="s">
        <v>12</v>
      </c>
      <c r="M44" s="3" t="s">
        <v>12</v>
      </c>
      <c r="N44" s="3" t="s">
        <v>12</v>
      </c>
      <c r="O44" t="s">
        <v>11</v>
      </c>
      <c r="P44" t="s">
        <v>11</v>
      </c>
      <c r="Q44" t="s">
        <v>11</v>
      </c>
      <c r="R44" t="s">
        <v>11</v>
      </c>
      <c r="S44" s="3" t="s">
        <v>11</v>
      </c>
      <c r="T44" s="3" t="s">
        <v>11</v>
      </c>
      <c r="U44" s="3" t="s">
        <v>28</v>
      </c>
      <c r="V44" s="3" t="s">
        <v>28</v>
      </c>
      <c r="W44" s="3" t="s">
        <v>28</v>
      </c>
      <c r="X44" s="3" t="s">
        <v>28</v>
      </c>
      <c r="Y44" s="3" t="s">
        <v>28</v>
      </c>
      <c r="Z44" s="3" t="s">
        <v>28</v>
      </c>
      <c r="AB44" s="3" t="s">
        <v>41</v>
      </c>
      <c r="AC44" s="3" t="s">
        <v>41</v>
      </c>
      <c r="AD44" s="3" t="s">
        <v>41</v>
      </c>
      <c r="AE44" s="3" t="s">
        <v>41</v>
      </c>
      <c r="AF44" s="3" t="s">
        <v>41</v>
      </c>
      <c r="AG44" s="3" t="s">
        <v>41</v>
      </c>
      <c r="AH44" s="3" t="s">
        <v>41</v>
      </c>
      <c r="AI44" t="s">
        <v>0</v>
      </c>
      <c r="AJ44" t="s">
        <v>0</v>
      </c>
      <c r="AM44" t="s">
        <v>0</v>
      </c>
      <c r="AN44" t="s">
        <v>0</v>
      </c>
      <c r="AO44" t="s">
        <v>0</v>
      </c>
      <c r="AP44" t="s">
        <v>0</v>
      </c>
      <c r="AQ44" t="s">
        <v>0</v>
      </c>
      <c r="AR44" t="s">
        <v>0</v>
      </c>
      <c r="AS44" t="s">
        <v>0</v>
      </c>
      <c r="AT44" t="s">
        <v>12</v>
      </c>
      <c r="AU44" t="s">
        <v>12</v>
      </c>
      <c r="AV44" t="s">
        <v>12</v>
      </c>
      <c r="AW44" t="s">
        <v>12</v>
      </c>
      <c r="AX44" t="s">
        <v>12</v>
      </c>
      <c r="AY44" t="s">
        <v>12</v>
      </c>
      <c r="AZ44" t="s">
        <v>11</v>
      </c>
      <c r="BA44" t="s">
        <v>11</v>
      </c>
      <c r="BB44" t="s">
        <v>11</v>
      </c>
      <c r="BC44" t="s">
        <v>11</v>
      </c>
      <c r="BD44" t="s">
        <v>11</v>
      </c>
      <c r="BE44" t="s">
        <v>11</v>
      </c>
      <c r="BF44" t="s">
        <v>28</v>
      </c>
      <c r="BG44" t="s">
        <v>28</v>
      </c>
      <c r="BH44" t="s">
        <v>28</v>
      </c>
      <c r="BI44" t="s">
        <v>28</v>
      </c>
      <c r="BJ44" t="s">
        <v>28</v>
      </c>
      <c r="BK44" t="s">
        <v>28</v>
      </c>
      <c r="BM44" t="s">
        <v>41</v>
      </c>
      <c r="BN44" t="s">
        <v>41</v>
      </c>
      <c r="BO44" t="s">
        <v>41</v>
      </c>
      <c r="BP44" t="s">
        <v>41</v>
      </c>
      <c r="BQ44" t="s">
        <v>41</v>
      </c>
      <c r="BR44" t="s">
        <v>41</v>
      </c>
      <c r="BS44" t="s">
        <v>41</v>
      </c>
    </row>
    <row r="45" spans="1:71" x14ac:dyDescent="0.3">
      <c r="B45" s="3"/>
      <c r="C45" s="3"/>
      <c r="D45" s="3"/>
      <c r="H45" s="3"/>
      <c r="I45" s="3"/>
      <c r="L45" s="3"/>
      <c r="M45" s="3"/>
      <c r="N45" s="3"/>
      <c r="O45" t="s">
        <v>21</v>
      </c>
      <c r="P45" t="s">
        <v>121</v>
      </c>
      <c r="Q45" t="s">
        <v>21</v>
      </c>
      <c r="R45" t="s">
        <v>22</v>
      </c>
      <c r="S45" s="3"/>
      <c r="T45" s="3"/>
      <c r="U45" s="3"/>
      <c r="V45" s="3"/>
      <c r="W45" s="3"/>
      <c r="X45" s="3"/>
      <c r="Y45" s="3"/>
      <c r="Z45" s="3"/>
      <c r="AB45" s="3"/>
      <c r="AC45" s="3"/>
      <c r="AD45" s="3"/>
      <c r="AE45" s="3"/>
      <c r="AF45" s="3"/>
      <c r="AG45" s="3"/>
      <c r="AH45" s="3"/>
      <c r="AI45" t="s">
        <v>822</v>
      </c>
      <c r="AJ45" t="s">
        <v>822</v>
      </c>
      <c r="AR45" t="s">
        <v>106</v>
      </c>
      <c r="AS45" t="s">
        <v>190</v>
      </c>
      <c r="AZ45" t="s">
        <v>21</v>
      </c>
      <c r="BA45" t="s">
        <v>121</v>
      </c>
      <c r="BB45" t="s">
        <v>21</v>
      </c>
      <c r="BC45" t="s">
        <v>22</v>
      </c>
    </row>
    <row r="46" spans="1:71" x14ac:dyDescent="0.3">
      <c r="B46" s="3"/>
      <c r="C46" s="3"/>
      <c r="D46" s="3"/>
      <c r="E46" t="s">
        <v>13</v>
      </c>
      <c r="F46" t="s">
        <v>24</v>
      </c>
      <c r="G46" t="s">
        <v>13</v>
      </c>
      <c r="H46" s="3"/>
      <c r="I46" s="3" t="s">
        <v>45</v>
      </c>
      <c r="J46" t="s">
        <v>16</v>
      </c>
      <c r="K46" t="s">
        <v>15</v>
      </c>
      <c r="L46" s="3"/>
      <c r="M46" s="3"/>
      <c r="N46" s="3"/>
      <c r="O46" t="s">
        <v>120</v>
      </c>
      <c r="P46" t="s">
        <v>122</v>
      </c>
      <c r="Q46" t="s">
        <v>123</v>
      </c>
      <c r="R46" t="s">
        <v>19</v>
      </c>
      <c r="S46" s="3"/>
      <c r="T46" s="3"/>
      <c r="U46" s="3"/>
      <c r="V46" s="3"/>
      <c r="W46" s="3"/>
      <c r="X46" s="3"/>
      <c r="Y46" s="3"/>
      <c r="Z46" s="3"/>
      <c r="AB46" s="3"/>
      <c r="AC46" s="3"/>
      <c r="AD46" s="3"/>
      <c r="AE46" s="3"/>
      <c r="AF46" s="3"/>
      <c r="AG46" s="3"/>
      <c r="AH46" s="3"/>
      <c r="AI46" t="s">
        <v>823</v>
      </c>
      <c r="AJ46" t="s">
        <v>823</v>
      </c>
      <c r="AO46" t="s">
        <v>13</v>
      </c>
      <c r="AP46" t="s">
        <v>24</v>
      </c>
      <c r="AQ46" t="s">
        <v>13</v>
      </c>
      <c r="AR46" t="s">
        <v>0</v>
      </c>
      <c r="AS46" t="s">
        <v>823</v>
      </c>
      <c r="AT46" t="s">
        <v>45</v>
      </c>
      <c r="AU46" t="s">
        <v>16</v>
      </c>
      <c r="AV46" t="s">
        <v>15</v>
      </c>
      <c r="AZ46" t="s">
        <v>120</v>
      </c>
      <c r="BA46" t="s">
        <v>122</v>
      </c>
      <c r="BB46" t="s">
        <v>123</v>
      </c>
      <c r="BC46" t="s">
        <v>19</v>
      </c>
    </row>
    <row r="47" spans="1:71" x14ac:dyDescent="0.3">
      <c r="A47" t="s">
        <v>100</v>
      </c>
      <c r="B47" s="3" t="s">
        <v>51</v>
      </c>
      <c r="C47" s="3" t="s">
        <v>104</v>
      </c>
      <c r="D47" s="3" t="s">
        <v>105</v>
      </c>
      <c r="E47" t="s">
        <v>1</v>
      </c>
      <c r="F47" t="s">
        <v>20</v>
      </c>
      <c r="G47" t="s">
        <v>3</v>
      </c>
      <c r="H47" s="3" t="s">
        <v>5</v>
      </c>
      <c r="I47" s="3" t="s">
        <v>44</v>
      </c>
      <c r="J47" t="s">
        <v>1</v>
      </c>
      <c r="K47" t="s">
        <v>47</v>
      </c>
      <c r="L47" s="3" t="s">
        <v>8</v>
      </c>
      <c r="M47" s="3" t="s">
        <v>9</v>
      </c>
      <c r="N47" s="3" t="s">
        <v>10</v>
      </c>
      <c r="O47" t="s">
        <v>23</v>
      </c>
      <c r="P47" t="s">
        <v>23</v>
      </c>
      <c r="Q47" t="s">
        <v>23</v>
      </c>
      <c r="R47" t="s">
        <v>23</v>
      </c>
      <c r="S47" s="3" t="s">
        <v>196</v>
      </c>
      <c r="T47" s="3" t="s">
        <v>197</v>
      </c>
      <c r="U47" s="3" t="s">
        <v>25</v>
      </c>
      <c r="V47" s="3" t="s">
        <v>26</v>
      </c>
      <c r="W47" s="3" t="s">
        <v>27</v>
      </c>
      <c r="X47" s="3" t="s">
        <v>29</v>
      </c>
      <c r="Y47" s="3" t="s">
        <v>30</v>
      </c>
      <c r="Z47" s="3" t="s">
        <v>31</v>
      </c>
      <c r="AA47" t="s">
        <v>42</v>
      </c>
      <c r="AB47" s="3" t="s">
        <v>46</v>
      </c>
      <c r="AC47" s="3" t="s">
        <v>34</v>
      </c>
      <c r="AD47" s="3" t="s">
        <v>35</v>
      </c>
      <c r="AE47" s="3" t="s">
        <v>36</v>
      </c>
      <c r="AF47" s="3" t="s">
        <v>37</v>
      </c>
      <c r="AG47" s="3" t="s">
        <v>38</v>
      </c>
      <c r="AH47" s="3" t="s">
        <v>39</v>
      </c>
      <c r="AI47" t="s">
        <v>120</v>
      </c>
      <c r="AJ47" t="s">
        <v>824</v>
      </c>
      <c r="AL47" t="s">
        <v>32</v>
      </c>
      <c r="AM47" t="s">
        <v>104</v>
      </c>
      <c r="AN47" t="s">
        <v>105</v>
      </c>
      <c r="AO47" t="s">
        <v>1</v>
      </c>
      <c r="AP47" t="s">
        <v>20</v>
      </c>
      <c r="AQ47" t="s">
        <v>3</v>
      </c>
      <c r="AR47" t="s">
        <v>5</v>
      </c>
      <c r="AS47" t="s">
        <v>5</v>
      </c>
      <c r="AT47" t="s">
        <v>44</v>
      </c>
      <c r="AU47" t="s">
        <v>1</v>
      </c>
      <c r="AV47" t="s">
        <v>47</v>
      </c>
      <c r="AW47" t="s">
        <v>8</v>
      </c>
      <c r="AX47" t="s">
        <v>9</v>
      </c>
      <c r="AY47" t="s">
        <v>10</v>
      </c>
      <c r="AZ47" t="s">
        <v>23</v>
      </c>
      <c r="BA47" t="s">
        <v>23</v>
      </c>
      <c r="BB47" t="s">
        <v>23</v>
      </c>
      <c r="BC47" t="s">
        <v>23</v>
      </c>
      <c r="BD47" t="s">
        <v>196</v>
      </c>
      <c r="BE47" t="s">
        <v>197</v>
      </c>
      <c r="BF47" t="s">
        <v>25</v>
      </c>
      <c r="BG47" t="s">
        <v>26</v>
      </c>
      <c r="BH47" t="s">
        <v>27</v>
      </c>
      <c r="BI47" t="s">
        <v>29</v>
      </c>
      <c r="BJ47" t="s">
        <v>30</v>
      </c>
      <c r="BK47" t="s">
        <v>31</v>
      </c>
      <c r="BL47" t="s">
        <v>42</v>
      </c>
      <c r="BM47" t="s">
        <v>46</v>
      </c>
      <c r="BN47" t="s">
        <v>34</v>
      </c>
      <c r="BO47" t="s">
        <v>35</v>
      </c>
      <c r="BP47" t="s">
        <v>36</v>
      </c>
      <c r="BQ47" t="s">
        <v>37</v>
      </c>
      <c r="BR47" t="s">
        <v>38</v>
      </c>
      <c r="BS47" t="s">
        <v>39</v>
      </c>
    </row>
    <row r="48" spans="1:71" x14ac:dyDescent="0.3">
      <c r="B48" s="3"/>
      <c r="C48" s="3"/>
      <c r="D48" s="3"/>
      <c r="E48" t="s">
        <v>14</v>
      </c>
      <c r="F48" t="s">
        <v>14</v>
      </c>
      <c r="G48" t="s">
        <v>14</v>
      </c>
      <c r="H48" s="3" t="s">
        <v>6</v>
      </c>
      <c r="I48" s="3"/>
      <c r="J48" s="2" t="s">
        <v>14</v>
      </c>
      <c r="K48" s="2" t="s">
        <v>14</v>
      </c>
      <c r="L48" s="5" t="s">
        <v>17</v>
      </c>
      <c r="M48" s="5" t="s">
        <v>17</v>
      </c>
      <c r="N48" s="5" t="s">
        <v>17</v>
      </c>
      <c r="O48" t="s">
        <v>18</v>
      </c>
      <c r="P48" t="s">
        <v>18</v>
      </c>
      <c r="Q48" s="2" t="s">
        <v>18</v>
      </c>
      <c r="R48" t="s">
        <v>18</v>
      </c>
      <c r="S48" s="3" t="s">
        <v>7</v>
      </c>
      <c r="T48" s="3" t="s">
        <v>7</v>
      </c>
      <c r="U48" s="5" t="s">
        <v>6</v>
      </c>
      <c r="V48" s="5" t="s">
        <v>6</v>
      </c>
      <c r="W48" s="5" t="s">
        <v>6</v>
      </c>
      <c r="X48" s="5" t="s">
        <v>6</v>
      </c>
      <c r="Y48" s="5" t="s">
        <v>6</v>
      </c>
      <c r="Z48" s="5" t="s">
        <v>6</v>
      </c>
      <c r="AA48" s="2"/>
      <c r="AB48" s="5"/>
      <c r="AC48" s="5"/>
      <c r="AD48" s="5" t="s">
        <v>43</v>
      </c>
      <c r="AE48" s="5" t="s">
        <v>7</v>
      </c>
      <c r="AF48" s="5" t="s">
        <v>40</v>
      </c>
      <c r="AG48" s="5" t="s">
        <v>7</v>
      </c>
      <c r="AH48" s="5" t="s">
        <v>7</v>
      </c>
      <c r="AI48" s="2" t="s">
        <v>6</v>
      </c>
      <c r="AJ48" s="2" t="s">
        <v>6</v>
      </c>
      <c r="AO48" t="s">
        <v>14</v>
      </c>
      <c r="AP48" t="s">
        <v>14</v>
      </c>
      <c r="AQ48" t="s">
        <v>14</v>
      </c>
      <c r="AR48" t="s">
        <v>6</v>
      </c>
      <c r="AS48" t="s">
        <v>6</v>
      </c>
      <c r="AU48" s="2" t="s">
        <v>14</v>
      </c>
      <c r="AV48" s="2" t="s">
        <v>14</v>
      </c>
      <c r="AW48" s="2" t="s">
        <v>17</v>
      </c>
      <c r="AX48" s="2" t="s">
        <v>17</v>
      </c>
      <c r="AY48" s="2" t="s">
        <v>17</v>
      </c>
      <c r="AZ48" t="s">
        <v>18</v>
      </c>
      <c r="BA48" t="s">
        <v>18</v>
      </c>
      <c r="BB48" s="2" t="s">
        <v>18</v>
      </c>
      <c r="BC48" t="s">
        <v>18</v>
      </c>
      <c r="BD48" t="s">
        <v>7</v>
      </c>
      <c r="BE48" t="s">
        <v>7</v>
      </c>
      <c r="BF48" s="2" t="s">
        <v>6</v>
      </c>
      <c r="BG48" s="2" t="s">
        <v>6</v>
      </c>
      <c r="BH48" s="2" t="s">
        <v>6</v>
      </c>
      <c r="BI48" s="2" t="s">
        <v>6</v>
      </c>
      <c r="BJ48" s="2" t="s">
        <v>6</v>
      </c>
      <c r="BK48" s="2" t="s">
        <v>6</v>
      </c>
      <c r="BL48" s="2"/>
      <c r="BM48" s="2"/>
      <c r="BN48" s="2"/>
      <c r="BO48" s="2" t="s">
        <v>43</v>
      </c>
      <c r="BP48" s="2" t="s">
        <v>7</v>
      </c>
      <c r="BQ48" s="2" t="s">
        <v>40</v>
      </c>
      <c r="BR48" s="2" t="s">
        <v>7</v>
      </c>
      <c r="BS48" s="2" t="s">
        <v>7</v>
      </c>
    </row>
    <row r="49" spans="1:71" x14ac:dyDescent="0.3">
      <c r="A49" t="s">
        <v>100</v>
      </c>
      <c r="B49" s="3" t="s">
        <v>51</v>
      </c>
      <c r="C49" s="3" t="s">
        <v>104</v>
      </c>
      <c r="D49" s="3" t="s">
        <v>105</v>
      </c>
      <c r="H49" s="3" t="s">
        <v>5</v>
      </c>
      <c r="I49" s="3" t="s">
        <v>44</v>
      </c>
      <c r="L49" s="3" t="s">
        <v>8</v>
      </c>
      <c r="M49" s="3" t="s">
        <v>9</v>
      </c>
      <c r="N49" s="3" t="s">
        <v>10</v>
      </c>
      <c r="S49" s="3" t="s">
        <v>196</v>
      </c>
      <c r="T49" s="3" t="s">
        <v>197</v>
      </c>
      <c r="U49" s="3" t="s">
        <v>25</v>
      </c>
      <c r="V49" s="3" t="s">
        <v>26</v>
      </c>
      <c r="W49" s="3" t="s">
        <v>27</v>
      </c>
      <c r="X49" s="3" t="s">
        <v>29</v>
      </c>
      <c r="Y49" s="3" t="s">
        <v>30</v>
      </c>
      <c r="Z49" s="3" t="s">
        <v>31</v>
      </c>
      <c r="AB49" s="3" t="s">
        <v>46</v>
      </c>
      <c r="AC49" s="3" t="s">
        <v>34</v>
      </c>
      <c r="AD49" s="3" t="s">
        <v>35</v>
      </c>
      <c r="AE49" s="3" t="s">
        <v>36</v>
      </c>
      <c r="AF49" s="3" t="s">
        <v>37</v>
      </c>
      <c r="AG49" s="3" t="s">
        <v>38</v>
      </c>
      <c r="AH49" s="3" t="s">
        <v>39</v>
      </c>
      <c r="AL49" t="s">
        <v>32</v>
      </c>
      <c r="AM49" t="s">
        <v>104</v>
      </c>
      <c r="AN49" t="s">
        <v>105</v>
      </c>
      <c r="AR49" t="s">
        <v>5</v>
      </c>
      <c r="AS49" t="s">
        <v>5</v>
      </c>
      <c r="AT49" t="s">
        <v>44</v>
      </c>
      <c r="AW49" t="s">
        <v>8</v>
      </c>
      <c r="AX49" t="s">
        <v>9</v>
      </c>
      <c r="AY49" t="s">
        <v>10</v>
      </c>
      <c r="BD49" t="s">
        <v>196</v>
      </c>
      <c r="BE49" t="s">
        <v>197</v>
      </c>
      <c r="BF49" t="s">
        <v>25</v>
      </c>
      <c r="BG49" t="s">
        <v>26</v>
      </c>
      <c r="BH49" t="s">
        <v>27</v>
      </c>
      <c r="BI49" t="s">
        <v>29</v>
      </c>
      <c r="BJ49" t="s">
        <v>30</v>
      </c>
      <c r="BK49" t="s">
        <v>31</v>
      </c>
      <c r="BM49" t="s">
        <v>46</v>
      </c>
      <c r="BN49" t="s">
        <v>34</v>
      </c>
      <c r="BO49" t="s">
        <v>35</v>
      </c>
      <c r="BP49" t="s">
        <v>36</v>
      </c>
      <c r="BQ49" t="s">
        <v>37</v>
      </c>
      <c r="BR49" t="s">
        <v>38</v>
      </c>
      <c r="BS49" t="s">
        <v>39</v>
      </c>
    </row>
    <row r="50" spans="1:71" x14ac:dyDescent="0.3">
      <c r="A50">
        <v>1</v>
      </c>
      <c r="B50" s="3" t="s">
        <v>198</v>
      </c>
      <c r="C50" s="3" t="s">
        <v>106</v>
      </c>
      <c r="D50" s="13">
        <v>43768</v>
      </c>
      <c r="E50" s="2">
        <v>2.2400000000000002</v>
      </c>
      <c r="F50" s="2">
        <v>0.16</v>
      </c>
      <c r="G50" s="2">
        <f>E50-F50</f>
        <v>2.08</v>
      </c>
      <c r="H50" s="4">
        <f>G50/$A$38*$A$39</f>
        <v>5118.110236220472</v>
      </c>
      <c r="I50" s="10">
        <v>43787</v>
      </c>
      <c r="J50" s="2">
        <v>1.1000000000000001</v>
      </c>
      <c r="K50" s="2">
        <v>2.7</v>
      </c>
      <c r="L50" s="6">
        <f>(J50-$A$40)/G50</f>
        <v>0.39423076923076927</v>
      </c>
      <c r="M50" s="6">
        <f>(K50-$A$41)/G50</f>
        <v>0.49038461538461547</v>
      </c>
      <c r="N50" s="6">
        <f>1-L50-M50</f>
        <v>0.11538461538461525</v>
      </c>
      <c r="O50" s="2">
        <v>77</v>
      </c>
      <c r="P50" s="2">
        <v>74.819999999999993</v>
      </c>
      <c r="Q50" s="2">
        <v>170.79</v>
      </c>
      <c r="R50" s="2">
        <v>163.99</v>
      </c>
      <c r="S50" s="5">
        <f>(O50-P50)/O50*100</f>
        <v>2.8311688311688399</v>
      </c>
      <c r="T50" s="5">
        <f>(Q50-R50)/Q50*100</f>
        <v>3.9814977457696488</v>
      </c>
      <c r="U50" s="4">
        <f>H50*L50</f>
        <v>2017.7165354330709</v>
      </c>
      <c r="V50" s="4">
        <f>H50*M50</f>
        <v>2509.8425196850394</v>
      </c>
      <c r="W50" s="4">
        <f>U50+V50</f>
        <v>4527.5590551181103</v>
      </c>
      <c r="X50" s="4">
        <f>U50*(1-S50/100)</f>
        <v>1960.5915737805501</v>
      </c>
      <c r="Y50" s="4">
        <f>V50*(1-T50/100)</f>
        <v>2409.9131963414115</v>
      </c>
      <c r="Z50" s="4">
        <f>X50+Y50</f>
        <v>4370.5047701219619</v>
      </c>
      <c r="AA50" t="s">
        <v>139</v>
      </c>
      <c r="AB50" s="10">
        <v>43803</v>
      </c>
      <c r="AC50" s="4">
        <v>48.3</v>
      </c>
      <c r="AD50" s="5">
        <v>1.07</v>
      </c>
      <c r="AE50" s="4">
        <v>79.5</v>
      </c>
      <c r="AF50" s="4">
        <v>26.3</v>
      </c>
      <c r="AG50" s="4">
        <v>8.8000000000000007</v>
      </c>
      <c r="AH50" s="4">
        <v>10.9</v>
      </c>
      <c r="AI50" s="1">
        <v>1543.84149999999</v>
      </c>
      <c r="AJ50" s="1">
        <v>4678.30799999999</v>
      </c>
      <c r="AL50" s="14" t="s">
        <v>830</v>
      </c>
      <c r="AM50" s="1" t="s">
        <v>106</v>
      </c>
      <c r="AN50" s="11">
        <f>D50</f>
        <v>43768</v>
      </c>
      <c r="AO50" s="2">
        <f>SUM(E50:E51)</f>
        <v>4.68</v>
      </c>
      <c r="AP50" s="2">
        <f>SUM(F50:F51)</f>
        <v>0.32</v>
      </c>
      <c r="AQ50" s="2">
        <f>AO50-AP50</f>
        <v>4.3599999999999994</v>
      </c>
      <c r="AR50" s="1">
        <f>AQ50/(2*$A$38)*$A$39</f>
        <v>5364.1732283464562</v>
      </c>
      <c r="AS50" s="1">
        <v>5261.539287866638</v>
      </c>
      <c r="AT50" s="11">
        <f>I50</f>
        <v>43787</v>
      </c>
      <c r="AU50" s="2">
        <f>SUM(J50:J51)</f>
        <v>2.2599999999999998</v>
      </c>
      <c r="AV50" s="2">
        <f>SUM(K50:K51)</f>
        <v>5.54</v>
      </c>
      <c r="AW50" s="7">
        <f>(AU50-2*$A$40)/AQ50</f>
        <v>0.38990825688073394</v>
      </c>
      <c r="AX50" s="7">
        <f>(AV50-2*$A$41)/AQ50</f>
        <v>0.50000000000000011</v>
      </c>
      <c r="AY50" s="7">
        <f>1-AW50-AX50</f>
        <v>0.11009174311926595</v>
      </c>
      <c r="AZ50" s="2">
        <f>SUM(O50:O51)</f>
        <v>117.44</v>
      </c>
      <c r="BA50" s="2">
        <f t="shared" ref="BA50:BC50" si="0">SUM(P50:P51)</f>
        <v>114.22</v>
      </c>
      <c r="BB50" s="2">
        <f t="shared" si="0"/>
        <v>296.77</v>
      </c>
      <c r="BC50" s="2">
        <f t="shared" si="0"/>
        <v>284.83000000000004</v>
      </c>
      <c r="BD50" s="2">
        <f>(AZ50-BA50)/AZ50*100</f>
        <v>2.7418256130790182</v>
      </c>
      <c r="BE50" s="2">
        <f>(BB50-BC50)/BB50*100</f>
        <v>4.0233177207938615</v>
      </c>
      <c r="BF50" s="1">
        <f>AS50*AW50</f>
        <v>2051.5176122415792</v>
      </c>
      <c r="BG50" s="1">
        <f>AS50*AX50</f>
        <v>2630.7696439333195</v>
      </c>
      <c r="BH50" s="1">
        <f>BF50+BG50</f>
        <v>4682.2872561748991</v>
      </c>
      <c r="BI50" s="1">
        <f>BF50*(1-BD50/100)</f>
        <v>1995.2685768923125</v>
      </c>
      <c r="BJ50" s="1">
        <f>BG50*(1-BE50/100)</f>
        <v>2524.9254226556845</v>
      </c>
      <c r="BK50" s="1">
        <f>BI50+BJ50</f>
        <v>4520.193999547997</v>
      </c>
      <c r="BL50" s="11" t="str">
        <f>AA50</f>
        <v>0991913411202</v>
      </c>
      <c r="BM50" s="11">
        <f>AB50</f>
        <v>43803</v>
      </c>
      <c r="BN50" s="1">
        <f>AVERAGE(AC50:AC51)</f>
        <v>48.45</v>
      </c>
      <c r="BO50" s="2">
        <f t="shared" ref="BO50:BS50" si="1">AVERAGE(AD50:AD51)</f>
        <v>1.0350000000000001</v>
      </c>
      <c r="BP50" s="1">
        <f t="shared" si="1"/>
        <v>78.400000000000006</v>
      </c>
      <c r="BQ50" s="1">
        <f t="shared" si="1"/>
        <v>25.25</v>
      </c>
      <c r="BR50" s="1">
        <f t="shared" si="1"/>
        <v>9.1000000000000014</v>
      </c>
      <c r="BS50" s="1">
        <f t="shared" si="1"/>
        <v>12.15</v>
      </c>
    </row>
    <row r="51" spans="1:71" x14ac:dyDescent="0.3">
      <c r="A51">
        <v>2</v>
      </c>
      <c r="B51" s="3" t="s">
        <v>245</v>
      </c>
      <c r="C51" s="3" t="s">
        <v>106</v>
      </c>
      <c r="D51" s="13">
        <v>43768</v>
      </c>
      <c r="E51" s="2">
        <v>2.44</v>
      </c>
      <c r="F51" s="2">
        <v>0.16</v>
      </c>
      <c r="G51" s="2">
        <f t="shared" ref="G51:G97" si="2">E51-F51</f>
        <v>2.2799999999999998</v>
      </c>
      <c r="H51" s="4">
        <f t="shared" ref="H51:H97" si="3">G51/$A$38*$A$39</f>
        <v>5610.2362204724395</v>
      </c>
      <c r="I51" s="10">
        <v>43787</v>
      </c>
      <c r="J51" s="2">
        <v>1.1599999999999999</v>
      </c>
      <c r="K51" s="2">
        <v>2.84</v>
      </c>
      <c r="L51" s="6">
        <f t="shared" ref="L51:L97" si="4">(J51-$A$40)/G51</f>
        <v>0.38596491228070173</v>
      </c>
      <c r="M51" s="6">
        <f t="shared" ref="M51:M97" si="5">(K51-$A$41)/G51</f>
        <v>0.50877192982456143</v>
      </c>
      <c r="N51" s="6">
        <f t="shared" ref="N51:N97" si="6">1-L51-M51</f>
        <v>0.10526315789473684</v>
      </c>
      <c r="O51" s="2">
        <v>40.44</v>
      </c>
      <c r="P51" s="2">
        <v>39.4</v>
      </c>
      <c r="Q51" s="2">
        <v>125.98</v>
      </c>
      <c r="R51" s="2">
        <v>120.84</v>
      </c>
      <c r="S51" s="5">
        <f t="shared" ref="S51:S97" si="7">(O51-P51)/O51*100</f>
        <v>2.5717111770524212</v>
      </c>
      <c r="T51" s="5">
        <f t="shared" ref="T51:T97" si="8">(Q51-R51)/Q51*100</f>
        <v>4.0800127004286395</v>
      </c>
      <c r="U51" s="4">
        <f t="shared" ref="U51:U97" si="9">H51*L51</f>
        <v>2165.3543307086607</v>
      </c>
      <c r="V51" s="4">
        <f t="shared" ref="V51:V97" si="10">H51*M51</f>
        <v>2854.3307086614168</v>
      </c>
      <c r="W51" s="4">
        <f t="shared" ref="W51:W97" si="11">U51+V51</f>
        <v>5019.685039370077</v>
      </c>
      <c r="X51" s="4">
        <f t="shared" ref="X51:X97" si="12">U51*(1-S51/100)</f>
        <v>2109.6676713630377</v>
      </c>
      <c r="Y51" s="4">
        <f t="shared" ref="Y51:Y97" si="13">V51*(1-T51/100)</f>
        <v>2737.8736532357962</v>
      </c>
      <c r="Z51" s="4">
        <f t="shared" ref="Z51:Z97" si="14">X51+Y51</f>
        <v>4847.5413245988339</v>
      </c>
      <c r="AA51" s="8" t="s">
        <v>163</v>
      </c>
      <c r="AB51" s="10">
        <v>43803</v>
      </c>
      <c r="AC51" s="4">
        <v>48.6</v>
      </c>
      <c r="AD51" s="5">
        <v>1</v>
      </c>
      <c r="AE51" s="4">
        <v>77.3</v>
      </c>
      <c r="AF51" s="4">
        <v>24.2</v>
      </c>
      <c r="AG51" s="4">
        <v>9.4</v>
      </c>
      <c r="AH51" s="4">
        <v>13.4</v>
      </c>
      <c r="AI51" s="1">
        <v>1204.22966666666</v>
      </c>
      <c r="AJ51" s="1">
        <v>3649.1806666666598</v>
      </c>
      <c r="AL51" s="14"/>
      <c r="AM51" s="1"/>
      <c r="AN51" s="1"/>
      <c r="AO51" s="2"/>
      <c r="AP51" s="2"/>
      <c r="AQ51" s="2"/>
      <c r="AR51" s="1"/>
      <c r="AS51" s="1"/>
      <c r="AT51" s="2"/>
      <c r="AU51" s="2"/>
      <c r="AV51" s="2"/>
      <c r="AW51" s="7"/>
      <c r="AX51" s="7"/>
      <c r="AY51" s="7"/>
      <c r="AZ51" s="2"/>
      <c r="BA51" s="2"/>
      <c r="BB51" s="2"/>
      <c r="BC51" s="2"/>
      <c r="BD51" s="2"/>
      <c r="BE51" s="2"/>
      <c r="BF51" s="1"/>
      <c r="BG51" s="1"/>
      <c r="BH51" s="1"/>
      <c r="BI51" s="1"/>
      <c r="BJ51" s="1"/>
      <c r="BK51" s="1"/>
      <c r="BL51" s="11"/>
      <c r="BM51" s="1"/>
      <c r="BN51" s="1"/>
      <c r="BO51" s="2"/>
      <c r="BP51" s="1"/>
      <c r="BQ51" s="1"/>
      <c r="BR51" s="1"/>
      <c r="BS51" s="1"/>
    </row>
    <row r="52" spans="1:71" x14ac:dyDescent="0.3">
      <c r="A52">
        <v>3</v>
      </c>
      <c r="B52" s="3" t="s">
        <v>199</v>
      </c>
      <c r="C52" s="3" t="s">
        <v>106</v>
      </c>
      <c r="D52" s="13">
        <v>43768</v>
      </c>
      <c r="E52" s="2">
        <v>2.4</v>
      </c>
      <c r="F52" s="2">
        <v>0.16</v>
      </c>
      <c r="G52" s="2">
        <f t="shared" si="2"/>
        <v>2.2399999999999998</v>
      </c>
      <c r="H52" s="4">
        <f t="shared" si="3"/>
        <v>5511.8110236220464</v>
      </c>
      <c r="I52" s="10">
        <v>43787</v>
      </c>
      <c r="J52" s="2">
        <v>1.1200000000000001</v>
      </c>
      <c r="K52" s="2">
        <v>2.9</v>
      </c>
      <c r="L52" s="6">
        <f t="shared" si="4"/>
        <v>0.37500000000000006</v>
      </c>
      <c r="M52" s="6">
        <f t="shared" si="5"/>
        <v>0.54464285714285721</v>
      </c>
      <c r="N52" s="6">
        <f t="shared" si="6"/>
        <v>8.0357142857142794E-2</v>
      </c>
      <c r="O52" s="2">
        <v>47.09</v>
      </c>
      <c r="P52" s="2">
        <v>45.77</v>
      </c>
      <c r="Q52" s="2">
        <v>159.56</v>
      </c>
      <c r="R52" s="2">
        <v>153.05000000000001</v>
      </c>
      <c r="S52" s="5">
        <f t="shared" si="7"/>
        <v>2.8031429178169467</v>
      </c>
      <c r="T52" s="5">
        <f t="shared" si="8"/>
        <v>4.0799699172724937</v>
      </c>
      <c r="U52" s="4">
        <f t="shared" si="9"/>
        <v>2066.9291338582675</v>
      </c>
      <c r="V52" s="4">
        <f t="shared" si="10"/>
        <v>3001.9685039370079</v>
      </c>
      <c r="W52" s="4">
        <f t="shared" si="11"/>
        <v>5068.8976377952749</v>
      </c>
      <c r="X52" s="4">
        <f t="shared" si="12"/>
        <v>2008.9901562262244</v>
      </c>
      <c r="Y52" s="4">
        <f t="shared" si="13"/>
        <v>2879.4890920503826</v>
      </c>
      <c r="Z52" s="4">
        <f t="shared" si="14"/>
        <v>4888.479248276607</v>
      </c>
      <c r="AA52" t="s">
        <v>140</v>
      </c>
      <c r="AB52" s="10">
        <v>43803</v>
      </c>
      <c r="AC52" s="4">
        <v>49</v>
      </c>
      <c r="AD52" s="5">
        <v>1.1000000000000001</v>
      </c>
      <c r="AE52" s="4">
        <v>81</v>
      </c>
      <c r="AF52" s="4">
        <v>27.5</v>
      </c>
      <c r="AG52" s="4">
        <v>9.1</v>
      </c>
      <c r="AH52" s="4">
        <v>10</v>
      </c>
      <c r="AI52" s="1">
        <v>1720.1269999999899</v>
      </c>
      <c r="AJ52" s="1">
        <v>5212.5069999999896</v>
      </c>
      <c r="AL52" s="14" t="s">
        <v>831</v>
      </c>
      <c r="AM52" s="1" t="s">
        <v>106</v>
      </c>
      <c r="AN52" s="11">
        <f>D52</f>
        <v>43768</v>
      </c>
      <c r="AO52" s="2">
        <f>SUM(E52:E53)</f>
        <v>5.0199999999999996</v>
      </c>
      <c r="AP52" s="2">
        <f>SUM(F52:F53)</f>
        <v>0.32</v>
      </c>
      <c r="AQ52" s="2">
        <f>AO52-AP52</f>
        <v>4.6999999999999993</v>
      </c>
      <c r="AR52" s="1">
        <f>AQ52/(2*$A$38)*$A$39</f>
        <v>5782.4803149606287</v>
      </c>
      <c r="AS52" s="1">
        <v>5617.2557335750453</v>
      </c>
      <c r="AT52" s="11">
        <f>I52</f>
        <v>43787</v>
      </c>
      <c r="AU52" s="2">
        <f>SUM(J52:J53)</f>
        <v>2.2800000000000002</v>
      </c>
      <c r="AV52" s="2">
        <f>SUM(K52:K53)</f>
        <v>5.82</v>
      </c>
      <c r="AW52" s="7">
        <f>(AU52-2*$A$40)/AQ52</f>
        <v>0.36595744680851072</v>
      </c>
      <c r="AX52" s="7">
        <f>(AV52-2*$A$41)/AQ52</f>
        <v>0.52340425531914914</v>
      </c>
      <c r="AY52" s="7">
        <f>1-AW52-AX52</f>
        <v>0.11063829787234014</v>
      </c>
      <c r="AZ52" s="2">
        <f>SUM(O52:O53)</f>
        <v>110.57</v>
      </c>
      <c r="BA52" s="2">
        <f t="shared" ref="BA52" si="15">SUM(P52:P53)</f>
        <v>107.46000000000001</v>
      </c>
      <c r="BB52" s="2">
        <f t="shared" ref="BB52" si="16">SUM(Q52:Q53)</f>
        <v>315.61</v>
      </c>
      <c r="BC52" s="2">
        <f t="shared" ref="BC52" si="17">SUM(R52:R53)</f>
        <v>302.71000000000004</v>
      </c>
      <c r="BD52" s="2">
        <f>(AZ52-BA52)/AZ52*100</f>
        <v>2.8126978384733521</v>
      </c>
      <c r="BE52" s="2">
        <f>(BB52-BC52)/BB52*100</f>
        <v>4.0873229618833298</v>
      </c>
      <c r="BF52" s="1">
        <f>AS52*AW52</f>
        <v>2055.6765663295914</v>
      </c>
      <c r="BG52" s="1">
        <f>AS52*AX52</f>
        <v>2940.0955541690673</v>
      </c>
      <c r="BH52" s="1">
        <f>BF52+BG52</f>
        <v>4995.7721204986592</v>
      </c>
      <c r="BI52" s="1">
        <f>BF52*(1-BD52/100)</f>
        <v>1997.8565959824357</v>
      </c>
      <c r="BJ52" s="1">
        <f>BG52*(1-BE52/100)</f>
        <v>2819.924353482204</v>
      </c>
      <c r="BK52" s="1">
        <f>BI52+BJ52</f>
        <v>4817.7809494646399</v>
      </c>
      <c r="BL52" s="11" t="str">
        <f>AA52</f>
        <v>0991913412204</v>
      </c>
      <c r="BM52" s="11">
        <f>AB52</f>
        <v>43803</v>
      </c>
      <c r="BN52" s="1">
        <f>AVERAGE(AC52:AC53)</f>
        <v>48.75</v>
      </c>
      <c r="BO52" s="2">
        <f t="shared" ref="BO52" si="18">AVERAGE(AD52:AD53)</f>
        <v>1.0750000000000002</v>
      </c>
      <c r="BP52" s="1">
        <f t="shared" ref="BP52" si="19">AVERAGE(AE52:AE53)</f>
        <v>80.2</v>
      </c>
      <c r="BQ52" s="1">
        <f t="shared" ref="BQ52" si="20">AVERAGE(AF52:AF53)</f>
        <v>27.05</v>
      </c>
      <c r="BR52" s="1">
        <f t="shared" ref="BR52" si="21">AVERAGE(AG52:AG53)</f>
        <v>8.8999999999999986</v>
      </c>
      <c r="BS52" s="1">
        <f t="shared" ref="BS52" si="22">AVERAGE(AH52:AH53)</f>
        <v>10.7</v>
      </c>
    </row>
    <row r="53" spans="1:71" x14ac:dyDescent="0.3">
      <c r="A53">
        <v>4</v>
      </c>
      <c r="B53" s="3" t="s">
        <v>200</v>
      </c>
      <c r="C53" s="3" t="s">
        <v>106</v>
      </c>
      <c r="D53" s="13">
        <v>43768</v>
      </c>
      <c r="E53" s="2">
        <v>2.62</v>
      </c>
      <c r="F53" s="2">
        <v>0.16</v>
      </c>
      <c r="G53" s="2">
        <f t="shared" si="2"/>
        <v>2.46</v>
      </c>
      <c r="H53" s="4">
        <f t="shared" si="3"/>
        <v>6053.1496062992128</v>
      </c>
      <c r="I53" s="10">
        <v>43787</v>
      </c>
      <c r="J53" s="2">
        <v>1.1599999999999999</v>
      </c>
      <c r="K53" s="2">
        <v>2.92</v>
      </c>
      <c r="L53" s="6">
        <f t="shared" si="4"/>
        <v>0.35772357723577231</v>
      </c>
      <c r="M53" s="6">
        <f t="shared" si="5"/>
        <v>0.50406504065040647</v>
      </c>
      <c r="N53" s="6">
        <f t="shared" si="6"/>
        <v>0.13821138211382122</v>
      </c>
      <c r="O53" s="2">
        <v>63.48</v>
      </c>
      <c r="P53" s="2">
        <v>61.69</v>
      </c>
      <c r="Q53" s="2">
        <v>156.05000000000001</v>
      </c>
      <c r="R53" s="2">
        <v>149.66</v>
      </c>
      <c r="S53" s="5">
        <f t="shared" si="7"/>
        <v>2.8197857592942648</v>
      </c>
      <c r="T53" s="5">
        <f t="shared" si="8"/>
        <v>4.0948413969881541</v>
      </c>
      <c r="U53" s="4">
        <f t="shared" si="9"/>
        <v>2165.3543307086611</v>
      </c>
      <c r="V53" s="4">
        <f t="shared" si="10"/>
        <v>3051.1811023622045</v>
      </c>
      <c r="W53" s="4">
        <f t="shared" si="11"/>
        <v>5216.5354330708651</v>
      </c>
      <c r="X53" s="4">
        <f t="shared" si="12"/>
        <v>2104.2959776530765</v>
      </c>
      <c r="Y53" s="4">
        <f t="shared" si="13"/>
        <v>2926.2400754855971</v>
      </c>
      <c r="Z53" s="4">
        <f t="shared" si="14"/>
        <v>5030.5360531386741</v>
      </c>
      <c r="AA53" s="8" t="s">
        <v>164</v>
      </c>
      <c r="AB53" s="10">
        <v>43803</v>
      </c>
      <c r="AC53" s="4">
        <v>48.5</v>
      </c>
      <c r="AD53" s="5">
        <v>1.05</v>
      </c>
      <c r="AE53" s="4">
        <v>79.400000000000006</v>
      </c>
      <c r="AF53" s="4">
        <v>26.6</v>
      </c>
      <c r="AG53" s="4">
        <v>8.6999999999999993</v>
      </c>
      <c r="AH53" s="4">
        <v>11.4</v>
      </c>
      <c r="AI53" s="1">
        <v>1419.1455000000001</v>
      </c>
      <c r="AJ53" s="1">
        <v>4300.4404999999897</v>
      </c>
      <c r="AL53" s="14"/>
      <c r="AM53" s="1"/>
      <c r="AN53" s="1"/>
      <c r="AO53" s="2"/>
      <c r="AP53" s="2"/>
      <c r="AQ53" s="2"/>
      <c r="AR53" s="1"/>
      <c r="AS53" s="1"/>
      <c r="AT53" s="2"/>
      <c r="AU53" s="2"/>
      <c r="AV53" s="2"/>
      <c r="AW53" s="7"/>
      <c r="AX53" s="7"/>
      <c r="AY53" s="7"/>
      <c r="AZ53" s="2"/>
      <c r="BA53" s="2"/>
      <c r="BB53" s="2"/>
      <c r="BC53" s="2"/>
      <c r="BD53" s="2"/>
      <c r="BE53" s="2"/>
      <c r="BF53" s="1"/>
      <c r="BG53" s="1"/>
      <c r="BH53" s="1"/>
      <c r="BI53" s="1"/>
      <c r="BJ53" s="1"/>
      <c r="BK53" s="1"/>
      <c r="BL53" s="11"/>
      <c r="BM53" s="1"/>
      <c r="BN53" s="1"/>
      <c r="BO53" s="2"/>
      <c r="BP53" s="1"/>
      <c r="BQ53" s="1"/>
      <c r="BR53" s="1"/>
      <c r="BS53" s="1"/>
    </row>
    <row r="54" spans="1:71" x14ac:dyDescent="0.3">
      <c r="A54">
        <v>5</v>
      </c>
      <c r="B54" s="3" t="s">
        <v>201</v>
      </c>
      <c r="C54" s="3" t="s">
        <v>106</v>
      </c>
      <c r="D54" s="13">
        <v>43768</v>
      </c>
      <c r="E54" s="2">
        <v>1.98</v>
      </c>
      <c r="F54" s="2">
        <v>0.16</v>
      </c>
      <c r="G54" s="2">
        <f t="shared" si="2"/>
        <v>1.82</v>
      </c>
      <c r="H54" s="4">
        <f t="shared" si="3"/>
        <v>4478.3464566929133</v>
      </c>
      <c r="I54" s="10">
        <v>43787</v>
      </c>
      <c r="J54" s="2">
        <v>0.98</v>
      </c>
      <c r="K54" s="2">
        <v>2.62</v>
      </c>
      <c r="L54" s="6">
        <f t="shared" si="4"/>
        <v>0.38461538461538458</v>
      </c>
      <c r="M54" s="6">
        <f t="shared" si="5"/>
        <v>0.51648351648351654</v>
      </c>
      <c r="N54" s="6">
        <f t="shared" si="6"/>
        <v>9.8901098901098883E-2</v>
      </c>
      <c r="O54" s="2">
        <v>39.08</v>
      </c>
      <c r="P54" s="2">
        <v>38</v>
      </c>
      <c r="Q54" s="2">
        <v>158.87</v>
      </c>
      <c r="R54" s="2">
        <v>152.65</v>
      </c>
      <c r="S54" s="5">
        <f t="shared" si="7"/>
        <v>2.7635619242579281</v>
      </c>
      <c r="T54" s="5">
        <f t="shared" si="8"/>
        <v>3.9151507521873219</v>
      </c>
      <c r="U54" s="4">
        <f t="shared" si="9"/>
        <v>1722.4409448818897</v>
      </c>
      <c r="V54" s="4">
        <f t="shared" si="10"/>
        <v>2312.9921259842522</v>
      </c>
      <c r="W54" s="4">
        <f t="shared" si="11"/>
        <v>4035.4330708661419</v>
      </c>
      <c r="X54" s="4">
        <f t="shared" si="12"/>
        <v>1674.8402227613053</v>
      </c>
      <c r="Y54" s="4">
        <f t="shared" si="13"/>
        <v>2222.4349973657463</v>
      </c>
      <c r="Z54" s="4">
        <f t="shared" si="14"/>
        <v>3897.2752201270514</v>
      </c>
      <c r="AA54" t="s">
        <v>141</v>
      </c>
      <c r="AB54" s="10">
        <v>43803</v>
      </c>
      <c r="AC54" s="4">
        <v>51.1</v>
      </c>
      <c r="AD54" s="5">
        <v>1.04</v>
      </c>
      <c r="AE54" s="4">
        <v>80</v>
      </c>
      <c r="AF54" s="4">
        <v>25.6</v>
      </c>
      <c r="AG54" s="4">
        <v>9.1999999999999993</v>
      </c>
      <c r="AH54" s="4">
        <v>10.9</v>
      </c>
      <c r="AI54" s="1">
        <v>1314.80766666666</v>
      </c>
      <c r="AJ54" s="1">
        <v>3984.2656666666599</v>
      </c>
      <c r="AL54" s="14" t="s">
        <v>832</v>
      </c>
      <c r="AM54" s="1" t="s">
        <v>106</v>
      </c>
      <c r="AN54" s="11">
        <f>D54</f>
        <v>43768</v>
      </c>
      <c r="AO54" s="2">
        <f>SUM(E54:E55)</f>
        <v>3.79</v>
      </c>
      <c r="AP54" s="2">
        <f>SUM(F54:F55)</f>
        <v>0.32</v>
      </c>
      <c r="AQ54" s="2">
        <f>AO54-AP54</f>
        <v>3.47</v>
      </c>
      <c r="AR54" s="1">
        <f>AQ54/(2*$A$38)*$A$39</f>
        <v>4269.1929133858266</v>
      </c>
      <c r="AS54" s="1">
        <v>5245.2145114970936</v>
      </c>
      <c r="AT54" s="11">
        <f>I54</f>
        <v>43787</v>
      </c>
      <c r="AU54" s="2">
        <f>SUM(J54:J55)</f>
        <v>1.9</v>
      </c>
      <c r="AV54" s="2">
        <f>SUM(K54:K55)</f>
        <v>5.0999999999999996</v>
      </c>
      <c r="AW54" s="7">
        <f>(AU54-2*$A$40)/AQ54</f>
        <v>0.38616714697406335</v>
      </c>
      <c r="AX54" s="7">
        <f>(AV54-2*$A$41)/AQ54</f>
        <v>0.50144092219020164</v>
      </c>
      <c r="AY54" s="7">
        <f>1-AW54-AX54</f>
        <v>0.11239193083573507</v>
      </c>
      <c r="AZ54" s="2">
        <f>SUM(O54:O55)</f>
        <v>75.34</v>
      </c>
      <c r="BA54" s="2">
        <f t="shared" ref="BA54" si="23">SUM(P54:P55)</f>
        <v>73.25</v>
      </c>
      <c r="BB54" s="2">
        <f t="shared" ref="BB54" si="24">SUM(Q54:Q55)</f>
        <v>287.39999999999998</v>
      </c>
      <c r="BC54" s="2">
        <f t="shared" ref="BC54" si="25">SUM(R54:R55)</f>
        <v>276.23</v>
      </c>
      <c r="BD54" s="2">
        <f>(AZ54-BA54)/AZ54*100</f>
        <v>2.7740907884258075</v>
      </c>
      <c r="BE54" s="2">
        <f>(BB54-BC54)/BB54*100</f>
        <v>3.8865692414752817</v>
      </c>
      <c r="BF54" s="1">
        <f>AS54*AW54</f>
        <v>2025.529523171788</v>
      </c>
      <c r="BG54" s="1">
        <f>AS54*AX54</f>
        <v>2630.1652017305305</v>
      </c>
      <c r="BH54" s="1">
        <f>BF54+BG54</f>
        <v>4655.6947249023187</v>
      </c>
      <c r="BI54" s="1">
        <f>BF54*(1-BD54/100)</f>
        <v>1969.3394952526342</v>
      </c>
      <c r="BJ54" s="1">
        <f>BG54*(1-BE54/100)</f>
        <v>2527.9420100000852</v>
      </c>
      <c r="BK54" s="1">
        <f>BI54+BJ54</f>
        <v>4497.2815052527194</v>
      </c>
      <c r="BL54" s="11" t="str">
        <f>AA54</f>
        <v>0991913413206</v>
      </c>
      <c r="BM54" s="11">
        <f>AB54</f>
        <v>43803</v>
      </c>
      <c r="BN54" s="1">
        <f>AVERAGE(AC54:AC55)</f>
        <v>49.55</v>
      </c>
      <c r="BO54" s="2">
        <f t="shared" ref="BO54" si="26">AVERAGE(AD54:AD55)</f>
        <v>1.0449999999999999</v>
      </c>
      <c r="BP54" s="1">
        <f t="shared" ref="BP54" si="27">AVERAGE(AE54:AE55)</f>
        <v>80.650000000000006</v>
      </c>
      <c r="BQ54" s="1">
        <f t="shared" ref="BQ54" si="28">AVERAGE(AF54:AF55)</f>
        <v>26</v>
      </c>
      <c r="BR54" s="1">
        <f t="shared" ref="BR54" si="29">AVERAGE(AG54:AG55)</f>
        <v>9.1</v>
      </c>
      <c r="BS54" s="1">
        <f t="shared" ref="BS54" si="30">AVERAGE(AH54:AH55)</f>
        <v>10.75</v>
      </c>
    </row>
    <row r="55" spans="1:71" x14ac:dyDescent="0.3">
      <c r="A55">
        <v>6</v>
      </c>
      <c r="B55" s="3" t="s">
        <v>202</v>
      </c>
      <c r="C55" s="3" t="s">
        <v>106</v>
      </c>
      <c r="D55" s="13">
        <v>43768</v>
      </c>
      <c r="E55" s="2">
        <v>1.81</v>
      </c>
      <c r="F55" s="2">
        <v>0.16</v>
      </c>
      <c r="G55" s="2">
        <f t="shared" si="2"/>
        <v>1.6500000000000001</v>
      </c>
      <c r="H55" s="4">
        <f t="shared" si="3"/>
        <v>4060.0393700787404</v>
      </c>
      <c r="I55" s="10">
        <v>43787</v>
      </c>
      <c r="J55" s="2">
        <v>0.92</v>
      </c>
      <c r="K55" s="2">
        <v>2.48</v>
      </c>
      <c r="L55" s="6">
        <f t="shared" si="4"/>
        <v>0.38787878787878788</v>
      </c>
      <c r="M55" s="6">
        <f t="shared" si="5"/>
        <v>0.48484848484848486</v>
      </c>
      <c r="N55" s="6">
        <f t="shared" si="6"/>
        <v>0.1272727272727272</v>
      </c>
      <c r="O55" s="2">
        <v>36.26</v>
      </c>
      <c r="P55" s="2">
        <v>35.25</v>
      </c>
      <c r="Q55" s="2">
        <v>128.53</v>
      </c>
      <c r="R55" s="2">
        <v>123.58</v>
      </c>
      <c r="S55" s="5">
        <f t="shared" si="7"/>
        <v>2.7854384997242088</v>
      </c>
      <c r="T55" s="5">
        <f t="shared" si="8"/>
        <v>3.8512409554189704</v>
      </c>
      <c r="U55" s="4">
        <f t="shared" si="9"/>
        <v>1574.8031496062993</v>
      </c>
      <c r="V55" s="4">
        <f t="shared" si="10"/>
        <v>1968.5039370078741</v>
      </c>
      <c r="W55" s="4">
        <f t="shared" si="11"/>
        <v>3543.3070866141734</v>
      </c>
      <c r="X55" s="4">
        <f t="shared" si="12"/>
        <v>1530.9379763822958</v>
      </c>
      <c r="Y55" s="4">
        <f t="shared" si="13"/>
        <v>1892.6921071767922</v>
      </c>
      <c r="Z55" s="4">
        <f t="shared" si="14"/>
        <v>3423.6300835590882</v>
      </c>
      <c r="AA55" s="8" t="s">
        <v>165</v>
      </c>
      <c r="AB55" s="10">
        <v>43803</v>
      </c>
      <c r="AC55" s="4">
        <v>48</v>
      </c>
      <c r="AD55" s="5">
        <v>1.05</v>
      </c>
      <c r="AE55" s="4">
        <v>81.3</v>
      </c>
      <c r="AF55" s="4">
        <v>26.4</v>
      </c>
      <c r="AG55" s="4">
        <v>9</v>
      </c>
      <c r="AH55" s="4">
        <v>10.6</v>
      </c>
      <c r="AI55" s="1">
        <v>1171.5260000000001</v>
      </c>
      <c r="AJ55" s="1">
        <v>3550.0789999999902</v>
      </c>
      <c r="AL55" s="14"/>
      <c r="AM55" s="1"/>
      <c r="AN55" s="1"/>
      <c r="AO55" s="2"/>
      <c r="AP55" s="2"/>
      <c r="AQ55" s="2"/>
      <c r="AR55" s="1"/>
      <c r="AS55" s="1"/>
      <c r="AT55" s="2"/>
      <c r="AU55" s="2"/>
      <c r="AV55" s="2"/>
      <c r="AW55" s="7"/>
      <c r="AX55" s="7"/>
      <c r="AY55" s="7"/>
      <c r="AZ55" s="2"/>
      <c r="BA55" s="2"/>
      <c r="BB55" s="2"/>
      <c r="BC55" s="2"/>
      <c r="BD55" s="2"/>
      <c r="BE55" s="2"/>
      <c r="BF55" s="1"/>
      <c r="BG55" s="1"/>
      <c r="BH55" s="1"/>
      <c r="BI55" s="1"/>
      <c r="BJ55" s="1"/>
      <c r="BK55" s="1"/>
      <c r="BL55" s="11"/>
      <c r="BM55" s="1"/>
      <c r="BN55" s="1"/>
      <c r="BO55" s="2"/>
      <c r="BP55" s="1"/>
      <c r="BQ55" s="1"/>
      <c r="BR55" s="1"/>
      <c r="BS55" s="1"/>
    </row>
    <row r="56" spans="1:71" x14ac:dyDescent="0.3">
      <c r="A56">
        <v>7</v>
      </c>
      <c r="B56" s="3" t="s">
        <v>203</v>
      </c>
      <c r="C56" s="3" t="s">
        <v>106</v>
      </c>
      <c r="D56" s="13">
        <v>43768</v>
      </c>
      <c r="E56" s="2">
        <v>2.71</v>
      </c>
      <c r="F56" s="2">
        <v>0.16</v>
      </c>
      <c r="G56" s="2">
        <f t="shared" si="2"/>
        <v>2.5499999999999998</v>
      </c>
      <c r="H56" s="4">
        <f t="shared" si="3"/>
        <v>6274.6062992125981</v>
      </c>
      <c r="I56" s="10">
        <v>43787</v>
      </c>
      <c r="J56" s="2">
        <v>1.26</v>
      </c>
      <c r="K56" s="2">
        <v>3</v>
      </c>
      <c r="L56" s="6">
        <f t="shared" si="4"/>
        <v>0.3843137254901961</v>
      </c>
      <c r="M56" s="6">
        <f t="shared" si="5"/>
        <v>0.51764705882352946</v>
      </c>
      <c r="N56" s="6">
        <f t="shared" si="6"/>
        <v>9.8039215686274495E-2</v>
      </c>
      <c r="O56" s="2">
        <v>33.29</v>
      </c>
      <c r="P56" s="2">
        <v>32.369999999999997</v>
      </c>
      <c r="Q56" s="2">
        <v>138.66</v>
      </c>
      <c r="R56" s="2">
        <v>133.13999999999999</v>
      </c>
      <c r="S56" s="5">
        <f t="shared" si="7"/>
        <v>2.7635926704716183</v>
      </c>
      <c r="T56" s="5">
        <f t="shared" si="8"/>
        <v>3.9809606231068875</v>
      </c>
      <c r="U56" s="4">
        <f t="shared" si="9"/>
        <v>2411.4173228346458</v>
      </c>
      <c r="V56" s="4">
        <f t="shared" si="10"/>
        <v>3248.0314960629921</v>
      </c>
      <c r="W56" s="4">
        <f t="shared" si="11"/>
        <v>5659.4488188976375</v>
      </c>
      <c r="X56" s="4">
        <f t="shared" si="12"/>
        <v>2344.7755704463048</v>
      </c>
      <c r="Y56" s="4">
        <f t="shared" si="13"/>
        <v>3118.7286411786149</v>
      </c>
      <c r="Z56" s="4">
        <f t="shared" si="14"/>
        <v>5463.5042116249197</v>
      </c>
      <c r="AA56" t="s">
        <v>142</v>
      </c>
      <c r="AB56" s="10">
        <v>43803</v>
      </c>
      <c r="AC56" s="4">
        <v>49.800000000000004</v>
      </c>
      <c r="AD56" s="5">
        <v>1.1000000000000001</v>
      </c>
      <c r="AE56" s="4">
        <v>80.7</v>
      </c>
      <c r="AF56" s="4">
        <v>26.9</v>
      </c>
      <c r="AG56" s="4">
        <v>8.5</v>
      </c>
      <c r="AH56" s="4">
        <v>10.6</v>
      </c>
      <c r="AI56" s="1">
        <v>1581.9335000000001</v>
      </c>
      <c r="AJ56" s="1">
        <v>4793.7374999999902</v>
      </c>
      <c r="AL56" s="14" t="s">
        <v>833</v>
      </c>
      <c r="AM56" s="1" t="s">
        <v>106</v>
      </c>
      <c r="AN56" s="11">
        <f>D56</f>
        <v>43768</v>
      </c>
      <c r="AO56" s="2">
        <f>SUM(E56:E57)</f>
        <v>4.97</v>
      </c>
      <c r="AP56" s="2">
        <f>SUM(F56:F57)</f>
        <v>0.32</v>
      </c>
      <c r="AQ56" s="2">
        <f>AO56-AP56</f>
        <v>4.6499999999999995</v>
      </c>
      <c r="AR56" s="1">
        <f>AQ56/(2*$A$38)*$A$39</f>
        <v>5720.9645669291331</v>
      </c>
      <c r="AS56" s="1">
        <v>5318.1083774265308</v>
      </c>
      <c r="AT56" s="11">
        <f>I56</f>
        <v>43787</v>
      </c>
      <c r="AU56" s="2">
        <f>SUM(J56:J57)</f>
        <v>2.3600000000000003</v>
      </c>
      <c r="AV56" s="2">
        <f>SUM(K56:K57)</f>
        <v>5.7799999999999994</v>
      </c>
      <c r="AW56" s="7">
        <f>(AU56-2*$A$40)/AQ56</f>
        <v>0.38709677419354849</v>
      </c>
      <c r="AX56" s="7">
        <f>(AV56-2*$A$41)/AQ56</f>
        <v>0.52043010752688168</v>
      </c>
      <c r="AY56" s="7">
        <f>1-AW56-AX56</f>
        <v>9.2473118279569833E-2</v>
      </c>
      <c r="AZ56" s="2">
        <f>SUM(O56:O57)</f>
        <v>83.62</v>
      </c>
      <c r="BA56" s="2">
        <f t="shared" ref="BA56" si="31">SUM(P56:P57)</f>
        <v>81.28</v>
      </c>
      <c r="BB56" s="2">
        <f t="shared" ref="BB56" si="32">SUM(Q56:Q57)</f>
        <v>272.14</v>
      </c>
      <c r="BC56" s="2">
        <f t="shared" ref="BC56" si="33">SUM(R56:R57)</f>
        <v>261.52999999999997</v>
      </c>
      <c r="BD56" s="2">
        <f>(AZ56-BA56)/AZ56*100</f>
        <v>2.7983735948337758</v>
      </c>
      <c r="BE56" s="2">
        <f>(BB56-BC56)/BB56*100</f>
        <v>3.8987285955758115</v>
      </c>
      <c r="BF56" s="1">
        <f>AS56*AW56</f>
        <v>2058.6225977134964</v>
      </c>
      <c r="BG56" s="1">
        <f>AS56*AX56</f>
        <v>2767.7037147036995</v>
      </c>
      <c r="BH56" s="1">
        <f>BF56+BG56</f>
        <v>4826.3263124171954</v>
      </c>
      <c r="BI56" s="1">
        <f>BF56*(1-BD56/100)</f>
        <v>2001.0146465218006</v>
      </c>
      <c r="BJ56" s="1">
        <f>BG56*(1-BE56/100)</f>
        <v>2659.7984585377326</v>
      </c>
      <c r="BK56" s="1">
        <f>BI56+BJ56</f>
        <v>4660.813105059533</v>
      </c>
      <c r="BL56" s="11" t="str">
        <f>AA56</f>
        <v>0991913414208</v>
      </c>
      <c r="BM56" s="11">
        <f>AB56</f>
        <v>43803</v>
      </c>
      <c r="BN56" s="1">
        <f>AVERAGE(AC56:AC57)</f>
        <v>50.6</v>
      </c>
      <c r="BO56" s="2">
        <f t="shared" ref="BO56" si="34">AVERAGE(AD56:AD57)</f>
        <v>1.08</v>
      </c>
      <c r="BP56" s="1">
        <f t="shared" ref="BP56" si="35">AVERAGE(AE56:AE57)</f>
        <v>80.5</v>
      </c>
      <c r="BQ56" s="1">
        <f t="shared" ref="BQ56" si="36">AVERAGE(AF56:AF57)</f>
        <v>26.95</v>
      </c>
      <c r="BR56" s="1">
        <f t="shared" ref="BR56" si="37">AVERAGE(AG56:AG57)</f>
        <v>8.9499999999999993</v>
      </c>
      <c r="BS56" s="1">
        <f t="shared" ref="BS56" si="38">AVERAGE(AH56:AH57)</f>
        <v>10.75</v>
      </c>
    </row>
    <row r="57" spans="1:71" x14ac:dyDescent="0.3">
      <c r="A57">
        <v>8</v>
      </c>
      <c r="B57" s="3" t="s">
        <v>204</v>
      </c>
      <c r="C57" s="3" t="s">
        <v>106</v>
      </c>
      <c r="D57" s="13">
        <v>43768</v>
      </c>
      <c r="E57" s="2">
        <v>2.2599999999999998</v>
      </c>
      <c r="F57" s="2">
        <v>0.16</v>
      </c>
      <c r="G57" s="2">
        <f t="shared" si="2"/>
        <v>2.0999999999999996</v>
      </c>
      <c r="H57" s="4">
        <f t="shared" si="3"/>
        <v>5167.3228346456681</v>
      </c>
      <c r="I57" s="10">
        <v>43787</v>
      </c>
      <c r="J57" s="2">
        <v>1.1000000000000001</v>
      </c>
      <c r="K57" s="2">
        <v>2.78</v>
      </c>
      <c r="L57" s="6">
        <f t="shared" si="4"/>
        <v>0.39047619047619059</v>
      </c>
      <c r="M57" s="6">
        <f t="shared" si="5"/>
        <v>0.52380952380952384</v>
      </c>
      <c r="N57" s="6">
        <f t="shared" si="6"/>
        <v>8.5714285714285521E-2</v>
      </c>
      <c r="O57" s="2">
        <v>50.33</v>
      </c>
      <c r="P57" s="2">
        <v>48.91</v>
      </c>
      <c r="Q57" s="2">
        <v>133.47999999999999</v>
      </c>
      <c r="R57" s="2">
        <v>128.38999999999999</v>
      </c>
      <c r="S57" s="5">
        <f t="shared" si="7"/>
        <v>2.8213788992648552</v>
      </c>
      <c r="T57" s="5">
        <f t="shared" si="8"/>
        <v>3.8133053640994929</v>
      </c>
      <c r="U57" s="4">
        <f t="shared" si="9"/>
        <v>2017.7165354330709</v>
      </c>
      <c r="V57" s="4">
        <f t="shared" si="10"/>
        <v>2706.6929133858262</v>
      </c>
      <c r="W57" s="4">
        <f t="shared" si="11"/>
        <v>4724.4094488188966</v>
      </c>
      <c r="X57" s="4">
        <f t="shared" si="12"/>
        <v>1960.7891068553843</v>
      </c>
      <c r="Y57" s="4">
        <f t="shared" si="13"/>
        <v>2603.4784473299837</v>
      </c>
      <c r="Z57" s="4">
        <f t="shared" si="14"/>
        <v>4564.2675541853678</v>
      </c>
      <c r="AA57" t="s">
        <v>166</v>
      </c>
      <c r="AB57" s="10">
        <v>43803</v>
      </c>
      <c r="AC57" s="4">
        <v>51.4</v>
      </c>
      <c r="AD57" s="5">
        <v>1.06</v>
      </c>
      <c r="AE57" s="4">
        <v>80.3</v>
      </c>
      <c r="AF57" s="4">
        <v>27</v>
      </c>
      <c r="AG57" s="4">
        <v>9.4</v>
      </c>
      <c r="AH57" s="4">
        <v>10.9</v>
      </c>
      <c r="AI57" s="1">
        <v>1166.5216666666599</v>
      </c>
      <c r="AJ57" s="1">
        <v>3534.9153333333302</v>
      </c>
      <c r="AL57" s="14"/>
      <c r="AM57" s="1"/>
      <c r="AN57" s="1"/>
      <c r="AO57" s="2"/>
      <c r="AP57" s="2"/>
      <c r="AQ57" s="2"/>
      <c r="AR57" s="1"/>
      <c r="AS57" s="1"/>
      <c r="AT57" s="2"/>
      <c r="AU57" s="2"/>
      <c r="AV57" s="2"/>
      <c r="AW57" s="7"/>
      <c r="AX57" s="7"/>
      <c r="AY57" s="7"/>
      <c r="AZ57" s="2"/>
      <c r="BA57" s="2"/>
      <c r="BB57" s="2"/>
      <c r="BC57" s="2"/>
      <c r="BD57" s="2"/>
      <c r="BE57" s="2"/>
      <c r="BF57" s="1"/>
      <c r="BG57" s="1"/>
      <c r="BH57" s="1"/>
      <c r="BI57" s="1"/>
      <c r="BJ57" s="1"/>
      <c r="BK57" s="1"/>
      <c r="BL57" s="11"/>
      <c r="BM57" s="1"/>
      <c r="BN57" s="1"/>
      <c r="BO57" s="2"/>
      <c r="BP57" s="1"/>
      <c r="BQ57" s="1"/>
      <c r="BR57" s="1"/>
      <c r="BS57" s="1"/>
    </row>
    <row r="58" spans="1:71" x14ac:dyDescent="0.3">
      <c r="A58">
        <v>9</v>
      </c>
      <c r="B58" s="3" t="s">
        <v>205</v>
      </c>
      <c r="C58" s="3" t="s">
        <v>106</v>
      </c>
      <c r="D58" s="13">
        <v>43768</v>
      </c>
      <c r="E58" s="2">
        <v>2.58</v>
      </c>
      <c r="F58" s="2">
        <v>0.16</v>
      </c>
      <c r="G58" s="2">
        <f t="shared" si="2"/>
        <v>2.42</v>
      </c>
      <c r="H58" s="4">
        <f t="shared" si="3"/>
        <v>5954.7244094488187</v>
      </c>
      <c r="I58" s="10">
        <v>43787</v>
      </c>
      <c r="J58" s="2">
        <v>1.3</v>
      </c>
      <c r="K58" s="2">
        <v>3</v>
      </c>
      <c r="L58" s="6">
        <f t="shared" si="4"/>
        <v>0.42148760330578516</v>
      </c>
      <c r="M58" s="6">
        <f t="shared" si="5"/>
        <v>0.54545454545454553</v>
      </c>
      <c r="N58" s="6">
        <f t="shared" si="6"/>
        <v>3.3057851239669311E-2</v>
      </c>
      <c r="O58" s="2">
        <v>44.2</v>
      </c>
      <c r="P58" s="2">
        <v>42.99</v>
      </c>
      <c r="Q58" s="2">
        <v>150.77000000000001</v>
      </c>
      <c r="R58" s="2">
        <v>144.91</v>
      </c>
      <c r="S58" s="5">
        <f t="shared" si="7"/>
        <v>2.7375565610859747</v>
      </c>
      <c r="T58" s="5">
        <f t="shared" si="8"/>
        <v>3.8867148636996833</v>
      </c>
      <c r="U58" s="4">
        <f t="shared" si="9"/>
        <v>2509.8425196850394</v>
      </c>
      <c r="V58" s="4">
        <f t="shared" si="10"/>
        <v>3248.0314960629926</v>
      </c>
      <c r="W58" s="4">
        <f t="shared" si="11"/>
        <v>5757.8740157480315</v>
      </c>
      <c r="X58" s="4">
        <f t="shared" si="12"/>
        <v>2441.1341611144762</v>
      </c>
      <c r="Y58" s="4">
        <f t="shared" si="13"/>
        <v>3121.7897731278649</v>
      </c>
      <c r="Z58" s="4">
        <f t="shared" si="14"/>
        <v>5562.9239342423407</v>
      </c>
      <c r="AA58" t="s">
        <v>143</v>
      </c>
      <c r="AB58" s="10">
        <v>43803</v>
      </c>
      <c r="AC58" s="4">
        <v>47.699999999999996</v>
      </c>
      <c r="AD58" s="5">
        <v>1.1100000000000001</v>
      </c>
      <c r="AE58" s="4">
        <v>80.7</v>
      </c>
      <c r="AF58" s="4">
        <v>27.2</v>
      </c>
      <c r="AG58" s="4">
        <v>9.3000000000000007</v>
      </c>
      <c r="AH58" s="4">
        <v>9.5</v>
      </c>
      <c r="AI58" s="1">
        <v>1623.1212</v>
      </c>
      <c r="AJ58" s="1">
        <v>4918.54899999999</v>
      </c>
      <c r="AL58" s="14" t="s">
        <v>834</v>
      </c>
      <c r="AM58" s="1" t="s">
        <v>106</v>
      </c>
      <c r="AN58" s="11">
        <f>D58</f>
        <v>43768</v>
      </c>
      <c r="AO58" s="2">
        <f>SUM(E58:E59)</f>
        <v>5.13</v>
      </c>
      <c r="AP58" s="2">
        <f>SUM(F58:F59)</f>
        <v>0.32</v>
      </c>
      <c r="AQ58" s="2">
        <f>AO58-AP58</f>
        <v>4.8099999999999996</v>
      </c>
      <c r="AR58" s="1">
        <f>AQ58/(2*$A$38)*$A$39</f>
        <v>5917.8149606299203</v>
      </c>
      <c r="AS58" s="1">
        <v>5639.7838906451716</v>
      </c>
      <c r="AT58" s="11">
        <f>I58</f>
        <v>43787</v>
      </c>
      <c r="AU58" s="2">
        <f>SUM(J58:J59)</f>
        <v>2.4000000000000004</v>
      </c>
      <c r="AV58" s="2">
        <f>SUM(K58:K59)</f>
        <v>5.88</v>
      </c>
      <c r="AW58" s="7">
        <f>(AU58-2*$A$40)/AQ58</f>
        <v>0.38253638253638261</v>
      </c>
      <c r="AX58" s="7">
        <f>(AV58-2*$A$41)/AQ58</f>
        <v>0.52390852390852394</v>
      </c>
      <c r="AY58" s="7">
        <f>1-AW58-AX58</f>
        <v>9.3555093555093505E-2</v>
      </c>
      <c r="AZ58" s="2">
        <f>SUM(O58:O59)</f>
        <v>98.4</v>
      </c>
      <c r="BA58" s="2">
        <f t="shared" ref="BA58" si="39">SUM(P58:P59)</f>
        <v>95.75</v>
      </c>
      <c r="BB58" s="2">
        <f t="shared" ref="BB58" si="40">SUM(Q58:Q59)</f>
        <v>284.90999999999997</v>
      </c>
      <c r="BC58" s="2">
        <f t="shared" ref="BC58" si="41">SUM(R58:R59)</f>
        <v>273.73</v>
      </c>
      <c r="BD58" s="2">
        <f>(AZ58-BA58)/AZ58*100</f>
        <v>2.6930894308943145</v>
      </c>
      <c r="BE58" s="2">
        <f>(BB58-BC58)/BB58*100</f>
        <v>3.9240461900249031</v>
      </c>
      <c r="BF58" s="1">
        <f>AS58*AW58</f>
        <v>2157.4225278143695</v>
      </c>
      <c r="BG58" s="1">
        <f>AS58*AX58</f>
        <v>2954.730853310984</v>
      </c>
      <c r="BH58" s="1">
        <f>BF58+BG58</f>
        <v>5112.1533811253539</v>
      </c>
      <c r="BI58" s="1">
        <f>BF58*(1-BD58/100)</f>
        <v>2099.3212097380679</v>
      </c>
      <c r="BJ58" s="1">
        <f>BG58*(1-BE58/100)</f>
        <v>2838.7858498361443</v>
      </c>
      <c r="BK58" s="1">
        <f>BI58+BJ58</f>
        <v>4938.1070595742121</v>
      </c>
      <c r="BL58" s="11" t="str">
        <f>AA58</f>
        <v>0991913421210</v>
      </c>
      <c r="BM58" s="11">
        <f>AB58</f>
        <v>43803</v>
      </c>
      <c r="BN58" s="1">
        <f>AVERAGE(AC58:AC59)</f>
        <v>47.05</v>
      </c>
      <c r="BO58" s="2">
        <f t="shared" ref="BO58" si="42">AVERAGE(AD58:AD59)</f>
        <v>1.105</v>
      </c>
      <c r="BP58" s="1">
        <f t="shared" ref="BP58" si="43">AVERAGE(AE58:AE59)</f>
        <v>80.75</v>
      </c>
      <c r="BQ58" s="1">
        <f t="shared" ref="BQ58" si="44">AVERAGE(AF58:AF59)</f>
        <v>27.25</v>
      </c>
      <c r="BR58" s="1">
        <f t="shared" ref="BR58" si="45">AVERAGE(AG58:AG59)</f>
        <v>9.1999999999999993</v>
      </c>
      <c r="BS58" s="1">
        <f t="shared" ref="BS58" si="46">AVERAGE(AH58:AH59)</f>
        <v>9.75</v>
      </c>
    </row>
    <row r="59" spans="1:71" x14ac:dyDescent="0.3">
      <c r="A59">
        <v>10</v>
      </c>
      <c r="B59" s="3" t="s">
        <v>206</v>
      </c>
      <c r="C59" s="3" t="s">
        <v>106</v>
      </c>
      <c r="D59" s="13">
        <v>43768</v>
      </c>
      <c r="E59" s="2">
        <v>2.5499999999999998</v>
      </c>
      <c r="F59" s="2">
        <v>0.16</v>
      </c>
      <c r="G59" s="2">
        <f t="shared" si="2"/>
        <v>2.3899999999999997</v>
      </c>
      <c r="H59" s="4">
        <f t="shared" si="3"/>
        <v>5880.9055118110227</v>
      </c>
      <c r="I59" s="10">
        <v>43787</v>
      </c>
      <c r="J59" s="2">
        <v>1.1000000000000001</v>
      </c>
      <c r="K59" s="2">
        <v>2.88</v>
      </c>
      <c r="L59" s="6">
        <f t="shared" si="4"/>
        <v>0.34309623430962349</v>
      </c>
      <c r="M59" s="6">
        <f t="shared" si="5"/>
        <v>0.50209205020920511</v>
      </c>
      <c r="N59" s="6">
        <f t="shared" si="6"/>
        <v>0.15481171548117134</v>
      </c>
      <c r="O59" s="2">
        <v>54.2</v>
      </c>
      <c r="P59" s="2">
        <v>52.76</v>
      </c>
      <c r="Q59" s="2">
        <v>134.13999999999999</v>
      </c>
      <c r="R59" s="2">
        <v>128.82</v>
      </c>
      <c r="S59" s="5">
        <f t="shared" si="7"/>
        <v>2.6568265682656915</v>
      </c>
      <c r="T59" s="5">
        <f t="shared" si="8"/>
        <v>3.9660056657223746</v>
      </c>
      <c r="U59" s="4">
        <f t="shared" si="9"/>
        <v>2017.7165354330709</v>
      </c>
      <c r="V59" s="4">
        <f t="shared" si="10"/>
        <v>2952.7559055118113</v>
      </c>
      <c r="W59" s="4">
        <f t="shared" si="11"/>
        <v>4970.4724409448827</v>
      </c>
      <c r="X59" s="4">
        <f t="shared" si="12"/>
        <v>1964.1093064473951</v>
      </c>
      <c r="Y59" s="4">
        <f t="shared" si="13"/>
        <v>2835.6494390042608</v>
      </c>
      <c r="Z59" s="4">
        <f t="shared" si="14"/>
        <v>4799.7587454516561</v>
      </c>
      <c r="AA59" s="8" t="s">
        <v>167</v>
      </c>
      <c r="AB59" s="10">
        <v>43803</v>
      </c>
      <c r="AC59" s="4">
        <v>46.4</v>
      </c>
      <c r="AD59" s="5">
        <v>1.1000000000000001</v>
      </c>
      <c r="AE59" s="4">
        <v>80.8</v>
      </c>
      <c r="AF59" s="4">
        <v>27.3</v>
      </c>
      <c r="AG59" s="4">
        <v>9.1</v>
      </c>
      <c r="AH59" s="4">
        <v>10</v>
      </c>
      <c r="AI59" s="1">
        <v>1277.51133333333</v>
      </c>
      <c r="AJ59" s="1">
        <v>3871.2466666666601</v>
      </c>
      <c r="AL59" s="14"/>
      <c r="AM59" s="1"/>
      <c r="AN59" s="1"/>
      <c r="AO59" s="2"/>
      <c r="AP59" s="2"/>
      <c r="AQ59" s="2"/>
      <c r="AR59" s="1"/>
      <c r="AS59" s="1"/>
      <c r="AT59" s="2"/>
      <c r="AU59" s="2"/>
      <c r="AV59" s="2"/>
      <c r="AW59" s="7"/>
      <c r="AX59" s="7"/>
      <c r="AY59" s="7"/>
      <c r="AZ59" s="2"/>
      <c r="BA59" s="2"/>
      <c r="BB59" s="2"/>
      <c r="BC59" s="2"/>
      <c r="BD59" s="2"/>
      <c r="BE59" s="2"/>
      <c r="BF59" s="1"/>
      <c r="BG59" s="1"/>
      <c r="BH59" s="1"/>
      <c r="BI59" s="1"/>
      <c r="BJ59" s="1"/>
      <c r="BK59" s="1"/>
      <c r="BL59" s="11"/>
      <c r="BM59" s="1"/>
      <c r="BN59" s="1"/>
      <c r="BO59" s="2"/>
      <c r="BP59" s="1"/>
      <c r="BQ59" s="1"/>
      <c r="BR59" s="1"/>
      <c r="BS59" s="1"/>
    </row>
    <row r="60" spans="1:71" x14ac:dyDescent="0.3">
      <c r="A60">
        <v>11</v>
      </c>
      <c r="B60" s="3" t="s">
        <v>207</v>
      </c>
      <c r="C60" s="3" t="s">
        <v>106</v>
      </c>
      <c r="D60" s="13">
        <v>43768</v>
      </c>
      <c r="E60" s="2">
        <v>2.5099999999999998</v>
      </c>
      <c r="F60" s="2">
        <v>0.16</v>
      </c>
      <c r="G60" s="2">
        <f t="shared" si="2"/>
        <v>2.3499999999999996</v>
      </c>
      <c r="H60" s="4">
        <f t="shared" si="3"/>
        <v>5782.4803149606287</v>
      </c>
      <c r="I60" s="10">
        <v>43787</v>
      </c>
      <c r="J60" s="2">
        <v>1.22</v>
      </c>
      <c r="K60" s="2">
        <v>2.9</v>
      </c>
      <c r="L60" s="6">
        <f t="shared" si="4"/>
        <v>0.4</v>
      </c>
      <c r="M60" s="6">
        <f t="shared" si="5"/>
        <v>0.51914893617021285</v>
      </c>
      <c r="N60" s="6">
        <f t="shared" si="6"/>
        <v>8.0851063829787129E-2</v>
      </c>
      <c r="O60" s="2">
        <v>58.9</v>
      </c>
      <c r="P60" s="2">
        <v>57.34</v>
      </c>
      <c r="Q60" s="2">
        <v>129.22999999999999</v>
      </c>
      <c r="R60" s="2">
        <v>124.06</v>
      </c>
      <c r="S60" s="5">
        <f t="shared" si="7"/>
        <v>2.6485568760611122</v>
      </c>
      <c r="T60" s="5">
        <f t="shared" si="8"/>
        <v>4.0006190513038673</v>
      </c>
      <c r="U60" s="4">
        <f t="shared" si="9"/>
        <v>2312.9921259842517</v>
      </c>
      <c r="V60" s="4">
        <f t="shared" si="10"/>
        <v>3001.9685039370079</v>
      </c>
      <c r="W60" s="4">
        <f t="shared" si="11"/>
        <v>5314.9606299212592</v>
      </c>
      <c r="X60" s="4">
        <f t="shared" si="12"/>
        <v>2251.7312139887435</v>
      </c>
      <c r="Y60" s="4">
        <f t="shared" si="13"/>
        <v>2881.8711800543624</v>
      </c>
      <c r="Z60" s="4">
        <f t="shared" si="14"/>
        <v>5133.602394043106</v>
      </c>
      <c r="AA60" t="s">
        <v>144</v>
      </c>
      <c r="AB60" s="10">
        <v>43803</v>
      </c>
      <c r="AC60" s="4">
        <v>47.699999999999996</v>
      </c>
      <c r="AD60" s="5">
        <v>1.07</v>
      </c>
      <c r="AE60" s="4">
        <v>81</v>
      </c>
      <c r="AF60" s="4">
        <v>26.5</v>
      </c>
      <c r="AG60" s="4">
        <v>9.1999999999999993</v>
      </c>
      <c r="AH60" s="4">
        <v>10.3</v>
      </c>
      <c r="AI60" s="1">
        <v>1511.0605</v>
      </c>
      <c r="AJ60" s="1">
        <v>4578.9719999999897</v>
      </c>
      <c r="AL60" s="14" t="s">
        <v>835</v>
      </c>
      <c r="AM60" s="1" t="s">
        <v>106</v>
      </c>
      <c r="AN60" s="11">
        <f>D60</f>
        <v>43768</v>
      </c>
      <c r="AO60" s="2">
        <f>SUM(E60:E61)</f>
        <v>5.51</v>
      </c>
      <c r="AP60" s="2">
        <f>SUM(F60:F61)</f>
        <v>0.32</v>
      </c>
      <c r="AQ60" s="2">
        <f>AO60-AP60</f>
        <v>5.1899999999999995</v>
      </c>
      <c r="AR60" s="1">
        <f>AQ60/(2*$A$38)*$A$39</f>
        <v>6385.3346456692907</v>
      </c>
      <c r="AS60" s="1">
        <v>5900.9246594721735</v>
      </c>
      <c r="AT60" s="11">
        <f>I60</f>
        <v>43787</v>
      </c>
      <c r="AU60" s="2">
        <f>SUM(J60:J61)</f>
        <v>2.62</v>
      </c>
      <c r="AV60" s="2">
        <f>SUM(K60:K61)</f>
        <v>6.0600000000000005</v>
      </c>
      <c r="AW60" s="7">
        <f>(AU60-2*$A$40)/AQ60</f>
        <v>0.39691714836223513</v>
      </c>
      <c r="AX60" s="7">
        <f>(AV60-2*$A$41)/AQ60</f>
        <v>0.52023121387283255</v>
      </c>
      <c r="AY60" s="7">
        <f>1-AW60-AX60</f>
        <v>8.2851637764932318E-2</v>
      </c>
      <c r="AZ60" s="2">
        <f>SUM(O60:O61)</f>
        <v>102.8</v>
      </c>
      <c r="BA60" s="2">
        <f t="shared" ref="BA60" si="47">SUM(P60:P61)</f>
        <v>100.07</v>
      </c>
      <c r="BB60" s="2">
        <f t="shared" ref="BB60" si="48">SUM(Q60:Q61)</f>
        <v>269.60000000000002</v>
      </c>
      <c r="BC60" s="2">
        <f t="shared" ref="BC60" si="49">SUM(R60:R61)</f>
        <v>258.78999999999996</v>
      </c>
      <c r="BD60" s="2">
        <f>(AZ60-BA60)/AZ60*100</f>
        <v>2.6556420233463074</v>
      </c>
      <c r="BE60" s="2">
        <f>(BB60-BC60)/BB60*100</f>
        <v>4.0096439169139675</v>
      </c>
      <c r="BF60" s="1">
        <f>AS60*AW60</f>
        <v>2342.1781885380883</v>
      </c>
      <c r="BG60" s="1">
        <f>AS60*AX60</f>
        <v>3069.84519856934</v>
      </c>
      <c r="BH60" s="1">
        <f>BF60+BG60</f>
        <v>5412.0233871074288</v>
      </c>
      <c r="BI60" s="1">
        <f>BF60*(1-BD60/100)</f>
        <v>2279.9783203016195</v>
      </c>
      <c r="BJ60" s="1">
        <f>BG60*(1-BE60/100)</f>
        <v>2946.7553373062292</v>
      </c>
      <c r="BK60" s="1">
        <f>BI60+BJ60</f>
        <v>5226.7336576078487</v>
      </c>
      <c r="BL60" s="11" t="str">
        <f>AA60</f>
        <v>0991913422212</v>
      </c>
      <c r="BM60" s="11">
        <f>AB60</f>
        <v>43803</v>
      </c>
      <c r="BN60" s="1">
        <f>AVERAGE(AC60:AC61)</f>
        <v>47.15</v>
      </c>
      <c r="BO60" s="2">
        <f t="shared" ref="BO60" si="50">AVERAGE(AD60:AD61)</f>
        <v>1.08</v>
      </c>
      <c r="BP60" s="1">
        <f t="shared" ref="BP60" si="51">AVERAGE(AE60:AE61)</f>
        <v>80.900000000000006</v>
      </c>
      <c r="BQ60" s="1">
        <f t="shared" ref="BQ60" si="52">AVERAGE(AF60:AF61)</f>
        <v>26.75</v>
      </c>
      <c r="BR60" s="1">
        <f t="shared" ref="BR60" si="53">AVERAGE(AG60:AG61)</f>
        <v>9.0500000000000007</v>
      </c>
      <c r="BS60" s="1">
        <f t="shared" ref="BS60" si="54">AVERAGE(AH60:AH61)</f>
        <v>10.45</v>
      </c>
    </row>
    <row r="61" spans="1:71" x14ac:dyDescent="0.3">
      <c r="A61">
        <v>12</v>
      </c>
      <c r="B61" s="3" t="s">
        <v>208</v>
      </c>
      <c r="C61" s="3" t="s">
        <v>106</v>
      </c>
      <c r="D61" s="13">
        <v>43768</v>
      </c>
      <c r="E61" s="2">
        <v>3</v>
      </c>
      <c r="F61" s="2">
        <v>0.16</v>
      </c>
      <c r="G61" s="2">
        <f t="shared" si="2"/>
        <v>2.84</v>
      </c>
      <c r="H61" s="4">
        <f t="shared" si="3"/>
        <v>6988.1889763779527</v>
      </c>
      <c r="I61" s="10">
        <v>43787</v>
      </c>
      <c r="J61" s="2">
        <v>1.4</v>
      </c>
      <c r="K61" s="2">
        <v>3.16</v>
      </c>
      <c r="L61" s="6">
        <f t="shared" si="4"/>
        <v>0.39436619718309857</v>
      </c>
      <c r="M61" s="6">
        <f t="shared" si="5"/>
        <v>0.52112676056338036</v>
      </c>
      <c r="N61" s="6">
        <f t="shared" si="6"/>
        <v>8.4507042253521125E-2</v>
      </c>
      <c r="O61" s="2">
        <v>43.9</v>
      </c>
      <c r="P61" s="2">
        <v>42.73</v>
      </c>
      <c r="Q61" s="2">
        <v>140.37</v>
      </c>
      <c r="R61" s="2">
        <v>134.72999999999999</v>
      </c>
      <c r="S61" s="5">
        <f t="shared" si="7"/>
        <v>2.6651480637813254</v>
      </c>
      <c r="T61" s="5">
        <f t="shared" si="8"/>
        <v>4.0179525539645331</v>
      </c>
      <c r="U61" s="4">
        <f t="shared" si="9"/>
        <v>2755.9055118110236</v>
      </c>
      <c r="V61" s="4">
        <f t="shared" si="10"/>
        <v>3641.7322834645674</v>
      </c>
      <c r="W61" s="4">
        <f t="shared" si="11"/>
        <v>6397.6377952755911</v>
      </c>
      <c r="X61" s="4">
        <f t="shared" si="12"/>
        <v>2682.4565494233493</v>
      </c>
      <c r="Y61" s="4">
        <f t="shared" si="13"/>
        <v>3495.4092081725521</v>
      </c>
      <c r="Z61" s="4">
        <f t="shared" si="14"/>
        <v>6177.8657575959014</v>
      </c>
      <c r="AA61" s="8" t="s">
        <v>168</v>
      </c>
      <c r="AB61" s="10">
        <v>43803</v>
      </c>
      <c r="AC61" s="4">
        <v>46.6</v>
      </c>
      <c r="AD61" s="5">
        <v>1.0900000000000001</v>
      </c>
      <c r="AE61" s="4">
        <v>80.8</v>
      </c>
      <c r="AF61" s="4">
        <v>27</v>
      </c>
      <c r="AG61" s="4">
        <v>8.9</v>
      </c>
      <c r="AH61" s="4">
        <v>10.6</v>
      </c>
      <c r="AI61" s="1">
        <v>1729.57766666666</v>
      </c>
      <c r="AJ61" s="1">
        <v>5241.1449999999904</v>
      </c>
      <c r="AL61" s="14"/>
      <c r="AM61" s="1"/>
      <c r="AN61" s="1"/>
      <c r="AO61" s="2"/>
      <c r="AP61" s="2"/>
      <c r="AQ61" s="2"/>
      <c r="AR61" s="1"/>
      <c r="AS61" s="1"/>
      <c r="AT61" s="2"/>
      <c r="AU61" s="2"/>
      <c r="AV61" s="2"/>
      <c r="AW61" s="7"/>
      <c r="AX61" s="7"/>
      <c r="AY61" s="7"/>
      <c r="AZ61" s="2"/>
      <c r="BA61" s="2"/>
      <c r="BB61" s="2"/>
      <c r="BC61" s="2"/>
      <c r="BD61" s="2"/>
      <c r="BE61" s="2"/>
      <c r="BF61" s="1"/>
      <c r="BG61" s="1"/>
      <c r="BH61" s="1"/>
      <c r="BI61" s="1"/>
      <c r="BJ61" s="1"/>
      <c r="BK61" s="1"/>
      <c r="BL61" s="11"/>
      <c r="BM61" s="1"/>
      <c r="BN61" s="1"/>
      <c r="BO61" s="2"/>
      <c r="BP61" s="1"/>
      <c r="BQ61" s="1"/>
      <c r="BR61" s="1"/>
      <c r="BS61" s="1"/>
    </row>
    <row r="62" spans="1:71" x14ac:dyDescent="0.3">
      <c r="A62">
        <v>13</v>
      </c>
      <c r="B62" s="3" t="s">
        <v>209</v>
      </c>
      <c r="C62" s="3" t="s">
        <v>106</v>
      </c>
      <c r="D62" s="13">
        <v>43768</v>
      </c>
      <c r="E62" s="2">
        <v>2.35</v>
      </c>
      <c r="F62" s="2">
        <v>0.16</v>
      </c>
      <c r="G62" s="2">
        <f t="shared" si="2"/>
        <v>2.19</v>
      </c>
      <c r="H62" s="4">
        <f t="shared" si="3"/>
        <v>5388.7795275590543</v>
      </c>
      <c r="I62" s="10">
        <v>43787</v>
      </c>
      <c r="J62" s="2">
        <v>1.1000000000000001</v>
      </c>
      <c r="K62" s="2">
        <v>2.78</v>
      </c>
      <c r="L62" s="6">
        <f t="shared" si="4"/>
        <v>0.37442922374429227</v>
      </c>
      <c r="M62" s="6">
        <f t="shared" si="5"/>
        <v>0.50228310502283102</v>
      </c>
      <c r="N62" s="6">
        <f t="shared" si="6"/>
        <v>0.12328767123287665</v>
      </c>
      <c r="O62" s="2">
        <v>48.56</v>
      </c>
      <c r="P62" s="2">
        <v>47.3</v>
      </c>
      <c r="Q62" s="2">
        <v>138.26</v>
      </c>
      <c r="R62" s="2">
        <v>132.79</v>
      </c>
      <c r="S62" s="5">
        <f t="shared" si="7"/>
        <v>2.5947281713344421</v>
      </c>
      <c r="T62" s="5">
        <f t="shared" si="8"/>
        <v>3.9563141906552866</v>
      </c>
      <c r="U62" s="4">
        <f t="shared" si="9"/>
        <v>2017.7165354330707</v>
      </c>
      <c r="V62" s="4">
        <f t="shared" si="10"/>
        <v>2706.6929133858262</v>
      </c>
      <c r="W62" s="4">
        <f t="shared" si="11"/>
        <v>4724.4094488188966</v>
      </c>
      <c r="X62" s="4">
        <f t="shared" si="12"/>
        <v>1965.3622760705157</v>
      </c>
      <c r="Y62" s="4">
        <f t="shared" si="13"/>
        <v>2599.607637556082</v>
      </c>
      <c r="Z62" s="4">
        <f t="shared" si="14"/>
        <v>4564.9699136265972</v>
      </c>
      <c r="AA62" t="s">
        <v>145</v>
      </c>
      <c r="AB62" s="10">
        <v>43803</v>
      </c>
      <c r="AC62" s="4">
        <v>48.3</v>
      </c>
      <c r="AD62" s="5">
        <v>1.08</v>
      </c>
      <c r="AE62" s="4">
        <v>80.3</v>
      </c>
      <c r="AF62" s="4">
        <v>28.4</v>
      </c>
      <c r="AG62" s="4">
        <v>8.9</v>
      </c>
      <c r="AH62" s="4">
        <v>9.6999999999999993</v>
      </c>
      <c r="AI62" s="1">
        <v>1219.6769999999999</v>
      </c>
      <c r="AJ62" s="1">
        <v>3695.9915000000001</v>
      </c>
      <c r="AL62" s="14" t="s">
        <v>836</v>
      </c>
      <c r="AM62" s="1" t="s">
        <v>106</v>
      </c>
      <c r="AN62" s="11">
        <f>D62</f>
        <v>43768</v>
      </c>
      <c r="AO62" s="2">
        <f>SUM(E62:E63)</f>
        <v>4.58</v>
      </c>
      <c r="AP62" s="2">
        <f>SUM(F62:F63)</f>
        <v>0.32</v>
      </c>
      <c r="AQ62" s="2">
        <f>AO62-AP62</f>
        <v>4.26</v>
      </c>
      <c r="AR62" s="1">
        <f>AQ62/(2*$A$38)*$A$39</f>
        <v>5241.1417322834641</v>
      </c>
      <c r="AS62" s="1">
        <v>5495.4250275711665</v>
      </c>
      <c r="AT62" s="11">
        <f>I62</f>
        <v>43787</v>
      </c>
      <c r="AU62" s="2">
        <f>SUM(J62:J63)</f>
        <v>2.16</v>
      </c>
      <c r="AV62" s="2">
        <f>SUM(K62:K63)</f>
        <v>5.52</v>
      </c>
      <c r="AW62" s="7">
        <f>(AU62-2*$A$40)/AQ62</f>
        <v>0.37558685446009393</v>
      </c>
      <c r="AX62" s="7">
        <f>(AV62-2*$A$41)/AQ62</f>
        <v>0.50704225352112675</v>
      </c>
      <c r="AY62" s="7">
        <f>1-AW62-AX62</f>
        <v>0.11737089201877926</v>
      </c>
      <c r="AZ62" s="2">
        <f>SUM(O62:O63)</f>
        <v>97.52000000000001</v>
      </c>
      <c r="BA62" s="2">
        <f t="shared" ref="BA62" si="55">SUM(P62:P63)</f>
        <v>95</v>
      </c>
      <c r="BB62" s="2">
        <f t="shared" ref="BB62" si="56">SUM(Q62:Q63)</f>
        <v>259.64999999999998</v>
      </c>
      <c r="BC62" s="2">
        <f t="shared" ref="BC62" si="57">SUM(R62:R63)</f>
        <v>249.44</v>
      </c>
      <c r="BD62" s="2">
        <f>(AZ62-BA62)/AZ62*100</f>
        <v>2.58408531583266</v>
      </c>
      <c r="BE62" s="2">
        <f>(BB62-BC62)/BB62*100</f>
        <v>3.932216445214705</v>
      </c>
      <c r="BF62" s="1">
        <f>AS62*AW62</f>
        <v>2064.0094000267295</v>
      </c>
      <c r="BG62" s="1">
        <f>AS62*AX62</f>
        <v>2786.4126900360843</v>
      </c>
      <c r="BH62" s="1">
        <f>BF62+BG62</f>
        <v>4850.4220900628134</v>
      </c>
      <c r="BI62" s="1">
        <f>BF62*(1-BD62/100)</f>
        <v>2010.6736362032329</v>
      </c>
      <c r="BJ62" s="1">
        <f>BG62*(1-BE62/100)</f>
        <v>2676.8449120069358</v>
      </c>
      <c r="BK62" s="1">
        <f>BI62+BJ62</f>
        <v>4687.5185482101688</v>
      </c>
      <c r="BL62" s="11" t="str">
        <f>AA62</f>
        <v>0991913423214</v>
      </c>
      <c r="BM62" s="11">
        <f>AB62</f>
        <v>43803</v>
      </c>
      <c r="BN62" s="1">
        <f>AVERAGE(AC62:AC63)</f>
        <v>48.85</v>
      </c>
      <c r="BO62" s="2">
        <f t="shared" ref="BO62" si="58">AVERAGE(AD62:AD63)</f>
        <v>1.0550000000000002</v>
      </c>
      <c r="BP62" s="1">
        <f t="shared" ref="BP62" si="59">AVERAGE(AE62:AE63)</f>
        <v>79.849999999999994</v>
      </c>
      <c r="BQ62" s="1">
        <f t="shared" ref="BQ62" si="60">AVERAGE(AF62:AF63)</f>
        <v>26.4</v>
      </c>
      <c r="BR62" s="1">
        <f t="shared" ref="BR62" si="61">AVERAGE(AG62:AG63)</f>
        <v>9.1999999999999993</v>
      </c>
      <c r="BS62" s="1">
        <f t="shared" ref="BS62" si="62">AVERAGE(AH62:AH63)</f>
        <v>10.95</v>
      </c>
    </row>
    <row r="63" spans="1:71" x14ac:dyDescent="0.3">
      <c r="A63">
        <v>14</v>
      </c>
      <c r="B63" s="3" t="s">
        <v>210</v>
      </c>
      <c r="C63" s="3" t="s">
        <v>106</v>
      </c>
      <c r="D63" s="13">
        <v>43768</v>
      </c>
      <c r="E63" s="2">
        <v>2.23</v>
      </c>
      <c r="F63" s="2">
        <v>0.16</v>
      </c>
      <c r="G63" s="2">
        <f t="shared" si="2"/>
        <v>2.0699999999999998</v>
      </c>
      <c r="H63" s="4">
        <f t="shared" si="3"/>
        <v>5093.5039370078739</v>
      </c>
      <c r="I63" s="10">
        <v>43787</v>
      </c>
      <c r="J63" s="2">
        <v>1.06</v>
      </c>
      <c r="K63" s="2">
        <v>2.74</v>
      </c>
      <c r="L63" s="6">
        <f t="shared" si="4"/>
        <v>0.37681159420289861</v>
      </c>
      <c r="M63" s="6">
        <f t="shared" si="5"/>
        <v>0.5120772946859905</v>
      </c>
      <c r="N63" s="6">
        <f t="shared" si="6"/>
        <v>0.11111111111111083</v>
      </c>
      <c r="O63" s="2">
        <v>48.96</v>
      </c>
      <c r="P63" s="2">
        <v>47.7</v>
      </c>
      <c r="Q63" s="2">
        <v>121.39</v>
      </c>
      <c r="R63" s="2">
        <v>116.65</v>
      </c>
      <c r="S63" s="5">
        <f t="shared" si="7"/>
        <v>2.5735294117647021</v>
      </c>
      <c r="T63" s="5">
        <f t="shared" si="8"/>
        <v>3.9047697503912966</v>
      </c>
      <c r="U63" s="4">
        <f t="shared" si="9"/>
        <v>1919.2913385826776</v>
      </c>
      <c r="V63" s="4">
        <f t="shared" si="10"/>
        <v>2608.2677165354339</v>
      </c>
      <c r="W63" s="4">
        <f t="shared" si="11"/>
        <v>4527.5590551181112</v>
      </c>
      <c r="X63" s="4">
        <f t="shared" si="12"/>
        <v>1869.8978114868</v>
      </c>
      <c r="Y63" s="4">
        <f t="shared" si="13"/>
        <v>2506.4208677309362</v>
      </c>
      <c r="Z63" s="4">
        <f t="shared" si="14"/>
        <v>4376.3186792177366</v>
      </c>
      <c r="AA63" s="8" t="s">
        <v>169</v>
      </c>
      <c r="AB63" s="10">
        <v>43803</v>
      </c>
      <c r="AC63" s="4">
        <v>49.400000000000006</v>
      </c>
      <c r="AD63" s="5">
        <v>1.03</v>
      </c>
      <c r="AE63" s="4">
        <v>79.400000000000006</v>
      </c>
      <c r="AF63" s="4">
        <v>24.4</v>
      </c>
      <c r="AG63" s="4">
        <v>9.5</v>
      </c>
      <c r="AH63" s="4">
        <v>12.2</v>
      </c>
      <c r="AI63" s="1">
        <v>1148.2194999999899</v>
      </c>
      <c r="AJ63" s="1">
        <v>3479.4534999999901</v>
      </c>
      <c r="AL63" s="14"/>
      <c r="AM63" s="1"/>
      <c r="AN63" s="1"/>
      <c r="AO63" s="2"/>
      <c r="AP63" s="2"/>
      <c r="AQ63" s="2"/>
      <c r="AR63" s="1"/>
      <c r="AS63" s="1"/>
      <c r="AT63" s="2"/>
      <c r="AU63" s="2"/>
      <c r="AV63" s="2"/>
      <c r="AW63" s="7"/>
      <c r="AX63" s="7"/>
      <c r="AY63" s="7"/>
      <c r="AZ63" s="2"/>
      <c r="BA63" s="2"/>
      <c r="BB63" s="2"/>
      <c r="BC63" s="2"/>
      <c r="BD63" s="2"/>
      <c r="BE63" s="2"/>
      <c r="BF63" s="1"/>
      <c r="BG63" s="1"/>
      <c r="BH63" s="1"/>
      <c r="BI63" s="1"/>
      <c r="BJ63" s="1"/>
      <c r="BK63" s="1"/>
      <c r="BL63" s="11"/>
      <c r="BM63" s="1"/>
      <c r="BN63" s="1"/>
      <c r="BO63" s="2"/>
      <c r="BP63" s="1"/>
      <c r="BQ63" s="1"/>
      <c r="BR63" s="1"/>
      <c r="BS63" s="1"/>
    </row>
    <row r="64" spans="1:71" x14ac:dyDescent="0.3">
      <c r="A64">
        <v>15</v>
      </c>
      <c r="B64" s="3" t="s">
        <v>211</v>
      </c>
      <c r="C64" s="3" t="s">
        <v>106</v>
      </c>
      <c r="D64" s="13">
        <v>43768</v>
      </c>
      <c r="E64" s="2">
        <v>2.4</v>
      </c>
      <c r="F64" s="2">
        <v>0.16</v>
      </c>
      <c r="G64" s="2">
        <f t="shared" si="2"/>
        <v>2.2399999999999998</v>
      </c>
      <c r="H64" s="4">
        <f t="shared" si="3"/>
        <v>5511.8110236220464</v>
      </c>
      <c r="I64" s="10">
        <v>43787</v>
      </c>
      <c r="J64" s="2">
        <v>1.18</v>
      </c>
      <c r="K64" s="2">
        <v>2.8</v>
      </c>
      <c r="L64" s="6">
        <f t="shared" si="4"/>
        <v>0.4017857142857143</v>
      </c>
      <c r="M64" s="6">
        <f t="shared" si="5"/>
        <v>0.5</v>
      </c>
      <c r="N64" s="6">
        <f t="shared" si="6"/>
        <v>9.8214285714285698E-2</v>
      </c>
      <c r="O64" s="2">
        <v>49.92</v>
      </c>
      <c r="P64" s="2">
        <v>48.7</v>
      </c>
      <c r="Q64" s="2">
        <v>182.86</v>
      </c>
      <c r="R64" s="2">
        <v>175.81</v>
      </c>
      <c r="S64" s="5">
        <f t="shared" si="7"/>
        <v>2.4439102564102542</v>
      </c>
      <c r="T64" s="5">
        <f t="shared" si="8"/>
        <v>3.8554085092420491</v>
      </c>
      <c r="U64" s="4">
        <f t="shared" si="9"/>
        <v>2214.5669291338581</v>
      </c>
      <c r="V64" s="4">
        <f t="shared" si="10"/>
        <v>2755.9055118110232</v>
      </c>
      <c r="W64" s="4">
        <f t="shared" si="11"/>
        <v>4970.4724409448809</v>
      </c>
      <c r="X64" s="4">
        <f t="shared" si="12"/>
        <v>2160.4449008176862</v>
      </c>
      <c r="Y64" s="4">
        <f t="shared" si="13"/>
        <v>2649.6540962019903</v>
      </c>
      <c r="Z64" s="4">
        <f t="shared" si="14"/>
        <v>4810.098997019677</v>
      </c>
      <c r="AA64" t="s">
        <v>146</v>
      </c>
      <c r="AB64" s="10">
        <v>43803</v>
      </c>
      <c r="AC64" s="4">
        <v>49.900000000000006</v>
      </c>
      <c r="AD64" s="5">
        <v>1.03</v>
      </c>
      <c r="AE64" s="4">
        <v>80.599999999999994</v>
      </c>
      <c r="AF64" s="4">
        <v>26.5</v>
      </c>
      <c r="AG64" s="4">
        <v>8.5</v>
      </c>
      <c r="AH64" s="4">
        <v>11.2</v>
      </c>
      <c r="AI64" s="1">
        <v>1500.4546666666599</v>
      </c>
      <c r="AJ64" s="1">
        <v>4546.8319999999903</v>
      </c>
      <c r="AL64" s="14" t="s">
        <v>837</v>
      </c>
      <c r="AM64" s="1" t="s">
        <v>106</v>
      </c>
      <c r="AN64" s="11">
        <f>D64</f>
        <v>43768</v>
      </c>
      <c r="AO64" s="2">
        <f>SUM(E64:E65)</f>
        <v>4.58</v>
      </c>
      <c r="AP64" s="2">
        <f>SUM(F64:F65)</f>
        <v>0.32</v>
      </c>
      <c r="AQ64" s="2">
        <f>AO64-AP64</f>
        <v>4.26</v>
      </c>
      <c r="AR64" s="1">
        <f>AQ64/(2*$A$38)*$A$39</f>
        <v>5241.1417322834641</v>
      </c>
      <c r="AS64" s="1">
        <v>5452.4641004138975</v>
      </c>
      <c r="AT64" s="11">
        <f>I64</f>
        <v>43787</v>
      </c>
      <c r="AU64" s="2">
        <f>SUM(J64:J65)</f>
        <v>2.2599999999999998</v>
      </c>
      <c r="AV64" s="2">
        <f>SUM(K64:K65)</f>
        <v>5.52</v>
      </c>
      <c r="AW64" s="7">
        <f>(AU64-2*$A$40)/AQ64</f>
        <v>0.3990610328638497</v>
      </c>
      <c r="AX64" s="7">
        <f>(AV64-2*$A$41)/AQ64</f>
        <v>0.50704225352112675</v>
      </c>
      <c r="AY64" s="7">
        <f>1-AW64-AX64</f>
        <v>9.3896713615023497E-2</v>
      </c>
      <c r="AZ64" s="2">
        <f>SUM(O64:O65)</f>
        <v>104.28</v>
      </c>
      <c r="BA64" s="2">
        <f t="shared" ref="BA64" si="63">SUM(P64:P65)</f>
        <v>101.69</v>
      </c>
      <c r="BB64" s="2">
        <f t="shared" ref="BB64" si="64">SUM(Q64:Q65)</f>
        <v>332.58000000000004</v>
      </c>
      <c r="BC64" s="2">
        <f t="shared" ref="BC64" si="65">SUM(R64:R65)</f>
        <v>319.8</v>
      </c>
      <c r="BD64" s="2">
        <f>(AZ64-BA64)/AZ64*100</f>
        <v>2.4836977368622972</v>
      </c>
      <c r="BE64" s="2">
        <f>(BB64-BC64)/BB64*100</f>
        <v>3.8426844668951916</v>
      </c>
      <c r="BF64" s="1">
        <f>AS64*AW64</f>
        <v>2175.8659555642312</v>
      </c>
      <c r="BG64" s="1">
        <f>AS64*AX64</f>
        <v>2764.6296847169056</v>
      </c>
      <c r="BH64" s="1">
        <f>BF64+BG64</f>
        <v>4940.4956402811367</v>
      </c>
      <c r="BI64" s="1">
        <f>BF64*(1-BD64/100)</f>
        <v>2121.8240220687253</v>
      </c>
      <c r="BJ64" s="1">
        <f>BG64*(1-BE64/100)</f>
        <v>2658.3936892551155</v>
      </c>
      <c r="BK64" s="1">
        <f>BI64+BJ64</f>
        <v>4780.2177113238413</v>
      </c>
      <c r="BL64" s="11" t="str">
        <f>AA64</f>
        <v>0991913424216</v>
      </c>
      <c r="BM64" s="11">
        <f>AB64</f>
        <v>43803</v>
      </c>
      <c r="BN64" s="1">
        <f>AVERAGE(AC64:AC65)</f>
        <v>48.75</v>
      </c>
      <c r="BO64" s="2">
        <f t="shared" ref="BO64" si="66">AVERAGE(AD64:AD65)</f>
        <v>1.0449999999999999</v>
      </c>
      <c r="BP64" s="1">
        <f t="shared" ref="BP64" si="67">AVERAGE(AE64:AE65)</f>
        <v>79.949999999999989</v>
      </c>
      <c r="BQ64" s="1">
        <f t="shared" ref="BQ64" si="68">AVERAGE(AF64:AF65)</f>
        <v>26.1</v>
      </c>
      <c r="BR64" s="1">
        <f t="shared" ref="BR64" si="69">AVERAGE(AG64:AG65)</f>
        <v>8.75</v>
      </c>
      <c r="BS64" s="1">
        <f t="shared" ref="BS64" si="70">AVERAGE(AH64:AH65)</f>
        <v>11.35</v>
      </c>
    </row>
    <row r="65" spans="1:71" x14ac:dyDescent="0.3">
      <c r="A65">
        <v>16</v>
      </c>
      <c r="B65" s="3" t="s">
        <v>212</v>
      </c>
      <c r="C65" s="3" t="s">
        <v>106</v>
      </c>
      <c r="D65" s="13">
        <v>43768</v>
      </c>
      <c r="E65" s="2">
        <v>2.1800000000000002</v>
      </c>
      <c r="F65" s="2">
        <v>0.16</v>
      </c>
      <c r="G65" s="2">
        <f t="shared" si="2"/>
        <v>2.02</v>
      </c>
      <c r="H65" s="4">
        <f t="shared" si="3"/>
        <v>4970.4724409448818</v>
      </c>
      <c r="I65" s="10">
        <v>43787</v>
      </c>
      <c r="J65" s="2">
        <v>1.08</v>
      </c>
      <c r="K65" s="2">
        <v>2.72</v>
      </c>
      <c r="L65" s="6">
        <f t="shared" si="4"/>
        <v>0.39603960396039606</v>
      </c>
      <c r="M65" s="6">
        <f t="shared" si="5"/>
        <v>0.51485148514851498</v>
      </c>
      <c r="N65" s="6">
        <f t="shared" si="6"/>
        <v>8.9108910891088966E-2</v>
      </c>
      <c r="O65" s="2">
        <v>54.36</v>
      </c>
      <c r="P65" s="2">
        <v>52.99</v>
      </c>
      <c r="Q65" s="2">
        <v>149.72</v>
      </c>
      <c r="R65" s="2">
        <v>143.99</v>
      </c>
      <c r="S65" s="5">
        <f t="shared" si="7"/>
        <v>2.52023546725533</v>
      </c>
      <c r="T65" s="5">
        <f t="shared" si="8"/>
        <v>3.8271440021373162</v>
      </c>
      <c r="U65" s="4">
        <f t="shared" si="9"/>
        <v>1968.5039370078741</v>
      </c>
      <c r="V65" s="4">
        <f t="shared" si="10"/>
        <v>2559.0551181102369</v>
      </c>
      <c r="W65" s="4">
        <f t="shared" si="11"/>
        <v>4527.5590551181112</v>
      </c>
      <c r="X65" s="4">
        <f t="shared" si="12"/>
        <v>1918.8930026130843</v>
      </c>
      <c r="Y65" s="4">
        <f t="shared" si="13"/>
        <v>2461.116393646093</v>
      </c>
      <c r="Z65" s="4">
        <f t="shared" si="14"/>
        <v>4380.0093962591773</v>
      </c>
      <c r="AA65" s="8" t="s">
        <v>170</v>
      </c>
      <c r="AB65" s="10">
        <v>43803</v>
      </c>
      <c r="AC65" s="4">
        <v>47.599999999999994</v>
      </c>
      <c r="AD65" s="5">
        <v>1.06</v>
      </c>
      <c r="AE65" s="4">
        <v>79.3</v>
      </c>
      <c r="AF65" s="4">
        <v>25.7</v>
      </c>
      <c r="AG65" s="4">
        <v>9</v>
      </c>
      <c r="AH65" s="4">
        <v>11.5</v>
      </c>
      <c r="AI65" s="1">
        <v>1276.6986666666601</v>
      </c>
      <c r="AJ65" s="1">
        <v>3868.7833333333301</v>
      </c>
      <c r="AL65" s="14"/>
      <c r="AM65" s="1"/>
      <c r="AN65" s="1"/>
      <c r="AO65" s="2"/>
      <c r="AP65" s="2"/>
      <c r="AQ65" s="2"/>
      <c r="AR65" s="1"/>
      <c r="AS65" s="1"/>
      <c r="AT65" s="2"/>
      <c r="AU65" s="2"/>
      <c r="AV65" s="2"/>
      <c r="AW65" s="7"/>
      <c r="AX65" s="7"/>
      <c r="AY65" s="7"/>
      <c r="AZ65" s="2"/>
      <c r="BA65" s="2"/>
      <c r="BB65" s="2"/>
      <c r="BC65" s="2"/>
      <c r="BD65" s="2"/>
      <c r="BE65" s="2"/>
      <c r="BF65" s="1"/>
      <c r="BG65" s="1"/>
      <c r="BH65" s="1"/>
      <c r="BI65" s="1"/>
      <c r="BJ65" s="1"/>
      <c r="BK65" s="1"/>
      <c r="BL65" s="11"/>
      <c r="BM65" s="1"/>
      <c r="BN65" s="1"/>
      <c r="BO65" s="2"/>
      <c r="BP65" s="1"/>
      <c r="BQ65" s="1"/>
      <c r="BR65" s="1"/>
      <c r="BS65" s="1"/>
    </row>
    <row r="66" spans="1:71" x14ac:dyDescent="0.3">
      <c r="A66">
        <v>17</v>
      </c>
      <c r="B66" s="3" t="s">
        <v>213</v>
      </c>
      <c r="C66" s="3" t="s">
        <v>106</v>
      </c>
      <c r="D66" s="13">
        <v>43768</v>
      </c>
      <c r="E66" s="2">
        <v>2.4700000000000002</v>
      </c>
      <c r="F66" s="2">
        <v>0.16</v>
      </c>
      <c r="G66" s="2">
        <f t="shared" si="2"/>
        <v>2.31</v>
      </c>
      <c r="H66" s="4">
        <f t="shared" si="3"/>
        <v>5684.0551181102364</v>
      </c>
      <c r="I66" s="10">
        <v>43787</v>
      </c>
      <c r="J66" s="2">
        <v>1.18</v>
      </c>
      <c r="K66" s="2">
        <v>2.9</v>
      </c>
      <c r="L66" s="6">
        <f t="shared" si="4"/>
        <v>0.38961038961038957</v>
      </c>
      <c r="M66" s="6">
        <f t="shared" si="5"/>
        <v>0.52813852813852813</v>
      </c>
      <c r="N66" s="6">
        <f t="shared" si="6"/>
        <v>8.2251082251082352E-2</v>
      </c>
      <c r="O66" s="2">
        <v>44.49</v>
      </c>
      <c r="P66" s="2">
        <v>43.42</v>
      </c>
      <c r="Q66" s="2">
        <v>156.35</v>
      </c>
      <c r="R66" s="2">
        <v>150.06</v>
      </c>
      <c r="S66" s="5">
        <f t="shared" si="7"/>
        <v>2.4050348392897285</v>
      </c>
      <c r="T66" s="5">
        <f t="shared" si="8"/>
        <v>4.0230252638311432</v>
      </c>
      <c r="U66" s="4">
        <f t="shared" si="9"/>
        <v>2214.5669291338581</v>
      </c>
      <c r="V66" s="4">
        <f t="shared" si="10"/>
        <v>3001.9685039370079</v>
      </c>
      <c r="W66" s="4">
        <f t="shared" si="11"/>
        <v>5216.535433070866</v>
      </c>
      <c r="X66" s="4">
        <f t="shared" si="12"/>
        <v>2161.3058229488001</v>
      </c>
      <c r="Y66" s="4">
        <f t="shared" si="13"/>
        <v>2881.1985526113681</v>
      </c>
      <c r="Z66" s="4">
        <f t="shared" si="14"/>
        <v>5042.5043755601682</v>
      </c>
      <c r="AA66" t="s">
        <v>147</v>
      </c>
      <c r="AB66" s="10">
        <v>43803</v>
      </c>
      <c r="AC66" s="4">
        <v>47.699999999999996</v>
      </c>
      <c r="AD66" s="5">
        <v>1.1299999999999999</v>
      </c>
      <c r="AE66" s="4">
        <v>81.7</v>
      </c>
      <c r="AF66" s="4">
        <v>26.5</v>
      </c>
      <c r="AG66" s="4">
        <v>9</v>
      </c>
      <c r="AH66" s="4">
        <v>9.1</v>
      </c>
      <c r="AI66" s="1">
        <v>1639.8144999999899</v>
      </c>
      <c r="AJ66" s="1">
        <v>4969.1360000000004</v>
      </c>
      <c r="AL66" s="14" t="s">
        <v>838</v>
      </c>
      <c r="AM66" s="1" t="s">
        <v>106</v>
      </c>
      <c r="AN66" s="11">
        <f>D66</f>
        <v>43768</v>
      </c>
      <c r="AO66" s="2">
        <f>SUM(E66:E67)</f>
        <v>5.35</v>
      </c>
      <c r="AP66" s="2">
        <f>SUM(F66:F67)</f>
        <v>0.32</v>
      </c>
      <c r="AQ66" s="2">
        <f>AO66-AP66</f>
        <v>5.0299999999999994</v>
      </c>
      <c r="AR66" s="1">
        <f>AQ66/(2*$A$38)*$A$39</f>
        <v>6188.4842519685035</v>
      </c>
      <c r="AS66" s="1">
        <v>5789.3208590551221</v>
      </c>
      <c r="AT66" s="11">
        <f>I66</f>
        <v>43787</v>
      </c>
      <c r="AU66" s="2">
        <f>SUM(J66:J67)</f>
        <v>2.52</v>
      </c>
      <c r="AV66" s="2">
        <f>SUM(K66:K67)</f>
        <v>6</v>
      </c>
      <c r="AW66" s="7">
        <f>(AU66-2*$A$40)/AQ66</f>
        <v>0.38966202783300202</v>
      </c>
      <c r="AX66" s="7">
        <f>(AV66-2*$A$41)/AQ66</f>
        <v>0.5248508946322068</v>
      </c>
      <c r="AY66" s="7">
        <f>1-AW66-AX66</f>
        <v>8.5487077534791123E-2</v>
      </c>
      <c r="AZ66" s="2">
        <f>SUM(O66:O67)</f>
        <v>91.63</v>
      </c>
      <c r="BA66" s="2">
        <f t="shared" ref="BA66" si="71">SUM(P66:P67)</f>
        <v>89.33</v>
      </c>
      <c r="BB66" s="2">
        <f t="shared" ref="BB66" si="72">SUM(Q66:Q67)</f>
        <v>300.87</v>
      </c>
      <c r="BC66" s="2">
        <f t="shared" ref="BC66" si="73">SUM(R66:R67)</f>
        <v>288.87</v>
      </c>
      <c r="BD66" s="2">
        <f>(AZ66-BA66)/AZ66*100</f>
        <v>2.5100949470697338</v>
      </c>
      <c r="BE66" s="2">
        <f>(BB66-BC66)/BB66*100</f>
        <v>3.988433542726094</v>
      </c>
      <c r="BF66" s="1">
        <f>AS66*AW66</f>
        <v>2255.8785057153164</v>
      </c>
      <c r="BG66" s="1">
        <f>AS66*AX66</f>
        <v>3038.5302321879767</v>
      </c>
      <c r="BH66" s="1">
        <f>BF66+BG66</f>
        <v>5294.4087379032935</v>
      </c>
      <c r="BI66" s="1">
        <f>BF66*(1-BD66/100)</f>
        <v>2199.2538133313242</v>
      </c>
      <c r="BJ66" s="1">
        <f>BG66*(1-BE66/100)</f>
        <v>2917.3404732015188</v>
      </c>
      <c r="BK66" s="1">
        <f>BI66+BJ66</f>
        <v>5116.5942865328434</v>
      </c>
      <c r="BL66" s="11" t="str">
        <f>AA66</f>
        <v>0991913431218</v>
      </c>
      <c r="BM66" s="11">
        <f>AB66</f>
        <v>43803</v>
      </c>
      <c r="BN66" s="1">
        <f>AVERAGE(AC66:AC67)</f>
        <v>48.5</v>
      </c>
      <c r="BO66" s="2">
        <f t="shared" ref="BO66" si="74">AVERAGE(AD66:AD67)</f>
        <v>1.115</v>
      </c>
      <c r="BP66" s="1">
        <f t="shared" ref="BP66" si="75">AVERAGE(AE66:AE67)</f>
        <v>81.2</v>
      </c>
      <c r="BQ66" s="1">
        <f t="shared" ref="BQ66" si="76">AVERAGE(AF66:AF67)</f>
        <v>26.7</v>
      </c>
      <c r="BR66" s="1">
        <f t="shared" ref="BR66" si="77">AVERAGE(AG66:AG67)</f>
        <v>8.75</v>
      </c>
      <c r="BS66" s="1">
        <f t="shared" ref="BS66" si="78">AVERAGE(AH66:AH67)</f>
        <v>9.75</v>
      </c>
    </row>
    <row r="67" spans="1:71" x14ac:dyDescent="0.3">
      <c r="A67">
        <v>18</v>
      </c>
      <c r="B67" s="3" t="s">
        <v>214</v>
      </c>
      <c r="C67" s="3" t="s">
        <v>106</v>
      </c>
      <c r="D67" s="13">
        <v>43768</v>
      </c>
      <c r="E67" s="2">
        <v>2.88</v>
      </c>
      <c r="F67" s="2">
        <v>0.16</v>
      </c>
      <c r="G67" s="2">
        <f t="shared" si="2"/>
        <v>2.7199999999999998</v>
      </c>
      <c r="H67" s="4">
        <f t="shared" si="3"/>
        <v>6692.9133858267705</v>
      </c>
      <c r="I67" s="10">
        <v>43787</v>
      </c>
      <c r="J67" s="2">
        <v>1.34</v>
      </c>
      <c r="K67" s="2">
        <v>3.1</v>
      </c>
      <c r="L67" s="6">
        <f t="shared" si="4"/>
        <v>0.38970588235294124</v>
      </c>
      <c r="M67" s="6">
        <f t="shared" si="5"/>
        <v>0.52205882352941191</v>
      </c>
      <c r="N67" s="6">
        <f t="shared" si="6"/>
        <v>8.8235294117646856E-2</v>
      </c>
      <c r="O67" s="2">
        <v>47.14</v>
      </c>
      <c r="P67" s="2">
        <v>45.91</v>
      </c>
      <c r="Q67" s="2">
        <v>144.52000000000001</v>
      </c>
      <c r="R67" s="2">
        <v>138.81</v>
      </c>
      <c r="S67" s="5">
        <f t="shared" si="7"/>
        <v>2.609249045396699</v>
      </c>
      <c r="T67" s="5">
        <f t="shared" si="8"/>
        <v>3.9510102407971268</v>
      </c>
      <c r="U67" s="4">
        <f t="shared" si="9"/>
        <v>2608.267716535433</v>
      </c>
      <c r="V67" s="4">
        <f t="shared" si="10"/>
        <v>3494.0944881889768</v>
      </c>
      <c r="W67" s="4">
        <f t="shared" si="11"/>
        <v>6102.3622047244098</v>
      </c>
      <c r="X67" s="4">
        <f t="shared" si="12"/>
        <v>2540.2115160403418</v>
      </c>
      <c r="Y67" s="4">
        <f t="shared" si="13"/>
        <v>3356.0424571375024</v>
      </c>
      <c r="Z67" s="4">
        <f t="shared" si="14"/>
        <v>5896.2539731778443</v>
      </c>
      <c r="AA67" s="8" t="s">
        <v>171</v>
      </c>
      <c r="AB67" s="10">
        <v>43803</v>
      </c>
      <c r="AC67" s="4">
        <v>49.3</v>
      </c>
      <c r="AD67" s="5">
        <v>1.1000000000000001</v>
      </c>
      <c r="AE67" s="4">
        <v>80.7</v>
      </c>
      <c r="AF67" s="4">
        <v>26.9</v>
      </c>
      <c r="AG67" s="4">
        <v>8.5</v>
      </c>
      <c r="AH67" s="4">
        <v>10.4</v>
      </c>
      <c r="AI67" s="1">
        <v>1626.2850000000001</v>
      </c>
      <c r="AJ67" s="1">
        <v>4928.1364999999896</v>
      </c>
      <c r="AL67" s="14"/>
      <c r="AM67" s="1"/>
      <c r="AN67" s="1"/>
      <c r="AO67" s="2"/>
      <c r="AP67" s="2"/>
      <c r="AQ67" s="2"/>
      <c r="AR67" s="1"/>
      <c r="AS67" s="1"/>
      <c r="AT67" s="2"/>
      <c r="AU67" s="2"/>
      <c r="AV67" s="2"/>
      <c r="AW67" s="7"/>
      <c r="AX67" s="7"/>
      <c r="AY67" s="7"/>
      <c r="AZ67" s="2"/>
      <c r="BA67" s="2"/>
      <c r="BB67" s="2"/>
      <c r="BC67" s="2"/>
      <c r="BD67" s="2"/>
      <c r="BE67" s="2"/>
      <c r="BF67" s="1"/>
      <c r="BG67" s="1"/>
      <c r="BH67" s="1"/>
      <c r="BI67" s="1"/>
      <c r="BJ67" s="1"/>
      <c r="BK67" s="1"/>
      <c r="BL67" s="11"/>
      <c r="BM67" s="1"/>
      <c r="BN67" s="1"/>
      <c r="BO67" s="2"/>
      <c r="BP67" s="1"/>
      <c r="BQ67" s="1"/>
      <c r="BR67" s="1"/>
      <c r="BS67" s="1"/>
    </row>
    <row r="68" spans="1:71" x14ac:dyDescent="0.3">
      <c r="A68">
        <v>19</v>
      </c>
      <c r="B68" s="3" t="s">
        <v>215</v>
      </c>
      <c r="C68" s="3" t="s">
        <v>106</v>
      </c>
      <c r="D68" s="13">
        <v>43768</v>
      </c>
      <c r="E68" s="2">
        <v>2.5</v>
      </c>
      <c r="F68" s="2">
        <v>0.16</v>
      </c>
      <c r="G68" s="2">
        <f t="shared" si="2"/>
        <v>2.34</v>
      </c>
      <c r="H68" s="4">
        <f t="shared" si="3"/>
        <v>5757.8740157480315</v>
      </c>
      <c r="I68" s="10">
        <v>43787</v>
      </c>
      <c r="J68" s="2">
        <v>1.18</v>
      </c>
      <c r="K68" s="2">
        <v>2.92</v>
      </c>
      <c r="L68" s="6">
        <f t="shared" si="4"/>
        <v>0.38461538461538458</v>
      </c>
      <c r="M68" s="6">
        <f t="shared" si="5"/>
        <v>0.52991452991452992</v>
      </c>
      <c r="N68" s="6">
        <f t="shared" si="6"/>
        <v>8.54700854700855E-2</v>
      </c>
      <c r="O68" s="2">
        <v>46.47</v>
      </c>
      <c r="P68" s="2">
        <v>45.34</v>
      </c>
      <c r="Q68" s="2">
        <v>161.24</v>
      </c>
      <c r="R68" s="2">
        <v>154.69999999999999</v>
      </c>
      <c r="S68" s="5">
        <f t="shared" si="7"/>
        <v>2.431676350333539</v>
      </c>
      <c r="T68" s="5">
        <f t="shared" si="8"/>
        <v>4.0560654924336514</v>
      </c>
      <c r="U68" s="4">
        <f t="shared" si="9"/>
        <v>2214.5669291338581</v>
      </c>
      <c r="V68" s="4">
        <f t="shared" si="10"/>
        <v>3051.1811023622049</v>
      </c>
      <c r="W68" s="4">
        <f t="shared" si="11"/>
        <v>5265.748031496063</v>
      </c>
      <c r="X68" s="4">
        <f t="shared" si="12"/>
        <v>2160.7158288558026</v>
      </c>
      <c r="Y68" s="4">
        <f t="shared" si="13"/>
        <v>2927.4231985576348</v>
      </c>
      <c r="Z68" s="4">
        <f t="shared" si="14"/>
        <v>5088.1390274134374</v>
      </c>
      <c r="AA68" t="s">
        <v>148</v>
      </c>
      <c r="AB68" s="10">
        <v>43803</v>
      </c>
      <c r="AC68" s="4">
        <v>49.1</v>
      </c>
      <c r="AD68" s="5">
        <v>1.1000000000000001</v>
      </c>
      <c r="AE68" s="4">
        <v>81.099999999999994</v>
      </c>
      <c r="AF68" s="4">
        <v>27.3</v>
      </c>
      <c r="AG68" s="4">
        <v>8.4</v>
      </c>
      <c r="AH68" s="4">
        <v>10.4</v>
      </c>
      <c r="AI68" s="1">
        <v>1780.298</v>
      </c>
      <c r="AJ68" s="1">
        <v>5394.8429999999898</v>
      </c>
      <c r="AL68" s="14" t="s">
        <v>839</v>
      </c>
      <c r="AM68" s="1" t="s">
        <v>106</v>
      </c>
      <c r="AN68" s="11">
        <f>D68</f>
        <v>43768</v>
      </c>
      <c r="AO68" s="2">
        <f>SUM(E68:E69)</f>
        <v>4.8</v>
      </c>
      <c r="AP68" s="2">
        <f>SUM(F68:F69)</f>
        <v>0.32</v>
      </c>
      <c r="AQ68" s="2">
        <f>AO68-AP68</f>
        <v>4.4799999999999995</v>
      </c>
      <c r="AR68" s="1">
        <f>AQ68/(2*$A$38)*$A$39</f>
        <v>5511.8110236220464</v>
      </c>
      <c r="AS68" s="1">
        <v>5843.0280182664965</v>
      </c>
      <c r="AT68" s="11">
        <f>I68</f>
        <v>43787</v>
      </c>
      <c r="AU68" s="2">
        <f>SUM(J68:J69)</f>
        <v>2.34</v>
      </c>
      <c r="AV68" s="2">
        <f>SUM(K68:K69)</f>
        <v>5.74</v>
      </c>
      <c r="AW68" s="7">
        <f>(AU68-2*$A$40)/AQ68</f>
        <v>0.39732142857142855</v>
      </c>
      <c r="AX68" s="7">
        <f>(AV68-2*$A$41)/AQ68</f>
        <v>0.53125000000000011</v>
      </c>
      <c r="AY68" s="7">
        <f>1-AW68-AX68</f>
        <v>7.1428571428571286E-2</v>
      </c>
      <c r="AZ68" s="2">
        <f>SUM(O68:O69)</f>
        <v>92.82</v>
      </c>
      <c r="BA68" s="2">
        <f t="shared" ref="BA68" si="79">SUM(P68:P69)</f>
        <v>90.580000000000013</v>
      </c>
      <c r="BB68" s="2">
        <f t="shared" ref="BB68" si="80">SUM(Q68:Q69)</f>
        <v>312.57000000000005</v>
      </c>
      <c r="BC68" s="2">
        <f t="shared" ref="BC68" si="81">SUM(R68:R69)</f>
        <v>300.14999999999998</v>
      </c>
      <c r="BD68" s="2">
        <f>(AZ68-BA68)/AZ68*100</f>
        <v>2.4132730015082751</v>
      </c>
      <c r="BE68" s="2">
        <f>(BB68-BC68)/BB68*100</f>
        <v>3.973509933774857</v>
      </c>
      <c r="BF68" s="1">
        <f>AS68*AW68</f>
        <v>2321.5602394005273</v>
      </c>
      <c r="BG68" s="1">
        <f>AS68*AX68</f>
        <v>3104.1086347040768</v>
      </c>
      <c r="BH68" s="1">
        <f>BF68+BG68</f>
        <v>5425.6688741046037</v>
      </c>
      <c r="BI68" s="1">
        <f>BF68*(1-BD68/100)</f>
        <v>2265.5346529293233</v>
      </c>
      <c r="BJ68" s="1">
        <f>BG68*(1-BE68/100)</f>
        <v>2980.7665697489474</v>
      </c>
      <c r="BK68" s="1">
        <f>BI68+BJ68</f>
        <v>5246.3012226782703</v>
      </c>
      <c r="BL68" s="11" t="str">
        <f>AA68</f>
        <v>0991913432220</v>
      </c>
      <c r="BM68" s="11">
        <f>AB68</f>
        <v>43803</v>
      </c>
      <c r="BN68" s="1">
        <f>AVERAGE(AC68:AC69)</f>
        <v>48.8</v>
      </c>
      <c r="BO68" s="2">
        <f t="shared" ref="BO68" si="82">AVERAGE(AD68:AD69)</f>
        <v>1.1000000000000001</v>
      </c>
      <c r="BP68" s="1">
        <f t="shared" ref="BP68" si="83">AVERAGE(AE68:AE69)</f>
        <v>81.349999999999994</v>
      </c>
      <c r="BQ68" s="1">
        <f t="shared" ref="BQ68" si="84">AVERAGE(AF68:AF69)</f>
        <v>27.25</v>
      </c>
      <c r="BR68" s="1">
        <f t="shared" ref="BR68" si="85">AVERAGE(AG68:AG69)</f>
        <v>8.4499999999999993</v>
      </c>
      <c r="BS68" s="1">
        <f t="shared" ref="BS68" si="86">AVERAGE(AH68:AH69)</f>
        <v>9.9499999999999993</v>
      </c>
    </row>
    <row r="69" spans="1:71" x14ac:dyDescent="0.3">
      <c r="A69">
        <v>20</v>
      </c>
      <c r="B69" s="3" t="s">
        <v>216</v>
      </c>
      <c r="C69" s="3" t="s">
        <v>106</v>
      </c>
      <c r="D69" s="13">
        <v>43768</v>
      </c>
      <c r="E69" s="2">
        <v>2.2999999999999998</v>
      </c>
      <c r="F69" s="2">
        <v>0.16</v>
      </c>
      <c r="G69" s="2">
        <f t="shared" si="2"/>
        <v>2.1399999999999997</v>
      </c>
      <c r="H69" s="4">
        <f t="shared" si="3"/>
        <v>5265.7480314960621</v>
      </c>
      <c r="I69" s="10">
        <v>43787</v>
      </c>
      <c r="J69" s="2">
        <v>1.1599999999999999</v>
      </c>
      <c r="K69" s="2">
        <v>2.82</v>
      </c>
      <c r="L69" s="6">
        <f t="shared" si="4"/>
        <v>0.41121495327102803</v>
      </c>
      <c r="M69" s="6">
        <f t="shared" si="5"/>
        <v>0.53271028037383183</v>
      </c>
      <c r="N69" s="6">
        <f t="shared" si="6"/>
        <v>5.6074766355140082E-2</v>
      </c>
      <c r="O69" s="2">
        <v>46.35</v>
      </c>
      <c r="P69" s="2">
        <v>45.24</v>
      </c>
      <c r="Q69" s="2">
        <v>151.33000000000001</v>
      </c>
      <c r="R69" s="2">
        <v>145.44999999999999</v>
      </c>
      <c r="S69" s="5">
        <f t="shared" si="7"/>
        <v>2.3948220064724905</v>
      </c>
      <c r="T69" s="5">
        <f t="shared" si="8"/>
        <v>3.8855481398268839</v>
      </c>
      <c r="U69" s="4">
        <f t="shared" si="9"/>
        <v>2165.3543307086611</v>
      </c>
      <c r="V69" s="4">
        <f t="shared" si="10"/>
        <v>2805.1181102362202</v>
      </c>
      <c r="W69" s="4">
        <f t="shared" si="11"/>
        <v>4970.4724409448809</v>
      </c>
      <c r="X69" s="4">
        <f t="shared" si="12"/>
        <v>2113.4979486787452</v>
      </c>
      <c r="Y69" s="4">
        <f t="shared" si="13"/>
        <v>2696.1238956839898</v>
      </c>
      <c r="Z69" s="4">
        <f t="shared" si="14"/>
        <v>4809.6218443627349</v>
      </c>
      <c r="AA69" s="8" t="s">
        <v>172</v>
      </c>
      <c r="AB69" s="10">
        <v>43803</v>
      </c>
      <c r="AC69" s="4">
        <v>48.5</v>
      </c>
      <c r="AD69" s="5">
        <v>1.1000000000000001</v>
      </c>
      <c r="AE69" s="4">
        <v>81.599999999999994</v>
      </c>
      <c r="AF69" s="4">
        <v>27.2</v>
      </c>
      <c r="AG69" s="4">
        <v>8.5</v>
      </c>
      <c r="AH69" s="4">
        <v>9.5</v>
      </c>
      <c r="AI69" s="1">
        <v>1486.3505</v>
      </c>
      <c r="AJ69" s="1">
        <v>4504.0934999999899</v>
      </c>
      <c r="AL69" s="14"/>
      <c r="AM69" s="1"/>
      <c r="AN69" s="1"/>
      <c r="AO69" s="2"/>
      <c r="AP69" s="2"/>
      <c r="AQ69" s="2"/>
      <c r="AR69" s="1"/>
      <c r="AS69" s="1"/>
      <c r="AT69" s="2"/>
      <c r="AU69" s="2"/>
      <c r="AV69" s="2"/>
      <c r="AW69" s="7"/>
      <c r="AX69" s="7"/>
      <c r="AY69" s="7"/>
      <c r="AZ69" s="2"/>
      <c r="BA69" s="2"/>
      <c r="BB69" s="2"/>
      <c r="BC69" s="2"/>
      <c r="BD69" s="2"/>
      <c r="BE69" s="2"/>
      <c r="BF69" s="1"/>
      <c r="BG69" s="1"/>
      <c r="BH69" s="1"/>
      <c r="BI69" s="1"/>
      <c r="BJ69" s="1"/>
      <c r="BK69" s="1"/>
      <c r="BL69" s="11"/>
      <c r="BM69" s="1"/>
      <c r="BN69" s="1"/>
      <c r="BO69" s="2"/>
      <c r="BP69" s="1"/>
      <c r="BQ69" s="1"/>
      <c r="BR69" s="1"/>
      <c r="BS69" s="1"/>
    </row>
    <row r="70" spans="1:71" x14ac:dyDescent="0.3">
      <c r="A70">
        <v>21</v>
      </c>
      <c r="B70" s="3" t="s">
        <v>217</v>
      </c>
      <c r="C70" s="3" t="s">
        <v>106</v>
      </c>
      <c r="D70" s="13">
        <v>43768</v>
      </c>
      <c r="E70" s="2">
        <v>2.1800000000000002</v>
      </c>
      <c r="F70" s="2">
        <v>0.16</v>
      </c>
      <c r="G70" s="2">
        <f t="shared" si="2"/>
        <v>2.02</v>
      </c>
      <c r="H70" s="4">
        <f t="shared" si="3"/>
        <v>4970.4724409448818</v>
      </c>
      <c r="I70" s="10">
        <v>43787</v>
      </c>
      <c r="J70" s="2">
        <v>1.04</v>
      </c>
      <c r="K70" s="2">
        <v>2.74</v>
      </c>
      <c r="L70" s="6">
        <f t="shared" si="4"/>
        <v>0.37623762376237624</v>
      </c>
      <c r="M70" s="6">
        <f t="shared" si="5"/>
        <v>0.52475247524752489</v>
      </c>
      <c r="N70" s="6">
        <f t="shared" si="6"/>
        <v>9.9009900990098876E-2</v>
      </c>
      <c r="O70" s="2">
        <v>36.15</v>
      </c>
      <c r="P70" s="2">
        <v>35.28</v>
      </c>
      <c r="Q70" s="2">
        <v>140.96</v>
      </c>
      <c r="R70" s="2">
        <v>135.4</v>
      </c>
      <c r="S70" s="5">
        <f t="shared" si="7"/>
        <v>2.4066390041493708</v>
      </c>
      <c r="T70" s="5">
        <f t="shared" si="8"/>
        <v>3.9443813847900127</v>
      </c>
      <c r="U70" s="4">
        <f t="shared" si="9"/>
        <v>1870.0787401574803</v>
      </c>
      <c r="V70" s="4">
        <f t="shared" si="10"/>
        <v>2608.2677165354335</v>
      </c>
      <c r="W70" s="4">
        <f t="shared" si="11"/>
        <v>4478.3464566929142</v>
      </c>
      <c r="X70" s="4">
        <f t="shared" si="12"/>
        <v>1825.0726957885452</v>
      </c>
      <c r="Y70" s="4">
        <f t="shared" si="13"/>
        <v>2505.3876902589222</v>
      </c>
      <c r="Z70" s="4">
        <f t="shared" si="14"/>
        <v>4330.4603860474672</v>
      </c>
      <c r="AA70" t="s">
        <v>149</v>
      </c>
      <c r="AB70" s="10">
        <v>43803</v>
      </c>
      <c r="AC70" s="4">
        <v>48.8</v>
      </c>
      <c r="AD70" s="5">
        <v>1.01</v>
      </c>
      <c r="AE70" s="4">
        <v>78.900000000000006</v>
      </c>
      <c r="AF70" s="4">
        <v>25.5</v>
      </c>
      <c r="AG70" s="4">
        <v>9</v>
      </c>
      <c r="AH70" s="4">
        <v>12.5</v>
      </c>
      <c r="AI70" s="1">
        <v>1389.346</v>
      </c>
      <c r="AJ70" s="1">
        <v>4210.1383333333297</v>
      </c>
      <c r="AL70" s="14" t="s">
        <v>840</v>
      </c>
      <c r="AM70" s="1" t="s">
        <v>106</v>
      </c>
      <c r="AN70" s="11">
        <f>D70</f>
        <v>43768</v>
      </c>
      <c r="AO70" s="2">
        <f>SUM(E70:E71)</f>
        <v>4.3499999999999996</v>
      </c>
      <c r="AP70" s="2">
        <f>SUM(F70:F71)</f>
        <v>0.32</v>
      </c>
      <c r="AQ70" s="2">
        <f>AO70-AP70</f>
        <v>4.0299999999999994</v>
      </c>
      <c r="AR70" s="1">
        <f>AQ70/(2*$A$38)*$A$39</f>
        <v>4958.1692913385814</v>
      </c>
      <c r="AS70" s="1">
        <v>5542.9340006800303</v>
      </c>
      <c r="AT70" s="11">
        <f>I70</f>
        <v>43787</v>
      </c>
      <c r="AU70" s="2">
        <f>SUM(J70:J71)</f>
        <v>2.12</v>
      </c>
      <c r="AV70" s="2">
        <f>SUM(K70:K71)</f>
        <v>5.4600000000000009</v>
      </c>
      <c r="AW70" s="7">
        <f>(AU70-2*$A$40)/AQ70</f>
        <v>0.38709677419354849</v>
      </c>
      <c r="AX70" s="7">
        <f>(AV70-2*$A$41)/AQ70</f>
        <v>0.52109181141439243</v>
      </c>
      <c r="AY70" s="7">
        <f>1-AW70-AX70</f>
        <v>9.1811414392059087E-2</v>
      </c>
      <c r="AZ70" s="2">
        <f>SUM(O70:O71)</f>
        <v>77.97</v>
      </c>
      <c r="BA70" s="2">
        <f t="shared" ref="BA70" si="87">SUM(P70:P71)</f>
        <v>76.099999999999994</v>
      </c>
      <c r="BB70" s="2">
        <f t="shared" ref="BB70" si="88">SUM(Q70:Q71)</f>
        <v>266.35000000000002</v>
      </c>
      <c r="BC70" s="2">
        <f t="shared" ref="BC70" si="89">SUM(R70:R71)</f>
        <v>255.9</v>
      </c>
      <c r="BD70" s="2">
        <f>(AZ70-BA70)/AZ70*100</f>
        <v>2.3983583429524233</v>
      </c>
      <c r="BE70" s="2">
        <f>(BB70-BC70)/BB70*100</f>
        <v>3.923409048244797</v>
      </c>
      <c r="BF70" s="1">
        <f>AS70*AW70</f>
        <v>2145.6518712309799</v>
      </c>
      <c r="BG70" s="1">
        <f>AS70*AX70</f>
        <v>2888.3775189647822</v>
      </c>
      <c r="BH70" s="1">
        <f>BF70+BG70</f>
        <v>5034.0293901957621</v>
      </c>
      <c r="BI70" s="1">
        <f>BF70*(1-BD70/100)</f>
        <v>2094.1914505665968</v>
      </c>
      <c r="BJ70" s="1">
        <f>BG70*(1-BE70/100)</f>
        <v>2775.0546540382493</v>
      </c>
      <c r="BK70" s="1">
        <f>BI70+BJ70</f>
        <v>4869.2461046048466</v>
      </c>
      <c r="BL70" s="11" t="str">
        <f>AA70</f>
        <v>0991913433222</v>
      </c>
      <c r="BM70" s="11">
        <f>AB70</f>
        <v>43803</v>
      </c>
      <c r="BN70" s="1">
        <f>AVERAGE(AC70:AC71)</f>
        <v>48.4</v>
      </c>
      <c r="BO70" s="2">
        <f t="shared" ref="BO70" si="90">AVERAGE(AD70:AD71)</f>
        <v>1.0249999999999999</v>
      </c>
      <c r="BP70" s="1">
        <f t="shared" ref="BP70" si="91">AVERAGE(AE70:AE71)</f>
        <v>79.2</v>
      </c>
      <c r="BQ70" s="1">
        <f t="shared" ref="BQ70" si="92">AVERAGE(AF70:AF71)</f>
        <v>25.3</v>
      </c>
      <c r="BR70" s="1">
        <f t="shared" ref="BR70" si="93">AVERAGE(AG70:AG71)</f>
        <v>8.85</v>
      </c>
      <c r="BS70" s="1">
        <f t="shared" ref="BS70" si="94">AVERAGE(AH70:AH71)</f>
        <v>12</v>
      </c>
    </row>
    <row r="71" spans="1:71" x14ac:dyDescent="0.3">
      <c r="A71">
        <v>22</v>
      </c>
      <c r="B71" s="3" t="s">
        <v>218</v>
      </c>
      <c r="C71" s="3" t="s">
        <v>106</v>
      </c>
      <c r="D71" s="13">
        <v>43768</v>
      </c>
      <c r="E71" s="2">
        <v>2.17</v>
      </c>
      <c r="F71" s="2">
        <v>0.16</v>
      </c>
      <c r="G71" s="2">
        <f t="shared" si="2"/>
        <v>2.0099999999999998</v>
      </c>
      <c r="H71" s="4">
        <f t="shared" si="3"/>
        <v>4945.8661417322828</v>
      </c>
      <c r="I71" s="10">
        <v>43787</v>
      </c>
      <c r="J71" s="2">
        <v>1.08</v>
      </c>
      <c r="K71" s="2">
        <v>2.72</v>
      </c>
      <c r="L71" s="6">
        <f t="shared" si="4"/>
        <v>0.39800995024875629</v>
      </c>
      <c r="M71" s="6">
        <f t="shared" si="5"/>
        <v>0.51741293532338328</v>
      </c>
      <c r="N71" s="6">
        <f t="shared" si="6"/>
        <v>8.4577114427860423E-2</v>
      </c>
      <c r="O71" s="2">
        <v>41.82</v>
      </c>
      <c r="P71" s="2">
        <v>40.82</v>
      </c>
      <c r="Q71" s="2">
        <v>125.39</v>
      </c>
      <c r="R71" s="2">
        <v>120.5</v>
      </c>
      <c r="S71" s="5">
        <f t="shared" si="7"/>
        <v>2.3912003825920611</v>
      </c>
      <c r="T71" s="5">
        <f t="shared" si="8"/>
        <v>3.8998325225297079</v>
      </c>
      <c r="U71" s="4">
        <f t="shared" si="9"/>
        <v>1968.5039370078741</v>
      </c>
      <c r="V71" s="4">
        <f t="shared" si="10"/>
        <v>2559.0551181102369</v>
      </c>
      <c r="W71" s="4">
        <f t="shared" si="11"/>
        <v>4527.5590551181112</v>
      </c>
      <c r="X71" s="4">
        <f t="shared" si="12"/>
        <v>1921.433063334802</v>
      </c>
      <c r="Y71" s="4">
        <f t="shared" si="13"/>
        <v>2459.2562543447129</v>
      </c>
      <c r="Z71" s="4">
        <f t="shared" si="14"/>
        <v>4380.6893176795147</v>
      </c>
      <c r="AA71" s="8" t="s">
        <v>173</v>
      </c>
      <c r="AB71" s="10">
        <v>43803</v>
      </c>
      <c r="AC71" s="4">
        <v>48</v>
      </c>
      <c r="AD71" s="5">
        <v>1.04</v>
      </c>
      <c r="AE71" s="4">
        <v>79.5</v>
      </c>
      <c r="AF71" s="4">
        <v>25.1</v>
      </c>
      <c r="AG71" s="4">
        <v>8.6999999999999993</v>
      </c>
      <c r="AH71" s="4">
        <v>11.5</v>
      </c>
      <c r="AI71" s="1">
        <v>1292.1759999999899</v>
      </c>
      <c r="AJ71" s="1">
        <v>3915.6855</v>
      </c>
      <c r="AL71" s="14"/>
      <c r="AM71" s="1"/>
      <c r="AN71" s="1"/>
      <c r="AO71" s="2"/>
      <c r="AP71" s="2"/>
      <c r="AQ71" s="2"/>
      <c r="AR71" s="1"/>
      <c r="AS71" s="1"/>
      <c r="AT71" s="2"/>
      <c r="AU71" s="2"/>
      <c r="AV71" s="2"/>
      <c r="AW71" s="7"/>
      <c r="AX71" s="7"/>
      <c r="AY71" s="7"/>
      <c r="AZ71" s="2"/>
      <c r="BA71" s="2"/>
      <c r="BB71" s="2"/>
      <c r="BC71" s="2"/>
      <c r="BD71" s="2"/>
      <c r="BE71" s="2"/>
      <c r="BF71" s="1"/>
      <c r="BG71" s="1"/>
      <c r="BH71" s="1"/>
      <c r="BI71" s="1"/>
      <c r="BJ71" s="1"/>
      <c r="BK71" s="1"/>
      <c r="BL71" s="11"/>
      <c r="BM71" s="1"/>
      <c r="BN71" s="1"/>
      <c r="BO71" s="2"/>
      <c r="BP71" s="1"/>
      <c r="BQ71" s="1"/>
      <c r="BR71" s="1"/>
      <c r="BS71" s="1"/>
    </row>
    <row r="72" spans="1:71" x14ac:dyDescent="0.3">
      <c r="A72">
        <v>23</v>
      </c>
      <c r="B72" s="3" t="s">
        <v>219</v>
      </c>
      <c r="C72" s="3" t="s">
        <v>106</v>
      </c>
      <c r="D72" s="13">
        <v>43768</v>
      </c>
      <c r="E72" s="2">
        <v>2.41</v>
      </c>
      <c r="F72" s="2">
        <v>0.16</v>
      </c>
      <c r="G72" s="2">
        <f t="shared" si="2"/>
        <v>2.25</v>
      </c>
      <c r="H72" s="4">
        <f t="shared" si="3"/>
        <v>5536.4173228346463</v>
      </c>
      <c r="I72" s="10">
        <v>43787</v>
      </c>
      <c r="J72" s="2">
        <v>1.2</v>
      </c>
      <c r="K72" s="2">
        <v>2.88</v>
      </c>
      <c r="L72" s="6">
        <f t="shared" si="4"/>
        <v>0.40888888888888886</v>
      </c>
      <c r="M72" s="6">
        <f t="shared" si="5"/>
        <v>0.53333333333333333</v>
      </c>
      <c r="N72" s="6">
        <f t="shared" si="6"/>
        <v>5.7777777777777817E-2</v>
      </c>
      <c r="O72" s="2">
        <v>41.98</v>
      </c>
      <c r="P72" s="2">
        <v>41.01</v>
      </c>
      <c r="Q72" s="2">
        <v>128.83000000000001</v>
      </c>
      <c r="R72" s="2">
        <v>123.75</v>
      </c>
      <c r="S72" s="5">
        <f t="shared" si="7"/>
        <v>2.3106241067174822</v>
      </c>
      <c r="T72" s="5">
        <f t="shared" si="8"/>
        <v>3.9431809361173733</v>
      </c>
      <c r="U72" s="4">
        <f t="shared" si="9"/>
        <v>2263.7795275590552</v>
      </c>
      <c r="V72" s="4">
        <f t="shared" si="10"/>
        <v>2952.7559055118113</v>
      </c>
      <c r="W72" s="4">
        <f t="shared" si="11"/>
        <v>5216.5354330708669</v>
      </c>
      <c r="X72" s="4">
        <f t="shared" si="12"/>
        <v>2211.4720920723403</v>
      </c>
      <c r="Y72" s="4">
        <f t="shared" si="13"/>
        <v>2836.3233975555895</v>
      </c>
      <c r="Z72" s="4">
        <f t="shared" si="14"/>
        <v>5047.7954896279298</v>
      </c>
      <c r="AA72" t="s">
        <v>150</v>
      </c>
      <c r="AB72" s="10">
        <v>43803</v>
      </c>
      <c r="AC72" s="4">
        <v>47.9</v>
      </c>
      <c r="AD72" s="5">
        <v>1.08</v>
      </c>
      <c r="AE72" s="4">
        <v>80.900000000000006</v>
      </c>
      <c r="AF72" s="4">
        <v>25.6</v>
      </c>
      <c r="AG72" s="4">
        <v>9.3000000000000007</v>
      </c>
      <c r="AH72" s="4">
        <v>10.7</v>
      </c>
      <c r="AI72" s="1">
        <v>1536.0484999999901</v>
      </c>
      <c r="AJ72" s="1">
        <v>4654.6925000000001</v>
      </c>
      <c r="AL72" s="14" t="s">
        <v>841</v>
      </c>
      <c r="AM72" s="1" t="s">
        <v>106</v>
      </c>
      <c r="AN72" s="11">
        <f>D72</f>
        <v>43768</v>
      </c>
      <c r="AO72" s="2">
        <f>SUM(E72:E73)</f>
        <v>4.6500000000000004</v>
      </c>
      <c r="AP72" s="2">
        <f>SUM(F72:F73)</f>
        <v>0.32</v>
      </c>
      <c r="AQ72" s="2">
        <f>AO72-AP72</f>
        <v>4.33</v>
      </c>
      <c r="AR72" s="1">
        <f>AQ72/(2*$A$38)*$A$39</f>
        <v>5327.2637795275587</v>
      </c>
      <c r="AS72" s="1">
        <v>5433.7252985701352</v>
      </c>
      <c r="AT72" s="11">
        <f>I72</f>
        <v>43787</v>
      </c>
      <c r="AU72" s="2">
        <f>SUM(J72:J73)</f>
        <v>2.2999999999999998</v>
      </c>
      <c r="AV72" s="2">
        <f>SUM(K72:K73)</f>
        <v>5.62</v>
      </c>
      <c r="AW72" s="7">
        <f>(AU72-2*$A$40)/AQ72</f>
        <v>0.40184757505773666</v>
      </c>
      <c r="AX72" s="7">
        <f>(AV72-2*$A$41)/AQ72</f>
        <v>0.52193995381062364</v>
      </c>
      <c r="AY72" s="7">
        <f>1-AW72-AX72</f>
        <v>7.6212471131639759E-2</v>
      </c>
      <c r="AZ72" s="2">
        <f>SUM(O72:O73)</f>
        <v>97.36</v>
      </c>
      <c r="BA72" s="2">
        <f t="shared" ref="BA72" si="95">SUM(P72:P73)</f>
        <v>95.08</v>
      </c>
      <c r="BB72" s="2">
        <f t="shared" ref="BB72" si="96">SUM(Q72:Q73)</f>
        <v>265.21000000000004</v>
      </c>
      <c r="BC72" s="2">
        <f t="shared" ref="BC72" si="97">SUM(R72:R73)</f>
        <v>254.9</v>
      </c>
      <c r="BD72" s="2">
        <f>(AZ72-BA72)/AZ72*100</f>
        <v>2.3418241577649974</v>
      </c>
      <c r="BE72" s="2">
        <f>(BB72-BC72)/BB72*100</f>
        <v>3.8874853889370802</v>
      </c>
      <c r="BF72" s="1">
        <f>AS72*AW72</f>
        <v>2183.5293347602851</v>
      </c>
      <c r="BG72" s="1">
        <f>AS72*AX72</f>
        <v>2836.0783313553134</v>
      </c>
      <c r="BH72" s="1">
        <f>BF72+BG72</f>
        <v>5019.6076661155985</v>
      </c>
      <c r="BI72" s="1">
        <f>BF72*(1-BD72/100)</f>
        <v>2132.3949173069836</v>
      </c>
      <c r="BJ72" s="1">
        <f>BG72*(1-BE72/100)</f>
        <v>2725.826200605065</v>
      </c>
      <c r="BK72" s="1">
        <f>BI72+BJ72</f>
        <v>4858.2211179120486</v>
      </c>
      <c r="BL72" s="11" t="str">
        <f>AA72</f>
        <v>0991913434224</v>
      </c>
      <c r="BM72" s="11">
        <f>AB72</f>
        <v>43803</v>
      </c>
      <c r="BN72" s="1">
        <f>AVERAGE(AC72:AC73)</f>
        <v>48.25</v>
      </c>
      <c r="BO72" s="2">
        <f t="shared" ref="BO72" si="98">AVERAGE(AD72:AD73)</f>
        <v>1.0649999999999999</v>
      </c>
      <c r="BP72" s="1">
        <f t="shared" ref="BP72" si="99">AVERAGE(AE72:AE73)</f>
        <v>80.45</v>
      </c>
      <c r="BQ72" s="1">
        <f t="shared" ref="BQ72" si="100">AVERAGE(AF72:AF73)</f>
        <v>25</v>
      </c>
      <c r="BR72" s="1">
        <f t="shared" ref="BR72" si="101">AVERAGE(AG72:AG73)</f>
        <v>9.15</v>
      </c>
      <c r="BS72" s="1">
        <f t="shared" ref="BS72" si="102">AVERAGE(AH72:AH73)</f>
        <v>11.2</v>
      </c>
    </row>
    <row r="73" spans="1:71" x14ac:dyDescent="0.3">
      <c r="A73">
        <v>24</v>
      </c>
      <c r="B73" s="3" t="s">
        <v>220</v>
      </c>
      <c r="C73" s="3" t="s">
        <v>106</v>
      </c>
      <c r="D73" s="13">
        <v>43768</v>
      </c>
      <c r="E73" s="2">
        <v>2.2400000000000002</v>
      </c>
      <c r="F73" s="2">
        <v>0.16</v>
      </c>
      <c r="G73" s="2">
        <f t="shared" si="2"/>
        <v>2.08</v>
      </c>
      <c r="H73" s="4">
        <f t="shared" si="3"/>
        <v>5118.110236220472</v>
      </c>
      <c r="I73" s="10">
        <v>43787</v>
      </c>
      <c r="J73" s="2">
        <v>1.1000000000000001</v>
      </c>
      <c r="K73" s="2">
        <v>2.74</v>
      </c>
      <c r="L73" s="6">
        <f t="shared" si="4"/>
        <v>0.39423076923076927</v>
      </c>
      <c r="M73" s="6">
        <f t="shared" si="5"/>
        <v>0.50961538461538469</v>
      </c>
      <c r="N73" s="6">
        <f t="shared" si="6"/>
        <v>9.6153846153846034E-2</v>
      </c>
      <c r="O73" s="2">
        <v>55.38</v>
      </c>
      <c r="P73" s="2">
        <v>54.07</v>
      </c>
      <c r="Q73" s="2">
        <v>136.38</v>
      </c>
      <c r="R73" s="2">
        <v>131.15</v>
      </c>
      <c r="S73" s="5">
        <f t="shared" si="7"/>
        <v>2.3654749006861722</v>
      </c>
      <c r="T73" s="5">
        <f t="shared" si="8"/>
        <v>3.8348731485554994</v>
      </c>
      <c r="U73" s="4">
        <f t="shared" si="9"/>
        <v>2017.7165354330709</v>
      </c>
      <c r="V73" s="4">
        <f t="shared" si="10"/>
        <v>2608.267716535433</v>
      </c>
      <c r="W73" s="4">
        <f t="shared" si="11"/>
        <v>4625.9842519685044</v>
      </c>
      <c r="X73" s="4">
        <f t="shared" si="12"/>
        <v>1969.987957220407</v>
      </c>
      <c r="Y73" s="4">
        <f t="shared" si="13"/>
        <v>2508.2439582315742</v>
      </c>
      <c r="Z73" s="4">
        <f t="shared" si="14"/>
        <v>4478.231915451981</v>
      </c>
      <c r="AA73" s="8" t="s">
        <v>174</v>
      </c>
      <c r="AB73" s="10">
        <v>43803</v>
      </c>
      <c r="AC73" s="4">
        <v>48.6</v>
      </c>
      <c r="AD73" s="5">
        <v>1.05</v>
      </c>
      <c r="AE73" s="4">
        <v>80</v>
      </c>
      <c r="AF73" s="4">
        <v>24.4</v>
      </c>
      <c r="AG73" s="4">
        <v>9</v>
      </c>
      <c r="AH73" s="4">
        <v>11.7</v>
      </c>
      <c r="AI73" s="1">
        <v>1288.19999999999</v>
      </c>
      <c r="AJ73" s="1">
        <v>3903.6370000000002</v>
      </c>
      <c r="AL73" s="14"/>
      <c r="AM73" s="1"/>
      <c r="AN73" s="1"/>
      <c r="AO73" s="2"/>
      <c r="AP73" s="2"/>
      <c r="AQ73" s="2"/>
      <c r="AR73" s="1"/>
      <c r="AS73" s="1"/>
      <c r="AT73" s="2"/>
      <c r="AU73" s="2"/>
      <c r="AV73" s="2"/>
      <c r="AW73" s="7"/>
      <c r="AX73" s="7"/>
      <c r="AY73" s="7"/>
      <c r="AZ73" s="2"/>
      <c r="BA73" s="2"/>
      <c r="BB73" s="2"/>
      <c r="BC73" s="2"/>
      <c r="BD73" s="2"/>
      <c r="BE73" s="2"/>
      <c r="BF73" s="1"/>
      <c r="BG73" s="1"/>
      <c r="BH73" s="1"/>
      <c r="BI73" s="1"/>
      <c r="BJ73" s="1"/>
      <c r="BK73" s="1"/>
      <c r="BL73" s="11"/>
      <c r="BM73" s="1"/>
      <c r="BN73" s="1"/>
      <c r="BO73" s="2"/>
      <c r="BP73" s="1"/>
      <c r="BQ73" s="1"/>
      <c r="BR73" s="1"/>
      <c r="BS73" s="1"/>
    </row>
    <row r="74" spans="1:71" x14ac:dyDescent="0.3">
      <c r="A74">
        <v>25</v>
      </c>
      <c r="B74" s="3" t="s">
        <v>221</v>
      </c>
      <c r="C74" s="3" t="s">
        <v>106</v>
      </c>
      <c r="D74" s="13">
        <v>43769</v>
      </c>
      <c r="E74" s="2">
        <v>2.83</v>
      </c>
      <c r="F74" s="2">
        <v>0.16</v>
      </c>
      <c r="G74" s="2">
        <f t="shared" si="2"/>
        <v>2.67</v>
      </c>
      <c r="H74" s="4">
        <f t="shared" si="3"/>
        <v>6569.8818897637793</v>
      </c>
      <c r="I74" s="10">
        <v>43787</v>
      </c>
      <c r="J74" s="2">
        <v>1.28</v>
      </c>
      <c r="K74" s="2">
        <v>3.08</v>
      </c>
      <c r="L74" s="6">
        <f t="shared" si="4"/>
        <v>0.37453183520599254</v>
      </c>
      <c r="M74" s="6">
        <f t="shared" si="5"/>
        <v>0.52434456928838957</v>
      </c>
      <c r="N74" s="6">
        <f t="shared" si="6"/>
        <v>0.10112359550561789</v>
      </c>
      <c r="O74" s="2">
        <v>44.95</v>
      </c>
      <c r="P74" s="2">
        <v>43.95</v>
      </c>
      <c r="Q74" s="2">
        <v>125.47</v>
      </c>
      <c r="R74" s="2">
        <v>120.69</v>
      </c>
      <c r="S74" s="5">
        <f t="shared" si="7"/>
        <v>2.2246941045606228</v>
      </c>
      <c r="T74" s="5">
        <f t="shared" si="8"/>
        <v>3.8096756196700414</v>
      </c>
      <c r="U74" s="4">
        <f t="shared" si="9"/>
        <v>2460.6299212598428</v>
      </c>
      <c r="V74" s="4">
        <f t="shared" si="10"/>
        <v>3444.8818897637798</v>
      </c>
      <c r="W74" s="4">
        <f t="shared" si="11"/>
        <v>5905.5118110236226</v>
      </c>
      <c r="X74" s="4">
        <f t="shared" si="12"/>
        <v>2405.8884324665205</v>
      </c>
      <c r="Y74" s="4">
        <f t="shared" si="13"/>
        <v>3313.6430642830205</v>
      </c>
      <c r="Z74" s="4">
        <f t="shared" si="14"/>
        <v>5719.5314967495415</v>
      </c>
      <c r="AA74" t="s">
        <v>151</v>
      </c>
      <c r="AB74" s="10">
        <v>43803</v>
      </c>
      <c r="AC74" s="4">
        <v>45.8</v>
      </c>
      <c r="AD74" s="5">
        <v>1.0900000000000001</v>
      </c>
      <c r="AE74" s="4">
        <v>81.400000000000006</v>
      </c>
      <c r="AF74" s="4">
        <v>26.7</v>
      </c>
      <c r="AG74" s="4">
        <v>8.8000000000000007</v>
      </c>
      <c r="AH74" s="4">
        <v>10</v>
      </c>
      <c r="AI74" s="1">
        <v>1555.3903333333301</v>
      </c>
      <c r="AJ74" s="1">
        <v>4713.3033333333296</v>
      </c>
      <c r="AL74" s="14" t="s">
        <v>842</v>
      </c>
      <c r="AM74" s="1" t="s">
        <v>106</v>
      </c>
      <c r="AN74" s="11">
        <f>D74</f>
        <v>43769</v>
      </c>
      <c r="AO74" s="2">
        <f>SUM(E74:E75)</f>
        <v>5.16</v>
      </c>
      <c r="AP74" s="2">
        <f>SUM(F74:F75)</f>
        <v>0.32</v>
      </c>
      <c r="AQ74" s="2">
        <f>AO74-AP74</f>
        <v>4.84</v>
      </c>
      <c r="AR74" s="1">
        <f>AQ74/(2*$A$38)*$A$39</f>
        <v>5954.7244094488187</v>
      </c>
      <c r="AS74" s="1">
        <v>5565.3309455097515</v>
      </c>
      <c r="AT74" s="11">
        <f>I74</f>
        <v>43787</v>
      </c>
      <c r="AU74" s="2">
        <f>SUM(J74:J75)</f>
        <v>2.44</v>
      </c>
      <c r="AV74" s="2">
        <f>SUM(K74:K75)</f>
        <v>5.8599999999999994</v>
      </c>
      <c r="AW74" s="7">
        <f>(AU74-2*$A$40)/AQ74</f>
        <v>0.38842975206611569</v>
      </c>
      <c r="AX74" s="7">
        <f>(AV74-2*$A$41)/AQ74</f>
        <v>0.51652892561983466</v>
      </c>
      <c r="AY74" s="7">
        <f>1-AW74-AX74</f>
        <v>9.5041322314049603E-2</v>
      </c>
      <c r="AZ74" s="2">
        <f>SUM(O74:O75)</f>
        <v>93.710000000000008</v>
      </c>
      <c r="BA74" s="2">
        <f t="shared" ref="BA74" si="103">SUM(P74:P75)</f>
        <v>91.580000000000013</v>
      </c>
      <c r="BB74" s="2">
        <f t="shared" ref="BB74" si="104">SUM(Q74:Q75)</f>
        <v>241.5</v>
      </c>
      <c r="BC74" s="2">
        <f t="shared" ref="BC74" si="105">SUM(R74:R75)</f>
        <v>232.26</v>
      </c>
      <c r="BD74" s="2">
        <f>(AZ74-BA74)/AZ74*100</f>
        <v>2.2729698004481862</v>
      </c>
      <c r="BE74" s="2">
        <f>(BB74-BC74)/BB74*100</f>
        <v>3.8260869565217432</v>
      </c>
      <c r="BF74" s="1">
        <f>AS74*AW74</f>
        <v>2161.7401193302339</v>
      </c>
      <c r="BG74" s="1">
        <f>AS74*AX74</f>
        <v>2874.6544140029705</v>
      </c>
      <c r="BH74" s="1">
        <f>BF74+BG74</f>
        <v>5036.3945333332049</v>
      </c>
      <c r="BI74" s="1">
        <f>BF74*(1-BD74/100)</f>
        <v>2112.6044192536851</v>
      </c>
      <c r="BJ74" s="1">
        <f>BG74*(1-BE74/100)</f>
        <v>2764.6676364237264</v>
      </c>
      <c r="BK74" s="1">
        <f>BI74+BJ74</f>
        <v>4877.2720556774111</v>
      </c>
      <c r="BL74" s="11" t="str">
        <f>AA74</f>
        <v>0991913441226</v>
      </c>
      <c r="BM74" s="11">
        <f>AB74</f>
        <v>43803</v>
      </c>
      <c r="BN74" s="1">
        <f>AVERAGE(AC74:AC75)</f>
        <v>47.15</v>
      </c>
      <c r="BO74" s="2">
        <f t="shared" ref="BO74" si="106">AVERAGE(AD74:AD75)</f>
        <v>1.08</v>
      </c>
      <c r="BP74" s="1">
        <f t="shared" ref="BP74" si="107">AVERAGE(AE74:AE75)</f>
        <v>81.45</v>
      </c>
      <c r="BQ74" s="1">
        <f t="shared" ref="BQ74" si="108">AVERAGE(AF74:AF75)</f>
        <v>27.5</v>
      </c>
      <c r="BR74" s="1">
        <f t="shared" ref="BR74" si="109">AVERAGE(AG74:AG75)</f>
        <v>8.9499999999999993</v>
      </c>
      <c r="BS74" s="1">
        <f t="shared" ref="BS74" si="110">AVERAGE(AH74:AH75)</f>
        <v>10.199999999999999</v>
      </c>
    </row>
    <row r="75" spans="1:71" x14ac:dyDescent="0.3">
      <c r="A75">
        <v>26</v>
      </c>
      <c r="B75" s="3" t="s">
        <v>222</v>
      </c>
      <c r="C75" s="3" t="s">
        <v>106</v>
      </c>
      <c r="D75" s="13">
        <v>43769</v>
      </c>
      <c r="E75" s="2">
        <v>2.33</v>
      </c>
      <c r="F75" s="2">
        <v>0.16</v>
      </c>
      <c r="G75" s="2">
        <f t="shared" si="2"/>
        <v>2.17</v>
      </c>
      <c r="H75" s="4">
        <f t="shared" si="3"/>
        <v>5339.5669291338572</v>
      </c>
      <c r="I75" s="10">
        <v>43787</v>
      </c>
      <c r="J75" s="2">
        <v>1.1599999999999999</v>
      </c>
      <c r="K75" s="2">
        <v>2.78</v>
      </c>
      <c r="L75" s="6">
        <f t="shared" si="4"/>
        <v>0.40552995391705066</v>
      </c>
      <c r="M75" s="6">
        <f t="shared" si="5"/>
        <v>0.50691244239631328</v>
      </c>
      <c r="N75" s="6">
        <f t="shared" si="6"/>
        <v>8.755760368663601E-2</v>
      </c>
      <c r="O75" s="2">
        <v>48.76</v>
      </c>
      <c r="P75" s="2">
        <v>47.63</v>
      </c>
      <c r="Q75" s="2">
        <v>116.03</v>
      </c>
      <c r="R75" s="2">
        <v>111.57</v>
      </c>
      <c r="S75" s="5">
        <f t="shared" si="7"/>
        <v>2.3174733388022877</v>
      </c>
      <c r="T75" s="5">
        <f t="shared" si="8"/>
        <v>3.843833491338454</v>
      </c>
      <c r="U75" s="4">
        <f t="shared" si="9"/>
        <v>2165.3543307086607</v>
      </c>
      <c r="V75" s="4">
        <f t="shared" si="10"/>
        <v>2706.6929133858257</v>
      </c>
      <c r="W75" s="4">
        <f t="shared" si="11"/>
        <v>4872.0472440944868</v>
      </c>
      <c r="X75" s="4">
        <f t="shared" si="12"/>
        <v>2115.1728214038867</v>
      </c>
      <c r="Y75" s="4">
        <f t="shared" si="13"/>
        <v>2602.6521446734168</v>
      </c>
      <c r="Z75" s="4">
        <f t="shared" si="14"/>
        <v>4717.8249660773035</v>
      </c>
      <c r="AA75" s="8" t="s">
        <v>175</v>
      </c>
      <c r="AB75" s="10">
        <v>43803</v>
      </c>
      <c r="AC75" s="4">
        <v>48.5</v>
      </c>
      <c r="AD75" s="5">
        <v>1.07</v>
      </c>
      <c r="AE75" s="4">
        <v>81.5</v>
      </c>
      <c r="AF75" s="4">
        <v>28.3</v>
      </c>
      <c r="AG75" s="4">
        <v>9.1</v>
      </c>
      <c r="AH75" s="4">
        <v>10.4</v>
      </c>
      <c r="AI75" s="1">
        <v>1331.02549999999</v>
      </c>
      <c r="AJ75" s="1">
        <v>4033.41049999999</v>
      </c>
      <c r="AL75" s="14"/>
      <c r="AM75" s="1"/>
      <c r="AN75" s="1"/>
      <c r="AO75" s="2"/>
      <c r="AP75" s="2"/>
      <c r="AQ75" s="2"/>
      <c r="AR75" s="1"/>
      <c r="AS75" s="1"/>
      <c r="AT75" s="2"/>
      <c r="AU75" s="2"/>
      <c r="AV75" s="2"/>
      <c r="AW75" s="7"/>
      <c r="AX75" s="7"/>
      <c r="AY75" s="7"/>
      <c r="AZ75" s="2"/>
      <c r="BA75" s="2"/>
      <c r="BB75" s="2"/>
      <c r="BC75" s="2"/>
      <c r="BD75" s="2"/>
      <c r="BE75" s="2"/>
      <c r="BF75" s="1"/>
      <c r="BG75" s="1"/>
      <c r="BH75" s="1"/>
      <c r="BI75" s="1"/>
      <c r="BJ75" s="1"/>
      <c r="BK75" s="1"/>
      <c r="BL75" s="11"/>
      <c r="BM75" s="1"/>
      <c r="BN75" s="1"/>
      <c r="BO75" s="2"/>
      <c r="BP75" s="1"/>
      <c r="BQ75" s="1"/>
      <c r="BR75" s="1"/>
      <c r="BS75" s="1"/>
    </row>
    <row r="76" spans="1:71" x14ac:dyDescent="0.3">
      <c r="A76">
        <v>27</v>
      </c>
      <c r="B76" s="3" t="s">
        <v>223</v>
      </c>
      <c r="C76" s="3" t="s">
        <v>106</v>
      </c>
      <c r="D76" s="13">
        <v>43769</v>
      </c>
      <c r="E76" s="2">
        <v>2.58</v>
      </c>
      <c r="F76" s="2">
        <v>0.16</v>
      </c>
      <c r="G76" s="2">
        <f t="shared" si="2"/>
        <v>2.42</v>
      </c>
      <c r="H76" s="4">
        <f t="shared" si="3"/>
        <v>5954.7244094488187</v>
      </c>
      <c r="I76" s="10">
        <v>43787</v>
      </c>
      <c r="J76" s="2">
        <v>1.24</v>
      </c>
      <c r="K76" s="2">
        <v>2.94</v>
      </c>
      <c r="L76" s="6">
        <f t="shared" si="4"/>
        <v>0.39669421487603307</v>
      </c>
      <c r="M76" s="6">
        <f t="shared" si="5"/>
        <v>0.52066115702479343</v>
      </c>
      <c r="N76" s="6">
        <f t="shared" si="6"/>
        <v>8.2644628099173501E-2</v>
      </c>
      <c r="O76" s="2">
        <v>33.450000000000003</v>
      </c>
      <c r="P76" s="2">
        <v>32.72</v>
      </c>
      <c r="Q76" s="2">
        <v>128.65</v>
      </c>
      <c r="R76" s="2">
        <v>123.61</v>
      </c>
      <c r="S76" s="5">
        <f t="shared" si="7"/>
        <v>2.1823617339312524</v>
      </c>
      <c r="T76" s="5">
        <f t="shared" si="8"/>
        <v>3.9176059075009761</v>
      </c>
      <c r="U76" s="4">
        <f t="shared" si="9"/>
        <v>2362.2047244094488</v>
      </c>
      <c r="V76" s="4">
        <f t="shared" si="10"/>
        <v>3100.3937007874019</v>
      </c>
      <c r="W76" s="4">
        <f t="shared" si="11"/>
        <v>5462.5984251968512</v>
      </c>
      <c r="X76" s="4">
        <f t="shared" si="12"/>
        <v>2310.652872426821</v>
      </c>
      <c r="Y76" s="4">
        <f t="shared" si="13"/>
        <v>2978.9324940095667</v>
      </c>
      <c r="Z76" s="4">
        <f t="shared" si="14"/>
        <v>5289.5853664363876</v>
      </c>
      <c r="AA76" t="s">
        <v>152</v>
      </c>
      <c r="AB76" s="10">
        <v>43803</v>
      </c>
      <c r="AC76" s="4">
        <v>48</v>
      </c>
      <c r="AD76" s="5">
        <v>1.1000000000000001</v>
      </c>
      <c r="AE76" s="4">
        <v>81.7</v>
      </c>
      <c r="AF76" s="4">
        <v>27.9</v>
      </c>
      <c r="AG76" s="4">
        <v>8.4</v>
      </c>
      <c r="AH76" s="4">
        <v>9.6</v>
      </c>
      <c r="AI76" s="1">
        <v>1690.2815000000001</v>
      </c>
      <c r="AJ76" s="1">
        <v>5122.0654999999997</v>
      </c>
      <c r="AL76" s="14" t="s">
        <v>843</v>
      </c>
      <c r="AM76" s="1" t="s">
        <v>106</v>
      </c>
      <c r="AN76" s="11">
        <f>D76</f>
        <v>43769</v>
      </c>
      <c r="AO76" s="2">
        <f>SUM(E76:E77)</f>
        <v>5.21</v>
      </c>
      <c r="AP76" s="2">
        <f>SUM(F76:F77)</f>
        <v>0.32</v>
      </c>
      <c r="AQ76" s="2">
        <f>AO76-AP76</f>
        <v>4.8899999999999997</v>
      </c>
      <c r="AR76" s="1">
        <f>AQ76/(2*$A$38)*$A$39</f>
        <v>6016.2401574803152</v>
      </c>
      <c r="AS76" s="1">
        <v>5759.0550094734572</v>
      </c>
      <c r="AT76" s="11">
        <f>I76</f>
        <v>43787</v>
      </c>
      <c r="AU76" s="2">
        <f>SUM(J76:J77)</f>
        <v>2.5</v>
      </c>
      <c r="AV76" s="2">
        <f>SUM(K76:K77)</f>
        <v>5.92</v>
      </c>
      <c r="AW76" s="7">
        <f>(AU76-2*$A$40)/AQ76</f>
        <v>0.39672801635991822</v>
      </c>
      <c r="AX76" s="7">
        <f>(AV76-2*$A$41)/AQ76</f>
        <v>0.52351738241308798</v>
      </c>
      <c r="AY76" s="7">
        <f>1-AW76-AX76</f>
        <v>7.9754601226993738E-2</v>
      </c>
      <c r="AZ76" s="2">
        <f>SUM(O76:O77)</f>
        <v>77.800000000000011</v>
      </c>
      <c r="BA76" s="2">
        <f t="shared" ref="BA76" si="111">SUM(P76:P77)</f>
        <v>76.099999999999994</v>
      </c>
      <c r="BB76" s="2">
        <f t="shared" ref="BB76" si="112">SUM(Q76:Q77)</f>
        <v>281.78999999999996</v>
      </c>
      <c r="BC76" s="2">
        <f t="shared" ref="BC76" si="113">SUM(R76:R77)</f>
        <v>270.75</v>
      </c>
      <c r="BD76" s="2">
        <f>(AZ76-BA76)/AZ76*100</f>
        <v>2.1850899742930805</v>
      </c>
      <c r="BE76" s="2">
        <f>(BB76-BC76)/BB76*100</f>
        <v>3.9178111359522925</v>
      </c>
      <c r="BF76" s="1">
        <f>AS76*AW76</f>
        <v>2284.7784700160546</v>
      </c>
      <c r="BG76" s="1">
        <f>AS76*AX76</f>
        <v>3014.9654037325258</v>
      </c>
      <c r="BH76" s="1">
        <f>BF76+BG76</f>
        <v>5299.7438737485809</v>
      </c>
      <c r="BI76" s="1">
        <f>BF76*(1-BD76/100)</f>
        <v>2234.854004732927</v>
      </c>
      <c r="BJ76" s="1">
        <f>BG76*(1-BE76/100)</f>
        <v>2896.8447533999843</v>
      </c>
      <c r="BK76" s="1">
        <f>BI76+BJ76</f>
        <v>5131.6987581329113</v>
      </c>
      <c r="BL76" s="11" t="str">
        <f>AA76</f>
        <v>0991913442228</v>
      </c>
      <c r="BM76" s="11">
        <f>AB76</f>
        <v>43803</v>
      </c>
      <c r="BN76" s="1">
        <f>AVERAGE(AC76:AC77)</f>
        <v>48.2</v>
      </c>
      <c r="BO76" s="2">
        <f t="shared" ref="BO76" si="114">AVERAGE(AD76:AD77)</f>
        <v>1.0950000000000002</v>
      </c>
      <c r="BP76" s="1">
        <f t="shared" ref="BP76" si="115">AVERAGE(AE76:AE77)</f>
        <v>80.95</v>
      </c>
      <c r="BQ76" s="1">
        <f t="shared" ref="BQ76" si="116">AVERAGE(AF76:AF77)</f>
        <v>27.6</v>
      </c>
      <c r="BR76" s="1">
        <f t="shared" ref="BR76" si="117">AVERAGE(AG76:AG77)</f>
        <v>8.6000000000000014</v>
      </c>
      <c r="BS76" s="1">
        <f t="shared" ref="BS76" si="118">AVERAGE(AH76:AH77)</f>
        <v>9.8000000000000007</v>
      </c>
    </row>
    <row r="77" spans="1:71" x14ac:dyDescent="0.3">
      <c r="A77">
        <v>28</v>
      </c>
      <c r="B77" s="3" t="s">
        <v>224</v>
      </c>
      <c r="C77" s="3" t="s">
        <v>106</v>
      </c>
      <c r="D77" s="13">
        <v>43769</v>
      </c>
      <c r="E77" s="2">
        <v>2.63</v>
      </c>
      <c r="F77" s="2">
        <v>0.16</v>
      </c>
      <c r="G77" s="2">
        <f t="shared" si="2"/>
        <v>2.4699999999999998</v>
      </c>
      <c r="H77" s="4">
        <f t="shared" si="3"/>
        <v>6077.7559055118099</v>
      </c>
      <c r="I77" s="10">
        <v>43787</v>
      </c>
      <c r="J77" s="2">
        <v>1.26</v>
      </c>
      <c r="K77" s="2">
        <v>2.98</v>
      </c>
      <c r="L77" s="6">
        <f t="shared" si="4"/>
        <v>0.39676113360323889</v>
      </c>
      <c r="M77" s="6">
        <f t="shared" si="5"/>
        <v>0.52631578947368429</v>
      </c>
      <c r="N77" s="6">
        <f t="shared" si="6"/>
        <v>7.6923076923076872E-2</v>
      </c>
      <c r="O77" s="2">
        <v>44.35</v>
      </c>
      <c r="P77" s="2">
        <v>43.38</v>
      </c>
      <c r="Q77" s="2">
        <v>153.13999999999999</v>
      </c>
      <c r="R77" s="2">
        <v>147.13999999999999</v>
      </c>
      <c r="S77" s="5">
        <f t="shared" si="7"/>
        <v>2.1871476888387797</v>
      </c>
      <c r="T77" s="5">
        <f t="shared" si="8"/>
        <v>3.9179835444691133</v>
      </c>
      <c r="U77" s="4">
        <f t="shared" si="9"/>
        <v>2411.4173228346453</v>
      </c>
      <c r="V77" s="4">
        <f t="shared" si="10"/>
        <v>3198.8188976377951</v>
      </c>
      <c r="W77" s="4">
        <f t="shared" si="11"/>
        <v>5610.2362204724404</v>
      </c>
      <c r="X77" s="4">
        <f t="shared" si="12"/>
        <v>2358.6760645900094</v>
      </c>
      <c r="Y77" s="4">
        <f t="shared" si="13"/>
        <v>3073.4896996109778</v>
      </c>
      <c r="Z77" s="4">
        <f t="shared" si="14"/>
        <v>5432.1657642009868</v>
      </c>
      <c r="AA77" s="8" t="s">
        <v>176</v>
      </c>
      <c r="AB77" s="10">
        <v>43803</v>
      </c>
      <c r="AC77" s="4">
        <v>48.4</v>
      </c>
      <c r="AD77" s="5">
        <v>1.0900000000000001</v>
      </c>
      <c r="AE77" s="4">
        <v>80.2</v>
      </c>
      <c r="AF77" s="4">
        <v>27.3</v>
      </c>
      <c r="AG77" s="4">
        <v>8.8000000000000007</v>
      </c>
      <c r="AH77" s="4">
        <v>10</v>
      </c>
      <c r="AI77" s="1">
        <v>1776.8485000000001</v>
      </c>
      <c r="AJ77" s="1">
        <v>5384.3885</v>
      </c>
      <c r="AL77" s="14"/>
      <c r="AM77" s="1"/>
      <c r="AN77" s="1"/>
      <c r="AO77" s="2"/>
      <c r="AP77" s="2"/>
      <c r="AQ77" s="2"/>
      <c r="AR77" s="1"/>
      <c r="AS77" s="1"/>
      <c r="AT77" s="2"/>
      <c r="AU77" s="2"/>
      <c r="AV77" s="2"/>
      <c r="AW77" s="7"/>
      <c r="AX77" s="7"/>
      <c r="AY77" s="7"/>
      <c r="AZ77" s="2"/>
      <c r="BA77" s="2"/>
      <c r="BB77" s="2"/>
      <c r="BC77" s="2"/>
      <c r="BD77" s="2"/>
      <c r="BE77" s="2"/>
      <c r="BF77" s="1"/>
      <c r="BG77" s="1"/>
      <c r="BH77" s="1"/>
      <c r="BI77" s="1"/>
      <c r="BJ77" s="1"/>
      <c r="BK77" s="1"/>
      <c r="BL77" s="11"/>
      <c r="BM77" s="1"/>
      <c r="BN77" s="1"/>
      <c r="BO77" s="2"/>
      <c r="BP77" s="1"/>
      <c r="BQ77" s="1"/>
      <c r="BR77" s="1"/>
      <c r="BS77" s="1"/>
    </row>
    <row r="78" spans="1:71" x14ac:dyDescent="0.3">
      <c r="A78">
        <v>29</v>
      </c>
      <c r="B78" s="3" t="s">
        <v>225</v>
      </c>
      <c r="C78" s="3" t="s">
        <v>106</v>
      </c>
      <c r="D78" s="13">
        <v>43769</v>
      </c>
      <c r="E78" s="2">
        <v>2.56</v>
      </c>
      <c r="F78" s="2">
        <v>0.16</v>
      </c>
      <c r="G78" s="2">
        <f t="shared" si="2"/>
        <v>2.4</v>
      </c>
      <c r="H78" s="4">
        <f t="shared" si="3"/>
        <v>5905.5118110236217</v>
      </c>
      <c r="I78" s="10">
        <v>43787</v>
      </c>
      <c r="J78" s="2">
        <v>1.18</v>
      </c>
      <c r="K78" s="2">
        <v>2.88</v>
      </c>
      <c r="L78" s="6">
        <f t="shared" si="4"/>
        <v>0.375</v>
      </c>
      <c r="M78" s="6">
        <f t="shared" si="5"/>
        <v>0.5</v>
      </c>
      <c r="N78" s="6">
        <f t="shared" si="6"/>
        <v>0.125</v>
      </c>
      <c r="O78" s="2">
        <v>49.51</v>
      </c>
      <c r="P78" s="2">
        <v>48.36</v>
      </c>
      <c r="Q78" s="2">
        <v>140.86000000000001</v>
      </c>
      <c r="R78" s="2">
        <v>135.46</v>
      </c>
      <c r="S78" s="5">
        <f t="shared" si="7"/>
        <v>2.3227630781660245</v>
      </c>
      <c r="T78" s="5">
        <f t="shared" si="8"/>
        <v>3.833593639074262</v>
      </c>
      <c r="U78" s="4">
        <f t="shared" si="9"/>
        <v>2214.5669291338581</v>
      </c>
      <c r="V78" s="4">
        <f t="shared" si="10"/>
        <v>2952.7559055118109</v>
      </c>
      <c r="W78" s="4">
        <f t="shared" si="11"/>
        <v>5167.322834645669</v>
      </c>
      <c r="X78" s="4">
        <f t="shared" si="12"/>
        <v>2163.1277861626618</v>
      </c>
      <c r="Y78" s="4">
        <f t="shared" si="13"/>
        <v>2839.5592429407207</v>
      </c>
      <c r="Z78" s="4">
        <f t="shared" si="14"/>
        <v>5002.6870291033829</v>
      </c>
      <c r="AA78" t="s">
        <v>153</v>
      </c>
      <c r="AB78" s="10">
        <v>43803</v>
      </c>
      <c r="AC78" s="4">
        <v>47.9</v>
      </c>
      <c r="AD78" s="5">
        <v>1.0900000000000001</v>
      </c>
      <c r="AE78" s="4">
        <v>81</v>
      </c>
      <c r="AF78" s="4">
        <v>26.5</v>
      </c>
      <c r="AG78" s="4">
        <v>8.5</v>
      </c>
      <c r="AH78" s="4">
        <v>10.199999999999999</v>
      </c>
      <c r="AI78" s="1">
        <v>1599.79899999999</v>
      </c>
      <c r="AJ78" s="1">
        <v>4847.875</v>
      </c>
      <c r="AL78" s="14" t="s">
        <v>844</v>
      </c>
      <c r="AM78" s="1" t="s">
        <v>106</v>
      </c>
      <c r="AN78" s="11">
        <f>D78</f>
        <v>43769</v>
      </c>
      <c r="AO78" s="2">
        <f>SUM(E78:E79)</f>
        <v>5.28</v>
      </c>
      <c r="AP78" s="2">
        <f>SUM(F78:F79)</f>
        <v>0.32</v>
      </c>
      <c r="AQ78" s="2">
        <f>AO78-AP78</f>
        <v>4.96</v>
      </c>
      <c r="AR78" s="1">
        <f>AQ78/(2*$A$38)*$A$39</f>
        <v>6102.3622047244098</v>
      </c>
      <c r="AS78" s="1">
        <v>5736.836004997519</v>
      </c>
      <c r="AT78" s="11">
        <f>I78</f>
        <v>43787</v>
      </c>
      <c r="AU78" s="2">
        <f>SUM(J78:J79)</f>
        <v>2.5</v>
      </c>
      <c r="AV78" s="2">
        <f>SUM(K78:K79)</f>
        <v>5.8599999999999994</v>
      </c>
      <c r="AW78" s="7">
        <f>(AU78-2*$A$40)/AQ78</f>
        <v>0.3911290322580645</v>
      </c>
      <c r="AX78" s="7">
        <f>(AV78-2*$A$41)/AQ78</f>
        <v>0.50403225806451601</v>
      </c>
      <c r="AY78" s="7">
        <f>1-AW78-AX78</f>
        <v>0.10483870967741948</v>
      </c>
      <c r="AZ78" s="2">
        <f>SUM(O78:O79)</f>
        <v>99.12</v>
      </c>
      <c r="BA78" s="2">
        <f t="shared" ref="BA78" si="119">SUM(P78:P79)</f>
        <v>96.85</v>
      </c>
      <c r="BB78" s="2">
        <f t="shared" ref="BB78" si="120">SUM(Q78:Q79)</f>
        <v>271.58000000000004</v>
      </c>
      <c r="BC78" s="2">
        <f t="shared" ref="BC78" si="121">SUM(R78:R79)</f>
        <v>261.07</v>
      </c>
      <c r="BD78" s="2">
        <f>(AZ78-BA78)/AZ78*100</f>
        <v>2.2901533494753936</v>
      </c>
      <c r="BE78" s="2">
        <f>(BB78-BC78)/BB78*100</f>
        <v>3.8699462405184648</v>
      </c>
      <c r="BF78" s="1">
        <f>AS78*AW78</f>
        <v>2243.8431148579007</v>
      </c>
      <c r="BG78" s="1">
        <f>AS78*AX78</f>
        <v>2891.5504057447165</v>
      </c>
      <c r="BH78" s="1">
        <f>BF78+BG78</f>
        <v>5135.3935206026172</v>
      </c>
      <c r="BI78" s="1">
        <f>BF78*(1-BD78/100)</f>
        <v>2192.4556666060093</v>
      </c>
      <c r="BJ78" s="1">
        <f>BG78*(1-BE78/100)</f>
        <v>2779.6489595249027</v>
      </c>
      <c r="BK78" s="1">
        <f>BI78+BJ78</f>
        <v>4972.104626130912</v>
      </c>
      <c r="BL78" s="11" t="str">
        <f>AA78</f>
        <v>0991913443230</v>
      </c>
      <c r="BM78" s="11">
        <f>AB78</f>
        <v>43803</v>
      </c>
      <c r="BN78" s="1">
        <f>AVERAGE(AC78:AC79)</f>
        <v>47.6</v>
      </c>
      <c r="BO78" s="2">
        <f t="shared" ref="BO78" si="122">AVERAGE(AD78:AD79)</f>
        <v>1.08</v>
      </c>
      <c r="BP78" s="1">
        <f t="shared" ref="BP78" si="123">AVERAGE(AE78:AE79)</f>
        <v>80.5</v>
      </c>
      <c r="BQ78" s="1">
        <f t="shared" ref="BQ78" si="124">AVERAGE(AF78:AF79)</f>
        <v>26.6</v>
      </c>
      <c r="BR78" s="1">
        <f t="shared" ref="BR78" si="125">AVERAGE(AG78:AG79)</f>
        <v>8.5500000000000007</v>
      </c>
      <c r="BS78" s="1">
        <f t="shared" ref="BS78" si="126">AVERAGE(AH78:AH79)</f>
        <v>10.649999999999999</v>
      </c>
    </row>
    <row r="79" spans="1:71" x14ac:dyDescent="0.3">
      <c r="A79">
        <v>30</v>
      </c>
      <c r="B79" s="3" t="s">
        <v>226</v>
      </c>
      <c r="C79" s="3" t="s">
        <v>106</v>
      </c>
      <c r="D79" s="13">
        <v>43769</v>
      </c>
      <c r="E79" s="2">
        <v>2.72</v>
      </c>
      <c r="F79" s="2">
        <v>0.16</v>
      </c>
      <c r="G79" s="2">
        <f t="shared" si="2"/>
        <v>2.56</v>
      </c>
      <c r="H79" s="4">
        <f t="shared" si="3"/>
        <v>6299.212598425197</v>
      </c>
      <c r="I79" s="10">
        <v>43787</v>
      </c>
      <c r="J79" s="2">
        <v>1.32</v>
      </c>
      <c r="K79" s="2">
        <v>2.98</v>
      </c>
      <c r="L79" s="6">
        <f t="shared" si="4"/>
        <v>0.40625</v>
      </c>
      <c r="M79" s="6">
        <f t="shared" si="5"/>
        <v>0.5078125</v>
      </c>
      <c r="N79" s="6">
        <f t="shared" si="6"/>
        <v>8.59375E-2</v>
      </c>
      <c r="O79" s="2">
        <v>49.61</v>
      </c>
      <c r="P79" s="2">
        <v>48.49</v>
      </c>
      <c r="Q79" s="2">
        <v>130.72</v>
      </c>
      <c r="R79" s="2">
        <v>125.61</v>
      </c>
      <c r="S79" s="5">
        <f t="shared" si="7"/>
        <v>2.2576093529530286</v>
      </c>
      <c r="T79" s="5">
        <f t="shared" si="8"/>
        <v>3.909118727050183</v>
      </c>
      <c r="U79" s="4">
        <f t="shared" si="9"/>
        <v>2559.0551181102364</v>
      </c>
      <c r="V79" s="4">
        <f t="shared" si="10"/>
        <v>3198.8188976377955</v>
      </c>
      <c r="W79" s="4">
        <f t="shared" si="11"/>
        <v>5757.8740157480315</v>
      </c>
      <c r="X79" s="4">
        <f t="shared" si="12"/>
        <v>2501.2816504165567</v>
      </c>
      <c r="Y79" s="4">
        <f t="shared" si="13"/>
        <v>3073.7732690658163</v>
      </c>
      <c r="Z79" s="4">
        <f t="shared" si="14"/>
        <v>5575.0549194823725</v>
      </c>
      <c r="AA79" s="8" t="s">
        <v>177</v>
      </c>
      <c r="AB79" s="10">
        <v>43803</v>
      </c>
      <c r="AC79" s="4">
        <v>47.300000000000004</v>
      </c>
      <c r="AD79" s="5">
        <v>1.07</v>
      </c>
      <c r="AE79" s="4">
        <v>80</v>
      </c>
      <c r="AF79" s="4">
        <v>26.7</v>
      </c>
      <c r="AG79" s="4">
        <v>8.6</v>
      </c>
      <c r="AH79" s="4">
        <v>11.1</v>
      </c>
      <c r="AI79" s="1">
        <v>1570.4594999999899</v>
      </c>
      <c r="AJ79" s="1">
        <v>4758.9679999999898</v>
      </c>
      <c r="AL79" s="14"/>
      <c r="AM79" s="1"/>
      <c r="AN79" s="1"/>
      <c r="AO79" s="2"/>
      <c r="AP79" s="2"/>
      <c r="AQ79" s="2"/>
      <c r="AR79" s="1"/>
      <c r="AS79" s="1"/>
      <c r="AT79" s="2"/>
      <c r="AU79" s="2"/>
      <c r="AV79" s="2"/>
      <c r="AW79" s="7"/>
      <c r="AX79" s="7"/>
      <c r="AY79" s="7"/>
      <c r="AZ79" s="2"/>
      <c r="BA79" s="2"/>
      <c r="BB79" s="2"/>
      <c r="BC79" s="2"/>
      <c r="BD79" s="2"/>
      <c r="BE79" s="2"/>
      <c r="BF79" s="1"/>
      <c r="BG79" s="1"/>
      <c r="BH79" s="1"/>
      <c r="BI79" s="1"/>
      <c r="BJ79" s="1"/>
      <c r="BK79" s="1"/>
      <c r="BL79" s="11"/>
      <c r="BM79" s="1"/>
      <c r="BN79" s="1"/>
      <c r="BO79" s="2"/>
      <c r="BP79" s="1"/>
      <c r="BQ79" s="1"/>
      <c r="BR79" s="1"/>
      <c r="BS79" s="1"/>
    </row>
    <row r="80" spans="1:71" x14ac:dyDescent="0.3">
      <c r="A80">
        <v>31</v>
      </c>
      <c r="B80" s="3" t="s">
        <v>227</v>
      </c>
      <c r="C80" s="3" t="s">
        <v>106</v>
      </c>
      <c r="D80" s="13">
        <v>43769</v>
      </c>
      <c r="E80" s="2">
        <v>2.2599999999999998</v>
      </c>
      <c r="F80" s="2">
        <v>0.16</v>
      </c>
      <c r="G80" s="2">
        <f t="shared" si="2"/>
        <v>2.0999999999999996</v>
      </c>
      <c r="H80" s="4">
        <f t="shared" si="3"/>
        <v>5167.3228346456681</v>
      </c>
      <c r="I80" s="10">
        <v>43787</v>
      </c>
      <c r="J80" s="2">
        <v>1.08</v>
      </c>
      <c r="K80" s="2">
        <v>2.78</v>
      </c>
      <c r="L80" s="6">
        <f t="shared" si="4"/>
        <v>0.38095238095238104</v>
      </c>
      <c r="M80" s="6">
        <f t="shared" si="5"/>
        <v>0.52380952380952384</v>
      </c>
      <c r="N80" s="6">
        <f t="shared" si="6"/>
        <v>9.5238095238095122E-2</v>
      </c>
      <c r="O80" s="2">
        <v>41.95</v>
      </c>
      <c r="P80" s="2">
        <v>41</v>
      </c>
      <c r="Q80" s="2">
        <v>138.62</v>
      </c>
      <c r="R80" s="2">
        <v>133.37</v>
      </c>
      <c r="S80" s="5">
        <f t="shared" si="7"/>
        <v>2.2646007151370746</v>
      </c>
      <c r="T80" s="5">
        <f t="shared" si="8"/>
        <v>3.7873322752849514</v>
      </c>
      <c r="U80" s="4">
        <f t="shared" si="9"/>
        <v>1968.5039370078741</v>
      </c>
      <c r="V80" s="4">
        <f t="shared" si="10"/>
        <v>2706.6929133858262</v>
      </c>
      <c r="W80" s="4">
        <f t="shared" si="11"/>
        <v>4675.1968503937005</v>
      </c>
      <c r="X80" s="4">
        <f t="shared" si="12"/>
        <v>1923.9251827728922</v>
      </c>
      <c r="Y80" s="4">
        <f t="shared" si="13"/>
        <v>2604.1814590843142</v>
      </c>
      <c r="Z80" s="4">
        <f t="shared" si="14"/>
        <v>4528.1066418572063</v>
      </c>
      <c r="AA80" t="s">
        <v>154</v>
      </c>
      <c r="AB80" s="10">
        <v>43803</v>
      </c>
      <c r="AC80" s="4">
        <v>46.7</v>
      </c>
      <c r="AD80" s="5">
        <v>1.06</v>
      </c>
      <c r="AE80" s="4">
        <v>80.900000000000006</v>
      </c>
      <c r="AF80" s="4">
        <v>27.7</v>
      </c>
      <c r="AG80" s="4">
        <v>8.5</v>
      </c>
      <c r="AH80" s="4">
        <v>10.8</v>
      </c>
      <c r="AI80" s="1">
        <v>1466.9994999999899</v>
      </c>
      <c r="AJ80" s="1">
        <v>4445.4534999999896</v>
      </c>
      <c r="AL80" s="14" t="s">
        <v>845</v>
      </c>
      <c r="AM80" s="1" t="s">
        <v>106</v>
      </c>
      <c r="AN80" s="11">
        <f>D80</f>
        <v>43769</v>
      </c>
      <c r="AO80" s="2">
        <f>SUM(E80:E81)</f>
        <v>4.4000000000000004</v>
      </c>
      <c r="AP80" s="2">
        <f>SUM(F80:F81)</f>
        <v>0.32</v>
      </c>
      <c r="AQ80" s="2">
        <f>AO80-AP80</f>
        <v>4.08</v>
      </c>
      <c r="AR80" s="1">
        <f>AQ80/(2*$A$38)*$A$39</f>
        <v>5019.6850393700788</v>
      </c>
      <c r="AS80" s="1">
        <v>5229.8530747799896</v>
      </c>
      <c r="AT80" s="11">
        <f>I80</f>
        <v>43787</v>
      </c>
      <c r="AU80" s="2">
        <f>SUM(J80:J81)</f>
        <v>2.14</v>
      </c>
      <c r="AV80" s="2">
        <f>SUM(K80:K81)</f>
        <v>5.48</v>
      </c>
      <c r="AW80" s="7">
        <f>(AU80-2*$A$40)/AQ80</f>
        <v>0.38725490196078433</v>
      </c>
      <c r="AX80" s="7">
        <f>(AV80-2*$A$41)/AQ80</f>
        <v>0.51960784313725505</v>
      </c>
      <c r="AY80" s="7">
        <f>1-AW80-AX80</f>
        <v>9.3137254901960675E-2</v>
      </c>
      <c r="AZ80" s="2">
        <f>SUM(O80:O81)</f>
        <v>92.330000000000013</v>
      </c>
      <c r="BA80" s="2">
        <f t="shared" ref="BA80" si="127">SUM(P80:P81)</f>
        <v>90.22</v>
      </c>
      <c r="BB80" s="2">
        <f t="shared" ref="BB80" si="128">SUM(Q80:Q81)</f>
        <v>257.99</v>
      </c>
      <c r="BC80" s="2">
        <f t="shared" ref="BC80" si="129">SUM(R80:R81)</f>
        <v>248.24</v>
      </c>
      <c r="BD80" s="2">
        <f>(AZ80-BA80)/AZ80*100</f>
        <v>2.2852810570778872</v>
      </c>
      <c r="BE80" s="2">
        <f>(BB80-BC80)/BB80*100</f>
        <v>3.7792162486918093</v>
      </c>
      <c r="BF80" s="1">
        <f>AS80*AW80</f>
        <v>2025.2862397432314</v>
      </c>
      <c r="BG80" s="1">
        <f>AS80*AX80</f>
        <v>2717.4726761111719</v>
      </c>
      <c r="BH80" s="1">
        <f>BF80+BG80</f>
        <v>4742.7589158544033</v>
      </c>
      <c r="BI80" s="1">
        <f>BF80*(1-BD80/100)</f>
        <v>1979.0027569547742</v>
      </c>
      <c r="BJ80" s="1">
        <f>BG80*(1-BE80/100)</f>
        <v>2614.7735071818183</v>
      </c>
      <c r="BK80" s="1">
        <f>BI80+BJ80</f>
        <v>4593.7762641365925</v>
      </c>
      <c r="BL80" s="11" t="str">
        <f>AA80</f>
        <v>0991913444232</v>
      </c>
      <c r="BM80" s="11">
        <f>AB80</f>
        <v>43803</v>
      </c>
      <c r="BN80" s="1">
        <f>AVERAGE(AC80:AC81)</f>
        <v>47.4</v>
      </c>
      <c r="BO80" s="2">
        <f t="shared" ref="BO80" si="130">AVERAGE(AD80:AD81)</f>
        <v>1.0550000000000002</v>
      </c>
      <c r="BP80" s="1">
        <f t="shared" ref="BP80" si="131">AVERAGE(AE80:AE81)</f>
        <v>80.349999999999994</v>
      </c>
      <c r="BQ80" s="1">
        <f t="shared" ref="BQ80" si="132">AVERAGE(AF80:AF81)</f>
        <v>27.15</v>
      </c>
      <c r="BR80" s="1">
        <f t="shared" ref="BR80" si="133">AVERAGE(AG80:AG81)</f>
        <v>8.5</v>
      </c>
      <c r="BS80" s="1">
        <f t="shared" ref="BS80" si="134">AVERAGE(AH80:AH81)</f>
        <v>11</v>
      </c>
    </row>
    <row r="81" spans="1:71" x14ac:dyDescent="0.3">
      <c r="A81">
        <v>32</v>
      </c>
      <c r="B81" s="3" t="s">
        <v>228</v>
      </c>
      <c r="C81" s="3" t="s">
        <v>106</v>
      </c>
      <c r="D81" s="13">
        <v>43769</v>
      </c>
      <c r="E81" s="2">
        <v>2.14</v>
      </c>
      <c r="F81" s="2">
        <v>0.16</v>
      </c>
      <c r="G81" s="2">
        <f t="shared" si="2"/>
        <v>1.9800000000000002</v>
      </c>
      <c r="H81" s="4">
        <f t="shared" si="3"/>
        <v>4872.0472440944886</v>
      </c>
      <c r="I81" s="10">
        <v>43787</v>
      </c>
      <c r="J81" s="2">
        <v>1.06</v>
      </c>
      <c r="K81" s="2">
        <v>2.7</v>
      </c>
      <c r="L81" s="6">
        <f t="shared" si="4"/>
        <v>0.39393939393939392</v>
      </c>
      <c r="M81" s="6">
        <f t="shared" si="5"/>
        <v>0.51515151515151525</v>
      </c>
      <c r="N81" s="6">
        <f t="shared" si="6"/>
        <v>9.0909090909090828E-2</v>
      </c>
      <c r="O81" s="2">
        <v>50.38</v>
      </c>
      <c r="P81" s="2">
        <v>49.22</v>
      </c>
      <c r="Q81" s="2">
        <v>119.37</v>
      </c>
      <c r="R81" s="2">
        <v>114.87</v>
      </c>
      <c r="S81" s="5">
        <f t="shared" si="7"/>
        <v>2.3025009924573316</v>
      </c>
      <c r="T81" s="5">
        <f t="shared" si="8"/>
        <v>3.7697914048755972</v>
      </c>
      <c r="U81" s="4">
        <f t="shared" si="9"/>
        <v>1919.2913385826773</v>
      </c>
      <c r="V81" s="4">
        <f t="shared" si="10"/>
        <v>2509.8425196850399</v>
      </c>
      <c r="W81" s="4">
        <f t="shared" si="11"/>
        <v>4429.1338582677172</v>
      </c>
      <c r="X81" s="4">
        <f t="shared" si="12"/>
        <v>1875.0996364636635</v>
      </c>
      <c r="Y81" s="4">
        <f t="shared" si="13"/>
        <v>2415.22669210204</v>
      </c>
      <c r="Z81" s="4">
        <f t="shared" si="14"/>
        <v>4290.3263285657031</v>
      </c>
      <c r="AA81" s="8" t="s">
        <v>178</v>
      </c>
      <c r="AB81" s="10">
        <v>43803</v>
      </c>
      <c r="AC81" s="4">
        <v>48.099999999999994</v>
      </c>
      <c r="AD81" s="5">
        <v>1.05</v>
      </c>
      <c r="AE81" s="4">
        <v>79.8</v>
      </c>
      <c r="AF81" s="4">
        <v>26.6</v>
      </c>
      <c r="AG81" s="4">
        <v>8.5</v>
      </c>
      <c r="AH81" s="4">
        <v>11.2</v>
      </c>
      <c r="AI81" s="1">
        <v>1277.98899999999</v>
      </c>
      <c r="AJ81" s="1">
        <v>3872.6929999999902</v>
      </c>
      <c r="AL81" s="14"/>
      <c r="AM81" s="1"/>
      <c r="AN81" s="1"/>
      <c r="AO81" s="2"/>
      <c r="AP81" s="2"/>
      <c r="AQ81" s="2"/>
      <c r="AR81" s="1"/>
      <c r="AS81" s="1"/>
      <c r="AT81" s="2"/>
      <c r="AU81" s="2"/>
      <c r="AV81" s="2"/>
      <c r="AW81" s="7"/>
      <c r="AX81" s="7"/>
      <c r="AY81" s="7"/>
      <c r="AZ81" s="2"/>
      <c r="BA81" s="2"/>
      <c r="BB81" s="2"/>
      <c r="BC81" s="2"/>
      <c r="BD81" s="2"/>
      <c r="BE81" s="2"/>
      <c r="BF81" s="1"/>
      <c r="BG81" s="1"/>
      <c r="BH81" s="1"/>
      <c r="BI81" s="1"/>
      <c r="BJ81" s="1"/>
      <c r="BK81" s="1"/>
      <c r="BL81" s="11"/>
      <c r="BM81" s="1"/>
      <c r="BN81" s="1"/>
      <c r="BO81" s="2"/>
      <c r="BP81" s="1"/>
      <c r="BQ81" s="1"/>
      <c r="BR81" s="1"/>
      <c r="BS81" s="1"/>
    </row>
    <row r="82" spans="1:71" x14ac:dyDescent="0.3">
      <c r="A82">
        <v>33</v>
      </c>
      <c r="B82" s="3" t="s">
        <v>229</v>
      </c>
      <c r="C82" s="3" t="s">
        <v>106</v>
      </c>
      <c r="D82" s="13">
        <v>43769</v>
      </c>
      <c r="E82" s="2">
        <v>2.5499999999999998</v>
      </c>
      <c r="F82" s="2">
        <v>0.16</v>
      </c>
      <c r="G82" s="2">
        <f t="shared" si="2"/>
        <v>2.3899999999999997</v>
      </c>
      <c r="H82" s="4">
        <f t="shared" si="3"/>
        <v>5880.9055118110227</v>
      </c>
      <c r="I82" s="10">
        <v>43787</v>
      </c>
      <c r="J82" s="2">
        <v>1.2</v>
      </c>
      <c r="K82" s="2">
        <v>2.92</v>
      </c>
      <c r="L82" s="6">
        <f t="shared" si="4"/>
        <v>0.38493723849372385</v>
      </c>
      <c r="M82" s="6">
        <f t="shared" si="5"/>
        <v>0.51882845188284521</v>
      </c>
      <c r="N82" s="6">
        <f t="shared" si="6"/>
        <v>9.6234309623430936E-2</v>
      </c>
      <c r="O82" s="2">
        <v>47.84</v>
      </c>
      <c r="P82" s="2">
        <v>46.69</v>
      </c>
      <c r="Q82" s="2">
        <v>146.74</v>
      </c>
      <c r="R82" s="2">
        <v>140.97999999999999</v>
      </c>
      <c r="S82" s="5">
        <f t="shared" si="7"/>
        <v>2.4038461538461653</v>
      </c>
      <c r="T82" s="5">
        <f t="shared" si="8"/>
        <v>3.9253100722366221</v>
      </c>
      <c r="U82" s="4">
        <f t="shared" si="9"/>
        <v>2263.7795275590547</v>
      </c>
      <c r="V82" s="4">
        <f t="shared" si="10"/>
        <v>3051.1811023622045</v>
      </c>
      <c r="W82" s="4">
        <f t="shared" si="11"/>
        <v>5314.9606299212592</v>
      </c>
      <c r="X82" s="4">
        <f t="shared" si="12"/>
        <v>2209.3617504542694</v>
      </c>
      <c r="Y82" s="4">
        <f t="shared" si="13"/>
        <v>2931.4127832290005</v>
      </c>
      <c r="Z82" s="4">
        <f t="shared" si="14"/>
        <v>5140.7745336832704</v>
      </c>
      <c r="AA82" t="s">
        <v>155</v>
      </c>
      <c r="AB82" s="10">
        <v>43803</v>
      </c>
      <c r="AC82" s="4">
        <v>47.1</v>
      </c>
      <c r="AD82" s="5">
        <v>1.1000000000000001</v>
      </c>
      <c r="AE82" s="4">
        <v>80.099999999999994</v>
      </c>
      <c r="AF82" s="4">
        <v>26</v>
      </c>
      <c r="AG82" s="4">
        <v>8.9</v>
      </c>
      <c r="AH82" s="4">
        <v>10.3</v>
      </c>
      <c r="AI82" s="1">
        <v>1651.675</v>
      </c>
      <c r="AJ82" s="1">
        <v>5005.0749999999998</v>
      </c>
      <c r="AL82" s="14" t="s">
        <v>846</v>
      </c>
      <c r="AM82" s="1" t="s">
        <v>106</v>
      </c>
      <c r="AN82" s="11">
        <f>D82</f>
        <v>43769</v>
      </c>
      <c r="AO82" s="2">
        <f>SUM(E82:E83)</f>
        <v>5.04</v>
      </c>
      <c r="AP82" s="2">
        <f>SUM(F82:F83)</f>
        <v>0.32</v>
      </c>
      <c r="AQ82" s="2">
        <f>AO82-AP82</f>
        <v>4.72</v>
      </c>
      <c r="AR82" s="1">
        <f>AQ82/(2*$A$38)*$A$39</f>
        <v>5807.0866141732276</v>
      </c>
      <c r="AS82" s="1">
        <v>5667.8560201700684</v>
      </c>
      <c r="AT82" s="11">
        <f>I82</f>
        <v>43787</v>
      </c>
      <c r="AU82" s="2">
        <f>SUM(J82:J83)</f>
        <v>2.4</v>
      </c>
      <c r="AV82" s="2">
        <f>SUM(K82:K83)</f>
        <v>5.82</v>
      </c>
      <c r="AW82" s="7">
        <f>(AU82-2*$A$40)/AQ82</f>
        <v>0.38983050847457629</v>
      </c>
      <c r="AX82" s="7">
        <f>(AV82-2*$A$41)/AQ82</f>
        <v>0.52118644067796627</v>
      </c>
      <c r="AY82" s="7">
        <f>1-AW82-AX82</f>
        <v>8.898305084745739E-2</v>
      </c>
      <c r="AZ82" s="2">
        <f>SUM(O82:O83)</f>
        <v>101.55000000000001</v>
      </c>
      <c r="BA82" s="2">
        <f t="shared" ref="BA82" si="135">SUM(P82:P83)</f>
        <v>99.16</v>
      </c>
      <c r="BB82" s="2">
        <f t="shared" ref="BB82" si="136">SUM(Q82:Q83)</f>
        <v>297.71000000000004</v>
      </c>
      <c r="BC82" s="2">
        <f t="shared" ref="BC82" si="137">SUM(R82:R83)</f>
        <v>285.98</v>
      </c>
      <c r="BD82" s="2">
        <f>(AZ82-BA82)/AZ82*100</f>
        <v>2.3535204332841109</v>
      </c>
      <c r="BE82" s="2">
        <f>(BB82-BC82)/BB82*100</f>
        <v>3.9400759128010532</v>
      </c>
      <c r="BF82" s="1">
        <f>AS82*AW82</f>
        <v>2209.503194303586</v>
      </c>
      <c r="BG82" s="1">
        <f>AS82*AX82</f>
        <v>2954.0097054276212</v>
      </c>
      <c r="BH82" s="1">
        <f>BF82+BG82</f>
        <v>5163.5128997312077</v>
      </c>
      <c r="BI82" s="1">
        <f>BF82*(1-BD82/100)</f>
        <v>2157.502085151586</v>
      </c>
      <c r="BJ82" s="1">
        <f>BG82*(1-BE82/100)</f>
        <v>2837.6194805622622</v>
      </c>
      <c r="BK82" s="1">
        <f>BI82+BJ82</f>
        <v>4995.1215657138482</v>
      </c>
      <c r="BL82" s="11" t="str">
        <f>AA82</f>
        <v>0991913451234</v>
      </c>
      <c r="BM82" s="11">
        <f>AB82</f>
        <v>43803</v>
      </c>
      <c r="BN82" s="1">
        <f>AVERAGE(AC82:AC83)</f>
        <v>48.05</v>
      </c>
      <c r="BO82" s="2">
        <f t="shared" ref="BO82" si="138">AVERAGE(AD82:AD83)</f>
        <v>1.0750000000000002</v>
      </c>
      <c r="BP82" s="1">
        <f t="shared" ref="BP82" si="139">AVERAGE(AE82:AE83)</f>
        <v>79.849999999999994</v>
      </c>
      <c r="BQ82" s="1">
        <f t="shared" ref="BQ82" si="140">AVERAGE(AF82:AF83)</f>
        <v>26.1</v>
      </c>
      <c r="BR82" s="1">
        <f t="shared" ref="BR82" si="141">AVERAGE(AG82:AG83)</f>
        <v>9.15</v>
      </c>
      <c r="BS82" s="1">
        <f t="shared" ref="BS82" si="142">AVERAGE(AH82:AH83)</f>
        <v>11</v>
      </c>
    </row>
    <row r="83" spans="1:71" x14ac:dyDescent="0.3">
      <c r="A83">
        <v>34</v>
      </c>
      <c r="B83" s="3" t="s">
        <v>230</v>
      </c>
      <c r="C83" s="3" t="s">
        <v>106</v>
      </c>
      <c r="D83" s="13">
        <v>43769</v>
      </c>
      <c r="E83" s="2">
        <v>2.4900000000000002</v>
      </c>
      <c r="F83" s="2">
        <v>0.16</v>
      </c>
      <c r="G83" s="2">
        <f t="shared" si="2"/>
        <v>2.33</v>
      </c>
      <c r="H83" s="4">
        <f t="shared" si="3"/>
        <v>5733.2677165354326</v>
      </c>
      <c r="I83" s="10">
        <v>43787</v>
      </c>
      <c r="J83" s="2">
        <v>1.2</v>
      </c>
      <c r="K83" s="2">
        <v>2.9</v>
      </c>
      <c r="L83" s="6">
        <f t="shared" si="4"/>
        <v>0.39484978540772531</v>
      </c>
      <c r="M83" s="6">
        <f t="shared" si="5"/>
        <v>0.5236051502145922</v>
      </c>
      <c r="N83" s="6">
        <f t="shared" si="6"/>
        <v>8.1545064377682497E-2</v>
      </c>
      <c r="O83" s="2">
        <v>53.71</v>
      </c>
      <c r="P83" s="2">
        <v>52.47</v>
      </c>
      <c r="Q83" s="2">
        <v>150.97</v>
      </c>
      <c r="R83" s="2">
        <v>145</v>
      </c>
      <c r="S83" s="5">
        <f t="shared" si="7"/>
        <v>2.3086948426736211</v>
      </c>
      <c r="T83" s="5">
        <f t="shared" si="8"/>
        <v>3.954428032059349</v>
      </c>
      <c r="U83" s="4">
        <f t="shared" si="9"/>
        <v>2263.7795275590547</v>
      </c>
      <c r="V83" s="4">
        <f t="shared" si="10"/>
        <v>3001.968503937007</v>
      </c>
      <c r="W83" s="4">
        <f t="shared" si="11"/>
        <v>5265.7480314960612</v>
      </c>
      <c r="X83" s="4">
        <f t="shared" si="12"/>
        <v>2211.5157663567975</v>
      </c>
      <c r="Y83" s="4">
        <f t="shared" si="13"/>
        <v>2883.2578199037293</v>
      </c>
      <c r="Z83" s="4">
        <f t="shared" si="14"/>
        <v>5094.7735862605268</v>
      </c>
      <c r="AA83" s="8" t="s">
        <v>179</v>
      </c>
      <c r="AB83" s="10">
        <v>43803</v>
      </c>
      <c r="AC83" s="4">
        <v>49</v>
      </c>
      <c r="AD83" s="5">
        <v>1.05</v>
      </c>
      <c r="AE83" s="4">
        <v>79.599999999999994</v>
      </c>
      <c r="AF83" s="4">
        <v>26.2</v>
      </c>
      <c r="AG83" s="4">
        <v>9.4</v>
      </c>
      <c r="AH83" s="4">
        <v>11.7</v>
      </c>
      <c r="AI83" s="1">
        <v>1426.0116666666599</v>
      </c>
      <c r="AJ83" s="1">
        <v>4321.2469999999903</v>
      </c>
      <c r="AL83" s="14"/>
      <c r="AM83" s="1"/>
      <c r="AN83" s="1"/>
      <c r="AO83" s="2"/>
      <c r="AP83" s="2"/>
      <c r="AQ83" s="2"/>
      <c r="AR83" s="1"/>
      <c r="AS83" s="1"/>
      <c r="AT83" s="2"/>
      <c r="AU83" s="2"/>
      <c r="AV83" s="2"/>
      <c r="AW83" s="7"/>
      <c r="AX83" s="7"/>
      <c r="AY83" s="7"/>
      <c r="AZ83" s="2"/>
      <c r="BA83" s="2"/>
      <c r="BB83" s="2"/>
      <c r="BC83" s="2"/>
      <c r="BD83" s="2"/>
      <c r="BE83" s="2"/>
      <c r="BF83" s="1"/>
      <c r="BG83" s="1"/>
      <c r="BH83" s="1"/>
      <c r="BI83" s="1"/>
      <c r="BJ83" s="1"/>
      <c r="BK83" s="1"/>
      <c r="BL83" s="11"/>
      <c r="BM83" s="1"/>
      <c r="BN83" s="1"/>
      <c r="BO83" s="2"/>
      <c r="BP83" s="1"/>
      <c r="BQ83" s="1"/>
      <c r="BR83" s="1"/>
      <c r="BS83" s="1"/>
    </row>
    <row r="84" spans="1:71" x14ac:dyDescent="0.3">
      <c r="A84">
        <v>35</v>
      </c>
      <c r="B84" s="3" t="s">
        <v>231</v>
      </c>
      <c r="C84" s="3" t="s">
        <v>106</v>
      </c>
      <c r="D84" s="13">
        <v>43769</v>
      </c>
      <c r="E84" s="2">
        <v>2.7</v>
      </c>
      <c r="F84" s="2">
        <v>0.16</v>
      </c>
      <c r="G84" s="2">
        <f t="shared" si="2"/>
        <v>2.54</v>
      </c>
      <c r="H84" s="4">
        <f t="shared" si="3"/>
        <v>6250</v>
      </c>
      <c r="I84" s="10">
        <v>43787</v>
      </c>
      <c r="J84" s="2">
        <v>1.28</v>
      </c>
      <c r="K84" s="2">
        <v>3.04</v>
      </c>
      <c r="L84" s="6">
        <f t="shared" si="4"/>
        <v>0.39370078740157477</v>
      </c>
      <c r="M84" s="6">
        <f t="shared" si="5"/>
        <v>0.53543307086614178</v>
      </c>
      <c r="N84" s="6">
        <f t="shared" si="6"/>
        <v>7.086614173228345E-2</v>
      </c>
      <c r="O84" s="2">
        <v>43.77</v>
      </c>
      <c r="P84" s="2">
        <v>42.8</v>
      </c>
      <c r="Q84" s="2">
        <v>151.47999999999999</v>
      </c>
      <c r="R84" s="2">
        <v>145.63</v>
      </c>
      <c r="S84" s="5">
        <f t="shared" si="7"/>
        <v>2.216129769248357</v>
      </c>
      <c r="T84" s="5">
        <f t="shared" si="8"/>
        <v>3.8618959598626845</v>
      </c>
      <c r="U84" s="4">
        <f t="shared" si="9"/>
        <v>2460.6299212598424</v>
      </c>
      <c r="V84" s="4">
        <f t="shared" si="10"/>
        <v>3346.4566929133862</v>
      </c>
      <c r="W84" s="4">
        <f t="shared" si="11"/>
        <v>5807.0866141732286</v>
      </c>
      <c r="X84" s="4">
        <f t="shared" si="12"/>
        <v>2406.0991690637707</v>
      </c>
      <c r="Y84" s="4">
        <f t="shared" si="13"/>
        <v>3217.2200170912097</v>
      </c>
      <c r="Z84" s="4">
        <f t="shared" si="14"/>
        <v>5623.3191861549803</v>
      </c>
      <c r="AA84" t="s">
        <v>156</v>
      </c>
      <c r="AB84" s="10">
        <v>43803</v>
      </c>
      <c r="AC84" s="4">
        <v>46.900000000000006</v>
      </c>
      <c r="AD84" s="5">
        <v>1.1000000000000001</v>
      </c>
      <c r="AE84" s="4">
        <v>80.2</v>
      </c>
      <c r="AF84" s="4">
        <v>26.9</v>
      </c>
      <c r="AG84" s="4">
        <v>8.8000000000000007</v>
      </c>
      <c r="AH84" s="4">
        <v>10.4</v>
      </c>
      <c r="AI84" s="1">
        <v>1932.8319999999901</v>
      </c>
      <c r="AJ84" s="1">
        <v>5857.0659999999898</v>
      </c>
      <c r="AL84" s="14" t="s">
        <v>847</v>
      </c>
      <c r="AM84" s="1" t="s">
        <v>106</v>
      </c>
      <c r="AN84" s="11">
        <f>D84</f>
        <v>43769</v>
      </c>
      <c r="AO84" s="2">
        <f>SUM(E84:E85)</f>
        <v>5.32</v>
      </c>
      <c r="AP84" s="2">
        <f>SUM(F84:F85)</f>
        <v>0.32</v>
      </c>
      <c r="AQ84" s="2">
        <f>AO84-AP84</f>
        <v>5</v>
      </c>
      <c r="AR84" s="1">
        <f>AQ84/(2*$A$38)*$A$39</f>
        <v>6151.5748031496069</v>
      </c>
      <c r="AS84" s="1">
        <v>5827.0564144271275</v>
      </c>
      <c r="AT84" s="11">
        <f>I84</f>
        <v>43787</v>
      </c>
      <c r="AU84" s="2">
        <f>SUM(J84:J85)</f>
        <v>2.52</v>
      </c>
      <c r="AV84" s="2">
        <f>SUM(K84:K85)</f>
        <v>6.02</v>
      </c>
      <c r="AW84" s="7">
        <f>(AU84-2*$A$40)/AQ84</f>
        <v>0.39200000000000002</v>
      </c>
      <c r="AX84" s="7">
        <f>(AV84-2*$A$41)/AQ84</f>
        <v>0.53199999999999992</v>
      </c>
      <c r="AY84" s="7">
        <f>1-AW84-AX84</f>
        <v>7.6000000000000068E-2</v>
      </c>
      <c r="AZ84" s="2">
        <f>SUM(O84:O85)</f>
        <v>96.92</v>
      </c>
      <c r="BA84" s="2">
        <f t="shared" ref="BA84" si="143">SUM(P84:P85)</f>
        <v>94.759999999999991</v>
      </c>
      <c r="BB84" s="2">
        <f t="shared" ref="BB84" si="144">SUM(Q84:Q85)</f>
        <v>280.89999999999998</v>
      </c>
      <c r="BC84" s="2">
        <f t="shared" ref="BC84" si="145">SUM(R84:R85)</f>
        <v>269.95</v>
      </c>
      <c r="BD84" s="2">
        <f>(AZ84-BA84)/AZ84*100</f>
        <v>2.2286421791168083</v>
      </c>
      <c r="BE84" s="2">
        <f>(BB84-BC84)/BB84*100</f>
        <v>3.8981844072623675</v>
      </c>
      <c r="BF84" s="1">
        <f>AS84*AW84</f>
        <v>2284.2061144554341</v>
      </c>
      <c r="BG84" s="1">
        <f>AS84*AX84</f>
        <v>3099.9940124752316</v>
      </c>
      <c r="BH84" s="1">
        <f>BF84+BG84</f>
        <v>5384.2001269306656</v>
      </c>
      <c r="BI84" s="1">
        <f>BF84*(1-BD84/100)</f>
        <v>2233.2993335307151</v>
      </c>
      <c r="BJ84" s="1">
        <f>BG84*(1-BE84/100)</f>
        <v>2979.150529254855</v>
      </c>
      <c r="BK84" s="1">
        <f>BI84+BJ84</f>
        <v>5212.4498627855701</v>
      </c>
      <c r="BL84" s="11" t="str">
        <f>AA84</f>
        <v>0991913452236</v>
      </c>
      <c r="BM84" s="11">
        <f>AB84</f>
        <v>43803</v>
      </c>
      <c r="BN84" s="1">
        <f>AVERAGE(AC84:AC85)</f>
        <v>47.900000000000006</v>
      </c>
      <c r="BO84" s="2">
        <f t="shared" ref="BO84" si="146">AVERAGE(AD84:AD85)</f>
        <v>1.0750000000000002</v>
      </c>
      <c r="BP84" s="1">
        <f t="shared" ref="BP84" si="147">AVERAGE(AE84:AE85)</f>
        <v>79.7</v>
      </c>
      <c r="BQ84" s="1">
        <f t="shared" ref="BQ84" si="148">AVERAGE(AF84:AF85)</f>
        <v>26.25</v>
      </c>
      <c r="BR84" s="1">
        <f t="shared" ref="BR84" si="149">AVERAGE(AG84:AG85)</f>
        <v>9</v>
      </c>
      <c r="BS84" s="1">
        <f t="shared" ref="BS84" si="150">AVERAGE(AH84:AH85)</f>
        <v>10.95</v>
      </c>
    </row>
    <row r="85" spans="1:71" x14ac:dyDescent="0.3">
      <c r="A85">
        <v>36</v>
      </c>
      <c r="B85" s="3" t="s">
        <v>232</v>
      </c>
      <c r="C85" s="3" t="s">
        <v>106</v>
      </c>
      <c r="D85" s="13">
        <v>43769</v>
      </c>
      <c r="E85" s="2">
        <v>2.62</v>
      </c>
      <c r="F85" s="2">
        <v>0.16</v>
      </c>
      <c r="G85" s="2">
        <f t="shared" si="2"/>
        <v>2.46</v>
      </c>
      <c r="H85" s="4">
        <f t="shared" si="3"/>
        <v>6053.1496062992128</v>
      </c>
      <c r="I85" s="10">
        <v>43787</v>
      </c>
      <c r="J85" s="2">
        <v>1.24</v>
      </c>
      <c r="K85" s="2">
        <v>2.98</v>
      </c>
      <c r="L85" s="6">
        <f t="shared" si="4"/>
        <v>0.3902439024390244</v>
      </c>
      <c r="M85" s="6">
        <f t="shared" si="5"/>
        <v>0.52845528455284552</v>
      </c>
      <c r="N85" s="6">
        <f t="shared" si="6"/>
        <v>8.1300813008130079E-2</v>
      </c>
      <c r="O85" s="2">
        <v>53.15</v>
      </c>
      <c r="P85" s="2">
        <v>51.96</v>
      </c>
      <c r="Q85" s="2">
        <v>129.41999999999999</v>
      </c>
      <c r="R85" s="2">
        <v>124.32</v>
      </c>
      <c r="S85" s="5">
        <f t="shared" si="7"/>
        <v>2.2389463781749721</v>
      </c>
      <c r="T85" s="5">
        <f t="shared" si="8"/>
        <v>3.9406583217431574</v>
      </c>
      <c r="U85" s="4">
        <f t="shared" si="9"/>
        <v>2362.2047244094488</v>
      </c>
      <c r="V85" s="4">
        <f t="shared" si="10"/>
        <v>3198.8188976377951</v>
      </c>
      <c r="W85" s="4">
        <f t="shared" si="11"/>
        <v>5561.0236220472434</v>
      </c>
      <c r="X85" s="4">
        <f t="shared" si="12"/>
        <v>2309.316227287205</v>
      </c>
      <c r="Y85" s="4">
        <f t="shared" si="13"/>
        <v>3072.7643745505384</v>
      </c>
      <c r="Z85" s="4">
        <f t="shared" si="14"/>
        <v>5382.0806018377434</v>
      </c>
      <c r="AA85" s="8" t="s">
        <v>180</v>
      </c>
      <c r="AB85" s="10">
        <v>43803</v>
      </c>
      <c r="AC85" s="4">
        <v>48.9</v>
      </c>
      <c r="AD85" s="5">
        <v>1.05</v>
      </c>
      <c r="AE85" s="4">
        <v>79.2</v>
      </c>
      <c r="AF85" s="4">
        <v>25.6</v>
      </c>
      <c r="AG85" s="4">
        <v>9.1999999999999993</v>
      </c>
      <c r="AH85" s="4">
        <v>11.5</v>
      </c>
      <c r="AI85" s="1">
        <v>1707.3240000000001</v>
      </c>
      <c r="AJ85" s="1">
        <v>5173.7089999999898</v>
      </c>
      <c r="AL85" s="14"/>
      <c r="AM85" s="1"/>
      <c r="AN85" s="1"/>
      <c r="AO85" s="2"/>
      <c r="AP85" s="2"/>
      <c r="AQ85" s="2"/>
      <c r="AR85" s="1"/>
      <c r="AS85" s="1"/>
      <c r="AT85" s="2"/>
      <c r="AU85" s="2"/>
      <c r="AV85" s="2"/>
      <c r="AW85" s="7"/>
      <c r="AX85" s="7"/>
      <c r="AY85" s="7"/>
      <c r="AZ85" s="2"/>
      <c r="BA85" s="2"/>
      <c r="BB85" s="2"/>
      <c r="BC85" s="2"/>
      <c r="BD85" s="2"/>
      <c r="BE85" s="2"/>
      <c r="BF85" s="1"/>
      <c r="BG85" s="1"/>
      <c r="BH85" s="1"/>
      <c r="BI85" s="1"/>
      <c r="BJ85" s="1"/>
      <c r="BK85" s="1"/>
      <c r="BL85" s="11"/>
      <c r="BM85" s="1"/>
      <c r="BN85" s="1"/>
      <c r="BO85" s="2"/>
      <c r="BP85" s="1"/>
      <c r="BQ85" s="1"/>
      <c r="BR85" s="1"/>
      <c r="BS85" s="1"/>
    </row>
    <row r="86" spans="1:71" x14ac:dyDescent="0.3">
      <c r="A86">
        <v>37</v>
      </c>
      <c r="B86" s="3" t="s">
        <v>233</v>
      </c>
      <c r="C86" s="3" t="s">
        <v>106</v>
      </c>
      <c r="D86" s="13">
        <v>43769</v>
      </c>
      <c r="E86" s="2">
        <v>2.59</v>
      </c>
      <c r="F86" s="2">
        <v>0.16</v>
      </c>
      <c r="G86" s="2">
        <f t="shared" si="2"/>
        <v>2.4299999999999997</v>
      </c>
      <c r="H86" s="4">
        <f t="shared" si="3"/>
        <v>5979.3307086614168</v>
      </c>
      <c r="I86" s="10">
        <v>43787</v>
      </c>
      <c r="J86" s="2">
        <v>1.26</v>
      </c>
      <c r="K86" s="2">
        <v>2.96</v>
      </c>
      <c r="L86" s="6">
        <f t="shared" si="4"/>
        <v>0.4032921810699589</v>
      </c>
      <c r="M86" s="6">
        <f t="shared" si="5"/>
        <v>0.52674897119341568</v>
      </c>
      <c r="N86" s="6">
        <f t="shared" si="6"/>
        <v>6.9958847736625418E-2</v>
      </c>
      <c r="O86" s="2">
        <v>47.95</v>
      </c>
      <c r="P86" s="2">
        <v>46.9</v>
      </c>
      <c r="Q86" s="2">
        <v>144.96</v>
      </c>
      <c r="R86" s="2">
        <v>139.43</v>
      </c>
      <c r="S86" s="5">
        <f t="shared" si="7"/>
        <v>2.1897810218978191</v>
      </c>
      <c r="T86" s="5">
        <f t="shared" si="8"/>
        <v>3.8148454746136871</v>
      </c>
      <c r="U86" s="4">
        <f t="shared" si="9"/>
        <v>2411.4173228346458</v>
      </c>
      <c r="V86" s="4">
        <f t="shared" si="10"/>
        <v>3149.6062992125985</v>
      </c>
      <c r="W86" s="4">
        <f t="shared" si="11"/>
        <v>5561.0236220472443</v>
      </c>
      <c r="X86" s="4">
        <f t="shared" si="12"/>
        <v>2358.6125639404563</v>
      </c>
      <c r="Y86" s="4">
        <f t="shared" si="13"/>
        <v>3029.4536858389392</v>
      </c>
      <c r="Z86" s="4">
        <f t="shared" si="14"/>
        <v>5388.0662497793955</v>
      </c>
      <c r="AA86" t="s">
        <v>157</v>
      </c>
      <c r="AB86" s="10">
        <v>43803</v>
      </c>
      <c r="AC86" s="4">
        <v>48.6</v>
      </c>
      <c r="AD86" s="5">
        <v>1.1000000000000001</v>
      </c>
      <c r="AE86" s="4">
        <v>81.099999999999994</v>
      </c>
      <c r="AF86" s="4">
        <v>26.7</v>
      </c>
      <c r="AG86" s="4">
        <v>9</v>
      </c>
      <c r="AH86" s="4">
        <v>9.6999999999999993</v>
      </c>
      <c r="AI86" s="1">
        <v>1719.595</v>
      </c>
      <c r="AJ86" s="1">
        <v>5210.8940000000002</v>
      </c>
      <c r="AL86" s="14" t="s">
        <v>848</v>
      </c>
      <c r="AM86" s="1" t="s">
        <v>106</v>
      </c>
      <c r="AN86" s="11">
        <f>D86</f>
        <v>43769</v>
      </c>
      <c r="AO86" s="2">
        <f>SUM(E86:E87)</f>
        <v>5.07</v>
      </c>
      <c r="AP86" s="2">
        <f>SUM(F86:F87)</f>
        <v>0.32</v>
      </c>
      <c r="AQ86" s="2">
        <f>AO86-AP86</f>
        <v>4.75</v>
      </c>
      <c r="AR86" s="1">
        <f>AQ86/(2*$A$38)*$A$39</f>
        <v>5843.9960629921261</v>
      </c>
      <c r="AS86" s="1">
        <v>5615.569962032595</v>
      </c>
      <c r="AT86" s="11">
        <f>I86</f>
        <v>43787</v>
      </c>
      <c r="AU86" s="2">
        <f>SUM(J86:J87)</f>
        <v>2.46</v>
      </c>
      <c r="AV86" s="2">
        <f>SUM(K86:K87)</f>
        <v>5.82</v>
      </c>
      <c r="AW86" s="7">
        <f>(AU86-2*$A$40)/AQ86</f>
        <v>0.39999999999999997</v>
      </c>
      <c r="AX86" s="7">
        <f>(AV86-2*$A$41)/AQ86</f>
        <v>0.5178947368421053</v>
      </c>
      <c r="AY86" s="7">
        <f>1-AW86-AX86</f>
        <v>8.2105263157894792E-2</v>
      </c>
      <c r="AZ86" s="2">
        <f>SUM(O86:O87)</f>
        <v>87.710000000000008</v>
      </c>
      <c r="BA86" s="2">
        <f t="shared" ref="BA86" si="151">SUM(P86:P87)</f>
        <v>85.75</v>
      </c>
      <c r="BB86" s="2">
        <f t="shared" ref="BB86" si="152">SUM(Q86:Q87)</f>
        <v>268.02</v>
      </c>
      <c r="BC86" s="2">
        <f t="shared" ref="BC86" si="153">SUM(R86:R87)</f>
        <v>257.77999999999997</v>
      </c>
      <c r="BD86" s="2">
        <f>(AZ86-BA86)/AZ86*100</f>
        <v>2.2346368715083886</v>
      </c>
      <c r="BE86" s="2">
        <f>(BB86-BC86)/BB86*100</f>
        <v>3.8206104022087941</v>
      </c>
      <c r="BF86" s="1">
        <f>AS86*AW86</f>
        <v>2246.2279848130379</v>
      </c>
      <c r="BG86" s="1">
        <f>AS86*AX86</f>
        <v>2908.2741277053019</v>
      </c>
      <c r="BH86" s="1">
        <f>BF86+BG86</f>
        <v>5154.5021125183393</v>
      </c>
      <c r="BI86" s="1">
        <f>BF86*(1-BD86/100)</f>
        <v>2196.0329460462658</v>
      </c>
      <c r="BJ86" s="1">
        <f>BG86*(1-BE86/100)</f>
        <v>2797.1603038574463</v>
      </c>
      <c r="BK86" s="1">
        <f>BI86+BJ86</f>
        <v>4993.1932499037121</v>
      </c>
      <c r="BL86" s="11" t="str">
        <f>AA86</f>
        <v>0991913453238</v>
      </c>
      <c r="BM86" s="11">
        <f>AB86</f>
        <v>43803</v>
      </c>
      <c r="BN86" s="1">
        <f>AVERAGE(AC86:AC87)</f>
        <v>47.45</v>
      </c>
      <c r="BO86" s="2">
        <f t="shared" ref="BO86" si="154">AVERAGE(AD86:AD87)</f>
        <v>1.1100000000000001</v>
      </c>
      <c r="BP86" s="1">
        <f t="shared" ref="BP86" si="155">AVERAGE(AE86:AE87)</f>
        <v>81.3</v>
      </c>
      <c r="BQ86" s="1">
        <f t="shared" ref="BQ86" si="156">AVERAGE(AF86:AF87)</f>
        <v>27.45</v>
      </c>
      <c r="BR86" s="1">
        <f t="shared" ref="BR86" si="157">AVERAGE(AG86:AG87)</f>
        <v>8.85</v>
      </c>
      <c r="BS86" s="1">
        <f t="shared" ref="BS86" si="158">AVERAGE(AH86:AH87)</f>
        <v>9.6</v>
      </c>
    </row>
    <row r="87" spans="1:71" x14ac:dyDescent="0.3">
      <c r="A87">
        <v>38</v>
      </c>
      <c r="B87" s="3" t="s">
        <v>234</v>
      </c>
      <c r="C87" s="3" t="s">
        <v>106</v>
      </c>
      <c r="D87" s="13">
        <v>43769</v>
      </c>
      <c r="E87" s="2">
        <v>2.48</v>
      </c>
      <c r="F87" s="2">
        <v>0.16</v>
      </c>
      <c r="G87" s="2">
        <f t="shared" si="2"/>
        <v>2.3199999999999998</v>
      </c>
      <c r="H87" s="4">
        <f t="shared" si="3"/>
        <v>5708.6614173228345</v>
      </c>
      <c r="I87" s="10">
        <v>43787</v>
      </c>
      <c r="J87" s="2">
        <v>1.2</v>
      </c>
      <c r="K87" s="2">
        <v>2.86</v>
      </c>
      <c r="L87" s="6">
        <f t="shared" si="4"/>
        <v>0.39655172413793105</v>
      </c>
      <c r="M87" s="6">
        <f t="shared" si="5"/>
        <v>0.50862068965517238</v>
      </c>
      <c r="N87" s="6">
        <f t="shared" si="6"/>
        <v>9.4827586206896575E-2</v>
      </c>
      <c r="O87" s="2">
        <v>39.76</v>
      </c>
      <c r="P87" s="2">
        <v>38.85</v>
      </c>
      <c r="Q87" s="2">
        <v>123.06</v>
      </c>
      <c r="R87" s="2">
        <v>118.35</v>
      </c>
      <c r="S87" s="5">
        <f t="shared" si="7"/>
        <v>2.2887323943661886</v>
      </c>
      <c r="T87" s="5">
        <f t="shared" si="8"/>
        <v>3.8274012676743117</v>
      </c>
      <c r="U87" s="4">
        <f t="shared" si="9"/>
        <v>2263.7795275590552</v>
      </c>
      <c r="V87" s="4">
        <f t="shared" si="10"/>
        <v>2903.5433070866138</v>
      </c>
      <c r="W87" s="4">
        <f t="shared" si="11"/>
        <v>5167.322834645669</v>
      </c>
      <c r="X87" s="4">
        <f t="shared" si="12"/>
        <v>2211.967672174781</v>
      </c>
      <c r="Y87" s="4">
        <f t="shared" si="13"/>
        <v>2792.4130537437081</v>
      </c>
      <c r="Z87" s="4">
        <f t="shared" si="14"/>
        <v>5004.3807259184887</v>
      </c>
      <c r="AA87" s="8" t="s">
        <v>181</v>
      </c>
      <c r="AB87" s="10">
        <v>43803</v>
      </c>
      <c r="AC87" s="4">
        <v>46.3</v>
      </c>
      <c r="AD87" s="5">
        <v>1.1200000000000001</v>
      </c>
      <c r="AE87" s="4">
        <v>81.5</v>
      </c>
      <c r="AF87" s="4">
        <v>28.2</v>
      </c>
      <c r="AG87" s="4">
        <v>8.6999999999999993</v>
      </c>
      <c r="AH87" s="4">
        <v>9.5</v>
      </c>
      <c r="AI87" s="1">
        <v>1494.652</v>
      </c>
      <c r="AJ87" s="1">
        <v>4529.2479999999896</v>
      </c>
      <c r="AL87" s="14"/>
      <c r="AM87" s="1"/>
      <c r="AN87" s="1"/>
      <c r="AO87" s="2"/>
      <c r="AP87" s="2"/>
      <c r="AQ87" s="2"/>
      <c r="AR87" s="1"/>
      <c r="AS87" s="1"/>
      <c r="AT87" s="2"/>
      <c r="AU87" s="2"/>
      <c r="AV87" s="2"/>
      <c r="AW87" s="7"/>
      <c r="AX87" s="7"/>
      <c r="AY87" s="7"/>
      <c r="AZ87" s="2"/>
      <c r="BA87" s="2"/>
      <c r="BB87" s="2"/>
      <c r="BC87" s="2"/>
      <c r="BD87" s="2"/>
      <c r="BE87" s="2"/>
      <c r="BF87" s="1"/>
      <c r="BG87" s="1"/>
      <c r="BH87" s="1"/>
      <c r="BI87" s="1"/>
      <c r="BJ87" s="1"/>
      <c r="BK87" s="1"/>
      <c r="BL87" s="11"/>
      <c r="BM87" s="1"/>
      <c r="BN87" s="1"/>
      <c r="BO87" s="2"/>
      <c r="BP87" s="1"/>
      <c r="BQ87" s="1"/>
      <c r="BR87" s="1"/>
      <c r="BS87" s="1"/>
    </row>
    <row r="88" spans="1:71" x14ac:dyDescent="0.3">
      <c r="A88">
        <v>39</v>
      </c>
      <c r="B88" s="3" t="s">
        <v>235</v>
      </c>
      <c r="C88" s="3" t="s">
        <v>106</v>
      </c>
      <c r="D88" s="13">
        <v>43769</v>
      </c>
      <c r="E88" s="2">
        <v>2.4300000000000002</v>
      </c>
      <c r="F88" s="2">
        <v>0.16</v>
      </c>
      <c r="G88" s="2">
        <f t="shared" si="2"/>
        <v>2.27</v>
      </c>
      <c r="H88" s="4">
        <f t="shared" si="3"/>
        <v>5585.6299212598424</v>
      </c>
      <c r="I88" s="10">
        <v>43787</v>
      </c>
      <c r="J88" s="2">
        <v>1.1599999999999999</v>
      </c>
      <c r="K88" s="2">
        <v>2.84</v>
      </c>
      <c r="L88" s="6">
        <f t="shared" si="4"/>
        <v>0.38766519823788542</v>
      </c>
      <c r="M88" s="6">
        <f t="shared" si="5"/>
        <v>0.51101321585903081</v>
      </c>
      <c r="N88" s="6">
        <f t="shared" si="6"/>
        <v>0.10132158590308382</v>
      </c>
      <c r="O88" s="2">
        <v>50.61</v>
      </c>
      <c r="P88" s="2">
        <v>49.47</v>
      </c>
      <c r="Q88" s="2">
        <v>125.39</v>
      </c>
      <c r="R88" s="2">
        <v>120.55</v>
      </c>
      <c r="S88" s="5">
        <f t="shared" si="7"/>
        <v>2.2525192649673986</v>
      </c>
      <c r="T88" s="5">
        <f t="shared" si="8"/>
        <v>3.8599569343647846</v>
      </c>
      <c r="U88" s="4">
        <f t="shared" si="9"/>
        <v>2165.3543307086611</v>
      </c>
      <c r="V88" s="4">
        <f t="shared" si="10"/>
        <v>2854.3307086614172</v>
      </c>
      <c r="W88" s="4">
        <f t="shared" si="11"/>
        <v>5019.6850393700788</v>
      </c>
      <c r="X88" s="4">
        <f t="shared" si="12"/>
        <v>2116.5793072546426</v>
      </c>
      <c r="Y88" s="4">
        <f t="shared" si="13"/>
        <v>2744.1547725427372</v>
      </c>
      <c r="Z88" s="4">
        <f t="shared" si="14"/>
        <v>4860.7340797973793</v>
      </c>
      <c r="AA88" t="s">
        <v>158</v>
      </c>
      <c r="AB88" s="10">
        <v>43803</v>
      </c>
      <c r="AC88" s="4">
        <v>46.6</v>
      </c>
      <c r="AD88" s="5">
        <v>1.06</v>
      </c>
      <c r="AE88" s="4">
        <v>81.099999999999994</v>
      </c>
      <c r="AF88" s="4">
        <v>26.3</v>
      </c>
      <c r="AG88" s="4">
        <v>8.6999999999999993</v>
      </c>
      <c r="AH88" s="4">
        <v>10.3</v>
      </c>
      <c r="AI88" s="1">
        <v>1458.28666666666</v>
      </c>
      <c r="AJ88" s="1">
        <v>4419.0493333333297</v>
      </c>
      <c r="AL88" s="14" t="s">
        <v>849</v>
      </c>
      <c r="AM88" s="1" t="s">
        <v>106</v>
      </c>
      <c r="AN88" s="11">
        <f>D88</f>
        <v>43769</v>
      </c>
      <c r="AO88" s="2">
        <f>SUM(E88:E89)</f>
        <v>4.5199999999999996</v>
      </c>
      <c r="AP88" s="2">
        <f>SUM(F88:F89)</f>
        <v>0.32</v>
      </c>
      <c r="AQ88" s="2">
        <f>AO88-AP88</f>
        <v>4.1999999999999993</v>
      </c>
      <c r="AR88" s="1">
        <f>AQ88/(2*$A$38)*$A$39</f>
        <v>5167.3228346456681</v>
      </c>
      <c r="AS88" s="1">
        <v>5056.9521092178538</v>
      </c>
      <c r="AT88" s="11">
        <f>I88</f>
        <v>43787</v>
      </c>
      <c r="AU88" s="2">
        <f>SUM(J88:J89)</f>
        <v>2.2199999999999998</v>
      </c>
      <c r="AV88" s="2">
        <f>SUM(K88:K89)</f>
        <v>5.52</v>
      </c>
      <c r="AW88" s="7">
        <f>(AU88-2*$A$40)/AQ88</f>
        <v>0.39523809523809522</v>
      </c>
      <c r="AX88" s="7">
        <f>(AV88-2*$A$41)/AQ88</f>
        <v>0.51428571428571435</v>
      </c>
      <c r="AY88" s="7">
        <f>1-AW88-AX88</f>
        <v>9.0476190476190488E-2</v>
      </c>
      <c r="AZ88" s="2">
        <f>SUM(O88:O89)</f>
        <v>91.45</v>
      </c>
      <c r="BA88" s="2">
        <f t="shared" ref="BA88" si="159">SUM(P88:P89)</f>
        <v>89.42</v>
      </c>
      <c r="BB88" s="2">
        <f t="shared" ref="BB88" si="160">SUM(Q88:Q89)</f>
        <v>258.05</v>
      </c>
      <c r="BC88" s="2">
        <f t="shared" ref="BC88" si="161">SUM(R88:R89)</f>
        <v>248.14999999999998</v>
      </c>
      <c r="BD88" s="2">
        <f>(AZ88-BA88)/AZ88*100</f>
        <v>2.2197922361946429</v>
      </c>
      <c r="BE88" s="2">
        <f>(BB88-BC88)/BB88*100</f>
        <v>3.8364658012013302</v>
      </c>
      <c r="BF88" s="1">
        <f>AS88*AW88</f>
        <v>1998.7001193575327</v>
      </c>
      <c r="BG88" s="1">
        <f>AS88*AX88</f>
        <v>2600.7182275977539</v>
      </c>
      <c r="BH88" s="1">
        <f>BF88+BG88</f>
        <v>4599.4183469552863</v>
      </c>
      <c r="BI88" s="1">
        <f>BF88*(1-BD88/100)</f>
        <v>1954.3331292832211</v>
      </c>
      <c r="BJ88" s="1">
        <f>BG88*(1-BE88/100)</f>
        <v>2500.9425622103568</v>
      </c>
      <c r="BK88" s="1">
        <f>BI88+BJ88</f>
        <v>4455.2756914935781</v>
      </c>
      <c r="BL88" s="11" t="str">
        <f>AA88</f>
        <v>0991913454240</v>
      </c>
      <c r="BM88" s="11">
        <f>AB88</f>
        <v>43803</v>
      </c>
      <c r="BN88" s="1">
        <f>AVERAGE(AC88:AC89)</f>
        <v>47.75</v>
      </c>
      <c r="BO88" s="2">
        <f t="shared" ref="BO88" si="162">AVERAGE(AD88:AD89)</f>
        <v>1.08</v>
      </c>
      <c r="BP88" s="1">
        <f t="shared" ref="BP88" si="163">AVERAGE(AE88:AE89)</f>
        <v>81.25</v>
      </c>
      <c r="BQ88" s="1">
        <f t="shared" ref="BQ88" si="164">AVERAGE(AF88:AF89)</f>
        <v>27.4</v>
      </c>
      <c r="BR88" s="1">
        <f t="shared" ref="BR88" si="165">AVERAGE(AG88:AG89)</f>
        <v>8.6</v>
      </c>
      <c r="BS88" s="1">
        <f t="shared" ref="BS88" si="166">AVERAGE(AH88:AH89)</f>
        <v>9.8000000000000007</v>
      </c>
    </row>
    <row r="89" spans="1:71" x14ac:dyDescent="0.3">
      <c r="A89">
        <v>40</v>
      </c>
      <c r="B89" s="3" t="s">
        <v>236</v>
      </c>
      <c r="C89" s="3" t="s">
        <v>106</v>
      </c>
      <c r="D89" s="13">
        <v>43769</v>
      </c>
      <c r="E89" s="2">
        <v>2.09</v>
      </c>
      <c r="F89" s="2">
        <v>0.16</v>
      </c>
      <c r="G89" s="2">
        <f t="shared" si="2"/>
        <v>1.93</v>
      </c>
      <c r="H89" s="4">
        <f t="shared" si="3"/>
        <v>4749.0157480314956</v>
      </c>
      <c r="I89" s="10">
        <v>43787</v>
      </c>
      <c r="J89" s="2">
        <v>1.06</v>
      </c>
      <c r="K89" s="2">
        <v>2.68</v>
      </c>
      <c r="L89" s="6">
        <f t="shared" si="4"/>
        <v>0.4041450777202073</v>
      </c>
      <c r="M89" s="6">
        <f t="shared" si="5"/>
        <v>0.51813471502590691</v>
      </c>
      <c r="N89" s="6">
        <f t="shared" si="6"/>
        <v>7.7720207253885731E-2</v>
      </c>
      <c r="O89" s="2">
        <v>40.840000000000003</v>
      </c>
      <c r="P89" s="2">
        <v>39.950000000000003</v>
      </c>
      <c r="Q89" s="2">
        <v>132.66</v>
      </c>
      <c r="R89" s="2">
        <v>127.6</v>
      </c>
      <c r="S89" s="5">
        <f t="shared" si="7"/>
        <v>2.1792360430950062</v>
      </c>
      <c r="T89" s="5">
        <f t="shared" si="8"/>
        <v>3.8142620232172493</v>
      </c>
      <c r="U89" s="4">
        <f t="shared" si="9"/>
        <v>1919.2913385826771</v>
      </c>
      <c r="V89" s="4">
        <f t="shared" si="10"/>
        <v>2460.6299212598433</v>
      </c>
      <c r="W89" s="4">
        <f t="shared" si="11"/>
        <v>4379.9212598425202</v>
      </c>
      <c r="X89" s="4">
        <f t="shared" si="12"/>
        <v>1877.465449960283</v>
      </c>
      <c r="Y89" s="4">
        <f t="shared" si="13"/>
        <v>2366.7750486413083</v>
      </c>
      <c r="Z89" s="4">
        <f t="shared" si="14"/>
        <v>4244.2404986015918</v>
      </c>
      <c r="AA89" s="8" t="s">
        <v>182</v>
      </c>
      <c r="AB89" s="10">
        <v>43803</v>
      </c>
      <c r="AC89" s="4">
        <v>48.9</v>
      </c>
      <c r="AD89" s="5">
        <v>1.1000000000000001</v>
      </c>
      <c r="AE89" s="4">
        <v>81.400000000000006</v>
      </c>
      <c r="AF89" s="4">
        <v>28.5</v>
      </c>
      <c r="AG89" s="4">
        <v>8.5</v>
      </c>
      <c r="AH89" s="4">
        <v>9.3000000000000007</v>
      </c>
      <c r="AI89" s="1">
        <v>1240.0429999999899</v>
      </c>
      <c r="AJ89" s="1">
        <v>3757.7069999999899</v>
      </c>
      <c r="AL89" s="14"/>
      <c r="AM89" s="1"/>
      <c r="AN89" s="1"/>
      <c r="AO89" s="2"/>
      <c r="AP89" s="2"/>
      <c r="AQ89" s="2"/>
      <c r="AR89" s="1"/>
      <c r="AS89" s="1"/>
      <c r="AT89" s="2"/>
      <c r="AU89" s="2"/>
      <c r="AV89" s="2"/>
      <c r="AW89" s="7"/>
      <c r="AX89" s="7"/>
      <c r="AY89" s="7"/>
      <c r="AZ89" s="2"/>
      <c r="BA89" s="2"/>
      <c r="BB89" s="2"/>
      <c r="BC89" s="2"/>
      <c r="BD89" s="2"/>
      <c r="BE89" s="2"/>
      <c r="BF89" s="1"/>
      <c r="BG89" s="1"/>
      <c r="BH89" s="1"/>
      <c r="BI89" s="1"/>
      <c r="BJ89" s="1"/>
      <c r="BK89" s="1"/>
      <c r="BL89" s="11"/>
      <c r="BM89" s="1"/>
      <c r="BN89" s="1"/>
      <c r="BO89" s="2"/>
      <c r="BP89" s="1"/>
      <c r="BQ89" s="1"/>
      <c r="BR89" s="1"/>
      <c r="BS89" s="1"/>
    </row>
    <row r="90" spans="1:71" x14ac:dyDescent="0.3">
      <c r="A90">
        <v>41</v>
      </c>
      <c r="B90" s="3" t="s">
        <v>237</v>
      </c>
      <c r="C90" s="3" t="s">
        <v>106</v>
      </c>
      <c r="D90" s="13">
        <v>43769</v>
      </c>
      <c r="E90" s="2">
        <v>2.31</v>
      </c>
      <c r="F90" s="2">
        <v>0.16</v>
      </c>
      <c r="G90" s="2">
        <f t="shared" si="2"/>
        <v>2.15</v>
      </c>
      <c r="H90" s="4">
        <f t="shared" si="3"/>
        <v>5290.3543307086611</v>
      </c>
      <c r="I90" s="10">
        <v>43787</v>
      </c>
      <c r="J90" s="2">
        <v>1.1399999999999999</v>
      </c>
      <c r="K90" s="2">
        <v>2.82</v>
      </c>
      <c r="L90" s="6">
        <f t="shared" si="4"/>
        <v>0.39999999999999997</v>
      </c>
      <c r="M90" s="6">
        <f t="shared" si="5"/>
        <v>0.53023255813953485</v>
      </c>
      <c r="N90" s="6">
        <f t="shared" si="6"/>
        <v>6.976744186046524E-2</v>
      </c>
      <c r="O90" s="2">
        <v>49.56</v>
      </c>
      <c r="P90" s="2">
        <v>48.4</v>
      </c>
      <c r="Q90" s="2">
        <v>131.91</v>
      </c>
      <c r="R90" s="2">
        <v>126.88</v>
      </c>
      <c r="S90" s="5">
        <f t="shared" si="7"/>
        <v>2.3405972558515007</v>
      </c>
      <c r="T90" s="5">
        <f t="shared" si="8"/>
        <v>3.8132059737699961</v>
      </c>
      <c r="U90" s="4">
        <f t="shared" si="9"/>
        <v>2116.1417322834641</v>
      </c>
      <c r="V90" s="4">
        <f t="shared" si="10"/>
        <v>2805.1181102362202</v>
      </c>
      <c r="W90" s="4">
        <f t="shared" si="11"/>
        <v>4921.2598425196848</v>
      </c>
      <c r="X90" s="4">
        <f t="shared" si="12"/>
        <v>2066.611376967709</v>
      </c>
      <c r="Y90" s="4">
        <f t="shared" si="13"/>
        <v>2698.1531788853886</v>
      </c>
      <c r="Z90" s="4">
        <f t="shared" si="14"/>
        <v>4764.7645558530976</v>
      </c>
      <c r="AA90" t="s">
        <v>159</v>
      </c>
      <c r="AB90" s="10">
        <v>43803</v>
      </c>
      <c r="AC90" s="4">
        <v>47.5</v>
      </c>
      <c r="AD90" s="5">
        <v>1.0900000000000001</v>
      </c>
      <c r="AE90" s="4">
        <v>81</v>
      </c>
      <c r="AF90" s="4">
        <v>27.4</v>
      </c>
      <c r="AG90" s="4">
        <v>8.5</v>
      </c>
      <c r="AH90" s="4">
        <v>10</v>
      </c>
      <c r="AI90" s="1">
        <v>1494.55666666666</v>
      </c>
      <c r="AJ90" s="1">
        <v>4528.96</v>
      </c>
      <c r="AL90" s="14" t="s">
        <v>850</v>
      </c>
      <c r="AM90" s="1" t="s">
        <v>106</v>
      </c>
      <c r="AN90" s="11">
        <f>D90</f>
        <v>43769</v>
      </c>
      <c r="AO90" s="2">
        <f>SUM(E90:E91)</f>
        <v>4.95</v>
      </c>
      <c r="AP90" s="2">
        <f>SUM(F90:F91)</f>
        <v>0.32</v>
      </c>
      <c r="AQ90" s="2">
        <f>AO90-AP90</f>
        <v>4.63</v>
      </c>
      <c r="AR90" s="1">
        <f>AQ90/(2*$A$38)*$A$39</f>
        <v>5696.358267716535</v>
      </c>
      <c r="AS90" s="1">
        <v>5583.4070389346352</v>
      </c>
      <c r="AT90" s="11">
        <f>I90</f>
        <v>43787</v>
      </c>
      <c r="AU90" s="2">
        <f>SUM(J90:J91)</f>
        <v>2.4</v>
      </c>
      <c r="AV90" s="2">
        <f>SUM(K90:K91)</f>
        <v>5.74</v>
      </c>
      <c r="AW90" s="7">
        <f>(AU90-2*$A$40)/AQ90</f>
        <v>0.39740820734341248</v>
      </c>
      <c r="AX90" s="7">
        <f>(AV90-2*$A$41)/AQ90</f>
        <v>0.51403887688984895</v>
      </c>
      <c r="AY90" s="7">
        <f>1-AW90-AX90</f>
        <v>8.8552915766738627E-2</v>
      </c>
      <c r="AZ90" s="2">
        <f>SUM(O90:O91)</f>
        <v>90.51</v>
      </c>
      <c r="BA90" s="2">
        <f t="shared" ref="BA90" si="167">SUM(P90:P91)</f>
        <v>88.449999999999989</v>
      </c>
      <c r="BB90" s="2">
        <f t="shared" ref="BB90" si="168">SUM(Q90:Q91)</f>
        <v>272.88</v>
      </c>
      <c r="BC90" s="2">
        <f t="shared" ref="BC90" si="169">SUM(R90:R91)</f>
        <v>262.5</v>
      </c>
      <c r="BD90" s="2">
        <f>(AZ90-BA90)/AZ90*100</f>
        <v>2.2759916031377929</v>
      </c>
      <c r="BE90" s="2">
        <f>(BB90-BC90)/BB90*100</f>
        <v>3.8038698328935778</v>
      </c>
      <c r="BF90" s="1">
        <f>AS90*AW90</f>
        <v>2218.8917822116041</v>
      </c>
      <c r="BG90" s="1">
        <f>AS90*AX90</f>
        <v>2870.0882835128368</v>
      </c>
      <c r="BH90" s="1">
        <f>BF90+BG90</f>
        <v>5088.9800657244414</v>
      </c>
      <c r="BI90" s="1">
        <f>BF90*(1-BD90/100)</f>
        <v>2168.3899915657535</v>
      </c>
      <c r="BJ90" s="1">
        <f>BG90*(1-BE90/100)</f>
        <v>2760.9138611188787</v>
      </c>
      <c r="BK90" s="1">
        <f>BI90+BJ90</f>
        <v>4929.3038526846321</v>
      </c>
      <c r="BL90" s="11" t="str">
        <f>AA90</f>
        <v>0991913461242</v>
      </c>
      <c r="BM90" s="11">
        <f>AB90</f>
        <v>43803</v>
      </c>
      <c r="BN90" s="1">
        <f>AVERAGE(AC90:AC91)</f>
        <v>47.5</v>
      </c>
      <c r="BO90" s="2">
        <f t="shared" ref="BO90" si="170">AVERAGE(AD90:AD91)</f>
        <v>1.05</v>
      </c>
      <c r="BP90" s="1">
        <f t="shared" ref="BP90" si="171">AVERAGE(AE90:AE91)</f>
        <v>79.75</v>
      </c>
      <c r="BQ90" s="1">
        <f t="shared" ref="BQ90" si="172">AVERAGE(AF90:AF91)</f>
        <v>26.299999999999997</v>
      </c>
      <c r="BR90" s="1">
        <f t="shared" ref="BR90" si="173">AVERAGE(AG90:AG91)</f>
        <v>8.65</v>
      </c>
      <c r="BS90" s="1">
        <f t="shared" ref="BS90" si="174">AVERAGE(AH90:AH91)</f>
        <v>11.2</v>
      </c>
    </row>
    <row r="91" spans="1:71" x14ac:dyDescent="0.3">
      <c r="A91">
        <v>42</v>
      </c>
      <c r="B91" s="3" t="s">
        <v>238</v>
      </c>
      <c r="C91" s="3" t="s">
        <v>106</v>
      </c>
      <c r="D91" s="13">
        <v>43769</v>
      </c>
      <c r="E91" s="2">
        <v>2.64</v>
      </c>
      <c r="F91" s="2">
        <v>0.16</v>
      </c>
      <c r="G91" s="2">
        <f t="shared" si="2"/>
        <v>2.48</v>
      </c>
      <c r="H91" s="4">
        <f t="shared" si="3"/>
        <v>6102.3622047244098</v>
      </c>
      <c r="I91" s="10">
        <v>43787</v>
      </c>
      <c r="J91" s="2">
        <v>1.26</v>
      </c>
      <c r="K91" s="2">
        <v>2.92</v>
      </c>
      <c r="L91" s="6">
        <f t="shared" si="4"/>
        <v>0.39516129032258063</v>
      </c>
      <c r="M91" s="6">
        <f t="shared" si="5"/>
        <v>0.5</v>
      </c>
      <c r="N91" s="6">
        <f t="shared" si="6"/>
        <v>0.10483870967741937</v>
      </c>
      <c r="O91" s="2">
        <v>40.950000000000003</v>
      </c>
      <c r="P91" s="2">
        <v>40.049999999999997</v>
      </c>
      <c r="Q91" s="2">
        <v>140.97</v>
      </c>
      <c r="R91" s="2">
        <v>135.62</v>
      </c>
      <c r="S91" s="5">
        <f t="shared" si="7"/>
        <v>2.1978021978022113</v>
      </c>
      <c r="T91" s="5">
        <f t="shared" si="8"/>
        <v>3.7951337163935546</v>
      </c>
      <c r="U91" s="4">
        <f t="shared" si="9"/>
        <v>2411.4173228346458</v>
      </c>
      <c r="V91" s="4">
        <f t="shared" si="10"/>
        <v>3051.1811023622049</v>
      </c>
      <c r="W91" s="4">
        <f t="shared" si="11"/>
        <v>5462.5984251968512</v>
      </c>
      <c r="X91" s="4">
        <f t="shared" si="12"/>
        <v>2358.4191399152028</v>
      </c>
      <c r="Y91" s="4">
        <f t="shared" si="13"/>
        <v>2935.3846995982285</v>
      </c>
      <c r="Z91" s="4">
        <f t="shared" si="14"/>
        <v>5293.8038395134317</v>
      </c>
      <c r="AA91" s="8" t="s">
        <v>183</v>
      </c>
      <c r="AB91" s="10">
        <v>43803</v>
      </c>
      <c r="AC91" s="4">
        <v>47.5</v>
      </c>
      <c r="AD91" s="5">
        <v>1.01</v>
      </c>
      <c r="AE91" s="4">
        <v>78.5</v>
      </c>
      <c r="AF91" s="4">
        <v>25.2</v>
      </c>
      <c r="AG91" s="4">
        <v>8.8000000000000007</v>
      </c>
      <c r="AH91" s="4">
        <v>12.4</v>
      </c>
      <c r="AI91" s="1">
        <v>1405.3985</v>
      </c>
      <c r="AJ91" s="1">
        <v>4258.7834999999905</v>
      </c>
      <c r="AL91" s="14"/>
      <c r="AM91" s="1"/>
      <c r="AN91" s="1"/>
      <c r="AO91" s="2"/>
      <c r="AP91" s="2"/>
      <c r="AQ91" s="2"/>
      <c r="AR91" s="1"/>
      <c r="AS91" s="1"/>
      <c r="AT91" s="2"/>
      <c r="AU91" s="2"/>
      <c r="AV91" s="2"/>
      <c r="AW91" s="7"/>
      <c r="AX91" s="7"/>
      <c r="AY91" s="7"/>
      <c r="AZ91" s="2"/>
      <c r="BA91" s="2"/>
      <c r="BB91" s="2"/>
      <c r="BC91" s="2"/>
      <c r="BD91" s="2"/>
      <c r="BE91" s="2"/>
      <c r="BF91" s="1"/>
      <c r="BG91" s="1"/>
      <c r="BH91" s="1"/>
      <c r="BI91" s="1"/>
      <c r="BJ91" s="1"/>
      <c r="BK91" s="1"/>
      <c r="BL91" s="11"/>
      <c r="BM91" s="1"/>
      <c r="BN91" s="1"/>
      <c r="BO91" s="2"/>
      <c r="BP91" s="1"/>
      <c r="BQ91" s="1"/>
      <c r="BR91" s="1"/>
      <c r="BS91" s="1"/>
    </row>
    <row r="92" spans="1:71" x14ac:dyDescent="0.3">
      <c r="A92">
        <v>43</v>
      </c>
      <c r="B92" s="3" t="s">
        <v>239</v>
      </c>
      <c r="C92" s="3" t="s">
        <v>106</v>
      </c>
      <c r="D92" s="13">
        <v>43769</v>
      </c>
      <c r="E92" s="2">
        <v>1.89</v>
      </c>
      <c r="F92" s="2">
        <v>0.16</v>
      </c>
      <c r="G92" s="2">
        <f t="shared" si="2"/>
        <v>1.73</v>
      </c>
      <c r="H92" s="4">
        <f t="shared" si="3"/>
        <v>4256.8897637795271</v>
      </c>
      <c r="I92" s="10">
        <v>43787</v>
      </c>
      <c r="J92" s="2">
        <v>0.96</v>
      </c>
      <c r="K92" s="2">
        <v>2.6</v>
      </c>
      <c r="L92" s="6">
        <f t="shared" si="4"/>
        <v>0.39306358381502887</v>
      </c>
      <c r="M92" s="6">
        <f t="shared" si="5"/>
        <v>0.53179190751445093</v>
      </c>
      <c r="N92" s="6">
        <f t="shared" si="6"/>
        <v>7.5144508670520138E-2</v>
      </c>
      <c r="O92" s="2">
        <v>47.45</v>
      </c>
      <c r="P92" s="2">
        <v>46.49</v>
      </c>
      <c r="Q92" s="2">
        <v>153.9</v>
      </c>
      <c r="R92" s="2">
        <v>148</v>
      </c>
      <c r="S92" s="5">
        <f t="shared" si="7"/>
        <v>2.0231822971549014</v>
      </c>
      <c r="T92" s="5">
        <f t="shared" si="8"/>
        <v>3.833658219623135</v>
      </c>
      <c r="U92" s="4">
        <f t="shared" si="9"/>
        <v>1673.2283464566926</v>
      </c>
      <c r="V92" s="4">
        <f t="shared" si="10"/>
        <v>2263.7795275590552</v>
      </c>
      <c r="W92" s="4">
        <f t="shared" si="11"/>
        <v>3937.0078740157478</v>
      </c>
      <c r="X92" s="4">
        <f t="shared" si="12"/>
        <v>1639.3758867602032</v>
      </c>
      <c r="Y92" s="4">
        <f t="shared" si="13"/>
        <v>2176.9939576266415</v>
      </c>
      <c r="Z92" s="4">
        <f t="shared" si="14"/>
        <v>3816.3698443868448</v>
      </c>
      <c r="AA92" t="s">
        <v>160</v>
      </c>
      <c r="AB92" s="10">
        <v>43803</v>
      </c>
      <c r="AC92" s="4">
        <v>49</v>
      </c>
      <c r="AD92" s="5">
        <v>1.07</v>
      </c>
      <c r="AE92" s="4">
        <v>80.2</v>
      </c>
      <c r="AF92" s="4">
        <v>27.2</v>
      </c>
      <c r="AG92" s="4">
        <v>8.8000000000000007</v>
      </c>
      <c r="AH92" s="4">
        <v>10.8</v>
      </c>
      <c r="AI92" s="1">
        <v>1462.4915000000001</v>
      </c>
      <c r="AJ92" s="1">
        <v>4431.7939999999899</v>
      </c>
      <c r="AL92" s="14" t="s">
        <v>851</v>
      </c>
      <c r="AM92" s="1" t="s">
        <v>106</v>
      </c>
      <c r="AN92" s="11">
        <f>D92</f>
        <v>43769</v>
      </c>
      <c r="AO92" s="2">
        <f>SUM(E92:E93)</f>
        <v>4.84</v>
      </c>
      <c r="AP92" s="2">
        <f>SUM(F92:F93)</f>
        <v>0.32</v>
      </c>
      <c r="AQ92" s="2">
        <f>AO92-AP92</f>
        <v>4.5199999999999996</v>
      </c>
      <c r="AR92" s="1">
        <f>AQ92/(2*$A$38)*$A$39</f>
        <v>5561.0236220472434</v>
      </c>
      <c r="AS92" s="1">
        <v>5447.2230030377932</v>
      </c>
      <c r="AT92" s="11">
        <f>I92</f>
        <v>43787</v>
      </c>
      <c r="AU92" s="2">
        <f>SUM(J92:J93)</f>
        <v>2.3200000000000003</v>
      </c>
      <c r="AV92" s="2">
        <f>SUM(K92:K93)</f>
        <v>5.7200000000000006</v>
      </c>
      <c r="AW92" s="7">
        <f>(AU92-2*$A$40)/AQ92</f>
        <v>0.38938053097345143</v>
      </c>
      <c r="AX92" s="7">
        <f>(AV92-2*$A$41)/AQ92</f>
        <v>0.52212389380530999</v>
      </c>
      <c r="AY92" s="7">
        <f>1-AW92-AX92</f>
        <v>8.849557522123852E-2</v>
      </c>
      <c r="AZ92" s="2">
        <f>SUM(O92:O93)</f>
        <v>92.48</v>
      </c>
      <c r="BA92" s="2">
        <f t="shared" ref="BA92" si="175">SUM(P92:P93)</f>
        <v>90.48</v>
      </c>
      <c r="BB92" s="2">
        <f t="shared" ref="BB92" si="176">SUM(Q92:Q93)</f>
        <v>318.71000000000004</v>
      </c>
      <c r="BC92" s="2">
        <f t="shared" ref="BC92" si="177">SUM(R92:R93)</f>
        <v>306.38</v>
      </c>
      <c r="BD92" s="2">
        <f>(AZ92-BA92)/AZ92*100</f>
        <v>2.1626297577854672</v>
      </c>
      <c r="BE92" s="2">
        <f>(BB92-BC92)/BB92*100</f>
        <v>3.8687207806469956</v>
      </c>
      <c r="BF92" s="1">
        <f>AS92*AW92</f>
        <v>2121.0425852536546</v>
      </c>
      <c r="BG92" s="1">
        <f>AS92*AX92</f>
        <v>2844.1252847719466</v>
      </c>
      <c r="BH92" s="1">
        <f>BF92+BG92</f>
        <v>4965.1678700256016</v>
      </c>
      <c r="BI92" s="1">
        <f>BF92*(1-BD92/100)</f>
        <v>2075.1722871296565</v>
      </c>
      <c r="BJ92" s="1">
        <f>BG92*(1-BE92/100)</f>
        <v>2734.0940188523386</v>
      </c>
      <c r="BK92" s="1">
        <f>BI92+BJ92</f>
        <v>4809.2663059819952</v>
      </c>
      <c r="BL92" s="11" t="str">
        <f>AA92</f>
        <v>0991913462244</v>
      </c>
      <c r="BM92" s="11">
        <f>AB92</f>
        <v>43803</v>
      </c>
      <c r="BN92" s="1">
        <f>AVERAGE(AC92:AC93)</f>
        <v>48.45</v>
      </c>
      <c r="BO92" s="2">
        <f t="shared" ref="BO92" si="178">AVERAGE(AD92:AD93)</f>
        <v>1.0750000000000002</v>
      </c>
      <c r="BP92" s="1">
        <f t="shared" ref="BP92" si="179">AVERAGE(AE92:AE93)</f>
        <v>80.400000000000006</v>
      </c>
      <c r="BQ92" s="1">
        <f t="shared" ref="BQ92" si="180">AVERAGE(AF92:AF93)</f>
        <v>27.5</v>
      </c>
      <c r="BR92" s="1">
        <f t="shared" ref="BR92" si="181">AVERAGE(AG92:AG93)</f>
        <v>8.6000000000000014</v>
      </c>
      <c r="BS92" s="1">
        <f t="shared" ref="BS92" si="182">AVERAGE(AH92:AH93)</f>
        <v>10.5</v>
      </c>
    </row>
    <row r="93" spans="1:71" x14ac:dyDescent="0.3">
      <c r="A93">
        <v>44</v>
      </c>
      <c r="B93" s="3" t="s">
        <v>240</v>
      </c>
      <c r="C93" s="3" t="s">
        <v>106</v>
      </c>
      <c r="D93" s="13">
        <v>43769</v>
      </c>
      <c r="E93" s="2">
        <v>2.95</v>
      </c>
      <c r="F93" s="2">
        <v>0.16</v>
      </c>
      <c r="G93" s="2">
        <f t="shared" si="2"/>
        <v>2.79</v>
      </c>
      <c r="H93" s="4">
        <f t="shared" si="3"/>
        <v>6865.1574803149606</v>
      </c>
      <c r="I93" s="10">
        <v>43787</v>
      </c>
      <c r="J93" s="2">
        <v>1.36</v>
      </c>
      <c r="K93" s="2">
        <v>3.12</v>
      </c>
      <c r="L93" s="6">
        <f t="shared" si="4"/>
        <v>0.38709677419354843</v>
      </c>
      <c r="M93" s="6">
        <f t="shared" si="5"/>
        <v>0.51612903225806461</v>
      </c>
      <c r="N93" s="6">
        <f t="shared" si="6"/>
        <v>9.67741935483869E-2</v>
      </c>
      <c r="O93" s="2">
        <v>45.03</v>
      </c>
      <c r="P93" s="2">
        <v>43.99</v>
      </c>
      <c r="Q93" s="2">
        <v>164.81</v>
      </c>
      <c r="R93" s="2">
        <v>158.38</v>
      </c>
      <c r="S93" s="5">
        <f t="shared" si="7"/>
        <v>2.3095713968465446</v>
      </c>
      <c r="T93" s="5">
        <f t="shared" si="8"/>
        <v>3.9014622899095972</v>
      </c>
      <c r="U93" s="4">
        <f t="shared" si="9"/>
        <v>2657.48031496063</v>
      </c>
      <c r="V93" s="4">
        <f t="shared" si="10"/>
        <v>3543.3070866141738</v>
      </c>
      <c r="W93" s="4">
        <f t="shared" si="11"/>
        <v>6200.7874015748039</v>
      </c>
      <c r="X93" s="4">
        <f t="shared" si="12"/>
        <v>2596.103909729472</v>
      </c>
      <c r="Y93" s="4">
        <f t="shared" si="13"/>
        <v>3405.0662968142274</v>
      </c>
      <c r="Z93" s="4">
        <f t="shared" si="14"/>
        <v>6001.1702065436994</v>
      </c>
      <c r="AA93" s="8" t="s">
        <v>184</v>
      </c>
      <c r="AB93" s="10">
        <v>43803</v>
      </c>
      <c r="AC93" s="4">
        <v>47.9</v>
      </c>
      <c r="AD93" s="5">
        <v>1.08</v>
      </c>
      <c r="AE93" s="4">
        <v>80.599999999999994</v>
      </c>
      <c r="AF93" s="4">
        <v>27.8</v>
      </c>
      <c r="AG93" s="4">
        <v>8.4</v>
      </c>
      <c r="AH93" s="4">
        <v>10.199999999999999</v>
      </c>
      <c r="AI93" s="1">
        <v>1467.3665000000001</v>
      </c>
      <c r="AJ93" s="1">
        <v>4446.5659999999998</v>
      </c>
      <c r="AL93" s="14"/>
      <c r="AM93" s="1"/>
      <c r="AN93" s="1"/>
      <c r="AO93" s="2"/>
      <c r="AP93" s="2"/>
      <c r="AQ93" s="2"/>
      <c r="AR93" s="1"/>
      <c r="AS93" s="1"/>
      <c r="AT93" s="2"/>
      <c r="AU93" s="2"/>
      <c r="AV93" s="2"/>
      <c r="AW93" s="7"/>
      <c r="AX93" s="7"/>
      <c r="AY93" s="7"/>
      <c r="AZ93" s="2"/>
      <c r="BA93" s="2"/>
      <c r="BB93" s="2"/>
      <c r="BC93" s="2"/>
      <c r="BD93" s="2"/>
      <c r="BE93" s="2"/>
      <c r="BF93" s="1"/>
      <c r="BG93" s="1"/>
      <c r="BH93" s="1"/>
      <c r="BI93" s="1"/>
      <c r="BJ93" s="1"/>
      <c r="BK93" s="1"/>
      <c r="BL93" s="11"/>
      <c r="BM93" s="1"/>
      <c r="BN93" s="1"/>
      <c r="BO93" s="2"/>
      <c r="BP93" s="1"/>
      <c r="BQ93" s="1"/>
      <c r="BR93" s="1"/>
      <c r="BS93" s="1"/>
    </row>
    <row r="94" spans="1:71" x14ac:dyDescent="0.3">
      <c r="A94">
        <v>45</v>
      </c>
      <c r="B94" s="3" t="s">
        <v>241</v>
      </c>
      <c r="C94" s="3" t="s">
        <v>106</v>
      </c>
      <c r="D94" s="13">
        <v>43769</v>
      </c>
      <c r="E94" s="2">
        <v>1.95</v>
      </c>
      <c r="F94" s="2">
        <v>0.16</v>
      </c>
      <c r="G94" s="2">
        <f t="shared" si="2"/>
        <v>1.79</v>
      </c>
      <c r="H94" s="4">
        <f t="shared" si="3"/>
        <v>4404.5275590551182</v>
      </c>
      <c r="I94" s="10">
        <v>43787</v>
      </c>
      <c r="J94" s="2">
        <v>0.98</v>
      </c>
      <c r="K94" s="2">
        <v>2.62</v>
      </c>
      <c r="L94" s="6">
        <f t="shared" si="4"/>
        <v>0.39106145251396646</v>
      </c>
      <c r="M94" s="6">
        <f t="shared" si="5"/>
        <v>0.52513966480446939</v>
      </c>
      <c r="N94" s="6">
        <f t="shared" si="6"/>
        <v>8.3798882681564213E-2</v>
      </c>
      <c r="O94" s="2">
        <v>51.84</v>
      </c>
      <c r="P94" s="2">
        <v>50.74</v>
      </c>
      <c r="Q94" s="2">
        <v>134.46</v>
      </c>
      <c r="R94" s="2">
        <v>129.41</v>
      </c>
      <c r="S94" s="5">
        <f t="shared" si="7"/>
        <v>2.121913580246916</v>
      </c>
      <c r="T94" s="5">
        <f t="shared" si="8"/>
        <v>3.7557637959244468</v>
      </c>
      <c r="U94" s="4">
        <f t="shared" si="9"/>
        <v>1722.4409448818897</v>
      </c>
      <c r="V94" s="4">
        <f t="shared" si="10"/>
        <v>2312.9921259842527</v>
      </c>
      <c r="W94" s="4">
        <f t="shared" si="11"/>
        <v>4035.4330708661423</v>
      </c>
      <c r="X94" s="4">
        <f t="shared" si="12"/>
        <v>1685.8922365607075</v>
      </c>
      <c r="Y94" s="4">
        <f t="shared" si="13"/>
        <v>2226.1216051139527</v>
      </c>
      <c r="Z94" s="4">
        <f t="shared" si="14"/>
        <v>3912.0138416746604</v>
      </c>
      <c r="AA94" t="s">
        <v>161</v>
      </c>
      <c r="AB94" s="10">
        <v>43803</v>
      </c>
      <c r="AC94" s="4">
        <v>49.3</v>
      </c>
      <c r="AD94" s="5">
        <v>1.07</v>
      </c>
      <c r="AE94" s="4">
        <v>81.2</v>
      </c>
      <c r="AF94" s="4">
        <v>27.8</v>
      </c>
      <c r="AG94" s="4">
        <v>8.8000000000000007</v>
      </c>
      <c r="AH94" s="4">
        <v>9.6999999999999993</v>
      </c>
      <c r="AI94" s="1">
        <v>1492.44166666666</v>
      </c>
      <c r="AJ94" s="1">
        <v>4522.55</v>
      </c>
      <c r="AL94" s="14" t="s">
        <v>852</v>
      </c>
      <c r="AM94" s="1" t="s">
        <v>106</v>
      </c>
      <c r="AN94" s="11">
        <f>D94</f>
        <v>43769</v>
      </c>
      <c r="AO94" s="2">
        <f>SUM(E94:E95)</f>
        <v>4.47</v>
      </c>
      <c r="AP94" s="2">
        <f>SUM(F94:F95)</f>
        <v>0.32</v>
      </c>
      <c r="AQ94" s="2">
        <f>AO94-AP94</f>
        <v>4.1499999999999995</v>
      </c>
      <c r="AR94" s="1">
        <f>AQ94/(2*$A$38)*$A$39</f>
        <v>5105.8070866141725</v>
      </c>
      <c r="AS94" s="1">
        <v>5377.5401925364622</v>
      </c>
      <c r="AT94" s="11">
        <f>I94</f>
        <v>43787</v>
      </c>
      <c r="AU94" s="2">
        <f>SUM(J94:J95)</f>
        <v>2.2000000000000002</v>
      </c>
      <c r="AV94" s="2">
        <f>SUM(K94:K95)</f>
        <v>5.5</v>
      </c>
      <c r="AW94" s="7">
        <f>(AU94-2*$A$40)/AQ94</f>
        <v>0.39518072289156636</v>
      </c>
      <c r="AX94" s="7">
        <f>(AV94-2*$A$41)/AQ94</f>
        <v>0.51566265060240979</v>
      </c>
      <c r="AY94" s="7">
        <f>1-AW94-AX94</f>
        <v>8.9156626506023851E-2</v>
      </c>
      <c r="AZ94" s="2">
        <f>SUM(O94:O95)</f>
        <v>91.32</v>
      </c>
      <c r="BA94" s="2">
        <f t="shared" ref="BA94" si="183">SUM(P94:P95)</f>
        <v>89.4</v>
      </c>
      <c r="BB94" s="2">
        <f t="shared" ref="BB94" si="184">SUM(Q94:Q95)</f>
        <v>286.38</v>
      </c>
      <c r="BC94" s="2">
        <f t="shared" ref="BC94" si="185">SUM(R94:R95)</f>
        <v>275.77999999999997</v>
      </c>
      <c r="BD94" s="2">
        <f>(AZ94-BA94)/AZ94*100</f>
        <v>2.1024967148488694</v>
      </c>
      <c r="BE94" s="2">
        <f>(BB94-BC94)/BB94*100</f>
        <v>3.7013757943990582</v>
      </c>
      <c r="BF94" s="1">
        <f>AS94*AW94</f>
        <v>2125.1002206650119</v>
      </c>
      <c r="BG94" s="1">
        <f>AS94*AX94</f>
        <v>2772.9966294043452</v>
      </c>
      <c r="BH94" s="1">
        <f>BF94+BG94</f>
        <v>4898.0968500693571</v>
      </c>
      <c r="BI94" s="1">
        <f>BF94*(1-BD94/100)</f>
        <v>2080.420058338284</v>
      </c>
      <c r="BJ94" s="1">
        <f>BG94*(1-BE94/100)</f>
        <v>2670.3576033840714</v>
      </c>
      <c r="BK94" s="1">
        <f>BI94+BJ94</f>
        <v>4750.7776617223553</v>
      </c>
      <c r="BL94" s="11" t="str">
        <f>AA94</f>
        <v>0991913463246</v>
      </c>
      <c r="BM94" s="11">
        <f>AB94</f>
        <v>43803</v>
      </c>
      <c r="BN94" s="1">
        <f>AVERAGE(AC94:AC95)</f>
        <v>49.6</v>
      </c>
      <c r="BO94" s="2">
        <f t="shared" ref="BO94" si="186">AVERAGE(AD94:AD95)</f>
        <v>1.06</v>
      </c>
      <c r="BP94" s="1">
        <f t="shared" ref="BP94" si="187">AVERAGE(AE94:AE95)</f>
        <v>80.2</v>
      </c>
      <c r="BQ94" s="1">
        <f t="shared" ref="BQ94" si="188">AVERAGE(AF94:AF95)</f>
        <v>26.5</v>
      </c>
      <c r="BR94" s="1">
        <f t="shared" ref="BR94" si="189">AVERAGE(AG94:AG95)</f>
        <v>9.1999999999999993</v>
      </c>
      <c r="BS94" s="1">
        <f t="shared" ref="BS94" si="190">AVERAGE(AH94:AH95)</f>
        <v>10.6</v>
      </c>
    </row>
    <row r="95" spans="1:71" x14ac:dyDescent="0.3">
      <c r="A95">
        <v>46</v>
      </c>
      <c r="B95" s="3" t="s">
        <v>242</v>
      </c>
      <c r="C95" s="3" t="s">
        <v>106</v>
      </c>
      <c r="D95" s="13">
        <v>43769</v>
      </c>
      <c r="E95" s="2">
        <v>2.52</v>
      </c>
      <c r="F95" s="2">
        <v>0.16</v>
      </c>
      <c r="G95" s="2">
        <f t="shared" si="2"/>
        <v>2.36</v>
      </c>
      <c r="H95" s="4">
        <f t="shared" si="3"/>
        <v>5807.0866141732276</v>
      </c>
      <c r="I95" s="10">
        <v>43787</v>
      </c>
      <c r="J95" s="2">
        <v>1.22</v>
      </c>
      <c r="K95" s="2">
        <v>2.88</v>
      </c>
      <c r="L95" s="6">
        <f t="shared" si="4"/>
        <v>0.39830508474576271</v>
      </c>
      <c r="M95" s="6">
        <f t="shared" si="5"/>
        <v>0.50847457627118642</v>
      </c>
      <c r="N95" s="6">
        <f t="shared" si="6"/>
        <v>9.3220338983050821E-2</v>
      </c>
      <c r="O95" s="2">
        <v>39.479999999999997</v>
      </c>
      <c r="P95" s="2">
        <v>38.659999999999997</v>
      </c>
      <c r="Q95" s="2">
        <v>151.91999999999999</v>
      </c>
      <c r="R95" s="2">
        <v>146.37</v>
      </c>
      <c r="S95" s="5">
        <f t="shared" si="7"/>
        <v>2.0770010131712269</v>
      </c>
      <c r="T95" s="5">
        <f t="shared" si="8"/>
        <v>3.6532385466034647</v>
      </c>
      <c r="U95" s="4">
        <f t="shared" si="9"/>
        <v>2312.9921259842517</v>
      </c>
      <c r="V95" s="4">
        <f t="shared" si="10"/>
        <v>2952.7559055118104</v>
      </c>
      <c r="W95" s="4">
        <f t="shared" si="11"/>
        <v>5265.7480314960621</v>
      </c>
      <c r="X95" s="4">
        <f t="shared" si="12"/>
        <v>2264.9512560929879</v>
      </c>
      <c r="Y95" s="4">
        <f t="shared" si="13"/>
        <v>2844.8846885845428</v>
      </c>
      <c r="Z95" s="4">
        <f t="shared" si="14"/>
        <v>5109.8359446775303</v>
      </c>
      <c r="AA95" s="8" t="s">
        <v>185</v>
      </c>
      <c r="AB95" s="10">
        <v>43803</v>
      </c>
      <c r="AC95" s="4">
        <v>49.900000000000006</v>
      </c>
      <c r="AD95" s="5">
        <v>1.05</v>
      </c>
      <c r="AE95" s="4">
        <v>79.2</v>
      </c>
      <c r="AF95" s="4">
        <v>25.2</v>
      </c>
      <c r="AG95" s="4">
        <v>9.6</v>
      </c>
      <c r="AH95" s="4">
        <v>11.5</v>
      </c>
      <c r="AI95" s="1">
        <v>1474.6799999999901</v>
      </c>
      <c r="AJ95" s="1">
        <v>4468.72749999999</v>
      </c>
      <c r="AL95" s="14"/>
      <c r="AM95" s="1"/>
      <c r="AN95" s="1"/>
      <c r="AO95" s="2"/>
      <c r="AP95" s="2"/>
      <c r="AQ95" s="2"/>
      <c r="AR95" s="1"/>
      <c r="AS95" s="1"/>
      <c r="AT95" s="2"/>
      <c r="AU95" s="2"/>
      <c r="AV95" s="2"/>
      <c r="AW95" s="7"/>
      <c r="AX95" s="7"/>
      <c r="AY95" s="7"/>
      <c r="AZ95" s="2"/>
      <c r="BA95" s="2"/>
      <c r="BB95" s="2"/>
      <c r="BC95" s="2"/>
      <c r="BD95" s="2"/>
      <c r="BE95" s="2"/>
      <c r="BF95" s="1"/>
      <c r="BG95" s="1"/>
      <c r="BH95" s="1"/>
      <c r="BI95" s="1"/>
      <c r="BJ95" s="1"/>
      <c r="BK95" s="1"/>
      <c r="BL95" s="11"/>
      <c r="BM95" s="1"/>
      <c r="BN95" s="1"/>
      <c r="BO95" s="2"/>
      <c r="BP95" s="1"/>
      <c r="BQ95" s="1"/>
      <c r="BR95" s="1"/>
      <c r="BS95" s="1"/>
    </row>
    <row r="96" spans="1:71" x14ac:dyDescent="0.3">
      <c r="A96">
        <v>47</v>
      </c>
      <c r="B96" s="3" t="s">
        <v>243</v>
      </c>
      <c r="C96" s="3" t="s">
        <v>106</v>
      </c>
      <c r="D96" s="13">
        <v>43769</v>
      </c>
      <c r="E96" s="2">
        <v>1.45</v>
      </c>
      <c r="F96" s="2">
        <v>0.16</v>
      </c>
      <c r="G96" s="2">
        <f t="shared" si="2"/>
        <v>1.29</v>
      </c>
      <c r="H96" s="4">
        <f t="shared" si="3"/>
        <v>3174.2125984251966</v>
      </c>
      <c r="I96" s="10">
        <v>43787</v>
      </c>
      <c r="J96" s="2">
        <v>0.8</v>
      </c>
      <c r="K96" s="2">
        <v>2.36</v>
      </c>
      <c r="L96" s="6">
        <f t="shared" si="4"/>
        <v>0.40310077519379844</v>
      </c>
      <c r="M96" s="6">
        <f t="shared" si="5"/>
        <v>0.52713178294573637</v>
      </c>
      <c r="N96" s="6">
        <f t="shared" si="6"/>
        <v>6.9767441860465129E-2</v>
      </c>
      <c r="O96" s="2">
        <v>48.41</v>
      </c>
      <c r="P96" s="2">
        <v>47.35</v>
      </c>
      <c r="Q96" s="2">
        <v>113.63</v>
      </c>
      <c r="R96" s="2">
        <v>109.52</v>
      </c>
      <c r="S96" s="5">
        <f t="shared" si="7"/>
        <v>2.1896302416855926</v>
      </c>
      <c r="T96" s="5">
        <f t="shared" si="8"/>
        <v>3.6170025521429201</v>
      </c>
      <c r="U96" s="4">
        <f t="shared" si="9"/>
        <v>1279.527559055118</v>
      </c>
      <c r="V96" s="4">
        <f t="shared" si="10"/>
        <v>1673.2283464566926</v>
      </c>
      <c r="W96" s="4">
        <f t="shared" si="11"/>
        <v>2952.7559055118109</v>
      </c>
      <c r="X96" s="4">
        <f t="shared" si="12"/>
        <v>1251.5106366713458</v>
      </c>
      <c r="Y96" s="4">
        <f t="shared" si="13"/>
        <v>1612.7076344621753</v>
      </c>
      <c r="Z96" s="4">
        <f t="shared" si="14"/>
        <v>2864.2182711335208</v>
      </c>
      <c r="AA96" s="8" t="s">
        <v>162</v>
      </c>
      <c r="AB96" s="10">
        <v>43803</v>
      </c>
      <c r="AC96" s="4">
        <v>46.1</v>
      </c>
      <c r="AD96" s="5">
        <v>1.04</v>
      </c>
      <c r="AE96" s="4">
        <v>80.2</v>
      </c>
      <c r="AF96" s="4">
        <v>26.3</v>
      </c>
      <c r="AG96" s="4">
        <v>8.6</v>
      </c>
      <c r="AH96" s="4">
        <v>10.7</v>
      </c>
      <c r="AI96" s="1">
        <v>696.93799999999999</v>
      </c>
      <c r="AJ96" s="1">
        <v>2111.93299999999</v>
      </c>
      <c r="AL96" s="14" t="s">
        <v>853</v>
      </c>
      <c r="AM96" s="1" t="s">
        <v>106</v>
      </c>
      <c r="AN96" s="11">
        <f>D96</f>
        <v>43769</v>
      </c>
      <c r="AO96" s="2">
        <f>SUM(E96:E97)</f>
        <v>3.55</v>
      </c>
      <c r="AP96" s="2">
        <f>SUM(F96:F97)</f>
        <v>0.32</v>
      </c>
      <c r="AQ96" s="2">
        <f>AO96-AP96</f>
        <v>3.23</v>
      </c>
      <c r="AR96" s="1">
        <f>AQ96/(2*$A$38)*$A$39</f>
        <v>3973.9173228346458</v>
      </c>
      <c r="AS96" s="1">
        <v>4434.17833274444</v>
      </c>
      <c r="AT96" s="11">
        <f>I96</f>
        <v>43787</v>
      </c>
      <c r="AU96" s="2">
        <f>SUM(J96:J97)</f>
        <v>1.8</v>
      </c>
      <c r="AV96" s="2">
        <f>SUM(K96:K97)</f>
        <v>5.0199999999999996</v>
      </c>
      <c r="AW96" s="7">
        <f>(AU96-2*$A$40)/AQ96</f>
        <v>0.38390092879256965</v>
      </c>
      <c r="AX96" s="7">
        <f>(AV96-2*$A$41)/AQ96</f>
        <v>0.51393188854489158</v>
      </c>
      <c r="AY96" s="7">
        <f>1-AW96-AX96</f>
        <v>0.10216718266253877</v>
      </c>
      <c r="AZ96" s="2">
        <f>SUM(O96:O97)</f>
        <v>88.69</v>
      </c>
      <c r="BA96" s="2">
        <f t="shared" ref="BA96" si="191">SUM(P96:P97)</f>
        <v>86.75</v>
      </c>
      <c r="BB96" s="2">
        <f t="shared" ref="BB96" si="192">SUM(Q96:Q97)</f>
        <v>231.57999999999998</v>
      </c>
      <c r="BC96" s="2">
        <f t="shared" ref="BC96" si="193">SUM(R96:R97)</f>
        <v>223.08999999999997</v>
      </c>
      <c r="BD96" s="2">
        <f>(AZ96-BA96)/AZ96*100</f>
        <v>2.187394294734466</v>
      </c>
      <c r="BE96" s="2">
        <f>(BB96-BC96)/BB96*100</f>
        <v>3.6661196994559155</v>
      </c>
      <c r="BF96" s="1">
        <f>AS96*AW96</f>
        <v>1702.2851803724784</v>
      </c>
      <c r="BG96" s="1">
        <f>AS96*AX96</f>
        <v>2278.8656446921887</v>
      </c>
      <c r="BH96" s="1">
        <f>BF96+BG96</f>
        <v>3981.1508250646671</v>
      </c>
      <c r="BI96" s="1">
        <f>BF96*(1-BD96/100)</f>
        <v>1665.0494914569006</v>
      </c>
      <c r="BJ96" s="1">
        <f>BG96*(1-BE96/100)</f>
        <v>2195.3197023679954</v>
      </c>
      <c r="BK96" s="1">
        <f>BI96+BJ96</f>
        <v>3860.3691938248958</v>
      </c>
      <c r="BL96" s="11" t="str">
        <f>AA96</f>
        <v>0991913464248</v>
      </c>
      <c r="BM96" s="11">
        <f>AB96</f>
        <v>43803</v>
      </c>
      <c r="BN96" s="1">
        <f>AVERAGE(AC96:AC97)</f>
        <v>46.3</v>
      </c>
      <c r="BO96" s="2">
        <f t="shared" ref="BO96" si="194">AVERAGE(AD96:AD97)</f>
        <v>1.05</v>
      </c>
      <c r="BP96" s="1">
        <f t="shared" ref="BP96" si="195">AVERAGE(AE96:AE97)</f>
        <v>80.349999999999994</v>
      </c>
      <c r="BQ96" s="1">
        <f t="shared" ref="BQ96" si="196">AVERAGE(AF96:AF97)</f>
        <v>27</v>
      </c>
      <c r="BR96" s="1">
        <f t="shared" ref="BR96" si="197">AVERAGE(AG96:AG97)</f>
        <v>8.4499999999999993</v>
      </c>
      <c r="BS96" s="1">
        <f t="shared" ref="BS96" si="198">AVERAGE(AH96:AH97)</f>
        <v>10.7</v>
      </c>
    </row>
    <row r="97" spans="1:71" x14ac:dyDescent="0.3">
      <c r="A97">
        <v>48</v>
      </c>
      <c r="B97" s="3" t="s">
        <v>244</v>
      </c>
      <c r="C97" s="3" t="s">
        <v>106</v>
      </c>
      <c r="D97" s="13">
        <v>43769</v>
      </c>
      <c r="E97" s="2">
        <v>2.1</v>
      </c>
      <c r="F97" s="2">
        <v>0.16</v>
      </c>
      <c r="G97" s="2">
        <f t="shared" si="2"/>
        <v>1.9400000000000002</v>
      </c>
      <c r="H97" s="4">
        <f t="shared" si="3"/>
        <v>4773.6220472440946</v>
      </c>
      <c r="I97" s="10">
        <v>43787</v>
      </c>
      <c r="J97" s="2">
        <v>1</v>
      </c>
      <c r="K97" s="2">
        <v>2.66</v>
      </c>
      <c r="L97" s="6">
        <f t="shared" si="4"/>
        <v>0.37113402061855666</v>
      </c>
      <c r="M97" s="6">
        <f t="shared" si="5"/>
        <v>0.50515463917525782</v>
      </c>
      <c r="N97" s="6">
        <f t="shared" si="6"/>
        <v>0.12371134020618546</v>
      </c>
      <c r="O97" s="2">
        <v>40.28</v>
      </c>
      <c r="P97" s="2">
        <v>39.4</v>
      </c>
      <c r="Q97" s="2">
        <v>117.95</v>
      </c>
      <c r="R97" s="2">
        <v>113.57</v>
      </c>
      <c r="S97" s="5">
        <f t="shared" si="7"/>
        <v>2.1847070506454878</v>
      </c>
      <c r="T97" s="5">
        <f t="shared" si="8"/>
        <v>3.7134378974141664</v>
      </c>
      <c r="U97" s="4">
        <f t="shared" si="9"/>
        <v>1771.6535433070865</v>
      </c>
      <c r="V97" s="4">
        <f t="shared" si="10"/>
        <v>2411.4173228346463</v>
      </c>
      <c r="W97" s="4">
        <f t="shared" si="11"/>
        <v>4183.0708661417329</v>
      </c>
      <c r="X97" s="4">
        <f t="shared" si="12"/>
        <v>1732.948103433446</v>
      </c>
      <c r="Y97" s="4">
        <f t="shared" si="13"/>
        <v>2321.8708381036945</v>
      </c>
      <c r="Z97" s="4">
        <f t="shared" si="14"/>
        <v>4054.8189415371407</v>
      </c>
      <c r="AA97" s="8" t="s">
        <v>186</v>
      </c>
      <c r="AB97" s="10">
        <v>43803</v>
      </c>
      <c r="AC97" s="4">
        <v>46.5</v>
      </c>
      <c r="AD97" s="5">
        <v>1.06</v>
      </c>
      <c r="AE97" s="4">
        <v>80.5</v>
      </c>
      <c r="AF97" s="4">
        <v>27.7</v>
      </c>
      <c r="AG97" s="4">
        <v>8.3000000000000007</v>
      </c>
      <c r="AH97" s="4">
        <v>10.7</v>
      </c>
      <c r="AI97" s="1">
        <v>1159.5899999999999</v>
      </c>
      <c r="AJ97" s="1">
        <v>3513.9090000000001</v>
      </c>
      <c r="AL97" s="14"/>
      <c r="AM97" s="1"/>
      <c r="AN97" s="1"/>
      <c r="AO97" s="1"/>
      <c r="AP97" s="1"/>
      <c r="AQ97" s="2"/>
      <c r="AR97" s="2"/>
      <c r="AS97" s="1"/>
      <c r="AT97" s="2"/>
      <c r="AU97" s="2"/>
      <c r="AV97" s="2"/>
      <c r="AW97" s="1"/>
      <c r="AX97" s="1"/>
      <c r="AY97" s="2"/>
      <c r="AZ97" s="2"/>
      <c r="BA97" s="2"/>
      <c r="BB97" s="7"/>
      <c r="BC97" s="7"/>
      <c r="BD97" s="7"/>
      <c r="BE97" s="1"/>
      <c r="BF97" s="1"/>
      <c r="BG97" s="1"/>
      <c r="BH97" s="1"/>
      <c r="BI97" s="1"/>
      <c r="BJ97" s="1"/>
      <c r="BL97" s="11"/>
      <c r="BM97" s="1"/>
      <c r="BN97" s="9"/>
      <c r="BO97" s="1"/>
      <c r="BP97" s="1"/>
      <c r="BQ97" s="1"/>
      <c r="BR97" s="1"/>
      <c r="BS97" s="1"/>
    </row>
    <row r="98" spans="1:71" x14ac:dyDescent="0.3">
      <c r="I98" s="1"/>
      <c r="R98" s="1"/>
      <c r="S98" s="1"/>
      <c r="T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S98" s="1"/>
    </row>
    <row r="99" spans="1:71" x14ac:dyDescent="0.3">
      <c r="I99" s="1"/>
      <c r="R99" s="1"/>
      <c r="S99" s="1"/>
      <c r="T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S99" s="1"/>
    </row>
    <row r="100" spans="1:71" x14ac:dyDescent="0.3">
      <c r="I100" s="1"/>
      <c r="R100" s="1"/>
      <c r="S100" s="1"/>
      <c r="T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S100" s="1"/>
    </row>
    <row r="101" spans="1:71" x14ac:dyDescent="0.3">
      <c r="I101" s="1"/>
      <c r="R101" s="1"/>
      <c r="S101" s="1"/>
      <c r="T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S101" s="1"/>
    </row>
    <row r="102" spans="1:71" x14ac:dyDescent="0.3">
      <c r="I102" s="1"/>
      <c r="R102" s="1"/>
      <c r="S102" s="1"/>
      <c r="T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S102" s="1"/>
    </row>
    <row r="103" spans="1:71" x14ac:dyDescent="0.3">
      <c r="I103" s="1"/>
      <c r="R103" s="1"/>
      <c r="S103" s="1"/>
      <c r="T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S103" s="1"/>
    </row>
    <row r="104" spans="1:71" x14ac:dyDescent="0.3">
      <c r="I104" s="1"/>
      <c r="R104" s="1"/>
      <c r="S104" s="1"/>
      <c r="T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S104" s="1"/>
    </row>
    <row r="105" spans="1:71" x14ac:dyDescent="0.3">
      <c r="I105" s="1"/>
      <c r="R105" s="1"/>
      <c r="S105" s="1"/>
      <c r="T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S105" s="1"/>
    </row>
    <row r="106" spans="1:71" x14ac:dyDescent="0.3">
      <c r="I106" s="1"/>
      <c r="R106" s="1"/>
      <c r="S106" s="1"/>
      <c r="T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S106" s="1"/>
    </row>
    <row r="107" spans="1:71" x14ac:dyDescent="0.3">
      <c r="I107" s="1"/>
      <c r="R107" s="1"/>
      <c r="S107" s="1"/>
      <c r="T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S107" s="1"/>
    </row>
    <row r="108" spans="1:71" x14ac:dyDescent="0.3">
      <c r="I108" s="1"/>
      <c r="R108" s="1"/>
      <c r="S108" s="1"/>
      <c r="T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S108" s="1"/>
    </row>
    <row r="109" spans="1:71" x14ac:dyDescent="0.3">
      <c r="I109" s="1"/>
      <c r="R109" s="1"/>
      <c r="S109" s="1"/>
      <c r="T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S109" s="1"/>
    </row>
    <row r="110" spans="1:71" x14ac:dyDescent="0.3">
      <c r="I110" s="1"/>
      <c r="R110" s="1"/>
      <c r="S110" s="1"/>
      <c r="T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S110" s="1"/>
    </row>
    <row r="111" spans="1:71" x14ac:dyDescent="0.3">
      <c r="I111" s="1"/>
      <c r="R111" s="1"/>
      <c r="S111" s="1"/>
      <c r="T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S111" s="1"/>
    </row>
    <row r="112" spans="1:71" x14ac:dyDescent="0.3">
      <c r="I112" s="1"/>
      <c r="R112" s="1"/>
      <c r="S112" s="1"/>
      <c r="T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S112" s="1"/>
    </row>
    <row r="113" spans="9:45" x14ac:dyDescent="0.3">
      <c r="I113" s="1"/>
      <c r="R113" s="1"/>
      <c r="S113" s="1"/>
      <c r="T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S113" s="1"/>
    </row>
    <row r="114" spans="9:45" x14ac:dyDescent="0.3">
      <c r="I114" s="1"/>
      <c r="R114" s="1"/>
      <c r="S114" s="1"/>
      <c r="T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S114" s="1"/>
    </row>
    <row r="115" spans="9:45" x14ac:dyDescent="0.3">
      <c r="I115" s="1"/>
      <c r="R115" s="1"/>
      <c r="S115" s="1"/>
      <c r="T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S115" s="1"/>
    </row>
    <row r="116" spans="9:45" x14ac:dyDescent="0.3">
      <c r="I116" s="1"/>
      <c r="R116" s="1"/>
      <c r="S116" s="1"/>
      <c r="T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S116" s="1"/>
    </row>
    <row r="117" spans="9:45" x14ac:dyDescent="0.3">
      <c r="I117" s="1"/>
      <c r="R117" s="1"/>
      <c r="S117" s="1"/>
      <c r="T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S117" s="1"/>
    </row>
    <row r="118" spans="9:45" x14ac:dyDescent="0.3">
      <c r="I118" s="1"/>
      <c r="R118" s="1"/>
      <c r="S118" s="1"/>
      <c r="T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S118" s="1"/>
    </row>
    <row r="119" spans="9:45" x14ac:dyDescent="0.3">
      <c r="I119" s="1"/>
      <c r="R119" s="1"/>
      <c r="S119" s="1"/>
      <c r="T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S119" s="1"/>
    </row>
    <row r="120" spans="9:45" x14ac:dyDescent="0.3">
      <c r="I120" s="1"/>
      <c r="R120" s="1"/>
      <c r="S120" s="1"/>
      <c r="T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S120" s="2"/>
    </row>
    <row r="121" spans="9:45" x14ac:dyDescent="0.3">
      <c r="I121" s="1"/>
      <c r="R121" s="1"/>
      <c r="S121" s="1"/>
      <c r="T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9:45" x14ac:dyDescent="0.3">
      <c r="I122" s="1"/>
      <c r="R122" s="1"/>
      <c r="S122" s="1"/>
      <c r="T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9:45" x14ac:dyDescent="0.3">
      <c r="I123" s="1"/>
      <c r="R123" s="1"/>
      <c r="S123" s="1"/>
      <c r="T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9:45" x14ac:dyDescent="0.3">
      <c r="I124" s="1"/>
      <c r="R124" s="1"/>
      <c r="S124" s="1"/>
      <c r="T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9:45" x14ac:dyDescent="0.3">
      <c r="I125" s="1"/>
      <c r="R125" s="1"/>
      <c r="S125" s="1"/>
      <c r="T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9:45" x14ac:dyDescent="0.3">
      <c r="I126" s="1"/>
      <c r="R126" s="1"/>
      <c r="S126" s="1"/>
      <c r="T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9:45" x14ac:dyDescent="0.3">
      <c r="I127" s="1"/>
      <c r="R127" s="1"/>
      <c r="S127" s="1"/>
      <c r="T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9:45" x14ac:dyDescent="0.3">
      <c r="I128" s="1"/>
      <c r="R128" s="1"/>
      <c r="S128" s="1"/>
      <c r="T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9:39" x14ac:dyDescent="0.3">
      <c r="I129" s="1"/>
      <c r="R129" s="1"/>
      <c r="S129" s="1"/>
      <c r="T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9:39" x14ac:dyDescent="0.3">
      <c r="I130" s="1"/>
      <c r="R130" s="1"/>
      <c r="S130" s="1"/>
      <c r="T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9:39" x14ac:dyDescent="0.3">
      <c r="I131" s="1"/>
      <c r="R131" s="1"/>
      <c r="S131" s="1"/>
      <c r="T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9:39" x14ac:dyDescent="0.3">
      <c r="I132" s="1"/>
      <c r="R132" s="1"/>
      <c r="S132" s="1"/>
      <c r="T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9:39" x14ac:dyDescent="0.3">
      <c r="I133" s="1"/>
      <c r="R133" s="1"/>
      <c r="S133" s="1"/>
      <c r="T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9:39" x14ac:dyDescent="0.3">
      <c r="I134" s="1"/>
      <c r="R134" s="1"/>
      <c r="S134" s="1"/>
      <c r="T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9:39" x14ac:dyDescent="0.3">
      <c r="I135" s="1"/>
      <c r="R135" s="1"/>
      <c r="S135" s="1"/>
      <c r="T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9:39" x14ac:dyDescent="0.3">
      <c r="I136" s="1"/>
      <c r="R136" s="1"/>
      <c r="S136" s="1"/>
      <c r="T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9:39" x14ac:dyDescent="0.3">
      <c r="I137" s="1"/>
      <c r="R137" s="1"/>
      <c r="S137" s="1"/>
      <c r="T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9:39" x14ac:dyDescent="0.3">
      <c r="I138" s="1"/>
      <c r="R138" s="1"/>
      <c r="S138" s="1"/>
      <c r="T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9:39" x14ac:dyDescent="0.3">
      <c r="I139" s="1"/>
      <c r="R139" s="1"/>
      <c r="S139" s="1"/>
      <c r="T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9:39" x14ac:dyDescent="0.3">
      <c r="I140" s="1"/>
      <c r="R140" s="1"/>
      <c r="S140" s="1"/>
      <c r="T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9:39" x14ac:dyDescent="0.3">
      <c r="I141" s="1"/>
      <c r="R141" s="1"/>
      <c r="S141" s="1"/>
      <c r="T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9:39" x14ac:dyDescent="0.3">
      <c r="I142" s="1"/>
      <c r="R142" s="1"/>
      <c r="S142" s="1"/>
      <c r="T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9:39" x14ac:dyDescent="0.3">
      <c r="I143" s="1"/>
      <c r="R143" s="1"/>
      <c r="S143" s="1"/>
      <c r="T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9:39" x14ac:dyDescent="0.3">
      <c r="I144" s="1"/>
      <c r="R144" s="1"/>
      <c r="S144" s="1"/>
      <c r="T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9:39" x14ac:dyDescent="0.3">
      <c r="I145" s="1"/>
      <c r="R145" s="1"/>
      <c r="S145" s="1"/>
      <c r="T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9:39" x14ac:dyDescent="0.3">
      <c r="I146" s="1"/>
      <c r="R146" s="1"/>
      <c r="S146" s="1"/>
      <c r="T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9:39" x14ac:dyDescent="0.3">
      <c r="I147" s="1"/>
      <c r="R147" s="1"/>
      <c r="S147" s="1"/>
      <c r="T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9:39" x14ac:dyDescent="0.3">
      <c r="I148" s="1"/>
      <c r="R148" s="1"/>
      <c r="S148" s="1"/>
      <c r="T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9:39" x14ac:dyDescent="0.3">
      <c r="I149" s="1"/>
      <c r="R149" s="1"/>
      <c r="S149" s="1"/>
      <c r="T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9:39" x14ac:dyDescent="0.3">
      <c r="I150" s="1"/>
      <c r="R150" s="1"/>
      <c r="S150" s="1"/>
      <c r="T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9:39" x14ac:dyDescent="0.3">
      <c r="I151" s="1"/>
      <c r="R151" s="1"/>
      <c r="S151" s="1"/>
      <c r="T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9:39" x14ac:dyDescent="0.3">
      <c r="I152" s="1"/>
      <c r="R152" s="1"/>
      <c r="S152" s="1"/>
      <c r="T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9:39" x14ac:dyDescent="0.3">
      <c r="I153" s="1"/>
      <c r="R153" s="1"/>
      <c r="S153" s="1"/>
      <c r="T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9:39" x14ac:dyDescent="0.3">
      <c r="I154" s="1"/>
      <c r="R154" s="1"/>
      <c r="S154" s="1"/>
      <c r="T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9:39" x14ac:dyDescent="0.3">
      <c r="I155" s="1"/>
      <c r="R155" s="1"/>
      <c r="S155" s="1"/>
      <c r="T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9:39" x14ac:dyDescent="0.3">
      <c r="I156" s="1"/>
      <c r="R156" s="1"/>
      <c r="S156" s="1"/>
      <c r="T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9:39" x14ac:dyDescent="0.3">
      <c r="I157" s="1"/>
      <c r="R157" s="1"/>
      <c r="S157" s="1"/>
      <c r="T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9:39" x14ac:dyDescent="0.3">
      <c r="I158" s="1"/>
      <c r="R158" s="1"/>
      <c r="S158" s="1"/>
      <c r="T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9:39" x14ac:dyDescent="0.3">
      <c r="I159" s="1"/>
      <c r="R159" s="1"/>
      <c r="S159" s="1"/>
      <c r="T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9:39" x14ac:dyDescent="0.3">
      <c r="I160" s="1"/>
      <c r="R160" s="1"/>
      <c r="S160" s="1"/>
      <c r="T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9:39" x14ac:dyDescent="0.3">
      <c r="I161" s="1"/>
      <c r="R161" s="1"/>
      <c r="S161" s="1"/>
      <c r="T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9:39" x14ac:dyDescent="0.3">
      <c r="I162" s="1"/>
      <c r="R162" s="1"/>
      <c r="S162" s="1"/>
      <c r="T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9:39" x14ac:dyDescent="0.3">
      <c r="I163" s="1"/>
      <c r="R163" s="1"/>
      <c r="S163" s="1"/>
      <c r="T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9:39" x14ac:dyDescent="0.3">
      <c r="I164" s="1"/>
      <c r="R164" s="1"/>
      <c r="S164" s="1"/>
      <c r="T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9:39" x14ac:dyDescent="0.3">
      <c r="I165" s="1"/>
      <c r="R165" s="1"/>
      <c r="S165" s="1"/>
      <c r="T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9:39" x14ac:dyDescent="0.3">
      <c r="I166" s="1"/>
      <c r="R166" s="1"/>
      <c r="S166" s="1"/>
      <c r="T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9:39" x14ac:dyDescent="0.3">
      <c r="I167" s="1"/>
      <c r="R167" s="1"/>
      <c r="S167" s="1"/>
      <c r="T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9:39" x14ac:dyDescent="0.3">
      <c r="I168" s="1"/>
      <c r="R168" s="1"/>
      <c r="S168" s="1"/>
      <c r="T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9:39" x14ac:dyDescent="0.3">
      <c r="I169" s="1"/>
      <c r="R169" s="1"/>
      <c r="S169" s="1"/>
      <c r="T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9:39" x14ac:dyDescent="0.3">
      <c r="I170" s="1"/>
      <c r="R170" s="1"/>
      <c r="S170" s="1"/>
      <c r="T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9:39" x14ac:dyDescent="0.3">
      <c r="I171" s="1"/>
      <c r="R171" s="1"/>
      <c r="S171" s="1"/>
      <c r="T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9:39" x14ac:dyDescent="0.3">
      <c r="I172" s="1"/>
      <c r="R172" s="1"/>
      <c r="S172" s="1"/>
      <c r="T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9:39" x14ac:dyDescent="0.3">
      <c r="I173" s="1"/>
      <c r="R173" s="1"/>
      <c r="S173" s="1"/>
      <c r="T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9:39" x14ac:dyDescent="0.3">
      <c r="I174" s="1"/>
      <c r="R174" s="1"/>
      <c r="S174" s="1"/>
      <c r="T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9:39" x14ac:dyDescent="0.3">
      <c r="I175" s="1"/>
      <c r="R175" s="1"/>
      <c r="S175" s="1"/>
      <c r="T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9:39" x14ac:dyDescent="0.3">
      <c r="I176" s="1"/>
      <c r="R176" s="1"/>
      <c r="S176" s="1"/>
      <c r="T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9:39" x14ac:dyDescent="0.3">
      <c r="I177" s="1"/>
      <c r="R177" s="1"/>
      <c r="S177" s="1"/>
      <c r="T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9:39" x14ac:dyDescent="0.3">
      <c r="I178" s="1"/>
      <c r="R178" s="1"/>
      <c r="S178" s="1"/>
      <c r="T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9:39" x14ac:dyDescent="0.3">
      <c r="I179" s="1"/>
      <c r="R179" s="1"/>
      <c r="S179" s="1"/>
      <c r="T179" s="1"/>
    </row>
    <row r="180" spans="9:39" x14ac:dyDescent="0.3">
      <c r="I180" s="1"/>
      <c r="R180" s="1"/>
      <c r="S180" s="1"/>
      <c r="T180" s="1"/>
    </row>
    <row r="181" spans="9:39" x14ac:dyDescent="0.3">
      <c r="I181" s="1"/>
      <c r="R181" s="1"/>
      <c r="S181" s="1"/>
      <c r="T181" s="1"/>
    </row>
    <row r="182" spans="9:39" x14ac:dyDescent="0.3">
      <c r="I182" s="1"/>
      <c r="R182" s="1"/>
      <c r="S182" s="1"/>
      <c r="T182" s="1"/>
    </row>
    <row r="183" spans="9:39" x14ac:dyDescent="0.3">
      <c r="I183" s="1"/>
      <c r="R183" s="1"/>
      <c r="S183" s="1"/>
      <c r="T183" s="1"/>
    </row>
    <row r="184" spans="9:39" x14ac:dyDescent="0.3">
      <c r="I184" s="1"/>
      <c r="R184" s="1"/>
      <c r="S184" s="1"/>
      <c r="T184" s="1"/>
    </row>
    <row r="185" spans="9:39" x14ac:dyDescent="0.3">
      <c r="I185" s="1"/>
      <c r="R185" s="1"/>
      <c r="S185" s="1"/>
      <c r="T185" s="1"/>
    </row>
    <row r="186" spans="9:39" x14ac:dyDescent="0.3">
      <c r="I186" s="1"/>
      <c r="R186" s="1"/>
      <c r="S186" s="1"/>
      <c r="T186" s="1"/>
    </row>
    <row r="187" spans="9:39" x14ac:dyDescent="0.3">
      <c r="I187" s="1"/>
      <c r="R187" s="1"/>
      <c r="S187" s="1"/>
      <c r="T187" s="1"/>
    </row>
    <row r="188" spans="9:39" x14ac:dyDescent="0.3">
      <c r="I188" s="1"/>
      <c r="R188" s="1"/>
      <c r="S188" s="1"/>
      <c r="T188" s="1"/>
    </row>
    <row r="189" spans="9:39" x14ac:dyDescent="0.3">
      <c r="I189" s="1"/>
      <c r="R189" s="1"/>
      <c r="S189" s="1"/>
      <c r="T189" s="1"/>
    </row>
    <row r="190" spans="9:39" x14ac:dyDescent="0.3">
      <c r="I190" s="1"/>
      <c r="R190" s="1"/>
      <c r="S190" s="1"/>
      <c r="T190" s="1"/>
    </row>
    <row r="191" spans="9:39" x14ac:dyDescent="0.3">
      <c r="I191" s="1"/>
      <c r="R191" s="1"/>
      <c r="S191" s="1"/>
      <c r="T191" s="1"/>
    </row>
    <row r="192" spans="9:39" x14ac:dyDescent="0.3">
      <c r="I192" s="1"/>
      <c r="R192" s="1"/>
      <c r="S192" s="1"/>
      <c r="T192" s="1"/>
    </row>
    <row r="193" spans="9:20" x14ac:dyDescent="0.3">
      <c r="I193" s="1"/>
      <c r="R193" s="1"/>
      <c r="S193" s="1"/>
      <c r="T193" s="1"/>
    </row>
    <row r="194" spans="9:20" x14ac:dyDescent="0.3">
      <c r="I194" s="1"/>
      <c r="R194" s="1"/>
      <c r="S194" s="1"/>
      <c r="T194" s="1"/>
    </row>
    <row r="195" spans="9:20" x14ac:dyDescent="0.3">
      <c r="I195" s="1"/>
      <c r="R195" s="1"/>
      <c r="S195" s="1"/>
      <c r="T195" s="1"/>
    </row>
    <row r="196" spans="9:20" x14ac:dyDescent="0.3">
      <c r="I196" s="1"/>
      <c r="R196" s="1"/>
      <c r="S196" s="1"/>
      <c r="T196" s="1"/>
    </row>
    <row r="197" spans="9:20" x14ac:dyDescent="0.3">
      <c r="I197" s="1"/>
      <c r="R197" s="1"/>
      <c r="S197" s="1"/>
      <c r="T197" s="1"/>
    </row>
    <row r="198" spans="9:20" x14ac:dyDescent="0.3">
      <c r="I198" s="1"/>
      <c r="R198" s="1"/>
      <c r="S198" s="1"/>
      <c r="T198" s="1"/>
    </row>
    <row r="199" spans="9:20" x14ac:dyDescent="0.3">
      <c r="I199" s="1"/>
      <c r="R199" s="1"/>
      <c r="S199" s="1"/>
      <c r="T199" s="1"/>
    </row>
    <row r="200" spans="9:20" x14ac:dyDescent="0.3">
      <c r="I200" s="1"/>
      <c r="R200" s="1"/>
      <c r="S200" s="1"/>
      <c r="T200" s="1"/>
    </row>
    <row r="201" spans="9:20" x14ac:dyDescent="0.3">
      <c r="I201" s="1"/>
      <c r="R201" s="1"/>
      <c r="S201" s="1"/>
      <c r="T201" s="1"/>
    </row>
    <row r="202" spans="9:20" x14ac:dyDescent="0.3">
      <c r="I202" s="1"/>
      <c r="R202" s="1"/>
      <c r="S202" s="1"/>
      <c r="T202" s="1"/>
    </row>
    <row r="203" spans="9:20" x14ac:dyDescent="0.3">
      <c r="I203" s="1"/>
      <c r="R203" s="1"/>
      <c r="S203" s="1"/>
      <c r="T203" s="1"/>
    </row>
    <row r="204" spans="9:20" x14ac:dyDescent="0.3">
      <c r="I204" s="1"/>
      <c r="R204" s="1"/>
      <c r="S204" s="1"/>
      <c r="T204" s="1"/>
    </row>
    <row r="205" spans="9:20" x14ac:dyDescent="0.3">
      <c r="I205" s="1"/>
      <c r="R205" s="1"/>
      <c r="S205" s="1"/>
      <c r="T205" s="1"/>
    </row>
    <row r="206" spans="9:20" x14ac:dyDescent="0.3">
      <c r="I206" s="1"/>
      <c r="R206" s="1"/>
      <c r="S206" s="1"/>
      <c r="T206" s="1"/>
    </row>
    <row r="207" spans="9:20" x14ac:dyDescent="0.3">
      <c r="I207" s="1"/>
      <c r="R207" s="1"/>
      <c r="S207" s="1"/>
      <c r="T207" s="1"/>
    </row>
    <row r="208" spans="9:20" x14ac:dyDescent="0.3">
      <c r="I208" s="1"/>
      <c r="R208" s="1"/>
      <c r="S208" s="1"/>
      <c r="T208" s="1"/>
    </row>
    <row r="209" spans="9:20" x14ac:dyDescent="0.3">
      <c r="I209" s="1"/>
      <c r="R209" s="1"/>
      <c r="S209" s="1"/>
      <c r="T209" s="1"/>
    </row>
    <row r="210" spans="9:20" x14ac:dyDescent="0.3">
      <c r="I210" s="1"/>
      <c r="R210" s="1"/>
      <c r="S210" s="1"/>
      <c r="T210" s="1"/>
    </row>
    <row r="211" spans="9:20" x14ac:dyDescent="0.3">
      <c r="I211" s="1"/>
      <c r="R211" s="1"/>
      <c r="S211" s="1"/>
      <c r="T211" s="1"/>
    </row>
    <row r="212" spans="9:20" x14ac:dyDescent="0.3">
      <c r="I212" s="1"/>
      <c r="R212" s="1"/>
      <c r="S212" s="1"/>
      <c r="T212" s="1"/>
    </row>
    <row r="213" spans="9:20" x14ac:dyDescent="0.3">
      <c r="I213" s="1"/>
      <c r="R213" s="1"/>
      <c r="S213" s="1"/>
      <c r="T213" s="1"/>
    </row>
    <row r="214" spans="9:20" x14ac:dyDescent="0.3">
      <c r="I214" s="1"/>
      <c r="R214" s="1"/>
      <c r="S214" s="1"/>
      <c r="T214" s="1"/>
    </row>
    <row r="215" spans="9:20" x14ac:dyDescent="0.3">
      <c r="I215" s="1"/>
      <c r="R215" s="1"/>
      <c r="S215" s="1"/>
      <c r="T215" s="1"/>
    </row>
    <row r="216" spans="9:20" x14ac:dyDescent="0.3">
      <c r="I216" s="1"/>
      <c r="R216" s="1"/>
      <c r="S216" s="1"/>
      <c r="T216" s="1"/>
    </row>
    <row r="217" spans="9:20" x14ac:dyDescent="0.3">
      <c r="I217" s="1"/>
      <c r="R217" s="1"/>
      <c r="S217" s="1"/>
      <c r="T217" s="1"/>
    </row>
    <row r="218" spans="9:20" x14ac:dyDescent="0.3">
      <c r="I218" s="1"/>
      <c r="R218" s="1"/>
      <c r="S218" s="1"/>
      <c r="T218" s="1"/>
    </row>
    <row r="219" spans="9:20" x14ac:dyDescent="0.3">
      <c r="I219" s="1"/>
      <c r="R219" s="1"/>
      <c r="S219" s="1"/>
      <c r="T219" s="1"/>
    </row>
    <row r="220" spans="9:20" x14ac:dyDescent="0.3">
      <c r="I220" s="1"/>
      <c r="R220" s="1"/>
      <c r="S220" s="1"/>
      <c r="T220" s="1"/>
    </row>
    <row r="221" spans="9:20" x14ac:dyDescent="0.3">
      <c r="I221" s="1"/>
      <c r="R221" s="1"/>
      <c r="S221" s="1"/>
      <c r="T221" s="1"/>
    </row>
    <row r="222" spans="9:20" x14ac:dyDescent="0.3">
      <c r="I222" s="1"/>
      <c r="R222" s="1"/>
      <c r="S222" s="1"/>
      <c r="T222" s="1"/>
    </row>
    <row r="223" spans="9:20" x14ac:dyDescent="0.3">
      <c r="I223" s="1"/>
      <c r="R223" s="1"/>
      <c r="S223" s="1"/>
      <c r="T223" s="1"/>
    </row>
    <row r="224" spans="9:20" x14ac:dyDescent="0.3">
      <c r="I224" s="1"/>
      <c r="R224" s="1"/>
      <c r="S224" s="1"/>
      <c r="T224" s="1"/>
    </row>
    <row r="225" spans="9:20" x14ac:dyDescent="0.3">
      <c r="I225" s="1"/>
      <c r="R225" s="1"/>
      <c r="S225" s="1"/>
      <c r="T225" s="1"/>
    </row>
    <row r="226" spans="9:20" x14ac:dyDescent="0.3">
      <c r="I226" s="1"/>
      <c r="R226" s="1"/>
      <c r="S226" s="1"/>
      <c r="T226" s="1"/>
    </row>
    <row r="227" spans="9:20" x14ac:dyDescent="0.3">
      <c r="I227" s="1"/>
      <c r="R227" s="1"/>
      <c r="S227" s="1"/>
      <c r="T227" s="1"/>
    </row>
    <row r="228" spans="9:20" x14ac:dyDescent="0.3">
      <c r="I228" s="1"/>
      <c r="R228" s="1"/>
      <c r="S228" s="1"/>
      <c r="T228" s="1"/>
    </row>
    <row r="229" spans="9:20" x14ac:dyDescent="0.3">
      <c r="I229" s="1"/>
      <c r="R229" s="1"/>
      <c r="S229" s="1"/>
      <c r="T229" s="1"/>
    </row>
    <row r="230" spans="9:20" x14ac:dyDescent="0.3">
      <c r="I230" s="1"/>
      <c r="R230" s="1"/>
      <c r="S230" s="1"/>
      <c r="T230" s="1"/>
    </row>
    <row r="231" spans="9:20" x14ac:dyDescent="0.3">
      <c r="I231" s="1"/>
      <c r="R231" s="1"/>
      <c r="S231" s="1"/>
      <c r="T231" s="1"/>
    </row>
    <row r="232" spans="9:20" x14ac:dyDescent="0.3">
      <c r="I232" s="1"/>
      <c r="R232" s="1"/>
      <c r="S232" s="1"/>
      <c r="T232" s="1"/>
    </row>
    <row r="233" spans="9:20" x14ac:dyDescent="0.3">
      <c r="I233" s="1"/>
      <c r="R233" s="1"/>
      <c r="S233" s="1"/>
      <c r="T233" s="1"/>
    </row>
    <row r="234" spans="9:20" x14ac:dyDescent="0.3">
      <c r="I234" s="1"/>
      <c r="R234" s="1"/>
      <c r="S234" s="1"/>
      <c r="T234" s="1"/>
    </row>
    <row r="235" spans="9:20" x14ac:dyDescent="0.3">
      <c r="I235" s="1"/>
      <c r="R235" s="1"/>
      <c r="S235" s="1"/>
      <c r="T235" s="1"/>
    </row>
    <row r="236" spans="9:20" x14ac:dyDescent="0.3">
      <c r="I236" s="1"/>
      <c r="R236" s="1"/>
      <c r="S236" s="1"/>
      <c r="T236" s="1"/>
    </row>
    <row r="237" spans="9:20" x14ac:dyDescent="0.3">
      <c r="I237" s="1"/>
      <c r="R237" s="1"/>
      <c r="S237" s="1"/>
      <c r="T237" s="1"/>
    </row>
    <row r="238" spans="9:20" x14ac:dyDescent="0.3">
      <c r="I238" s="1"/>
      <c r="R238" s="1"/>
      <c r="S238" s="1"/>
      <c r="T238" s="1"/>
    </row>
    <row r="239" spans="9:20" x14ac:dyDescent="0.3">
      <c r="I239" s="1"/>
      <c r="R239" s="1"/>
      <c r="S239" s="1"/>
      <c r="T239" s="1"/>
    </row>
    <row r="240" spans="9:20" x14ac:dyDescent="0.3">
      <c r="I240" s="1"/>
      <c r="R240" s="1"/>
      <c r="S240" s="1"/>
      <c r="T240" s="1"/>
    </row>
    <row r="241" spans="9:20" x14ac:dyDescent="0.3">
      <c r="I241" s="1"/>
      <c r="R241" s="1"/>
      <c r="S241" s="1"/>
      <c r="T241" s="1"/>
    </row>
    <row r="242" spans="9:20" x14ac:dyDescent="0.3">
      <c r="I242" s="1"/>
      <c r="R242" s="1"/>
      <c r="S242" s="1"/>
      <c r="T242" s="1"/>
    </row>
    <row r="243" spans="9:20" x14ac:dyDescent="0.3">
      <c r="I243" s="1"/>
      <c r="R243" s="1"/>
      <c r="S243" s="1"/>
      <c r="T243" s="1"/>
    </row>
    <row r="244" spans="9:20" x14ac:dyDescent="0.3">
      <c r="I244" s="1"/>
      <c r="R244" s="1"/>
      <c r="S244" s="1"/>
      <c r="T244" s="1"/>
    </row>
    <row r="245" spans="9:20" x14ac:dyDescent="0.3">
      <c r="I245" s="1"/>
      <c r="R245" s="1"/>
      <c r="S245" s="1"/>
      <c r="T245" s="1"/>
    </row>
    <row r="246" spans="9:20" x14ac:dyDescent="0.3">
      <c r="I246" s="1"/>
      <c r="R246" s="1"/>
      <c r="S246" s="1"/>
      <c r="T246" s="1"/>
    </row>
    <row r="247" spans="9:20" x14ac:dyDescent="0.3">
      <c r="I247" s="1"/>
      <c r="R247" s="1"/>
      <c r="S247" s="1"/>
      <c r="T247" s="1"/>
    </row>
    <row r="248" spans="9:20" x14ac:dyDescent="0.3">
      <c r="I248" s="1"/>
      <c r="R248" s="1"/>
      <c r="S248" s="1"/>
      <c r="T248" s="1"/>
    </row>
    <row r="249" spans="9:20" x14ac:dyDescent="0.3">
      <c r="I249" s="1"/>
      <c r="R249" s="1"/>
      <c r="S249" s="1"/>
      <c r="T249" s="1"/>
    </row>
    <row r="250" spans="9:20" x14ac:dyDescent="0.3">
      <c r="I250" s="1"/>
      <c r="R250" s="1"/>
      <c r="S250" s="1"/>
      <c r="T250" s="1"/>
    </row>
    <row r="251" spans="9:20" x14ac:dyDescent="0.3">
      <c r="I251" s="1"/>
      <c r="R251" s="1"/>
      <c r="S251" s="1"/>
      <c r="T251" s="1"/>
    </row>
    <row r="252" spans="9:20" x14ac:dyDescent="0.3">
      <c r="I252" s="1"/>
      <c r="R252" s="1"/>
      <c r="S252" s="1"/>
      <c r="T252" s="1"/>
    </row>
    <row r="253" spans="9:20" x14ac:dyDescent="0.3">
      <c r="I253" s="1"/>
      <c r="R253" s="1"/>
      <c r="S253" s="1"/>
      <c r="T253" s="1"/>
    </row>
    <row r="254" spans="9:20" x14ac:dyDescent="0.3">
      <c r="I254" s="1"/>
      <c r="R254" s="1"/>
      <c r="S254" s="1"/>
      <c r="T254" s="1"/>
    </row>
    <row r="255" spans="9:20" x14ac:dyDescent="0.3">
      <c r="I255" s="1"/>
      <c r="R255" s="1"/>
      <c r="S255" s="1"/>
      <c r="T255" s="1"/>
    </row>
    <row r="256" spans="9:20" x14ac:dyDescent="0.3">
      <c r="I256" s="1"/>
      <c r="R256" s="1"/>
      <c r="S256" s="1"/>
      <c r="T256" s="1"/>
    </row>
    <row r="257" spans="9:20" x14ac:dyDescent="0.3">
      <c r="I257" s="1"/>
      <c r="R257" s="1"/>
      <c r="S257" s="1"/>
      <c r="T257" s="1"/>
    </row>
    <row r="258" spans="9:20" x14ac:dyDescent="0.3">
      <c r="I258" s="1"/>
      <c r="R258" s="1"/>
      <c r="S258" s="1"/>
      <c r="T258" s="1"/>
    </row>
    <row r="259" spans="9:20" x14ac:dyDescent="0.3">
      <c r="I259" s="1"/>
      <c r="R259" s="1"/>
      <c r="S259" s="1"/>
      <c r="T259" s="1"/>
    </row>
    <row r="260" spans="9:20" x14ac:dyDescent="0.3">
      <c r="I260" s="1"/>
      <c r="R260" s="1"/>
      <c r="S260" s="1"/>
      <c r="T260" s="1"/>
    </row>
    <row r="261" spans="9:20" x14ac:dyDescent="0.3">
      <c r="I261" s="1"/>
      <c r="R261" s="1"/>
      <c r="S261" s="1"/>
      <c r="T261" s="1"/>
    </row>
    <row r="262" spans="9:20" x14ac:dyDescent="0.3">
      <c r="I262" s="1"/>
      <c r="R262" s="1"/>
      <c r="S262" s="1"/>
      <c r="T262" s="1"/>
    </row>
    <row r="263" spans="9:20" x14ac:dyDescent="0.3">
      <c r="I263" s="1"/>
      <c r="R263" s="1"/>
      <c r="S263" s="1"/>
      <c r="T263" s="1"/>
    </row>
    <row r="264" spans="9:20" x14ac:dyDescent="0.3">
      <c r="I264" s="1"/>
      <c r="R264" s="1"/>
      <c r="S264" s="1"/>
      <c r="T264" s="1"/>
    </row>
    <row r="265" spans="9:20" x14ac:dyDescent="0.3">
      <c r="I265" s="1"/>
      <c r="R265" s="1"/>
      <c r="S265" s="1"/>
      <c r="T265" s="1"/>
    </row>
    <row r="266" spans="9:20" x14ac:dyDescent="0.3">
      <c r="I266" s="1"/>
      <c r="R266" s="1"/>
      <c r="S266" s="1"/>
      <c r="T266" s="1"/>
    </row>
    <row r="267" spans="9:20" x14ac:dyDescent="0.3">
      <c r="I267" s="1"/>
      <c r="R267" s="1"/>
      <c r="S267" s="1"/>
      <c r="T267" s="1"/>
    </row>
    <row r="268" spans="9:20" x14ac:dyDescent="0.3">
      <c r="I268" s="1"/>
      <c r="S268" s="1"/>
      <c r="T268" s="1"/>
    </row>
  </sheetData>
  <phoneticPr fontId="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1F583-0366-4ED1-9AC2-0A82013D050A}">
  <dimension ref="A1:I582"/>
  <sheetViews>
    <sheetView workbookViewId="0"/>
  </sheetViews>
  <sheetFormatPr defaultRowHeight="14.4" x14ac:dyDescent="0.3"/>
  <sheetData>
    <row r="1" spans="1:9" x14ac:dyDescent="0.3">
      <c r="A1" s="3"/>
      <c r="B1" t="s">
        <v>0</v>
      </c>
      <c r="C1" t="s">
        <v>0</v>
      </c>
      <c r="D1" s="3" t="s">
        <v>0</v>
      </c>
    </row>
    <row r="2" spans="1:9" x14ac:dyDescent="0.3">
      <c r="A2" s="3"/>
      <c r="B2" t="s">
        <v>822</v>
      </c>
      <c r="C2" t="s">
        <v>822</v>
      </c>
      <c r="D2" s="3" t="s">
        <v>826</v>
      </c>
    </row>
    <row r="3" spans="1:9" x14ac:dyDescent="0.3">
      <c r="A3" s="3"/>
      <c r="B3" t="s">
        <v>823</v>
      </c>
      <c r="C3" t="s">
        <v>823</v>
      </c>
      <c r="D3" s="3" t="s">
        <v>823</v>
      </c>
      <c r="H3" t="s">
        <v>828</v>
      </c>
      <c r="I3" t="s">
        <v>828</v>
      </c>
    </row>
    <row r="4" spans="1:9" x14ac:dyDescent="0.3">
      <c r="A4" s="3"/>
      <c r="B4" t="s">
        <v>120</v>
      </c>
      <c r="C4" t="s">
        <v>824</v>
      </c>
      <c r="D4" s="3" t="s">
        <v>824</v>
      </c>
      <c r="H4" t="s">
        <v>827</v>
      </c>
      <c r="I4" t="s">
        <v>822</v>
      </c>
    </row>
    <row r="5" spans="1:9" x14ac:dyDescent="0.3">
      <c r="A5" s="3"/>
      <c r="B5" s="2" t="s">
        <v>6</v>
      </c>
      <c r="C5" s="2" t="s">
        <v>6</v>
      </c>
      <c r="D5" s="3" t="s">
        <v>6</v>
      </c>
      <c r="F5" t="s">
        <v>33</v>
      </c>
    </row>
    <row r="6" spans="1:9" x14ac:dyDescent="0.3">
      <c r="A6" s="3" t="s">
        <v>825</v>
      </c>
      <c r="D6" s="3" t="s">
        <v>5</v>
      </c>
      <c r="F6" t="s">
        <v>5</v>
      </c>
    </row>
    <row r="7" spans="1:9" x14ac:dyDescent="0.3">
      <c r="A7" s="12" t="s">
        <v>774</v>
      </c>
      <c r="B7" s="1">
        <v>1189.89209090909</v>
      </c>
      <c r="C7" s="1">
        <v>3605.7333636363601</v>
      </c>
      <c r="D7" s="4">
        <f>0.7726*C7+2098.7</f>
        <v>4884.4895967454513</v>
      </c>
      <c r="F7" s="1">
        <f>AVERAGE(D7:D30)</f>
        <v>5261.539287866638</v>
      </c>
      <c r="H7" s="1">
        <v>5364.1732283464562</v>
      </c>
      <c r="I7" s="1">
        <v>5261.539287866638</v>
      </c>
    </row>
    <row r="8" spans="1:9" x14ac:dyDescent="0.3">
      <c r="A8" s="12" t="s">
        <v>775</v>
      </c>
      <c r="B8" s="1">
        <v>1382.184125</v>
      </c>
      <c r="C8" s="1">
        <v>4188.4366250000003</v>
      </c>
      <c r="D8" s="4">
        <f t="shared" ref="D8:D71" si="0">0.7726*C8+2098.7</f>
        <v>5334.6861364750002</v>
      </c>
      <c r="H8" s="1">
        <v>5782.4803149606287</v>
      </c>
      <c r="I8" s="1">
        <v>5617.2557335750453</v>
      </c>
    </row>
    <row r="9" spans="1:9" x14ac:dyDescent="0.3">
      <c r="A9" s="12" t="s">
        <v>776</v>
      </c>
      <c r="B9" s="1">
        <v>975.07985714285701</v>
      </c>
      <c r="C9" s="1">
        <v>2954.7875714285701</v>
      </c>
      <c r="D9" s="4">
        <f t="shared" si="0"/>
        <v>4381.5688776857132</v>
      </c>
      <c r="H9" s="1">
        <v>4269.1929133858266</v>
      </c>
      <c r="I9" s="1">
        <v>5245.2145114970936</v>
      </c>
    </row>
    <row r="10" spans="1:9" x14ac:dyDescent="0.3">
      <c r="A10" s="12" t="s">
        <v>777</v>
      </c>
      <c r="B10" s="1">
        <v>1157.7794545454501</v>
      </c>
      <c r="C10" s="1">
        <v>3508.4228181818098</v>
      </c>
      <c r="D10" s="4">
        <f t="shared" si="0"/>
        <v>4809.3074693272665</v>
      </c>
      <c r="H10" s="1">
        <v>5720.9645669291331</v>
      </c>
      <c r="I10" s="1">
        <v>5318.1083774265308</v>
      </c>
    </row>
    <row r="11" spans="1:9" x14ac:dyDescent="0.3">
      <c r="A11" s="12" t="s">
        <v>778</v>
      </c>
      <c r="B11" s="1">
        <v>1448.91379999999</v>
      </c>
      <c r="C11" s="1">
        <v>4390.6480000000001</v>
      </c>
      <c r="D11" s="4">
        <f t="shared" si="0"/>
        <v>5490.9146447999992</v>
      </c>
      <c r="H11" s="1">
        <v>5917.8149606299203</v>
      </c>
      <c r="I11" s="1">
        <v>5639.7838906451716</v>
      </c>
    </row>
    <row r="12" spans="1:9" x14ac:dyDescent="0.3">
      <c r="A12" s="12" t="s">
        <v>779</v>
      </c>
      <c r="B12" s="1">
        <v>1538.0607500000001</v>
      </c>
      <c r="C12" s="1">
        <v>4660.7905000000001</v>
      </c>
      <c r="D12" s="4">
        <f t="shared" si="0"/>
        <v>5699.6267403000002</v>
      </c>
      <c r="H12" s="1">
        <v>6385.3346456692907</v>
      </c>
      <c r="I12" s="1">
        <v>5900.9246594721735</v>
      </c>
    </row>
    <row r="13" spans="1:9" x14ac:dyDescent="0.3">
      <c r="A13" s="12" t="s">
        <v>780</v>
      </c>
      <c r="B13" s="1">
        <v>1395.7967142857101</v>
      </c>
      <c r="C13" s="1">
        <v>4229.6869999999899</v>
      </c>
      <c r="D13" s="4">
        <f t="shared" si="0"/>
        <v>5366.5561761999925</v>
      </c>
      <c r="H13" s="1">
        <v>5241.1417322834641</v>
      </c>
      <c r="I13" s="1">
        <v>5495.4250275711665</v>
      </c>
    </row>
    <row r="14" spans="1:9" x14ac:dyDescent="0.3">
      <c r="A14" s="12" t="s">
        <v>781</v>
      </c>
      <c r="B14" s="1">
        <v>1475.0457272727199</v>
      </c>
      <c r="C14" s="1">
        <v>4469.8359090908998</v>
      </c>
      <c r="D14" s="4">
        <f t="shared" si="0"/>
        <v>5552.095223363629</v>
      </c>
      <c r="H14" s="1">
        <v>5241.1417322834641</v>
      </c>
      <c r="I14" s="1">
        <v>5452.4641004138975</v>
      </c>
    </row>
    <row r="15" spans="1:9" x14ac:dyDescent="0.3">
      <c r="A15" s="12" t="s">
        <v>782</v>
      </c>
      <c r="B15" s="1">
        <v>1569.80781818181</v>
      </c>
      <c r="C15" s="1">
        <v>4756.9935454545403</v>
      </c>
      <c r="D15" s="4">
        <f t="shared" si="0"/>
        <v>5773.9532132181776</v>
      </c>
      <c r="H15" s="1">
        <v>6188.4842519685035</v>
      </c>
      <c r="I15" s="1">
        <v>5789.3208590551221</v>
      </c>
    </row>
    <row r="16" spans="1:9" x14ac:dyDescent="0.3">
      <c r="A16" s="12" t="s">
        <v>783</v>
      </c>
      <c r="B16" s="1">
        <v>1516.5962857142799</v>
      </c>
      <c r="C16" s="1">
        <v>4595.7464285714204</v>
      </c>
      <c r="D16" s="4">
        <f t="shared" si="0"/>
        <v>5649.3736907142793</v>
      </c>
      <c r="H16" s="1">
        <v>5511.8110236220464</v>
      </c>
      <c r="I16" s="1">
        <v>5843.0280182664965</v>
      </c>
    </row>
    <row r="17" spans="1:9" x14ac:dyDescent="0.3">
      <c r="A17" s="12" t="s">
        <v>784</v>
      </c>
      <c r="B17" s="1">
        <v>1168.2415714285701</v>
      </c>
      <c r="C17" s="1">
        <v>3540.1261428571402</v>
      </c>
      <c r="D17" s="4">
        <f t="shared" si="0"/>
        <v>4833.8014579714263</v>
      </c>
      <c r="H17" s="1">
        <v>4958.1692913385814</v>
      </c>
      <c r="I17" s="1">
        <v>5542.9340006800339</v>
      </c>
    </row>
    <row r="18" spans="1:9" x14ac:dyDescent="0.3">
      <c r="A18" s="12" t="s">
        <v>785</v>
      </c>
      <c r="B18" s="1">
        <v>1408.4594545454499</v>
      </c>
      <c r="C18" s="1">
        <v>4268.0591818181802</v>
      </c>
      <c r="D18" s="4">
        <f t="shared" si="0"/>
        <v>5396.2025238727256</v>
      </c>
      <c r="H18" s="1">
        <v>5327.2637795275587</v>
      </c>
      <c r="I18" s="1">
        <v>5433.7252985701352</v>
      </c>
    </row>
    <row r="19" spans="1:9" x14ac:dyDescent="0.3">
      <c r="A19" s="12" t="s">
        <v>786</v>
      </c>
      <c r="B19" s="1">
        <v>1445.43836363636</v>
      </c>
      <c r="C19" s="1">
        <v>4380.1160909090904</v>
      </c>
      <c r="D19" s="4">
        <f t="shared" si="0"/>
        <v>5482.7776918363634</v>
      </c>
      <c r="H19" s="1">
        <v>5954.7244094488187</v>
      </c>
      <c r="I19" s="1">
        <v>5565.3309455097515</v>
      </c>
    </row>
    <row r="20" spans="1:9" x14ac:dyDescent="0.3">
      <c r="A20" s="12" t="s">
        <v>787</v>
      </c>
      <c r="B20" s="1">
        <v>1523.7278571428501</v>
      </c>
      <c r="C20" s="1">
        <v>4617.35699999999</v>
      </c>
      <c r="D20" s="4">
        <f t="shared" si="0"/>
        <v>5666.0700181999919</v>
      </c>
      <c r="H20" s="1">
        <v>6016.2401574803152</v>
      </c>
      <c r="I20" s="1">
        <v>5759.0550094734572</v>
      </c>
    </row>
    <row r="21" spans="1:9" x14ac:dyDescent="0.3">
      <c r="A21" s="12" t="s">
        <v>788</v>
      </c>
      <c r="B21" s="1">
        <v>1192.11771428571</v>
      </c>
      <c r="C21" s="1">
        <v>3612.4780000000001</v>
      </c>
      <c r="D21" s="4">
        <f t="shared" si="0"/>
        <v>4889.7005028000003</v>
      </c>
      <c r="H21" s="1">
        <v>6102.3622047244098</v>
      </c>
      <c r="I21" s="1">
        <v>5736.836004997519</v>
      </c>
    </row>
    <row r="22" spans="1:9" x14ac:dyDescent="0.3">
      <c r="A22" s="12" t="s">
        <v>789</v>
      </c>
      <c r="B22" s="1">
        <v>1340.5170000000001</v>
      </c>
      <c r="C22" s="1">
        <v>4062.1725999999999</v>
      </c>
      <c r="D22" s="4">
        <f t="shared" si="0"/>
        <v>5237.1345507599999</v>
      </c>
      <c r="H22" s="1">
        <v>5019.6850393700788</v>
      </c>
      <c r="I22" s="1">
        <v>5229.8530747799896</v>
      </c>
    </row>
    <row r="23" spans="1:9" x14ac:dyDescent="0.3">
      <c r="A23" s="12" t="s">
        <v>790</v>
      </c>
      <c r="B23" s="1">
        <v>1282.8779999999899</v>
      </c>
      <c r="C23" s="1">
        <v>3887.50919999999</v>
      </c>
      <c r="D23" s="4">
        <f t="shared" si="0"/>
        <v>5102.1896079199923</v>
      </c>
      <c r="H23" s="1">
        <v>5807.0866141732276</v>
      </c>
      <c r="I23" s="1">
        <v>5667.8560201700684</v>
      </c>
    </row>
    <row r="24" spans="1:9" x14ac:dyDescent="0.3">
      <c r="A24" s="12" t="s">
        <v>791</v>
      </c>
      <c r="B24" s="1">
        <v>1417.3408750000001</v>
      </c>
      <c r="C24" s="1">
        <v>4294.97299999999</v>
      </c>
      <c r="D24" s="4">
        <f t="shared" si="0"/>
        <v>5416.9961397999923</v>
      </c>
      <c r="H24" s="1">
        <v>6151.5748031496069</v>
      </c>
      <c r="I24" s="1">
        <v>5827.0564144271275</v>
      </c>
    </row>
    <row r="25" spans="1:9" x14ac:dyDescent="0.3">
      <c r="A25" s="12" t="s">
        <v>792</v>
      </c>
      <c r="B25" s="1">
        <v>1042.6324999999899</v>
      </c>
      <c r="C25" s="1">
        <v>3159.4921250000002</v>
      </c>
      <c r="D25" s="4">
        <f t="shared" si="0"/>
        <v>4539.7236157749994</v>
      </c>
      <c r="H25" s="1">
        <v>5843.9960629921261</v>
      </c>
      <c r="I25" s="1">
        <v>5615.569962032595</v>
      </c>
    </row>
    <row r="26" spans="1:9" x14ac:dyDescent="0.3">
      <c r="A26" s="12" t="s">
        <v>793</v>
      </c>
      <c r="B26" s="1">
        <v>1392.1483333333299</v>
      </c>
      <c r="C26" s="1">
        <v>4218.6312222222195</v>
      </c>
      <c r="D26" s="4">
        <f t="shared" si="0"/>
        <v>5358.0144822888869</v>
      </c>
      <c r="H26" s="1">
        <v>5167.3228346456681</v>
      </c>
      <c r="I26" s="1">
        <v>5056.9521092178538</v>
      </c>
    </row>
    <row r="27" spans="1:9" x14ac:dyDescent="0.3">
      <c r="A27" s="12" t="s">
        <v>794</v>
      </c>
      <c r="B27" s="1">
        <v>1478.36854545454</v>
      </c>
      <c r="C27" s="1">
        <v>4479.9043636363604</v>
      </c>
      <c r="D27" s="4">
        <f t="shared" si="0"/>
        <v>5559.8741113454516</v>
      </c>
      <c r="H27" s="1">
        <v>5696.358267716535</v>
      </c>
      <c r="I27" s="1">
        <v>5583.4070389346352</v>
      </c>
    </row>
    <row r="28" spans="1:9" x14ac:dyDescent="0.3">
      <c r="A28" s="12" t="s">
        <v>795</v>
      </c>
      <c r="B28" s="1">
        <v>1569.8031428571401</v>
      </c>
      <c r="C28" s="1">
        <v>4756.9794285714197</v>
      </c>
      <c r="D28" s="4">
        <f t="shared" si="0"/>
        <v>5773.9423065142782</v>
      </c>
      <c r="H28" s="1">
        <v>5561.0236220472434</v>
      </c>
      <c r="I28" s="1">
        <v>5447.2230030377932</v>
      </c>
    </row>
    <row r="29" spans="1:9" x14ac:dyDescent="0.3">
      <c r="A29" s="12" t="s">
        <v>796</v>
      </c>
      <c r="B29" s="1">
        <v>1165.9261428571399</v>
      </c>
      <c r="C29" s="1">
        <v>3533.1095714285698</v>
      </c>
      <c r="D29" s="4">
        <f t="shared" si="0"/>
        <v>4828.3804548857133</v>
      </c>
      <c r="H29" s="1">
        <v>5105.8070866141725</v>
      </c>
      <c r="I29" s="1">
        <v>5377.5401925364622</v>
      </c>
    </row>
    <row r="30" spans="1:9" x14ac:dyDescent="0.3">
      <c r="A30" s="12" t="s">
        <v>797</v>
      </c>
      <c r="B30" s="1">
        <v>1345.8257777777701</v>
      </c>
      <c r="C30" s="1">
        <v>4078.2599999999902</v>
      </c>
      <c r="D30" s="4">
        <f t="shared" si="0"/>
        <v>5249.5636759999925</v>
      </c>
      <c r="H30" s="1">
        <v>3973.9173228346458</v>
      </c>
      <c r="I30" s="1">
        <v>4434.17833274444</v>
      </c>
    </row>
    <row r="31" spans="1:9" x14ac:dyDescent="0.3">
      <c r="A31" s="12" t="s">
        <v>798</v>
      </c>
      <c r="B31" s="1">
        <v>1610.7439090908999</v>
      </c>
      <c r="C31" s="1">
        <v>4881.0418181818104</v>
      </c>
      <c r="D31" s="4">
        <f t="shared" si="0"/>
        <v>5869.792908727266</v>
      </c>
      <c r="F31" s="1">
        <f>AVERAGE(D31:D54)</f>
        <v>5617.2557335750453</v>
      </c>
    </row>
    <row r="32" spans="1:9" x14ac:dyDescent="0.3">
      <c r="A32" s="12" t="s">
        <v>799</v>
      </c>
      <c r="B32" s="1">
        <v>1669.8901428571401</v>
      </c>
      <c r="C32" s="1">
        <v>5060.2725714285698</v>
      </c>
      <c r="D32" s="4">
        <f t="shared" si="0"/>
        <v>6008.2665886857121</v>
      </c>
    </row>
    <row r="33" spans="1:4" x14ac:dyDescent="0.3">
      <c r="A33" s="12" t="s">
        <v>800</v>
      </c>
      <c r="B33" s="1">
        <v>1575.0175714285699</v>
      </c>
      <c r="C33" s="1">
        <v>4772.78071428571</v>
      </c>
      <c r="D33" s="4">
        <f t="shared" si="0"/>
        <v>5786.1503798571393</v>
      </c>
    </row>
    <row r="34" spans="1:4" x14ac:dyDescent="0.3">
      <c r="A34" s="12" t="s">
        <v>801</v>
      </c>
      <c r="B34" s="1">
        <v>1525.1257777777701</v>
      </c>
      <c r="C34" s="1">
        <v>4621.5929999999898</v>
      </c>
      <c r="D34" s="4">
        <f t="shared" si="0"/>
        <v>5669.3427517999917</v>
      </c>
    </row>
    <row r="35" spans="1:4" x14ac:dyDescent="0.3">
      <c r="A35" s="12" t="s">
        <v>802</v>
      </c>
      <c r="B35" s="1">
        <v>1562.9555</v>
      </c>
      <c r="C35" s="1">
        <v>4736.2286999999897</v>
      </c>
      <c r="D35" s="4">
        <f t="shared" si="0"/>
        <v>5757.9102936199915</v>
      </c>
    </row>
    <row r="36" spans="1:4" x14ac:dyDescent="0.3">
      <c r="A36" s="12" t="s">
        <v>803</v>
      </c>
      <c r="B36" s="1">
        <v>1436.9489999999901</v>
      </c>
      <c r="C36" s="1">
        <v>4354.3908750000001</v>
      </c>
      <c r="D36" s="4">
        <f t="shared" si="0"/>
        <v>5462.9023900249995</v>
      </c>
    </row>
    <row r="37" spans="1:4" x14ac:dyDescent="0.3">
      <c r="A37" s="12" t="s">
        <v>804</v>
      </c>
      <c r="B37" s="1">
        <v>1228.4045714285701</v>
      </c>
      <c r="C37" s="1">
        <v>3722.4378571428501</v>
      </c>
      <c r="D37" s="4">
        <f t="shared" si="0"/>
        <v>4974.6554884285651</v>
      </c>
    </row>
    <row r="38" spans="1:4" x14ac:dyDescent="0.3">
      <c r="A38" s="12" t="s">
        <v>805</v>
      </c>
      <c r="B38" s="1">
        <v>1407.92133333333</v>
      </c>
      <c r="C38" s="1">
        <v>4266.4283333333296</v>
      </c>
      <c r="D38" s="4">
        <f t="shared" si="0"/>
        <v>5394.9425303333301</v>
      </c>
    </row>
    <row r="39" spans="1:4" x14ac:dyDescent="0.3">
      <c r="A39" s="12" t="s">
        <v>806</v>
      </c>
      <c r="B39" s="1">
        <v>1532.9044545454501</v>
      </c>
      <c r="C39" s="1">
        <v>4645.1649090909004</v>
      </c>
      <c r="D39" s="4">
        <f t="shared" si="0"/>
        <v>5687.5544087636299</v>
      </c>
    </row>
    <row r="40" spans="1:4" x14ac:dyDescent="0.3">
      <c r="A40" s="12" t="s">
        <v>807</v>
      </c>
      <c r="B40" s="1">
        <v>1517.2348571428499</v>
      </c>
      <c r="C40" s="1">
        <v>4597.6817142857099</v>
      </c>
      <c r="D40" s="4">
        <f t="shared" si="0"/>
        <v>5650.8688924571388</v>
      </c>
    </row>
    <row r="41" spans="1:4" x14ac:dyDescent="0.3">
      <c r="A41" s="12" t="s">
        <v>808</v>
      </c>
      <c r="B41" s="1">
        <v>1265.7622857142801</v>
      </c>
      <c r="C41" s="1">
        <v>3835.6434285714199</v>
      </c>
      <c r="D41" s="4">
        <f t="shared" si="0"/>
        <v>5062.1181129142788</v>
      </c>
    </row>
    <row r="42" spans="1:4" x14ac:dyDescent="0.3">
      <c r="A42" s="12" t="s">
        <v>809</v>
      </c>
      <c r="B42" s="1">
        <v>1622.8609999999901</v>
      </c>
      <c r="C42" s="1">
        <v>4917.7602500000003</v>
      </c>
      <c r="D42" s="4">
        <f t="shared" si="0"/>
        <v>5898.1615691499992</v>
      </c>
    </row>
    <row r="43" spans="1:4" x14ac:dyDescent="0.3">
      <c r="A43" s="12" t="s">
        <v>810</v>
      </c>
      <c r="B43" s="1">
        <v>1413.9840909090899</v>
      </c>
      <c r="C43" s="1">
        <v>4284.7999999999902</v>
      </c>
      <c r="D43" s="4">
        <f t="shared" si="0"/>
        <v>5409.1364799999919</v>
      </c>
    </row>
    <row r="44" spans="1:4" x14ac:dyDescent="0.3">
      <c r="A44" s="12" t="s">
        <v>811</v>
      </c>
      <c r="B44" s="1">
        <v>1281.32142857142</v>
      </c>
      <c r="C44" s="1">
        <v>3882.79171428571</v>
      </c>
      <c r="D44" s="4">
        <f t="shared" si="0"/>
        <v>5098.544878457139</v>
      </c>
    </row>
    <row r="45" spans="1:4" x14ac:dyDescent="0.3">
      <c r="A45" s="12" t="s">
        <v>812</v>
      </c>
      <c r="B45" s="1">
        <v>1454.0857142857101</v>
      </c>
      <c r="C45" s="1">
        <v>4406.3201428571401</v>
      </c>
      <c r="D45" s="4">
        <f t="shared" si="0"/>
        <v>5503.0229423714263</v>
      </c>
    </row>
    <row r="46" spans="1:4" x14ac:dyDescent="0.3">
      <c r="A46" s="12" t="s">
        <v>813</v>
      </c>
      <c r="B46" s="1">
        <v>1501.94088888888</v>
      </c>
      <c r="C46" s="1">
        <v>4551.3358888888797</v>
      </c>
      <c r="D46" s="4">
        <f t="shared" si="0"/>
        <v>5615.0621077555479</v>
      </c>
    </row>
    <row r="47" spans="1:4" x14ac:dyDescent="0.3">
      <c r="A47" s="12" t="s">
        <v>814</v>
      </c>
      <c r="B47" s="1">
        <v>1634.37689999999</v>
      </c>
      <c r="C47" s="1">
        <v>4952.6567999999897</v>
      </c>
      <c r="D47" s="4">
        <f t="shared" si="0"/>
        <v>5925.1226436799916</v>
      </c>
    </row>
    <row r="48" spans="1:4" x14ac:dyDescent="0.3">
      <c r="A48" s="12" t="s">
        <v>815</v>
      </c>
      <c r="B48" s="1">
        <v>1708.2068750000001</v>
      </c>
      <c r="C48" s="1">
        <v>5176.3846249999897</v>
      </c>
      <c r="D48" s="4">
        <f t="shared" si="0"/>
        <v>6097.9747612749916</v>
      </c>
    </row>
    <row r="49" spans="1:6" x14ac:dyDescent="0.3">
      <c r="A49" s="12" t="s">
        <v>816</v>
      </c>
      <c r="B49" s="1">
        <v>1483.97987499999</v>
      </c>
      <c r="C49" s="1">
        <v>4496.9081249999899</v>
      </c>
      <c r="D49" s="4">
        <f t="shared" si="0"/>
        <v>5573.0112173749912</v>
      </c>
    </row>
    <row r="50" spans="1:6" x14ac:dyDescent="0.3">
      <c r="A50" s="12" t="s">
        <v>817</v>
      </c>
      <c r="B50" s="1">
        <v>1578.59188888888</v>
      </c>
      <c r="C50" s="1">
        <v>4783.6116666666603</v>
      </c>
      <c r="D50" s="4">
        <f t="shared" si="0"/>
        <v>5794.5183736666613</v>
      </c>
    </row>
    <row r="51" spans="1:6" x14ac:dyDescent="0.3">
      <c r="A51" s="12" t="s">
        <v>818</v>
      </c>
      <c r="B51" s="1">
        <v>1670.5211818181799</v>
      </c>
      <c r="C51" s="1">
        <v>5062.1852727272699</v>
      </c>
      <c r="D51" s="4">
        <f t="shared" si="0"/>
        <v>6009.7443417090881</v>
      </c>
    </row>
    <row r="52" spans="1:6" x14ac:dyDescent="0.3">
      <c r="A52" s="12" t="s">
        <v>819</v>
      </c>
      <c r="B52" s="1">
        <v>1700.44014285714</v>
      </c>
      <c r="C52" s="1">
        <v>5152.8490000000002</v>
      </c>
      <c r="D52" s="4">
        <f t="shared" si="0"/>
        <v>6079.7911373999996</v>
      </c>
    </row>
    <row r="53" spans="1:6" x14ac:dyDescent="0.3">
      <c r="A53" s="12" t="s">
        <v>820</v>
      </c>
      <c r="B53" s="1">
        <v>1288.1527142857101</v>
      </c>
      <c r="C53" s="1">
        <v>3903.4931428571399</v>
      </c>
      <c r="D53" s="4">
        <f t="shared" si="0"/>
        <v>5114.5388021714261</v>
      </c>
    </row>
    <row r="54" spans="1:6" x14ac:dyDescent="0.3">
      <c r="A54" s="12" t="s">
        <v>821</v>
      </c>
      <c r="B54" s="1">
        <v>1397.6962222222201</v>
      </c>
      <c r="C54" s="1">
        <v>4235.4434444444396</v>
      </c>
      <c r="D54" s="4">
        <f t="shared" si="0"/>
        <v>5371.0036051777734</v>
      </c>
    </row>
    <row r="55" spans="1:6" x14ac:dyDescent="0.3">
      <c r="A55" s="12" t="s">
        <v>389</v>
      </c>
      <c r="B55" s="1">
        <v>1272.3673999999901</v>
      </c>
      <c r="C55" s="1">
        <v>3855.6585</v>
      </c>
      <c r="D55" s="4">
        <f t="shared" si="0"/>
        <v>5077.5817570999998</v>
      </c>
      <c r="F55" s="1">
        <f>AVERAGE(D55:D78)</f>
        <v>5245.2145114970936</v>
      </c>
    </row>
    <row r="56" spans="1:6" x14ac:dyDescent="0.3">
      <c r="A56" s="12" t="s">
        <v>377</v>
      </c>
      <c r="B56" s="1">
        <v>1271.23171428571</v>
      </c>
      <c r="C56" s="1">
        <v>3852.21757142857</v>
      </c>
      <c r="D56" s="4">
        <f t="shared" si="0"/>
        <v>5074.9232956857122</v>
      </c>
    </row>
    <row r="57" spans="1:6" x14ac:dyDescent="0.3">
      <c r="A57" s="12" t="s">
        <v>365</v>
      </c>
      <c r="B57" s="1">
        <v>1383.88757142857</v>
      </c>
      <c r="C57" s="1">
        <v>4193.5984285714203</v>
      </c>
      <c r="D57" s="4">
        <f t="shared" si="0"/>
        <v>5338.6741459142795</v>
      </c>
    </row>
    <row r="58" spans="1:6" x14ac:dyDescent="0.3">
      <c r="A58" s="12" t="s">
        <v>353</v>
      </c>
      <c r="B58" s="1">
        <v>1430.01766666666</v>
      </c>
      <c r="C58" s="1">
        <v>4333.3865555555503</v>
      </c>
      <c r="D58" s="4">
        <f t="shared" si="0"/>
        <v>5446.674452822218</v>
      </c>
    </row>
    <row r="59" spans="1:6" x14ac:dyDescent="0.3">
      <c r="A59" s="12" t="s">
        <v>388</v>
      </c>
      <c r="B59" s="1">
        <v>1246.2198000000001</v>
      </c>
      <c r="C59" s="1">
        <v>3776.4241999999899</v>
      </c>
      <c r="D59" s="4">
        <f t="shared" si="0"/>
        <v>5016.3653369199919</v>
      </c>
    </row>
    <row r="60" spans="1:6" x14ac:dyDescent="0.3">
      <c r="A60" s="12" t="s">
        <v>376</v>
      </c>
      <c r="B60" s="1">
        <v>1341.8625714285699</v>
      </c>
      <c r="C60" s="1">
        <v>4066.2507142857098</v>
      </c>
      <c r="D60" s="4">
        <f t="shared" si="0"/>
        <v>5240.2853018571386</v>
      </c>
    </row>
    <row r="61" spans="1:6" x14ac:dyDescent="0.3">
      <c r="A61" s="12" t="s">
        <v>364</v>
      </c>
      <c r="B61" s="1">
        <v>1080.73657142857</v>
      </c>
      <c r="C61" s="1">
        <v>3274.9588571428499</v>
      </c>
      <c r="D61" s="4">
        <f t="shared" si="0"/>
        <v>4628.9332130285657</v>
      </c>
    </row>
    <row r="62" spans="1:6" x14ac:dyDescent="0.3">
      <c r="A62" s="12" t="s">
        <v>352</v>
      </c>
      <c r="B62" s="1">
        <v>1215.565625</v>
      </c>
      <c r="C62" s="1">
        <v>3683.5320000000002</v>
      </c>
      <c r="D62" s="4">
        <f t="shared" si="0"/>
        <v>4944.5968231999996</v>
      </c>
    </row>
    <row r="63" spans="1:6" x14ac:dyDescent="0.3">
      <c r="A63" s="12" t="s">
        <v>387</v>
      </c>
      <c r="B63" s="1">
        <v>1190.5931</v>
      </c>
      <c r="C63" s="1">
        <v>3607.8573000000001</v>
      </c>
      <c r="D63" s="4">
        <f t="shared" si="0"/>
        <v>4886.1305499800001</v>
      </c>
    </row>
    <row r="64" spans="1:6" x14ac:dyDescent="0.3">
      <c r="A64" s="12" t="s">
        <v>375</v>
      </c>
      <c r="B64" s="1">
        <v>1235.69525</v>
      </c>
      <c r="C64" s="1">
        <v>3744.5306249999899</v>
      </c>
      <c r="D64" s="4">
        <f t="shared" si="0"/>
        <v>4991.7243608749923</v>
      </c>
    </row>
    <row r="65" spans="1:6" x14ac:dyDescent="0.3">
      <c r="A65" s="12" t="s">
        <v>363</v>
      </c>
      <c r="B65" s="1">
        <v>1294.0411428571399</v>
      </c>
      <c r="C65" s="1">
        <v>3921.33699999999</v>
      </c>
      <c r="D65" s="4">
        <f t="shared" si="0"/>
        <v>5128.3249661999926</v>
      </c>
    </row>
    <row r="66" spans="1:6" x14ac:dyDescent="0.3">
      <c r="A66" s="12" t="s">
        <v>351</v>
      </c>
      <c r="B66" s="1">
        <v>1315.02144444444</v>
      </c>
      <c r="C66" s="1">
        <v>3984.9138888888801</v>
      </c>
      <c r="D66" s="4">
        <f t="shared" si="0"/>
        <v>5177.4444705555488</v>
      </c>
    </row>
    <row r="67" spans="1:6" x14ac:dyDescent="0.3">
      <c r="A67" s="12" t="s">
        <v>386</v>
      </c>
      <c r="B67" s="1">
        <v>1317.05422222222</v>
      </c>
      <c r="C67" s="1">
        <v>3991.0734444444402</v>
      </c>
      <c r="D67" s="4">
        <f t="shared" si="0"/>
        <v>5182.2033431777745</v>
      </c>
    </row>
    <row r="68" spans="1:6" x14ac:dyDescent="0.3">
      <c r="A68" s="12" t="s">
        <v>374</v>
      </c>
      <c r="B68" s="1">
        <v>1438.2258571428499</v>
      </c>
      <c r="C68" s="1">
        <v>4358.2598571428498</v>
      </c>
      <c r="D68" s="4">
        <f t="shared" si="0"/>
        <v>5465.8915656285653</v>
      </c>
    </row>
    <row r="69" spans="1:6" x14ac:dyDescent="0.3">
      <c r="A69" s="12" t="s">
        <v>362</v>
      </c>
      <c r="B69" s="1">
        <v>1258.631625</v>
      </c>
      <c r="C69" s="1">
        <v>3814.0351249999899</v>
      </c>
      <c r="D69" s="4">
        <f t="shared" si="0"/>
        <v>5045.4235375749922</v>
      </c>
    </row>
    <row r="70" spans="1:6" x14ac:dyDescent="0.3">
      <c r="A70" s="12" t="s">
        <v>350</v>
      </c>
      <c r="B70" s="1">
        <v>1051.31455555555</v>
      </c>
      <c r="C70" s="1">
        <v>3185.8020000000001</v>
      </c>
      <c r="D70" s="4">
        <f t="shared" si="0"/>
        <v>4560.0506251999996</v>
      </c>
    </row>
    <row r="71" spans="1:6" x14ac:dyDescent="0.3">
      <c r="A71" s="12" t="s">
        <v>385</v>
      </c>
      <c r="B71" s="1">
        <v>1491.5188333333299</v>
      </c>
      <c r="C71" s="1">
        <v>4519.7537499999899</v>
      </c>
      <c r="D71" s="4">
        <f t="shared" si="0"/>
        <v>5590.6617472499911</v>
      </c>
    </row>
    <row r="72" spans="1:6" x14ac:dyDescent="0.3">
      <c r="A72" s="12" t="s">
        <v>373</v>
      </c>
      <c r="B72" s="1">
        <v>1504.1614999999899</v>
      </c>
      <c r="C72" s="1">
        <v>4558.0647499999905</v>
      </c>
      <c r="D72" s="4">
        <f t="shared" ref="D72:D135" si="1">0.7726*C72+2098.7</f>
        <v>5620.2608258499922</v>
      </c>
    </row>
    <row r="73" spans="1:6" x14ac:dyDescent="0.3">
      <c r="A73" s="12" t="s">
        <v>361</v>
      </c>
      <c r="B73" s="1">
        <v>1445.1827142857101</v>
      </c>
      <c r="C73" s="1">
        <v>4379.3415714285702</v>
      </c>
      <c r="D73" s="4">
        <f t="shared" si="1"/>
        <v>5482.1792980857135</v>
      </c>
    </row>
    <row r="74" spans="1:6" x14ac:dyDescent="0.3">
      <c r="A74" s="12" t="s">
        <v>349</v>
      </c>
      <c r="B74" s="1">
        <v>1298.1214444444399</v>
      </c>
      <c r="C74" s="1">
        <v>3933.7013333333298</v>
      </c>
      <c r="D74" s="4">
        <f t="shared" si="1"/>
        <v>5137.8776501333305</v>
      </c>
    </row>
    <row r="75" spans="1:6" x14ac:dyDescent="0.3">
      <c r="A75" s="12" t="s">
        <v>384</v>
      </c>
      <c r="B75" s="1">
        <v>1549.48109999999</v>
      </c>
      <c r="C75" s="1">
        <v>4695.3972000000003</v>
      </c>
      <c r="D75" s="4">
        <f t="shared" si="1"/>
        <v>5726.36387672</v>
      </c>
    </row>
    <row r="76" spans="1:6" x14ac:dyDescent="0.3">
      <c r="A76" s="12" t="s">
        <v>372</v>
      </c>
      <c r="B76" s="1">
        <v>1577.3231428571401</v>
      </c>
      <c r="C76" s="1">
        <v>4779.7669999999998</v>
      </c>
      <c r="D76" s="4">
        <f t="shared" si="1"/>
        <v>5791.5479841999995</v>
      </c>
    </row>
    <row r="77" spans="1:6" x14ac:dyDescent="0.3">
      <c r="A77" s="12" t="s">
        <v>360</v>
      </c>
      <c r="B77" s="1">
        <v>1623.41771428571</v>
      </c>
      <c r="C77" s="1">
        <v>4919.4481428571398</v>
      </c>
      <c r="D77" s="4">
        <f t="shared" si="1"/>
        <v>5899.4656351714257</v>
      </c>
    </row>
    <row r="78" spans="1:6" x14ac:dyDescent="0.3">
      <c r="A78" s="12" t="s">
        <v>348</v>
      </c>
      <c r="B78" s="1">
        <v>1423.5632499999899</v>
      </c>
      <c r="C78" s="1">
        <v>4313.8280000000004</v>
      </c>
      <c r="D78" s="4">
        <f t="shared" si="1"/>
        <v>5431.5635127999994</v>
      </c>
    </row>
    <row r="79" spans="1:6" x14ac:dyDescent="0.3">
      <c r="A79" s="12" t="s">
        <v>383</v>
      </c>
      <c r="B79" s="1">
        <v>1285.0900999999899</v>
      </c>
      <c r="C79" s="1">
        <v>3894.2121999999899</v>
      </c>
      <c r="D79" s="4">
        <f t="shared" si="1"/>
        <v>5107.3683457199913</v>
      </c>
      <c r="F79" s="1">
        <f>AVERAGE(D79:D102)</f>
        <v>5318.1083774265308</v>
      </c>
    </row>
    <row r="80" spans="1:6" x14ac:dyDescent="0.3">
      <c r="A80" s="12" t="s">
        <v>371</v>
      </c>
      <c r="B80" s="1">
        <v>1496.6902500000001</v>
      </c>
      <c r="C80" s="1">
        <v>4535.4246249999896</v>
      </c>
      <c r="D80" s="4">
        <f t="shared" si="1"/>
        <v>5602.7690652749916</v>
      </c>
    </row>
    <row r="81" spans="1:4" x14ac:dyDescent="0.3">
      <c r="A81" s="12" t="s">
        <v>359</v>
      </c>
      <c r="B81" s="1">
        <v>1417.6108571428499</v>
      </c>
      <c r="C81" s="1">
        <v>4295.7911428571397</v>
      </c>
      <c r="D81" s="4">
        <f t="shared" si="1"/>
        <v>5417.6282369714263</v>
      </c>
    </row>
    <row r="82" spans="1:4" x14ac:dyDescent="0.3">
      <c r="A82" s="12" t="s">
        <v>347</v>
      </c>
      <c r="B82" s="1">
        <v>1514.6279999999899</v>
      </c>
      <c r="C82" s="1">
        <v>4589.7817500000001</v>
      </c>
      <c r="D82" s="4">
        <f t="shared" si="1"/>
        <v>5644.7653800499993</v>
      </c>
    </row>
    <row r="83" spans="1:4" x14ac:dyDescent="0.3">
      <c r="A83" s="12" t="s">
        <v>382</v>
      </c>
      <c r="B83" s="1">
        <v>1471.19929999999</v>
      </c>
      <c r="C83" s="1">
        <v>4458.1791000000003</v>
      </c>
      <c r="D83" s="4">
        <f t="shared" si="1"/>
        <v>5543.0891726600003</v>
      </c>
    </row>
    <row r="84" spans="1:4" x14ac:dyDescent="0.3">
      <c r="A84" s="12" t="s">
        <v>370</v>
      </c>
      <c r="B84" s="1">
        <v>1492.22928571428</v>
      </c>
      <c r="C84" s="1">
        <v>4521.9074285714196</v>
      </c>
      <c r="D84" s="4">
        <f t="shared" si="1"/>
        <v>5592.3256793142782</v>
      </c>
    </row>
    <row r="85" spans="1:4" x14ac:dyDescent="0.3">
      <c r="A85" s="12" t="s">
        <v>358</v>
      </c>
      <c r="B85" s="1">
        <v>1192.807</v>
      </c>
      <c r="C85" s="1">
        <v>3614.566875</v>
      </c>
      <c r="D85" s="4">
        <f t="shared" si="1"/>
        <v>4891.3143676250002</v>
      </c>
    </row>
    <row r="86" spans="1:4" x14ac:dyDescent="0.3">
      <c r="A86" s="12" t="s">
        <v>346</v>
      </c>
      <c r="B86" s="1">
        <v>1210.28355555555</v>
      </c>
      <c r="C86" s="1">
        <v>3667.52622222222</v>
      </c>
      <c r="D86" s="4">
        <f t="shared" si="1"/>
        <v>4932.2307592888865</v>
      </c>
    </row>
    <row r="87" spans="1:4" x14ac:dyDescent="0.3">
      <c r="A87" s="12" t="s">
        <v>381</v>
      </c>
      <c r="B87" s="1">
        <v>1628.5765999999901</v>
      </c>
      <c r="C87" s="1">
        <v>4935.0803999999998</v>
      </c>
      <c r="D87" s="4">
        <f t="shared" si="1"/>
        <v>5911.5431170399988</v>
      </c>
    </row>
    <row r="88" spans="1:4" x14ac:dyDescent="0.3">
      <c r="A88" s="12" t="s">
        <v>369</v>
      </c>
      <c r="B88" s="1">
        <v>1569.250125</v>
      </c>
      <c r="C88" s="1">
        <v>4755.3036249999996</v>
      </c>
      <c r="D88" s="4">
        <f t="shared" si="1"/>
        <v>5772.6475806749986</v>
      </c>
    </row>
    <row r="89" spans="1:4" x14ac:dyDescent="0.3">
      <c r="A89" s="12" t="s">
        <v>357</v>
      </c>
      <c r="B89" s="1">
        <v>1383.20542857142</v>
      </c>
      <c r="C89" s="1">
        <v>4191.5315714285698</v>
      </c>
      <c r="D89" s="4">
        <f t="shared" si="1"/>
        <v>5337.0772920857125</v>
      </c>
    </row>
    <row r="90" spans="1:4" x14ac:dyDescent="0.3">
      <c r="A90" s="12" t="s">
        <v>345</v>
      </c>
      <c r="B90" s="1">
        <v>1205.5071111111099</v>
      </c>
      <c r="C90" s="1">
        <v>3653.0513333333301</v>
      </c>
      <c r="D90" s="4">
        <f t="shared" si="1"/>
        <v>4921.0474601333299</v>
      </c>
    </row>
    <row r="91" spans="1:4" x14ac:dyDescent="0.3">
      <c r="A91" s="12" t="s">
        <v>380</v>
      </c>
      <c r="B91" s="1">
        <v>1633.92018181818</v>
      </c>
      <c r="C91" s="1">
        <v>4951.2730909090897</v>
      </c>
      <c r="D91" s="4">
        <f t="shared" si="1"/>
        <v>5924.053590036362</v>
      </c>
    </row>
    <row r="92" spans="1:4" x14ac:dyDescent="0.3">
      <c r="A92" s="12" t="s">
        <v>368</v>
      </c>
      <c r="B92" s="1">
        <v>1573.81985714285</v>
      </c>
      <c r="C92" s="1">
        <v>4769.1512857142798</v>
      </c>
      <c r="D92" s="4">
        <f t="shared" si="1"/>
        <v>5783.3462833428521</v>
      </c>
    </row>
    <row r="93" spans="1:4" x14ac:dyDescent="0.3">
      <c r="A93" s="12" t="s">
        <v>356</v>
      </c>
      <c r="B93" s="1">
        <v>1196.4604285714199</v>
      </c>
      <c r="C93" s="1">
        <v>3625.6385714285698</v>
      </c>
      <c r="D93" s="4">
        <f t="shared" si="1"/>
        <v>4899.8683602857127</v>
      </c>
    </row>
    <row r="94" spans="1:4" x14ac:dyDescent="0.3">
      <c r="A94" s="12" t="s">
        <v>344</v>
      </c>
      <c r="B94" s="1">
        <v>1456.2667777777699</v>
      </c>
      <c r="C94" s="1">
        <v>4412.93</v>
      </c>
      <c r="D94" s="4">
        <f t="shared" si="1"/>
        <v>5508.1297180000001</v>
      </c>
    </row>
    <row r="95" spans="1:4" x14ac:dyDescent="0.3">
      <c r="A95" s="12" t="s">
        <v>379</v>
      </c>
      <c r="B95" s="1">
        <v>1339.1403</v>
      </c>
      <c r="C95" s="1">
        <v>4058.0004999999901</v>
      </c>
      <c r="D95" s="4">
        <f t="shared" si="1"/>
        <v>5233.9111862999926</v>
      </c>
    </row>
    <row r="96" spans="1:4" x14ac:dyDescent="0.3">
      <c r="A96" s="12" t="s">
        <v>367</v>
      </c>
      <c r="B96" s="1">
        <v>1506.0944999999999</v>
      </c>
      <c r="C96" s="1">
        <v>4563.9229999999998</v>
      </c>
      <c r="D96" s="4">
        <f t="shared" si="1"/>
        <v>5624.7869097999992</v>
      </c>
    </row>
    <row r="97" spans="1:6" x14ac:dyDescent="0.3">
      <c r="A97" s="12" t="s">
        <v>355</v>
      </c>
      <c r="B97" s="1">
        <v>1224.6980000000001</v>
      </c>
      <c r="C97" s="1">
        <v>3711.2057142857102</v>
      </c>
      <c r="D97" s="4">
        <f t="shared" si="1"/>
        <v>4965.9775348571393</v>
      </c>
    </row>
    <row r="98" spans="1:6" x14ac:dyDescent="0.3">
      <c r="A98" s="12" t="s">
        <v>343</v>
      </c>
      <c r="B98" s="1">
        <v>1462.9333749999901</v>
      </c>
      <c r="C98" s="1">
        <v>4433.13187499999</v>
      </c>
      <c r="D98" s="4">
        <f t="shared" si="1"/>
        <v>5523.7376866249924</v>
      </c>
    </row>
    <row r="99" spans="1:6" x14ac:dyDescent="0.3">
      <c r="A99" s="12" t="s">
        <v>378</v>
      </c>
      <c r="B99" s="1">
        <v>1049.748</v>
      </c>
      <c r="C99" s="1">
        <v>3181.0543749999902</v>
      </c>
      <c r="D99" s="4">
        <f t="shared" si="1"/>
        <v>4556.3826101249924</v>
      </c>
    </row>
    <row r="100" spans="1:6" x14ac:dyDescent="0.3">
      <c r="A100" s="12" t="s">
        <v>366</v>
      </c>
      <c r="B100" s="1">
        <v>1120.6784</v>
      </c>
      <c r="C100" s="1">
        <v>3395.9953999999898</v>
      </c>
      <c r="D100" s="4">
        <f t="shared" si="1"/>
        <v>4722.4460460399914</v>
      </c>
    </row>
    <row r="101" spans="1:6" x14ac:dyDescent="0.3">
      <c r="A101" s="12" t="s">
        <v>354</v>
      </c>
      <c r="B101" s="1">
        <v>1402.21524999999</v>
      </c>
      <c r="C101" s="1">
        <v>4249.1366250000001</v>
      </c>
      <c r="D101" s="4">
        <f t="shared" si="1"/>
        <v>5381.5829564750002</v>
      </c>
    </row>
    <row r="102" spans="1:6" x14ac:dyDescent="0.3">
      <c r="A102" s="12" t="s">
        <v>342</v>
      </c>
      <c r="B102" s="1">
        <v>1169.425</v>
      </c>
      <c r="C102" s="1">
        <v>3543.7117777777698</v>
      </c>
      <c r="D102" s="4">
        <f t="shared" si="1"/>
        <v>4836.5717195111047</v>
      </c>
    </row>
    <row r="103" spans="1:6" x14ac:dyDescent="0.3">
      <c r="A103" s="12" t="s">
        <v>341</v>
      </c>
      <c r="B103" s="1">
        <v>1285.4935</v>
      </c>
      <c r="C103" s="1">
        <v>3895.435375</v>
      </c>
      <c r="D103" s="4">
        <f t="shared" si="1"/>
        <v>5108.3133707249999</v>
      </c>
      <c r="F103" s="1">
        <f>AVERAGE(D103:D126)</f>
        <v>5639.7838906451716</v>
      </c>
    </row>
    <row r="104" spans="1:6" x14ac:dyDescent="0.3">
      <c r="A104" s="12" t="s">
        <v>317</v>
      </c>
      <c r="B104" s="1">
        <v>1402.10877777777</v>
      </c>
      <c r="C104" s="1">
        <v>4248.8147777777704</v>
      </c>
      <c r="D104" s="4">
        <f t="shared" si="1"/>
        <v>5381.3342973111048</v>
      </c>
    </row>
    <row r="105" spans="1:6" x14ac:dyDescent="0.3">
      <c r="A105" s="12" t="s">
        <v>293</v>
      </c>
      <c r="B105" s="1">
        <v>1288.9432857142799</v>
      </c>
      <c r="C105" s="1">
        <v>3905.8887142857102</v>
      </c>
      <c r="D105" s="4">
        <f t="shared" si="1"/>
        <v>5116.3896206571389</v>
      </c>
    </row>
    <row r="106" spans="1:6" x14ac:dyDescent="0.3">
      <c r="A106" s="12" t="s">
        <v>269</v>
      </c>
      <c r="B106" s="1">
        <v>1256.1932999999999</v>
      </c>
      <c r="C106" s="1">
        <v>3806.6459999999902</v>
      </c>
      <c r="D106" s="4">
        <f t="shared" si="1"/>
        <v>5039.7146995999919</v>
      </c>
    </row>
    <row r="107" spans="1:6" x14ac:dyDescent="0.3">
      <c r="A107" s="12" t="s">
        <v>340</v>
      </c>
      <c r="B107" s="1">
        <v>1562.41844444444</v>
      </c>
      <c r="C107" s="1">
        <v>4734.6019999999899</v>
      </c>
      <c r="D107" s="4">
        <f t="shared" si="1"/>
        <v>5756.6535051999917</v>
      </c>
    </row>
    <row r="108" spans="1:6" x14ac:dyDescent="0.3">
      <c r="A108" s="12" t="s">
        <v>316</v>
      </c>
      <c r="B108" s="1">
        <v>1799.7909999999899</v>
      </c>
      <c r="C108" s="1">
        <v>5453.9122500000003</v>
      </c>
      <c r="D108" s="4">
        <f t="shared" si="1"/>
        <v>6312.3926043499996</v>
      </c>
    </row>
    <row r="109" spans="1:6" x14ac:dyDescent="0.3">
      <c r="A109" s="12" t="s">
        <v>292</v>
      </c>
      <c r="B109" s="1">
        <v>1661.0529999999901</v>
      </c>
      <c r="C109" s="1">
        <v>5033.4939999999897</v>
      </c>
      <c r="D109" s="4">
        <f t="shared" si="1"/>
        <v>5987.5774643999921</v>
      </c>
    </row>
    <row r="110" spans="1:6" x14ac:dyDescent="0.3">
      <c r="A110" s="12" t="s">
        <v>268</v>
      </c>
      <c r="B110" s="1">
        <v>1571.5827999999899</v>
      </c>
      <c r="C110" s="1">
        <v>4762.3717999999999</v>
      </c>
      <c r="D110" s="4">
        <f t="shared" si="1"/>
        <v>5778.1084526799996</v>
      </c>
    </row>
    <row r="111" spans="1:6" x14ac:dyDescent="0.3">
      <c r="A111" s="12" t="s">
        <v>339</v>
      </c>
      <c r="B111" s="1">
        <v>1586.20225</v>
      </c>
      <c r="C111" s="1">
        <v>4806.6733750000003</v>
      </c>
      <c r="D111" s="4">
        <f t="shared" si="1"/>
        <v>5812.3358495249995</v>
      </c>
    </row>
    <row r="112" spans="1:6" x14ac:dyDescent="0.3">
      <c r="A112" s="12" t="s">
        <v>315</v>
      </c>
      <c r="B112" s="1">
        <v>1590.7715555555501</v>
      </c>
      <c r="C112" s="1">
        <v>4820.5201111111101</v>
      </c>
      <c r="D112" s="4">
        <f t="shared" si="1"/>
        <v>5823.033837844443</v>
      </c>
    </row>
    <row r="113" spans="1:6" x14ac:dyDescent="0.3">
      <c r="A113" s="12" t="s">
        <v>291</v>
      </c>
      <c r="B113" s="1">
        <v>1518.93</v>
      </c>
      <c r="C113" s="1">
        <v>4602.8180000000002</v>
      </c>
      <c r="D113" s="4">
        <f t="shared" si="1"/>
        <v>5654.8371867999995</v>
      </c>
    </row>
    <row r="114" spans="1:6" x14ac:dyDescent="0.3">
      <c r="A114" s="12" t="s">
        <v>267</v>
      </c>
      <c r="B114" s="1">
        <v>1444.9456666666599</v>
      </c>
      <c r="C114" s="1">
        <v>4378.6237777777696</v>
      </c>
      <c r="D114" s="4">
        <f t="shared" si="1"/>
        <v>5481.6247307111043</v>
      </c>
    </row>
    <row r="115" spans="1:6" x14ac:dyDescent="0.3">
      <c r="A115" s="12" t="s">
        <v>338</v>
      </c>
      <c r="B115" s="1">
        <v>1686.1242500000001</v>
      </c>
      <c r="C115" s="1">
        <v>5109.4676250000002</v>
      </c>
      <c r="D115" s="4">
        <f t="shared" si="1"/>
        <v>6046.2746870749997</v>
      </c>
    </row>
    <row r="116" spans="1:6" x14ac:dyDescent="0.3">
      <c r="A116" s="12" t="s">
        <v>314</v>
      </c>
      <c r="B116" s="1">
        <v>1529.9281249999899</v>
      </c>
      <c r="C116" s="1">
        <v>4636.1457499999997</v>
      </c>
      <c r="D116" s="4">
        <f t="shared" si="1"/>
        <v>5680.5862064499997</v>
      </c>
    </row>
    <row r="117" spans="1:6" x14ac:dyDescent="0.3">
      <c r="A117" s="12" t="s">
        <v>290</v>
      </c>
      <c r="B117" s="1">
        <v>1364.9732857142801</v>
      </c>
      <c r="C117" s="1">
        <v>4136.2830000000004</v>
      </c>
      <c r="D117" s="4">
        <f t="shared" si="1"/>
        <v>5294.3922457999997</v>
      </c>
    </row>
    <row r="118" spans="1:6" x14ac:dyDescent="0.3">
      <c r="A118" s="12" t="s">
        <v>266</v>
      </c>
      <c r="B118" s="1">
        <v>1502.82866666666</v>
      </c>
      <c r="C118" s="1">
        <v>4554.0259999999898</v>
      </c>
      <c r="D118" s="4">
        <f t="shared" si="1"/>
        <v>5617.1404875999924</v>
      </c>
    </row>
    <row r="119" spans="1:6" x14ac:dyDescent="0.3">
      <c r="A119" s="12" t="s">
        <v>337</v>
      </c>
      <c r="B119" s="1">
        <v>1499.5999999999899</v>
      </c>
      <c r="C119" s="1">
        <v>4544.2427500000003</v>
      </c>
      <c r="D119" s="4">
        <f t="shared" si="1"/>
        <v>5609.5819486500004</v>
      </c>
    </row>
    <row r="120" spans="1:6" x14ac:dyDescent="0.3">
      <c r="A120" s="12" t="s">
        <v>313</v>
      </c>
      <c r="B120" s="1">
        <v>1451.9716249999899</v>
      </c>
      <c r="C120" s="1">
        <v>4399.9139999999898</v>
      </c>
      <c r="D120" s="4">
        <f t="shared" si="1"/>
        <v>5498.0735563999915</v>
      </c>
    </row>
    <row r="121" spans="1:6" x14ac:dyDescent="0.3">
      <c r="A121" s="12" t="s">
        <v>289</v>
      </c>
      <c r="B121" s="1">
        <v>1446.4035714285701</v>
      </c>
      <c r="C121" s="1">
        <v>4383.0410000000002</v>
      </c>
      <c r="D121" s="4">
        <f t="shared" si="1"/>
        <v>5485.0374765999995</v>
      </c>
    </row>
    <row r="122" spans="1:6" x14ac:dyDescent="0.3">
      <c r="A122" s="12" t="s">
        <v>265</v>
      </c>
      <c r="B122" s="1">
        <v>1502.9309000000001</v>
      </c>
      <c r="C122" s="1">
        <v>4554.3357999999898</v>
      </c>
      <c r="D122" s="4">
        <f t="shared" si="1"/>
        <v>5617.3798390799911</v>
      </c>
    </row>
    <row r="123" spans="1:6" x14ac:dyDescent="0.3">
      <c r="A123" s="12" t="s">
        <v>336</v>
      </c>
      <c r="B123" s="1">
        <v>1533.7179999999901</v>
      </c>
      <c r="C123" s="1">
        <v>4647.6306666666596</v>
      </c>
      <c r="D123" s="4">
        <f t="shared" si="1"/>
        <v>5689.4594530666609</v>
      </c>
    </row>
    <row r="124" spans="1:6" x14ac:dyDescent="0.3">
      <c r="A124" s="12" t="s">
        <v>312</v>
      </c>
      <c r="B124" s="1">
        <v>1497.0409999999899</v>
      </c>
      <c r="C124" s="1">
        <v>4536.4879999999903</v>
      </c>
      <c r="D124" s="4">
        <f t="shared" si="1"/>
        <v>5603.5906287999915</v>
      </c>
    </row>
    <row r="125" spans="1:6" x14ac:dyDescent="0.3">
      <c r="A125" s="12" t="s">
        <v>288</v>
      </c>
      <c r="B125" s="1">
        <v>1606.5241428571401</v>
      </c>
      <c r="C125" s="1">
        <v>4868.2554285714205</v>
      </c>
      <c r="D125" s="4">
        <f t="shared" si="1"/>
        <v>5859.9141441142792</v>
      </c>
    </row>
    <row r="126" spans="1:6" x14ac:dyDescent="0.3">
      <c r="A126" s="12" t="s">
        <v>264</v>
      </c>
      <c r="B126" s="1">
        <v>1709.52766666666</v>
      </c>
      <c r="C126" s="1">
        <v>5180.3871111111102</v>
      </c>
      <c r="D126" s="4">
        <f t="shared" si="1"/>
        <v>6101.0670820444429</v>
      </c>
    </row>
    <row r="127" spans="1:6" x14ac:dyDescent="0.3">
      <c r="A127" s="12" t="s">
        <v>335</v>
      </c>
      <c r="B127" s="1">
        <v>1844.3465555555499</v>
      </c>
      <c r="C127" s="1">
        <v>5588.9291111111097</v>
      </c>
      <c r="D127" s="4">
        <f t="shared" si="1"/>
        <v>6416.7066312444431</v>
      </c>
      <c r="F127" s="1">
        <f>AVERAGE(D127:D150)</f>
        <v>5900.9246594721735</v>
      </c>
    </row>
    <row r="128" spans="1:6" x14ac:dyDescent="0.3">
      <c r="A128" s="12" t="s">
        <v>311</v>
      </c>
      <c r="B128" s="1">
        <v>1688.0612857142801</v>
      </c>
      <c r="C128" s="1">
        <v>5115.3377142857098</v>
      </c>
      <c r="D128" s="4">
        <f t="shared" si="1"/>
        <v>6050.8099180571389</v>
      </c>
    </row>
    <row r="129" spans="1:4" x14ac:dyDescent="0.3">
      <c r="A129" s="12" t="s">
        <v>287</v>
      </c>
      <c r="B129" s="1">
        <v>1568.4615714285701</v>
      </c>
      <c r="C129" s="1">
        <v>4752.9138571428502</v>
      </c>
      <c r="D129" s="4">
        <f t="shared" si="1"/>
        <v>5770.8012460285663</v>
      </c>
    </row>
    <row r="130" spans="1:4" x14ac:dyDescent="0.3">
      <c r="A130" s="12" t="s">
        <v>263</v>
      </c>
      <c r="B130" s="1">
        <v>1504.2478999999901</v>
      </c>
      <c r="C130" s="1">
        <v>4558.3269999999902</v>
      </c>
      <c r="D130" s="4">
        <f t="shared" si="1"/>
        <v>5620.463440199992</v>
      </c>
    </row>
    <row r="131" spans="1:4" x14ac:dyDescent="0.3">
      <c r="A131" s="12" t="s">
        <v>334</v>
      </c>
      <c r="B131" s="1">
        <v>1786.5940000000001</v>
      </c>
      <c r="C131" s="1">
        <v>5413.9211249999898</v>
      </c>
      <c r="D131" s="4">
        <f t="shared" si="1"/>
        <v>6281.4954611749918</v>
      </c>
    </row>
    <row r="132" spans="1:4" x14ac:dyDescent="0.3">
      <c r="A132" s="12" t="s">
        <v>310</v>
      </c>
      <c r="B132" s="1">
        <v>1592.8105</v>
      </c>
      <c r="C132" s="1">
        <v>4826.6991250000001</v>
      </c>
      <c r="D132" s="4">
        <f t="shared" si="1"/>
        <v>5827.8077439749995</v>
      </c>
    </row>
    <row r="133" spans="1:4" x14ac:dyDescent="0.3">
      <c r="A133" s="12" t="s">
        <v>286</v>
      </c>
      <c r="B133" s="1">
        <v>1672.77185714285</v>
      </c>
      <c r="C133" s="1">
        <v>5069.00557142857</v>
      </c>
      <c r="D133" s="4">
        <f t="shared" si="1"/>
        <v>6015.0137044857129</v>
      </c>
    </row>
    <row r="134" spans="1:4" x14ac:dyDescent="0.3">
      <c r="A134" s="12" t="s">
        <v>262</v>
      </c>
      <c r="B134" s="1">
        <v>1520.7856666666601</v>
      </c>
      <c r="C134" s="1">
        <v>4608.4415555555497</v>
      </c>
      <c r="D134" s="4">
        <f t="shared" si="1"/>
        <v>5659.1819458222171</v>
      </c>
    </row>
    <row r="135" spans="1:4" x14ac:dyDescent="0.3">
      <c r="A135" s="12" t="s">
        <v>333</v>
      </c>
      <c r="B135" s="1">
        <v>1515.7659999999901</v>
      </c>
      <c r="C135" s="1">
        <v>4593.2303750000001</v>
      </c>
      <c r="D135" s="4">
        <f t="shared" si="1"/>
        <v>5647.4297877249992</v>
      </c>
    </row>
    <row r="136" spans="1:4" x14ac:dyDescent="0.3">
      <c r="A136" s="12" t="s">
        <v>309</v>
      </c>
      <c r="B136" s="1">
        <v>1521.3567499999899</v>
      </c>
      <c r="C136" s="1">
        <v>4610.1721250000001</v>
      </c>
      <c r="D136" s="4">
        <f t="shared" ref="D136:D199" si="2">0.7726*C136+2098.7</f>
        <v>5660.5189837749995</v>
      </c>
    </row>
    <row r="137" spans="1:4" x14ac:dyDescent="0.3">
      <c r="A137" s="12" t="s">
        <v>285</v>
      </c>
      <c r="B137" s="1">
        <v>1766.7939999999901</v>
      </c>
      <c r="C137" s="1">
        <v>5353.9205714285699</v>
      </c>
      <c r="D137" s="4">
        <f t="shared" si="2"/>
        <v>6235.1390334857124</v>
      </c>
    </row>
    <row r="138" spans="1:4" x14ac:dyDescent="0.3">
      <c r="A138" s="12" t="s">
        <v>261</v>
      </c>
      <c r="B138" s="1">
        <v>1692.6376666666599</v>
      </c>
      <c r="C138" s="1">
        <v>5129.2049999999899</v>
      </c>
      <c r="D138" s="4">
        <f t="shared" si="2"/>
        <v>6061.5237829999915</v>
      </c>
    </row>
    <row r="139" spans="1:4" x14ac:dyDescent="0.3">
      <c r="A139" s="12" t="s">
        <v>332</v>
      </c>
      <c r="B139" s="1">
        <v>1749.8921250000001</v>
      </c>
      <c r="C139" s="1">
        <v>5302.703125</v>
      </c>
      <c r="D139" s="4">
        <f t="shared" si="2"/>
        <v>6195.5684343749999</v>
      </c>
    </row>
    <row r="140" spans="1:4" x14ac:dyDescent="0.3">
      <c r="A140" s="12" t="s">
        <v>308</v>
      </c>
      <c r="B140" s="1">
        <v>1540.32342857142</v>
      </c>
      <c r="C140" s="1">
        <v>4667.64671428571</v>
      </c>
      <c r="D140" s="4">
        <f t="shared" si="2"/>
        <v>5704.9238514571389</v>
      </c>
    </row>
    <row r="141" spans="1:4" x14ac:dyDescent="0.3">
      <c r="A141" s="12" t="s">
        <v>284</v>
      </c>
      <c r="B141" s="1">
        <v>1670.3834285714199</v>
      </c>
      <c r="C141" s="1">
        <v>5061.7685714285699</v>
      </c>
      <c r="D141" s="4">
        <f t="shared" si="2"/>
        <v>6009.4223982857129</v>
      </c>
    </row>
    <row r="142" spans="1:4" x14ac:dyDescent="0.3">
      <c r="A142" s="12" t="s">
        <v>260</v>
      </c>
      <c r="B142" s="1">
        <v>1609.4661000000001</v>
      </c>
      <c r="C142" s="1">
        <v>4877.17039999999</v>
      </c>
      <c r="D142" s="4">
        <f t="shared" si="2"/>
        <v>5866.8018510399925</v>
      </c>
    </row>
    <row r="143" spans="1:4" x14ac:dyDescent="0.3">
      <c r="A143" s="12" t="s">
        <v>331</v>
      </c>
      <c r="B143" s="1">
        <v>1723.6894444444399</v>
      </c>
      <c r="C143" s="1">
        <v>5223.3014444444398</v>
      </c>
      <c r="D143" s="4">
        <f t="shared" si="2"/>
        <v>6134.2226959777736</v>
      </c>
    </row>
    <row r="144" spans="1:4" x14ac:dyDescent="0.3">
      <c r="A144" s="12" t="s">
        <v>307</v>
      </c>
      <c r="B144" s="1">
        <v>1620.2261249999899</v>
      </c>
      <c r="C144" s="1">
        <v>4909.7766249999904</v>
      </c>
      <c r="D144" s="4">
        <f t="shared" si="2"/>
        <v>5891.9934204749916</v>
      </c>
    </row>
    <row r="145" spans="1:6" x14ac:dyDescent="0.3">
      <c r="A145" s="12" t="s">
        <v>283</v>
      </c>
      <c r="B145" s="1">
        <v>1577.78428571428</v>
      </c>
      <c r="C145" s="1">
        <v>4781.1642857142797</v>
      </c>
      <c r="D145" s="4">
        <f t="shared" si="2"/>
        <v>5792.6275271428522</v>
      </c>
    </row>
    <row r="146" spans="1:6" x14ac:dyDescent="0.3">
      <c r="A146" s="12" t="s">
        <v>259</v>
      </c>
      <c r="B146" s="1">
        <v>1639.1977777777699</v>
      </c>
      <c r="C146" s="1">
        <v>4967.2659999999896</v>
      </c>
      <c r="D146" s="4">
        <f t="shared" si="2"/>
        <v>5936.4097115999921</v>
      </c>
    </row>
    <row r="147" spans="1:6" x14ac:dyDescent="0.3">
      <c r="A147" s="12" t="s">
        <v>330</v>
      </c>
      <c r="B147" s="1">
        <v>1711.9591249999901</v>
      </c>
      <c r="C147" s="1">
        <v>5187.7553749999997</v>
      </c>
      <c r="D147" s="4">
        <f t="shared" si="2"/>
        <v>6106.7598027249987</v>
      </c>
    </row>
    <row r="148" spans="1:6" x14ac:dyDescent="0.3">
      <c r="A148" s="12" t="s">
        <v>306</v>
      </c>
      <c r="B148" s="1">
        <v>1592.10924999999</v>
      </c>
      <c r="C148" s="1">
        <v>4824.5734999999904</v>
      </c>
      <c r="D148" s="4">
        <f t="shared" si="2"/>
        <v>5826.1654860999915</v>
      </c>
    </row>
    <row r="149" spans="1:6" x14ac:dyDescent="0.3">
      <c r="A149" s="12" t="s">
        <v>282</v>
      </c>
      <c r="B149" s="1">
        <v>1442.9375</v>
      </c>
      <c r="C149" s="1">
        <v>4372.5379999999896</v>
      </c>
      <c r="D149" s="4">
        <f t="shared" si="2"/>
        <v>5476.9228587999914</v>
      </c>
    </row>
    <row r="150" spans="1:6" x14ac:dyDescent="0.3">
      <c r="A150" s="12" t="s">
        <v>258</v>
      </c>
      <c r="B150" s="1">
        <v>1424.3828000000001</v>
      </c>
      <c r="C150" s="1">
        <v>4316.3113000000003</v>
      </c>
      <c r="D150" s="4">
        <f t="shared" si="2"/>
        <v>5433.4821103800004</v>
      </c>
    </row>
    <row r="151" spans="1:6" x14ac:dyDescent="0.3">
      <c r="A151" s="12" t="s">
        <v>329</v>
      </c>
      <c r="B151" s="1">
        <v>1728.3695</v>
      </c>
      <c r="C151" s="1">
        <v>5237.4833749999898</v>
      </c>
      <c r="D151" s="4">
        <f t="shared" si="2"/>
        <v>6145.1796555249912</v>
      </c>
      <c r="F151" s="1">
        <f>AVERAGE(D151:D174)</f>
        <v>5495.4250275711665</v>
      </c>
    </row>
    <row r="152" spans="1:6" x14ac:dyDescent="0.3">
      <c r="A152" s="12" t="s">
        <v>305</v>
      </c>
      <c r="B152" s="1">
        <v>1582.5387499999899</v>
      </c>
      <c r="C152" s="1">
        <v>4795.5717500000001</v>
      </c>
      <c r="D152" s="4">
        <f t="shared" si="2"/>
        <v>5803.7587340499995</v>
      </c>
    </row>
    <row r="153" spans="1:6" x14ac:dyDescent="0.3">
      <c r="A153" s="12" t="s">
        <v>281</v>
      </c>
      <c r="B153" s="1">
        <v>1504.1690000000001</v>
      </c>
      <c r="C153" s="1">
        <v>4558.0877142857098</v>
      </c>
      <c r="D153" s="4">
        <f t="shared" si="2"/>
        <v>5620.2785680571396</v>
      </c>
    </row>
    <row r="154" spans="1:6" x14ac:dyDescent="0.3">
      <c r="A154" s="12" t="s">
        <v>257</v>
      </c>
      <c r="B154" s="1">
        <v>1405.3178888888799</v>
      </c>
      <c r="C154" s="1">
        <v>4258.5394444444401</v>
      </c>
      <c r="D154" s="4">
        <f t="shared" si="2"/>
        <v>5388.8475747777738</v>
      </c>
    </row>
    <row r="155" spans="1:6" x14ac:dyDescent="0.3">
      <c r="A155" s="12" t="s">
        <v>328</v>
      </c>
      <c r="B155" s="1">
        <v>1673.14749999999</v>
      </c>
      <c r="C155" s="1">
        <v>5070.1443749999899</v>
      </c>
      <c r="D155" s="4">
        <f t="shared" si="2"/>
        <v>6015.8935441249923</v>
      </c>
    </row>
    <row r="156" spans="1:6" x14ac:dyDescent="0.3">
      <c r="A156" s="12" t="s">
        <v>304</v>
      </c>
      <c r="B156" s="1">
        <v>1489.60042857142</v>
      </c>
      <c r="C156" s="1">
        <v>4513.9404285714199</v>
      </c>
      <c r="D156" s="4">
        <f t="shared" si="2"/>
        <v>5586.1703751142786</v>
      </c>
    </row>
    <row r="157" spans="1:6" x14ac:dyDescent="0.3">
      <c r="A157" s="12" t="s">
        <v>280</v>
      </c>
      <c r="B157" s="1">
        <v>1446.98271428571</v>
      </c>
      <c r="C157" s="1">
        <v>4384.7965714285701</v>
      </c>
      <c r="D157" s="4">
        <f t="shared" si="2"/>
        <v>5486.3938310857129</v>
      </c>
    </row>
    <row r="158" spans="1:6" x14ac:dyDescent="0.3">
      <c r="A158" s="12" t="s">
        <v>256</v>
      </c>
      <c r="B158" s="1">
        <v>1377.52733333333</v>
      </c>
      <c r="C158" s="1">
        <v>4174.3253333333296</v>
      </c>
      <c r="D158" s="4">
        <f t="shared" si="2"/>
        <v>5323.7837525333307</v>
      </c>
    </row>
    <row r="159" spans="1:6" x14ac:dyDescent="0.3">
      <c r="A159" s="12" t="s">
        <v>327</v>
      </c>
      <c r="B159" s="1">
        <v>1570.3944999999901</v>
      </c>
      <c r="C159" s="1">
        <v>4758.7711250000002</v>
      </c>
      <c r="D159" s="4">
        <f t="shared" si="2"/>
        <v>5775.3265711749991</v>
      </c>
    </row>
    <row r="160" spans="1:6" x14ac:dyDescent="0.3">
      <c r="A160" s="12" t="s">
        <v>303</v>
      </c>
      <c r="B160" s="1">
        <v>1400.0259999999901</v>
      </c>
      <c r="C160" s="1">
        <v>4242.5026250000001</v>
      </c>
      <c r="D160" s="4">
        <f t="shared" si="2"/>
        <v>5376.4575280749996</v>
      </c>
    </row>
    <row r="161" spans="1:6" x14ac:dyDescent="0.3">
      <c r="A161" s="12" t="s">
        <v>279</v>
      </c>
      <c r="B161" s="1">
        <v>1497.65842857142</v>
      </c>
      <c r="C161" s="1">
        <v>4538.35885714285</v>
      </c>
      <c r="D161" s="4">
        <f t="shared" si="2"/>
        <v>5605.0360530285652</v>
      </c>
    </row>
    <row r="162" spans="1:6" x14ac:dyDescent="0.3">
      <c r="A162" s="12" t="s">
        <v>255</v>
      </c>
      <c r="B162" s="1">
        <v>1295.2212999999899</v>
      </c>
      <c r="C162" s="1">
        <v>3924.9132999999902</v>
      </c>
      <c r="D162" s="4">
        <f t="shared" si="2"/>
        <v>5131.0880155799914</v>
      </c>
    </row>
    <row r="163" spans="1:6" x14ac:dyDescent="0.3">
      <c r="A163" s="12" t="s">
        <v>326</v>
      </c>
      <c r="B163" s="1">
        <v>1487.80144444444</v>
      </c>
      <c r="C163" s="1">
        <v>4508.48888888888</v>
      </c>
      <c r="D163" s="4">
        <f t="shared" si="2"/>
        <v>5581.9585155555487</v>
      </c>
    </row>
    <row r="164" spans="1:6" x14ac:dyDescent="0.3">
      <c r="A164" s="12" t="s">
        <v>302</v>
      </c>
      <c r="B164" s="1">
        <v>1389.4152857142799</v>
      </c>
      <c r="C164" s="1">
        <v>4210.3490000000002</v>
      </c>
      <c r="D164" s="4">
        <f t="shared" si="2"/>
        <v>5351.6156374000002</v>
      </c>
    </row>
    <row r="165" spans="1:6" x14ac:dyDescent="0.3">
      <c r="A165" s="12" t="s">
        <v>278</v>
      </c>
      <c r="B165" s="1">
        <v>1196.8858333333301</v>
      </c>
      <c r="C165" s="1">
        <v>3626.92716666666</v>
      </c>
      <c r="D165" s="4">
        <f t="shared" si="2"/>
        <v>4900.8639289666608</v>
      </c>
    </row>
    <row r="166" spans="1:6" x14ac:dyDescent="0.3">
      <c r="A166" s="12" t="s">
        <v>254</v>
      </c>
      <c r="B166" s="1">
        <v>1123.32533333333</v>
      </c>
      <c r="C166" s="1">
        <v>3404.0163333333298</v>
      </c>
      <c r="D166" s="4">
        <f t="shared" si="2"/>
        <v>4728.6430191333302</v>
      </c>
    </row>
    <row r="167" spans="1:6" x14ac:dyDescent="0.3">
      <c r="A167" s="12" t="s">
        <v>325</v>
      </c>
      <c r="B167" s="1">
        <v>1632.8556249999999</v>
      </c>
      <c r="C167" s="1">
        <v>4948.0481250000003</v>
      </c>
      <c r="D167" s="4">
        <f t="shared" si="2"/>
        <v>5921.561981375</v>
      </c>
    </row>
    <row r="168" spans="1:6" x14ac:dyDescent="0.3">
      <c r="A168" s="12" t="s">
        <v>301</v>
      </c>
      <c r="B168" s="1">
        <v>1393.01985714285</v>
      </c>
      <c r="C168" s="1">
        <v>4221.2718571428504</v>
      </c>
      <c r="D168" s="4">
        <f t="shared" si="2"/>
        <v>5360.0546368285659</v>
      </c>
    </row>
    <row r="169" spans="1:6" x14ac:dyDescent="0.3">
      <c r="A169" s="12" t="s">
        <v>277</v>
      </c>
      <c r="B169" s="1">
        <v>1399.70742857142</v>
      </c>
      <c r="C169" s="1">
        <v>4241.5375714285701</v>
      </c>
      <c r="D169" s="4">
        <f t="shared" si="2"/>
        <v>5375.7119276857129</v>
      </c>
    </row>
    <row r="170" spans="1:6" x14ac:dyDescent="0.3">
      <c r="A170" s="12" t="s">
        <v>253</v>
      </c>
      <c r="B170" s="1">
        <v>1298.2728999999999</v>
      </c>
      <c r="C170" s="1">
        <v>3934.1604000000002</v>
      </c>
      <c r="D170" s="4">
        <f t="shared" si="2"/>
        <v>5138.2323250400004</v>
      </c>
    </row>
    <row r="171" spans="1:6" x14ac:dyDescent="0.3">
      <c r="A171" s="12" t="s">
        <v>324</v>
      </c>
      <c r="B171" s="1">
        <v>1567.4336249999899</v>
      </c>
      <c r="C171" s="1">
        <v>4749.79899999999</v>
      </c>
      <c r="D171" s="4">
        <f t="shared" si="2"/>
        <v>5768.3947073999916</v>
      </c>
    </row>
    <row r="172" spans="1:6" x14ac:dyDescent="0.3">
      <c r="A172" s="12" t="s">
        <v>300</v>
      </c>
      <c r="B172" s="1">
        <v>1445.5273749999899</v>
      </c>
      <c r="C172" s="1">
        <v>4380.3858749999999</v>
      </c>
      <c r="D172" s="4">
        <f t="shared" si="2"/>
        <v>5482.9861270249994</v>
      </c>
    </row>
    <row r="173" spans="1:6" x14ac:dyDescent="0.3">
      <c r="A173" s="12" t="s">
        <v>276</v>
      </c>
      <c r="B173" s="1">
        <v>1588.9670000000001</v>
      </c>
      <c r="C173" s="1">
        <v>4815.0521428571401</v>
      </c>
      <c r="D173" s="4">
        <f t="shared" si="2"/>
        <v>5818.8092855714258</v>
      </c>
    </row>
    <row r="174" spans="1:6" x14ac:dyDescent="0.3">
      <c r="A174" s="12" t="s">
        <v>252</v>
      </c>
      <c r="B174" s="1">
        <v>1326.0029999999899</v>
      </c>
      <c r="C174" s="1">
        <v>4018.1909999999898</v>
      </c>
      <c r="D174" s="4">
        <f t="shared" si="2"/>
        <v>5203.1543665999916</v>
      </c>
    </row>
    <row r="175" spans="1:6" x14ac:dyDescent="0.3">
      <c r="A175" s="12" t="s">
        <v>323</v>
      </c>
      <c r="B175" s="1">
        <v>1428.5461249999901</v>
      </c>
      <c r="C175" s="1">
        <v>4328.9276250000003</v>
      </c>
      <c r="D175" s="4">
        <f t="shared" si="2"/>
        <v>5443.2294830749997</v>
      </c>
      <c r="F175" s="1">
        <f>AVERAGE(D175:D198)</f>
        <v>5452.4641004138975</v>
      </c>
    </row>
    <row r="176" spans="1:6" x14ac:dyDescent="0.3">
      <c r="A176" s="12" t="s">
        <v>299</v>
      </c>
      <c r="B176" s="1">
        <v>1441.1752857142801</v>
      </c>
      <c r="C176" s="1">
        <v>4367.1979999999903</v>
      </c>
      <c r="D176" s="4">
        <f t="shared" si="2"/>
        <v>5472.7971747999927</v>
      </c>
    </row>
    <row r="177" spans="1:4" x14ac:dyDescent="0.3">
      <c r="A177" s="12" t="s">
        <v>275</v>
      </c>
      <c r="B177" s="1">
        <v>1426.9141666666601</v>
      </c>
      <c r="C177" s="1">
        <v>4323.9833333333299</v>
      </c>
      <c r="D177" s="4">
        <f t="shared" si="2"/>
        <v>5439.4095233333301</v>
      </c>
    </row>
    <row r="178" spans="1:4" x14ac:dyDescent="0.3">
      <c r="A178" s="12" t="s">
        <v>251</v>
      </c>
      <c r="B178" s="1">
        <v>1314.84944444444</v>
      </c>
      <c r="C178" s="1">
        <v>3984.3917777777701</v>
      </c>
      <c r="D178" s="4">
        <f t="shared" si="2"/>
        <v>5177.0410875111047</v>
      </c>
    </row>
    <row r="179" spans="1:4" x14ac:dyDescent="0.3">
      <c r="A179" s="12" t="s">
        <v>322</v>
      </c>
      <c r="B179" s="1">
        <v>1461.748875</v>
      </c>
      <c r="C179" s="1">
        <v>4429.5414999999903</v>
      </c>
      <c r="D179" s="4">
        <f t="shared" si="2"/>
        <v>5520.9637628999917</v>
      </c>
    </row>
    <row r="180" spans="1:4" x14ac:dyDescent="0.3">
      <c r="A180" s="12" t="s">
        <v>298</v>
      </c>
      <c r="B180" s="1">
        <v>1489.269875</v>
      </c>
      <c r="C180" s="1">
        <v>4512.9393749999899</v>
      </c>
      <c r="D180" s="4">
        <f t="shared" si="2"/>
        <v>5585.3969611249922</v>
      </c>
    </row>
    <row r="181" spans="1:4" x14ac:dyDescent="0.3">
      <c r="A181" s="12" t="s">
        <v>274</v>
      </c>
      <c r="B181" s="1">
        <v>1558.761</v>
      </c>
      <c r="C181" s="1">
        <v>4723.51828571428</v>
      </c>
      <c r="D181" s="4">
        <f t="shared" si="2"/>
        <v>5748.0902275428525</v>
      </c>
    </row>
    <row r="182" spans="1:4" x14ac:dyDescent="0.3">
      <c r="A182" s="12" t="s">
        <v>250</v>
      </c>
      <c r="B182" s="1">
        <v>1505.3528999999901</v>
      </c>
      <c r="C182" s="1">
        <v>4561.6755999999896</v>
      </c>
      <c r="D182" s="4">
        <f t="shared" si="2"/>
        <v>5623.050568559991</v>
      </c>
    </row>
    <row r="183" spans="1:4" x14ac:dyDescent="0.3">
      <c r="A183" s="12" t="s">
        <v>321</v>
      </c>
      <c r="B183" s="1">
        <v>1629.0374444444401</v>
      </c>
      <c r="C183" s="1">
        <v>4936.47722222222</v>
      </c>
      <c r="D183" s="4">
        <f t="shared" si="2"/>
        <v>5912.6223018888868</v>
      </c>
    </row>
    <row r="184" spans="1:4" x14ac:dyDescent="0.3">
      <c r="A184" s="12" t="s">
        <v>297</v>
      </c>
      <c r="B184" s="1">
        <v>1489.8039999999901</v>
      </c>
      <c r="C184" s="1">
        <v>4514.5571428571402</v>
      </c>
      <c r="D184" s="4">
        <f t="shared" si="2"/>
        <v>5586.6468485714267</v>
      </c>
    </row>
    <row r="185" spans="1:4" x14ac:dyDescent="0.3">
      <c r="A185" s="12" t="s">
        <v>273</v>
      </c>
      <c r="B185" s="1">
        <v>1611.1074285714201</v>
      </c>
      <c r="C185" s="1">
        <v>4882.14328571428</v>
      </c>
      <c r="D185" s="4">
        <f t="shared" si="2"/>
        <v>5870.6439025428517</v>
      </c>
    </row>
    <row r="186" spans="1:4" x14ac:dyDescent="0.3">
      <c r="A186" s="12" t="s">
        <v>249</v>
      </c>
      <c r="B186" s="1">
        <v>1386.4445555555501</v>
      </c>
      <c r="C186" s="1">
        <v>4201.3473333333304</v>
      </c>
      <c r="D186" s="4">
        <f t="shared" si="2"/>
        <v>5344.6609497333302</v>
      </c>
    </row>
    <row r="187" spans="1:4" x14ac:dyDescent="0.3">
      <c r="A187" s="12" t="s">
        <v>320</v>
      </c>
      <c r="B187" s="1">
        <v>1638.02925</v>
      </c>
      <c r="C187" s="1">
        <v>4963.7252500000004</v>
      </c>
      <c r="D187" s="4">
        <f t="shared" si="2"/>
        <v>5933.6741281499999</v>
      </c>
    </row>
    <row r="188" spans="1:4" x14ac:dyDescent="0.3">
      <c r="A188" s="12" t="s">
        <v>296</v>
      </c>
      <c r="B188" s="1">
        <v>1590.3976250000001</v>
      </c>
      <c r="C188" s="1">
        <v>4819.3864999999996</v>
      </c>
      <c r="D188" s="4">
        <f t="shared" si="2"/>
        <v>5822.1580098999993</v>
      </c>
    </row>
    <row r="189" spans="1:4" x14ac:dyDescent="0.3">
      <c r="A189" s="12" t="s">
        <v>272</v>
      </c>
      <c r="B189" s="1">
        <v>1234.3211428571401</v>
      </c>
      <c r="C189" s="1">
        <v>3740.3671428571402</v>
      </c>
      <c r="D189" s="4">
        <f t="shared" si="2"/>
        <v>4988.5076545714255</v>
      </c>
    </row>
    <row r="190" spans="1:4" x14ac:dyDescent="0.3">
      <c r="A190" s="12" t="s">
        <v>248</v>
      </c>
      <c r="B190" s="1">
        <v>1240.76311111111</v>
      </c>
      <c r="C190" s="1">
        <v>3759.8884444444402</v>
      </c>
      <c r="D190" s="4">
        <f t="shared" si="2"/>
        <v>5003.5898121777736</v>
      </c>
    </row>
    <row r="191" spans="1:4" x14ac:dyDescent="0.3">
      <c r="A191" s="12" t="s">
        <v>319</v>
      </c>
      <c r="B191" s="1">
        <v>1601.7725</v>
      </c>
      <c r="C191" s="1">
        <v>4853.8564999999999</v>
      </c>
      <c r="D191" s="4">
        <f t="shared" si="2"/>
        <v>5848.7895318999999</v>
      </c>
    </row>
    <row r="192" spans="1:4" x14ac:dyDescent="0.3">
      <c r="A192" s="12" t="s">
        <v>295</v>
      </c>
      <c r="B192" s="1">
        <v>1422.1257499999999</v>
      </c>
      <c r="C192" s="1">
        <v>4309.4721250000002</v>
      </c>
      <c r="D192" s="4">
        <f t="shared" si="2"/>
        <v>5428.1981637749996</v>
      </c>
    </row>
    <row r="193" spans="1:6" x14ac:dyDescent="0.3">
      <c r="A193" s="12" t="s">
        <v>271</v>
      </c>
      <c r="B193" s="1">
        <v>1276.93616666666</v>
      </c>
      <c r="C193" s="1">
        <v>3869.5034999999898</v>
      </c>
      <c r="D193" s="4">
        <f t="shared" si="2"/>
        <v>5088.2784040999923</v>
      </c>
    </row>
    <row r="194" spans="1:6" x14ac:dyDescent="0.3">
      <c r="A194" s="12" t="s">
        <v>247</v>
      </c>
      <c r="B194" s="1">
        <v>1353.11779999999</v>
      </c>
      <c r="C194" s="1">
        <v>4100.3567999999896</v>
      </c>
      <c r="D194" s="4">
        <f t="shared" si="2"/>
        <v>5266.6356636799919</v>
      </c>
    </row>
    <row r="195" spans="1:6" x14ac:dyDescent="0.3">
      <c r="A195" s="12" t="s">
        <v>318</v>
      </c>
      <c r="B195" s="1">
        <v>1230.772375</v>
      </c>
      <c r="C195" s="1">
        <v>3729.6131249999999</v>
      </c>
      <c r="D195" s="4">
        <f t="shared" si="2"/>
        <v>4980.199100374999</v>
      </c>
    </row>
    <row r="196" spans="1:6" x14ac:dyDescent="0.3">
      <c r="A196" s="12" t="s">
        <v>294</v>
      </c>
      <c r="B196" s="1">
        <v>1237.2061428571401</v>
      </c>
      <c r="C196" s="1">
        <v>3749.1094285714198</v>
      </c>
      <c r="D196" s="4">
        <f t="shared" si="2"/>
        <v>4995.2619445142791</v>
      </c>
    </row>
    <row r="197" spans="1:6" x14ac:dyDescent="0.3">
      <c r="A197" s="12" t="s">
        <v>270</v>
      </c>
      <c r="B197" s="1">
        <v>1445.6561428571399</v>
      </c>
      <c r="C197" s="1">
        <v>4380.7758571428503</v>
      </c>
      <c r="D197" s="4">
        <f t="shared" si="2"/>
        <v>5483.2874272285662</v>
      </c>
    </row>
    <row r="198" spans="1:6" x14ac:dyDescent="0.3">
      <c r="A198" s="12" t="s">
        <v>246</v>
      </c>
      <c r="B198" s="1">
        <v>1365.6624444444401</v>
      </c>
      <c r="C198" s="1">
        <v>4138.3714444444404</v>
      </c>
      <c r="D198" s="4">
        <f t="shared" si="2"/>
        <v>5296.0057779777744</v>
      </c>
    </row>
    <row r="199" spans="1:6" x14ac:dyDescent="0.3">
      <c r="A199" s="12" t="s">
        <v>581</v>
      </c>
      <c r="B199" s="1">
        <v>1267.25874999999</v>
      </c>
      <c r="C199" s="1">
        <v>3840.1777499999998</v>
      </c>
      <c r="D199" s="4">
        <f t="shared" si="2"/>
        <v>5065.6213296499991</v>
      </c>
      <c r="F199" s="1">
        <f>AVERAGE(D199:D222)</f>
        <v>5789.3208590551221</v>
      </c>
    </row>
    <row r="200" spans="1:6" x14ac:dyDescent="0.3">
      <c r="A200" s="12" t="s">
        <v>557</v>
      </c>
      <c r="B200" s="1">
        <v>1515.6462857142801</v>
      </c>
      <c r="C200" s="1">
        <v>4592.8677142857096</v>
      </c>
      <c r="D200" s="4">
        <f t="shared" ref="D200:D263" si="3">0.7726*C200+2098.7</f>
        <v>5647.1495960571392</v>
      </c>
    </row>
    <row r="201" spans="1:6" x14ac:dyDescent="0.3">
      <c r="A201" s="12" t="s">
        <v>533</v>
      </c>
      <c r="B201" s="1">
        <v>1186.9481428571401</v>
      </c>
      <c r="C201" s="1">
        <v>3596.8127142857102</v>
      </c>
      <c r="D201" s="4">
        <f t="shared" si="3"/>
        <v>4877.597503057139</v>
      </c>
    </row>
    <row r="202" spans="1:6" x14ac:dyDescent="0.3">
      <c r="A202" s="12" t="s">
        <v>509</v>
      </c>
      <c r="B202" s="1">
        <v>1337.3485555555501</v>
      </c>
      <c r="C202" s="1">
        <v>4052.5714444444402</v>
      </c>
      <c r="D202" s="4">
        <f t="shared" si="3"/>
        <v>5229.7166979777739</v>
      </c>
    </row>
    <row r="203" spans="1:6" x14ac:dyDescent="0.3">
      <c r="A203" s="12" t="s">
        <v>580</v>
      </c>
      <c r="B203" s="1">
        <v>1743.42811111111</v>
      </c>
      <c r="C203" s="1">
        <v>5283.1152222222199</v>
      </c>
      <c r="D203" s="4">
        <f t="shared" si="3"/>
        <v>6180.4348206888862</v>
      </c>
    </row>
    <row r="204" spans="1:6" x14ac:dyDescent="0.3">
      <c r="A204" s="12" t="s">
        <v>556</v>
      </c>
      <c r="B204" s="1">
        <v>1661.2519999999899</v>
      </c>
      <c r="C204" s="1">
        <v>5034.0969999999897</v>
      </c>
      <c r="D204" s="4">
        <f t="shared" si="3"/>
        <v>5988.0433421999915</v>
      </c>
    </row>
    <row r="205" spans="1:6" x14ac:dyDescent="0.3">
      <c r="A205" s="12" t="s">
        <v>532</v>
      </c>
      <c r="B205" s="1">
        <v>1711.46074999999</v>
      </c>
      <c r="C205" s="1">
        <v>5186.2447499999898</v>
      </c>
      <c r="D205" s="4">
        <f t="shared" si="3"/>
        <v>6105.5926938499915</v>
      </c>
    </row>
    <row r="206" spans="1:6" x14ac:dyDescent="0.3">
      <c r="A206" s="12" t="s">
        <v>508</v>
      </c>
      <c r="B206" s="1">
        <v>1512.1207777777699</v>
      </c>
      <c r="C206" s="1">
        <v>4582.1845555555501</v>
      </c>
      <c r="D206" s="4">
        <f t="shared" si="3"/>
        <v>5638.8957876222175</v>
      </c>
    </row>
    <row r="207" spans="1:6" x14ac:dyDescent="0.3">
      <c r="A207" s="12" t="s">
        <v>579</v>
      </c>
      <c r="B207" s="1">
        <v>1540.2618888888801</v>
      </c>
      <c r="C207" s="1">
        <v>4667.46</v>
      </c>
      <c r="D207" s="4">
        <f t="shared" si="3"/>
        <v>5704.7795960000003</v>
      </c>
    </row>
    <row r="208" spans="1:6" x14ac:dyDescent="0.3">
      <c r="A208" s="12" t="s">
        <v>555</v>
      </c>
      <c r="B208" s="1">
        <v>1681.61157142857</v>
      </c>
      <c r="C208" s="1">
        <v>5095.7929999999897</v>
      </c>
      <c r="D208" s="4">
        <f t="shared" si="3"/>
        <v>6035.7096717999921</v>
      </c>
    </row>
    <row r="209" spans="1:6" x14ac:dyDescent="0.3">
      <c r="A209" s="12" t="s">
        <v>531</v>
      </c>
      <c r="B209" s="1">
        <v>1744.04728571428</v>
      </c>
      <c r="C209" s="1">
        <v>5284.9921428571397</v>
      </c>
      <c r="D209" s="4">
        <f t="shared" si="3"/>
        <v>6181.8849295714263</v>
      </c>
    </row>
    <row r="210" spans="1:6" x14ac:dyDescent="0.3">
      <c r="A210" s="12" t="s">
        <v>507</v>
      </c>
      <c r="B210" s="1">
        <v>1702.845</v>
      </c>
      <c r="C210" s="1">
        <v>5160.1367499999897</v>
      </c>
      <c r="D210" s="4">
        <f t="shared" si="3"/>
        <v>6085.4216530499916</v>
      </c>
    </row>
    <row r="211" spans="1:6" x14ac:dyDescent="0.3">
      <c r="A211" s="12" t="s">
        <v>578</v>
      </c>
      <c r="B211" s="1">
        <v>1391.3015555555501</v>
      </c>
      <c r="C211" s="1">
        <v>4216.06566666666</v>
      </c>
      <c r="D211" s="4">
        <f t="shared" si="3"/>
        <v>5356.032334066661</v>
      </c>
    </row>
    <row r="212" spans="1:6" x14ac:dyDescent="0.3">
      <c r="A212" s="12" t="s">
        <v>554</v>
      </c>
      <c r="B212" s="1">
        <v>1700.2224285714201</v>
      </c>
      <c r="C212" s="1">
        <v>5152.1899999999996</v>
      </c>
      <c r="D212" s="4">
        <f t="shared" si="3"/>
        <v>6079.281993999999</v>
      </c>
    </row>
    <row r="213" spans="1:6" x14ac:dyDescent="0.3">
      <c r="A213" s="12" t="s">
        <v>530</v>
      </c>
      <c r="B213" s="1">
        <v>1623.6769999999999</v>
      </c>
      <c r="C213" s="1">
        <v>4920.2334999999903</v>
      </c>
      <c r="D213" s="4">
        <f t="shared" si="3"/>
        <v>5900.0724020999915</v>
      </c>
    </row>
    <row r="214" spans="1:6" x14ac:dyDescent="0.3">
      <c r="A214" s="12" t="s">
        <v>506</v>
      </c>
      <c r="B214" s="1">
        <v>1644.1113333333301</v>
      </c>
      <c r="C214" s="1">
        <v>4982.1555555555497</v>
      </c>
      <c r="D214" s="4">
        <f t="shared" si="3"/>
        <v>5947.9133822222175</v>
      </c>
    </row>
    <row r="215" spans="1:6" x14ac:dyDescent="0.3">
      <c r="A215" s="12" t="s">
        <v>577</v>
      </c>
      <c r="B215" s="1">
        <v>1556.6048888888799</v>
      </c>
      <c r="C215" s="1">
        <v>4716.9843333333301</v>
      </c>
      <c r="D215" s="4">
        <f t="shared" si="3"/>
        <v>5743.0420959333305</v>
      </c>
    </row>
    <row r="216" spans="1:6" x14ac:dyDescent="0.3">
      <c r="A216" s="12" t="s">
        <v>553</v>
      </c>
      <c r="B216" s="1">
        <v>1570.4504285714199</v>
      </c>
      <c r="C216" s="1">
        <v>4758.9409999999898</v>
      </c>
      <c r="D216" s="4">
        <f t="shared" si="3"/>
        <v>5775.4578165999919</v>
      </c>
    </row>
    <row r="217" spans="1:6" x14ac:dyDescent="0.3">
      <c r="A217" s="12" t="s">
        <v>529</v>
      </c>
      <c r="B217" s="1">
        <v>1710.4977777777699</v>
      </c>
      <c r="C217" s="1">
        <v>5183.3264444444403</v>
      </c>
      <c r="D217" s="4">
        <f t="shared" si="3"/>
        <v>6103.3380109777736</v>
      </c>
    </row>
    <row r="218" spans="1:6" x14ac:dyDescent="0.3">
      <c r="A218" s="12" t="s">
        <v>505</v>
      </c>
      <c r="B218" s="1">
        <v>1630.19544444444</v>
      </c>
      <c r="C218" s="1">
        <v>4939.9865555555498</v>
      </c>
      <c r="D218" s="4">
        <f t="shared" si="3"/>
        <v>5915.3336128222172</v>
      </c>
    </row>
    <row r="219" spans="1:6" x14ac:dyDescent="0.3">
      <c r="A219" s="12" t="s">
        <v>576</v>
      </c>
      <c r="B219" s="1">
        <v>1625.7692500000001</v>
      </c>
      <c r="C219" s="1">
        <v>4926.5729999999903</v>
      </c>
      <c r="D219" s="4">
        <f t="shared" si="3"/>
        <v>5904.9702997999921</v>
      </c>
    </row>
    <row r="220" spans="1:6" x14ac:dyDescent="0.3">
      <c r="A220" s="12" t="s">
        <v>552</v>
      </c>
      <c r="B220" s="1">
        <v>1605.922</v>
      </c>
      <c r="C220" s="1">
        <v>4866.4302857142802</v>
      </c>
      <c r="D220" s="4">
        <f t="shared" si="3"/>
        <v>5858.5040387428526</v>
      </c>
    </row>
    <row r="221" spans="1:6" x14ac:dyDescent="0.3">
      <c r="A221" s="12" t="s">
        <v>528</v>
      </c>
      <c r="B221" s="1">
        <v>1618.83216666666</v>
      </c>
      <c r="C221" s="1">
        <v>4905.5519999999997</v>
      </c>
      <c r="D221" s="4">
        <f t="shared" si="3"/>
        <v>5888.7294751999998</v>
      </c>
    </row>
    <row r="222" spans="1:6" x14ac:dyDescent="0.3">
      <c r="A222" s="12" t="s">
        <v>504</v>
      </c>
      <c r="B222" s="1">
        <v>1551.11011111111</v>
      </c>
      <c r="C222" s="1">
        <v>4700.3333333333303</v>
      </c>
      <c r="D222" s="4">
        <f t="shared" si="3"/>
        <v>5730.1775333333308</v>
      </c>
    </row>
    <row r="223" spans="1:6" x14ac:dyDescent="0.3">
      <c r="A223" s="12" t="s">
        <v>575</v>
      </c>
      <c r="B223" s="1">
        <v>1723.64</v>
      </c>
      <c r="C223" s="1">
        <v>5223.1514999999899</v>
      </c>
      <c r="D223" s="4">
        <f t="shared" si="3"/>
        <v>6134.1068488999917</v>
      </c>
      <c r="F223" s="1">
        <f>AVERAGE(D223:D246)</f>
        <v>5843.0280182664965</v>
      </c>
    </row>
    <row r="224" spans="1:6" x14ac:dyDescent="0.3">
      <c r="A224" s="12" t="s">
        <v>551</v>
      </c>
      <c r="B224" s="1">
        <v>1637.4780000000001</v>
      </c>
      <c r="C224" s="1">
        <v>4962.0549999999903</v>
      </c>
      <c r="D224" s="4">
        <f t="shared" si="3"/>
        <v>5932.3836929999925</v>
      </c>
    </row>
    <row r="225" spans="1:4" x14ac:dyDescent="0.3">
      <c r="A225" s="12" t="s">
        <v>527</v>
      </c>
      <c r="B225" s="1">
        <v>1594.7732857142801</v>
      </c>
      <c r="C225" s="1">
        <v>4832.6461428571401</v>
      </c>
      <c r="D225" s="4">
        <f t="shared" si="3"/>
        <v>5832.4024099714261</v>
      </c>
    </row>
    <row r="226" spans="1:4" x14ac:dyDescent="0.3">
      <c r="A226" s="12" t="s">
        <v>503</v>
      </c>
      <c r="B226" s="1">
        <v>1486.55666666666</v>
      </c>
      <c r="C226" s="1">
        <v>4504.71688888888</v>
      </c>
      <c r="D226" s="4">
        <f t="shared" si="3"/>
        <v>5579.0442683555484</v>
      </c>
    </row>
    <row r="227" spans="1:4" x14ac:dyDescent="0.3">
      <c r="A227" s="12" t="s">
        <v>574</v>
      </c>
      <c r="B227" s="1">
        <v>1600.0865555555499</v>
      </c>
      <c r="C227" s="1">
        <v>4848.7468888888798</v>
      </c>
      <c r="D227" s="4">
        <f t="shared" si="3"/>
        <v>5844.8418463555481</v>
      </c>
    </row>
    <row r="228" spans="1:4" x14ac:dyDescent="0.3">
      <c r="A228" s="12" t="s">
        <v>550</v>
      </c>
      <c r="B228" s="1">
        <v>1655.3529999999901</v>
      </c>
      <c r="C228" s="1">
        <v>5016.2217142857098</v>
      </c>
      <c r="D228" s="4">
        <f t="shared" si="3"/>
        <v>5974.2328964571388</v>
      </c>
    </row>
    <row r="229" spans="1:4" x14ac:dyDescent="0.3">
      <c r="A229" s="12" t="s">
        <v>526</v>
      </c>
      <c r="B229" s="1">
        <v>1681.1544285714201</v>
      </c>
      <c r="C229" s="1">
        <v>5094.4072857142801</v>
      </c>
      <c r="D229" s="4">
        <f t="shared" si="3"/>
        <v>6034.6390689428517</v>
      </c>
    </row>
    <row r="230" spans="1:4" x14ac:dyDescent="0.3">
      <c r="A230" s="12" t="s">
        <v>502</v>
      </c>
      <c r="B230" s="1">
        <v>1708.3512499999899</v>
      </c>
      <c r="C230" s="1">
        <v>5176.8222500000002</v>
      </c>
      <c r="D230" s="4">
        <f t="shared" si="3"/>
        <v>6098.3128703499997</v>
      </c>
    </row>
    <row r="231" spans="1:4" x14ac:dyDescent="0.3">
      <c r="A231" s="12" t="s">
        <v>573</v>
      </c>
      <c r="B231" s="1">
        <v>1487.0464444444401</v>
      </c>
      <c r="C231" s="1">
        <v>4506.2016666666595</v>
      </c>
      <c r="D231" s="4">
        <f t="shared" si="3"/>
        <v>5580.1914076666608</v>
      </c>
    </row>
    <row r="232" spans="1:4" x14ac:dyDescent="0.3">
      <c r="A232" s="12" t="s">
        <v>549</v>
      </c>
      <c r="B232" s="1">
        <v>1794.2117142857101</v>
      </c>
      <c r="C232" s="1">
        <v>5437.0049999999901</v>
      </c>
      <c r="D232" s="4">
        <f t="shared" si="3"/>
        <v>6299.3300629999922</v>
      </c>
    </row>
    <row r="233" spans="1:4" x14ac:dyDescent="0.3">
      <c r="A233" s="12" t="s">
        <v>525</v>
      </c>
      <c r="B233" s="1">
        <v>1561.5841666666599</v>
      </c>
      <c r="C233" s="1">
        <v>4732.0731666666597</v>
      </c>
      <c r="D233" s="4">
        <f t="shared" si="3"/>
        <v>5754.6997285666603</v>
      </c>
    </row>
    <row r="234" spans="1:4" x14ac:dyDescent="0.3">
      <c r="A234" s="12" t="s">
        <v>501</v>
      </c>
      <c r="B234" s="1">
        <v>1481.1373333333299</v>
      </c>
      <c r="C234" s="1">
        <v>4488.2954444444404</v>
      </c>
      <c r="D234" s="4">
        <f t="shared" si="3"/>
        <v>5566.3570603777744</v>
      </c>
    </row>
    <row r="235" spans="1:4" x14ac:dyDescent="0.3">
      <c r="A235" s="12" t="s">
        <v>572</v>
      </c>
      <c r="B235" s="1">
        <v>1516.1048888888799</v>
      </c>
      <c r="C235" s="1">
        <v>4594.2578888888802</v>
      </c>
      <c r="D235" s="4">
        <f t="shared" si="3"/>
        <v>5648.2236449555485</v>
      </c>
    </row>
    <row r="236" spans="1:4" x14ac:dyDescent="0.3">
      <c r="A236" s="12" t="s">
        <v>548</v>
      </c>
      <c r="B236" s="1">
        <v>1425.29728571428</v>
      </c>
      <c r="C236" s="1">
        <v>4319.0828571428501</v>
      </c>
      <c r="D236" s="4">
        <f t="shared" si="3"/>
        <v>5435.6234154285657</v>
      </c>
    </row>
    <row r="237" spans="1:4" x14ac:dyDescent="0.3">
      <c r="A237" s="12" t="s">
        <v>524</v>
      </c>
      <c r="B237" s="1">
        <v>1616.2822857142801</v>
      </c>
      <c r="C237" s="1">
        <v>4897.8254285714202</v>
      </c>
      <c r="D237" s="4">
        <f t="shared" si="3"/>
        <v>5882.7599261142786</v>
      </c>
    </row>
    <row r="238" spans="1:4" x14ac:dyDescent="0.3">
      <c r="A238" s="12" t="s">
        <v>500</v>
      </c>
      <c r="B238" s="1">
        <v>1438.36566666666</v>
      </c>
      <c r="C238" s="1">
        <v>4358.6836666666604</v>
      </c>
      <c r="D238" s="4">
        <f t="shared" si="3"/>
        <v>5466.2190008666621</v>
      </c>
    </row>
    <row r="239" spans="1:4" x14ac:dyDescent="0.3">
      <c r="A239" s="12" t="s">
        <v>571</v>
      </c>
      <c r="B239" s="1">
        <v>1537.5015555555501</v>
      </c>
      <c r="C239" s="1">
        <v>4659.0957777777703</v>
      </c>
      <c r="D239" s="4">
        <f t="shared" si="3"/>
        <v>5698.3173979111052</v>
      </c>
    </row>
    <row r="240" spans="1:4" x14ac:dyDescent="0.3">
      <c r="A240" s="12" t="s">
        <v>547</v>
      </c>
      <c r="B240" s="1">
        <v>1639.42314285714</v>
      </c>
      <c r="C240" s="1">
        <v>4967.9484285714198</v>
      </c>
      <c r="D240" s="4">
        <f t="shared" si="3"/>
        <v>5936.9369559142779</v>
      </c>
    </row>
    <row r="241" spans="1:6" x14ac:dyDescent="0.3">
      <c r="A241" s="12" t="s">
        <v>523</v>
      </c>
      <c r="B241" s="1">
        <v>1638.47999999999</v>
      </c>
      <c r="C241" s="1">
        <v>4965.0912857142803</v>
      </c>
      <c r="D241" s="4">
        <f t="shared" si="3"/>
        <v>5934.7295273428526</v>
      </c>
    </row>
    <row r="242" spans="1:6" x14ac:dyDescent="0.3">
      <c r="A242" s="12" t="s">
        <v>499</v>
      </c>
      <c r="B242" s="1">
        <v>1685.7204999999899</v>
      </c>
      <c r="C242" s="1">
        <v>5108.2441250000002</v>
      </c>
      <c r="D242" s="4">
        <f t="shared" si="3"/>
        <v>6045.3294109749995</v>
      </c>
    </row>
    <row r="243" spans="1:6" x14ac:dyDescent="0.3">
      <c r="A243" s="12" t="s">
        <v>570</v>
      </c>
      <c r="B243" s="1">
        <v>1491.4166250000001</v>
      </c>
      <c r="C243" s="1">
        <v>4519.444375</v>
      </c>
      <c r="D243" s="4">
        <f t="shared" si="3"/>
        <v>5590.4227241249991</v>
      </c>
    </row>
    <row r="244" spans="1:6" x14ac:dyDescent="0.3">
      <c r="A244" s="12" t="s">
        <v>546</v>
      </c>
      <c r="B244" s="1">
        <v>1677.8834285714199</v>
      </c>
      <c r="C244" s="1">
        <v>5084.4958571428497</v>
      </c>
      <c r="D244" s="4">
        <f t="shared" si="3"/>
        <v>6026.9814992285646</v>
      </c>
    </row>
    <row r="245" spans="1:6" x14ac:dyDescent="0.3">
      <c r="A245" s="12" t="s">
        <v>522</v>
      </c>
      <c r="B245" s="1">
        <v>1676.1762857142801</v>
      </c>
      <c r="C245" s="1">
        <v>5079.3227142857104</v>
      </c>
      <c r="D245" s="4">
        <f t="shared" si="3"/>
        <v>6022.9847290571397</v>
      </c>
    </row>
    <row r="246" spans="1:6" x14ac:dyDescent="0.3">
      <c r="A246" s="12" t="s">
        <v>498</v>
      </c>
      <c r="B246" s="1">
        <v>1629.4559999999999</v>
      </c>
      <c r="C246" s="1">
        <v>4937.7453333333297</v>
      </c>
      <c r="D246" s="4">
        <f t="shared" si="3"/>
        <v>5913.6020445333306</v>
      </c>
    </row>
    <row r="247" spans="1:6" x14ac:dyDescent="0.3">
      <c r="A247" s="12" t="s">
        <v>569</v>
      </c>
      <c r="B247" s="1">
        <v>1525.4367499999901</v>
      </c>
      <c r="C247" s="1">
        <v>4622.5358749999896</v>
      </c>
      <c r="D247" s="4">
        <f t="shared" si="3"/>
        <v>5670.0712170249917</v>
      </c>
      <c r="F247" s="1">
        <f>AVERAGE(D247:D270)</f>
        <v>5542.9340006800339</v>
      </c>
    </row>
    <row r="248" spans="1:6" x14ac:dyDescent="0.3">
      <c r="A248" s="12" t="s">
        <v>545</v>
      </c>
      <c r="B248" s="1">
        <v>1568.0114285714201</v>
      </c>
      <c r="C248" s="1">
        <v>4751.5495714285698</v>
      </c>
      <c r="D248" s="4">
        <f t="shared" si="3"/>
        <v>5769.7471988857124</v>
      </c>
    </row>
    <row r="249" spans="1:6" x14ac:dyDescent="0.3">
      <c r="A249" s="12" t="s">
        <v>521</v>
      </c>
      <c r="B249" s="1">
        <v>1566.7458571428499</v>
      </c>
      <c r="C249" s="1">
        <v>4747.7149999999901</v>
      </c>
      <c r="D249" s="4">
        <f t="shared" si="3"/>
        <v>5766.7846089999921</v>
      </c>
    </row>
    <row r="250" spans="1:6" x14ac:dyDescent="0.3">
      <c r="A250" s="12" t="s">
        <v>497</v>
      </c>
      <c r="B250" s="1">
        <v>1469.472</v>
      </c>
      <c r="C250" s="1">
        <v>4452.9453333333304</v>
      </c>
      <c r="D250" s="4">
        <f t="shared" si="3"/>
        <v>5539.0455645333313</v>
      </c>
    </row>
    <row r="251" spans="1:6" x14ac:dyDescent="0.3">
      <c r="A251" s="12" t="s">
        <v>568</v>
      </c>
      <c r="B251" s="1">
        <v>1329.94022222222</v>
      </c>
      <c r="C251" s="1">
        <v>4030.1221111111099</v>
      </c>
      <c r="D251" s="4">
        <f t="shared" si="3"/>
        <v>5212.3723430444434</v>
      </c>
    </row>
    <row r="252" spans="1:6" x14ac:dyDescent="0.3">
      <c r="A252" s="12" t="s">
        <v>544</v>
      </c>
      <c r="B252" s="1">
        <v>1498.3281428571399</v>
      </c>
      <c r="C252" s="1">
        <v>4540.3884285714203</v>
      </c>
      <c r="D252" s="4">
        <f t="shared" si="3"/>
        <v>5606.6040999142788</v>
      </c>
    </row>
    <row r="253" spans="1:6" x14ac:dyDescent="0.3">
      <c r="A253" s="12" t="s">
        <v>520</v>
      </c>
      <c r="B253" s="1">
        <v>1442.5964285714199</v>
      </c>
      <c r="C253" s="1">
        <v>4371.5045714285698</v>
      </c>
      <c r="D253" s="4">
        <f t="shared" si="3"/>
        <v>5476.1244318857125</v>
      </c>
    </row>
    <row r="254" spans="1:6" x14ac:dyDescent="0.3">
      <c r="A254" s="12" t="s">
        <v>496</v>
      </c>
      <c r="B254" s="1">
        <v>1326.7059999999999</v>
      </c>
      <c r="C254" s="1">
        <v>4020.321625</v>
      </c>
      <c r="D254" s="4">
        <f t="shared" si="3"/>
        <v>5204.8004874749995</v>
      </c>
    </row>
    <row r="255" spans="1:6" x14ac:dyDescent="0.3">
      <c r="A255" s="12" t="s">
        <v>567</v>
      </c>
      <c r="B255" s="1">
        <v>1353.76311111111</v>
      </c>
      <c r="C255" s="1">
        <v>4102.3123333333297</v>
      </c>
      <c r="D255" s="4">
        <f t="shared" si="3"/>
        <v>5268.1465087333299</v>
      </c>
    </row>
    <row r="256" spans="1:6" x14ac:dyDescent="0.3">
      <c r="A256" s="12" t="s">
        <v>543</v>
      </c>
      <c r="B256" s="1">
        <v>1377.9287142857099</v>
      </c>
      <c r="C256" s="1">
        <v>4175.5412857142801</v>
      </c>
      <c r="D256" s="4">
        <f t="shared" si="3"/>
        <v>5324.7231973428525</v>
      </c>
    </row>
    <row r="257" spans="1:6" x14ac:dyDescent="0.3">
      <c r="A257" s="12" t="s">
        <v>519</v>
      </c>
      <c r="B257" s="1">
        <v>1573.44942857142</v>
      </c>
      <c r="C257" s="1">
        <v>4768.0284285714197</v>
      </c>
      <c r="D257" s="4">
        <f t="shared" si="3"/>
        <v>5782.4787639142778</v>
      </c>
    </row>
    <row r="258" spans="1:6" x14ac:dyDescent="0.3">
      <c r="A258" s="12" t="s">
        <v>495</v>
      </c>
      <c r="B258" s="1">
        <v>1458.552625</v>
      </c>
      <c r="C258" s="1">
        <v>4419.8568750000004</v>
      </c>
      <c r="D258" s="4">
        <f t="shared" si="3"/>
        <v>5513.4814216249997</v>
      </c>
    </row>
    <row r="259" spans="1:6" x14ac:dyDescent="0.3">
      <c r="A259" s="12" t="s">
        <v>566</v>
      </c>
      <c r="B259" s="1">
        <v>1187.7191250000001</v>
      </c>
      <c r="C259" s="1">
        <v>3599.1488749999899</v>
      </c>
      <c r="D259" s="4">
        <f t="shared" si="3"/>
        <v>4879.4024208249921</v>
      </c>
    </row>
    <row r="260" spans="1:6" x14ac:dyDescent="0.3">
      <c r="A260" s="12" t="s">
        <v>542</v>
      </c>
      <c r="B260" s="1">
        <v>1485.08785714285</v>
      </c>
      <c r="C260" s="1">
        <v>4500.2659999999996</v>
      </c>
      <c r="D260" s="4">
        <f t="shared" si="3"/>
        <v>5575.6055115999989</v>
      </c>
    </row>
    <row r="261" spans="1:6" x14ac:dyDescent="0.3">
      <c r="A261" s="12" t="s">
        <v>518</v>
      </c>
      <c r="B261" s="1">
        <v>1322.1541666666601</v>
      </c>
      <c r="C261" s="1">
        <v>4006.52766666666</v>
      </c>
      <c r="D261" s="4">
        <f t="shared" si="3"/>
        <v>5194.1432752666606</v>
      </c>
    </row>
    <row r="262" spans="1:6" x14ac:dyDescent="0.3">
      <c r="A262" s="12" t="s">
        <v>494</v>
      </c>
      <c r="B262" s="1">
        <v>1349.4568181818099</v>
      </c>
      <c r="C262" s="1">
        <v>4089.2632727272699</v>
      </c>
      <c r="D262" s="4">
        <f t="shared" si="3"/>
        <v>5258.0648045090884</v>
      </c>
    </row>
    <row r="263" spans="1:6" x14ac:dyDescent="0.3">
      <c r="A263" s="12" t="s">
        <v>565</v>
      </c>
      <c r="B263" s="1">
        <v>1545.6924444444401</v>
      </c>
      <c r="C263" s="1">
        <v>4683.9162222222203</v>
      </c>
      <c r="D263" s="4">
        <f t="shared" si="3"/>
        <v>5717.4936732888873</v>
      </c>
    </row>
    <row r="264" spans="1:6" x14ac:dyDescent="0.3">
      <c r="A264" s="12" t="s">
        <v>541</v>
      </c>
      <c r="B264" s="1">
        <v>1588.5501428571399</v>
      </c>
      <c r="C264" s="1">
        <v>4813.7882857142804</v>
      </c>
      <c r="D264" s="4">
        <f t="shared" ref="D264:D327" si="4">0.7726*C264+2098.7</f>
        <v>5817.8328295428528</v>
      </c>
    </row>
    <row r="265" spans="1:6" x14ac:dyDescent="0.3">
      <c r="A265" s="12" t="s">
        <v>517</v>
      </c>
      <c r="B265" s="1">
        <v>1585.2954999999899</v>
      </c>
      <c r="C265" s="1">
        <v>4803.9258749999899</v>
      </c>
      <c r="D265" s="4">
        <f t="shared" si="4"/>
        <v>5810.2131310249915</v>
      </c>
    </row>
    <row r="266" spans="1:6" x14ac:dyDescent="0.3">
      <c r="A266" s="12" t="s">
        <v>493</v>
      </c>
      <c r="B266" s="1">
        <v>1596.0916</v>
      </c>
      <c r="C266" s="1">
        <v>4836.6413999999904</v>
      </c>
      <c r="D266" s="4">
        <f t="shared" si="4"/>
        <v>5835.4891456399928</v>
      </c>
    </row>
    <row r="267" spans="1:6" x14ac:dyDescent="0.3">
      <c r="A267" s="12" t="s">
        <v>564</v>
      </c>
      <c r="B267" s="1">
        <v>1550.9867777777699</v>
      </c>
      <c r="C267" s="1">
        <v>4699.9602222222202</v>
      </c>
      <c r="D267" s="4">
        <f t="shared" si="4"/>
        <v>5729.8892676888863</v>
      </c>
    </row>
    <row r="268" spans="1:6" x14ac:dyDescent="0.3">
      <c r="A268" s="12" t="s">
        <v>540</v>
      </c>
      <c r="B268" s="1">
        <v>1503.7904285714201</v>
      </c>
      <c r="C268" s="1">
        <v>4556.9409999999998</v>
      </c>
      <c r="D268" s="4">
        <f t="shared" si="4"/>
        <v>5619.3926166000001</v>
      </c>
    </row>
    <row r="269" spans="1:6" x14ac:dyDescent="0.3">
      <c r="A269" s="12" t="s">
        <v>516</v>
      </c>
      <c r="B269" s="1">
        <v>1509.1016666666601</v>
      </c>
      <c r="C269" s="1">
        <v>4573.0353333333296</v>
      </c>
      <c r="D269" s="4">
        <f t="shared" si="4"/>
        <v>5631.8270985333302</v>
      </c>
    </row>
    <row r="270" spans="1:6" x14ac:dyDescent="0.3">
      <c r="A270" s="12" t="s">
        <v>492</v>
      </c>
      <c r="B270" s="1">
        <v>1592.33011111111</v>
      </c>
      <c r="C270" s="1">
        <v>4825.2425555555501</v>
      </c>
      <c r="D270" s="4">
        <f t="shared" si="4"/>
        <v>5826.6823984222174</v>
      </c>
    </row>
    <row r="271" spans="1:6" x14ac:dyDescent="0.3">
      <c r="A271" s="12" t="s">
        <v>563</v>
      </c>
      <c r="B271" s="1">
        <v>1507.8672222222201</v>
      </c>
      <c r="C271" s="1">
        <v>4569.2943333333296</v>
      </c>
      <c r="D271" s="4">
        <f t="shared" si="4"/>
        <v>5628.9368019333306</v>
      </c>
      <c r="F271" s="1">
        <f>AVERAGE(D271:D294)</f>
        <v>5433.7252985701352</v>
      </c>
    </row>
    <row r="272" spans="1:6" x14ac:dyDescent="0.3">
      <c r="A272" s="12" t="s">
        <v>539</v>
      </c>
      <c r="B272" s="1">
        <v>1448.8944285714199</v>
      </c>
      <c r="C272" s="1">
        <v>4390.5894285714203</v>
      </c>
      <c r="D272" s="4">
        <f t="shared" si="4"/>
        <v>5490.8693925142788</v>
      </c>
    </row>
    <row r="273" spans="1:4" x14ac:dyDescent="0.3">
      <c r="A273" s="12" t="s">
        <v>515</v>
      </c>
      <c r="B273" s="1">
        <v>1394.51583333333</v>
      </c>
      <c r="C273" s="1">
        <v>4225.8063333333303</v>
      </c>
      <c r="D273" s="4">
        <f t="shared" si="4"/>
        <v>5363.557973133331</v>
      </c>
    </row>
    <row r="274" spans="1:4" x14ac:dyDescent="0.3">
      <c r="A274" s="12" t="s">
        <v>491</v>
      </c>
      <c r="B274" s="1">
        <v>1416.0482999999899</v>
      </c>
      <c r="C274" s="1">
        <v>4291.0550999999896</v>
      </c>
      <c r="D274" s="4">
        <f t="shared" si="4"/>
        <v>5413.9691702599921</v>
      </c>
    </row>
    <row r="275" spans="1:4" x14ac:dyDescent="0.3">
      <c r="A275" s="12" t="s">
        <v>562</v>
      </c>
      <c r="B275" s="1">
        <v>1255.9324444444401</v>
      </c>
      <c r="C275" s="1">
        <v>3805.8557777777701</v>
      </c>
      <c r="D275" s="4">
        <f t="shared" si="4"/>
        <v>5039.1041739111042</v>
      </c>
    </row>
    <row r="276" spans="1:4" x14ac:dyDescent="0.3">
      <c r="A276" s="12" t="s">
        <v>538</v>
      </c>
      <c r="B276" s="1">
        <v>1327.0684000000001</v>
      </c>
      <c r="C276" s="1">
        <v>4021.4187999999899</v>
      </c>
      <c r="D276" s="4">
        <f t="shared" si="4"/>
        <v>5205.6481648799918</v>
      </c>
    </row>
    <row r="277" spans="1:4" x14ac:dyDescent="0.3">
      <c r="A277" s="12" t="s">
        <v>514</v>
      </c>
      <c r="B277" s="1">
        <v>1563.58785714285</v>
      </c>
      <c r="C277" s="1">
        <v>4738.1450000000004</v>
      </c>
      <c r="D277" s="4">
        <f t="shared" si="4"/>
        <v>5759.3908269999993</v>
      </c>
    </row>
    <row r="278" spans="1:4" x14ac:dyDescent="0.3">
      <c r="A278" s="12" t="s">
        <v>490</v>
      </c>
      <c r="B278" s="1">
        <v>1515.20511111111</v>
      </c>
      <c r="C278" s="1">
        <v>4591.53044444444</v>
      </c>
      <c r="D278" s="4">
        <f t="shared" si="4"/>
        <v>5646.1164213777738</v>
      </c>
    </row>
    <row r="279" spans="1:4" x14ac:dyDescent="0.3">
      <c r="A279" s="12" t="s">
        <v>561</v>
      </c>
      <c r="B279" s="1">
        <v>1594.21</v>
      </c>
      <c r="C279" s="1">
        <v>4830.9390000000003</v>
      </c>
      <c r="D279" s="4">
        <f t="shared" si="4"/>
        <v>5831.0834713999993</v>
      </c>
    </row>
    <row r="280" spans="1:4" x14ac:dyDescent="0.3">
      <c r="A280" s="12" t="s">
        <v>537</v>
      </c>
      <c r="B280" s="1">
        <v>1565.37824999999</v>
      </c>
      <c r="C280" s="1">
        <v>4743.5706250000003</v>
      </c>
      <c r="D280" s="4">
        <f t="shared" si="4"/>
        <v>5763.5826648749999</v>
      </c>
    </row>
    <row r="281" spans="1:4" x14ac:dyDescent="0.3">
      <c r="A281" s="12" t="s">
        <v>513</v>
      </c>
      <c r="B281" s="1">
        <v>1325.86871428571</v>
      </c>
      <c r="C281" s="1">
        <v>4017.7841428571401</v>
      </c>
      <c r="D281" s="4">
        <f t="shared" si="4"/>
        <v>5202.8400287714267</v>
      </c>
    </row>
    <row r="282" spans="1:4" x14ac:dyDescent="0.3">
      <c r="A282" s="12" t="s">
        <v>489</v>
      </c>
      <c r="B282" s="1">
        <v>1441.0101</v>
      </c>
      <c r="C282" s="1">
        <v>4366.6975999999904</v>
      </c>
      <c r="D282" s="4">
        <f t="shared" si="4"/>
        <v>5472.4105657599921</v>
      </c>
    </row>
    <row r="283" spans="1:4" x14ac:dyDescent="0.3">
      <c r="A283" s="12" t="s">
        <v>560</v>
      </c>
      <c r="B283" s="1">
        <v>1421.02112499999</v>
      </c>
      <c r="C283" s="1">
        <v>4306.1238750000002</v>
      </c>
      <c r="D283" s="4">
        <f t="shared" si="4"/>
        <v>5425.6113058249994</v>
      </c>
    </row>
    <row r="284" spans="1:4" x14ac:dyDescent="0.3">
      <c r="A284" s="12" t="s">
        <v>536</v>
      </c>
      <c r="B284" s="1">
        <v>1567.0387142857101</v>
      </c>
      <c r="C284" s="1">
        <v>4748.6019999999999</v>
      </c>
      <c r="D284" s="4">
        <f t="shared" si="4"/>
        <v>5767.4699051999996</v>
      </c>
    </row>
    <row r="285" spans="1:4" x14ac:dyDescent="0.3">
      <c r="A285" s="12" t="s">
        <v>512</v>
      </c>
      <c r="B285" s="1">
        <v>1462.9957142857099</v>
      </c>
      <c r="C285" s="1">
        <v>4433.32071428571</v>
      </c>
      <c r="D285" s="4">
        <f t="shared" si="4"/>
        <v>5523.8835838571395</v>
      </c>
    </row>
    <row r="286" spans="1:4" x14ac:dyDescent="0.3">
      <c r="A286" s="12" t="s">
        <v>488</v>
      </c>
      <c r="B286" s="1">
        <v>1459.86333333333</v>
      </c>
      <c r="C286" s="1">
        <v>4423.82811111111</v>
      </c>
      <c r="D286" s="4">
        <f t="shared" si="4"/>
        <v>5516.5495986444439</v>
      </c>
    </row>
    <row r="287" spans="1:4" x14ac:dyDescent="0.3">
      <c r="A287" s="12" t="s">
        <v>559</v>
      </c>
      <c r="B287" s="1">
        <v>1476.5626666666601</v>
      </c>
      <c r="C287" s="1">
        <v>4474.4319999999898</v>
      </c>
      <c r="D287" s="4">
        <f t="shared" si="4"/>
        <v>5555.6461631999919</v>
      </c>
    </row>
    <row r="288" spans="1:4" x14ac:dyDescent="0.3">
      <c r="A288" s="12" t="s">
        <v>535</v>
      </c>
      <c r="B288" s="1">
        <v>1432.105</v>
      </c>
      <c r="C288" s="1">
        <v>4339.7114285714197</v>
      </c>
      <c r="D288" s="4">
        <f t="shared" si="4"/>
        <v>5451.5610497142789</v>
      </c>
    </row>
    <row r="289" spans="1:6" x14ac:dyDescent="0.3">
      <c r="A289" s="12" t="s">
        <v>511</v>
      </c>
      <c r="B289" s="1">
        <v>1415.1193333333299</v>
      </c>
      <c r="C289" s="1">
        <v>4288.2399999999898</v>
      </c>
      <c r="D289" s="4">
        <f t="shared" si="4"/>
        <v>5411.794223999992</v>
      </c>
    </row>
    <row r="290" spans="1:6" x14ac:dyDescent="0.3">
      <c r="A290" s="12" t="s">
        <v>487</v>
      </c>
      <c r="B290" s="1">
        <v>1165.4197777777699</v>
      </c>
      <c r="C290" s="1">
        <v>3531.5747777777701</v>
      </c>
      <c r="D290" s="4">
        <f t="shared" si="4"/>
        <v>4827.1946733111054</v>
      </c>
    </row>
    <row r="291" spans="1:6" x14ac:dyDescent="0.3">
      <c r="A291" s="12" t="s">
        <v>558</v>
      </c>
      <c r="B291" s="1">
        <v>1226.9137777777701</v>
      </c>
      <c r="C291" s="1">
        <v>3717.92055555555</v>
      </c>
      <c r="D291" s="4">
        <f t="shared" si="4"/>
        <v>4971.1654212222174</v>
      </c>
    </row>
    <row r="292" spans="1:6" x14ac:dyDescent="0.3">
      <c r="A292" s="12" t="s">
        <v>534</v>
      </c>
      <c r="B292" s="1">
        <v>1397.5012857142799</v>
      </c>
      <c r="C292" s="1">
        <v>4234.8522857142798</v>
      </c>
      <c r="D292" s="4">
        <f t="shared" si="4"/>
        <v>5370.5468759428522</v>
      </c>
    </row>
    <row r="293" spans="1:6" x14ac:dyDescent="0.3">
      <c r="A293" s="12" t="s">
        <v>510</v>
      </c>
      <c r="B293" s="1">
        <v>1524.0540000000001</v>
      </c>
      <c r="C293" s="1">
        <v>4618.3450000000003</v>
      </c>
      <c r="D293" s="4">
        <f t="shared" si="4"/>
        <v>5666.8333469999998</v>
      </c>
    </row>
    <row r="294" spans="1:6" x14ac:dyDescent="0.3">
      <c r="A294" s="12" t="s">
        <v>486</v>
      </c>
      <c r="B294" s="1">
        <v>1283.498</v>
      </c>
      <c r="C294" s="1">
        <v>3889.38824999999</v>
      </c>
      <c r="D294" s="4">
        <f t="shared" si="4"/>
        <v>5103.6413619499917</v>
      </c>
    </row>
    <row r="295" spans="1:6" x14ac:dyDescent="0.3">
      <c r="A295" s="12" t="s">
        <v>485</v>
      </c>
      <c r="B295" s="1">
        <v>1307.4238888888799</v>
      </c>
      <c r="C295" s="1">
        <v>3961.8906666666599</v>
      </c>
      <c r="D295" s="4">
        <f t="shared" si="4"/>
        <v>5159.6567290666608</v>
      </c>
      <c r="F295" s="1">
        <f>AVERAGE(D295:D318)</f>
        <v>5565.3309455097515</v>
      </c>
    </row>
    <row r="296" spans="1:6" x14ac:dyDescent="0.3">
      <c r="A296" s="12" t="s">
        <v>461</v>
      </c>
      <c r="B296" s="1">
        <v>1232.9461428571401</v>
      </c>
      <c r="C296" s="1">
        <v>3736.2002857142802</v>
      </c>
      <c r="D296" s="4">
        <f t="shared" si="4"/>
        <v>4985.2883407428526</v>
      </c>
    </row>
    <row r="297" spans="1:6" x14ac:dyDescent="0.3">
      <c r="A297" s="12" t="s">
        <v>437</v>
      </c>
      <c r="B297" s="1">
        <v>1178.1835714285701</v>
      </c>
      <c r="C297" s="1">
        <v>3570.2529999999902</v>
      </c>
      <c r="D297" s="4">
        <f t="shared" si="4"/>
        <v>4857.0774677999925</v>
      </c>
    </row>
    <row r="298" spans="1:6" x14ac:dyDescent="0.3">
      <c r="A298" s="12" t="s">
        <v>413</v>
      </c>
      <c r="B298" s="1">
        <v>1049.37142857142</v>
      </c>
      <c r="C298" s="1">
        <v>3179.9139999999902</v>
      </c>
      <c r="D298" s="4">
        <f t="shared" si="4"/>
        <v>4555.5015563999923</v>
      </c>
    </row>
    <row r="299" spans="1:6" x14ac:dyDescent="0.3">
      <c r="A299" s="12" t="s">
        <v>484</v>
      </c>
      <c r="B299" s="1">
        <v>1686.4073333333299</v>
      </c>
      <c r="C299" s="1">
        <v>5110.3256666666603</v>
      </c>
      <c r="D299" s="4">
        <f t="shared" si="4"/>
        <v>6046.9376100666614</v>
      </c>
    </row>
    <row r="300" spans="1:6" x14ac:dyDescent="0.3">
      <c r="A300" s="12" t="s">
        <v>460</v>
      </c>
      <c r="B300" s="1">
        <v>1562.37871428571</v>
      </c>
      <c r="C300" s="1">
        <v>4734.4814285714201</v>
      </c>
      <c r="D300" s="4">
        <f t="shared" si="4"/>
        <v>5756.560351714279</v>
      </c>
    </row>
    <row r="301" spans="1:6" x14ac:dyDescent="0.3">
      <c r="A301" s="12" t="s">
        <v>436</v>
      </c>
      <c r="B301" s="1">
        <v>1689.43</v>
      </c>
      <c r="C301" s="1">
        <v>5119.4842857142803</v>
      </c>
      <c r="D301" s="4">
        <f t="shared" si="4"/>
        <v>6054.0135591428525</v>
      </c>
    </row>
    <row r="302" spans="1:6" x14ac:dyDescent="0.3">
      <c r="A302" s="12" t="s">
        <v>412</v>
      </c>
      <c r="B302" s="1">
        <v>1630.47628571428</v>
      </c>
      <c r="C302" s="1">
        <v>4940.8378571428502</v>
      </c>
      <c r="D302" s="4">
        <f t="shared" si="4"/>
        <v>5915.9913284285658</v>
      </c>
    </row>
    <row r="303" spans="1:6" x14ac:dyDescent="0.3">
      <c r="A303" s="12" t="s">
        <v>483</v>
      </c>
      <c r="B303" s="1">
        <v>1586.6152499999901</v>
      </c>
      <c r="C303" s="1">
        <v>4807.9254999999903</v>
      </c>
      <c r="D303" s="4">
        <f t="shared" si="4"/>
        <v>5813.3032412999919</v>
      </c>
    </row>
    <row r="304" spans="1:6" x14ac:dyDescent="0.3">
      <c r="A304" s="12" t="s">
        <v>459</v>
      </c>
      <c r="B304" s="1">
        <v>1578.10157142857</v>
      </c>
      <c r="C304" s="1">
        <v>4782.1259999999902</v>
      </c>
      <c r="D304" s="4">
        <f t="shared" si="4"/>
        <v>5793.3705475999923</v>
      </c>
    </row>
    <row r="305" spans="1:6" x14ac:dyDescent="0.3">
      <c r="A305" s="12" t="s">
        <v>435</v>
      </c>
      <c r="B305" s="1">
        <v>1695.77733333333</v>
      </c>
      <c r="C305" s="1">
        <v>5138.7188333333297</v>
      </c>
      <c r="D305" s="4">
        <f t="shared" si="4"/>
        <v>6068.8741706333303</v>
      </c>
    </row>
    <row r="306" spans="1:6" x14ac:dyDescent="0.3">
      <c r="A306" s="12" t="s">
        <v>411</v>
      </c>
      <c r="B306" s="1">
        <v>1597.41028571428</v>
      </c>
      <c r="C306" s="1">
        <v>4840.6372857142796</v>
      </c>
      <c r="D306" s="4">
        <f t="shared" si="4"/>
        <v>5838.5763669428525</v>
      </c>
    </row>
    <row r="307" spans="1:6" x14ac:dyDescent="0.3">
      <c r="A307" s="12" t="s">
        <v>482</v>
      </c>
      <c r="B307" s="1">
        <v>1432.74444444444</v>
      </c>
      <c r="C307" s="1">
        <v>4341.6495555555503</v>
      </c>
      <c r="D307" s="4">
        <f t="shared" si="4"/>
        <v>5453.0584466222172</v>
      </c>
    </row>
    <row r="308" spans="1:6" x14ac:dyDescent="0.3">
      <c r="A308" s="12" t="s">
        <v>458</v>
      </c>
      <c r="B308" s="1">
        <v>1418.40842857142</v>
      </c>
      <c r="C308" s="1">
        <v>4298.2074285714198</v>
      </c>
      <c r="D308" s="4">
        <f t="shared" si="4"/>
        <v>5419.4950593142785</v>
      </c>
    </row>
    <row r="309" spans="1:6" x14ac:dyDescent="0.3">
      <c r="A309" s="12" t="s">
        <v>434</v>
      </c>
      <c r="B309" s="1">
        <v>1400.1798571428501</v>
      </c>
      <c r="C309" s="1">
        <v>4242.9690000000001</v>
      </c>
      <c r="D309" s="4">
        <f t="shared" si="4"/>
        <v>5376.8178494000003</v>
      </c>
    </row>
    <row r="310" spans="1:6" x14ac:dyDescent="0.3">
      <c r="A310" s="12" t="s">
        <v>410</v>
      </c>
      <c r="B310" s="1">
        <v>1491.8557142857101</v>
      </c>
      <c r="C310" s="1">
        <v>4520.7742857142803</v>
      </c>
      <c r="D310" s="4">
        <f t="shared" si="4"/>
        <v>5591.4502131428526</v>
      </c>
    </row>
    <row r="311" spans="1:6" x14ac:dyDescent="0.3">
      <c r="A311" s="12" t="s">
        <v>481</v>
      </c>
      <c r="B311" s="1">
        <v>1362.584875</v>
      </c>
      <c r="C311" s="1">
        <v>4129.04475</v>
      </c>
      <c r="D311" s="4">
        <f t="shared" si="4"/>
        <v>5288.7999738500002</v>
      </c>
    </row>
    <row r="312" spans="1:6" x14ac:dyDescent="0.3">
      <c r="A312" s="12" t="s">
        <v>457</v>
      </c>
      <c r="B312" s="1">
        <v>1528.40742857142</v>
      </c>
      <c r="C312" s="1">
        <v>4631.5374285714197</v>
      </c>
      <c r="D312" s="4">
        <f t="shared" si="4"/>
        <v>5677.0258173142784</v>
      </c>
    </row>
    <row r="313" spans="1:6" x14ac:dyDescent="0.3">
      <c r="A313" s="12" t="s">
        <v>433</v>
      </c>
      <c r="B313" s="1">
        <v>1513.6102857142801</v>
      </c>
      <c r="C313" s="1">
        <v>4586.69757142857</v>
      </c>
      <c r="D313" s="4">
        <f t="shared" si="4"/>
        <v>5642.3825436857132</v>
      </c>
    </row>
    <row r="314" spans="1:6" x14ac:dyDescent="0.3">
      <c r="A314" s="12" t="s">
        <v>409</v>
      </c>
      <c r="B314" s="1">
        <v>1498.46014285714</v>
      </c>
      <c r="C314" s="1">
        <v>4540.7884285714199</v>
      </c>
      <c r="D314" s="4">
        <f t="shared" si="4"/>
        <v>5606.9131399142789</v>
      </c>
    </row>
    <row r="315" spans="1:6" x14ac:dyDescent="0.3">
      <c r="A315" s="12" t="s">
        <v>480</v>
      </c>
      <c r="B315" s="1">
        <v>1445.8968888888801</v>
      </c>
      <c r="C315" s="1">
        <v>4381.5056666666596</v>
      </c>
      <c r="D315" s="4">
        <f t="shared" si="4"/>
        <v>5483.8512780666606</v>
      </c>
    </row>
    <row r="316" spans="1:6" x14ac:dyDescent="0.3">
      <c r="A316" s="12" t="s">
        <v>456</v>
      </c>
      <c r="B316" s="1">
        <v>1542.9614285714199</v>
      </c>
      <c r="C316" s="1">
        <v>4675.6408571428501</v>
      </c>
      <c r="D316" s="4">
        <f t="shared" si="4"/>
        <v>5711.1001262285654</v>
      </c>
    </row>
    <row r="317" spans="1:6" x14ac:dyDescent="0.3">
      <c r="A317" s="12" t="s">
        <v>432</v>
      </c>
      <c r="B317" s="1">
        <v>1569.1551428571399</v>
      </c>
      <c r="C317" s="1">
        <v>4755.0154285714198</v>
      </c>
      <c r="D317" s="4">
        <f t="shared" si="4"/>
        <v>5772.4249201142784</v>
      </c>
    </row>
    <row r="318" spans="1:6" x14ac:dyDescent="0.3">
      <c r="A318" s="12" t="s">
        <v>408</v>
      </c>
      <c r="B318" s="1">
        <v>1537.9948571428499</v>
      </c>
      <c r="C318" s="1">
        <v>4660.5902857142801</v>
      </c>
      <c r="D318" s="4">
        <f t="shared" si="4"/>
        <v>5699.4720547428524</v>
      </c>
    </row>
    <row r="319" spans="1:6" x14ac:dyDescent="0.3">
      <c r="A319" s="12" t="s">
        <v>479</v>
      </c>
      <c r="B319" s="1">
        <v>1687.4056250000001</v>
      </c>
      <c r="C319" s="1">
        <v>5113.3507499999896</v>
      </c>
      <c r="D319" s="4">
        <f t="shared" si="4"/>
        <v>6049.2747894499917</v>
      </c>
      <c r="F319" s="1">
        <f>AVERAGE(D319:D342)</f>
        <v>5759.0550094734572</v>
      </c>
    </row>
    <row r="320" spans="1:6" x14ac:dyDescent="0.3">
      <c r="A320" s="12" t="s">
        <v>455</v>
      </c>
      <c r="B320" s="1">
        <v>1623.64028571428</v>
      </c>
      <c r="C320" s="1">
        <v>4920.1222857142802</v>
      </c>
      <c r="D320" s="4">
        <f t="shared" si="4"/>
        <v>5899.9864779428526</v>
      </c>
    </row>
    <row r="321" spans="1:4" x14ac:dyDescent="0.3">
      <c r="A321" s="12" t="s">
        <v>431</v>
      </c>
      <c r="B321" s="1">
        <v>1700.54885714285</v>
      </c>
      <c r="C321" s="1">
        <v>5153.1785714285697</v>
      </c>
      <c r="D321" s="4">
        <f t="shared" si="4"/>
        <v>6080.0457642857127</v>
      </c>
    </row>
    <row r="322" spans="1:4" x14ac:dyDescent="0.3">
      <c r="A322" s="12" t="s">
        <v>407</v>
      </c>
      <c r="B322" s="1">
        <v>1524.63385714285</v>
      </c>
      <c r="C322" s="1">
        <v>4620.1021428571403</v>
      </c>
      <c r="D322" s="4">
        <f t="shared" si="4"/>
        <v>5668.1909155714256</v>
      </c>
    </row>
    <row r="323" spans="1:4" x14ac:dyDescent="0.3">
      <c r="A323" s="12" t="s">
        <v>478</v>
      </c>
      <c r="B323" s="1">
        <v>1672.70711111111</v>
      </c>
      <c r="C323" s="1">
        <v>5068.8094444444396</v>
      </c>
      <c r="D323" s="4">
        <f t="shared" si="4"/>
        <v>6014.8621767777731</v>
      </c>
    </row>
    <row r="324" spans="1:4" x14ac:dyDescent="0.3">
      <c r="A324" s="12" t="s">
        <v>454</v>
      </c>
      <c r="B324" s="1">
        <v>1619.1137142857101</v>
      </c>
      <c r="C324" s="1">
        <v>4906.4055714285696</v>
      </c>
      <c r="D324" s="4">
        <f t="shared" si="4"/>
        <v>5889.3889444857123</v>
      </c>
    </row>
    <row r="325" spans="1:4" x14ac:dyDescent="0.3">
      <c r="A325" s="12" t="s">
        <v>430</v>
      </c>
      <c r="B325" s="1">
        <v>1665.81971428571</v>
      </c>
      <c r="C325" s="1">
        <v>5047.9384285714204</v>
      </c>
      <c r="D325" s="4">
        <f t="shared" si="4"/>
        <v>5998.7372299142789</v>
      </c>
    </row>
    <row r="326" spans="1:4" x14ac:dyDescent="0.3">
      <c r="A326" s="12" t="s">
        <v>406</v>
      </c>
      <c r="B326" s="1">
        <v>1550.96371428571</v>
      </c>
      <c r="C326" s="1">
        <v>4699.8901428571398</v>
      </c>
      <c r="D326" s="4">
        <f t="shared" si="4"/>
        <v>5729.835124371426</v>
      </c>
    </row>
    <row r="327" spans="1:4" x14ac:dyDescent="0.3">
      <c r="A327" s="12" t="s">
        <v>477</v>
      </c>
      <c r="B327" s="1">
        <v>1592.61474999999</v>
      </c>
      <c r="C327" s="1">
        <v>4826.1052499999896</v>
      </c>
      <c r="D327" s="4">
        <f t="shared" si="4"/>
        <v>5827.3489161499911</v>
      </c>
    </row>
    <row r="328" spans="1:4" x14ac:dyDescent="0.3">
      <c r="A328" s="12" t="s">
        <v>453</v>
      </c>
      <c r="B328" s="1">
        <v>1574.14214285714</v>
      </c>
      <c r="C328" s="1">
        <v>4770.1275714285703</v>
      </c>
      <c r="D328" s="4">
        <f t="shared" ref="D328:D391" si="5">0.7726*C328+2098.7</f>
        <v>5784.1005616857128</v>
      </c>
    </row>
    <row r="329" spans="1:4" x14ac:dyDescent="0.3">
      <c r="A329" s="12" t="s">
        <v>429</v>
      </c>
      <c r="B329" s="1">
        <v>1623.5817142857099</v>
      </c>
      <c r="C329" s="1">
        <v>4919.9449999999897</v>
      </c>
      <c r="D329" s="4">
        <f t="shared" si="5"/>
        <v>5899.8495069999917</v>
      </c>
    </row>
    <row r="330" spans="1:4" x14ac:dyDescent="0.3">
      <c r="A330" s="12" t="s">
        <v>405</v>
      </c>
      <c r="B330" s="1">
        <v>1552.67571428571</v>
      </c>
      <c r="C330" s="1">
        <v>4705.0781428571399</v>
      </c>
      <c r="D330" s="4">
        <f t="shared" si="5"/>
        <v>5733.8433731714258</v>
      </c>
    </row>
    <row r="331" spans="1:4" x14ac:dyDescent="0.3">
      <c r="A331" s="12" t="s">
        <v>476</v>
      </c>
      <c r="B331" s="1">
        <v>1536.89222222222</v>
      </c>
      <c r="C331" s="1">
        <v>4657.2495555555497</v>
      </c>
      <c r="D331" s="4">
        <f t="shared" si="5"/>
        <v>5696.8910066222179</v>
      </c>
    </row>
    <row r="332" spans="1:4" x14ac:dyDescent="0.3">
      <c r="A332" s="12" t="s">
        <v>452</v>
      </c>
      <c r="B332" s="1">
        <v>1543.7756666666601</v>
      </c>
      <c r="C332" s="1">
        <v>4678.1076666666604</v>
      </c>
      <c r="D332" s="4">
        <f t="shared" si="5"/>
        <v>5713.0059832666611</v>
      </c>
    </row>
    <row r="333" spans="1:4" x14ac:dyDescent="0.3">
      <c r="A333" s="12" t="s">
        <v>428</v>
      </c>
      <c r="B333" s="1">
        <v>1635.3317142857099</v>
      </c>
      <c r="C333" s="1">
        <v>4955.5502857142801</v>
      </c>
      <c r="D333" s="4">
        <f t="shared" si="5"/>
        <v>5927.3581507428526</v>
      </c>
    </row>
    <row r="334" spans="1:4" x14ac:dyDescent="0.3">
      <c r="A334" s="12" t="s">
        <v>404</v>
      </c>
      <c r="B334" s="1">
        <v>1533.62028571428</v>
      </c>
      <c r="C334" s="1">
        <v>4647.3342857142798</v>
      </c>
      <c r="D334" s="4">
        <f t="shared" si="5"/>
        <v>5689.2304691428526</v>
      </c>
    </row>
    <row r="335" spans="1:4" x14ac:dyDescent="0.3">
      <c r="A335" s="12" t="s">
        <v>475</v>
      </c>
      <c r="B335" s="1">
        <v>1540.3979999999899</v>
      </c>
      <c r="C335" s="1">
        <v>4667.87287499999</v>
      </c>
      <c r="D335" s="4">
        <f t="shared" si="5"/>
        <v>5705.0985832249917</v>
      </c>
    </row>
    <row r="336" spans="1:4" x14ac:dyDescent="0.3">
      <c r="A336" s="12" t="s">
        <v>451</v>
      </c>
      <c r="B336" s="1">
        <v>1386.03628571428</v>
      </c>
      <c r="C336" s="1">
        <v>4200.1094285714198</v>
      </c>
      <c r="D336" s="4">
        <f t="shared" si="5"/>
        <v>5343.7045445142785</v>
      </c>
    </row>
    <row r="337" spans="1:6" x14ac:dyDescent="0.3">
      <c r="A337" s="12" t="s">
        <v>427</v>
      </c>
      <c r="B337" s="1">
        <v>1503.36149999999</v>
      </c>
      <c r="C337" s="1">
        <v>4555.6408333333302</v>
      </c>
      <c r="D337" s="4">
        <f t="shared" si="5"/>
        <v>5618.3881078333307</v>
      </c>
    </row>
    <row r="338" spans="1:6" x14ac:dyDescent="0.3">
      <c r="A338" s="12" t="s">
        <v>403</v>
      </c>
      <c r="B338" s="1">
        <v>1531.55971428571</v>
      </c>
      <c r="C338" s="1">
        <v>4641.0897142857102</v>
      </c>
      <c r="D338" s="4">
        <f t="shared" si="5"/>
        <v>5684.4059132571392</v>
      </c>
    </row>
    <row r="339" spans="1:6" x14ac:dyDescent="0.3">
      <c r="A339" s="12" t="s">
        <v>474</v>
      </c>
      <c r="B339" s="1">
        <v>1601.75488888888</v>
      </c>
      <c r="C339" s="1">
        <v>4853.8026666666601</v>
      </c>
      <c r="D339" s="4">
        <f t="shared" si="5"/>
        <v>5848.7479402666613</v>
      </c>
    </row>
    <row r="340" spans="1:6" x14ac:dyDescent="0.3">
      <c r="A340" s="12" t="s">
        <v>450</v>
      </c>
      <c r="B340" s="1">
        <v>1350.4678571428501</v>
      </c>
      <c r="C340" s="1">
        <v>4092.3267142857098</v>
      </c>
      <c r="D340" s="4">
        <f t="shared" si="5"/>
        <v>5260.4316194571393</v>
      </c>
    </row>
    <row r="341" spans="1:6" x14ac:dyDescent="0.3">
      <c r="A341" s="12" t="s">
        <v>426</v>
      </c>
      <c r="B341" s="1">
        <v>1420.50999999999</v>
      </c>
      <c r="C341" s="1">
        <v>4304.5755714285697</v>
      </c>
      <c r="D341" s="4">
        <f t="shared" si="5"/>
        <v>5424.4150864857129</v>
      </c>
    </row>
    <row r="342" spans="1:6" x14ac:dyDescent="0.3">
      <c r="A342" s="12" t="s">
        <v>402</v>
      </c>
      <c r="B342" s="1">
        <v>1551.11057142857</v>
      </c>
      <c r="C342" s="1">
        <v>4700.33528571428</v>
      </c>
      <c r="D342" s="4">
        <f t="shared" si="5"/>
        <v>5730.1790417428529</v>
      </c>
    </row>
    <row r="343" spans="1:6" x14ac:dyDescent="0.3">
      <c r="A343" s="12" t="s">
        <v>473</v>
      </c>
      <c r="B343" s="1">
        <v>1626.2838750000001</v>
      </c>
      <c r="C343" s="1">
        <v>4928.1333749999903</v>
      </c>
      <c r="D343" s="4">
        <f t="shared" si="5"/>
        <v>5906.1758455249919</v>
      </c>
      <c r="F343" s="1">
        <f>AVERAGE(D343:D366)</f>
        <v>5736.836004997519</v>
      </c>
    </row>
    <row r="344" spans="1:6" x14ac:dyDescent="0.3">
      <c r="A344" s="12" t="s">
        <v>449</v>
      </c>
      <c r="B344" s="1">
        <v>1671.2941428571401</v>
      </c>
      <c r="C344" s="1">
        <v>5064.5274285714204</v>
      </c>
      <c r="D344" s="4">
        <f t="shared" si="5"/>
        <v>6011.5538913142791</v>
      </c>
    </row>
    <row r="345" spans="1:6" x14ac:dyDescent="0.3">
      <c r="A345" s="12" t="s">
        <v>425</v>
      </c>
      <c r="B345" s="1">
        <v>1589.9441428571399</v>
      </c>
      <c r="C345" s="1">
        <v>4818.0125714285696</v>
      </c>
      <c r="D345" s="4">
        <f t="shared" si="5"/>
        <v>5821.0965126857118</v>
      </c>
    </row>
    <row r="346" spans="1:6" x14ac:dyDescent="0.3">
      <c r="A346" s="12" t="s">
        <v>401</v>
      </c>
      <c r="B346" s="1">
        <v>1559.8064285714199</v>
      </c>
      <c r="C346" s="1">
        <v>4726.6868571428504</v>
      </c>
      <c r="D346" s="4">
        <f t="shared" si="5"/>
        <v>5750.5382658285653</v>
      </c>
    </row>
    <row r="347" spans="1:6" x14ac:dyDescent="0.3">
      <c r="A347" s="12" t="s">
        <v>472</v>
      </c>
      <c r="B347" s="1">
        <v>1615.1781428571401</v>
      </c>
      <c r="C347" s="1">
        <v>4894.4792857142802</v>
      </c>
      <c r="D347" s="4">
        <f t="shared" si="5"/>
        <v>5880.1746961428526</v>
      </c>
    </row>
    <row r="348" spans="1:6" x14ac:dyDescent="0.3">
      <c r="A348" s="12" t="s">
        <v>448</v>
      </c>
      <c r="B348" s="1">
        <v>1577.4256666666599</v>
      </c>
      <c r="C348" s="1">
        <v>4780.0784999999896</v>
      </c>
      <c r="D348" s="4">
        <f t="shared" si="5"/>
        <v>5791.7886490999917</v>
      </c>
    </row>
    <row r="349" spans="1:6" x14ac:dyDescent="0.3">
      <c r="A349" s="12" t="s">
        <v>424</v>
      </c>
      <c r="B349" s="1">
        <v>1636.374875</v>
      </c>
      <c r="C349" s="1">
        <v>4958.711875</v>
      </c>
      <c r="D349" s="4">
        <f t="shared" si="5"/>
        <v>5929.800794625</v>
      </c>
    </row>
    <row r="350" spans="1:6" x14ac:dyDescent="0.3">
      <c r="A350" s="12" t="s">
        <v>400</v>
      </c>
      <c r="B350" s="1">
        <v>1611.06899999999</v>
      </c>
      <c r="C350" s="1">
        <v>4882.0274285714204</v>
      </c>
      <c r="D350" s="4">
        <f t="shared" si="5"/>
        <v>5870.5543913142792</v>
      </c>
    </row>
    <row r="351" spans="1:6" x14ac:dyDescent="0.3">
      <c r="A351" s="12" t="s">
        <v>471</v>
      </c>
      <c r="B351" s="1">
        <v>1597.7058999999999</v>
      </c>
      <c r="C351" s="1">
        <v>4841.5329000000002</v>
      </c>
      <c r="D351" s="4">
        <f t="shared" si="5"/>
        <v>5839.2683185400001</v>
      </c>
    </row>
    <row r="352" spans="1:6" x14ac:dyDescent="0.3">
      <c r="A352" s="12" t="s">
        <v>447</v>
      </c>
      <c r="B352" s="1">
        <v>1574.4642857142801</v>
      </c>
      <c r="C352" s="1">
        <v>4771.1040000000003</v>
      </c>
      <c r="D352" s="4">
        <f t="shared" si="5"/>
        <v>5784.8549504000002</v>
      </c>
    </row>
    <row r="353" spans="1:6" x14ac:dyDescent="0.3">
      <c r="A353" s="12" t="s">
        <v>423</v>
      </c>
      <c r="B353" s="1">
        <v>1541.4036000000001</v>
      </c>
      <c r="C353" s="1">
        <v>4670.9201999999896</v>
      </c>
      <c r="D353" s="4">
        <f t="shared" si="5"/>
        <v>5707.4529465199921</v>
      </c>
    </row>
    <row r="354" spans="1:6" x14ac:dyDescent="0.3">
      <c r="A354" s="12" t="s">
        <v>399</v>
      </c>
      <c r="B354" s="1">
        <v>1668.6195</v>
      </c>
      <c r="C354" s="1">
        <v>5056.4229999999898</v>
      </c>
      <c r="D354" s="4">
        <f t="shared" si="5"/>
        <v>6005.2924097999912</v>
      </c>
    </row>
    <row r="355" spans="1:6" x14ac:dyDescent="0.3">
      <c r="A355" s="12" t="s">
        <v>470</v>
      </c>
      <c r="B355" s="1">
        <v>1523.77044444444</v>
      </c>
      <c r="C355" s="1">
        <v>4617.4867777777699</v>
      </c>
      <c r="D355" s="4">
        <f t="shared" si="5"/>
        <v>5666.1702845111049</v>
      </c>
    </row>
    <row r="356" spans="1:6" x14ac:dyDescent="0.3">
      <c r="A356" s="12" t="s">
        <v>446</v>
      </c>
      <c r="B356" s="1">
        <v>1599.64599999999</v>
      </c>
      <c r="C356" s="1">
        <v>4847.4121428571398</v>
      </c>
      <c r="D356" s="4">
        <f t="shared" si="5"/>
        <v>5843.8106215714251</v>
      </c>
    </row>
    <row r="357" spans="1:6" x14ac:dyDescent="0.3">
      <c r="A357" s="12" t="s">
        <v>422</v>
      </c>
      <c r="B357" s="1">
        <v>1625.5857142857101</v>
      </c>
      <c r="C357" s="1">
        <v>4926.0171428571402</v>
      </c>
      <c r="D357" s="4">
        <f t="shared" si="5"/>
        <v>5904.5408445714256</v>
      </c>
    </row>
    <row r="358" spans="1:6" x14ac:dyDescent="0.3">
      <c r="A358" s="12" t="s">
        <v>398</v>
      </c>
      <c r="B358" s="1">
        <v>1496.6727142857101</v>
      </c>
      <c r="C358" s="1">
        <v>4535.3714285714204</v>
      </c>
      <c r="D358" s="4">
        <f t="shared" si="5"/>
        <v>5602.727965714279</v>
      </c>
    </row>
    <row r="359" spans="1:6" x14ac:dyDescent="0.3">
      <c r="A359" s="12" t="s">
        <v>469</v>
      </c>
      <c r="B359" s="1">
        <v>1554.9781249999901</v>
      </c>
      <c r="C359" s="1">
        <v>4712.0546249999898</v>
      </c>
      <c r="D359" s="4">
        <f t="shared" si="5"/>
        <v>5739.2334032749914</v>
      </c>
    </row>
    <row r="360" spans="1:6" x14ac:dyDescent="0.3">
      <c r="A360" s="12" t="s">
        <v>445</v>
      </c>
      <c r="B360" s="1">
        <v>1473.36971428571</v>
      </c>
      <c r="C360" s="1">
        <v>4464.7567142857097</v>
      </c>
      <c r="D360" s="4">
        <f t="shared" si="5"/>
        <v>5548.1710374571394</v>
      </c>
    </row>
    <row r="361" spans="1:6" x14ac:dyDescent="0.3">
      <c r="A361" s="12" t="s">
        <v>421</v>
      </c>
      <c r="B361" s="1">
        <v>1343.09614285714</v>
      </c>
      <c r="C361" s="1">
        <v>4069.9882857142802</v>
      </c>
      <c r="D361" s="4">
        <f t="shared" si="5"/>
        <v>5243.1729495428526</v>
      </c>
    </row>
    <row r="362" spans="1:6" x14ac:dyDescent="0.3">
      <c r="A362" s="12" t="s">
        <v>397</v>
      </c>
      <c r="B362" s="1">
        <v>1063.86228571428</v>
      </c>
      <c r="C362" s="1">
        <v>3223.8255714285701</v>
      </c>
      <c r="D362" s="4">
        <f t="shared" si="5"/>
        <v>4589.4276364857124</v>
      </c>
    </row>
    <row r="363" spans="1:6" x14ac:dyDescent="0.3">
      <c r="A363" s="12" t="s">
        <v>468</v>
      </c>
      <c r="B363" s="1">
        <v>1606.672</v>
      </c>
      <c r="C363" s="1">
        <v>4868.70311111111</v>
      </c>
      <c r="D363" s="4">
        <f t="shared" si="5"/>
        <v>5860.2600236444432</v>
      </c>
    </row>
    <row r="364" spans="1:6" x14ac:dyDescent="0.3">
      <c r="A364" s="12" t="s">
        <v>444</v>
      </c>
      <c r="B364" s="1">
        <v>1571.6489999999901</v>
      </c>
      <c r="C364" s="1">
        <v>4762.5721428571396</v>
      </c>
      <c r="D364" s="4">
        <f t="shared" si="5"/>
        <v>5778.2632375714256</v>
      </c>
    </row>
    <row r="365" spans="1:6" x14ac:dyDescent="0.3">
      <c r="A365" s="12" t="s">
        <v>420</v>
      </c>
      <c r="B365" s="1">
        <v>1630.6081428571399</v>
      </c>
      <c r="C365" s="1">
        <v>4941.2368571428497</v>
      </c>
      <c r="D365" s="4">
        <f t="shared" si="5"/>
        <v>5916.2995958285646</v>
      </c>
    </row>
    <row r="366" spans="1:6" x14ac:dyDescent="0.3">
      <c r="A366" s="12" t="s">
        <v>396</v>
      </c>
      <c r="B366" s="1">
        <v>1535.4161428571399</v>
      </c>
      <c r="C366" s="1">
        <v>4652.7761428571403</v>
      </c>
      <c r="D366" s="4">
        <f t="shared" si="5"/>
        <v>5693.4348479714263</v>
      </c>
    </row>
    <row r="367" spans="1:6" x14ac:dyDescent="0.3">
      <c r="A367" s="12" t="s">
        <v>467</v>
      </c>
      <c r="B367" s="1">
        <v>1358.09362499999</v>
      </c>
      <c r="C367" s="1">
        <v>4115.4356249999901</v>
      </c>
      <c r="D367" s="4">
        <f t="shared" si="5"/>
        <v>5278.2855638749916</v>
      </c>
      <c r="F367" s="1">
        <f>AVERAGE(D367:D390)</f>
        <v>5229.8530747799896</v>
      </c>
    </row>
    <row r="368" spans="1:6" x14ac:dyDescent="0.3">
      <c r="A368" s="12" t="s">
        <v>443</v>
      </c>
      <c r="B368" s="1">
        <v>1339.6282857142801</v>
      </c>
      <c r="C368" s="1">
        <v>4059.4797142857101</v>
      </c>
      <c r="D368" s="4">
        <f t="shared" si="5"/>
        <v>5235.0540272571398</v>
      </c>
    </row>
    <row r="369" spans="1:4" x14ac:dyDescent="0.3">
      <c r="A369" s="12" t="s">
        <v>419</v>
      </c>
      <c r="B369" s="1">
        <v>1500.4124285714199</v>
      </c>
      <c r="C369" s="1">
        <v>4546.7041428571401</v>
      </c>
      <c r="D369" s="4">
        <f t="shared" si="5"/>
        <v>5611.4836207714261</v>
      </c>
    </row>
    <row r="370" spans="1:4" x14ac:dyDescent="0.3">
      <c r="A370" s="12" t="s">
        <v>395</v>
      </c>
      <c r="B370" s="1">
        <v>1225.1898571428501</v>
      </c>
      <c r="C370" s="1">
        <v>3712.6959999999999</v>
      </c>
      <c r="D370" s="4">
        <f t="shared" si="5"/>
        <v>4967.1289295999995</v>
      </c>
    </row>
    <row r="371" spans="1:4" x14ac:dyDescent="0.3">
      <c r="A371" s="12" t="s">
        <v>466</v>
      </c>
      <c r="B371" s="1">
        <v>1331.67711111111</v>
      </c>
      <c r="C371" s="1">
        <v>4035.3845555555499</v>
      </c>
      <c r="D371" s="4">
        <f t="shared" si="5"/>
        <v>5216.438107622218</v>
      </c>
    </row>
    <row r="372" spans="1:4" x14ac:dyDescent="0.3">
      <c r="A372" s="12" t="s">
        <v>442</v>
      </c>
      <c r="B372" s="1">
        <v>1342.93642857142</v>
      </c>
      <c r="C372" s="1">
        <v>4069.5044285714198</v>
      </c>
      <c r="D372" s="4">
        <f t="shared" si="5"/>
        <v>5242.7991215142783</v>
      </c>
    </row>
    <row r="373" spans="1:4" x14ac:dyDescent="0.3">
      <c r="A373" s="12" t="s">
        <v>418</v>
      </c>
      <c r="B373" s="1">
        <v>1455.8454285714199</v>
      </c>
      <c r="C373" s="1">
        <v>4411.6528571428498</v>
      </c>
      <c r="D373" s="4">
        <f t="shared" si="5"/>
        <v>5507.1429974285656</v>
      </c>
    </row>
    <row r="374" spans="1:4" x14ac:dyDescent="0.3">
      <c r="A374" s="12" t="s">
        <v>394</v>
      </c>
      <c r="B374" s="1">
        <v>1522.318</v>
      </c>
      <c r="C374" s="1">
        <v>4613.0847142857101</v>
      </c>
      <c r="D374" s="4">
        <f t="shared" si="5"/>
        <v>5662.769250257139</v>
      </c>
    </row>
    <row r="375" spans="1:4" x14ac:dyDescent="0.3">
      <c r="A375" s="12" t="s">
        <v>465</v>
      </c>
      <c r="B375" s="1">
        <v>1348.4627499999999</v>
      </c>
      <c r="C375" s="1">
        <v>4086.2510000000002</v>
      </c>
      <c r="D375" s="4">
        <f t="shared" si="5"/>
        <v>5255.7375226000004</v>
      </c>
    </row>
    <row r="376" spans="1:4" x14ac:dyDescent="0.3">
      <c r="A376" s="12" t="s">
        <v>441</v>
      </c>
      <c r="B376" s="1">
        <v>1487.3471428571399</v>
      </c>
      <c r="C376" s="1">
        <v>4507.1125714285699</v>
      </c>
      <c r="D376" s="4">
        <f t="shared" si="5"/>
        <v>5580.8951726857122</v>
      </c>
    </row>
    <row r="377" spans="1:4" x14ac:dyDescent="0.3">
      <c r="A377" s="12" t="s">
        <v>417</v>
      </c>
      <c r="B377" s="1">
        <v>1529.68557142857</v>
      </c>
      <c r="C377" s="1">
        <v>4635.4107142857101</v>
      </c>
      <c r="D377" s="4">
        <f t="shared" si="5"/>
        <v>5680.0183178571388</v>
      </c>
    </row>
    <row r="378" spans="1:4" x14ac:dyDescent="0.3">
      <c r="A378" s="12" t="s">
        <v>393</v>
      </c>
      <c r="B378" s="1">
        <v>1355.3419999999901</v>
      </c>
      <c r="C378" s="1">
        <v>4107.0971666666601</v>
      </c>
      <c r="D378" s="4">
        <f t="shared" si="5"/>
        <v>5271.8432709666613</v>
      </c>
    </row>
    <row r="379" spans="1:4" x14ac:dyDescent="0.3">
      <c r="A379" s="12" t="s">
        <v>464</v>
      </c>
      <c r="B379" s="1">
        <v>1162.3482222222201</v>
      </c>
      <c r="C379" s="1">
        <v>3522.2675555555502</v>
      </c>
      <c r="D379" s="4">
        <f t="shared" si="5"/>
        <v>4820.0039134222179</v>
      </c>
    </row>
    <row r="380" spans="1:4" x14ac:dyDescent="0.3">
      <c r="A380" s="12" t="s">
        <v>440</v>
      </c>
      <c r="B380" s="1">
        <v>1082.3644999999899</v>
      </c>
      <c r="C380" s="1">
        <v>3279.8921666666602</v>
      </c>
      <c r="D380" s="4">
        <f t="shared" si="5"/>
        <v>4632.7446879666613</v>
      </c>
    </row>
    <row r="381" spans="1:4" x14ac:dyDescent="0.3">
      <c r="A381" s="12" t="s">
        <v>416</v>
      </c>
      <c r="B381" s="1">
        <v>1347.72471428571</v>
      </c>
      <c r="C381" s="1">
        <v>4084.0138571428502</v>
      </c>
      <c r="D381" s="4">
        <f t="shared" si="5"/>
        <v>5254.0091060285658</v>
      </c>
    </row>
    <row r="382" spans="1:4" x14ac:dyDescent="0.3">
      <c r="A382" s="12" t="s">
        <v>392</v>
      </c>
      <c r="B382" s="1">
        <v>1177.8974285714201</v>
      </c>
      <c r="C382" s="1">
        <v>3569.3862857142799</v>
      </c>
      <c r="D382" s="4">
        <f t="shared" si="5"/>
        <v>4856.4078443428525</v>
      </c>
    </row>
    <row r="383" spans="1:4" x14ac:dyDescent="0.3">
      <c r="A383" s="12" t="s">
        <v>463</v>
      </c>
      <c r="B383" s="1">
        <v>1289.491125</v>
      </c>
      <c r="C383" s="1">
        <v>3907.549125</v>
      </c>
      <c r="D383" s="4">
        <f t="shared" si="5"/>
        <v>5117.6724539749994</v>
      </c>
    </row>
    <row r="384" spans="1:4" x14ac:dyDescent="0.3">
      <c r="A384" s="12" t="s">
        <v>439</v>
      </c>
      <c r="B384" s="1">
        <v>1311.83799999999</v>
      </c>
      <c r="C384" s="1">
        <v>3975.2665714285699</v>
      </c>
      <c r="D384" s="4">
        <f t="shared" si="5"/>
        <v>5169.990953085713</v>
      </c>
    </row>
    <row r="385" spans="1:6" x14ac:dyDescent="0.3">
      <c r="A385" s="12" t="s">
        <v>415</v>
      </c>
      <c r="B385" s="1">
        <v>1306.41285714285</v>
      </c>
      <c r="C385" s="1">
        <v>3958.8270000000002</v>
      </c>
      <c r="D385" s="4">
        <f t="shared" si="5"/>
        <v>5157.2897401999999</v>
      </c>
    </row>
    <row r="386" spans="1:6" x14ac:dyDescent="0.3">
      <c r="A386" s="12" t="s">
        <v>391</v>
      </c>
      <c r="B386" s="1">
        <v>1245.5464285714199</v>
      </c>
      <c r="C386" s="1">
        <v>3774.3832857142802</v>
      </c>
      <c r="D386" s="4">
        <f t="shared" si="5"/>
        <v>5014.7885265428522</v>
      </c>
    </row>
    <row r="387" spans="1:6" x14ac:dyDescent="0.3">
      <c r="A387" s="12" t="s">
        <v>462</v>
      </c>
      <c r="B387" s="1">
        <v>1290.51111111111</v>
      </c>
      <c r="C387" s="1">
        <v>3910.63944444444</v>
      </c>
      <c r="D387" s="4">
        <f t="shared" si="5"/>
        <v>5120.0600347777745</v>
      </c>
    </row>
    <row r="388" spans="1:6" x14ac:dyDescent="0.3">
      <c r="A388" s="12" t="s">
        <v>438</v>
      </c>
      <c r="B388" s="1">
        <v>1300.0229999999899</v>
      </c>
      <c r="C388" s="1">
        <v>3939.4639999999899</v>
      </c>
      <c r="D388" s="4">
        <f t="shared" si="5"/>
        <v>5142.3298863999917</v>
      </c>
    </row>
    <row r="389" spans="1:6" x14ac:dyDescent="0.3">
      <c r="A389" s="12" t="s">
        <v>414</v>
      </c>
      <c r="B389" s="1">
        <v>1440.8547142857101</v>
      </c>
      <c r="C389" s="1">
        <v>4366.2267142857099</v>
      </c>
      <c r="D389" s="4">
        <f t="shared" si="5"/>
        <v>5472.0467594571392</v>
      </c>
    </row>
    <row r="390" spans="1:6" x14ac:dyDescent="0.3">
      <c r="A390" s="12" t="s">
        <v>390</v>
      </c>
      <c r="B390" s="1">
        <v>1345.81328571428</v>
      </c>
      <c r="C390" s="1">
        <v>4078.2215714285699</v>
      </c>
      <c r="D390" s="4">
        <f t="shared" si="5"/>
        <v>5249.533986085713</v>
      </c>
    </row>
    <row r="391" spans="1:6" x14ac:dyDescent="0.3">
      <c r="A391" s="12" t="s">
        <v>773</v>
      </c>
      <c r="B391" s="1">
        <v>1072.7794999999901</v>
      </c>
      <c r="C391" s="1">
        <v>3250.8463750000001</v>
      </c>
      <c r="D391" s="4">
        <f t="shared" si="5"/>
        <v>4610.3039093249999</v>
      </c>
      <c r="F391" s="1">
        <f>AVERAGE(D391:D414)</f>
        <v>5667.8560201700684</v>
      </c>
    </row>
    <row r="392" spans="1:6" x14ac:dyDescent="0.3">
      <c r="A392" s="12" t="s">
        <v>749</v>
      </c>
      <c r="B392" s="1">
        <v>1409.7488571428501</v>
      </c>
      <c r="C392" s="1">
        <v>4271.9658571428499</v>
      </c>
      <c r="D392" s="4">
        <f t="shared" ref="D392:D455" si="6">0.7726*C392+2098.7</f>
        <v>5399.2208212285659</v>
      </c>
    </row>
    <row r="393" spans="1:6" x14ac:dyDescent="0.3">
      <c r="A393" s="12" t="s">
        <v>725</v>
      </c>
      <c r="B393" s="1">
        <v>1255.46899999999</v>
      </c>
      <c r="C393" s="1">
        <v>3804.4514285714199</v>
      </c>
      <c r="D393" s="4">
        <f t="shared" si="6"/>
        <v>5038.0191737142786</v>
      </c>
    </row>
    <row r="394" spans="1:6" x14ac:dyDescent="0.3">
      <c r="A394" s="12" t="s">
        <v>701</v>
      </c>
      <c r="B394" s="1">
        <v>1215.5184285714199</v>
      </c>
      <c r="C394" s="1">
        <v>3683.38957142857</v>
      </c>
      <c r="D394" s="4">
        <f t="shared" si="6"/>
        <v>4944.4867828857132</v>
      </c>
    </row>
    <row r="395" spans="1:6" x14ac:dyDescent="0.3">
      <c r="A395" s="12" t="s">
        <v>772</v>
      </c>
      <c r="B395" s="1">
        <v>1609.1978750000001</v>
      </c>
      <c r="C395" s="1">
        <v>4876.3576249999896</v>
      </c>
      <c r="D395" s="4">
        <f t="shared" si="6"/>
        <v>5866.1739010749916</v>
      </c>
    </row>
    <row r="396" spans="1:6" x14ac:dyDescent="0.3">
      <c r="A396" s="12" t="s">
        <v>748</v>
      </c>
      <c r="B396" s="1">
        <v>1649.94524999999</v>
      </c>
      <c r="C396" s="1">
        <v>4999.8339999999998</v>
      </c>
      <c r="D396" s="4">
        <f t="shared" si="6"/>
        <v>5961.5717483999997</v>
      </c>
    </row>
    <row r="397" spans="1:6" x14ac:dyDescent="0.3">
      <c r="A397" s="12" t="s">
        <v>724</v>
      </c>
      <c r="B397" s="1">
        <v>1648.4873333333301</v>
      </c>
      <c r="C397" s="1">
        <v>4995.4160000000002</v>
      </c>
      <c r="D397" s="4">
        <f t="shared" si="6"/>
        <v>5958.1584015999997</v>
      </c>
    </row>
    <row r="398" spans="1:6" x14ac:dyDescent="0.3">
      <c r="A398" s="12" t="s">
        <v>700</v>
      </c>
      <c r="B398" s="1">
        <v>1757.2352857142801</v>
      </c>
      <c r="C398" s="1">
        <v>5324.9551428571403</v>
      </c>
      <c r="D398" s="4">
        <f t="shared" si="6"/>
        <v>6212.7603433714266</v>
      </c>
    </row>
    <row r="399" spans="1:6" x14ac:dyDescent="0.3">
      <c r="A399" s="12" t="s">
        <v>771</v>
      </c>
      <c r="B399" s="1">
        <v>1575.7992222222199</v>
      </c>
      <c r="C399" s="1">
        <v>4775.1495555555503</v>
      </c>
      <c r="D399" s="4">
        <f t="shared" si="6"/>
        <v>5787.9805466222178</v>
      </c>
    </row>
    <row r="400" spans="1:6" x14ac:dyDescent="0.3">
      <c r="A400" s="12" t="s">
        <v>747</v>
      </c>
      <c r="B400" s="1">
        <v>1769.73099999999</v>
      </c>
      <c r="C400" s="1">
        <v>5362.8215</v>
      </c>
      <c r="D400" s="4">
        <f t="shared" si="6"/>
        <v>6242.0158908999992</v>
      </c>
    </row>
    <row r="401" spans="1:6" x14ac:dyDescent="0.3">
      <c r="A401" s="12" t="s">
        <v>723</v>
      </c>
      <c r="B401" s="1">
        <v>1704.751</v>
      </c>
      <c r="C401" s="1">
        <v>5165.9115714285699</v>
      </c>
      <c r="D401" s="4">
        <f t="shared" si="6"/>
        <v>6089.8832800857126</v>
      </c>
    </row>
    <row r="402" spans="1:6" x14ac:dyDescent="0.3">
      <c r="A402" s="12" t="s">
        <v>699</v>
      </c>
      <c r="B402" s="1">
        <v>1592.4379999999901</v>
      </c>
      <c r="C402" s="1">
        <v>4825.5695714285703</v>
      </c>
      <c r="D402" s="4">
        <f t="shared" si="6"/>
        <v>5826.9350508857133</v>
      </c>
    </row>
    <row r="403" spans="1:6" x14ac:dyDescent="0.3">
      <c r="A403" s="12" t="s">
        <v>770</v>
      </c>
      <c r="B403" s="1">
        <v>1364.1212499999899</v>
      </c>
      <c r="C403" s="1">
        <v>4133.701</v>
      </c>
      <c r="D403" s="4">
        <f t="shared" si="6"/>
        <v>5292.3973925999999</v>
      </c>
    </row>
    <row r="404" spans="1:6" x14ac:dyDescent="0.3">
      <c r="A404" s="12" t="s">
        <v>746</v>
      </c>
      <c r="B404" s="1">
        <v>1728.70214285714</v>
      </c>
      <c r="C404" s="1">
        <v>5238.4917142857103</v>
      </c>
      <c r="D404" s="4">
        <f t="shared" si="6"/>
        <v>6145.9586984571397</v>
      </c>
    </row>
    <row r="405" spans="1:6" x14ac:dyDescent="0.3">
      <c r="A405" s="12" t="s">
        <v>722</v>
      </c>
      <c r="B405" s="1">
        <v>1448.9580000000001</v>
      </c>
      <c r="C405" s="1">
        <v>4390.7815714285698</v>
      </c>
      <c r="D405" s="4">
        <f t="shared" si="6"/>
        <v>5491.0178420857128</v>
      </c>
    </row>
    <row r="406" spans="1:6" x14ac:dyDescent="0.3">
      <c r="A406" s="12" t="s">
        <v>698</v>
      </c>
      <c r="B406" s="1">
        <v>1553.3150000000001</v>
      </c>
      <c r="C406" s="1">
        <v>4707.0148571428499</v>
      </c>
      <c r="D406" s="4">
        <f t="shared" si="6"/>
        <v>5735.3396786285648</v>
      </c>
    </row>
    <row r="407" spans="1:6" x14ac:dyDescent="0.3">
      <c r="A407" s="12" t="s">
        <v>769</v>
      </c>
      <c r="B407" s="1">
        <v>1467.0126249999901</v>
      </c>
      <c r="C407" s="1">
        <v>4445.4928749999999</v>
      </c>
      <c r="D407" s="4">
        <f t="shared" si="6"/>
        <v>5533.2877952250001</v>
      </c>
    </row>
    <row r="408" spans="1:6" x14ac:dyDescent="0.3">
      <c r="A408" s="12" t="s">
        <v>745</v>
      </c>
      <c r="B408" s="1">
        <v>1679.3771428571399</v>
      </c>
      <c r="C408" s="1">
        <v>5089.0219999999899</v>
      </c>
      <c r="D408" s="4">
        <f t="shared" si="6"/>
        <v>6030.4783971999914</v>
      </c>
    </row>
    <row r="409" spans="1:6" x14ac:dyDescent="0.3">
      <c r="A409" s="12" t="s">
        <v>721</v>
      </c>
      <c r="B409" s="1">
        <v>1449.7687142857101</v>
      </c>
      <c r="C409" s="1">
        <v>4393.2384285714197</v>
      </c>
      <c r="D409" s="4">
        <f t="shared" si="6"/>
        <v>5492.9160099142791</v>
      </c>
    </row>
    <row r="410" spans="1:6" x14ac:dyDescent="0.3">
      <c r="A410" s="12" t="s">
        <v>697</v>
      </c>
      <c r="B410" s="1">
        <v>1672.8274285714199</v>
      </c>
      <c r="C410" s="1">
        <v>5069.1748571428498</v>
      </c>
      <c r="D410" s="4">
        <f t="shared" si="6"/>
        <v>6015.1444946285646</v>
      </c>
    </row>
    <row r="411" spans="1:6" x14ac:dyDescent="0.3">
      <c r="A411" s="12" t="s">
        <v>768</v>
      </c>
      <c r="B411" s="1">
        <v>1381.6855</v>
      </c>
      <c r="C411" s="1">
        <v>4186.926375</v>
      </c>
      <c r="D411" s="4">
        <f t="shared" si="6"/>
        <v>5333.5193173249991</v>
      </c>
    </row>
    <row r="412" spans="1:6" x14ac:dyDescent="0.3">
      <c r="A412" s="12" t="s">
        <v>744</v>
      </c>
      <c r="B412" s="1">
        <v>1635.30242857142</v>
      </c>
      <c r="C412" s="1">
        <v>4955.4615714285701</v>
      </c>
      <c r="D412" s="4">
        <f t="shared" si="6"/>
        <v>5927.2896100857124</v>
      </c>
    </row>
    <row r="413" spans="1:6" x14ac:dyDescent="0.3">
      <c r="A413" s="12" t="s">
        <v>720</v>
      </c>
      <c r="B413" s="1">
        <v>1406.7275</v>
      </c>
      <c r="C413" s="1">
        <v>4262.8106666666599</v>
      </c>
      <c r="D413" s="4">
        <f t="shared" si="6"/>
        <v>5392.1475210666613</v>
      </c>
    </row>
    <row r="414" spans="1:6" x14ac:dyDescent="0.3">
      <c r="A414" s="12" t="s">
        <v>696</v>
      </c>
      <c r="B414" s="1">
        <v>1538.8772857142801</v>
      </c>
      <c r="C414" s="1">
        <v>4663.2641428571396</v>
      </c>
      <c r="D414" s="4">
        <f t="shared" si="6"/>
        <v>5701.5378767714255</v>
      </c>
    </row>
    <row r="415" spans="1:6" x14ac:dyDescent="0.3">
      <c r="A415" s="12" t="s">
        <v>767</v>
      </c>
      <c r="B415" s="1">
        <v>1504.34799999999</v>
      </c>
      <c r="C415" s="1">
        <v>4558.6306249999898</v>
      </c>
      <c r="D415" s="4">
        <f t="shared" si="6"/>
        <v>5620.6980208749919</v>
      </c>
      <c r="F415" s="1">
        <f>AVERAGE(D415:D438)</f>
        <v>5827.0564144271275</v>
      </c>
    </row>
    <row r="416" spans="1:6" x14ac:dyDescent="0.3">
      <c r="A416" s="12" t="s">
        <v>743</v>
      </c>
      <c r="B416" s="1">
        <v>1720.8275714285701</v>
      </c>
      <c r="C416" s="1">
        <v>5214.6291428571403</v>
      </c>
      <c r="D416" s="4">
        <f t="shared" si="6"/>
        <v>6127.5224757714259</v>
      </c>
    </row>
    <row r="417" spans="1:4" x14ac:dyDescent="0.3">
      <c r="A417" s="12" t="s">
        <v>719</v>
      </c>
      <c r="B417" s="1">
        <v>1697.82871428571</v>
      </c>
      <c r="C417" s="1">
        <v>5144.9352857142803</v>
      </c>
      <c r="D417" s="4">
        <f t="shared" si="6"/>
        <v>6073.6770017428526</v>
      </c>
    </row>
    <row r="418" spans="1:4" x14ac:dyDescent="0.3">
      <c r="A418" s="12" t="s">
        <v>695</v>
      </c>
      <c r="B418" s="1">
        <v>1599.3104285714201</v>
      </c>
      <c r="C418" s="1">
        <v>4846.3957142857098</v>
      </c>
      <c r="D418" s="4">
        <f t="shared" si="6"/>
        <v>5843.0253288571384</v>
      </c>
    </row>
    <row r="419" spans="1:4" x14ac:dyDescent="0.3">
      <c r="A419" s="12" t="s">
        <v>766</v>
      </c>
      <c r="B419" s="1">
        <v>1607.1603749999999</v>
      </c>
      <c r="C419" s="1">
        <v>4870.1837500000001</v>
      </c>
      <c r="D419" s="4">
        <f t="shared" si="6"/>
        <v>5861.4039652499996</v>
      </c>
    </row>
    <row r="420" spans="1:4" x14ac:dyDescent="0.3">
      <c r="A420" s="12" t="s">
        <v>742</v>
      </c>
      <c r="B420" s="1">
        <v>1819.2931249999899</v>
      </c>
      <c r="C420" s="1">
        <v>5513.0088749999904</v>
      </c>
      <c r="D420" s="4">
        <f t="shared" si="6"/>
        <v>6358.0506568249921</v>
      </c>
    </row>
    <row r="421" spans="1:4" x14ac:dyDescent="0.3">
      <c r="A421" s="12" t="s">
        <v>718</v>
      </c>
      <c r="B421" s="1">
        <v>1710.7868571428501</v>
      </c>
      <c r="C421" s="1">
        <v>5184.2024285714197</v>
      </c>
      <c r="D421" s="4">
        <f t="shared" si="6"/>
        <v>6104.014796314279</v>
      </c>
    </row>
    <row r="422" spans="1:4" x14ac:dyDescent="0.3">
      <c r="A422" s="12" t="s">
        <v>694</v>
      </c>
      <c r="B422" s="1">
        <v>1690.75271428571</v>
      </c>
      <c r="C422" s="1">
        <v>5123.4930000000004</v>
      </c>
      <c r="D422" s="4">
        <f t="shared" si="6"/>
        <v>6057.1106918000005</v>
      </c>
    </row>
    <row r="423" spans="1:4" x14ac:dyDescent="0.3">
      <c r="A423" s="12" t="s">
        <v>765</v>
      </c>
      <c r="B423" s="1">
        <v>1591.7983750000001</v>
      </c>
      <c r="C423" s="1">
        <v>4823.6312500000004</v>
      </c>
      <c r="D423" s="4">
        <f t="shared" si="6"/>
        <v>5825.4375037499995</v>
      </c>
    </row>
    <row r="424" spans="1:4" x14ac:dyDescent="0.3">
      <c r="A424" s="12" t="s">
        <v>741</v>
      </c>
      <c r="B424" s="1">
        <v>1805.93857142857</v>
      </c>
      <c r="C424" s="1">
        <v>5472.5410000000002</v>
      </c>
      <c r="D424" s="4">
        <f t="shared" si="6"/>
        <v>6326.7851765999994</v>
      </c>
    </row>
    <row r="425" spans="1:4" x14ac:dyDescent="0.3">
      <c r="A425" s="12" t="s">
        <v>717</v>
      </c>
      <c r="B425" s="1">
        <v>1600.86433333333</v>
      </c>
      <c r="C425" s="1">
        <v>4851.1045000000004</v>
      </c>
      <c r="D425" s="4">
        <f t="shared" si="6"/>
        <v>5846.6633366999995</v>
      </c>
    </row>
    <row r="426" spans="1:4" x14ac:dyDescent="0.3">
      <c r="A426" s="12" t="s">
        <v>693</v>
      </c>
      <c r="B426" s="1">
        <v>1598.7221428571399</v>
      </c>
      <c r="C426" s="1">
        <v>4844.6125714285699</v>
      </c>
      <c r="D426" s="4">
        <f t="shared" si="6"/>
        <v>5841.6476726857127</v>
      </c>
    </row>
    <row r="427" spans="1:4" x14ac:dyDescent="0.3">
      <c r="A427" s="12" t="s">
        <v>764</v>
      </c>
      <c r="B427" s="1">
        <v>1593.867375</v>
      </c>
      <c r="C427" s="1">
        <v>4829.9007499999898</v>
      </c>
      <c r="D427" s="4">
        <f t="shared" si="6"/>
        <v>5830.2813194499922</v>
      </c>
    </row>
    <row r="428" spans="1:4" x14ac:dyDescent="0.3">
      <c r="A428" s="12" t="s">
        <v>740</v>
      </c>
      <c r="B428" s="1">
        <v>1670.6952857142801</v>
      </c>
      <c r="C428" s="1">
        <v>5062.7135714285696</v>
      </c>
      <c r="D428" s="4">
        <f t="shared" si="6"/>
        <v>6010.1525052857123</v>
      </c>
    </row>
    <row r="429" spans="1:4" x14ac:dyDescent="0.3">
      <c r="A429" s="12" t="s">
        <v>716</v>
      </c>
      <c r="B429" s="1">
        <v>1618.87971428571</v>
      </c>
      <c r="C429" s="1">
        <v>4905.6958571428504</v>
      </c>
      <c r="D429" s="4">
        <f t="shared" si="6"/>
        <v>5888.8406192285656</v>
      </c>
    </row>
    <row r="430" spans="1:4" x14ac:dyDescent="0.3">
      <c r="A430" s="12" t="s">
        <v>692</v>
      </c>
      <c r="B430" s="1">
        <v>1536.36183333333</v>
      </c>
      <c r="C430" s="1">
        <v>4655.6419999999998</v>
      </c>
      <c r="D430" s="4">
        <f t="shared" si="6"/>
        <v>5695.6490091999995</v>
      </c>
    </row>
    <row r="431" spans="1:4" x14ac:dyDescent="0.3">
      <c r="A431" s="12" t="s">
        <v>763</v>
      </c>
      <c r="B431" s="1">
        <v>1413.195375</v>
      </c>
      <c r="C431" s="1">
        <v>4282.4103749999904</v>
      </c>
      <c r="D431" s="4">
        <f t="shared" si="6"/>
        <v>5407.2902557249927</v>
      </c>
    </row>
    <row r="432" spans="1:4" x14ac:dyDescent="0.3">
      <c r="A432" s="12" t="s">
        <v>739</v>
      </c>
      <c r="B432" s="1">
        <v>1622.43549999999</v>
      </c>
      <c r="C432" s="1">
        <v>4916.4713333333302</v>
      </c>
      <c r="D432" s="4">
        <f t="shared" si="6"/>
        <v>5897.1657521333309</v>
      </c>
    </row>
    <row r="433" spans="1:6" x14ac:dyDescent="0.3">
      <c r="A433" s="12" t="s">
        <v>715</v>
      </c>
      <c r="B433" s="1">
        <v>1381.85857142857</v>
      </c>
      <c r="C433" s="1">
        <v>4187.4505714285697</v>
      </c>
      <c r="D433" s="4">
        <f t="shared" si="6"/>
        <v>5333.9243114857127</v>
      </c>
    </row>
    <row r="434" spans="1:6" x14ac:dyDescent="0.3">
      <c r="A434" s="12" t="s">
        <v>691</v>
      </c>
      <c r="B434" s="1">
        <v>1599.6482857142801</v>
      </c>
      <c r="C434" s="1">
        <v>4847.4189999999899</v>
      </c>
      <c r="D434" s="4">
        <f t="shared" si="6"/>
        <v>5843.8159193999918</v>
      </c>
    </row>
    <row r="435" spans="1:6" x14ac:dyDescent="0.3">
      <c r="A435" s="12" t="s">
        <v>762</v>
      </c>
      <c r="B435" s="1">
        <v>1422.690625</v>
      </c>
      <c r="C435" s="1">
        <v>4311.1838749999897</v>
      </c>
      <c r="D435" s="4">
        <f t="shared" si="6"/>
        <v>5429.5206618249922</v>
      </c>
    </row>
    <row r="436" spans="1:6" x14ac:dyDescent="0.3">
      <c r="A436" s="12" t="s">
        <v>738</v>
      </c>
      <c r="B436" s="1">
        <v>1413.037875</v>
      </c>
      <c r="C436" s="1">
        <v>4281.9321249999903</v>
      </c>
      <c r="D436" s="4">
        <f t="shared" si="6"/>
        <v>5406.9207597749919</v>
      </c>
    </row>
    <row r="437" spans="1:6" x14ac:dyDescent="0.3">
      <c r="A437" s="12" t="s">
        <v>714</v>
      </c>
      <c r="B437" s="1">
        <v>1464.5202857142799</v>
      </c>
      <c r="C437" s="1">
        <v>4437.9404285714199</v>
      </c>
      <c r="D437" s="4">
        <f t="shared" si="6"/>
        <v>5527.4527751142787</v>
      </c>
    </row>
    <row r="438" spans="1:6" x14ac:dyDescent="0.3">
      <c r="A438" s="12" t="s">
        <v>690</v>
      </c>
      <c r="B438" s="1">
        <v>1534.9327142857101</v>
      </c>
      <c r="C438" s="1">
        <v>4651.31171428571</v>
      </c>
      <c r="D438" s="4">
        <f t="shared" si="6"/>
        <v>5692.3034304571393</v>
      </c>
    </row>
    <row r="439" spans="1:6" x14ac:dyDescent="0.3">
      <c r="A439" s="12" t="s">
        <v>761</v>
      </c>
      <c r="B439" s="1">
        <v>1532.2926</v>
      </c>
      <c r="C439" s="1">
        <v>4643.3107999999902</v>
      </c>
      <c r="D439" s="4">
        <f t="shared" si="6"/>
        <v>5686.1219240799919</v>
      </c>
      <c r="F439" s="1">
        <f>AVERAGE(D439:D462)</f>
        <v>5615.569962032595</v>
      </c>
    </row>
    <row r="440" spans="1:6" x14ac:dyDescent="0.3">
      <c r="A440" s="12" t="s">
        <v>737</v>
      </c>
      <c r="B440" s="1">
        <v>1666.7361428571401</v>
      </c>
      <c r="C440" s="1">
        <v>5050.7154285714196</v>
      </c>
      <c r="D440" s="4">
        <f t="shared" si="6"/>
        <v>6000.8827401142789</v>
      </c>
    </row>
    <row r="441" spans="1:6" x14ac:dyDescent="0.3">
      <c r="A441" s="12" t="s">
        <v>713</v>
      </c>
      <c r="B441" s="1">
        <v>1537.3819999999901</v>
      </c>
      <c r="C441" s="1">
        <v>4658.73385714285</v>
      </c>
      <c r="D441" s="4">
        <f t="shared" si="6"/>
        <v>5698.0377780285653</v>
      </c>
    </row>
    <row r="442" spans="1:6" x14ac:dyDescent="0.3">
      <c r="A442" s="12" t="s">
        <v>689</v>
      </c>
      <c r="B442" s="1">
        <v>1539.8312857142801</v>
      </c>
      <c r="C442" s="1">
        <v>4666.1551428571402</v>
      </c>
      <c r="D442" s="4">
        <f t="shared" si="6"/>
        <v>5703.7714633714259</v>
      </c>
    </row>
    <row r="443" spans="1:6" x14ac:dyDescent="0.3">
      <c r="A443" s="12" t="s">
        <v>760</v>
      </c>
      <c r="B443" s="1">
        <v>1519.6410000000001</v>
      </c>
      <c r="C443" s="1">
        <v>4604.9728750000004</v>
      </c>
      <c r="D443" s="4">
        <f t="shared" si="6"/>
        <v>5656.5020432250003</v>
      </c>
    </row>
    <row r="444" spans="1:6" x14ac:dyDescent="0.3">
      <c r="A444" s="12" t="s">
        <v>736</v>
      </c>
      <c r="B444" s="1">
        <v>1614.2992857142799</v>
      </c>
      <c r="C444" s="1">
        <v>4891.8161428571402</v>
      </c>
      <c r="D444" s="4">
        <f t="shared" si="6"/>
        <v>5878.1171519714262</v>
      </c>
    </row>
    <row r="445" spans="1:6" x14ac:dyDescent="0.3">
      <c r="A445" s="12" t="s">
        <v>712</v>
      </c>
      <c r="B445" s="1">
        <v>1644.7904285714201</v>
      </c>
      <c r="C445" s="1">
        <v>4984.2135714285696</v>
      </c>
      <c r="D445" s="4">
        <f t="shared" si="6"/>
        <v>5949.5034052857118</v>
      </c>
    </row>
    <row r="446" spans="1:6" x14ac:dyDescent="0.3">
      <c r="A446" s="12" t="s">
        <v>688</v>
      </c>
      <c r="B446" s="1">
        <v>1495.56442857142</v>
      </c>
      <c r="C446" s="1">
        <v>4532.0135714285698</v>
      </c>
      <c r="D446" s="4">
        <f t="shared" si="6"/>
        <v>5600.133685285713</v>
      </c>
    </row>
    <row r="447" spans="1:6" x14ac:dyDescent="0.3">
      <c r="A447" s="12" t="s">
        <v>759</v>
      </c>
      <c r="B447" s="1">
        <v>1471.955125</v>
      </c>
      <c r="C447" s="1">
        <v>4460.4695000000002</v>
      </c>
      <c r="D447" s="4">
        <f t="shared" si="6"/>
        <v>5544.8587356999997</v>
      </c>
    </row>
    <row r="448" spans="1:6" x14ac:dyDescent="0.3">
      <c r="A448" s="12" t="s">
        <v>735</v>
      </c>
      <c r="B448" s="1">
        <v>1673.6154285714199</v>
      </c>
      <c r="C448" s="1">
        <v>5071.5622857142798</v>
      </c>
      <c r="D448" s="4">
        <f t="shared" si="6"/>
        <v>6016.9890219428526</v>
      </c>
    </row>
    <row r="449" spans="1:6" x14ac:dyDescent="0.3">
      <c r="A449" s="12" t="s">
        <v>711</v>
      </c>
      <c r="B449" s="1">
        <v>1662.9556666666599</v>
      </c>
      <c r="C449" s="1">
        <v>5039.2596666666605</v>
      </c>
      <c r="D449" s="4">
        <f t="shared" si="6"/>
        <v>5992.0320184666616</v>
      </c>
    </row>
    <row r="450" spans="1:6" x14ac:dyDescent="0.3">
      <c r="A450" s="12" t="s">
        <v>687</v>
      </c>
      <c r="B450" s="1">
        <v>1463.99628571428</v>
      </c>
      <c r="C450" s="1">
        <v>4436.3527142857101</v>
      </c>
      <c r="D450" s="4">
        <f t="shared" si="6"/>
        <v>5526.2261070571394</v>
      </c>
    </row>
    <row r="451" spans="1:6" x14ac:dyDescent="0.3">
      <c r="A451" s="12" t="s">
        <v>758</v>
      </c>
      <c r="B451" s="1">
        <v>1225.8301428571399</v>
      </c>
      <c r="C451" s="1">
        <v>3714.6374285714201</v>
      </c>
      <c r="D451" s="4">
        <f t="shared" si="6"/>
        <v>4968.6288773142787</v>
      </c>
    </row>
    <row r="452" spans="1:6" x14ac:dyDescent="0.3">
      <c r="A452" s="12" t="s">
        <v>734</v>
      </c>
      <c r="B452" s="1">
        <v>1607.7573749999999</v>
      </c>
      <c r="C452" s="1">
        <v>4871.9921249999898</v>
      </c>
      <c r="D452" s="4">
        <f t="shared" si="6"/>
        <v>5862.8011157749916</v>
      </c>
    </row>
    <row r="453" spans="1:6" x14ac:dyDescent="0.3">
      <c r="A453" s="12" t="s">
        <v>710</v>
      </c>
      <c r="B453" s="1">
        <v>1460.23728571428</v>
      </c>
      <c r="C453" s="1">
        <v>4424.9617142857096</v>
      </c>
      <c r="D453" s="4">
        <f t="shared" si="6"/>
        <v>5517.4254204571389</v>
      </c>
    </row>
    <row r="454" spans="1:6" x14ac:dyDescent="0.3">
      <c r="A454" s="12" t="s">
        <v>686</v>
      </c>
      <c r="B454" s="1">
        <v>1430.0945714285699</v>
      </c>
      <c r="C454" s="1">
        <v>4333.61971428571</v>
      </c>
      <c r="D454" s="4">
        <f t="shared" si="6"/>
        <v>5446.854591257139</v>
      </c>
    </row>
    <row r="455" spans="1:6" x14ac:dyDescent="0.3">
      <c r="A455" s="12" t="s">
        <v>757</v>
      </c>
      <c r="B455" s="1">
        <v>1490.2162499999999</v>
      </c>
      <c r="C455" s="1">
        <v>4515.8063750000001</v>
      </c>
      <c r="D455" s="4">
        <f t="shared" si="6"/>
        <v>5587.6120053249997</v>
      </c>
    </row>
    <row r="456" spans="1:6" x14ac:dyDescent="0.3">
      <c r="A456" s="12" t="s">
        <v>733</v>
      </c>
      <c r="B456" s="1">
        <v>1520.6382857142801</v>
      </c>
      <c r="C456" s="1">
        <v>4607.99442857142</v>
      </c>
      <c r="D456" s="4">
        <f t="shared" ref="D456:D519" si="7">0.7726*C456+2098.7</f>
        <v>5658.8364955142788</v>
      </c>
    </row>
    <row r="457" spans="1:6" x14ac:dyDescent="0.3">
      <c r="A457" s="12" t="s">
        <v>709</v>
      </c>
      <c r="B457" s="1">
        <v>1358.9617142857101</v>
      </c>
      <c r="C457" s="1">
        <v>4118.0658571428503</v>
      </c>
      <c r="D457" s="4">
        <f t="shared" si="7"/>
        <v>5280.3176812285656</v>
      </c>
    </row>
    <row r="458" spans="1:6" x14ac:dyDescent="0.3">
      <c r="A458" s="12" t="s">
        <v>685</v>
      </c>
      <c r="B458" s="1">
        <v>1366.07057142857</v>
      </c>
      <c r="C458" s="1">
        <v>4139.6081428571397</v>
      </c>
      <c r="D458" s="4">
        <f t="shared" si="7"/>
        <v>5296.9612511714258</v>
      </c>
    </row>
    <row r="459" spans="1:6" x14ac:dyDescent="0.3">
      <c r="A459" s="12" t="s">
        <v>756</v>
      </c>
      <c r="B459" s="1">
        <v>1390.59149999999</v>
      </c>
      <c r="C459" s="1">
        <v>4213.9133750000001</v>
      </c>
      <c r="D459" s="4">
        <f t="shared" si="7"/>
        <v>5354.3694735249992</v>
      </c>
    </row>
    <row r="460" spans="1:6" x14ac:dyDescent="0.3">
      <c r="A460" s="12" t="s">
        <v>732</v>
      </c>
      <c r="B460" s="1">
        <v>1620.50271428571</v>
      </c>
      <c r="C460" s="1">
        <v>4910.6134285714197</v>
      </c>
      <c r="D460" s="4">
        <f t="shared" si="7"/>
        <v>5892.6399349142785</v>
      </c>
    </row>
    <row r="461" spans="1:6" x14ac:dyDescent="0.3">
      <c r="A461" s="12" t="s">
        <v>708</v>
      </c>
      <c r="B461" s="1">
        <v>1386.914</v>
      </c>
      <c r="C461" s="1">
        <v>4202.7697142857096</v>
      </c>
      <c r="D461" s="4">
        <f t="shared" si="7"/>
        <v>5345.7598812571387</v>
      </c>
    </row>
    <row r="462" spans="1:6" x14ac:dyDescent="0.3">
      <c r="A462" s="12" t="s">
        <v>684</v>
      </c>
      <c r="B462" s="1">
        <v>1370.91228571428</v>
      </c>
      <c r="C462" s="1">
        <v>4154.2794285714199</v>
      </c>
      <c r="D462" s="4">
        <f t="shared" si="7"/>
        <v>5308.2962865142781</v>
      </c>
    </row>
    <row r="463" spans="1:6" x14ac:dyDescent="0.3">
      <c r="A463" s="12" t="s">
        <v>755</v>
      </c>
      <c r="B463" s="1">
        <v>1186.8758749999899</v>
      </c>
      <c r="C463" s="1">
        <v>3596.5940000000001</v>
      </c>
      <c r="D463" s="4">
        <f t="shared" si="7"/>
        <v>4877.4285244000002</v>
      </c>
      <c r="F463" s="1">
        <f>AVERAGE(D463:D486)</f>
        <v>5056.9521092178538</v>
      </c>
    </row>
    <row r="464" spans="1:6" x14ac:dyDescent="0.3">
      <c r="A464" s="12" t="s">
        <v>731</v>
      </c>
      <c r="B464" s="1">
        <v>1496.06242857142</v>
      </c>
      <c r="C464" s="1">
        <v>4533.5231428571396</v>
      </c>
      <c r="D464" s="4">
        <f t="shared" si="7"/>
        <v>5601.2999801714259</v>
      </c>
    </row>
    <row r="465" spans="1:4" x14ac:dyDescent="0.3">
      <c r="A465" s="12" t="s">
        <v>707</v>
      </c>
      <c r="B465" s="1">
        <v>1271.16214285714</v>
      </c>
      <c r="C465" s="1">
        <v>3852.00714285714</v>
      </c>
      <c r="D465" s="4">
        <f t="shared" si="7"/>
        <v>5074.760718571426</v>
      </c>
    </row>
    <row r="466" spans="1:4" x14ac:dyDescent="0.3">
      <c r="A466" s="12" t="s">
        <v>683</v>
      </c>
      <c r="B466" s="1">
        <v>1403.10971428571</v>
      </c>
      <c r="C466" s="1">
        <v>4251.8481428571404</v>
      </c>
      <c r="D466" s="4">
        <f t="shared" si="7"/>
        <v>5383.6778751714264</v>
      </c>
    </row>
    <row r="467" spans="1:4" x14ac:dyDescent="0.3">
      <c r="A467" s="12" t="s">
        <v>754</v>
      </c>
      <c r="B467" s="1">
        <v>1312.9712500000001</v>
      </c>
      <c r="C467" s="1">
        <v>3978.70112499999</v>
      </c>
      <c r="D467" s="4">
        <f t="shared" si="7"/>
        <v>5172.6444891749925</v>
      </c>
    </row>
    <row r="468" spans="1:4" x14ac:dyDescent="0.3">
      <c r="A468" s="12" t="s">
        <v>730</v>
      </c>
      <c r="B468" s="1">
        <v>1526.35057142857</v>
      </c>
      <c r="C468" s="1">
        <v>4625.3051428571398</v>
      </c>
      <c r="D468" s="4">
        <f t="shared" si="7"/>
        <v>5672.2107533714261</v>
      </c>
    </row>
    <row r="469" spans="1:4" x14ac:dyDescent="0.3">
      <c r="A469" s="12" t="s">
        <v>706</v>
      </c>
      <c r="B469" s="1">
        <v>1261.0658333333299</v>
      </c>
      <c r="C469" s="1">
        <v>3821.41166666666</v>
      </c>
      <c r="D469" s="4">
        <f t="shared" si="7"/>
        <v>5051.1226536666618</v>
      </c>
    </row>
    <row r="470" spans="1:4" x14ac:dyDescent="0.3">
      <c r="A470" s="12" t="s">
        <v>682</v>
      </c>
      <c r="B470" s="1">
        <v>1322.2078571428499</v>
      </c>
      <c r="C470" s="1">
        <v>4006.6904285714199</v>
      </c>
      <c r="D470" s="4">
        <f t="shared" si="7"/>
        <v>5194.2690251142785</v>
      </c>
    </row>
    <row r="471" spans="1:4" x14ac:dyDescent="0.3">
      <c r="A471" s="12" t="s">
        <v>753</v>
      </c>
      <c r="B471" s="1">
        <v>1286.9624999999901</v>
      </c>
      <c r="C471" s="1">
        <v>3899.886375</v>
      </c>
      <c r="D471" s="4">
        <f t="shared" si="7"/>
        <v>5111.7522133249995</v>
      </c>
    </row>
    <row r="472" spans="1:4" x14ac:dyDescent="0.3">
      <c r="A472" s="12" t="s">
        <v>729</v>
      </c>
      <c r="B472" s="1">
        <v>1412.78457142857</v>
      </c>
      <c r="C472" s="1">
        <v>4281.1642857142797</v>
      </c>
      <c r="D472" s="4">
        <f t="shared" si="7"/>
        <v>5406.327527142852</v>
      </c>
    </row>
    <row r="473" spans="1:4" x14ac:dyDescent="0.3">
      <c r="A473" s="12" t="s">
        <v>705</v>
      </c>
      <c r="B473" s="1">
        <v>1080.1824285714199</v>
      </c>
      <c r="C473" s="1">
        <v>3273.2798571428498</v>
      </c>
      <c r="D473" s="4">
        <f t="shared" si="7"/>
        <v>4627.6360176285652</v>
      </c>
    </row>
    <row r="474" spans="1:4" x14ac:dyDescent="0.3">
      <c r="A474" s="12" t="s">
        <v>681</v>
      </c>
      <c r="B474" s="1">
        <v>1079.8518571428499</v>
      </c>
      <c r="C474" s="1">
        <v>3272.2777142857099</v>
      </c>
      <c r="D474" s="4">
        <f t="shared" si="7"/>
        <v>4626.8617620571385</v>
      </c>
    </row>
    <row r="475" spans="1:4" x14ac:dyDescent="0.3">
      <c r="A475" s="12" t="s">
        <v>752</v>
      </c>
      <c r="B475" s="1">
        <v>1407.0437142857099</v>
      </c>
      <c r="C475" s="1">
        <v>4263.7687142857103</v>
      </c>
      <c r="D475" s="4">
        <f t="shared" si="7"/>
        <v>5392.8877086571392</v>
      </c>
    </row>
    <row r="476" spans="1:4" x14ac:dyDescent="0.3">
      <c r="A476" s="12" t="s">
        <v>728</v>
      </c>
      <c r="B476" s="1">
        <v>1267.6654285714201</v>
      </c>
      <c r="C476" s="1">
        <v>3841.4098571428499</v>
      </c>
      <c r="D476" s="4">
        <f t="shared" si="7"/>
        <v>5066.5732556285657</v>
      </c>
    </row>
    <row r="477" spans="1:4" x14ac:dyDescent="0.3">
      <c r="A477" s="12" t="s">
        <v>704</v>
      </c>
      <c r="B477" s="1">
        <v>1237.66842857142</v>
      </c>
      <c r="C477" s="1">
        <v>3750.5104285714201</v>
      </c>
      <c r="D477" s="4">
        <f t="shared" si="7"/>
        <v>4996.3443571142789</v>
      </c>
    </row>
    <row r="478" spans="1:4" x14ac:dyDescent="0.3">
      <c r="A478" s="12" t="s">
        <v>680</v>
      </c>
      <c r="B478" s="1">
        <v>1038.1618571428501</v>
      </c>
      <c r="C478" s="1">
        <v>3145.94557142857</v>
      </c>
      <c r="D478" s="4">
        <f t="shared" si="7"/>
        <v>4529.2575484857134</v>
      </c>
    </row>
    <row r="479" spans="1:4" x14ac:dyDescent="0.3">
      <c r="A479" s="12" t="s">
        <v>751</v>
      </c>
      <c r="B479" s="1">
        <v>1254.33349999999</v>
      </c>
      <c r="C479" s="1">
        <v>3801.0103749999998</v>
      </c>
      <c r="D479" s="4">
        <f t="shared" si="7"/>
        <v>5035.3606157249997</v>
      </c>
    </row>
    <row r="480" spans="1:4" x14ac:dyDescent="0.3">
      <c r="A480" s="12" t="s">
        <v>727</v>
      </c>
      <c r="B480" s="1">
        <v>1360.4649999999899</v>
      </c>
      <c r="C480" s="1">
        <v>4122.6210000000001</v>
      </c>
      <c r="D480" s="4">
        <f t="shared" si="7"/>
        <v>5283.8369845999996</v>
      </c>
    </row>
    <row r="481" spans="1:6" x14ac:dyDescent="0.3">
      <c r="A481" s="12" t="s">
        <v>703</v>
      </c>
      <c r="B481" s="1">
        <v>1338.0111666666601</v>
      </c>
      <c r="C481" s="1">
        <v>4054.5793333333299</v>
      </c>
      <c r="D481" s="4">
        <f t="shared" si="7"/>
        <v>5231.2679929333299</v>
      </c>
    </row>
    <row r="482" spans="1:6" x14ac:dyDescent="0.3">
      <c r="A482" s="12" t="s">
        <v>679</v>
      </c>
      <c r="B482" s="1">
        <v>1213.6978571428499</v>
      </c>
      <c r="C482" s="1">
        <v>3677.8724285714202</v>
      </c>
      <c r="D482" s="4">
        <f t="shared" si="7"/>
        <v>4940.2242383142784</v>
      </c>
    </row>
    <row r="483" spans="1:6" x14ac:dyDescent="0.3">
      <c r="A483" s="12" t="s">
        <v>750</v>
      </c>
      <c r="B483" s="1">
        <v>972.31349999999895</v>
      </c>
      <c r="C483" s="1">
        <v>2946.4051250000002</v>
      </c>
      <c r="D483" s="4">
        <f t="shared" si="7"/>
        <v>4375.0925995750003</v>
      </c>
    </row>
    <row r="484" spans="1:6" x14ac:dyDescent="0.3">
      <c r="A484" s="12" t="s">
        <v>726</v>
      </c>
      <c r="B484" s="1">
        <v>1254.21557142857</v>
      </c>
      <c r="C484" s="1">
        <v>3800.6528571428498</v>
      </c>
      <c r="D484" s="4">
        <f t="shared" si="7"/>
        <v>5035.0843974285654</v>
      </c>
    </row>
    <row r="485" spans="1:6" x14ac:dyDescent="0.3">
      <c r="A485" s="12" t="s">
        <v>702</v>
      </c>
      <c r="B485" s="1">
        <v>1235.9271428571401</v>
      </c>
      <c r="C485" s="1">
        <v>3745.23385714285</v>
      </c>
      <c r="D485" s="4">
        <f t="shared" si="7"/>
        <v>4992.2676780285656</v>
      </c>
    </row>
    <row r="486" spans="1:6" x14ac:dyDescent="0.3">
      <c r="A486" s="12" t="s">
        <v>678</v>
      </c>
      <c r="B486" s="1">
        <v>1106.2478571428501</v>
      </c>
      <c r="C486" s="1">
        <v>3352.2672857142802</v>
      </c>
      <c r="D486" s="4">
        <f t="shared" si="7"/>
        <v>4688.6617049428523</v>
      </c>
    </row>
    <row r="487" spans="1:6" x14ac:dyDescent="0.3">
      <c r="A487" s="12" t="s">
        <v>677</v>
      </c>
      <c r="B487" s="1">
        <v>1428.5785555555501</v>
      </c>
      <c r="C487" s="1">
        <v>4329.0259999999998</v>
      </c>
      <c r="D487" s="4">
        <f t="shared" si="7"/>
        <v>5443.3054875999997</v>
      </c>
      <c r="F487" s="1">
        <f>AVERAGE(D487:D510)</f>
        <v>5583.4070389346352</v>
      </c>
    </row>
    <row r="488" spans="1:6" x14ac:dyDescent="0.3">
      <c r="A488" s="12" t="s">
        <v>653</v>
      </c>
      <c r="B488" s="1">
        <v>1414.7058888888801</v>
      </c>
      <c r="C488" s="1">
        <v>4286.9876666666596</v>
      </c>
      <c r="D488" s="4">
        <f t="shared" si="7"/>
        <v>5410.8266712666609</v>
      </c>
    </row>
    <row r="489" spans="1:6" x14ac:dyDescent="0.3">
      <c r="A489" s="12" t="s">
        <v>629</v>
      </c>
      <c r="B489" s="1">
        <v>1250.8889999999899</v>
      </c>
      <c r="C489" s="1">
        <v>3790.5719999999901</v>
      </c>
      <c r="D489" s="4">
        <f t="shared" si="7"/>
        <v>5027.2959271999916</v>
      </c>
    </row>
    <row r="490" spans="1:6" x14ac:dyDescent="0.3">
      <c r="A490" s="12" t="s">
        <v>605</v>
      </c>
      <c r="B490" s="1">
        <v>1291.15214285714</v>
      </c>
      <c r="C490" s="1">
        <v>3912.5821428571398</v>
      </c>
      <c r="D490" s="4">
        <f t="shared" si="7"/>
        <v>5121.5609635714263</v>
      </c>
    </row>
    <row r="491" spans="1:6" x14ac:dyDescent="0.3">
      <c r="A491" s="12" t="s">
        <v>676</v>
      </c>
      <c r="B491" s="1">
        <v>1534.547</v>
      </c>
      <c r="C491" s="1">
        <v>4650.1427142857101</v>
      </c>
      <c r="D491" s="4">
        <f t="shared" si="7"/>
        <v>5691.4002610571388</v>
      </c>
    </row>
    <row r="492" spans="1:6" x14ac:dyDescent="0.3">
      <c r="A492" s="12" t="s">
        <v>652</v>
      </c>
      <c r="B492" s="1">
        <v>1678.8932499999901</v>
      </c>
      <c r="C492" s="1">
        <v>5087.5552500000003</v>
      </c>
      <c r="D492" s="4">
        <f t="shared" si="7"/>
        <v>6029.3451861499998</v>
      </c>
    </row>
    <row r="493" spans="1:6" x14ac:dyDescent="0.3">
      <c r="A493" s="12" t="s">
        <v>628</v>
      </c>
      <c r="B493" s="1">
        <v>1660.0854285714199</v>
      </c>
      <c r="C493" s="1">
        <v>5030.5622857142798</v>
      </c>
      <c r="D493" s="4">
        <f t="shared" si="7"/>
        <v>5985.3124219428519</v>
      </c>
    </row>
    <row r="494" spans="1:6" x14ac:dyDescent="0.3">
      <c r="A494" s="12" t="s">
        <v>604</v>
      </c>
      <c r="B494" s="1">
        <v>1697.3718571428501</v>
      </c>
      <c r="C494" s="1">
        <v>5143.5512857142803</v>
      </c>
      <c r="D494" s="4">
        <f t="shared" si="7"/>
        <v>6072.6077233428532</v>
      </c>
    </row>
    <row r="495" spans="1:6" x14ac:dyDescent="0.3">
      <c r="A495" s="12" t="s">
        <v>675</v>
      </c>
      <c r="B495" s="1">
        <v>1703.6466249999901</v>
      </c>
      <c r="C495" s="1">
        <v>5162.5653750000001</v>
      </c>
      <c r="D495" s="4">
        <f t="shared" si="7"/>
        <v>6087.2980087249998</v>
      </c>
    </row>
    <row r="496" spans="1:6" x14ac:dyDescent="0.3">
      <c r="A496" s="12" t="s">
        <v>651</v>
      </c>
      <c r="B496" s="1">
        <v>1610.7592222222199</v>
      </c>
      <c r="C496" s="1">
        <v>4881.0887777777698</v>
      </c>
      <c r="D496" s="4">
        <f t="shared" si="7"/>
        <v>5869.8291897111048</v>
      </c>
    </row>
    <row r="497" spans="1:6" x14ac:dyDescent="0.3">
      <c r="A497" s="12" t="s">
        <v>627</v>
      </c>
      <c r="B497" s="1">
        <v>1625.9448749999999</v>
      </c>
      <c r="C497" s="1">
        <v>4927.1054999999897</v>
      </c>
      <c r="D497" s="4">
        <f t="shared" si="7"/>
        <v>5905.3817092999916</v>
      </c>
    </row>
    <row r="498" spans="1:6" x14ac:dyDescent="0.3">
      <c r="A498" s="12" t="s">
        <v>603</v>
      </c>
      <c r="B498" s="1">
        <v>1454.4379999999901</v>
      </c>
      <c r="C498" s="1">
        <v>4407.3874999999898</v>
      </c>
      <c r="D498" s="4">
        <f t="shared" si="7"/>
        <v>5503.8475824999914</v>
      </c>
    </row>
    <row r="499" spans="1:6" x14ac:dyDescent="0.3">
      <c r="A499" s="12" t="s">
        <v>674</v>
      </c>
      <c r="B499" s="1">
        <v>1595.3576250000001</v>
      </c>
      <c r="C499" s="1">
        <v>4834.4171249999899</v>
      </c>
      <c r="D499" s="4">
        <f t="shared" si="7"/>
        <v>5833.7706707749912</v>
      </c>
    </row>
    <row r="500" spans="1:6" x14ac:dyDescent="0.3">
      <c r="A500" s="12" t="s">
        <v>650</v>
      </c>
      <c r="B500" s="1">
        <v>1462.6536249999999</v>
      </c>
      <c r="C500" s="1">
        <v>4432.283625</v>
      </c>
      <c r="D500" s="4">
        <f t="shared" si="7"/>
        <v>5523.0823286750001</v>
      </c>
    </row>
    <row r="501" spans="1:6" x14ac:dyDescent="0.3">
      <c r="A501" s="12" t="s">
        <v>626</v>
      </c>
      <c r="B501" s="1">
        <v>1455.99442857142</v>
      </c>
      <c r="C501" s="1">
        <v>4412.1048571428501</v>
      </c>
      <c r="D501" s="4">
        <f t="shared" si="7"/>
        <v>5507.4922126285655</v>
      </c>
    </row>
    <row r="502" spans="1:6" x14ac:dyDescent="0.3">
      <c r="A502" s="12" t="s">
        <v>602</v>
      </c>
      <c r="B502" s="1">
        <v>1462.18385714285</v>
      </c>
      <c r="C502" s="1">
        <v>4430.8607142857099</v>
      </c>
      <c r="D502" s="4">
        <f t="shared" si="7"/>
        <v>5521.9829878571391</v>
      </c>
    </row>
    <row r="503" spans="1:6" x14ac:dyDescent="0.3">
      <c r="A503" s="12" t="s">
        <v>673</v>
      </c>
      <c r="B503" s="1">
        <v>1573.51699999999</v>
      </c>
      <c r="C503" s="1">
        <v>4768.2328749999897</v>
      </c>
      <c r="D503" s="4">
        <f t="shared" si="7"/>
        <v>5782.6367192249918</v>
      </c>
    </row>
    <row r="504" spans="1:6" x14ac:dyDescent="0.3">
      <c r="A504" s="12" t="s">
        <v>649</v>
      </c>
      <c r="B504" s="1">
        <v>1484.0762500000001</v>
      </c>
      <c r="C504" s="1">
        <v>4497.2004999999999</v>
      </c>
      <c r="D504" s="4">
        <f t="shared" si="7"/>
        <v>5573.2371062999991</v>
      </c>
    </row>
    <row r="505" spans="1:6" x14ac:dyDescent="0.3">
      <c r="A505" s="12" t="s">
        <v>625</v>
      </c>
      <c r="B505" s="1">
        <v>1391.2087142857099</v>
      </c>
      <c r="C505" s="1">
        <v>4215.7837142857097</v>
      </c>
      <c r="D505" s="4">
        <f t="shared" si="7"/>
        <v>5355.8144976571384</v>
      </c>
    </row>
    <row r="506" spans="1:6" x14ac:dyDescent="0.3">
      <c r="A506" s="12" t="s">
        <v>601</v>
      </c>
      <c r="B506" s="1">
        <v>1431.749</v>
      </c>
      <c r="C506" s="1">
        <v>4338.6331428571402</v>
      </c>
      <c r="D506" s="4">
        <f t="shared" si="7"/>
        <v>5450.7279661714256</v>
      </c>
    </row>
    <row r="507" spans="1:6" x14ac:dyDescent="0.3">
      <c r="A507" s="12" t="s">
        <v>672</v>
      </c>
      <c r="B507" s="1">
        <v>1380.3254999999899</v>
      </c>
      <c r="C507" s="1">
        <v>4182.8048749999898</v>
      </c>
      <c r="D507" s="4">
        <f t="shared" si="7"/>
        <v>5330.3350464249916</v>
      </c>
    </row>
    <row r="508" spans="1:6" x14ac:dyDescent="0.3">
      <c r="A508" s="12" t="s">
        <v>648</v>
      </c>
      <c r="B508" s="1">
        <v>1373.6803749999899</v>
      </c>
      <c r="C508" s="1">
        <v>4162.6678750000001</v>
      </c>
      <c r="D508" s="4">
        <f t="shared" si="7"/>
        <v>5314.7772002250003</v>
      </c>
    </row>
    <row r="509" spans="1:6" x14ac:dyDescent="0.3">
      <c r="A509" s="12" t="s">
        <v>624</v>
      </c>
      <c r="B509" s="1">
        <v>1455.9931428571399</v>
      </c>
      <c r="C509" s="1">
        <v>4412.0999999999904</v>
      </c>
      <c r="D509" s="4">
        <f t="shared" si="7"/>
        <v>5507.4884599999923</v>
      </c>
    </row>
    <row r="510" spans="1:6" x14ac:dyDescent="0.3">
      <c r="A510" s="12" t="s">
        <v>600</v>
      </c>
      <c r="B510" s="1">
        <v>1304.3298749999999</v>
      </c>
      <c r="C510" s="1">
        <v>3952.5143750000002</v>
      </c>
      <c r="D510" s="4">
        <f t="shared" si="7"/>
        <v>5152.4126061249999</v>
      </c>
    </row>
    <row r="511" spans="1:6" x14ac:dyDescent="0.3">
      <c r="A511" s="12" t="s">
        <v>671</v>
      </c>
      <c r="B511" s="1">
        <v>1399.649625</v>
      </c>
      <c r="C511" s="1">
        <v>4241.3623749999997</v>
      </c>
      <c r="D511" s="4">
        <f t="shared" si="7"/>
        <v>5375.576570924999</v>
      </c>
      <c r="F511" s="1">
        <f>AVERAGE(D511:D534)</f>
        <v>5447.2230030377932</v>
      </c>
    </row>
    <row r="512" spans="1:6" x14ac:dyDescent="0.3">
      <c r="A512" s="12" t="s">
        <v>647</v>
      </c>
      <c r="B512" s="1">
        <v>1638.2382500000001</v>
      </c>
      <c r="C512" s="1">
        <v>4964.3582499999902</v>
      </c>
      <c r="D512" s="4">
        <f t="shared" si="7"/>
        <v>5934.1631839499914</v>
      </c>
    </row>
    <row r="513" spans="1:4" x14ac:dyDescent="0.3">
      <c r="A513" s="12" t="s">
        <v>623</v>
      </c>
      <c r="B513" s="1">
        <v>1512.39214285714</v>
      </c>
      <c r="C513" s="1">
        <v>4583.0064285714197</v>
      </c>
      <c r="D513" s="4">
        <f t="shared" si="7"/>
        <v>5639.5307667142788</v>
      </c>
    </row>
    <row r="514" spans="1:4" x14ac:dyDescent="0.3">
      <c r="A514" s="12" t="s">
        <v>599</v>
      </c>
      <c r="B514" s="1">
        <v>1445.99271428571</v>
      </c>
      <c r="C514" s="1">
        <v>4381.7957142857103</v>
      </c>
      <c r="D514" s="4">
        <f t="shared" si="7"/>
        <v>5484.0753688571394</v>
      </c>
    </row>
    <row r="515" spans="1:4" x14ac:dyDescent="0.3">
      <c r="A515" s="12" t="s">
        <v>670</v>
      </c>
      <c r="B515" s="1">
        <v>1539.95225</v>
      </c>
      <c r="C515" s="1">
        <v>4666.5225</v>
      </c>
      <c r="D515" s="4">
        <f t="shared" si="7"/>
        <v>5704.0552834999999</v>
      </c>
    </row>
    <row r="516" spans="1:4" x14ac:dyDescent="0.3">
      <c r="A516" s="12" t="s">
        <v>646</v>
      </c>
      <c r="B516" s="1">
        <v>1646.3512499999999</v>
      </c>
      <c r="C516" s="1">
        <v>4988.9428749999897</v>
      </c>
      <c r="D516" s="4">
        <f t="shared" si="7"/>
        <v>5953.1572652249915</v>
      </c>
    </row>
    <row r="517" spans="1:4" x14ac:dyDescent="0.3">
      <c r="A517" s="12" t="s">
        <v>622</v>
      </c>
      <c r="B517" s="1">
        <v>1346.8065714285699</v>
      </c>
      <c r="C517" s="1">
        <v>4081.2324285714199</v>
      </c>
      <c r="D517" s="4">
        <f t="shared" si="7"/>
        <v>5251.860174314279</v>
      </c>
    </row>
    <row r="518" spans="1:4" x14ac:dyDescent="0.3">
      <c r="A518" s="12" t="s">
        <v>598</v>
      </c>
      <c r="B518" s="1">
        <v>1481.0719999999999</v>
      </c>
      <c r="C518" s="1">
        <v>4488.0965714285703</v>
      </c>
      <c r="D518" s="4">
        <f t="shared" si="7"/>
        <v>5566.203411085713</v>
      </c>
    </row>
    <row r="519" spans="1:4" x14ac:dyDescent="0.3">
      <c r="A519" s="12" t="s">
        <v>669</v>
      </c>
      <c r="B519" s="1">
        <v>1586.98014285714</v>
      </c>
      <c r="C519" s="1">
        <v>4809.0308571428504</v>
      </c>
      <c r="D519" s="4">
        <f t="shared" si="7"/>
        <v>5814.1572402285656</v>
      </c>
    </row>
    <row r="520" spans="1:4" x14ac:dyDescent="0.3">
      <c r="A520" s="12" t="s">
        <v>645</v>
      </c>
      <c r="B520" s="1">
        <v>1466.31387499999</v>
      </c>
      <c r="C520" s="1">
        <v>4443.3760000000002</v>
      </c>
      <c r="D520" s="4">
        <f t="shared" ref="D520:D582" si="8">0.7726*C520+2098.7</f>
        <v>5531.6522975999997</v>
      </c>
    </row>
    <row r="521" spans="1:4" x14ac:dyDescent="0.3">
      <c r="A521" s="12" t="s">
        <v>621</v>
      </c>
      <c r="B521" s="1">
        <v>1514.36142857142</v>
      </c>
      <c r="C521" s="1">
        <v>4588.9737142857102</v>
      </c>
      <c r="D521" s="4">
        <f t="shared" si="8"/>
        <v>5644.1410916571394</v>
      </c>
    </row>
    <row r="522" spans="1:4" x14ac:dyDescent="0.3">
      <c r="A522" s="12" t="s">
        <v>597</v>
      </c>
      <c r="B522" s="1">
        <v>1399.7232857142801</v>
      </c>
      <c r="C522" s="1">
        <v>4241.5860000000002</v>
      </c>
      <c r="D522" s="4">
        <f t="shared" si="8"/>
        <v>5375.7493436000004</v>
      </c>
    </row>
    <row r="523" spans="1:4" x14ac:dyDescent="0.3">
      <c r="A523" s="12" t="s">
        <v>668</v>
      </c>
      <c r="B523" s="1">
        <v>1493.8232499999899</v>
      </c>
      <c r="C523" s="1">
        <v>4526.7372499999901</v>
      </c>
      <c r="D523" s="4">
        <f t="shared" si="8"/>
        <v>5596.0571993499925</v>
      </c>
    </row>
    <row r="524" spans="1:4" x14ac:dyDescent="0.3">
      <c r="A524" s="12" t="s">
        <v>644</v>
      </c>
      <c r="B524" s="1">
        <v>1463.85062499999</v>
      </c>
      <c r="C524" s="1">
        <v>4435.9115000000002</v>
      </c>
      <c r="D524" s="4">
        <f t="shared" si="8"/>
        <v>5525.8852248999992</v>
      </c>
    </row>
    <row r="525" spans="1:4" x14ac:dyDescent="0.3">
      <c r="A525" s="12" t="s">
        <v>620</v>
      </c>
      <c r="B525" s="1">
        <v>1441.0699999999899</v>
      </c>
      <c r="C525" s="1">
        <v>4366.87871428571</v>
      </c>
      <c r="D525" s="4">
        <f t="shared" si="8"/>
        <v>5472.5504946571391</v>
      </c>
    </row>
    <row r="526" spans="1:4" x14ac:dyDescent="0.3">
      <c r="A526" s="12" t="s">
        <v>596</v>
      </c>
      <c r="B526" s="1">
        <v>1160.5028749999899</v>
      </c>
      <c r="C526" s="1">
        <v>3516.6753749999898</v>
      </c>
      <c r="D526" s="4">
        <f t="shared" si="8"/>
        <v>4815.6833947249916</v>
      </c>
    </row>
    <row r="527" spans="1:4" x14ac:dyDescent="0.3">
      <c r="A527" s="12" t="s">
        <v>667</v>
      </c>
      <c r="B527" s="1">
        <v>1400.7281250000001</v>
      </c>
      <c r="C527" s="1">
        <v>4244.6309999999903</v>
      </c>
      <c r="D527" s="4">
        <f t="shared" si="8"/>
        <v>5378.1019105999922</v>
      </c>
    </row>
    <row r="528" spans="1:4" x14ac:dyDescent="0.3">
      <c r="A528" s="12" t="s">
        <v>643</v>
      </c>
      <c r="B528" s="1">
        <v>1393.373875</v>
      </c>
      <c r="C528" s="1">
        <v>4222.3447500000002</v>
      </c>
      <c r="D528" s="4">
        <f t="shared" si="8"/>
        <v>5360.8835538499998</v>
      </c>
    </row>
    <row r="529" spans="1:6" x14ac:dyDescent="0.3">
      <c r="A529" s="12" t="s">
        <v>619</v>
      </c>
      <c r="B529" s="1">
        <v>1596.20757142857</v>
      </c>
      <c r="C529" s="1">
        <v>4836.9930000000004</v>
      </c>
      <c r="D529" s="4">
        <f t="shared" si="8"/>
        <v>5835.7607917999994</v>
      </c>
    </row>
    <row r="530" spans="1:6" x14ac:dyDescent="0.3">
      <c r="A530" s="12" t="s">
        <v>595</v>
      </c>
      <c r="B530" s="1">
        <v>1176.66028571428</v>
      </c>
      <c r="C530" s="1">
        <v>3565.6369999999902</v>
      </c>
      <c r="D530" s="4">
        <f t="shared" si="8"/>
        <v>4853.5111461999923</v>
      </c>
    </row>
    <row r="531" spans="1:6" x14ac:dyDescent="0.3">
      <c r="A531" s="12" t="s">
        <v>666</v>
      </c>
      <c r="B531" s="1">
        <v>1312.031375</v>
      </c>
      <c r="C531" s="1">
        <v>3975.8521249999899</v>
      </c>
      <c r="D531" s="4">
        <f t="shared" si="8"/>
        <v>5170.4433517749912</v>
      </c>
    </row>
    <row r="532" spans="1:6" x14ac:dyDescent="0.3">
      <c r="A532" s="12" t="s">
        <v>642</v>
      </c>
      <c r="B532" s="1">
        <v>1309.208875</v>
      </c>
      <c r="C532" s="1">
        <v>3967.2993750000001</v>
      </c>
      <c r="D532" s="4">
        <f t="shared" si="8"/>
        <v>5163.8354971249992</v>
      </c>
    </row>
    <row r="533" spans="1:6" x14ac:dyDescent="0.3">
      <c r="A533" s="12" t="s">
        <v>618</v>
      </c>
      <c r="B533" s="1">
        <v>1439.4071249999899</v>
      </c>
      <c r="C533" s="1">
        <v>4361.8393749999896</v>
      </c>
      <c r="D533" s="4">
        <f t="shared" si="8"/>
        <v>5468.6571011249916</v>
      </c>
    </row>
    <row r="534" spans="1:6" x14ac:dyDescent="0.3">
      <c r="A534" s="12" t="s">
        <v>594</v>
      </c>
      <c r="B534" s="1">
        <v>1161.3474285714201</v>
      </c>
      <c r="C534" s="1">
        <v>3519.2342857142798</v>
      </c>
      <c r="D534" s="4">
        <f t="shared" si="8"/>
        <v>4817.6604091428526</v>
      </c>
    </row>
    <row r="535" spans="1:6" x14ac:dyDescent="0.3">
      <c r="A535" s="12" t="s">
        <v>665</v>
      </c>
      <c r="B535" s="1">
        <v>1463.36757142857</v>
      </c>
      <c r="C535" s="1">
        <v>4434.4468571428497</v>
      </c>
      <c r="D535" s="4">
        <f t="shared" si="8"/>
        <v>5524.7536418285654</v>
      </c>
      <c r="F535" s="1">
        <f>AVERAGE(D535:D558)</f>
        <v>5377.5401925364622</v>
      </c>
    </row>
    <row r="536" spans="1:6" x14ac:dyDescent="0.3">
      <c r="A536" s="12" t="s">
        <v>641</v>
      </c>
      <c r="B536" s="1">
        <v>1524.4133750000001</v>
      </c>
      <c r="C536" s="1">
        <v>4619.4346249999899</v>
      </c>
      <c r="D536" s="4">
        <f t="shared" si="8"/>
        <v>5667.6751912749914</v>
      </c>
    </row>
    <row r="537" spans="1:6" x14ac:dyDescent="0.3">
      <c r="A537" s="12" t="s">
        <v>617</v>
      </c>
      <c r="B537" s="1">
        <v>1482.22</v>
      </c>
      <c r="C537" s="1">
        <v>4491.5764999999901</v>
      </c>
      <c r="D537" s="4">
        <f t="shared" si="8"/>
        <v>5568.8920038999913</v>
      </c>
    </row>
    <row r="538" spans="1:6" x14ac:dyDescent="0.3">
      <c r="A538" s="12" t="s">
        <v>593</v>
      </c>
      <c r="B538" s="1">
        <v>1440.2994285714201</v>
      </c>
      <c r="C538" s="1">
        <v>4364.5435714285704</v>
      </c>
      <c r="D538" s="4">
        <f t="shared" si="8"/>
        <v>5470.7463632857125</v>
      </c>
    </row>
    <row r="539" spans="1:6" x14ac:dyDescent="0.3">
      <c r="A539" s="12" t="s">
        <v>664</v>
      </c>
      <c r="B539" s="1">
        <v>1506.0208749999899</v>
      </c>
      <c r="C539" s="1">
        <v>4563.7</v>
      </c>
      <c r="D539" s="4">
        <f t="shared" si="8"/>
        <v>5624.6146199999994</v>
      </c>
    </row>
    <row r="540" spans="1:6" x14ac:dyDescent="0.3">
      <c r="A540" s="12" t="s">
        <v>640</v>
      </c>
      <c r="B540" s="1">
        <v>1369.3574999999901</v>
      </c>
      <c r="C540" s="1">
        <v>4149.5683749999898</v>
      </c>
      <c r="D540" s="4">
        <f t="shared" si="8"/>
        <v>5304.6565265249919</v>
      </c>
    </row>
    <row r="541" spans="1:6" x14ac:dyDescent="0.3">
      <c r="A541" s="12" t="s">
        <v>616</v>
      </c>
      <c r="B541" s="1">
        <v>1317.25285714285</v>
      </c>
      <c r="C541" s="1">
        <v>3991.6754285714201</v>
      </c>
      <c r="D541" s="4">
        <f t="shared" si="8"/>
        <v>5182.6684361142788</v>
      </c>
    </row>
    <row r="542" spans="1:6" x14ac:dyDescent="0.3">
      <c r="A542" s="12" t="s">
        <v>592</v>
      </c>
      <c r="B542" s="1">
        <v>1324.32237499999</v>
      </c>
      <c r="C542" s="1">
        <v>4013.09812499999</v>
      </c>
      <c r="D542" s="4">
        <f t="shared" si="8"/>
        <v>5199.2196113749924</v>
      </c>
    </row>
    <row r="543" spans="1:6" x14ac:dyDescent="0.3">
      <c r="A543" s="12" t="s">
        <v>663</v>
      </c>
      <c r="B543" s="1">
        <v>1461.9684999999999</v>
      </c>
      <c r="C543" s="1">
        <v>4430.2071249999899</v>
      </c>
      <c r="D543" s="4">
        <f t="shared" si="8"/>
        <v>5521.4780247749914</v>
      </c>
    </row>
    <row r="544" spans="1:6" x14ac:dyDescent="0.3">
      <c r="A544" s="12" t="s">
        <v>639</v>
      </c>
      <c r="B544" s="1">
        <v>1416.836</v>
      </c>
      <c r="C544" s="1">
        <v>4293.4423749999996</v>
      </c>
      <c r="D544" s="4">
        <f t="shared" si="8"/>
        <v>5415.8135789249991</v>
      </c>
    </row>
    <row r="545" spans="1:6" x14ac:dyDescent="0.3">
      <c r="A545" s="12" t="s">
        <v>615</v>
      </c>
      <c r="B545" s="1">
        <v>1501.1895714285699</v>
      </c>
      <c r="C545" s="1">
        <v>4549.0592857142801</v>
      </c>
      <c r="D545" s="4">
        <f t="shared" si="8"/>
        <v>5613.3032041428523</v>
      </c>
    </row>
    <row r="546" spans="1:6" x14ac:dyDescent="0.3">
      <c r="A546" s="12" t="s">
        <v>591</v>
      </c>
      <c r="B546" s="1">
        <v>1276.9748571428499</v>
      </c>
      <c r="C546" s="1">
        <v>3869.6207142857102</v>
      </c>
      <c r="D546" s="4">
        <f t="shared" si="8"/>
        <v>5088.3689638571395</v>
      </c>
    </row>
    <row r="547" spans="1:6" x14ac:dyDescent="0.3">
      <c r="A547" s="12" t="s">
        <v>662</v>
      </c>
      <c r="B547" s="1">
        <v>1455.7251249999899</v>
      </c>
      <c r="C547" s="1">
        <v>4411.2879999999996</v>
      </c>
      <c r="D547" s="4">
        <f t="shared" si="8"/>
        <v>5506.8611087999998</v>
      </c>
    </row>
    <row r="548" spans="1:6" x14ac:dyDescent="0.3">
      <c r="A548" s="12" t="s">
        <v>638</v>
      </c>
      <c r="B548" s="1">
        <v>1343.7307499999999</v>
      </c>
      <c r="C548" s="1">
        <v>4071.9113749999901</v>
      </c>
      <c r="D548" s="4">
        <f t="shared" si="8"/>
        <v>5244.6587283249919</v>
      </c>
    </row>
    <row r="549" spans="1:6" x14ac:dyDescent="0.3">
      <c r="A549" s="12" t="s">
        <v>614</v>
      </c>
      <c r="B549" s="1">
        <v>1461.9007142857099</v>
      </c>
      <c r="C549" s="1">
        <v>4430.0024285714198</v>
      </c>
      <c r="D549" s="4">
        <f t="shared" si="8"/>
        <v>5521.3198763142791</v>
      </c>
    </row>
    <row r="550" spans="1:6" x14ac:dyDescent="0.3">
      <c r="A550" s="12" t="s">
        <v>590</v>
      </c>
      <c r="B550" s="1">
        <v>1478.3701428571401</v>
      </c>
      <c r="C550" s="1">
        <v>4479.9091428571401</v>
      </c>
      <c r="D550" s="4">
        <f t="shared" si="8"/>
        <v>5559.8778037714255</v>
      </c>
    </row>
    <row r="551" spans="1:6" x14ac:dyDescent="0.3">
      <c r="A551" s="12" t="s">
        <v>661</v>
      </c>
      <c r="B551" s="1">
        <v>1333.8693333333299</v>
      </c>
      <c r="C551" s="1">
        <v>4042.0286666666598</v>
      </c>
      <c r="D551" s="4">
        <f t="shared" si="8"/>
        <v>5221.5713478666603</v>
      </c>
    </row>
    <row r="552" spans="1:6" x14ac:dyDescent="0.3">
      <c r="A552" s="12" t="s">
        <v>637</v>
      </c>
      <c r="B552" s="1">
        <v>1299.6257499999899</v>
      </c>
      <c r="C552" s="1">
        <v>3938.2598749999902</v>
      </c>
      <c r="D552" s="4">
        <f t="shared" si="8"/>
        <v>5141.3995794249922</v>
      </c>
    </row>
    <row r="553" spans="1:6" x14ac:dyDescent="0.3">
      <c r="A553" s="12" t="s">
        <v>613</v>
      </c>
      <c r="B553" s="1">
        <v>1474.9869999999901</v>
      </c>
      <c r="C553" s="1">
        <v>4469.6574285714196</v>
      </c>
      <c r="D553" s="4">
        <f t="shared" si="8"/>
        <v>5551.9573293142785</v>
      </c>
    </row>
    <row r="554" spans="1:6" x14ac:dyDescent="0.3">
      <c r="A554" s="12" t="s">
        <v>589</v>
      </c>
      <c r="B554" s="1">
        <v>1306.1072857142799</v>
      </c>
      <c r="C554" s="1">
        <v>3957.9005714285699</v>
      </c>
      <c r="D554" s="4">
        <f t="shared" si="8"/>
        <v>5156.5739814857134</v>
      </c>
    </row>
    <row r="555" spans="1:6" x14ac:dyDescent="0.3">
      <c r="A555" s="12" t="s">
        <v>660</v>
      </c>
      <c r="B555" s="1">
        <v>1272.3205</v>
      </c>
      <c r="C555" s="1">
        <v>3855.5167999999899</v>
      </c>
      <c r="D555" s="4">
        <f t="shared" si="8"/>
        <v>5077.4722796799924</v>
      </c>
    </row>
    <row r="556" spans="1:6" x14ac:dyDescent="0.3">
      <c r="A556" s="12" t="s">
        <v>636</v>
      </c>
      <c r="B556" s="1">
        <v>1273.224375</v>
      </c>
      <c r="C556" s="1">
        <v>3858.2561249999999</v>
      </c>
      <c r="D556" s="4">
        <f t="shared" si="8"/>
        <v>5079.5886821749991</v>
      </c>
    </row>
    <row r="557" spans="1:6" x14ac:dyDescent="0.3">
      <c r="A557" s="12" t="s">
        <v>612</v>
      </c>
      <c r="B557" s="1">
        <v>1449.4422857142799</v>
      </c>
      <c r="C557" s="1">
        <v>4392.2491428571402</v>
      </c>
      <c r="D557" s="4">
        <f t="shared" si="8"/>
        <v>5492.1516877714257</v>
      </c>
    </row>
    <row r="558" spans="1:6" x14ac:dyDescent="0.3">
      <c r="A558" s="12" t="s">
        <v>588</v>
      </c>
      <c r="B558" s="1">
        <v>1378.1927142857101</v>
      </c>
      <c r="C558" s="1">
        <v>4176.3422857142796</v>
      </c>
      <c r="D558" s="4">
        <f t="shared" si="8"/>
        <v>5325.3420499428521</v>
      </c>
    </row>
    <row r="559" spans="1:6" x14ac:dyDescent="0.3">
      <c r="A559" s="12" t="s">
        <v>659</v>
      </c>
      <c r="B559" s="1">
        <v>1243.2506249999999</v>
      </c>
      <c r="C559" s="1">
        <v>3767.426375</v>
      </c>
      <c r="D559" s="4">
        <f t="shared" si="8"/>
        <v>5009.413617324999</v>
      </c>
      <c r="F559" s="1">
        <f>AVERAGE(D559:D582)</f>
        <v>4434.17833274444</v>
      </c>
    </row>
    <row r="560" spans="1:6" x14ac:dyDescent="0.3">
      <c r="A560" s="12" t="s">
        <v>635</v>
      </c>
      <c r="B560" s="1">
        <v>1035.0666249999899</v>
      </c>
      <c r="C560" s="1">
        <v>3136.5656250000002</v>
      </c>
      <c r="D560" s="4">
        <f t="shared" si="8"/>
        <v>4522.0106018749993</v>
      </c>
    </row>
    <row r="561" spans="1:4" x14ac:dyDescent="0.3">
      <c r="A561" s="12" t="s">
        <v>611</v>
      </c>
      <c r="B561" s="1">
        <v>1083.989</v>
      </c>
      <c r="C561" s="1">
        <v>3284.8154285714199</v>
      </c>
      <c r="D561" s="4">
        <f t="shared" si="8"/>
        <v>4636.5484001142786</v>
      </c>
    </row>
    <row r="562" spans="1:4" x14ac:dyDescent="0.3">
      <c r="A562" s="12" t="s">
        <v>587</v>
      </c>
      <c r="B562" s="1">
        <v>1204.52112499999</v>
      </c>
      <c r="C562" s="1">
        <v>3650.06462499999</v>
      </c>
      <c r="D562" s="4">
        <f t="shared" si="8"/>
        <v>4918.7399292749924</v>
      </c>
    </row>
    <row r="563" spans="1:4" x14ac:dyDescent="0.3">
      <c r="A563" s="12" t="s">
        <v>658</v>
      </c>
      <c r="B563" s="1">
        <v>1220.78249999999</v>
      </c>
      <c r="C563" s="1">
        <v>3699.3402500000002</v>
      </c>
      <c r="D563" s="4">
        <f t="shared" si="8"/>
        <v>4956.8102771499998</v>
      </c>
    </row>
    <row r="564" spans="1:4" x14ac:dyDescent="0.3">
      <c r="A564" s="12" t="s">
        <v>634</v>
      </c>
      <c r="B564" s="1">
        <v>1002.15899999999</v>
      </c>
      <c r="C564" s="1">
        <v>3036.8456249999899</v>
      </c>
      <c r="D564" s="4">
        <f t="shared" si="8"/>
        <v>4444.9669298749923</v>
      </c>
    </row>
    <row r="565" spans="1:4" x14ac:dyDescent="0.3">
      <c r="A565" s="12" t="s">
        <v>610</v>
      </c>
      <c r="B565" s="1">
        <v>941.89342857142799</v>
      </c>
      <c r="C565" s="1">
        <v>2854.2222857142801</v>
      </c>
      <c r="D565" s="4">
        <f t="shared" si="8"/>
        <v>4303.8721379428525</v>
      </c>
    </row>
    <row r="566" spans="1:4" x14ac:dyDescent="0.3">
      <c r="A566" s="12" t="s">
        <v>586</v>
      </c>
      <c r="B566" s="1">
        <v>1112.3228571428499</v>
      </c>
      <c r="C566" s="1">
        <v>3370.6751428571401</v>
      </c>
      <c r="D566" s="4">
        <f t="shared" si="8"/>
        <v>4702.8836153714255</v>
      </c>
    </row>
    <row r="567" spans="1:4" x14ac:dyDescent="0.3">
      <c r="A567" s="12" t="s">
        <v>657</v>
      </c>
      <c r="B567" s="1">
        <v>992.88912500000004</v>
      </c>
      <c r="C567" s="1">
        <v>3008.7548750000001</v>
      </c>
      <c r="D567" s="4">
        <f t="shared" si="8"/>
        <v>4423.2640164249997</v>
      </c>
    </row>
    <row r="568" spans="1:4" x14ac:dyDescent="0.3">
      <c r="A568" s="12" t="s">
        <v>633</v>
      </c>
      <c r="B568" s="1">
        <v>838.54449999999997</v>
      </c>
      <c r="C568" s="1">
        <v>2541.0442499999899</v>
      </c>
      <c r="D568" s="4">
        <f t="shared" si="8"/>
        <v>4061.9107875499922</v>
      </c>
    </row>
    <row r="569" spans="1:4" x14ac:dyDescent="0.3">
      <c r="A569" s="12" t="s">
        <v>609</v>
      </c>
      <c r="B569" s="1">
        <v>1282.9622857142799</v>
      </c>
      <c r="C569" s="1">
        <v>3887.7641428571401</v>
      </c>
      <c r="D569" s="4">
        <f t="shared" si="8"/>
        <v>5102.386576771426</v>
      </c>
    </row>
    <row r="570" spans="1:4" x14ac:dyDescent="0.3">
      <c r="A570" s="12" t="s">
        <v>585</v>
      </c>
      <c r="B570" s="1">
        <v>1185.9018571428501</v>
      </c>
      <c r="C570" s="1">
        <v>3593.6422857142802</v>
      </c>
      <c r="D570" s="4">
        <f t="shared" si="8"/>
        <v>4875.1480299428531</v>
      </c>
    </row>
    <row r="571" spans="1:4" x14ac:dyDescent="0.3">
      <c r="A571" s="12" t="s">
        <v>656</v>
      </c>
      <c r="B571" s="1">
        <v>998.66524999999899</v>
      </c>
      <c r="C571" s="1">
        <v>3026.2578749999998</v>
      </c>
      <c r="D571" s="4">
        <f t="shared" si="8"/>
        <v>4436.7868342249994</v>
      </c>
    </row>
    <row r="572" spans="1:4" x14ac:dyDescent="0.3">
      <c r="A572" s="12" t="s">
        <v>632</v>
      </c>
      <c r="B572" s="1">
        <v>862.05512499999998</v>
      </c>
      <c r="C572" s="1">
        <v>2612.2886250000001</v>
      </c>
      <c r="D572" s="4">
        <f t="shared" si="8"/>
        <v>4116.9541916749995</v>
      </c>
    </row>
    <row r="573" spans="1:4" x14ac:dyDescent="0.3">
      <c r="A573" s="12" t="s">
        <v>608</v>
      </c>
      <c r="B573" s="1">
        <v>1108.1610000000001</v>
      </c>
      <c r="C573" s="1">
        <v>3358.06342857142</v>
      </c>
      <c r="D573" s="4">
        <f t="shared" si="8"/>
        <v>4693.139804914279</v>
      </c>
    </row>
    <row r="574" spans="1:4" x14ac:dyDescent="0.3">
      <c r="A574" s="12" t="s">
        <v>584</v>
      </c>
      <c r="B574" s="1">
        <v>1251.9078571428499</v>
      </c>
      <c r="C574" s="1">
        <v>3793.6598571428499</v>
      </c>
      <c r="D574" s="4">
        <f t="shared" si="8"/>
        <v>5029.6816056285661</v>
      </c>
    </row>
    <row r="575" spans="1:4" x14ac:dyDescent="0.3">
      <c r="A575" s="12" t="s">
        <v>655</v>
      </c>
      <c r="B575" s="1">
        <v>996.20014285714205</v>
      </c>
      <c r="C575" s="1">
        <v>3018.78785714285</v>
      </c>
      <c r="D575" s="4">
        <f t="shared" si="8"/>
        <v>4431.0154984285655</v>
      </c>
    </row>
    <row r="576" spans="1:4" x14ac:dyDescent="0.3">
      <c r="A576" s="12" t="s">
        <v>631</v>
      </c>
      <c r="B576" s="1">
        <v>842.45612500000004</v>
      </c>
      <c r="C576" s="1">
        <v>2552.897375</v>
      </c>
      <c r="D576" s="4">
        <f t="shared" si="8"/>
        <v>4071.0685119249997</v>
      </c>
    </row>
    <row r="577" spans="1:4" x14ac:dyDescent="0.3">
      <c r="A577" s="12" t="s">
        <v>607</v>
      </c>
      <c r="B577" s="1">
        <v>798.85199999999895</v>
      </c>
      <c r="C577" s="1">
        <v>2420.7631666666598</v>
      </c>
      <c r="D577" s="4">
        <f t="shared" si="8"/>
        <v>3968.9816225666609</v>
      </c>
    </row>
    <row r="578" spans="1:4" x14ac:dyDescent="0.3">
      <c r="A578" s="12" t="s">
        <v>583</v>
      </c>
      <c r="B578" s="1">
        <v>946.58014285714205</v>
      </c>
      <c r="C578" s="1">
        <v>2868.4247142857098</v>
      </c>
      <c r="D578" s="4">
        <f t="shared" si="8"/>
        <v>4314.8449342571384</v>
      </c>
    </row>
    <row r="579" spans="1:4" x14ac:dyDescent="0.3">
      <c r="A579" s="12" t="s">
        <v>654</v>
      </c>
      <c r="B579" s="1">
        <v>641.76462500000002</v>
      </c>
      <c r="C579" s="1">
        <v>1944.74125</v>
      </c>
      <c r="D579" s="4">
        <f t="shared" si="8"/>
        <v>3601.2070897499998</v>
      </c>
    </row>
    <row r="580" spans="1:4" x14ac:dyDescent="0.3">
      <c r="A580" s="12" t="s">
        <v>630</v>
      </c>
      <c r="B580" s="1">
        <v>740.30874999999901</v>
      </c>
      <c r="C580" s="1">
        <v>2243.3597500000001</v>
      </c>
      <c r="D580" s="4">
        <f t="shared" si="8"/>
        <v>3831.9197428499997</v>
      </c>
    </row>
    <row r="581" spans="1:4" x14ac:dyDescent="0.3">
      <c r="A581" s="12" t="s">
        <v>606</v>
      </c>
      <c r="B581" s="1">
        <v>792.77928571428504</v>
      </c>
      <c r="C581" s="1">
        <v>2402.3618571428501</v>
      </c>
      <c r="D581" s="4">
        <f t="shared" si="8"/>
        <v>3954.7647708285658</v>
      </c>
    </row>
    <row r="582" spans="1:4" x14ac:dyDescent="0.3">
      <c r="A582" s="12" t="s">
        <v>582</v>
      </c>
      <c r="B582" s="1">
        <v>817.20928571428499</v>
      </c>
      <c r="C582" s="1">
        <v>2476.3919999999898</v>
      </c>
      <c r="D582" s="4">
        <f t="shared" si="8"/>
        <v>4011.9604591999919</v>
      </c>
    </row>
  </sheetData>
  <sortState xmlns:xlrd2="http://schemas.microsoft.com/office/spreadsheetml/2017/richdata2" ref="A7:C582">
    <sortCondition ref="A7:A582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C0E53-2333-44F3-BC6F-75F93AB74A0A}">
  <dimension ref="A1:AH30"/>
  <sheetViews>
    <sheetView workbookViewId="0"/>
  </sheetViews>
  <sheetFormatPr defaultRowHeight="14.4" x14ac:dyDescent="0.3"/>
  <cols>
    <col min="3" max="3" width="10.5546875" bestFit="1" customWidth="1"/>
    <col min="8" max="8" width="8.88671875" customWidth="1"/>
    <col min="9" max="9" width="10.5546875" bestFit="1" customWidth="1"/>
    <col min="12" max="12" width="8.88671875" customWidth="1"/>
    <col min="26" max="26" width="8.77734375" customWidth="1"/>
    <col min="27" max="27" width="14.109375" bestFit="1" customWidth="1"/>
    <col min="28" max="28" width="10.5546875" bestFit="1" customWidth="1"/>
  </cols>
  <sheetData>
    <row r="1" spans="1:34" x14ac:dyDescent="0.3">
      <c r="A1" s="3"/>
      <c r="B1" s="3" t="s">
        <v>0</v>
      </c>
      <c r="C1" s="3" t="s">
        <v>0</v>
      </c>
      <c r="D1" t="s">
        <v>0</v>
      </c>
      <c r="E1" t="s">
        <v>0</v>
      </c>
      <c r="F1" t="s">
        <v>0</v>
      </c>
      <c r="G1" t="s">
        <v>0</v>
      </c>
      <c r="H1" s="3" t="s">
        <v>0</v>
      </c>
      <c r="I1" s="3" t="s">
        <v>12</v>
      </c>
      <c r="J1" t="s">
        <v>12</v>
      </c>
      <c r="K1" t="s">
        <v>12</v>
      </c>
      <c r="L1" s="3" t="s">
        <v>12</v>
      </c>
      <c r="M1" s="3" t="s">
        <v>12</v>
      </c>
      <c r="N1" s="3" t="s">
        <v>12</v>
      </c>
      <c r="O1" t="s">
        <v>11</v>
      </c>
      <c r="P1" t="s">
        <v>11</v>
      </c>
      <c r="Q1" t="s">
        <v>11</v>
      </c>
      <c r="R1" t="s">
        <v>11</v>
      </c>
      <c r="S1" s="3" t="s">
        <v>11</v>
      </c>
      <c r="T1" s="3" t="s">
        <v>11</v>
      </c>
      <c r="U1" s="3" t="s">
        <v>28</v>
      </c>
      <c r="V1" s="3" t="s">
        <v>28</v>
      </c>
      <c r="W1" s="3" t="s">
        <v>28</v>
      </c>
      <c r="X1" s="3" t="s">
        <v>28</v>
      </c>
      <c r="Y1" s="3" t="s">
        <v>28</v>
      </c>
      <c r="Z1" s="3" t="s">
        <v>28</v>
      </c>
      <c r="AB1" s="3" t="s">
        <v>41</v>
      </c>
      <c r="AC1" s="3" t="s">
        <v>41</v>
      </c>
      <c r="AD1" s="3" t="s">
        <v>41</v>
      </c>
      <c r="AE1" s="3" t="s">
        <v>41</v>
      </c>
      <c r="AF1" s="3" t="s">
        <v>41</v>
      </c>
      <c r="AG1" s="3" t="s">
        <v>41</v>
      </c>
      <c r="AH1" s="3" t="s">
        <v>41</v>
      </c>
    </row>
    <row r="2" spans="1:34" x14ac:dyDescent="0.3">
      <c r="A2" s="3"/>
      <c r="B2" s="3"/>
      <c r="C2" s="3"/>
      <c r="G2" t="s">
        <v>106</v>
      </c>
      <c r="H2" s="3" t="s">
        <v>190</v>
      </c>
      <c r="I2" s="3"/>
      <c r="L2" s="3"/>
      <c r="M2" s="3"/>
      <c r="N2" s="3"/>
      <c r="O2" t="s">
        <v>21</v>
      </c>
      <c r="P2" t="s">
        <v>121</v>
      </c>
      <c r="Q2" t="s">
        <v>21</v>
      </c>
      <c r="R2" t="s">
        <v>22</v>
      </c>
      <c r="S2" s="3"/>
      <c r="T2" s="3"/>
      <c r="U2" s="3"/>
      <c r="V2" s="3"/>
      <c r="W2" s="3"/>
      <c r="X2" s="3"/>
      <c r="Y2" s="3"/>
      <c r="Z2" s="3"/>
      <c r="AB2" s="3"/>
      <c r="AC2" s="3"/>
      <c r="AD2" s="3"/>
      <c r="AE2" s="3"/>
      <c r="AF2" s="3"/>
      <c r="AG2" s="3"/>
      <c r="AH2" s="3"/>
    </row>
    <row r="3" spans="1:34" x14ac:dyDescent="0.3">
      <c r="A3" s="3"/>
      <c r="B3" s="3"/>
      <c r="C3" s="3"/>
      <c r="D3" t="s">
        <v>13</v>
      </c>
      <c r="E3" t="s">
        <v>24</v>
      </c>
      <c r="F3" t="s">
        <v>13</v>
      </c>
      <c r="G3" t="s">
        <v>0</v>
      </c>
      <c r="H3" s="3" t="s">
        <v>823</v>
      </c>
      <c r="I3" s="3" t="s">
        <v>45</v>
      </c>
      <c r="J3" t="s">
        <v>16</v>
      </c>
      <c r="K3" t="s">
        <v>15</v>
      </c>
      <c r="L3" s="3"/>
      <c r="M3" s="3"/>
      <c r="N3" s="3"/>
      <c r="O3" t="s">
        <v>120</v>
      </c>
      <c r="P3" t="s">
        <v>122</v>
      </c>
      <c r="Q3" t="s">
        <v>123</v>
      </c>
      <c r="R3" t="s">
        <v>19</v>
      </c>
      <c r="S3" s="3"/>
      <c r="T3" s="3"/>
      <c r="U3" s="3"/>
      <c r="V3" s="3"/>
      <c r="W3" s="3"/>
      <c r="X3" s="3"/>
      <c r="Y3" s="3"/>
      <c r="Z3" s="3"/>
      <c r="AB3" s="3"/>
      <c r="AC3" s="3"/>
      <c r="AD3" s="3"/>
      <c r="AE3" s="3"/>
      <c r="AF3" s="3"/>
      <c r="AG3" s="3"/>
      <c r="AH3" s="3"/>
    </row>
    <row r="4" spans="1:34" x14ac:dyDescent="0.3">
      <c r="A4" s="3" t="s">
        <v>32</v>
      </c>
      <c r="B4" s="3" t="s">
        <v>104</v>
      </c>
      <c r="C4" s="3" t="s">
        <v>105</v>
      </c>
      <c r="D4" t="s">
        <v>1</v>
      </c>
      <c r="E4" t="s">
        <v>20</v>
      </c>
      <c r="F4" t="s">
        <v>3</v>
      </c>
      <c r="G4" t="s">
        <v>5</v>
      </c>
      <c r="H4" s="3" t="s">
        <v>5</v>
      </c>
      <c r="I4" s="3" t="s">
        <v>44</v>
      </c>
      <c r="J4" t="s">
        <v>1</v>
      </c>
      <c r="K4" t="s">
        <v>47</v>
      </c>
      <c r="L4" s="3" t="s">
        <v>8</v>
      </c>
      <c r="M4" s="3" t="s">
        <v>9</v>
      </c>
      <c r="N4" s="3" t="s">
        <v>10</v>
      </c>
      <c r="O4" t="s">
        <v>23</v>
      </c>
      <c r="P4" t="s">
        <v>23</v>
      </c>
      <c r="Q4" t="s">
        <v>23</v>
      </c>
      <c r="R4" t="s">
        <v>23</v>
      </c>
      <c r="S4" s="3" t="s">
        <v>196</v>
      </c>
      <c r="T4" s="3" t="s">
        <v>197</v>
      </c>
      <c r="U4" s="3" t="s">
        <v>25</v>
      </c>
      <c r="V4" s="3" t="s">
        <v>26</v>
      </c>
      <c r="W4" s="3" t="s">
        <v>27</v>
      </c>
      <c r="X4" s="3" t="s">
        <v>29</v>
      </c>
      <c r="Y4" s="3" t="s">
        <v>30</v>
      </c>
      <c r="Z4" s="3" t="s">
        <v>31</v>
      </c>
      <c r="AA4" t="s">
        <v>42</v>
      </c>
      <c r="AB4" s="3" t="s">
        <v>46</v>
      </c>
      <c r="AC4" s="3" t="s">
        <v>34</v>
      </c>
      <c r="AD4" s="3" t="s">
        <v>35</v>
      </c>
      <c r="AE4" s="3" t="s">
        <v>36</v>
      </c>
      <c r="AF4" s="3" t="s">
        <v>37</v>
      </c>
      <c r="AG4" s="3" t="s">
        <v>38</v>
      </c>
      <c r="AH4" s="3" t="s">
        <v>39</v>
      </c>
    </row>
    <row r="5" spans="1:34" x14ac:dyDescent="0.3">
      <c r="A5" s="3"/>
      <c r="B5" s="3"/>
      <c r="C5" s="3"/>
      <c r="D5" t="s">
        <v>14</v>
      </c>
      <c r="E5" t="s">
        <v>14</v>
      </c>
      <c r="F5" t="s">
        <v>14</v>
      </c>
      <c r="G5" t="s">
        <v>6</v>
      </c>
      <c r="H5" s="3" t="s">
        <v>6</v>
      </c>
      <c r="I5" s="3"/>
      <c r="J5" t="s">
        <v>14</v>
      </c>
      <c r="K5" t="s">
        <v>14</v>
      </c>
      <c r="L5" s="3" t="s">
        <v>17</v>
      </c>
      <c r="M5" s="3" t="s">
        <v>17</v>
      </c>
      <c r="N5" s="3" t="s">
        <v>17</v>
      </c>
      <c r="O5" t="s">
        <v>18</v>
      </c>
      <c r="P5" t="s">
        <v>18</v>
      </c>
      <c r="Q5" t="s">
        <v>18</v>
      </c>
      <c r="R5" t="s">
        <v>18</v>
      </c>
      <c r="S5" s="3" t="s">
        <v>7</v>
      </c>
      <c r="T5" s="3" t="s">
        <v>7</v>
      </c>
      <c r="U5" s="3" t="s">
        <v>6</v>
      </c>
      <c r="V5" s="3" t="s">
        <v>6</v>
      </c>
      <c r="W5" s="3" t="s">
        <v>6</v>
      </c>
      <c r="X5" s="3" t="s">
        <v>6</v>
      </c>
      <c r="Y5" s="3" t="s">
        <v>6</v>
      </c>
      <c r="Z5" s="3" t="s">
        <v>6</v>
      </c>
      <c r="AB5" s="3"/>
      <c r="AC5" s="3"/>
      <c r="AD5" s="3" t="s">
        <v>43</v>
      </c>
      <c r="AE5" s="3" t="s">
        <v>7</v>
      </c>
      <c r="AF5" s="3" t="s">
        <v>40</v>
      </c>
      <c r="AG5" s="3" t="s">
        <v>7</v>
      </c>
      <c r="AH5" s="3" t="s">
        <v>7</v>
      </c>
    </row>
    <row r="6" spans="1:34" x14ac:dyDescent="0.3">
      <c r="A6" s="3" t="s">
        <v>32</v>
      </c>
      <c r="B6" s="3" t="s">
        <v>104</v>
      </c>
      <c r="C6" s="3" t="s">
        <v>105</v>
      </c>
      <c r="H6" s="3" t="s">
        <v>5</v>
      </c>
      <c r="I6" s="3" t="s">
        <v>44</v>
      </c>
      <c r="L6" s="3" t="s">
        <v>8</v>
      </c>
      <c r="M6" s="3" t="s">
        <v>9</v>
      </c>
      <c r="N6" s="3" t="s">
        <v>10</v>
      </c>
      <c r="S6" s="3" t="s">
        <v>196</v>
      </c>
      <c r="T6" s="3" t="s">
        <v>197</v>
      </c>
      <c r="U6" s="3" t="s">
        <v>25</v>
      </c>
      <c r="V6" s="3" t="s">
        <v>26</v>
      </c>
      <c r="W6" s="3" t="s">
        <v>27</v>
      </c>
      <c r="X6" s="3" t="s">
        <v>29</v>
      </c>
      <c r="Y6" s="3" t="s">
        <v>30</v>
      </c>
      <c r="Z6" s="3" t="s">
        <v>31</v>
      </c>
      <c r="AB6" s="3" t="s">
        <v>46</v>
      </c>
      <c r="AC6" s="3" t="s">
        <v>34</v>
      </c>
      <c r="AD6" s="3" t="s">
        <v>35</v>
      </c>
      <c r="AE6" s="3" t="s">
        <v>36</v>
      </c>
      <c r="AF6" s="3" t="s">
        <v>37</v>
      </c>
      <c r="AG6" s="3" t="s">
        <v>38</v>
      </c>
      <c r="AH6" s="3" t="s">
        <v>39</v>
      </c>
    </row>
    <row r="7" spans="1:34" x14ac:dyDescent="0.3">
      <c r="A7" s="12" t="s">
        <v>830</v>
      </c>
      <c r="B7" s="4" t="s">
        <v>106</v>
      </c>
      <c r="C7" s="10">
        <v>43768</v>
      </c>
      <c r="D7" s="2">
        <v>4.68</v>
      </c>
      <c r="E7" s="2">
        <v>0.32</v>
      </c>
      <c r="F7" s="2">
        <v>4.3599999999999994</v>
      </c>
      <c r="G7" s="1">
        <v>5364.1732283464562</v>
      </c>
      <c r="H7" s="4">
        <v>5261.539287866638</v>
      </c>
      <c r="I7" s="10">
        <v>43787</v>
      </c>
      <c r="J7" s="2">
        <v>2.2599999999999998</v>
      </c>
      <c r="K7" s="2">
        <v>5.54</v>
      </c>
      <c r="L7" s="6">
        <v>0.38990825688073394</v>
      </c>
      <c r="M7" s="6">
        <v>0.50000000000000011</v>
      </c>
      <c r="N7" s="6">
        <v>0.11009174311926595</v>
      </c>
      <c r="O7" s="2">
        <v>117.44</v>
      </c>
      <c r="P7" s="2">
        <v>114.22</v>
      </c>
      <c r="Q7" s="2">
        <v>296.77</v>
      </c>
      <c r="R7" s="2">
        <v>284.83000000000004</v>
      </c>
      <c r="S7" s="5">
        <v>2.7418256130790182</v>
      </c>
      <c r="T7" s="5">
        <v>4.0233177207938615</v>
      </c>
      <c r="U7" s="4">
        <v>2051.5176122415792</v>
      </c>
      <c r="V7" s="4">
        <v>2630.7696439333195</v>
      </c>
      <c r="W7" s="4">
        <v>4682.2872561748991</v>
      </c>
      <c r="X7" s="4">
        <v>1995.2685768923125</v>
      </c>
      <c r="Y7" s="4">
        <v>2524.9254226556845</v>
      </c>
      <c r="Z7" s="4">
        <v>4520.193999547997</v>
      </c>
      <c r="AA7" s="11" t="s">
        <v>139</v>
      </c>
      <c r="AB7" s="10">
        <v>43803</v>
      </c>
      <c r="AC7" s="4">
        <v>48.45</v>
      </c>
      <c r="AD7" s="5">
        <v>1.0350000000000001</v>
      </c>
      <c r="AE7" s="4">
        <v>78.400000000000006</v>
      </c>
      <c r="AF7" s="4">
        <v>25.25</v>
      </c>
      <c r="AG7" s="4">
        <v>9.1000000000000014</v>
      </c>
      <c r="AH7" s="4">
        <v>12.15</v>
      </c>
    </row>
    <row r="8" spans="1:34" x14ac:dyDescent="0.3">
      <c r="A8" s="3" t="s">
        <v>831</v>
      </c>
      <c r="B8" s="4" t="s">
        <v>106</v>
      </c>
      <c r="C8" s="10">
        <v>43768</v>
      </c>
      <c r="D8" s="2">
        <v>5.0199999999999996</v>
      </c>
      <c r="E8" s="2">
        <v>0.32</v>
      </c>
      <c r="F8" s="2">
        <v>4.6999999999999993</v>
      </c>
      <c r="G8" s="1">
        <v>5782.4803149606287</v>
      </c>
      <c r="H8" s="4">
        <v>5617.2557335750453</v>
      </c>
      <c r="I8" s="10">
        <v>43787</v>
      </c>
      <c r="J8" s="2">
        <v>2.2800000000000002</v>
      </c>
      <c r="K8" s="2">
        <v>5.82</v>
      </c>
      <c r="L8" s="6">
        <v>0.36595744680851072</v>
      </c>
      <c r="M8" s="6">
        <v>0.52340425531914914</v>
      </c>
      <c r="N8" s="6">
        <v>0.11063829787234014</v>
      </c>
      <c r="O8" s="2">
        <v>110.57</v>
      </c>
      <c r="P8" s="2">
        <v>107.46000000000001</v>
      </c>
      <c r="Q8" s="2">
        <v>315.61</v>
      </c>
      <c r="R8" s="2">
        <v>302.71000000000004</v>
      </c>
      <c r="S8" s="5">
        <v>2.8126978384733521</v>
      </c>
      <c r="T8" s="5">
        <v>4.0873229618833298</v>
      </c>
      <c r="U8" s="4">
        <v>2055.6765663295914</v>
      </c>
      <c r="V8" s="4">
        <v>2940.0955541690673</v>
      </c>
      <c r="W8" s="4">
        <v>4995.7721204986592</v>
      </c>
      <c r="X8" s="4">
        <v>1997.8565959824357</v>
      </c>
      <c r="Y8" s="4">
        <v>2819.924353482204</v>
      </c>
      <c r="Z8" s="4">
        <v>4817.7809494646399</v>
      </c>
      <c r="AA8" s="11" t="s">
        <v>140</v>
      </c>
      <c r="AB8" s="10">
        <v>43803</v>
      </c>
      <c r="AC8" s="4">
        <v>48.75</v>
      </c>
      <c r="AD8" s="5">
        <v>1.0750000000000002</v>
      </c>
      <c r="AE8" s="4">
        <v>80.2</v>
      </c>
      <c r="AF8" s="4">
        <v>27.05</v>
      </c>
      <c r="AG8" s="4">
        <v>8.8999999999999986</v>
      </c>
      <c r="AH8" s="4">
        <v>10.7</v>
      </c>
    </row>
    <row r="9" spans="1:34" x14ac:dyDescent="0.3">
      <c r="A9" s="3" t="s">
        <v>832</v>
      </c>
      <c r="B9" s="4" t="s">
        <v>106</v>
      </c>
      <c r="C9" s="10">
        <v>43768</v>
      </c>
      <c r="D9" s="2">
        <v>3.79</v>
      </c>
      <c r="E9" s="2">
        <v>0.32</v>
      </c>
      <c r="F9" s="2">
        <v>3.47</v>
      </c>
      <c r="G9" s="1">
        <v>4269.1929133858266</v>
      </c>
      <c r="H9" s="4">
        <v>5245.2145114970936</v>
      </c>
      <c r="I9" s="10">
        <v>43787</v>
      </c>
      <c r="J9" s="2">
        <v>1.9</v>
      </c>
      <c r="K9" s="2">
        <v>5.0999999999999996</v>
      </c>
      <c r="L9" s="6">
        <v>0.38616714697406335</v>
      </c>
      <c r="M9" s="6">
        <v>0.50144092219020164</v>
      </c>
      <c r="N9" s="6">
        <v>0.11239193083573507</v>
      </c>
      <c r="O9" s="2">
        <v>75.34</v>
      </c>
      <c r="P9" s="2">
        <v>73.25</v>
      </c>
      <c r="Q9" s="2">
        <v>287.39999999999998</v>
      </c>
      <c r="R9" s="2">
        <v>276.23</v>
      </c>
      <c r="S9" s="5">
        <v>2.7740907884258075</v>
      </c>
      <c r="T9" s="5">
        <v>3.8865692414752817</v>
      </c>
      <c r="U9" s="4">
        <v>2025.529523171788</v>
      </c>
      <c r="V9" s="4">
        <v>2630.1652017305305</v>
      </c>
      <c r="W9" s="4">
        <v>4655.6947249023187</v>
      </c>
      <c r="X9" s="4">
        <v>1969.3394952526342</v>
      </c>
      <c r="Y9" s="4">
        <v>2527.9420100000852</v>
      </c>
      <c r="Z9" s="4">
        <v>4497.2815052527194</v>
      </c>
      <c r="AA9" s="11" t="s">
        <v>141</v>
      </c>
      <c r="AB9" s="10">
        <v>43803</v>
      </c>
      <c r="AC9" s="4">
        <v>49.55</v>
      </c>
      <c r="AD9" s="5">
        <v>1.0449999999999999</v>
      </c>
      <c r="AE9" s="4">
        <v>80.650000000000006</v>
      </c>
      <c r="AF9" s="4">
        <v>26</v>
      </c>
      <c r="AG9" s="4">
        <v>9.1</v>
      </c>
      <c r="AH9" s="4">
        <v>10.75</v>
      </c>
    </row>
    <row r="10" spans="1:34" x14ac:dyDescent="0.3">
      <c r="A10" s="3" t="s">
        <v>833</v>
      </c>
      <c r="B10" s="4" t="s">
        <v>106</v>
      </c>
      <c r="C10" s="10">
        <v>43768</v>
      </c>
      <c r="D10" s="2">
        <v>4.97</v>
      </c>
      <c r="E10" s="2">
        <v>0.32</v>
      </c>
      <c r="F10" s="2">
        <v>4.6499999999999995</v>
      </c>
      <c r="G10" s="1">
        <v>5720.9645669291331</v>
      </c>
      <c r="H10" s="4">
        <v>5318.1083774265308</v>
      </c>
      <c r="I10" s="10">
        <v>43787</v>
      </c>
      <c r="J10" s="2">
        <v>2.3600000000000003</v>
      </c>
      <c r="K10" s="2">
        <v>5.7799999999999994</v>
      </c>
      <c r="L10" s="6">
        <v>0.38709677419354849</v>
      </c>
      <c r="M10" s="6">
        <v>0.52043010752688168</v>
      </c>
      <c r="N10" s="6">
        <v>9.2473118279569833E-2</v>
      </c>
      <c r="O10" s="2">
        <v>83.62</v>
      </c>
      <c r="P10" s="2">
        <v>81.28</v>
      </c>
      <c r="Q10" s="2">
        <v>272.14</v>
      </c>
      <c r="R10" s="2">
        <v>261.52999999999997</v>
      </c>
      <c r="S10" s="5">
        <v>2.7983735948337758</v>
      </c>
      <c r="T10" s="5">
        <v>3.8987285955758115</v>
      </c>
      <c r="U10" s="4">
        <v>2058.6225977134964</v>
      </c>
      <c r="V10" s="4">
        <v>2767.7037147036995</v>
      </c>
      <c r="W10" s="4">
        <v>4826.3263124171954</v>
      </c>
      <c r="X10" s="4">
        <v>2001.0146465218006</v>
      </c>
      <c r="Y10" s="4">
        <v>2659.7984585377326</v>
      </c>
      <c r="Z10" s="4">
        <v>4660.813105059533</v>
      </c>
      <c r="AA10" s="11" t="s">
        <v>142</v>
      </c>
      <c r="AB10" s="10">
        <v>43803</v>
      </c>
      <c r="AC10" s="4">
        <v>50.6</v>
      </c>
      <c r="AD10" s="5">
        <v>1.08</v>
      </c>
      <c r="AE10" s="4">
        <v>80.5</v>
      </c>
      <c r="AF10" s="4">
        <v>26.95</v>
      </c>
      <c r="AG10" s="4">
        <v>8.9499999999999993</v>
      </c>
      <c r="AH10" s="4">
        <v>10.75</v>
      </c>
    </row>
    <row r="11" spans="1:34" x14ac:dyDescent="0.3">
      <c r="A11" s="3" t="s">
        <v>834</v>
      </c>
      <c r="B11" s="4" t="s">
        <v>106</v>
      </c>
      <c r="C11" s="10">
        <v>43768</v>
      </c>
      <c r="D11" s="2">
        <v>5.13</v>
      </c>
      <c r="E11" s="2">
        <v>0.32</v>
      </c>
      <c r="F11" s="2">
        <v>4.8099999999999996</v>
      </c>
      <c r="G11" s="1">
        <v>5917.8149606299203</v>
      </c>
      <c r="H11" s="4">
        <v>5639.7838906451716</v>
      </c>
      <c r="I11" s="10">
        <v>43787</v>
      </c>
      <c r="J11" s="2">
        <v>2.4000000000000004</v>
      </c>
      <c r="K11" s="2">
        <v>5.88</v>
      </c>
      <c r="L11" s="6">
        <v>0.38253638253638261</v>
      </c>
      <c r="M11" s="6">
        <v>0.52390852390852394</v>
      </c>
      <c r="N11" s="6">
        <v>9.3555093555093505E-2</v>
      </c>
      <c r="O11" s="2">
        <v>98.4</v>
      </c>
      <c r="P11" s="2">
        <v>95.75</v>
      </c>
      <c r="Q11" s="2">
        <v>284.90999999999997</v>
      </c>
      <c r="R11" s="2">
        <v>273.73</v>
      </c>
      <c r="S11" s="5">
        <v>2.6930894308943145</v>
      </c>
      <c r="T11" s="5">
        <v>3.9240461900249031</v>
      </c>
      <c r="U11" s="4">
        <v>2157.4225278143695</v>
      </c>
      <c r="V11" s="4">
        <v>2954.730853310984</v>
      </c>
      <c r="W11" s="4">
        <v>5112.1533811253539</v>
      </c>
      <c r="X11" s="4">
        <v>2099.3212097380679</v>
      </c>
      <c r="Y11" s="4">
        <v>2838.7858498361443</v>
      </c>
      <c r="Z11" s="4">
        <v>4938.1070595742121</v>
      </c>
      <c r="AA11" s="11" t="s">
        <v>143</v>
      </c>
      <c r="AB11" s="10">
        <v>43803</v>
      </c>
      <c r="AC11" s="4">
        <v>47.05</v>
      </c>
      <c r="AD11" s="5">
        <v>1.105</v>
      </c>
      <c r="AE11" s="4">
        <v>80.75</v>
      </c>
      <c r="AF11" s="4">
        <v>27.25</v>
      </c>
      <c r="AG11" s="4">
        <v>9.1999999999999993</v>
      </c>
      <c r="AH11" s="4">
        <v>9.75</v>
      </c>
    </row>
    <row r="12" spans="1:34" x14ac:dyDescent="0.3">
      <c r="A12" s="3" t="s">
        <v>835</v>
      </c>
      <c r="B12" s="4" t="s">
        <v>106</v>
      </c>
      <c r="C12" s="10">
        <v>43768</v>
      </c>
      <c r="D12" s="2">
        <v>5.51</v>
      </c>
      <c r="E12" s="2">
        <v>0.32</v>
      </c>
      <c r="F12" s="2">
        <v>5.1899999999999995</v>
      </c>
      <c r="G12" s="1">
        <v>6385.3346456692907</v>
      </c>
      <c r="H12" s="4">
        <v>5900.9246594721735</v>
      </c>
      <c r="I12" s="10">
        <v>43787</v>
      </c>
      <c r="J12" s="2">
        <v>2.62</v>
      </c>
      <c r="K12" s="2">
        <v>6.0600000000000005</v>
      </c>
      <c r="L12" s="6">
        <v>0.39691714836223513</v>
      </c>
      <c r="M12" s="6">
        <v>0.52023121387283255</v>
      </c>
      <c r="N12" s="6">
        <v>8.2851637764932318E-2</v>
      </c>
      <c r="O12" s="2">
        <v>102.8</v>
      </c>
      <c r="P12" s="2">
        <v>100.07</v>
      </c>
      <c r="Q12" s="2">
        <v>269.60000000000002</v>
      </c>
      <c r="R12" s="2">
        <v>258.78999999999996</v>
      </c>
      <c r="S12" s="5">
        <v>2.6556420233463074</v>
      </c>
      <c r="T12" s="5">
        <v>4.0096439169139675</v>
      </c>
      <c r="U12" s="4">
        <v>2342.1781885380883</v>
      </c>
      <c r="V12" s="4">
        <v>3069.84519856934</v>
      </c>
      <c r="W12" s="4">
        <v>5412.0233871074288</v>
      </c>
      <c r="X12" s="4">
        <v>2279.9783203016195</v>
      </c>
      <c r="Y12" s="4">
        <v>2946.7553373062292</v>
      </c>
      <c r="Z12" s="4">
        <v>5226.7336576078487</v>
      </c>
      <c r="AA12" s="11" t="s">
        <v>144</v>
      </c>
      <c r="AB12" s="10">
        <v>43803</v>
      </c>
      <c r="AC12" s="4">
        <v>47.15</v>
      </c>
      <c r="AD12" s="5">
        <v>1.08</v>
      </c>
      <c r="AE12" s="4">
        <v>80.900000000000006</v>
      </c>
      <c r="AF12" s="4">
        <v>26.75</v>
      </c>
      <c r="AG12" s="4">
        <v>9.0500000000000007</v>
      </c>
      <c r="AH12" s="4">
        <v>10.45</v>
      </c>
    </row>
    <row r="13" spans="1:34" x14ac:dyDescent="0.3">
      <c r="A13" s="3" t="s">
        <v>836</v>
      </c>
      <c r="B13" s="4" t="s">
        <v>106</v>
      </c>
      <c r="C13" s="10">
        <v>43768</v>
      </c>
      <c r="D13" s="2">
        <v>4.58</v>
      </c>
      <c r="E13" s="2">
        <v>0.32</v>
      </c>
      <c r="F13" s="2">
        <v>4.26</v>
      </c>
      <c r="G13" s="1">
        <v>5241.1417322834641</v>
      </c>
      <c r="H13" s="4">
        <v>5495.4250275711665</v>
      </c>
      <c r="I13" s="10">
        <v>43787</v>
      </c>
      <c r="J13" s="2">
        <v>2.16</v>
      </c>
      <c r="K13" s="2">
        <v>5.52</v>
      </c>
      <c r="L13" s="6">
        <v>0.37558685446009393</v>
      </c>
      <c r="M13" s="6">
        <v>0.50704225352112675</v>
      </c>
      <c r="N13" s="6">
        <v>0.11737089201877926</v>
      </c>
      <c r="O13" s="2">
        <v>97.52000000000001</v>
      </c>
      <c r="P13" s="2">
        <v>95</v>
      </c>
      <c r="Q13" s="2">
        <v>259.64999999999998</v>
      </c>
      <c r="R13" s="2">
        <v>249.44</v>
      </c>
      <c r="S13" s="5">
        <v>2.58408531583266</v>
      </c>
      <c r="T13" s="5">
        <v>3.932216445214705</v>
      </c>
      <c r="U13" s="4">
        <v>2064.0094000267295</v>
      </c>
      <c r="V13" s="4">
        <v>2786.4126900360843</v>
      </c>
      <c r="W13" s="4">
        <v>4850.4220900628134</v>
      </c>
      <c r="X13" s="4">
        <v>2010.6736362032329</v>
      </c>
      <c r="Y13" s="4">
        <v>2676.8449120069358</v>
      </c>
      <c r="Z13" s="4">
        <v>4687.5185482101688</v>
      </c>
      <c r="AA13" s="11" t="s">
        <v>145</v>
      </c>
      <c r="AB13" s="10">
        <v>43803</v>
      </c>
      <c r="AC13" s="4">
        <v>48.85</v>
      </c>
      <c r="AD13" s="5">
        <v>1.0550000000000002</v>
      </c>
      <c r="AE13" s="4">
        <v>79.849999999999994</v>
      </c>
      <c r="AF13" s="4">
        <v>26.4</v>
      </c>
      <c r="AG13" s="4">
        <v>9.1999999999999993</v>
      </c>
      <c r="AH13" s="4">
        <v>10.95</v>
      </c>
    </row>
    <row r="14" spans="1:34" x14ac:dyDescent="0.3">
      <c r="A14" s="3" t="s">
        <v>837</v>
      </c>
      <c r="B14" s="4" t="s">
        <v>106</v>
      </c>
      <c r="C14" s="10">
        <v>43768</v>
      </c>
      <c r="D14" s="2">
        <v>4.58</v>
      </c>
      <c r="E14" s="2">
        <v>0.32</v>
      </c>
      <c r="F14" s="2">
        <v>4.26</v>
      </c>
      <c r="G14" s="1">
        <v>5241.1417322834641</v>
      </c>
      <c r="H14" s="4">
        <v>5452.4641004138975</v>
      </c>
      <c r="I14" s="10">
        <v>43787</v>
      </c>
      <c r="J14" s="2">
        <v>2.2599999999999998</v>
      </c>
      <c r="K14" s="2">
        <v>5.52</v>
      </c>
      <c r="L14" s="6">
        <v>0.3990610328638497</v>
      </c>
      <c r="M14" s="6">
        <v>0.50704225352112675</v>
      </c>
      <c r="N14" s="6">
        <v>9.3896713615023497E-2</v>
      </c>
      <c r="O14" s="2">
        <v>104.28</v>
      </c>
      <c r="P14" s="2">
        <v>101.69</v>
      </c>
      <c r="Q14" s="2">
        <v>332.58000000000004</v>
      </c>
      <c r="R14" s="2">
        <v>319.8</v>
      </c>
      <c r="S14" s="5">
        <v>2.4836977368622972</v>
      </c>
      <c r="T14" s="5">
        <v>3.8426844668951916</v>
      </c>
      <c r="U14" s="4">
        <v>2175.8659555642312</v>
      </c>
      <c r="V14" s="4">
        <v>2764.6296847169056</v>
      </c>
      <c r="W14" s="4">
        <v>4940.4956402811367</v>
      </c>
      <c r="X14" s="4">
        <v>2121.8240220687253</v>
      </c>
      <c r="Y14" s="4">
        <v>2658.3936892551155</v>
      </c>
      <c r="Z14" s="4">
        <v>4780.2177113238413</v>
      </c>
      <c r="AA14" s="11" t="s">
        <v>146</v>
      </c>
      <c r="AB14" s="10">
        <v>43803</v>
      </c>
      <c r="AC14" s="4">
        <v>48.75</v>
      </c>
      <c r="AD14" s="5">
        <v>1.0449999999999999</v>
      </c>
      <c r="AE14" s="4">
        <v>79.949999999999989</v>
      </c>
      <c r="AF14" s="4">
        <v>26.1</v>
      </c>
      <c r="AG14" s="4">
        <v>8.75</v>
      </c>
      <c r="AH14" s="4">
        <v>11.35</v>
      </c>
    </row>
    <row r="15" spans="1:34" x14ac:dyDescent="0.3">
      <c r="A15" s="3" t="s">
        <v>838</v>
      </c>
      <c r="B15" s="4" t="s">
        <v>106</v>
      </c>
      <c r="C15" s="10">
        <v>43768</v>
      </c>
      <c r="D15" s="2">
        <v>5.35</v>
      </c>
      <c r="E15" s="2">
        <v>0.32</v>
      </c>
      <c r="F15" s="2">
        <v>5.0299999999999994</v>
      </c>
      <c r="G15" s="1">
        <v>6188.4842519685035</v>
      </c>
      <c r="H15" s="4">
        <v>5789.3208590551221</v>
      </c>
      <c r="I15" s="10">
        <v>43787</v>
      </c>
      <c r="J15" s="2">
        <v>2.52</v>
      </c>
      <c r="K15" s="2">
        <v>6</v>
      </c>
      <c r="L15" s="6">
        <v>0.38966202783300202</v>
      </c>
      <c r="M15" s="6">
        <v>0.5248508946322068</v>
      </c>
      <c r="N15" s="6">
        <v>8.5487077534791123E-2</v>
      </c>
      <c r="O15" s="2">
        <v>91.63</v>
      </c>
      <c r="P15" s="2">
        <v>89.33</v>
      </c>
      <c r="Q15" s="2">
        <v>300.87</v>
      </c>
      <c r="R15" s="2">
        <v>288.87</v>
      </c>
      <c r="S15" s="5">
        <v>2.5100949470697338</v>
      </c>
      <c r="T15" s="5">
        <v>3.988433542726094</v>
      </c>
      <c r="U15" s="4">
        <v>2255.8785057153164</v>
      </c>
      <c r="V15" s="4">
        <v>3038.5302321879767</v>
      </c>
      <c r="W15" s="4">
        <v>5294.4087379032935</v>
      </c>
      <c r="X15" s="4">
        <v>2199.2538133313242</v>
      </c>
      <c r="Y15" s="4">
        <v>2917.3404732015188</v>
      </c>
      <c r="Z15" s="4">
        <v>5116.5942865328434</v>
      </c>
      <c r="AA15" s="11" t="s">
        <v>147</v>
      </c>
      <c r="AB15" s="10">
        <v>43803</v>
      </c>
      <c r="AC15" s="4">
        <v>48.5</v>
      </c>
      <c r="AD15" s="5">
        <v>1.115</v>
      </c>
      <c r="AE15" s="4">
        <v>81.2</v>
      </c>
      <c r="AF15" s="4">
        <v>26.7</v>
      </c>
      <c r="AG15" s="4">
        <v>8.75</v>
      </c>
      <c r="AH15" s="4">
        <v>9.75</v>
      </c>
    </row>
    <row r="16" spans="1:34" x14ac:dyDescent="0.3">
      <c r="A16" s="3" t="s">
        <v>839</v>
      </c>
      <c r="B16" s="4" t="s">
        <v>106</v>
      </c>
      <c r="C16" s="10">
        <v>43768</v>
      </c>
      <c r="D16" s="2">
        <v>4.8</v>
      </c>
      <c r="E16" s="2">
        <v>0.32</v>
      </c>
      <c r="F16" s="2">
        <v>4.4799999999999995</v>
      </c>
      <c r="G16" s="1">
        <v>5511.8110236220464</v>
      </c>
      <c r="H16" s="4">
        <v>5843.0280182664965</v>
      </c>
      <c r="I16" s="10">
        <v>43787</v>
      </c>
      <c r="J16" s="2">
        <v>2.34</v>
      </c>
      <c r="K16" s="2">
        <v>5.74</v>
      </c>
      <c r="L16" s="6">
        <v>0.39732142857142855</v>
      </c>
      <c r="M16" s="6">
        <v>0.53125000000000011</v>
      </c>
      <c r="N16" s="6">
        <v>7.1428571428571286E-2</v>
      </c>
      <c r="O16" s="2">
        <v>92.82</v>
      </c>
      <c r="P16" s="2">
        <v>90.580000000000013</v>
      </c>
      <c r="Q16" s="2">
        <v>312.57000000000005</v>
      </c>
      <c r="R16" s="2">
        <v>300.14999999999998</v>
      </c>
      <c r="S16" s="5">
        <v>2.4132730015082751</v>
      </c>
      <c r="T16" s="5">
        <v>3.973509933774857</v>
      </c>
      <c r="U16" s="4">
        <v>2321.5602394005273</v>
      </c>
      <c r="V16" s="4">
        <v>3104.1086347040768</v>
      </c>
      <c r="W16" s="4">
        <v>5425.6688741046037</v>
      </c>
      <c r="X16" s="4">
        <v>2265.5346529293233</v>
      </c>
      <c r="Y16" s="4">
        <v>2980.7665697489474</v>
      </c>
      <c r="Z16" s="4">
        <v>5246.3012226782703</v>
      </c>
      <c r="AA16" s="11" t="s">
        <v>148</v>
      </c>
      <c r="AB16" s="10">
        <v>43803</v>
      </c>
      <c r="AC16" s="4">
        <v>48.8</v>
      </c>
      <c r="AD16" s="5">
        <v>1.1000000000000001</v>
      </c>
      <c r="AE16" s="4">
        <v>81.349999999999994</v>
      </c>
      <c r="AF16" s="4">
        <v>27.25</v>
      </c>
      <c r="AG16" s="4">
        <v>8.4499999999999993</v>
      </c>
      <c r="AH16" s="4">
        <v>9.9499999999999993</v>
      </c>
    </row>
    <row r="17" spans="1:34" x14ac:dyDescent="0.3">
      <c r="A17" s="3" t="s">
        <v>840</v>
      </c>
      <c r="B17" s="4" t="s">
        <v>106</v>
      </c>
      <c r="C17" s="10">
        <v>43768</v>
      </c>
      <c r="D17" s="2">
        <v>4.3499999999999996</v>
      </c>
      <c r="E17" s="2">
        <v>0.32</v>
      </c>
      <c r="F17" s="2">
        <v>4.0299999999999994</v>
      </c>
      <c r="G17" s="1">
        <v>4958.1692913385814</v>
      </c>
      <c r="H17" s="4">
        <v>5542.9340006800303</v>
      </c>
      <c r="I17" s="10">
        <v>43787</v>
      </c>
      <c r="J17" s="2">
        <v>2.12</v>
      </c>
      <c r="K17" s="2">
        <v>5.4600000000000009</v>
      </c>
      <c r="L17" s="6">
        <v>0.38709677419354849</v>
      </c>
      <c r="M17" s="6">
        <v>0.52109181141439243</v>
      </c>
      <c r="N17" s="6">
        <v>9.1811414392059087E-2</v>
      </c>
      <c r="O17" s="2">
        <v>77.97</v>
      </c>
      <c r="P17" s="2">
        <v>76.099999999999994</v>
      </c>
      <c r="Q17" s="2">
        <v>266.35000000000002</v>
      </c>
      <c r="R17" s="2">
        <v>255.9</v>
      </c>
      <c r="S17" s="5">
        <v>2.3983583429524233</v>
      </c>
      <c r="T17" s="5">
        <v>3.923409048244797</v>
      </c>
      <c r="U17" s="4">
        <v>2145.6518712309799</v>
      </c>
      <c r="V17" s="4">
        <v>2888.3775189647822</v>
      </c>
      <c r="W17" s="4">
        <v>5034.0293901957621</v>
      </c>
      <c r="X17" s="4">
        <v>2094.1914505665968</v>
      </c>
      <c r="Y17" s="4">
        <v>2775.0546540382493</v>
      </c>
      <c r="Z17" s="4">
        <v>4869.2461046048466</v>
      </c>
      <c r="AA17" s="11" t="s">
        <v>149</v>
      </c>
      <c r="AB17" s="10">
        <v>43803</v>
      </c>
      <c r="AC17" s="4">
        <v>48.4</v>
      </c>
      <c r="AD17" s="5">
        <v>1.0249999999999999</v>
      </c>
      <c r="AE17" s="4">
        <v>79.2</v>
      </c>
      <c r="AF17" s="4">
        <v>25.3</v>
      </c>
      <c r="AG17" s="4">
        <v>8.85</v>
      </c>
      <c r="AH17" s="4">
        <v>12</v>
      </c>
    </row>
    <row r="18" spans="1:34" x14ac:dyDescent="0.3">
      <c r="A18" s="3" t="s">
        <v>841</v>
      </c>
      <c r="B18" s="4" t="s">
        <v>106</v>
      </c>
      <c r="C18" s="10">
        <v>43768</v>
      </c>
      <c r="D18" s="2">
        <v>4.6500000000000004</v>
      </c>
      <c r="E18" s="2">
        <v>0.32</v>
      </c>
      <c r="F18" s="2">
        <v>4.33</v>
      </c>
      <c r="G18" s="1">
        <v>5327.2637795275587</v>
      </c>
      <c r="H18" s="4">
        <v>5433.7252985701352</v>
      </c>
      <c r="I18" s="10">
        <v>43787</v>
      </c>
      <c r="J18" s="2">
        <v>2.2999999999999998</v>
      </c>
      <c r="K18" s="2">
        <v>5.62</v>
      </c>
      <c r="L18" s="6">
        <v>0.40184757505773666</v>
      </c>
      <c r="M18" s="6">
        <v>0.52193995381062364</v>
      </c>
      <c r="N18" s="6">
        <v>7.6212471131639759E-2</v>
      </c>
      <c r="O18" s="2">
        <v>97.36</v>
      </c>
      <c r="P18" s="2">
        <v>95.08</v>
      </c>
      <c r="Q18" s="2">
        <v>265.21000000000004</v>
      </c>
      <c r="R18" s="2">
        <v>254.9</v>
      </c>
      <c r="S18" s="5">
        <v>2.3418241577649974</v>
      </c>
      <c r="T18" s="5">
        <v>3.8874853889370802</v>
      </c>
      <c r="U18" s="4">
        <v>2183.5293347602851</v>
      </c>
      <c r="V18" s="4">
        <v>2836.0783313553134</v>
      </c>
      <c r="W18" s="4">
        <v>5019.6076661155985</v>
      </c>
      <c r="X18" s="4">
        <v>2132.3949173069836</v>
      </c>
      <c r="Y18" s="4">
        <v>2725.826200605065</v>
      </c>
      <c r="Z18" s="4">
        <v>4858.2211179120486</v>
      </c>
      <c r="AA18" s="11" t="s">
        <v>150</v>
      </c>
      <c r="AB18" s="10">
        <v>43803</v>
      </c>
      <c r="AC18" s="4">
        <v>48.25</v>
      </c>
      <c r="AD18" s="5">
        <v>1.0649999999999999</v>
      </c>
      <c r="AE18" s="4">
        <v>80.45</v>
      </c>
      <c r="AF18" s="4">
        <v>25</v>
      </c>
      <c r="AG18" s="4">
        <v>9.15</v>
      </c>
      <c r="AH18" s="4">
        <v>11.2</v>
      </c>
    </row>
    <row r="19" spans="1:34" x14ac:dyDescent="0.3">
      <c r="A19" s="3" t="s">
        <v>842</v>
      </c>
      <c r="B19" s="3" t="s">
        <v>106</v>
      </c>
      <c r="C19" s="10">
        <v>43769</v>
      </c>
      <c r="D19" s="2">
        <v>5.16</v>
      </c>
      <c r="E19" s="2">
        <v>0.32</v>
      </c>
      <c r="F19" s="2">
        <v>4.84</v>
      </c>
      <c r="G19" s="1">
        <v>5954.7244094488187</v>
      </c>
      <c r="H19" s="4">
        <v>5565.3309455097515</v>
      </c>
      <c r="I19" s="10">
        <v>43787</v>
      </c>
      <c r="J19" s="2">
        <v>2.44</v>
      </c>
      <c r="K19" s="2">
        <v>5.8599999999999994</v>
      </c>
      <c r="L19" s="6">
        <v>0.38842975206611569</v>
      </c>
      <c r="M19" s="6">
        <v>0.51652892561983466</v>
      </c>
      <c r="N19" s="6">
        <v>9.5041322314049603E-2</v>
      </c>
      <c r="O19" s="2">
        <v>93.710000000000008</v>
      </c>
      <c r="P19" s="2">
        <v>91.580000000000013</v>
      </c>
      <c r="Q19" s="2">
        <v>241.5</v>
      </c>
      <c r="R19" s="2">
        <v>232.26</v>
      </c>
      <c r="S19" s="5">
        <v>2.2729698004481862</v>
      </c>
      <c r="T19" s="5">
        <v>3.8260869565217432</v>
      </c>
      <c r="U19" s="4">
        <v>2161.7401193302339</v>
      </c>
      <c r="V19" s="4">
        <v>2874.6544140029705</v>
      </c>
      <c r="W19" s="4">
        <v>5036.3945333332049</v>
      </c>
      <c r="X19" s="4">
        <v>2112.6044192536851</v>
      </c>
      <c r="Y19" s="4">
        <v>2764.6676364237264</v>
      </c>
      <c r="Z19" s="4">
        <v>4877.2720556774111</v>
      </c>
      <c r="AA19" t="s">
        <v>151</v>
      </c>
      <c r="AB19" s="10">
        <v>43803</v>
      </c>
      <c r="AC19" s="4">
        <v>47.15</v>
      </c>
      <c r="AD19" s="5">
        <v>1.08</v>
      </c>
      <c r="AE19" s="4">
        <v>81.45</v>
      </c>
      <c r="AF19" s="4">
        <v>27.5</v>
      </c>
      <c r="AG19" s="4">
        <v>8.9499999999999993</v>
      </c>
      <c r="AH19" s="4">
        <v>10.199999999999999</v>
      </c>
    </row>
    <row r="20" spans="1:34" x14ac:dyDescent="0.3">
      <c r="A20" s="3" t="s">
        <v>843</v>
      </c>
      <c r="B20" s="3" t="s">
        <v>106</v>
      </c>
      <c r="C20" s="10">
        <v>43769</v>
      </c>
      <c r="D20" s="2">
        <v>5.21</v>
      </c>
      <c r="E20" s="2">
        <v>0.32</v>
      </c>
      <c r="F20" s="2">
        <v>4.8899999999999997</v>
      </c>
      <c r="G20" s="1">
        <v>6016.2401574803152</v>
      </c>
      <c r="H20" s="4">
        <v>5759.0550094734572</v>
      </c>
      <c r="I20" s="10">
        <v>43787</v>
      </c>
      <c r="J20" s="2">
        <v>2.5</v>
      </c>
      <c r="K20" s="2">
        <v>5.92</v>
      </c>
      <c r="L20" s="6">
        <v>0.39672801635991822</v>
      </c>
      <c r="M20" s="6">
        <v>0.52351738241308798</v>
      </c>
      <c r="N20" s="6">
        <v>7.9754601226993738E-2</v>
      </c>
      <c r="O20" s="2">
        <v>77.800000000000011</v>
      </c>
      <c r="P20" s="2">
        <v>76.099999999999994</v>
      </c>
      <c r="Q20" s="2">
        <v>281.78999999999996</v>
      </c>
      <c r="R20" s="2">
        <v>270.75</v>
      </c>
      <c r="S20" s="5">
        <v>2.1850899742930805</v>
      </c>
      <c r="T20" s="5">
        <v>3.9178111359522925</v>
      </c>
      <c r="U20" s="4">
        <v>2284.7784700160546</v>
      </c>
      <c r="V20" s="4">
        <v>3014.9654037325258</v>
      </c>
      <c r="W20" s="4">
        <v>5299.7438737485809</v>
      </c>
      <c r="X20" s="4">
        <v>2234.854004732927</v>
      </c>
      <c r="Y20" s="4">
        <v>2896.8447533999843</v>
      </c>
      <c r="Z20" s="4">
        <v>5131.6987581329113</v>
      </c>
      <c r="AA20" t="s">
        <v>152</v>
      </c>
      <c r="AB20" s="10">
        <v>43803</v>
      </c>
      <c r="AC20" s="4">
        <v>48.2</v>
      </c>
      <c r="AD20" s="5">
        <v>1.0950000000000002</v>
      </c>
      <c r="AE20" s="4">
        <v>80.95</v>
      </c>
      <c r="AF20" s="4">
        <v>27.6</v>
      </c>
      <c r="AG20" s="4">
        <v>8.6000000000000014</v>
      </c>
      <c r="AH20" s="4">
        <v>9.8000000000000007</v>
      </c>
    </row>
    <row r="21" spans="1:34" x14ac:dyDescent="0.3">
      <c r="A21" s="3" t="s">
        <v>844</v>
      </c>
      <c r="B21" s="3" t="s">
        <v>106</v>
      </c>
      <c r="C21" s="10">
        <v>43769</v>
      </c>
      <c r="D21" s="2">
        <v>5.28</v>
      </c>
      <c r="E21" s="2">
        <v>0.32</v>
      </c>
      <c r="F21" s="2">
        <v>4.96</v>
      </c>
      <c r="G21" s="1">
        <v>6102.3622047244098</v>
      </c>
      <c r="H21" s="4">
        <v>5736.836004997519</v>
      </c>
      <c r="I21" s="10">
        <v>43787</v>
      </c>
      <c r="J21" s="2">
        <v>2.5</v>
      </c>
      <c r="K21" s="2">
        <v>5.8599999999999994</v>
      </c>
      <c r="L21" s="6">
        <v>0.3911290322580645</v>
      </c>
      <c r="M21" s="6">
        <v>0.50403225806451601</v>
      </c>
      <c r="N21" s="6">
        <v>0.10483870967741948</v>
      </c>
      <c r="O21" s="2">
        <v>99.12</v>
      </c>
      <c r="P21" s="2">
        <v>96.85</v>
      </c>
      <c r="Q21" s="2">
        <v>271.58000000000004</v>
      </c>
      <c r="R21" s="2">
        <v>261.07</v>
      </c>
      <c r="S21" s="5">
        <v>2.2901533494753936</v>
      </c>
      <c r="T21" s="5">
        <v>3.8699462405184648</v>
      </c>
      <c r="U21" s="4">
        <v>2243.8431148579007</v>
      </c>
      <c r="V21" s="4">
        <v>2891.5504057447165</v>
      </c>
      <c r="W21" s="4">
        <v>5135.3935206026172</v>
      </c>
      <c r="X21" s="4">
        <v>2192.4556666060093</v>
      </c>
      <c r="Y21" s="4">
        <v>2779.6489595249027</v>
      </c>
      <c r="Z21" s="4">
        <v>4972.104626130912</v>
      </c>
      <c r="AA21" t="s">
        <v>153</v>
      </c>
      <c r="AB21" s="10">
        <v>43803</v>
      </c>
      <c r="AC21" s="4">
        <v>47.6</v>
      </c>
      <c r="AD21" s="5">
        <v>1.08</v>
      </c>
      <c r="AE21" s="4">
        <v>80.5</v>
      </c>
      <c r="AF21" s="4">
        <v>26.6</v>
      </c>
      <c r="AG21" s="4">
        <v>8.5500000000000007</v>
      </c>
      <c r="AH21" s="4">
        <v>10.649999999999999</v>
      </c>
    </row>
    <row r="22" spans="1:34" x14ac:dyDescent="0.3">
      <c r="A22" s="3" t="s">
        <v>845</v>
      </c>
      <c r="B22" s="3" t="s">
        <v>106</v>
      </c>
      <c r="C22" s="10">
        <v>43769</v>
      </c>
      <c r="D22" s="2">
        <v>4.4000000000000004</v>
      </c>
      <c r="E22" s="2">
        <v>0.32</v>
      </c>
      <c r="F22" s="2">
        <v>4.08</v>
      </c>
      <c r="G22" s="1">
        <v>5019.6850393700788</v>
      </c>
      <c r="H22" s="4">
        <v>5229.8530747799896</v>
      </c>
      <c r="I22" s="10">
        <v>43787</v>
      </c>
      <c r="J22" s="2">
        <v>2.14</v>
      </c>
      <c r="K22" s="2">
        <v>5.48</v>
      </c>
      <c r="L22" s="6">
        <v>0.38725490196078433</v>
      </c>
      <c r="M22" s="6">
        <v>0.51960784313725505</v>
      </c>
      <c r="N22" s="6">
        <v>9.3137254901960675E-2</v>
      </c>
      <c r="O22" s="2">
        <v>92.330000000000013</v>
      </c>
      <c r="P22" s="2">
        <v>90.22</v>
      </c>
      <c r="Q22" s="2">
        <v>257.99</v>
      </c>
      <c r="R22" s="2">
        <v>248.24</v>
      </c>
      <c r="S22" s="5">
        <v>2.2852810570778872</v>
      </c>
      <c r="T22" s="5">
        <v>3.7792162486918093</v>
      </c>
      <c r="U22" s="4">
        <v>2025.2862397432314</v>
      </c>
      <c r="V22" s="4">
        <v>2717.4726761111719</v>
      </c>
      <c r="W22" s="4">
        <v>4742.7589158544033</v>
      </c>
      <c r="X22" s="4">
        <v>1979.0027569547742</v>
      </c>
      <c r="Y22" s="4">
        <v>2614.7735071818183</v>
      </c>
      <c r="Z22" s="4">
        <v>4593.7762641365925</v>
      </c>
      <c r="AA22" t="s">
        <v>154</v>
      </c>
      <c r="AB22" s="10">
        <v>43803</v>
      </c>
      <c r="AC22" s="4">
        <v>47.4</v>
      </c>
      <c r="AD22" s="5">
        <v>1.0550000000000002</v>
      </c>
      <c r="AE22" s="4">
        <v>80.349999999999994</v>
      </c>
      <c r="AF22" s="4">
        <v>27.15</v>
      </c>
      <c r="AG22" s="4">
        <v>8.5</v>
      </c>
      <c r="AH22" s="4">
        <v>11</v>
      </c>
    </row>
    <row r="23" spans="1:34" x14ac:dyDescent="0.3">
      <c r="A23" s="3" t="s">
        <v>846</v>
      </c>
      <c r="B23" s="3" t="s">
        <v>106</v>
      </c>
      <c r="C23" s="10">
        <v>43769</v>
      </c>
      <c r="D23" s="2">
        <v>5.04</v>
      </c>
      <c r="E23" s="2">
        <v>0.32</v>
      </c>
      <c r="F23" s="2">
        <v>4.72</v>
      </c>
      <c r="G23" s="1">
        <v>5807.0866141732276</v>
      </c>
      <c r="H23" s="4">
        <v>5667.8560201700684</v>
      </c>
      <c r="I23" s="10">
        <v>43787</v>
      </c>
      <c r="J23" s="2">
        <v>2.4</v>
      </c>
      <c r="K23" s="2">
        <v>5.82</v>
      </c>
      <c r="L23" s="6">
        <v>0.38983050847457629</v>
      </c>
      <c r="M23" s="6">
        <v>0.52118644067796627</v>
      </c>
      <c r="N23" s="6">
        <v>8.898305084745739E-2</v>
      </c>
      <c r="O23" s="2">
        <v>101.55000000000001</v>
      </c>
      <c r="P23" s="2">
        <v>99.16</v>
      </c>
      <c r="Q23" s="2">
        <v>297.71000000000004</v>
      </c>
      <c r="R23" s="2">
        <v>285.98</v>
      </c>
      <c r="S23" s="5">
        <v>2.3535204332841109</v>
      </c>
      <c r="T23" s="5">
        <v>3.9400759128010532</v>
      </c>
      <c r="U23" s="4">
        <v>2209.503194303586</v>
      </c>
      <c r="V23" s="4">
        <v>2954.0097054276212</v>
      </c>
      <c r="W23" s="4">
        <v>5163.5128997312077</v>
      </c>
      <c r="X23" s="4">
        <v>2157.502085151586</v>
      </c>
      <c r="Y23" s="4">
        <v>2837.6194805622622</v>
      </c>
      <c r="Z23" s="4">
        <v>4995.1215657138482</v>
      </c>
      <c r="AA23" t="s">
        <v>155</v>
      </c>
      <c r="AB23" s="10">
        <v>43803</v>
      </c>
      <c r="AC23" s="4">
        <v>48.05</v>
      </c>
      <c r="AD23" s="5">
        <v>1.0750000000000002</v>
      </c>
      <c r="AE23" s="4">
        <v>79.849999999999994</v>
      </c>
      <c r="AF23" s="4">
        <v>26.1</v>
      </c>
      <c r="AG23" s="4">
        <v>9.15</v>
      </c>
      <c r="AH23" s="4">
        <v>11</v>
      </c>
    </row>
    <row r="24" spans="1:34" x14ac:dyDescent="0.3">
      <c r="A24" s="3" t="s">
        <v>847</v>
      </c>
      <c r="B24" s="3" t="s">
        <v>106</v>
      </c>
      <c r="C24" s="10">
        <v>43769</v>
      </c>
      <c r="D24" s="2">
        <v>5.32</v>
      </c>
      <c r="E24" s="2">
        <v>0.32</v>
      </c>
      <c r="F24" s="2">
        <v>5</v>
      </c>
      <c r="G24" s="1">
        <v>6151.5748031496069</v>
      </c>
      <c r="H24" s="4">
        <v>5827.0564144271275</v>
      </c>
      <c r="I24" s="10">
        <v>43787</v>
      </c>
      <c r="J24" s="2">
        <v>2.52</v>
      </c>
      <c r="K24" s="2">
        <v>6.02</v>
      </c>
      <c r="L24" s="6">
        <v>0.39200000000000002</v>
      </c>
      <c r="M24" s="6">
        <v>0.53199999999999992</v>
      </c>
      <c r="N24" s="6">
        <v>7.6000000000000068E-2</v>
      </c>
      <c r="O24" s="2">
        <v>96.92</v>
      </c>
      <c r="P24" s="2">
        <v>94.759999999999991</v>
      </c>
      <c r="Q24" s="2">
        <v>280.89999999999998</v>
      </c>
      <c r="R24" s="2">
        <v>269.95</v>
      </c>
      <c r="S24" s="5">
        <v>2.2286421791168083</v>
      </c>
      <c r="T24" s="5">
        <v>3.8981844072623675</v>
      </c>
      <c r="U24" s="4">
        <v>2284.2061144554341</v>
      </c>
      <c r="V24" s="4">
        <v>3099.9940124752316</v>
      </c>
      <c r="W24" s="4">
        <v>5384.2001269306656</v>
      </c>
      <c r="X24" s="4">
        <v>2233.2993335307151</v>
      </c>
      <c r="Y24" s="4">
        <v>2979.150529254855</v>
      </c>
      <c r="Z24" s="4">
        <v>5212.4498627855701</v>
      </c>
      <c r="AA24" t="s">
        <v>156</v>
      </c>
      <c r="AB24" s="10">
        <v>43803</v>
      </c>
      <c r="AC24" s="4">
        <v>47.900000000000006</v>
      </c>
      <c r="AD24" s="5">
        <v>1.0750000000000002</v>
      </c>
      <c r="AE24" s="4">
        <v>79.7</v>
      </c>
      <c r="AF24" s="4">
        <v>26.25</v>
      </c>
      <c r="AG24" s="4">
        <v>9</v>
      </c>
      <c r="AH24" s="4">
        <v>10.95</v>
      </c>
    </row>
    <row r="25" spans="1:34" x14ac:dyDescent="0.3">
      <c r="A25" s="3" t="s">
        <v>848</v>
      </c>
      <c r="B25" s="3" t="s">
        <v>106</v>
      </c>
      <c r="C25" s="10">
        <v>43769</v>
      </c>
      <c r="D25" s="2">
        <v>5.07</v>
      </c>
      <c r="E25" s="2">
        <v>0.32</v>
      </c>
      <c r="F25" s="2">
        <v>4.75</v>
      </c>
      <c r="G25" s="1">
        <v>5843.9960629921261</v>
      </c>
      <c r="H25" s="4">
        <v>5615.569962032595</v>
      </c>
      <c r="I25" s="10">
        <v>43787</v>
      </c>
      <c r="J25" s="2">
        <v>2.46</v>
      </c>
      <c r="K25" s="2">
        <v>5.82</v>
      </c>
      <c r="L25" s="6">
        <v>0.39999999999999997</v>
      </c>
      <c r="M25" s="6">
        <v>0.5178947368421053</v>
      </c>
      <c r="N25" s="6">
        <v>8.2105263157894792E-2</v>
      </c>
      <c r="O25" s="2">
        <v>87.710000000000008</v>
      </c>
      <c r="P25" s="2">
        <v>85.75</v>
      </c>
      <c r="Q25" s="2">
        <v>268.02</v>
      </c>
      <c r="R25" s="2">
        <v>257.77999999999997</v>
      </c>
      <c r="S25" s="5">
        <v>2.2346368715083886</v>
      </c>
      <c r="T25" s="5">
        <v>3.8206104022087941</v>
      </c>
      <c r="U25" s="4">
        <v>2246.2279848130379</v>
      </c>
      <c r="V25" s="4">
        <v>2908.2741277053019</v>
      </c>
      <c r="W25" s="4">
        <v>5154.5021125183393</v>
      </c>
      <c r="X25" s="4">
        <v>2196.0329460462658</v>
      </c>
      <c r="Y25" s="4">
        <v>2797.1603038574463</v>
      </c>
      <c r="Z25" s="4">
        <v>4993.1932499037121</v>
      </c>
      <c r="AA25" t="s">
        <v>157</v>
      </c>
      <c r="AB25" s="10">
        <v>43803</v>
      </c>
      <c r="AC25" s="4">
        <v>47.45</v>
      </c>
      <c r="AD25" s="5">
        <v>1.1100000000000001</v>
      </c>
      <c r="AE25" s="4">
        <v>81.3</v>
      </c>
      <c r="AF25" s="4">
        <v>27.45</v>
      </c>
      <c r="AG25" s="4">
        <v>8.85</v>
      </c>
      <c r="AH25" s="4">
        <v>9.6</v>
      </c>
    </row>
    <row r="26" spans="1:34" x14ac:dyDescent="0.3">
      <c r="A26" s="3" t="s">
        <v>849</v>
      </c>
      <c r="B26" s="3" t="s">
        <v>106</v>
      </c>
      <c r="C26" s="10">
        <v>43769</v>
      </c>
      <c r="D26" s="2">
        <v>4.5199999999999996</v>
      </c>
      <c r="E26" s="2">
        <v>0.32</v>
      </c>
      <c r="F26" s="2">
        <v>4.1999999999999993</v>
      </c>
      <c r="G26" s="1">
        <v>5167.3228346456681</v>
      </c>
      <c r="H26" s="4">
        <v>5056.9521092178538</v>
      </c>
      <c r="I26" s="10">
        <v>43787</v>
      </c>
      <c r="J26" s="2">
        <v>2.2199999999999998</v>
      </c>
      <c r="K26" s="2">
        <v>5.52</v>
      </c>
      <c r="L26" s="6">
        <v>0.39523809523809522</v>
      </c>
      <c r="M26" s="6">
        <v>0.51428571428571435</v>
      </c>
      <c r="N26" s="6">
        <v>9.0476190476190488E-2</v>
      </c>
      <c r="O26" s="2">
        <v>91.45</v>
      </c>
      <c r="P26" s="2">
        <v>89.42</v>
      </c>
      <c r="Q26" s="2">
        <v>258.05</v>
      </c>
      <c r="R26" s="2">
        <v>248.14999999999998</v>
      </c>
      <c r="S26" s="5">
        <v>2.2197922361946429</v>
      </c>
      <c r="T26" s="5">
        <v>3.8364658012013302</v>
      </c>
      <c r="U26" s="4">
        <v>1998.7001193575327</v>
      </c>
      <c r="V26" s="4">
        <v>2600.7182275977539</v>
      </c>
      <c r="W26" s="4">
        <v>4599.4183469552863</v>
      </c>
      <c r="X26" s="4">
        <v>1954.3331292832211</v>
      </c>
      <c r="Y26" s="4">
        <v>2500.9425622103568</v>
      </c>
      <c r="Z26" s="4">
        <v>4455.2756914935781</v>
      </c>
      <c r="AA26" t="s">
        <v>158</v>
      </c>
      <c r="AB26" s="10">
        <v>43803</v>
      </c>
      <c r="AC26" s="4">
        <v>47.75</v>
      </c>
      <c r="AD26" s="5">
        <v>1.08</v>
      </c>
      <c r="AE26" s="4">
        <v>81.25</v>
      </c>
      <c r="AF26" s="4">
        <v>27.4</v>
      </c>
      <c r="AG26" s="4">
        <v>8.6</v>
      </c>
      <c r="AH26" s="4">
        <v>9.8000000000000007</v>
      </c>
    </row>
    <row r="27" spans="1:34" x14ac:dyDescent="0.3">
      <c r="A27" s="3" t="s">
        <v>850</v>
      </c>
      <c r="B27" s="3" t="s">
        <v>106</v>
      </c>
      <c r="C27" s="10">
        <v>43769</v>
      </c>
      <c r="D27" s="2">
        <v>4.95</v>
      </c>
      <c r="E27" s="2">
        <v>0.32</v>
      </c>
      <c r="F27" s="2">
        <v>4.63</v>
      </c>
      <c r="G27" s="1">
        <v>5696.358267716535</v>
      </c>
      <c r="H27" s="4">
        <v>5583.4070389346352</v>
      </c>
      <c r="I27" s="10">
        <v>43787</v>
      </c>
      <c r="J27" s="2">
        <v>2.4</v>
      </c>
      <c r="K27" s="2">
        <v>5.74</v>
      </c>
      <c r="L27" s="6">
        <v>0.39740820734341248</v>
      </c>
      <c r="M27" s="6">
        <v>0.51403887688984895</v>
      </c>
      <c r="N27" s="6">
        <v>8.8552915766738627E-2</v>
      </c>
      <c r="O27" s="2">
        <v>90.51</v>
      </c>
      <c r="P27" s="2">
        <v>88.449999999999989</v>
      </c>
      <c r="Q27" s="2">
        <v>272.88</v>
      </c>
      <c r="R27" s="2">
        <v>262.5</v>
      </c>
      <c r="S27" s="5">
        <v>2.2759916031377929</v>
      </c>
      <c r="T27" s="5">
        <v>3.8038698328935778</v>
      </c>
      <c r="U27" s="4">
        <v>2218.8917822116041</v>
      </c>
      <c r="V27" s="4">
        <v>2870.0882835128368</v>
      </c>
      <c r="W27" s="4">
        <v>5088.9800657244414</v>
      </c>
      <c r="X27" s="4">
        <v>2168.3899915657535</v>
      </c>
      <c r="Y27" s="4">
        <v>2760.9138611188787</v>
      </c>
      <c r="Z27" s="4">
        <v>4929.3038526846321</v>
      </c>
      <c r="AA27" t="s">
        <v>159</v>
      </c>
      <c r="AB27" s="10">
        <v>43803</v>
      </c>
      <c r="AC27" s="4">
        <v>47.5</v>
      </c>
      <c r="AD27" s="5">
        <v>1.05</v>
      </c>
      <c r="AE27" s="4">
        <v>79.75</v>
      </c>
      <c r="AF27" s="4">
        <v>26.299999999999997</v>
      </c>
      <c r="AG27" s="4">
        <v>8.65</v>
      </c>
      <c r="AH27" s="4">
        <v>11.2</v>
      </c>
    </row>
    <row r="28" spans="1:34" x14ac:dyDescent="0.3">
      <c r="A28" s="3" t="s">
        <v>851</v>
      </c>
      <c r="B28" s="3" t="s">
        <v>106</v>
      </c>
      <c r="C28" s="10">
        <v>43769</v>
      </c>
      <c r="D28" s="2">
        <v>4.84</v>
      </c>
      <c r="E28" s="2">
        <v>0.32</v>
      </c>
      <c r="F28" s="2">
        <v>4.5199999999999996</v>
      </c>
      <c r="G28" s="1">
        <v>5561.0236220472434</v>
      </c>
      <c r="H28" s="4">
        <v>5447.2230030377932</v>
      </c>
      <c r="I28" s="10">
        <v>43787</v>
      </c>
      <c r="J28" s="2">
        <v>2.3200000000000003</v>
      </c>
      <c r="K28" s="2">
        <v>5.7200000000000006</v>
      </c>
      <c r="L28" s="6">
        <v>0.38938053097345143</v>
      </c>
      <c r="M28" s="6">
        <v>0.52212389380530999</v>
      </c>
      <c r="N28" s="6">
        <v>8.849557522123852E-2</v>
      </c>
      <c r="O28" s="2">
        <v>92.48</v>
      </c>
      <c r="P28" s="2">
        <v>90.48</v>
      </c>
      <c r="Q28" s="2">
        <v>318.71000000000004</v>
      </c>
      <c r="R28" s="2">
        <v>306.38</v>
      </c>
      <c r="S28" s="5">
        <v>2.1626297577854672</v>
      </c>
      <c r="T28" s="5">
        <v>3.8687207806469956</v>
      </c>
      <c r="U28" s="4">
        <v>2121.0425852536546</v>
      </c>
      <c r="V28" s="4">
        <v>2844.1252847719466</v>
      </c>
      <c r="W28" s="4">
        <v>4965.1678700256016</v>
      </c>
      <c r="X28" s="4">
        <v>2075.1722871296565</v>
      </c>
      <c r="Y28" s="4">
        <v>2734.0940188523386</v>
      </c>
      <c r="Z28" s="4">
        <v>4809.2663059819952</v>
      </c>
      <c r="AA28" t="s">
        <v>160</v>
      </c>
      <c r="AB28" s="10">
        <v>43803</v>
      </c>
      <c r="AC28" s="4">
        <v>48.45</v>
      </c>
      <c r="AD28" s="5">
        <v>1.0750000000000002</v>
      </c>
      <c r="AE28" s="4">
        <v>80.400000000000006</v>
      </c>
      <c r="AF28" s="4">
        <v>27.5</v>
      </c>
      <c r="AG28" s="4">
        <v>8.6000000000000014</v>
      </c>
      <c r="AH28" s="4">
        <v>10.5</v>
      </c>
    </row>
    <row r="29" spans="1:34" x14ac:dyDescent="0.3">
      <c r="A29" s="3" t="s">
        <v>852</v>
      </c>
      <c r="B29" s="3" t="s">
        <v>106</v>
      </c>
      <c r="C29" s="10">
        <v>43769</v>
      </c>
      <c r="D29" s="2">
        <v>4.47</v>
      </c>
      <c r="E29" s="2">
        <v>0.32</v>
      </c>
      <c r="F29" s="2">
        <v>4.1499999999999995</v>
      </c>
      <c r="G29" s="1">
        <v>5105.8070866141725</v>
      </c>
      <c r="H29" s="4">
        <v>5377.5401925364622</v>
      </c>
      <c r="I29" s="10">
        <v>43787</v>
      </c>
      <c r="J29" s="2">
        <v>2.2000000000000002</v>
      </c>
      <c r="K29" s="2">
        <v>5.5</v>
      </c>
      <c r="L29" s="6">
        <v>0.39518072289156636</v>
      </c>
      <c r="M29" s="6">
        <v>0.51566265060240979</v>
      </c>
      <c r="N29" s="6">
        <v>8.9156626506023851E-2</v>
      </c>
      <c r="O29" s="2">
        <v>91.32</v>
      </c>
      <c r="P29" s="2">
        <v>89.4</v>
      </c>
      <c r="Q29" s="2">
        <v>286.38</v>
      </c>
      <c r="R29" s="2">
        <v>275.77999999999997</v>
      </c>
      <c r="S29" s="5">
        <v>2.1024967148488694</v>
      </c>
      <c r="T29" s="5">
        <v>3.7013757943990582</v>
      </c>
      <c r="U29" s="4">
        <v>2125.1002206650119</v>
      </c>
      <c r="V29" s="4">
        <v>2772.9966294043452</v>
      </c>
      <c r="W29" s="4">
        <v>4898.0968500693571</v>
      </c>
      <c r="X29" s="4">
        <v>2080.420058338284</v>
      </c>
      <c r="Y29" s="4">
        <v>2670.3576033840714</v>
      </c>
      <c r="Z29" s="4">
        <v>4750.7776617223553</v>
      </c>
      <c r="AA29" t="s">
        <v>161</v>
      </c>
      <c r="AB29" s="10">
        <v>43803</v>
      </c>
      <c r="AC29" s="4">
        <v>49.6</v>
      </c>
      <c r="AD29" s="5">
        <v>1.06</v>
      </c>
      <c r="AE29" s="4">
        <v>80.2</v>
      </c>
      <c r="AF29" s="4">
        <v>26.5</v>
      </c>
      <c r="AG29" s="4">
        <v>9.1999999999999993</v>
      </c>
      <c r="AH29" s="4">
        <v>10.6</v>
      </c>
    </row>
    <row r="30" spans="1:34" x14ac:dyDescent="0.3">
      <c r="A30" s="3" t="s">
        <v>853</v>
      </c>
      <c r="B30" s="3" t="s">
        <v>106</v>
      </c>
      <c r="C30" s="10">
        <v>43769</v>
      </c>
      <c r="D30" s="2">
        <v>3.55</v>
      </c>
      <c r="E30" s="2">
        <v>0.32</v>
      </c>
      <c r="F30" s="2">
        <v>3.23</v>
      </c>
      <c r="G30" s="1">
        <v>3973.9173228346458</v>
      </c>
      <c r="H30" s="4">
        <v>4434.17833274444</v>
      </c>
      <c r="I30" s="10">
        <v>43787</v>
      </c>
      <c r="J30" s="2">
        <v>1.8</v>
      </c>
      <c r="K30" s="2">
        <v>5.0199999999999996</v>
      </c>
      <c r="L30" s="6">
        <v>0.38390092879256965</v>
      </c>
      <c r="M30" s="6">
        <v>0.51393188854489158</v>
      </c>
      <c r="N30" s="6">
        <v>0.10216718266253877</v>
      </c>
      <c r="O30" s="2">
        <v>88.69</v>
      </c>
      <c r="P30" s="2">
        <v>86.75</v>
      </c>
      <c r="Q30" s="2">
        <v>231.57999999999998</v>
      </c>
      <c r="R30" s="2">
        <v>223.08999999999997</v>
      </c>
      <c r="S30" s="5">
        <v>2.187394294734466</v>
      </c>
      <c r="T30" s="5">
        <v>3.6661196994559155</v>
      </c>
      <c r="U30" s="4">
        <v>1702.2851803724784</v>
      </c>
      <c r="V30" s="4">
        <v>2278.8656446921887</v>
      </c>
      <c r="W30" s="4">
        <v>3981.1508250646671</v>
      </c>
      <c r="X30" s="4">
        <v>1665.0494914569006</v>
      </c>
      <c r="Y30" s="4">
        <v>2195.3197023679954</v>
      </c>
      <c r="Z30" s="4">
        <v>3860.3691938248958</v>
      </c>
      <c r="AA30" t="s">
        <v>162</v>
      </c>
      <c r="AB30" s="10">
        <v>43803</v>
      </c>
      <c r="AC30" s="4">
        <v>46.3</v>
      </c>
      <c r="AD30" s="5">
        <v>1.05</v>
      </c>
      <c r="AE30" s="4">
        <v>80.349999999999994</v>
      </c>
      <c r="AF30" s="4">
        <v>27</v>
      </c>
      <c r="AG30" s="4">
        <v>8.4499999999999993</v>
      </c>
      <c r="AH30" s="4">
        <v>10.7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E5B7D-92B8-4D11-9F53-24431941E6FC}">
  <dimension ref="A1:AC55"/>
  <sheetViews>
    <sheetView workbookViewId="0"/>
  </sheetViews>
  <sheetFormatPr defaultRowHeight="14.4" x14ac:dyDescent="0.3"/>
  <cols>
    <col min="1" max="1" width="9.88671875" bestFit="1" customWidth="1"/>
  </cols>
  <sheetData>
    <row r="1" spans="1:29" x14ac:dyDescent="0.3">
      <c r="B1" t="s">
        <v>49</v>
      </c>
      <c r="C1" t="s">
        <v>49</v>
      </c>
      <c r="Q1" t="s">
        <v>49</v>
      </c>
      <c r="R1" t="s">
        <v>49</v>
      </c>
    </row>
    <row r="2" spans="1:29" x14ac:dyDescent="0.3">
      <c r="B2" t="s">
        <v>50</v>
      </c>
      <c r="C2" t="s">
        <v>50</v>
      </c>
      <c r="Q2" t="s">
        <v>50</v>
      </c>
      <c r="R2" t="s">
        <v>50</v>
      </c>
    </row>
    <row r="3" spans="1:29" x14ac:dyDescent="0.3">
      <c r="B3" t="s">
        <v>21</v>
      </c>
      <c r="C3" t="s">
        <v>21</v>
      </c>
      <c r="Q3" t="s">
        <v>22</v>
      </c>
      <c r="R3" t="s">
        <v>22</v>
      </c>
    </row>
    <row r="4" spans="1:29" x14ac:dyDescent="0.3">
      <c r="B4" t="s">
        <v>189</v>
      </c>
      <c r="C4" t="s">
        <v>189</v>
      </c>
      <c r="Q4" t="s">
        <v>189</v>
      </c>
      <c r="R4" t="s">
        <v>189</v>
      </c>
      <c r="AC4">
        <v>0</v>
      </c>
    </row>
    <row r="5" spans="1:29" x14ac:dyDescent="0.3">
      <c r="B5" t="s">
        <v>120</v>
      </c>
      <c r="C5" t="s">
        <v>123</v>
      </c>
      <c r="Q5" t="s">
        <v>120</v>
      </c>
      <c r="R5" t="s">
        <v>123</v>
      </c>
      <c r="AC5">
        <v>4000</v>
      </c>
    </row>
    <row r="6" spans="1:29" x14ac:dyDescent="0.3">
      <c r="A6" t="s">
        <v>0</v>
      </c>
      <c r="B6" t="s">
        <v>190</v>
      </c>
      <c r="C6" t="s">
        <v>190</v>
      </c>
      <c r="P6" t="s">
        <v>0</v>
      </c>
      <c r="Q6" t="s">
        <v>190</v>
      </c>
      <c r="R6" t="s">
        <v>190</v>
      </c>
    </row>
    <row r="7" spans="1:29" x14ac:dyDescent="0.3">
      <c r="A7" t="s">
        <v>192</v>
      </c>
      <c r="B7" t="s">
        <v>191</v>
      </c>
      <c r="C7" t="s">
        <v>191</v>
      </c>
      <c r="P7" t="s">
        <v>192</v>
      </c>
      <c r="Q7" t="s">
        <v>191</v>
      </c>
      <c r="R7" t="s">
        <v>191</v>
      </c>
    </row>
    <row r="8" spans="1:29" x14ac:dyDescent="0.3">
      <c r="A8" t="s">
        <v>52</v>
      </c>
      <c r="B8">
        <v>2017.7165354330712</v>
      </c>
      <c r="C8">
        <v>2509.8425196850399</v>
      </c>
      <c r="P8" t="s">
        <v>52</v>
      </c>
      <c r="Q8">
        <v>1960.5915737805503</v>
      </c>
      <c r="R8">
        <v>2409.913196341412</v>
      </c>
    </row>
    <row r="9" spans="1:29" x14ac:dyDescent="0.3">
      <c r="A9" t="s">
        <v>53</v>
      </c>
      <c r="B9">
        <v>2165.3543307086611</v>
      </c>
      <c r="C9">
        <v>2854.3307086614172</v>
      </c>
      <c r="P9" t="s">
        <v>53</v>
      </c>
      <c r="Q9">
        <v>2109.6676713630382</v>
      </c>
      <c r="R9">
        <v>2737.8736532357966</v>
      </c>
    </row>
    <row r="10" spans="1:29" x14ac:dyDescent="0.3">
      <c r="A10" t="s">
        <v>54</v>
      </c>
      <c r="B10">
        <v>2066.9291338582684</v>
      </c>
      <c r="C10">
        <v>3001.9685039370074</v>
      </c>
      <c r="P10" t="s">
        <v>54</v>
      </c>
      <c r="Q10">
        <v>2008.9901562262253</v>
      </c>
      <c r="R10">
        <v>2879.4890920503822</v>
      </c>
    </row>
    <row r="11" spans="1:29" x14ac:dyDescent="0.3">
      <c r="A11" t="s">
        <v>55</v>
      </c>
      <c r="B11">
        <v>2165.3543307086611</v>
      </c>
      <c r="C11">
        <v>3051.1811023622049</v>
      </c>
      <c r="P11" t="s">
        <v>55</v>
      </c>
      <c r="Q11">
        <v>2104.2959776530765</v>
      </c>
      <c r="R11">
        <v>2926.2400754855976</v>
      </c>
    </row>
    <row r="12" spans="1:29" x14ac:dyDescent="0.3">
      <c r="A12" t="s">
        <v>56</v>
      </c>
      <c r="B12">
        <v>1722.4409448818897</v>
      </c>
      <c r="C12">
        <v>2312.9921259842522</v>
      </c>
      <c r="P12" t="s">
        <v>56</v>
      </c>
      <c r="Q12">
        <v>1674.8402227613053</v>
      </c>
      <c r="R12">
        <v>2222.4349973657463</v>
      </c>
    </row>
    <row r="13" spans="1:29" x14ac:dyDescent="0.3">
      <c r="A13" t="s">
        <v>57</v>
      </c>
      <c r="B13">
        <v>1574.8031496062993</v>
      </c>
      <c r="C13">
        <v>1968.5039370078741</v>
      </c>
      <c r="P13" t="s">
        <v>57</v>
      </c>
      <c r="Q13">
        <v>1530.9379763822958</v>
      </c>
      <c r="R13">
        <v>1892.6921071767922</v>
      </c>
    </row>
    <row r="14" spans="1:29" x14ac:dyDescent="0.3">
      <c r="A14" t="s">
        <v>58</v>
      </c>
      <c r="B14">
        <v>2411.4173228346458</v>
      </c>
      <c r="C14">
        <v>3248.0314960629926</v>
      </c>
      <c r="P14" t="s">
        <v>58</v>
      </c>
      <c r="Q14">
        <v>2344.7755704463048</v>
      </c>
      <c r="R14">
        <v>3118.7286411786154</v>
      </c>
    </row>
    <row r="15" spans="1:29" x14ac:dyDescent="0.3">
      <c r="A15" t="s">
        <v>59</v>
      </c>
      <c r="B15">
        <v>2017.7165354330712</v>
      </c>
      <c r="C15">
        <v>2706.6929133858271</v>
      </c>
      <c r="P15" t="s">
        <v>59</v>
      </c>
      <c r="Q15">
        <v>1960.7891068553845</v>
      </c>
      <c r="R15">
        <v>2603.4784473299846</v>
      </c>
    </row>
    <row r="16" spans="1:29" x14ac:dyDescent="0.3">
      <c r="A16" t="s">
        <v>60</v>
      </c>
      <c r="B16">
        <v>2509.8425196850399</v>
      </c>
      <c r="C16">
        <v>3248.031496062993</v>
      </c>
      <c r="P16" t="s">
        <v>60</v>
      </c>
      <c r="Q16">
        <v>2441.1341611144767</v>
      </c>
      <c r="R16">
        <v>3121.7897731278654</v>
      </c>
    </row>
    <row r="17" spans="1:18" x14ac:dyDescent="0.3">
      <c r="A17" t="s">
        <v>61</v>
      </c>
      <c r="B17">
        <v>2017.7165354330707</v>
      </c>
      <c r="C17">
        <v>2952.7559055118113</v>
      </c>
      <c r="P17" t="s">
        <v>61</v>
      </c>
      <c r="Q17">
        <v>1964.1093064473948</v>
      </c>
      <c r="R17">
        <v>2835.6494390042608</v>
      </c>
    </row>
    <row r="18" spans="1:18" x14ac:dyDescent="0.3">
      <c r="A18" t="s">
        <v>62</v>
      </c>
      <c r="B18">
        <v>2312.9921259842513</v>
      </c>
      <c r="C18">
        <v>3001.9685039370074</v>
      </c>
      <c r="P18" t="s">
        <v>62</v>
      </c>
      <c r="Q18">
        <v>2251.7312139887431</v>
      </c>
      <c r="R18">
        <v>2881.871180054362</v>
      </c>
    </row>
    <row r="19" spans="1:18" x14ac:dyDescent="0.3">
      <c r="A19" t="s">
        <v>63</v>
      </c>
      <c r="B19">
        <v>2755.9055118110232</v>
      </c>
      <c r="C19">
        <v>3641.732283464567</v>
      </c>
      <c r="P19" t="s">
        <v>63</v>
      </c>
      <c r="Q19">
        <v>2682.4565494233489</v>
      </c>
      <c r="R19">
        <v>3495.4092081725516</v>
      </c>
    </row>
    <row r="20" spans="1:18" x14ac:dyDescent="0.3">
      <c r="A20" t="s">
        <v>64</v>
      </c>
      <c r="B20">
        <v>2017.7165354330712</v>
      </c>
      <c r="C20">
        <v>2706.6929133858266</v>
      </c>
      <c r="P20" t="s">
        <v>64</v>
      </c>
      <c r="Q20">
        <v>1965.3622760705161</v>
      </c>
      <c r="R20">
        <v>2599.607637556082</v>
      </c>
    </row>
    <row r="21" spans="1:18" x14ac:dyDescent="0.3">
      <c r="A21" t="s">
        <v>65</v>
      </c>
      <c r="B21">
        <v>1919.2913385826771</v>
      </c>
      <c r="C21">
        <v>2608.2677165354335</v>
      </c>
      <c r="P21" t="s">
        <v>65</v>
      </c>
      <c r="Q21">
        <v>1869.8978114867996</v>
      </c>
      <c r="R21">
        <v>2506.4208677309357</v>
      </c>
    </row>
    <row r="22" spans="1:18" x14ac:dyDescent="0.3">
      <c r="A22" t="s">
        <v>66</v>
      </c>
      <c r="B22">
        <v>2214.5669291338581</v>
      </c>
      <c r="C22">
        <v>2755.9055118110232</v>
      </c>
      <c r="P22" t="s">
        <v>66</v>
      </c>
      <c r="Q22">
        <v>2160.4449008176862</v>
      </c>
      <c r="R22">
        <v>2649.6540962019903</v>
      </c>
    </row>
    <row r="23" spans="1:18" x14ac:dyDescent="0.3">
      <c r="A23" t="s">
        <v>67</v>
      </c>
      <c r="B23">
        <v>1968.5039370078741</v>
      </c>
      <c r="C23">
        <v>2559.0551181102369</v>
      </c>
      <c r="P23" t="s">
        <v>67</v>
      </c>
      <c r="Q23">
        <v>1918.8930026130843</v>
      </c>
      <c r="R23">
        <v>2461.116393646093</v>
      </c>
    </row>
    <row r="24" spans="1:18" x14ac:dyDescent="0.3">
      <c r="A24" t="s">
        <v>68</v>
      </c>
      <c r="B24">
        <v>2214.5669291338581</v>
      </c>
      <c r="C24">
        <v>3001.9685039370074</v>
      </c>
      <c r="P24" t="s">
        <v>68</v>
      </c>
      <c r="Q24">
        <v>2161.3058229488001</v>
      </c>
      <c r="R24">
        <v>2881.1985526113676</v>
      </c>
    </row>
    <row r="25" spans="1:18" x14ac:dyDescent="0.3">
      <c r="A25" t="s">
        <v>69</v>
      </c>
      <c r="B25">
        <v>2608.2677165354335</v>
      </c>
      <c r="C25">
        <v>3494.0944881889773</v>
      </c>
      <c r="P25" t="s">
        <v>69</v>
      </c>
      <c r="Q25">
        <v>2540.2115160403423</v>
      </c>
      <c r="R25">
        <v>3356.0424571375029</v>
      </c>
    </row>
    <row r="26" spans="1:18" x14ac:dyDescent="0.3">
      <c r="A26" t="s">
        <v>70</v>
      </c>
      <c r="B26">
        <v>2214.5669291338581</v>
      </c>
      <c r="C26">
        <v>3051.1811023622049</v>
      </c>
      <c r="P26" t="s">
        <v>70</v>
      </c>
      <c r="Q26">
        <v>2160.7158288558026</v>
      </c>
      <c r="R26">
        <v>2927.4231985576348</v>
      </c>
    </row>
    <row r="27" spans="1:18" x14ac:dyDescent="0.3">
      <c r="A27" t="s">
        <v>71</v>
      </c>
      <c r="B27">
        <v>2165.3543307086607</v>
      </c>
      <c r="C27">
        <v>2805.1181102362198</v>
      </c>
      <c r="P27" t="s">
        <v>71</v>
      </c>
      <c r="Q27">
        <v>2113.4979486787447</v>
      </c>
      <c r="R27">
        <v>2696.1238956839893</v>
      </c>
    </row>
    <row r="28" spans="1:18" x14ac:dyDescent="0.3">
      <c r="A28" t="s">
        <v>72</v>
      </c>
      <c r="B28">
        <v>1870.0787401574803</v>
      </c>
      <c r="C28">
        <v>2608.2677165354339</v>
      </c>
      <c r="P28" t="s">
        <v>72</v>
      </c>
      <c r="Q28">
        <v>1825.0726957885452</v>
      </c>
      <c r="R28">
        <v>2505.3876902589227</v>
      </c>
    </row>
    <row r="29" spans="1:18" x14ac:dyDescent="0.3">
      <c r="A29" t="s">
        <v>73</v>
      </c>
      <c r="B29">
        <v>1968.5039370078744</v>
      </c>
      <c r="C29">
        <v>2559.0551181102369</v>
      </c>
      <c r="P29" t="s">
        <v>73</v>
      </c>
      <c r="Q29">
        <v>1921.4330633348022</v>
      </c>
      <c r="R29">
        <v>2459.2562543447129</v>
      </c>
    </row>
    <row r="30" spans="1:18" x14ac:dyDescent="0.3">
      <c r="A30" t="s">
        <v>74</v>
      </c>
      <c r="B30">
        <v>2263.7795275590552</v>
      </c>
      <c r="C30">
        <v>2952.7559055118109</v>
      </c>
      <c r="P30" t="s">
        <v>74</v>
      </c>
      <c r="Q30">
        <v>2211.4720920723403</v>
      </c>
      <c r="R30">
        <v>2836.3233975555891</v>
      </c>
    </row>
    <row r="31" spans="1:18" x14ac:dyDescent="0.3">
      <c r="A31" t="s">
        <v>75</v>
      </c>
      <c r="B31">
        <v>2017.7165354330712</v>
      </c>
      <c r="C31">
        <v>2608.2677165354335</v>
      </c>
      <c r="P31" t="s">
        <v>75</v>
      </c>
      <c r="Q31">
        <v>1969.9879572204072</v>
      </c>
      <c r="R31">
        <v>2508.2439582315747</v>
      </c>
    </row>
    <row r="32" spans="1:18" x14ac:dyDescent="0.3">
      <c r="A32" t="s">
        <v>76</v>
      </c>
      <c r="B32">
        <v>2460.6299212598424</v>
      </c>
      <c r="C32">
        <v>3444.8818897637793</v>
      </c>
      <c r="P32" t="s">
        <v>76</v>
      </c>
      <c r="Q32">
        <v>2405.88843246652</v>
      </c>
      <c r="R32">
        <v>3313.6430642830201</v>
      </c>
    </row>
    <row r="33" spans="1:18" x14ac:dyDescent="0.3">
      <c r="A33" t="s">
        <v>77</v>
      </c>
      <c r="B33">
        <v>2165.3543307086616</v>
      </c>
      <c r="C33">
        <v>2706.6929133858266</v>
      </c>
      <c r="P33" t="s">
        <v>77</v>
      </c>
      <c r="Q33">
        <v>2115.1728214038876</v>
      </c>
      <c r="R33">
        <v>2602.6521446734178</v>
      </c>
    </row>
    <row r="34" spans="1:18" x14ac:dyDescent="0.3">
      <c r="A34" t="s">
        <v>78</v>
      </c>
      <c r="B34">
        <v>2362.2047244094488</v>
      </c>
      <c r="C34">
        <v>3100.3937007874024</v>
      </c>
      <c r="P34" t="s">
        <v>78</v>
      </c>
      <c r="Q34">
        <v>2310.652872426821</v>
      </c>
      <c r="R34">
        <v>2978.9324940095671</v>
      </c>
    </row>
    <row r="35" spans="1:18" x14ac:dyDescent="0.3">
      <c r="A35" t="s">
        <v>79</v>
      </c>
      <c r="B35">
        <v>2411.4173228346453</v>
      </c>
      <c r="C35">
        <v>3198.8188976377951</v>
      </c>
      <c r="P35" t="s">
        <v>79</v>
      </c>
      <c r="Q35">
        <v>2358.6760645900094</v>
      </c>
      <c r="R35">
        <v>3073.4896996109778</v>
      </c>
    </row>
    <row r="36" spans="1:18" x14ac:dyDescent="0.3">
      <c r="A36" t="s">
        <v>80</v>
      </c>
      <c r="B36">
        <v>2214.5669291338581</v>
      </c>
      <c r="C36">
        <v>2952.7559055118109</v>
      </c>
      <c r="P36" t="s">
        <v>80</v>
      </c>
      <c r="Q36">
        <v>2163.1277861626618</v>
      </c>
      <c r="R36">
        <v>2839.5592429407207</v>
      </c>
    </row>
    <row r="37" spans="1:18" x14ac:dyDescent="0.3">
      <c r="A37" t="s">
        <v>81</v>
      </c>
      <c r="B37">
        <v>2559.055118110236</v>
      </c>
      <c r="C37">
        <v>3198.8188976377951</v>
      </c>
      <c r="P37" t="s">
        <v>81</v>
      </c>
      <c r="Q37">
        <v>2501.2816504165562</v>
      </c>
      <c r="R37">
        <v>3073.7732690658158</v>
      </c>
    </row>
    <row r="38" spans="1:18" x14ac:dyDescent="0.3">
      <c r="A38" t="s">
        <v>82</v>
      </c>
      <c r="B38">
        <v>1968.5039370078741</v>
      </c>
      <c r="C38">
        <v>2706.6929133858271</v>
      </c>
      <c r="P38" t="s">
        <v>82</v>
      </c>
      <c r="Q38">
        <v>1923.9251827728922</v>
      </c>
      <c r="R38">
        <v>2604.1814590843151</v>
      </c>
    </row>
    <row r="39" spans="1:18" x14ac:dyDescent="0.3">
      <c r="A39" t="s">
        <v>83</v>
      </c>
      <c r="B39">
        <v>1919.2913385826771</v>
      </c>
      <c r="C39">
        <v>2509.8425196850399</v>
      </c>
      <c r="P39" t="s">
        <v>83</v>
      </c>
      <c r="Q39">
        <v>1875.0996364636633</v>
      </c>
      <c r="R39">
        <v>2415.22669210204</v>
      </c>
    </row>
    <row r="40" spans="1:18" x14ac:dyDescent="0.3">
      <c r="A40" t="s">
        <v>84</v>
      </c>
      <c r="B40">
        <v>2263.7795275590547</v>
      </c>
      <c r="C40">
        <v>3051.1811023622045</v>
      </c>
      <c r="P40" t="s">
        <v>84</v>
      </c>
      <c r="Q40">
        <v>2209.3617504542694</v>
      </c>
      <c r="R40">
        <v>2931.4127832290005</v>
      </c>
    </row>
    <row r="41" spans="1:18" x14ac:dyDescent="0.3">
      <c r="A41" t="s">
        <v>85</v>
      </c>
      <c r="B41">
        <v>2263.7795275590552</v>
      </c>
      <c r="C41">
        <v>3001.968503937007</v>
      </c>
      <c r="P41" t="s">
        <v>85</v>
      </c>
      <c r="Q41">
        <v>2211.5157663567979</v>
      </c>
      <c r="R41">
        <v>2883.2578199037293</v>
      </c>
    </row>
    <row r="42" spans="1:18" x14ac:dyDescent="0.3">
      <c r="A42" t="s">
        <v>86</v>
      </c>
      <c r="B42">
        <v>2460.6299212598424</v>
      </c>
      <c r="C42">
        <v>3346.4566929133862</v>
      </c>
      <c r="P42" t="s">
        <v>86</v>
      </c>
      <c r="Q42">
        <v>2406.0991690637707</v>
      </c>
      <c r="R42">
        <v>3217.2200170912097</v>
      </c>
    </row>
    <row r="43" spans="1:18" x14ac:dyDescent="0.3">
      <c r="A43" t="s">
        <v>87</v>
      </c>
      <c r="B43">
        <v>2362.2047244094488</v>
      </c>
      <c r="C43">
        <v>3198.8188976377951</v>
      </c>
      <c r="P43" t="s">
        <v>87</v>
      </c>
      <c r="Q43">
        <v>2309.316227287205</v>
      </c>
      <c r="R43">
        <v>3072.7643745505384</v>
      </c>
    </row>
    <row r="44" spans="1:18" x14ac:dyDescent="0.3">
      <c r="A44" t="s">
        <v>88</v>
      </c>
      <c r="B44">
        <v>2411.4173228346453</v>
      </c>
      <c r="C44">
        <v>3149.6062992125976</v>
      </c>
      <c r="P44" t="s">
        <v>88</v>
      </c>
      <c r="Q44">
        <v>2358.6125639404559</v>
      </c>
      <c r="R44">
        <v>3029.4536858389383</v>
      </c>
    </row>
    <row r="45" spans="1:18" x14ac:dyDescent="0.3">
      <c r="A45" t="s">
        <v>89</v>
      </c>
      <c r="B45">
        <v>2263.7795275590552</v>
      </c>
      <c r="C45">
        <v>2903.5433070866138</v>
      </c>
      <c r="P45" t="s">
        <v>89</v>
      </c>
      <c r="Q45">
        <v>2211.967672174781</v>
      </c>
      <c r="R45">
        <v>2792.4130537437081</v>
      </c>
    </row>
    <row r="46" spans="1:18" x14ac:dyDescent="0.3">
      <c r="A46" t="s">
        <v>90</v>
      </c>
      <c r="B46">
        <v>2165.3543307086611</v>
      </c>
      <c r="C46">
        <v>2854.3307086614172</v>
      </c>
      <c r="P46" t="s">
        <v>90</v>
      </c>
      <c r="Q46">
        <v>2116.5793072546426</v>
      </c>
      <c r="R46">
        <v>2744.1547725427372</v>
      </c>
    </row>
    <row r="47" spans="1:18" x14ac:dyDescent="0.3">
      <c r="A47" t="s">
        <v>91</v>
      </c>
      <c r="B47">
        <v>1919.2913385826771</v>
      </c>
      <c r="C47">
        <v>2460.6299212598437</v>
      </c>
      <c r="P47" t="s">
        <v>91</v>
      </c>
      <c r="Q47">
        <v>1877.465449960283</v>
      </c>
      <c r="R47">
        <v>2366.7750486413088</v>
      </c>
    </row>
    <row r="48" spans="1:18" x14ac:dyDescent="0.3">
      <c r="A48" t="s">
        <v>92</v>
      </c>
      <c r="B48">
        <v>2116.1417322834645</v>
      </c>
      <c r="C48">
        <v>2805.1181102362198</v>
      </c>
      <c r="P48" t="s">
        <v>92</v>
      </c>
      <c r="Q48">
        <v>2066.6113769677095</v>
      </c>
      <c r="R48">
        <v>2698.1531788853881</v>
      </c>
    </row>
    <row r="49" spans="1:18" x14ac:dyDescent="0.3">
      <c r="A49" t="s">
        <v>93</v>
      </c>
      <c r="B49">
        <v>2411.4173228346453</v>
      </c>
      <c r="C49">
        <v>3051.1811023622049</v>
      </c>
      <c r="P49" t="s">
        <v>93</v>
      </c>
      <c r="Q49">
        <v>2358.4191399152023</v>
      </c>
      <c r="R49">
        <v>2935.3846995982285</v>
      </c>
    </row>
    <row r="50" spans="1:18" x14ac:dyDescent="0.3">
      <c r="A50" t="s">
        <v>94</v>
      </c>
      <c r="B50">
        <v>1673.2283464566931</v>
      </c>
      <c r="C50">
        <v>2263.7795275590552</v>
      </c>
      <c r="P50" t="s">
        <v>94</v>
      </c>
      <c r="Q50">
        <v>1639.3758867602037</v>
      </c>
      <c r="R50">
        <v>2176.9939576266415</v>
      </c>
    </row>
    <row r="51" spans="1:18" x14ac:dyDescent="0.3">
      <c r="A51" t="s">
        <v>95</v>
      </c>
      <c r="B51">
        <v>2657.48031496063</v>
      </c>
      <c r="C51">
        <v>3543.3070866141743</v>
      </c>
      <c r="P51" t="s">
        <v>95</v>
      </c>
      <c r="Q51">
        <v>2596.103909729472</v>
      </c>
      <c r="R51">
        <v>3405.0662968142278</v>
      </c>
    </row>
    <row r="52" spans="1:18" x14ac:dyDescent="0.3">
      <c r="A52" t="s">
        <v>96</v>
      </c>
      <c r="B52">
        <v>1722.4409448818897</v>
      </c>
      <c r="C52">
        <v>2312.9921259842527</v>
      </c>
      <c r="P52" t="s">
        <v>96</v>
      </c>
      <c r="Q52">
        <v>1685.8922365607075</v>
      </c>
      <c r="R52">
        <v>2226.1216051139527</v>
      </c>
    </row>
    <row r="53" spans="1:18" x14ac:dyDescent="0.3">
      <c r="A53" t="s">
        <v>97</v>
      </c>
      <c r="B53">
        <v>2312.9921259842513</v>
      </c>
      <c r="C53">
        <v>2952.7559055118109</v>
      </c>
      <c r="P53" t="s">
        <v>97</v>
      </c>
      <c r="Q53">
        <v>2264.9512560929875</v>
      </c>
      <c r="R53">
        <v>2844.8846885845433</v>
      </c>
    </row>
    <row r="54" spans="1:18" x14ac:dyDescent="0.3">
      <c r="A54" t="s">
        <v>98</v>
      </c>
      <c r="B54">
        <v>1279.527559055118</v>
      </c>
      <c r="C54">
        <v>1673.2283464566931</v>
      </c>
      <c r="P54" t="s">
        <v>98</v>
      </c>
      <c r="Q54">
        <v>1251.5106366713458</v>
      </c>
      <c r="R54">
        <v>1612.7076344621757</v>
      </c>
    </row>
    <row r="55" spans="1:18" x14ac:dyDescent="0.3">
      <c r="A55" t="s">
        <v>99</v>
      </c>
      <c r="B55">
        <v>1771.6535433070865</v>
      </c>
      <c r="C55">
        <v>2411.4173228346463</v>
      </c>
      <c r="P55" t="s">
        <v>99</v>
      </c>
      <c r="Q55">
        <v>1732.948103433446</v>
      </c>
      <c r="R55">
        <v>2321.8708381036945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Scale</vt:lpstr>
      <vt:lpstr>Zone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2022-05-13T17:57:34Z</dcterms:created>
  <dcterms:modified xsi:type="dcterms:W3CDTF">2023-10-16T23:02:59Z</dcterms:modified>
</cp:coreProperties>
</file>