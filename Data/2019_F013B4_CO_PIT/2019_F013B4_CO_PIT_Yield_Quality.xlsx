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tool\tool\Data\2019_F013B4_CO_PIT\"/>
    </mc:Choice>
  </mc:AlternateContent>
  <xr:revisionPtr revIDLastSave="0" documentId="13_ncr:1_{3A552D8E-7C51-4EF6-AF31-1BBC3719A965}" xr6:coauthVersionLast="47" xr6:coauthVersionMax="47" xr10:uidLastSave="{00000000-0000-0000-0000-000000000000}"/>
  <bookViews>
    <workbookView xWindow="-4590" yWindow="-28920" windowWidth="18240" windowHeight="29040" xr2:uid="{A0C8E5E1-3BB8-481A-9E5C-615F618DEDC4}"/>
  </bookViews>
  <sheets>
    <sheet name="Raw Scale" sheetId="1" r:id="rId1"/>
    <sheet name="Plot Scale" sheetId="2" r:id="rId2"/>
    <sheet name="Compa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96" i="1" l="1"/>
  <c r="BO96" i="1"/>
  <c r="BN96" i="1"/>
  <c r="BM96" i="1"/>
  <c r="BL96" i="1"/>
  <c r="BK96" i="1"/>
  <c r="BJ96" i="1"/>
  <c r="BI96" i="1"/>
  <c r="BA96" i="1"/>
  <c r="AZ96" i="1"/>
  <c r="AY96" i="1"/>
  <c r="BB96" i="1" s="1"/>
  <c r="AX96" i="1"/>
  <c r="AW96" i="1"/>
  <c r="AS96" i="1"/>
  <c r="AU96" i="1" s="1"/>
  <c r="AR96" i="1"/>
  <c r="AQ96" i="1"/>
  <c r="AN96" i="1"/>
  <c r="AM96" i="1"/>
  <c r="AO96" i="1" s="1"/>
  <c r="AP96" i="1" s="1"/>
  <c r="AL96" i="1"/>
  <c r="BP94" i="1"/>
  <c r="BO94" i="1"/>
  <c r="BN94" i="1"/>
  <c r="BM94" i="1"/>
  <c r="BL94" i="1"/>
  <c r="BK94" i="1"/>
  <c r="BJ94" i="1"/>
  <c r="BI94" i="1"/>
  <c r="BA94" i="1"/>
  <c r="AZ94" i="1"/>
  <c r="BB94" i="1" s="1"/>
  <c r="AY94" i="1"/>
  <c r="AX94" i="1"/>
  <c r="AW94" i="1"/>
  <c r="AS94" i="1"/>
  <c r="AU94" i="1" s="1"/>
  <c r="AR94" i="1"/>
  <c r="AT94" i="1" s="1"/>
  <c r="AQ94" i="1"/>
  <c r="AO94" i="1"/>
  <c r="AP94" i="1" s="1"/>
  <c r="AN94" i="1"/>
  <c r="AM94" i="1"/>
  <c r="AL94" i="1"/>
  <c r="BP92" i="1"/>
  <c r="BO92" i="1"/>
  <c r="BN92" i="1"/>
  <c r="BM92" i="1"/>
  <c r="BL92" i="1"/>
  <c r="BK92" i="1"/>
  <c r="BJ92" i="1"/>
  <c r="BI92" i="1"/>
  <c r="BA92" i="1"/>
  <c r="AZ92" i="1"/>
  <c r="AY92" i="1"/>
  <c r="BB92" i="1" s="1"/>
  <c r="AX92" i="1"/>
  <c r="AW92" i="1"/>
  <c r="AS92" i="1"/>
  <c r="AU92" i="1" s="1"/>
  <c r="AR92" i="1"/>
  <c r="AT92" i="1" s="1"/>
  <c r="AV92" i="1" s="1"/>
  <c r="AQ92" i="1"/>
  <c r="AO92" i="1"/>
  <c r="AP92" i="1" s="1"/>
  <c r="AN92" i="1"/>
  <c r="AM92" i="1"/>
  <c r="AL92" i="1"/>
  <c r="BP90" i="1"/>
  <c r="BO90" i="1"/>
  <c r="BN90" i="1"/>
  <c r="BM90" i="1"/>
  <c r="BL90" i="1"/>
  <c r="BK90" i="1"/>
  <c r="BJ90" i="1"/>
  <c r="BI90" i="1"/>
  <c r="AZ90" i="1"/>
  <c r="AY90" i="1"/>
  <c r="BB90" i="1" s="1"/>
  <c r="AX90" i="1"/>
  <c r="BA90" i="1" s="1"/>
  <c r="AW90" i="1"/>
  <c r="AS90" i="1"/>
  <c r="AU90" i="1" s="1"/>
  <c r="AR90" i="1"/>
  <c r="AT90" i="1" s="1"/>
  <c r="AV90" i="1" s="1"/>
  <c r="AQ90" i="1"/>
  <c r="AN90" i="1"/>
  <c r="AM90" i="1"/>
  <c r="AO90" i="1" s="1"/>
  <c r="AP90" i="1" s="1"/>
  <c r="AL90" i="1"/>
  <c r="BP88" i="1"/>
  <c r="BO88" i="1"/>
  <c r="BN88" i="1"/>
  <c r="BM88" i="1"/>
  <c r="BL88" i="1"/>
  <c r="BK88" i="1"/>
  <c r="BJ88" i="1"/>
  <c r="BI88" i="1"/>
  <c r="BA88" i="1"/>
  <c r="AZ88" i="1"/>
  <c r="AY88" i="1"/>
  <c r="BB88" i="1" s="1"/>
  <c r="AX88" i="1"/>
  <c r="AW88" i="1"/>
  <c r="AS88" i="1"/>
  <c r="AR88" i="1"/>
  <c r="AQ88" i="1"/>
  <c r="AN88" i="1"/>
  <c r="AM88" i="1"/>
  <c r="AO88" i="1" s="1"/>
  <c r="AP88" i="1" s="1"/>
  <c r="AL88" i="1"/>
  <c r="BP86" i="1"/>
  <c r="BO86" i="1"/>
  <c r="BN86" i="1"/>
  <c r="BM86" i="1"/>
  <c r="BL86" i="1"/>
  <c r="BK86" i="1"/>
  <c r="BJ86" i="1"/>
  <c r="BI86" i="1"/>
  <c r="AZ86" i="1"/>
  <c r="AY86" i="1"/>
  <c r="BB86" i="1" s="1"/>
  <c r="AX86" i="1"/>
  <c r="AW86" i="1"/>
  <c r="BA86" i="1" s="1"/>
  <c r="AS86" i="1"/>
  <c r="AU86" i="1" s="1"/>
  <c r="AR86" i="1"/>
  <c r="AT86" i="1" s="1"/>
  <c r="AV86" i="1" s="1"/>
  <c r="AQ86" i="1"/>
  <c r="AO86" i="1"/>
  <c r="AP86" i="1" s="1"/>
  <c r="AN86" i="1"/>
  <c r="AM86" i="1"/>
  <c r="AL86" i="1"/>
  <c r="BP84" i="1"/>
  <c r="BO84" i="1"/>
  <c r="BN84" i="1"/>
  <c r="BM84" i="1"/>
  <c r="BL84" i="1"/>
  <c r="BK84" i="1"/>
  <c r="BJ84" i="1"/>
  <c r="BI84" i="1"/>
  <c r="BA84" i="1"/>
  <c r="AZ84" i="1"/>
  <c r="AY84" i="1"/>
  <c r="BB84" i="1" s="1"/>
  <c r="AX84" i="1"/>
  <c r="AW84" i="1"/>
  <c r="AS84" i="1"/>
  <c r="AU84" i="1" s="1"/>
  <c r="AR84" i="1"/>
  <c r="AQ84" i="1"/>
  <c r="AN84" i="1"/>
  <c r="AO84" i="1" s="1"/>
  <c r="AP84" i="1" s="1"/>
  <c r="AM84" i="1"/>
  <c r="AL84" i="1"/>
  <c r="BP82" i="1"/>
  <c r="BO82" i="1"/>
  <c r="BN82" i="1"/>
  <c r="BM82" i="1"/>
  <c r="BL82" i="1"/>
  <c r="BK82" i="1"/>
  <c r="BJ82" i="1"/>
  <c r="BI82" i="1"/>
  <c r="AZ82" i="1"/>
  <c r="AY82" i="1"/>
  <c r="BB82" i="1" s="1"/>
  <c r="AX82" i="1"/>
  <c r="AW82" i="1"/>
  <c r="BA82" i="1" s="1"/>
  <c r="AS82" i="1"/>
  <c r="AR82" i="1"/>
  <c r="AQ82" i="1"/>
  <c r="AN82" i="1"/>
  <c r="AM82" i="1"/>
  <c r="AO82" i="1" s="1"/>
  <c r="AL82" i="1"/>
  <c r="BP80" i="1"/>
  <c r="BO80" i="1"/>
  <c r="BN80" i="1"/>
  <c r="BM80" i="1"/>
  <c r="BL80" i="1"/>
  <c r="BK80" i="1"/>
  <c r="BJ80" i="1"/>
  <c r="BI80" i="1"/>
  <c r="BA80" i="1"/>
  <c r="AZ80" i="1"/>
  <c r="AY80" i="1"/>
  <c r="BB80" i="1" s="1"/>
  <c r="AX80" i="1"/>
  <c r="AW80" i="1"/>
  <c r="AS80" i="1"/>
  <c r="AU80" i="1" s="1"/>
  <c r="AR80" i="1"/>
  <c r="AT80" i="1" s="1"/>
  <c r="AV80" i="1" s="1"/>
  <c r="AQ80" i="1"/>
  <c r="AO80" i="1"/>
  <c r="AP80" i="1" s="1"/>
  <c r="AN80" i="1"/>
  <c r="AM80" i="1"/>
  <c r="AL80" i="1"/>
  <c r="BP78" i="1"/>
  <c r="BO78" i="1"/>
  <c r="BN78" i="1"/>
  <c r="BM78" i="1"/>
  <c r="BL78" i="1"/>
  <c r="BK78" i="1"/>
  <c r="BJ78" i="1"/>
  <c r="BI78" i="1"/>
  <c r="BA78" i="1"/>
  <c r="AZ78" i="1"/>
  <c r="AY78" i="1"/>
  <c r="BB78" i="1" s="1"/>
  <c r="AX78" i="1"/>
  <c r="AW78" i="1"/>
  <c r="AS78" i="1"/>
  <c r="AU78" i="1" s="1"/>
  <c r="AR78" i="1"/>
  <c r="AT78" i="1" s="1"/>
  <c r="AV78" i="1" s="1"/>
  <c r="AQ78" i="1"/>
  <c r="AN78" i="1"/>
  <c r="AO78" i="1" s="1"/>
  <c r="AP78" i="1" s="1"/>
  <c r="AM78" i="1"/>
  <c r="AL78" i="1"/>
  <c r="BP76" i="1"/>
  <c r="BO76" i="1"/>
  <c r="BN76" i="1"/>
  <c r="BM76" i="1"/>
  <c r="BL76" i="1"/>
  <c r="BK76" i="1"/>
  <c r="BJ76" i="1"/>
  <c r="BI76" i="1"/>
  <c r="BA76" i="1"/>
  <c r="AZ76" i="1"/>
  <c r="AY76" i="1"/>
  <c r="BB76" i="1" s="1"/>
  <c r="AX76" i="1"/>
  <c r="AW76" i="1"/>
  <c r="AS76" i="1"/>
  <c r="AR76" i="1"/>
  <c r="AQ76" i="1"/>
  <c r="AN76" i="1"/>
  <c r="AM76" i="1"/>
  <c r="AO76" i="1" s="1"/>
  <c r="AP76" i="1" s="1"/>
  <c r="AL76" i="1"/>
  <c r="BP74" i="1"/>
  <c r="BO74" i="1"/>
  <c r="BN74" i="1"/>
  <c r="BM74" i="1"/>
  <c r="BL74" i="1"/>
  <c r="BK74" i="1"/>
  <c r="BJ74" i="1"/>
  <c r="BI74" i="1"/>
  <c r="AZ74" i="1"/>
  <c r="AY74" i="1"/>
  <c r="BB74" i="1" s="1"/>
  <c r="AX74" i="1"/>
  <c r="BA74" i="1" s="1"/>
  <c r="AW74" i="1"/>
  <c r="AS74" i="1"/>
  <c r="AU74" i="1" s="1"/>
  <c r="AR74" i="1"/>
  <c r="AT74" i="1" s="1"/>
  <c r="AV74" i="1" s="1"/>
  <c r="AQ74" i="1"/>
  <c r="AP74" i="1"/>
  <c r="BD74" i="1" s="1"/>
  <c r="BG74" i="1" s="1"/>
  <c r="AO74" i="1"/>
  <c r="AN74" i="1"/>
  <c r="AM74" i="1"/>
  <c r="AL74" i="1"/>
  <c r="BP72" i="1"/>
  <c r="BO72" i="1"/>
  <c r="BN72" i="1"/>
  <c r="BM72" i="1"/>
  <c r="BL72" i="1"/>
  <c r="BK72" i="1"/>
  <c r="BJ72" i="1"/>
  <c r="BI72" i="1"/>
  <c r="BB72" i="1"/>
  <c r="BA72" i="1"/>
  <c r="AZ72" i="1"/>
  <c r="AY72" i="1"/>
  <c r="AX72" i="1"/>
  <c r="AW72" i="1"/>
  <c r="AS72" i="1"/>
  <c r="AU72" i="1" s="1"/>
  <c r="AR72" i="1"/>
  <c r="AQ72" i="1"/>
  <c r="AN72" i="1"/>
  <c r="AM72" i="1"/>
  <c r="AO72" i="1" s="1"/>
  <c r="AL72" i="1"/>
  <c r="BP70" i="1"/>
  <c r="BO70" i="1"/>
  <c r="BN70" i="1"/>
  <c r="BM70" i="1"/>
  <c r="BL70" i="1"/>
  <c r="BK70" i="1"/>
  <c r="BJ70" i="1"/>
  <c r="BI70" i="1"/>
  <c r="BA70" i="1"/>
  <c r="AZ70" i="1"/>
  <c r="BB70" i="1" s="1"/>
  <c r="AY70" i="1"/>
  <c r="AX70" i="1"/>
  <c r="AW70" i="1"/>
  <c r="AS70" i="1"/>
  <c r="AR70" i="1"/>
  <c r="AQ70" i="1"/>
  <c r="AN70" i="1"/>
  <c r="AM70" i="1"/>
  <c r="AO70" i="1" s="1"/>
  <c r="AP70" i="1" s="1"/>
  <c r="AL70" i="1"/>
  <c r="BP68" i="1"/>
  <c r="BO68" i="1"/>
  <c r="BN68" i="1"/>
  <c r="BM68" i="1"/>
  <c r="BL68" i="1"/>
  <c r="BK68" i="1"/>
  <c r="BJ68" i="1"/>
  <c r="BI68" i="1"/>
  <c r="BA68" i="1"/>
  <c r="AZ68" i="1"/>
  <c r="AY68" i="1"/>
  <c r="BB68" i="1" s="1"/>
  <c r="AX68" i="1"/>
  <c r="AW68" i="1"/>
  <c r="AS68" i="1"/>
  <c r="AU68" i="1" s="1"/>
  <c r="AR68" i="1"/>
  <c r="AT68" i="1" s="1"/>
  <c r="AV68" i="1" s="1"/>
  <c r="AQ68" i="1"/>
  <c r="AN68" i="1"/>
  <c r="AM68" i="1"/>
  <c r="AO68" i="1" s="1"/>
  <c r="AP68" i="1" s="1"/>
  <c r="AL68" i="1"/>
  <c r="BP66" i="1"/>
  <c r="BO66" i="1"/>
  <c r="BN66" i="1"/>
  <c r="BM66" i="1"/>
  <c r="BL66" i="1"/>
  <c r="BK66" i="1"/>
  <c r="BJ66" i="1"/>
  <c r="BI66" i="1"/>
  <c r="AZ66" i="1"/>
  <c r="AY66" i="1"/>
  <c r="BB66" i="1" s="1"/>
  <c r="AX66" i="1"/>
  <c r="BA66" i="1" s="1"/>
  <c r="AW66" i="1"/>
  <c r="AS66" i="1"/>
  <c r="AU66" i="1" s="1"/>
  <c r="AR66" i="1"/>
  <c r="AT66" i="1" s="1"/>
  <c r="AV66" i="1" s="1"/>
  <c r="AQ66" i="1"/>
  <c r="AN66" i="1"/>
  <c r="AM66" i="1"/>
  <c r="AO66" i="1" s="1"/>
  <c r="AP66" i="1" s="1"/>
  <c r="AL66" i="1"/>
  <c r="BP64" i="1"/>
  <c r="BO64" i="1"/>
  <c r="BN64" i="1"/>
  <c r="BM64" i="1"/>
  <c r="BL64" i="1"/>
  <c r="BK64" i="1"/>
  <c r="BJ64" i="1"/>
  <c r="BI64" i="1"/>
  <c r="BA64" i="1"/>
  <c r="AZ64" i="1"/>
  <c r="AY64" i="1"/>
  <c r="BB64" i="1" s="1"/>
  <c r="AX64" i="1"/>
  <c r="AW64" i="1"/>
  <c r="AS64" i="1"/>
  <c r="AR64" i="1"/>
  <c r="AQ64" i="1"/>
  <c r="AN64" i="1"/>
  <c r="AM64" i="1"/>
  <c r="AO64" i="1" s="1"/>
  <c r="AP64" i="1" s="1"/>
  <c r="AL64" i="1"/>
  <c r="BP62" i="1"/>
  <c r="BO62" i="1"/>
  <c r="BN62" i="1"/>
  <c r="BM62" i="1"/>
  <c r="BL62" i="1"/>
  <c r="BK62" i="1"/>
  <c r="BJ62" i="1"/>
  <c r="BI62" i="1"/>
  <c r="BA62" i="1"/>
  <c r="AZ62" i="1"/>
  <c r="BB62" i="1" s="1"/>
  <c r="AY62" i="1"/>
  <c r="AX62" i="1"/>
  <c r="AW62" i="1"/>
  <c r="AS62" i="1"/>
  <c r="AU62" i="1" s="1"/>
  <c r="AR62" i="1"/>
  <c r="AT62" i="1" s="1"/>
  <c r="AV62" i="1" s="1"/>
  <c r="AQ62" i="1"/>
  <c r="AO62" i="1"/>
  <c r="AP62" i="1" s="1"/>
  <c r="AN62" i="1"/>
  <c r="AM62" i="1"/>
  <c r="AL62" i="1"/>
  <c r="BP60" i="1"/>
  <c r="BO60" i="1"/>
  <c r="BN60" i="1"/>
  <c r="BM60" i="1"/>
  <c r="BL60" i="1"/>
  <c r="BK60" i="1"/>
  <c r="BJ60" i="1"/>
  <c r="BI60" i="1"/>
  <c r="BA60" i="1"/>
  <c r="AZ60" i="1"/>
  <c r="AY60" i="1"/>
  <c r="BB60" i="1" s="1"/>
  <c r="AX60" i="1"/>
  <c r="AW60" i="1"/>
  <c r="AS60" i="1"/>
  <c r="AR60" i="1"/>
  <c r="AT60" i="1" s="1"/>
  <c r="AQ60" i="1"/>
  <c r="AN60" i="1"/>
  <c r="AO60" i="1" s="1"/>
  <c r="AP60" i="1" s="1"/>
  <c r="AM60" i="1"/>
  <c r="AL60" i="1"/>
  <c r="BP58" i="1"/>
  <c r="BO58" i="1"/>
  <c r="BN58" i="1"/>
  <c r="BM58" i="1"/>
  <c r="BL58" i="1"/>
  <c r="BK58" i="1"/>
  <c r="BJ58" i="1"/>
  <c r="BI58" i="1"/>
  <c r="AZ58" i="1"/>
  <c r="AY58" i="1"/>
  <c r="BB58" i="1" s="1"/>
  <c r="AX58" i="1"/>
  <c r="BA58" i="1" s="1"/>
  <c r="AW58" i="1"/>
  <c r="AS58" i="1"/>
  <c r="AR58" i="1"/>
  <c r="AQ58" i="1"/>
  <c r="AN58" i="1"/>
  <c r="AM58" i="1"/>
  <c r="AO58" i="1" s="1"/>
  <c r="AP58" i="1" s="1"/>
  <c r="AL58" i="1"/>
  <c r="BP56" i="1"/>
  <c r="BO56" i="1"/>
  <c r="BN56" i="1"/>
  <c r="BM56" i="1"/>
  <c r="BL56" i="1"/>
  <c r="BK56" i="1"/>
  <c r="BJ56" i="1"/>
  <c r="BI56" i="1"/>
  <c r="BA56" i="1"/>
  <c r="AZ56" i="1"/>
  <c r="BB56" i="1" s="1"/>
  <c r="AY56" i="1"/>
  <c r="AX56" i="1"/>
  <c r="AW56" i="1"/>
  <c r="AS56" i="1"/>
  <c r="AR56" i="1"/>
  <c r="AQ56" i="1"/>
  <c r="AN56" i="1"/>
  <c r="AM56" i="1"/>
  <c r="AO56" i="1" s="1"/>
  <c r="AP56" i="1" s="1"/>
  <c r="AL56" i="1"/>
  <c r="BP54" i="1"/>
  <c r="BO54" i="1"/>
  <c r="BN54" i="1"/>
  <c r="BM54" i="1"/>
  <c r="BL54" i="1"/>
  <c r="BK54" i="1"/>
  <c r="BJ54" i="1"/>
  <c r="BI54" i="1"/>
  <c r="BA54" i="1"/>
  <c r="AZ54" i="1"/>
  <c r="AY54" i="1"/>
  <c r="BB54" i="1" s="1"/>
  <c r="AX54" i="1"/>
  <c r="AW54" i="1"/>
  <c r="AS54" i="1"/>
  <c r="AU54" i="1" s="1"/>
  <c r="AR54" i="1"/>
  <c r="AT54" i="1" s="1"/>
  <c r="AQ54" i="1"/>
  <c r="AN54" i="1"/>
  <c r="AM54" i="1"/>
  <c r="AO54" i="1" s="1"/>
  <c r="AP54" i="1" s="1"/>
  <c r="AL54" i="1"/>
  <c r="BP52" i="1"/>
  <c r="BO52" i="1"/>
  <c r="BN52" i="1"/>
  <c r="BM52" i="1"/>
  <c r="BL52" i="1"/>
  <c r="BK52" i="1"/>
  <c r="BJ52" i="1"/>
  <c r="BI52" i="1"/>
  <c r="AZ52" i="1"/>
  <c r="AY52" i="1"/>
  <c r="BB52" i="1" s="1"/>
  <c r="AX52" i="1"/>
  <c r="BA52" i="1" s="1"/>
  <c r="AW52" i="1"/>
  <c r="AS52" i="1"/>
  <c r="AU52" i="1" s="1"/>
  <c r="AR52" i="1"/>
  <c r="AT52" i="1" s="1"/>
  <c r="AV52" i="1" s="1"/>
  <c r="AQ52" i="1"/>
  <c r="AP52" i="1"/>
  <c r="BD52" i="1" s="1"/>
  <c r="AO52" i="1"/>
  <c r="AN52" i="1"/>
  <c r="AM52" i="1"/>
  <c r="AL52" i="1"/>
  <c r="BL50" i="1"/>
  <c r="BM50" i="1"/>
  <c r="BN50" i="1"/>
  <c r="BO50" i="1"/>
  <c r="BP50" i="1"/>
  <c r="BK50" i="1"/>
  <c r="BJ50" i="1"/>
  <c r="BI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0" i="1"/>
  <c r="T60" i="1"/>
  <c r="S61" i="1"/>
  <c r="T61" i="1"/>
  <c r="S62" i="1"/>
  <c r="T62" i="1"/>
  <c r="S63" i="1"/>
  <c r="T63" i="1"/>
  <c r="S64" i="1"/>
  <c r="T64" i="1"/>
  <c r="S65" i="1"/>
  <c r="T65" i="1"/>
  <c r="S66" i="1"/>
  <c r="T66" i="1"/>
  <c r="S67" i="1"/>
  <c r="T67" i="1"/>
  <c r="S68" i="1"/>
  <c r="T68" i="1"/>
  <c r="S69" i="1"/>
  <c r="T69" i="1"/>
  <c r="S70" i="1"/>
  <c r="T70" i="1"/>
  <c r="S71" i="1"/>
  <c r="T71" i="1"/>
  <c r="S72" i="1"/>
  <c r="T72" i="1"/>
  <c r="S73" i="1"/>
  <c r="T73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S82" i="1"/>
  <c r="T82" i="1"/>
  <c r="S83" i="1"/>
  <c r="T83" i="1"/>
  <c r="S84" i="1"/>
  <c r="T84" i="1"/>
  <c r="S85" i="1"/>
  <c r="T85" i="1"/>
  <c r="S86" i="1"/>
  <c r="T86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S95" i="1"/>
  <c r="T95" i="1"/>
  <c r="S96" i="1"/>
  <c r="T96" i="1"/>
  <c r="S97" i="1"/>
  <c r="T97" i="1"/>
  <c r="T50" i="1"/>
  <c r="S50" i="1"/>
  <c r="AX50" i="1"/>
  <c r="AY50" i="1"/>
  <c r="BB50" i="1" s="1"/>
  <c r="AZ50" i="1"/>
  <c r="AW50" i="1"/>
  <c r="BA50" i="1" s="1"/>
  <c r="AR50" i="1"/>
  <c r="AS50" i="1"/>
  <c r="AQ50" i="1"/>
  <c r="AN50" i="1"/>
  <c r="AM50" i="1"/>
  <c r="AL50" i="1"/>
  <c r="BD92" i="1" l="1"/>
  <c r="BG92" i="1" s="1"/>
  <c r="BC92" i="1"/>
  <c r="AT96" i="1"/>
  <c r="AV96" i="1" s="1"/>
  <c r="BD94" i="1"/>
  <c r="BG94" i="1" s="1"/>
  <c r="BC94" i="1"/>
  <c r="BD90" i="1"/>
  <c r="BG90" i="1" s="1"/>
  <c r="BC90" i="1"/>
  <c r="AV94" i="1"/>
  <c r="BD96" i="1"/>
  <c r="BG96" i="1" s="1"/>
  <c r="AU82" i="1"/>
  <c r="AP82" i="1"/>
  <c r="AT82" i="1"/>
  <c r="AV82" i="1" s="1"/>
  <c r="BD84" i="1"/>
  <c r="BG84" i="1" s="1"/>
  <c r="AT88" i="1"/>
  <c r="BD86" i="1"/>
  <c r="BG86" i="1" s="1"/>
  <c r="BC86" i="1"/>
  <c r="BC88" i="1"/>
  <c r="AU88" i="1"/>
  <c r="BD88" i="1" s="1"/>
  <c r="BG88" i="1" s="1"/>
  <c r="AT84" i="1"/>
  <c r="AV84" i="1" s="1"/>
  <c r="AT76" i="1"/>
  <c r="AV76" i="1" s="1"/>
  <c r="BD78" i="1"/>
  <c r="BG78" i="1" s="1"/>
  <c r="BC78" i="1"/>
  <c r="AU76" i="1"/>
  <c r="BD76" i="1"/>
  <c r="BG76" i="1" s="1"/>
  <c r="BD80" i="1"/>
  <c r="BG80" i="1" s="1"/>
  <c r="BC80" i="1"/>
  <c r="BC74" i="1"/>
  <c r="BD66" i="1"/>
  <c r="BG66" i="1" s="1"/>
  <c r="BC66" i="1"/>
  <c r="AT70" i="1"/>
  <c r="AV70" i="1" s="1"/>
  <c r="AT72" i="1"/>
  <c r="AV72" i="1" s="1"/>
  <c r="AP72" i="1"/>
  <c r="AU70" i="1"/>
  <c r="BD70" i="1" s="1"/>
  <c r="BG70" i="1" s="1"/>
  <c r="BD68" i="1"/>
  <c r="BG68" i="1" s="1"/>
  <c r="BC68" i="1"/>
  <c r="AT58" i="1"/>
  <c r="AV58" i="1" s="1"/>
  <c r="BC60" i="1"/>
  <c r="AU58" i="1"/>
  <c r="AT64" i="1"/>
  <c r="AU64" i="1"/>
  <c r="BD64" i="1" s="1"/>
  <c r="BG64" i="1" s="1"/>
  <c r="AU60" i="1"/>
  <c r="BD60" i="1" s="1"/>
  <c r="BG60" i="1" s="1"/>
  <c r="BD58" i="1"/>
  <c r="BG58" i="1" s="1"/>
  <c r="BD62" i="1"/>
  <c r="BG62" i="1" s="1"/>
  <c r="BC62" i="1"/>
  <c r="BC64" i="1"/>
  <c r="AT56" i="1"/>
  <c r="AV56" i="1" s="1"/>
  <c r="BD56" i="1"/>
  <c r="BG56" i="1" s="1"/>
  <c r="BC56" i="1"/>
  <c r="AU56" i="1"/>
  <c r="AV54" i="1"/>
  <c r="BD54" i="1"/>
  <c r="BG54" i="1" s="1"/>
  <c r="BC54" i="1"/>
  <c r="BG52" i="1"/>
  <c r="BC52" i="1"/>
  <c r="AO50" i="1"/>
  <c r="AU50" i="1"/>
  <c r="AT50" i="1"/>
  <c r="AV50" i="1" s="1"/>
  <c r="BF92" i="1" l="1"/>
  <c r="BH92" i="1" s="1"/>
  <c r="BE92" i="1"/>
  <c r="BE90" i="1"/>
  <c r="BF90" i="1"/>
  <c r="BH90" i="1" s="1"/>
  <c r="BF94" i="1"/>
  <c r="BH94" i="1" s="1"/>
  <c r="BE94" i="1"/>
  <c r="BC96" i="1"/>
  <c r="BF86" i="1"/>
  <c r="BH86" i="1" s="1"/>
  <c r="BE86" i="1"/>
  <c r="AV88" i="1"/>
  <c r="BC84" i="1"/>
  <c r="BD82" i="1"/>
  <c r="BG82" i="1" s="1"/>
  <c r="BC82" i="1"/>
  <c r="BF88" i="1"/>
  <c r="BH88" i="1" s="1"/>
  <c r="BE88" i="1"/>
  <c r="BF80" i="1"/>
  <c r="BH80" i="1" s="1"/>
  <c r="BE80" i="1"/>
  <c r="BE74" i="1"/>
  <c r="BF74" i="1"/>
  <c r="BH74" i="1" s="1"/>
  <c r="BC76" i="1"/>
  <c r="BF78" i="1"/>
  <c r="BH78" i="1" s="1"/>
  <c r="BE78" i="1"/>
  <c r="BC72" i="1"/>
  <c r="BD72" i="1"/>
  <c r="BG72" i="1" s="1"/>
  <c r="BE66" i="1"/>
  <c r="BF66" i="1"/>
  <c r="BH66" i="1" s="1"/>
  <c r="BF68" i="1"/>
  <c r="BH68" i="1" s="1"/>
  <c r="BE68" i="1"/>
  <c r="BC70" i="1"/>
  <c r="AV60" i="1"/>
  <c r="BF64" i="1"/>
  <c r="BH64" i="1" s="1"/>
  <c r="BE64" i="1"/>
  <c r="AV64" i="1"/>
  <c r="BF62" i="1"/>
  <c r="BH62" i="1" s="1"/>
  <c r="BE62" i="1"/>
  <c r="BF60" i="1"/>
  <c r="BH60" i="1" s="1"/>
  <c r="BE60" i="1"/>
  <c r="BC58" i="1"/>
  <c r="BF56" i="1"/>
  <c r="BH56" i="1" s="1"/>
  <c r="BE56" i="1"/>
  <c r="BF54" i="1"/>
  <c r="BH54" i="1" s="1"/>
  <c r="BE54" i="1"/>
  <c r="BF52" i="1"/>
  <c r="BH52" i="1" s="1"/>
  <c r="BE52" i="1"/>
  <c r="BF96" i="1" l="1"/>
  <c r="BH96" i="1" s="1"/>
  <c r="BE96" i="1"/>
  <c r="BF84" i="1"/>
  <c r="BH84" i="1" s="1"/>
  <c r="BE84" i="1"/>
  <c r="BE82" i="1"/>
  <c r="BF82" i="1"/>
  <c r="BH82" i="1" s="1"/>
  <c r="BF76" i="1"/>
  <c r="BH76" i="1" s="1"/>
  <c r="BE76" i="1"/>
  <c r="BF70" i="1"/>
  <c r="BH70" i="1" s="1"/>
  <c r="BE70" i="1"/>
  <c r="BF72" i="1"/>
  <c r="BH72" i="1" s="1"/>
  <c r="BE72" i="1"/>
  <c r="BE58" i="1"/>
  <c r="BF58" i="1"/>
  <c r="BH58" i="1" s="1"/>
  <c r="G51" i="1" l="1"/>
  <c r="M51" i="1" s="1"/>
  <c r="G52" i="1"/>
  <c r="M52" i="1" s="1"/>
  <c r="G53" i="1"/>
  <c r="M53" i="1" s="1"/>
  <c r="G54" i="1"/>
  <c r="M54" i="1" s="1"/>
  <c r="G55" i="1"/>
  <c r="G56" i="1"/>
  <c r="M56" i="1" s="1"/>
  <c r="G57" i="1"/>
  <c r="M57" i="1" s="1"/>
  <c r="G58" i="1"/>
  <c r="G59" i="1"/>
  <c r="M59" i="1" s="1"/>
  <c r="G60" i="1"/>
  <c r="M60" i="1" s="1"/>
  <c r="G61" i="1"/>
  <c r="G62" i="1"/>
  <c r="M62" i="1" s="1"/>
  <c r="G63" i="1"/>
  <c r="G64" i="1"/>
  <c r="M64" i="1" s="1"/>
  <c r="G65" i="1"/>
  <c r="M65" i="1" s="1"/>
  <c r="G66" i="1"/>
  <c r="G67" i="1"/>
  <c r="M67" i="1" s="1"/>
  <c r="G68" i="1"/>
  <c r="M68" i="1" s="1"/>
  <c r="G69" i="1"/>
  <c r="M69" i="1" s="1"/>
  <c r="G70" i="1"/>
  <c r="M70" i="1" s="1"/>
  <c r="G71" i="1"/>
  <c r="G72" i="1"/>
  <c r="M72" i="1" s="1"/>
  <c r="G73" i="1"/>
  <c r="M73" i="1" s="1"/>
  <c r="G74" i="1"/>
  <c r="L74" i="1" s="1"/>
  <c r="G75" i="1"/>
  <c r="M75" i="1" s="1"/>
  <c r="G76" i="1"/>
  <c r="M76" i="1" s="1"/>
  <c r="G77" i="1"/>
  <c r="M77" i="1" s="1"/>
  <c r="G78" i="1"/>
  <c r="M78" i="1" s="1"/>
  <c r="G79" i="1"/>
  <c r="L79" i="1" s="1"/>
  <c r="G80" i="1"/>
  <c r="M80" i="1" s="1"/>
  <c r="G81" i="1"/>
  <c r="M81" i="1" s="1"/>
  <c r="G82" i="1"/>
  <c r="L82" i="1" s="1"/>
  <c r="G83" i="1"/>
  <c r="M83" i="1" s="1"/>
  <c r="G84" i="1"/>
  <c r="M84" i="1" s="1"/>
  <c r="G85" i="1"/>
  <c r="M85" i="1" s="1"/>
  <c r="G86" i="1"/>
  <c r="M86" i="1" s="1"/>
  <c r="G87" i="1"/>
  <c r="L87" i="1" s="1"/>
  <c r="G88" i="1"/>
  <c r="M88" i="1" s="1"/>
  <c r="G89" i="1"/>
  <c r="M89" i="1" s="1"/>
  <c r="G90" i="1"/>
  <c r="G91" i="1"/>
  <c r="M91" i="1" s="1"/>
  <c r="G92" i="1"/>
  <c r="M92" i="1" s="1"/>
  <c r="G93" i="1"/>
  <c r="M93" i="1" s="1"/>
  <c r="G94" i="1"/>
  <c r="M94" i="1" s="1"/>
  <c r="G95" i="1"/>
  <c r="L95" i="1" s="1"/>
  <c r="G96" i="1"/>
  <c r="M96" i="1" s="1"/>
  <c r="G97" i="1"/>
  <c r="M97" i="1" s="1"/>
  <c r="G50" i="1"/>
  <c r="L90" i="1" l="1"/>
  <c r="L58" i="1"/>
  <c r="M82" i="1"/>
  <c r="N82" i="1" s="1"/>
  <c r="M66" i="1"/>
  <c r="L97" i="1"/>
  <c r="N97" i="1" s="1"/>
  <c r="L89" i="1"/>
  <c r="N89" i="1" s="1"/>
  <c r="L81" i="1"/>
  <c r="N81" i="1" s="1"/>
  <c r="L73" i="1"/>
  <c r="N73" i="1" s="1"/>
  <c r="L65" i="1"/>
  <c r="N65" i="1" s="1"/>
  <c r="L57" i="1"/>
  <c r="N57" i="1" s="1"/>
  <c r="L50" i="1"/>
  <c r="L66" i="1"/>
  <c r="M90" i="1"/>
  <c r="M74" i="1"/>
  <c r="N74" i="1" s="1"/>
  <c r="M58" i="1"/>
  <c r="L96" i="1"/>
  <c r="N96" i="1" s="1"/>
  <c r="L88" i="1"/>
  <c r="N88" i="1" s="1"/>
  <c r="L80" i="1"/>
  <c r="N80" i="1" s="1"/>
  <c r="L72" i="1"/>
  <c r="N72" i="1" s="1"/>
  <c r="L64" i="1"/>
  <c r="N64" i="1" s="1"/>
  <c r="L56" i="1"/>
  <c r="N56" i="1" s="1"/>
  <c r="L71" i="1"/>
  <c r="L63" i="1"/>
  <c r="L55" i="1"/>
  <c r="M95" i="1"/>
  <c r="N95" i="1" s="1"/>
  <c r="M87" i="1"/>
  <c r="N87" i="1" s="1"/>
  <c r="M79" i="1"/>
  <c r="N79" i="1" s="1"/>
  <c r="M71" i="1"/>
  <c r="M63" i="1"/>
  <c r="M55" i="1"/>
  <c r="M50" i="1"/>
  <c r="L94" i="1"/>
  <c r="N94" i="1" s="1"/>
  <c r="L86" i="1"/>
  <c r="N86" i="1" s="1"/>
  <c r="L78" i="1"/>
  <c r="N78" i="1" s="1"/>
  <c r="L70" i="1"/>
  <c r="N70" i="1" s="1"/>
  <c r="L62" i="1"/>
  <c r="N62" i="1" s="1"/>
  <c r="L54" i="1"/>
  <c r="N54" i="1" s="1"/>
  <c r="L85" i="1"/>
  <c r="N85" i="1" s="1"/>
  <c r="L69" i="1"/>
  <c r="N69" i="1" s="1"/>
  <c r="L61" i="1"/>
  <c r="M61" i="1"/>
  <c r="L92" i="1"/>
  <c r="N92" i="1" s="1"/>
  <c r="L84" i="1"/>
  <c r="N84" i="1" s="1"/>
  <c r="L76" i="1"/>
  <c r="N76" i="1" s="1"/>
  <c r="L68" i="1"/>
  <c r="N68" i="1" s="1"/>
  <c r="L60" i="1"/>
  <c r="N60" i="1" s="1"/>
  <c r="L52" i="1"/>
  <c r="N52" i="1" s="1"/>
  <c r="L93" i="1"/>
  <c r="N93" i="1" s="1"/>
  <c r="L77" i="1"/>
  <c r="N77" i="1" s="1"/>
  <c r="L53" i="1"/>
  <c r="N53" i="1" s="1"/>
  <c r="L91" i="1"/>
  <c r="N91" i="1" s="1"/>
  <c r="L83" i="1"/>
  <c r="N83" i="1" s="1"/>
  <c r="L75" i="1"/>
  <c r="N75" i="1" s="1"/>
  <c r="L67" i="1"/>
  <c r="N67" i="1" s="1"/>
  <c r="L59" i="1"/>
  <c r="N59" i="1" s="1"/>
  <c r="L51" i="1"/>
  <c r="N51" i="1" s="1"/>
  <c r="A38" i="1"/>
  <c r="H90" i="1" l="1"/>
  <c r="V90" i="1" s="1"/>
  <c r="Y90" i="1" s="1"/>
  <c r="AP50" i="1"/>
  <c r="N66" i="1"/>
  <c r="N71" i="1"/>
  <c r="N50" i="1"/>
  <c r="N90" i="1"/>
  <c r="H70" i="1"/>
  <c r="N55" i="1"/>
  <c r="H72" i="1"/>
  <c r="H65" i="1"/>
  <c r="H50" i="1"/>
  <c r="H51" i="1"/>
  <c r="N61" i="1"/>
  <c r="H78" i="1"/>
  <c r="H80" i="1"/>
  <c r="H73" i="1"/>
  <c r="H74" i="1"/>
  <c r="H79" i="1"/>
  <c r="H59" i="1"/>
  <c r="H86" i="1"/>
  <c r="H81" i="1"/>
  <c r="H67" i="1"/>
  <c r="H93" i="1"/>
  <c r="H60" i="1"/>
  <c r="H53" i="1"/>
  <c r="H94" i="1"/>
  <c r="H96" i="1"/>
  <c r="H89" i="1"/>
  <c r="H58" i="1"/>
  <c r="H55" i="1"/>
  <c r="H77" i="1"/>
  <c r="H52" i="1"/>
  <c r="H88" i="1"/>
  <c r="H75" i="1"/>
  <c r="H68" i="1"/>
  <c r="H69" i="1"/>
  <c r="H87" i="1"/>
  <c r="H97" i="1"/>
  <c r="H66" i="1"/>
  <c r="H63" i="1"/>
  <c r="H61" i="1"/>
  <c r="H76" i="1"/>
  <c r="H85" i="1"/>
  <c r="H91" i="1"/>
  <c r="H84" i="1"/>
  <c r="H82" i="1"/>
  <c r="H54" i="1"/>
  <c r="N63" i="1"/>
  <c r="H56" i="1"/>
  <c r="H71" i="1"/>
  <c r="H83" i="1"/>
  <c r="H95" i="1"/>
  <c r="H92" i="1"/>
  <c r="H62" i="1"/>
  <c r="H64" i="1"/>
  <c r="H57" i="1"/>
  <c r="N58" i="1"/>
  <c r="U90" i="1" l="1"/>
  <c r="X90" i="1" s="1"/>
  <c r="BC50" i="1"/>
  <c r="BD50" i="1"/>
  <c r="BG50" i="1" s="1"/>
  <c r="V60" i="1"/>
  <c r="Y60" i="1" s="1"/>
  <c r="U60" i="1"/>
  <c r="X60" i="1" s="1"/>
  <c r="V62" i="1"/>
  <c r="Y62" i="1" s="1"/>
  <c r="U62" i="1"/>
  <c r="X62" i="1" s="1"/>
  <c r="V82" i="1"/>
  <c r="Y82" i="1" s="1"/>
  <c r="U82" i="1"/>
  <c r="X82" i="1" s="1"/>
  <c r="V97" i="1"/>
  <c r="Y97" i="1" s="1"/>
  <c r="U97" i="1"/>
  <c r="X97" i="1" s="1"/>
  <c r="U55" i="1"/>
  <c r="X55" i="1" s="1"/>
  <c r="V55" i="1"/>
  <c r="Y55" i="1" s="1"/>
  <c r="V67" i="1"/>
  <c r="Y67" i="1" s="1"/>
  <c r="U67" i="1"/>
  <c r="X67" i="1" s="1"/>
  <c r="V78" i="1"/>
  <c r="Y78" i="1" s="1"/>
  <c r="U78" i="1"/>
  <c r="X78" i="1" s="1"/>
  <c r="V57" i="1"/>
  <c r="Y57" i="1" s="1"/>
  <c r="U57" i="1"/>
  <c r="X57" i="1" s="1"/>
  <c r="V73" i="1"/>
  <c r="Y73" i="1" s="1"/>
  <c r="U73" i="1"/>
  <c r="X73" i="1" s="1"/>
  <c r="V93" i="1"/>
  <c r="Y93" i="1" s="1"/>
  <c r="U93" i="1"/>
  <c r="X93" i="1" s="1"/>
  <c r="V84" i="1"/>
  <c r="Y84" i="1" s="1"/>
  <c r="U84" i="1"/>
  <c r="X84" i="1" s="1"/>
  <c r="V87" i="1"/>
  <c r="Y87" i="1" s="1"/>
  <c r="U87" i="1"/>
  <c r="X87" i="1" s="1"/>
  <c r="V58" i="1"/>
  <c r="Y58" i="1" s="1"/>
  <c r="U58" i="1"/>
  <c r="X58" i="1" s="1"/>
  <c r="V81" i="1"/>
  <c r="Y81" i="1" s="1"/>
  <c r="U81" i="1"/>
  <c r="X81" i="1" s="1"/>
  <c r="V52" i="1"/>
  <c r="Y52" i="1" s="1"/>
  <c r="U52" i="1"/>
  <c r="X52" i="1" s="1"/>
  <c r="V77" i="1"/>
  <c r="Y77" i="1" s="1"/>
  <c r="U77" i="1"/>
  <c r="X77" i="1" s="1"/>
  <c r="V95" i="1"/>
  <c r="Y95" i="1" s="1"/>
  <c r="U95" i="1"/>
  <c r="X95" i="1" s="1"/>
  <c r="V91" i="1"/>
  <c r="Y91" i="1" s="1"/>
  <c r="U91" i="1"/>
  <c r="X91" i="1" s="1"/>
  <c r="V69" i="1"/>
  <c r="Y69" i="1" s="1"/>
  <c r="U69" i="1"/>
  <c r="X69" i="1" s="1"/>
  <c r="V89" i="1"/>
  <c r="Y89" i="1" s="1"/>
  <c r="U89" i="1"/>
  <c r="X89" i="1" s="1"/>
  <c r="V86" i="1"/>
  <c r="Y86" i="1" s="1"/>
  <c r="U86" i="1"/>
  <c r="X86" i="1" s="1"/>
  <c r="V51" i="1"/>
  <c r="Y51" i="1" s="1"/>
  <c r="U51" i="1"/>
  <c r="X51" i="1" s="1"/>
  <c r="V64" i="1"/>
  <c r="Y64" i="1" s="1"/>
  <c r="U64" i="1"/>
  <c r="X64" i="1" s="1"/>
  <c r="V70" i="1"/>
  <c r="Y70" i="1" s="1"/>
  <c r="U70" i="1"/>
  <c r="X70" i="1" s="1"/>
  <c r="V83" i="1"/>
  <c r="Y83" i="1" s="1"/>
  <c r="U83" i="1"/>
  <c r="X83" i="1" s="1"/>
  <c r="V85" i="1"/>
  <c r="Y85" i="1" s="1"/>
  <c r="U85" i="1"/>
  <c r="X85" i="1" s="1"/>
  <c r="V68" i="1"/>
  <c r="Y68" i="1" s="1"/>
  <c r="U68" i="1"/>
  <c r="X68" i="1" s="1"/>
  <c r="U96" i="1"/>
  <c r="X96" i="1" s="1"/>
  <c r="V96" i="1"/>
  <c r="Y96" i="1" s="1"/>
  <c r="V59" i="1"/>
  <c r="Y59" i="1" s="1"/>
  <c r="U59" i="1"/>
  <c r="X59" i="1" s="1"/>
  <c r="V50" i="1"/>
  <c r="Y50" i="1" s="1"/>
  <c r="U50" i="1"/>
  <c r="X50" i="1" s="1"/>
  <c r="V66" i="1"/>
  <c r="Y66" i="1" s="1"/>
  <c r="U66" i="1"/>
  <c r="X66" i="1" s="1"/>
  <c r="V80" i="1"/>
  <c r="Y80" i="1" s="1"/>
  <c r="U80" i="1"/>
  <c r="X80" i="1" s="1"/>
  <c r="V71" i="1"/>
  <c r="Y71" i="1" s="1"/>
  <c r="U71" i="1"/>
  <c r="X71" i="1" s="1"/>
  <c r="V76" i="1"/>
  <c r="Y76" i="1" s="1"/>
  <c r="U76" i="1"/>
  <c r="X76" i="1" s="1"/>
  <c r="V75" i="1"/>
  <c r="Y75" i="1" s="1"/>
  <c r="U75" i="1"/>
  <c r="X75" i="1" s="1"/>
  <c r="V94" i="1"/>
  <c r="Y94" i="1" s="1"/>
  <c r="U94" i="1"/>
  <c r="X94" i="1" s="1"/>
  <c r="V79" i="1"/>
  <c r="Y79" i="1" s="1"/>
  <c r="U79" i="1"/>
  <c r="X79" i="1" s="1"/>
  <c r="V65" i="1"/>
  <c r="Y65" i="1" s="1"/>
  <c r="U65" i="1"/>
  <c r="X65" i="1" s="1"/>
  <c r="Z90" i="1"/>
  <c r="W90" i="1"/>
  <c r="V63" i="1"/>
  <c r="Y63" i="1" s="1"/>
  <c r="U63" i="1"/>
  <c r="X63" i="1" s="1"/>
  <c r="V54" i="1"/>
  <c r="Y54" i="1" s="1"/>
  <c r="U54" i="1"/>
  <c r="X54" i="1" s="1"/>
  <c r="V92" i="1"/>
  <c r="Y92" i="1" s="1"/>
  <c r="U92" i="1"/>
  <c r="X92" i="1" s="1"/>
  <c r="V56" i="1"/>
  <c r="Y56" i="1" s="1"/>
  <c r="U56" i="1"/>
  <c r="X56" i="1" s="1"/>
  <c r="V61" i="1"/>
  <c r="Y61" i="1" s="1"/>
  <c r="U61" i="1"/>
  <c r="X61" i="1" s="1"/>
  <c r="V88" i="1"/>
  <c r="Y88" i="1" s="1"/>
  <c r="U88" i="1"/>
  <c r="X88" i="1" s="1"/>
  <c r="V53" i="1"/>
  <c r="Y53" i="1" s="1"/>
  <c r="U53" i="1"/>
  <c r="X53" i="1" s="1"/>
  <c r="V74" i="1"/>
  <c r="Y74" i="1" s="1"/>
  <c r="U74" i="1"/>
  <c r="X74" i="1" s="1"/>
  <c r="V72" i="1"/>
  <c r="Y72" i="1" s="1"/>
  <c r="U72" i="1"/>
  <c r="X72" i="1" s="1"/>
  <c r="BF50" i="1" l="1"/>
  <c r="BH50" i="1" s="1"/>
  <c r="BE50" i="1"/>
  <c r="W61" i="1"/>
  <c r="Z61" i="1"/>
  <c r="Z94" i="1"/>
  <c r="W94" i="1"/>
  <c r="Z89" i="1"/>
  <c r="W89" i="1"/>
  <c r="W77" i="1"/>
  <c r="Z77" i="1"/>
  <c r="Z87" i="1"/>
  <c r="W87" i="1"/>
  <c r="Z97" i="1"/>
  <c r="W97" i="1"/>
  <c r="Z96" i="1"/>
  <c r="W96" i="1"/>
  <c r="Z74" i="1"/>
  <c r="W74" i="1"/>
  <c r="Z56" i="1"/>
  <c r="W56" i="1"/>
  <c r="W75" i="1"/>
  <c r="Z75" i="1"/>
  <c r="Z66" i="1"/>
  <c r="W66" i="1"/>
  <c r="W68" i="1"/>
  <c r="Z68" i="1"/>
  <c r="Z64" i="1"/>
  <c r="W64" i="1"/>
  <c r="W69" i="1"/>
  <c r="Z69" i="1"/>
  <c r="W52" i="1"/>
  <c r="Z52" i="1"/>
  <c r="W84" i="1"/>
  <c r="Z84" i="1"/>
  <c r="Z78" i="1"/>
  <c r="W78" i="1"/>
  <c r="Z82" i="1"/>
  <c r="W82" i="1"/>
  <c r="Z72" i="1"/>
  <c r="W72" i="1"/>
  <c r="Z63" i="1"/>
  <c r="W63" i="1"/>
  <c r="Z80" i="1"/>
  <c r="W80" i="1"/>
  <c r="Z70" i="1"/>
  <c r="W70" i="1"/>
  <c r="Z57" i="1"/>
  <c r="W57" i="1"/>
  <c r="Z55" i="1"/>
  <c r="W55" i="1"/>
  <c r="W53" i="1"/>
  <c r="Z53" i="1"/>
  <c r="W92" i="1"/>
  <c r="Z92" i="1"/>
  <c r="Z65" i="1"/>
  <c r="W65" i="1"/>
  <c r="W76" i="1"/>
  <c r="Z76" i="1"/>
  <c r="Z50" i="1"/>
  <c r="W50" i="1"/>
  <c r="W85" i="1"/>
  <c r="Z85" i="1"/>
  <c r="W51" i="1"/>
  <c r="Z51" i="1"/>
  <c r="W91" i="1"/>
  <c r="Z91" i="1"/>
  <c r="Z81" i="1"/>
  <c r="W81" i="1"/>
  <c r="W93" i="1"/>
  <c r="Z93" i="1"/>
  <c r="W67" i="1"/>
  <c r="Z67" i="1"/>
  <c r="Z62" i="1"/>
  <c r="W62" i="1"/>
  <c r="Z88" i="1"/>
  <c r="W88" i="1"/>
  <c r="Z54" i="1"/>
  <c r="W54" i="1"/>
  <c r="Z79" i="1"/>
  <c r="W79" i="1"/>
  <c r="Z71" i="1"/>
  <c r="W71" i="1"/>
  <c r="W59" i="1"/>
  <c r="Z59" i="1"/>
  <c r="W83" i="1"/>
  <c r="Z83" i="1"/>
  <c r="Z86" i="1"/>
  <c r="W86" i="1"/>
  <c r="Z95" i="1"/>
  <c r="W95" i="1"/>
  <c r="Z58" i="1"/>
  <c r="W58" i="1"/>
  <c r="Z73" i="1"/>
  <c r="W73" i="1"/>
  <c r="W60" i="1"/>
  <c r="Z60" i="1"/>
</calcChain>
</file>

<file path=xl/sharedStrings.xml><?xml version="1.0" encoding="utf-8"?>
<sst xmlns="http://schemas.openxmlformats.org/spreadsheetml/2006/main" count="814" uniqueCount="295">
  <si>
    <t>Harvest</t>
  </si>
  <si>
    <t>in bag</t>
  </si>
  <si>
    <t>Parameters</t>
  </si>
  <si>
    <t>less bag</t>
  </si>
  <si>
    <t>m2 per ha</t>
  </si>
  <si>
    <t>WBWAH</t>
  </si>
  <si>
    <t>(kg/ha)</t>
  </si>
  <si>
    <t>(%)</t>
  </si>
  <si>
    <t>FFRAC</t>
  </si>
  <si>
    <t>SFRAC</t>
  </si>
  <si>
    <t>TFRAC</t>
  </si>
  <si>
    <t>Moisture</t>
  </si>
  <si>
    <t>Ginning</t>
  </si>
  <si>
    <t>Bulk wt</t>
  </si>
  <si>
    <t>(kg)</t>
  </si>
  <si>
    <t>Seed wt</t>
  </si>
  <si>
    <t>Fiber wt</t>
  </si>
  <si>
    <t>(g/g)</t>
  </si>
  <si>
    <t>(g)</t>
  </si>
  <si>
    <t>Sample</t>
  </si>
  <si>
    <t>weight</t>
  </si>
  <si>
    <t>Wet</t>
  </si>
  <si>
    <t>Dry</t>
  </si>
  <si>
    <t>Weight</t>
  </si>
  <si>
    <t>Bag</t>
  </si>
  <si>
    <t>WFWAH</t>
  </si>
  <si>
    <t>WSWAH</t>
  </si>
  <si>
    <t>WSCWAH</t>
  </si>
  <si>
    <t>Compute</t>
  </si>
  <si>
    <t>DFWAH</t>
  </si>
  <si>
    <t>DSWAH</t>
  </si>
  <si>
    <t>DSCWAH</t>
  </si>
  <si>
    <t>PID</t>
  </si>
  <si>
    <t>Plot-scale calculations</t>
  </si>
  <si>
    <t>FBMIC</t>
  </si>
  <si>
    <t>FBLTH</t>
  </si>
  <si>
    <t>FBUNI</t>
  </si>
  <si>
    <t>FBSTR</t>
  </si>
  <si>
    <t>FBELO</t>
  </si>
  <si>
    <t>FBSFI</t>
  </si>
  <si>
    <t>(g/tex)</t>
  </si>
  <si>
    <t>Quality</t>
  </si>
  <si>
    <t>HVI Sample ID</t>
  </si>
  <si>
    <t>(inches)</t>
  </si>
  <si>
    <t>GNDAT</t>
  </si>
  <si>
    <t>Date</t>
  </si>
  <si>
    <t>QLDAT</t>
  </si>
  <si>
    <t>in bin</t>
  </si>
  <si>
    <t>Weight of seed bin at MAC gin (kg)</t>
  </si>
  <si>
    <t>Original</t>
  </si>
  <si>
    <t>Spreadsheet</t>
  </si>
  <si>
    <t>HID</t>
  </si>
  <si>
    <t>11W</t>
  </si>
  <si>
    <t>11E</t>
  </si>
  <si>
    <t>12W</t>
  </si>
  <si>
    <t>12E</t>
  </si>
  <si>
    <t>13W</t>
  </si>
  <si>
    <t>13E</t>
  </si>
  <si>
    <t>14W</t>
  </si>
  <si>
    <t>14E</t>
  </si>
  <si>
    <t>21W</t>
  </si>
  <si>
    <t>21E</t>
  </si>
  <si>
    <t>22W</t>
  </si>
  <si>
    <t>22E</t>
  </si>
  <si>
    <t>23W</t>
  </si>
  <si>
    <t>23E</t>
  </si>
  <si>
    <t>24W</t>
  </si>
  <si>
    <t>24E</t>
  </si>
  <si>
    <t>31W</t>
  </si>
  <si>
    <t>31E</t>
  </si>
  <si>
    <t>32W</t>
  </si>
  <si>
    <t>32E</t>
  </si>
  <si>
    <t>33W</t>
  </si>
  <si>
    <t>33E</t>
  </si>
  <si>
    <t>34W</t>
  </si>
  <si>
    <t>34E</t>
  </si>
  <si>
    <t>41W</t>
  </si>
  <si>
    <t>41E</t>
  </si>
  <si>
    <t>42W</t>
  </si>
  <si>
    <t>42E</t>
  </si>
  <si>
    <t>43W</t>
  </si>
  <si>
    <t>43E</t>
  </si>
  <si>
    <t>44W</t>
  </si>
  <si>
    <t>44E</t>
  </si>
  <si>
    <t>51W</t>
  </si>
  <si>
    <t>51E</t>
  </si>
  <si>
    <t>52W</t>
  </si>
  <si>
    <t>52E</t>
  </si>
  <si>
    <t>53W</t>
  </si>
  <si>
    <t>53E</t>
  </si>
  <si>
    <t>54W</t>
  </si>
  <si>
    <t>54E</t>
  </si>
  <si>
    <t>61W</t>
  </si>
  <si>
    <t>61E</t>
  </si>
  <si>
    <t>62W</t>
  </si>
  <si>
    <t>62E</t>
  </si>
  <si>
    <t>63W</t>
  </si>
  <si>
    <t>63E</t>
  </si>
  <si>
    <t>64W</t>
  </si>
  <si>
    <t>64E</t>
  </si>
  <si>
    <t>ID</t>
  </si>
  <si>
    <t>Column A - ID (ID)</t>
  </si>
  <si>
    <t>Column B - Harvest Area ID (HID)</t>
  </si>
  <si>
    <t>Size of harvest area (2 40-inch rows by 2 m) (m2)</t>
  </si>
  <si>
    <t>HARM</t>
  </si>
  <si>
    <t>HADAT</t>
  </si>
  <si>
    <t>Hand</t>
  </si>
  <si>
    <t>Column C - Harvest method (HARM)</t>
  </si>
  <si>
    <t>Column D - Harvest date (HADAT, mm/dd/yyyy)</t>
  </si>
  <si>
    <t>Column J - Weight of fiber in bag after ginning (kg). Weigh using scale at MAC gin.</t>
  </si>
  <si>
    <t>Column K - Weight of fuzzy seed in tub after ginning (kg). Weigh using scale at MAC gin.</t>
  </si>
  <si>
    <t>Column L - Fiber fraction of bulk harvest after ginning (FFRAC, g/g)</t>
  </si>
  <si>
    <t>Column M - Seed fraction of bulk harvest after ginning (SFRAC, g/g)</t>
  </si>
  <si>
    <t>Column N - Trash fraction of bulk harvest after ginning (TFRAC, g/g)</t>
  </si>
  <si>
    <t>Column G - Weight of bulk cotton minus bag weight (kg)</t>
  </si>
  <si>
    <t>Column H - Wet bulk weight at harvest (fiber + seed + trash) (WBWAH, kg/ha)</t>
  </si>
  <si>
    <t>Column I - Ginning Date (GNDAT, mm/dd/yyyy). Ginned using the MAC large gin with cleaners.</t>
  </si>
  <si>
    <t>Column E - Weight of bulk cotton in bag (kg). Hand harvest 2 rows by 2 m into mesh bags. Weigh using scale at MAC gin.</t>
  </si>
  <si>
    <t>Weight of yellow mesh bag for fiber (kg)</t>
  </si>
  <si>
    <t>Column F - Weight of empty bag (kg).</t>
  </si>
  <si>
    <t>Fiber</t>
  </si>
  <si>
    <t xml:space="preserve">Dry </t>
  </si>
  <si>
    <t xml:space="preserve">Fiber </t>
  </si>
  <si>
    <t>Seed</t>
  </si>
  <si>
    <t>SWCAH</t>
  </si>
  <si>
    <t>FWCAH</t>
  </si>
  <si>
    <t>Column O - Wet fiber weight prior to oven drying (g)</t>
  </si>
  <si>
    <t>Column P - Dry fiber weight after oven drying (g)</t>
  </si>
  <si>
    <t>Column R - Dry seed weight after oven drying (g)</t>
  </si>
  <si>
    <t>Column Q - Wet seed weight prior to oven drying (g)</t>
  </si>
  <si>
    <t>Column U - Wet fiber weight at harvest (WFWAH, kg/ha)</t>
  </si>
  <si>
    <t>Column W - Wet seed cotton weight at harvest (fiber + seed) (WSCWAH, kg/ha)</t>
  </si>
  <si>
    <t>Column X - Dry fiber weight at harvest (DFWAH, kg/ha)</t>
  </si>
  <si>
    <t>Column Y - Dry seed weight at harvest (DSWAH, kg/ha)</t>
  </si>
  <si>
    <t>Column Z - Dry seed cotton weight at harvest (fiber + seed) (DSCWAH, kg/ha)</t>
  </si>
  <si>
    <t>Column AB - Quality measurement date (QLDAT, mm/dd/yyyy)</t>
  </si>
  <si>
    <t>Column AC - Micronaire (FBMIC)</t>
  </si>
  <si>
    <t>Column AD - Upper half mean fiber length (FBLTH, inches)</t>
  </si>
  <si>
    <t>Column AE - Fiber uniformity (FBUNI, %)</t>
  </si>
  <si>
    <t>Column AF - Fiber strength (FBSTR, g/tex)</t>
  </si>
  <si>
    <t>Column AG - Fiber elongation (FBELO, %)</t>
  </si>
  <si>
    <t>0991913411202</t>
  </si>
  <si>
    <t>0991913412204</t>
  </si>
  <si>
    <t>0991913413206</t>
  </si>
  <si>
    <t>0991913414208</t>
  </si>
  <si>
    <t>0991913421210</t>
  </si>
  <si>
    <t>0991913422212</t>
  </si>
  <si>
    <t>0991913423214</t>
  </si>
  <si>
    <t>0991913424216</t>
  </si>
  <si>
    <t>0991913431218</t>
  </si>
  <si>
    <t>0991913432220</t>
  </si>
  <si>
    <t>0991913433222</t>
  </si>
  <si>
    <t>0991913434224</t>
  </si>
  <si>
    <t>0991913441226</t>
  </si>
  <si>
    <t>0991913442228</t>
  </si>
  <si>
    <t>0991913443230</t>
  </si>
  <si>
    <t>0991913444232</t>
  </si>
  <si>
    <t>0991913451234</t>
  </si>
  <si>
    <t>0991913452236</t>
  </si>
  <si>
    <t>0991913453238</t>
  </si>
  <si>
    <t>0991913454240</t>
  </si>
  <si>
    <t>0991913461242</t>
  </si>
  <si>
    <t>0991913462244</t>
  </si>
  <si>
    <t>0991913463246</t>
  </si>
  <si>
    <t>0991913464248</t>
  </si>
  <si>
    <t>0991913411101</t>
  </si>
  <si>
    <t>0991913412103</t>
  </si>
  <si>
    <t>0991913413105</t>
  </si>
  <si>
    <t>0991913414107</t>
  </si>
  <si>
    <t>0991913421109</t>
  </si>
  <si>
    <t>0991913422111</t>
  </si>
  <si>
    <t>0991913423113</t>
  </si>
  <si>
    <t>0991913424115</t>
  </si>
  <si>
    <t>0991913431117</t>
  </si>
  <si>
    <t>0991913432119</t>
  </si>
  <si>
    <t>0991913433121</t>
  </si>
  <si>
    <t>0991913434123</t>
  </si>
  <si>
    <t>0991913441125</t>
  </si>
  <si>
    <t>0991913442127</t>
  </si>
  <si>
    <t>0991913443129</t>
  </si>
  <si>
    <t>0991913444131</t>
  </si>
  <si>
    <t>0991913451133</t>
  </si>
  <si>
    <t>0991913452135</t>
  </si>
  <si>
    <t>0991913453137</t>
  </si>
  <si>
    <t>0991913454139</t>
  </si>
  <si>
    <t>0991913461141</t>
  </si>
  <si>
    <t>0991913462143</t>
  </si>
  <si>
    <t>0991913463145</t>
  </si>
  <si>
    <t>0991913464147</t>
  </si>
  <si>
    <t>Column AH - Short Fiber Index (FBSFI, %)</t>
  </si>
  <si>
    <t>Column AA - Sample ID for fiber samples sent to Cotton Incorporated HVI.</t>
  </si>
  <si>
    <t>12</t>
  </si>
  <si>
    <t>13</t>
  </si>
  <si>
    <t>14</t>
  </si>
  <si>
    <t>21</t>
  </si>
  <si>
    <t>22</t>
  </si>
  <si>
    <t>23</t>
  </si>
  <si>
    <t>24</t>
  </si>
  <si>
    <t>31</t>
  </si>
  <si>
    <t>32</t>
  </si>
  <si>
    <t>33</t>
  </si>
  <si>
    <t>34</t>
  </si>
  <si>
    <t>41</t>
  </si>
  <si>
    <t>42</t>
  </si>
  <si>
    <t>43</t>
  </si>
  <si>
    <t>44</t>
  </si>
  <si>
    <t>51</t>
  </si>
  <si>
    <t>52</t>
  </si>
  <si>
    <t>53</t>
  </si>
  <si>
    <t>54</t>
  </si>
  <si>
    <t>61</t>
  </si>
  <si>
    <t>62</t>
  </si>
  <si>
    <t>63</t>
  </si>
  <si>
    <t>64</t>
  </si>
  <si>
    <t>Handpick</t>
  </si>
  <si>
    <t>Yield</t>
  </si>
  <si>
    <t>kg/ha</t>
  </si>
  <si>
    <t>Area</t>
  </si>
  <si>
    <t>Column V - Wet seed weight at harvest (WSWAH, kg/ha)</t>
  </si>
  <si>
    <t>Column S - Fiber water content after ginning (FWCAG, %)</t>
  </si>
  <si>
    <t>Column T - Seed water content after ginning (SWCAG, %)</t>
  </si>
  <si>
    <t>FWCAG</t>
  </si>
  <si>
    <t>SWCAG</t>
  </si>
  <si>
    <t>p11W</t>
  </si>
  <si>
    <t>p12W</t>
  </si>
  <si>
    <t>p12E</t>
  </si>
  <si>
    <t>p13W</t>
  </si>
  <si>
    <t>p13E</t>
  </si>
  <si>
    <t>p14W</t>
  </si>
  <si>
    <t>p14E</t>
  </si>
  <si>
    <t>p21W</t>
  </si>
  <si>
    <t>p21E</t>
  </si>
  <si>
    <t>p22W</t>
  </si>
  <si>
    <t>p22E</t>
  </si>
  <si>
    <t>p23W</t>
  </si>
  <si>
    <t>p23E</t>
  </si>
  <si>
    <t>p24W</t>
  </si>
  <si>
    <t>p24E</t>
  </si>
  <si>
    <t>p31W</t>
  </si>
  <si>
    <t>p31E</t>
  </si>
  <si>
    <t>p32W</t>
  </si>
  <si>
    <t>p32E</t>
  </si>
  <si>
    <t>p33W</t>
  </si>
  <si>
    <t>p33E</t>
  </si>
  <si>
    <t>p34W</t>
  </si>
  <si>
    <t>p34E</t>
  </si>
  <si>
    <t>p41W</t>
  </si>
  <si>
    <t>p41E</t>
  </si>
  <si>
    <t>p42W</t>
  </si>
  <si>
    <t>p42E</t>
  </si>
  <si>
    <t>p43W</t>
  </si>
  <si>
    <t>p43E</t>
  </si>
  <si>
    <t>p44W</t>
  </si>
  <si>
    <t>p44E</t>
  </si>
  <si>
    <t>p51W</t>
  </si>
  <si>
    <t>p51E</t>
  </si>
  <si>
    <t>p52W</t>
  </si>
  <si>
    <t>p52E</t>
  </si>
  <si>
    <t>p53W</t>
  </si>
  <si>
    <t>p53E</t>
  </si>
  <si>
    <t>p54W</t>
  </si>
  <si>
    <t>p54E</t>
  </si>
  <si>
    <t>p61W</t>
  </si>
  <si>
    <t>p61E</t>
  </si>
  <si>
    <t>p62W</t>
  </si>
  <si>
    <t>p62E</t>
  </si>
  <si>
    <t>p63W</t>
  </si>
  <si>
    <t>p63E</t>
  </si>
  <si>
    <t>p64W</t>
  </si>
  <si>
    <t>p64E</t>
  </si>
  <si>
    <t>p11</t>
  </si>
  <si>
    <t>p12</t>
  </si>
  <si>
    <t>p13</t>
  </si>
  <si>
    <t>p14</t>
  </si>
  <si>
    <t>p21</t>
  </si>
  <si>
    <t>p22</t>
  </si>
  <si>
    <t>p23</t>
  </si>
  <si>
    <t>p24</t>
  </si>
  <si>
    <t>p31</t>
  </si>
  <si>
    <t>p32</t>
  </si>
  <si>
    <t>p33</t>
  </si>
  <si>
    <t>p34</t>
  </si>
  <si>
    <t>p41</t>
  </si>
  <si>
    <t>p42</t>
  </si>
  <si>
    <t>p43</t>
  </si>
  <si>
    <t>p44</t>
  </si>
  <si>
    <t>p51</t>
  </si>
  <si>
    <t>p52</t>
  </si>
  <si>
    <t>p53</t>
  </si>
  <si>
    <t>p54</t>
  </si>
  <si>
    <t>p61</t>
  </si>
  <si>
    <t>p62</t>
  </si>
  <si>
    <t>p63</t>
  </si>
  <si>
    <t>p64</t>
  </si>
  <si>
    <t>p11E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</si>
</sst>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mm/dd/yyyy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5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2" borderId="0" xfId="0" applyNumberFormat="1" applyFill="1"/>
    <xf numFmtId="167" fontId="0" fillId="0" borderId="0" xfId="0" applyNumberFormat="1"/>
    <xf numFmtId="49" fontId="0" fillId="2" borderId="0" xfId="0" applyNumberFormat="1" applyFill="1"/>
    <xf numFmtId="14" fontId="0" fillId="2" borderId="0" xfId="0" applyNumberFormat="1" applyFill="1"/>
    <xf numFmtId="49" fontId="0" fillId="0" borderId="0" xfId="0" applyNumberFormat="1"/>
  </cellXfs>
  <cellStyles count="3">
    <cellStyle name="Normal" xfId="0" builtinId="0"/>
    <cellStyle name="Normal 2" xfId="2" xr:uid="{9975BD0D-8745-4147-A5EC-15B99D8AB865}"/>
    <cellStyle name="Normal 3" xfId="1" xr:uid="{E9664043-597C-49BE-B574-A4C570FE3A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Compare!$AC$4:$AC$5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xVal>
          <c:yVal>
            <c:numRef>
              <c:f>Compare!$AC$4:$AC$5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C5-4F0F-A57D-EC477B0C2A42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Compare!$Q$8:$Q$55</c:f>
              <c:numCache>
                <c:formatCode>General</c:formatCode>
                <c:ptCount val="48"/>
                <c:pt idx="0">
                  <c:v>1960.5915737805503</c:v>
                </c:pt>
                <c:pt idx="1">
                  <c:v>2109.6676713630382</c:v>
                </c:pt>
                <c:pt idx="2">
                  <c:v>2008.9901562262253</c:v>
                </c:pt>
                <c:pt idx="3">
                  <c:v>2104.2959776530765</c:v>
                </c:pt>
                <c:pt idx="4">
                  <c:v>1674.8402227613053</c:v>
                </c:pt>
                <c:pt idx="5">
                  <c:v>1530.9379763822958</c:v>
                </c:pt>
                <c:pt idx="6">
                  <c:v>2344.7755704463048</c:v>
                </c:pt>
                <c:pt idx="7">
                  <c:v>1960.7891068553845</c:v>
                </c:pt>
                <c:pt idx="8">
                  <c:v>2441.1341611144767</c:v>
                </c:pt>
                <c:pt idx="9">
                  <c:v>1964.1093064473948</c:v>
                </c:pt>
                <c:pt idx="10">
                  <c:v>2251.7312139887431</c:v>
                </c:pt>
                <c:pt idx="11">
                  <c:v>2682.4565494233489</c:v>
                </c:pt>
                <c:pt idx="12">
                  <c:v>1965.3622760705161</c:v>
                </c:pt>
                <c:pt idx="13">
                  <c:v>1869.8978114867996</c:v>
                </c:pt>
                <c:pt idx="14">
                  <c:v>2160.4449008176862</c:v>
                </c:pt>
                <c:pt idx="15">
                  <c:v>1918.8930026130843</c:v>
                </c:pt>
                <c:pt idx="16">
                  <c:v>2161.3058229488001</c:v>
                </c:pt>
                <c:pt idx="17">
                  <c:v>2540.2115160403423</c:v>
                </c:pt>
                <c:pt idx="18">
                  <c:v>2160.7158288558026</c:v>
                </c:pt>
                <c:pt idx="19">
                  <c:v>2113.4979486787447</c:v>
                </c:pt>
                <c:pt idx="20">
                  <c:v>1825.0726957885452</c:v>
                </c:pt>
                <c:pt idx="21">
                  <c:v>1921.4330633348022</c:v>
                </c:pt>
                <c:pt idx="22">
                  <c:v>2211.4720920723403</c:v>
                </c:pt>
                <c:pt idx="23">
                  <c:v>1969.9879572204072</c:v>
                </c:pt>
                <c:pt idx="24">
                  <c:v>2405.88843246652</c:v>
                </c:pt>
                <c:pt idx="25">
                  <c:v>2115.1728214038876</c:v>
                </c:pt>
                <c:pt idx="26">
                  <c:v>2310.652872426821</c:v>
                </c:pt>
                <c:pt idx="27">
                  <c:v>2358.6760645900094</c:v>
                </c:pt>
                <c:pt idx="28">
                  <c:v>2163.1277861626618</c:v>
                </c:pt>
                <c:pt idx="29">
                  <c:v>2501.2816504165562</c:v>
                </c:pt>
                <c:pt idx="30">
                  <c:v>1923.9251827728922</c:v>
                </c:pt>
                <c:pt idx="31">
                  <c:v>1875.0996364636633</c:v>
                </c:pt>
                <c:pt idx="32">
                  <c:v>2209.3617504542694</c:v>
                </c:pt>
                <c:pt idx="33">
                  <c:v>2211.5157663567979</c:v>
                </c:pt>
                <c:pt idx="34">
                  <c:v>2406.0991690637707</c:v>
                </c:pt>
                <c:pt idx="35">
                  <c:v>2309.316227287205</c:v>
                </c:pt>
                <c:pt idx="36">
                  <c:v>2358.6125639404559</c:v>
                </c:pt>
                <c:pt idx="37">
                  <c:v>2211.967672174781</c:v>
                </c:pt>
                <c:pt idx="38">
                  <c:v>2116.5793072546426</c:v>
                </c:pt>
                <c:pt idx="39">
                  <c:v>1877.465449960283</c:v>
                </c:pt>
                <c:pt idx="40">
                  <c:v>2066.6113769677095</c:v>
                </c:pt>
                <c:pt idx="41">
                  <c:v>2358.4191399152023</c:v>
                </c:pt>
                <c:pt idx="42">
                  <c:v>1639.3758867602037</c:v>
                </c:pt>
                <c:pt idx="43">
                  <c:v>2596.103909729472</c:v>
                </c:pt>
                <c:pt idx="44">
                  <c:v>1685.8922365607075</c:v>
                </c:pt>
                <c:pt idx="45">
                  <c:v>2264.9512560929875</c:v>
                </c:pt>
                <c:pt idx="46">
                  <c:v>1251.5106366713458</c:v>
                </c:pt>
                <c:pt idx="47">
                  <c:v>1732.948103433446</c:v>
                </c:pt>
              </c:numCache>
            </c:numRef>
          </c:xVal>
          <c:yVal>
            <c:numRef>
              <c:f>'Raw Scale'!$X$50:$X$97</c:f>
              <c:numCache>
                <c:formatCode>0.0</c:formatCode>
                <c:ptCount val="48"/>
                <c:pt idx="0">
                  <c:v>1960.5915737805501</c:v>
                </c:pt>
                <c:pt idx="1">
                  <c:v>2109.6676713630377</c:v>
                </c:pt>
                <c:pt idx="2">
                  <c:v>2008.9901562262244</c:v>
                </c:pt>
                <c:pt idx="3">
                  <c:v>2104.2959776530765</c:v>
                </c:pt>
                <c:pt idx="4">
                  <c:v>1674.8402227613053</c:v>
                </c:pt>
                <c:pt idx="5">
                  <c:v>1530.9379763822958</c:v>
                </c:pt>
                <c:pt idx="6">
                  <c:v>2344.7755704463048</c:v>
                </c:pt>
                <c:pt idx="7">
                  <c:v>1960.7891068553843</c:v>
                </c:pt>
                <c:pt idx="8">
                  <c:v>2441.1341611144762</c:v>
                </c:pt>
                <c:pt idx="9">
                  <c:v>1964.1093064473951</c:v>
                </c:pt>
                <c:pt idx="10">
                  <c:v>2251.7312139887435</c:v>
                </c:pt>
                <c:pt idx="11">
                  <c:v>2682.4565494233493</c:v>
                </c:pt>
                <c:pt idx="12">
                  <c:v>1965.3622760705157</c:v>
                </c:pt>
                <c:pt idx="13">
                  <c:v>1869.8978114868</c:v>
                </c:pt>
                <c:pt idx="14">
                  <c:v>2160.4449008176862</c:v>
                </c:pt>
                <c:pt idx="15">
                  <c:v>1918.8930026130843</c:v>
                </c:pt>
                <c:pt idx="16">
                  <c:v>2161.3058229488001</c:v>
                </c:pt>
                <c:pt idx="17">
                  <c:v>2540.2115160403418</c:v>
                </c:pt>
                <c:pt idx="18">
                  <c:v>2160.7158288558026</c:v>
                </c:pt>
                <c:pt idx="19">
                  <c:v>2113.4979486787452</c:v>
                </c:pt>
                <c:pt idx="20">
                  <c:v>1825.0726957885452</c:v>
                </c:pt>
                <c:pt idx="21">
                  <c:v>1921.433063334802</c:v>
                </c:pt>
                <c:pt idx="22">
                  <c:v>2211.4720920723403</c:v>
                </c:pt>
                <c:pt idx="23">
                  <c:v>1969.987957220407</c:v>
                </c:pt>
                <c:pt idx="24">
                  <c:v>2405.8884324665205</c:v>
                </c:pt>
                <c:pt idx="25">
                  <c:v>2115.1728214038867</c:v>
                </c:pt>
                <c:pt idx="26">
                  <c:v>2310.652872426821</c:v>
                </c:pt>
                <c:pt idx="27">
                  <c:v>2358.6760645900094</c:v>
                </c:pt>
                <c:pt idx="28">
                  <c:v>2163.1277861626618</c:v>
                </c:pt>
                <c:pt idx="29">
                  <c:v>2501.2816504165567</c:v>
                </c:pt>
                <c:pt idx="30">
                  <c:v>1923.9251827728922</c:v>
                </c:pt>
                <c:pt idx="31">
                  <c:v>1875.0996364636635</c:v>
                </c:pt>
                <c:pt idx="32">
                  <c:v>2209.3617504542694</c:v>
                </c:pt>
                <c:pt idx="33">
                  <c:v>2211.5157663567975</c:v>
                </c:pt>
                <c:pt idx="34">
                  <c:v>2406.0991690637707</c:v>
                </c:pt>
                <c:pt idx="35">
                  <c:v>2309.316227287205</c:v>
                </c:pt>
                <c:pt idx="36">
                  <c:v>2358.6125639404563</c:v>
                </c:pt>
                <c:pt idx="37">
                  <c:v>2211.967672174781</c:v>
                </c:pt>
                <c:pt idx="38">
                  <c:v>2116.5793072546426</c:v>
                </c:pt>
                <c:pt idx="39">
                  <c:v>1877.465449960283</c:v>
                </c:pt>
                <c:pt idx="40">
                  <c:v>2066.611376967709</c:v>
                </c:pt>
                <c:pt idx="41">
                  <c:v>2358.4191399152028</c:v>
                </c:pt>
                <c:pt idx="42">
                  <c:v>1639.3758867602032</c:v>
                </c:pt>
                <c:pt idx="43">
                  <c:v>2596.103909729472</c:v>
                </c:pt>
                <c:pt idx="44">
                  <c:v>1685.8922365607075</c:v>
                </c:pt>
                <c:pt idx="45">
                  <c:v>2264.9512560929879</c:v>
                </c:pt>
                <c:pt idx="46">
                  <c:v>1251.5106366713458</c:v>
                </c:pt>
                <c:pt idx="47">
                  <c:v>1732.948103433446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C5-4F0F-A57D-EC477B0C2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847968"/>
        <c:axId val="358847608"/>
      </c:scatterChart>
      <c:valAx>
        <c:axId val="358847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847608"/>
        <c:crosses val="autoZero"/>
        <c:crossBetween val="midCat"/>
      </c:valAx>
      <c:valAx>
        <c:axId val="35884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847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DSWAH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Compare!$AC$4:$AC$5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xVal>
          <c:yVal>
            <c:numRef>
              <c:f>Compare!$AC$4:$AC$5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D4-486D-B94B-DCCF1F815CE5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Compare!$R$8:$R$55</c:f>
              <c:numCache>
                <c:formatCode>General</c:formatCode>
                <c:ptCount val="48"/>
                <c:pt idx="0">
                  <c:v>2409.913196341412</c:v>
                </c:pt>
                <c:pt idx="1">
                  <c:v>2737.8736532357966</c:v>
                </c:pt>
                <c:pt idx="2">
                  <c:v>2879.4890920503822</c:v>
                </c:pt>
                <c:pt idx="3">
                  <c:v>2926.2400754855976</c:v>
                </c:pt>
                <c:pt idx="4">
                  <c:v>2222.4349973657463</c:v>
                </c:pt>
                <c:pt idx="5">
                  <c:v>1892.6921071767922</c:v>
                </c:pt>
                <c:pt idx="6">
                  <c:v>3118.7286411786154</c:v>
                </c:pt>
                <c:pt idx="7">
                  <c:v>2603.4784473299846</c:v>
                </c:pt>
                <c:pt idx="8">
                  <c:v>3121.7897731278654</c:v>
                </c:pt>
                <c:pt idx="9">
                  <c:v>2835.6494390042608</c:v>
                </c:pt>
                <c:pt idx="10">
                  <c:v>2881.871180054362</c:v>
                </c:pt>
                <c:pt idx="11">
                  <c:v>3495.4092081725516</c:v>
                </c:pt>
                <c:pt idx="12">
                  <c:v>2599.607637556082</c:v>
                </c:pt>
                <c:pt idx="13">
                  <c:v>2506.4208677309357</c:v>
                </c:pt>
                <c:pt idx="14">
                  <c:v>2649.6540962019903</c:v>
                </c:pt>
                <c:pt idx="15">
                  <c:v>2461.116393646093</c:v>
                </c:pt>
                <c:pt idx="16">
                  <c:v>2881.1985526113676</c:v>
                </c:pt>
                <c:pt idx="17">
                  <c:v>3356.0424571375029</c:v>
                </c:pt>
                <c:pt idx="18">
                  <c:v>2927.4231985576348</c:v>
                </c:pt>
                <c:pt idx="19">
                  <c:v>2696.1238956839893</c:v>
                </c:pt>
                <c:pt idx="20">
                  <c:v>2505.3876902589227</c:v>
                </c:pt>
                <c:pt idx="21">
                  <c:v>2459.2562543447129</c:v>
                </c:pt>
                <c:pt idx="22">
                  <c:v>2836.3233975555891</c:v>
                </c:pt>
                <c:pt idx="23">
                  <c:v>2508.2439582315747</c:v>
                </c:pt>
                <c:pt idx="24">
                  <c:v>3313.6430642830201</c:v>
                </c:pt>
                <c:pt idx="25">
                  <c:v>2602.6521446734178</c:v>
                </c:pt>
                <c:pt idx="26">
                  <c:v>2978.9324940095671</c:v>
                </c:pt>
                <c:pt idx="27">
                  <c:v>3073.4896996109778</c:v>
                </c:pt>
                <c:pt idx="28">
                  <c:v>2839.5592429407207</c:v>
                </c:pt>
                <c:pt idx="29">
                  <c:v>3073.7732690658158</c:v>
                </c:pt>
                <c:pt idx="30">
                  <c:v>2604.1814590843151</c:v>
                </c:pt>
                <c:pt idx="31">
                  <c:v>2415.22669210204</c:v>
                </c:pt>
                <c:pt idx="32">
                  <c:v>2931.4127832290005</c:v>
                </c:pt>
                <c:pt idx="33">
                  <c:v>2883.2578199037293</c:v>
                </c:pt>
                <c:pt idx="34">
                  <c:v>3217.2200170912097</c:v>
                </c:pt>
                <c:pt idx="35">
                  <c:v>3072.7643745505384</c:v>
                </c:pt>
                <c:pt idx="36">
                  <c:v>3029.4536858389383</c:v>
                </c:pt>
                <c:pt idx="37">
                  <c:v>2792.4130537437081</c:v>
                </c:pt>
                <c:pt idx="38">
                  <c:v>2744.1547725427372</c:v>
                </c:pt>
                <c:pt idx="39">
                  <c:v>2366.7750486413088</c:v>
                </c:pt>
                <c:pt idx="40">
                  <c:v>2698.1531788853881</c:v>
                </c:pt>
                <c:pt idx="41">
                  <c:v>2935.3846995982285</c:v>
                </c:pt>
                <c:pt idx="42">
                  <c:v>2176.9939576266415</c:v>
                </c:pt>
                <c:pt idx="43">
                  <c:v>3405.0662968142278</c:v>
                </c:pt>
                <c:pt idx="44">
                  <c:v>2226.1216051139527</c:v>
                </c:pt>
                <c:pt idx="45">
                  <c:v>2844.8846885845433</c:v>
                </c:pt>
                <c:pt idx="46">
                  <c:v>1612.7076344621757</c:v>
                </c:pt>
                <c:pt idx="47">
                  <c:v>2321.8708381036945</c:v>
                </c:pt>
              </c:numCache>
            </c:numRef>
          </c:xVal>
          <c:yVal>
            <c:numRef>
              <c:f>'Raw Scale'!$Y$50:$Y$97</c:f>
              <c:numCache>
                <c:formatCode>0.0</c:formatCode>
                <c:ptCount val="48"/>
                <c:pt idx="0">
                  <c:v>2409.9131963414115</c:v>
                </c:pt>
                <c:pt idx="1">
                  <c:v>2737.8736532357962</c:v>
                </c:pt>
                <c:pt idx="2">
                  <c:v>2879.4890920503826</c:v>
                </c:pt>
                <c:pt idx="3">
                  <c:v>2926.2400754855971</c:v>
                </c:pt>
                <c:pt idx="4">
                  <c:v>2222.4349973657463</c:v>
                </c:pt>
                <c:pt idx="5">
                  <c:v>1892.6921071767922</c:v>
                </c:pt>
                <c:pt idx="6">
                  <c:v>3118.7286411786149</c:v>
                </c:pt>
                <c:pt idx="7">
                  <c:v>2603.4784473299837</c:v>
                </c:pt>
                <c:pt idx="8">
                  <c:v>3121.7897731278649</c:v>
                </c:pt>
                <c:pt idx="9">
                  <c:v>2835.6494390042608</c:v>
                </c:pt>
                <c:pt idx="10">
                  <c:v>2881.8711800543624</c:v>
                </c:pt>
                <c:pt idx="11">
                  <c:v>3495.4092081725521</c:v>
                </c:pt>
                <c:pt idx="12">
                  <c:v>2599.607637556082</c:v>
                </c:pt>
                <c:pt idx="13">
                  <c:v>2506.4208677309362</c:v>
                </c:pt>
                <c:pt idx="14">
                  <c:v>2649.6540962019903</c:v>
                </c:pt>
                <c:pt idx="15">
                  <c:v>2461.116393646093</c:v>
                </c:pt>
                <c:pt idx="16">
                  <c:v>2881.1985526113681</c:v>
                </c:pt>
                <c:pt idx="17">
                  <c:v>3356.0424571375024</c:v>
                </c:pt>
                <c:pt idx="18">
                  <c:v>2927.4231985576348</c:v>
                </c:pt>
                <c:pt idx="19">
                  <c:v>2696.1238956839898</c:v>
                </c:pt>
                <c:pt idx="20">
                  <c:v>2505.3876902589222</c:v>
                </c:pt>
                <c:pt idx="21">
                  <c:v>2459.2562543447129</c:v>
                </c:pt>
                <c:pt idx="22">
                  <c:v>2836.3233975555895</c:v>
                </c:pt>
                <c:pt idx="23">
                  <c:v>2508.2439582315742</c:v>
                </c:pt>
                <c:pt idx="24">
                  <c:v>3313.6430642830205</c:v>
                </c:pt>
                <c:pt idx="25">
                  <c:v>2602.6521446734168</c:v>
                </c:pt>
                <c:pt idx="26">
                  <c:v>2978.9324940095667</c:v>
                </c:pt>
                <c:pt idx="27">
                  <c:v>3073.4896996109778</c:v>
                </c:pt>
                <c:pt idx="28">
                  <c:v>2839.5592429407207</c:v>
                </c:pt>
                <c:pt idx="29">
                  <c:v>3073.7732690658163</c:v>
                </c:pt>
                <c:pt idx="30">
                  <c:v>2604.1814590843142</c:v>
                </c:pt>
                <c:pt idx="31">
                  <c:v>2415.22669210204</c:v>
                </c:pt>
                <c:pt idx="32">
                  <c:v>2931.4127832290005</c:v>
                </c:pt>
                <c:pt idx="33">
                  <c:v>2883.2578199037293</c:v>
                </c:pt>
                <c:pt idx="34">
                  <c:v>3217.2200170912097</c:v>
                </c:pt>
                <c:pt idx="35">
                  <c:v>3072.7643745505384</c:v>
                </c:pt>
                <c:pt idx="36">
                  <c:v>3029.4536858389392</c:v>
                </c:pt>
                <c:pt idx="37">
                  <c:v>2792.4130537437081</c:v>
                </c:pt>
                <c:pt idx="38">
                  <c:v>2744.1547725427372</c:v>
                </c:pt>
                <c:pt idx="39">
                  <c:v>2366.7750486413083</c:v>
                </c:pt>
                <c:pt idx="40">
                  <c:v>2698.1531788853886</c:v>
                </c:pt>
                <c:pt idx="41">
                  <c:v>2935.3846995982285</c:v>
                </c:pt>
                <c:pt idx="42">
                  <c:v>2176.9939576266415</c:v>
                </c:pt>
                <c:pt idx="43">
                  <c:v>3405.0662968142274</c:v>
                </c:pt>
                <c:pt idx="44">
                  <c:v>2226.1216051139527</c:v>
                </c:pt>
                <c:pt idx="45">
                  <c:v>2844.8846885845428</c:v>
                </c:pt>
                <c:pt idx="46">
                  <c:v>1612.7076344621753</c:v>
                </c:pt>
                <c:pt idx="47">
                  <c:v>2321.8708381036945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D4-486D-B94B-DCCF1F815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847968"/>
        <c:axId val="358847608"/>
      </c:scatterChart>
      <c:valAx>
        <c:axId val="358847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847608"/>
        <c:crosses val="autoZero"/>
        <c:crossBetween val="midCat"/>
      </c:valAx>
      <c:valAx>
        <c:axId val="35884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847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xVal>
            <c:numRef>
              <c:f>Compare!$AC$4:$AC$5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xVal>
          <c:yVal>
            <c:numRef>
              <c:f>Compare!$AC$4:$AC$5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60-46C8-B8E2-188286949DF0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Compare!$B$8:$B$55</c:f>
              <c:numCache>
                <c:formatCode>General</c:formatCode>
                <c:ptCount val="48"/>
                <c:pt idx="0">
                  <c:v>2017.7165354330712</c:v>
                </c:pt>
                <c:pt idx="1">
                  <c:v>2165.3543307086611</c:v>
                </c:pt>
                <c:pt idx="2">
                  <c:v>2066.9291338582684</c:v>
                </c:pt>
                <c:pt idx="3">
                  <c:v>2165.3543307086611</c:v>
                </c:pt>
                <c:pt idx="4">
                  <c:v>1722.4409448818897</c:v>
                </c:pt>
                <c:pt idx="5">
                  <c:v>1574.8031496062993</c:v>
                </c:pt>
                <c:pt idx="6">
                  <c:v>2411.4173228346458</c:v>
                </c:pt>
                <c:pt idx="7">
                  <c:v>2017.7165354330712</c:v>
                </c:pt>
                <c:pt idx="8">
                  <c:v>2509.8425196850399</c:v>
                </c:pt>
                <c:pt idx="9">
                  <c:v>2017.7165354330707</c:v>
                </c:pt>
                <c:pt idx="10">
                  <c:v>2312.9921259842513</c:v>
                </c:pt>
                <c:pt idx="11">
                  <c:v>2755.9055118110232</c:v>
                </c:pt>
                <c:pt idx="12">
                  <c:v>2017.7165354330712</c:v>
                </c:pt>
                <c:pt idx="13">
                  <c:v>1919.2913385826771</c:v>
                </c:pt>
                <c:pt idx="14">
                  <c:v>2214.5669291338581</c:v>
                </c:pt>
                <c:pt idx="15">
                  <c:v>1968.5039370078741</c:v>
                </c:pt>
                <c:pt idx="16">
                  <c:v>2214.5669291338581</c:v>
                </c:pt>
                <c:pt idx="17">
                  <c:v>2608.2677165354335</c:v>
                </c:pt>
                <c:pt idx="18">
                  <c:v>2214.5669291338581</c:v>
                </c:pt>
                <c:pt idx="19">
                  <c:v>2165.3543307086607</c:v>
                </c:pt>
                <c:pt idx="20">
                  <c:v>1870.0787401574803</c:v>
                </c:pt>
                <c:pt idx="21">
                  <c:v>1968.5039370078744</c:v>
                </c:pt>
                <c:pt idx="22">
                  <c:v>2263.7795275590552</c:v>
                </c:pt>
                <c:pt idx="23">
                  <c:v>2017.7165354330712</c:v>
                </c:pt>
                <c:pt idx="24">
                  <c:v>2460.6299212598424</c:v>
                </c:pt>
                <c:pt idx="25">
                  <c:v>2165.3543307086616</c:v>
                </c:pt>
                <c:pt idx="26">
                  <c:v>2362.2047244094488</c:v>
                </c:pt>
                <c:pt idx="27">
                  <c:v>2411.4173228346453</c:v>
                </c:pt>
                <c:pt idx="28">
                  <c:v>2214.5669291338581</c:v>
                </c:pt>
                <c:pt idx="29">
                  <c:v>2559.055118110236</c:v>
                </c:pt>
                <c:pt idx="30">
                  <c:v>1968.5039370078741</c:v>
                </c:pt>
                <c:pt idx="31">
                  <c:v>1919.2913385826771</c:v>
                </c:pt>
                <c:pt idx="32">
                  <c:v>2263.7795275590547</c:v>
                </c:pt>
                <c:pt idx="33">
                  <c:v>2263.7795275590552</c:v>
                </c:pt>
                <c:pt idx="34">
                  <c:v>2460.6299212598424</c:v>
                </c:pt>
                <c:pt idx="35">
                  <c:v>2362.2047244094488</c:v>
                </c:pt>
                <c:pt idx="36">
                  <c:v>2411.4173228346453</c:v>
                </c:pt>
                <c:pt idx="37">
                  <c:v>2263.7795275590552</c:v>
                </c:pt>
                <c:pt idx="38">
                  <c:v>2165.3543307086611</c:v>
                </c:pt>
                <c:pt idx="39">
                  <c:v>1919.2913385826771</c:v>
                </c:pt>
                <c:pt idx="40">
                  <c:v>2116.1417322834645</c:v>
                </c:pt>
                <c:pt idx="41">
                  <c:v>2411.4173228346453</c:v>
                </c:pt>
                <c:pt idx="42">
                  <c:v>1673.2283464566931</c:v>
                </c:pt>
                <c:pt idx="43">
                  <c:v>2657.48031496063</c:v>
                </c:pt>
                <c:pt idx="44">
                  <c:v>1722.4409448818897</c:v>
                </c:pt>
                <c:pt idx="45">
                  <c:v>2312.9921259842513</c:v>
                </c:pt>
                <c:pt idx="46">
                  <c:v>1279.527559055118</c:v>
                </c:pt>
                <c:pt idx="47">
                  <c:v>1771.6535433070865</c:v>
                </c:pt>
              </c:numCache>
            </c:numRef>
          </c:xVal>
          <c:yVal>
            <c:numRef>
              <c:f>'Raw Scale'!$U$50:$U$97</c:f>
              <c:numCache>
                <c:formatCode>0.0</c:formatCode>
                <c:ptCount val="48"/>
                <c:pt idx="0">
                  <c:v>2017.7165354330709</c:v>
                </c:pt>
                <c:pt idx="1">
                  <c:v>2165.3543307086607</c:v>
                </c:pt>
                <c:pt idx="2">
                  <c:v>2066.9291338582675</c:v>
                </c:pt>
                <c:pt idx="3">
                  <c:v>2165.3543307086611</c:v>
                </c:pt>
                <c:pt idx="4">
                  <c:v>1722.4409448818897</c:v>
                </c:pt>
                <c:pt idx="5">
                  <c:v>1574.8031496062993</c:v>
                </c:pt>
                <c:pt idx="6">
                  <c:v>2411.4173228346458</c:v>
                </c:pt>
                <c:pt idx="7">
                  <c:v>2017.7165354330709</c:v>
                </c:pt>
                <c:pt idx="8">
                  <c:v>2509.8425196850394</c:v>
                </c:pt>
                <c:pt idx="9">
                  <c:v>2017.7165354330709</c:v>
                </c:pt>
                <c:pt idx="10">
                  <c:v>2312.9921259842517</c:v>
                </c:pt>
                <c:pt idx="11">
                  <c:v>2755.9055118110236</c:v>
                </c:pt>
                <c:pt idx="12">
                  <c:v>2017.7165354330707</c:v>
                </c:pt>
                <c:pt idx="13">
                  <c:v>1919.2913385826776</c:v>
                </c:pt>
                <c:pt idx="14">
                  <c:v>2214.5669291338581</c:v>
                </c:pt>
                <c:pt idx="15">
                  <c:v>1968.5039370078741</c:v>
                </c:pt>
                <c:pt idx="16">
                  <c:v>2214.5669291338581</c:v>
                </c:pt>
                <c:pt idx="17">
                  <c:v>2608.267716535433</c:v>
                </c:pt>
                <c:pt idx="18">
                  <c:v>2214.5669291338581</c:v>
                </c:pt>
                <c:pt idx="19">
                  <c:v>2165.3543307086611</c:v>
                </c:pt>
                <c:pt idx="20">
                  <c:v>1870.0787401574803</c:v>
                </c:pt>
                <c:pt idx="21">
                  <c:v>1968.5039370078741</c:v>
                </c:pt>
                <c:pt idx="22">
                  <c:v>2263.7795275590552</c:v>
                </c:pt>
                <c:pt idx="23">
                  <c:v>2017.7165354330709</c:v>
                </c:pt>
                <c:pt idx="24">
                  <c:v>2460.6299212598428</c:v>
                </c:pt>
                <c:pt idx="25">
                  <c:v>2165.3543307086607</c:v>
                </c:pt>
                <c:pt idx="26">
                  <c:v>2362.2047244094488</c:v>
                </c:pt>
                <c:pt idx="27">
                  <c:v>2411.4173228346453</c:v>
                </c:pt>
                <c:pt idx="28">
                  <c:v>2214.5669291338581</c:v>
                </c:pt>
                <c:pt idx="29">
                  <c:v>2559.0551181102364</c:v>
                </c:pt>
                <c:pt idx="30">
                  <c:v>1968.5039370078741</c:v>
                </c:pt>
                <c:pt idx="31">
                  <c:v>1919.2913385826773</c:v>
                </c:pt>
                <c:pt idx="32">
                  <c:v>2263.7795275590547</c:v>
                </c:pt>
                <c:pt idx="33">
                  <c:v>2263.7795275590547</c:v>
                </c:pt>
                <c:pt idx="34">
                  <c:v>2460.6299212598424</c:v>
                </c:pt>
                <c:pt idx="35">
                  <c:v>2362.2047244094488</c:v>
                </c:pt>
                <c:pt idx="36">
                  <c:v>2411.4173228346458</c:v>
                </c:pt>
                <c:pt idx="37">
                  <c:v>2263.7795275590552</c:v>
                </c:pt>
                <c:pt idx="38">
                  <c:v>2165.3543307086611</c:v>
                </c:pt>
                <c:pt idx="39">
                  <c:v>1919.2913385826771</c:v>
                </c:pt>
                <c:pt idx="40">
                  <c:v>2116.1417322834641</c:v>
                </c:pt>
                <c:pt idx="41">
                  <c:v>2411.4173228346458</c:v>
                </c:pt>
                <c:pt idx="42">
                  <c:v>1673.2283464566926</c:v>
                </c:pt>
                <c:pt idx="43">
                  <c:v>2657.48031496063</c:v>
                </c:pt>
                <c:pt idx="44">
                  <c:v>1722.4409448818897</c:v>
                </c:pt>
                <c:pt idx="45">
                  <c:v>2312.9921259842517</c:v>
                </c:pt>
                <c:pt idx="46">
                  <c:v>1279.527559055118</c:v>
                </c:pt>
                <c:pt idx="47">
                  <c:v>1771.6535433070865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60-46C8-B8E2-188286949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847968"/>
        <c:axId val="358847608"/>
      </c:scatterChart>
      <c:valAx>
        <c:axId val="358847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847608"/>
        <c:crosses val="autoZero"/>
        <c:crossBetween val="midCat"/>
      </c:valAx>
      <c:valAx>
        <c:axId val="35884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847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DSWAH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xVal>
            <c:numRef>
              <c:f>Compare!$AC$4:$AC$5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xVal>
          <c:yVal>
            <c:numRef>
              <c:f>Compare!$AC$4:$AC$5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BE-4642-AA57-DA2C8DC727B4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Compare!$C$8:$C$55</c:f>
              <c:numCache>
                <c:formatCode>General</c:formatCode>
                <c:ptCount val="48"/>
                <c:pt idx="0">
                  <c:v>2509.8425196850399</c:v>
                </c:pt>
                <c:pt idx="1">
                  <c:v>2854.3307086614172</c:v>
                </c:pt>
                <c:pt idx="2">
                  <c:v>3001.9685039370074</c:v>
                </c:pt>
                <c:pt idx="3">
                  <c:v>3051.1811023622049</c:v>
                </c:pt>
                <c:pt idx="4">
                  <c:v>2312.9921259842522</c:v>
                </c:pt>
                <c:pt idx="5">
                  <c:v>1968.5039370078741</c:v>
                </c:pt>
                <c:pt idx="6">
                  <c:v>3248.0314960629926</c:v>
                </c:pt>
                <c:pt idx="7">
                  <c:v>2706.6929133858271</c:v>
                </c:pt>
                <c:pt idx="8">
                  <c:v>3248.031496062993</c:v>
                </c:pt>
                <c:pt idx="9">
                  <c:v>2952.7559055118113</c:v>
                </c:pt>
                <c:pt idx="10">
                  <c:v>3001.9685039370074</c:v>
                </c:pt>
                <c:pt idx="11">
                  <c:v>3641.732283464567</c:v>
                </c:pt>
                <c:pt idx="12">
                  <c:v>2706.6929133858266</c:v>
                </c:pt>
                <c:pt idx="13">
                  <c:v>2608.2677165354335</c:v>
                </c:pt>
                <c:pt idx="14">
                  <c:v>2755.9055118110232</c:v>
                </c:pt>
                <c:pt idx="15">
                  <c:v>2559.0551181102369</c:v>
                </c:pt>
                <c:pt idx="16">
                  <c:v>3001.9685039370074</c:v>
                </c:pt>
                <c:pt idx="17">
                  <c:v>3494.0944881889773</c:v>
                </c:pt>
                <c:pt idx="18">
                  <c:v>3051.1811023622049</c:v>
                </c:pt>
                <c:pt idx="19">
                  <c:v>2805.1181102362198</c:v>
                </c:pt>
                <c:pt idx="20">
                  <c:v>2608.2677165354339</c:v>
                </c:pt>
                <c:pt idx="21">
                  <c:v>2559.0551181102369</c:v>
                </c:pt>
                <c:pt idx="22">
                  <c:v>2952.7559055118109</c:v>
                </c:pt>
                <c:pt idx="23">
                  <c:v>2608.2677165354335</c:v>
                </c:pt>
                <c:pt idx="24">
                  <c:v>3444.8818897637793</c:v>
                </c:pt>
                <c:pt idx="25">
                  <c:v>2706.6929133858266</c:v>
                </c:pt>
                <c:pt idx="26">
                  <c:v>3100.3937007874024</c:v>
                </c:pt>
                <c:pt idx="27">
                  <c:v>3198.8188976377951</c:v>
                </c:pt>
                <c:pt idx="28">
                  <c:v>2952.7559055118109</c:v>
                </c:pt>
                <c:pt idx="29">
                  <c:v>3198.8188976377951</c:v>
                </c:pt>
                <c:pt idx="30">
                  <c:v>2706.6929133858271</c:v>
                </c:pt>
                <c:pt idx="31">
                  <c:v>2509.8425196850399</c:v>
                </c:pt>
                <c:pt idx="32">
                  <c:v>3051.1811023622045</c:v>
                </c:pt>
                <c:pt idx="33">
                  <c:v>3001.968503937007</c:v>
                </c:pt>
                <c:pt idx="34">
                  <c:v>3346.4566929133862</c:v>
                </c:pt>
                <c:pt idx="35">
                  <c:v>3198.8188976377951</c:v>
                </c:pt>
                <c:pt idx="36">
                  <c:v>3149.6062992125976</c:v>
                </c:pt>
                <c:pt idx="37">
                  <c:v>2903.5433070866138</c:v>
                </c:pt>
                <c:pt idx="38">
                  <c:v>2854.3307086614172</c:v>
                </c:pt>
                <c:pt idx="39">
                  <c:v>2460.6299212598437</c:v>
                </c:pt>
                <c:pt idx="40">
                  <c:v>2805.1181102362198</c:v>
                </c:pt>
                <c:pt idx="41">
                  <c:v>3051.1811023622049</c:v>
                </c:pt>
                <c:pt idx="42">
                  <c:v>2263.7795275590552</c:v>
                </c:pt>
                <c:pt idx="43">
                  <c:v>3543.3070866141743</c:v>
                </c:pt>
                <c:pt idx="44">
                  <c:v>2312.9921259842527</c:v>
                </c:pt>
                <c:pt idx="45">
                  <c:v>2952.7559055118109</c:v>
                </c:pt>
                <c:pt idx="46">
                  <c:v>1673.2283464566931</c:v>
                </c:pt>
                <c:pt idx="47">
                  <c:v>2411.4173228346463</c:v>
                </c:pt>
              </c:numCache>
            </c:numRef>
          </c:xVal>
          <c:yVal>
            <c:numRef>
              <c:f>'Raw Scale'!$V$50:$V$97</c:f>
              <c:numCache>
                <c:formatCode>0.0</c:formatCode>
                <c:ptCount val="48"/>
                <c:pt idx="0">
                  <c:v>2509.8425196850394</c:v>
                </c:pt>
                <c:pt idx="1">
                  <c:v>2854.3307086614168</c:v>
                </c:pt>
                <c:pt idx="2">
                  <c:v>3001.9685039370079</c:v>
                </c:pt>
                <c:pt idx="3">
                  <c:v>3051.1811023622045</c:v>
                </c:pt>
                <c:pt idx="4">
                  <c:v>2312.9921259842522</c:v>
                </c:pt>
                <c:pt idx="5">
                  <c:v>1968.5039370078741</c:v>
                </c:pt>
                <c:pt idx="6">
                  <c:v>3248.0314960629921</c:v>
                </c:pt>
                <c:pt idx="7">
                  <c:v>2706.6929133858262</c:v>
                </c:pt>
                <c:pt idx="8">
                  <c:v>3248.0314960629926</c:v>
                </c:pt>
                <c:pt idx="9">
                  <c:v>2952.7559055118113</c:v>
                </c:pt>
                <c:pt idx="10">
                  <c:v>3001.9685039370079</c:v>
                </c:pt>
                <c:pt idx="11">
                  <c:v>3641.7322834645674</c:v>
                </c:pt>
                <c:pt idx="12">
                  <c:v>2706.6929133858262</c:v>
                </c:pt>
                <c:pt idx="13">
                  <c:v>2608.2677165354339</c:v>
                </c:pt>
                <c:pt idx="14">
                  <c:v>2755.9055118110232</c:v>
                </c:pt>
                <c:pt idx="15">
                  <c:v>2559.0551181102369</c:v>
                </c:pt>
                <c:pt idx="16">
                  <c:v>3001.9685039370079</c:v>
                </c:pt>
                <c:pt idx="17">
                  <c:v>3494.0944881889768</c:v>
                </c:pt>
                <c:pt idx="18">
                  <c:v>3051.1811023622049</c:v>
                </c:pt>
                <c:pt idx="19">
                  <c:v>2805.1181102362202</c:v>
                </c:pt>
                <c:pt idx="20">
                  <c:v>2608.2677165354335</c:v>
                </c:pt>
                <c:pt idx="21">
                  <c:v>2559.0551181102369</c:v>
                </c:pt>
                <c:pt idx="22">
                  <c:v>2952.7559055118113</c:v>
                </c:pt>
                <c:pt idx="23">
                  <c:v>2608.267716535433</c:v>
                </c:pt>
                <c:pt idx="24">
                  <c:v>3444.8818897637798</c:v>
                </c:pt>
                <c:pt idx="25">
                  <c:v>2706.6929133858257</c:v>
                </c:pt>
                <c:pt idx="26">
                  <c:v>3100.3937007874019</c:v>
                </c:pt>
                <c:pt idx="27">
                  <c:v>3198.8188976377951</c:v>
                </c:pt>
                <c:pt idx="28">
                  <c:v>2952.7559055118109</c:v>
                </c:pt>
                <c:pt idx="29">
                  <c:v>3198.8188976377955</c:v>
                </c:pt>
                <c:pt idx="30">
                  <c:v>2706.6929133858262</c:v>
                </c:pt>
                <c:pt idx="31">
                  <c:v>2509.8425196850399</c:v>
                </c:pt>
                <c:pt idx="32">
                  <c:v>3051.1811023622045</c:v>
                </c:pt>
                <c:pt idx="33">
                  <c:v>3001.968503937007</c:v>
                </c:pt>
                <c:pt idx="34">
                  <c:v>3346.4566929133862</c:v>
                </c:pt>
                <c:pt idx="35">
                  <c:v>3198.8188976377951</c:v>
                </c:pt>
                <c:pt idx="36">
                  <c:v>3149.6062992125985</c:v>
                </c:pt>
                <c:pt idx="37">
                  <c:v>2903.5433070866138</c:v>
                </c:pt>
                <c:pt idx="38">
                  <c:v>2854.3307086614172</c:v>
                </c:pt>
                <c:pt idx="39">
                  <c:v>2460.6299212598433</c:v>
                </c:pt>
                <c:pt idx="40">
                  <c:v>2805.1181102362202</c:v>
                </c:pt>
                <c:pt idx="41">
                  <c:v>3051.1811023622049</c:v>
                </c:pt>
                <c:pt idx="42">
                  <c:v>2263.7795275590552</c:v>
                </c:pt>
                <c:pt idx="43">
                  <c:v>3543.3070866141738</c:v>
                </c:pt>
                <c:pt idx="44">
                  <c:v>2312.9921259842527</c:v>
                </c:pt>
                <c:pt idx="45">
                  <c:v>2952.7559055118104</c:v>
                </c:pt>
                <c:pt idx="46">
                  <c:v>1673.2283464566926</c:v>
                </c:pt>
                <c:pt idx="47">
                  <c:v>2411.4173228346463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BE-4642-AA57-DA2C8DC72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847968"/>
        <c:axId val="358847608"/>
      </c:scatterChart>
      <c:valAx>
        <c:axId val="358847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847608"/>
        <c:crosses val="autoZero"/>
        <c:crossBetween val="midCat"/>
      </c:valAx>
      <c:valAx>
        <c:axId val="35884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847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472440</xdr:colOff>
      <xdr:row>2</xdr:row>
      <xdr:rowOff>85725</xdr:rowOff>
    </xdr:from>
    <xdr:to>
      <xdr:col>27</xdr:col>
      <xdr:colOff>19050</xdr:colOff>
      <xdr:row>20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9DFEE1-3226-18C6-CE37-65701BD75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476250</xdr:colOff>
      <xdr:row>21</xdr:row>
      <xdr:rowOff>104775</xdr:rowOff>
    </xdr:from>
    <xdr:to>
      <xdr:col>27</xdr:col>
      <xdr:colOff>15240</xdr:colOff>
      <xdr:row>39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2C97AF-C4F2-4CA2-9A44-D127A82BF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3810</xdr:colOff>
      <xdr:row>3</xdr:row>
      <xdr:rowOff>0</xdr:rowOff>
    </xdr:from>
    <xdr:to>
      <xdr:col>12</xdr:col>
      <xdr:colOff>152400</xdr:colOff>
      <xdr:row>21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115021-4C05-4EE7-B541-DB5EE28F4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22</xdr:row>
      <xdr:rowOff>15240</xdr:rowOff>
    </xdr:from>
    <xdr:to>
      <xdr:col>12</xdr:col>
      <xdr:colOff>156210</xdr:colOff>
      <xdr:row>40</xdr:row>
      <xdr:rowOff>15240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FE776FD-5CCE-4FF7-A962-FAA4BEF82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181E-168C-4CB2-BE56-FDC05C3116BF}">
  <dimension ref="A1:BP268"/>
  <sheetViews>
    <sheetView tabSelected="1" workbookViewId="0"/>
  </sheetViews>
  <sheetFormatPr defaultRowHeight="14.4" x14ac:dyDescent="0.3"/>
  <cols>
    <col min="4" max="4" width="10.5546875" bestFit="1" customWidth="1"/>
    <col min="7" max="7" width="9.88671875" bestFit="1" customWidth="1"/>
    <col min="9" max="9" width="10.5546875" bestFit="1" customWidth="1"/>
    <col min="11" max="11" width="10.5546875" bestFit="1" customWidth="1"/>
    <col min="27" max="27" width="14.109375" bestFit="1" customWidth="1"/>
    <col min="28" max="28" width="10.5546875" bestFit="1" customWidth="1"/>
    <col min="29" max="29" width="8.88671875" customWidth="1"/>
    <col min="30" max="30" width="8.77734375" customWidth="1"/>
    <col min="31" max="31" width="10.5546875" bestFit="1" customWidth="1"/>
    <col min="38" max="38" width="10.5546875" bestFit="1" customWidth="1"/>
    <col min="43" max="43" width="10.5546875" bestFit="1" customWidth="1"/>
    <col min="50" max="50" width="10.5546875" bestFit="1" customWidth="1"/>
    <col min="61" max="61" width="14.109375" bestFit="1" customWidth="1"/>
    <col min="62" max="62" width="10.5546875" bestFit="1" customWidth="1"/>
    <col min="64" max="64" width="10.5546875" bestFit="1" customWidth="1"/>
  </cols>
  <sheetData>
    <row r="1" spans="1:1" x14ac:dyDescent="0.3">
      <c r="A1" t="s">
        <v>101</v>
      </c>
    </row>
    <row r="2" spans="1:1" x14ac:dyDescent="0.3">
      <c r="A2" t="s">
        <v>102</v>
      </c>
    </row>
    <row r="3" spans="1:1" x14ac:dyDescent="0.3">
      <c r="A3" t="s">
        <v>107</v>
      </c>
    </row>
    <row r="4" spans="1:1" x14ac:dyDescent="0.3">
      <c r="A4" t="s">
        <v>108</v>
      </c>
    </row>
    <row r="5" spans="1:1" x14ac:dyDescent="0.3">
      <c r="A5" t="s">
        <v>117</v>
      </c>
    </row>
    <row r="6" spans="1:1" x14ac:dyDescent="0.3">
      <c r="A6" t="s">
        <v>119</v>
      </c>
    </row>
    <row r="7" spans="1:1" x14ac:dyDescent="0.3">
      <c r="A7" t="s">
        <v>114</v>
      </c>
    </row>
    <row r="8" spans="1:1" x14ac:dyDescent="0.3">
      <c r="A8" t="s">
        <v>115</v>
      </c>
    </row>
    <row r="9" spans="1:1" x14ac:dyDescent="0.3">
      <c r="A9" t="s">
        <v>116</v>
      </c>
    </row>
    <row r="10" spans="1:1" x14ac:dyDescent="0.3">
      <c r="A10" t="s">
        <v>109</v>
      </c>
    </row>
    <row r="11" spans="1:1" x14ac:dyDescent="0.3">
      <c r="A11" t="s">
        <v>110</v>
      </c>
    </row>
    <row r="12" spans="1:1" x14ac:dyDescent="0.3">
      <c r="A12" t="s">
        <v>111</v>
      </c>
    </row>
    <row r="13" spans="1:1" x14ac:dyDescent="0.3">
      <c r="A13" t="s">
        <v>112</v>
      </c>
    </row>
    <row r="14" spans="1:1" x14ac:dyDescent="0.3">
      <c r="A14" t="s">
        <v>113</v>
      </c>
    </row>
    <row r="15" spans="1:1" x14ac:dyDescent="0.3">
      <c r="A15" t="s">
        <v>126</v>
      </c>
    </row>
    <row r="16" spans="1:1" x14ac:dyDescent="0.3">
      <c r="A16" t="s">
        <v>127</v>
      </c>
    </row>
    <row r="17" spans="1:1" x14ac:dyDescent="0.3">
      <c r="A17" t="s">
        <v>129</v>
      </c>
    </row>
    <row r="18" spans="1:1" x14ac:dyDescent="0.3">
      <c r="A18" t="s">
        <v>128</v>
      </c>
    </row>
    <row r="19" spans="1:1" x14ac:dyDescent="0.3">
      <c r="A19" t="s">
        <v>219</v>
      </c>
    </row>
    <row r="20" spans="1:1" x14ac:dyDescent="0.3">
      <c r="A20" t="s">
        <v>220</v>
      </c>
    </row>
    <row r="21" spans="1:1" x14ac:dyDescent="0.3">
      <c r="A21" t="s">
        <v>130</v>
      </c>
    </row>
    <row r="22" spans="1:1" x14ac:dyDescent="0.3">
      <c r="A22" t="s">
        <v>218</v>
      </c>
    </row>
    <row r="23" spans="1:1" x14ac:dyDescent="0.3">
      <c r="A23" t="s">
        <v>131</v>
      </c>
    </row>
    <row r="24" spans="1:1" x14ac:dyDescent="0.3">
      <c r="A24" t="s">
        <v>132</v>
      </c>
    </row>
    <row r="25" spans="1:1" x14ac:dyDescent="0.3">
      <c r="A25" t="s">
        <v>133</v>
      </c>
    </row>
    <row r="26" spans="1:1" x14ac:dyDescent="0.3">
      <c r="A26" t="s">
        <v>134</v>
      </c>
    </row>
    <row r="27" spans="1:1" x14ac:dyDescent="0.3">
      <c r="A27" t="s">
        <v>190</v>
      </c>
    </row>
    <row r="28" spans="1:1" x14ac:dyDescent="0.3">
      <c r="A28" t="s">
        <v>135</v>
      </c>
    </row>
    <row r="29" spans="1:1" x14ac:dyDescent="0.3">
      <c r="A29" t="s">
        <v>136</v>
      </c>
    </row>
    <row r="30" spans="1:1" x14ac:dyDescent="0.3">
      <c r="A30" t="s">
        <v>137</v>
      </c>
    </row>
    <row r="31" spans="1:1" x14ac:dyDescent="0.3">
      <c r="A31" t="s">
        <v>138</v>
      </c>
    </row>
    <row r="32" spans="1:1" x14ac:dyDescent="0.3">
      <c r="A32" t="s">
        <v>139</v>
      </c>
    </row>
    <row r="33" spans="1:68" x14ac:dyDescent="0.3">
      <c r="A33" t="s">
        <v>140</v>
      </c>
    </row>
    <row r="34" spans="1:68" x14ac:dyDescent="0.3">
      <c r="A34" t="s">
        <v>189</v>
      </c>
    </row>
    <row r="37" spans="1:68" x14ac:dyDescent="0.3">
      <c r="A37" t="s">
        <v>2</v>
      </c>
    </row>
    <row r="38" spans="1:68" x14ac:dyDescent="0.3">
      <c r="A38">
        <f>2*1.016*2</f>
        <v>4.0640000000000001</v>
      </c>
      <c r="B38" t="s">
        <v>103</v>
      </c>
    </row>
    <row r="39" spans="1:68" x14ac:dyDescent="0.3">
      <c r="A39">
        <v>10000</v>
      </c>
      <c r="B39" t="s">
        <v>4</v>
      </c>
    </row>
    <row r="40" spans="1:68" x14ac:dyDescent="0.3">
      <c r="A40">
        <v>0.28000000000000003</v>
      </c>
      <c r="B40" t="s">
        <v>118</v>
      </c>
      <c r="I40" s="2"/>
    </row>
    <row r="41" spans="1:68" x14ac:dyDescent="0.3">
      <c r="A41">
        <v>1.68</v>
      </c>
      <c r="B41" t="s">
        <v>48</v>
      </c>
    </row>
    <row r="42" spans="1:68" x14ac:dyDescent="0.3">
      <c r="AJ42" t="s">
        <v>33</v>
      </c>
    </row>
    <row r="44" spans="1:68" x14ac:dyDescent="0.3">
      <c r="B44" s="3"/>
      <c r="C44" s="3" t="s">
        <v>0</v>
      </c>
      <c r="D44" s="3" t="s">
        <v>0</v>
      </c>
      <c r="E44" t="s">
        <v>0</v>
      </c>
      <c r="F44" t="s">
        <v>0</v>
      </c>
      <c r="G44" t="s">
        <v>0</v>
      </c>
      <c r="H44" s="3" t="s">
        <v>0</v>
      </c>
      <c r="I44" s="3" t="s">
        <v>12</v>
      </c>
      <c r="J44" t="s">
        <v>12</v>
      </c>
      <c r="K44" t="s">
        <v>12</v>
      </c>
      <c r="L44" s="3" t="s">
        <v>12</v>
      </c>
      <c r="M44" s="3" t="s">
        <v>12</v>
      </c>
      <c r="N44" s="3" t="s">
        <v>12</v>
      </c>
      <c r="O44" t="s">
        <v>11</v>
      </c>
      <c r="P44" t="s">
        <v>11</v>
      </c>
      <c r="Q44" t="s">
        <v>11</v>
      </c>
      <c r="R44" t="s">
        <v>11</v>
      </c>
      <c r="S44" s="3" t="s">
        <v>11</v>
      </c>
      <c r="T44" s="3" t="s">
        <v>11</v>
      </c>
      <c r="U44" s="3" t="s">
        <v>28</v>
      </c>
      <c r="V44" s="3" t="s">
        <v>28</v>
      </c>
      <c r="W44" s="3" t="s">
        <v>28</v>
      </c>
      <c r="X44" s="3" t="s">
        <v>28</v>
      </c>
      <c r="Y44" s="3" t="s">
        <v>28</v>
      </c>
      <c r="Z44" s="3" t="s">
        <v>28</v>
      </c>
      <c r="AB44" s="3" t="s">
        <v>41</v>
      </c>
      <c r="AC44" s="3" t="s">
        <v>41</v>
      </c>
      <c r="AD44" s="3" t="s">
        <v>41</v>
      </c>
      <c r="AE44" s="3" t="s">
        <v>41</v>
      </c>
      <c r="AF44" s="3" t="s">
        <v>41</v>
      </c>
      <c r="AG44" s="3" t="s">
        <v>41</v>
      </c>
      <c r="AH44" s="3" t="s">
        <v>41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12</v>
      </c>
      <c r="AR44" t="s">
        <v>12</v>
      </c>
      <c r="AS44" t="s">
        <v>12</v>
      </c>
      <c r="AT44" t="s">
        <v>12</v>
      </c>
      <c r="AU44" t="s">
        <v>12</v>
      </c>
      <c r="AV44" t="s">
        <v>12</v>
      </c>
      <c r="AW44" t="s">
        <v>11</v>
      </c>
      <c r="AX44" t="s">
        <v>11</v>
      </c>
      <c r="AY44" t="s">
        <v>11</v>
      </c>
      <c r="AZ44" t="s">
        <v>11</v>
      </c>
      <c r="BA44" t="s">
        <v>11</v>
      </c>
      <c r="BB44" t="s">
        <v>11</v>
      </c>
      <c r="BC44" t="s">
        <v>28</v>
      </c>
      <c r="BD44" t="s">
        <v>28</v>
      </c>
      <c r="BE44" t="s">
        <v>28</v>
      </c>
      <c r="BF44" t="s">
        <v>28</v>
      </c>
      <c r="BG44" t="s">
        <v>28</v>
      </c>
      <c r="BH44" t="s">
        <v>28</v>
      </c>
      <c r="BJ44" t="s">
        <v>41</v>
      </c>
      <c r="BK44" t="s">
        <v>41</v>
      </c>
      <c r="BL44" t="s">
        <v>41</v>
      </c>
      <c r="BM44" t="s">
        <v>41</v>
      </c>
      <c r="BN44" t="s">
        <v>41</v>
      </c>
      <c r="BO44" t="s">
        <v>41</v>
      </c>
      <c r="BP44" t="s">
        <v>41</v>
      </c>
    </row>
    <row r="45" spans="1:68" x14ac:dyDescent="0.3">
      <c r="B45" s="3"/>
      <c r="C45" s="3"/>
      <c r="D45" s="3"/>
      <c r="H45" s="3"/>
      <c r="I45" s="3"/>
      <c r="L45" s="3"/>
      <c r="M45" s="3"/>
      <c r="N45" s="3"/>
      <c r="O45" t="s">
        <v>21</v>
      </c>
      <c r="P45" t="s">
        <v>121</v>
      </c>
      <c r="Q45" t="s">
        <v>21</v>
      </c>
      <c r="R45" t="s">
        <v>22</v>
      </c>
      <c r="S45" s="3"/>
      <c r="T45" s="3"/>
      <c r="U45" s="3"/>
      <c r="V45" s="3"/>
      <c r="W45" s="3"/>
      <c r="X45" s="3"/>
      <c r="Y45" s="3"/>
      <c r="Z45" s="3"/>
      <c r="AB45" s="3"/>
      <c r="AC45" s="3"/>
      <c r="AD45" s="3"/>
      <c r="AE45" s="3"/>
      <c r="AF45" s="3"/>
      <c r="AG45" s="3"/>
      <c r="AH45" s="3"/>
      <c r="AW45" t="s">
        <v>21</v>
      </c>
      <c r="AX45" t="s">
        <v>121</v>
      </c>
      <c r="AY45" t="s">
        <v>21</v>
      </c>
      <c r="AZ45" t="s">
        <v>22</v>
      </c>
    </row>
    <row r="46" spans="1:68" x14ac:dyDescent="0.3">
      <c r="B46" s="3"/>
      <c r="C46" s="3"/>
      <c r="D46" s="3"/>
      <c r="E46" t="s">
        <v>13</v>
      </c>
      <c r="F46" t="s">
        <v>24</v>
      </c>
      <c r="G46" t="s">
        <v>13</v>
      </c>
      <c r="H46" s="3"/>
      <c r="I46" s="3" t="s">
        <v>45</v>
      </c>
      <c r="J46" t="s">
        <v>16</v>
      </c>
      <c r="K46" t="s">
        <v>15</v>
      </c>
      <c r="L46" s="3"/>
      <c r="M46" s="3"/>
      <c r="N46" s="3"/>
      <c r="O46" t="s">
        <v>120</v>
      </c>
      <c r="P46" t="s">
        <v>122</v>
      </c>
      <c r="Q46" t="s">
        <v>123</v>
      </c>
      <c r="R46" t="s">
        <v>19</v>
      </c>
      <c r="S46" s="3"/>
      <c r="T46" s="3"/>
      <c r="U46" s="3"/>
      <c r="V46" s="3"/>
      <c r="W46" s="3"/>
      <c r="X46" s="3"/>
      <c r="Y46" s="3"/>
      <c r="Z46" s="3"/>
      <c r="AB46" s="3"/>
      <c r="AC46" s="3"/>
      <c r="AD46" s="3"/>
      <c r="AE46" s="3"/>
      <c r="AF46" s="3"/>
      <c r="AG46" s="3"/>
      <c r="AH46" s="3"/>
      <c r="AM46" t="s">
        <v>13</v>
      </c>
      <c r="AN46" t="s">
        <v>24</v>
      </c>
      <c r="AO46" t="s">
        <v>13</v>
      </c>
      <c r="AQ46" t="s">
        <v>45</v>
      </c>
      <c r="AR46" t="s">
        <v>16</v>
      </c>
      <c r="AS46" t="s">
        <v>15</v>
      </c>
      <c r="AW46" t="s">
        <v>120</v>
      </c>
      <c r="AX46" t="s">
        <v>122</v>
      </c>
      <c r="AY46" t="s">
        <v>123</v>
      </c>
      <c r="AZ46" t="s">
        <v>19</v>
      </c>
    </row>
    <row r="47" spans="1:68" x14ac:dyDescent="0.3">
      <c r="A47" t="s">
        <v>100</v>
      </c>
      <c r="B47" s="3" t="s">
        <v>51</v>
      </c>
      <c r="C47" s="3" t="s">
        <v>104</v>
      </c>
      <c r="D47" s="3" t="s">
        <v>105</v>
      </c>
      <c r="E47" t="s">
        <v>1</v>
      </c>
      <c r="F47" t="s">
        <v>20</v>
      </c>
      <c r="G47" t="s">
        <v>3</v>
      </c>
      <c r="H47" s="3" t="s">
        <v>5</v>
      </c>
      <c r="I47" s="3" t="s">
        <v>44</v>
      </c>
      <c r="J47" t="s">
        <v>1</v>
      </c>
      <c r="K47" t="s">
        <v>47</v>
      </c>
      <c r="L47" s="3" t="s">
        <v>8</v>
      </c>
      <c r="M47" s="3" t="s">
        <v>9</v>
      </c>
      <c r="N47" s="3" t="s">
        <v>10</v>
      </c>
      <c r="O47" t="s">
        <v>23</v>
      </c>
      <c r="P47" t="s">
        <v>23</v>
      </c>
      <c r="Q47" t="s">
        <v>23</v>
      </c>
      <c r="R47" t="s">
        <v>23</v>
      </c>
      <c r="S47" s="3" t="s">
        <v>221</v>
      </c>
      <c r="T47" s="3" t="s">
        <v>222</v>
      </c>
      <c r="U47" s="3" t="s">
        <v>25</v>
      </c>
      <c r="V47" s="3" t="s">
        <v>26</v>
      </c>
      <c r="W47" s="3" t="s">
        <v>27</v>
      </c>
      <c r="X47" s="3" t="s">
        <v>29</v>
      </c>
      <c r="Y47" s="3" t="s">
        <v>30</v>
      </c>
      <c r="Z47" s="3" t="s">
        <v>31</v>
      </c>
      <c r="AA47" t="s">
        <v>42</v>
      </c>
      <c r="AB47" s="3" t="s">
        <v>46</v>
      </c>
      <c r="AC47" s="3" t="s">
        <v>34</v>
      </c>
      <c r="AD47" s="3" t="s">
        <v>35</v>
      </c>
      <c r="AE47" s="3" t="s">
        <v>36</v>
      </c>
      <c r="AF47" s="3" t="s">
        <v>37</v>
      </c>
      <c r="AG47" s="3" t="s">
        <v>38</v>
      </c>
      <c r="AH47" s="3" t="s">
        <v>39</v>
      </c>
      <c r="AJ47" t="s">
        <v>32</v>
      </c>
      <c r="AK47" t="s">
        <v>104</v>
      </c>
      <c r="AL47" t="s">
        <v>105</v>
      </c>
      <c r="AM47" t="s">
        <v>1</v>
      </c>
      <c r="AN47" t="s">
        <v>20</v>
      </c>
      <c r="AO47" t="s">
        <v>3</v>
      </c>
      <c r="AP47" t="s">
        <v>5</v>
      </c>
      <c r="AQ47" t="s">
        <v>44</v>
      </c>
      <c r="AR47" t="s">
        <v>1</v>
      </c>
      <c r="AS47" t="s">
        <v>47</v>
      </c>
      <c r="AT47" t="s">
        <v>8</v>
      </c>
      <c r="AU47" t="s">
        <v>9</v>
      </c>
      <c r="AV47" t="s">
        <v>10</v>
      </c>
      <c r="AW47" t="s">
        <v>23</v>
      </c>
      <c r="AX47" t="s">
        <v>23</v>
      </c>
      <c r="AY47" t="s">
        <v>23</v>
      </c>
      <c r="AZ47" t="s">
        <v>23</v>
      </c>
      <c r="BA47" t="s">
        <v>125</v>
      </c>
      <c r="BB47" t="s">
        <v>124</v>
      </c>
      <c r="BC47" t="s">
        <v>25</v>
      </c>
      <c r="BD47" t="s">
        <v>26</v>
      </c>
      <c r="BE47" t="s">
        <v>27</v>
      </c>
      <c r="BF47" t="s">
        <v>29</v>
      </c>
      <c r="BG47" t="s">
        <v>30</v>
      </c>
      <c r="BH47" t="s">
        <v>31</v>
      </c>
      <c r="BI47" t="s">
        <v>42</v>
      </c>
      <c r="BJ47" t="s">
        <v>46</v>
      </c>
      <c r="BK47" t="s">
        <v>34</v>
      </c>
      <c r="BL47" t="s">
        <v>35</v>
      </c>
      <c r="BM47" t="s">
        <v>36</v>
      </c>
      <c r="BN47" t="s">
        <v>37</v>
      </c>
      <c r="BO47" t="s">
        <v>38</v>
      </c>
      <c r="BP47" t="s">
        <v>39</v>
      </c>
    </row>
    <row r="48" spans="1:68" x14ac:dyDescent="0.3">
      <c r="B48" s="3"/>
      <c r="C48" s="3"/>
      <c r="D48" s="3"/>
      <c r="E48" t="s">
        <v>14</v>
      </c>
      <c r="F48" t="s">
        <v>14</v>
      </c>
      <c r="G48" t="s">
        <v>14</v>
      </c>
      <c r="H48" s="3" t="s">
        <v>6</v>
      </c>
      <c r="I48" s="3"/>
      <c r="J48" s="2" t="s">
        <v>14</v>
      </c>
      <c r="K48" s="2" t="s">
        <v>14</v>
      </c>
      <c r="L48" s="5" t="s">
        <v>17</v>
      </c>
      <c r="M48" s="5" t="s">
        <v>17</v>
      </c>
      <c r="N48" s="5" t="s">
        <v>17</v>
      </c>
      <c r="O48" t="s">
        <v>18</v>
      </c>
      <c r="P48" t="s">
        <v>18</v>
      </c>
      <c r="Q48" s="2" t="s">
        <v>18</v>
      </c>
      <c r="R48" t="s">
        <v>18</v>
      </c>
      <c r="S48" s="3" t="s">
        <v>7</v>
      </c>
      <c r="T48" s="3" t="s">
        <v>7</v>
      </c>
      <c r="U48" s="5" t="s">
        <v>6</v>
      </c>
      <c r="V48" s="5" t="s">
        <v>6</v>
      </c>
      <c r="W48" s="5" t="s">
        <v>6</v>
      </c>
      <c r="X48" s="5" t="s">
        <v>6</v>
      </c>
      <c r="Y48" s="5" t="s">
        <v>6</v>
      </c>
      <c r="Z48" s="5" t="s">
        <v>6</v>
      </c>
      <c r="AA48" s="2"/>
      <c r="AB48" s="5"/>
      <c r="AC48" s="5"/>
      <c r="AD48" s="5" t="s">
        <v>43</v>
      </c>
      <c r="AE48" s="5" t="s">
        <v>7</v>
      </c>
      <c r="AF48" s="5" t="s">
        <v>40</v>
      </c>
      <c r="AG48" s="5" t="s">
        <v>7</v>
      </c>
      <c r="AH48" s="5" t="s">
        <v>7</v>
      </c>
      <c r="AM48" t="s">
        <v>14</v>
      </c>
      <c r="AN48" t="s">
        <v>14</v>
      </c>
      <c r="AO48" t="s">
        <v>14</v>
      </c>
      <c r="AP48" t="s">
        <v>6</v>
      </c>
      <c r="AR48" s="2" t="s">
        <v>14</v>
      </c>
      <c r="AS48" s="2" t="s">
        <v>14</v>
      </c>
      <c r="AT48" s="2" t="s">
        <v>17</v>
      </c>
      <c r="AU48" s="2" t="s">
        <v>17</v>
      </c>
      <c r="AV48" s="2" t="s">
        <v>17</v>
      </c>
      <c r="AW48" t="s">
        <v>18</v>
      </c>
      <c r="AX48" t="s">
        <v>18</v>
      </c>
      <c r="AY48" s="2" t="s">
        <v>18</v>
      </c>
      <c r="AZ48" t="s">
        <v>18</v>
      </c>
      <c r="BA48" t="s">
        <v>7</v>
      </c>
      <c r="BB48" t="s">
        <v>7</v>
      </c>
      <c r="BC48" s="2" t="s">
        <v>6</v>
      </c>
      <c r="BD48" s="2" t="s">
        <v>6</v>
      </c>
      <c r="BE48" s="2" t="s">
        <v>6</v>
      </c>
      <c r="BF48" s="2" t="s">
        <v>6</v>
      </c>
      <c r="BG48" s="2" t="s">
        <v>6</v>
      </c>
      <c r="BH48" s="2" t="s">
        <v>6</v>
      </c>
      <c r="BI48" s="2"/>
      <c r="BJ48" s="2"/>
      <c r="BK48" s="2"/>
      <c r="BL48" s="2" t="s">
        <v>43</v>
      </c>
      <c r="BM48" s="2" t="s">
        <v>7</v>
      </c>
      <c r="BN48" s="2" t="s">
        <v>40</v>
      </c>
      <c r="BO48" s="2" t="s">
        <v>7</v>
      </c>
      <c r="BP48" s="2" t="s">
        <v>7</v>
      </c>
    </row>
    <row r="49" spans="1:68" x14ac:dyDescent="0.3">
      <c r="A49" t="s">
        <v>100</v>
      </c>
      <c r="B49" s="3" t="s">
        <v>51</v>
      </c>
      <c r="C49" s="3" t="s">
        <v>104</v>
      </c>
      <c r="D49" s="3" t="s">
        <v>105</v>
      </c>
      <c r="H49" s="3" t="s">
        <v>5</v>
      </c>
      <c r="I49" s="3" t="s">
        <v>44</v>
      </c>
      <c r="L49" s="3" t="s">
        <v>8</v>
      </c>
      <c r="M49" s="3" t="s">
        <v>9</v>
      </c>
      <c r="N49" s="3" t="s">
        <v>10</v>
      </c>
      <c r="S49" s="3" t="s">
        <v>221</v>
      </c>
      <c r="T49" s="3" t="s">
        <v>222</v>
      </c>
      <c r="U49" s="3" t="s">
        <v>25</v>
      </c>
      <c r="V49" s="3" t="s">
        <v>26</v>
      </c>
      <c r="W49" s="3" t="s">
        <v>27</v>
      </c>
      <c r="X49" s="3" t="s">
        <v>29</v>
      </c>
      <c r="Y49" s="3" t="s">
        <v>30</v>
      </c>
      <c r="Z49" s="3" t="s">
        <v>31</v>
      </c>
      <c r="AB49" s="3" t="s">
        <v>46</v>
      </c>
      <c r="AC49" s="3" t="s">
        <v>34</v>
      </c>
      <c r="AD49" s="3" t="s">
        <v>35</v>
      </c>
      <c r="AE49" s="3" t="s">
        <v>36</v>
      </c>
      <c r="AF49" s="3" t="s">
        <v>37</v>
      </c>
      <c r="AG49" s="3" t="s">
        <v>38</v>
      </c>
      <c r="AH49" s="3" t="s">
        <v>39</v>
      </c>
      <c r="AJ49" t="s">
        <v>32</v>
      </c>
      <c r="AK49" t="s">
        <v>104</v>
      </c>
      <c r="AL49" t="s">
        <v>105</v>
      </c>
      <c r="AP49" t="s">
        <v>5</v>
      </c>
      <c r="AQ49" t="s">
        <v>44</v>
      </c>
      <c r="AT49" t="s">
        <v>8</v>
      </c>
      <c r="AU49" t="s">
        <v>9</v>
      </c>
      <c r="AV49" t="s">
        <v>10</v>
      </c>
      <c r="BA49" t="s">
        <v>125</v>
      </c>
      <c r="BB49" t="s">
        <v>124</v>
      </c>
      <c r="BC49" t="s">
        <v>25</v>
      </c>
      <c r="BD49" t="s">
        <v>26</v>
      </c>
      <c r="BE49" t="s">
        <v>27</v>
      </c>
      <c r="BF49" t="s">
        <v>29</v>
      </c>
      <c r="BG49" t="s">
        <v>30</v>
      </c>
      <c r="BH49" t="s">
        <v>31</v>
      </c>
      <c r="BJ49" t="s">
        <v>46</v>
      </c>
      <c r="BK49" t="s">
        <v>34</v>
      </c>
      <c r="BL49" t="s">
        <v>35</v>
      </c>
      <c r="BM49" t="s">
        <v>36</v>
      </c>
      <c r="BN49" t="s">
        <v>37</v>
      </c>
      <c r="BO49" t="s">
        <v>38</v>
      </c>
      <c r="BP49" t="s">
        <v>39</v>
      </c>
    </row>
    <row r="50" spans="1:68" x14ac:dyDescent="0.3">
      <c r="A50">
        <v>1</v>
      </c>
      <c r="B50" s="3" t="s">
        <v>223</v>
      </c>
      <c r="C50" s="3" t="s">
        <v>106</v>
      </c>
      <c r="D50" s="13">
        <v>43768</v>
      </c>
      <c r="E50" s="2">
        <v>2.2400000000000002</v>
      </c>
      <c r="F50" s="2">
        <v>0.16</v>
      </c>
      <c r="G50" s="2">
        <f>E50-F50</f>
        <v>2.08</v>
      </c>
      <c r="H50" s="4">
        <f>G50/$A$38*$A$39</f>
        <v>5118.110236220472</v>
      </c>
      <c r="I50" s="10">
        <v>43787</v>
      </c>
      <c r="J50" s="2">
        <v>1.1000000000000001</v>
      </c>
      <c r="K50" s="2">
        <v>2.7</v>
      </c>
      <c r="L50" s="6">
        <f>(J50-$A$40)/G50</f>
        <v>0.39423076923076927</v>
      </c>
      <c r="M50" s="6">
        <f>(K50-$A$41)/G50</f>
        <v>0.49038461538461547</v>
      </c>
      <c r="N50" s="6">
        <f>1-L50-M50</f>
        <v>0.11538461538461525</v>
      </c>
      <c r="O50" s="2">
        <v>77</v>
      </c>
      <c r="P50" s="2">
        <v>74.819999999999993</v>
      </c>
      <c r="Q50" s="2">
        <v>170.79</v>
      </c>
      <c r="R50" s="2">
        <v>163.99</v>
      </c>
      <c r="S50" s="5">
        <f>(O50-P50)/O50*100</f>
        <v>2.8311688311688399</v>
      </c>
      <c r="T50" s="5">
        <f>(Q50-R50)/Q50*100</f>
        <v>3.9814977457696488</v>
      </c>
      <c r="U50" s="4">
        <f>H50*L50</f>
        <v>2017.7165354330709</v>
      </c>
      <c r="V50" s="4">
        <f>H50*M50</f>
        <v>2509.8425196850394</v>
      </c>
      <c r="W50" s="4">
        <f>U50+V50</f>
        <v>4527.5590551181103</v>
      </c>
      <c r="X50" s="4">
        <f>U50*(1-S50/100)</f>
        <v>1960.5915737805501</v>
      </c>
      <c r="Y50" s="4">
        <f>V50*(1-T50/100)</f>
        <v>2409.9131963414115</v>
      </c>
      <c r="Z50" s="4">
        <f>X50+Y50</f>
        <v>4370.5047701219619</v>
      </c>
      <c r="AA50" t="s">
        <v>141</v>
      </c>
      <c r="AB50" s="10">
        <v>43803</v>
      </c>
      <c r="AC50" s="4">
        <v>48.3</v>
      </c>
      <c r="AD50" s="5">
        <v>1.07</v>
      </c>
      <c r="AE50" s="4">
        <v>79.5</v>
      </c>
      <c r="AF50" s="4">
        <v>26.3</v>
      </c>
      <c r="AG50" s="4">
        <v>8.8000000000000007</v>
      </c>
      <c r="AH50" s="4">
        <v>10.9</v>
      </c>
      <c r="AJ50" s="14">
        <v>11</v>
      </c>
      <c r="AK50" s="1" t="s">
        <v>106</v>
      </c>
      <c r="AL50" s="11">
        <f>D50</f>
        <v>43768</v>
      </c>
      <c r="AM50" s="2">
        <f>SUM(E50:E51)</f>
        <v>4.68</v>
      </c>
      <c r="AN50" s="2">
        <f>SUM(F50:F51)</f>
        <v>0.32</v>
      </c>
      <c r="AO50" s="2">
        <f>AM50-AN50</f>
        <v>4.3599999999999994</v>
      </c>
      <c r="AP50" s="1">
        <f>AO50/(2*$A$38)*$A$39</f>
        <v>5364.1732283464562</v>
      </c>
      <c r="AQ50" s="11">
        <f>I50</f>
        <v>43787</v>
      </c>
      <c r="AR50" s="2">
        <f>SUM(J50:J51)</f>
        <v>2.2599999999999998</v>
      </c>
      <c r="AS50" s="2">
        <f>SUM(K50:K51)</f>
        <v>5.54</v>
      </c>
      <c r="AT50" s="7">
        <f>(AR50-2*$A$40)/AO50</f>
        <v>0.38990825688073394</v>
      </c>
      <c r="AU50" s="7">
        <f>(AS50-2*$A$41)/AO50</f>
        <v>0.50000000000000011</v>
      </c>
      <c r="AV50" s="7">
        <f>1-AT50-AU50</f>
        <v>0.11009174311926595</v>
      </c>
      <c r="AW50" s="2">
        <f>SUM(O50:O51)</f>
        <v>117.44</v>
      </c>
      <c r="AX50" s="2">
        <f t="shared" ref="AX50:AZ50" si="0">SUM(P50:P51)</f>
        <v>114.22</v>
      </c>
      <c r="AY50" s="2">
        <f t="shared" si="0"/>
        <v>296.77</v>
      </c>
      <c r="AZ50" s="2">
        <f t="shared" si="0"/>
        <v>284.83000000000004</v>
      </c>
      <c r="BA50" s="2">
        <f>(AW50-AX50)/AW50*100</f>
        <v>2.7418256130790182</v>
      </c>
      <c r="BB50" s="2">
        <f>(AY50-AZ50)/AY50*100</f>
        <v>4.0233177207938615</v>
      </c>
      <c r="BC50" s="1">
        <f>AP50*AT50</f>
        <v>2091.535433070866</v>
      </c>
      <c r="BD50" s="1">
        <f>AP50*AU50</f>
        <v>2682.0866141732286</v>
      </c>
      <c r="BE50" s="1">
        <f>BC50+BD50</f>
        <v>4773.6220472440946</v>
      </c>
      <c r="BF50" s="1">
        <f>BC50*(1-BA50/100)</f>
        <v>2034.1891788603059</v>
      </c>
      <c r="BG50" s="1">
        <f>BD50*(1-BB50/100)</f>
        <v>2574.1777481381569</v>
      </c>
      <c r="BH50" s="1">
        <f>BF50+BG50</f>
        <v>4608.366926998463</v>
      </c>
      <c r="BI50" s="11" t="str">
        <f>AA50</f>
        <v>0991913411202</v>
      </c>
      <c r="BJ50" s="11">
        <f>AB50</f>
        <v>43803</v>
      </c>
      <c r="BK50" s="1">
        <f>AVERAGE(AC50:AC51)</f>
        <v>48.45</v>
      </c>
      <c r="BL50" s="2">
        <f t="shared" ref="BL50:BP50" si="1">AVERAGE(AD50:AD51)</f>
        <v>1.0350000000000001</v>
      </c>
      <c r="BM50" s="1">
        <f t="shared" si="1"/>
        <v>78.400000000000006</v>
      </c>
      <c r="BN50" s="1">
        <f t="shared" si="1"/>
        <v>25.25</v>
      </c>
      <c r="BO50" s="1">
        <f t="shared" si="1"/>
        <v>9.1000000000000014</v>
      </c>
      <c r="BP50" s="1">
        <f t="shared" si="1"/>
        <v>12.15</v>
      </c>
    </row>
    <row r="51" spans="1:68" x14ac:dyDescent="0.3">
      <c r="A51">
        <v>2</v>
      </c>
      <c r="B51" s="3" t="s">
        <v>294</v>
      </c>
      <c r="C51" s="3" t="s">
        <v>106</v>
      </c>
      <c r="D51" s="13">
        <v>43768</v>
      </c>
      <c r="E51" s="2">
        <v>2.44</v>
      </c>
      <c r="F51" s="2">
        <v>0.16</v>
      </c>
      <c r="G51" s="2">
        <f t="shared" ref="G51:G97" si="2">E51-F51</f>
        <v>2.2799999999999998</v>
      </c>
      <c r="H51" s="4">
        <f t="shared" ref="H51:H97" si="3">G51/$A$38*$A$39</f>
        <v>5610.2362204724395</v>
      </c>
      <c r="I51" s="10">
        <v>43787</v>
      </c>
      <c r="J51" s="2">
        <v>1.1599999999999999</v>
      </c>
      <c r="K51" s="2">
        <v>2.84</v>
      </c>
      <c r="L51" s="6">
        <f t="shared" ref="L51:L97" si="4">(J51-$A$40)/G51</f>
        <v>0.38596491228070173</v>
      </c>
      <c r="M51" s="6">
        <f t="shared" ref="M51:M97" si="5">(K51-$A$41)/G51</f>
        <v>0.50877192982456143</v>
      </c>
      <c r="N51" s="6">
        <f t="shared" ref="N51:N97" si="6">1-L51-M51</f>
        <v>0.10526315789473684</v>
      </c>
      <c r="O51" s="2">
        <v>40.44</v>
      </c>
      <c r="P51" s="2">
        <v>39.4</v>
      </c>
      <c r="Q51" s="2">
        <v>125.98</v>
      </c>
      <c r="R51" s="2">
        <v>120.84</v>
      </c>
      <c r="S51" s="5">
        <f t="shared" ref="S51:S97" si="7">(O51-P51)/O51*100</f>
        <v>2.5717111770524212</v>
      </c>
      <c r="T51" s="5">
        <f t="shared" ref="T51:T97" si="8">(Q51-R51)/Q51*100</f>
        <v>4.0800127004286395</v>
      </c>
      <c r="U51" s="4">
        <f t="shared" ref="U51:U97" si="9">H51*L51</f>
        <v>2165.3543307086607</v>
      </c>
      <c r="V51" s="4">
        <f t="shared" ref="V51:V97" si="10">H51*M51</f>
        <v>2854.3307086614168</v>
      </c>
      <c r="W51" s="4">
        <f t="shared" ref="W51:W97" si="11">U51+V51</f>
        <v>5019.685039370077</v>
      </c>
      <c r="X51" s="4">
        <f t="shared" ref="X51:X97" si="12">U51*(1-S51/100)</f>
        <v>2109.6676713630377</v>
      </c>
      <c r="Y51" s="4">
        <f t="shared" ref="Y51:Y97" si="13">V51*(1-T51/100)</f>
        <v>2737.8736532357962</v>
      </c>
      <c r="Z51" s="4">
        <f t="shared" ref="Z51:Z97" si="14">X51+Y51</f>
        <v>4847.5413245988339</v>
      </c>
      <c r="AA51" s="8" t="s">
        <v>165</v>
      </c>
      <c r="AB51" s="10">
        <v>43803</v>
      </c>
      <c r="AC51" s="4">
        <v>48.6</v>
      </c>
      <c r="AD51" s="5">
        <v>1</v>
      </c>
      <c r="AE51" s="4">
        <v>77.3</v>
      </c>
      <c r="AF51" s="4">
        <v>24.2</v>
      </c>
      <c r="AG51" s="4">
        <v>9.4</v>
      </c>
      <c r="AH51" s="4">
        <v>13.4</v>
      </c>
      <c r="AJ51" s="14"/>
      <c r="AK51" s="1"/>
      <c r="AL51" s="1"/>
      <c r="AM51" s="2"/>
      <c r="AN51" s="2"/>
      <c r="AO51" s="2"/>
      <c r="AP51" s="1"/>
      <c r="AQ51" s="2"/>
      <c r="AR51" s="2"/>
      <c r="AS51" s="2"/>
      <c r="AT51" s="7"/>
      <c r="AU51" s="7"/>
      <c r="AV51" s="7"/>
      <c r="AW51" s="2"/>
      <c r="AX51" s="2"/>
      <c r="AY51" s="2"/>
      <c r="AZ51" s="2"/>
      <c r="BA51" s="2"/>
      <c r="BB51" s="2"/>
      <c r="BC51" s="1"/>
      <c r="BD51" s="1"/>
      <c r="BE51" s="1"/>
      <c r="BF51" s="1"/>
      <c r="BG51" s="1"/>
      <c r="BH51" s="1"/>
      <c r="BI51" s="11"/>
      <c r="BJ51" s="1"/>
      <c r="BK51" s="1"/>
      <c r="BL51" s="2"/>
      <c r="BM51" s="1"/>
      <c r="BN51" s="1"/>
      <c r="BO51" s="1"/>
      <c r="BP51" s="1"/>
    </row>
    <row r="52" spans="1:68" x14ac:dyDescent="0.3">
      <c r="A52">
        <v>3</v>
      </c>
      <c r="B52" s="3" t="s">
        <v>224</v>
      </c>
      <c r="C52" s="3" t="s">
        <v>106</v>
      </c>
      <c r="D52" s="13">
        <v>43768</v>
      </c>
      <c r="E52" s="2">
        <v>2.4</v>
      </c>
      <c r="F52" s="2">
        <v>0.16</v>
      </c>
      <c r="G52" s="2">
        <f t="shared" si="2"/>
        <v>2.2399999999999998</v>
      </c>
      <c r="H52" s="4">
        <f t="shared" si="3"/>
        <v>5511.8110236220464</v>
      </c>
      <c r="I52" s="10">
        <v>43787</v>
      </c>
      <c r="J52" s="2">
        <v>1.1200000000000001</v>
      </c>
      <c r="K52" s="2">
        <v>2.9</v>
      </c>
      <c r="L52" s="6">
        <f t="shared" si="4"/>
        <v>0.37500000000000006</v>
      </c>
      <c r="M52" s="6">
        <f t="shared" si="5"/>
        <v>0.54464285714285721</v>
      </c>
      <c r="N52" s="6">
        <f t="shared" si="6"/>
        <v>8.0357142857142794E-2</v>
      </c>
      <c r="O52" s="2">
        <v>47.09</v>
      </c>
      <c r="P52" s="2">
        <v>45.77</v>
      </c>
      <c r="Q52" s="2">
        <v>159.56</v>
      </c>
      <c r="R52" s="2">
        <v>153.05000000000001</v>
      </c>
      <c r="S52" s="5">
        <f t="shared" si="7"/>
        <v>2.8031429178169467</v>
      </c>
      <c r="T52" s="5">
        <f t="shared" si="8"/>
        <v>4.0799699172724937</v>
      </c>
      <c r="U52" s="4">
        <f t="shared" si="9"/>
        <v>2066.9291338582675</v>
      </c>
      <c r="V52" s="4">
        <f t="shared" si="10"/>
        <v>3001.9685039370079</v>
      </c>
      <c r="W52" s="4">
        <f t="shared" si="11"/>
        <v>5068.8976377952749</v>
      </c>
      <c r="X52" s="4">
        <f t="shared" si="12"/>
        <v>2008.9901562262244</v>
      </c>
      <c r="Y52" s="4">
        <f t="shared" si="13"/>
        <v>2879.4890920503826</v>
      </c>
      <c r="Z52" s="4">
        <f t="shared" si="14"/>
        <v>4888.479248276607</v>
      </c>
      <c r="AA52" t="s">
        <v>142</v>
      </c>
      <c r="AB52" s="10">
        <v>43803</v>
      </c>
      <c r="AC52" s="4">
        <v>49</v>
      </c>
      <c r="AD52" s="5">
        <v>1.1000000000000001</v>
      </c>
      <c r="AE52" s="4">
        <v>81</v>
      </c>
      <c r="AF52" s="4">
        <v>27.5</v>
      </c>
      <c r="AG52" s="4">
        <v>9.1</v>
      </c>
      <c r="AH52" s="4">
        <v>10</v>
      </c>
      <c r="AJ52" s="14" t="s">
        <v>191</v>
      </c>
      <c r="AK52" s="1" t="s">
        <v>106</v>
      </c>
      <c r="AL52" s="11">
        <f>D52</f>
        <v>43768</v>
      </c>
      <c r="AM52" s="2">
        <f>SUM(E52:E53)</f>
        <v>5.0199999999999996</v>
      </c>
      <c r="AN52" s="2">
        <f>SUM(F52:F53)</f>
        <v>0.32</v>
      </c>
      <c r="AO52" s="2">
        <f>AM52-AN52</f>
        <v>4.6999999999999993</v>
      </c>
      <c r="AP52" s="1">
        <f>AO52/(2*$A$38)*$A$39</f>
        <v>5782.4803149606287</v>
      </c>
      <c r="AQ52" s="11">
        <f>I52</f>
        <v>43787</v>
      </c>
      <c r="AR52" s="2">
        <f>SUM(J52:J53)</f>
        <v>2.2800000000000002</v>
      </c>
      <c r="AS52" s="2">
        <f>SUM(K52:K53)</f>
        <v>5.82</v>
      </c>
      <c r="AT52" s="7">
        <f>(AR52-2*$A$40)/AO52</f>
        <v>0.36595744680851072</v>
      </c>
      <c r="AU52" s="7">
        <f>(AS52-2*$A$41)/AO52</f>
        <v>0.52340425531914914</v>
      </c>
      <c r="AV52" s="7">
        <f>1-AT52-AU52</f>
        <v>0.11063829787234014</v>
      </c>
      <c r="AW52" s="2">
        <f>SUM(O52:O53)</f>
        <v>110.57</v>
      </c>
      <c r="AX52" s="2">
        <f t="shared" ref="AX52" si="15">SUM(P52:P53)</f>
        <v>107.46000000000001</v>
      </c>
      <c r="AY52" s="2">
        <f t="shared" ref="AY52" si="16">SUM(Q52:Q53)</f>
        <v>315.61</v>
      </c>
      <c r="AZ52" s="2">
        <f t="shared" ref="AZ52" si="17">SUM(R52:R53)</f>
        <v>302.71000000000004</v>
      </c>
      <c r="BA52" s="2">
        <f>(AW52-AX52)/AW52*100</f>
        <v>2.8126978384733521</v>
      </c>
      <c r="BB52" s="2">
        <f>(AY52-AZ52)/AY52*100</f>
        <v>4.0873229618833298</v>
      </c>
      <c r="BC52" s="1">
        <f>AP52*AT52</f>
        <v>2116.1417322834645</v>
      </c>
      <c r="BD52" s="1">
        <f>AP52*AU52</f>
        <v>3026.5748031496069</v>
      </c>
      <c r="BE52" s="1">
        <f>BC52+BD52</f>
        <v>5142.7165354330718</v>
      </c>
      <c r="BF52" s="1">
        <f>BC52*(1-BA52/100)</f>
        <v>2056.6210595204948</v>
      </c>
      <c r="BG52" s="1">
        <f>BD52*(1-BB52/100)</f>
        <v>2902.8689162618975</v>
      </c>
      <c r="BH52" s="1">
        <f>BF52+BG52</f>
        <v>4959.4899757823923</v>
      </c>
      <c r="BI52" s="11" t="str">
        <f>AA52</f>
        <v>0991913412204</v>
      </c>
      <c r="BJ52" s="11">
        <f>AB52</f>
        <v>43803</v>
      </c>
      <c r="BK52" s="1">
        <f>AVERAGE(AC52:AC53)</f>
        <v>48.75</v>
      </c>
      <c r="BL52" s="2">
        <f t="shared" ref="BL52" si="18">AVERAGE(AD52:AD53)</f>
        <v>1.0750000000000002</v>
      </c>
      <c r="BM52" s="1">
        <f t="shared" ref="BM52" si="19">AVERAGE(AE52:AE53)</f>
        <v>80.2</v>
      </c>
      <c r="BN52" s="1">
        <f t="shared" ref="BN52" si="20">AVERAGE(AF52:AF53)</f>
        <v>27.05</v>
      </c>
      <c r="BO52" s="1">
        <f t="shared" ref="BO52" si="21">AVERAGE(AG52:AG53)</f>
        <v>8.8999999999999986</v>
      </c>
      <c r="BP52" s="1">
        <f t="shared" ref="BP52" si="22">AVERAGE(AH52:AH53)</f>
        <v>10.7</v>
      </c>
    </row>
    <row r="53" spans="1:68" x14ac:dyDescent="0.3">
      <c r="A53">
        <v>4</v>
      </c>
      <c r="B53" s="3" t="s">
        <v>225</v>
      </c>
      <c r="C53" s="3" t="s">
        <v>106</v>
      </c>
      <c r="D53" s="13">
        <v>43768</v>
      </c>
      <c r="E53" s="2">
        <v>2.62</v>
      </c>
      <c r="F53" s="2">
        <v>0.16</v>
      </c>
      <c r="G53" s="2">
        <f t="shared" si="2"/>
        <v>2.46</v>
      </c>
      <c r="H53" s="4">
        <f t="shared" si="3"/>
        <v>6053.1496062992128</v>
      </c>
      <c r="I53" s="10">
        <v>43787</v>
      </c>
      <c r="J53" s="2">
        <v>1.1599999999999999</v>
      </c>
      <c r="K53" s="2">
        <v>2.92</v>
      </c>
      <c r="L53" s="6">
        <f t="shared" si="4"/>
        <v>0.35772357723577231</v>
      </c>
      <c r="M53" s="6">
        <f t="shared" si="5"/>
        <v>0.50406504065040647</v>
      </c>
      <c r="N53" s="6">
        <f t="shared" si="6"/>
        <v>0.13821138211382122</v>
      </c>
      <c r="O53" s="2">
        <v>63.48</v>
      </c>
      <c r="P53" s="2">
        <v>61.69</v>
      </c>
      <c r="Q53" s="2">
        <v>156.05000000000001</v>
      </c>
      <c r="R53" s="2">
        <v>149.66</v>
      </c>
      <c r="S53" s="5">
        <f t="shared" si="7"/>
        <v>2.8197857592942648</v>
      </c>
      <c r="T53" s="5">
        <f t="shared" si="8"/>
        <v>4.0948413969881541</v>
      </c>
      <c r="U53" s="4">
        <f t="shared" si="9"/>
        <v>2165.3543307086611</v>
      </c>
      <c r="V53" s="4">
        <f t="shared" si="10"/>
        <v>3051.1811023622045</v>
      </c>
      <c r="W53" s="4">
        <f t="shared" si="11"/>
        <v>5216.5354330708651</v>
      </c>
      <c r="X53" s="4">
        <f t="shared" si="12"/>
        <v>2104.2959776530765</v>
      </c>
      <c r="Y53" s="4">
        <f t="shared" si="13"/>
        <v>2926.2400754855971</v>
      </c>
      <c r="Z53" s="4">
        <f t="shared" si="14"/>
        <v>5030.5360531386741</v>
      </c>
      <c r="AA53" s="8" t="s">
        <v>166</v>
      </c>
      <c r="AB53" s="10">
        <v>43803</v>
      </c>
      <c r="AC53" s="4">
        <v>48.5</v>
      </c>
      <c r="AD53" s="5">
        <v>1.05</v>
      </c>
      <c r="AE53" s="4">
        <v>79.400000000000006</v>
      </c>
      <c r="AF53" s="4">
        <v>26.6</v>
      </c>
      <c r="AG53" s="4">
        <v>8.6999999999999993</v>
      </c>
      <c r="AH53" s="4">
        <v>11.4</v>
      </c>
      <c r="AJ53" s="14"/>
      <c r="AK53" s="1"/>
      <c r="AL53" s="1"/>
      <c r="AM53" s="2"/>
      <c r="AN53" s="2"/>
      <c r="AO53" s="2"/>
      <c r="AP53" s="1"/>
      <c r="AQ53" s="2"/>
      <c r="AR53" s="2"/>
      <c r="AS53" s="2"/>
      <c r="AT53" s="7"/>
      <c r="AU53" s="7"/>
      <c r="AV53" s="7"/>
      <c r="AW53" s="2"/>
      <c r="AX53" s="2"/>
      <c r="AY53" s="2"/>
      <c r="AZ53" s="2"/>
      <c r="BA53" s="2"/>
      <c r="BB53" s="2"/>
      <c r="BC53" s="1"/>
      <c r="BD53" s="1"/>
      <c r="BE53" s="1"/>
      <c r="BF53" s="1"/>
      <c r="BG53" s="1"/>
      <c r="BH53" s="1"/>
      <c r="BI53" s="11"/>
      <c r="BJ53" s="1"/>
      <c r="BK53" s="1"/>
      <c r="BL53" s="2"/>
      <c r="BM53" s="1"/>
      <c r="BN53" s="1"/>
      <c r="BO53" s="1"/>
      <c r="BP53" s="1"/>
    </row>
    <row r="54" spans="1:68" x14ac:dyDescent="0.3">
      <c r="A54">
        <v>5</v>
      </c>
      <c r="B54" s="3" t="s">
        <v>226</v>
      </c>
      <c r="C54" s="3" t="s">
        <v>106</v>
      </c>
      <c r="D54" s="13">
        <v>43768</v>
      </c>
      <c r="E54" s="2">
        <v>1.98</v>
      </c>
      <c r="F54" s="2">
        <v>0.16</v>
      </c>
      <c r="G54" s="2">
        <f t="shared" si="2"/>
        <v>1.82</v>
      </c>
      <c r="H54" s="4">
        <f t="shared" si="3"/>
        <v>4478.3464566929133</v>
      </c>
      <c r="I54" s="10">
        <v>43787</v>
      </c>
      <c r="J54" s="2">
        <v>0.98</v>
      </c>
      <c r="K54" s="2">
        <v>2.62</v>
      </c>
      <c r="L54" s="6">
        <f t="shared" si="4"/>
        <v>0.38461538461538458</v>
      </c>
      <c r="M54" s="6">
        <f t="shared" si="5"/>
        <v>0.51648351648351654</v>
      </c>
      <c r="N54" s="6">
        <f t="shared" si="6"/>
        <v>9.8901098901098883E-2</v>
      </c>
      <c r="O54" s="2">
        <v>39.08</v>
      </c>
      <c r="P54" s="2">
        <v>38</v>
      </c>
      <c r="Q54" s="2">
        <v>158.87</v>
      </c>
      <c r="R54" s="2">
        <v>152.65</v>
      </c>
      <c r="S54" s="5">
        <f t="shared" si="7"/>
        <v>2.7635619242579281</v>
      </c>
      <c r="T54" s="5">
        <f t="shared" si="8"/>
        <v>3.9151507521873219</v>
      </c>
      <c r="U54" s="4">
        <f t="shared" si="9"/>
        <v>1722.4409448818897</v>
      </c>
      <c r="V54" s="4">
        <f t="shared" si="10"/>
        <v>2312.9921259842522</v>
      </c>
      <c r="W54" s="4">
        <f t="shared" si="11"/>
        <v>4035.4330708661419</v>
      </c>
      <c r="X54" s="4">
        <f t="shared" si="12"/>
        <v>1674.8402227613053</v>
      </c>
      <c r="Y54" s="4">
        <f t="shared" si="13"/>
        <v>2222.4349973657463</v>
      </c>
      <c r="Z54" s="4">
        <f t="shared" si="14"/>
        <v>3897.2752201270514</v>
      </c>
      <c r="AA54" t="s">
        <v>143</v>
      </c>
      <c r="AB54" s="10">
        <v>43803</v>
      </c>
      <c r="AC54" s="4">
        <v>51.1</v>
      </c>
      <c r="AD54" s="5">
        <v>1.04</v>
      </c>
      <c r="AE54" s="4">
        <v>80</v>
      </c>
      <c r="AF54" s="4">
        <v>25.6</v>
      </c>
      <c r="AG54" s="4">
        <v>9.1999999999999993</v>
      </c>
      <c r="AH54" s="4">
        <v>10.9</v>
      </c>
      <c r="AJ54" s="14" t="s">
        <v>192</v>
      </c>
      <c r="AK54" s="1" t="s">
        <v>106</v>
      </c>
      <c r="AL54" s="11">
        <f>D54</f>
        <v>43768</v>
      </c>
      <c r="AM54" s="2">
        <f>SUM(E54:E55)</f>
        <v>3.79</v>
      </c>
      <c r="AN54" s="2">
        <f>SUM(F54:F55)</f>
        <v>0.32</v>
      </c>
      <c r="AO54" s="2">
        <f>AM54-AN54</f>
        <v>3.47</v>
      </c>
      <c r="AP54" s="1">
        <f>AO54/(2*$A$38)*$A$39</f>
        <v>4269.1929133858266</v>
      </c>
      <c r="AQ54" s="11">
        <f>I54</f>
        <v>43787</v>
      </c>
      <c r="AR54" s="2">
        <f>SUM(J54:J55)</f>
        <v>1.9</v>
      </c>
      <c r="AS54" s="2">
        <f>SUM(K54:K55)</f>
        <v>5.0999999999999996</v>
      </c>
      <c r="AT54" s="7">
        <f>(AR54-2*$A$40)/AO54</f>
        <v>0.38616714697406335</v>
      </c>
      <c r="AU54" s="7">
        <f>(AS54-2*$A$41)/AO54</f>
        <v>0.50144092219020164</v>
      </c>
      <c r="AV54" s="7">
        <f>1-AT54-AU54</f>
        <v>0.11239193083573507</v>
      </c>
      <c r="AW54" s="2">
        <f>SUM(O54:O55)</f>
        <v>75.34</v>
      </c>
      <c r="AX54" s="2">
        <f t="shared" ref="AX54" si="23">SUM(P54:P55)</f>
        <v>73.25</v>
      </c>
      <c r="AY54" s="2">
        <f t="shared" ref="AY54" si="24">SUM(Q54:Q55)</f>
        <v>287.39999999999998</v>
      </c>
      <c r="AZ54" s="2">
        <f t="shared" ref="AZ54" si="25">SUM(R54:R55)</f>
        <v>276.23</v>
      </c>
      <c r="BA54" s="2">
        <f>(AW54-AX54)/AW54*100</f>
        <v>2.7740907884258075</v>
      </c>
      <c r="BB54" s="2">
        <f>(AY54-AZ54)/AY54*100</f>
        <v>3.8865692414752817</v>
      </c>
      <c r="BC54" s="1">
        <f>AP54*AT54</f>
        <v>1648.6220472440941</v>
      </c>
      <c r="BD54" s="1">
        <f>AP54*AU54</f>
        <v>2140.7480314960626</v>
      </c>
      <c r="BE54" s="1">
        <f>BC54+BD54</f>
        <v>3789.3700787401567</v>
      </c>
      <c r="BF54" s="1">
        <f>BC54*(1-BA54/100)</f>
        <v>1602.8877748955388</v>
      </c>
      <c r="BG54" s="1">
        <f>BD54*(1-BB54/100)</f>
        <v>2057.5463769664493</v>
      </c>
      <c r="BH54" s="1">
        <f>BF54+BG54</f>
        <v>3660.4341518619881</v>
      </c>
      <c r="BI54" s="11" t="str">
        <f>AA54</f>
        <v>0991913413206</v>
      </c>
      <c r="BJ54" s="11">
        <f>AB54</f>
        <v>43803</v>
      </c>
      <c r="BK54" s="1">
        <f>AVERAGE(AC54:AC55)</f>
        <v>49.55</v>
      </c>
      <c r="BL54" s="2">
        <f t="shared" ref="BL54" si="26">AVERAGE(AD54:AD55)</f>
        <v>1.0449999999999999</v>
      </c>
      <c r="BM54" s="1">
        <f t="shared" ref="BM54" si="27">AVERAGE(AE54:AE55)</f>
        <v>80.650000000000006</v>
      </c>
      <c r="BN54" s="1">
        <f t="shared" ref="BN54" si="28">AVERAGE(AF54:AF55)</f>
        <v>26</v>
      </c>
      <c r="BO54" s="1">
        <f t="shared" ref="BO54" si="29">AVERAGE(AG54:AG55)</f>
        <v>9.1</v>
      </c>
      <c r="BP54" s="1">
        <f t="shared" ref="BP54" si="30">AVERAGE(AH54:AH55)</f>
        <v>10.75</v>
      </c>
    </row>
    <row r="55" spans="1:68" x14ac:dyDescent="0.3">
      <c r="A55">
        <v>6</v>
      </c>
      <c r="B55" s="3" t="s">
        <v>227</v>
      </c>
      <c r="C55" s="3" t="s">
        <v>106</v>
      </c>
      <c r="D55" s="13">
        <v>43768</v>
      </c>
      <c r="E55" s="2">
        <v>1.81</v>
      </c>
      <c r="F55" s="2">
        <v>0.16</v>
      </c>
      <c r="G55" s="2">
        <f t="shared" si="2"/>
        <v>1.6500000000000001</v>
      </c>
      <c r="H55" s="4">
        <f t="shared" si="3"/>
        <v>4060.0393700787404</v>
      </c>
      <c r="I55" s="10">
        <v>43787</v>
      </c>
      <c r="J55" s="2">
        <v>0.92</v>
      </c>
      <c r="K55" s="2">
        <v>2.48</v>
      </c>
      <c r="L55" s="6">
        <f t="shared" si="4"/>
        <v>0.38787878787878788</v>
      </c>
      <c r="M55" s="6">
        <f t="shared" si="5"/>
        <v>0.48484848484848486</v>
      </c>
      <c r="N55" s="6">
        <f t="shared" si="6"/>
        <v>0.1272727272727272</v>
      </c>
      <c r="O55" s="2">
        <v>36.26</v>
      </c>
      <c r="P55" s="2">
        <v>35.25</v>
      </c>
      <c r="Q55" s="2">
        <v>128.53</v>
      </c>
      <c r="R55" s="2">
        <v>123.58</v>
      </c>
      <c r="S55" s="5">
        <f t="shared" si="7"/>
        <v>2.7854384997242088</v>
      </c>
      <c r="T55" s="5">
        <f t="shared" si="8"/>
        <v>3.8512409554189704</v>
      </c>
      <c r="U55" s="4">
        <f t="shared" si="9"/>
        <v>1574.8031496062993</v>
      </c>
      <c r="V55" s="4">
        <f t="shared" si="10"/>
        <v>1968.5039370078741</v>
      </c>
      <c r="W55" s="4">
        <f t="shared" si="11"/>
        <v>3543.3070866141734</v>
      </c>
      <c r="X55" s="4">
        <f t="shared" si="12"/>
        <v>1530.9379763822958</v>
      </c>
      <c r="Y55" s="4">
        <f t="shared" si="13"/>
        <v>1892.6921071767922</v>
      </c>
      <c r="Z55" s="4">
        <f t="shared" si="14"/>
        <v>3423.6300835590882</v>
      </c>
      <c r="AA55" s="8" t="s">
        <v>167</v>
      </c>
      <c r="AB55" s="10">
        <v>43803</v>
      </c>
      <c r="AC55" s="4">
        <v>48</v>
      </c>
      <c r="AD55" s="5">
        <v>1.05</v>
      </c>
      <c r="AE55" s="4">
        <v>81.3</v>
      </c>
      <c r="AF55" s="4">
        <v>26.4</v>
      </c>
      <c r="AG55" s="4">
        <v>9</v>
      </c>
      <c r="AH55" s="4">
        <v>10.6</v>
      </c>
      <c r="AJ55" s="14"/>
      <c r="AK55" s="1"/>
      <c r="AL55" s="1"/>
      <c r="AM55" s="2"/>
      <c r="AN55" s="2"/>
      <c r="AO55" s="2"/>
      <c r="AP55" s="1"/>
      <c r="AQ55" s="2"/>
      <c r="AR55" s="2"/>
      <c r="AS55" s="2"/>
      <c r="AT55" s="7"/>
      <c r="AU55" s="7"/>
      <c r="AV55" s="7"/>
      <c r="AW55" s="2"/>
      <c r="AX55" s="2"/>
      <c r="AY55" s="2"/>
      <c r="AZ55" s="2"/>
      <c r="BA55" s="2"/>
      <c r="BB55" s="2"/>
      <c r="BC55" s="1"/>
      <c r="BD55" s="1"/>
      <c r="BE55" s="1"/>
      <c r="BF55" s="1"/>
      <c r="BG55" s="1"/>
      <c r="BH55" s="1"/>
      <c r="BI55" s="11"/>
      <c r="BJ55" s="1"/>
      <c r="BK55" s="1"/>
      <c r="BL55" s="2"/>
      <c r="BM55" s="1"/>
      <c r="BN55" s="1"/>
      <c r="BO55" s="1"/>
      <c r="BP55" s="1"/>
    </row>
    <row r="56" spans="1:68" x14ac:dyDescent="0.3">
      <c r="A56">
        <v>7</v>
      </c>
      <c r="B56" s="3" t="s">
        <v>228</v>
      </c>
      <c r="C56" s="3" t="s">
        <v>106</v>
      </c>
      <c r="D56" s="13">
        <v>43768</v>
      </c>
      <c r="E56" s="2">
        <v>2.71</v>
      </c>
      <c r="F56" s="2">
        <v>0.16</v>
      </c>
      <c r="G56" s="2">
        <f t="shared" si="2"/>
        <v>2.5499999999999998</v>
      </c>
      <c r="H56" s="4">
        <f t="shared" si="3"/>
        <v>6274.6062992125981</v>
      </c>
      <c r="I56" s="10">
        <v>43787</v>
      </c>
      <c r="J56" s="2">
        <v>1.26</v>
      </c>
      <c r="K56" s="2">
        <v>3</v>
      </c>
      <c r="L56" s="6">
        <f t="shared" si="4"/>
        <v>0.3843137254901961</v>
      </c>
      <c r="M56" s="6">
        <f t="shared" si="5"/>
        <v>0.51764705882352946</v>
      </c>
      <c r="N56" s="6">
        <f t="shared" si="6"/>
        <v>9.8039215686274495E-2</v>
      </c>
      <c r="O56" s="2">
        <v>33.29</v>
      </c>
      <c r="P56" s="2">
        <v>32.369999999999997</v>
      </c>
      <c r="Q56" s="2">
        <v>138.66</v>
      </c>
      <c r="R56" s="2">
        <v>133.13999999999999</v>
      </c>
      <c r="S56" s="5">
        <f t="shared" si="7"/>
        <v>2.7635926704716183</v>
      </c>
      <c r="T56" s="5">
        <f t="shared" si="8"/>
        <v>3.9809606231068875</v>
      </c>
      <c r="U56" s="4">
        <f t="shared" si="9"/>
        <v>2411.4173228346458</v>
      </c>
      <c r="V56" s="4">
        <f t="shared" si="10"/>
        <v>3248.0314960629921</v>
      </c>
      <c r="W56" s="4">
        <f t="shared" si="11"/>
        <v>5659.4488188976375</v>
      </c>
      <c r="X56" s="4">
        <f t="shared" si="12"/>
        <v>2344.7755704463048</v>
      </c>
      <c r="Y56" s="4">
        <f t="shared" si="13"/>
        <v>3118.7286411786149</v>
      </c>
      <c r="Z56" s="4">
        <f t="shared" si="14"/>
        <v>5463.5042116249197</v>
      </c>
      <c r="AA56" t="s">
        <v>144</v>
      </c>
      <c r="AB56" s="10">
        <v>43803</v>
      </c>
      <c r="AC56" s="4">
        <v>49.800000000000004</v>
      </c>
      <c r="AD56" s="5">
        <v>1.1000000000000001</v>
      </c>
      <c r="AE56" s="4">
        <v>80.7</v>
      </c>
      <c r="AF56" s="4">
        <v>26.9</v>
      </c>
      <c r="AG56" s="4">
        <v>8.5</v>
      </c>
      <c r="AH56" s="4">
        <v>10.6</v>
      </c>
      <c r="AJ56" s="14" t="s">
        <v>193</v>
      </c>
      <c r="AK56" s="1" t="s">
        <v>106</v>
      </c>
      <c r="AL56" s="11">
        <f>D56</f>
        <v>43768</v>
      </c>
      <c r="AM56" s="2">
        <f>SUM(E56:E57)</f>
        <v>4.97</v>
      </c>
      <c r="AN56" s="2">
        <f>SUM(F56:F57)</f>
        <v>0.32</v>
      </c>
      <c r="AO56" s="2">
        <f>AM56-AN56</f>
        <v>4.6499999999999995</v>
      </c>
      <c r="AP56" s="1">
        <f>AO56/(2*$A$38)*$A$39</f>
        <v>5720.9645669291331</v>
      </c>
      <c r="AQ56" s="11">
        <f>I56</f>
        <v>43787</v>
      </c>
      <c r="AR56" s="2">
        <f>SUM(J56:J57)</f>
        <v>2.3600000000000003</v>
      </c>
      <c r="AS56" s="2">
        <f>SUM(K56:K57)</f>
        <v>5.7799999999999994</v>
      </c>
      <c r="AT56" s="7">
        <f>(AR56-2*$A$40)/AO56</f>
        <v>0.38709677419354849</v>
      </c>
      <c r="AU56" s="7">
        <f>(AS56-2*$A$41)/AO56</f>
        <v>0.52043010752688168</v>
      </c>
      <c r="AV56" s="7">
        <f>1-AT56-AU56</f>
        <v>9.2473118279569833E-2</v>
      </c>
      <c r="AW56" s="2">
        <f>SUM(O56:O57)</f>
        <v>83.62</v>
      </c>
      <c r="AX56" s="2">
        <f t="shared" ref="AX56" si="31">SUM(P56:P57)</f>
        <v>81.28</v>
      </c>
      <c r="AY56" s="2">
        <f t="shared" ref="AY56" si="32">SUM(Q56:Q57)</f>
        <v>272.14</v>
      </c>
      <c r="AZ56" s="2">
        <f t="shared" ref="AZ56" si="33">SUM(R56:R57)</f>
        <v>261.52999999999997</v>
      </c>
      <c r="BA56" s="2">
        <f>(AW56-AX56)/AW56*100</f>
        <v>2.7983735948337758</v>
      </c>
      <c r="BB56" s="2">
        <f>(AY56-AZ56)/AY56*100</f>
        <v>3.8987285955758115</v>
      </c>
      <c r="BC56" s="1">
        <f>AP56*AT56</f>
        <v>2214.5669291338586</v>
      </c>
      <c r="BD56" s="1">
        <f>AP56*AU56</f>
        <v>2977.3622047244089</v>
      </c>
      <c r="BE56" s="1">
        <f>BC56+BD56</f>
        <v>5191.929133858268</v>
      </c>
      <c r="BF56" s="1">
        <f>BC56*(1-BA56/100)</f>
        <v>2152.5950729490555</v>
      </c>
      <c r="BG56" s="1">
        <f>BD56*(1-BB56/100)</f>
        <v>2861.2829330549521</v>
      </c>
      <c r="BH56" s="1">
        <f>BF56+BG56</f>
        <v>5013.8780060040081</v>
      </c>
      <c r="BI56" s="11" t="str">
        <f>AA56</f>
        <v>0991913414208</v>
      </c>
      <c r="BJ56" s="11">
        <f>AB56</f>
        <v>43803</v>
      </c>
      <c r="BK56" s="1">
        <f>AVERAGE(AC56:AC57)</f>
        <v>50.6</v>
      </c>
      <c r="BL56" s="2">
        <f t="shared" ref="BL56" si="34">AVERAGE(AD56:AD57)</f>
        <v>1.08</v>
      </c>
      <c r="BM56" s="1">
        <f t="shared" ref="BM56" si="35">AVERAGE(AE56:AE57)</f>
        <v>80.5</v>
      </c>
      <c r="BN56" s="1">
        <f t="shared" ref="BN56" si="36">AVERAGE(AF56:AF57)</f>
        <v>26.95</v>
      </c>
      <c r="BO56" s="1">
        <f t="shared" ref="BO56" si="37">AVERAGE(AG56:AG57)</f>
        <v>8.9499999999999993</v>
      </c>
      <c r="BP56" s="1">
        <f t="shared" ref="BP56" si="38">AVERAGE(AH56:AH57)</f>
        <v>10.75</v>
      </c>
    </row>
    <row r="57" spans="1:68" x14ac:dyDescent="0.3">
      <c r="A57">
        <v>8</v>
      </c>
      <c r="B57" s="3" t="s">
        <v>229</v>
      </c>
      <c r="C57" s="3" t="s">
        <v>106</v>
      </c>
      <c r="D57" s="13">
        <v>43768</v>
      </c>
      <c r="E57" s="2">
        <v>2.2599999999999998</v>
      </c>
      <c r="F57" s="2">
        <v>0.16</v>
      </c>
      <c r="G57" s="2">
        <f t="shared" si="2"/>
        <v>2.0999999999999996</v>
      </c>
      <c r="H57" s="4">
        <f t="shared" si="3"/>
        <v>5167.3228346456681</v>
      </c>
      <c r="I57" s="10">
        <v>43787</v>
      </c>
      <c r="J57" s="2">
        <v>1.1000000000000001</v>
      </c>
      <c r="K57" s="2">
        <v>2.78</v>
      </c>
      <c r="L57" s="6">
        <f t="shared" si="4"/>
        <v>0.39047619047619059</v>
      </c>
      <c r="M57" s="6">
        <f t="shared" si="5"/>
        <v>0.52380952380952384</v>
      </c>
      <c r="N57" s="6">
        <f t="shared" si="6"/>
        <v>8.5714285714285521E-2</v>
      </c>
      <c r="O57" s="2">
        <v>50.33</v>
      </c>
      <c r="P57" s="2">
        <v>48.91</v>
      </c>
      <c r="Q57" s="2">
        <v>133.47999999999999</v>
      </c>
      <c r="R57" s="2">
        <v>128.38999999999999</v>
      </c>
      <c r="S57" s="5">
        <f t="shared" si="7"/>
        <v>2.8213788992648552</v>
      </c>
      <c r="T57" s="5">
        <f t="shared" si="8"/>
        <v>3.8133053640994929</v>
      </c>
      <c r="U57" s="4">
        <f t="shared" si="9"/>
        <v>2017.7165354330709</v>
      </c>
      <c r="V57" s="4">
        <f t="shared" si="10"/>
        <v>2706.6929133858262</v>
      </c>
      <c r="W57" s="4">
        <f t="shared" si="11"/>
        <v>4724.4094488188966</v>
      </c>
      <c r="X57" s="4">
        <f t="shared" si="12"/>
        <v>1960.7891068553843</v>
      </c>
      <c r="Y57" s="4">
        <f t="shared" si="13"/>
        <v>2603.4784473299837</v>
      </c>
      <c r="Z57" s="4">
        <f t="shared" si="14"/>
        <v>4564.2675541853678</v>
      </c>
      <c r="AA57" t="s">
        <v>168</v>
      </c>
      <c r="AB57" s="10">
        <v>43803</v>
      </c>
      <c r="AC57" s="4">
        <v>51.4</v>
      </c>
      <c r="AD57" s="5">
        <v>1.06</v>
      </c>
      <c r="AE57" s="4">
        <v>80.3</v>
      </c>
      <c r="AF57" s="4">
        <v>27</v>
      </c>
      <c r="AG57" s="4">
        <v>9.4</v>
      </c>
      <c r="AH57" s="4">
        <v>10.9</v>
      </c>
      <c r="AJ57" s="14"/>
      <c r="AK57" s="1"/>
      <c r="AL57" s="1"/>
      <c r="AM57" s="2"/>
      <c r="AN57" s="2"/>
      <c r="AO57" s="2"/>
      <c r="AP57" s="1"/>
      <c r="AQ57" s="2"/>
      <c r="AR57" s="2"/>
      <c r="AS57" s="2"/>
      <c r="AT57" s="7"/>
      <c r="AU57" s="7"/>
      <c r="AV57" s="7"/>
      <c r="AW57" s="2"/>
      <c r="AX57" s="2"/>
      <c r="AY57" s="2"/>
      <c r="AZ57" s="2"/>
      <c r="BA57" s="2"/>
      <c r="BB57" s="2"/>
      <c r="BC57" s="1"/>
      <c r="BD57" s="1"/>
      <c r="BE57" s="1"/>
      <c r="BF57" s="1"/>
      <c r="BG57" s="1"/>
      <c r="BH57" s="1"/>
      <c r="BI57" s="11"/>
      <c r="BJ57" s="1"/>
      <c r="BK57" s="1"/>
      <c r="BL57" s="2"/>
      <c r="BM57" s="1"/>
      <c r="BN57" s="1"/>
      <c r="BO57" s="1"/>
      <c r="BP57" s="1"/>
    </row>
    <row r="58" spans="1:68" x14ac:dyDescent="0.3">
      <c r="A58">
        <v>9</v>
      </c>
      <c r="B58" s="3" t="s">
        <v>230</v>
      </c>
      <c r="C58" s="3" t="s">
        <v>106</v>
      </c>
      <c r="D58" s="13">
        <v>43768</v>
      </c>
      <c r="E58" s="2">
        <v>2.58</v>
      </c>
      <c r="F58" s="2">
        <v>0.16</v>
      </c>
      <c r="G58" s="2">
        <f t="shared" si="2"/>
        <v>2.42</v>
      </c>
      <c r="H58" s="4">
        <f t="shared" si="3"/>
        <v>5954.7244094488187</v>
      </c>
      <c r="I58" s="10">
        <v>43787</v>
      </c>
      <c r="J58" s="2">
        <v>1.3</v>
      </c>
      <c r="K58" s="2">
        <v>3</v>
      </c>
      <c r="L58" s="6">
        <f t="shared" si="4"/>
        <v>0.42148760330578516</v>
      </c>
      <c r="M58" s="6">
        <f t="shared" si="5"/>
        <v>0.54545454545454553</v>
      </c>
      <c r="N58" s="6">
        <f t="shared" si="6"/>
        <v>3.3057851239669311E-2</v>
      </c>
      <c r="O58" s="2">
        <v>44.2</v>
      </c>
      <c r="P58" s="2">
        <v>42.99</v>
      </c>
      <c r="Q58" s="2">
        <v>150.77000000000001</v>
      </c>
      <c r="R58" s="2">
        <v>144.91</v>
      </c>
      <c r="S58" s="5">
        <f t="shared" si="7"/>
        <v>2.7375565610859747</v>
      </c>
      <c r="T58" s="5">
        <f t="shared" si="8"/>
        <v>3.8867148636996833</v>
      </c>
      <c r="U58" s="4">
        <f t="shared" si="9"/>
        <v>2509.8425196850394</v>
      </c>
      <c r="V58" s="4">
        <f t="shared" si="10"/>
        <v>3248.0314960629926</v>
      </c>
      <c r="W58" s="4">
        <f t="shared" si="11"/>
        <v>5757.8740157480315</v>
      </c>
      <c r="X58" s="4">
        <f t="shared" si="12"/>
        <v>2441.1341611144762</v>
      </c>
      <c r="Y58" s="4">
        <f t="shared" si="13"/>
        <v>3121.7897731278649</v>
      </c>
      <c r="Z58" s="4">
        <f t="shared" si="14"/>
        <v>5562.9239342423407</v>
      </c>
      <c r="AA58" t="s">
        <v>145</v>
      </c>
      <c r="AB58" s="10">
        <v>43803</v>
      </c>
      <c r="AC58" s="4">
        <v>47.699999999999996</v>
      </c>
      <c r="AD58" s="5">
        <v>1.1100000000000001</v>
      </c>
      <c r="AE58" s="4">
        <v>80.7</v>
      </c>
      <c r="AF58" s="4">
        <v>27.2</v>
      </c>
      <c r="AG58" s="4">
        <v>9.3000000000000007</v>
      </c>
      <c r="AH58" s="4">
        <v>9.5</v>
      </c>
      <c r="AJ58" s="14" t="s">
        <v>194</v>
      </c>
      <c r="AK58" s="1" t="s">
        <v>106</v>
      </c>
      <c r="AL58" s="11">
        <f>D58</f>
        <v>43768</v>
      </c>
      <c r="AM58" s="2">
        <f>SUM(E58:E59)</f>
        <v>5.13</v>
      </c>
      <c r="AN58" s="2">
        <f>SUM(F58:F59)</f>
        <v>0.32</v>
      </c>
      <c r="AO58" s="2">
        <f>AM58-AN58</f>
        <v>4.8099999999999996</v>
      </c>
      <c r="AP58" s="1">
        <f>AO58/(2*$A$38)*$A$39</f>
        <v>5917.8149606299203</v>
      </c>
      <c r="AQ58" s="11">
        <f>I58</f>
        <v>43787</v>
      </c>
      <c r="AR58" s="2">
        <f>SUM(J58:J59)</f>
        <v>2.4000000000000004</v>
      </c>
      <c r="AS58" s="2">
        <f>SUM(K58:K59)</f>
        <v>5.88</v>
      </c>
      <c r="AT58" s="7">
        <f>(AR58-2*$A$40)/AO58</f>
        <v>0.38253638253638261</v>
      </c>
      <c r="AU58" s="7">
        <f>(AS58-2*$A$41)/AO58</f>
        <v>0.52390852390852394</v>
      </c>
      <c r="AV58" s="7">
        <f>1-AT58-AU58</f>
        <v>9.3555093555093505E-2</v>
      </c>
      <c r="AW58" s="2">
        <f>SUM(O58:O59)</f>
        <v>98.4</v>
      </c>
      <c r="AX58" s="2">
        <f t="shared" ref="AX58" si="39">SUM(P58:P59)</f>
        <v>95.75</v>
      </c>
      <c r="AY58" s="2">
        <f t="shared" ref="AY58" si="40">SUM(Q58:Q59)</f>
        <v>284.90999999999997</v>
      </c>
      <c r="AZ58" s="2">
        <f t="shared" ref="AZ58" si="41">SUM(R58:R59)</f>
        <v>273.73</v>
      </c>
      <c r="BA58" s="2">
        <f>(AW58-AX58)/AW58*100</f>
        <v>2.6930894308943145</v>
      </c>
      <c r="BB58" s="2">
        <f>(AY58-AZ58)/AY58*100</f>
        <v>3.9240461900249031</v>
      </c>
      <c r="BC58" s="1">
        <f>AP58*AT58</f>
        <v>2263.7795275590552</v>
      </c>
      <c r="BD58" s="1">
        <f>AP58*AU58</f>
        <v>3100.393700787401</v>
      </c>
      <c r="BE58" s="1">
        <f>BC58+BD58</f>
        <v>5364.1732283464562</v>
      </c>
      <c r="BF58" s="1">
        <f>BC58*(1-BA58/100)</f>
        <v>2202.8139203636129</v>
      </c>
      <c r="BG58" s="1">
        <f>BD58*(1-BB58/100)</f>
        <v>2978.7328198958812</v>
      </c>
      <c r="BH58" s="1">
        <f>BF58+BG58</f>
        <v>5181.5467402594941</v>
      </c>
      <c r="BI58" s="11" t="str">
        <f>AA58</f>
        <v>0991913421210</v>
      </c>
      <c r="BJ58" s="11">
        <f>AB58</f>
        <v>43803</v>
      </c>
      <c r="BK58" s="1">
        <f>AVERAGE(AC58:AC59)</f>
        <v>47.05</v>
      </c>
      <c r="BL58" s="2">
        <f t="shared" ref="BL58" si="42">AVERAGE(AD58:AD59)</f>
        <v>1.105</v>
      </c>
      <c r="BM58" s="1">
        <f t="shared" ref="BM58" si="43">AVERAGE(AE58:AE59)</f>
        <v>80.75</v>
      </c>
      <c r="BN58" s="1">
        <f t="shared" ref="BN58" si="44">AVERAGE(AF58:AF59)</f>
        <v>27.25</v>
      </c>
      <c r="BO58" s="1">
        <f t="shared" ref="BO58" si="45">AVERAGE(AG58:AG59)</f>
        <v>9.1999999999999993</v>
      </c>
      <c r="BP58" s="1">
        <f t="shared" ref="BP58" si="46">AVERAGE(AH58:AH59)</f>
        <v>9.75</v>
      </c>
    </row>
    <row r="59" spans="1:68" x14ac:dyDescent="0.3">
      <c r="A59">
        <v>10</v>
      </c>
      <c r="B59" s="3" t="s">
        <v>231</v>
      </c>
      <c r="C59" s="3" t="s">
        <v>106</v>
      </c>
      <c r="D59" s="13">
        <v>43768</v>
      </c>
      <c r="E59" s="2">
        <v>2.5499999999999998</v>
      </c>
      <c r="F59" s="2">
        <v>0.16</v>
      </c>
      <c r="G59" s="2">
        <f t="shared" si="2"/>
        <v>2.3899999999999997</v>
      </c>
      <c r="H59" s="4">
        <f t="shared" si="3"/>
        <v>5880.9055118110227</v>
      </c>
      <c r="I59" s="10">
        <v>43787</v>
      </c>
      <c r="J59" s="2">
        <v>1.1000000000000001</v>
      </c>
      <c r="K59" s="2">
        <v>2.88</v>
      </c>
      <c r="L59" s="6">
        <f t="shared" si="4"/>
        <v>0.34309623430962349</v>
      </c>
      <c r="M59" s="6">
        <f t="shared" si="5"/>
        <v>0.50209205020920511</v>
      </c>
      <c r="N59" s="6">
        <f t="shared" si="6"/>
        <v>0.15481171548117134</v>
      </c>
      <c r="O59" s="2">
        <v>54.2</v>
      </c>
      <c r="P59" s="2">
        <v>52.76</v>
      </c>
      <c r="Q59" s="2">
        <v>134.13999999999999</v>
      </c>
      <c r="R59" s="2">
        <v>128.82</v>
      </c>
      <c r="S59" s="5">
        <f t="shared" si="7"/>
        <v>2.6568265682656915</v>
      </c>
      <c r="T59" s="5">
        <f t="shared" si="8"/>
        <v>3.9660056657223746</v>
      </c>
      <c r="U59" s="4">
        <f t="shared" si="9"/>
        <v>2017.7165354330709</v>
      </c>
      <c r="V59" s="4">
        <f t="shared" si="10"/>
        <v>2952.7559055118113</v>
      </c>
      <c r="W59" s="4">
        <f t="shared" si="11"/>
        <v>4970.4724409448827</v>
      </c>
      <c r="X59" s="4">
        <f t="shared" si="12"/>
        <v>1964.1093064473951</v>
      </c>
      <c r="Y59" s="4">
        <f t="shared" si="13"/>
        <v>2835.6494390042608</v>
      </c>
      <c r="Z59" s="4">
        <f t="shared" si="14"/>
        <v>4799.7587454516561</v>
      </c>
      <c r="AA59" s="8" t="s">
        <v>169</v>
      </c>
      <c r="AB59" s="10">
        <v>43803</v>
      </c>
      <c r="AC59" s="4">
        <v>46.4</v>
      </c>
      <c r="AD59" s="5">
        <v>1.1000000000000001</v>
      </c>
      <c r="AE59" s="4">
        <v>80.8</v>
      </c>
      <c r="AF59" s="4">
        <v>27.3</v>
      </c>
      <c r="AG59" s="4">
        <v>9.1</v>
      </c>
      <c r="AH59" s="4">
        <v>10</v>
      </c>
      <c r="AJ59" s="14"/>
      <c r="AK59" s="1"/>
      <c r="AL59" s="1"/>
      <c r="AM59" s="2"/>
      <c r="AN59" s="2"/>
      <c r="AO59" s="2"/>
      <c r="AP59" s="1"/>
      <c r="AQ59" s="2"/>
      <c r="AR59" s="2"/>
      <c r="AS59" s="2"/>
      <c r="AT59" s="7"/>
      <c r="AU59" s="7"/>
      <c r="AV59" s="7"/>
      <c r="AW59" s="2"/>
      <c r="AX59" s="2"/>
      <c r="AY59" s="2"/>
      <c r="AZ59" s="2"/>
      <c r="BA59" s="2"/>
      <c r="BB59" s="2"/>
      <c r="BC59" s="1"/>
      <c r="BD59" s="1"/>
      <c r="BE59" s="1"/>
      <c r="BF59" s="1"/>
      <c r="BG59" s="1"/>
      <c r="BH59" s="1"/>
      <c r="BI59" s="11"/>
      <c r="BJ59" s="1"/>
      <c r="BK59" s="1"/>
      <c r="BL59" s="2"/>
      <c r="BM59" s="1"/>
      <c r="BN59" s="1"/>
      <c r="BO59" s="1"/>
      <c r="BP59" s="1"/>
    </row>
    <row r="60" spans="1:68" x14ac:dyDescent="0.3">
      <c r="A60">
        <v>11</v>
      </c>
      <c r="B60" s="3" t="s">
        <v>232</v>
      </c>
      <c r="C60" s="3" t="s">
        <v>106</v>
      </c>
      <c r="D60" s="13">
        <v>43768</v>
      </c>
      <c r="E60" s="2">
        <v>2.5099999999999998</v>
      </c>
      <c r="F60" s="2">
        <v>0.16</v>
      </c>
      <c r="G60" s="2">
        <f t="shared" si="2"/>
        <v>2.3499999999999996</v>
      </c>
      <c r="H60" s="4">
        <f t="shared" si="3"/>
        <v>5782.4803149606287</v>
      </c>
      <c r="I60" s="10">
        <v>43787</v>
      </c>
      <c r="J60" s="2">
        <v>1.22</v>
      </c>
      <c r="K60" s="2">
        <v>2.9</v>
      </c>
      <c r="L60" s="6">
        <f t="shared" si="4"/>
        <v>0.4</v>
      </c>
      <c r="M60" s="6">
        <f t="shared" si="5"/>
        <v>0.51914893617021285</v>
      </c>
      <c r="N60" s="6">
        <f t="shared" si="6"/>
        <v>8.0851063829787129E-2</v>
      </c>
      <c r="O60" s="2">
        <v>58.9</v>
      </c>
      <c r="P60" s="2">
        <v>57.34</v>
      </c>
      <c r="Q60" s="2">
        <v>129.22999999999999</v>
      </c>
      <c r="R60" s="2">
        <v>124.06</v>
      </c>
      <c r="S60" s="5">
        <f t="shared" si="7"/>
        <v>2.6485568760611122</v>
      </c>
      <c r="T60" s="5">
        <f t="shared" si="8"/>
        <v>4.0006190513038673</v>
      </c>
      <c r="U60" s="4">
        <f t="shared" si="9"/>
        <v>2312.9921259842517</v>
      </c>
      <c r="V60" s="4">
        <f t="shared" si="10"/>
        <v>3001.9685039370079</v>
      </c>
      <c r="W60" s="4">
        <f t="shared" si="11"/>
        <v>5314.9606299212592</v>
      </c>
      <c r="X60" s="4">
        <f t="shared" si="12"/>
        <v>2251.7312139887435</v>
      </c>
      <c r="Y60" s="4">
        <f t="shared" si="13"/>
        <v>2881.8711800543624</v>
      </c>
      <c r="Z60" s="4">
        <f t="shared" si="14"/>
        <v>5133.602394043106</v>
      </c>
      <c r="AA60" t="s">
        <v>146</v>
      </c>
      <c r="AB60" s="10">
        <v>43803</v>
      </c>
      <c r="AC60" s="4">
        <v>47.699999999999996</v>
      </c>
      <c r="AD60" s="5">
        <v>1.07</v>
      </c>
      <c r="AE60" s="4">
        <v>81</v>
      </c>
      <c r="AF60" s="4">
        <v>26.5</v>
      </c>
      <c r="AG60" s="4">
        <v>9.1999999999999993</v>
      </c>
      <c r="AH60" s="4">
        <v>10.3</v>
      </c>
      <c r="AJ60" s="14" t="s">
        <v>195</v>
      </c>
      <c r="AK60" s="1" t="s">
        <v>106</v>
      </c>
      <c r="AL60" s="11">
        <f>D60</f>
        <v>43768</v>
      </c>
      <c r="AM60" s="2">
        <f>SUM(E60:E61)</f>
        <v>5.51</v>
      </c>
      <c r="AN60" s="2">
        <f>SUM(F60:F61)</f>
        <v>0.32</v>
      </c>
      <c r="AO60" s="2">
        <f>AM60-AN60</f>
        <v>5.1899999999999995</v>
      </c>
      <c r="AP60" s="1">
        <f>AO60/(2*$A$38)*$A$39</f>
        <v>6385.3346456692907</v>
      </c>
      <c r="AQ60" s="11">
        <f>I60</f>
        <v>43787</v>
      </c>
      <c r="AR60" s="2">
        <f>SUM(J60:J61)</f>
        <v>2.62</v>
      </c>
      <c r="AS60" s="2">
        <f>SUM(K60:K61)</f>
        <v>6.0600000000000005</v>
      </c>
      <c r="AT60" s="7">
        <f>(AR60-2*$A$40)/AO60</f>
        <v>0.39691714836223513</v>
      </c>
      <c r="AU60" s="7">
        <f>(AS60-2*$A$41)/AO60</f>
        <v>0.52023121387283255</v>
      </c>
      <c r="AV60" s="7">
        <f>1-AT60-AU60</f>
        <v>8.2851637764932318E-2</v>
      </c>
      <c r="AW60" s="2">
        <f>SUM(O60:O61)</f>
        <v>102.8</v>
      </c>
      <c r="AX60" s="2">
        <f t="shared" ref="AX60" si="47">SUM(P60:P61)</f>
        <v>100.07</v>
      </c>
      <c r="AY60" s="2">
        <f t="shared" ref="AY60" si="48">SUM(Q60:Q61)</f>
        <v>269.60000000000002</v>
      </c>
      <c r="AZ60" s="2">
        <f t="shared" ref="AZ60" si="49">SUM(R60:R61)</f>
        <v>258.78999999999996</v>
      </c>
      <c r="BA60" s="2">
        <f>(AW60-AX60)/AW60*100</f>
        <v>2.6556420233463074</v>
      </c>
      <c r="BB60" s="2">
        <f>(AY60-AZ60)/AY60*100</f>
        <v>4.0096439169139675</v>
      </c>
      <c r="BC60" s="1">
        <f>AP60*AT60</f>
        <v>2534.4488188976379</v>
      </c>
      <c r="BD60" s="1">
        <f>AP60*AU60</f>
        <v>3321.8503937007881</v>
      </c>
      <c r="BE60" s="1">
        <f>BC60+BD60</f>
        <v>5856.2992125984256</v>
      </c>
      <c r="BF60" s="1">
        <f>BC60*(1-BA60/100)</f>
        <v>2467.1429310027884</v>
      </c>
      <c r="BG60" s="1">
        <f>BD60*(1-BB60/100)</f>
        <v>3188.6560214607821</v>
      </c>
      <c r="BH60" s="1">
        <f>BF60+BG60</f>
        <v>5655.7989524635705</v>
      </c>
      <c r="BI60" s="11" t="str">
        <f>AA60</f>
        <v>0991913422212</v>
      </c>
      <c r="BJ60" s="11">
        <f>AB60</f>
        <v>43803</v>
      </c>
      <c r="BK60" s="1">
        <f>AVERAGE(AC60:AC61)</f>
        <v>47.15</v>
      </c>
      <c r="BL60" s="2">
        <f t="shared" ref="BL60" si="50">AVERAGE(AD60:AD61)</f>
        <v>1.08</v>
      </c>
      <c r="BM60" s="1">
        <f t="shared" ref="BM60" si="51">AVERAGE(AE60:AE61)</f>
        <v>80.900000000000006</v>
      </c>
      <c r="BN60" s="1">
        <f t="shared" ref="BN60" si="52">AVERAGE(AF60:AF61)</f>
        <v>26.75</v>
      </c>
      <c r="BO60" s="1">
        <f t="shared" ref="BO60" si="53">AVERAGE(AG60:AG61)</f>
        <v>9.0500000000000007</v>
      </c>
      <c r="BP60" s="1">
        <f t="shared" ref="BP60" si="54">AVERAGE(AH60:AH61)</f>
        <v>10.45</v>
      </c>
    </row>
    <row r="61" spans="1:68" x14ac:dyDescent="0.3">
      <c r="A61">
        <v>12</v>
      </c>
      <c r="B61" s="3" t="s">
        <v>233</v>
      </c>
      <c r="C61" s="3" t="s">
        <v>106</v>
      </c>
      <c r="D61" s="13">
        <v>43768</v>
      </c>
      <c r="E61" s="2">
        <v>3</v>
      </c>
      <c r="F61" s="2">
        <v>0.16</v>
      </c>
      <c r="G61" s="2">
        <f t="shared" si="2"/>
        <v>2.84</v>
      </c>
      <c r="H61" s="4">
        <f t="shared" si="3"/>
        <v>6988.1889763779527</v>
      </c>
      <c r="I61" s="10">
        <v>43787</v>
      </c>
      <c r="J61" s="2">
        <v>1.4</v>
      </c>
      <c r="K61" s="2">
        <v>3.16</v>
      </c>
      <c r="L61" s="6">
        <f t="shared" si="4"/>
        <v>0.39436619718309857</v>
      </c>
      <c r="M61" s="6">
        <f t="shared" si="5"/>
        <v>0.52112676056338036</v>
      </c>
      <c r="N61" s="6">
        <f t="shared" si="6"/>
        <v>8.4507042253521125E-2</v>
      </c>
      <c r="O61" s="2">
        <v>43.9</v>
      </c>
      <c r="P61" s="2">
        <v>42.73</v>
      </c>
      <c r="Q61" s="2">
        <v>140.37</v>
      </c>
      <c r="R61" s="2">
        <v>134.72999999999999</v>
      </c>
      <c r="S61" s="5">
        <f t="shared" si="7"/>
        <v>2.6651480637813254</v>
      </c>
      <c r="T61" s="5">
        <f t="shared" si="8"/>
        <v>4.0179525539645331</v>
      </c>
      <c r="U61" s="4">
        <f t="shared" si="9"/>
        <v>2755.9055118110236</v>
      </c>
      <c r="V61" s="4">
        <f t="shared" si="10"/>
        <v>3641.7322834645674</v>
      </c>
      <c r="W61" s="4">
        <f t="shared" si="11"/>
        <v>6397.6377952755911</v>
      </c>
      <c r="X61" s="4">
        <f t="shared" si="12"/>
        <v>2682.4565494233493</v>
      </c>
      <c r="Y61" s="4">
        <f t="shared" si="13"/>
        <v>3495.4092081725521</v>
      </c>
      <c r="Z61" s="4">
        <f t="shared" si="14"/>
        <v>6177.8657575959014</v>
      </c>
      <c r="AA61" s="8" t="s">
        <v>170</v>
      </c>
      <c r="AB61" s="10">
        <v>43803</v>
      </c>
      <c r="AC61" s="4">
        <v>46.6</v>
      </c>
      <c r="AD61" s="5">
        <v>1.0900000000000001</v>
      </c>
      <c r="AE61" s="4">
        <v>80.8</v>
      </c>
      <c r="AF61" s="4">
        <v>27</v>
      </c>
      <c r="AG61" s="4">
        <v>8.9</v>
      </c>
      <c r="AH61" s="4">
        <v>10.6</v>
      </c>
      <c r="AJ61" s="14"/>
      <c r="AK61" s="1"/>
      <c r="AL61" s="1"/>
      <c r="AM61" s="2"/>
      <c r="AN61" s="2"/>
      <c r="AO61" s="2"/>
      <c r="AP61" s="1"/>
      <c r="AQ61" s="2"/>
      <c r="AR61" s="2"/>
      <c r="AS61" s="2"/>
      <c r="AT61" s="7"/>
      <c r="AU61" s="7"/>
      <c r="AV61" s="7"/>
      <c r="AW61" s="2"/>
      <c r="AX61" s="2"/>
      <c r="AY61" s="2"/>
      <c r="AZ61" s="2"/>
      <c r="BA61" s="2"/>
      <c r="BB61" s="2"/>
      <c r="BC61" s="1"/>
      <c r="BD61" s="1"/>
      <c r="BE61" s="1"/>
      <c r="BF61" s="1"/>
      <c r="BG61" s="1"/>
      <c r="BH61" s="1"/>
      <c r="BI61" s="11"/>
      <c r="BJ61" s="1"/>
      <c r="BK61" s="1"/>
      <c r="BL61" s="2"/>
      <c r="BM61" s="1"/>
      <c r="BN61" s="1"/>
      <c r="BO61" s="1"/>
      <c r="BP61" s="1"/>
    </row>
    <row r="62" spans="1:68" x14ac:dyDescent="0.3">
      <c r="A62">
        <v>13</v>
      </c>
      <c r="B62" s="3" t="s">
        <v>234</v>
      </c>
      <c r="C62" s="3" t="s">
        <v>106</v>
      </c>
      <c r="D62" s="13">
        <v>43768</v>
      </c>
      <c r="E62" s="2">
        <v>2.35</v>
      </c>
      <c r="F62" s="2">
        <v>0.16</v>
      </c>
      <c r="G62" s="2">
        <f t="shared" si="2"/>
        <v>2.19</v>
      </c>
      <c r="H62" s="4">
        <f t="shared" si="3"/>
        <v>5388.7795275590543</v>
      </c>
      <c r="I62" s="10">
        <v>43787</v>
      </c>
      <c r="J62" s="2">
        <v>1.1000000000000001</v>
      </c>
      <c r="K62" s="2">
        <v>2.78</v>
      </c>
      <c r="L62" s="6">
        <f t="shared" si="4"/>
        <v>0.37442922374429227</v>
      </c>
      <c r="M62" s="6">
        <f t="shared" si="5"/>
        <v>0.50228310502283102</v>
      </c>
      <c r="N62" s="6">
        <f t="shared" si="6"/>
        <v>0.12328767123287665</v>
      </c>
      <c r="O62" s="2">
        <v>48.56</v>
      </c>
      <c r="P62" s="2">
        <v>47.3</v>
      </c>
      <c r="Q62" s="2">
        <v>138.26</v>
      </c>
      <c r="R62" s="2">
        <v>132.79</v>
      </c>
      <c r="S62" s="5">
        <f t="shared" si="7"/>
        <v>2.5947281713344421</v>
      </c>
      <c r="T62" s="5">
        <f t="shared" si="8"/>
        <v>3.9563141906552866</v>
      </c>
      <c r="U62" s="4">
        <f t="shared" si="9"/>
        <v>2017.7165354330707</v>
      </c>
      <c r="V62" s="4">
        <f t="shared" si="10"/>
        <v>2706.6929133858262</v>
      </c>
      <c r="W62" s="4">
        <f t="shared" si="11"/>
        <v>4724.4094488188966</v>
      </c>
      <c r="X62" s="4">
        <f t="shared" si="12"/>
        <v>1965.3622760705157</v>
      </c>
      <c r="Y62" s="4">
        <f t="shared" si="13"/>
        <v>2599.607637556082</v>
      </c>
      <c r="Z62" s="4">
        <f t="shared" si="14"/>
        <v>4564.9699136265972</v>
      </c>
      <c r="AA62" t="s">
        <v>147</v>
      </c>
      <c r="AB62" s="10">
        <v>43803</v>
      </c>
      <c r="AC62" s="4">
        <v>48.3</v>
      </c>
      <c r="AD62" s="5">
        <v>1.08</v>
      </c>
      <c r="AE62" s="4">
        <v>80.3</v>
      </c>
      <c r="AF62" s="4">
        <v>28.4</v>
      </c>
      <c r="AG62" s="4">
        <v>8.9</v>
      </c>
      <c r="AH62" s="4">
        <v>9.6999999999999993</v>
      </c>
      <c r="AJ62" s="14" t="s">
        <v>196</v>
      </c>
      <c r="AK62" s="1" t="s">
        <v>106</v>
      </c>
      <c r="AL62" s="11">
        <f>D62</f>
        <v>43768</v>
      </c>
      <c r="AM62" s="2">
        <f>SUM(E62:E63)</f>
        <v>4.58</v>
      </c>
      <c r="AN62" s="2">
        <f>SUM(F62:F63)</f>
        <v>0.32</v>
      </c>
      <c r="AO62" s="2">
        <f>AM62-AN62</f>
        <v>4.26</v>
      </c>
      <c r="AP62" s="1">
        <f>AO62/(2*$A$38)*$A$39</f>
        <v>5241.1417322834641</v>
      </c>
      <c r="AQ62" s="11">
        <f>I62</f>
        <v>43787</v>
      </c>
      <c r="AR62" s="2">
        <f>SUM(J62:J63)</f>
        <v>2.16</v>
      </c>
      <c r="AS62" s="2">
        <f>SUM(K62:K63)</f>
        <v>5.52</v>
      </c>
      <c r="AT62" s="7">
        <f>(AR62-2*$A$40)/AO62</f>
        <v>0.37558685446009393</v>
      </c>
      <c r="AU62" s="7">
        <f>(AS62-2*$A$41)/AO62</f>
        <v>0.50704225352112675</v>
      </c>
      <c r="AV62" s="7">
        <f>1-AT62-AU62</f>
        <v>0.11737089201877926</v>
      </c>
      <c r="AW62" s="2">
        <f>SUM(O62:O63)</f>
        <v>97.52000000000001</v>
      </c>
      <c r="AX62" s="2">
        <f t="shared" ref="AX62" si="55">SUM(P62:P63)</f>
        <v>95</v>
      </c>
      <c r="AY62" s="2">
        <f t="shared" ref="AY62" si="56">SUM(Q62:Q63)</f>
        <v>259.64999999999998</v>
      </c>
      <c r="AZ62" s="2">
        <f t="shared" ref="AZ62" si="57">SUM(R62:R63)</f>
        <v>249.44</v>
      </c>
      <c r="BA62" s="2">
        <f>(AW62-AX62)/AW62*100</f>
        <v>2.58408531583266</v>
      </c>
      <c r="BB62" s="2">
        <f>(AY62-AZ62)/AY62*100</f>
        <v>3.932216445214705</v>
      </c>
      <c r="BC62" s="1">
        <f>AP62*AT62</f>
        <v>1968.5039370078741</v>
      </c>
      <c r="BD62" s="1">
        <f>AP62*AU62</f>
        <v>2657.4803149606296</v>
      </c>
      <c r="BE62" s="1">
        <f>BC62+BD62</f>
        <v>4625.9842519685035</v>
      </c>
      <c r="BF62" s="1">
        <f>BC62*(1-BA62/100)</f>
        <v>1917.6361158300658</v>
      </c>
      <c r="BG62" s="1">
        <f>BD62*(1-BB62/100)</f>
        <v>2552.9824369874041</v>
      </c>
      <c r="BH62" s="1">
        <f>BF62+BG62</f>
        <v>4470.6185528174701</v>
      </c>
      <c r="BI62" s="11" t="str">
        <f>AA62</f>
        <v>0991913423214</v>
      </c>
      <c r="BJ62" s="11">
        <f>AB62</f>
        <v>43803</v>
      </c>
      <c r="BK62" s="1">
        <f>AVERAGE(AC62:AC63)</f>
        <v>48.85</v>
      </c>
      <c r="BL62" s="2">
        <f t="shared" ref="BL62" si="58">AVERAGE(AD62:AD63)</f>
        <v>1.0550000000000002</v>
      </c>
      <c r="BM62" s="1">
        <f t="shared" ref="BM62" si="59">AVERAGE(AE62:AE63)</f>
        <v>79.849999999999994</v>
      </c>
      <c r="BN62" s="1">
        <f t="shared" ref="BN62" si="60">AVERAGE(AF62:AF63)</f>
        <v>26.4</v>
      </c>
      <c r="BO62" s="1">
        <f t="shared" ref="BO62" si="61">AVERAGE(AG62:AG63)</f>
        <v>9.1999999999999993</v>
      </c>
      <c r="BP62" s="1">
        <f t="shared" ref="BP62" si="62">AVERAGE(AH62:AH63)</f>
        <v>10.95</v>
      </c>
    </row>
    <row r="63" spans="1:68" x14ac:dyDescent="0.3">
      <c r="A63">
        <v>14</v>
      </c>
      <c r="B63" s="3" t="s">
        <v>235</v>
      </c>
      <c r="C63" s="3" t="s">
        <v>106</v>
      </c>
      <c r="D63" s="13">
        <v>43768</v>
      </c>
      <c r="E63" s="2">
        <v>2.23</v>
      </c>
      <c r="F63" s="2">
        <v>0.16</v>
      </c>
      <c r="G63" s="2">
        <f t="shared" si="2"/>
        <v>2.0699999999999998</v>
      </c>
      <c r="H63" s="4">
        <f t="shared" si="3"/>
        <v>5093.5039370078739</v>
      </c>
      <c r="I63" s="10">
        <v>43787</v>
      </c>
      <c r="J63" s="2">
        <v>1.06</v>
      </c>
      <c r="K63" s="2">
        <v>2.74</v>
      </c>
      <c r="L63" s="6">
        <f t="shared" si="4"/>
        <v>0.37681159420289861</v>
      </c>
      <c r="M63" s="6">
        <f t="shared" si="5"/>
        <v>0.5120772946859905</v>
      </c>
      <c r="N63" s="6">
        <f t="shared" si="6"/>
        <v>0.11111111111111083</v>
      </c>
      <c r="O63" s="2">
        <v>48.96</v>
      </c>
      <c r="P63" s="2">
        <v>47.7</v>
      </c>
      <c r="Q63" s="2">
        <v>121.39</v>
      </c>
      <c r="R63" s="2">
        <v>116.65</v>
      </c>
      <c r="S63" s="5">
        <f t="shared" si="7"/>
        <v>2.5735294117647021</v>
      </c>
      <c r="T63" s="5">
        <f t="shared" si="8"/>
        <v>3.9047697503912966</v>
      </c>
      <c r="U63" s="4">
        <f t="shared" si="9"/>
        <v>1919.2913385826776</v>
      </c>
      <c r="V63" s="4">
        <f t="shared" si="10"/>
        <v>2608.2677165354339</v>
      </c>
      <c r="W63" s="4">
        <f t="shared" si="11"/>
        <v>4527.5590551181112</v>
      </c>
      <c r="X63" s="4">
        <f t="shared" si="12"/>
        <v>1869.8978114868</v>
      </c>
      <c r="Y63" s="4">
        <f t="shared" si="13"/>
        <v>2506.4208677309362</v>
      </c>
      <c r="Z63" s="4">
        <f t="shared" si="14"/>
        <v>4376.3186792177366</v>
      </c>
      <c r="AA63" s="8" t="s">
        <v>171</v>
      </c>
      <c r="AB63" s="10">
        <v>43803</v>
      </c>
      <c r="AC63" s="4">
        <v>49.400000000000006</v>
      </c>
      <c r="AD63" s="5">
        <v>1.03</v>
      </c>
      <c r="AE63" s="4">
        <v>79.400000000000006</v>
      </c>
      <c r="AF63" s="4">
        <v>24.4</v>
      </c>
      <c r="AG63" s="4">
        <v>9.5</v>
      </c>
      <c r="AH63" s="4">
        <v>12.2</v>
      </c>
      <c r="AJ63" s="14"/>
      <c r="AK63" s="1"/>
      <c r="AL63" s="1"/>
      <c r="AM63" s="2"/>
      <c r="AN63" s="2"/>
      <c r="AO63" s="2"/>
      <c r="AP63" s="1"/>
      <c r="AQ63" s="2"/>
      <c r="AR63" s="2"/>
      <c r="AS63" s="2"/>
      <c r="AT63" s="7"/>
      <c r="AU63" s="7"/>
      <c r="AV63" s="7"/>
      <c r="AW63" s="2"/>
      <c r="AX63" s="2"/>
      <c r="AY63" s="2"/>
      <c r="AZ63" s="2"/>
      <c r="BA63" s="2"/>
      <c r="BB63" s="2"/>
      <c r="BC63" s="1"/>
      <c r="BD63" s="1"/>
      <c r="BE63" s="1"/>
      <c r="BF63" s="1"/>
      <c r="BG63" s="1"/>
      <c r="BH63" s="1"/>
      <c r="BI63" s="11"/>
      <c r="BJ63" s="1"/>
      <c r="BK63" s="1"/>
      <c r="BL63" s="2"/>
      <c r="BM63" s="1"/>
      <c r="BN63" s="1"/>
      <c r="BO63" s="1"/>
      <c r="BP63" s="1"/>
    </row>
    <row r="64" spans="1:68" x14ac:dyDescent="0.3">
      <c r="A64">
        <v>15</v>
      </c>
      <c r="B64" s="3" t="s">
        <v>236</v>
      </c>
      <c r="C64" s="3" t="s">
        <v>106</v>
      </c>
      <c r="D64" s="13">
        <v>43768</v>
      </c>
      <c r="E64" s="2">
        <v>2.4</v>
      </c>
      <c r="F64" s="2">
        <v>0.16</v>
      </c>
      <c r="G64" s="2">
        <f t="shared" si="2"/>
        <v>2.2399999999999998</v>
      </c>
      <c r="H64" s="4">
        <f t="shared" si="3"/>
        <v>5511.8110236220464</v>
      </c>
      <c r="I64" s="10">
        <v>43787</v>
      </c>
      <c r="J64" s="2">
        <v>1.18</v>
      </c>
      <c r="K64" s="2">
        <v>2.8</v>
      </c>
      <c r="L64" s="6">
        <f t="shared" si="4"/>
        <v>0.4017857142857143</v>
      </c>
      <c r="M64" s="6">
        <f t="shared" si="5"/>
        <v>0.5</v>
      </c>
      <c r="N64" s="6">
        <f t="shared" si="6"/>
        <v>9.8214285714285698E-2</v>
      </c>
      <c r="O64" s="2">
        <v>49.92</v>
      </c>
      <c r="P64" s="2">
        <v>48.7</v>
      </c>
      <c r="Q64" s="2">
        <v>182.86</v>
      </c>
      <c r="R64" s="2">
        <v>175.81</v>
      </c>
      <c r="S64" s="5">
        <f t="shared" si="7"/>
        <v>2.4439102564102542</v>
      </c>
      <c r="T64" s="5">
        <f t="shared" si="8"/>
        <v>3.8554085092420491</v>
      </c>
      <c r="U64" s="4">
        <f t="shared" si="9"/>
        <v>2214.5669291338581</v>
      </c>
      <c r="V64" s="4">
        <f t="shared" si="10"/>
        <v>2755.9055118110232</v>
      </c>
      <c r="W64" s="4">
        <f t="shared" si="11"/>
        <v>4970.4724409448809</v>
      </c>
      <c r="X64" s="4">
        <f t="shared" si="12"/>
        <v>2160.4449008176862</v>
      </c>
      <c r="Y64" s="4">
        <f t="shared" si="13"/>
        <v>2649.6540962019903</v>
      </c>
      <c r="Z64" s="4">
        <f t="shared" si="14"/>
        <v>4810.098997019677</v>
      </c>
      <c r="AA64" t="s">
        <v>148</v>
      </c>
      <c r="AB64" s="10">
        <v>43803</v>
      </c>
      <c r="AC64" s="4">
        <v>49.900000000000006</v>
      </c>
      <c r="AD64" s="5">
        <v>1.03</v>
      </c>
      <c r="AE64" s="4">
        <v>80.599999999999994</v>
      </c>
      <c r="AF64" s="4">
        <v>26.5</v>
      </c>
      <c r="AG64" s="4">
        <v>8.5</v>
      </c>
      <c r="AH64" s="4">
        <v>11.2</v>
      </c>
      <c r="AJ64" s="14" t="s">
        <v>197</v>
      </c>
      <c r="AK64" s="1" t="s">
        <v>106</v>
      </c>
      <c r="AL64" s="11">
        <f>D64</f>
        <v>43768</v>
      </c>
      <c r="AM64" s="2">
        <f>SUM(E64:E65)</f>
        <v>4.58</v>
      </c>
      <c r="AN64" s="2">
        <f>SUM(F64:F65)</f>
        <v>0.32</v>
      </c>
      <c r="AO64" s="2">
        <f>AM64-AN64</f>
        <v>4.26</v>
      </c>
      <c r="AP64" s="1">
        <f>AO64/(2*$A$38)*$A$39</f>
        <v>5241.1417322834641</v>
      </c>
      <c r="AQ64" s="11">
        <f>I64</f>
        <v>43787</v>
      </c>
      <c r="AR64" s="2">
        <f>SUM(J64:J65)</f>
        <v>2.2599999999999998</v>
      </c>
      <c r="AS64" s="2">
        <f>SUM(K64:K65)</f>
        <v>5.52</v>
      </c>
      <c r="AT64" s="7">
        <f>(AR64-2*$A$40)/AO64</f>
        <v>0.3990610328638497</v>
      </c>
      <c r="AU64" s="7">
        <f>(AS64-2*$A$41)/AO64</f>
        <v>0.50704225352112675</v>
      </c>
      <c r="AV64" s="7">
        <f>1-AT64-AU64</f>
        <v>9.3896713615023497E-2</v>
      </c>
      <c r="AW64" s="2">
        <f>SUM(O64:O65)</f>
        <v>104.28</v>
      </c>
      <c r="AX64" s="2">
        <f t="shared" ref="AX64" si="63">SUM(P64:P65)</f>
        <v>101.69</v>
      </c>
      <c r="AY64" s="2">
        <f t="shared" ref="AY64" si="64">SUM(Q64:Q65)</f>
        <v>332.58000000000004</v>
      </c>
      <c r="AZ64" s="2">
        <f t="shared" ref="AZ64" si="65">SUM(R64:R65)</f>
        <v>319.8</v>
      </c>
      <c r="BA64" s="2">
        <f>(AW64-AX64)/AW64*100</f>
        <v>2.4836977368622972</v>
      </c>
      <c r="BB64" s="2">
        <f>(AY64-AZ64)/AY64*100</f>
        <v>3.8426844668951916</v>
      </c>
      <c r="BC64" s="1">
        <f>AP64*AT64</f>
        <v>2091.5354330708656</v>
      </c>
      <c r="BD64" s="1">
        <f>AP64*AU64</f>
        <v>2657.4803149606296</v>
      </c>
      <c r="BE64" s="1">
        <f>BC64+BD64</f>
        <v>4749.0157480314956</v>
      </c>
      <c r="BF64" s="1">
        <f>BC64*(1-BA64/100)</f>
        <v>2039.5880148540114</v>
      </c>
      <c r="BG64" s="1">
        <f>BD64*(1-BB64/100)</f>
        <v>2555.3617316868399</v>
      </c>
      <c r="BH64" s="1">
        <f>BF64+BG64</f>
        <v>4594.9497465408513</v>
      </c>
      <c r="BI64" s="11" t="str">
        <f>AA64</f>
        <v>0991913424216</v>
      </c>
      <c r="BJ64" s="11">
        <f>AB64</f>
        <v>43803</v>
      </c>
      <c r="BK64" s="1">
        <f>AVERAGE(AC64:AC65)</f>
        <v>48.75</v>
      </c>
      <c r="BL64" s="2">
        <f t="shared" ref="BL64" si="66">AVERAGE(AD64:AD65)</f>
        <v>1.0449999999999999</v>
      </c>
      <c r="BM64" s="1">
        <f t="shared" ref="BM64" si="67">AVERAGE(AE64:AE65)</f>
        <v>79.949999999999989</v>
      </c>
      <c r="BN64" s="1">
        <f t="shared" ref="BN64" si="68">AVERAGE(AF64:AF65)</f>
        <v>26.1</v>
      </c>
      <c r="BO64" s="1">
        <f t="shared" ref="BO64" si="69">AVERAGE(AG64:AG65)</f>
        <v>8.75</v>
      </c>
      <c r="BP64" s="1">
        <f t="shared" ref="BP64" si="70">AVERAGE(AH64:AH65)</f>
        <v>11.35</v>
      </c>
    </row>
    <row r="65" spans="1:68" x14ac:dyDescent="0.3">
      <c r="A65">
        <v>16</v>
      </c>
      <c r="B65" s="3" t="s">
        <v>237</v>
      </c>
      <c r="C65" s="3" t="s">
        <v>106</v>
      </c>
      <c r="D65" s="13">
        <v>43768</v>
      </c>
      <c r="E65" s="2">
        <v>2.1800000000000002</v>
      </c>
      <c r="F65" s="2">
        <v>0.16</v>
      </c>
      <c r="G65" s="2">
        <f t="shared" si="2"/>
        <v>2.02</v>
      </c>
      <c r="H65" s="4">
        <f t="shared" si="3"/>
        <v>4970.4724409448818</v>
      </c>
      <c r="I65" s="10">
        <v>43787</v>
      </c>
      <c r="J65" s="2">
        <v>1.08</v>
      </c>
      <c r="K65" s="2">
        <v>2.72</v>
      </c>
      <c r="L65" s="6">
        <f t="shared" si="4"/>
        <v>0.39603960396039606</v>
      </c>
      <c r="M65" s="6">
        <f t="shared" si="5"/>
        <v>0.51485148514851498</v>
      </c>
      <c r="N65" s="6">
        <f t="shared" si="6"/>
        <v>8.9108910891088966E-2</v>
      </c>
      <c r="O65" s="2">
        <v>54.36</v>
      </c>
      <c r="P65" s="2">
        <v>52.99</v>
      </c>
      <c r="Q65" s="2">
        <v>149.72</v>
      </c>
      <c r="R65" s="2">
        <v>143.99</v>
      </c>
      <c r="S65" s="5">
        <f t="shared" si="7"/>
        <v>2.52023546725533</v>
      </c>
      <c r="T65" s="5">
        <f t="shared" si="8"/>
        <v>3.8271440021373162</v>
      </c>
      <c r="U65" s="4">
        <f t="shared" si="9"/>
        <v>1968.5039370078741</v>
      </c>
      <c r="V65" s="4">
        <f t="shared" si="10"/>
        <v>2559.0551181102369</v>
      </c>
      <c r="W65" s="4">
        <f t="shared" si="11"/>
        <v>4527.5590551181112</v>
      </c>
      <c r="X65" s="4">
        <f t="shared" si="12"/>
        <v>1918.8930026130843</v>
      </c>
      <c r="Y65" s="4">
        <f t="shared" si="13"/>
        <v>2461.116393646093</v>
      </c>
      <c r="Z65" s="4">
        <f t="shared" si="14"/>
        <v>4380.0093962591773</v>
      </c>
      <c r="AA65" s="8" t="s">
        <v>172</v>
      </c>
      <c r="AB65" s="10">
        <v>43803</v>
      </c>
      <c r="AC65" s="4">
        <v>47.599999999999994</v>
      </c>
      <c r="AD65" s="5">
        <v>1.06</v>
      </c>
      <c r="AE65" s="4">
        <v>79.3</v>
      </c>
      <c r="AF65" s="4">
        <v>25.7</v>
      </c>
      <c r="AG65" s="4">
        <v>9</v>
      </c>
      <c r="AH65" s="4">
        <v>11.5</v>
      </c>
      <c r="AJ65" s="14"/>
      <c r="AK65" s="1"/>
      <c r="AL65" s="1"/>
      <c r="AM65" s="2"/>
      <c r="AN65" s="2"/>
      <c r="AO65" s="2"/>
      <c r="AP65" s="1"/>
      <c r="AQ65" s="2"/>
      <c r="AR65" s="2"/>
      <c r="AS65" s="2"/>
      <c r="AT65" s="7"/>
      <c r="AU65" s="7"/>
      <c r="AV65" s="7"/>
      <c r="AW65" s="2"/>
      <c r="AX65" s="2"/>
      <c r="AY65" s="2"/>
      <c r="AZ65" s="2"/>
      <c r="BA65" s="2"/>
      <c r="BB65" s="2"/>
      <c r="BC65" s="1"/>
      <c r="BD65" s="1"/>
      <c r="BE65" s="1"/>
      <c r="BF65" s="1"/>
      <c r="BG65" s="1"/>
      <c r="BH65" s="1"/>
      <c r="BI65" s="11"/>
      <c r="BJ65" s="1"/>
      <c r="BK65" s="1"/>
      <c r="BL65" s="2"/>
      <c r="BM65" s="1"/>
      <c r="BN65" s="1"/>
      <c r="BO65" s="1"/>
      <c r="BP65" s="1"/>
    </row>
    <row r="66" spans="1:68" x14ac:dyDescent="0.3">
      <c r="A66">
        <v>17</v>
      </c>
      <c r="B66" s="3" t="s">
        <v>238</v>
      </c>
      <c r="C66" s="3" t="s">
        <v>106</v>
      </c>
      <c r="D66" s="13">
        <v>43768</v>
      </c>
      <c r="E66" s="2">
        <v>2.4700000000000002</v>
      </c>
      <c r="F66" s="2">
        <v>0.16</v>
      </c>
      <c r="G66" s="2">
        <f t="shared" si="2"/>
        <v>2.31</v>
      </c>
      <c r="H66" s="4">
        <f t="shared" si="3"/>
        <v>5684.0551181102364</v>
      </c>
      <c r="I66" s="10">
        <v>43787</v>
      </c>
      <c r="J66" s="2">
        <v>1.18</v>
      </c>
      <c r="K66" s="2">
        <v>2.9</v>
      </c>
      <c r="L66" s="6">
        <f t="shared" si="4"/>
        <v>0.38961038961038957</v>
      </c>
      <c r="M66" s="6">
        <f t="shared" si="5"/>
        <v>0.52813852813852813</v>
      </c>
      <c r="N66" s="6">
        <f t="shared" si="6"/>
        <v>8.2251082251082352E-2</v>
      </c>
      <c r="O66" s="2">
        <v>44.49</v>
      </c>
      <c r="P66" s="2">
        <v>43.42</v>
      </c>
      <c r="Q66" s="2">
        <v>156.35</v>
      </c>
      <c r="R66" s="2">
        <v>150.06</v>
      </c>
      <c r="S66" s="5">
        <f t="shared" si="7"/>
        <v>2.4050348392897285</v>
      </c>
      <c r="T66" s="5">
        <f t="shared" si="8"/>
        <v>4.0230252638311432</v>
      </c>
      <c r="U66" s="4">
        <f t="shared" si="9"/>
        <v>2214.5669291338581</v>
      </c>
      <c r="V66" s="4">
        <f t="shared" si="10"/>
        <v>3001.9685039370079</v>
      </c>
      <c r="W66" s="4">
        <f t="shared" si="11"/>
        <v>5216.535433070866</v>
      </c>
      <c r="X66" s="4">
        <f t="shared" si="12"/>
        <v>2161.3058229488001</v>
      </c>
      <c r="Y66" s="4">
        <f t="shared" si="13"/>
        <v>2881.1985526113681</v>
      </c>
      <c r="Z66" s="4">
        <f t="shared" si="14"/>
        <v>5042.5043755601682</v>
      </c>
      <c r="AA66" t="s">
        <v>149</v>
      </c>
      <c r="AB66" s="10">
        <v>43803</v>
      </c>
      <c r="AC66" s="4">
        <v>47.699999999999996</v>
      </c>
      <c r="AD66" s="5">
        <v>1.1299999999999999</v>
      </c>
      <c r="AE66" s="4">
        <v>81.7</v>
      </c>
      <c r="AF66" s="4">
        <v>26.5</v>
      </c>
      <c r="AG66" s="4">
        <v>9</v>
      </c>
      <c r="AH66" s="4">
        <v>9.1</v>
      </c>
      <c r="AJ66" s="14" t="s">
        <v>198</v>
      </c>
      <c r="AK66" s="1" t="s">
        <v>106</v>
      </c>
      <c r="AL66" s="11">
        <f>D66</f>
        <v>43768</v>
      </c>
      <c r="AM66" s="2">
        <f>SUM(E66:E67)</f>
        <v>5.35</v>
      </c>
      <c r="AN66" s="2">
        <f>SUM(F66:F67)</f>
        <v>0.32</v>
      </c>
      <c r="AO66" s="2">
        <f>AM66-AN66</f>
        <v>5.0299999999999994</v>
      </c>
      <c r="AP66" s="1">
        <f>AO66/(2*$A$38)*$A$39</f>
        <v>6188.4842519685035</v>
      </c>
      <c r="AQ66" s="11">
        <f>I66</f>
        <v>43787</v>
      </c>
      <c r="AR66" s="2">
        <f>SUM(J66:J67)</f>
        <v>2.52</v>
      </c>
      <c r="AS66" s="2">
        <f>SUM(K66:K67)</f>
        <v>6</v>
      </c>
      <c r="AT66" s="7">
        <f>(AR66-2*$A$40)/AO66</f>
        <v>0.38966202783300202</v>
      </c>
      <c r="AU66" s="7">
        <f>(AS66-2*$A$41)/AO66</f>
        <v>0.5248508946322068</v>
      </c>
      <c r="AV66" s="7">
        <f>1-AT66-AU66</f>
        <v>8.5487077534791123E-2</v>
      </c>
      <c r="AW66" s="2">
        <f>SUM(O66:O67)</f>
        <v>91.63</v>
      </c>
      <c r="AX66" s="2">
        <f t="shared" ref="AX66" si="71">SUM(P66:P67)</f>
        <v>89.33</v>
      </c>
      <c r="AY66" s="2">
        <f t="shared" ref="AY66" si="72">SUM(Q66:Q67)</f>
        <v>300.87</v>
      </c>
      <c r="AZ66" s="2">
        <f t="shared" ref="AZ66" si="73">SUM(R66:R67)</f>
        <v>288.87</v>
      </c>
      <c r="BA66" s="2">
        <f>(AW66-AX66)/AW66*100</f>
        <v>2.5100949470697338</v>
      </c>
      <c r="BB66" s="2">
        <f>(AY66-AZ66)/AY66*100</f>
        <v>3.988433542726094</v>
      </c>
      <c r="BC66" s="1">
        <f>AP66*AT66</f>
        <v>2411.4173228346458</v>
      </c>
      <c r="BD66" s="1">
        <f>AP66*AU66</f>
        <v>3248.0314960629921</v>
      </c>
      <c r="BE66" s="1">
        <f>BC66+BD66</f>
        <v>5659.4488188976375</v>
      </c>
      <c r="BF66" s="1">
        <f>BC66*(1-BA66/100)</f>
        <v>2350.8884584614093</v>
      </c>
      <c r="BG66" s="1">
        <f>BD66*(1-BB66/100)</f>
        <v>3118.4859183957078</v>
      </c>
      <c r="BH66" s="1">
        <f>BF66+BG66</f>
        <v>5469.3743768571167</v>
      </c>
      <c r="BI66" s="11" t="str">
        <f>AA66</f>
        <v>0991913431218</v>
      </c>
      <c r="BJ66" s="11">
        <f>AB66</f>
        <v>43803</v>
      </c>
      <c r="BK66" s="1">
        <f>AVERAGE(AC66:AC67)</f>
        <v>48.5</v>
      </c>
      <c r="BL66" s="2">
        <f t="shared" ref="BL66" si="74">AVERAGE(AD66:AD67)</f>
        <v>1.115</v>
      </c>
      <c r="BM66" s="1">
        <f t="shared" ref="BM66" si="75">AVERAGE(AE66:AE67)</f>
        <v>81.2</v>
      </c>
      <c r="BN66" s="1">
        <f t="shared" ref="BN66" si="76">AVERAGE(AF66:AF67)</f>
        <v>26.7</v>
      </c>
      <c r="BO66" s="1">
        <f t="shared" ref="BO66" si="77">AVERAGE(AG66:AG67)</f>
        <v>8.75</v>
      </c>
      <c r="BP66" s="1">
        <f t="shared" ref="BP66" si="78">AVERAGE(AH66:AH67)</f>
        <v>9.75</v>
      </c>
    </row>
    <row r="67" spans="1:68" x14ac:dyDescent="0.3">
      <c r="A67">
        <v>18</v>
      </c>
      <c r="B67" s="3" t="s">
        <v>239</v>
      </c>
      <c r="C67" s="3" t="s">
        <v>106</v>
      </c>
      <c r="D67" s="13">
        <v>43768</v>
      </c>
      <c r="E67" s="2">
        <v>2.88</v>
      </c>
      <c r="F67" s="2">
        <v>0.16</v>
      </c>
      <c r="G67" s="2">
        <f t="shared" si="2"/>
        <v>2.7199999999999998</v>
      </c>
      <c r="H67" s="4">
        <f t="shared" si="3"/>
        <v>6692.9133858267705</v>
      </c>
      <c r="I67" s="10">
        <v>43787</v>
      </c>
      <c r="J67" s="2">
        <v>1.34</v>
      </c>
      <c r="K67" s="2">
        <v>3.1</v>
      </c>
      <c r="L67" s="6">
        <f t="shared" si="4"/>
        <v>0.38970588235294124</v>
      </c>
      <c r="M67" s="6">
        <f t="shared" si="5"/>
        <v>0.52205882352941191</v>
      </c>
      <c r="N67" s="6">
        <f t="shared" si="6"/>
        <v>8.8235294117646856E-2</v>
      </c>
      <c r="O67" s="2">
        <v>47.14</v>
      </c>
      <c r="P67" s="2">
        <v>45.91</v>
      </c>
      <c r="Q67" s="2">
        <v>144.52000000000001</v>
      </c>
      <c r="R67" s="2">
        <v>138.81</v>
      </c>
      <c r="S67" s="5">
        <f t="shared" si="7"/>
        <v>2.609249045396699</v>
      </c>
      <c r="T67" s="5">
        <f t="shared" si="8"/>
        <v>3.9510102407971268</v>
      </c>
      <c r="U67" s="4">
        <f t="shared" si="9"/>
        <v>2608.267716535433</v>
      </c>
      <c r="V67" s="4">
        <f t="shared" si="10"/>
        <v>3494.0944881889768</v>
      </c>
      <c r="W67" s="4">
        <f t="shared" si="11"/>
        <v>6102.3622047244098</v>
      </c>
      <c r="X67" s="4">
        <f t="shared" si="12"/>
        <v>2540.2115160403418</v>
      </c>
      <c r="Y67" s="4">
        <f t="shared" si="13"/>
        <v>3356.0424571375024</v>
      </c>
      <c r="Z67" s="4">
        <f t="shared" si="14"/>
        <v>5896.2539731778443</v>
      </c>
      <c r="AA67" s="8" t="s">
        <v>173</v>
      </c>
      <c r="AB67" s="10">
        <v>43803</v>
      </c>
      <c r="AC67" s="4">
        <v>49.3</v>
      </c>
      <c r="AD67" s="5">
        <v>1.1000000000000001</v>
      </c>
      <c r="AE67" s="4">
        <v>80.7</v>
      </c>
      <c r="AF67" s="4">
        <v>26.9</v>
      </c>
      <c r="AG67" s="4">
        <v>8.5</v>
      </c>
      <c r="AH67" s="4">
        <v>10.4</v>
      </c>
      <c r="AJ67" s="14"/>
      <c r="AK67" s="1"/>
      <c r="AL67" s="1"/>
      <c r="AM67" s="2"/>
      <c r="AN67" s="2"/>
      <c r="AO67" s="2"/>
      <c r="AP67" s="1"/>
      <c r="AQ67" s="2"/>
      <c r="AR67" s="2"/>
      <c r="AS67" s="2"/>
      <c r="AT67" s="7"/>
      <c r="AU67" s="7"/>
      <c r="AV67" s="7"/>
      <c r="AW67" s="2"/>
      <c r="AX67" s="2"/>
      <c r="AY67" s="2"/>
      <c r="AZ67" s="2"/>
      <c r="BA67" s="2"/>
      <c r="BB67" s="2"/>
      <c r="BC67" s="1"/>
      <c r="BD67" s="1"/>
      <c r="BE67" s="1"/>
      <c r="BF67" s="1"/>
      <c r="BG67" s="1"/>
      <c r="BH67" s="1"/>
      <c r="BI67" s="11"/>
      <c r="BJ67" s="1"/>
      <c r="BK67" s="1"/>
      <c r="BL67" s="2"/>
      <c r="BM67" s="1"/>
      <c r="BN67" s="1"/>
      <c r="BO67" s="1"/>
      <c r="BP67" s="1"/>
    </row>
    <row r="68" spans="1:68" x14ac:dyDescent="0.3">
      <c r="A68">
        <v>19</v>
      </c>
      <c r="B68" s="3" t="s">
        <v>240</v>
      </c>
      <c r="C68" s="3" t="s">
        <v>106</v>
      </c>
      <c r="D68" s="13">
        <v>43768</v>
      </c>
      <c r="E68" s="2">
        <v>2.5</v>
      </c>
      <c r="F68" s="2">
        <v>0.16</v>
      </c>
      <c r="G68" s="2">
        <f t="shared" si="2"/>
        <v>2.34</v>
      </c>
      <c r="H68" s="4">
        <f t="shared" si="3"/>
        <v>5757.8740157480315</v>
      </c>
      <c r="I68" s="10">
        <v>43787</v>
      </c>
      <c r="J68" s="2">
        <v>1.18</v>
      </c>
      <c r="K68" s="2">
        <v>2.92</v>
      </c>
      <c r="L68" s="6">
        <f t="shared" si="4"/>
        <v>0.38461538461538458</v>
      </c>
      <c r="M68" s="6">
        <f t="shared" si="5"/>
        <v>0.52991452991452992</v>
      </c>
      <c r="N68" s="6">
        <f t="shared" si="6"/>
        <v>8.54700854700855E-2</v>
      </c>
      <c r="O68" s="2">
        <v>46.47</v>
      </c>
      <c r="P68" s="2">
        <v>45.34</v>
      </c>
      <c r="Q68" s="2">
        <v>161.24</v>
      </c>
      <c r="R68" s="2">
        <v>154.69999999999999</v>
      </c>
      <c r="S68" s="5">
        <f t="shared" si="7"/>
        <v>2.431676350333539</v>
      </c>
      <c r="T68" s="5">
        <f t="shared" si="8"/>
        <v>4.0560654924336514</v>
      </c>
      <c r="U68" s="4">
        <f t="shared" si="9"/>
        <v>2214.5669291338581</v>
      </c>
      <c r="V68" s="4">
        <f t="shared" si="10"/>
        <v>3051.1811023622049</v>
      </c>
      <c r="W68" s="4">
        <f t="shared" si="11"/>
        <v>5265.748031496063</v>
      </c>
      <c r="X68" s="4">
        <f t="shared" si="12"/>
        <v>2160.7158288558026</v>
      </c>
      <c r="Y68" s="4">
        <f t="shared" si="13"/>
        <v>2927.4231985576348</v>
      </c>
      <c r="Z68" s="4">
        <f t="shared" si="14"/>
        <v>5088.1390274134374</v>
      </c>
      <c r="AA68" t="s">
        <v>150</v>
      </c>
      <c r="AB68" s="10">
        <v>43803</v>
      </c>
      <c r="AC68" s="4">
        <v>49.1</v>
      </c>
      <c r="AD68" s="5">
        <v>1.1000000000000001</v>
      </c>
      <c r="AE68" s="4">
        <v>81.099999999999994</v>
      </c>
      <c r="AF68" s="4">
        <v>27.3</v>
      </c>
      <c r="AG68" s="4">
        <v>8.4</v>
      </c>
      <c r="AH68" s="4">
        <v>10.4</v>
      </c>
      <c r="AJ68" s="14" t="s">
        <v>199</v>
      </c>
      <c r="AK68" s="1" t="s">
        <v>106</v>
      </c>
      <c r="AL68" s="11">
        <f>D68</f>
        <v>43768</v>
      </c>
      <c r="AM68" s="2">
        <f>SUM(E68:E69)</f>
        <v>4.8</v>
      </c>
      <c r="AN68" s="2">
        <f>SUM(F68:F69)</f>
        <v>0.32</v>
      </c>
      <c r="AO68" s="2">
        <f>AM68-AN68</f>
        <v>4.4799999999999995</v>
      </c>
      <c r="AP68" s="1">
        <f>AO68/(2*$A$38)*$A$39</f>
        <v>5511.8110236220464</v>
      </c>
      <c r="AQ68" s="11">
        <f>I68</f>
        <v>43787</v>
      </c>
      <c r="AR68" s="2">
        <f>SUM(J68:J69)</f>
        <v>2.34</v>
      </c>
      <c r="AS68" s="2">
        <f>SUM(K68:K69)</f>
        <v>5.74</v>
      </c>
      <c r="AT68" s="7">
        <f>(AR68-2*$A$40)/AO68</f>
        <v>0.39732142857142855</v>
      </c>
      <c r="AU68" s="7">
        <f>(AS68-2*$A$41)/AO68</f>
        <v>0.53125000000000011</v>
      </c>
      <c r="AV68" s="7">
        <f>1-AT68-AU68</f>
        <v>7.1428571428571286E-2</v>
      </c>
      <c r="AW68" s="2">
        <f>SUM(O68:O69)</f>
        <v>92.82</v>
      </c>
      <c r="AX68" s="2">
        <f t="shared" ref="AX68" si="79">SUM(P68:P69)</f>
        <v>90.580000000000013</v>
      </c>
      <c r="AY68" s="2">
        <f t="shared" ref="AY68" si="80">SUM(Q68:Q69)</f>
        <v>312.57000000000005</v>
      </c>
      <c r="AZ68" s="2">
        <f t="shared" ref="AZ68" si="81">SUM(R68:R69)</f>
        <v>300.14999999999998</v>
      </c>
      <c r="BA68" s="2">
        <f>(AW68-AX68)/AW68*100</f>
        <v>2.4132730015082751</v>
      </c>
      <c r="BB68" s="2">
        <f>(AY68-AZ68)/AY68*100</f>
        <v>3.973509933774857</v>
      </c>
      <c r="BC68" s="1">
        <f>AP68*AT68</f>
        <v>2189.9606299212592</v>
      </c>
      <c r="BD68" s="1">
        <f>AP68*AU68</f>
        <v>2928.1496062992128</v>
      </c>
      <c r="BE68" s="1">
        <f>BC68+BD68</f>
        <v>5118.110236220472</v>
      </c>
      <c r="BF68" s="1">
        <f>BC68*(1-BA68/100)</f>
        <v>2137.110901295709</v>
      </c>
      <c r="BG68" s="1">
        <f>BD68*(1-BB68/100)</f>
        <v>2811.7992908171241</v>
      </c>
      <c r="BH68" s="1">
        <f>BF68+BG68</f>
        <v>4948.9101921128331</v>
      </c>
      <c r="BI68" s="11" t="str">
        <f>AA68</f>
        <v>0991913432220</v>
      </c>
      <c r="BJ68" s="11">
        <f>AB68</f>
        <v>43803</v>
      </c>
      <c r="BK68" s="1">
        <f>AVERAGE(AC68:AC69)</f>
        <v>48.8</v>
      </c>
      <c r="BL68" s="2">
        <f t="shared" ref="BL68" si="82">AVERAGE(AD68:AD69)</f>
        <v>1.1000000000000001</v>
      </c>
      <c r="BM68" s="1">
        <f t="shared" ref="BM68" si="83">AVERAGE(AE68:AE69)</f>
        <v>81.349999999999994</v>
      </c>
      <c r="BN68" s="1">
        <f t="shared" ref="BN68" si="84">AVERAGE(AF68:AF69)</f>
        <v>27.25</v>
      </c>
      <c r="BO68" s="1">
        <f t="shared" ref="BO68" si="85">AVERAGE(AG68:AG69)</f>
        <v>8.4499999999999993</v>
      </c>
      <c r="BP68" s="1">
        <f t="shared" ref="BP68" si="86">AVERAGE(AH68:AH69)</f>
        <v>9.9499999999999993</v>
      </c>
    </row>
    <row r="69" spans="1:68" x14ac:dyDescent="0.3">
      <c r="A69">
        <v>20</v>
      </c>
      <c r="B69" s="3" t="s">
        <v>241</v>
      </c>
      <c r="C69" s="3" t="s">
        <v>106</v>
      </c>
      <c r="D69" s="13">
        <v>43768</v>
      </c>
      <c r="E69" s="2">
        <v>2.2999999999999998</v>
      </c>
      <c r="F69" s="2">
        <v>0.16</v>
      </c>
      <c r="G69" s="2">
        <f t="shared" si="2"/>
        <v>2.1399999999999997</v>
      </c>
      <c r="H69" s="4">
        <f t="shared" si="3"/>
        <v>5265.7480314960621</v>
      </c>
      <c r="I69" s="10">
        <v>43787</v>
      </c>
      <c r="J69" s="2">
        <v>1.1599999999999999</v>
      </c>
      <c r="K69" s="2">
        <v>2.82</v>
      </c>
      <c r="L69" s="6">
        <f t="shared" si="4"/>
        <v>0.41121495327102803</v>
      </c>
      <c r="M69" s="6">
        <f t="shared" si="5"/>
        <v>0.53271028037383183</v>
      </c>
      <c r="N69" s="6">
        <f t="shared" si="6"/>
        <v>5.6074766355140082E-2</v>
      </c>
      <c r="O69" s="2">
        <v>46.35</v>
      </c>
      <c r="P69" s="2">
        <v>45.24</v>
      </c>
      <c r="Q69" s="2">
        <v>151.33000000000001</v>
      </c>
      <c r="R69" s="2">
        <v>145.44999999999999</v>
      </c>
      <c r="S69" s="5">
        <f t="shared" si="7"/>
        <v>2.3948220064724905</v>
      </c>
      <c r="T69" s="5">
        <f t="shared" si="8"/>
        <v>3.8855481398268839</v>
      </c>
      <c r="U69" s="4">
        <f t="shared" si="9"/>
        <v>2165.3543307086611</v>
      </c>
      <c r="V69" s="4">
        <f t="shared" si="10"/>
        <v>2805.1181102362202</v>
      </c>
      <c r="W69" s="4">
        <f t="shared" si="11"/>
        <v>4970.4724409448809</v>
      </c>
      <c r="X69" s="4">
        <f t="shared" si="12"/>
        <v>2113.4979486787452</v>
      </c>
      <c r="Y69" s="4">
        <f t="shared" si="13"/>
        <v>2696.1238956839898</v>
      </c>
      <c r="Z69" s="4">
        <f t="shared" si="14"/>
        <v>4809.6218443627349</v>
      </c>
      <c r="AA69" s="8" t="s">
        <v>174</v>
      </c>
      <c r="AB69" s="10">
        <v>43803</v>
      </c>
      <c r="AC69" s="4">
        <v>48.5</v>
      </c>
      <c r="AD69" s="5">
        <v>1.1000000000000001</v>
      </c>
      <c r="AE69" s="4">
        <v>81.599999999999994</v>
      </c>
      <c r="AF69" s="4">
        <v>27.2</v>
      </c>
      <c r="AG69" s="4">
        <v>8.5</v>
      </c>
      <c r="AH69" s="4">
        <v>9.5</v>
      </c>
      <c r="AJ69" s="14"/>
      <c r="AK69" s="1"/>
      <c r="AL69" s="1"/>
      <c r="AM69" s="2"/>
      <c r="AN69" s="2"/>
      <c r="AO69" s="2"/>
      <c r="AP69" s="1"/>
      <c r="AQ69" s="2"/>
      <c r="AR69" s="2"/>
      <c r="AS69" s="2"/>
      <c r="AT69" s="7"/>
      <c r="AU69" s="7"/>
      <c r="AV69" s="7"/>
      <c r="AW69" s="2"/>
      <c r="AX69" s="2"/>
      <c r="AY69" s="2"/>
      <c r="AZ69" s="2"/>
      <c r="BA69" s="2"/>
      <c r="BB69" s="2"/>
      <c r="BC69" s="1"/>
      <c r="BD69" s="1"/>
      <c r="BE69" s="1"/>
      <c r="BF69" s="1"/>
      <c r="BG69" s="1"/>
      <c r="BH69" s="1"/>
      <c r="BI69" s="11"/>
      <c r="BJ69" s="1"/>
      <c r="BK69" s="1"/>
      <c r="BL69" s="2"/>
      <c r="BM69" s="1"/>
      <c r="BN69" s="1"/>
      <c r="BO69" s="1"/>
      <c r="BP69" s="1"/>
    </row>
    <row r="70" spans="1:68" x14ac:dyDescent="0.3">
      <c r="A70">
        <v>21</v>
      </c>
      <c r="B70" s="3" t="s">
        <v>242</v>
      </c>
      <c r="C70" s="3" t="s">
        <v>106</v>
      </c>
      <c r="D70" s="13">
        <v>43768</v>
      </c>
      <c r="E70" s="2">
        <v>2.1800000000000002</v>
      </c>
      <c r="F70" s="2">
        <v>0.16</v>
      </c>
      <c r="G70" s="2">
        <f t="shared" si="2"/>
        <v>2.02</v>
      </c>
      <c r="H70" s="4">
        <f t="shared" si="3"/>
        <v>4970.4724409448818</v>
      </c>
      <c r="I70" s="10">
        <v>43787</v>
      </c>
      <c r="J70" s="2">
        <v>1.04</v>
      </c>
      <c r="K70" s="2">
        <v>2.74</v>
      </c>
      <c r="L70" s="6">
        <f t="shared" si="4"/>
        <v>0.37623762376237624</v>
      </c>
      <c r="M70" s="6">
        <f t="shared" si="5"/>
        <v>0.52475247524752489</v>
      </c>
      <c r="N70" s="6">
        <f t="shared" si="6"/>
        <v>9.9009900990098876E-2</v>
      </c>
      <c r="O70" s="2">
        <v>36.15</v>
      </c>
      <c r="P70" s="2">
        <v>35.28</v>
      </c>
      <c r="Q70" s="2">
        <v>140.96</v>
      </c>
      <c r="R70" s="2">
        <v>135.4</v>
      </c>
      <c r="S70" s="5">
        <f t="shared" si="7"/>
        <v>2.4066390041493708</v>
      </c>
      <c r="T70" s="5">
        <f t="shared" si="8"/>
        <v>3.9443813847900127</v>
      </c>
      <c r="U70" s="4">
        <f t="shared" si="9"/>
        <v>1870.0787401574803</v>
      </c>
      <c r="V70" s="4">
        <f t="shared" si="10"/>
        <v>2608.2677165354335</v>
      </c>
      <c r="W70" s="4">
        <f t="shared" si="11"/>
        <v>4478.3464566929142</v>
      </c>
      <c r="X70" s="4">
        <f t="shared" si="12"/>
        <v>1825.0726957885452</v>
      </c>
      <c r="Y70" s="4">
        <f t="shared" si="13"/>
        <v>2505.3876902589222</v>
      </c>
      <c r="Z70" s="4">
        <f t="shared" si="14"/>
        <v>4330.4603860474672</v>
      </c>
      <c r="AA70" t="s">
        <v>151</v>
      </c>
      <c r="AB70" s="10">
        <v>43803</v>
      </c>
      <c r="AC70" s="4">
        <v>48.8</v>
      </c>
      <c r="AD70" s="5">
        <v>1.01</v>
      </c>
      <c r="AE70" s="4">
        <v>78.900000000000006</v>
      </c>
      <c r="AF70" s="4">
        <v>25.5</v>
      </c>
      <c r="AG70" s="4">
        <v>9</v>
      </c>
      <c r="AH70" s="4">
        <v>12.5</v>
      </c>
      <c r="AJ70" s="14" t="s">
        <v>200</v>
      </c>
      <c r="AK70" s="1" t="s">
        <v>106</v>
      </c>
      <c r="AL70" s="11">
        <f>D70</f>
        <v>43768</v>
      </c>
      <c r="AM70" s="2">
        <f>SUM(E70:E71)</f>
        <v>4.3499999999999996</v>
      </c>
      <c r="AN70" s="2">
        <f>SUM(F70:F71)</f>
        <v>0.32</v>
      </c>
      <c r="AO70" s="2">
        <f>AM70-AN70</f>
        <v>4.0299999999999994</v>
      </c>
      <c r="AP70" s="1">
        <f>AO70/(2*$A$38)*$A$39</f>
        <v>4958.1692913385814</v>
      </c>
      <c r="AQ70" s="11">
        <f>I70</f>
        <v>43787</v>
      </c>
      <c r="AR70" s="2">
        <f>SUM(J70:J71)</f>
        <v>2.12</v>
      </c>
      <c r="AS70" s="2">
        <f>SUM(K70:K71)</f>
        <v>5.4600000000000009</v>
      </c>
      <c r="AT70" s="7">
        <f>(AR70-2*$A$40)/AO70</f>
        <v>0.38709677419354849</v>
      </c>
      <c r="AU70" s="7">
        <f>(AS70-2*$A$41)/AO70</f>
        <v>0.52109181141439243</v>
      </c>
      <c r="AV70" s="7">
        <f>1-AT70-AU70</f>
        <v>9.1811414392059087E-2</v>
      </c>
      <c r="AW70" s="2">
        <f>SUM(O70:O71)</f>
        <v>77.97</v>
      </c>
      <c r="AX70" s="2">
        <f t="shared" ref="AX70" si="87">SUM(P70:P71)</f>
        <v>76.099999999999994</v>
      </c>
      <c r="AY70" s="2">
        <f t="shared" ref="AY70" si="88">SUM(Q70:Q71)</f>
        <v>266.35000000000002</v>
      </c>
      <c r="AZ70" s="2">
        <f t="shared" ref="AZ70" si="89">SUM(R70:R71)</f>
        <v>255.9</v>
      </c>
      <c r="BA70" s="2">
        <f>(AW70-AX70)/AW70*100</f>
        <v>2.3983583429524233</v>
      </c>
      <c r="BB70" s="2">
        <f>(AY70-AZ70)/AY70*100</f>
        <v>3.923409048244797</v>
      </c>
      <c r="BC70" s="1">
        <f>AP70*AT70</f>
        <v>1919.2913385826771</v>
      </c>
      <c r="BD70" s="1">
        <f>AP70*AU70</f>
        <v>2583.6614173228359</v>
      </c>
      <c r="BE70" s="1">
        <f>BC70+BD70</f>
        <v>4502.9527559055132</v>
      </c>
      <c r="BF70" s="1">
        <f>BC70*(1-BA70/100)</f>
        <v>1873.2598546382162</v>
      </c>
      <c r="BG70" s="1">
        <f>BD70*(1-BB70/100)</f>
        <v>2482.2938114995818</v>
      </c>
      <c r="BH70" s="1">
        <f>BF70+BG70</f>
        <v>4355.5536661377982</v>
      </c>
      <c r="BI70" s="11" t="str">
        <f>AA70</f>
        <v>0991913433222</v>
      </c>
      <c r="BJ70" s="11">
        <f>AB70</f>
        <v>43803</v>
      </c>
      <c r="BK70" s="1">
        <f>AVERAGE(AC70:AC71)</f>
        <v>48.4</v>
      </c>
      <c r="BL70" s="2">
        <f t="shared" ref="BL70" si="90">AVERAGE(AD70:AD71)</f>
        <v>1.0249999999999999</v>
      </c>
      <c r="BM70" s="1">
        <f t="shared" ref="BM70" si="91">AVERAGE(AE70:AE71)</f>
        <v>79.2</v>
      </c>
      <c r="BN70" s="1">
        <f t="shared" ref="BN70" si="92">AVERAGE(AF70:AF71)</f>
        <v>25.3</v>
      </c>
      <c r="BO70" s="1">
        <f t="shared" ref="BO70" si="93">AVERAGE(AG70:AG71)</f>
        <v>8.85</v>
      </c>
      <c r="BP70" s="1">
        <f t="shared" ref="BP70" si="94">AVERAGE(AH70:AH71)</f>
        <v>12</v>
      </c>
    </row>
    <row r="71" spans="1:68" x14ac:dyDescent="0.3">
      <c r="A71">
        <v>22</v>
      </c>
      <c r="B71" s="3" t="s">
        <v>243</v>
      </c>
      <c r="C71" s="3" t="s">
        <v>106</v>
      </c>
      <c r="D71" s="13">
        <v>43768</v>
      </c>
      <c r="E71" s="2">
        <v>2.17</v>
      </c>
      <c r="F71" s="2">
        <v>0.16</v>
      </c>
      <c r="G71" s="2">
        <f t="shared" si="2"/>
        <v>2.0099999999999998</v>
      </c>
      <c r="H71" s="4">
        <f t="shared" si="3"/>
        <v>4945.8661417322828</v>
      </c>
      <c r="I71" s="10">
        <v>43787</v>
      </c>
      <c r="J71" s="2">
        <v>1.08</v>
      </c>
      <c r="K71" s="2">
        <v>2.72</v>
      </c>
      <c r="L71" s="6">
        <f t="shared" si="4"/>
        <v>0.39800995024875629</v>
      </c>
      <c r="M71" s="6">
        <f t="shared" si="5"/>
        <v>0.51741293532338328</v>
      </c>
      <c r="N71" s="6">
        <f t="shared" si="6"/>
        <v>8.4577114427860423E-2</v>
      </c>
      <c r="O71" s="2">
        <v>41.82</v>
      </c>
      <c r="P71" s="2">
        <v>40.82</v>
      </c>
      <c r="Q71" s="2">
        <v>125.39</v>
      </c>
      <c r="R71" s="2">
        <v>120.5</v>
      </c>
      <c r="S71" s="5">
        <f t="shared" si="7"/>
        <v>2.3912003825920611</v>
      </c>
      <c r="T71" s="5">
        <f t="shared" si="8"/>
        <v>3.8998325225297079</v>
      </c>
      <c r="U71" s="4">
        <f t="shared" si="9"/>
        <v>1968.5039370078741</v>
      </c>
      <c r="V71" s="4">
        <f t="shared" si="10"/>
        <v>2559.0551181102369</v>
      </c>
      <c r="W71" s="4">
        <f t="shared" si="11"/>
        <v>4527.5590551181112</v>
      </c>
      <c r="X71" s="4">
        <f t="shared" si="12"/>
        <v>1921.433063334802</v>
      </c>
      <c r="Y71" s="4">
        <f t="shared" si="13"/>
        <v>2459.2562543447129</v>
      </c>
      <c r="Z71" s="4">
        <f t="shared" si="14"/>
        <v>4380.6893176795147</v>
      </c>
      <c r="AA71" s="8" t="s">
        <v>175</v>
      </c>
      <c r="AB71" s="10">
        <v>43803</v>
      </c>
      <c r="AC71" s="4">
        <v>48</v>
      </c>
      <c r="AD71" s="5">
        <v>1.04</v>
      </c>
      <c r="AE71" s="4">
        <v>79.5</v>
      </c>
      <c r="AF71" s="4">
        <v>25.1</v>
      </c>
      <c r="AG71" s="4">
        <v>8.6999999999999993</v>
      </c>
      <c r="AH71" s="4">
        <v>11.5</v>
      </c>
      <c r="AJ71" s="14"/>
      <c r="AK71" s="1"/>
      <c r="AL71" s="1"/>
      <c r="AM71" s="2"/>
      <c r="AN71" s="2"/>
      <c r="AO71" s="2"/>
      <c r="AP71" s="1"/>
      <c r="AQ71" s="2"/>
      <c r="AR71" s="2"/>
      <c r="AS71" s="2"/>
      <c r="AT71" s="7"/>
      <c r="AU71" s="7"/>
      <c r="AV71" s="7"/>
      <c r="AW71" s="2"/>
      <c r="AX71" s="2"/>
      <c r="AY71" s="2"/>
      <c r="AZ71" s="2"/>
      <c r="BA71" s="2"/>
      <c r="BB71" s="2"/>
      <c r="BC71" s="1"/>
      <c r="BD71" s="1"/>
      <c r="BE71" s="1"/>
      <c r="BF71" s="1"/>
      <c r="BG71" s="1"/>
      <c r="BH71" s="1"/>
      <c r="BI71" s="11"/>
      <c r="BJ71" s="1"/>
      <c r="BK71" s="1"/>
      <c r="BL71" s="2"/>
      <c r="BM71" s="1"/>
      <c r="BN71" s="1"/>
      <c r="BO71" s="1"/>
      <c r="BP71" s="1"/>
    </row>
    <row r="72" spans="1:68" x14ac:dyDescent="0.3">
      <c r="A72">
        <v>23</v>
      </c>
      <c r="B72" s="3" t="s">
        <v>244</v>
      </c>
      <c r="C72" s="3" t="s">
        <v>106</v>
      </c>
      <c r="D72" s="13">
        <v>43768</v>
      </c>
      <c r="E72" s="2">
        <v>2.41</v>
      </c>
      <c r="F72" s="2">
        <v>0.16</v>
      </c>
      <c r="G72" s="2">
        <f t="shared" si="2"/>
        <v>2.25</v>
      </c>
      <c r="H72" s="4">
        <f t="shared" si="3"/>
        <v>5536.4173228346463</v>
      </c>
      <c r="I72" s="10">
        <v>43787</v>
      </c>
      <c r="J72" s="2">
        <v>1.2</v>
      </c>
      <c r="K72" s="2">
        <v>2.88</v>
      </c>
      <c r="L72" s="6">
        <f t="shared" si="4"/>
        <v>0.40888888888888886</v>
      </c>
      <c r="M72" s="6">
        <f t="shared" si="5"/>
        <v>0.53333333333333333</v>
      </c>
      <c r="N72" s="6">
        <f t="shared" si="6"/>
        <v>5.7777777777777817E-2</v>
      </c>
      <c r="O72" s="2">
        <v>41.98</v>
      </c>
      <c r="P72" s="2">
        <v>41.01</v>
      </c>
      <c r="Q72" s="2">
        <v>128.83000000000001</v>
      </c>
      <c r="R72" s="2">
        <v>123.75</v>
      </c>
      <c r="S72" s="5">
        <f t="shared" si="7"/>
        <v>2.3106241067174822</v>
      </c>
      <c r="T72" s="5">
        <f t="shared" si="8"/>
        <v>3.9431809361173733</v>
      </c>
      <c r="U72" s="4">
        <f t="shared" si="9"/>
        <v>2263.7795275590552</v>
      </c>
      <c r="V72" s="4">
        <f t="shared" si="10"/>
        <v>2952.7559055118113</v>
      </c>
      <c r="W72" s="4">
        <f t="shared" si="11"/>
        <v>5216.5354330708669</v>
      </c>
      <c r="X72" s="4">
        <f t="shared" si="12"/>
        <v>2211.4720920723403</v>
      </c>
      <c r="Y72" s="4">
        <f t="shared" si="13"/>
        <v>2836.3233975555895</v>
      </c>
      <c r="Z72" s="4">
        <f t="shared" si="14"/>
        <v>5047.7954896279298</v>
      </c>
      <c r="AA72" t="s">
        <v>152</v>
      </c>
      <c r="AB72" s="10">
        <v>43803</v>
      </c>
      <c r="AC72" s="4">
        <v>47.9</v>
      </c>
      <c r="AD72" s="5">
        <v>1.08</v>
      </c>
      <c r="AE72" s="4">
        <v>80.900000000000006</v>
      </c>
      <c r="AF72" s="4">
        <v>25.6</v>
      </c>
      <c r="AG72" s="4">
        <v>9.3000000000000007</v>
      </c>
      <c r="AH72" s="4">
        <v>10.7</v>
      </c>
      <c r="AJ72" s="14" t="s">
        <v>201</v>
      </c>
      <c r="AK72" s="1" t="s">
        <v>106</v>
      </c>
      <c r="AL72" s="11">
        <f>D72</f>
        <v>43768</v>
      </c>
      <c r="AM72" s="2">
        <f>SUM(E72:E73)</f>
        <v>4.6500000000000004</v>
      </c>
      <c r="AN72" s="2">
        <f>SUM(F72:F73)</f>
        <v>0.32</v>
      </c>
      <c r="AO72" s="2">
        <f>AM72-AN72</f>
        <v>4.33</v>
      </c>
      <c r="AP72" s="1">
        <f>AO72/(2*$A$38)*$A$39</f>
        <v>5327.2637795275587</v>
      </c>
      <c r="AQ72" s="11">
        <f>I72</f>
        <v>43787</v>
      </c>
      <c r="AR72" s="2">
        <f>SUM(J72:J73)</f>
        <v>2.2999999999999998</v>
      </c>
      <c r="AS72" s="2">
        <f>SUM(K72:K73)</f>
        <v>5.62</v>
      </c>
      <c r="AT72" s="7">
        <f>(AR72-2*$A$40)/AO72</f>
        <v>0.40184757505773666</v>
      </c>
      <c r="AU72" s="7">
        <f>(AS72-2*$A$41)/AO72</f>
        <v>0.52193995381062364</v>
      </c>
      <c r="AV72" s="7">
        <f>1-AT72-AU72</f>
        <v>7.6212471131639759E-2</v>
      </c>
      <c r="AW72" s="2">
        <f>SUM(O72:O73)</f>
        <v>97.36</v>
      </c>
      <c r="AX72" s="2">
        <f t="shared" ref="AX72" si="95">SUM(P72:P73)</f>
        <v>95.08</v>
      </c>
      <c r="AY72" s="2">
        <f t="shared" ref="AY72" si="96">SUM(Q72:Q73)</f>
        <v>265.21000000000004</v>
      </c>
      <c r="AZ72" s="2">
        <f t="shared" ref="AZ72" si="97">SUM(R72:R73)</f>
        <v>254.9</v>
      </c>
      <c r="BA72" s="2">
        <f>(AW72-AX72)/AW72*100</f>
        <v>2.3418241577649974</v>
      </c>
      <c r="BB72" s="2">
        <f>(AY72-AZ72)/AY72*100</f>
        <v>3.8874853889370802</v>
      </c>
      <c r="BC72" s="1">
        <f>AP72*AT72</f>
        <v>2140.7480314960626</v>
      </c>
      <c r="BD72" s="1">
        <f>AP72*AU72</f>
        <v>2780.5118110236222</v>
      </c>
      <c r="BE72" s="1">
        <f>BC72+BD72</f>
        <v>4921.2598425196848</v>
      </c>
      <c r="BF72" s="1">
        <f>BC72*(1-BA72/100)</f>
        <v>2090.6154769376094</v>
      </c>
      <c r="BG72" s="1">
        <f>BD72*(1-BB72/100)</f>
        <v>2672.419820632409</v>
      </c>
      <c r="BH72" s="1">
        <f>BF72+BG72</f>
        <v>4763.0352975700189</v>
      </c>
      <c r="BI72" s="11" t="str">
        <f>AA72</f>
        <v>0991913434224</v>
      </c>
      <c r="BJ72" s="11">
        <f>AB72</f>
        <v>43803</v>
      </c>
      <c r="BK72" s="1">
        <f>AVERAGE(AC72:AC73)</f>
        <v>48.25</v>
      </c>
      <c r="BL72" s="2">
        <f t="shared" ref="BL72" si="98">AVERAGE(AD72:AD73)</f>
        <v>1.0649999999999999</v>
      </c>
      <c r="BM72" s="1">
        <f t="shared" ref="BM72" si="99">AVERAGE(AE72:AE73)</f>
        <v>80.45</v>
      </c>
      <c r="BN72" s="1">
        <f t="shared" ref="BN72" si="100">AVERAGE(AF72:AF73)</f>
        <v>25</v>
      </c>
      <c r="BO72" s="1">
        <f t="shared" ref="BO72" si="101">AVERAGE(AG72:AG73)</f>
        <v>9.15</v>
      </c>
      <c r="BP72" s="1">
        <f t="shared" ref="BP72" si="102">AVERAGE(AH72:AH73)</f>
        <v>11.2</v>
      </c>
    </row>
    <row r="73" spans="1:68" x14ac:dyDescent="0.3">
      <c r="A73">
        <v>24</v>
      </c>
      <c r="B73" s="3" t="s">
        <v>245</v>
      </c>
      <c r="C73" s="3" t="s">
        <v>106</v>
      </c>
      <c r="D73" s="13">
        <v>43768</v>
      </c>
      <c r="E73" s="2">
        <v>2.2400000000000002</v>
      </c>
      <c r="F73" s="2">
        <v>0.16</v>
      </c>
      <c r="G73" s="2">
        <f t="shared" si="2"/>
        <v>2.08</v>
      </c>
      <c r="H73" s="4">
        <f t="shared" si="3"/>
        <v>5118.110236220472</v>
      </c>
      <c r="I73" s="10">
        <v>43787</v>
      </c>
      <c r="J73" s="2">
        <v>1.1000000000000001</v>
      </c>
      <c r="K73" s="2">
        <v>2.74</v>
      </c>
      <c r="L73" s="6">
        <f t="shared" si="4"/>
        <v>0.39423076923076927</v>
      </c>
      <c r="M73" s="6">
        <f t="shared" si="5"/>
        <v>0.50961538461538469</v>
      </c>
      <c r="N73" s="6">
        <f t="shared" si="6"/>
        <v>9.6153846153846034E-2</v>
      </c>
      <c r="O73" s="2">
        <v>55.38</v>
      </c>
      <c r="P73" s="2">
        <v>54.07</v>
      </c>
      <c r="Q73" s="2">
        <v>136.38</v>
      </c>
      <c r="R73" s="2">
        <v>131.15</v>
      </c>
      <c r="S73" s="5">
        <f t="shared" si="7"/>
        <v>2.3654749006861722</v>
      </c>
      <c r="T73" s="5">
        <f t="shared" si="8"/>
        <v>3.8348731485554994</v>
      </c>
      <c r="U73" s="4">
        <f t="shared" si="9"/>
        <v>2017.7165354330709</v>
      </c>
      <c r="V73" s="4">
        <f t="shared" si="10"/>
        <v>2608.267716535433</v>
      </c>
      <c r="W73" s="4">
        <f t="shared" si="11"/>
        <v>4625.9842519685044</v>
      </c>
      <c r="X73" s="4">
        <f t="shared" si="12"/>
        <v>1969.987957220407</v>
      </c>
      <c r="Y73" s="4">
        <f t="shared" si="13"/>
        <v>2508.2439582315742</v>
      </c>
      <c r="Z73" s="4">
        <f t="shared" si="14"/>
        <v>4478.231915451981</v>
      </c>
      <c r="AA73" s="8" t="s">
        <v>176</v>
      </c>
      <c r="AB73" s="10">
        <v>43803</v>
      </c>
      <c r="AC73" s="4">
        <v>48.6</v>
      </c>
      <c r="AD73" s="5">
        <v>1.05</v>
      </c>
      <c r="AE73" s="4">
        <v>80</v>
      </c>
      <c r="AF73" s="4">
        <v>24.4</v>
      </c>
      <c r="AG73" s="4">
        <v>9</v>
      </c>
      <c r="AH73" s="4">
        <v>11.7</v>
      </c>
      <c r="AJ73" s="14"/>
      <c r="AK73" s="1"/>
      <c r="AL73" s="1"/>
      <c r="AM73" s="2"/>
      <c r="AN73" s="2"/>
      <c r="AO73" s="2"/>
      <c r="AP73" s="1"/>
      <c r="AQ73" s="2"/>
      <c r="AR73" s="2"/>
      <c r="AS73" s="2"/>
      <c r="AT73" s="7"/>
      <c r="AU73" s="7"/>
      <c r="AV73" s="7"/>
      <c r="AW73" s="2"/>
      <c r="AX73" s="2"/>
      <c r="AY73" s="2"/>
      <c r="AZ73" s="2"/>
      <c r="BA73" s="2"/>
      <c r="BB73" s="2"/>
      <c r="BC73" s="1"/>
      <c r="BD73" s="1"/>
      <c r="BE73" s="1"/>
      <c r="BF73" s="1"/>
      <c r="BG73" s="1"/>
      <c r="BH73" s="1"/>
      <c r="BI73" s="11"/>
      <c r="BJ73" s="1"/>
      <c r="BK73" s="1"/>
      <c r="BL73" s="2"/>
      <c r="BM73" s="1"/>
      <c r="BN73" s="1"/>
      <c r="BO73" s="1"/>
      <c r="BP73" s="1"/>
    </row>
    <row r="74" spans="1:68" x14ac:dyDescent="0.3">
      <c r="A74">
        <v>25</v>
      </c>
      <c r="B74" s="3" t="s">
        <v>246</v>
      </c>
      <c r="C74" s="3" t="s">
        <v>106</v>
      </c>
      <c r="D74" s="13">
        <v>43769</v>
      </c>
      <c r="E74" s="2">
        <v>2.83</v>
      </c>
      <c r="F74" s="2">
        <v>0.16</v>
      </c>
      <c r="G74" s="2">
        <f t="shared" si="2"/>
        <v>2.67</v>
      </c>
      <c r="H74" s="4">
        <f t="shared" si="3"/>
        <v>6569.8818897637793</v>
      </c>
      <c r="I74" s="10">
        <v>43787</v>
      </c>
      <c r="J74" s="2">
        <v>1.28</v>
      </c>
      <c r="K74" s="2">
        <v>3.08</v>
      </c>
      <c r="L74" s="6">
        <f t="shared" si="4"/>
        <v>0.37453183520599254</v>
      </c>
      <c r="M74" s="6">
        <f t="shared" si="5"/>
        <v>0.52434456928838957</v>
      </c>
      <c r="N74" s="6">
        <f t="shared" si="6"/>
        <v>0.10112359550561789</v>
      </c>
      <c r="O74" s="2">
        <v>44.95</v>
      </c>
      <c r="P74" s="2">
        <v>43.95</v>
      </c>
      <c r="Q74" s="2">
        <v>125.47</v>
      </c>
      <c r="R74" s="2">
        <v>120.69</v>
      </c>
      <c r="S74" s="5">
        <f t="shared" si="7"/>
        <v>2.2246941045606228</v>
      </c>
      <c r="T74" s="5">
        <f t="shared" si="8"/>
        <v>3.8096756196700414</v>
      </c>
      <c r="U74" s="4">
        <f t="shared" si="9"/>
        <v>2460.6299212598428</v>
      </c>
      <c r="V74" s="4">
        <f t="shared" si="10"/>
        <v>3444.8818897637798</v>
      </c>
      <c r="W74" s="4">
        <f t="shared" si="11"/>
        <v>5905.5118110236226</v>
      </c>
      <c r="X74" s="4">
        <f t="shared" si="12"/>
        <v>2405.8884324665205</v>
      </c>
      <c r="Y74" s="4">
        <f t="shared" si="13"/>
        <v>3313.6430642830205</v>
      </c>
      <c r="Z74" s="4">
        <f t="shared" si="14"/>
        <v>5719.5314967495415</v>
      </c>
      <c r="AA74" t="s">
        <v>153</v>
      </c>
      <c r="AB74" s="10">
        <v>43803</v>
      </c>
      <c r="AC74" s="4">
        <v>45.8</v>
      </c>
      <c r="AD74" s="5">
        <v>1.0900000000000001</v>
      </c>
      <c r="AE74" s="4">
        <v>81.400000000000006</v>
      </c>
      <c r="AF74" s="4">
        <v>26.7</v>
      </c>
      <c r="AG74" s="4">
        <v>8.8000000000000007</v>
      </c>
      <c r="AH74" s="4">
        <v>10</v>
      </c>
      <c r="AJ74" s="14" t="s">
        <v>202</v>
      </c>
      <c r="AK74" s="1" t="s">
        <v>106</v>
      </c>
      <c r="AL74" s="11">
        <f>D74</f>
        <v>43769</v>
      </c>
      <c r="AM74" s="2">
        <f>SUM(E74:E75)</f>
        <v>5.16</v>
      </c>
      <c r="AN74" s="2">
        <f>SUM(F74:F75)</f>
        <v>0.32</v>
      </c>
      <c r="AO74" s="2">
        <f>AM74-AN74</f>
        <v>4.84</v>
      </c>
      <c r="AP74" s="1">
        <f>AO74/(2*$A$38)*$A$39</f>
        <v>5954.7244094488187</v>
      </c>
      <c r="AQ74" s="11">
        <f>I74</f>
        <v>43787</v>
      </c>
      <c r="AR74" s="2">
        <f>SUM(J74:J75)</f>
        <v>2.44</v>
      </c>
      <c r="AS74" s="2">
        <f>SUM(K74:K75)</f>
        <v>5.8599999999999994</v>
      </c>
      <c r="AT74" s="7">
        <f>(AR74-2*$A$40)/AO74</f>
        <v>0.38842975206611569</v>
      </c>
      <c r="AU74" s="7">
        <f>(AS74-2*$A$41)/AO74</f>
        <v>0.51652892561983466</v>
      </c>
      <c r="AV74" s="7">
        <f>1-AT74-AU74</f>
        <v>9.5041322314049603E-2</v>
      </c>
      <c r="AW74" s="2">
        <f>SUM(O74:O75)</f>
        <v>93.710000000000008</v>
      </c>
      <c r="AX74" s="2">
        <f t="shared" ref="AX74" si="103">SUM(P74:P75)</f>
        <v>91.580000000000013</v>
      </c>
      <c r="AY74" s="2">
        <f t="shared" ref="AY74" si="104">SUM(Q74:Q75)</f>
        <v>241.5</v>
      </c>
      <c r="AZ74" s="2">
        <f t="shared" ref="AZ74" si="105">SUM(R74:R75)</f>
        <v>232.26</v>
      </c>
      <c r="BA74" s="2">
        <f>(AW74-AX74)/AW74*100</f>
        <v>2.2729698004481862</v>
      </c>
      <c r="BB74" s="2">
        <f>(AY74-AZ74)/AY74*100</f>
        <v>3.8260869565217432</v>
      </c>
      <c r="BC74" s="1">
        <f>AP74*AT74</f>
        <v>2312.9921259842517</v>
      </c>
      <c r="BD74" s="1">
        <f>AP74*AU74</f>
        <v>3075.7874015748025</v>
      </c>
      <c r="BE74" s="1">
        <f>BC74+BD74</f>
        <v>5388.7795275590543</v>
      </c>
      <c r="BF74" s="1">
        <f>BC74*(1-BA74/100)</f>
        <v>2260.418513473885</v>
      </c>
      <c r="BG74" s="1">
        <f>BD74*(1-BB74/100)</f>
        <v>2958.1051009928096</v>
      </c>
      <c r="BH74" s="1">
        <f>BF74+BG74</f>
        <v>5218.5236144666942</v>
      </c>
      <c r="BI74" s="11" t="str">
        <f>AA74</f>
        <v>0991913441226</v>
      </c>
      <c r="BJ74" s="11">
        <f>AB74</f>
        <v>43803</v>
      </c>
      <c r="BK74" s="1">
        <f>AVERAGE(AC74:AC75)</f>
        <v>47.15</v>
      </c>
      <c r="BL74" s="2">
        <f t="shared" ref="BL74" si="106">AVERAGE(AD74:AD75)</f>
        <v>1.08</v>
      </c>
      <c r="BM74" s="1">
        <f t="shared" ref="BM74" si="107">AVERAGE(AE74:AE75)</f>
        <v>81.45</v>
      </c>
      <c r="BN74" s="1">
        <f t="shared" ref="BN74" si="108">AVERAGE(AF74:AF75)</f>
        <v>27.5</v>
      </c>
      <c r="BO74" s="1">
        <f t="shared" ref="BO74" si="109">AVERAGE(AG74:AG75)</f>
        <v>8.9499999999999993</v>
      </c>
      <c r="BP74" s="1">
        <f t="shared" ref="BP74" si="110">AVERAGE(AH74:AH75)</f>
        <v>10.199999999999999</v>
      </c>
    </row>
    <row r="75" spans="1:68" x14ac:dyDescent="0.3">
      <c r="A75">
        <v>26</v>
      </c>
      <c r="B75" s="3" t="s">
        <v>247</v>
      </c>
      <c r="C75" s="3" t="s">
        <v>106</v>
      </c>
      <c r="D75" s="13">
        <v>43769</v>
      </c>
      <c r="E75" s="2">
        <v>2.33</v>
      </c>
      <c r="F75" s="2">
        <v>0.16</v>
      </c>
      <c r="G75" s="2">
        <f t="shared" si="2"/>
        <v>2.17</v>
      </c>
      <c r="H75" s="4">
        <f t="shared" si="3"/>
        <v>5339.5669291338572</v>
      </c>
      <c r="I75" s="10">
        <v>43787</v>
      </c>
      <c r="J75" s="2">
        <v>1.1599999999999999</v>
      </c>
      <c r="K75" s="2">
        <v>2.78</v>
      </c>
      <c r="L75" s="6">
        <f t="shared" si="4"/>
        <v>0.40552995391705066</v>
      </c>
      <c r="M75" s="6">
        <f t="shared" si="5"/>
        <v>0.50691244239631328</v>
      </c>
      <c r="N75" s="6">
        <f t="shared" si="6"/>
        <v>8.755760368663601E-2</v>
      </c>
      <c r="O75" s="2">
        <v>48.76</v>
      </c>
      <c r="P75" s="2">
        <v>47.63</v>
      </c>
      <c r="Q75" s="2">
        <v>116.03</v>
      </c>
      <c r="R75" s="2">
        <v>111.57</v>
      </c>
      <c r="S75" s="5">
        <f t="shared" si="7"/>
        <v>2.3174733388022877</v>
      </c>
      <c r="T75" s="5">
        <f t="shared" si="8"/>
        <v>3.843833491338454</v>
      </c>
      <c r="U75" s="4">
        <f t="shared" si="9"/>
        <v>2165.3543307086607</v>
      </c>
      <c r="V75" s="4">
        <f t="shared" si="10"/>
        <v>2706.6929133858257</v>
      </c>
      <c r="W75" s="4">
        <f t="shared" si="11"/>
        <v>4872.0472440944868</v>
      </c>
      <c r="X75" s="4">
        <f t="shared" si="12"/>
        <v>2115.1728214038867</v>
      </c>
      <c r="Y75" s="4">
        <f t="shared" si="13"/>
        <v>2602.6521446734168</v>
      </c>
      <c r="Z75" s="4">
        <f t="shared" si="14"/>
        <v>4717.8249660773035</v>
      </c>
      <c r="AA75" s="8" t="s">
        <v>177</v>
      </c>
      <c r="AB75" s="10">
        <v>43803</v>
      </c>
      <c r="AC75" s="4">
        <v>48.5</v>
      </c>
      <c r="AD75" s="5">
        <v>1.07</v>
      </c>
      <c r="AE75" s="4">
        <v>81.5</v>
      </c>
      <c r="AF75" s="4">
        <v>28.3</v>
      </c>
      <c r="AG75" s="4">
        <v>9.1</v>
      </c>
      <c r="AH75" s="4">
        <v>10.4</v>
      </c>
      <c r="AJ75" s="14"/>
      <c r="AK75" s="1"/>
      <c r="AL75" s="1"/>
      <c r="AM75" s="2"/>
      <c r="AN75" s="2"/>
      <c r="AO75" s="2"/>
      <c r="AP75" s="1"/>
      <c r="AQ75" s="2"/>
      <c r="AR75" s="2"/>
      <c r="AS75" s="2"/>
      <c r="AT75" s="7"/>
      <c r="AU75" s="7"/>
      <c r="AV75" s="7"/>
      <c r="AW75" s="2"/>
      <c r="AX75" s="2"/>
      <c r="AY75" s="2"/>
      <c r="AZ75" s="2"/>
      <c r="BA75" s="2"/>
      <c r="BB75" s="2"/>
      <c r="BC75" s="1"/>
      <c r="BD75" s="1"/>
      <c r="BE75" s="1"/>
      <c r="BF75" s="1"/>
      <c r="BG75" s="1"/>
      <c r="BH75" s="1"/>
      <c r="BI75" s="11"/>
      <c r="BJ75" s="1"/>
      <c r="BK75" s="1"/>
      <c r="BL75" s="2"/>
      <c r="BM75" s="1"/>
      <c r="BN75" s="1"/>
      <c r="BO75" s="1"/>
      <c r="BP75" s="1"/>
    </row>
    <row r="76" spans="1:68" x14ac:dyDescent="0.3">
      <c r="A76">
        <v>27</v>
      </c>
      <c r="B76" s="3" t="s">
        <v>248</v>
      </c>
      <c r="C76" s="3" t="s">
        <v>106</v>
      </c>
      <c r="D76" s="13">
        <v>43769</v>
      </c>
      <c r="E76" s="2">
        <v>2.58</v>
      </c>
      <c r="F76" s="2">
        <v>0.16</v>
      </c>
      <c r="G76" s="2">
        <f t="shared" si="2"/>
        <v>2.42</v>
      </c>
      <c r="H76" s="4">
        <f t="shared" si="3"/>
        <v>5954.7244094488187</v>
      </c>
      <c r="I76" s="10">
        <v>43787</v>
      </c>
      <c r="J76" s="2">
        <v>1.24</v>
      </c>
      <c r="K76" s="2">
        <v>2.94</v>
      </c>
      <c r="L76" s="6">
        <f t="shared" si="4"/>
        <v>0.39669421487603307</v>
      </c>
      <c r="M76" s="6">
        <f t="shared" si="5"/>
        <v>0.52066115702479343</v>
      </c>
      <c r="N76" s="6">
        <f t="shared" si="6"/>
        <v>8.2644628099173501E-2</v>
      </c>
      <c r="O76" s="2">
        <v>33.450000000000003</v>
      </c>
      <c r="P76" s="2">
        <v>32.72</v>
      </c>
      <c r="Q76" s="2">
        <v>128.65</v>
      </c>
      <c r="R76" s="2">
        <v>123.61</v>
      </c>
      <c r="S76" s="5">
        <f t="shared" si="7"/>
        <v>2.1823617339312524</v>
      </c>
      <c r="T76" s="5">
        <f t="shared" si="8"/>
        <v>3.9176059075009761</v>
      </c>
      <c r="U76" s="4">
        <f t="shared" si="9"/>
        <v>2362.2047244094488</v>
      </c>
      <c r="V76" s="4">
        <f t="shared" si="10"/>
        <v>3100.3937007874019</v>
      </c>
      <c r="W76" s="4">
        <f t="shared" si="11"/>
        <v>5462.5984251968512</v>
      </c>
      <c r="X76" s="4">
        <f t="shared" si="12"/>
        <v>2310.652872426821</v>
      </c>
      <c r="Y76" s="4">
        <f t="shared" si="13"/>
        <v>2978.9324940095667</v>
      </c>
      <c r="Z76" s="4">
        <f t="shared" si="14"/>
        <v>5289.5853664363876</v>
      </c>
      <c r="AA76" t="s">
        <v>154</v>
      </c>
      <c r="AB76" s="10">
        <v>43803</v>
      </c>
      <c r="AC76" s="4">
        <v>48</v>
      </c>
      <c r="AD76" s="5">
        <v>1.1000000000000001</v>
      </c>
      <c r="AE76" s="4">
        <v>81.7</v>
      </c>
      <c r="AF76" s="4">
        <v>27.9</v>
      </c>
      <c r="AG76" s="4">
        <v>8.4</v>
      </c>
      <c r="AH76" s="4">
        <v>9.6</v>
      </c>
      <c r="AJ76" s="14" t="s">
        <v>203</v>
      </c>
      <c r="AK76" s="1" t="s">
        <v>106</v>
      </c>
      <c r="AL76" s="11">
        <f>D76</f>
        <v>43769</v>
      </c>
      <c r="AM76" s="2">
        <f>SUM(E76:E77)</f>
        <v>5.21</v>
      </c>
      <c r="AN76" s="2">
        <f>SUM(F76:F77)</f>
        <v>0.32</v>
      </c>
      <c r="AO76" s="2">
        <f>AM76-AN76</f>
        <v>4.8899999999999997</v>
      </c>
      <c r="AP76" s="1">
        <f>AO76/(2*$A$38)*$A$39</f>
        <v>6016.2401574803152</v>
      </c>
      <c r="AQ76" s="11">
        <f>I76</f>
        <v>43787</v>
      </c>
      <c r="AR76" s="2">
        <f>SUM(J76:J77)</f>
        <v>2.5</v>
      </c>
      <c r="AS76" s="2">
        <f>SUM(K76:K77)</f>
        <v>5.92</v>
      </c>
      <c r="AT76" s="7">
        <f>(AR76-2*$A$40)/AO76</f>
        <v>0.39672801635991822</v>
      </c>
      <c r="AU76" s="7">
        <f>(AS76-2*$A$41)/AO76</f>
        <v>0.52351738241308798</v>
      </c>
      <c r="AV76" s="7">
        <f>1-AT76-AU76</f>
        <v>7.9754601226993738E-2</v>
      </c>
      <c r="AW76" s="2">
        <f>SUM(O76:O77)</f>
        <v>77.800000000000011</v>
      </c>
      <c r="AX76" s="2">
        <f t="shared" ref="AX76" si="111">SUM(P76:P77)</f>
        <v>76.099999999999994</v>
      </c>
      <c r="AY76" s="2">
        <f t="shared" ref="AY76" si="112">SUM(Q76:Q77)</f>
        <v>281.78999999999996</v>
      </c>
      <c r="AZ76" s="2">
        <f t="shared" ref="AZ76" si="113">SUM(R76:R77)</f>
        <v>270.75</v>
      </c>
      <c r="BA76" s="2">
        <f>(AW76-AX76)/AW76*100</f>
        <v>2.1850899742930805</v>
      </c>
      <c r="BB76" s="2">
        <f>(AY76-AZ76)/AY76*100</f>
        <v>3.9178111359522925</v>
      </c>
      <c r="BC76" s="1">
        <f>AP76*AT76</f>
        <v>2386.8110236220473</v>
      </c>
      <c r="BD76" s="1">
        <f>AP76*AU76</f>
        <v>3149.606299212599</v>
      </c>
      <c r="BE76" s="1">
        <f>BC76+BD76</f>
        <v>5536.4173228346463</v>
      </c>
      <c r="BF76" s="1">
        <f>BC76*(1-BA76/100)</f>
        <v>2334.6570552395601</v>
      </c>
      <c r="BG76" s="1">
        <f>BD76*(1-BB76/100)</f>
        <v>3026.2106728833933</v>
      </c>
      <c r="BH76" s="1">
        <f>BF76+BG76</f>
        <v>5360.8677281229538</v>
      </c>
      <c r="BI76" s="11" t="str">
        <f>AA76</f>
        <v>0991913442228</v>
      </c>
      <c r="BJ76" s="11">
        <f>AB76</f>
        <v>43803</v>
      </c>
      <c r="BK76" s="1">
        <f>AVERAGE(AC76:AC77)</f>
        <v>48.2</v>
      </c>
      <c r="BL76" s="2">
        <f t="shared" ref="BL76" si="114">AVERAGE(AD76:AD77)</f>
        <v>1.0950000000000002</v>
      </c>
      <c r="BM76" s="1">
        <f t="shared" ref="BM76" si="115">AVERAGE(AE76:AE77)</f>
        <v>80.95</v>
      </c>
      <c r="BN76" s="1">
        <f t="shared" ref="BN76" si="116">AVERAGE(AF76:AF77)</f>
        <v>27.6</v>
      </c>
      <c r="BO76" s="1">
        <f t="shared" ref="BO76" si="117">AVERAGE(AG76:AG77)</f>
        <v>8.6000000000000014</v>
      </c>
      <c r="BP76" s="1">
        <f t="shared" ref="BP76" si="118">AVERAGE(AH76:AH77)</f>
        <v>9.8000000000000007</v>
      </c>
    </row>
    <row r="77" spans="1:68" x14ac:dyDescent="0.3">
      <c r="A77">
        <v>28</v>
      </c>
      <c r="B77" s="3" t="s">
        <v>249</v>
      </c>
      <c r="C77" s="3" t="s">
        <v>106</v>
      </c>
      <c r="D77" s="13">
        <v>43769</v>
      </c>
      <c r="E77" s="2">
        <v>2.63</v>
      </c>
      <c r="F77" s="2">
        <v>0.16</v>
      </c>
      <c r="G77" s="2">
        <f t="shared" si="2"/>
        <v>2.4699999999999998</v>
      </c>
      <c r="H77" s="4">
        <f t="shared" si="3"/>
        <v>6077.7559055118099</v>
      </c>
      <c r="I77" s="10">
        <v>43787</v>
      </c>
      <c r="J77" s="2">
        <v>1.26</v>
      </c>
      <c r="K77" s="2">
        <v>2.98</v>
      </c>
      <c r="L77" s="6">
        <f t="shared" si="4"/>
        <v>0.39676113360323889</v>
      </c>
      <c r="M77" s="6">
        <f t="shared" si="5"/>
        <v>0.52631578947368429</v>
      </c>
      <c r="N77" s="6">
        <f t="shared" si="6"/>
        <v>7.6923076923076872E-2</v>
      </c>
      <c r="O77" s="2">
        <v>44.35</v>
      </c>
      <c r="P77" s="2">
        <v>43.38</v>
      </c>
      <c r="Q77" s="2">
        <v>153.13999999999999</v>
      </c>
      <c r="R77" s="2">
        <v>147.13999999999999</v>
      </c>
      <c r="S77" s="5">
        <f t="shared" si="7"/>
        <v>2.1871476888387797</v>
      </c>
      <c r="T77" s="5">
        <f t="shared" si="8"/>
        <v>3.9179835444691133</v>
      </c>
      <c r="U77" s="4">
        <f t="shared" si="9"/>
        <v>2411.4173228346453</v>
      </c>
      <c r="V77" s="4">
        <f t="shared" si="10"/>
        <v>3198.8188976377951</v>
      </c>
      <c r="W77" s="4">
        <f t="shared" si="11"/>
        <v>5610.2362204724404</v>
      </c>
      <c r="X77" s="4">
        <f t="shared" si="12"/>
        <v>2358.6760645900094</v>
      </c>
      <c r="Y77" s="4">
        <f t="shared" si="13"/>
        <v>3073.4896996109778</v>
      </c>
      <c r="Z77" s="4">
        <f t="shared" si="14"/>
        <v>5432.1657642009868</v>
      </c>
      <c r="AA77" s="8" t="s">
        <v>178</v>
      </c>
      <c r="AB77" s="10">
        <v>43803</v>
      </c>
      <c r="AC77" s="4">
        <v>48.4</v>
      </c>
      <c r="AD77" s="5">
        <v>1.0900000000000001</v>
      </c>
      <c r="AE77" s="4">
        <v>80.2</v>
      </c>
      <c r="AF77" s="4">
        <v>27.3</v>
      </c>
      <c r="AG77" s="4">
        <v>8.8000000000000007</v>
      </c>
      <c r="AH77" s="4">
        <v>10</v>
      </c>
      <c r="AJ77" s="14"/>
      <c r="AK77" s="1"/>
      <c r="AL77" s="1"/>
      <c r="AM77" s="2"/>
      <c r="AN77" s="2"/>
      <c r="AO77" s="2"/>
      <c r="AP77" s="1"/>
      <c r="AQ77" s="2"/>
      <c r="AR77" s="2"/>
      <c r="AS77" s="2"/>
      <c r="AT77" s="7"/>
      <c r="AU77" s="7"/>
      <c r="AV77" s="7"/>
      <c r="AW77" s="2"/>
      <c r="AX77" s="2"/>
      <c r="AY77" s="2"/>
      <c r="AZ77" s="2"/>
      <c r="BA77" s="2"/>
      <c r="BB77" s="2"/>
      <c r="BC77" s="1"/>
      <c r="BD77" s="1"/>
      <c r="BE77" s="1"/>
      <c r="BF77" s="1"/>
      <c r="BG77" s="1"/>
      <c r="BH77" s="1"/>
      <c r="BI77" s="11"/>
      <c r="BJ77" s="1"/>
      <c r="BK77" s="1"/>
      <c r="BL77" s="2"/>
      <c r="BM77" s="1"/>
      <c r="BN77" s="1"/>
      <c r="BO77" s="1"/>
      <c r="BP77" s="1"/>
    </row>
    <row r="78" spans="1:68" x14ac:dyDescent="0.3">
      <c r="A78">
        <v>29</v>
      </c>
      <c r="B78" s="3" t="s">
        <v>250</v>
      </c>
      <c r="C78" s="3" t="s">
        <v>106</v>
      </c>
      <c r="D78" s="13">
        <v>43769</v>
      </c>
      <c r="E78" s="2">
        <v>2.56</v>
      </c>
      <c r="F78" s="2">
        <v>0.16</v>
      </c>
      <c r="G78" s="2">
        <f t="shared" si="2"/>
        <v>2.4</v>
      </c>
      <c r="H78" s="4">
        <f t="shared" si="3"/>
        <v>5905.5118110236217</v>
      </c>
      <c r="I78" s="10">
        <v>43787</v>
      </c>
      <c r="J78" s="2">
        <v>1.18</v>
      </c>
      <c r="K78" s="2">
        <v>2.88</v>
      </c>
      <c r="L78" s="6">
        <f t="shared" si="4"/>
        <v>0.375</v>
      </c>
      <c r="M78" s="6">
        <f t="shared" si="5"/>
        <v>0.5</v>
      </c>
      <c r="N78" s="6">
        <f t="shared" si="6"/>
        <v>0.125</v>
      </c>
      <c r="O78" s="2">
        <v>49.51</v>
      </c>
      <c r="P78" s="2">
        <v>48.36</v>
      </c>
      <c r="Q78" s="2">
        <v>140.86000000000001</v>
      </c>
      <c r="R78" s="2">
        <v>135.46</v>
      </c>
      <c r="S78" s="5">
        <f t="shared" si="7"/>
        <v>2.3227630781660245</v>
      </c>
      <c r="T78" s="5">
        <f t="shared" si="8"/>
        <v>3.833593639074262</v>
      </c>
      <c r="U78" s="4">
        <f t="shared" si="9"/>
        <v>2214.5669291338581</v>
      </c>
      <c r="V78" s="4">
        <f t="shared" si="10"/>
        <v>2952.7559055118109</v>
      </c>
      <c r="W78" s="4">
        <f t="shared" si="11"/>
        <v>5167.322834645669</v>
      </c>
      <c r="X78" s="4">
        <f t="shared" si="12"/>
        <v>2163.1277861626618</v>
      </c>
      <c r="Y78" s="4">
        <f t="shared" si="13"/>
        <v>2839.5592429407207</v>
      </c>
      <c r="Z78" s="4">
        <f t="shared" si="14"/>
        <v>5002.6870291033829</v>
      </c>
      <c r="AA78" t="s">
        <v>155</v>
      </c>
      <c r="AB78" s="10">
        <v>43803</v>
      </c>
      <c r="AC78" s="4">
        <v>47.9</v>
      </c>
      <c r="AD78" s="5">
        <v>1.0900000000000001</v>
      </c>
      <c r="AE78" s="4">
        <v>81</v>
      </c>
      <c r="AF78" s="4">
        <v>26.5</v>
      </c>
      <c r="AG78" s="4">
        <v>8.5</v>
      </c>
      <c r="AH78" s="4">
        <v>10.199999999999999</v>
      </c>
      <c r="AJ78" s="14" t="s">
        <v>204</v>
      </c>
      <c r="AK78" s="1" t="s">
        <v>106</v>
      </c>
      <c r="AL78" s="11">
        <f>D78</f>
        <v>43769</v>
      </c>
      <c r="AM78" s="2">
        <f>SUM(E78:E79)</f>
        <v>5.28</v>
      </c>
      <c r="AN78" s="2">
        <f>SUM(F78:F79)</f>
        <v>0.32</v>
      </c>
      <c r="AO78" s="2">
        <f>AM78-AN78</f>
        <v>4.96</v>
      </c>
      <c r="AP78" s="1">
        <f>AO78/(2*$A$38)*$A$39</f>
        <v>6102.3622047244098</v>
      </c>
      <c r="AQ78" s="11">
        <f>I78</f>
        <v>43787</v>
      </c>
      <c r="AR78" s="2">
        <f>SUM(J78:J79)</f>
        <v>2.5</v>
      </c>
      <c r="AS78" s="2">
        <f>SUM(K78:K79)</f>
        <v>5.8599999999999994</v>
      </c>
      <c r="AT78" s="7">
        <f>(AR78-2*$A$40)/AO78</f>
        <v>0.3911290322580645</v>
      </c>
      <c r="AU78" s="7">
        <f>(AS78-2*$A$41)/AO78</f>
        <v>0.50403225806451601</v>
      </c>
      <c r="AV78" s="7">
        <f>1-AT78-AU78</f>
        <v>0.10483870967741948</v>
      </c>
      <c r="AW78" s="2">
        <f>SUM(O78:O79)</f>
        <v>99.12</v>
      </c>
      <c r="AX78" s="2">
        <f t="shared" ref="AX78" si="119">SUM(P78:P79)</f>
        <v>96.85</v>
      </c>
      <c r="AY78" s="2">
        <f t="shared" ref="AY78" si="120">SUM(Q78:Q79)</f>
        <v>271.58000000000004</v>
      </c>
      <c r="AZ78" s="2">
        <f t="shared" ref="AZ78" si="121">SUM(R78:R79)</f>
        <v>261.07</v>
      </c>
      <c r="BA78" s="2">
        <f>(AW78-AX78)/AW78*100</f>
        <v>2.2901533494753936</v>
      </c>
      <c r="BB78" s="2">
        <f>(AY78-AZ78)/AY78*100</f>
        <v>3.8699462405184648</v>
      </c>
      <c r="BC78" s="1">
        <f>AP78*AT78</f>
        <v>2386.8110236220473</v>
      </c>
      <c r="BD78" s="1">
        <f>AP78*AU78</f>
        <v>3075.7874015748025</v>
      </c>
      <c r="BE78" s="1">
        <f>BC78+BD78</f>
        <v>5462.5984251968493</v>
      </c>
      <c r="BF78" s="1">
        <f>BC78*(1-BA78/100)</f>
        <v>2332.1493910189188</v>
      </c>
      <c r="BG78" s="1">
        <f>BD78*(1-BB78/100)</f>
        <v>2956.756082661218</v>
      </c>
      <c r="BH78" s="1">
        <f>BF78+BG78</f>
        <v>5288.9054736801372</v>
      </c>
      <c r="BI78" s="11" t="str">
        <f>AA78</f>
        <v>0991913443230</v>
      </c>
      <c r="BJ78" s="11">
        <f>AB78</f>
        <v>43803</v>
      </c>
      <c r="BK78" s="1">
        <f>AVERAGE(AC78:AC79)</f>
        <v>47.6</v>
      </c>
      <c r="BL78" s="2">
        <f t="shared" ref="BL78" si="122">AVERAGE(AD78:AD79)</f>
        <v>1.08</v>
      </c>
      <c r="BM78" s="1">
        <f t="shared" ref="BM78" si="123">AVERAGE(AE78:AE79)</f>
        <v>80.5</v>
      </c>
      <c r="BN78" s="1">
        <f t="shared" ref="BN78" si="124">AVERAGE(AF78:AF79)</f>
        <v>26.6</v>
      </c>
      <c r="BO78" s="1">
        <f t="shared" ref="BO78" si="125">AVERAGE(AG78:AG79)</f>
        <v>8.5500000000000007</v>
      </c>
      <c r="BP78" s="1">
        <f t="shared" ref="BP78" si="126">AVERAGE(AH78:AH79)</f>
        <v>10.649999999999999</v>
      </c>
    </row>
    <row r="79" spans="1:68" x14ac:dyDescent="0.3">
      <c r="A79">
        <v>30</v>
      </c>
      <c r="B79" s="3" t="s">
        <v>251</v>
      </c>
      <c r="C79" s="3" t="s">
        <v>106</v>
      </c>
      <c r="D79" s="13">
        <v>43769</v>
      </c>
      <c r="E79" s="2">
        <v>2.72</v>
      </c>
      <c r="F79" s="2">
        <v>0.16</v>
      </c>
      <c r="G79" s="2">
        <f t="shared" si="2"/>
        <v>2.56</v>
      </c>
      <c r="H79" s="4">
        <f t="shared" si="3"/>
        <v>6299.212598425197</v>
      </c>
      <c r="I79" s="10">
        <v>43787</v>
      </c>
      <c r="J79" s="2">
        <v>1.32</v>
      </c>
      <c r="K79" s="2">
        <v>2.98</v>
      </c>
      <c r="L79" s="6">
        <f t="shared" si="4"/>
        <v>0.40625</v>
      </c>
      <c r="M79" s="6">
        <f t="shared" si="5"/>
        <v>0.5078125</v>
      </c>
      <c r="N79" s="6">
        <f t="shared" si="6"/>
        <v>8.59375E-2</v>
      </c>
      <c r="O79" s="2">
        <v>49.61</v>
      </c>
      <c r="P79" s="2">
        <v>48.49</v>
      </c>
      <c r="Q79" s="2">
        <v>130.72</v>
      </c>
      <c r="R79" s="2">
        <v>125.61</v>
      </c>
      <c r="S79" s="5">
        <f t="shared" si="7"/>
        <v>2.2576093529530286</v>
      </c>
      <c r="T79" s="5">
        <f t="shared" si="8"/>
        <v>3.909118727050183</v>
      </c>
      <c r="U79" s="4">
        <f t="shared" si="9"/>
        <v>2559.0551181102364</v>
      </c>
      <c r="V79" s="4">
        <f t="shared" si="10"/>
        <v>3198.8188976377955</v>
      </c>
      <c r="W79" s="4">
        <f t="shared" si="11"/>
        <v>5757.8740157480315</v>
      </c>
      <c r="X79" s="4">
        <f t="shared" si="12"/>
        <v>2501.2816504165567</v>
      </c>
      <c r="Y79" s="4">
        <f t="shared" si="13"/>
        <v>3073.7732690658163</v>
      </c>
      <c r="Z79" s="4">
        <f t="shared" si="14"/>
        <v>5575.0549194823725</v>
      </c>
      <c r="AA79" s="8" t="s">
        <v>179</v>
      </c>
      <c r="AB79" s="10">
        <v>43803</v>
      </c>
      <c r="AC79" s="4">
        <v>47.300000000000004</v>
      </c>
      <c r="AD79" s="5">
        <v>1.07</v>
      </c>
      <c r="AE79" s="4">
        <v>80</v>
      </c>
      <c r="AF79" s="4">
        <v>26.7</v>
      </c>
      <c r="AG79" s="4">
        <v>8.6</v>
      </c>
      <c r="AH79" s="4">
        <v>11.1</v>
      </c>
      <c r="AJ79" s="14"/>
      <c r="AK79" s="1"/>
      <c r="AL79" s="1"/>
      <c r="AM79" s="2"/>
      <c r="AN79" s="2"/>
      <c r="AO79" s="2"/>
      <c r="AP79" s="1"/>
      <c r="AQ79" s="2"/>
      <c r="AR79" s="2"/>
      <c r="AS79" s="2"/>
      <c r="AT79" s="7"/>
      <c r="AU79" s="7"/>
      <c r="AV79" s="7"/>
      <c r="AW79" s="2"/>
      <c r="AX79" s="2"/>
      <c r="AY79" s="2"/>
      <c r="AZ79" s="2"/>
      <c r="BA79" s="2"/>
      <c r="BB79" s="2"/>
      <c r="BC79" s="1"/>
      <c r="BD79" s="1"/>
      <c r="BE79" s="1"/>
      <c r="BF79" s="1"/>
      <c r="BG79" s="1"/>
      <c r="BH79" s="1"/>
      <c r="BI79" s="11"/>
      <c r="BJ79" s="1"/>
      <c r="BK79" s="1"/>
      <c r="BL79" s="2"/>
      <c r="BM79" s="1"/>
      <c r="BN79" s="1"/>
      <c r="BO79" s="1"/>
      <c r="BP79" s="1"/>
    </row>
    <row r="80" spans="1:68" x14ac:dyDescent="0.3">
      <c r="A80">
        <v>31</v>
      </c>
      <c r="B80" s="3" t="s">
        <v>252</v>
      </c>
      <c r="C80" s="3" t="s">
        <v>106</v>
      </c>
      <c r="D80" s="13">
        <v>43769</v>
      </c>
      <c r="E80" s="2">
        <v>2.2599999999999998</v>
      </c>
      <c r="F80" s="2">
        <v>0.16</v>
      </c>
      <c r="G80" s="2">
        <f t="shared" si="2"/>
        <v>2.0999999999999996</v>
      </c>
      <c r="H80" s="4">
        <f t="shared" si="3"/>
        <v>5167.3228346456681</v>
      </c>
      <c r="I80" s="10">
        <v>43787</v>
      </c>
      <c r="J80" s="2">
        <v>1.08</v>
      </c>
      <c r="K80" s="2">
        <v>2.78</v>
      </c>
      <c r="L80" s="6">
        <f t="shared" si="4"/>
        <v>0.38095238095238104</v>
      </c>
      <c r="M80" s="6">
        <f t="shared" si="5"/>
        <v>0.52380952380952384</v>
      </c>
      <c r="N80" s="6">
        <f t="shared" si="6"/>
        <v>9.5238095238095122E-2</v>
      </c>
      <c r="O80" s="2">
        <v>41.95</v>
      </c>
      <c r="P80" s="2">
        <v>41</v>
      </c>
      <c r="Q80" s="2">
        <v>138.62</v>
      </c>
      <c r="R80" s="2">
        <v>133.37</v>
      </c>
      <c r="S80" s="5">
        <f t="shared" si="7"/>
        <v>2.2646007151370746</v>
      </c>
      <c r="T80" s="5">
        <f t="shared" si="8"/>
        <v>3.7873322752849514</v>
      </c>
      <c r="U80" s="4">
        <f t="shared" si="9"/>
        <v>1968.5039370078741</v>
      </c>
      <c r="V80" s="4">
        <f t="shared" si="10"/>
        <v>2706.6929133858262</v>
      </c>
      <c r="W80" s="4">
        <f t="shared" si="11"/>
        <v>4675.1968503937005</v>
      </c>
      <c r="X80" s="4">
        <f t="shared" si="12"/>
        <v>1923.9251827728922</v>
      </c>
      <c r="Y80" s="4">
        <f t="shared" si="13"/>
        <v>2604.1814590843142</v>
      </c>
      <c r="Z80" s="4">
        <f t="shared" si="14"/>
        <v>4528.1066418572063</v>
      </c>
      <c r="AA80" t="s">
        <v>156</v>
      </c>
      <c r="AB80" s="10">
        <v>43803</v>
      </c>
      <c r="AC80" s="4">
        <v>46.7</v>
      </c>
      <c r="AD80" s="5">
        <v>1.06</v>
      </c>
      <c r="AE80" s="4">
        <v>80.900000000000006</v>
      </c>
      <c r="AF80" s="4">
        <v>27.7</v>
      </c>
      <c r="AG80" s="4">
        <v>8.5</v>
      </c>
      <c r="AH80" s="4">
        <v>10.8</v>
      </c>
      <c r="AJ80" s="14" t="s">
        <v>205</v>
      </c>
      <c r="AK80" s="1" t="s">
        <v>106</v>
      </c>
      <c r="AL80" s="11">
        <f>D80</f>
        <v>43769</v>
      </c>
      <c r="AM80" s="2">
        <f>SUM(E80:E81)</f>
        <v>4.4000000000000004</v>
      </c>
      <c r="AN80" s="2">
        <f>SUM(F80:F81)</f>
        <v>0.32</v>
      </c>
      <c r="AO80" s="2">
        <f>AM80-AN80</f>
        <v>4.08</v>
      </c>
      <c r="AP80" s="1">
        <f>AO80/(2*$A$38)*$A$39</f>
        <v>5019.6850393700788</v>
      </c>
      <c r="AQ80" s="11">
        <f>I80</f>
        <v>43787</v>
      </c>
      <c r="AR80" s="2">
        <f>SUM(J80:J81)</f>
        <v>2.14</v>
      </c>
      <c r="AS80" s="2">
        <f>SUM(K80:K81)</f>
        <v>5.48</v>
      </c>
      <c r="AT80" s="7">
        <f>(AR80-2*$A$40)/AO80</f>
        <v>0.38725490196078433</v>
      </c>
      <c r="AU80" s="7">
        <f>(AS80-2*$A$41)/AO80</f>
        <v>0.51960784313725505</v>
      </c>
      <c r="AV80" s="7">
        <f>1-AT80-AU80</f>
        <v>9.3137254901960675E-2</v>
      </c>
      <c r="AW80" s="2">
        <f>SUM(O80:O81)</f>
        <v>92.330000000000013</v>
      </c>
      <c r="AX80" s="2">
        <f t="shared" ref="AX80" si="127">SUM(P80:P81)</f>
        <v>90.22</v>
      </c>
      <c r="AY80" s="2">
        <f t="shared" ref="AY80" si="128">SUM(Q80:Q81)</f>
        <v>257.99</v>
      </c>
      <c r="AZ80" s="2">
        <f t="shared" ref="AZ80" si="129">SUM(R80:R81)</f>
        <v>248.24</v>
      </c>
      <c r="BA80" s="2">
        <f>(AW80-AX80)/AW80*100</f>
        <v>2.2852810570778872</v>
      </c>
      <c r="BB80" s="2">
        <f>(AY80-AZ80)/AY80*100</f>
        <v>3.7792162486918093</v>
      </c>
      <c r="BC80" s="1">
        <f>AP80*AT80</f>
        <v>1943.8976377952756</v>
      </c>
      <c r="BD80" s="1">
        <f>AP80*AU80</f>
        <v>2608.2677165354339</v>
      </c>
      <c r="BE80" s="1">
        <f>BC80+BD80</f>
        <v>4552.1653543307093</v>
      </c>
      <c r="BF80" s="1">
        <f>BC80*(1-BA80/100)</f>
        <v>1899.4741133097555</v>
      </c>
      <c r="BG80" s="1">
        <f>BD80*(1-BB80/100)</f>
        <v>2509.6956391827439</v>
      </c>
      <c r="BH80" s="1">
        <f>BF80+BG80</f>
        <v>4409.1697524924994</v>
      </c>
      <c r="BI80" s="11" t="str">
        <f>AA80</f>
        <v>0991913444232</v>
      </c>
      <c r="BJ80" s="11">
        <f>AB80</f>
        <v>43803</v>
      </c>
      <c r="BK80" s="1">
        <f>AVERAGE(AC80:AC81)</f>
        <v>47.4</v>
      </c>
      <c r="BL80" s="2">
        <f t="shared" ref="BL80" si="130">AVERAGE(AD80:AD81)</f>
        <v>1.0550000000000002</v>
      </c>
      <c r="BM80" s="1">
        <f t="shared" ref="BM80" si="131">AVERAGE(AE80:AE81)</f>
        <v>80.349999999999994</v>
      </c>
      <c r="BN80" s="1">
        <f t="shared" ref="BN80" si="132">AVERAGE(AF80:AF81)</f>
        <v>27.15</v>
      </c>
      <c r="BO80" s="1">
        <f t="shared" ref="BO80" si="133">AVERAGE(AG80:AG81)</f>
        <v>8.5</v>
      </c>
      <c r="BP80" s="1">
        <f t="shared" ref="BP80" si="134">AVERAGE(AH80:AH81)</f>
        <v>11</v>
      </c>
    </row>
    <row r="81" spans="1:68" x14ac:dyDescent="0.3">
      <c r="A81">
        <v>32</v>
      </c>
      <c r="B81" s="3" t="s">
        <v>253</v>
      </c>
      <c r="C81" s="3" t="s">
        <v>106</v>
      </c>
      <c r="D81" s="13">
        <v>43769</v>
      </c>
      <c r="E81" s="2">
        <v>2.14</v>
      </c>
      <c r="F81" s="2">
        <v>0.16</v>
      </c>
      <c r="G81" s="2">
        <f t="shared" si="2"/>
        <v>1.9800000000000002</v>
      </c>
      <c r="H81" s="4">
        <f t="shared" si="3"/>
        <v>4872.0472440944886</v>
      </c>
      <c r="I81" s="10">
        <v>43787</v>
      </c>
      <c r="J81" s="2">
        <v>1.06</v>
      </c>
      <c r="K81" s="2">
        <v>2.7</v>
      </c>
      <c r="L81" s="6">
        <f t="shared" si="4"/>
        <v>0.39393939393939392</v>
      </c>
      <c r="M81" s="6">
        <f t="shared" si="5"/>
        <v>0.51515151515151525</v>
      </c>
      <c r="N81" s="6">
        <f t="shared" si="6"/>
        <v>9.0909090909090828E-2</v>
      </c>
      <c r="O81" s="2">
        <v>50.38</v>
      </c>
      <c r="P81" s="2">
        <v>49.22</v>
      </c>
      <c r="Q81" s="2">
        <v>119.37</v>
      </c>
      <c r="R81" s="2">
        <v>114.87</v>
      </c>
      <c r="S81" s="5">
        <f t="shared" si="7"/>
        <v>2.3025009924573316</v>
      </c>
      <c r="T81" s="5">
        <f t="shared" si="8"/>
        <v>3.7697914048755972</v>
      </c>
      <c r="U81" s="4">
        <f t="shared" si="9"/>
        <v>1919.2913385826773</v>
      </c>
      <c r="V81" s="4">
        <f t="shared" si="10"/>
        <v>2509.8425196850399</v>
      </c>
      <c r="W81" s="4">
        <f t="shared" si="11"/>
        <v>4429.1338582677172</v>
      </c>
      <c r="X81" s="4">
        <f t="shared" si="12"/>
        <v>1875.0996364636635</v>
      </c>
      <c r="Y81" s="4">
        <f t="shared" si="13"/>
        <v>2415.22669210204</v>
      </c>
      <c r="Z81" s="4">
        <f t="shared" si="14"/>
        <v>4290.3263285657031</v>
      </c>
      <c r="AA81" s="8" t="s">
        <v>180</v>
      </c>
      <c r="AB81" s="10">
        <v>43803</v>
      </c>
      <c r="AC81" s="4">
        <v>48.099999999999994</v>
      </c>
      <c r="AD81" s="5">
        <v>1.05</v>
      </c>
      <c r="AE81" s="4">
        <v>79.8</v>
      </c>
      <c r="AF81" s="4">
        <v>26.6</v>
      </c>
      <c r="AG81" s="4">
        <v>8.5</v>
      </c>
      <c r="AH81" s="4">
        <v>11.2</v>
      </c>
      <c r="AJ81" s="14"/>
      <c r="AK81" s="1"/>
      <c r="AL81" s="1"/>
      <c r="AM81" s="2"/>
      <c r="AN81" s="2"/>
      <c r="AO81" s="2"/>
      <c r="AP81" s="1"/>
      <c r="AQ81" s="2"/>
      <c r="AR81" s="2"/>
      <c r="AS81" s="2"/>
      <c r="AT81" s="7"/>
      <c r="AU81" s="7"/>
      <c r="AV81" s="7"/>
      <c r="AW81" s="2"/>
      <c r="AX81" s="2"/>
      <c r="AY81" s="2"/>
      <c r="AZ81" s="2"/>
      <c r="BA81" s="2"/>
      <c r="BB81" s="2"/>
      <c r="BC81" s="1"/>
      <c r="BD81" s="1"/>
      <c r="BE81" s="1"/>
      <c r="BF81" s="1"/>
      <c r="BG81" s="1"/>
      <c r="BH81" s="1"/>
      <c r="BI81" s="11"/>
      <c r="BJ81" s="1"/>
      <c r="BK81" s="1"/>
      <c r="BL81" s="2"/>
      <c r="BM81" s="1"/>
      <c r="BN81" s="1"/>
      <c r="BO81" s="1"/>
      <c r="BP81" s="1"/>
    </row>
    <row r="82" spans="1:68" x14ac:dyDescent="0.3">
      <c r="A82">
        <v>33</v>
      </c>
      <c r="B82" s="3" t="s">
        <v>254</v>
      </c>
      <c r="C82" s="3" t="s">
        <v>106</v>
      </c>
      <c r="D82" s="13">
        <v>43769</v>
      </c>
      <c r="E82" s="2">
        <v>2.5499999999999998</v>
      </c>
      <c r="F82" s="2">
        <v>0.16</v>
      </c>
      <c r="G82" s="2">
        <f t="shared" si="2"/>
        <v>2.3899999999999997</v>
      </c>
      <c r="H82" s="4">
        <f t="shared" si="3"/>
        <v>5880.9055118110227</v>
      </c>
      <c r="I82" s="10">
        <v>43787</v>
      </c>
      <c r="J82" s="2">
        <v>1.2</v>
      </c>
      <c r="K82" s="2">
        <v>2.92</v>
      </c>
      <c r="L82" s="6">
        <f t="shared" si="4"/>
        <v>0.38493723849372385</v>
      </c>
      <c r="M82" s="6">
        <f t="shared" si="5"/>
        <v>0.51882845188284521</v>
      </c>
      <c r="N82" s="6">
        <f t="shared" si="6"/>
        <v>9.6234309623430936E-2</v>
      </c>
      <c r="O82" s="2">
        <v>47.84</v>
      </c>
      <c r="P82" s="2">
        <v>46.69</v>
      </c>
      <c r="Q82" s="2">
        <v>146.74</v>
      </c>
      <c r="R82" s="2">
        <v>140.97999999999999</v>
      </c>
      <c r="S82" s="5">
        <f t="shared" si="7"/>
        <v>2.4038461538461653</v>
      </c>
      <c r="T82" s="5">
        <f t="shared" si="8"/>
        <v>3.9253100722366221</v>
      </c>
      <c r="U82" s="4">
        <f t="shared" si="9"/>
        <v>2263.7795275590547</v>
      </c>
      <c r="V82" s="4">
        <f t="shared" si="10"/>
        <v>3051.1811023622045</v>
      </c>
      <c r="W82" s="4">
        <f t="shared" si="11"/>
        <v>5314.9606299212592</v>
      </c>
      <c r="X82" s="4">
        <f t="shared" si="12"/>
        <v>2209.3617504542694</v>
      </c>
      <c r="Y82" s="4">
        <f t="shared" si="13"/>
        <v>2931.4127832290005</v>
      </c>
      <c r="Z82" s="4">
        <f t="shared" si="14"/>
        <v>5140.7745336832704</v>
      </c>
      <c r="AA82" t="s">
        <v>157</v>
      </c>
      <c r="AB82" s="10">
        <v>43803</v>
      </c>
      <c r="AC82" s="4">
        <v>47.1</v>
      </c>
      <c r="AD82" s="5">
        <v>1.1000000000000001</v>
      </c>
      <c r="AE82" s="4">
        <v>80.099999999999994</v>
      </c>
      <c r="AF82" s="4">
        <v>26</v>
      </c>
      <c r="AG82" s="4">
        <v>8.9</v>
      </c>
      <c r="AH82" s="4">
        <v>10.3</v>
      </c>
      <c r="AJ82" s="14" t="s">
        <v>206</v>
      </c>
      <c r="AK82" s="1" t="s">
        <v>106</v>
      </c>
      <c r="AL82" s="11">
        <f>D82</f>
        <v>43769</v>
      </c>
      <c r="AM82" s="2">
        <f>SUM(E82:E83)</f>
        <v>5.04</v>
      </c>
      <c r="AN82" s="2">
        <f>SUM(F82:F83)</f>
        <v>0.32</v>
      </c>
      <c r="AO82" s="2">
        <f>AM82-AN82</f>
        <v>4.72</v>
      </c>
      <c r="AP82" s="1">
        <f>AO82/(2*$A$38)*$A$39</f>
        <v>5807.0866141732276</v>
      </c>
      <c r="AQ82" s="11">
        <f>I82</f>
        <v>43787</v>
      </c>
      <c r="AR82" s="2">
        <f>SUM(J82:J83)</f>
        <v>2.4</v>
      </c>
      <c r="AS82" s="2">
        <f>SUM(K82:K83)</f>
        <v>5.82</v>
      </c>
      <c r="AT82" s="7">
        <f>(AR82-2*$A$40)/AO82</f>
        <v>0.38983050847457629</v>
      </c>
      <c r="AU82" s="7">
        <f>(AS82-2*$A$41)/AO82</f>
        <v>0.52118644067796627</v>
      </c>
      <c r="AV82" s="7">
        <f>1-AT82-AU82</f>
        <v>8.898305084745739E-2</v>
      </c>
      <c r="AW82" s="2">
        <f>SUM(O82:O83)</f>
        <v>101.55000000000001</v>
      </c>
      <c r="AX82" s="2">
        <f t="shared" ref="AX82" si="135">SUM(P82:P83)</f>
        <v>99.16</v>
      </c>
      <c r="AY82" s="2">
        <f t="shared" ref="AY82" si="136">SUM(Q82:Q83)</f>
        <v>297.71000000000004</v>
      </c>
      <c r="AZ82" s="2">
        <f t="shared" ref="AZ82" si="137">SUM(R82:R83)</f>
        <v>285.98</v>
      </c>
      <c r="BA82" s="2">
        <f>(AW82-AX82)/AW82*100</f>
        <v>2.3535204332841109</v>
      </c>
      <c r="BB82" s="2">
        <f>(AY82-AZ82)/AY82*100</f>
        <v>3.9400759128010532</v>
      </c>
      <c r="BC82" s="1">
        <f>AP82*AT82</f>
        <v>2263.7795275590547</v>
      </c>
      <c r="BD82" s="1">
        <f>AP82*AU82</f>
        <v>3026.5748031496069</v>
      </c>
      <c r="BE82" s="1">
        <f>BC82+BD82</f>
        <v>5290.354330708662</v>
      </c>
      <c r="BF82" s="1">
        <f>BC82*(1-BA82/100)</f>
        <v>2210.5010138134498</v>
      </c>
      <c r="BG82" s="1">
        <f>BD82*(1-BB82/100)</f>
        <v>2907.3254583478033</v>
      </c>
      <c r="BH82" s="1">
        <f>BF82+BG82</f>
        <v>5117.8264721612532</v>
      </c>
      <c r="BI82" s="11" t="str">
        <f>AA82</f>
        <v>0991913451234</v>
      </c>
      <c r="BJ82" s="11">
        <f>AB82</f>
        <v>43803</v>
      </c>
      <c r="BK82" s="1">
        <f>AVERAGE(AC82:AC83)</f>
        <v>48.05</v>
      </c>
      <c r="BL82" s="2">
        <f t="shared" ref="BL82" si="138">AVERAGE(AD82:AD83)</f>
        <v>1.0750000000000002</v>
      </c>
      <c r="BM82" s="1">
        <f t="shared" ref="BM82" si="139">AVERAGE(AE82:AE83)</f>
        <v>79.849999999999994</v>
      </c>
      <c r="BN82" s="1">
        <f t="shared" ref="BN82" si="140">AVERAGE(AF82:AF83)</f>
        <v>26.1</v>
      </c>
      <c r="BO82" s="1">
        <f t="shared" ref="BO82" si="141">AVERAGE(AG82:AG83)</f>
        <v>9.15</v>
      </c>
      <c r="BP82" s="1">
        <f t="shared" ref="BP82" si="142">AVERAGE(AH82:AH83)</f>
        <v>11</v>
      </c>
    </row>
    <row r="83" spans="1:68" x14ac:dyDescent="0.3">
      <c r="A83">
        <v>34</v>
      </c>
      <c r="B83" s="3" t="s">
        <v>255</v>
      </c>
      <c r="C83" s="3" t="s">
        <v>106</v>
      </c>
      <c r="D83" s="13">
        <v>43769</v>
      </c>
      <c r="E83" s="2">
        <v>2.4900000000000002</v>
      </c>
      <c r="F83" s="2">
        <v>0.16</v>
      </c>
      <c r="G83" s="2">
        <f t="shared" si="2"/>
        <v>2.33</v>
      </c>
      <c r="H83" s="4">
        <f t="shared" si="3"/>
        <v>5733.2677165354326</v>
      </c>
      <c r="I83" s="10">
        <v>43787</v>
      </c>
      <c r="J83" s="2">
        <v>1.2</v>
      </c>
      <c r="K83" s="2">
        <v>2.9</v>
      </c>
      <c r="L83" s="6">
        <f t="shared" si="4"/>
        <v>0.39484978540772531</v>
      </c>
      <c r="M83" s="6">
        <f t="shared" si="5"/>
        <v>0.5236051502145922</v>
      </c>
      <c r="N83" s="6">
        <f t="shared" si="6"/>
        <v>8.1545064377682497E-2</v>
      </c>
      <c r="O83" s="2">
        <v>53.71</v>
      </c>
      <c r="P83" s="2">
        <v>52.47</v>
      </c>
      <c r="Q83" s="2">
        <v>150.97</v>
      </c>
      <c r="R83" s="2">
        <v>145</v>
      </c>
      <c r="S83" s="5">
        <f t="shared" si="7"/>
        <v>2.3086948426736211</v>
      </c>
      <c r="T83" s="5">
        <f t="shared" si="8"/>
        <v>3.954428032059349</v>
      </c>
      <c r="U83" s="4">
        <f t="shared" si="9"/>
        <v>2263.7795275590547</v>
      </c>
      <c r="V83" s="4">
        <f t="shared" si="10"/>
        <v>3001.968503937007</v>
      </c>
      <c r="W83" s="4">
        <f t="shared" si="11"/>
        <v>5265.7480314960612</v>
      </c>
      <c r="X83" s="4">
        <f t="shared" si="12"/>
        <v>2211.5157663567975</v>
      </c>
      <c r="Y83" s="4">
        <f t="shared" si="13"/>
        <v>2883.2578199037293</v>
      </c>
      <c r="Z83" s="4">
        <f t="shared" si="14"/>
        <v>5094.7735862605268</v>
      </c>
      <c r="AA83" s="8" t="s">
        <v>181</v>
      </c>
      <c r="AB83" s="10">
        <v>43803</v>
      </c>
      <c r="AC83" s="4">
        <v>49</v>
      </c>
      <c r="AD83" s="5">
        <v>1.05</v>
      </c>
      <c r="AE83" s="4">
        <v>79.599999999999994</v>
      </c>
      <c r="AF83" s="4">
        <v>26.2</v>
      </c>
      <c r="AG83" s="4">
        <v>9.4</v>
      </c>
      <c r="AH83" s="4">
        <v>11.7</v>
      </c>
      <c r="AJ83" s="14"/>
      <c r="AK83" s="1"/>
      <c r="AL83" s="1"/>
      <c r="AM83" s="2"/>
      <c r="AN83" s="2"/>
      <c r="AO83" s="2"/>
      <c r="AP83" s="1"/>
      <c r="AQ83" s="2"/>
      <c r="AR83" s="2"/>
      <c r="AS83" s="2"/>
      <c r="AT83" s="7"/>
      <c r="AU83" s="7"/>
      <c r="AV83" s="7"/>
      <c r="AW83" s="2"/>
      <c r="AX83" s="2"/>
      <c r="AY83" s="2"/>
      <c r="AZ83" s="2"/>
      <c r="BA83" s="2"/>
      <c r="BB83" s="2"/>
      <c r="BC83" s="1"/>
      <c r="BD83" s="1"/>
      <c r="BE83" s="1"/>
      <c r="BF83" s="1"/>
      <c r="BG83" s="1"/>
      <c r="BH83" s="1"/>
      <c r="BI83" s="11"/>
      <c r="BJ83" s="1"/>
      <c r="BK83" s="1"/>
      <c r="BL83" s="2"/>
      <c r="BM83" s="1"/>
      <c r="BN83" s="1"/>
      <c r="BO83" s="1"/>
      <c r="BP83" s="1"/>
    </row>
    <row r="84" spans="1:68" x14ac:dyDescent="0.3">
      <c r="A84">
        <v>35</v>
      </c>
      <c r="B84" s="3" t="s">
        <v>256</v>
      </c>
      <c r="C84" s="3" t="s">
        <v>106</v>
      </c>
      <c r="D84" s="13">
        <v>43769</v>
      </c>
      <c r="E84" s="2">
        <v>2.7</v>
      </c>
      <c r="F84" s="2">
        <v>0.16</v>
      </c>
      <c r="G84" s="2">
        <f t="shared" si="2"/>
        <v>2.54</v>
      </c>
      <c r="H84" s="4">
        <f t="shared" si="3"/>
        <v>6250</v>
      </c>
      <c r="I84" s="10">
        <v>43787</v>
      </c>
      <c r="J84" s="2">
        <v>1.28</v>
      </c>
      <c r="K84" s="2">
        <v>3.04</v>
      </c>
      <c r="L84" s="6">
        <f t="shared" si="4"/>
        <v>0.39370078740157477</v>
      </c>
      <c r="M84" s="6">
        <f t="shared" si="5"/>
        <v>0.53543307086614178</v>
      </c>
      <c r="N84" s="6">
        <f t="shared" si="6"/>
        <v>7.086614173228345E-2</v>
      </c>
      <c r="O84" s="2">
        <v>43.77</v>
      </c>
      <c r="P84" s="2">
        <v>42.8</v>
      </c>
      <c r="Q84" s="2">
        <v>151.47999999999999</v>
      </c>
      <c r="R84" s="2">
        <v>145.63</v>
      </c>
      <c r="S84" s="5">
        <f t="shared" si="7"/>
        <v>2.216129769248357</v>
      </c>
      <c r="T84" s="5">
        <f t="shared" si="8"/>
        <v>3.8618959598626845</v>
      </c>
      <c r="U84" s="4">
        <f t="shared" si="9"/>
        <v>2460.6299212598424</v>
      </c>
      <c r="V84" s="4">
        <f t="shared" si="10"/>
        <v>3346.4566929133862</v>
      </c>
      <c r="W84" s="4">
        <f t="shared" si="11"/>
        <v>5807.0866141732286</v>
      </c>
      <c r="X84" s="4">
        <f t="shared" si="12"/>
        <v>2406.0991690637707</v>
      </c>
      <c r="Y84" s="4">
        <f t="shared" si="13"/>
        <v>3217.2200170912097</v>
      </c>
      <c r="Z84" s="4">
        <f t="shared" si="14"/>
        <v>5623.3191861549803</v>
      </c>
      <c r="AA84" t="s">
        <v>158</v>
      </c>
      <c r="AB84" s="10">
        <v>43803</v>
      </c>
      <c r="AC84" s="4">
        <v>46.900000000000006</v>
      </c>
      <c r="AD84" s="5">
        <v>1.1000000000000001</v>
      </c>
      <c r="AE84" s="4">
        <v>80.2</v>
      </c>
      <c r="AF84" s="4">
        <v>26.9</v>
      </c>
      <c r="AG84" s="4">
        <v>8.8000000000000007</v>
      </c>
      <c r="AH84" s="4">
        <v>10.4</v>
      </c>
      <c r="AJ84" s="14" t="s">
        <v>207</v>
      </c>
      <c r="AK84" s="1" t="s">
        <v>106</v>
      </c>
      <c r="AL84" s="11">
        <f>D84</f>
        <v>43769</v>
      </c>
      <c r="AM84" s="2">
        <f>SUM(E84:E85)</f>
        <v>5.32</v>
      </c>
      <c r="AN84" s="2">
        <f>SUM(F84:F85)</f>
        <v>0.32</v>
      </c>
      <c r="AO84" s="2">
        <f>AM84-AN84</f>
        <v>5</v>
      </c>
      <c r="AP84" s="1">
        <f>AO84/(2*$A$38)*$A$39</f>
        <v>6151.5748031496069</v>
      </c>
      <c r="AQ84" s="11">
        <f>I84</f>
        <v>43787</v>
      </c>
      <c r="AR84" s="2">
        <f>SUM(J84:J85)</f>
        <v>2.52</v>
      </c>
      <c r="AS84" s="2">
        <f>SUM(K84:K85)</f>
        <v>6.02</v>
      </c>
      <c r="AT84" s="7">
        <f>(AR84-2*$A$40)/AO84</f>
        <v>0.39200000000000002</v>
      </c>
      <c r="AU84" s="7">
        <f>(AS84-2*$A$41)/AO84</f>
        <v>0.53199999999999992</v>
      </c>
      <c r="AV84" s="7">
        <f>1-AT84-AU84</f>
        <v>7.6000000000000068E-2</v>
      </c>
      <c r="AW84" s="2">
        <f>SUM(O84:O85)</f>
        <v>96.92</v>
      </c>
      <c r="AX84" s="2">
        <f t="shared" ref="AX84" si="143">SUM(P84:P85)</f>
        <v>94.759999999999991</v>
      </c>
      <c r="AY84" s="2">
        <f t="shared" ref="AY84" si="144">SUM(Q84:Q85)</f>
        <v>280.89999999999998</v>
      </c>
      <c r="AZ84" s="2">
        <f t="shared" ref="AZ84" si="145">SUM(R84:R85)</f>
        <v>269.95</v>
      </c>
      <c r="BA84" s="2">
        <f>(AW84-AX84)/AW84*100</f>
        <v>2.2286421791168083</v>
      </c>
      <c r="BB84" s="2">
        <f>(AY84-AZ84)/AY84*100</f>
        <v>3.8981844072623675</v>
      </c>
      <c r="BC84" s="1">
        <f>AP84*AT84</f>
        <v>2411.4173228346458</v>
      </c>
      <c r="BD84" s="1">
        <f>AP84*AU84</f>
        <v>3272.6377952755902</v>
      </c>
      <c r="BE84" s="1">
        <f>BC84+BD84</f>
        <v>5684.0551181102364</v>
      </c>
      <c r="BF84" s="1">
        <f>BC84*(1-BA84/100)</f>
        <v>2357.6754592634234</v>
      </c>
      <c r="BG84" s="1">
        <f>BD84*(1-BB84/100)</f>
        <v>3145.0643390339819</v>
      </c>
      <c r="BH84" s="1">
        <f>BF84+BG84</f>
        <v>5502.7397982974053</v>
      </c>
      <c r="BI84" s="11" t="str">
        <f>AA84</f>
        <v>0991913452236</v>
      </c>
      <c r="BJ84" s="11">
        <f>AB84</f>
        <v>43803</v>
      </c>
      <c r="BK84" s="1">
        <f>AVERAGE(AC84:AC85)</f>
        <v>47.900000000000006</v>
      </c>
      <c r="BL84" s="2">
        <f t="shared" ref="BL84" si="146">AVERAGE(AD84:AD85)</f>
        <v>1.0750000000000002</v>
      </c>
      <c r="BM84" s="1">
        <f t="shared" ref="BM84" si="147">AVERAGE(AE84:AE85)</f>
        <v>79.7</v>
      </c>
      <c r="BN84" s="1">
        <f t="shared" ref="BN84" si="148">AVERAGE(AF84:AF85)</f>
        <v>26.25</v>
      </c>
      <c r="BO84" s="1">
        <f t="shared" ref="BO84" si="149">AVERAGE(AG84:AG85)</f>
        <v>9</v>
      </c>
      <c r="BP84" s="1">
        <f t="shared" ref="BP84" si="150">AVERAGE(AH84:AH85)</f>
        <v>10.95</v>
      </c>
    </row>
    <row r="85" spans="1:68" x14ac:dyDescent="0.3">
      <c r="A85">
        <v>36</v>
      </c>
      <c r="B85" s="3" t="s">
        <v>257</v>
      </c>
      <c r="C85" s="3" t="s">
        <v>106</v>
      </c>
      <c r="D85" s="13">
        <v>43769</v>
      </c>
      <c r="E85" s="2">
        <v>2.62</v>
      </c>
      <c r="F85" s="2">
        <v>0.16</v>
      </c>
      <c r="G85" s="2">
        <f t="shared" si="2"/>
        <v>2.46</v>
      </c>
      <c r="H85" s="4">
        <f t="shared" si="3"/>
        <v>6053.1496062992128</v>
      </c>
      <c r="I85" s="10">
        <v>43787</v>
      </c>
      <c r="J85" s="2">
        <v>1.24</v>
      </c>
      <c r="K85" s="2">
        <v>2.98</v>
      </c>
      <c r="L85" s="6">
        <f t="shared" si="4"/>
        <v>0.3902439024390244</v>
      </c>
      <c r="M85" s="6">
        <f t="shared" si="5"/>
        <v>0.52845528455284552</v>
      </c>
      <c r="N85" s="6">
        <f t="shared" si="6"/>
        <v>8.1300813008130079E-2</v>
      </c>
      <c r="O85" s="2">
        <v>53.15</v>
      </c>
      <c r="P85" s="2">
        <v>51.96</v>
      </c>
      <c r="Q85" s="2">
        <v>129.41999999999999</v>
      </c>
      <c r="R85" s="2">
        <v>124.32</v>
      </c>
      <c r="S85" s="5">
        <f t="shared" si="7"/>
        <v>2.2389463781749721</v>
      </c>
      <c r="T85" s="5">
        <f t="shared" si="8"/>
        <v>3.9406583217431574</v>
      </c>
      <c r="U85" s="4">
        <f t="shared" si="9"/>
        <v>2362.2047244094488</v>
      </c>
      <c r="V85" s="4">
        <f t="shared" si="10"/>
        <v>3198.8188976377951</v>
      </c>
      <c r="W85" s="4">
        <f t="shared" si="11"/>
        <v>5561.0236220472434</v>
      </c>
      <c r="X85" s="4">
        <f t="shared" si="12"/>
        <v>2309.316227287205</v>
      </c>
      <c r="Y85" s="4">
        <f t="shared" si="13"/>
        <v>3072.7643745505384</v>
      </c>
      <c r="Z85" s="4">
        <f t="shared" si="14"/>
        <v>5382.0806018377434</v>
      </c>
      <c r="AA85" s="8" t="s">
        <v>182</v>
      </c>
      <c r="AB85" s="10">
        <v>43803</v>
      </c>
      <c r="AC85" s="4">
        <v>48.9</v>
      </c>
      <c r="AD85" s="5">
        <v>1.05</v>
      </c>
      <c r="AE85" s="4">
        <v>79.2</v>
      </c>
      <c r="AF85" s="4">
        <v>25.6</v>
      </c>
      <c r="AG85" s="4">
        <v>9.1999999999999993</v>
      </c>
      <c r="AH85" s="4">
        <v>11.5</v>
      </c>
      <c r="AJ85" s="14"/>
      <c r="AK85" s="1"/>
      <c r="AL85" s="1"/>
      <c r="AM85" s="2"/>
      <c r="AN85" s="2"/>
      <c r="AO85" s="2"/>
      <c r="AP85" s="1"/>
      <c r="AQ85" s="2"/>
      <c r="AR85" s="2"/>
      <c r="AS85" s="2"/>
      <c r="AT85" s="7"/>
      <c r="AU85" s="7"/>
      <c r="AV85" s="7"/>
      <c r="AW85" s="2"/>
      <c r="AX85" s="2"/>
      <c r="AY85" s="2"/>
      <c r="AZ85" s="2"/>
      <c r="BA85" s="2"/>
      <c r="BB85" s="2"/>
      <c r="BC85" s="1"/>
      <c r="BD85" s="1"/>
      <c r="BE85" s="1"/>
      <c r="BF85" s="1"/>
      <c r="BG85" s="1"/>
      <c r="BH85" s="1"/>
      <c r="BI85" s="11"/>
      <c r="BJ85" s="1"/>
      <c r="BK85" s="1"/>
      <c r="BL85" s="2"/>
      <c r="BM85" s="1"/>
      <c r="BN85" s="1"/>
      <c r="BO85" s="1"/>
      <c r="BP85" s="1"/>
    </row>
    <row r="86" spans="1:68" x14ac:dyDescent="0.3">
      <c r="A86">
        <v>37</v>
      </c>
      <c r="B86" s="3" t="s">
        <v>258</v>
      </c>
      <c r="C86" s="3" t="s">
        <v>106</v>
      </c>
      <c r="D86" s="13">
        <v>43769</v>
      </c>
      <c r="E86" s="2">
        <v>2.59</v>
      </c>
      <c r="F86" s="2">
        <v>0.16</v>
      </c>
      <c r="G86" s="2">
        <f t="shared" si="2"/>
        <v>2.4299999999999997</v>
      </c>
      <c r="H86" s="4">
        <f t="shared" si="3"/>
        <v>5979.3307086614168</v>
      </c>
      <c r="I86" s="10">
        <v>43787</v>
      </c>
      <c r="J86" s="2">
        <v>1.26</v>
      </c>
      <c r="K86" s="2">
        <v>2.96</v>
      </c>
      <c r="L86" s="6">
        <f t="shared" si="4"/>
        <v>0.4032921810699589</v>
      </c>
      <c r="M86" s="6">
        <f t="shared" si="5"/>
        <v>0.52674897119341568</v>
      </c>
      <c r="N86" s="6">
        <f t="shared" si="6"/>
        <v>6.9958847736625418E-2</v>
      </c>
      <c r="O86" s="2">
        <v>47.95</v>
      </c>
      <c r="P86" s="2">
        <v>46.9</v>
      </c>
      <c r="Q86" s="2">
        <v>144.96</v>
      </c>
      <c r="R86" s="2">
        <v>139.43</v>
      </c>
      <c r="S86" s="5">
        <f t="shared" si="7"/>
        <v>2.1897810218978191</v>
      </c>
      <c r="T86" s="5">
        <f t="shared" si="8"/>
        <v>3.8148454746136871</v>
      </c>
      <c r="U86" s="4">
        <f t="shared" si="9"/>
        <v>2411.4173228346458</v>
      </c>
      <c r="V86" s="4">
        <f t="shared" si="10"/>
        <v>3149.6062992125985</v>
      </c>
      <c r="W86" s="4">
        <f t="shared" si="11"/>
        <v>5561.0236220472443</v>
      </c>
      <c r="X86" s="4">
        <f t="shared" si="12"/>
        <v>2358.6125639404563</v>
      </c>
      <c r="Y86" s="4">
        <f t="shared" si="13"/>
        <v>3029.4536858389392</v>
      </c>
      <c r="Z86" s="4">
        <f t="shared" si="14"/>
        <v>5388.0662497793955</v>
      </c>
      <c r="AA86" t="s">
        <v>159</v>
      </c>
      <c r="AB86" s="10">
        <v>43803</v>
      </c>
      <c r="AC86" s="4">
        <v>48.6</v>
      </c>
      <c r="AD86" s="5">
        <v>1.1000000000000001</v>
      </c>
      <c r="AE86" s="4">
        <v>81.099999999999994</v>
      </c>
      <c r="AF86" s="4">
        <v>26.7</v>
      </c>
      <c r="AG86" s="4">
        <v>9</v>
      </c>
      <c r="AH86" s="4">
        <v>9.6999999999999993</v>
      </c>
      <c r="AJ86" s="14" t="s">
        <v>208</v>
      </c>
      <c r="AK86" s="1" t="s">
        <v>106</v>
      </c>
      <c r="AL86" s="11">
        <f>D86</f>
        <v>43769</v>
      </c>
      <c r="AM86" s="2">
        <f>SUM(E86:E87)</f>
        <v>5.07</v>
      </c>
      <c r="AN86" s="2">
        <f>SUM(F86:F87)</f>
        <v>0.32</v>
      </c>
      <c r="AO86" s="2">
        <f>AM86-AN86</f>
        <v>4.75</v>
      </c>
      <c r="AP86" s="1">
        <f>AO86/(2*$A$38)*$A$39</f>
        <v>5843.9960629921261</v>
      </c>
      <c r="AQ86" s="11">
        <f>I86</f>
        <v>43787</v>
      </c>
      <c r="AR86" s="2">
        <f>SUM(J86:J87)</f>
        <v>2.46</v>
      </c>
      <c r="AS86" s="2">
        <f>SUM(K86:K87)</f>
        <v>5.82</v>
      </c>
      <c r="AT86" s="7">
        <f>(AR86-2*$A$40)/AO86</f>
        <v>0.39999999999999997</v>
      </c>
      <c r="AU86" s="7">
        <f>(AS86-2*$A$41)/AO86</f>
        <v>0.5178947368421053</v>
      </c>
      <c r="AV86" s="7">
        <f>1-AT86-AU86</f>
        <v>8.2105263157894792E-2</v>
      </c>
      <c r="AW86" s="2">
        <f>SUM(O86:O87)</f>
        <v>87.710000000000008</v>
      </c>
      <c r="AX86" s="2">
        <f t="shared" ref="AX86" si="151">SUM(P86:P87)</f>
        <v>85.75</v>
      </c>
      <c r="AY86" s="2">
        <f t="shared" ref="AY86" si="152">SUM(Q86:Q87)</f>
        <v>268.02</v>
      </c>
      <c r="AZ86" s="2">
        <f t="shared" ref="AZ86" si="153">SUM(R86:R87)</f>
        <v>257.77999999999997</v>
      </c>
      <c r="BA86" s="2">
        <f>(AW86-AX86)/AW86*100</f>
        <v>2.2346368715083886</v>
      </c>
      <c r="BB86" s="2">
        <f>(AY86-AZ86)/AY86*100</f>
        <v>3.8206104022087941</v>
      </c>
      <c r="BC86" s="1">
        <f>AP86*AT86</f>
        <v>2337.5984251968503</v>
      </c>
      <c r="BD86" s="1">
        <f>AP86*AU86</f>
        <v>3026.5748031496064</v>
      </c>
      <c r="BE86" s="1">
        <f>BC86+BD86</f>
        <v>5364.1732283464571</v>
      </c>
      <c r="BF86" s="1">
        <f>BC86*(1-BA86/100)</f>
        <v>2285.3615888796021</v>
      </c>
      <c r="BG86" s="1">
        <f>BD86*(1-BB86/100)</f>
        <v>2910.9411713898421</v>
      </c>
      <c r="BH86" s="1">
        <f>BF86+BG86</f>
        <v>5196.3027602694438</v>
      </c>
      <c r="BI86" s="11" t="str">
        <f>AA86</f>
        <v>0991913453238</v>
      </c>
      <c r="BJ86" s="11">
        <f>AB86</f>
        <v>43803</v>
      </c>
      <c r="BK86" s="1">
        <f>AVERAGE(AC86:AC87)</f>
        <v>47.45</v>
      </c>
      <c r="BL86" s="2">
        <f t="shared" ref="BL86" si="154">AVERAGE(AD86:AD87)</f>
        <v>1.1100000000000001</v>
      </c>
      <c r="BM86" s="1">
        <f t="shared" ref="BM86" si="155">AVERAGE(AE86:AE87)</f>
        <v>81.3</v>
      </c>
      <c r="BN86" s="1">
        <f t="shared" ref="BN86" si="156">AVERAGE(AF86:AF87)</f>
        <v>27.45</v>
      </c>
      <c r="BO86" s="1">
        <f t="shared" ref="BO86" si="157">AVERAGE(AG86:AG87)</f>
        <v>8.85</v>
      </c>
      <c r="BP86" s="1">
        <f t="shared" ref="BP86" si="158">AVERAGE(AH86:AH87)</f>
        <v>9.6</v>
      </c>
    </row>
    <row r="87" spans="1:68" x14ac:dyDescent="0.3">
      <c r="A87">
        <v>38</v>
      </c>
      <c r="B87" s="3" t="s">
        <v>259</v>
      </c>
      <c r="C87" s="3" t="s">
        <v>106</v>
      </c>
      <c r="D87" s="13">
        <v>43769</v>
      </c>
      <c r="E87" s="2">
        <v>2.48</v>
      </c>
      <c r="F87" s="2">
        <v>0.16</v>
      </c>
      <c r="G87" s="2">
        <f t="shared" si="2"/>
        <v>2.3199999999999998</v>
      </c>
      <c r="H87" s="4">
        <f t="shared" si="3"/>
        <v>5708.6614173228345</v>
      </c>
      <c r="I87" s="10">
        <v>43787</v>
      </c>
      <c r="J87" s="2">
        <v>1.2</v>
      </c>
      <c r="K87" s="2">
        <v>2.86</v>
      </c>
      <c r="L87" s="6">
        <f t="shared" si="4"/>
        <v>0.39655172413793105</v>
      </c>
      <c r="M87" s="6">
        <f t="shared" si="5"/>
        <v>0.50862068965517238</v>
      </c>
      <c r="N87" s="6">
        <f t="shared" si="6"/>
        <v>9.4827586206896575E-2</v>
      </c>
      <c r="O87" s="2">
        <v>39.76</v>
      </c>
      <c r="P87" s="2">
        <v>38.85</v>
      </c>
      <c r="Q87" s="2">
        <v>123.06</v>
      </c>
      <c r="R87" s="2">
        <v>118.35</v>
      </c>
      <c r="S87" s="5">
        <f t="shared" si="7"/>
        <v>2.2887323943661886</v>
      </c>
      <c r="T87" s="5">
        <f t="shared" si="8"/>
        <v>3.8274012676743117</v>
      </c>
      <c r="U87" s="4">
        <f t="shared" si="9"/>
        <v>2263.7795275590552</v>
      </c>
      <c r="V87" s="4">
        <f t="shared" si="10"/>
        <v>2903.5433070866138</v>
      </c>
      <c r="W87" s="4">
        <f t="shared" si="11"/>
        <v>5167.322834645669</v>
      </c>
      <c r="X87" s="4">
        <f t="shared" si="12"/>
        <v>2211.967672174781</v>
      </c>
      <c r="Y87" s="4">
        <f t="shared" si="13"/>
        <v>2792.4130537437081</v>
      </c>
      <c r="Z87" s="4">
        <f t="shared" si="14"/>
        <v>5004.3807259184887</v>
      </c>
      <c r="AA87" s="8" t="s">
        <v>183</v>
      </c>
      <c r="AB87" s="10">
        <v>43803</v>
      </c>
      <c r="AC87" s="4">
        <v>46.3</v>
      </c>
      <c r="AD87" s="5">
        <v>1.1200000000000001</v>
      </c>
      <c r="AE87" s="4">
        <v>81.5</v>
      </c>
      <c r="AF87" s="4">
        <v>28.2</v>
      </c>
      <c r="AG87" s="4">
        <v>8.6999999999999993</v>
      </c>
      <c r="AH87" s="4">
        <v>9.5</v>
      </c>
      <c r="AJ87" s="14"/>
      <c r="AK87" s="1"/>
      <c r="AL87" s="1"/>
      <c r="AM87" s="2"/>
      <c r="AN87" s="2"/>
      <c r="AO87" s="2"/>
      <c r="AP87" s="1"/>
      <c r="AQ87" s="2"/>
      <c r="AR87" s="2"/>
      <c r="AS87" s="2"/>
      <c r="AT87" s="7"/>
      <c r="AU87" s="7"/>
      <c r="AV87" s="7"/>
      <c r="AW87" s="2"/>
      <c r="AX87" s="2"/>
      <c r="AY87" s="2"/>
      <c r="AZ87" s="2"/>
      <c r="BA87" s="2"/>
      <c r="BB87" s="2"/>
      <c r="BC87" s="1"/>
      <c r="BD87" s="1"/>
      <c r="BE87" s="1"/>
      <c r="BF87" s="1"/>
      <c r="BG87" s="1"/>
      <c r="BH87" s="1"/>
      <c r="BI87" s="11"/>
      <c r="BJ87" s="1"/>
      <c r="BK87" s="1"/>
      <c r="BL87" s="2"/>
      <c r="BM87" s="1"/>
      <c r="BN87" s="1"/>
      <c r="BO87" s="1"/>
      <c r="BP87" s="1"/>
    </row>
    <row r="88" spans="1:68" x14ac:dyDescent="0.3">
      <c r="A88">
        <v>39</v>
      </c>
      <c r="B88" s="3" t="s">
        <v>260</v>
      </c>
      <c r="C88" s="3" t="s">
        <v>106</v>
      </c>
      <c r="D88" s="13">
        <v>43769</v>
      </c>
      <c r="E88" s="2">
        <v>2.4300000000000002</v>
      </c>
      <c r="F88" s="2">
        <v>0.16</v>
      </c>
      <c r="G88" s="2">
        <f t="shared" si="2"/>
        <v>2.27</v>
      </c>
      <c r="H88" s="4">
        <f t="shared" si="3"/>
        <v>5585.6299212598424</v>
      </c>
      <c r="I88" s="10">
        <v>43787</v>
      </c>
      <c r="J88" s="2">
        <v>1.1599999999999999</v>
      </c>
      <c r="K88" s="2">
        <v>2.84</v>
      </c>
      <c r="L88" s="6">
        <f t="shared" si="4"/>
        <v>0.38766519823788542</v>
      </c>
      <c r="M88" s="6">
        <f t="shared" si="5"/>
        <v>0.51101321585903081</v>
      </c>
      <c r="N88" s="6">
        <f t="shared" si="6"/>
        <v>0.10132158590308382</v>
      </c>
      <c r="O88" s="2">
        <v>50.61</v>
      </c>
      <c r="P88" s="2">
        <v>49.47</v>
      </c>
      <c r="Q88" s="2">
        <v>125.39</v>
      </c>
      <c r="R88" s="2">
        <v>120.55</v>
      </c>
      <c r="S88" s="5">
        <f t="shared" si="7"/>
        <v>2.2525192649673986</v>
      </c>
      <c r="T88" s="5">
        <f t="shared" si="8"/>
        <v>3.8599569343647846</v>
      </c>
      <c r="U88" s="4">
        <f t="shared" si="9"/>
        <v>2165.3543307086611</v>
      </c>
      <c r="V88" s="4">
        <f t="shared" si="10"/>
        <v>2854.3307086614172</v>
      </c>
      <c r="W88" s="4">
        <f t="shared" si="11"/>
        <v>5019.6850393700788</v>
      </c>
      <c r="X88" s="4">
        <f t="shared" si="12"/>
        <v>2116.5793072546426</v>
      </c>
      <c r="Y88" s="4">
        <f t="shared" si="13"/>
        <v>2744.1547725427372</v>
      </c>
      <c r="Z88" s="4">
        <f t="shared" si="14"/>
        <v>4860.7340797973793</v>
      </c>
      <c r="AA88" t="s">
        <v>160</v>
      </c>
      <c r="AB88" s="10">
        <v>43803</v>
      </c>
      <c r="AC88" s="4">
        <v>46.6</v>
      </c>
      <c r="AD88" s="5">
        <v>1.06</v>
      </c>
      <c r="AE88" s="4">
        <v>81.099999999999994</v>
      </c>
      <c r="AF88" s="4">
        <v>26.3</v>
      </c>
      <c r="AG88" s="4">
        <v>8.6999999999999993</v>
      </c>
      <c r="AH88" s="4">
        <v>10.3</v>
      </c>
      <c r="AJ88" s="14" t="s">
        <v>209</v>
      </c>
      <c r="AK88" s="1" t="s">
        <v>106</v>
      </c>
      <c r="AL88" s="11">
        <f>D88</f>
        <v>43769</v>
      </c>
      <c r="AM88" s="2">
        <f>SUM(E88:E89)</f>
        <v>4.5199999999999996</v>
      </c>
      <c r="AN88" s="2">
        <f>SUM(F88:F89)</f>
        <v>0.32</v>
      </c>
      <c r="AO88" s="2">
        <f>AM88-AN88</f>
        <v>4.1999999999999993</v>
      </c>
      <c r="AP88" s="1">
        <f>AO88/(2*$A$38)*$A$39</f>
        <v>5167.3228346456681</v>
      </c>
      <c r="AQ88" s="11">
        <f>I88</f>
        <v>43787</v>
      </c>
      <c r="AR88" s="2">
        <f>SUM(J88:J89)</f>
        <v>2.2199999999999998</v>
      </c>
      <c r="AS88" s="2">
        <f>SUM(K88:K89)</f>
        <v>5.52</v>
      </c>
      <c r="AT88" s="7">
        <f>(AR88-2*$A$40)/AO88</f>
        <v>0.39523809523809522</v>
      </c>
      <c r="AU88" s="7">
        <f>(AS88-2*$A$41)/AO88</f>
        <v>0.51428571428571435</v>
      </c>
      <c r="AV88" s="7">
        <f>1-AT88-AU88</f>
        <v>9.0476190476190488E-2</v>
      </c>
      <c r="AW88" s="2">
        <f>SUM(O88:O89)</f>
        <v>91.45</v>
      </c>
      <c r="AX88" s="2">
        <f t="shared" ref="AX88" si="159">SUM(P88:P89)</f>
        <v>89.42</v>
      </c>
      <c r="AY88" s="2">
        <f t="shared" ref="AY88" si="160">SUM(Q88:Q89)</f>
        <v>258.05</v>
      </c>
      <c r="AZ88" s="2">
        <f t="shared" ref="AZ88" si="161">SUM(R88:R89)</f>
        <v>248.14999999999998</v>
      </c>
      <c r="BA88" s="2">
        <f>(AW88-AX88)/AW88*100</f>
        <v>2.2197922361946429</v>
      </c>
      <c r="BB88" s="2">
        <f>(AY88-AZ88)/AY88*100</f>
        <v>3.8364658012013302</v>
      </c>
      <c r="BC88" s="1">
        <f>AP88*AT88</f>
        <v>2042.3228346456688</v>
      </c>
      <c r="BD88" s="1">
        <f>AP88*AU88</f>
        <v>2657.4803149606296</v>
      </c>
      <c r="BE88" s="1">
        <f>BC88+BD88</f>
        <v>4699.8031496062986</v>
      </c>
      <c r="BF88" s="1">
        <f>BC88*(1-BA88/100)</f>
        <v>1996.9875109241739</v>
      </c>
      <c r="BG88" s="1">
        <f>BD88*(1-BB88/100)</f>
        <v>2555.5269915035078</v>
      </c>
      <c r="BH88" s="1">
        <f>BF88+BG88</f>
        <v>4552.5145024276817</v>
      </c>
      <c r="BI88" s="11" t="str">
        <f>AA88</f>
        <v>0991913454240</v>
      </c>
      <c r="BJ88" s="11">
        <f>AB88</f>
        <v>43803</v>
      </c>
      <c r="BK88" s="1">
        <f>AVERAGE(AC88:AC89)</f>
        <v>47.75</v>
      </c>
      <c r="BL88" s="2">
        <f t="shared" ref="BL88" si="162">AVERAGE(AD88:AD89)</f>
        <v>1.08</v>
      </c>
      <c r="BM88" s="1">
        <f t="shared" ref="BM88" si="163">AVERAGE(AE88:AE89)</f>
        <v>81.25</v>
      </c>
      <c r="BN88" s="1">
        <f t="shared" ref="BN88" si="164">AVERAGE(AF88:AF89)</f>
        <v>27.4</v>
      </c>
      <c r="BO88" s="1">
        <f t="shared" ref="BO88" si="165">AVERAGE(AG88:AG89)</f>
        <v>8.6</v>
      </c>
      <c r="BP88" s="1">
        <f t="shared" ref="BP88" si="166">AVERAGE(AH88:AH89)</f>
        <v>9.8000000000000007</v>
      </c>
    </row>
    <row r="89" spans="1:68" x14ac:dyDescent="0.3">
      <c r="A89">
        <v>40</v>
      </c>
      <c r="B89" s="3" t="s">
        <v>261</v>
      </c>
      <c r="C89" s="3" t="s">
        <v>106</v>
      </c>
      <c r="D89" s="13">
        <v>43769</v>
      </c>
      <c r="E89" s="2">
        <v>2.09</v>
      </c>
      <c r="F89" s="2">
        <v>0.16</v>
      </c>
      <c r="G89" s="2">
        <f t="shared" si="2"/>
        <v>1.93</v>
      </c>
      <c r="H89" s="4">
        <f t="shared" si="3"/>
        <v>4749.0157480314956</v>
      </c>
      <c r="I89" s="10">
        <v>43787</v>
      </c>
      <c r="J89" s="2">
        <v>1.06</v>
      </c>
      <c r="K89" s="2">
        <v>2.68</v>
      </c>
      <c r="L89" s="6">
        <f t="shared" si="4"/>
        <v>0.4041450777202073</v>
      </c>
      <c r="M89" s="6">
        <f t="shared" si="5"/>
        <v>0.51813471502590691</v>
      </c>
      <c r="N89" s="6">
        <f t="shared" si="6"/>
        <v>7.7720207253885731E-2</v>
      </c>
      <c r="O89" s="2">
        <v>40.840000000000003</v>
      </c>
      <c r="P89" s="2">
        <v>39.950000000000003</v>
      </c>
      <c r="Q89" s="2">
        <v>132.66</v>
      </c>
      <c r="R89" s="2">
        <v>127.6</v>
      </c>
      <c r="S89" s="5">
        <f t="shared" si="7"/>
        <v>2.1792360430950062</v>
      </c>
      <c r="T89" s="5">
        <f t="shared" si="8"/>
        <v>3.8142620232172493</v>
      </c>
      <c r="U89" s="4">
        <f t="shared" si="9"/>
        <v>1919.2913385826771</v>
      </c>
      <c r="V89" s="4">
        <f t="shared" si="10"/>
        <v>2460.6299212598433</v>
      </c>
      <c r="W89" s="4">
        <f t="shared" si="11"/>
        <v>4379.9212598425202</v>
      </c>
      <c r="X89" s="4">
        <f t="shared" si="12"/>
        <v>1877.465449960283</v>
      </c>
      <c r="Y89" s="4">
        <f t="shared" si="13"/>
        <v>2366.7750486413083</v>
      </c>
      <c r="Z89" s="4">
        <f t="shared" si="14"/>
        <v>4244.2404986015918</v>
      </c>
      <c r="AA89" s="8" t="s">
        <v>184</v>
      </c>
      <c r="AB89" s="10">
        <v>43803</v>
      </c>
      <c r="AC89" s="4">
        <v>48.9</v>
      </c>
      <c r="AD89" s="5">
        <v>1.1000000000000001</v>
      </c>
      <c r="AE89" s="4">
        <v>81.400000000000006</v>
      </c>
      <c r="AF89" s="4">
        <v>28.5</v>
      </c>
      <c r="AG89" s="4">
        <v>8.5</v>
      </c>
      <c r="AH89" s="4">
        <v>9.3000000000000007</v>
      </c>
      <c r="AJ89" s="14"/>
      <c r="AK89" s="1"/>
      <c r="AL89" s="1"/>
      <c r="AM89" s="2"/>
      <c r="AN89" s="2"/>
      <c r="AO89" s="2"/>
      <c r="AP89" s="1"/>
      <c r="AQ89" s="2"/>
      <c r="AR89" s="2"/>
      <c r="AS89" s="2"/>
      <c r="AT89" s="7"/>
      <c r="AU89" s="7"/>
      <c r="AV89" s="7"/>
      <c r="AW89" s="2"/>
      <c r="AX89" s="2"/>
      <c r="AY89" s="2"/>
      <c r="AZ89" s="2"/>
      <c r="BA89" s="2"/>
      <c r="BB89" s="2"/>
      <c r="BC89" s="1"/>
      <c r="BD89" s="1"/>
      <c r="BE89" s="1"/>
      <c r="BF89" s="1"/>
      <c r="BG89" s="1"/>
      <c r="BH89" s="1"/>
      <c r="BI89" s="11"/>
      <c r="BJ89" s="1"/>
      <c r="BK89" s="1"/>
      <c r="BL89" s="2"/>
      <c r="BM89" s="1"/>
      <c r="BN89" s="1"/>
      <c r="BO89" s="1"/>
      <c r="BP89" s="1"/>
    </row>
    <row r="90" spans="1:68" x14ac:dyDescent="0.3">
      <c r="A90">
        <v>41</v>
      </c>
      <c r="B90" s="3" t="s">
        <v>262</v>
      </c>
      <c r="C90" s="3" t="s">
        <v>106</v>
      </c>
      <c r="D90" s="13">
        <v>43769</v>
      </c>
      <c r="E90" s="2">
        <v>2.31</v>
      </c>
      <c r="F90" s="2">
        <v>0.16</v>
      </c>
      <c r="G90" s="2">
        <f t="shared" si="2"/>
        <v>2.15</v>
      </c>
      <c r="H90" s="4">
        <f t="shared" si="3"/>
        <v>5290.3543307086611</v>
      </c>
      <c r="I90" s="10">
        <v>43787</v>
      </c>
      <c r="J90" s="2">
        <v>1.1399999999999999</v>
      </c>
      <c r="K90" s="2">
        <v>2.82</v>
      </c>
      <c r="L90" s="6">
        <f t="shared" si="4"/>
        <v>0.39999999999999997</v>
      </c>
      <c r="M90" s="6">
        <f t="shared" si="5"/>
        <v>0.53023255813953485</v>
      </c>
      <c r="N90" s="6">
        <f t="shared" si="6"/>
        <v>6.976744186046524E-2</v>
      </c>
      <c r="O90" s="2">
        <v>49.56</v>
      </c>
      <c r="P90" s="2">
        <v>48.4</v>
      </c>
      <c r="Q90" s="2">
        <v>131.91</v>
      </c>
      <c r="R90" s="2">
        <v>126.88</v>
      </c>
      <c r="S90" s="5">
        <f t="shared" si="7"/>
        <v>2.3405972558515007</v>
      </c>
      <c r="T90" s="5">
        <f t="shared" si="8"/>
        <v>3.8132059737699961</v>
      </c>
      <c r="U90" s="4">
        <f t="shared" si="9"/>
        <v>2116.1417322834641</v>
      </c>
      <c r="V90" s="4">
        <f t="shared" si="10"/>
        <v>2805.1181102362202</v>
      </c>
      <c r="W90" s="4">
        <f t="shared" si="11"/>
        <v>4921.2598425196848</v>
      </c>
      <c r="X90" s="4">
        <f t="shared" si="12"/>
        <v>2066.611376967709</v>
      </c>
      <c r="Y90" s="4">
        <f t="shared" si="13"/>
        <v>2698.1531788853886</v>
      </c>
      <c r="Z90" s="4">
        <f t="shared" si="14"/>
        <v>4764.7645558530976</v>
      </c>
      <c r="AA90" t="s">
        <v>161</v>
      </c>
      <c r="AB90" s="10">
        <v>43803</v>
      </c>
      <c r="AC90" s="4">
        <v>47.5</v>
      </c>
      <c r="AD90" s="5">
        <v>1.0900000000000001</v>
      </c>
      <c r="AE90" s="4">
        <v>81</v>
      </c>
      <c r="AF90" s="4">
        <v>27.4</v>
      </c>
      <c r="AG90" s="4">
        <v>8.5</v>
      </c>
      <c r="AH90" s="4">
        <v>10</v>
      </c>
      <c r="AJ90" s="14" t="s">
        <v>210</v>
      </c>
      <c r="AK90" s="1" t="s">
        <v>106</v>
      </c>
      <c r="AL90" s="11">
        <f>D90</f>
        <v>43769</v>
      </c>
      <c r="AM90" s="2">
        <f>SUM(E90:E91)</f>
        <v>4.95</v>
      </c>
      <c r="AN90" s="2">
        <f>SUM(F90:F91)</f>
        <v>0.32</v>
      </c>
      <c r="AO90" s="2">
        <f>AM90-AN90</f>
        <v>4.63</v>
      </c>
      <c r="AP90" s="1">
        <f>AO90/(2*$A$38)*$A$39</f>
        <v>5696.358267716535</v>
      </c>
      <c r="AQ90" s="11">
        <f>I90</f>
        <v>43787</v>
      </c>
      <c r="AR90" s="2">
        <f>SUM(J90:J91)</f>
        <v>2.4</v>
      </c>
      <c r="AS90" s="2">
        <f>SUM(K90:K91)</f>
        <v>5.74</v>
      </c>
      <c r="AT90" s="7">
        <f>(AR90-2*$A$40)/AO90</f>
        <v>0.39740820734341248</v>
      </c>
      <c r="AU90" s="7">
        <f>(AS90-2*$A$41)/AO90</f>
        <v>0.51403887688984895</v>
      </c>
      <c r="AV90" s="7">
        <f>1-AT90-AU90</f>
        <v>8.8552915766738627E-2</v>
      </c>
      <c r="AW90" s="2">
        <f>SUM(O90:O91)</f>
        <v>90.51</v>
      </c>
      <c r="AX90" s="2">
        <f t="shared" ref="AX90" si="167">SUM(P90:P91)</f>
        <v>88.449999999999989</v>
      </c>
      <c r="AY90" s="2">
        <f t="shared" ref="AY90" si="168">SUM(Q90:Q91)</f>
        <v>272.88</v>
      </c>
      <c r="AZ90" s="2">
        <f t="shared" ref="AZ90" si="169">SUM(R90:R91)</f>
        <v>262.5</v>
      </c>
      <c r="BA90" s="2">
        <f>(AW90-AX90)/AW90*100</f>
        <v>2.2759916031377929</v>
      </c>
      <c r="BB90" s="2">
        <f>(AY90-AZ90)/AY90*100</f>
        <v>3.8038698328935778</v>
      </c>
      <c r="BC90" s="1">
        <f>AP90*AT90</f>
        <v>2263.7795275590547</v>
      </c>
      <c r="BD90" s="1">
        <f>AP90*AU90</f>
        <v>2928.1496062992132</v>
      </c>
      <c r="BE90" s="1">
        <f>BC90+BD90</f>
        <v>5191.929133858268</v>
      </c>
      <c r="BF90" s="1">
        <f>BC90*(1-BA90/100)</f>
        <v>2212.2560955982581</v>
      </c>
      <c r="BG90" s="1">
        <f>BD90*(1-BB90/100)</f>
        <v>2816.7666067632053</v>
      </c>
      <c r="BH90" s="1">
        <f>BF90+BG90</f>
        <v>5029.0227023614634</v>
      </c>
      <c r="BI90" s="11" t="str">
        <f>AA90</f>
        <v>0991913461242</v>
      </c>
      <c r="BJ90" s="11">
        <f>AB90</f>
        <v>43803</v>
      </c>
      <c r="BK90" s="1">
        <f>AVERAGE(AC90:AC91)</f>
        <v>47.5</v>
      </c>
      <c r="BL90" s="2">
        <f t="shared" ref="BL90" si="170">AVERAGE(AD90:AD91)</f>
        <v>1.05</v>
      </c>
      <c r="BM90" s="1">
        <f t="shared" ref="BM90" si="171">AVERAGE(AE90:AE91)</f>
        <v>79.75</v>
      </c>
      <c r="BN90" s="1">
        <f t="shared" ref="BN90" si="172">AVERAGE(AF90:AF91)</f>
        <v>26.299999999999997</v>
      </c>
      <c r="BO90" s="1">
        <f t="shared" ref="BO90" si="173">AVERAGE(AG90:AG91)</f>
        <v>8.65</v>
      </c>
      <c r="BP90" s="1">
        <f t="shared" ref="BP90" si="174">AVERAGE(AH90:AH91)</f>
        <v>11.2</v>
      </c>
    </row>
    <row r="91" spans="1:68" x14ac:dyDescent="0.3">
      <c r="A91">
        <v>42</v>
      </c>
      <c r="B91" s="3" t="s">
        <v>263</v>
      </c>
      <c r="C91" s="3" t="s">
        <v>106</v>
      </c>
      <c r="D91" s="13">
        <v>43769</v>
      </c>
      <c r="E91" s="2">
        <v>2.64</v>
      </c>
      <c r="F91" s="2">
        <v>0.16</v>
      </c>
      <c r="G91" s="2">
        <f t="shared" si="2"/>
        <v>2.48</v>
      </c>
      <c r="H91" s="4">
        <f t="shared" si="3"/>
        <v>6102.3622047244098</v>
      </c>
      <c r="I91" s="10">
        <v>43787</v>
      </c>
      <c r="J91" s="2">
        <v>1.26</v>
      </c>
      <c r="K91" s="2">
        <v>2.92</v>
      </c>
      <c r="L91" s="6">
        <f t="shared" si="4"/>
        <v>0.39516129032258063</v>
      </c>
      <c r="M91" s="6">
        <f t="shared" si="5"/>
        <v>0.5</v>
      </c>
      <c r="N91" s="6">
        <f t="shared" si="6"/>
        <v>0.10483870967741937</v>
      </c>
      <c r="O91" s="2">
        <v>40.950000000000003</v>
      </c>
      <c r="P91" s="2">
        <v>40.049999999999997</v>
      </c>
      <c r="Q91" s="2">
        <v>140.97</v>
      </c>
      <c r="R91" s="2">
        <v>135.62</v>
      </c>
      <c r="S91" s="5">
        <f t="shared" si="7"/>
        <v>2.1978021978022113</v>
      </c>
      <c r="T91" s="5">
        <f t="shared" si="8"/>
        <v>3.7951337163935546</v>
      </c>
      <c r="U91" s="4">
        <f t="shared" si="9"/>
        <v>2411.4173228346458</v>
      </c>
      <c r="V91" s="4">
        <f t="shared" si="10"/>
        <v>3051.1811023622049</v>
      </c>
      <c r="W91" s="4">
        <f t="shared" si="11"/>
        <v>5462.5984251968512</v>
      </c>
      <c r="X91" s="4">
        <f t="shared" si="12"/>
        <v>2358.4191399152028</v>
      </c>
      <c r="Y91" s="4">
        <f t="shared" si="13"/>
        <v>2935.3846995982285</v>
      </c>
      <c r="Z91" s="4">
        <f t="shared" si="14"/>
        <v>5293.8038395134317</v>
      </c>
      <c r="AA91" s="8" t="s">
        <v>185</v>
      </c>
      <c r="AB91" s="10">
        <v>43803</v>
      </c>
      <c r="AC91" s="4">
        <v>47.5</v>
      </c>
      <c r="AD91" s="5">
        <v>1.01</v>
      </c>
      <c r="AE91" s="4">
        <v>78.5</v>
      </c>
      <c r="AF91" s="4">
        <v>25.2</v>
      </c>
      <c r="AG91" s="4">
        <v>8.8000000000000007</v>
      </c>
      <c r="AH91" s="4">
        <v>12.4</v>
      </c>
      <c r="AJ91" s="14"/>
      <c r="AK91" s="1"/>
      <c r="AL91" s="1"/>
      <c r="AM91" s="2"/>
      <c r="AN91" s="2"/>
      <c r="AO91" s="2"/>
      <c r="AP91" s="1"/>
      <c r="AQ91" s="2"/>
      <c r="AR91" s="2"/>
      <c r="AS91" s="2"/>
      <c r="AT91" s="7"/>
      <c r="AU91" s="7"/>
      <c r="AV91" s="7"/>
      <c r="AW91" s="2"/>
      <c r="AX91" s="2"/>
      <c r="AY91" s="2"/>
      <c r="AZ91" s="2"/>
      <c r="BA91" s="2"/>
      <c r="BB91" s="2"/>
      <c r="BC91" s="1"/>
      <c r="BD91" s="1"/>
      <c r="BE91" s="1"/>
      <c r="BF91" s="1"/>
      <c r="BG91" s="1"/>
      <c r="BH91" s="1"/>
      <c r="BI91" s="11"/>
      <c r="BJ91" s="1"/>
      <c r="BK91" s="1"/>
      <c r="BL91" s="2"/>
      <c r="BM91" s="1"/>
      <c r="BN91" s="1"/>
      <c r="BO91" s="1"/>
      <c r="BP91" s="1"/>
    </row>
    <row r="92" spans="1:68" x14ac:dyDescent="0.3">
      <c r="A92">
        <v>43</v>
      </c>
      <c r="B92" s="3" t="s">
        <v>264</v>
      </c>
      <c r="C92" s="3" t="s">
        <v>106</v>
      </c>
      <c r="D92" s="13">
        <v>43769</v>
      </c>
      <c r="E92" s="2">
        <v>1.89</v>
      </c>
      <c r="F92" s="2">
        <v>0.16</v>
      </c>
      <c r="G92" s="2">
        <f t="shared" si="2"/>
        <v>1.73</v>
      </c>
      <c r="H92" s="4">
        <f t="shared" si="3"/>
        <v>4256.8897637795271</v>
      </c>
      <c r="I92" s="10">
        <v>43787</v>
      </c>
      <c r="J92" s="2">
        <v>0.96</v>
      </c>
      <c r="K92" s="2">
        <v>2.6</v>
      </c>
      <c r="L92" s="6">
        <f t="shared" si="4"/>
        <v>0.39306358381502887</v>
      </c>
      <c r="M92" s="6">
        <f t="shared" si="5"/>
        <v>0.53179190751445093</v>
      </c>
      <c r="N92" s="6">
        <f t="shared" si="6"/>
        <v>7.5144508670520138E-2</v>
      </c>
      <c r="O92" s="2">
        <v>47.45</v>
      </c>
      <c r="P92" s="2">
        <v>46.49</v>
      </c>
      <c r="Q92" s="2">
        <v>153.9</v>
      </c>
      <c r="R92" s="2">
        <v>148</v>
      </c>
      <c r="S92" s="5">
        <f t="shared" si="7"/>
        <v>2.0231822971549014</v>
      </c>
      <c r="T92" s="5">
        <f t="shared" si="8"/>
        <v>3.833658219623135</v>
      </c>
      <c r="U92" s="4">
        <f t="shared" si="9"/>
        <v>1673.2283464566926</v>
      </c>
      <c r="V92" s="4">
        <f t="shared" si="10"/>
        <v>2263.7795275590552</v>
      </c>
      <c r="W92" s="4">
        <f t="shared" si="11"/>
        <v>3937.0078740157478</v>
      </c>
      <c r="X92" s="4">
        <f t="shared" si="12"/>
        <v>1639.3758867602032</v>
      </c>
      <c r="Y92" s="4">
        <f t="shared" si="13"/>
        <v>2176.9939576266415</v>
      </c>
      <c r="Z92" s="4">
        <f t="shared" si="14"/>
        <v>3816.3698443868448</v>
      </c>
      <c r="AA92" t="s">
        <v>162</v>
      </c>
      <c r="AB92" s="10">
        <v>43803</v>
      </c>
      <c r="AC92" s="4">
        <v>49</v>
      </c>
      <c r="AD92" s="5">
        <v>1.07</v>
      </c>
      <c r="AE92" s="4">
        <v>80.2</v>
      </c>
      <c r="AF92" s="4">
        <v>27.2</v>
      </c>
      <c r="AG92" s="4">
        <v>8.8000000000000007</v>
      </c>
      <c r="AH92" s="4">
        <v>10.8</v>
      </c>
      <c r="AJ92" s="14" t="s">
        <v>211</v>
      </c>
      <c r="AK92" s="1" t="s">
        <v>106</v>
      </c>
      <c r="AL92" s="11">
        <f>D92</f>
        <v>43769</v>
      </c>
      <c r="AM92" s="2">
        <f>SUM(E92:E93)</f>
        <v>4.84</v>
      </c>
      <c r="AN92" s="2">
        <f>SUM(F92:F93)</f>
        <v>0.32</v>
      </c>
      <c r="AO92" s="2">
        <f>AM92-AN92</f>
        <v>4.5199999999999996</v>
      </c>
      <c r="AP92" s="1">
        <f>AO92/(2*$A$38)*$A$39</f>
        <v>5561.0236220472434</v>
      </c>
      <c r="AQ92" s="11">
        <f>I92</f>
        <v>43787</v>
      </c>
      <c r="AR92" s="2">
        <f>SUM(J92:J93)</f>
        <v>2.3200000000000003</v>
      </c>
      <c r="AS92" s="2">
        <f>SUM(K92:K93)</f>
        <v>5.7200000000000006</v>
      </c>
      <c r="AT92" s="7">
        <f>(AR92-2*$A$40)/AO92</f>
        <v>0.38938053097345143</v>
      </c>
      <c r="AU92" s="7">
        <f>(AS92-2*$A$41)/AO92</f>
        <v>0.52212389380530999</v>
      </c>
      <c r="AV92" s="7">
        <f>1-AT92-AU92</f>
        <v>8.849557522123852E-2</v>
      </c>
      <c r="AW92" s="2">
        <f>SUM(O92:O93)</f>
        <v>92.48</v>
      </c>
      <c r="AX92" s="2">
        <f t="shared" ref="AX92" si="175">SUM(P92:P93)</f>
        <v>90.48</v>
      </c>
      <c r="AY92" s="2">
        <f t="shared" ref="AY92" si="176">SUM(Q92:Q93)</f>
        <v>318.71000000000004</v>
      </c>
      <c r="AZ92" s="2">
        <f t="shared" ref="AZ92" si="177">SUM(R92:R93)</f>
        <v>306.38</v>
      </c>
      <c r="BA92" s="2">
        <f>(AW92-AX92)/AW92*100</f>
        <v>2.1626297577854672</v>
      </c>
      <c r="BB92" s="2">
        <f>(AY92-AZ92)/AY92*100</f>
        <v>3.8687207806469956</v>
      </c>
      <c r="BC92" s="1">
        <f>AP92*AT92</f>
        <v>2165.3543307086616</v>
      </c>
      <c r="BD92" s="1">
        <f>AP92*AU92</f>
        <v>2903.5433070866152</v>
      </c>
      <c r="BE92" s="1">
        <f>BC92+BD92</f>
        <v>5068.8976377952768</v>
      </c>
      <c r="BF92" s="1">
        <f>BC92*(1-BA92/100)</f>
        <v>2118.5257335912597</v>
      </c>
      <c r="BG92" s="1">
        <f>BD92*(1-BB92/100)</f>
        <v>2791.2133237902704</v>
      </c>
      <c r="BH92" s="1">
        <f>BF92+BG92</f>
        <v>4909.7390573815301</v>
      </c>
      <c r="BI92" s="11" t="str">
        <f>AA92</f>
        <v>0991913462244</v>
      </c>
      <c r="BJ92" s="11">
        <f>AB92</f>
        <v>43803</v>
      </c>
      <c r="BK92" s="1">
        <f>AVERAGE(AC92:AC93)</f>
        <v>48.45</v>
      </c>
      <c r="BL92" s="2">
        <f t="shared" ref="BL92" si="178">AVERAGE(AD92:AD93)</f>
        <v>1.0750000000000002</v>
      </c>
      <c r="BM92" s="1">
        <f t="shared" ref="BM92" si="179">AVERAGE(AE92:AE93)</f>
        <v>80.400000000000006</v>
      </c>
      <c r="BN92" s="1">
        <f t="shared" ref="BN92" si="180">AVERAGE(AF92:AF93)</f>
        <v>27.5</v>
      </c>
      <c r="BO92" s="1">
        <f t="shared" ref="BO92" si="181">AVERAGE(AG92:AG93)</f>
        <v>8.6000000000000014</v>
      </c>
      <c r="BP92" s="1">
        <f t="shared" ref="BP92" si="182">AVERAGE(AH92:AH93)</f>
        <v>10.5</v>
      </c>
    </row>
    <row r="93" spans="1:68" x14ac:dyDescent="0.3">
      <c r="A93">
        <v>44</v>
      </c>
      <c r="B93" s="3" t="s">
        <v>265</v>
      </c>
      <c r="C93" s="3" t="s">
        <v>106</v>
      </c>
      <c r="D93" s="13">
        <v>43769</v>
      </c>
      <c r="E93" s="2">
        <v>2.95</v>
      </c>
      <c r="F93" s="2">
        <v>0.16</v>
      </c>
      <c r="G93" s="2">
        <f t="shared" si="2"/>
        <v>2.79</v>
      </c>
      <c r="H93" s="4">
        <f t="shared" si="3"/>
        <v>6865.1574803149606</v>
      </c>
      <c r="I93" s="10">
        <v>43787</v>
      </c>
      <c r="J93" s="2">
        <v>1.36</v>
      </c>
      <c r="K93" s="2">
        <v>3.12</v>
      </c>
      <c r="L93" s="6">
        <f t="shared" si="4"/>
        <v>0.38709677419354843</v>
      </c>
      <c r="M93" s="6">
        <f t="shared" si="5"/>
        <v>0.51612903225806461</v>
      </c>
      <c r="N93" s="6">
        <f t="shared" si="6"/>
        <v>9.67741935483869E-2</v>
      </c>
      <c r="O93" s="2">
        <v>45.03</v>
      </c>
      <c r="P93" s="2">
        <v>43.99</v>
      </c>
      <c r="Q93" s="2">
        <v>164.81</v>
      </c>
      <c r="R93" s="2">
        <v>158.38</v>
      </c>
      <c r="S93" s="5">
        <f t="shared" si="7"/>
        <v>2.3095713968465446</v>
      </c>
      <c r="T93" s="5">
        <f t="shared" si="8"/>
        <v>3.9014622899095972</v>
      </c>
      <c r="U93" s="4">
        <f t="shared" si="9"/>
        <v>2657.48031496063</v>
      </c>
      <c r="V93" s="4">
        <f t="shared" si="10"/>
        <v>3543.3070866141738</v>
      </c>
      <c r="W93" s="4">
        <f t="shared" si="11"/>
        <v>6200.7874015748039</v>
      </c>
      <c r="X93" s="4">
        <f t="shared" si="12"/>
        <v>2596.103909729472</v>
      </c>
      <c r="Y93" s="4">
        <f t="shared" si="13"/>
        <v>3405.0662968142274</v>
      </c>
      <c r="Z93" s="4">
        <f t="shared" si="14"/>
        <v>6001.1702065436994</v>
      </c>
      <c r="AA93" s="8" t="s">
        <v>186</v>
      </c>
      <c r="AB93" s="10">
        <v>43803</v>
      </c>
      <c r="AC93" s="4">
        <v>47.9</v>
      </c>
      <c r="AD93" s="5">
        <v>1.08</v>
      </c>
      <c r="AE93" s="4">
        <v>80.599999999999994</v>
      </c>
      <c r="AF93" s="4">
        <v>27.8</v>
      </c>
      <c r="AG93" s="4">
        <v>8.4</v>
      </c>
      <c r="AH93" s="4">
        <v>10.199999999999999</v>
      </c>
      <c r="AJ93" s="14"/>
      <c r="AK93" s="1"/>
      <c r="AL93" s="1"/>
      <c r="AM93" s="2"/>
      <c r="AN93" s="2"/>
      <c r="AO93" s="2"/>
      <c r="AP93" s="1"/>
      <c r="AQ93" s="2"/>
      <c r="AR93" s="2"/>
      <c r="AS93" s="2"/>
      <c r="AT93" s="7"/>
      <c r="AU93" s="7"/>
      <c r="AV93" s="7"/>
      <c r="AW93" s="2"/>
      <c r="AX93" s="2"/>
      <c r="AY93" s="2"/>
      <c r="AZ93" s="2"/>
      <c r="BA93" s="2"/>
      <c r="BB93" s="2"/>
      <c r="BC93" s="1"/>
      <c r="BD93" s="1"/>
      <c r="BE93" s="1"/>
      <c r="BF93" s="1"/>
      <c r="BG93" s="1"/>
      <c r="BH93" s="1"/>
      <c r="BI93" s="11"/>
      <c r="BJ93" s="1"/>
      <c r="BK93" s="1"/>
      <c r="BL93" s="2"/>
      <c r="BM93" s="1"/>
      <c r="BN93" s="1"/>
      <c r="BO93" s="1"/>
      <c r="BP93" s="1"/>
    </row>
    <row r="94" spans="1:68" x14ac:dyDescent="0.3">
      <c r="A94">
        <v>45</v>
      </c>
      <c r="B94" s="3" t="s">
        <v>266</v>
      </c>
      <c r="C94" s="3" t="s">
        <v>106</v>
      </c>
      <c r="D94" s="13">
        <v>43769</v>
      </c>
      <c r="E94" s="2">
        <v>1.95</v>
      </c>
      <c r="F94" s="2">
        <v>0.16</v>
      </c>
      <c r="G94" s="2">
        <f t="shared" si="2"/>
        <v>1.79</v>
      </c>
      <c r="H94" s="4">
        <f t="shared" si="3"/>
        <v>4404.5275590551182</v>
      </c>
      <c r="I94" s="10">
        <v>43787</v>
      </c>
      <c r="J94" s="2">
        <v>0.98</v>
      </c>
      <c r="K94" s="2">
        <v>2.62</v>
      </c>
      <c r="L94" s="6">
        <f t="shared" si="4"/>
        <v>0.39106145251396646</v>
      </c>
      <c r="M94" s="6">
        <f t="shared" si="5"/>
        <v>0.52513966480446939</v>
      </c>
      <c r="N94" s="6">
        <f t="shared" si="6"/>
        <v>8.3798882681564213E-2</v>
      </c>
      <c r="O94" s="2">
        <v>51.84</v>
      </c>
      <c r="P94" s="2">
        <v>50.74</v>
      </c>
      <c r="Q94" s="2">
        <v>134.46</v>
      </c>
      <c r="R94" s="2">
        <v>129.41</v>
      </c>
      <c r="S94" s="5">
        <f t="shared" si="7"/>
        <v>2.121913580246916</v>
      </c>
      <c r="T94" s="5">
        <f t="shared" si="8"/>
        <v>3.7557637959244468</v>
      </c>
      <c r="U94" s="4">
        <f t="shared" si="9"/>
        <v>1722.4409448818897</v>
      </c>
      <c r="V94" s="4">
        <f t="shared" si="10"/>
        <v>2312.9921259842527</v>
      </c>
      <c r="W94" s="4">
        <f t="shared" si="11"/>
        <v>4035.4330708661423</v>
      </c>
      <c r="X94" s="4">
        <f t="shared" si="12"/>
        <v>1685.8922365607075</v>
      </c>
      <c r="Y94" s="4">
        <f t="shared" si="13"/>
        <v>2226.1216051139527</v>
      </c>
      <c r="Z94" s="4">
        <f t="shared" si="14"/>
        <v>3912.0138416746604</v>
      </c>
      <c r="AA94" t="s">
        <v>163</v>
      </c>
      <c r="AB94" s="10">
        <v>43803</v>
      </c>
      <c r="AC94" s="4">
        <v>49.3</v>
      </c>
      <c r="AD94" s="5">
        <v>1.07</v>
      </c>
      <c r="AE94" s="4">
        <v>81.2</v>
      </c>
      <c r="AF94" s="4">
        <v>27.8</v>
      </c>
      <c r="AG94" s="4">
        <v>8.8000000000000007</v>
      </c>
      <c r="AH94" s="4">
        <v>9.6999999999999993</v>
      </c>
      <c r="AJ94" s="14" t="s">
        <v>212</v>
      </c>
      <c r="AK94" s="1" t="s">
        <v>106</v>
      </c>
      <c r="AL94" s="11">
        <f>D94</f>
        <v>43769</v>
      </c>
      <c r="AM94" s="2">
        <f>SUM(E94:E95)</f>
        <v>4.47</v>
      </c>
      <c r="AN94" s="2">
        <f>SUM(F94:F95)</f>
        <v>0.32</v>
      </c>
      <c r="AO94" s="2">
        <f>AM94-AN94</f>
        <v>4.1499999999999995</v>
      </c>
      <c r="AP94" s="1">
        <f>AO94/(2*$A$38)*$A$39</f>
        <v>5105.8070866141725</v>
      </c>
      <c r="AQ94" s="11">
        <f>I94</f>
        <v>43787</v>
      </c>
      <c r="AR94" s="2">
        <f>SUM(J94:J95)</f>
        <v>2.2000000000000002</v>
      </c>
      <c r="AS94" s="2">
        <f>SUM(K94:K95)</f>
        <v>5.5</v>
      </c>
      <c r="AT94" s="7">
        <f>(AR94-2*$A$40)/AO94</f>
        <v>0.39518072289156636</v>
      </c>
      <c r="AU94" s="7">
        <f>(AS94-2*$A$41)/AO94</f>
        <v>0.51566265060240979</v>
      </c>
      <c r="AV94" s="7">
        <f>1-AT94-AU94</f>
        <v>8.9156626506023851E-2</v>
      </c>
      <c r="AW94" s="2">
        <f>SUM(O94:O95)</f>
        <v>91.32</v>
      </c>
      <c r="AX94" s="2">
        <f t="shared" ref="AX94" si="183">SUM(P94:P95)</f>
        <v>89.4</v>
      </c>
      <c r="AY94" s="2">
        <f t="shared" ref="AY94" si="184">SUM(Q94:Q95)</f>
        <v>286.38</v>
      </c>
      <c r="AZ94" s="2">
        <f t="shared" ref="AZ94" si="185">SUM(R94:R95)</f>
        <v>275.77999999999997</v>
      </c>
      <c r="BA94" s="2">
        <f>(AW94-AX94)/AW94*100</f>
        <v>2.1024967148488694</v>
      </c>
      <c r="BB94" s="2">
        <f>(AY94-AZ94)/AY94*100</f>
        <v>3.7013757943990582</v>
      </c>
      <c r="BC94" s="1">
        <f>AP94*AT94</f>
        <v>2017.7165354330712</v>
      </c>
      <c r="BD94" s="1">
        <f>AP94*AU94</f>
        <v>2632.874015748032</v>
      </c>
      <c r="BE94" s="1">
        <f>BC94+BD94</f>
        <v>4650.5905511811034</v>
      </c>
      <c r="BF94" s="1">
        <f>BC94*(1-BA94/100)</f>
        <v>1975.2941115606284</v>
      </c>
      <c r="BG94" s="1">
        <f>BD94*(1-BB94/100)</f>
        <v>2535.421454232112</v>
      </c>
      <c r="BH94" s="1">
        <f>BF94+BG94</f>
        <v>4510.7155657927406</v>
      </c>
      <c r="BI94" s="11" t="str">
        <f>AA94</f>
        <v>0991913463246</v>
      </c>
      <c r="BJ94" s="11">
        <f>AB94</f>
        <v>43803</v>
      </c>
      <c r="BK94" s="1">
        <f>AVERAGE(AC94:AC95)</f>
        <v>49.6</v>
      </c>
      <c r="BL94" s="2">
        <f t="shared" ref="BL94" si="186">AVERAGE(AD94:AD95)</f>
        <v>1.06</v>
      </c>
      <c r="BM94" s="1">
        <f t="shared" ref="BM94" si="187">AVERAGE(AE94:AE95)</f>
        <v>80.2</v>
      </c>
      <c r="BN94" s="1">
        <f t="shared" ref="BN94" si="188">AVERAGE(AF94:AF95)</f>
        <v>26.5</v>
      </c>
      <c r="BO94" s="1">
        <f t="shared" ref="BO94" si="189">AVERAGE(AG94:AG95)</f>
        <v>9.1999999999999993</v>
      </c>
      <c r="BP94" s="1">
        <f t="shared" ref="BP94" si="190">AVERAGE(AH94:AH95)</f>
        <v>10.6</v>
      </c>
    </row>
    <row r="95" spans="1:68" x14ac:dyDescent="0.3">
      <c r="A95">
        <v>46</v>
      </c>
      <c r="B95" s="3" t="s">
        <v>267</v>
      </c>
      <c r="C95" s="3" t="s">
        <v>106</v>
      </c>
      <c r="D95" s="13">
        <v>43769</v>
      </c>
      <c r="E95" s="2">
        <v>2.52</v>
      </c>
      <c r="F95" s="2">
        <v>0.16</v>
      </c>
      <c r="G95" s="2">
        <f t="shared" si="2"/>
        <v>2.36</v>
      </c>
      <c r="H95" s="4">
        <f t="shared" si="3"/>
        <v>5807.0866141732276</v>
      </c>
      <c r="I95" s="10">
        <v>43787</v>
      </c>
      <c r="J95" s="2">
        <v>1.22</v>
      </c>
      <c r="K95" s="2">
        <v>2.88</v>
      </c>
      <c r="L95" s="6">
        <f t="shared" si="4"/>
        <v>0.39830508474576271</v>
      </c>
      <c r="M95" s="6">
        <f t="shared" si="5"/>
        <v>0.50847457627118642</v>
      </c>
      <c r="N95" s="6">
        <f t="shared" si="6"/>
        <v>9.3220338983050821E-2</v>
      </c>
      <c r="O95" s="2">
        <v>39.479999999999997</v>
      </c>
      <c r="P95" s="2">
        <v>38.659999999999997</v>
      </c>
      <c r="Q95" s="2">
        <v>151.91999999999999</v>
      </c>
      <c r="R95" s="2">
        <v>146.37</v>
      </c>
      <c r="S95" s="5">
        <f t="shared" si="7"/>
        <v>2.0770010131712269</v>
      </c>
      <c r="T95" s="5">
        <f t="shared" si="8"/>
        <v>3.6532385466034647</v>
      </c>
      <c r="U95" s="4">
        <f t="shared" si="9"/>
        <v>2312.9921259842517</v>
      </c>
      <c r="V95" s="4">
        <f t="shared" si="10"/>
        <v>2952.7559055118104</v>
      </c>
      <c r="W95" s="4">
        <f t="shared" si="11"/>
        <v>5265.7480314960621</v>
      </c>
      <c r="X95" s="4">
        <f t="shared" si="12"/>
        <v>2264.9512560929879</v>
      </c>
      <c r="Y95" s="4">
        <f t="shared" si="13"/>
        <v>2844.8846885845428</v>
      </c>
      <c r="Z95" s="4">
        <f t="shared" si="14"/>
        <v>5109.8359446775303</v>
      </c>
      <c r="AA95" s="8" t="s">
        <v>187</v>
      </c>
      <c r="AB95" s="10">
        <v>43803</v>
      </c>
      <c r="AC95" s="4">
        <v>49.900000000000006</v>
      </c>
      <c r="AD95" s="5">
        <v>1.05</v>
      </c>
      <c r="AE95" s="4">
        <v>79.2</v>
      </c>
      <c r="AF95" s="4">
        <v>25.2</v>
      </c>
      <c r="AG95" s="4">
        <v>9.6</v>
      </c>
      <c r="AH95" s="4">
        <v>11.5</v>
      </c>
      <c r="AJ95" s="14"/>
      <c r="AK95" s="1"/>
      <c r="AL95" s="1"/>
      <c r="AM95" s="2"/>
      <c r="AN95" s="2"/>
      <c r="AO95" s="2"/>
      <c r="AP95" s="1"/>
      <c r="AQ95" s="2"/>
      <c r="AR95" s="2"/>
      <c r="AS95" s="2"/>
      <c r="AT95" s="7"/>
      <c r="AU95" s="7"/>
      <c r="AV95" s="7"/>
      <c r="AW95" s="2"/>
      <c r="AX95" s="2"/>
      <c r="AY95" s="2"/>
      <c r="AZ95" s="2"/>
      <c r="BA95" s="2"/>
      <c r="BB95" s="2"/>
      <c r="BC95" s="1"/>
      <c r="BD95" s="1"/>
      <c r="BE95" s="1"/>
      <c r="BF95" s="1"/>
      <c r="BG95" s="1"/>
      <c r="BH95" s="1"/>
      <c r="BI95" s="11"/>
      <c r="BJ95" s="1"/>
      <c r="BK95" s="1"/>
      <c r="BL95" s="2"/>
      <c r="BM95" s="1"/>
      <c r="BN95" s="1"/>
      <c r="BO95" s="1"/>
      <c r="BP95" s="1"/>
    </row>
    <row r="96" spans="1:68" x14ac:dyDescent="0.3">
      <c r="A96">
        <v>47</v>
      </c>
      <c r="B96" s="3" t="s">
        <v>268</v>
      </c>
      <c r="C96" s="3" t="s">
        <v>106</v>
      </c>
      <c r="D96" s="13">
        <v>43769</v>
      </c>
      <c r="E96" s="2">
        <v>1.45</v>
      </c>
      <c r="F96" s="2">
        <v>0.16</v>
      </c>
      <c r="G96" s="2">
        <f t="shared" si="2"/>
        <v>1.29</v>
      </c>
      <c r="H96" s="4">
        <f t="shared" si="3"/>
        <v>3174.2125984251966</v>
      </c>
      <c r="I96" s="10">
        <v>43787</v>
      </c>
      <c r="J96" s="2">
        <v>0.8</v>
      </c>
      <c r="K96" s="2">
        <v>2.36</v>
      </c>
      <c r="L96" s="6">
        <f t="shared" si="4"/>
        <v>0.40310077519379844</v>
      </c>
      <c r="M96" s="6">
        <f t="shared" si="5"/>
        <v>0.52713178294573637</v>
      </c>
      <c r="N96" s="6">
        <f t="shared" si="6"/>
        <v>6.9767441860465129E-2</v>
      </c>
      <c r="O96" s="2">
        <v>48.41</v>
      </c>
      <c r="P96" s="2">
        <v>47.35</v>
      </c>
      <c r="Q96" s="2">
        <v>113.63</v>
      </c>
      <c r="R96" s="2">
        <v>109.52</v>
      </c>
      <c r="S96" s="5">
        <f t="shared" si="7"/>
        <v>2.1896302416855926</v>
      </c>
      <c r="T96" s="5">
        <f t="shared" si="8"/>
        <v>3.6170025521429201</v>
      </c>
      <c r="U96" s="4">
        <f t="shared" si="9"/>
        <v>1279.527559055118</v>
      </c>
      <c r="V96" s="4">
        <f t="shared" si="10"/>
        <v>1673.2283464566926</v>
      </c>
      <c r="W96" s="4">
        <f t="shared" si="11"/>
        <v>2952.7559055118109</v>
      </c>
      <c r="X96" s="4">
        <f t="shared" si="12"/>
        <v>1251.5106366713458</v>
      </c>
      <c r="Y96" s="4">
        <f t="shared" si="13"/>
        <v>1612.7076344621753</v>
      </c>
      <c r="Z96" s="4">
        <f t="shared" si="14"/>
        <v>2864.2182711335208</v>
      </c>
      <c r="AA96" s="8" t="s">
        <v>164</v>
      </c>
      <c r="AB96" s="10">
        <v>43803</v>
      </c>
      <c r="AC96" s="4">
        <v>46.1</v>
      </c>
      <c r="AD96" s="5">
        <v>1.04</v>
      </c>
      <c r="AE96" s="4">
        <v>80.2</v>
      </c>
      <c r="AF96" s="4">
        <v>26.3</v>
      </c>
      <c r="AG96" s="4">
        <v>8.6</v>
      </c>
      <c r="AH96" s="4">
        <v>10.7</v>
      </c>
      <c r="AJ96" s="14" t="s">
        <v>213</v>
      </c>
      <c r="AK96" s="1" t="s">
        <v>106</v>
      </c>
      <c r="AL96" s="11">
        <f>D96</f>
        <v>43769</v>
      </c>
      <c r="AM96" s="2">
        <f>SUM(E96:E97)</f>
        <v>3.55</v>
      </c>
      <c r="AN96" s="2">
        <f>SUM(F96:F97)</f>
        <v>0.32</v>
      </c>
      <c r="AO96" s="2">
        <f>AM96-AN96</f>
        <v>3.23</v>
      </c>
      <c r="AP96" s="1">
        <f>AO96/(2*$A$38)*$A$39</f>
        <v>3973.9173228346458</v>
      </c>
      <c r="AQ96" s="11">
        <f>I96</f>
        <v>43787</v>
      </c>
      <c r="AR96" s="2">
        <f>SUM(J96:J97)</f>
        <v>1.8</v>
      </c>
      <c r="AS96" s="2">
        <f>SUM(K96:K97)</f>
        <v>5.0199999999999996</v>
      </c>
      <c r="AT96" s="7">
        <f>(AR96-2*$A$40)/AO96</f>
        <v>0.38390092879256965</v>
      </c>
      <c r="AU96" s="7">
        <f>(AS96-2*$A$41)/AO96</f>
        <v>0.51393188854489158</v>
      </c>
      <c r="AV96" s="7">
        <f>1-AT96-AU96</f>
        <v>0.10216718266253877</v>
      </c>
      <c r="AW96" s="2">
        <f>SUM(O96:O97)</f>
        <v>88.69</v>
      </c>
      <c r="AX96" s="2">
        <f t="shared" ref="AX96" si="191">SUM(P96:P97)</f>
        <v>86.75</v>
      </c>
      <c r="AY96" s="2">
        <f t="shared" ref="AY96" si="192">SUM(Q96:Q97)</f>
        <v>231.57999999999998</v>
      </c>
      <c r="AZ96" s="2">
        <f t="shared" ref="AZ96" si="193">SUM(R96:R97)</f>
        <v>223.08999999999997</v>
      </c>
      <c r="BA96" s="2">
        <f>(AW96-AX96)/AW96*100</f>
        <v>2.187394294734466</v>
      </c>
      <c r="BB96" s="2">
        <f>(AY96-AZ96)/AY96*100</f>
        <v>3.6661196994559155</v>
      </c>
      <c r="BC96" s="1">
        <f>AP96*AT96</f>
        <v>1525.5905511811025</v>
      </c>
      <c r="BD96" s="1">
        <f>AP96*AU96</f>
        <v>2042.3228346456692</v>
      </c>
      <c r="BE96" s="1">
        <f>BC96+BD96</f>
        <v>3567.9133858267714</v>
      </c>
      <c r="BF96" s="1">
        <f>BC96*(1-BA96/100)</f>
        <v>1492.2198705035589</v>
      </c>
      <c r="BG96" s="1">
        <f>BD96*(1-BB96/100)</f>
        <v>1967.4488348782379</v>
      </c>
      <c r="BH96" s="1">
        <f>BF96+BG96</f>
        <v>3459.6687053817968</v>
      </c>
      <c r="BI96" s="11" t="str">
        <f>AA96</f>
        <v>0991913464248</v>
      </c>
      <c r="BJ96" s="11">
        <f>AB96</f>
        <v>43803</v>
      </c>
      <c r="BK96" s="1">
        <f>AVERAGE(AC96:AC97)</f>
        <v>46.3</v>
      </c>
      <c r="BL96" s="2">
        <f t="shared" ref="BL96" si="194">AVERAGE(AD96:AD97)</f>
        <v>1.05</v>
      </c>
      <c r="BM96" s="1">
        <f t="shared" ref="BM96" si="195">AVERAGE(AE96:AE97)</f>
        <v>80.349999999999994</v>
      </c>
      <c r="BN96" s="1">
        <f t="shared" ref="BN96" si="196">AVERAGE(AF96:AF97)</f>
        <v>27</v>
      </c>
      <c r="BO96" s="1">
        <f t="shared" ref="BO96" si="197">AVERAGE(AG96:AG97)</f>
        <v>8.4499999999999993</v>
      </c>
      <c r="BP96" s="1">
        <f t="shared" ref="BP96" si="198">AVERAGE(AH96:AH97)</f>
        <v>10.7</v>
      </c>
    </row>
    <row r="97" spans="1:68" x14ac:dyDescent="0.3">
      <c r="A97">
        <v>48</v>
      </c>
      <c r="B97" s="3" t="s">
        <v>269</v>
      </c>
      <c r="C97" s="3" t="s">
        <v>106</v>
      </c>
      <c r="D97" s="13">
        <v>43769</v>
      </c>
      <c r="E97" s="2">
        <v>2.1</v>
      </c>
      <c r="F97" s="2">
        <v>0.16</v>
      </c>
      <c r="G97" s="2">
        <f t="shared" si="2"/>
        <v>1.9400000000000002</v>
      </c>
      <c r="H97" s="4">
        <f t="shared" si="3"/>
        <v>4773.6220472440946</v>
      </c>
      <c r="I97" s="10">
        <v>43787</v>
      </c>
      <c r="J97" s="2">
        <v>1</v>
      </c>
      <c r="K97" s="2">
        <v>2.66</v>
      </c>
      <c r="L97" s="6">
        <f t="shared" si="4"/>
        <v>0.37113402061855666</v>
      </c>
      <c r="M97" s="6">
        <f t="shared" si="5"/>
        <v>0.50515463917525782</v>
      </c>
      <c r="N97" s="6">
        <f t="shared" si="6"/>
        <v>0.12371134020618546</v>
      </c>
      <c r="O97" s="2">
        <v>40.28</v>
      </c>
      <c r="P97" s="2">
        <v>39.4</v>
      </c>
      <c r="Q97" s="2">
        <v>117.95</v>
      </c>
      <c r="R97" s="2">
        <v>113.57</v>
      </c>
      <c r="S97" s="5">
        <f t="shared" si="7"/>
        <v>2.1847070506454878</v>
      </c>
      <c r="T97" s="5">
        <f t="shared" si="8"/>
        <v>3.7134378974141664</v>
      </c>
      <c r="U97" s="4">
        <f t="shared" si="9"/>
        <v>1771.6535433070865</v>
      </c>
      <c r="V97" s="4">
        <f t="shared" si="10"/>
        <v>2411.4173228346463</v>
      </c>
      <c r="W97" s="4">
        <f t="shared" si="11"/>
        <v>4183.0708661417329</v>
      </c>
      <c r="X97" s="4">
        <f t="shared" si="12"/>
        <v>1732.948103433446</v>
      </c>
      <c r="Y97" s="4">
        <f t="shared" si="13"/>
        <v>2321.8708381036945</v>
      </c>
      <c r="Z97" s="4">
        <f t="shared" si="14"/>
        <v>4054.8189415371407</v>
      </c>
      <c r="AA97" s="8" t="s">
        <v>188</v>
      </c>
      <c r="AB97" s="10">
        <v>43803</v>
      </c>
      <c r="AC97" s="4">
        <v>46.5</v>
      </c>
      <c r="AD97" s="5">
        <v>1.06</v>
      </c>
      <c r="AE97" s="4">
        <v>80.5</v>
      </c>
      <c r="AF97" s="4">
        <v>27.7</v>
      </c>
      <c r="AG97" s="4">
        <v>8.3000000000000007</v>
      </c>
      <c r="AH97" s="4">
        <v>10.7</v>
      </c>
      <c r="AJ97" s="14"/>
      <c r="AK97" s="1"/>
      <c r="AL97" s="1"/>
      <c r="AM97" s="1"/>
      <c r="AN97" s="1"/>
      <c r="AO97" s="2"/>
      <c r="AP97" s="2"/>
      <c r="AQ97" s="2"/>
      <c r="AR97" s="2"/>
      <c r="AS97" s="2"/>
      <c r="AT97" s="1"/>
      <c r="AU97" s="1"/>
      <c r="AV97" s="2"/>
      <c r="AW97" s="2"/>
      <c r="AX97" s="2"/>
      <c r="AY97" s="7"/>
      <c r="AZ97" s="7"/>
      <c r="BA97" s="7"/>
      <c r="BB97" s="1"/>
      <c r="BC97" s="1"/>
      <c r="BD97" s="1"/>
      <c r="BE97" s="1"/>
      <c r="BF97" s="1"/>
      <c r="BG97" s="1"/>
      <c r="BI97" s="11"/>
      <c r="BJ97" s="1"/>
      <c r="BK97" s="9"/>
      <c r="BL97" s="1"/>
      <c r="BM97" s="1"/>
      <c r="BN97" s="1"/>
      <c r="BO97" s="1"/>
      <c r="BP97" s="1"/>
    </row>
    <row r="98" spans="1:68" x14ac:dyDescent="0.3">
      <c r="I98" s="1"/>
      <c r="R98" s="1"/>
      <c r="S98" s="1"/>
      <c r="T98" s="1"/>
      <c r="AD98" s="1"/>
      <c r="AE98" s="1"/>
      <c r="AF98" s="1"/>
      <c r="AG98" s="1"/>
      <c r="AH98" s="1"/>
      <c r="AI98" s="1"/>
      <c r="AJ98" s="1"/>
      <c r="AK98" s="1"/>
    </row>
    <row r="99" spans="1:68" x14ac:dyDescent="0.3">
      <c r="I99" s="1"/>
      <c r="R99" s="1"/>
      <c r="S99" s="1"/>
      <c r="T99" s="1"/>
      <c r="AD99" s="1"/>
      <c r="AE99" s="1"/>
      <c r="AF99" s="1"/>
      <c r="AG99" s="1"/>
      <c r="AH99" s="1"/>
      <c r="AI99" s="1"/>
      <c r="AJ99" s="1"/>
      <c r="AK99" s="1"/>
    </row>
    <row r="100" spans="1:68" x14ac:dyDescent="0.3">
      <c r="I100" s="1"/>
      <c r="R100" s="1"/>
      <c r="S100" s="1"/>
      <c r="T100" s="1"/>
      <c r="AD100" s="1"/>
      <c r="AE100" s="1"/>
      <c r="AF100" s="1"/>
      <c r="AG100" s="1"/>
      <c r="AH100" s="1"/>
      <c r="AI100" s="1"/>
      <c r="AJ100" s="1"/>
      <c r="AK100" s="1"/>
    </row>
    <row r="101" spans="1:68" x14ac:dyDescent="0.3">
      <c r="I101" s="1"/>
      <c r="R101" s="1"/>
      <c r="S101" s="1"/>
      <c r="T101" s="1"/>
      <c r="AD101" s="1"/>
      <c r="AE101" s="1"/>
      <c r="AF101" s="1"/>
      <c r="AG101" s="1"/>
      <c r="AH101" s="1"/>
      <c r="AI101" s="1"/>
      <c r="AJ101" s="1"/>
      <c r="AK101" s="1"/>
    </row>
    <row r="102" spans="1:68" x14ac:dyDescent="0.3">
      <c r="I102" s="1"/>
      <c r="R102" s="1"/>
      <c r="S102" s="1"/>
      <c r="T102" s="1"/>
      <c r="AD102" s="1"/>
      <c r="AE102" s="1"/>
      <c r="AF102" s="1"/>
      <c r="AG102" s="1"/>
      <c r="AH102" s="1"/>
      <c r="AI102" s="1"/>
      <c r="AJ102" s="1"/>
      <c r="AK102" s="1"/>
    </row>
    <row r="103" spans="1:68" x14ac:dyDescent="0.3">
      <c r="I103" s="1"/>
      <c r="R103" s="1"/>
      <c r="S103" s="1"/>
      <c r="T103" s="1"/>
      <c r="AD103" s="1"/>
      <c r="AE103" s="1"/>
      <c r="AF103" s="1"/>
      <c r="AG103" s="1"/>
      <c r="AH103" s="1"/>
      <c r="AI103" s="1"/>
      <c r="AJ103" s="1"/>
      <c r="AK103" s="1"/>
    </row>
    <row r="104" spans="1:68" x14ac:dyDescent="0.3">
      <c r="I104" s="1"/>
      <c r="R104" s="1"/>
      <c r="S104" s="1"/>
      <c r="T104" s="1"/>
      <c r="AD104" s="1"/>
      <c r="AE104" s="1"/>
      <c r="AF104" s="1"/>
      <c r="AG104" s="1"/>
      <c r="AH104" s="1"/>
      <c r="AI104" s="1"/>
      <c r="AJ104" s="1"/>
      <c r="AK104" s="1"/>
    </row>
    <row r="105" spans="1:68" x14ac:dyDescent="0.3">
      <c r="I105" s="1"/>
      <c r="R105" s="1"/>
      <c r="S105" s="1"/>
      <c r="T105" s="1"/>
      <c r="AD105" s="1"/>
      <c r="AE105" s="1"/>
      <c r="AF105" s="1"/>
      <c r="AG105" s="1"/>
      <c r="AH105" s="1"/>
      <c r="AI105" s="1"/>
      <c r="AJ105" s="1"/>
      <c r="AK105" s="1"/>
    </row>
    <row r="106" spans="1:68" x14ac:dyDescent="0.3">
      <c r="I106" s="1"/>
      <c r="R106" s="1"/>
      <c r="S106" s="1"/>
      <c r="T106" s="1"/>
      <c r="AD106" s="1"/>
      <c r="AE106" s="1"/>
      <c r="AF106" s="1"/>
      <c r="AG106" s="1"/>
      <c r="AH106" s="1"/>
      <c r="AI106" s="1"/>
      <c r="AJ106" s="1"/>
      <c r="AK106" s="1"/>
    </row>
    <row r="107" spans="1:68" x14ac:dyDescent="0.3">
      <c r="I107" s="1"/>
      <c r="R107" s="1"/>
      <c r="S107" s="1"/>
      <c r="T107" s="1"/>
      <c r="AD107" s="1"/>
      <c r="AE107" s="1"/>
      <c r="AF107" s="1"/>
      <c r="AG107" s="1"/>
      <c r="AH107" s="1"/>
      <c r="AI107" s="1"/>
      <c r="AJ107" s="1"/>
      <c r="AK107" s="1"/>
    </row>
    <row r="108" spans="1:68" x14ac:dyDescent="0.3">
      <c r="I108" s="1"/>
      <c r="R108" s="1"/>
      <c r="S108" s="1"/>
      <c r="T108" s="1"/>
      <c r="AD108" s="1"/>
      <c r="AE108" s="1"/>
      <c r="AF108" s="1"/>
      <c r="AG108" s="1"/>
      <c r="AH108" s="1"/>
      <c r="AI108" s="1"/>
      <c r="AJ108" s="1"/>
      <c r="AK108" s="1"/>
    </row>
    <row r="109" spans="1:68" x14ac:dyDescent="0.3">
      <c r="I109" s="1"/>
      <c r="R109" s="1"/>
      <c r="S109" s="1"/>
      <c r="T109" s="1"/>
      <c r="AD109" s="1"/>
      <c r="AE109" s="1"/>
      <c r="AF109" s="1"/>
      <c r="AG109" s="1"/>
      <c r="AH109" s="1"/>
      <c r="AI109" s="1"/>
      <c r="AJ109" s="1"/>
      <c r="AK109" s="1"/>
    </row>
    <row r="110" spans="1:68" x14ac:dyDescent="0.3">
      <c r="I110" s="1"/>
      <c r="R110" s="1"/>
      <c r="S110" s="1"/>
      <c r="T110" s="1"/>
      <c r="AD110" s="1"/>
      <c r="AE110" s="1"/>
      <c r="AF110" s="1"/>
      <c r="AG110" s="1"/>
      <c r="AH110" s="1"/>
      <c r="AI110" s="1"/>
      <c r="AJ110" s="1"/>
      <c r="AK110" s="1"/>
    </row>
    <row r="111" spans="1:68" x14ac:dyDescent="0.3">
      <c r="I111" s="1"/>
      <c r="R111" s="1"/>
      <c r="S111" s="1"/>
      <c r="T111" s="1"/>
      <c r="AD111" s="1"/>
      <c r="AE111" s="1"/>
      <c r="AF111" s="1"/>
      <c r="AG111" s="1"/>
      <c r="AH111" s="1"/>
      <c r="AI111" s="1"/>
      <c r="AJ111" s="1"/>
      <c r="AK111" s="1"/>
    </row>
    <row r="112" spans="1:68" x14ac:dyDescent="0.3">
      <c r="I112" s="1"/>
      <c r="R112" s="1"/>
      <c r="S112" s="1"/>
      <c r="T112" s="1"/>
      <c r="AD112" s="1"/>
      <c r="AE112" s="1"/>
      <c r="AF112" s="1"/>
      <c r="AG112" s="1"/>
      <c r="AH112" s="1"/>
      <c r="AI112" s="1"/>
      <c r="AJ112" s="1"/>
      <c r="AK112" s="1"/>
    </row>
    <row r="113" spans="9:37" x14ac:dyDescent="0.3">
      <c r="I113" s="1"/>
      <c r="R113" s="1"/>
      <c r="S113" s="1"/>
      <c r="T113" s="1"/>
      <c r="AD113" s="1"/>
      <c r="AE113" s="1"/>
      <c r="AF113" s="1"/>
      <c r="AG113" s="1"/>
      <c r="AH113" s="1"/>
      <c r="AI113" s="1"/>
      <c r="AJ113" s="1"/>
      <c r="AK113" s="1"/>
    </row>
    <row r="114" spans="9:37" x14ac:dyDescent="0.3">
      <c r="I114" s="1"/>
      <c r="R114" s="1"/>
      <c r="S114" s="1"/>
      <c r="T114" s="1"/>
      <c r="AD114" s="1"/>
      <c r="AE114" s="1"/>
      <c r="AF114" s="1"/>
      <c r="AG114" s="1"/>
      <c r="AH114" s="1"/>
      <c r="AI114" s="1"/>
      <c r="AJ114" s="1"/>
      <c r="AK114" s="1"/>
    </row>
    <row r="115" spans="9:37" x14ac:dyDescent="0.3">
      <c r="I115" s="1"/>
      <c r="R115" s="1"/>
      <c r="S115" s="1"/>
      <c r="T115" s="1"/>
      <c r="AD115" s="1"/>
      <c r="AE115" s="1"/>
      <c r="AF115" s="1"/>
      <c r="AG115" s="1"/>
      <c r="AH115" s="1"/>
      <c r="AI115" s="1"/>
      <c r="AJ115" s="1"/>
      <c r="AK115" s="1"/>
    </row>
    <row r="116" spans="9:37" x14ac:dyDescent="0.3">
      <c r="I116" s="1"/>
      <c r="R116" s="1"/>
      <c r="S116" s="1"/>
      <c r="T116" s="1"/>
      <c r="AD116" s="1"/>
      <c r="AE116" s="1"/>
      <c r="AF116" s="1"/>
      <c r="AG116" s="1"/>
      <c r="AH116" s="1"/>
      <c r="AI116" s="1"/>
      <c r="AJ116" s="1"/>
      <c r="AK116" s="1"/>
    </row>
    <row r="117" spans="9:37" x14ac:dyDescent="0.3">
      <c r="I117" s="1"/>
      <c r="R117" s="1"/>
      <c r="S117" s="1"/>
      <c r="T117" s="1"/>
      <c r="AD117" s="1"/>
      <c r="AE117" s="1"/>
      <c r="AF117" s="1"/>
      <c r="AG117" s="1"/>
      <c r="AH117" s="1"/>
      <c r="AI117" s="1"/>
      <c r="AJ117" s="1"/>
      <c r="AK117" s="1"/>
    </row>
    <row r="118" spans="9:37" x14ac:dyDescent="0.3">
      <c r="I118" s="1"/>
      <c r="R118" s="1"/>
      <c r="S118" s="1"/>
      <c r="T118" s="1"/>
      <c r="AD118" s="1"/>
      <c r="AE118" s="1"/>
      <c r="AF118" s="1"/>
      <c r="AG118" s="1"/>
      <c r="AH118" s="1"/>
      <c r="AI118" s="1"/>
      <c r="AJ118" s="1"/>
      <c r="AK118" s="1"/>
    </row>
    <row r="119" spans="9:37" x14ac:dyDescent="0.3">
      <c r="I119" s="1"/>
      <c r="R119" s="1"/>
      <c r="S119" s="1"/>
      <c r="T119" s="1"/>
      <c r="AD119" s="1"/>
      <c r="AE119" s="1"/>
      <c r="AF119" s="1"/>
      <c r="AG119" s="1"/>
      <c r="AH119" s="1"/>
      <c r="AI119" s="1"/>
      <c r="AJ119" s="1"/>
      <c r="AK119" s="1"/>
    </row>
    <row r="120" spans="9:37" x14ac:dyDescent="0.3">
      <c r="I120" s="1"/>
      <c r="R120" s="1"/>
      <c r="S120" s="1"/>
      <c r="T120" s="1"/>
      <c r="AD120" s="1"/>
      <c r="AE120" s="1"/>
      <c r="AF120" s="1"/>
      <c r="AG120" s="1"/>
      <c r="AH120" s="1"/>
      <c r="AI120" s="1"/>
      <c r="AJ120" s="1"/>
      <c r="AK120" s="1"/>
    </row>
    <row r="121" spans="9:37" x14ac:dyDescent="0.3">
      <c r="I121" s="1"/>
      <c r="R121" s="1"/>
      <c r="S121" s="1"/>
      <c r="T121" s="1"/>
      <c r="AD121" s="1"/>
      <c r="AE121" s="1"/>
      <c r="AF121" s="1"/>
      <c r="AG121" s="1"/>
      <c r="AH121" s="1"/>
      <c r="AI121" s="1"/>
      <c r="AJ121" s="1"/>
      <c r="AK121" s="1"/>
    </row>
    <row r="122" spans="9:37" x14ac:dyDescent="0.3">
      <c r="I122" s="1"/>
      <c r="R122" s="1"/>
      <c r="S122" s="1"/>
      <c r="T122" s="1"/>
      <c r="AD122" s="1"/>
      <c r="AE122" s="1"/>
      <c r="AF122" s="1"/>
      <c r="AG122" s="1"/>
      <c r="AH122" s="1"/>
      <c r="AI122" s="1"/>
      <c r="AJ122" s="1"/>
      <c r="AK122" s="1"/>
    </row>
    <row r="123" spans="9:37" x14ac:dyDescent="0.3">
      <c r="I123" s="1"/>
      <c r="R123" s="1"/>
      <c r="S123" s="1"/>
      <c r="T123" s="1"/>
      <c r="AD123" s="1"/>
      <c r="AE123" s="1"/>
      <c r="AF123" s="1"/>
      <c r="AG123" s="1"/>
      <c r="AH123" s="1"/>
      <c r="AI123" s="1"/>
      <c r="AJ123" s="1"/>
      <c r="AK123" s="1"/>
    </row>
    <row r="124" spans="9:37" x14ac:dyDescent="0.3">
      <c r="I124" s="1"/>
      <c r="R124" s="1"/>
      <c r="S124" s="1"/>
      <c r="T124" s="1"/>
      <c r="AD124" s="1"/>
      <c r="AE124" s="1"/>
      <c r="AF124" s="1"/>
      <c r="AG124" s="1"/>
      <c r="AH124" s="1"/>
      <c r="AI124" s="1"/>
      <c r="AJ124" s="1"/>
      <c r="AK124" s="1"/>
    </row>
    <row r="125" spans="9:37" x14ac:dyDescent="0.3">
      <c r="I125" s="1"/>
      <c r="R125" s="1"/>
      <c r="S125" s="1"/>
      <c r="T125" s="1"/>
      <c r="AD125" s="1"/>
      <c r="AE125" s="1"/>
      <c r="AF125" s="1"/>
      <c r="AG125" s="1"/>
      <c r="AH125" s="1"/>
      <c r="AI125" s="1"/>
      <c r="AJ125" s="1"/>
      <c r="AK125" s="1"/>
    </row>
    <row r="126" spans="9:37" x14ac:dyDescent="0.3">
      <c r="I126" s="1"/>
      <c r="R126" s="1"/>
      <c r="S126" s="1"/>
      <c r="T126" s="1"/>
      <c r="AD126" s="1"/>
      <c r="AE126" s="1"/>
      <c r="AF126" s="1"/>
      <c r="AG126" s="1"/>
      <c r="AH126" s="1"/>
      <c r="AI126" s="1"/>
      <c r="AJ126" s="1"/>
      <c r="AK126" s="1"/>
    </row>
    <row r="127" spans="9:37" x14ac:dyDescent="0.3">
      <c r="I127" s="1"/>
      <c r="R127" s="1"/>
      <c r="S127" s="1"/>
      <c r="T127" s="1"/>
      <c r="AD127" s="1"/>
      <c r="AE127" s="1"/>
      <c r="AF127" s="1"/>
      <c r="AG127" s="1"/>
      <c r="AH127" s="1"/>
      <c r="AI127" s="1"/>
      <c r="AJ127" s="1"/>
      <c r="AK127" s="1"/>
    </row>
    <row r="128" spans="9:37" x14ac:dyDescent="0.3">
      <c r="I128" s="1"/>
      <c r="R128" s="1"/>
      <c r="S128" s="1"/>
      <c r="T128" s="1"/>
      <c r="AD128" s="1"/>
      <c r="AE128" s="1"/>
      <c r="AF128" s="1"/>
      <c r="AG128" s="1"/>
      <c r="AH128" s="1"/>
      <c r="AI128" s="1"/>
      <c r="AJ128" s="1"/>
      <c r="AK128" s="1"/>
    </row>
    <row r="129" spans="9:37" x14ac:dyDescent="0.3">
      <c r="I129" s="1"/>
      <c r="R129" s="1"/>
      <c r="S129" s="1"/>
      <c r="T129" s="1"/>
      <c r="AD129" s="1"/>
      <c r="AE129" s="1"/>
      <c r="AF129" s="1"/>
      <c r="AG129" s="1"/>
      <c r="AH129" s="1"/>
      <c r="AI129" s="1"/>
      <c r="AJ129" s="1"/>
      <c r="AK129" s="1"/>
    </row>
    <row r="130" spans="9:37" x14ac:dyDescent="0.3">
      <c r="I130" s="1"/>
      <c r="R130" s="1"/>
      <c r="S130" s="1"/>
      <c r="T130" s="1"/>
      <c r="AD130" s="1"/>
      <c r="AE130" s="1"/>
      <c r="AF130" s="1"/>
      <c r="AG130" s="1"/>
      <c r="AH130" s="1"/>
      <c r="AI130" s="1"/>
      <c r="AJ130" s="1"/>
      <c r="AK130" s="1"/>
    </row>
    <row r="131" spans="9:37" x14ac:dyDescent="0.3">
      <c r="I131" s="1"/>
      <c r="R131" s="1"/>
      <c r="S131" s="1"/>
      <c r="T131" s="1"/>
      <c r="AD131" s="1"/>
      <c r="AE131" s="1"/>
      <c r="AF131" s="1"/>
      <c r="AG131" s="1"/>
      <c r="AH131" s="1"/>
      <c r="AI131" s="1"/>
      <c r="AJ131" s="1"/>
      <c r="AK131" s="1"/>
    </row>
    <row r="132" spans="9:37" x14ac:dyDescent="0.3">
      <c r="I132" s="1"/>
      <c r="R132" s="1"/>
      <c r="S132" s="1"/>
      <c r="T132" s="1"/>
      <c r="AD132" s="1"/>
      <c r="AE132" s="1"/>
      <c r="AF132" s="1"/>
      <c r="AG132" s="1"/>
      <c r="AH132" s="1"/>
      <c r="AI132" s="1"/>
      <c r="AJ132" s="1"/>
      <c r="AK132" s="1"/>
    </row>
    <row r="133" spans="9:37" x14ac:dyDescent="0.3">
      <c r="I133" s="1"/>
      <c r="R133" s="1"/>
      <c r="S133" s="1"/>
      <c r="T133" s="1"/>
      <c r="AD133" s="1"/>
      <c r="AE133" s="1"/>
      <c r="AF133" s="1"/>
      <c r="AG133" s="1"/>
      <c r="AH133" s="1"/>
      <c r="AI133" s="1"/>
      <c r="AJ133" s="1"/>
      <c r="AK133" s="1"/>
    </row>
    <row r="134" spans="9:37" x14ac:dyDescent="0.3">
      <c r="I134" s="1"/>
      <c r="R134" s="1"/>
      <c r="S134" s="1"/>
      <c r="T134" s="1"/>
      <c r="AD134" s="1"/>
      <c r="AE134" s="1"/>
      <c r="AF134" s="1"/>
      <c r="AG134" s="1"/>
      <c r="AH134" s="1"/>
      <c r="AI134" s="1"/>
      <c r="AJ134" s="1"/>
      <c r="AK134" s="1"/>
    </row>
    <row r="135" spans="9:37" x14ac:dyDescent="0.3">
      <c r="I135" s="1"/>
      <c r="R135" s="1"/>
      <c r="S135" s="1"/>
      <c r="T135" s="1"/>
      <c r="AD135" s="1"/>
      <c r="AE135" s="1"/>
      <c r="AF135" s="1"/>
      <c r="AG135" s="1"/>
      <c r="AH135" s="1"/>
      <c r="AI135" s="1"/>
      <c r="AJ135" s="1"/>
      <c r="AK135" s="1"/>
    </row>
    <row r="136" spans="9:37" x14ac:dyDescent="0.3">
      <c r="I136" s="1"/>
      <c r="R136" s="1"/>
      <c r="S136" s="1"/>
      <c r="T136" s="1"/>
      <c r="AD136" s="1"/>
      <c r="AE136" s="1"/>
      <c r="AF136" s="1"/>
      <c r="AG136" s="1"/>
      <c r="AH136" s="1"/>
      <c r="AI136" s="1"/>
      <c r="AJ136" s="1"/>
      <c r="AK136" s="1"/>
    </row>
    <row r="137" spans="9:37" x14ac:dyDescent="0.3">
      <c r="I137" s="1"/>
      <c r="R137" s="1"/>
      <c r="S137" s="1"/>
      <c r="T137" s="1"/>
      <c r="AD137" s="1"/>
      <c r="AE137" s="1"/>
      <c r="AF137" s="1"/>
      <c r="AG137" s="1"/>
      <c r="AH137" s="1"/>
      <c r="AI137" s="1"/>
      <c r="AJ137" s="1"/>
      <c r="AK137" s="1"/>
    </row>
    <row r="138" spans="9:37" x14ac:dyDescent="0.3">
      <c r="I138" s="1"/>
      <c r="R138" s="1"/>
      <c r="S138" s="1"/>
      <c r="T138" s="1"/>
      <c r="AD138" s="1"/>
      <c r="AE138" s="1"/>
      <c r="AF138" s="1"/>
      <c r="AG138" s="1"/>
      <c r="AH138" s="1"/>
      <c r="AI138" s="1"/>
      <c r="AJ138" s="1"/>
      <c r="AK138" s="1"/>
    </row>
    <row r="139" spans="9:37" x14ac:dyDescent="0.3">
      <c r="I139" s="1"/>
      <c r="R139" s="1"/>
      <c r="S139" s="1"/>
      <c r="T139" s="1"/>
      <c r="AD139" s="1"/>
      <c r="AE139" s="1"/>
      <c r="AF139" s="1"/>
      <c r="AG139" s="1"/>
      <c r="AH139" s="1"/>
      <c r="AI139" s="1"/>
      <c r="AJ139" s="1"/>
      <c r="AK139" s="1"/>
    </row>
    <row r="140" spans="9:37" x14ac:dyDescent="0.3">
      <c r="I140" s="1"/>
      <c r="R140" s="1"/>
      <c r="S140" s="1"/>
      <c r="T140" s="1"/>
      <c r="AD140" s="1"/>
      <c r="AE140" s="1"/>
      <c r="AF140" s="1"/>
      <c r="AG140" s="1"/>
      <c r="AH140" s="1"/>
      <c r="AI140" s="1"/>
      <c r="AJ140" s="1"/>
      <c r="AK140" s="1"/>
    </row>
    <row r="141" spans="9:37" x14ac:dyDescent="0.3">
      <c r="I141" s="1"/>
      <c r="R141" s="1"/>
      <c r="S141" s="1"/>
      <c r="T141" s="1"/>
      <c r="AD141" s="1"/>
      <c r="AE141" s="1"/>
      <c r="AF141" s="1"/>
      <c r="AG141" s="1"/>
      <c r="AH141" s="1"/>
      <c r="AI141" s="1"/>
      <c r="AJ141" s="1"/>
      <c r="AK141" s="1"/>
    </row>
    <row r="142" spans="9:37" x14ac:dyDescent="0.3">
      <c r="I142" s="1"/>
      <c r="R142" s="1"/>
      <c r="S142" s="1"/>
      <c r="T142" s="1"/>
      <c r="AD142" s="1"/>
      <c r="AE142" s="1"/>
      <c r="AF142" s="1"/>
      <c r="AG142" s="1"/>
      <c r="AH142" s="1"/>
      <c r="AI142" s="1"/>
      <c r="AJ142" s="1"/>
      <c r="AK142" s="1"/>
    </row>
    <row r="143" spans="9:37" x14ac:dyDescent="0.3">
      <c r="I143" s="1"/>
      <c r="R143" s="1"/>
      <c r="S143" s="1"/>
      <c r="T143" s="1"/>
      <c r="AD143" s="1"/>
      <c r="AE143" s="1"/>
      <c r="AF143" s="1"/>
      <c r="AG143" s="1"/>
      <c r="AH143" s="1"/>
      <c r="AI143" s="1"/>
      <c r="AJ143" s="1"/>
      <c r="AK143" s="1"/>
    </row>
    <row r="144" spans="9:37" x14ac:dyDescent="0.3">
      <c r="I144" s="1"/>
      <c r="R144" s="1"/>
      <c r="S144" s="1"/>
      <c r="T144" s="1"/>
      <c r="AD144" s="1"/>
      <c r="AE144" s="1"/>
      <c r="AF144" s="1"/>
      <c r="AG144" s="1"/>
      <c r="AH144" s="1"/>
      <c r="AI144" s="1"/>
      <c r="AJ144" s="1"/>
      <c r="AK144" s="1"/>
    </row>
    <row r="145" spans="9:37" x14ac:dyDescent="0.3">
      <c r="I145" s="1"/>
      <c r="R145" s="1"/>
      <c r="S145" s="1"/>
      <c r="T145" s="1"/>
      <c r="AD145" s="1"/>
      <c r="AE145" s="1"/>
      <c r="AF145" s="1"/>
      <c r="AG145" s="1"/>
      <c r="AH145" s="1"/>
      <c r="AI145" s="1"/>
      <c r="AJ145" s="1"/>
      <c r="AK145" s="1"/>
    </row>
    <row r="146" spans="9:37" x14ac:dyDescent="0.3">
      <c r="I146" s="1"/>
      <c r="R146" s="1"/>
      <c r="S146" s="1"/>
      <c r="T146" s="1"/>
      <c r="AD146" s="1"/>
      <c r="AE146" s="1"/>
      <c r="AF146" s="1"/>
      <c r="AG146" s="1"/>
      <c r="AH146" s="1"/>
      <c r="AI146" s="1"/>
      <c r="AJ146" s="1"/>
      <c r="AK146" s="1"/>
    </row>
    <row r="147" spans="9:37" x14ac:dyDescent="0.3">
      <c r="I147" s="1"/>
      <c r="R147" s="1"/>
      <c r="S147" s="1"/>
      <c r="T147" s="1"/>
      <c r="AD147" s="1"/>
      <c r="AE147" s="1"/>
      <c r="AF147" s="1"/>
      <c r="AG147" s="1"/>
      <c r="AH147" s="1"/>
      <c r="AI147" s="1"/>
      <c r="AJ147" s="1"/>
      <c r="AK147" s="1"/>
    </row>
    <row r="148" spans="9:37" x14ac:dyDescent="0.3">
      <c r="I148" s="1"/>
      <c r="R148" s="1"/>
      <c r="S148" s="1"/>
      <c r="T148" s="1"/>
      <c r="AD148" s="1"/>
      <c r="AE148" s="1"/>
      <c r="AF148" s="1"/>
      <c r="AG148" s="1"/>
      <c r="AH148" s="1"/>
      <c r="AI148" s="1"/>
      <c r="AJ148" s="1"/>
      <c r="AK148" s="1"/>
    </row>
    <row r="149" spans="9:37" x14ac:dyDescent="0.3">
      <c r="I149" s="1"/>
      <c r="R149" s="1"/>
      <c r="S149" s="1"/>
      <c r="T149" s="1"/>
      <c r="AD149" s="1"/>
      <c r="AE149" s="1"/>
      <c r="AF149" s="1"/>
      <c r="AG149" s="1"/>
      <c r="AH149" s="1"/>
      <c r="AI149" s="1"/>
      <c r="AJ149" s="1"/>
      <c r="AK149" s="1"/>
    </row>
    <row r="150" spans="9:37" x14ac:dyDescent="0.3">
      <c r="I150" s="1"/>
      <c r="R150" s="1"/>
      <c r="S150" s="1"/>
      <c r="T150" s="1"/>
      <c r="AD150" s="1"/>
      <c r="AE150" s="1"/>
      <c r="AF150" s="1"/>
      <c r="AG150" s="1"/>
      <c r="AH150" s="1"/>
      <c r="AI150" s="1"/>
      <c r="AJ150" s="1"/>
      <c r="AK150" s="1"/>
    </row>
    <row r="151" spans="9:37" x14ac:dyDescent="0.3">
      <c r="I151" s="1"/>
      <c r="R151" s="1"/>
      <c r="S151" s="1"/>
      <c r="T151" s="1"/>
      <c r="AD151" s="1"/>
      <c r="AE151" s="1"/>
      <c r="AF151" s="1"/>
      <c r="AG151" s="1"/>
      <c r="AH151" s="1"/>
      <c r="AI151" s="1"/>
      <c r="AJ151" s="1"/>
      <c r="AK151" s="1"/>
    </row>
    <row r="152" spans="9:37" x14ac:dyDescent="0.3">
      <c r="I152" s="1"/>
      <c r="R152" s="1"/>
      <c r="S152" s="1"/>
      <c r="T152" s="1"/>
      <c r="AD152" s="1"/>
      <c r="AE152" s="1"/>
      <c r="AF152" s="1"/>
      <c r="AG152" s="1"/>
      <c r="AH152" s="1"/>
      <c r="AI152" s="1"/>
      <c r="AJ152" s="1"/>
      <c r="AK152" s="1"/>
    </row>
    <row r="153" spans="9:37" x14ac:dyDescent="0.3">
      <c r="I153" s="1"/>
      <c r="R153" s="1"/>
      <c r="S153" s="1"/>
      <c r="T153" s="1"/>
      <c r="AD153" s="1"/>
      <c r="AE153" s="1"/>
      <c r="AF153" s="1"/>
      <c r="AG153" s="1"/>
      <c r="AH153" s="1"/>
      <c r="AI153" s="1"/>
      <c r="AJ153" s="1"/>
      <c r="AK153" s="1"/>
    </row>
    <row r="154" spans="9:37" x14ac:dyDescent="0.3">
      <c r="I154" s="1"/>
      <c r="R154" s="1"/>
      <c r="S154" s="1"/>
      <c r="T154" s="1"/>
      <c r="AD154" s="1"/>
      <c r="AE154" s="1"/>
      <c r="AF154" s="1"/>
      <c r="AG154" s="1"/>
      <c r="AH154" s="1"/>
      <c r="AI154" s="1"/>
      <c r="AJ154" s="1"/>
      <c r="AK154" s="1"/>
    </row>
    <row r="155" spans="9:37" x14ac:dyDescent="0.3">
      <c r="I155" s="1"/>
      <c r="R155" s="1"/>
      <c r="S155" s="1"/>
      <c r="T155" s="1"/>
      <c r="AD155" s="1"/>
      <c r="AE155" s="1"/>
      <c r="AF155" s="1"/>
      <c r="AG155" s="1"/>
      <c r="AH155" s="1"/>
      <c r="AI155" s="1"/>
      <c r="AJ155" s="1"/>
      <c r="AK155" s="1"/>
    </row>
    <row r="156" spans="9:37" x14ac:dyDescent="0.3">
      <c r="I156" s="1"/>
      <c r="R156" s="1"/>
      <c r="S156" s="1"/>
      <c r="T156" s="1"/>
      <c r="AD156" s="1"/>
      <c r="AE156" s="1"/>
      <c r="AF156" s="1"/>
      <c r="AG156" s="1"/>
      <c r="AH156" s="1"/>
      <c r="AI156" s="1"/>
      <c r="AJ156" s="1"/>
      <c r="AK156" s="1"/>
    </row>
    <row r="157" spans="9:37" x14ac:dyDescent="0.3">
      <c r="I157" s="1"/>
      <c r="R157" s="1"/>
      <c r="S157" s="1"/>
      <c r="T157" s="1"/>
      <c r="AD157" s="1"/>
      <c r="AE157" s="1"/>
      <c r="AF157" s="1"/>
      <c r="AG157" s="1"/>
      <c r="AH157" s="1"/>
      <c r="AI157" s="1"/>
      <c r="AJ157" s="1"/>
      <c r="AK157" s="1"/>
    </row>
    <row r="158" spans="9:37" x14ac:dyDescent="0.3">
      <c r="I158" s="1"/>
      <c r="R158" s="1"/>
      <c r="S158" s="1"/>
      <c r="T158" s="1"/>
      <c r="AD158" s="1"/>
      <c r="AE158" s="1"/>
      <c r="AF158" s="1"/>
      <c r="AG158" s="1"/>
      <c r="AH158" s="1"/>
      <c r="AI158" s="1"/>
      <c r="AJ158" s="1"/>
      <c r="AK158" s="1"/>
    </row>
    <row r="159" spans="9:37" x14ac:dyDescent="0.3">
      <c r="I159" s="1"/>
      <c r="R159" s="1"/>
      <c r="S159" s="1"/>
      <c r="T159" s="1"/>
      <c r="AD159" s="1"/>
      <c r="AE159" s="1"/>
      <c r="AF159" s="1"/>
      <c r="AG159" s="1"/>
      <c r="AH159" s="1"/>
      <c r="AI159" s="1"/>
      <c r="AJ159" s="1"/>
      <c r="AK159" s="1"/>
    </row>
    <row r="160" spans="9:37" x14ac:dyDescent="0.3">
      <c r="I160" s="1"/>
      <c r="R160" s="1"/>
      <c r="S160" s="1"/>
      <c r="T160" s="1"/>
      <c r="AD160" s="1"/>
      <c r="AE160" s="1"/>
      <c r="AF160" s="1"/>
      <c r="AG160" s="1"/>
      <c r="AH160" s="1"/>
      <c r="AI160" s="1"/>
      <c r="AJ160" s="1"/>
      <c r="AK160" s="1"/>
    </row>
    <row r="161" spans="9:37" x14ac:dyDescent="0.3">
      <c r="I161" s="1"/>
      <c r="R161" s="1"/>
      <c r="S161" s="1"/>
      <c r="T161" s="1"/>
      <c r="AD161" s="1"/>
      <c r="AE161" s="1"/>
      <c r="AF161" s="1"/>
      <c r="AG161" s="1"/>
      <c r="AH161" s="1"/>
      <c r="AI161" s="1"/>
      <c r="AJ161" s="1"/>
      <c r="AK161" s="1"/>
    </row>
    <row r="162" spans="9:37" x14ac:dyDescent="0.3">
      <c r="I162" s="1"/>
      <c r="R162" s="1"/>
      <c r="S162" s="1"/>
      <c r="T162" s="1"/>
      <c r="AD162" s="1"/>
      <c r="AE162" s="1"/>
      <c r="AF162" s="1"/>
      <c r="AG162" s="1"/>
      <c r="AH162" s="1"/>
      <c r="AI162" s="1"/>
      <c r="AJ162" s="1"/>
      <c r="AK162" s="1"/>
    </row>
    <row r="163" spans="9:37" x14ac:dyDescent="0.3">
      <c r="I163" s="1"/>
      <c r="R163" s="1"/>
      <c r="S163" s="1"/>
      <c r="T163" s="1"/>
      <c r="AD163" s="1"/>
      <c r="AE163" s="1"/>
      <c r="AF163" s="1"/>
      <c r="AG163" s="1"/>
      <c r="AH163" s="1"/>
      <c r="AI163" s="1"/>
      <c r="AJ163" s="1"/>
      <c r="AK163" s="1"/>
    </row>
    <row r="164" spans="9:37" x14ac:dyDescent="0.3">
      <c r="I164" s="1"/>
      <c r="R164" s="1"/>
      <c r="S164" s="1"/>
      <c r="T164" s="1"/>
      <c r="AD164" s="1"/>
      <c r="AE164" s="1"/>
      <c r="AF164" s="1"/>
      <c r="AG164" s="1"/>
      <c r="AH164" s="1"/>
      <c r="AI164" s="1"/>
      <c r="AJ164" s="1"/>
      <c r="AK164" s="1"/>
    </row>
    <row r="165" spans="9:37" x14ac:dyDescent="0.3">
      <c r="I165" s="1"/>
      <c r="R165" s="1"/>
      <c r="S165" s="1"/>
      <c r="T165" s="1"/>
      <c r="AD165" s="1"/>
      <c r="AE165" s="1"/>
      <c r="AF165" s="1"/>
      <c r="AG165" s="1"/>
      <c r="AH165" s="1"/>
      <c r="AI165" s="1"/>
      <c r="AJ165" s="1"/>
      <c r="AK165" s="1"/>
    </row>
    <row r="166" spans="9:37" x14ac:dyDescent="0.3">
      <c r="I166" s="1"/>
      <c r="R166" s="1"/>
      <c r="S166" s="1"/>
      <c r="T166" s="1"/>
      <c r="AD166" s="1"/>
      <c r="AE166" s="1"/>
      <c r="AF166" s="1"/>
      <c r="AG166" s="1"/>
      <c r="AH166" s="1"/>
      <c r="AI166" s="1"/>
      <c r="AJ166" s="1"/>
      <c r="AK166" s="1"/>
    </row>
    <row r="167" spans="9:37" x14ac:dyDescent="0.3">
      <c r="I167" s="1"/>
      <c r="R167" s="1"/>
      <c r="S167" s="1"/>
      <c r="T167" s="1"/>
      <c r="AD167" s="1"/>
      <c r="AE167" s="1"/>
      <c r="AF167" s="1"/>
      <c r="AG167" s="1"/>
      <c r="AH167" s="1"/>
      <c r="AI167" s="1"/>
      <c r="AJ167" s="1"/>
      <c r="AK167" s="1"/>
    </row>
    <row r="168" spans="9:37" x14ac:dyDescent="0.3">
      <c r="I168" s="1"/>
      <c r="R168" s="1"/>
      <c r="S168" s="1"/>
      <c r="T168" s="1"/>
      <c r="AD168" s="1"/>
      <c r="AE168" s="1"/>
      <c r="AF168" s="1"/>
      <c r="AG168" s="1"/>
      <c r="AH168" s="1"/>
      <c r="AI168" s="1"/>
      <c r="AJ168" s="1"/>
      <c r="AK168" s="1"/>
    </row>
    <row r="169" spans="9:37" x14ac:dyDescent="0.3">
      <c r="I169" s="1"/>
      <c r="R169" s="1"/>
      <c r="S169" s="1"/>
      <c r="T169" s="1"/>
      <c r="AD169" s="1"/>
      <c r="AE169" s="1"/>
      <c r="AF169" s="1"/>
      <c r="AG169" s="1"/>
      <c r="AH169" s="1"/>
      <c r="AI169" s="1"/>
      <c r="AJ169" s="1"/>
      <c r="AK169" s="1"/>
    </row>
    <row r="170" spans="9:37" x14ac:dyDescent="0.3">
      <c r="I170" s="1"/>
      <c r="R170" s="1"/>
      <c r="S170" s="1"/>
      <c r="T170" s="1"/>
      <c r="AD170" s="1"/>
      <c r="AE170" s="1"/>
      <c r="AF170" s="1"/>
      <c r="AG170" s="1"/>
      <c r="AH170" s="1"/>
      <c r="AI170" s="1"/>
      <c r="AJ170" s="1"/>
      <c r="AK170" s="1"/>
    </row>
    <row r="171" spans="9:37" x14ac:dyDescent="0.3">
      <c r="I171" s="1"/>
      <c r="R171" s="1"/>
      <c r="S171" s="1"/>
      <c r="T171" s="1"/>
      <c r="AD171" s="1"/>
      <c r="AE171" s="1"/>
      <c r="AF171" s="1"/>
      <c r="AG171" s="1"/>
      <c r="AH171" s="1"/>
      <c r="AI171" s="1"/>
      <c r="AJ171" s="1"/>
      <c r="AK171" s="1"/>
    </row>
    <row r="172" spans="9:37" x14ac:dyDescent="0.3">
      <c r="I172" s="1"/>
      <c r="R172" s="1"/>
      <c r="S172" s="1"/>
      <c r="T172" s="1"/>
      <c r="AD172" s="1"/>
      <c r="AE172" s="1"/>
      <c r="AF172" s="1"/>
      <c r="AG172" s="1"/>
      <c r="AH172" s="1"/>
      <c r="AI172" s="1"/>
      <c r="AJ172" s="1"/>
      <c r="AK172" s="1"/>
    </row>
    <row r="173" spans="9:37" x14ac:dyDescent="0.3">
      <c r="I173" s="1"/>
      <c r="R173" s="1"/>
      <c r="S173" s="1"/>
      <c r="T173" s="1"/>
      <c r="AD173" s="1"/>
      <c r="AE173" s="1"/>
      <c r="AF173" s="1"/>
      <c r="AG173" s="1"/>
      <c r="AH173" s="1"/>
      <c r="AI173" s="1"/>
      <c r="AJ173" s="1"/>
      <c r="AK173" s="1"/>
    </row>
    <row r="174" spans="9:37" x14ac:dyDescent="0.3">
      <c r="I174" s="1"/>
      <c r="R174" s="1"/>
      <c r="S174" s="1"/>
      <c r="T174" s="1"/>
      <c r="AD174" s="1"/>
      <c r="AE174" s="1"/>
      <c r="AF174" s="1"/>
      <c r="AG174" s="1"/>
      <c r="AH174" s="1"/>
      <c r="AI174" s="1"/>
      <c r="AJ174" s="1"/>
      <c r="AK174" s="1"/>
    </row>
    <row r="175" spans="9:37" x14ac:dyDescent="0.3">
      <c r="I175" s="1"/>
      <c r="R175" s="1"/>
      <c r="S175" s="1"/>
      <c r="T175" s="1"/>
      <c r="AD175" s="1"/>
      <c r="AE175" s="1"/>
      <c r="AF175" s="1"/>
      <c r="AG175" s="1"/>
      <c r="AH175" s="1"/>
      <c r="AI175" s="1"/>
      <c r="AJ175" s="1"/>
      <c r="AK175" s="1"/>
    </row>
    <row r="176" spans="9:37" x14ac:dyDescent="0.3">
      <c r="I176" s="1"/>
      <c r="R176" s="1"/>
      <c r="S176" s="1"/>
      <c r="T176" s="1"/>
      <c r="AD176" s="1"/>
      <c r="AE176" s="1"/>
      <c r="AF176" s="1"/>
      <c r="AG176" s="1"/>
      <c r="AH176" s="1"/>
      <c r="AI176" s="1"/>
      <c r="AJ176" s="1"/>
      <c r="AK176" s="1"/>
    </row>
    <row r="177" spans="9:37" x14ac:dyDescent="0.3">
      <c r="I177" s="1"/>
      <c r="R177" s="1"/>
      <c r="S177" s="1"/>
      <c r="T177" s="1"/>
      <c r="AD177" s="1"/>
      <c r="AE177" s="1"/>
      <c r="AF177" s="1"/>
      <c r="AG177" s="1"/>
      <c r="AH177" s="1"/>
      <c r="AI177" s="1"/>
      <c r="AJ177" s="1"/>
      <c r="AK177" s="1"/>
    </row>
    <row r="178" spans="9:37" x14ac:dyDescent="0.3">
      <c r="I178" s="1"/>
      <c r="R178" s="1"/>
      <c r="S178" s="1"/>
      <c r="T178" s="1"/>
      <c r="AD178" s="1"/>
      <c r="AE178" s="1"/>
      <c r="AF178" s="1"/>
      <c r="AG178" s="1"/>
      <c r="AH178" s="1"/>
      <c r="AI178" s="1"/>
      <c r="AJ178" s="1"/>
      <c r="AK178" s="1"/>
    </row>
    <row r="179" spans="9:37" x14ac:dyDescent="0.3">
      <c r="I179" s="1"/>
      <c r="R179" s="1"/>
      <c r="S179" s="1"/>
      <c r="T179" s="1"/>
    </row>
    <row r="180" spans="9:37" x14ac:dyDescent="0.3">
      <c r="I180" s="1"/>
      <c r="R180" s="1"/>
      <c r="S180" s="1"/>
      <c r="T180" s="1"/>
    </row>
    <row r="181" spans="9:37" x14ac:dyDescent="0.3">
      <c r="I181" s="1"/>
      <c r="R181" s="1"/>
      <c r="S181" s="1"/>
      <c r="T181" s="1"/>
    </row>
    <row r="182" spans="9:37" x14ac:dyDescent="0.3">
      <c r="I182" s="1"/>
      <c r="R182" s="1"/>
      <c r="S182" s="1"/>
      <c r="T182" s="1"/>
    </row>
    <row r="183" spans="9:37" x14ac:dyDescent="0.3">
      <c r="I183" s="1"/>
      <c r="R183" s="1"/>
      <c r="S183" s="1"/>
      <c r="T183" s="1"/>
    </row>
    <row r="184" spans="9:37" x14ac:dyDescent="0.3">
      <c r="I184" s="1"/>
      <c r="R184" s="1"/>
      <c r="S184" s="1"/>
      <c r="T184" s="1"/>
    </row>
    <row r="185" spans="9:37" x14ac:dyDescent="0.3">
      <c r="I185" s="1"/>
      <c r="R185" s="1"/>
      <c r="S185" s="1"/>
      <c r="T185" s="1"/>
    </row>
    <row r="186" spans="9:37" x14ac:dyDescent="0.3">
      <c r="I186" s="1"/>
      <c r="R186" s="1"/>
      <c r="S186" s="1"/>
      <c r="T186" s="1"/>
    </row>
    <row r="187" spans="9:37" x14ac:dyDescent="0.3">
      <c r="I187" s="1"/>
      <c r="R187" s="1"/>
      <c r="S187" s="1"/>
      <c r="T187" s="1"/>
    </row>
    <row r="188" spans="9:37" x14ac:dyDescent="0.3">
      <c r="I188" s="1"/>
      <c r="R188" s="1"/>
      <c r="S188" s="1"/>
      <c r="T188" s="1"/>
    </row>
    <row r="189" spans="9:37" x14ac:dyDescent="0.3">
      <c r="I189" s="1"/>
      <c r="R189" s="1"/>
      <c r="S189" s="1"/>
      <c r="T189" s="1"/>
    </row>
    <row r="190" spans="9:37" x14ac:dyDescent="0.3">
      <c r="I190" s="1"/>
      <c r="R190" s="1"/>
      <c r="S190" s="1"/>
      <c r="T190" s="1"/>
    </row>
    <row r="191" spans="9:37" x14ac:dyDescent="0.3">
      <c r="I191" s="1"/>
      <c r="R191" s="1"/>
      <c r="S191" s="1"/>
      <c r="T191" s="1"/>
    </row>
    <row r="192" spans="9:37" x14ac:dyDescent="0.3">
      <c r="I192" s="1"/>
      <c r="R192" s="1"/>
      <c r="S192" s="1"/>
      <c r="T192" s="1"/>
    </row>
    <row r="193" spans="9:20" x14ac:dyDescent="0.3">
      <c r="I193" s="1"/>
      <c r="R193" s="1"/>
      <c r="S193" s="1"/>
      <c r="T193" s="1"/>
    </row>
    <row r="194" spans="9:20" x14ac:dyDescent="0.3">
      <c r="I194" s="1"/>
      <c r="R194" s="1"/>
      <c r="S194" s="1"/>
      <c r="T194" s="1"/>
    </row>
    <row r="195" spans="9:20" x14ac:dyDescent="0.3">
      <c r="I195" s="1"/>
      <c r="R195" s="1"/>
      <c r="S195" s="1"/>
      <c r="T195" s="1"/>
    </row>
    <row r="196" spans="9:20" x14ac:dyDescent="0.3">
      <c r="I196" s="1"/>
      <c r="R196" s="1"/>
      <c r="S196" s="1"/>
      <c r="T196" s="1"/>
    </row>
    <row r="197" spans="9:20" x14ac:dyDescent="0.3">
      <c r="I197" s="1"/>
      <c r="R197" s="1"/>
      <c r="S197" s="1"/>
      <c r="T197" s="1"/>
    </row>
    <row r="198" spans="9:20" x14ac:dyDescent="0.3">
      <c r="I198" s="1"/>
      <c r="R198" s="1"/>
      <c r="S198" s="1"/>
      <c r="T198" s="1"/>
    </row>
    <row r="199" spans="9:20" x14ac:dyDescent="0.3">
      <c r="I199" s="1"/>
      <c r="R199" s="1"/>
      <c r="S199" s="1"/>
      <c r="T199" s="1"/>
    </row>
    <row r="200" spans="9:20" x14ac:dyDescent="0.3">
      <c r="I200" s="1"/>
      <c r="R200" s="1"/>
      <c r="S200" s="1"/>
      <c r="T200" s="1"/>
    </row>
    <row r="201" spans="9:20" x14ac:dyDescent="0.3">
      <c r="I201" s="1"/>
      <c r="R201" s="1"/>
      <c r="S201" s="1"/>
      <c r="T201" s="1"/>
    </row>
    <row r="202" spans="9:20" x14ac:dyDescent="0.3">
      <c r="I202" s="1"/>
      <c r="R202" s="1"/>
      <c r="S202" s="1"/>
      <c r="T202" s="1"/>
    </row>
    <row r="203" spans="9:20" x14ac:dyDescent="0.3">
      <c r="I203" s="1"/>
      <c r="R203" s="1"/>
      <c r="S203" s="1"/>
      <c r="T203" s="1"/>
    </row>
    <row r="204" spans="9:20" x14ac:dyDescent="0.3">
      <c r="I204" s="1"/>
      <c r="R204" s="1"/>
      <c r="S204" s="1"/>
      <c r="T204" s="1"/>
    </row>
    <row r="205" spans="9:20" x14ac:dyDescent="0.3">
      <c r="I205" s="1"/>
      <c r="R205" s="1"/>
      <c r="S205" s="1"/>
      <c r="T205" s="1"/>
    </row>
    <row r="206" spans="9:20" x14ac:dyDescent="0.3">
      <c r="I206" s="1"/>
      <c r="R206" s="1"/>
      <c r="S206" s="1"/>
      <c r="T206" s="1"/>
    </row>
    <row r="207" spans="9:20" x14ac:dyDescent="0.3">
      <c r="I207" s="1"/>
      <c r="R207" s="1"/>
      <c r="S207" s="1"/>
      <c r="T207" s="1"/>
    </row>
    <row r="208" spans="9:20" x14ac:dyDescent="0.3">
      <c r="I208" s="1"/>
      <c r="R208" s="1"/>
      <c r="S208" s="1"/>
      <c r="T208" s="1"/>
    </row>
    <row r="209" spans="9:20" x14ac:dyDescent="0.3">
      <c r="I209" s="1"/>
      <c r="R209" s="1"/>
      <c r="S209" s="1"/>
      <c r="T209" s="1"/>
    </row>
    <row r="210" spans="9:20" x14ac:dyDescent="0.3">
      <c r="I210" s="1"/>
      <c r="R210" s="1"/>
      <c r="S210" s="1"/>
      <c r="T210" s="1"/>
    </row>
    <row r="211" spans="9:20" x14ac:dyDescent="0.3">
      <c r="I211" s="1"/>
      <c r="R211" s="1"/>
      <c r="S211" s="1"/>
      <c r="T211" s="1"/>
    </row>
    <row r="212" spans="9:20" x14ac:dyDescent="0.3">
      <c r="I212" s="1"/>
      <c r="R212" s="1"/>
      <c r="S212" s="1"/>
      <c r="T212" s="1"/>
    </row>
    <row r="213" spans="9:20" x14ac:dyDescent="0.3">
      <c r="I213" s="1"/>
      <c r="R213" s="1"/>
      <c r="S213" s="1"/>
      <c r="T213" s="1"/>
    </row>
    <row r="214" spans="9:20" x14ac:dyDescent="0.3">
      <c r="I214" s="1"/>
      <c r="R214" s="1"/>
      <c r="S214" s="1"/>
      <c r="T214" s="1"/>
    </row>
    <row r="215" spans="9:20" x14ac:dyDescent="0.3">
      <c r="I215" s="1"/>
      <c r="R215" s="1"/>
      <c r="S215" s="1"/>
      <c r="T215" s="1"/>
    </row>
    <row r="216" spans="9:20" x14ac:dyDescent="0.3">
      <c r="I216" s="1"/>
      <c r="R216" s="1"/>
      <c r="S216" s="1"/>
      <c r="T216" s="1"/>
    </row>
    <row r="217" spans="9:20" x14ac:dyDescent="0.3">
      <c r="I217" s="1"/>
      <c r="R217" s="1"/>
      <c r="S217" s="1"/>
      <c r="T217" s="1"/>
    </row>
    <row r="218" spans="9:20" x14ac:dyDescent="0.3">
      <c r="I218" s="1"/>
      <c r="R218" s="1"/>
      <c r="S218" s="1"/>
      <c r="T218" s="1"/>
    </row>
    <row r="219" spans="9:20" x14ac:dyDescent="0.3">
      <c r="I219" s="1"/>
      <c r="R219" s="1"/>
      <c r="S219" s="1"/>
      <c r="T219" s="1"/>
    </row>
    <row r="220" spans="9:20" x14ac:dyDescent="0.3">
      <c r="I220" s="1"/>
      <c r="R220" s="1"/>
      <c r="S220" s="1"/>
      <c r="T220" s="1"/>
    </row>
    <row r="221" spans="9:20" x14ac:dyDescent="0.3">
      <c r="I221" s="1"/>
      <c r="R221" s="1"/>
      <c r="S221" s="1"/>
      <c r="T221" s="1"/>
    </row>
    <row r="222" spans="9:20" x14ac:dyDescent="0.3">
      <c r="I222" s="1"/>
      <c r="R222" s="1"/>
      <c r="S222" s="1"/>
      <c r="T222" s="1"/>
    </row>
    <row r="223" spans="9:20" x14ac:dyDescent="0.3">
      <c r="I223" s="1"/>
      <c r="R223" s="1"/>
      <c r="S223" s="1"/>
      <c r="T223" s="1"/>
    </row>
    <row r="224" spans="9:20" x14ac:dyDescent="0.3">
      <c r="I224" s="1"/>
      <c r="R224" s="1"/>
      <c r="S224" s="1"/>
      <c r="T224" s="1"/>
    </row>
    <row r="225" spans="9:20" x14ac:dyDescent="0.3">
      <c r="I225" s="1"/>
      <c r="R225" s="1"/>
      <c r="S225" s="1"/>
      <c r="T225" s="1"/>
    </row>
    <row r="226" spans="9:20" x14ac:dyDescent="0.3">
      <c r="I226" s="1"/>
      <c r="R226" s="1"/>
      <c r="S226" s="1"/>
      <c r="T226" s="1"/>
    </row>
    <row r="227" spans="9:20" x14ac:dyDescent="0.3">
      <c r="I227" s="1"/>
      <c r="R227" s="1"/>
      <c r="S227" s="1"/>
      <c r="T227" s="1"/>
    </row>
    <row r="228" spans="9:20" x14ac:dyDescent="0.3">
      <c r="I228" s="1"/>
      <c r="R228" s="1"/>
      <c r="S228" s="1"/>
      <c r="T228" s="1"/>
    </row>
    <row r="229" spans="9:20" x14ac:dyDescent="0.3">
      <c r="I229" s="1"/>
      <c r="R229" s="1"/>
      <c r="S229" s="1"/>
      <c r="T229" s="1"/>
    </row>
    <row r="230" spans="9:20" x14ac:dyDescent="0.3">
      <c r="I230" s="1"/>
      <c r="R230" s="1"/>
      <c r="S230" s="1"/>
      <c r="T230" s="1"/>
    </row>
    <row r="231" spans="9:20" x14ac:dyDescent="0.3">
      <c r="I231" s="1"/>
      <c r="R231" s="1"/>
      <c r="S231" s="1"/>
      <c r="T231" s="1"/>
    </row>
    <row r="232" spans="9:20" x14ac:dyDescent="0.3">
      <c r="I232" s="1"/>
      <c r="R232" s="1"/>
      <c r="S232" s="1"/>
      <c r="T232" s="1"/>
    </row>
    <row r="233" spans="9:20" x14ac:dyDescent="0.3">
      <c r="I233" s="1"/>
      <c r="R233" s="1"/>
      <c r="S233" s="1"/>
      <c r="T233" s="1"/>
    </row>
    <row r="234" spans="9:20" x14ac:dyDescent="0.3">
      <c r="I234" s="1"/>
      <c r="R234" s="1"/>
      <c r="S234" s="1"/>
      <c r="T234" s="1"/>
    </row>
    <row r="235" spans="9:20" x14ac:dyDescent="0.3">
      <c r="I235" s="1"/>
      <c r="R235" s="1"/>
      <c r="S235" s="1"/>
      <c r="T235" s="1"/>
    </row>
    <row r="236" spans="9:20" x14ac:dyDescent="0.3">
      <c r="I236" s="1"/>
      <c r="R236" s="1"/>
      <c r="S236" s="1"/>
      <c r="T236" s="1"/>
    </row>
    <row r="237" spans="9:20" x14ac:dyDescent="0.3">
      <c r="I237" s="1"/>
      <c r="R237" s="1"/>
      <c r="S237" s="1"/>
      <c r="T237" s="1"/>
    </row>
    <row r="238" spans="9:20" x14ac:dyDescent="0.3">
      <c r="I238" s="1"/>
      <c r="R238" s="1"/>
      <c r="S238" s="1"/>
      <c r="T238" s="1"/>
    </row>
    <row r="239" spans="9:20" x14ac:dyDescent="0.3">
      <c r="I239" s="1"/>
      <c r="R239" s="1"/>
      <c r="S239" s="1"/>
      <c r="T239" s="1"/>
    </row>
    <row r="240" spans="9:20" x14ac:dyDescent="0.3">
      <c r="I240" s="1"/>
      <c r="R240" s="1"/>
      <c r="S240" s="1"/>
      <c r="T240" s="1"/>
    </row>
    <row r="241" spans="9:20" x14ac:dyDescent="0.3">
      <c r="I241" s="1"/>
      <c r="R241" s="1"/>
      <c r="S241" s="1"/>
      <c r="T241" s="1"/>
    </row>
    <row r="242" spans="9:20" x14ac:dyDescent="0.3">
      <c r="I242" s="1"/>
      <c r="R242" s="1"/>
      <c r="S242" s="1"/>
      <c r="T242" s="1"/>
    </row>
    <row r="243" spans="9:20" x14ac:dyDescent="0.3">
      <c r="I243" s="1"/>
      <c r="R243" s="1"/>
      <c r="S243" s="1"/>
      <c r="T243" s="1"/>
    </row>
    <row r="244" spans="9:20" x14ac:dyDescent="0.3">
      <c r="I244" s="1"/>
      <c r="R244" s="1"/>
      <c r="S244" s="1"/>
      <c r="T244" s="1"/>
    </row>
    <row r="245" spans="9:20" x14ac:dyDescent="0.3">
      <c r="I245" s="1"/>
      <c r="R245" s="1"/>
      <c r="S245" s="1"/>
      <c r="T245" s="1"/>
    </row>
    <row r="246" spans="9:20" x14ac:dyDescent="0.3">
      <c r="I246" s="1"/>
      <c r="R246" s="1"/>
      <c r="S246" s="1"/>
      <c r="T246" s="1"/>
    </row>
    <row r="247" spans="9:20" x14ac:dyDescent="0.3">
      <c r="I247" s="1"/>
      <c r="R247" s="1"/>
      <c r="S247" s="1"/>
      <c r="T247" s="1"/>
    </row>
    <row r="248" spans="9:20" x14ac:dyDescent="0.3">
      <c r="I248" s="1"/>
      <c r="R248" s="1"/>
      <c r="S248" s="1"/>
      <c r="T248" s="1"/>
    </row>
    <row r="249" spans="9:20" x14ac:dyDescent="0.3">
      <c r="I249" s="1"/>
      <c r="R249" s="1"/>
      <c r="S249" s="1"/>
      <c r="T249" s="1"/>
    </row>
    <row r="250" spans="9:20" x14ac:dyDescent="0.3">
      <c r="I250" s="1"/>
      <c r="R250" s="1"/>
      <c r="S250" s="1"/>
      <c r="T250" s="1"/>
    </row>
    <row r="251" spans="9:20" x14ac:dyDescent="0.3">
      <c r="I251" s="1"/>
      <c r="R251" s="1"/>
      <c r="S251" s="1"/>
      <c r="T251" s="1"/>
    </row>
    <row r="252" spans="9:20" x14ac:dyDescent="0.3">
      <c r="I252" s="1"/>
      <c r="R252" s="1"/>
      <c r="S252" s="1"/>
      <c r="T252" s="1"/>
    </row>
    <row r="253" spans="9:20" x14ac:dyDescent="0.3">
      <c r="I253" s="1"/>
      <c r="R253" s="1"/>
      <c r="S253" s="1"/>
      <c r="T253" s="1"/>
    </row>
    <row r="254" spans="9:20" x14ac:dyDescent="0.3">
      <c r="I254" s="1"/>
      <c r="R254" s="1"/>
      <c r="S254" s="1"/>
      <c r="T254" s="1"/>
    </row>
    <row r="255" spans="9:20" x14ac:dyDescent="0.3">
      <c r="I255" s="1"/>
      <c r="R255" s="1"/>
      <c r="S255" s="1"/>
      <c r="T255" s="1"/>
    </row>
    <row r="256" spans="9:20" x14ac:dyDescent="0.3">
      <c r="I256" s="1"/>
      <c r="R256" s="1"/>
      <c r="S256" s="1"/>
      <c r="T256" s="1"/>
    </row>
    <row r="257" spans="9:20" x14ac:dyDescent="0.3">
      <c r="I257" s="1"/>
      <c r="R257" s="1"/>
      <c r="S257" s="1"/>
      <c r="T257" s="1"/>
    </row>
    <row r="258" spans="9:20" x14ac:dyDescent="0.3">
      <c r="I258" s="1"/>
      <c r="R258" s="1"/>
      <c r="S258" s="1"/>
      <c r="T258" s="1"/>
    </row>
    <row r="259" spans="9:20" x14ac:dyDescent="0.3">
      <c r="I259" s="1"/>
      <c r="R259" s="1"/>
      <c r="S259" s="1"/>
      <c r="T259" s="1"/>
    </row>
    <row r="260" spans="9:20" x14ac:dyDescent="0.3">
      <c r="I260" s="1"/>
      <c r="R260" s="1"/>
      <c r="S260" s="1"/>
      <c r="T260" s="1"/>
    </row>
    <row r="261" spans="9:20" x14ac:dyDescent="0.3">
      <c r="I261" s="1"/>
      <c r="R261" s="1"/>
      <c r="S261" s="1"/>
      <c r="T261" s="1"/>
    </row>
    <row r="262" spans="9:20" x14ac:dyDescent="0.3">
      <c r="I262" s="1"/>
      <c r="R262" s="1"/>
      <c r="S262" s="1"/>
      <c r="T262" s="1"/>
    </row>
    <row r="263" spans="9:20" x14ac:dyDescent="0.3">
      <c r="I263" s="1"/>
      <c r="R263" s="1"/>
      <c r="S263" s="1"/>
      <c r="T263" s="1"/>
    </row>
    <row r="264" spans="9:20" x14ac:dyDescent="0.3">
      <c r="I264" s="1"/>
      <c r="R264" s="1"/>
      <c r="S264" s="1"/>
      <c r="T264" s="1"/>
    </row>
    <row r="265" spans="9:20" x14ac:dyDescent="0.3">
      <c r="I265" s="1"/>
      <c r="R265" s="1"/>
      <c r="S265" s="1"/>
      <c r="T265" s="1"/>
    </row>
    <row r="266" spans="9:20" x14ac:dyDescent="0.3">
      <c r="I266" s="1"/>
      <c r="R266" s="1"/>
      <c r="S266" s="1"/>
      <c r="T266" s="1"/>
    </row>
    <row r="267" spans="9:20" x14ac:dyDescent="0.3">
      <c r="I267" s="1"/>
      <c r="R267" s="1"/>
      <c r="S267" s="1"/>
      <c r="T267" s="1"/>
    </row>
    <row r="268" spans="9:20" x14ac:dyDescent="0.3">
      <c r="I268" s="1"/>
      <c r="S268" s="1"/>
      <c r="T268" s="1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0E53-2333-44F3-BC6F-75F93AB74A0A}">
  <dimension ref="A1:AG31"/>
  <sheetViews>
    <sheetView workbookViewId="0"/>
  </sheetViews>
  <sheetFormatPr defaultRowHeight="14.4" x14ac:dyDescent="0.3"/>
  <cols>
    <col min="3" max="3" width="10.5546875" bestFit="1" customWidth="1"/>
    <col min="8" max="8" width="10.5546875" bestFit="1" customWidth="1"/>
    <col min="12" max="12" width="8.88671875" customWidth="1"/>
    <col min="26" max="26" width="14.109375" bestFit="1" customWidth="1"/>
    <col min="27" max="27" width="10.5546875" bestFit="1" customWidth="1"/>
  </cols>
  <sheetData>
    <row r="1" spans="1:33" x14ac:dyDescent="0.3">
      <c r="A1" s="3"/>
      <c r="B1" s="3" t="s">
        <v>0</v>
      </c>
      <c r="C1" s="3" t="s">
        <v>0</v>
      </c>
      <c r="D1" t="s">
        <v>0</v>
      </c>
      <c r="E1" t="s">
        <v>0</v>
      </c>
      <c r="F1" t="s">
        <v>0</v>
      </c>
      <c r="G1" s="3" t="s">
        <v>0</v>
      </c>
      <c r="H1" s="3" t="s">
        <v>12</v>
      </c>
      <c r="I1" t="s">
        <v>12</v>
      </c>
      <c r="J1" t="s">
        <v>12</v>
      </c>
      <c r="K1" s="3" t="s">
        <v>12</v>
      </c>
      <c r="L1" s="3" t="s">
        <v>12</v>
      </c>
      <c r="M1" s="3" t="s">
        <v>12</v>
      </c>
      <c r="N1" t="s">
        <v>11</v>
      </c>
      <c r="O1" t="s">
        <v>11</v>
      </c>
      <c r="P1" t="s">
        <v>11</v>
      </c>
      <c r="Q1" t="s">
        <v>11</v>
      </c>
      <c r="R1" s="3" t="s">
        <v>11</v>
      </c>
      <c r="S1" s="3" t="s">
        <v>11</v>
      </c>
      <c r="T1" s="3" t="s">
        <v>28</v>
      </c>
      <c r="U1" s="3" t="s">
        <v>28</v>
      </c>
      <c r="V1" s="3" t="s">
        <v>28</v>
      </c>
      <c r="W1" s="3" t="s">
        <v>28</v>
      </c>
      <c r="X1" s="3" t="s">
        <v>28</v>
      </c>
      <c r="Y1" s="3" t="s">
        <v>28</v>
      </c>
      <c r="AA1" s="3" t="s">
        <v>41</v>
      </c>
      <c r="AB1" s="3" t="s">
        <v>41</v>
      </c>
      <c r="AC1" s="3" t="s">
        <v>41</v>
      </c>
      <c r="AD1" s="3" t="s">
        <v>41</v>
      </c>
      <c r="AE1" s="3" t="s">
        <v>41</v>
      </c>
      <c r="AF1" s="3" t="s">
        <v>41</v>
      </c>
      <c r="AG1" s="3" t="s">
        <v>41</v>
      </c>
    </row>
    <row r="2" spans="1:33" x14ac:dyDescent="0.3">
      <c r="A2" s="3"/>
      <c r="B2" s="3"/>
      <c r="C2" s="3"/>
      <c r="G2" s="3"/>
      <c r="H2" s="3"/>
      <c r="K2" s="3"/>
      <c r="L2" s="3"/>
      <c r="M2" s="3"/>
      <c r="N2" t="s">
        <v>21</v>
      </c>
      <c r="O2" t="s">
        <v>121</v>
      </c>
      <c r="P2" t="s">
        <v>21</v>
      </c>
      <c r="Q2" t="s">
        <v>22</v>
      </c>
      <c r="R2" s="3"/>
      <c r="S2" s="3"/>
      <c r="T2" s="3"/>
      <c r="U2" s="3"/>
      <c r="V2" s="3"/>
      <c r="W2" s="3"/>
      <c r="X2" s="3"/>
      <c r="Y2" s="3"/>
      <c r="AA2" s="3"/>
      <c r="AB2" s="3"/>
      <c r="AC2" s="3"/>
      <c r="AD2" s="3"/>
      <c r="AE2" s="3"/>
      <c r="AF2" s="3"/>
      <c r="AG2" s="3"/>
    </row>
    <row r="3" spans="1:33" x14ac:dyDescent="0.3">
      <c r="A3" s="3"/>
      <c r="B3" s="3"/>
      <c r="C3" s="3"/>
      <c r="D3" t="s">
        <v>13</v>
      </c>
      <c r="E3" t="s">
        <v>24</v>
      </c>
      <c r="F3" t="s">
        <v>13</v>
      </c>
      <c r="G3" s="3"/>
      <c r="H3" s="3" t="s">
        <v>45</v>
      </c>
      <c r="I3" t="s">
        <v>16</v>
      </c>
      <c r="J3" t="s">
        <v>15</v>
      </c>
      <c r="K3" s="3"/>
      <c r="L3" s="3"/>
      <c r="M3" s="3"/>
      <c r="N3" t="s">
        <v>120</v>
      </c>
      <c r="O3" t="s">
        <v>122</v>
      </c>
      <c r="P3" t="s">
        <v>123</v>
      </c>
      <c r="Q3" t="s">
        <v>19</v>
      </c>
      <c r="R3" s="3"/>
      <c r="S3" s="3"/>
      <c r="T3" s="3"/>
      <c r="U3" s="3"/>
      <c r="V3" s="3"/>
      <c r="W3" s="3"/>
      <c r="X3" s="3"/>
      <c r="Y3" s="3"/>
      <c r="AA3" s="3"/>
      <c r="AB3" s="3"/>
      <c r="AC3" s="3"/>
      <c r="AD3" s="3"/>
      <c r="AE3" s="3"/>
      <c r="AF3" s="3"/>
      <c r="AG3" s="3"/>
    </row>
    <row r="4" spans="1:33" x14ac:dyDescent="0.3">
      <c r="A4" s="3" t="s">
        <v>32</v>
      </c>
      <c r="B4" s="3" t="s">
        <v>104</v>
      </c>
      <c r="C4" s="3" t="s">
        <v>105</v>
      </c>
      <c r="D4" t="s">
        <v>1</v>
      </c>
      <c r="E4" t="s">
        <v>20</v>
      </c>
      <c r="F4" t="s">
        <v>3</v>
      </c>
      <c r="G4" s="3" t="s">
        <v>5</v>
      </c>
      <c r="H4" s="3" t="s">
        <v>44</v>
      </c>
      <c r="I4" t="s">
        <v>1</v>
      </c>
      <c r="J4" t="s">
        <v>47</v>
      </c>
      <c r="K4" s="3" t="s">
        <v>8</v>
      </c>
      <c r="L4" s="3" t="s">
        <v>9</v>
      </c>
      <c r="M4" s="3" t="s">
        <v>10</v>
      </c>
      <c r="N4" t="s">
        <v>23</v>
      </c>
      <c r="O4" t="s">
        <v>23</v>
      </c>
      <c r="P4" t="s">
        <v>23</v>
      </c>
      <c r="Q4" t="s">
        <v>23</v>
      </c>
      <c r="R4" s="3" t="s">
        <v>221</v>
      </c>
      <c r="S4" s="3" t="s">
        <v>222</v>
      </c>
      <c r="T4" s="3" t="s">
        <v>25</v>
      </c>
      <c r="U4" s="3" t="s">
        <v>26</v>
      </c>
      <c r="V4" s="3" t="s">
        <v>27</v>
      </c>
      <c r="W4" s="3" t="s">
        <v>29</v>
      </c>
      <c r="X4" s="3" t="s">
        <v>30</v>
      </c>
      <c r="Y4" s="3" t="s">
        <v>31</v>
      </c>
      <c r="Z4" t="s">
        <v>42</v>
      </c>
      <c r="AA4" s="3" t="s">
        <v>46</v>
      </c>
      <c r="AB4" s="3" t="s">
        <v>34</v>
      </c>
      <c r="AC4" s="3" t="s">
        <v>35</v>
      </c>
      <c r="AD4" s="3" t="s">
        <v>36</v>
      </c>
      <c r="AE4" s="3" t="s">
        <v>37</v>
      </c>
      <c r="AF4" s="3" t="s">
        <v>38</v>
      </c>
      <c r="AG4" s="3" t="s">
        <v>39</v>
      </c>
    </row>
    <row r="5" spans="1:33" x14ac:dyDescent="0.3">
      <c r="A5" s="3"/>
      <c r="B5" s="3"/>
      <c r="C5" s="3"/>
      <c r="D5" t="s">
        <v>14</v>
      </c>
      <c r="E5" t="s">
        <v>14</v>
      </c>
      <c r="F5" t="s">
        <v>14</v>
      </c>
      <c r="G5" s="3" t="s">
        <v>6</v>
      </c>
      <c r="H5" s="3"/>
      <c r="I5" t="s">
        <v>14</v>
      </c>
      <c r="J5" t="s">
        <v>14</v>
      </c>
      <c r="K5" s="3" t="s">
        <v>17</v>
      </c>
      <c r="L5" s="3" t="s">
        <v>17</v>
      </c>
      <c r="M5" s="3" t="s">
        <v>17</v>
      </c>
      <c r="N5" t="s">
        <v>18</v>
      </c>
      <c r="O5" t="s">
        <v>18</v>
      </c>
      <c r="P5" t="s">
        <v>18</v>
      </c>
      <c r="Q5" t="s">
        <v>18</v>
      </c>
      <c r="R5" s="3" t="s">
        <v>7</v>
      </c>
      <c r="S5" s="3" t="s">
        <v>7</v>
      </c>
      <c r="T5" s="3" t="s">
        <v>6</v>
      </c>
      <c r="U5" s="3" t="s">
        <v>6</v>
      </c>
      <c r="V5" s="3" t="s">
        <v>6</v>
      </c>
      <c r="W5" s="3" t="s">
        <v>6</v>
      </c>
      <c r="X5" s="3" t="s">
        <v>6</v>
      </c>
      <c r="Y5" s="3" t="s">
        <v>6</v>
      </c>
      <c r="AA5" s="3"/>
      <c r="AB5" s="3"/>
      <c r="AC5" s="3" t="s">
        <v>43</v>
      </c>
      <c r="AD5" s="3" t="s">
        <v>7</v>
      </c>
      <c r="AE5" s="3" t="s">
        <v>40</v>
      </c>
      <c r="AF5" s="3" t="s">
        <v>7</v>
      </c>
      <c r="AG5" s="3" t="s">
        <v>7</v>
      </c>
    </row>
    <row r="6" spans="1:33" x14ac:dyDescent="0.3">
      <c r="A6" s="3" t="s">
        <v>32</v>
      </c>
      <c r="B6" s="3" t="s">
        <v>104</v>
      </c>
      <c r="C6" s="3" t="s">
        <v>105</v>
      </c>
      <c r="G6" s="3" t="s">
        <v>5</v>
      </c>
      <c r="H6" s="3" t="s">
        <v>44</v>
      </c>
      <c r="K6" s="3" t="s">
        <v>8</v>
      </c>
      <c r="L6" s="3" t="s">
        <v>9</v>
      </c>
      <c r="M6" s="3" t="s">
        <v>10</v>
      </c>
      <c r="R6" s="3" t="s">
        <v>221</v>
      </c>
      <c r="S6" s="3" t="s">
        <v>222</v>
      </c>
      <c r="T6" s="3" t="s">
        <v>25</v>
      </c>
      <c r="U6" s="3" t="s">
        <v>26</v>
      </c>
      <c r="V6" s="3" t="s">
        <v>27</v>
      </c>
      <c r="W6" s="3" t="s">
        <v>29</v>
      </c>
      <c r="X6" s="3" t="s">
        <v>30</v>
      </c>
      <c r="Y6" s="3" t="s">
        <v>31</v>
      </c>
      <c r="AA6" s="3" t="s">
        <v>46</v>
      </c>
      <c r="AB6" s="3" t="s">
        <v>34</v>
      </c>
      <c r="AC6" s="3" t="s">
        <v>35</v>
      </c>
      <c r="AD6" s="3" t="s">
        <v>36</v>
      </c>
      <c r="AE6" s="3" t="s">
        <v>37</v>
      </c>
      <c r="AF6" s="3" t="s">
        <v>38</v>
      </c>
      <c r="AG6" s="3" t="s">
        <v>39</v>
      </c>
    </row>
    <row r="7" spans="1:33" x14ac:dyDescent="0.3">
      <c r="A7" s="12" t="s">
        <v>270</v>
      </c>
      <c r="B7" s="4" t="s">
        <v>106</v>
      </c>
      <c r="C7" s="10">
        <v>43768</v>
      </c>
      <c r="D7" s="2">
        <v>4.68</v>
      </c>
      <c r="E7" s="2">
        <v>0.32</v>
      </c>
      <c r="F7" s="2">
        <v>4.3599999999999994</v>
      </c>
      <c r="G7" s="4">
        <v>5364.1732283464562</v>
      </c>
      <c r="H7" s="10">
        <v>43787</v>
      </c>
      <c r="I7" s="2">
        <v>2.2599999999999998</v>
      </c>
      <c r="J7" s="2">
        <v>5.54</v>
      </c>
      <c r="K7" s="6">
        <v>0.38990825688073394</v>
      </c>
      <c r="L7" s="6">
        <v>0.50000000000000011</v>
      </c>
      <c r="M7" s="6">
        <v>0.11009174311926595</v>
      </c>
      <c r="N7" s="2">
        <v>117.44</v>
      </c>
      <c r="O7" s="2">
        <v>114.22</v>
      </c>
      <c r="P7" s="2">
        <v>296.77</v>
      </c>
      <c r="Q7" s="2">
        <v>284.83000000000004</v>
      </c>
      <c r="R7" s="5">
        <v>2.7418256130790182</v>
      </c>
      <c r="S7" s="5">
        <v>4.0233177207938615</v>
      </c>
      <c r="T7" s="4">
        <v>2091.535433070866</v>
      </c>
      <c r="U7" s="4">
        <v>2682.0866141732286</v>
      </c>
      <c r="V7" s="4">
        <v>4773.6220472440946</v>
      </c>
      <c r="W7" s="4">
        <v>2034.1891788603059</v>
      </c>
      <c r="X7" s="4">
        <v>2574.1777481381569</v>
      </c>
      <c r="Y7" s="4">
        <v>4608.366926998463</v>
      </c>
      <c r="Z7" s="11" t="s">
        <v>141</v>
      </c>
      <c r="AA7" s="10">
        <v>43803</v>
      </c>
      <c r="AB7" s="4">
        <v>48.45</v>
      </c>
      <c r="AC7" s="5">
        <v>1.0350000000000001</v>
      </c>
      <c r="AD7" s="4">
        <v>78.400000000000006</v>
      </c>
      <c r="AE7" s="4">
        <v>25.25</v>
      </c>
      <c r="AF7" s="4">
        <v>9.1000000000000014</v>
      </c>
      <c r="AG7" s="4">
        <v>12.15</v>
      </c>
    </row>
    <row r="8" spans="1:33" x14ac:dyDescent="0.3">
      <c r="A8" s="3" t="s">
        <v>271</v>
      </c>
      <c r="B8" s="4" t="s">
        <v>106</v>
      </c>
      <c r="C8" s="10">
        <v>43768</v>
      </c>
      <c r="D8" s="2">
        <v>5.0199999999999996</v>
      </c>
      <c r="E8" s="2">
        <v>0.32</v>
      </c>
      <c r="F8" s="2">
        <v>4.6999999999999993</v>
      </c>
      <c r="G8" s="4">
        <v>5782.4803149606287</v>
      </c>
      <c r="H8" s="10">
        <v>43787</v>
      </c>
      <c r="I8" s="2">
        <v>2.2800000000000002</v>
      </c>
      <c r="J8" s="2">
        <v>5.82</v>
      </c>
      <c r="K8" s="6">
        <v>0.36595744680851072</v>
      </c>
      <c r="L8" s="6">
        <v>0.52340425531914914</v>
      </c>
      <c r="M8" s="6">
        <v>0.11063829787234014</v>
      </c>
      <c r="N8" s="2">
        <v>110.57</v>
      </c>
      <c r="O8" s="2">
        <v>107.46000000000001</v>
      </c>
      <c r="P8" s="2">
        <v>315.61</v>
      </c>
      <c r="Q8" s="2">
        <v>302.71000000000004</v>
      </c>
      <c r="R8" s="5">
        <v>2.8126978384733521</v>
      </c>
      <c r="S8" s="5">
        <v>4.0873229618833298</v>
      </c>
      <c r="T8" s="4">
        <v>2116.1417322834645</v>
      </c>
      <c r="U8" s="4">
        <v>3026.5748031496069</v>
      </c>
      <c r="V8" s="4">
        <v>5142.7165354330718</v>
      </c>
      <c r="W8" s="4">
        <v>2056.6210595204948</v>
      </c>
      <c r="X8" s="4">
        <v>2902.8689162618975</v>
      </c>
      <c r="Y8" s="4">
        <v>4959.4899757823923</v>
      </c>
      <c r="Z8" s="11" t="s">
        <v>142</v>
      </c>
      <c r="AA8" s="10">
        <v>43803</v>
      </c>
      <c r="AB8" s="4">
        <v>48.75</v>
      </c>
      <c r="AC8" s="5">
        <v>1.0750000000000002</v>
      </c>
      <c r="AD8" s="4">
        <v>80.2</v>
      </c>
      <c r="AE8" s="4">
        <v>27.05</v>
      </c>
      <c r="AF8" s="4">
        <v>8.8999999999999986</v>
      </c>
      <c r="AG8" s="4">
        <v>10.7</v>
      </c>
    </row>
    <row r="9" spans="1:33" x14ac:dyDescent="0.3">
      <c r="A9" s="3" t="s">
        <v>272</v>
      </c>
      <c r="B9" s="4" t="s">
        <v>106</v>
      </c>
      <c r="C9" s="10">
        <v>43768</v>
      </c>
      <c r="D9" s="2">
        <v>3.79</v>
      </c>
      <c r="E9" s="2">
        <v>0.32</v>
      </c>
      <c r="F9" s="2">
        <v>3.47</v>
      </c>
      <c r="G9" s="4">
        <v>4269.1929133858266</v>
      </c>
      <c r="H9" s="10">
        <v>43787</v>
      </c>
      <c r="I9" s="2">
        <v>1.9</v>
      </c>
      <c r="J9" s="2">
        <v>5.0999999999999996</v>
      </c>
      <c r="K9" s="6">
        <v>0.38616714697406335</v>
      </c>
      <c r="L9" s="6">
        <v>0.50144092219020164</v>
      </c>
      <c r="M9" s="6">
        <v>0.11239193083573507</v>
      </c>
      <c r="N9" s="2">
        <v>75.34</v>
      </c>
      <c r="O9" s="2">
        <v>73.25</v>
      </c>
      <c r="P9" s="2">
        <v>287.39999999999998</v>
      </c>
      <c r="Q9" s="2">
        <v>276.23</v>
      </c>
      <c r="R9" s="5">
        <v>2.7740907884258075</v>
      </c>
      <c r="S9" s="5">
        <v>3.8865692414752817</v>
      </c>
      <c r="T9" s="4">
        <v>1648.6220472440941</v>
      </c>
      <c r="U9" s="4">
        <v>2140.7480314960626</v>
      </c>
      <c r="V9" s="4">
        <v>3789.3700787401567</v>
      </c>
      <c r="W9" s="4">
        <v>1602.8877748955388</v>
      </c>
      <c r="X9" s="4">
        <v>2057.5463769664493</v>
      </c>
      <c r="Y9" s="4">
        <v>3660.4341518619881</v>
      </c>
      <c r="Z9" s="11" t="s">
        <v>143</v>
      </c>
      <c r="AA9" s="10">
        <v>43803</v>
      </c>
      <c r="AB9" s="4">
        <v>49.55</v>
      </c>
      <c r="AC9" s="5">
        <v>1.0449999999999999</v>
      </c>
      <c r="AD9" s="4">
        <v>80.650000000000006</v>
      </c>
      <c r="AE9" s="4">
        <v>26</v>
      </c>
      <c r="AF9" s="4">
        <v>9.1</v>
      </c>
      <c r="AG9" s="4">
        <v>10.75</v>
      </c>
    </row>
    <row r="10" spans="1:33" x14ac:dyDescent="0.3">
      <c r="A10" s="3" t="s">
        <v>273</v>
      </c>
      <c r="B10" s="4" t="s">
        <v>106</v>
      </c>
      <c r="C10" s="10">
        <v>43768</v>
      </c>
      <c r="D10" s="2">
        <v>4.97</v>
      </c>
      <c r="E10" s="2">
        <v>0.32</v>
      </c>
      <c r="F10" s="2">
        <v>4.6499999999999995</v>
      </c>
      <c r="G10" s="4">
        <v>5720.9645669291331</v>
      </c>
      <c r="H10" s="10">
        <v>43787</v>
      </c>
      <c r="I10" s="2">
        <v>2.3600000000000003</v>
      </c>
      <c r="J10" s="2">
        <v>5.7799999999999994</v>
      </c>
      <c r="K10" s="6">
        <v>0.38709677419354849</v>
      </c>
      <c r="L10" s="6">
        <v>0.52043010752688168</v>
      </c>
      <c r="M10" s="6">
        <v>9.2473118279569833E-2</v>
      </c>
      <c r="N10" s="2">
        <v>83.62</v>
      </c>
      <c r="O10" s="2">
        <v>81.28</v>
      </c>
      <c r="P10" s="2">
        <v>272.14</v>
      </c>
      <c r="Q10" s="2">
        <v>261.52999999999997</v>
      </c>
      <c r="R10" s="5">
        <v>2.7983735948337758</v>
      </c>
      <c r="S10" s="5">
        <v>3.8987285955758115</v>
      </c>
      <c r="T10" s="4">
        <v>2214.5669291338586</v>
      </c>
      <c r="U10" s="4">
        <v>2977.3622047244089</v>
      </c>
      <c r="V10" s="4">
        <v>5191.929133858268</v>
      </c>
      <c r="W10" s="4">
        <v>2152.5950729490555</v>
      </c>
      <c r="X10" s="4">
        <v>2861.2829330549521</v>
      </c>
      <c r="Y10" s="4">
        <v>5013.8780060040081</v>
      </c>
      <c r="Z10" s="11" t="s">
        <v>144</v>
      </c>
      <c r="AA10" s="10">
        <v>43803</v>
      </c>
      <c r="AB10" s="4">
        <v>50.6</v>
      </c>
      <c r="AC10" s="5">
        <v>1.08</v>
      </c>
      <c r="AD10" s="4">
        <v>80.5</v>
      </c>
      <c r="AE10" s="4">
        <v>26.95</v>
      </c>
      <c r="AF10" s="4">
        <v>8.9499999999999993</v>
      </c>
      <c r="AG10" s="4">
        <v>10.75</v>
      </c>
    </row>
    <row r="11" spans="1:33" x14ac:dyDescent="0.3">
      <c r="A11" s="3" t="s">
        <v>274</v>
      </c>
      <c r="B11" s="4" t="s">
        <v>106</v>
      </c>
      <c r="C11" s="10">
        <v>43768</v>
      </c>
      <c r="D11" s="2">
        <v>5.13</v>
      </c>
      <c r="E11" s="2">
        <v>0.32</v>
      </c>
      <c r="F11" s="2">
        <v>4.8099999999999996</v>
      </c>
      <c r="G11" s="4">
        <v>5917.8149606299203</v>
      </c>
      <c r="H11" s="10">
        <v>43787</v>
      </c>
      <c r="I11" s="2">
        <v>2.4000000000000004</v>
      </c>
      <c r="J11" s="2">
        <v>5.88</v>
      </c>
      <c r="K11" s="6">
        <v>0.38253638253638261</v>
      </c>
      <c r="L11" s="6">
        <v>0.52390852390852394</v>
      </c>
      <c r="M11" s="6">
        <v>9.3555093555093505E-2</v>
      </c>
      <c r="N11" s="2">
        <v>98.4</v>
      </c>
      <c r="O11" s="2">
        <v>95.75</v>
      </c>
      <c r="P11" s="2">
        <v>284.90999999999997</v>
      </c>
      <c r="Q11" s="2">
        <v>273.73</v>
      </c>
      <c r="R11" s="5">
        <v>2.6930894308943145</v>
      </c>
      <c r="S11" s="5">
        <v>3.9240461900249031</v>
      </c>
      <c r="T11" s="4">
        <v>2263.7795275590552</v>
      </c>
      <c r="U11" s="4">
        <v>3100.393700787401</v>
      </c>
      <c r="V11" s="4">
        <v>5364.1732283464562</v>
      </c>
      <c r="W11" s="4">
        <v>2202.8139203636129</v>
      </c>
      <c r="X11" s="4">
        <v>2978.7328198958812</v>
      </c>
      <c r="Y11" s="4">
        <v>5181.5467402594941</v>
      </c>
      <c r="Z11" s="11" t="s">
        <v>145</v>
      </c>
      <c r="AA11" s="10">
        <v>43803</v>
      </c>
      <c r="AB11" s="4">
        <v>47.05</v>
      </c>
      <c r="AC11" s="5">
        <v>1.105</v>
      </c>
      <c r="AD11" s="4">
        <v>80.75</v>
      </c>
      <c r="AE11" s="4">
        <v>27.25</v>
      </c>
      <c r="AF11" s="4">
        <v>9.1999999999999993</v>
      </c>
      <c r="AG11" s="4">
        <v>9.75</v>
      </c>
    </row>
    <row r="12" spans="1:33" x14ac:dyDescent="0.3">
      <c r="A12" s="3" t="s">
        <v>275</v>
      </c>
      <c r="B12" s="4" t="s">
        <v>106</v>
      </c>
      <c r="C12" s="10">
        <v>43768</v>
      </c>
      <c r="D12" s="2">
        <v>5.51</v>
      </c>
      <c r="E12" s="2">
        <v>0.32</v>
      </c>
      <c r="F12" s="2">
        <v>5.1899999999999995</v>
      </c>
      <c r="G12" s="4">
        <v>6385.3346456692907</v>
      </c>
      <c r="H12" s="10">
        <v>43787</v>
      </c>
      <c r="I12" s="2">
        <v>2.62</v>
      </c>
      <c r="J12" s="2">
        <v>6.0600000000000005</v>
      </c>
      <c r="K12" s="6">
        <v>0.39691714836223513</v>
      </c>
      <c r="L12" s="6">
        <v>0.52023121387283255</v>
      </c>
      <c r="M12" s="6">
        <v>8.2851637764932318E-2</v>
      </c>
      <c r="N12" s="2">
        <v>102.8</v>
      </c>
      <c r="O12" s="2">
        <v>100.07</v>
      </c>
      <c r="P12" s="2">
        <v>269.60000000000002</v>
      </c>
      <c r="Q12" s="2">
        <v>258.78999999999996</v>
      </c>
      <c r="R12" s="5">
        <v>2.6556420233463074</v>
      </c>
      <c r="S12" s="5">
        <v>4.0096439169139675</v>
      </c>
      <c r="T12" s="4">
        <v>2534.4488188976379</v>
      </c>
      <c r="U12" s="4">
        <v>3321.8503937007881</v>
      </c>
      <c r="V12" s="4">
        <v>5856.2992125984256</v>
      </c>
      <c r="W12" s="4">
        <v>2467.1429310027884</v>
      </c>
      <c r="X12" s="4">
        <v>3188.6560214607821</v>
      </c>
      <c r="Y12" s="4">
        <v>5655.7989524635705</v>
      </c>
      <c r="Z12" s="11" t="s">
        <v>146</v>
      </c>
      <c r="AA12" s="10">
        <v>43803</v>
      </c>
      <c r="AB12" s="4">
        <v>47.15</v>
      </c>
      <c r="AC12" s="5">
        <v>1.08</v>
      </c>
      <c r="AD12" s="4">
        <v>80.900000000000006</v>
      </c>
      <c r="AE12" s="4">
        <v>26.75</v>
      </c>
      <c r="AF12" s="4">
        <v>9.0500000000000007</v>
      </c>
      <c r="AG12" s="4">
        <v>10.45</v>
      </c>
    </row>
    <row r="13" spans="1:33" x14ac:dyDescent="0.3">
      <c r="A13" s="3" t="s">
        <v>276</v>
      </c>
      <c r="B13" s="4" t="s">
        <v>106</v>
      </c>
      <c r="C13" s="10">
        <v>43768</v>
      </c>
      <c r="D13" s="2">
        <v>4.58</v>
      </c>
      <c r="E13" s="2">
        <v>0.32</v>
      </c>
      <c r="F13" s="2">
        <v>4.26</v>
      </c>
      <c r="G13" s="4">
        <v>5241.1417322834641</v>
      </c>
      <c r="H13" s="10">
        <v>43787</v>
      </c>
      <c r="I13" s="2">
        <v>2.16</v>
      </c>
      <c r="J13" s="2">
        <v>5.52</v>
      </c>
      <c r="K13" s="6">
        <v>0.37558685446009393</v>
      </c>
      <c r="L13" s="6">
        <v>0.50704225352112675</v>
      </c>
      <c r="M13" s="6">
        <v>0.11737089201877926</v>
      </c>
      <c r="N13" s="2">
        <v>97.52000000000001</v>
      </c>
      <c r="O13" s="2">
        <v>95</v>
      </c>
      <c r="P13" s="2">
        <v>259.64999999999998</v>
      </c>
      <c r="Q13" s="2">
        <v>249.44</v>
      </c>
      <c r="R13" s="5">
        <v>2.58408531583266</v>
      </c>
      <c r="S13" s="5">
        <v>3.932216445214705</v>
      </c>
      <c r="T13" s="4">
        <v>1968.5039370078741</v>
      </c>
      <c r="U13" s="4">
        <v>2657.4803149606296</v>
      </c>
      <c r="V13" s="4">
        <v>4625.9842519685035</v>
      </c>
      <c r="W13" s="4">
        <v>1917.6361158300658</v>
      </c>
      <c r="X13" s="4">
        <v>2552.9824369874041</v>
      </c>
      <c r="Y13" s="4">
        <v>4470.6185528174701</v>
      </c>
      <c r="Z13" s="11" t="s">
        <v>147</v>
      </c>
      <c r="AA13" s="10">
        <v>43803</v>
      </c>
      <c r="AB13" s="4">
        <v>48.85</v>
      </c>
      <c r="AC13" s="5">
        <v>1.0550000000000002</v>
      </c>
      <c r="AD13" s="4">
        <v>79.849999999999994</v>
      </c>
      <c r="AE13" s="4">
        <v>26.4</v>
      </c>
      <c r="AF13" s="4">
        <v>9.1999999999999993</v>
      </c>
      <c r="AG13" s="4">
        <v>10.95</v>
      </c>
    </row>
    <row r="14" spans="1:33" x14ac:dyDescent="0.3">
      <c r="A14" s="3" t="s">
        <v>277</v>
      </c>
      <c r="B14" s="4" t="s">
        <v>106</v>
      </c>
      <c r="C14" s="10">
        <v>43768</v>
      </c>
      <c r="D14" s="2">
        <v>4.58</v>
      </c>
      <c r="E14" s="2">
        <v>0.32</v>
      </c>
      <c r="F14" s="2">
        <v>4.26</v>
      </c>
      <c r="G14" s="4">
        <v>5241.1417322834641</v>
      </c>
      <c r="H14" s="10">
        <v>43787</v>
      </c>
      <c r="I14" s="2">
        <v>2.2599999999999998</v>
      </c>
      <c r="J14" s="2">
        <v>5.52</v>
      </c>
      <c r="K14" s="6">
        <v>0.3990610328638497</v>
      </c>
      <c r="L14" s="6">
        <v>0.50704225352112675</v>
      </c>
      <c r="M14" s="6">
        <v>9.3896713615023497E-2</v>
      </c>
      <c r="N14" s="2">
        <v>104.28</v>
      </c>
      <c r="O14" s="2">
        <v>101.69</v>
      </c>
      <c r="P14" s="2">
        <v>332.58000000000004</v>
      </c>
      <c r="Q14" s="2">
        <v>319.8</v>
      </c>
      <c r="R14" s="5">
        <v>2.4836977368622972</v>
      </c>
      <c r="S14" s="5">
        <v>3.8426844668951916</v>
      </c>
      <c r="T14" s="4">
        <v>2091.5354330708656</v>
      </c>
      <c r="U14" s="4">
        <v>2657.4803149606296</v>
      </c>
      <c r="V14" s="4">
        <v>4749.0157480314956</v>
      </c>
      <c r="W14" s="4">
        <v>2039.5880148540114</v>
      </c>
      <c r="X14" s="4">
        <v>2555.3617316868399</v>
      </c>
      <c r="Y14" s="4">
        <v>4594.9497465408513</v>
      </c>
      <c r="Z14" s="11" t="s">
        <v>148</v>
      </c>
      <c r="AA14" s="10">
        <v>43803</v>
      </c>
      <c r="AB14" s="4">
        <v>48.75</v>
      </c>
      <c r="AC14" s="5">
        <v>1.0449999999999999</v>
      </c>
      <c r="AD14" s="4">
        <v>79.949999999999989</v>
      </c>
      <c r="AE14" s="4">
        <v>26.1</v>
      </c>
      <c r="AF14" s="4">
        <v>8.75</v>
      </c>
      <c r="AG14" s="4">
        <v>11.35</v>
      </c>
    </row>
    <row r="15" spans="1:33" x14ac:dyDescent="0.3">
      <c r="A15" s="3" t="s">
        <v>278</v>
      </c>
      <c r="B15" s="4" t="s">
        <v>106</v>
      </c>
      <c r="C15" s="10">
        <v>43768</v>
      </c>
      <c r="D15" s="2">
        <v>5.35</v>
      </c>
      <c r="E15" s="2">
        <v>0.32</v>
      </c>
      <c r="F15" s="2">
        <v>5.0299999999999994</v>
      </c>
      <c r="G15" s="4">
        <v>6188.4842519685035</v>
      </c>
      <c r="H15" s="10">
        <v>43787</v>
      </c>
      <c r="I15" s="2">
        <v>2.52</v>
      </c>
      <c r="J15" s="2">
        <v>6</v>
      </c>
      <c r="K15" s="6">
        <v>0.38966202783300202</v>
      </c>
      <c r="L15" s="6">
        <v>0.5248508946322068</v>
      </c>
      <c r="M15" s="6">
        <v>8.5487077534791123E-2</v>
      </c>
      <c r="N15" s="2">
        <v>91.63</v>
      </c>
      <c r="O15" s="2">
        <v>89.33</v>
      </c>
      <c r="P15" s="2">
        <v>300.87</v>
      </c>
      <c r="Q15" s="2">
        <v>288.87</v>
      </c>
      <c r="R15" s="5">
        <v>2.5100949470697338</v>
      </c>
      <c r="S15" s="5">
        <v>3.988433542726094</v>
      </c>
      <c r="T15" s="4">
        <v>2411.4173228346458</v>
      </c>
      <c r="U15" s="4">
        <v>3248.0314960629921</v>
      </c>
      <c r="V15" s="4">
        <v>5659.4488188976375</v>
      </c>
      <c r="W15" s="4">
        <v>2350.8884584614093</v>
      </c>
      <c r="X15" s="4">
        <v>3118.4859183957078</v>
      </c>
      <c r="Y15" s="4">
        <v>5469.3743768571167</v>
      </c>
      <c r="Z15" s="11" t="s">
        <v>149</v>
      </c>
      <c r="AA15" s="10">
        <v>43803</v>
      </c>
      <c r="AB15" s="4">
        <v>48.5</v>
      </c>
      <c r="AC15" s="5">
        <v>1.115</v>
      </c>
      <c r="AD15" s="4">
        <v>81.2</v>
      </c>
      <c r="AE15" s="4">
        <v>26.7</v>
      </c>
      <c r="AF15" s="4">
        <v>8.75</v>
      </c>
      <c r="AG15" s="4">
        <v>9.75</v>
      </c>
    </row>
    <row r="16" spans="1:33" x14ac:dyDescent="0.3">
      <c r="A16" s="3" t="s">
        <v>279</v>
      </c>
      <c r="B16" s="4" t="s">
        <v>106</v>
      </c>
      <c r="C16" s="10">
        <v>43768</v>
      </c>
      <c r="D16" s="2">
        <v>4.8</v>
      </c>
      <c r="E16" s="2">
        <v>0.32</v>
      </c>
      <c r="F16" s="2">
        <v>4.4799999999999995</v>
      </c>
      <c r="G16" s="4">
        <v>5511.8110236220464</v>
      </c>
      <c r="H16" s="10">
        <v>43787</v>
      </c>
      <c r="I16" s="2">
        <v>2.34</v>
      </c>
      <c r="J16" s="2">
        <v>5.74</v>
      </c>
      <c r="K16" s="6">
        <v>0.39732142857142855</v>
      </c>
      <c r="L16" s="6">
        <v>0.53125000000000011</v>
      </c>
      <c r="M16" s="6">
        <v>7.1428571428571286E-2</v>
      </c>
      <c r="N16" s="2">
        <v>92.82</v>
      </c>
      <c r="O16" s="2">
        <v>90.580000000000013</v>
      </c>
      <c r="P16" s="2">
        <v>312.57000000000005</v>
      </c>
      <c r="Q16" s="2">
        <v>300.14999999999998</v>
      </c>
      <c r="R16" s="5">
        <v>2.4132730015082751</v>
      </c>
      <c r="S16" s="5">
        <v>3.973509933774857</v>
      </c>
      <c r="T16" s="4">
        <v>2189.9606299212592</v>
      </c>
      <c r="U16" s="4">
        <v>2928.1496062992128</v>
      </c>
      <c r="V16" s="4">
        <v>5118.110236220472</v>
      </c>
      <c r="W16" s="4">
        <v>2137.110901295709</v>
      </c>
      <c r="X16" s="4">
        <v>2811.7992908171241</v>
      </c>
      <c r="Y16" s="4">
        <v>4948.9101921128331</v>
      </c>
      <c r="Z16" s="11" t="s">
        <v>150</v>
      </c>
      <c r="AA16" s="10">
        <v>43803</v>
      </c>
      <c r="AB16" s="4">
        <v>48.8</v>
      </c>
      <c r="AC16" s="5">
        <v>1.1000000000000001</v>
      </c>
      <c r="AD16" s="4">
        <v>81.349999999999994</v>
      </c>
      <c r="AE16" s="4">
        <v>27.25</v>
      </c>
      <c r="AF16" s="4">
        <v>8.4499999999999993</v>
      </c>
      <c r="AG16" s="4">
        <v>9.9499999999999993</v>
      </c>
    </row>
    <row r="17" spans="1:33" x14ac:dyDescent="0.3">
      <c r="A17" s="3" t="s">
        <v>280</v>
      </c>
      <c r="B17" s="4" t="s">
        <v>106</v>
      </c>
      <c r="C17" s="10">
        <v>43768</v>
      </c>
      <c r="D17" s="2">
        <v>4.3499999999999996</v>
      </c>
      <c r="E17" s="2">
        <v>0.32</v>
      </c>
      <c r="F17" s="2">
        <v>4.0299999999999994</v>
      </c>
      <c r="G17" s="4">
        <v>4958.1692913385814</v>
      </c>
      <c r="H17" s="10">
        <v>43787</v>
      </c>
      <c r="I17" s="2">
        <v>2.12</v>
      </c>
      <c r="J17" s="2">
        <v>5.4600000000000009</v>
      </c>
      <c r="K17" s="6">
        <v>0.38709677419354849</v>
      </c>
      <c r="L17" s="6">
        <v>0.52109181141439243</v>
      </c>
      <c r="M17" s="6">
        <v>9.1811414392059087E-2</v>
      </c>
      <c r="N17" s="2">
        <v>77.97</v>
      </c>
      <c r="O17" s="2">
        <v>76.099999999999994</v>
      </c>
      <c r="P17" s="2">
        <v>266.35000000000002</v>
      </c>
      <c r="Q17" s="2">
        <v>255.9</v>
      </c>
      <c r="R17" s="5">
        <v>2.3983583429524233</v>
      </c>
      <c r="S17" s="5">
        <v>3.923409048244797</v>
      </c>
      <c r="T17" s="4">
        <v>1919.2913385826771</v>
      </c>
      <c r="U17" s="4">
        <v>2583.6614173228359</v>
      </c>
      <c r="V17" s="4">
        <v>4502.9527559055132</v>
      </c>
      <c r="W17" s="4">
        <v>1873.2598546382162</v>
      </c>
      <c r="X17" s="4">
        <v>2482.2938114995818</v>
      </c>
      <c r="Y17" s="4">
        <v>4355.5536661377982</v>
      </c>
      <c r="Z17" s="11" t="s">
        <v>151</v>
      </c>
      <c r="AA17" s="10">
        <v>43803</v>
      </c>
      <c r="AB17" s="4">
        <v>48.4</v>
      </c>
      <c r="AC17" s="5">
        <v>1.0249999999999999</v>
      </c>
      <c r="AD17" s="4">
        <v>79.2</v>
      </c>
      <c r="AE17" s="4">
        <v>25.3</v>
      </c>
      <c r="AF17" s="4">
        <v>8.85</v>
      </c>
      <c r="AG17" s="4">
        <v>12</v>
      </c>
    </row>
    <row r="18" spans="1:33" x14ac:dyDescent="0.3">
      <c r="A18" s="3" t="s">
        <v>281</v>
      </c>
      <c r="B18" s="4" t="s">
        <v>106</v>
      </c>
      <c r="C18" s="10">
        <v>43768</v>
      </c>
      <c r="D18" s="2">
        <v>4.6500000000000004</v>
      </c>
      <c r="E18" s="2">
        <v>0.32</v>
      </c>
      <c r="F18" s="2">
        <v>4.33</v>
      </c>
      <c r="G18" s="4">
        <v>5327.2637795275587</v>
      </c>
      <c r="H18" s="10">
        <v>43787</v>
      </c>
      <c r="I18" s="2">
        <v>2.2999999999999998</v>
      </c>
      <c r="J18" s="2">
        <v>5.62</v>
      </c>
      <c r="K18" s="6">
        <v>0.40184757505773666</v>
      </c>
      <c r="L18" s="6">
        <v>0.52193995381062364</v>
      </c>
      <c r="M18" s="6">
        <v>7.6212471131639759E-2</v>
      </c>
      <c r="N18" s="2">
        <v>97.36</v>
      </c>
      <c r="O18" s="2">
        <v>95.08</v>
      </c>
      <c r="P18" s="2">
        <v>265.21000000000004</v>
      </c>
      <c r="Q18" s="2">
        <v>254.9</v>
      </c>
      <c r="R18" s="5">
        <v>2.3418241577649974</v>
      </c>
      <c r="S18" s="5">
        <v>3.8874853889370802</v>
      </c>
      <c r="T18" s="4">
        <v>2140.7480314960626</v>
      </c>
      <c r="U18" s="4">
        <v>2780.5118110236222</v>
      </c>
      <c r="V18" s="4">
        <v>4921.2598425196848</v>
      </c>
      <c r="W18" s="4">
        <v>2090.6154769376094</v>
      </c>
      <c r="X18" s="4">
        <v>2672.419820632409</v>
      </c>
      <c r="Y18" s="4">
        <v>4763.0352975700189</v>
      </c>
      <c r="Z18" s="11" t="s">
        <v>152</v>
      </c>
      <c r="AA18" s="10">
        <v>43803</v>
      </c>
      <c r="AB18" s="4">
        <v>48.25</v>
      </c>
      <c r="AC18" s="5">
        <v>1.0649999999999999</v>
      </c>
      <c r="AD18" s="4">
        <v>80.45</v>
      </c>
      <c r="AE18" s="4">
        <v>25</v>
      </c>
      <c r="AF18" s="4">
        <v>9.15</v>
      </c>
      <c r="AG18" s="4">
        <v>11.2</v>
      </c>
    </row>
    <row r="19" spans="1:33" x14ac:dyDescent="0.3">
      <c r="A19" s="3" t="s">
        <v>282</v>
      </c>
      <c r="B19" s="4" t="s">
        <v>106</v>
      </c>
      <c r="C19" s="10">
        <v>43769</v>
      </c>
      <c r="D19" s="2">
        <v>5.16</v>
      </c>
      <c r="E19" s="2">
        <v>0.32</v>
      </c>
      <c r="F19" s="2">
        <v>4.84</v>
      </c>
      <c r="G19" s="4">
        <v>5954.7244094488187</v>
      </c>
      <c r="H19" s="10">
        <v>43787</v>
      </c>
      <c r="I19" s="2">
        <v>2.44</v>
      </c>
      <c r="J19" s="2">
        <v>5.8599999999999994</v>
      </c>
      <c r="K19" s="6">
        <v>0.38842975206611569</v>
      </c>
      <c r="L19" s="6">
        <v>0.51652892561983466</v>
      </c>
      <c r="M19" s="6">
        <v>9.5041322314049603E-2</v>
      </c>
      <c r="N19" s="2">
        <v>93.710000000000008</v>
      </c>
      <c r="O19" s="2">
        <v>91.580000000000013</v>
      </c>
      <c r="P19" s="2">
        <v>241.5</v>
      </c>
      <c r="Q19" s="2">
        <v>232.26</v>
      </c>
      <c r="R19" s="5">
        <v>2.2729698004481862</v>
      </c>
      <c r="S19" s="5">
        <v>3.8260869565217432</v>
      </c>
      <c r="T19" s="4">
        <v>2312.9921259842517</v>
      </c>
      <c r="U19" s="4">
        <v>3075.7874015748025</v>
      </c>
      <c r="V19" s="4">
        <v>5388.7795275590543</v>
      </c>
      <c r="W19" s="4">
        <v>2260.418513473885</v>
      </c>
      <c r="X19" s="4">
        <v>2958.1051009928096</v>
      </c>
      <c r="Y19" s="4">
        <v>5218.5236144666942</v>
      </c>
      <c r="Z19" s="11" t="s">
        <v>153</v>
      </c>
      <c r="AA19" s="10">
        <v>43803</v>
      </c>
      <c r="AB19" s="4">
        <v>47.15</v>
      </c>
      <c r="AC19" s="5">
        <v>1.08</v>
      </c>
      <c r="AD19" s="4">
        <v>81.45</v>
      </c>
      <c r="AE19" s="4">
        <v>27.5</v>
      </c>
      <c r="AF19" s="4">
        <v>8.9499999999999993</v>
      </c>
      <c r="AG19" s="4">
        <v>10.199999999999999</v>
      </c>
    </row>
    <row r="20" spans="1:33" x14ac:dyDescent="0.3">
      <c r="A20" s="3" t="s">
        <v>283</v>
      </c>
      <c r="B20" s="4" t="s">
        <v>106</v>
      </c>
      <c r="C20" s="10">
        <v>43769</v>
      </c>
      <c r="D20" s="2">
        <v>5.21</v>
      </c>
      <c r="E20" s="2">
        <v>0.32</v>
      </c>
      <c r="F20" s="2">
        <v>4.8899999999999997</v>
      </c>
      <c r="G20" s="4">
        <v>6016.2401574803152</v>
      </c>
      <c r="H20" s="10">
        <v>43787</v>
      </c>
      <c r="I20" s="2">
        <v>2.5</v>
      </c>
      <c r="J20" s="2">
        <v>5.92</v>
      </c>
      <c r="K20" s="6">
        <v>0.39672801635991822</v>
      </c>
      <c r="L20" s="6">
        <v>0.52351738241308798</v>
      </c>
      <c r="M20" s="6">
        <v>7.9754601226993738E-2</v>
      </c>
      <c r="N20" s="2">
        <v>77.800000000000011</v>
      </c>
      <c r="O20" s="2">
        <v>76.099999999999994</v>
      </c>
      <c r="P20" s="2">
        <v>281.78999999999996</v>
      </c>
      <c r="Q20" s="2">
        <v>270.75</v>
      </c>
      <c r="R20" s="5">
        <v>2.1850899742930805</v>
      </c>
      <c r="S20" s="5">
        <v>3.9178111359522925</v>
      </c>
      <c r="T20" s="4">
        <v>2386.8110236220473</v>
      </c>
      <c r="U20" s="4">
        <v>3149.606299212599</v>
      </c>
      <c r="V20" s="4">
        <v>5536.4173228346463</v>
      </c>
      <c r="W20" s="4">
        <v>2334.6570552395601</v>
      </c>
      <c r="X20" s="4">
        <v>3026.2106728833933</v>
      </c>
      <c r="Y20" s="4">
        <v>5360.8677281229538</v>
      </c>
      <c r="Z20" s="11" t="s">
        <v>154</v>
      </c>
      <c r="AA20" s="10">
        <v>43803</v>
      </c>
      <c r="AB20" s="4">
        <v>48.2</v>
      </c>
      <c r="AC20" s="5">
        <v>1.0950000000000002</v>
      </c>
      <c r="AD20" s="4">
        <v>80.95</v>
      </c>
      <c r="AE20" s="4">
        <v>27.6</v>
      </c>
      <c r="AF20" s="4">
        <v>8.6000000000000014</v>
      </c>
      <c r="AG20" s="4">
        <v>9.8000000000000007</v>
      </c>
    </row>
    <row r="21" spans="1:33" x14ac:dyDescent="0.3">
      <c r="A21" s="3" t="s">
        <v>284</v>
      </c>
      <c r="B21" s="4" t="s">
        <v>106</v>
      </c>
      <c r="C21" s="10">
        <v>43769</v>
      </c>
      <c r="D21" s="2">
        <v>5.28</v>
      </c>
      <c r="E21" s="2">
        <v>0.32</v>
      </c>
      <c r="F21" s="2">
        <v>4.96</v>
      </c>
      <c r="G21" s="4">
        <v>6102.3622047244098</v>
      </c>
      <c r="H21" s="10">
        <v>43787</v>
      </c>
      <c r="I21" s="2">
        <v>2.5</v>
      </c>
      <c r="J21" s="2">
        <v>5.8599999999999994</v>
      </c>
      <c r="K21" s="6">
        <v>0.3911290322580645</v>
      </c>
      <c r="L21" s="6">
        <v>0.50403225806451601</v>
      </c>
      <c r="M21" s="6">
        <v>0.10483870967741948</v>
      </c>
      <c r="N21" s="2">
        <v>99.12</v>
      </c>
      <c r="O21" s="2">
        <v>96.85</v>
      </c>
      <c r="P21" s="2">
        <v>271.58000000000004</v>
      </c>
      <c r="Q21" s="2">
        <v>261.07</v>
      </c>
      <c r="R21" s="5">
        <v>2.2901533494753936</v>
      </c>
      <c r="S21" s="5">
        <v>3.8699462405184648</v>
      </c>
      <c r="T21" s="4">
        <v>2386.8110236220473</v>
      </c>
      <c r="U21" s="4">
        <v>3075.7874015748025</v>
      </c>
      <c r="V21" s="4">
        <v>5462.5984251968493</v>
      </c>
      <c r="W21" s="4">
        <v>2332.1493910189188</v>
      </c>
      <c r="X21" s="4">
        <v>2956.756082661218</v>
      </c>
      <c r="Y21" s="4">
        <v>5288.9054736801372</v>
      </c>
      <c r="Z21" s="11" t="s">
        <v>155</v>
      </c>
      <c r="AA21" s="10">
        <v>43803</v>
      </c>
      <c r="AB21" s="4">
        <v>47.6</v>
      </c>
      <c r="AC21" s="5">
        <v>1.08</v>
      </c>
      <c r="AD21" s="4">
        <v>80.5</v>
      </c>
      <c r="AE21" s="4">
        <v>26.6</v>
      </c>
      <c r="AF21" s="4">
        <v>8.5500000000000007</v>
      </c>
      <c r="AG21" s="4">
        <v>10.649999999999999</v>
      </c>
    </row>
    <row r="22" spans="1:33" x14ac:dyDescent="0.3">
      <c r="A22" s="3" t="s">
        <v>285</v>
      </c>
      <c r="B22" s="4" t="s">
        <v>106</v>
      </c>
      <c r="C22" s="10">
        <v>43769</v>
      </c>
      <c r="D22" s="2">
        <v>4.4000000000000004</v>
      </c>
      <c r="E22" s="2">
        <v>0.32</v>
      </c>
      <c r="F22" s="2">
        <v>4.08</v>
      </c>
      <c r="G22" s="4">
        <v>5019.6850393700788</v>
      </c>
      <c r="H22" s="10">
        <v>43787</v>
      </c>
      <c r="I22" s="2">
        <v>2.14</v>
      </c>
      <c r="J22" s="2">
        <v>5.48</v>
      </c>
      <c r="K22" s="6">
        <v>0.38725490196078433</v>
      </c>
      <c r="L22" s="6">
        <v>0.51960784313725505</v>
      </c>
      <c r="M22" s="6">
        <v>9.3137254901960675E-2</v>
      </c>
      <c r="N22" s="2">
        <v>92.330000000000013</v>
      </c>
      <c r="O22" s="2">
        <v>90.22</v>
      </c>
      <c r="P22" s="2">
        <v>257.99</v>
      </c>
      <c r="Q22" s="2">
        <v>248.24</v>
      </c>
      <c r="R22" s="5">
        <v>2.2852810570778872</v>
      </c>
      <c r="S22" s="5">
        <v>3.7792162486918093</v>
      </c>
      <c r="T22" s="4">
        <v>1943.8976377952756</v>
      </c>
      <c r="U22" s="4">
        <v>2608.2677165354339</v>
      </c>
      <c r="V22" s="4">
        <v>4552.1653543307093</v>
      </c>
      <c r="W22" s="4">
        <v>1899.4741133097555</v>
      </c>
      <c r="X22" s="4">
        <v>2509.6956391827439</v>
      </c>
      <c r="Y22" s="4">
        <v>4409.1697524924994</v>
      </c>
      <c r="Z22" s="11" t="s">
        <v>156</v>
      </c>
      <c r="AA22" s="10">
        <v>43803</v>
      </c>
      <c r="AB22" s="4">
        <v>47.4</v>
      </c>
      <c r="AC22" s="5">
        <v>1.0550000000000002</v>
      </c>
      <c r="AD22" s="4">
        <v>80.349999999999994</v>
      </c>
      <c r="AE22" s="4">
        <v>27.15</v>
      </c>
      <c r="AF22" s="4">
        <v>8.5</v>
      </c>
      <c r="AG22" s="4">
        <v>11</v>
      </c>
    </row>
    <row r="23" spans="1:33" x14ac:dyDescent="0.3">
      <c r="A23" s="3" t="s">
        <v>286</v>
      </c>
      <c r="B23" s="4" t="s">
        <v>106</v>
      </c>
      <c r="C23" s="10">
        <v>43769</v>
      </c>
      <c r="D23" s="2">
        <v>5.04</v>
      </c>
      <c r="E23" s="2">
        <v>0.32</v>
      </c>
      <c r="F23" s="2">
        <v>4.72</v>
      </c>
      <c r="G23" s="4">
        <v>5807.0866141732276</v>
      </c>
      <c r="H23" s="10">
        <v>43787</v>
      </c>
      <c r="I23" s="2">
        <v>2.4</v>
      </c>
      <c r="J23" s="2">
        <v>5.82</v>
      </c>
      <c r="K23" s="6">
        <v>0.38983050847457629</v>
      </c>
      <c r="L23" s="6">
        <v>0.52118644067796627</v>
      </c>
      <c r="M23" s="6">
        <v>8.898305084745739E-2</v>
      </c>
      <c r="N23" s="2">
        <v>101.55000000000001</v>
      </c>
      <c r="O23" s="2">
        <v>99.16</v>
      </c>
      <c r="P23" s="2">
        <v>297.71000000000004</v>
      </c>
      <c r="Q23" s="2">
        <v>285.98</v>
      </c>
      <c r="R23" s="5">
        <v>2.3535204332841109</v>
      </c>
      <c r="S23" s="5">
        <v>3.9400759128010532</v>
      </c>
      <c r="T23" s="4">
        <v>2263.7795275590547</v>
      </c>
      <c r="U23" s="4">
        <v>3026.5748031496069</v>
      </c>
      <c r="V23" s="4">
        <v>5290.354330708662</v>
      </c>
      <c r="W23" s="4">
        <v>2210.5010138134498</v>
      </c>
      <c r="X23" s="4">
        <v>2907.3254583478033</v>
      </c>
      <c r="Y23" s="4">
        <v>5117.8264721612532</v>
      </c>
      <c r="Z23" s="11" t="s">
        <v>157</v>
      </c>
      <c r="AA23" s="10">
        <v>43803</v>
      </c>
      <c r="AB23" s="4">
        <v>48.05</v>
      </c>
      <c r="AC23" s="5">
        <v>1.0750000000000002</v>
      </c>
      <c r="AD23" s="4">
        <v>79.849999999999994</v>
      </c>
      <c r="AE23" s="4">
        <v>26.1</v>
      </c>
      <c r="AF23" s="4">
        <v>9.15</v>
      </c>
      <c r="AG23" s="4">
        <v>11</v>
      </c>
    </row>
    <row r="24" spans="1:33" x14ac:dyDescent="0.3">
      <c r="A24" s="3" t="s">
        <v>287</v>
      </c>
      <c r="B24" s="4" t="s">
        <v>106</v>
      </c>
      <c r="C24" s="10">
        <v>43769</v>
      </c>
      <c r="D24" s="2">
        <v>5.32</v>
      </c>
      <c r="E24" s="2">
        <v>0.32</v>
      </c>
      <c r="F24" s="2">
        <v>5</v>
      </c>
      <c r="G24" s="4">
        <v>6151.5748031496069</v>
      </c>
      <c r="H24" s="10">
        <v>43787</v>
      </c>
      <c r="I24" s="2">
        <v>2.52</v>
      </c>
      <c r="J24" s="2">
        <v>6.02</v>
      </c>
      <c r="K24" s="6">
        <v>0.39200000000000002</v>
      </c>
      <c r="L24" s="6">
        <v>0.53199999999999992</v>
      </c>
      <c r="M24" s="6">
        <v>7.6000000000000068E-2</v>
      </c>
      <c r="N24" s="2">
        <v>96.92</v>
      </c>
      <c r="O24" s="2">
        <v>94.759999999999991</v>
      </c>
      <c r="P24" s="2">
        <v>280.89999999999998</v>
      </c>
      <c r="Q24" s="2">
        <v>269.95</v>
      </c>
      <c r="R24" s="5">
        <v>2.2286421791168083</v>
      </c>
      <c r="S24" s="5">
        <v>3.8981844072623675</v>
      </c>
      <c r="T24" s="4">
        <v>2411.4173228346458</v>
      </c>
      <c r="U24" s="4">
        <v>3272.6377952755902</v>
      </c>
      <c r="V24" s="4">
        <v>5684.0551181102364</v>
      </c>
      <c r="W24" s="4">
        <v>2357.6754592634234</v>
      </c>
      <c r="X24" s="4">
        <v>3145.0643390339819</v>
      </c>
      <c r="Y24" s="4">
        <v>5502.7397982974053</v>
      </c>
      <c r="Z24" s="11" t="s">
        <v>158</v>
      </c>
      <c r="AA24" s="10">
        <v>43803</v>
      </c>
      <c r="AB24" s="4">
        <v>47.900000000000006</v>
      </c>
      <c r="AC24" s="5">
        <v>1.0750000000000002</v>
      </c>
      <c r="AD24" s="4">
        <v>79.7</v>
      </c>
      <c r="AE24" s="4">
        <v>26.25</v>
      </c>
      <c r="AF24" s="4">
        <v>9</v>
      </c>
      <c r="AG24" s="4">
        <v>10.95</v>
      </c>
    </row>
    <row r="25" spans="1:33" x14ac:dyDescent="0.3">
      <c r="A25" s="3" t="s">
        <v>288</v>
      </c>
      <c r="B25" s="4" t="s">
        <v>106</v>
      </c>
      <c r="C25" s="10">
        <v>43769</v>
      </c>
      <c r="D25" s="2">
        <v>5.07</v>
      </c>
      <c r="E25" s="2">
        <v>0.32</v>
      </c>
      <c r="F25" s="2">
        <v>4.75</v>
      </c>
      <c r="G25" s="4">
        <v>5843.9960629921261</v>
      </c>
      <c r="H25" s="10">
        <v>43787</v>
      </c>
      <c r="I25" s="2">
        <v>2.46</v>
      </c>
      <c r="J25" s="2">
        <v>5.82</v>
      </c>
      <c r="K25" s="6">
        <v>0.39999999999999997</v>
      </c>
      <c r="L25" s="6">
        <v>0.5178947368421053</v>
      </c>
      <c r="M25" s="6">
        <v>8.2105263157894792E-2</v>
      </c>
      <c r="N25" s="2">
        <v>87.710000000000008</v>
      </c>
      <c r="O25" s="2">
        <v>85.75</v>
      </c>
      <c r="P25" s="2">
        <v>268.02</v>
      </c>
      <c r="Q25" s="2">
        <v>257.77999999999997</v>
      </c>
      <c r="R25" s="5">
        <v>2.2346368715083886</v>
      </c>
      <c r="S25" s="5">
        <v>3.8206104022087941</v>
      </c>
      <c r="T25" s="4">
        <v>2337.5984251968503</v>
      </c>
      <c r="U25" s="4">
        <v>3026.5748031496064</v>
      </c>
      <c r="V25" s="4">
        <v>5364.1732283464571</v>
      </c>
      <c r="W25" s="4">
        <v>2285.3615888796021</v>
      </c>
      <c r="X25" s="4">
        <v>2910.9411713898421</v>
      </c>
      <c r="Y25" s="4">
        <v>5196.3027602694438</v>
      </c>
      <c r="Z25" s="11" t="s">
        <v>159</v>
      </c>
      <c r="AA25" s="10">
        <v>43803</v>
      </c>
      <c r="AB25" s="4">
        <v>47.45</v>
      </c>
      <c r="AC25" s="5">
        <v>1.1100000000000001</v>
      </c>
      <c r="AD25" s="4">
        <v>81.3</v>
      </c>
      <c r="AE25" s="4">
        <v>27.45</v>
      </c>
      <c r="AF25" s="4">
        <v>8.85</v>
      </c>
      <c r="AG25" s="4">
        <v>9.6</v>
      </c>
    </row>
    <row r="26" spans="1:33" x14ac:dyDescent="0.3">
      <c r="A26" s="3" t="s">
        <v>289</v>
      </c>
      <c r="B26" s="4" t="s">
        <v>106</v>
      </c>
      <c r="C26" s="10">
        <v>43769</v>
      </c>
      <c r="D26" s="2">
        <v>4.5199999999999996</v>
      </c>
      <c r="E26" s="2">
        <v>0.32</v>
      </c>
      <c r="F26" s="2">
        <v>4.1999999999999993</v>
      </c>
      <c r="G26" s="4">
        <v>5167.3228346456681</v>
      </c>
      <c r="H26" s="10">
        <v>43787</v>
      </c>
      <c r="I26" s="2">
        <v>2.2199999999999998</v>
      </c>
      <c r="J26" s="2">
        <v>5.52</v>
      </c>
      <c r="K26" s="6">
        <v>0.39523809523809522</v>
      </c>
      <c r="L26" s="6">
        <v>0.51428571428571435</v>
      </c>
      <c r="M26" s="6">
        <v>9.0476190476190488E-2</v>
      </c>
      <c r="N26" s="2">
        <v>91.45</v>
      </c>
      <c r="O26" s="2">
        <v>89.42</v>
      </c>
      <c r="P26" s="2">
        <v>258.05</v>
      </c>
      <c r="Q26" s="2">
        <v>248.14999999999998</v>
      </c>
      <c r="R26" s="5">
        <v>2.2197922361946429</v>
      </c>
      <c r="S26" s="5">
        <v>3.8364658012013302</v>
      </c>
      <c r="T26" s="4">
        <v>2042.3228346456688</v>
      </c>
      <c r="U26" s="4">
        <v>2657.4803149606296</v>
      </c>
      <c r="V26" s="4">
        <v>4699.8031496062986</v>
      </c>
      <c r="W26" s="4">
        <v>1996.9875109241739</v>
      </c>
      <c r="X26" s="4">
        <v>2555.5269915035078</v>
      </c>
      <c r="Y26" s="4">
        <v>4552.5145024276817</v>
      </c>
      <c r="Z26" s="11" t="s">
        <v>160</v>
      </c>
      <c r="AA26" s="10">
        <v>43803</v>
      </c>
      <c r="AB26" s="4">
        <v>47.75</v>
      </c>
      <c r="AC26" s="5">
        <v>1.08</v>
      </c>
      <c r="AD26" s="4">
        <v>81.25</v>
      </c>
      <c r="AE26" s="4">
        <v>27.4</v>
      </c>
      <c r="AF26" s="4">
        <v>8.6</v>
      </c>
      <c r="AG26" s="4">
        <v>9.8000000000000007</v>
      </c>
    </row>
    <row r="27" spans="1:33" x14ac:dyDescent="0.3">
      <c r="A27" s="3" t="s">
        <v>290</v>
      </c>
      <c r="B27" s="4" t="s">
        <v>106</v>
      </c>
      <c r="C27" s="10">
        <v>43769</v>
      </c>
      <c r="D27" s="2">
        <v>4.95</v>
      </c>
      <c r="E27" s="2">
        <v>0.32</v>
      </c>
      <c r="F27" s="2">
        <v>4.63</v>
      </c>
      <c r="G27" s="4">
        <v>5696.358267716535</v>
      </c>
      <c r="H27" s="10">
        <v>43787</v>
      </c>
      <c r="I27" s="2">
        <v>2.4</v>
      </c>
      <c r="J27" s="2">
        <v>5.74</v>
      </c>
      <c r="K27" s="6">
        <v>0.39740820734341248</v>
      </c>
      <c r="L27" s="6">
        <v>0.51403887688984895</v>
      </c>
      <c r="M27" s="6">
        <v>8.8552915766738627E-2</v>
      </c>
      <c r="N27" s="2">
        <v>90.51</v>
      </c>
      <c r="O27" s="2">
        <v>88.449999999999989</v>
      </c>
      <c r="P27" s="2">
        <v>272.88</v>
      </c>
      <c r="Q27" s="2">
        <v>262.5</v>
      </c>
      <c r="R27" s="5">
        <v>2.2759916031377929</v>
      </c>
      <c r="S27" s="5">
        <v>3.8038698328935778</v>
      </c>
      <c r="T27" s="4">
        <v>2263.7795275590547</v>
      </c>
      <c r="U27" s="4">
        <v>2928.1496062992132</v>
      </c>
      <c r="V27" s="4">
        <v>5191.929133858268</v>
      </c>
      <c r="W27" s="4">
        <v>2212.2560955982581</v>
      </c>
      <c r="X27" s="4">
        <v>2816.7666067632053</v>
      </c>
      <c r="Y27" s="4">
        <v>5029.0227023614634</v>
      </c>
      <c r="Z27" s="11" t="s">
        <v>161</v>
      </c>
      <c r="AA27" s="10">
        <v>43803</v>
      </c>
      <c r="AB27" s="4">
        <v>47.5</v>
      </c>
      <c r="AC27" s="5">
        <v>1.05</v>
      </c>
      <c r="AD27" s="4">
        <v>79.75</v>
      </c>
      <c r="AE27" s="4">
        <v>26.299999999999997</v>
      </c>
      <c r="AF27" s="4">
        <v>8.65</v>
      </c>
      <c r="AG27" s="4">
        <v>11.2</v>
      </c>
    </row>
    <row r="28" spans="1:33" x14ac:dyDescent="0.3">
      <c r="A28" s="3" t="s">
        <v>291</v>
      </c>
      <c r="B28" s="4" t="s">
        <v>106</v>
      </c>
      <c r="C28" s="10">
        <v>43769</v>
      </c>
      <c r="D28" s="2">
        <v>4.84</v>
      </c>
      <c r="E28" s="2">
        <v>0.32</v>
      </c>
      <c r="F28" s="2">
        <v>4.5199999999999996</v>
      </c>
      <c r="G28" s="4">
        <v>5561.0236220472434</v>
      </c>
      <c r="H28" s="10">
        <v>43787</v>
      </c>
      <c r="I28" s="2">
        <v>2.3200000000000003</v>
      </c>
      <c r="J28" s="2">
        <v>5.7200000000000006</v>
      </c>
      <c r="K28" s="6">
        <v>0.38938053097345143</v>
      </c>
      <c r="L28" s="6">
        <v>0.52212389380530999</v>
      </c>
      <c r="M28" s="6">
        <v>8.849557522123852E-2</v>
      </c>
      <c r="N28" s="2">
        <v>92.48</v>
      </c>
      <c r="O28" s="2">
        <v>90.48</v>
      </c>
      <c r="P28" s="2">
        <v>318.71000000000004</v>
      </c>
      <c r="Q28" s="2">
        <v>306.38</v>
      </c>
      <c r="R28" s="5">
        <v>2.1626297577854672</v>
      </c>
      <c r="S28" s="5">
        <v>3.8687207806469956</v>
      </c>
      <c r="T28" s="4">
        <v>2165.3543307086616</v>
      </c>
      <c r="U28" s="4">
        <v>2903.5433070866152</v>
      </c>
      <c r="V28" s="4">
        <v>5068.8976377952768</v>
      </c>
      <c r="W28" s="4">
        <v>2118.5257335912597</v>
      </c>
      <c r="X28" s="4">
        <v>2791.2133237902704</v>
      </c>
      <c r="Y28" s="4">
        <v>4909.7390573815301</v>
      </c>
      <c r="Z28" s="11" t="s">
        <v>162</v>
      </c>
      <c r="AA28" s="10">
        <v>43803</v>
      </c>
      <c r="AB28" s="4">
        <v>48.45</v>
      </c>
      <c r="AC28" s="5">
        <v>1.0750000000000002</v>
      </c>
      <c r="AD28" s="4">
        <v>80.400000000000006</v>
      </c>
      <c r="AE28" s="4">
        <v>27.5</v>
      </c>
      <c r="AF28" s="4">
        <v>8.6000000000000014</v>
      </c>
      <c r="AG28" s="4">
        <v>10.5</v>
      </c>
    </row>
    <row r="29" spans="1:33" x14ac:dyDescent="0.3">
      <c r="A29" s="3" t="s">
        <v>292</v>
      </c>
      <c r="B29" s="4" t="s">
        <v>106</v>
      </c>
      <c r="C29" s="10">
        <v>43769</v>
      </c>
      <c r="D29" s="2">
        <v>4.47</v>
      </c>
      <c r="E29" s="2">
        <v>0.32</v>
      </c>
      <c r="F29" s="2">
        <v>4.1499999999999995</v>
      </c>
      <c r="G29" s="4">
        <v>5105.8070866141725</v>
      </c>
      <c r="H29" s="10">
        <v>43787</v>
      </c>
      <c r="I29" s="2">
        <v>2.2000000000000002</v>
      </c>
      <c r="J29" s="2">
        <v>5.5</v>
      </c>
      <c r="K29" s="6">
        <v>0.39518072289156636</v>
      </c>
      <c r="L29" s="6">
        <v>0.51566265060240979</v>
      </c>
      <c r="M29" s="6">
        <v>8.9156626506023851E-2</v>
      </c>
      <c r="N29" s="2">
        <v>91.32</v>
      </c>
      <c r="O29" s="2">
        <v>89.4</v>
      </c>
      <c r="P29" s="2">
        <v>286.38</v>
      </c>
      <c r="Q29" s="2">
        <v>275.77999999999997</v>
      </c>
      <c r="R29" s="5">
        <v>2.1024967148488694</v>
      </c>
      <c r="S29" s="5">
        <v>3.7013757943990582</v>
      </c>
      <c r="T29" s="4">
        <v>2017.7165354330712</v>
      </c>
      <c r="U29" s="4">
        <v>2632.874015748032</v>
      </c>
      <c r="V29" s="4">
        <v>4650.5905511811034</v>
      </c>
      <c r="W29" s="4">
        <v>1975.2941115606284</v>
      </c>
      <c r="X29" s="4">
        <v>2535.421454232112</v>
      </c>
      <c r="Y29" s="4">
        <v>4510.7155657927406</v>
      </c>
      <c r="Z29" s="11" t="s">
        <v>163</v>
      </c>
      <c r="AA29" s="10">
        <v>43803</v>
      </c>
      <c r="AB29" s="4">
        <v>49.6</v>
      </c>
      <c r="AC29" s="5">
        <v>1.06</v>
      </c>
      <c r="AD29" s="4">
        <v>80.2</v>
      </c>
      <c r="AE29" s="4">
        <v>26.5</v>
      </c>
      <c r="AF29" s="4">
        <v>9.1999999999999993</v>
      </c>
      <c r="AG29" s="4">
        <v>10.6</v>
      </c>
    </row>
    <row r="30" spans="1:33" x14ac:dyDescent="0.3">
      <c r="A30" s="3" t="s">
        <v>293</v>
      </c>
      <c r="B30" s="4" t="s">
        <v>106</v>
      </c>
      <c r="C30" s="10">
        <v>43769</v>
      </c>
      <c r="D30" s="2">
        <v>3.55</v>
      </c>
      <c r="E30" s="2">
        <v>0.32</v>
      </c>
      <c r="F30" s="2">
        <v>3.23</v>
      </c>
      <c r="G30" s="4">
        <v>3973.9173228346458</v>
      </c>
      <c r="H30" s="10">
        <v>43787</v>
      </c>
      <c r="I30" s="2">
        <v>1.8</v>
      </c>
      <c r="J30" s="2">
        <v>5.0199999999999996</v>
      </c>
      <c r="K30" s="6">
        <v>0.38390092879256965</v>
      </c>
      <c r="L30" s="6">
        <v>0.51393188854489158</v>
      </c>
      <c r="M30" s="6">
        <v>0.10216718266253877</v>
      </c>
      <c r="N30" s="2">
        <v>88.69</v>
      </c>
      <c r="O30" s="2">
        <v>86.75</v>
      </c>
      <c r="P30" s="2">
        <v>231.57999999999998</v>
      </c>
      <c r="Q30" s="2">
        <v>223.08999999999997</v>
      </c>
      <c r="R30" s="5">
        <v>2.187394294734466</v>
      </c>
      <c r="S30" s="5">
        <v>3.6661196994559155</v>
      </c>
      <c r="T30" s="4">
        <v>1525.5905511811025</v>
      </c>
      <c r="U30" s="4">
        <v>2042.3228346456692</v>
      </c>
      <c r="V30" s="4">
        <v>3567.9133858267714</v>
      </c>
      <c r="W30" s="4">
        <v>1492.2198705035589</v>
      </c>
      <c r="X30" s="4">
        <v>1967.4488348782379</v>
      </c>
      <c r="Y30" s="4">
        <v>3459.6687053817968</v>
      </c>
      <c r="Z30" s="11" t="s">
        <v>164</v>
      </c>
      <c r="AA30" s="10">
        <v>43803</v>
      </c>
      <c r="AB30" s="4">
        <v>46.3</v>
      </c>
      <c r="AC30" s="5">
        <v>1.05</v>
      </c>
      <c r="AD30" s="4">
        <v>80.349999999999994</v>
      </c>
      <c r="AE30" s="4">
        <v>27</v>
      </c>
      <c r="AF30" s="4">
        <v>8.4499999999999993</v>
      </c>
      <c r="AG30" s="4">
        <v>10.7</v>
      </c>
    </row>
    <row r="31" spans="1:33" x14ac:dyDescent="0.3">
      <c r="H31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E5B7D-92B8-4D11-9F53-24431941E6FC}">
  <dimension ref="A1:AC55"/>
  <sheetViews>
    <sheetView workbookViewId="0"/>
  </sheetViews>
  <sheetFormatPr defaultRowHeight="14.4" x14ac:dyDescent="0.3"/>
  <cols>
    <col min="1" max="1" width="9.88671875" bestFit="1" customWidth="1"/>
  </cols>
  <sheetData>
    <row r="1" spans="1:29" x14ac:dyDescent="0.3">
      <c r="B1" t="s">
        <v>49</v>
      </c>
      <c r="C1" t="s">
        <v>49</v>
      </c>
      <c r="Q1" t="s">
        <v>49</v>
      </c>
      <c r="R1" t="s">
        <v>49</v>
      </c>
    </row>
    <row r="2" spans="1:29" x14ac:dyDescent="0.3">
      <c r="B2" t="s">
        <v>50</v>
      </c>
      <c r="C2" t="s">
        <v>50</v>
      </c>
      <c r="Q2" t="s">
        <v>50</v>
      </c>
      <c r="R2" t="s">
        <v>50</v>
      </c>
    </row>
    <row r="3" spans="1:29" x14ac:dyDescent="0.3">
      <c r="B3" t="s">
        <v>21</v>
      </c>
      <c r="C3" t="s">
        <v>21</v>
      </c>
      <c r="Q3" t="s">
        <v>22</v>
      </c>
      <c r="R3" t="s">
        <v>22</v>
      </c>
    </row>
    <row r="4" spans="1:29" x14ac:dyDescent="0.3">
      <c r="B4" t="s">
        <v>214</v>
      </c>
      <c r="C4" t="s">
        <v>214</v>
      </c>
      <c r="Q4" t="s">
        <v>214</v>
      </c>
      <c r="R4" t="s">
        <v>214</v>
      </c>
      <c r="AC4">
        <v>0</v>
      </c>
    </row>
    <row r="5" spans="1:29" x14ac:dyDescent="0.3">
      <c r="B5" t="s">
        <v>120</v>
      </c>
      <c r="C5" t="s">
        <v>123</v>
      </c>
      <c r="Q5" t="s">
        <v>120</v>
      </c>
      <c r="R5" t="s">
        <v>123</v>
      </c>
      <c r="AC5">
        <v>4000</v>
      </c>
    </row>
    <row r="6" spans="1:29" x14ac:dyDescent="0.3">
      <c r="A6" t="s">
        <v>0</v>
      </c>
      <c r="B6" t="s">
        <v>215</v>
      </c>
      <c r="C6" t="s">
        <v>215</v>
      </c>
      <c r="P6" t="s">
        <v>0</v>
      </c>
      <c r="Q6" t="s">
        <v>215</v>
      </c>
      <c r="R6" t="s">
        <v>215</v>
      </c>
    </row>
    <row r="7" spans="1:29" x14ac:dyDescent="0.3">
      <c r="A7" t="s">
        <v>217</v>
      </c>
      <c r="B7" t="s">
        <v>216</v>
      </c>
      <c r="C7" t="s">
        <v>216</v>
      </c>
      <c r="P7" t="s">
        <v>217</v>
      </c>
      <c r="Q7" t="s">
        <v>216</v>
      </c>
      <c r="R7" t="s">
        <v>216</v>
      </c>
    </row>
    <row r="8" spans="1:29" x14ac:dyDescent="0.3">
      <c r="A8" t="s">
        <v>52</v>
      </c>
      <c r="B8">
        <v>2017.7165354330712</v>
      </c>
      <c r="C8">
        <v>2509.8425196850399</v>
      </c>
      <c r="P8" t="s">
        <v>52</v>
      </c>
      <c r="Q8">
        <v>1960.5915737805503</v>
      </c>
      <c r="R8">
        <v>2409.913196341412</v>
      </c>
    </row>
    <row r="9" spans="1:29" x14ac:dyDescent="0.3">
      <c r="A9" t="s">
        <v>53</v>
      </c>
      <c r="B9">
        <v>2165.3543307086611</v>
      </c>
      <c r="C9">
        <v>2854.3307086614172</v>
      </c>
      <c r="P9" t="s">
        <v>53</v>
      </c>
      <c r="Q9">
        <v>2109.6676713630382</v>
      </c>
      <c r="R9">
        <v>2737.8736532357966</v>
      </c>
    </row>
    <row r="10" spans="1:29" x14ac:dyDescent="0.3">
      <c r="A10" t="s">
        <v>54</v>
      </c>
      <c r="B10">
        <v>2066.9291338582684</v>
      </c>
      <c r="C10">
        <v>3001.9685039370074</v>
      </c>
      <c r="P10" t="s">
        <v>54</v>
      </c>
      <c r="Q10">
        <v>2008.9901562262253</v>
      </c>
      <c r="R10">
        <v>2879.4890920503822</v>
      </c>
    </row>
    <row r="11" spans="1:29" x14ac:dyDescent="0.3">
      <c r="A11" t="s">
        <v>55</v>
      </c>
      <c r="B11">
        <v>2165.3543307086611</v>
      </c>
      <c r="C11">
        <v>3051.1811023622049</v>
      </c>
      <c r="P11" t="s">
        <v>55</v>
      </c>
      <c r="Q11">
        <v>2104.2959776530765</v>
      </c>
      <c r="R11">
        <v>2926.2400754855976</v>
      </c>
    </row>
    <row r="12" spans="1:29" x14ac:dyDescent="0.3">
      <c r="A12" t="s">
        <v>56</v>
      </c>
      <c r="B12">
        <v>1722.4409448818897</v>
      </c>
      <c r="C12">
        <v>2312.9921259842522</v>
      </c>
      <c r="P12" t="s">
        <v>56</v>
      </c>
      <c r="Q12">
        <v>1674.8402227613053</v>
      </c>
      <c r="R12">
        <v>2222.4349973657463</v>
      </c>
    </row>
    <row r="13" spans="1:29" x14ac:dyDescent="0.3">
      <c r="A13" t="s">
        <v>57</v>
      </c>
      <c r="B13">
        <v>1574.8031496062993</v>
      </c>
      <c r="C13">
        <v>1968.5039370078741</v>
      </c>
      <c r="P13" t="s">
        <v>57</v>
      </c>
      <c r="Q13">
        <v>1530.9379763822958</v>
      </c>
      <c r="R13">
        <v>1892.6921071767922</v>
      </c>
    </row>
    <row r="14" spans="1:29" x14ac:dyDescent="0.3">
      <c r="A14" t="s">
        <v>58</v>
      </c>
      <c r="B14">
        <v>2411.4173228346458</v>
      </c>
      <c r="C14">
        <v>3248.0314960629926</v>
      </c>
      <c r="P14" t="s">
        <v>58</v>
      </c>
      <c r="Q14">
        <v>2344.7755704463048</v>
      </c>
      <c r="R14">
        <v>3118.7286411786154</v>
      </c>
    </row>
    <row r="15" spans="1:29" x14ac:dyDescent="0.3">
      <c r="A15" t="s">
        <v>59</v>
      </c>
      <c r="B15">
        <v>2017.7165354330712</v>
      </c>
      <c r="C15">
        <v>2706.6929133858271</v>
      </c>
      <c r="P15" t="s">
        <v>59</v>
      </c>
      <c r="Q15">
        <v>1960.7891068553845</v>
      </c>
      <c r="R15">
        <v>2603.4784473299846</v>
      </c>
    </row>
    <row r="16" spans="1:29" x14ac:dyDescent="0.3">
      <c r="A16" t="s">
        <v>60</v>
      </c>
      <c r="B16">
        <v>2509.8425196850399</v>
      </c>
      <c r="C16">
        <v>3248.031496062993</v>
      </c>
      <c r="P16" t="s">
        <v>60</v>
      </c>
      <c r="Q16">
        <v>2441.1341611144767</v>
      </c>
      <c r="R16">
        <v>3121.7897731278654</v>
      </c>
    </row>
    <row r="17" spans="1:18" x14ac:dyDescent="0.3">
      <c r="A17" t="s">
        <v>61</v>
      </c>
      <c r="B17">
        <v>2017.7165354330707</v>
      </c>
      <c r="C17">
        <v>2952.7559055118113</v>
      </c>
      <c r="P17" t="s">
        <v>61</v>
      </c>
      <c r="Q17">
        <v>1964.1093064473948</v>
      </c>
      <c r="R17">
        <v>2835.6494390042608</v>
      </c>
    </row>
    <row r="18" spans="1:18" x14ac:dyDescent="0.3">
      <c r="A18" t="s">
        <v>62</v>
      </c>
      <c r="B18">
        <v>2312.9921259842513</v>
      </c>
      <c r="C18">
        <v>3001.9685039370074</v>
      </c>
      <c r="P18" t="s">
        <v>62</v>
      </c>
      <c r="Q18">
        <v>2251.7312139887431</v>
      </c>
      <c r="R18">
        <v>2881.871180054362</v>
      </c>
    </row>
    <row r="19" spans="1:18" x14ac:dyDescent="0.3">
      <c r="A19" t="s">
        <v>63</v>
      </c>
      <c r="B19">
        <v>2755.9055118110232</v>
      </c>
      <c r="C19">
        <v>3641.732283464567</v>
      </c>
      <c r="P19" t="s">
        <v>63</v>
      </c>
      <c r="Q19">
        <v>2682.4565494233489</v>
      </c>
      <c r="R19">
        <v>3495.4092081725516</v>
      </c>
    </row>
    <row r="20" spans="1:18" x14ac:dyDescent="0.3">
      <c r="A20" t="s">
        <v>64</v>
      </c>
      <c r="B20">
        <v>2017.7165354330712</v>
      </c>
      <c r="C20">
        <v>2706.6929133858266</v>
      </c>
      <c r="P20" t="s">
        <v>64</v>
      </c>
      <c r="Q20">
        <v>1965.3622760705161</v>
      </c>
      <c r="R20">
        <v>2599.607637556082</v>
      </c>
    </row>
    <row r="21" spans="1:18" x14ac:dyDescent="0.3">
      <c r="A21" t="s">
        <v>65</v>
      </c>
      <c r="B21">
        <v>1919.2913385826771</v>
      </c>
      <c r="C21">
        <v>2608.2677165354335</v>
      </c>
      <c r="P21" t="s">
        <v>65</v>
      </c>
      <c r="Q21">
        <v>1869.8978114867996</v>
      </c>
      <c r="R21">
        <v>2506.4208677309357</v>
      </c>
    </row>
    <row r="22" spans="1:18" x14ac:dyDescent="0.3">
      <c r="A22" t="s">
        <v>66</v>
      </c>
      <c r="B22">
        <v>2214.5669291338581</v>
      </c>
      <c r="C22">
        <v>2755.9055118110232</v>
      </c>
      <c r="P22" t="s">
        <v>66</v>
      </c>
      <c r="Q22">
        <v>2160.4449008176862</v>
      </c>
      <c r="R22">
        <v>2649.6540962019903</v>
      </c>
    </row>
    <row r="23" spans="1:18" x14ac:dyDescent="0.3">
      <c r="A23" t="s">
        <v>67</v>
      </c>
      <c r="B23">
        <v>1968.5039370078741</v>
      </c>
      <c r="C23">
        <v>2559.0551181102369</v>
      </c>
      <c r="P23" t="s">
        <v>67</v>
      </c>
      <c r="Q23">
        <v>1918.8930026130843</v>
      </c>
      <c r="R23">
        <v>2461.116393646093</v>
      </c>
    </row>
    <row r="24" spans="1:18" x14ac:dyDescent="0.3">
      <c r="A24" t="s">
        <v>68</v>
      </c>
      <c r="B24">
        <v>2214.5669291338581</v>
      </c>
      <c r="C24">
        <v>3001.9685039370074</v>
      </c>
      <c r="P24" t="s">
        <v>68</v>
      </c>
      <c r="Q24">
        <v>2161.3058229488001</v>
      </c>
      <c r="R24">
        <v>2881.1985526113676</v>
      </c>
    </row>
    <row r="25" spans="1:18" x14ac:dyDescent="0.3">
      <c r="A25" t="s">
        <v>69</v>
      </c>
      <c r="B25">
        <v>2608.2677165354335</v>
      </c>
      <c r="C25">
        <v>3494.0944881889773</v>
      </c>
      <c r="P25" t="s">
        <v>69</v>
      </c>
      <c r="Q25">
        <v>2540.2115160403423</v>
      </c>
      <c r="R25">
        <v>3356.0424571375029</v>
      </c>
    </row>
    <row r="26" spans="1:18" x14ac:dyDescent="0.3">
      <c r="A26" t="s">
        <v>70</v>
      </c>
      <c r="B26">
        <v>2214.5669291338581</v>
      </c>
      <c r="C26">
        <v>3051.1811023622049</v>
      </c>
      <c r="P26" t="s">
        <v>70</v>
      </c>
      <c r="Q26">
        <v>2160.7158288558026</v>
      </c>
      <c r="R26">
        <v>2927.4231985576348</v>
      </c>
    </row>
    <row r="27" spans="1:18" x14ac:dyDescent="0.3">
      <c r="A27" t="s">
        <v>71</v>
      </c>
      <c r="B27">
        <v>2165.3543307086607</v>
      </c>
      <c r="C27">
        <v>2805.1181102362198</v>
      </c>
      <c r="P27" t="s">
        <v>71</v>
      </c>
      <c r="Q27">
        <v>2113.4979486787447</v>
      </c>
      <c r="R27">
        <v>2696.1238956839893</v>
      </c>
    </row>
    <row r="28" spans="1:18" x14ac:dyDescent="0.3">
      <c r="A28" t="s">
        <v>72</v>
      </c>
      <c r="B28">
        <v>1870.0787401574803</v>
      </c>
      <c r="C28">
        <v>2608.2677165354339</v>
      </c>
      <c r="P28" t="s">
        <v>72</v>
      </c>
      <c r="Q28">
        <v>1825.0726957885452</v>
      </c>
      <c r="R28">
        <v>2505.3876902589227</v>
      </c>
    </row>
    <row r="29" spans="1:18" x14ac:dyDescent="0.3">
      <c r="A29" t="s">
        <v>73</v>
      </c>
      <c r="B29">
        <v>1968.5039370078744</v>
      </c>
      <c r="C29">
        <v>2559.0551181102369</v>
      </c>
      <c r="P29" t="s">
        <v>73</v>
      </c>
      <c r="Q29">
        <v>1921.4330633348022</v>
      </c>
      <c r="R29">
        <v>2459.2562543447129</v>
      </c>
    </row>
    <row r="30" spans="1:18" x14ac:dyDescent="0.3">
      <c r="A30" t="s">
        <v>74</v>
      </c>
      <c r="B30">
        <v>2263.7795275590552</v>
      </c>
      <c r="C30">
        <v>2952.7559055118109</v>
      </c>
      <c r="P30" t="s">
        <v>74</v>
      </c>
      <c r="Q30">
        <v>2211.4720920723403</v>
      </c>
      <c r="R30">
        <v>2836.3233975555891</v>
      </c>
    </row>
    <row r="31" spans="1:18" x14ac:dyDescent="0.3">
      <c r="A31" t="s">
        <v>75</v>
      </c>
      <c r="B31">
        <v>2017.7165354330712</v>
      </c>
      <c r="C31">
        <v>2608.2677165354335</v>
      </c>
      <c r="P31" t="s">
        <v>75</v>
      </c>
      <c r="Q31">
        <v>1969.9879572204072</v>
      </c>
      <c r="R31">
        <v>2508.2439582315747</v>
      </c>
    </row>
    <row r="32" spans="1:18" x14ac:dyDescent="0.3">
      <c r="A32" t="s">
        <v>76</v>
      </c>
      <c r="B32">
        <v>2460.6299212598424</v>
      </c>
      <c r="C32">
        <v>3444.8818897637793</v>
      </c>
      <c r="P32" t="s">
        <v>76</v>
      </c>
      <c r="Q32">
        <v>2405.88843246652</v>
      </c>
      <c r="R32">
        <v>3313.6430642830201</v>
      </c>
    </row>
    <row r="33" spans="1:18" x14ac:dyDescent="0.3">
      <c r="A33" t="s">
        <v>77</v>
      </c>
      <c r="B33">
        <v>2165.3543307086616</v>
      </c>
      <c r="C33">
        <v>2706.6929133858266</v>
      </c>
      <c r="P33" t="s">
        <v>77</v>
      </c>
      <c r="Q33">
        <v>2115.1728214038876</v>
      </c>
      <c r="R33">
        <v>2602.6521446734178</v>
      </c>
    </row>
    <row r="34" spans="1:18" x14ac:dyDescent="0.3">
      <c r="A34" t="s">
        <v>78</v>
      </c>
      <c r="B34">
        <v>2362.2047244094488</v>
      </c>
      <c r="C34">
        <v>3100.3937007874024</v>
      </c>
      <c r="P34" t="s">
        <v>78</v>
      </c>
      <c r="Q34">
        <v>2310.652872426821</v>
      </c>
      <c r="R34">
        <v>2978.9324940095671</v>
      </c>
    </row>
    <row r="35" spans="1:18" x14ac:dyDescent="0.3">
      <c r="A35" t="s">
        <v>79</v>
      </c>
      <c r="B35">
        <v>2411.4173228346453</v>
      </c>
      <c r="C35">
        <v>3198.8188976377951</v>
      </c>
      <c r="P35" t="s">
        <v>79</v>
      </c>
      <c r="Q35">
        <v>2358.6760645900094</v>
      </c>
      <c r="R35">
        <v>3073.4896996109778</v>
      </c>
    </row>
    <row r="36" spans="1:18" x14ac:dyDescent="0.3">
      <c r="A36" t="s">
        <v>80</v>
      </c>
      <c r="B36">
        <v>2214.5669291338581</v>
      </c>
      <c r="C36">
        <v>2952.7559055118109</v>
      </c>
      <c r="P36" t="s">
        <v>80</v>
      </c>
      <c r="Q36">
        <v>2163.1277861626618</v>
      </c>
      <c r="R36">
        <v>2839.5592429407207</v>
      </c>
    </row>
    <row r="37" spans="1:18" x14ac:dyDescent="0.3">
      <c r="A37" t="s">
        <v>81</v>
      </c>
      <c r="B37">
        <v>2559.055118110236</v>
      </c>
      <c r="C37">
        <v>3198.8188976377951</v>
      </c>
      <c r="P37" t="s">
        <v>81</v>
      </c>
      <c r="Q37">
        <v>2501.2816504165562</v>
      </c>
      <c r="R37">
        <v>3073.7732690658158</v>
      </c>
    </row>
    <row r="38" spans="1:18" x14ac:dyDescent="0.3">
      <c r="A38" t="s">
        <v>82</v>
      </c>
      <c r="B38">
        <v>1968.5039370078741</v>
      </c>
      <c r="C38">
        <v>2706.6929133858271</v>
      </c>
      <c r="P38" t="s">
        <v>82</v>
      </c>
      <c r="Q38">
        <v>1923.9251827728922</v>
      </c>
      <c r="R38">
        <v>2604.1814590843151</v>
      </c>
    </row>
    <row r="39" spans="1:18" x14ac:dyDescent="0.3">
      <c r="A39" t="s">
        <v>83</v>
      </c>
      <c r="B39">
        <v>1919.2913385826771</v>
      </c>
      <c r="C39">
        <v>2509.8425196850399</v>
      </c>
      <c r="P39" t="s">
        <v>83</v>
      </c>
      <c r="Q39">
        <v>1875.0996364636633</v>
      </c>
      <c r="R39">
        <v>2415.22669210204</v>
      </c>
    </row>
    <row r="40" spans="1:18" x14ac:dyDescent="0.3">
      <c r="A40" t="s">
        <v>84</v>
      </c>
      <c r="B40">
        <v>2263.7795275590547</v>
      </c>
      <c r="C40">
        <v>3051.1811023622045</v>
      </c>
      <c r="P40" t="s">
        <v>84</v>
      </c>
      <c r="Q40">
        <v>2209.3617504542694</v>
      </c>
      <c r="R40">
        <v>2931.4127832290005</v>
      </c>
    </row>
    <row r="41" spans="1:18" x14ac:dyDescent="0.3">
      <c r="A41" t="s">
        <v>85</v>
      </c>
      <c r="B41">
        <v>2263.7795275590552</v>
      </c>
      <c r="C41">
        <v>3001.968503937007</v>
      </c>
      <c r="P41" t="s">
        <v>85</v>
      </c>
      <c r="Q41">
        <v>2211.5157663567979</v>
      </c>
      <c r="R41">
        <v>2883.2578199037293</v>
      </c>
    </row>
    <row r="42" spans="1:18" x14ac:dyDescent="0.3">
      <c r="A42" t="s">
        <v>86</v>
      </c>
      <c r="B42">
        <v>2460.6299212598424</v>
      </c>
      <c r="C42">
        <v>3346.4566929133862</v>
      </c>
      <c r="P42" t="s">
        <v>86</v>
      </c>
      <c r="Q42">
        <v>2406.0991690637707</v>
      </c>
      <c r="R42">
        <v>3217.2200170912097</v>
      </c>
    </row>
    <row r="43" spans="1:18" x14ac:dyDescent="0.3">
      <c r="A43" t="s">
        <v>87</v>
      </c>
      <c r="B43">
        <v>2362.2047244094488</v>
      </c>
      <c r="C43">
        <v>3198.8188976377951</v>
      </c>
      <c r="P43" t="s">
        <v>87</v>
      </c>
      <c r="Q43">
        <v>2309.316227287205</v>
      </c>
      <c r="R43">
        <v>3072.7643745505384</v>
      </c>
    </row>
    <row r="44" spans="1:18" x14ac:dyDescent="0.3">
      <c r="A44" t="s">
        <v>88</v>
      </c>
      <c r="B44">
        <v>2411.4173228346453</v>
      </c>
      <c r="C44">
        <v>3149.6062992125976</v>
      </c>
      <c r="P44" t="s">
        <v>88</v>
      </c>
      <c r="Q44">
        <v>2358.6125639404559</v>
      </c>
      <c r="R44">
        <v>3029.4536858389383</v>
      </c>
    </row>
    <row r="45" spans="1:18" x14ac:dyDescent="0.3">
      <c r="A45" t="s">
        <v>89</v>
      </c>
      <c r="B45">
        <v>2263.7795275590552</v>
      </c>
      <c r="C45">
        <v>2903.5433070866138</v>
      </c>
      <c r="P45" t="s">
        <v>89</v>
      </c>
      <c r="Q45">
        <v>2211.967672174781</v>
      </c>
      <c r="R45">
        <v>2792.4130537437081</v>
      </c>
    </row>
    <row r="46" spans="1:18" x14ac:dyDescent="0.3">
      <c r="A46" t="s">
        <v>90</v>
      </c>
      <c r="B46">
        <v>2165.3543307086611</v>
      </c>
      <c r="C46">
        <v>2854.3307086614172</v>
      </c>
      <c r="P46" t="s">
        <v>90</v>
      </c>
      <c r="Q46">
        <v>2116.5793072546426</v>
      </c>
      <c r="R46">
        <v>2744.1547725427372</v>
      </c>
    </row>
    <row r="47" spans="1:18" x14ac:dyDescent="0.3">
      <c r="A47" t="s">
        <v>91</v>
      </c>
      <c r="B47">
        <v>1919.2913385826771</v>
      </c>
      <c r="C47">
        <v>2460.6299212598437</v>
      </c>
      <c r="P47" t="s">
        <v>91</v>
      </c>
      <c r="Q47">
        <v>1877.465449960283</v>
      </c>
      <c r="R47">
        <v>2366.7750486413088</v>
      </c>
    </row>
    <row r="48" spans="1:18" x14ac:dyDescent="0.3">
      <c r="A48" t="s">
        <v>92</v>
      </c>
      <c r="B48">
        <v>2116.1417322834645</v>
      </c>
      <c r="C48">
        <v>2805.1181102362198</v>
      </c>
      <c r="P48" t="s">
        <v>92</v>
      </c>
      <c r="Q48">
        <v>2066.6113769677095</v>
      </c>
      <c r="R48">
        <v>2698.1531788853881</v>
      </c>
    </row>
    <row r="49" spans="1:18" x14ac:dyDescent="0.3">
      <c r="A49" t="s">
        <v>93</v>
      </c>
      <c r="B49">
        <v>2411.4173228346453</v>
      </c>
      <c r="C49">
        <v>3051.1811023622049</v>
      </c>
      <c r="P49" t="s">
        <v>93</v>
      </c>
      <c r="Q49">
        <v>2358.4191399152023</v>
      </c>
      <c r="R49">
        <v>2935.3846995982285</v>
      </c>
    </row>
    <row r="50" spans="1:18" x14ac:dyDescent="0.3">
      <c r="A50" t="s">
        <v>94</v>
      </c>
      <c r="B50">
        <v>1673.2283464566931</v>
      </c>
      <c r="C50">
        <v>2263.7795275590552</v>
      </c>
      <c r="P50" t="s">
        <v>94</v>
      </c>
      <c r="Q50">
        <v>1639.3758867602037</v>
      </c>
      <c r="R50">
        <v>2176.9939576266415</v>
      </c>
    </row>
    <row r="51" spans="1:18" x14ac:dyDescent="0.3">
      <c r="A51" t="s">
        <v>95</v>
      </c>
      <c r="B51">
        <v>2657.48031496063</v>
      </c>
      <c r="C51">
        <v>3543.3070866141743</v>
      </c>
      <c r="P51" t="s">
        <v>95</v>
      </c>
      <c r="Q51">
        <v>2596.103909729472</v>
      </c>
      <c r="R51">
        <v>3405.0662968142278</v>
      </c>
    </row>
    <row r="52" spans="1:18" x14ac:dyDescent="0.3">
      <c r="A52" t="s">
        <v>96</v>
      </c>
      <c r="B52">
        <v>1722.4409448818897</v>
      </c>
      <c r="C52">
        <v>2312.9921259842527</v>
      </c>
      <c r="P52" t="s">
        <v>96</v>
      </c>
      <c r="Q52">
        <v>1685.8922365607075</v>
      </c>
      <c r="R52">
        <v>2226.1216051139527</v>
      </c>
    </row>
    <row r="53" spans="1:18" x14ac:dyDescent="0.3">
      <c r="A53" t="s">
        <v>97</v>
      </c>
      <c r="B53">
        <v>2312.9921259842513</v>
      </c>
      <c r="C53">
        <v>2952.7559055118109</v>
      </c>
      <c r="P53" t="s">
        <v>97</v>
      </c>
      <c r="Q53">
        <v>2264.9512560929875</v>
      </c>
      <c r="R53">
        <v>2844.8846885845433</v>
      </c>
    </row>
    <row r="54" spans="1:18" x14ac:dyDescent="0.3">
      <c r="A54" t="s">
        <v>98</v>
      </c>
      <c r="B54">
        <v>1279.527559055118</v>
      </c>
      <c r="C54">
        <v>1673.2283464566931</v>
      </c>
      <c r="P54" t="s">
        <v>98</v>
      </c>
      <c r="Q54">
        <v>1251.5106366713458</v>
      </c>
      <c r="R54">
        <v>1612.7076344621757</v>
      </c>
    </row>
    <row r="55" spans="1:18" x14ac:dyDescent="0.3">
      <c r="A55" t="s">
        <v>99</v>
      </c>
      <c r="B55">
        <v>1771.6535433070865</v>
      </c>
      <c r="C55">
        <v>2411.4173228346463</v>
      </c>
      <c r="P55" t="s">
        <v>99</v>
      </c>
      <c r="Q55">
        <v>1732.948103433446</v>
      </c>
      <c r="R55">
        <v>2321.8708381036945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Scale</vt:lpstr>
      <vt:lpstr>Plot Scale</vt:lpstr>
      <vt:lpstr>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2022-05-13T17:57:34Z</dcterms:created>
  <dcterms:modified xsi:type="dcterms:W3CDTF">2023-10-05T16:24:12Z</dcterms:modified>
</cp:coreProperties>
</file>