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9_F013B4_CO_PIT\"/>
    </mc:Choice>
  </mc:AlternateContent>
  <xr:revisionPtr revIDLastSave="0" documentId="8_{6C97D4B9-239A-41DD-A5B0-EDFFCFF3DF5F}" xr6:coauthVersionLast="47" xr6:coauthVersionMax="47" xr10:uidLastSave="{00000000-0000-0000-0000-000000000000}"/>
  <bookViews>
    <workbookView xWindow="-1575" yWindow="-28020" windowWidth="17910" windowHeight="25080" xr2:uid="{368D93E2-6B00-479D-8C39-912082588D43}"/>
  </bookViews>
  <sheets>
    <sheet name="SoilChemDF" sheetId="2" r:id="rId1"/>
    <sheet name="2019 F13 soil Apr KB &amp; May KT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E8" i="3"/>
  <c r="J8" i="3"/>
  <c r="K8" i="3"/>
  <c r="D9" i="3"/>
  <c r="E9" i="3"/>
  <c r="J9" i="3"/>
  <c r="K9" i="3"/>
  <c r="D10" i="3"/>
  <c r="E10" i="3"/>
  <c r="J10" i="3"/>
  <c r="K10" i="3"/>
  <c r="D11" i="3"/>
  <c r="E11" i="3"/>
  <c r="J11" i="3"/>
  <c r="K11" i="3"/>
  <c r="D12" i="3"/>
  <c r="E12" i="3"/>
  <c r="J12" i="3"/>
  <c r="K12" i="3"/>
  <c r="D13" i="3"/>
  <c r="E13" i="3"/>
  <c r="J13" i="3"/>
  <c r="K13" i="3"/>
  <c r="D14" i="3"/>
  <c r="E14" i="3"/>
  <c r="J14" i="3"/>
  <c r="K14" i="3"/>
  <c r="D15" i="3"/>
  <c r="E15" i="3"/>
  <c r="J15" i="3"/>
  <c r="K15" i="3"/>
  <c r="D16" i="3"/>
  <c r="E16" i="3"/>
  <c r="J16" i="3"/>
  <c r="K16" i="3"/>
  <c r="D17" i="3"/>
  <c r="E17" i="3"/>
  <c r="J17" i="3"/>
  <c r="K17" i="3"/>
  <c r="D18" i="3"/>
  <c r="E18" i="3"/>
  <c r="J18" i="3"/>
  <c r="K18" i="3"/>
  <c r="D19" i="3"/>
  <c r="E19" i="3"/>
  <c r="J19" i="3"/>
  <c r="K19" i="3"/>
  <c r="D20" i="3"/>
  <c r="E20" i="3"/>
  <c r="J20" i="3"/>
  <c r="K20" i="3"/>
  <c r="D21" i="3"/>
  <c r="E21" i="3"/>
  <c r="J21" i="3"/>
  <c r="K21" i="3"/>
  <c r="D22" i="3"/>
  <c r="E22" i="3"/>
  <c r="J22" i="3"/>
  <c r="K22" i="3"/>
  <c r="D23" i="3"/>
  <c r="E23" i="3"/>
  <c r="J23" i="3"/>
  <c r="K23" i="3"/>
  <c r="D24" i="3"/>
  <c r="E24" i="3"/>
  <c r="J24" i="3"/>
  <c r="K24" i="3"/>
  <c r="D25" i="3"/>
  <c r="E25" i="3"/>
  <c r="J25" i="3"/>
  <c r="K25" i="3"/>
  <c r="D26" i="3"/>
  <c r="E26" i="3"/>
  <c r="J26" i="3"/>
  <c r="K26" i="3"/>
  <c r="D27" i="3"/>
  <c r="E27" i="3"/>
  <c r="J27" i="3"/>
  <c r="K27" i="3"/>
  <c r="D28" i="3"/>
  <c r="E28" i="3"/>
  <c r="J28" i="3"/>
  <c r="K28" i="3"/>
  <c r="D29" i="3"/>
  <c r="E29" i="3"/>
  <c r="J29" i="3"/>
  <c r="K29" i="3"/>
  <c r="D30" i="3"/>
  <c r="E30" i="3"/>
  <c r="J30" i="3"/>
  <c r="K30" i="3"/>
  <c r="D31" i="3"/>
  <c r="E31" i="3"/>
  <c r="J31" i="3"/>
  <c r="K31" i="3"/>
  <c r="D32" i="3"/>
  <c r="E32" i="3"/>
  <c r="J32" i="3"/>
  <c r="K32" i="3"/>
  <c r="D33" i="3"/>
  <c r="E33" i="3"/>
  <c r="J33" i="3"/>
  <c r="K33" i="3"/>
  <c r="D34" i="3"/>
  <c r="E34" i="3"/>
  <c r="J34" i="3"/>
  <c r="K34" i="3"/>
  <c r="D35" i="3"/>
  <c r="E35" i="3"/>
  <c r="J35" i="3"/>
  <c r="K35" i="3"/>
  <c r="D36" i="3"/>
  <c r="E36" i="3"/>
  <c r="J36" i="3"/>
  <c r="K36" i="3"/>
  <c r="D37" i="3"/>
  <c r="E37" i="3"/>
  <c r="J37" i="3"/>
  <c r="K37" i="3"/>
  <c r="D38" i="3"/>
  <c r="E38" i="3"/>
  <c r="J38" i="3"/>
  <c r="K38" i="3"/>
  <c r="D39" i="3"/>
  <c r="E39" i="3"/>
  <c r="J39" i="3"/>
  <c r="K39" i="3"/>
  <c r="D40" i="3"/>
  <c r="E40" i="3"/>
  <c r="J40" i="3"/>
  <c r="K40" i="3"/>
  <c r="D41" i="3"/>
  <c r="E41" i="3"/>
  <c r="J41" i="3"/>
  <c r="K41" i="3"/>
  <c r="D42" i="3"/>
  <c r="E42" i="3"/>
  <c r="J42" i="3"/>
  <c r="K42" i="3"/>
  <c r="D43" i="3"/>
  <c r="E43" i="3"/>
  <c r="J43" i="3"/>
  <c r="K43" i="3"/>
  <c r="D44" i="3"/>
  <c r="E44" i="3"/>
  <c r="J44" i="3"/>
  <c r="K44" i="3"/>
  <c r="D45" i="3"/>
  <c r="E45" i="3"/>
  <c r="J45" i="3"/>
  <c r="K45" i="3"/>
  <c r="D46" i="3"/>
  <c r="E46" i="3"/>
  <c r="J46" i="3"/>
  <c r="K46" i="3"/>
  <c r="D47" i="3"/>
  <c r="E47" i="3"/>
  <c r="J47" i="3"/>
  <c r="K47" i="3"/>
  <c r="D48" i="3"/>
  <c r="E48" i="3"/>
  <c r="J48" i="3"/>
  <c r="K48" i="3"/>
  <c r="D49" i="3"/>
  <c r="E49" i="3"/>
  <c r="J49" i="3"/>
  <c r="K49" i="3"/>
  <c r="E52" i="3"/>
  <c r="K52" i="3"/>
  <c r="E53" i="3"/>
  <c r="K53" i="3"/>
  <c r="E54" i="3"/>
  <c r="K54" i="3"/>
  <c r="E55" i="3"/>
  <c r="K55" i="3"/>
  <c r="E56" i="3"/>
  <c r="K56" i="3"/>
</calcChain>
</file>

<file path=xl/sharedStrings.xml><?xml version="1.0" encoding="utf-8"?>
<sst xmlns="http://schemas.openxmlformats.org/spreadsheetml/2006/main" count="144" uniqueCount="76">
  <si>
    <t>p64</t>
  </si>
  <si>
    <t>p52</t>
  </si>
  <si>
    <t>p43</t>
  </si>
  <si>
    <t>p33</t>
  </si>
  <si>
    <t>p21</t>
  </si>
  <si>
    <t>p14</t>
  </si>
  <si>
    <t>SNH4</t>
  </si>
  <si>
    <t>SNO3</t>
  </si>
  <si>
    <t>Depth</t>
  </si>
  <si>
    <t>Plot</t>
  </si>
  <si>
    <t>SOIL_DATE</t>
  </si>
  <si>
    <t>DOY</t>
  </si>
  <si>
    <t>Year</t>
  </si>
  <si>
    <t>E</t>
  </si>
  <si>
    <t>D</t>
  </si>
  <si>
    <t>C</t>
  </si>
  <si>
    <t>B</t>
  </si>
  <si>
    <t>A</t>
  </si>
  <si>
    <t>KT 64E</t>
  </si>
  <si>
    <t>KT 64D</t>
  </si>
  <si>
    <t>KT 64C</t>
  </si>
  <si>
    <t>KT 64B</t>
  </si>
  <si>
    <t>KT 64A</t>
  </si>
  <si>
    <t>KT 52E</t>
  </si>
  <si>
    <t>KT 52D</t>
  </si>
  <si>
    <t>KT 52C</t>
  </si>
  <si>
    <t>KT 52B</t>
  </si>
  <si>
    <t>KT 52A</t>
  </si>
  <si>
    <t>KT 43E</t>
  </si>
  <si>
    <t>KT 43D</t>
  </si>
  <si>
    <t>KT 43C</t>
  </si>
  <si>
    <t>KT 43B</t>
  </si>
  <si>
    <t>KT 43A</t>
  </si>
  <si>
    <t>KT 33E</t>
  </si>
  <si>
    <t>KT 33D</t>
  </si>
  <si>
    <t>KT 33C</t>
  </si>
  <si>
    <t>KT 33B</t>
  </si>
  <si>
    <t>KT 33A</t>
  </si>
  <si>
    <t>KT 21E</t>
  </si>
  <si>
    <t>KT 21D</t>
  </si>
  <si>
    <t>KT 21C</t>
  </si>
  <si>
    <t>KT 21B</t>
  </si>
  <si>
    <t>KT 21A</t>
  </si>
  <si>
    <t>KT 14 E</t>
  </si>
  <si>
    <t>KT 14D</t>
  </si>
  <si>
    <t>KT 14C</t>
  </si>
  <si>
    <t>KT 14B</t>
  </si>
  <si>
    <t>KT 14A</t>
  </si>
  <si>
    <t>KB SOUTH B</t>
  </si>
  <si>
    <t>KB SOUTH A</t>
  </si>
  <si>
    <t>KB NORTH B</t>
  </si>
  <si>
    <t>KB NORTH A</t>
  </si>
  <si>
    <t>KB 4B</t>
  </si>
  <si>
    <t>KB 4A</t>
  </si>
  <si>
    <t>KB 3B</t>
  </si>
  <si>
    <t>KB 3A</t>
  </si>
  <si>
    <t>KB 2B</t>
  </si>
  <si>
    <t>KB 2A</t>
  </si>
  <si>
    <t>KB 1B</t>
  </si>
  <si>
    <t>KB 1A</t>
  </si>
  <si>
    <t>kg dry soil</t>
  </si>
  <si>
    <t>hectare</t>
  </si>
  <si>
    <t>wt. gms.</t>
  </si>
  <si>
    <t>ppm in extract</t>
  </si>
  <si>
    <t>site</t>
  </si>
  <si>
    <t>mg N per</t>
  </si>
  <si>
    <t>kg N per</t>
  </si>
  <si>
    <t>dry soil</t>
  </si>
  <si>
    <t>NH4 N</t>
  </si>
  <si>
    <t>NO3 N</t>
  </si>
  <si>
    <t>NH4</t>
  </si>
  <si>
    <t>NO3</t>
  </si>
  <si>
    <t>5/17/2019</t>
  </si>
  <si>
    <t>2019 F13 soil Apr KB &amp; May KT 2nd R1.RUN</t>
  </si>
  <si>
    <t>This data is for Kevin's soil collected April 2019 Span 7  and  Kelly's soil collected May 2019</t>
  </si>
  <si>
    <t>nit amm.ANL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</si>
</sst>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dd/yyyy"/>
    <numFmt numFmtId="166" formatCode="0.000"/>
    <numFmt numFmtId="167" formatCode="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166" fontId="2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167" fontId="4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0" fontId="2" fillId="0" borderId="0" xfId="1" applyFont="1"/>
    <xf numFmtId="0" fontId="3" fillId="0" borderId="0" xfId="1"/>
    <xf numFmtId="166" fontId="3" fillId="0" borderId="0" xfId="1" applyNumberFormat="1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 xr:uid="{8F065FDA-26AC-4018-AA96-C033B7812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DFC1-CF79-4481-8B61-B57F63345D0D}">
  <dimension ref="A1:G31"/>
  <sheetViews>
    <sheetView tabSelected="1" workbookViewId="0"/>
  </sheetViews>
  <sheetFormatPr defaultRowHeight="15" x14ac:dyDescent="0.25"/>
  <cols>
    <col min="3" max="3" width="10.42578125" bestFit="1" customWidth="1"/>
  </cols>
  <sheetData>
    <row r="1" spans="1:7" x14ac:dyDescent="0.25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</row>
    <row r="2" spans="1:7" x14ac:dyDescent="0.25">
      <c r="A2">
        <v>2019</v>
      </c>
      <c r="B2">
        <v>128</v>
      </c>
      <c r="C2" s="2">
        <v>43593</v>
      </c>
      <c r="D2" t="s">
        <v>5</v>
      </c>
      <c r="E2">
        <v>20</v>
      </c>
      <c r="F2" s="1">
        <v>9.848333665934943</v>
      </c>
      <c r="G2" s="1">
        <v>1.8259828377569349</v>
      </c>
    </row>
    <row r="3" spans="1:7" x14ac:dyDescent="0.25">
      <c r="A3">
        <v>2019</v>
      </c>
      <c r="B3">
        <v>128</v>
      </c>
      <c r="C3" s="2">
        <v>43593</v>
      </c>
      <c r="D3" t="s">
        <v>5</v>
      </c>
      <c r="E3">
        <v>60</v>
      </c>
      <c r="F3" s="1">
        <v>2.7319925399465701</v>
      </c>
      <c r="G3" s="1">
        <v>0.11089268612329251</v>
      </c>
    </row>
    <row r="4" spans="1:7" x14ac:dyDescent="0.25">
      <c r="A4">
        <v>2019</v>
      </c>
      <c r="B4">
        <v>128</v>
      </c>
      <c r="C4" s="2">
        <v>43593</v>
      </c>
      <c r="D4" t="s">
        <v>5</v>
      </c>
      <c r="E4">
        <v>100</v>
      </c>
      <c r="F4" s="1">
        <v>0.41911984831853111</v>
      </c>
      <c r="G4" s="1">
        <v>0.16465422612513722</v>
      </c>
    </row>
    <row r="5" spans="1:7" x14ac:dyDescent="0.25">
      <c r="A5">
        <v>2019</v>
      </c>
      <c r="B5">
        <v>128</v>
      </c>
      <c r="C5" s="2">
        <v>43593</v>
      </c>
      <c r="D5" t="s">
        <v>5</v>
      </c>
      <c r="E5">
        <v>140</v>
      </c>
      <c r="F5" s="1">
        <v>0.93742208925454995</v>
      </c>
      <c r="G5" s="1">
        <v>0</v>
      </c>
    </row>
    <row r="6" spans="1:7" x14ac:dyDescent="0.25">
      <c r="A6">
        <v>2019</v>
      </c>
      <c r="B6">
        <v>128</v>
      </c>
      <c r="C6" s="2">
        <v>43593</v>
      </c>
      <c r="D6" t="s">
        <v>5</v>
      </c>
      <c r="E6">
        <v>180</v>
      </c>
      <c r="F6" s="1">
        <v>6.5620110039876833E-2</v>
      </c>
      <c r="G6" s="1">
        <v>0</v>
      </c>
    </row>
    <row r="7" spans="1:7" x14ac:dyDescent="0.25">
      <c r="A7">
        <v>2019</v>
      </c>
      <c r="B7">
        <v>128</v>
      </c>
      <c r="C7" s="2">
        <v>43593</v>
      </c>
      <c r="D7" t="s">
        <v>4</v>
      </c>
      <c r="E7">
        <v>20</v>
      </c>
      <c r="F7" s="1">
        <v>9.3087234893957582</v>
      </c>
      <c r="G7" s="1">
        <v>1.6306522609043619</v>
      </c>
    </row>
    <row r="8" spans="1:7" x14ac:dyDescent="0.25">
      <c r="A8">
        <v>2019</v>
      </c>
      <c r="B8">
        <v>128</v>
      </c>
      <c r="C8" s="2">
        <v>43593</v>
      </c>
      <c r="D8" t="s">
        <v>4</v>
      </c>
      <c r="E8">
        <v>60</v>
      </c>
      <c r="F8" s="1">
        <v>4.2626042080190549</v>
      </c>
      <c r="G8" s="1">
        <v>0.28781262405716551</v>
      </c>
    </row>
    <row r="9" spans="1:7" x14ac:dyDescent="0.25">
      <c r="A9">
        <v>2019</v>
      </c>
      <c r="B9">
        <v>128</v>
      </c>
      <c r="C9" s="2">
        <v>43593</v>
      </c>
      <c r="D9" t="s">
        <v>4</v>
      </c>
      <c r="E9">
        <v>100</v>
      </c>
      <c r="F9" s="1">
        <v>3.8042659974905901</v>
      </c>
      <c r="G9" s="1">
        <v>0</v>
      </c>
    </row>
    <row r="10" spans="1:7" x14ac:dyDescent="0.25">
      <c r="A10">
        <v>2019</v>
      </c>
      <c r="B10">
        <v>128</v>
      </c>
      <c r="C10" s="2">
        <v>43593</v>
      </c>
      <c r="D10" t="s">
        <v>4</v>
      </c>
      <c r="E10">
        <v>140</v>
      </c>
      <c r="F10" s="1">
        <v>3.5445703399177781</v>
      </c>
      <c r="G10" s="1">
        <v>0</v>
      </c>
    </row>
    <row r="11" spans="1:7" x14ac:dyDescent="0.25">
      <c r="A11">
        <v>2019</v>
      </c>
      <c r="B11">
        <v>128</v>
      </c>
      <c r="C11" s="2">
        <v>43593</v>
      </c>
      <c r="D11" t="s">
        <v>4</v>
      </c>
      <c r="E11">
        <v>180</v>
      </c>
      <c r="F11" s="1">
        <v>3.1990049751243785</v>
      </c>
      <c r="G11" s="1">
        <v>0</v>
      </c>
    </row>
    <row r="12" spans="1:7" x14ac:dyDescent="0.25">
      <c r="A12">
        <v>2019</v>
      </c>
      <c r="B12">
        <v>128</v>
      </c>
      <c r="C12" s="2">
        <v>43593</v>
      </c>
      <c r="D12" t="s">
        <v>3</v>
      </c>
      <c r="E12">
        <v>20</v>
      </c>
      <c r="F12" s="1">
        <v>8.6366594903119207</v>
      </c>
      <c r="G12" s="1">
        <v>1.396885795824363</v>
      </c>
    </row>
    <row r="13" spans="1:7" x14ac:dyDescent="0.25">
      <c r="A13">
        <v>2019</v>
      </c>
      <c r="B13">
        <v>128</v>
      </c>
      <c r="C13" s="2">
        <v>43593</v>
      </c>
      <c r="D13" t="s">
        <v>3</v>
      </c>
      <c r="E13">
        <v>60</v>
      </c>
      <c r="F13" s="1">
        <v>2.3030424139481442</v>
      </c>
      <c r="G13" s="1">
        <v>0</v>
      </c>
    </row>
    <row r="14" spans="1:7" x14ac:dyDescent="0.25">
      <c r="A14">
        <v>2019</v>
      </c>
      <c r="B14">
        <v>128</v>
      </c>
      <c r="C14" s="2">
        <v>43593</v>
      </c>
      <c r="D14" t="s">
        <v>3</v>
      </c>
      <c r="E14">
        <v>100</v>
      </c>
      <c r="F14" s="1">
        <v>0.76647672835459635</v>
      </c>
      <c r="G14" s="1">
        <v>0</v>
      </c>
    </row>
    <row r="15" spans="1:7" x14ac:dyDescent="0.25">
      <c r="A15">
        <v>2019</v>
      </c>
      <c r="B15">
        <v>128</v>
      </c>
      <c r="C15" s="2">
        <v>43593</v>
      </c>
      <c r="D15" t="s">
        <v>3</v>
      </c>
      <c r="E15">
        <v>140</v>
      </c>
      <c r="F15" s="1">
        <v>0.78882580515500178</v>
      </c>
      <c r="G15" s="1">
        <v>0</v>
      </c>
    </row>
    <row r="16" spans="1:7" x14ac:dyDescent="0.25">
      <c r="A16">
        <v>2019</v>
      </c>
      <c r="B16">
        <v>128</v>
      </c>
      <c r="C16" s="2">
        <v>43593</v>
      </c>
      <c r="D16" t="s">
        <v>3</v>
      </c>
      <c r="E16">
        <v>180</v>
      </c>
      <c r="F16" s="1">
        <v>0.65320368985290456</v>
      </c>
      <c r="G16" s="1">
        <v>0</v>
      </c>
    </row>
    <row r="17" spans="1:7" x14ac:dyDescent="0.25">
      <c r="A17">
        <v>2019</v>
      </c>
      <c r="B17">
        <v>128</v>
      </c>
      <c r="C17" s="2">
        <v>43593</v>
      </c>
      <c r="D17" t="s">
        <v>2</v>
      </c>
      <c r="E17">
        <v>20</v>
      </c>
      <c r="F17" s="1">
        <v>8.2644628099173563</v>
      </c>
      <c r="G17" s="1">
        <v>1.0368144252441773</v>
      </c>
    </row>
    <row r="18" spans="1:7" x14ac:dyDescent="0.25">
      <c r="A18">
        <v>2019</v>
      </c>
      <c r="B18">
        <v>128</v>
      </c>
      <c r="C18" s="2">
        <v>43593</v>
      </c>
      <c r="D18" t="s">
        <v>2</v>
      </c>
      <c r="E18">
        <v>60</v>
      </c>
      <c r="F18" s="1">
        <v>1.8261615295363971</v>
      </c>
      <c r="G18" s="1">
        <v>0</v>
      </c>
    </row>
    <row r="19" spans="1:7" x14ac:dyDescent="0.25">
      <c r="A19">
        <v>2019</v>
      </c>
      <c r="B19">
        <v>128</v>
      </c>
      <c r="C19" s="2">
        <v>43593</v>
      </c>
      <c r="D19" t="s">
        <v>2</v>
      </c>
      <c r="E19">
        <v>100</v>
      </c>
      <c r="F19" s="1">
        <v>0.44822723609991938</v>
      </c>
      <c r="G19" s="1">
        <v>0.59427880741337624</v>
      </c>
    </row>
    <row r="20" spans="1:7" x14ac:dyDescent="0.25">
      <c r="A20">
        <v>2019</v>
      </c>
      <c r="B20">
        <v>128</v>
      </c>
      <c r="C20" s="2">
        <v>43593</v>
      </c>
      <c r="D20" t="s">
        <v>2</v>
      </c>
      <c r="E20">
        <v>140</v>
      </c>
      <c r="F20" s="1">
        <v>1.7213609824843972</v>
      </c>
      <c r="G20" s="1">
        <v>0</v>
      </c>
    </row>
    <row r="21" spans="1:7" x14ac:dyDescent="0.25">
      <c r="A21">
        <v>2019</v>
      </c>
      <c r="B21">
        <v>128</v>
      </c>
      <c r="C21" s="2">
        <v>43593</v>
      </c>
      <c r="D21" t="s">
        <v>2</v>
      </c>
      <c r="E21">
        <v>180</v>
      </c>
      <c r="F21" s="1">
        <v>3.7963891675025074</v>
      </c>
      <c r="G21" s="1">
        <v>0</v>
      </c>
    </row>
    <row r="22" spans="1:7" x14ac:dyDescent="0.25">
      <c r="A22">
        <v>2019</v>
      </c>
      <c r="B22">
        <v>128</v>
      </c>
      <c r="C22" s="2">
        <v>43593</v>
      </c>
      <c r="D22" t="s">
        <v>1</v>
      </c>
      <c r="E22">
        <v>20</v>
      </c>
      <c r="F22" s="1">
        <v>8.033380253368188</v>
      </c>
      <c r="G22" s="1">
        <v>1.1512165694751659</v>
      </c>
    </row>
    <row r="23" spans="1:7" x14ac:dyDescent="0.25">
      <c r="A23">
        <v>2019</v>
      </c>
      <c r="B23">
        <v>128</v>
      </c>
      <c r="C23" s="2">
        <v>43593</v>
      </c>
      <c r="D23" t="s">
        <v>1</v>
      </c>
      <c r="E23">
        <v>60</v>
      </c>
      <c r="F23" s="1">
        <v>1.288285127074039</v>
      </c>
      <c r="G23" s="1">
        <v>0</v>
      </c>
    </row>
    <row r="24" spans="1:7" x14ac:dyDescent="0.25">
      <c r="A24">
        <v>2019</v>
      </c>
      <c r="B24">
        <v>128</v>
      </c>
      <c r="C24" s="2">
        <v>43593</v>
      </c>
      <c r="D24" t="s">
        <v>1</v>
      </c>
      <c r="E24">
        <v>100</v>
      </c>
      <c r="F24" s="1">
        <v>0.40709654721817362</v>
      </c>
      <c r="G24" s="1">
        <v>0</v>
      </c>
    </row>
    <row r="25" spans="1:7" x14ac:dyDescent="0.25">
      <c r="A25">
        <v>2019</v>
      </c>
      <c r="B25">
        <v>128</v>
      </c>
      <c r="C25" s="2">
        <v>43593</v>
      </c>
      <c r="D25" t="s">
        <v>1</v>
      </c>
      <c r="E25">
        <v>140</v>
      </c>
      <c r="F25" s="1">
        <v>1.4136231009155853</v>
      </c>
      <c r="G25" s="1">
        <v>0</v>
      </c>
    </row>
    <row r="26" spans="1:7" x14ac:dyDescent="0.25">
      <c r="A26">
        <v>2019</v>
      </c>
      <c r="B26">
        <v>128</v>
      </c>
      <c r="C26" s="2">
        <v>43593</v>
      </c>
      <c r="D26" t="s">
        <v>1</v>
      </c>
      <c r="E26">
        <v>180</v>
      </c>
      <c r="F26" s="1">
        <v>2.902151766635193</v>
      </c>
      <c r="G26" s="1">
        <v>0</v>
      </c>
    </row>
    <row r="27" spans="1:7" x14ac:dyDescent="0.25">
      <c r="A27">
        <v>2019</v>
      </c>
      <c r="B27">
        <v>128</v>
      </c>
      <c r="C27" s="2">
        <v>43593</v>
      </c>
      <c r="D27" t="s">
        <v>0</v>
      </c>
      <c r="E27">
        <v>20</v>
      </c>
      <c r="F27" s="1">
        <v>5.4526336871620273</v>
      </c>
      <c r="G27" s="1">
        <v>0.63589024634488289</v>
      </c>
    </row>
    <row r="28" spans="1:7" x14ac:dyDescent="0.25">
      <c r="A28">
        <v>2019</v>
      </c>
      <c r="B28">
        <v>128</v>
      </c>
      <c r="C28" s="2">
        <v>43593</v>
      </c>
      <c r="D28" t="s">
        <v>0</v>
      </c>
      <c r="E28">
        <v>60</v>
      </c>
      <c r="F28" s="1">
        <v>1.2043978010994505</v>
      </c>
      <c r="G28" s="1">
        <v>0</v>
      </c>
    </row>
    <row r="29" spans="1:7" x14ac:dyDescent="0.25">
      <c r="A29">
        <v>2019</v>
      </c>
      <c r="B29">
        <v>128</v>
      </c>
      <c r="C29" s="2">
        <v>43593</v>
      </c>
      <c r="D29" t="s">
        <v>0</v>
      </c>
      <c r="E29">
        <v>100</v>
      </c>
      <c r="F29" s="1">
        <v>0.64051240992794234</v>
      </c>
      <c r="G29" s="1">
        <v>0</v>
      </c>
    </row>
    <row r="30" spans="1:7" x14ac:dyDescent="0.25">
      <c r="A30">
        <v>2019</v>
      </c>
      <c r="B30">
        <v>128</v>
      </c>
      <c r="C30" s="2">
        <v>43593</v>
      </c>
      <c r="D30" t="s">
        <v>0</v>
      </c>
      <c r="E30">
        <v>140</v>
      </c>
      <c r="F30" s="1">
        <v>4.2319359490775277</v>
      </c>
      <c r="G30" s="1">
        <v>0</v>
      </c>
    </row>
    <row r="31" spans="1:7" x14ac:dyDescent="0.25">
      <c r="A31">
        <v>2019</v>
      </c>
      <c r="B31">
        <v>128</v>
      </c>
      <c r="C31" s="2">
        <v>43593</v>
      </c>
      <c r="D31" t="s">
        <v>0</v>
      </c>
      <c r="E31">
        <v>180</v>
      </c>
      <c r="F31" s="1">
        <v>6.5421971717578371</v>
      </c>
      <c r="G3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BD8D-309E-4290-B014-F2414DD362C6}">
  <dimension ref="A1:M56"/>
  <sheetViews>
    <sheetView workbookViewId="0"/>
  </sheetViews>
  <sheetFormatPr defaultRowHeight="15" x14ac:dyDescent="0.25"/>
  <cols>
    <col min="1" max="1" width="15.85546875" bestFit="1" customWidth="1"/>
  </cols>
  <sheetData>
    <row r="1" spans="1:13" x14ac:dyDescent="0.25">
      <c r="A1" t="s">
        <v>75</v>
      </c>
      <c r="E1" s="12" t="s">
        <v>74</v>
      </c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t="s">
        <v>73</v>
      </c>
    </row>
    <row r="3" spans="1:13" x14ac:dyDescent="0.25">
      <c r="A3" t="s">
        <v>72</v>
      </c>
    </row>
    <row r="5" spans="1:13" x14ac:dyDescent="0.25">
      <c r="A5" s="10"/>
      <c r="B5" s="11"/>
      <c r="C5" s="7"/>
      <c r="D5" s="6" t="s">
        <v>71</v>
      </c>
      <c r="E5" s="4" t="s">
        <v>71</v>
      </c>
      <c r="F5" s="11"/>
      <c r="G5" s="11"/>
      <c r="H5" s="11"/>
      <c r="I5" s="5"/>
      <c r="J5" s="4" t="s">
        <v>70</v>
      </c>
      <c r="K5" s="4" t="s">
        <v>70</v>
      </c>
    </row>
    <row r="6" spans="1:13" x14ac:dyDescent="0.25">
      <c r="A6" s="10"/>
      <c r="B6" s="8" t="s">
        <v>69</v>
      </c>
      <c r="C6" s="7" t="s">
        <v>67</v>
      </c>
      <c r="D6" s="6" t="s">
        <v>66</v>
      </c>
      <c r="E6" s="4" t="s">
        <v>65</v>
      </c>
      <c r="F6" s="4"/>
      <c r="G6" s="4"/>
      <c r="H6" s="4" t="s">
        <v>68</v>
      </c>
      <c r="I6" s="5" t="s">
        <v>67</v>
      </c>
      <c r="J6" s="4" t="s">
        <v>66</v>
      </c>
      <c r="K6" s="4" t="s">
        <v>65</v>
      </c>
    </row>
    <row r="7" spans="1:13" x14ac:dyDescent="0.25">
      <c r="A7" s="9" t="s">
        <v>64</v>
      </c>
      <c r="B7" s="8" t="s">
        <v>63</v>
      </c>
      <c r="C7" s="7" t="s">
        <v>62</v>
      </c>
      <c r="D7" s="6" t="s">
        <v>61</v>
      </c>
      <c r="E7" s="4" t="s">
        <v>60</v>
      </c>
      <c r="F7" s="4"/>
      <c r="G7" s="4"/>
      <c r="H7" s="4" t="s">
        <v>63</v>
      </c>
      <c r="I7" s="5" t="s">
        <v>62</v>
      </c>
      <c r="J7" s="4" t="s">
        <v>61</v>
      </c>
      <c r="K7" s="4" t="s">
        <v>60</v>
      </c>
    </row>
    <row r="8" spans="1:13" x14ac:dyDescent="0.25">
      <c r="A8" t="s">
        <v>59</v>
      </c>
      <c r="B8">
        <v>2.516</v>
      </c>
      <c r="C8" s="3">
        <v>2.0087000000000002</v>
      </c>
      <c r="D8">
        <f>B8*(10/C8)*1.6*30*(1/1000000000)*(10000)*(10000)</f>
        <v>60.122467267386874</v>
      </c>
      <c r="E8">
        <f>(10/C8)*B8</f>
        <v>12.525514014038929</v>
      </c>
      <c r="H8">
        <v>0.46300000000000002</v>
      </c>
      <c r="I8" s="3">
        <v>2.0087000000000002</v>
      </c>
      <c r="J8">
        <f>H8*(10/I8)*1.6*30*(1/1000000000)*(10000)*(10000)</f>
        <v>11.063872156120876</v>
      </c>
      <c r="K8">
        <f>(10/I8)*H8</f>
        <v>2.3049733658585154</v>
      </c>
    </row>
    <row r="9" spans="1:13" x14ac:dyDescent="0.25">
      <c r="A9" t="s">
        <v>58</v>
      </c>
      <c r="B9">
        <v>3.1720000000000002</v>
      </c>
      <c r="C9" s="3">
        <v>1.9862</v>
      </c>
      <c r="D9">
        <f>B9*(10/C9)*1.6*30*(1/1000000000)*(10000)*(10000)</f>
        <v>76.656932836572381</v>
      </c>
      <c r="E9">
        <f>(10/C9)*B9</f>
        <v>15.970194340952576</v>
      </c>
      <c r="H9">
        <v>3.4990000000000001</v>
      </c>
      <c r="I9" s="3">
        <v>1.9862</v>
      </c>
      <c r="J9">
        <f>H9*(10/I9)*1.6*30*(1/1000000000)*(10000)*(10000)</f>
        <v>84.559460275903774</v>
      </c>
      <c r="K9">
        <f>(10/I9)*H9</f>
        <v>17.616554224146615</v>
      </c>
    </row>
    <row r="10" spans="1:13" x14ac:dyDescent="0.25">
      <c r="A10" t="s">
        <v>57</v>
      </c>
      <c r="B10">
        <v>2.492</v>
      </c>
      <c r="C10" s="3">
        <v>1.9870000000000001</v>
      </c>
      <c r="D10">
        <f>B10*(10/C10)*1.6*30*(1/1000000000)*(10000)*(10000)</f>
        <v>60.199295420231515</v>
      </c>
      <c r="E10">
        <f>(10/C10)*B10</f>
        <v>12.541519879214897</v>
      </c>
      <c r="H10">
        <v>0.44</v>
      </c>
      <c r="I10" s="3">
        <v>1.9870000000000001</v>
      </c>
      <c r="J10">
        <f>H10*(10/I10)*1.6*30*(1/1000000000)*(10000)*(10000)</f>
        <v>10.629089079013589</v>
      </c>
      <c r="K10">
        <f>(10/I10)*H10</f>
        <v>2.2143935581278309</v>
      </c>
    </row>
    <row r="11" spans="1:13" x14ac:dyDescent="0.25">
      <c r="A11" t="s">
        <v>56</v>
      </c>
      <c r="B11">
        <v>4.5659999999999998</v>
      </c>
      <c r="C11" s="3">
        <v>1.9872000000000001</v>
      </c>
      <c r="D11">
        <f>B11*(10/C11)*1.6*30*(1/1000000000)*(10000)*(10000)</f>
        <v>110.28985507246378</v>
      </c>
      <c r="E11">
        <f>(10/C11)*B11</f>
        <v>22.977053140096618</v>
      </c>
      <c r="H11">
        <v>3.5960000000000001</v>
      </c>
      <c r="I11" s="3">
        <v>1.9872000000000001</v>
      </c>
      <c r="J11">
        <f>H11*(10/I11)*1.6*30*(1/1000000000)*(10000)*(10000)</f>
        <v>86.859903381642525</v>
      </c>
      <c r="K11">
        <f>(10/I11)*H11</f>
        <v>18.095813204508858</v>
      </c>
    </row>
    <row r="12" spans="1:13" x14ac:dyDescent="0.25">
      <c r="A12" t="s">
        <v>55</v>
      </c>
      <c r="B12">
        <v>2.6890000000000001</v>
      </c>
      <c r="C12" s="3">
        <v>1.9870000000000001</v>
      </c>
      <c r="D12">
        <f>B12*(10/C12)*1.6*30*(1/1000000000)*(10000)*(10000)</f>
        <v>64.958228485153526</v>
      </c>
      <c r="E12">
        <f>(10/C12)*B12</f>
        <v>13.532964267740313</v>
      </c>
      <c r="H12">
        <v>0.51900000000000002</v>
      </c>
      <c r="I12" s="3">
        <v>1.9870000000000001</v>
      </c>
      <c r="J12">
        <f>H12*(10/I12)*1.6*30*(1/1000000000)*(10000)*(10000)</f>
        <v>12.537493709109214</v>
      </c>
      <c r="K12">
        <f>(10/I12)*H12</f>
        <v>2.6119778560644189</v>
      </c>
    </row>
    <row r="13" spans="1:13" x14ac:dyDescent="0.25">
      <c r="A13" t="s">
        <v>54</v>
      </c>
      <c r="B13">
        <v>4.3070000000000004</v>
      </c>
      <c r="C13" s="3">
        <v>1.9893000000000001</v>
      </c>
      <c r="D13">
        <f>B13*(10/C13)*1.6*30*(1/1000000000)*(10000)*(10000)</f>
        <v>103.92399336450011</v>
      </c>
      <c r="E13">
        <f>(10/C13)*B13</f>
        <v>21.650831950937519</v>
      </c>
      <c r="H13">
        <v>2.839</v>
      </c>
      <c r="I13" s="3">
        <v>1.9893000000000001</v>
      </c>
      <c r="J13">
        <f>H13*(10/I13)*1.6*30*(1/1000000000)*(10000)*(10000)</f>
        <v>68.502488312471726</v>
      </c>
      <c r="K13">
        <f>(10/I13)*H13</f>
        <v>14.271351731764943</v>
      </c>
    </row>
    <row r="14" spans="1:13" x14ac:dyDescent="0.25">
      <c r="A14" t="s">
        <v>53</v>
      </c>
      <c r="B14">
        <v>0.69499999999999995</v>
      </c>
      <c r="C14" s="3">
        <v>1.9979</v>
      </c>
      <c r="D14">
        <f>B14*(10/C14)*1.6*30*(1/1000000000)*(10000)*(10000)</f>
        <v>16.697532409029485</v>
      </c>
      <c r="E14">
        <f>(10/C14)*B14</f>
        <v>3.4786525852144754</v>
      </c>
      <c r="H14">
        <v>0.185</v>
      </c>
      <c r="I14" s="3">
        <v>1.9979</v>
      </c>
      <c r="J14">
        <f>H14*(10/I14)*1.6*30*(1/1000000000)*(10000)*(10000)</f>
        <v>4.4446669002452586</v>
      </c>
      <c r="K14">
        <f>(10/I14)*H14</f>
        <v>0.92597227088442868</v>
      </c>
    </row>
    <row r="15" spans="1:13" x14ac:dyDescent="0.25">
      <c r="A15" t="s">
        <v>52</v>
      </c>
      <c r="B15">
        <v>0.191</v>
      </c>
      <c r="C15" s="3">
        <v>1.9879</v>
      </c>
      <c r="D15">
        <f>B15*(10/C15)*1.6*30*(1/1000000000)*(10000)*(10000)</f>
        <v>4.6119020071432173</v>
      </c>
      <c r="E15">
        <f>(10/C15)*B15</f>
        <v>0.96081291815483671</v>
      </c>
      <c r="H15">
        <v>0.154</v>
      </c>
      <c r="I15" s="3">
        <v>1.9879</v>
      </c>
      <c r="J15">
        <f>H15*(10/I15)*1.6*30*(1/1000000000)*(10000)*(10000)</f>
        <v>3.7184969062830122</v>
      </c>
      <c r="K15">
        <f>(10/I15)*H15</f>
        <v>0.77468685547562743</v>
      </c>
    </row>
    <row r="16" spans="1:13" x14ac:dyDescent="0.25">
      <c r="A16" t="s">
        <v>51</v>
      </c>
      <c r="B16">
        <v>1.6990000000000001</v>
      </c>
      <c r="C16" s="3">
        <v>2.0038</v>
      </c>
      <c r="D16">
        <f>B16*(10/C16)*1.6*30*(1/1000000000)*(10000)*(10000)</f>
        <v>40.698672522207815</v>
      </c>
      <c r="E16">
        <f>(10/C16)*B16</f>
        <v>8.4788901087932924</v>
      </c>
      <c r="H16">
        <v>0.11899999999999999</v>
      </c>
      <c r="I16" s="3">
        <v>2.0038</v>
      </c>
      <c r="J16">
        <f>H16*(10/I16)*1.6*30*(1/1000000000)*(10000)*(10000)</f>
        <v>2.8505838906078456</v>
      </c>
      <c r="K16">
        <f>(10/I16)*H16</f>
        <v>0.59387164387663438</v>
      </c>
    </row>
    <row r="17" spans="1:11" x14ac:dyDescent="0.25">
      <c r="A17" t="s">
        <v>50</v>
      </c>
      <c r="B17">
        <v>1.7929999999999999</v>
      </c>
      <c r="C17" s="3">
        <v>1.9903999999999999</v>
      </c>
      <c r="D17">
        <f>B17*(10/C17)*1.6*30*(1/1000000000)*(10000)*(10000)</f>
        <v>43.239549839228303</v>
      </c>
      <c r="E17">
        <f>(10/C17)*B17</f>
        <v>9.008239549839228</v>
      </c>
      <c r="H17">
        <v>0.11799999999999999</v>
      </c>
      <c r="I17" s="3">
        <v>1.9903999999999999</v>
      </c>
      <c r="J17">
        <f>H17*(10/I17)*1.6*30*(1/1000000000)*(10000)*(10000)</f>
        <v>2.8456591639871389</v>
      </c>
      <c r="K17">
        <f>(10/I17)*H17</f>
        <v>0.59284565916398713</v>
      </c>
    </row>
    <row r="18" spans="1:11" x14ac:dyDescent="0.25">
      <c r="A18" t="s">
        <v>49</v>
      </c>
      <c r="B18">
        <v>1.7050000000000001</v>
      </c>
      <c r="C18" s="3">
        <v>2.0202</v>
      </c>
      <c r="D18">
        <f>B18*(10/C18)*1.6*30*(1/1000000000)*(10000)*(10000)</f>
        <v>40.510840510840517</v>
      </c>
      <c r="E18">
        <f>(10/C18)*B18</f>
        <v>8.4397584397584406</v>
      </c>
      <c r="H18">
        <v>0.20599999999999999</v>
      </c>
      <c r="I18" s="3">
        <v>2.0202</v>
      </c>
      <c r="J18">
        <f>H18*(10/I18)*1.6*30*(1/1000000000)*(10000)*(10000)</f>
        <v>4.894564894564895</v>
      </c>
      <c r="K18">
        <f>(10/I18)*H18</f>
        <v>1.0197010197010197</v>
      </c>
    </row>
    <row r="19" spans="1:11" x14ac:dyDescent="0.25">
      <c r="A19" t="s">
        <v>48</v>
      </c>
      <c r="B19">
        <v>3.0680000000000001</v>
      </c>
      <c r="C19" s="3">
        <v>1.998</v>
      </c>
      <c r="D19">
        <f>B19*(10/C19)*1.6*30*(1/1000000000)*(10000)*(10000)</f>
        <v>73.705705705705711</v>
      </c>
      <c r="E19">
        <f>(10/C19)*B19</f>
        <v>15.355355355355355</v>
      </c>
      <c r="H19">
        <v>0.52500000000000002</v>
      </c>
      <c r="I19" s="3">
        <v>1.998</v>
      </c>
      <c r="J19">
        <f>H19*(10/I19)*1.6*30*(1/1000000000)*(10000)*(10000)</f>
        <v>12.612612612612615</v>
      </c>
      <c r="K19">
        <f>(10/I19)*H19</f>
        <v>2.6276276276276276</v>
      </c>
    </row>
    <row r="20" spans="1:11" x14ac:dyDescent="0.25">
      <c r="A20" t="s">
        <v>47</v>
      </c>
      <c r="B20">
        <v>1.974</v>
      </c>
      <c r="C20">
        <v>2.0044</v>
      </c>
      <c r="D20">
        <f>B20*(10/C20)*1.6*30*(1/1000000000)*(10000)*(10000)</f>
        <v>47.272001596487726</v>
      </c>
      <c r="E20">
        <f>(10/C20)*B20</f>
        <v>9.848333665934943</v>
      </c>
      <c r="F20" t="s">
        <v>17</v>
      </c>
      <c r="H20">
        <v>0.36599999999999999</v>
      </c>
      <c r="I20">
        <v>2.0044</v>
      </c>
      <c r="J20">
        <f>H20*(10/I20)*1.6*30*(1/1000000000)*(10000)*(10000)</f>
        <v>8.7647176212332898</v>
      </c>
      <c r="K20">
        <f>(10/I20)*H20</f>
        <v>1.8259828377569349</v>
      </c>
    </row>
    <row r="21" spans="1:11" x14ac:dyDescent="0.25">
      <c r="A21" t="s">
        <v>46</v>
      </c>
      <c r="B21">
        <v>0.54200000000000004</v>
      </c>
      <c r="C21">
        <v>1.9839</v>
      </c>
      <c r="D21">
        <f>B21*(10/C21)*1.6*30*(1/1000000000)*(10000)*(10000)</f>
        <v>13.113564191743535</v>
      </c>
      <c r="E21">
        <f>(10/C21)*B21</f>
        <v>2.7319925399465701</v>
      </c>
      <c r="F21" t="s">
        <v>16</v>
      </c>
      <c r="H21">
        <v>2.1999999999999999E-2</v>
      </c>
      <c r="I21">
        <v>1.9839</v>
      </c>
      <c r="J21">
        <f>H21*(10/I21)*1.6*30*(1/1000000000)*(10000)*(10000)</f>
        <v>0.53228489339180407</v>
      </c>
      <c r="K21">
        <f>(10/I21)*H21</f>
        <v>0.11089268612329251</v>
      </c>
    </row>
    <row r="22" spans="1:11" x14ac:dyDescent="0.25">
      <c r="A22" t="s">
        <v>45</v>
      </c>
      <c r="B22">
        <v>8.4000000000000005E-2</v>
      </c>
      <c r="C22">
        <v>2.0042</v>
      </c>
      <c r="D22">
        <f>B22*(10/C22)*1.6*30*(1/1000000000)*(10000)*(10000)</f>
        <v>2.0117752719289497</v>
      </c>
      <c r="E22">
        <f>(10/C22)*B22</f>
        <v>0.41911984831853111</v>
      </c>
      <c r="F22" t="s">
        <v>15</v>
      </c>
      <c r="H22">
        <v>3.3000000000000002E-2</v>
      </c>
      <c r="I22">
        <v>2.0042</v>
      </c>
      <c r="J22">
        <f>H22*(10/I22)*1.6*30*(1/1000000000)*(10000)*(10000)</f>
        <v>0.7903402854006587</v>
      </c>
      <c r="K22">
        <f>(10/I22)*H22</f>
        <v>0.16465422612513722</v>
      </c>
    </row>
    <row r="23" spans="1:11" x14ac:dyDescent="0.25">
      <c r="A23" t="s">
        <v>44</v>
      </c>
      <c r="B23">
        <v>0.188</v>
      </c>
      <c r="C23">
        <v>2.0055000000000001</v>
      </c>
      <c r="D23">
        <f>B23*(10/C23)*1.6*30*(1/1000000000)*(10000)*(10000)</f>
        <v>4.4996260284218401</v>
      </c>
      <c r="E23">
        <f>(10/C23)*B23</f>
        <v>0.93742208925454995</v>
      </c>
      <c r="F23" t="s">
        <v>14</v>
      </c>
      <c r="H23">
        <v>-7.0999999999999994E-2</v>
      </c>
      <c r="I23">
        <v>2.0055000000000001</v>
      </c>
      <c r="J23">
        <f>H23*(10/I23)*1.6*30*(1/1000000000)*(10000)*(10000)</f>
        <v>-1.6993268511593118</v>
      </c>
      <c r="K23">
        <f>(10/I23)*H23</f>
        <v>-0.35402642732485662</v>
      </c>
    </row>
    <row r="24" spans="1:11" x14ac:dyDescent="0.25">
      <c r="A24" t="s">
        <v>43</v>
      </c>
      <c r="B24">
        <v>1.2999999999999999E-2</v>
      </c>
      <c r="C24">
        <v>1.9811000000000001</v>
      </c>
      <c r="D24">
        <f>B24*(10/C24)*1.6*30*(1/1000000000)*(10000)*(10000)</f>
        <v>0.31497652819140887</v>
      </c>
      <c r="E24">
        <f>(10/C24)*B24</f>
        <v>6.5620110039876833E-2</v>
      </c>
      <c r="F24" t="s">
        <v>13</v>
      </c>
      <c r="H24">
        <v>-0.11600000000000001</v>
      </c>
      <c r="I24">
        <v>1.9811000000000001</v>
      </c>
      <c r="J24">
        <f>H24*(10/I24)*1.6*30*(1/1000000000)*(10000)*(10000)</f>
        <v>-2.8105597900156489</v>
      </c>
      <c r="K24">
        <f>(10/I24)*H24</f>
        <v>-0.58553328958659334</v>
      </c>
    </row>
    <row r="25" spans="1:11" x14ac:dyDescent="0.25">
      <c r="A25" t="s">
        <v>42</v>
      </c>
      <c r="B25">
        <v>1.861</v>
      </c>
      <c r="C25">
        <v>1.9992000000000001</v>
      </c>
      <c r="D25">
        <f>B25*(10/C25)*1.6*30*(1/1000000000)*(10000)*(10000)</f>
        <v>44.681872749099639</v>
      </c>
      <c r="E25">
        <f>(10/C25)*B25</f>
        <v>9.3087234893957582</v>
      </c>
      <c r="F25" t="s">
        <v>17</v>
      </c>
      <c r="H25">
        <v>0.32600000000000001</v>
      </c>
      <c r="I25">
        <v>1.9992000000000001</v>
      </c>
      <c r="J25">
        <f>H25*(10/I25)*1.6*30*(1/1000000000)*(10000)*(10000)</f>
        <v>7.8271308523409378</v>
      </c>
      <c r="K25">
        <f>(10/I25)*H25</f>
        <v>1.6306522609043619</v>
      </c>
    </row>
    <row r="26" spans="1:11" x14ac:dyDescent="0.25">
      <c r="A26" t="s">
        <v>41</v>
      </c>
      <c r="B26">
        <v>0.85899999999999999</v>
      </c>
      <c r="C26">
        <v>2.0152000000000001</v>
      </c>
      <c r="D26">
        <f>B26*(10/C26)*1.6*30*(1/1000000000)*(10000)*(10000)</f>
        <v>20.46050019849147</v>
      </c>
      <c r="E26">
        <f>(10/C26)*B26</f>
        <v>4.2626042080190549</v>
      </c>
      <c r="F26" t="s">
        <v>16</v>
      </c>
      <c r="H26">
        <v>5.8000000000000003E-2</v>
      </c>
      <c r="I26">
        <v>2.0152000000000001</v>
      </c>
      <c r="J26">
        <f>H26*(10/I26)*1.6*30*(1/1000000000)*(10000)*(10000)</f>
        <v>1.3815005954743946</v>
      </c>
      <c r="K26">
        <f>(10/I26)*H26</f>
        <v>0.28781262405716551</v>
      </c>
    </row>
    <row r="27" spans="1:11" x14ac:dyDescent="0.25">
      <c r="A27" t="s">
        <v>40</v>
      </c>
      <c r="B27">
        <v>0.75800000000000001</v>
      </c>
      <c r="C27">
        <v>1.9924999999999999</v>
      </c>
      <c r="D27">
        <f>B27*(10/C27)*1.6*30*(1/1000000000)*(10000)*(10000)</f>
        <v>18.260476787954833</v>
      </c>
      <c r="E27">
        <f>(10/C27)*B27</f>
        <v>3.8042659974905901</v>
      </c>
      <c r="F27" t="s">
        <v>15</v>
      </c>
      <c r="H27">
        <v>-7.4999999999999997E-2</v>
      </c>
      <c r="I27">
        <v>1.9924999999999999</v>
      </c>
      <c r="J27">
        <f>H27*(10/I27)*1.6*30*(1/1000000000)*(10000)*(10000)</f>
        <v>-1.8067754077791722</v>
      </c>
      <c r="K27">
        <f>(10/I27)*H27</f>
        <v>-0.37641154328732751</v>
      </c>
    </row>
    <row r="28" spans="1:11" x14ac:dyDescent="0.25">
      <c r="A28" t="s">
        <v>39</v>
      </c>
      <c r="B28">
        <v>0.70699999999999996</v>
      </c>
      <c r="C28">
        <v>1.9945999999999999</v>
      </c>
      <c r="D28">
        <f>B28*(10/C28)*1.6*30*(1/1000000000)*(10000)*(10000)</f>
        <v>17.013937631605337</v>
      </c>
      <c r="E28">
        <f>(10/C28)*B28</f>
        <v>3.5445703399177781</v>
      </c>
      <c r="F28" t="s">
        <v>14</v>
      </c>
      <c r="H28">
        <v>-0.10299999999999999</v>
      </c>
      <c r="I28">
        <v>1.9945999999999999</v>
      </c>
      <c r="J28">
        <f>H28*(10/I28)*1.6*30*(1/1000000000)*(10000)*(10000)</f>
        <v>-2.4786924696681045</v>
      </c>
      <c r="K28">
        <f>(10/I28)*H28</f>
        <v>-0.51639426451418835</v>
      </c>
    </row>
    <row r="29" spans="1:11" x14ac:dyDescent="0.25">
      <c r="A29" t="s">
        <v>38</v>
      </c>
      <c r="B29">
        <v>0.64300000000000002</v>
      </c>
      <c r="C29">
        <v>2.0099999999999998</v>
      </c>
      <c r="D29">
        <f>B29*(10/C29)*1.6*30*(1/1000000000)*(10000)*(10000)</f>
        <v>15.355223880597018</v>
      </c>
      <c r="E29">
        <f>(10/C29)*B29</f>
        <v>3.1990049751243785</v>
      </c>
      <c r="F29" t="s">
        <v>13</v>
      </c>
      <c r="H29">
        <v>-0.123</v>
      </c>
      <c r="I29">
        <v>2.0099999999999998</v>
      </c>
      <c r="J29">
        <f>H29*(10/I29)*1.6*30*(1/1000000000)*(10000)*(10000)</f>
        <v>-2.9373134328358219</v>
      </c>
      <c r="K29">
        <f>(10/I29)*H29</f>
        <v>-0.61194029850746279</v>
      </c>
    </row>
    <row r="30" spans="1:11" x14ac:dyDescent="0.25">
      <c r="A30" t="s">
        <v>37</v>
      </c>
      <c r="B30">
        <v>1.7250000000000001</v>
      </c>
      <c r="C30">
        <v>1.9973000000000001</v>
      </c>
      <c r="D30">
        <f>B30*(10/C30)*1.6*30*(1/1000000000)*(10000)*(10000)</f>
        <v>41.455965553497222</v>
      </c>
      <c r="E30">
        <f>(10/C30)*B30</f>
        <v>8.6366594903119207</v>
      </c>
      <c r="F30" t="s">
        <v>17</v>
      </c>
      <c r="H30">
        <v>0.27900000000000003</v>
      </c>
      <c r="I30">
        <v>1.9973000000000001</v>
      </c>
      <c r="J30">
        <f>H30*(10/I30)*1.6*30*(1/1000000000)*(10000)*(10000)</f>
        <v>6.7050518199569433</v>
      </c>
      <c r="K30">
        <f>(10/I30)*H30</f>
        <v>1.396885795824363</v>
      </c>
    </row>
    <row r="31" spans="1:11" x14ac:dyDescent="0.25">
      <c r="A31" t="s">
        <v>36</v>
      </c>
      <c r="B31">
        <v>0.46100000000000002</v>
      </c>
      <c r="C31">
        <v>2.0017</v>
      </c>
      <c r="D31">
        <f>B31*(10/C31)*1.6*30*(1/1000000000)*(10000)*(10000)</f>
        <v>11.054603586951092</v>
      </c>
      <c r="E31">
        <f>(10/C31)*B31</f>
        <v>2.3030424139481442</v>
      </c>
      <c r="F31" t="s">
        <v>16</v>
      </c>
      <c r="H31">
        <v>-0.03</v>
      </c>
      <c r="I31">
        <v>2.0017</v>
      </c>
      <c r="J31">
        <f>H31*(10/I31)*1.6*30*(1/1000000000)*(10000)*(10000)</f>
        <v>-0.7193885197582055</v>
      </c>
      <c r="K31">
        <f>(10/I31)*H31</f>
        <v>-0.14987260828295948</v>
      </c>
    </row>
    <row r="32" spans="1:11" x14ac:dyDescent="0.25">
      <c r="A32" t="s">
        <v>35</v>
      </c>
      <c r="B32">
        <v>0.152</v>
      </c>
      <c r="C32">
        <v>1.9831000000000001</v>
      </c>
      <c r="D32">
        <f>B32*(10/C32)*1.6*30*(1/1000000000)*(10000)*(10000)</f>
        <v>3.679088296102063</v>
      </c>
      <c r="E32">
        <f>(10/C32)*B32</f>
        <v>0.76647672835459635</v>
      </c>
      <c r="F32" t="s">
        <v>15</v>
      </c>
      <c r="H32">
        <v>-3.7999999999999999E-2</v>
      </c>
      <c r="I32">
        <v>1.9831000000000001</v>
      </c>
      <c r="J32">
        <f>H32*(10/I32)*1.6*30*(1/1000000000)*(10000)*(10000)</f>
        <v>-0.91977207402551575</v>
      </c>
      <c r="K32">
        <f>(10/I32)*H32</f>
        <v>-0.19161918208864909</v>
      </c>
    </row>
    <row r="33" spans="1:11" x14ac:dyDescent="0.25">
      <c r="A33" t="s">
        <v>34</v>
      </c>
      <c r="B33">
        <v>0.157</v>
      </c>
      <c r="C33">
        <v>1.9903</v>
      </c>
      <c r="D33">
        <f>B33*(10/C33)*1.6*30*(1/1000000000)*(10000)*(10000)</f>
        <v>3.786363864744009</v>
      </c>
      <c r="E33">
        <f>(10/C33)*B33</f>
        <v>0.78882580515500178</v>
      </c>
      <c r="F33" t="s">
        <v>14</v>
      </c>
      <c r="H33">
        <v>-0.105</v>
      </c>
      <c r="I33">
        <v>1.9903</v>
      </c>
      <c r="J33">
        <f>H33*(10/I33)*1.6*30*(1/1000000000)*(10000)*(10000)</f>
        <v>-2.5322815655931268</v>
      </c>
      <c r="K33">
        <f>(10/I33)*H33</f>
        <v>-0.52755865949856806</v>
      </c>
    </row>
    <row r="34" spans="1:11" x14ac:dyDescent="0.25">
      <c r="A34" t="s">
        <v>33</v>
      </c>
      <c r="B34">
        <v>0.13100000000000001</v>
      </c>
      <c r="C34">
        <v>2.0055000000000001</v>
      </c>
      <c r="D34">
        <f>B34*(10/C34)*1.6*30*(1/1000000000)*(10000)*(10000)</f>
        <v>3.1353777112939425</v>
      </c>
      <c r="E34">
        <f>(10/C34)*B34</f>
        <v>0.65320368985290456</v>
      </c>
      <c r="F34" t="s">
        <v>13</v>
      </c>
      <c r="H34">
        <v>-0.10199999999999999</v>
      </c>
      <c r="I34">
        <v>2.0055000000000001</v>
      </c>
      <c r="J34">
        <f>H34*(10/I34)*1.6*30*(1/1000000000)*(10000)*(10000)</f>
        <v>-2.4412864622288701</v>
      </c>
      <c r="K34">
        <f>(10/I34)*H34</f>
        <v>-0.50860134629768128</v>
      </c>
    </row>
    <row r="35" spans="1:11" x14ac:dyDescent="0.25">
      <c r="A35" t="s">
        <v>32</v>
      </c>
      <c r="B35">
        <v>1.65</v>
      </c>
      <c r="C35">
        <v>1.9964999999999999</v>
      </c>
      <c r="D35">
        <f>B35*(10/C35)*1.6*30*(1/1000000000)*(10000)*(10000)</f>
        <v>39.669421487603316</v>
      </c>
      <c r="E35">
        <f>(10/C35)*B35</f>
        <v>8.2644628099173563</v>
      </c>
      <c r="F35" t="s">
        <v>17</v>
      </c>
      <c r="H35">
        <v>0.20699999999999999</v>
      </c>
      <c r="I35">
        <v>1.9964999999999999</v>
      </c>
      <c r="J35">
        <f>H35*(10/I35)*1.6*30*(1/1000000000)*(10000)*(10000)</f>
        <v>4.9767092411720526</v>
      </c>
      <c r="K35">
        <f>(10/I35)*H35</f>
        <v>1.0368144252441773</v>
      </c>
    </row>
    <row r="36" spans="1:11" x14ac:dyDescent="0.25">
      <c r="A36" t="s">
        <v>31</v>
      </c>
      <c r="B36">
        <v>0.36199999999999999</v>
      </c>
      <c r="C36">
        <v>1.9823</v>
      </c>
      <c r="D36">
        <f>B36*(10/C36)*1.6*30*(1/1000000000)*(10000)*(10000)</f>
        <v>8.7655753417747082</v>
      </c>
      <c r="E36">
        <f>(10/C36)*B36</f>
        <v>1.8261615295363971</v>
      </c>
      <c r="F36" t="s">
        <v>16</v>
      </c>
      <c r="H36">
        <v>-2.4E-2</v>
      </c>
      <c r="I36">
        <v>1.9823</v>
      </c>
      <c r="J36">
        <f>H36*(10/I36)*1.6*30*(1/1000000000)*(10000)*(10000)</f>
        <v>-0.58114311658174855</v>
      </c>
      <c r="K36">
        <f>(10/I36)*H36</f>
        <v>-0.1210714826211976</v>
      </c>
    </row>
    <row r="37" spans="1:11" x14ac:dyDescent="0.25">
      <c r="A37" t="s">
        <v>30</v>
      </c>
      <c r="B37">
        <v>8.8999999999999996E-2</v>
      </c>
      <c r="C37">
        <v>1.9856</v>
      </c>
      <c r="D37">
        <f>B37*(10/C37)*1.6*30*(1/1000000000)*(10000)*(10000)</f>
        <v>2.1514907332796134</v>
      </c>
      <c r="E37">
        <f>(10/C37)*B37</f>
        <v>0.44822723609991938</v>
      </c>
      <c r="F37" t="s">
        <v>15</v>
      </c>
      <c r="H37">
        <v>0.11799999999999999</v>
      </c>
      <c r="I37">
        <v>1.9856</v>
      </c>
      <c r="J37">
        <f>H37*(10/I37)*1.6*30*(1/1000000000)*(10000)*(10000)</f>
        <v>2.8525382755842061</v>
      </c>
      <c r="K37">
        <f>(10/I37)*H37</f>
        <v>0.59427880741337624</v>
      </c>
    </row>
    <row r="38" spans="1:11" x14ac:dyDescent="0.25">
      <c r="A38" t="s">
        <v>29</v>
      </c>
      <c r="B38">
        <v>0.34200000000000003</v>
      </c>
      <c r="C38">
        <v>1.9867999999999999</v>
      </c>
      <c r="D38">
        <f>B38*(10/C38)*1.6*30*(1/1000000000)*(10000)*(10000)</f>
        <v>8.2625327159251079</v>
      </c>
      <c r="E38">
        <f>(10/C38)*B38</f>
        <v>1.7213609824843972</v>
      </c>
      <c r="F38" t="s">
        <v>14</v>
      </c>
      <c r="H38">
        <v>-9.6000000000000002E-2</v>
      </c>
      <c r="I38">
        <v>1.9867999999999999</v>
      </c>
      <c r="J38">
        <f>H38*(10/I38)*1.6*30*(1/1000000000)*(10000)*(10000)</f>
        <v>-2.3193074290316087</v>
      </c>
      <c r="K38">
        <f>(10/I38)*H38</f>
        <v>-0.48318904771491844</v>
      </c>
    </row>
    <row r="39" spans="1:11" x14ac:dyDescent="0.25">
      <c r="A39" t="s">
        <v>28</v>
      </c>
      <c r="B39">
        <v>0.75700000000000001</v>
      </c>
      <c r="C39">
        <v>1.994</v>
      </c>
      <c r="D39">
        <f>B39*(10/C39)*1.6*30*(1/1000000000)*(10000)*(10000)</f>
        <v>18.222668004012036</v>
      </c>
      <c r="E39">
        <f>(10/C39)*B39</f>
        <v>3.7963891675025074</v>
      </c>
      <c r="F39" t="s">
        <v>13</v>
      </c>
      <c r="H39">
        <v>-9.4E-2</v>
      </c>
      <c r="I39">
        <v>1.994</v>
      </c>
      <c r="J39">
        <f>H39*(10/I39)*1.6*30*(1/1000000000)*(10000)*(10000)</f>
        <v>-2.262788365095286</v>
      </c>
      <c r="K39">
        <f>(10/I39)*H39</f>
        <v>-0.47141424272818455</v>
      </c>
    </row>
    <row r="40" spans="1:11" x14ac:dyDescent="0.25">
      <c r="A40" t="s">
        <v>27</v>
      </c>
      <c r="B40">
        <v>1.5980000000000001</v>
      </c>
      <c r="C40">
        <v>1.9892000000000001</v>
      </c>
      <c r="D40">
        <f>B40*(10/C40)*1.6*30*(1/1000000000)*(10000)*(10000)</f>
        <v>38.560225216167304</v>
      </c>
      <c r="E40">
        <f>(10/C40)*B40</f>
        <v>8.033380253368188</v>
      </c>
      <c r="F40" t="s">
        <v>17</v>
      </c>
      <c r="H40">
        <v>0.22900000000000001</v>
      </c>
      <c r="I40">
        <v>1.9892000000000001</v>
      </c>
      <c r="J40">
        <f>H40*(10/I40)*1.6*30*(1/1000000000)*(10000)*(10000)</f>
        <v>5.5258395334807968</v>
      </c>
      <c r="K40">
        <f>(10/I40)*H40</f>
        <v>1.1512165694751659</v>
      </c>
    </row>
    <row r="41" spans="1:11" x14ac:dyDescent="0.25">
      <c r="A41" t="s">
        <v>26</v>
      </c>
      <c r="B41">
        <v>0.25700000000000001</v>
      </c>
      <c r="C41">
        <v>1.9948999999999999</v>
      </c>
      <c r="D41">
        <f>B41*(10/C41)*1.6*30*(1/1000000000)*(10000)*(10000)</f>
        <v>6.1837686099553881</v>
      </c>
      <c r="E41">
        <f>(10/C41)*B41</f>
        <v>1.288285127074039</v>
      </c>
      <c r="F41" t="s">
        <v>16</v>
      </c>
      <c r="H41">
        <v>-8.5999999999999993E-2</v>
      </c>
      <c r="I41">
        <v>1.9948999999999999</v>
      </c>
      <c r="J41">
        <f>H41*(10/I41)*1.6*30*(1/1000000000)*(10000)*(10000)</f>
        <v>-2.0692766554714526</v>
      </c>
      <c r="K41">
        <f>(10/I41)*H41</f>
        <v>-0.43109930322321921</v>
      </c>
    </row>
    <row r="42" spans="1:11" x14ac:dyDescent="0.25">
      <c r="A42" t="s">
        <v>25</v>
      </c>
      <c r="B42">
        <v>8.1000000000000003E-2</v>
      </c>
      <c r="C42">
        <v>1.9897</v>
      </c>
      <c r="D42">
        <f>B42*(10/C42)*1.6*30*(1/1000000000)*(10000)*(10000)</f>
        <v>1.9540634266472339</v>
      </c>
      <c r="E42">
        <f>(10/C42)*B42</f>
        <v>0.40709654721817362</v>
      </c>
      <c r="F42" t="s">
        <v>15</v>
      </c>
      <c r="H42">
        <v>-6.2E-2</v>
      </c>
      <c r="I42">
        <v>1.9897</v>
      </c>
      <c r="J42">
        <f>H42*(10/I42)*1.6*30*(1/1000000000)*(10000)*(10000)</f>
        <v>-1.495702869779364</v>
      </c>
      <c r="K42">
        <f>(10/I42)*H42</f>
        <v>-0.31160476453736746</v>
      </c>
    </row>
    <row r="43" spans="1:11" x14ac:dyDescent="0.25">
      <c r="A43" t="s">
        <v>24</v>
      </c>
      <c r="B43">
        <v>0.28100000000000003</v>
      </c>
      <c r="C43">
        <v>1.9878</v>
      </c>
      <c r="D43">
        <f>B43*(10/C43)*1.6*30*(1/1000000000)*(10000)*(10000)</f>
        <v>6.7853908843948094</v>
      </c>
      <c r="E43">
        <f>(10/C43)*B43</f>
        <v>1.4136231009155853</v>
      </c>
      <c r="F43" t="s">
        <v>14</v>
      </c>
      <c r="H43">
        <v>-8.2000000000000003E-2</v>
      </c>
      <c r="I43">
        <v>1.9878</v>
      </c>
      <c r="J43">
        <f>H43*(10/I43)*1.6*30*(1/1000000000)*(10000)*(10000)</f>
        <v>-1.9800784787201935</v>
      </c>
      <c r="K43">
        <f>(10/I43)*H43</f>
        <v>-0.41251634973337359</v>
      </c>
    </row>
    <row r="44" spans="1:11" x14ac:dyDescent="0.25">
      <c r="A44" t="s">
        <v>23</v>
      </c>
      <c r="B44">
        <v>0.58399999999999996</v>
      </c>
      <c r="C44">
        <v>2.0123000000000002</v>
      </c>
      <c r="D44">
        <f>B44*(10/C44)*1.6*30*(1/1000000000)*(10000)*(10000)</f>
        <v>13.930328479848928</v>
      </c>
      <c r="E44">
        <f>(10/C44)*B44</f>
        <v>2.902151766635193</v>
      </c>
      <c r="F44" t="s">
        <v>13</v>
      </c>
      <c r="H44">
        <v>-0.1</v>
      </c>
      <c r="I44">
        <v>2.0123000000000002</v>
      </c>
      <c r="J44">
        <f>H44*(10/I44)*1.6*30*(1/1000000000)*(10000)*(10000)</f>
        <v>-2.3853302191522143</v>
      </c>
      <c r="K44">
        <f>(10/I44)*H44</f>
        <v>-0.49694379565671121</v>
      </c>
    </row>
    <row r="45" spans="1:11" x14ac:dyDescent="0.25">
      <c r="A45" t="s">
        <v>22</v>
      </c>
      <c r="B45">
        <v>1.089</v>
      </c>
      <c r="C45">
        <v>1.9972000000000001</v>
      </c>
      <c r="D45">
        <f>B45*(10/C45)*1.6*30*(1/1000000000)*(10000)*(10000)</f>
        <v>26.172641698377735</v>
      </c>
      <c r="E45">
        <f>(10/C45)*B45</f>
        <v>5.4526336871620273</v>
      </c>
      <c r="F45" t="s">
        <v>17</v>
      </c>
      <c r="H45">
        <v>0.127</v>
      </c>
      <c r="I45">
        <v>1.9972000000000001</v>
      </c>
      <c r="J45">
        <f>H45*(10/I45)*1.6*30*(1/1000000000)*(10000)*(10000)</f>
        <v>3.0522731824554379</v>
      </c>
      <c r="K45">
        <f>(10/I45)*H45</f>
        <v>0.63589024634488289</v>
      </c>
    </row>
    <row r="46" spans="1:11" x14ac:dyDescent="0.25">
      <c r="A46" t="s">
        <v>21</v>
      </c>
      <c r="B46">
        <v>0.24099999999999999</v>
      </c>
      <c r="C46">
        <v>2.0009999999999999</v>
      </c>
      <c r="D46">
        <f>B46*(10/C46)*1.6*30*(1/1000000000)*(10000)*(10000)</f>
        <v>5.7811094452773624</v>
      </c>
      <c r="E46">
        <f>(10/C46)*B46</f>
        <v>1.2043978010994505</v>
      </c>
      <c r="F46" t="s">
        <v>16</v>
      </c>
      <c r="H46">
        <v>-2.7E-2</v>
      </c>
      <c r="I46">
        <v>2.0009999999999999</v>
      </c>
      <c r="J46">
        <f>H46*(10/I46)*1.6*30*(1/1000000000)*(10000)*(10000)</f>
        <v>-0.64767616191904076</v>
      </c>
      <c r="K46">
        <f>(10/I46)*H46</f>
        <v>-0.13493253373313346</v>
      </c>
    </row>
    <row r="47" spans="1:11" x14ac:dyDescent="0.25">
      <c r="A47" t="s">
        <v>20</v>
      </c>
      <c r="B47">
        <v>0.128</v>
      </c>
      <c r="C47">
        <v>1.9984</v>
      </c>
      <c r="D47">
        <f>B47*(10/C47)*1.6*30*(1/1000000000)*(10000)*(10000)</f>
        <v>3.0744595676541233</v>
      </c>
      <c r="E47">
        <f>(10/C47)*B47</f>
        <v>0.64051240992794234</v>
      </c>
      <c r="F47" t="s">
        <v>15</v>
      </c>
      <c r="H47">
        <v>-0.1</v>
      </c>
      <c r="I47">
        <v>1.9984</v>
      </c>
      <c r="J47">
        <f>H47*(10/I47)*1.6*30*(1/1000000000)*(10000)*(10000)</f>
        <v>-2.401921537229784</v>
      </c>
      <c r="K47">
        <f>(10/I47)*H47</f>
        <v>-0.50040032025620496</v>
      </c>
    </row>
    <row r="48" spans="1:11" x14ac:dyDescent="0.25">
      <c r="A48" t="s">
        <v>19</v>
      </c>
      <c r="B48">
        <v>0.85099999999999998</v>
      </c>
      <c r="C48">
        <v>2.0108999999999999</v>
      </c>
      <c r="D48">
        <f>B48*(10/C48)*1.6*30*(1/1000000000)*(10000)*(10000)</f>
        <v>20.313292555572136</v>
      </c>
      <c r="E48">
        <f>(10/C48)*B48</f>
        <v>4.2319359490775277</v>
      </c>
      <c r="F48" t="s">
        <v>14</v>
      </c>
      <c r="H48">
        <v>-0.13700000000000001</v>
      </c>
      <c r="I48">
        <v>2.0108999999999999</v>
      </c>
      <c r="J48">
        <f>H48*(10/I48)*1.6*30*(1/1000000000)*(10000)*(10000)</f>
        <v>-3.2701775324481583</v>
      </c>
      <c r="K48">
        <f>(10/I48)*H48</f>
        <v>-0.68128698592669956</v>
      </c>
    </row>
    <row r="49" spans="1:11" x14ac:dyDescent="0.25">
      <c r="A49" t="s">
        <v>18</v>
      </c>
      <c r="B49">
        <v>1.3</v>
      </c>
      <c r="C49">
        <v>1.9871000000000001</v>
      </c>
      <c r="D49">
        <f>B49*(10/C49)*1.6*30*(1/1000000000)*(10000)*(10000)</f>
        <v>31.40254642443762</v>
      </c>
      <c r="E49">
        <f>(10/C49)*B49</f>
        <v>6.5421971717578371</v>
      </c>
      <c r="F49" t="s">
        <v>13</v>
      </c>
      <c r="H49">
        <v>-8.3000000000000004E-2</v>
      </c>
      <c r="I49">
        <v>1.9871000000000001</v>
      </c>
      <c r="J49">
        <f>H49*(10/I49)*1.6*30*(1/1000000000)*(10000)*(10000)</f>
        <v>-2.0049318101756333</v>
      </c>
      <c r="K49">
        <f>(10/I49)*H49</f>
        <v>-0.41769412711992349</v>
      </c>
    </row>
    <row r="52" spans="1:11" x14ac:dyDescent="0.25">
      <c r="D52" t="s">
        <v>17</v>
      </c>
      <c r="E52">
        <f>AVERAGEIFS($E$20:$E$49,$F$20:$F$49,D52)</f>
        <v>8.2573655660150322</v>
      </c>
      <c r="J52" t="s">
        <v>17</v>
      </c>
      <c r="K52">
        <f>AVERAGEIFS($K$20:$K$49,$F$20:$F$49,J52)</f>
        <v>1.2795736892583143</v>
      </c>
    </row>
    <row r="53" spans="1:11" x14ac:dyDescent="0.25">
      <c r="D53" t="s">
        <v>16</v>
      </c>
      <c r="E53">
        <f>AVERAGEIFS($E$20:$E$49,$F$20:$F$49,D53)</f>
        <v>2.2694139366039425</v>
      </c>
      <c r="J53" t="s">
        <v>16</v>
      </c>
      <c r="K53">
        <f>AVERAGEIFS($K$20:$K$49,$F$20:$F$49,J53)</f>
        <v>-7.3045102946675294E-2</v>
      </c>
    </row>
    <row r="54" spans="1:11" x14ac:dyDescent="0.25">
      <c r="D54" t="s">
        <v>15</v>
      </c>
      <c r="E54">
        <f>AVERAGEIFS($E$20:$E$49,$F$20:$F$49,D54)</f>
        <v>1.0809497945682922</v>
      </c>
      <c r="J54" t="s">
        <v>15</v>
      </c>
      <c r="K54">
        <f>AVERAGEIFS($K$20:$K$49,$F$20:$F$49,J54)</f>
        <v>-0.10351712943850593</v>
      </c>
    </row>
    <row r="55" spans="1:11" x14ac:dyDescent="0.25">
      <c r="D55" t="s">
        <v>14</v>
      </c>
      <c r="E55">
        <f>AVERAGEIFS($E$20:$E$49,$F$20:$F$49,D55)</f>
        <v>2.1062897111341399</v>
      </c>
      <c r="J55" t="s">
        <v>14</v>
      </c>
      <c r="K55">
        <f>AVERAGEIFS($K$20:$K$49,$F$20:$F$49,J55)</f>
        <v>-0.49582862245210074</v>
      </c>
    </row>
    <row r="56" spans="1:11" x14ac:dyDescent="0.25">
      <c r="D56" t="s">
        <v>13</v>
      </c>
      <c r="E56">
        <f>AVERAGEIFS($E$20:$E$49,$F$20:$F$49,D56)</f>
        <v>2.8597611468187831</v>
      </c>
      <c r="J56" t="s">
        <v>13</v>
      </c>
      <c r="K56">
        <f>AVERAGEIFS($K$20:$K$49,$F$20:$F$49,J56)</f>
        <v>-0.51535451664942611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SoilChemDF</vt:lpstr>
      <vt:lpstr>2019 F13 soil Apr KB &amp; May KT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2025-07-03T16:36:15Z</dcterms:created>
  <dcterms:modified xsi:type="dcterms:W3CDTF">2025-07-03T16:37:41Z</dcterms:modified>
</cp:coreProperties>
</file>