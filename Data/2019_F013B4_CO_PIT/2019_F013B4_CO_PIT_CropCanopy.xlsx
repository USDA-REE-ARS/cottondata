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43A57FF7-6E04-4EEC-A9D3-45FAF5FD2B4D}" xr6:coauthVersionLast="47" xr6:coauthVersionMax="47" xr10:uidLastSave="{00000000-0000-0000-0000-000000000000}"/>
  <bookViews>
    <workbookView xWindow="16350" yWindow="-23415" windowWidth="17955" windowHeight="22395" firstSheet="3" activeTab="4" xr2:uid="{00000000-000D-0000-FFFF-FFFF00000000}"/>
  </bookViews>
  <sheets>
    <sheet name="Height" sheetId="10" r:id="rId1"/>
    <sheet name="Width" sheetId="11" r:id="rId2"/>
    <sheet name="LAImeter" sheetId="12" r:id="rId3"/>
    <sheet name="Density" sheetId="31" r:id="rId4"/>
    <sheet name="Develop" sheetId="32" r:id="rId5"/>
    <sheet name="Ordering" sheetId="9" r:id="rId6"/>
    <sheet name="Blank Data Sheet" sheetId="1" r:id="rId7"/>
    <sheet name="Height Summary" sheetId="5" r:id="rId8"/>
    <sheet name="Cover Summary" sheetId="7" r:id="rId9"/>
    <sheet name="Averages" sheetId="8" r:id="rId10"/>
    <sheet name="Emergence" sheetId="15" r:id="rId11"/>
    <sheet name="1stLeaf" sheetId="14" r:id="rId12"/>
    <sheet name="Counts1" sheetId="16" r:id="rId13"/>
    <sheet name="Counts2" sheetId="17" r:id="rId14"/>
    <sheet name="Flowering" sheetId="18" r:id="rId15"/>
    <sheet name="NAWFd176" sheetId="19" r:id="rId16"/>
    <sheet name="NAWFd182" sheetId="20" r:id="rId17"/>
    <sheet name="NAWFd189" sheetId="21" r:id="rId18"/>
    <sheet name="NAWFd196" sheetId="22" r:id="rId19"/>
    <sheet name="NAWFd203" sheetId="23" r:id="rId20"/>
    <sheet name="NAWFd211" sheetId="24" r:id="rId21"/>
    <sheet name="NAWFd217" sheetId="25" r:id="rId22"/>
    <sheet name="NAWFd225" sheetId="26" r:id="rId23"/>
    <sheet name="NAWFd232" sheetId="27" r:id="rId24"/>
    <sheet name="NAWFd238" sheetId="28" r:id="rId25"/>
    <sheet name="NAWFd246" sheetId="29" r:id="rId26"/>
    <sheet name="NAWFd259" sheetId="30" r:id="rId27"/>
  </sheets>
  <definedNames>
    <definedName name="_xlnm.Print_Area" localSheetId="11">'1stLeaf'!$A$1:$I$36</definedName>
    <definedName name="_xlnm.Print_Area" localSheetId="6">'Blank Data Sheet'!$A$1:$K$56</definedName>
    <definedName name="_xlnm.Print_Area" localSheetId="12">Counts1!$A$1:$N$18</definedName>
    <definedName name="_xlnm.Print_Area" localSheetId="8">'Cover Summary'!$A$1:$K$60</definedName>
    <definedName name="_xlnm.Print_Area" localSheetId="7">'Height Summary'!$A$1:$V$60</definedName>
    <definedName name="_xlnm.Print_Area" localSheetId="15">NAWFd176!$A$1:$I$30</definedName>
    <definedName name="_xlnm.Print_Area" localSheetId="16">NAWFd182!$A$1:$I$30</definedName>
    <definedName name="_xlnm.Print_Area" localSheetId="17">NAWFd189!$A$1:$I$30</definedName>
    <definedName name="_xlnm.Print_Area" localSheetId="18">NAWFd196!$A$1:$I$30</definedName>
    <definedName name="_xlnm.Print_Area" localSheetId="19">NAWFd203!$A$1:$I$30</definedName>
    <definedName name="_xlnm.Print_Area" localSheetId="20">NAWFd211!$A$1:$I$30</definedName>
    <definedName name="_xlnm.Print_Area" localSheetId="21">NAWFd217!$A$1:$I$30</definedName>
    <definedName name="_xlnm.Print_Area" localSheetId="22">NAWFd225!$A$1:$I$30</definedName>
    <definedName name="_xlnm.Print_Area" localSheetId="23">NAWFd232!$A$1:$I$30</definedName>
    <definedName name="_xlnm.Print_Area" localSheetId="24">NAWFd238!$A$1:$I$30</definedName>
    <definedName name="_xlnm.Print_Area" localSheetId="25">NAWFd246!$A$1:$I$30</definedName>
    <definedName name="_xlnm.Print_Area" localSheetId="26">NAWFd259!$A$1:$I$30</definedName>
    <definedName name="_xlnm.Print_Titles" localSheetId="6">'Blank Data Sheet'!$8:$8</definedName>
    <definedName name="_xlnm.Print_Titles" localSheetId="12">Counts1!$5:$6</definedName>
    <definedName name="_xlnm.Print_Titles" localSheetId="8">'Cover Summary'!$12:$12</definedName>
    <definedName name="_xlnm.Print_Titles" localSheetId="7">'Height Summary'!$12:$12</definedName>
    <definedName name="_xlnm.Print_Titles" localSheetId="15">NAWFd176!$6:$6</definedName>
    <definedName name="_xlnm.Print_Titles" localSheetId="16">NAWFd182!$6:$6</definedName>
    <definedName name="_xlnm.Print_Titles" localSheetId="17">NAWFd189!$6:$6</definedName>
    <definedName name="_xlnm.Print_Titles" localSheetId="18">NAWFd196!$6:$6</definedName>
    <definedName name="_xlnm.Print_Titles" localSheetId="19">NAWFd203!$6:$6</definedName>
    <definedName name="_xlnm.Print_Titles" localSheetId="20">NAWFd211!$6:$6</definedName>
    <definedName name="_xlnm.Print_Titles" localSheetId="21">NAWFd217!$6:$6</definedName>
    <definedName name="_xlnm.Print_Titles" localSheetId="22">NAWFd225!$6:$6</definedName>
    <definedName name="_xlnm.Print_Titles" localSheetId="23">NAWFd232!$6:$6</definedName>
    <definedName name="_xlnm.Print_Titles" localSheetId="24">NAWFd238!$6:$6</definedName>
    <definedName name="_xlnm.Print_Titles" localSheetId="25">NAWFd246!$6:$6</definedName>
    <definedName name="_xlnm.Print_Titles" localSheetId="26">NAWFd259!$6:$6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0" l="1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K16" i="18" l="1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G22" i="17"/>
  <c r="G11" i="17"/>
  <c r="G7" i="17"/>
  <c r="G3" i="17"/>
  <c r="G26" i="17"/>
  <c r="G25" i="17"/>
  <c r="G24" i="17"/>
  <c r="G23" i="17"/>
  <c r="G21" i="17"/>
  <c r="G20" i="17"/>
  <c r="G19" i="17"/>
  <c r="G18" i="17"/>
  <c r="G17" i="17"/>
  <c r="G16" i="17"/>
  <c r="G15" i="17"/>
  <c r="G14" i="17"/>
  <c r="G13" i="17"/>
  <c r="G12" i="17"/>
  <c r="G10" i="17"/>
  <c r="G9" i="17"/>
  <c r="G8" i="17"/>
  <c r="G6" i="17"/>
  <c r="G5" i="17"/>
  <c r="G4" i="17"/>
  <c r="G7" i="16"/>
  <c r="N7" i="16"/>
  <c r="G8" i="16"/>
  <c r="N8" i="16"/>
  <c r="G9" i="16"/>
  <c r="N9" i="16"/>
  <c r="G10" i="16"/>
  <c r="N10" i="16"/>
  <c r="G11" i="16"/>
  <c r="N11" i="16"/>
  <c r="G12" i="16"/>
  <c r="N12" i="16"/>
  <c r="G13" i="16"/>
  <c r="N13" i="16"/>
  <c r="G14" i="16"/>
  <c r="N14" i="16"/>
  <c r="G15" i="16"/>
  <c r="N15" i="16"/>
  <c r="G16" i="16"/>
  <c r="N16" i="16"/>
  <c r="G17" i="16"/>
  <c r="N17" i="16"/>
  <c r="G18" i="16"/>
  <c r="N18" i="16"/>
  <c r="D21" i="16"/>
  <c r="D22" i="16"/>
  <c r="N40" i="15"/>
  <c r="O40" i="15"/>
  <c r="N41" i="15"/>
  <c r="O41" i="15"/>
  <c r="N42" i="15"/>
  <c r="O42" i="15"/>
  <c r="N43" i="15"/>
  <c r="O43" i="15"/>
  <c r="N44" i="15"/>
  <c r="O44" i="15"/>
  <c r="N45" i="15"/>
  <c r="O45" i="15"/>
  <c r="N46" i="15"/>
  <c r="O46" i="15"/>
  <c r="N47" i="15"/>
  <c r="O47" i="15"/>
  <c r="N48" i="15"/>
  <c r="O48" i="15"/>
  <c r="N49" i="15"/>
  <c r="O49" i="15"/>
  <c r="N50" i="15"/>
  <c r="O50" i="15"/>
  <c r="N51" i="15"/>
  <c r="O51" i="15"/>
  <c r="N52" i="15"/>
  <c r="O52" i="15"/>
  <c r="N53" i="15"/>
  <c r="O53" i="15"/>
  <c r="N54" i="15"/>
  <c r="O54" i="15"/>
  <c r="N55" i="15"/>
  <c r="O55" i="15"/>
  <c r="N56" i="15"/>
  <c r="O56" i="15"/>
  <c r="N57" i="15"/>
  <c r="O57" i="15"/>
  <c r="N58" i="15"/>
  <c r="O58" i="15"/>
  <c r="N59" i="15"/>
  <c r="O59" i="15"/>
  <c r="N60" i="15"/>
  <c r="O60" i="15"/>
  <c r="N61" i="15"/>
  <c r="O61" i="15"/>
  <c r="N62" i="15"/>
  <c r="O62" i="15"/>
  <c r="N63" i="15"/>
  <c r="O63" i="15"/>
  <c r="K13" i="14"/>
  <c r="L13" i="14"/>
  <c r="K14" i="14"/>
  <c r="L14" i="14"/>
  <c r="K15" i="14"/>
  <c r="L15" i="14"/>
  <c r="K16" i="14"/>
  <c r="L16" i="14"/>
  <c r="K17" i="14"/>
  <c r="L17" i="14"/>
  <c r="K18" i="14"/>
  <c r="L18" i="14"/>
  <c r="K19" i="14"/>
  <c r="L19" i="14"/>
  <c r="K20" i="14"/>
  <c r="L20" i="14"/>
  <c r="K21" i="14"/>
  <c r="L21" i="14"/>
  <c r="K22" i="14"/>
  <c r="L22" i="14"/>
  <c r="K23" i="14"/>
  <c r="L23" i="14"/>
  <c r="K24" i="14"/>
  <c r="L24" i="14"/>
  <c r="K25" i="14"/>
  <c r="L25" i="14"/>
  <c r="K26" i="14"/>
  <c r="L26" i="14"/>
  <c r="K27" i="14"/>
  <c r="L27" i="14"/>
  <c r="K28" i="14"/>
  <c r="L28" i="14"/>
  <c r="K29" i="14"/>
  <c r="L29" i="14"/>
  <c r="K30" i="14"/>
  <c r="L30" i="14"/>
  <c r="K31" i="14"/>
  <c r="L31" i="14"/>
  <c r="K32" i="14"/>
  <c r="L32" i="14"/>
  <c r="K33" i="14"/>
  <c r="L33" i="14"/>
  <c r="K34" i="14"/>
  <c r="L34" i="14"/>
  <c r="K35" i="14"/>
  <c r="L35" i="14"/>
  <c r="K36" i="14"/>
  <c r="L36" i="14"/>
  <c r="D1" i="9" l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27" i="8"/>
  <c r="C25" i="8"/>
  <c r="C23" i="8"/>
  <c r="C21" i="8"/>
  <c r="C13" i="8"/>
  <c r="C11" i="8"/>
  <c r="C9" i="8"/>
  <c r="C7" i="8"/>
  <c r="C20" i="8" l="1"/>
  <c r="C19" i="8"/>
  <c r="C5" i="8" l="1"/>
  <c r="C6" i="8"/>
</calcChain>
</file>

<file path=xl/sharedStrings.xml><?xml version="1.0" encoding="utf-8"?>
<sst xmlns="http://schemas.openxmlformats.org/spreadsheetml/2006/main" count="2170" uniqueCount="290">
  <si>
    <t>01-</t>
  </si>
  <si>
    <t>02-</t>
  </si>
  <si>
    <t>03-</t>
  </si>
  <si>
    <t>04-</t>
  </si>
  <si>
    <t>05-</t>
  </si>
  <si>
    <t>06-</t>
  </si>
  <si>
    <t>Cotton</t>
  </si>
  <si>
    <t>Plot</t>
  </si>
  <si>
    <t>date:</t>
  </si>
  <si>
    <t>Canopy Heights &amp; Widths</t>
  </si>
  <si>
    <t>North</t>
  </si>
  <si>
    <t>South</t>
  </si>
  <si>
    <t>Flag</t>
  </si>
  <si>
    <t>by:</t>
  </si>
  <si>
    <t>time:</t>
  </si>
  <si>
    <t>Canopy Height (cm)</t>
  </si>
  <si>
    <t>Canopy Width (cm)</t>
  </si>
  <si>
    <t>doy:</t>
  </si>
  <si>
    <t>Summary</t>
  </si>
  <si>
    <t>Canopy Heights - Summary</t>
  </si>
  <si>
    <t>Height (cm)</t>
  </si>
  <si>
    <t>Averages by treatments</t>
  </si>
  <si>
    <t>Average Canopy Heights</t>
  </si>
  <si>
    <t>Average Canopy Widths</t>
  </si>
  <si>
    <t>TRT</t>
  </si>
  <si>
    <t>F13b4</t>
  </si>
  <si>
    <t>Initials:</t>
  </si>
  <si>
    <t>Date:</t>
  </si>
  <si>
    <t>Time:</t>
  </si>
  <si>
    <t>DOY:</t>
  </si>
  <si>
    <t>NAWF</t>
  </si>
  <si>
    <t>"--" = closed canopy</t>
  </si>
  <si>
    <t xml:space="preserve"> </t>
  </si>
  <si>
    <t xml:space="preserve">Canopy Heights flags are Pink and in row 11. Two measurements per plot. </t>
  </si>
  <si>
    <t>Canopy Measurement points are separate from the LAI measurement point.</t>
  </si>
  <si>
    <t>DRN</t>
  </si>
  <si>
    <t>VRI</t>
  </si>
  <si>
    <t>SOL</t>
  </si>
  <si>
    <t>MDL</t>
  </si>
  <si>
    <t>Canopy Height &amp; LAI flags may not be exactly at the GPS points - I adjusted depending on skips in rows. SMM</t>
  </si>
  <si>
    <t>SMM</t>
  </si>
  <si>
    <t>1000-1025h</t>
  </si>
  <si>
    <t>Ave of all MDL:</t>
  </si>
  <si>
    <t>Ave of all SOL:</t>
  </si>
  <si>
    <t>Ave of all DRN:</t>
  </si>
  <si>
    <t>Ave of all VRI:</t>
  </si>
  <si>
    <t>1020-1055h</t>
  </si>
  <si>
    <t>0915-1015h</t>
  </si>
  <si>
    <t>1050-1115h</t>
  </si>
  <si>
    <t>VRI trt began 7 June 2019</t>
  </si>
  <si>
    <t>1035-1110h</t>
  </si>
  <si>
    <t>1140-1240h</t>
  </si>
  <si>
    <t>1000-1140h</t>
  </si>
  <si>
    <t>1005-1105h</t>
  </si>
  <si>
    <t>0945-1050h</t>
  </si>
  <si>
    <t>0930-1030h</t>
  </si>
  <si>
    <t>d225</t>
  </si>
  <si>
    <t>0920-1105h</t>
  </si>
  <si>
    <t>d232</t>
  </si>
  <si>
    <t>0900-1030h</t>
  </si>
  <si>
    <t>--</t>
  </si>
  <si>
    <t>d238</t>
  </si>
  <si>
    <t>1015-1215h</t>
  </si>
  <si>
    <t>0930-1110h</t>
  </si>
  <si>
    <t>1015-1200h</t>
  </si>
  <si>
    <t>0915-1040h</t>
  </si>
  <si>
    <t>d246</t>
  </si>
  <si>
    <t>d259</t>
  </si>
  <si>
    <t>N</t>
  </si>
  <si>
    <t>S</t>
  </si>
  <si>
    <t>DOY259</t>
  </si>
  <si>
    <t>DOY246</t>
  </si>
  <si>
    <t>DOY238</t>
  </si>
  <si>
    <t>DOY232</t>
  </si>
  <si>
    <t>DOY225</t>
  </si>
  <si>
    <t>DOY217</t>
  </si>
  <si>
    <t>DOY211</t>
  </si>
  <si>
    <t>DOY203</t>
  </si>
  <si>
    <t>DOY196</t>
  </si>
  <si>
    <t>DOY189</t>
  </si>
  <si>
    <t>DOY182</t>
  </si>
  <si>
    <t>DOY176</t>
  </si>
  <si>
    <t>DOY168</t>
  </si>
  <si>
    <t>DOY162</t>
  </si>
  <si>
    <t>DOY154</t>
  </si>
  <si>
    <t>DOY148</t>
  </si>
  <si>
    <t>DOY141</t>
  </si>
  <si>
    <t>CCID</t>
  </si>
  <si>
    <t>11N</t>
  </si>
  <si>
    <t>11S</t>
  </si>
  <si>
    <t>12N</t>
  </si>
  <si>
    <t>12S</t>
  </si>
  <si>
    <t>13N</t>
  </si>
  <si>
    <t>13S</t>
  </si>
  <si>
    <t>14N</t>
  </si>
  <si>
    <t>14S</t>
  </si>
  <si>
    <t>21N</t>
  </si>
  <si>
    <t>21S</t>
  </si>
  <si>
    <t>22N</t>
  </si>
  <si>
    <t>22S</t>
  </si>
  <si>
    <t>23N</t>
  </si>
  <si>
    <t>23S</t>
  </si>
  <si>
    <t>24N</t>
  </si>
  <si>
    <t>24S</t>
  </si>
  <si>
    <t>31N</t>
  </si>
  <si>
    <t>31S</t>
  </si>
  <si>
    <t>32N</t>
  </si>
  <si>
    <t>32S</t>
  </si>
  <si>
    <t>33N</t>
  </si>
  <si>
    <t>33S</t>
  </si>
  <si>
    <t>34N</t>
  </si>
  <si>
    <t>34S</t>
  </si>
  <si>
    <t>41N</t>
  </si>
  <si>
    <t>41S</t>
  </si>
  <si>
    <t>42N</t>
  </si>
  <si>
    <t>42S</t>
  </si>
  <si>
    <t>43N</t>
  </si>
  <si>
    <t>43S</t>
  </si>
  <si>
    <t>44N</t>
  </si>
  <si>
    <t>44S</t>
  </si>
  <si>
    <t>51N</t>
  </si>
  <si>
    <t>51S</t>
  </si>
  <si>
    <t>52N</t>
  </si>
  <si>
    <t>52S</t>
  </si>
  <si>
    <t>53N</t>
  </si>
  <si>
    <t>53S</t>
  </si>
  <si>
    <t>54N</t>
  </si>
  <si>
    <t>54S</t>
  </si>
  <si>
    <t>61N</t>
  </si>
  <si>
    <t>61S</t>
  </si>
  <si>
    <t>62N</t>
  </si>
  <si>
    <t>62S</t>
  </si>
  <si>
    <t>63N</t>
  </si>
  <si>
    <t>63S</t>
  </si>
  <si>
    <t>64N</t>
  </si>
  <si>
    <t>64S</t>
  </si>
  <si>
    <t>11M</t>
  </si>
  <si>
    <t>12M</t>
  </si>
  <si>
    <t>13M</t>
  </si>
  <si>
    <t>14M</t>
  </si>
  <si>
    <t>21M</t>
  </si>
  <si>
    <t>22M</t>
  </si>
  <si>
    <t>23M</t>
  </si>
  <si>
    <t>24M</t>
  </si>
  <si>
    <t>31M</t>
  </si>
  <si>
    <t>32M</t>
  </si>
  <si>
    <t>33M</t>
  </si>
  <si>
    <t>34M</t>
  </si>
  <si>
    <t>41M</t>
  </si>
  <si>
    <t>42M</t>
  </si>
  <si>
    <t>43M</t>
  </si>
  <si>
    <t>44M</t>
  </si>
  <si>
    <t>51M</t>
  </si>
  <si>
    <t>52M</t>
  </si>
  <si>
    <t>53M</t>
  </si>
  <si>
    <t>54M</t>
  </si>
  <si>
    <t>61M</t>
  </si>
  <si>
    <t>62M</t>
  </si>
  <si>
    <t>63M</t>
  </si>
  <si>
    <t>64M</t>
  </si>
  <si>
    <t>DOY142</t>
  </si>
  <si>
    <t>DOY155</t>
  </si>
  <si>
    <t>DOY161</t>
  </si>
  <si>
    <t>DOY177</t>
  </si>
  <si>
    <t>DOY183</t>
  </si>
  <si>
    <t>DOY190</t>
  </si>
  <si>
    <t>Some true leaves developing, but still small and folded.</t>
  </si>
  <si>
    <t>61E</t>
  </si>
  <si>
    <t>8-9</t>
  </si>
  <si>
    <t>6-1</t>
  </si>
  <si>
    <t>62E</t>
  </si>
  <si>
    <t>6-2</t>
  </si>
  <si>
    <t>63E</t>
  </si>
  <si>
    <t>6-3</t>
  </si>
  <si>
    <t>64E</t>
  </si>
  <si>
    <t>6-4</t>
  </si>
  <si>
    <t>54E</t>
  </si>
  <si>
    <t>5-4</t>
  </si>
  <si>
    <t>53E</t>
  </si>
  <si>
    <t>5-3</t>
  </si>
  <si>
    <t>52E</t>
  </si>
  <si>
    <t>5-2</t>
  </si>
  <si>
    <t>51E</t>
  </si>
  <si>
    <t>6-5</t>
  </si>
  <si>
    <t>5-1</t>
  </si>
  <si>
    <t>41E</t>
  </si>
  <si>
    <t>4-1</t>
  </si>
  <si>
    <t>42E</t>
  </si>
  <si>
    <t>4-2</t>
  </si>
  <si>
    <t>43E</t>
  </si>
  <si>
    <t>4-3</t>
  </si>
  <si>
    <t>44E</t>
  </si>
  <si>
    <t>4-4</t>
  </si>
  <si>
    <t>34E</t>
  </si>
  <si>
    <t>3-4</t>
  </si>
  <si>
    <t>33E</t>
  </si>
  <si>
    <t>3-3</t>
  </si>
  <si>
    <t>32E</t>
  </si>
  <si>
    <t>3-2</t>
  </si>
  <si>
    <t>31E</t>
  </si>
  <si>
    <t>3-1</t>
  </si>
  <si>
    <t>21E</t>
  </si>
  <si>
    <t>2-1</t>
  </si>
  <si>
    <t>22E</t>
  </si>
  <si>
    <t>2-2</t>
  </si>
  <si>
    <t>23E</t>
  </si>
  <si>
    <t>2-3</t>
  </si>
  <si>
    <t>24E</t>
  </si>
  <si>
    <t>2-4</t>
  </si>
  <si>
    <t>14E</t>
  </si>
  <si>
    <t>1-4</t>
  </si>
  <si>
    <t>13E</t>
  </si>
  <si>
    <t>1-3</t>
  </si>
  <si>
    <t>12E</t>
  </si>
  <si>
    <t>1-2</t>
  </si>
  <si>
    <t>11E</t>
  </si>
  <si>
    <t>1-1</t>
  </si>
  <si>
    <t>50% DOY</t>
  </si>
  <si>
    <t>1000-1020h</t>
  </si>
  <si>
    <t>1010-1040h</t>
  </si>
  <si>
    <t>1300-1320</t>
  </si>
  <si>
    <t>Total # plants/1 m</t>
  </si>
  <si>
    <t>flag point</t>
  </si>
  <si>
    <t>03-2 and 04-1. Then back from plot 05-1 to 08-4. And repeated again from plots 09-4 to 16-4.</t>
  </si>
  <si>
    <t>Flags placed in a zig-zag pattern from North to South, with flags placed approx in plot 01-4, then 02-3,</t>
  </si>
  <si>
    <t>Flags scattered over field, placed 1 per each of the 16 experimental strips (East to West).</t>
  </si>
  <si>
    <t>First true leaf</t>
  </si>
  <si>
    <t>F13 b4</t>
  </si>
  <si>
    <t>!</t>
  </si>
  <si>
    <t>+1 dead</t>
  </si>
  <si>
    <t>Northeast corner  span 4</t>
  </si>
  <si>
    <t>1 looks bad</t>
  </si>
  <si>
    <t>+2 dead</t>
  </si>
  <si>
    <t>+ 1 dead</t>
  </si>
  <si>
    <t>still alive</t>
  </si>
  <si>
    <t>2 look bad</t>
  </si>
  <si>
    <t>Northwest  corner   span 6</t>
  </si>
  <si>
    <t>1020-1040h</t>
  </si>
  <si>
    <t>1300-1320h</t>
  </si>
  <si>
    <t>1015-1040h</t>
  </si>
  <si>
    <t>1015-1035h</t>
  </si>
  <si>
    <t>1400-1420h</t>
  </si>
  <si>
    <t># plants per 1 meter (1 meter North of each flag)</t>
  </si>
  <si>
    <t>Emergence counts taken at the first Plant Sampling flag location in each plot</t>
  </si>
  <si>
    <t>Emergence</t>
  </si>
  <si>
    <t>Ave plants/meter</t>
  </si>
  <si>
    <t># plants /1.5 m</t>
  </si>
  <si>
    <t>1 row West of flag</t>
  </si>
  <si>
    <t>At  flag</t>
  </si>
  <si>
    <t>1 row East of flag</t>
  </si>
  <si>
    <t>Counted plants in 1.5 meter North of pink "Sampling" flag (&amp; same relative location in the rows to the East and West of the flagged row).</t>
  </si>
  <si>
    <t>Final density counts</t>
  </si>
  <si>
    <t>0945-1030h</t>
  </si>
  <si>
    <t>15 May 2019</t>
  </si>
  <si>
    <t>PLPD</t>
  </si>
  <si>
    <t xml:space="preserve">South </t>
  </si>
  <si>
    <t># plants flowering/ 10 plants</t>
  </si>
  <si>
    <t xml:space="preserve"> plot </t>
  </si>
  <si>
    <t>Data recorded on Canopy Height &amp; Width data sheets</t>
  </si>
  <si>
    <t>Counting 10 plants North from the pink Sampling flag. Counting the number of those plants that are flowering.</t>
  </si>
  <si>
    <t>Flowering</t>
  </si>
  <si>
    <t xml:space="preserve">  </t>
  </si>
  <si>
    <t>Average</t>
  </si>
  <si>
    <t>Just starting to flower. Often couldn't find 6 white flowers in the row.</t>
  </si>
  <si>
    <t>Counting the nodes of the upermost white flower in the 1st position of 6 plants per plot - between the 2 pink flags that mark the location for the Northern and Southern plant heights in a plot.</t>
  </si>
  <si>
    <t>Nodes Above White Flower</t>
  </si>
  <si>
    <t>d189</t>
  </si>
  <si>
    <t>d196</t>
  </si>
  <si>
    <t>d203</t>
  </si>
  <si>
    <t>d211</t>
  </si>
  <si>
    <t>d217</t>
  </si>
  <si>
    <t>Starting to have a hard time finding enough white flowers in the 1st position.</t>
  </si>
  <si>
    <t>EDATE</t>
  </si>
  <si>
    <t>PLYRE</t>
  </si>
  <si>
    <t>PLDOE</t>
  </si>
  <si>
    <t>LF1D</t>
  </si>
  <si>
    <t>ADAT</t>
  </si>
  <si>
    <t>NAWF176</t>
  </si>
  <si>
    <t>NAWF182</t>
  </si>
  <si>
    <t>NAWF189</t>
  </si>
  <si>
    <t>NAWF196</t>
  </si>
  <si>
    <t>NAWF203</t>
  </si>
  <si>
    <t>NAWF211</t>
  </si>
  <si>
    <t>NAWF217</t>
  </si>
  <si>
    <t>NAWF225</t>
  </si>
  <si>
    <t>NAWF232</t>
  </si>
  <si>
    <t>NAWF238</t>
  </si>
  <si>
    <t>NAWF246</t>
  </si>
  <si>
    <t>NAWF259</t>
  </si>
  <si>
    <t>ADOY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</si>
</sst>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[$-409]d\-mmm\-yy;@"/>
    <numFmt numFmtId="167" formatCode="mm/dd/yyyy"/>
  </numFmts>
  <fonts count="33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Calibri Light"/>
      <family val="2"/>
    </font>
    <font>
      <b/>
      <sz val="8"/>
      <color rgb="FFFF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</font>
    <font>
      <b/>
      <sz val="8"/>
      <name val="Calibri"/>
      <family val="2"/>
    </font>
    <font>
      <b/>
      <sz val="8"/>
      <color theme="1"/>
      <name val="Calibri Light"/>
      <family val="2"/>
    </font>
    <font>
      <b/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medium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22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top"/>
    </xf>
    <xf numFmtId="0" fontId="8" fillId="0" borderId="2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 wrapText="1"/>
    </xf>
    <xf numFmtId="15" fontId="5" fillId="0" borderId="0" xfId="0" applyNumberFormat="1" applyFont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1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164" fontId="11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0" fillId="0" borderId="9" xfId="0" quotePrefix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7" fillId="0" borderId="13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15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4" fillId="0" borderId="0" xfId="1"/>
    <xf numFmtId="0" fontId="3" fillId="0" borderId="0" xfId="1" applyFont="1"/>
    <xf numFmtId="0" fontId="2" fillId="0" borderId="0" xfId="1" applyFont="1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2"/>
    <xf numFmtId="0" fontId="1" fillId="0" borderId="0" xfId="2" applyAlignment="1">
      <alignment horizontal="center"/>
    </xf>
    <xf numFmtId="1" fontId="1" fillId="0" borderId="0" xfId="3" applyNumberFormat="1"/>
    <xf numFmtId="0" fontId="1" fillId="0" borderId="17" xfId="2" applyBorder="1" applyAlignment="1">
      <alignment horizontal="center" vertical="center"/>
    </xf>
    <xf numFmtId="0" fontId="20" fillId="2" borderId="17" xfId="2" applyFont="1" applyFill="1" applyBorder="1" applyAlignment="1">
      <alignment horizontal="center" vertical="center"/>
    </xf>
    <xf numFmtId="16" fontId="1" fillId="0" borderId="18" xfId="2" quotePrefix="1" applyNumberFormat="1" applyBorder="1" applyAlignment="1">
      <alignment horizontal="center" vertical="center"/>
    </xf>
    <xf numFmtId="49" fontId="20" fillId="0" borderId="17" xfId="2" applyNumberFormat="1" applyFont="1" applyBorder="1" applyAlignment="1">
      <alignment horizontal="center"/>
    </xf>
    <xf numFmtId="0" fontId="1" fillId="0" borderId="19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20" fillId="2" borderId="20" xfId="2" applyFont="1" applyFill="1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49" fontId="20" fillId="0" borderId="20" xfId="2" applyNumberFormat="1" applyFont="1" applyBorder="1" applyAlignment="1">
      <alignment horizontal="center"/>
    </xf>
    <xf numFmtId="0" fontId="1" fillId="0" borderId="5" xfId="2" applyBorder="1" applyAlignment="1">
      <alignment horizontal="center" vertical="center"/>
    </xf>
    <xf numFmtId="0" fontId="20" fillId="2" borderId="5" xfId="2" applyFont="1" applyFill="1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/>
    </xf>
    <xf numFmtId="0" fontId="22" fillId="0" borderId="21" xfId="2" quotePrefix="1" applyFont="1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9" fontId="1" fillId="0" borderId="0" xfId="2" applyNumberFormat="1" applyAlignment="1">
      <alignment horizontal="center"/>
    </xf>
    <xf numFmtId="20" fontId="23" fillId="0" borderId="20" xfId="2" applyNumberFormat="1" applyFont="1" applyBorder="1" applyAlignment="1">
      <alignment horizontal="center"/>
    </xf>
    <xf numFmtId="0" fontId="24" fillId="2" borderId="0" xfId="2" applyFont="1" applyFill="1" applyAlignment="1">
      <alignment horizontal="center" wrapText="1"/>
    </xf>
    <xf numFmtId="0" fontId="24" fillId="3" borderId="0" xfId="2" applyFont="1" applyFill="1" applyAlignment="1">
      <alignment horizontal="center" wrapText="1"/>
    </xf>
    <xf numFmtId="0" fontId="20" fillId="0" borderId="0" xfId="2" applyFont="1" applyAlignment="1">
      <alignment horizontal="center" wrapText="1"/>
    </xf>
    <xf numFmtId="0" fontId="23" fillId="0" borderId="0" xfId="2" applyFont="1"/>
    <xf numFmtId="0" fontId="23" fillId="0" borderId="17" xfId="2" applyFont="1" applyBorder="1" applyAlignment="1">
      <alignment horizontal="center"/>
    </xf>
    <xf numFmtId="0" fontId="23" fillId="0" borderId="23" xfId="2" applyFont="1" applyBorder="1" applyAlignment="1">
      <alignment horizontal="center"/>
    </xf>
    <xf numFmtId="0" fontId="23" fillId="0" borderId="23" xfId="2" applyFont="1" applyBorder="1" applyAlignment="1">
      <alignment horizontal="right"/>
    </xf>
    <xf numFmtId="0" fontId="20" fillId="0" borderId="17" xfId="2" applyFont="1" applyBorder="1" applyAlignment="1">
      <alignment horizontal="center"/>
    </xf>
    <xf numFmtId="0" fontId="20" fillId="0" borderId="23" xfId="2" applyFont="1" applyBorder="1" applyAlignment="1">
      <alignment horizontal="center"/>
    </xf>
    <xf numFmtId="0" fontId="1" fillId="0" borderId="23" xfId="2" applyBorder="1" applyAlignment="1">
      <alignment horizontal="right"/>
    </xf>
    <xf numFmtId="16" fontId="20" fillId="0" borderId="20" xfId="2" applyNumberFormat="1" applyFont="1" applyBorder="1" applyAlignment="1">
      <alignment horizontal="center"/>
    </xf>
    <xf numFmtId="16" fontId="20" fillId="0" borderId="24" xfId="2" applyNumberFormat="1" applyFont="1" applyBorder="1" applyAlignment="1">
      <alignment horizontal="center"/>
    </xf>
    <xf numFmtId="16" fontId="1" fillId="0" borderId="24" xfId="2" applyNumberFormat="1" applyBorder="1" applyAlignment="1">
      <alignment horizontal="right"/>
    </xf>
    <xf numFmtId="0" fontId="1" fillId="0" borderId="24" xfId="2" applyBorder="1" applyAlignment="1">
      <alignment horizontal="right"/>
    </xf>
    <xf numFmtId="0" fontId="20" fillId="0" borderId="0" xfId="2" applyFont="1" applyAlignment="1">
      <alignment horizontal="center"/>
    </xf>
    <xf numFmtId="0" fontId="1" fillId="0" borderId="0" xfId="2" applyAlignment="1">
      <alignment horizontal="left"/>
    </xf>
    <xf numFmtId="0" fontId="20" fillId="0" borderId="0" xfId="2" applyFont="1"/>
    <xf numFmtId="0" fontId="25" fillId="0" borderId="0" xfId="2" applyFont="1" applyAlignment="1">
      <alignment horizontal="center"/>
    </xf>
    <xf numFmtId="0" fontId="25" fillId="0" borderId="0" xfId="2" applyFont="1" applyAlignment="1">
      <alignment horizontal="right"/>
    </xf>
    <xf numFmtId="0" fontId="1" fillId="0" borderId="0" xfId="2" applyAlignment="1">
      <alignment horizontal="right"/>
    </xf>
    <xf numFmtId="9" fontId="1" fillId="0" borderId="0" xfId="2" applyNumberFormat="1"/>
    <xf numFmtId="0" fontId="1" fillId="0" borderId="0" xfId="2" applyAlignment="1">
      <alignment horizontal="center" vertical="center"/>
    </xf>
    <xf numFmtId="0" fontId="1" fillId="0" borderId="0" xfId="2" applyAlignment="1">
      <alignment horizontal="right" vertical="center"/>
    </xf>
    <xf numFmtId="0" fontId="26" fillId="0" borderId="4" xfId="2" quotePrefix="1" applyFont="1" applyBorder="1" applyAlignment="1">
      <alignment horizontal="center" vertical="center" wrapText="1"/>
    </xf>
    <xf numFmtId="0" fontId="1" fillId="0" borderId="18" xfId="2" applyBorder="1" applyAlignment="1">
      <alignment horizontal="right" vertical="center"/>
    </xf>
    <xf numFmtId="0" fontId="23" fillId="0" borderId="4" xfId="2" quotePrefix="1" applyFont="1" applyBorder="1" applyAlignment="1">
      <alignment horizontal="center" vertical="center" wrapText="1"/>
    </xf>
    <xf numFmtId="0" fontId="1" fillId="0" borderId="4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 vertical="center"/>
    </xf>
    <xf numFmtId="0" fontId="27" fillId="0" borderId="25" xfId="2" applyFont="1" applyBorder="1" applyAlignment="1">
      <alignment horizontal="right" wrapText="1"/>
    </xf>
    <xf numFmtId="0" fontId="28" fillId="0" borderId="26" xfId="2" quotePrefix="1" applyFont="1" applyBorder="1" applyAlignment="1">
      <alignment horizontal="center" vertical="center" wrapText="1"/>
    </xf>
    <xf numFmtId="0" fontId="1" fillId="0" borderId="19" xfId="2" applyBorder="1" applyAlignment="1">
      <alignment horizontal="right" vertical="center"/>
    </xf>
    <xf numFmtId="0" fontId="28" fillId="0" borderId="26" xfId="2" applyFont="1" applyBorder="1" applyAlignment="1">
      <alignment horizontal="center" vertical="center" wrapText="1"/>
    </xf>
    <xf numFmtId="0" fontId="1" fillId="0" borderId="26" xfId="2" applyBorder="1" applyAlignment="1">
      <alignment horizontal="center" vertical="center"/>
    </xf>
    <xf numFmtId="0" fontId="1" fillId="0" borderId="17" xfId="2" quotePrefix="1" applyBorder="1" applyAlignment="1">
      <alignment horizontal="center" vertical="center"/>
    </xf>
    <xf numFmtId="49" fontId="20" fillId="0" borderId="17" xfId="2" applyNumberFormat="1" applyFont="1" applyBorder="1" applyAlignment="1">
      <alignment horizontal="center" vertical="center"/>
    </xf>
    <xf numFmtId="0" fontId="23" fillId="0" borderId="2" xfId="2" quotePrefix="1" applyFont="1" applyBorder="1" applyAlignment="1">
      <alignment horizontal="center" vertical="center" wrapText="1"/>
    </xf>
    <xf numFmtId="0" fontId="1" fillId="0" borderId="22" xfId="2" applyBorder="1" applyAlignment="1">
      <alignment horizontal="right" vertical="center"/>
    </xf>
    <xf numFmtId="49" fontId="20" fillId="0" borderId="3" xfId="2" applyNumberFormat="1" applyFont="1" applyBorder="1" applyAlignment="1">
      <alignment horizontal="center" vertical="center"/>
    </xf>
    <xf numFmtId="0" fontId="23" fillId="0" borderId="26" xfId="2" quotePrefix="1" applyFont="1" applyBorder="1" applyAlignment="1">
      <alignment horizontal="center" vertical="center" wrapText="1"/>
    </xf>
    <xf numFmtId="0" fontId="1" fillId="0" borderId="25" xfId="2" applyBorder="1" applyAlignment="1">
      <alignment horizontal="right"/>
    </xf>
    <xf numFmtId="0" fontId="1" fillId="0" borderId="27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3" xfId="2" quotePrefix="1" applyBorder="1" applyAlignment="1">
      <alignment horizontal="center" vertical="center"/>
    </xf>
    <xf numFmtId="0" fontId="24" fillId="0" borderId="25" xfId="2" applyFont="1" applyBorder="1" applyAlignment="1">
      <alignment horizontal="right" vertical="top" wrapText="1"/>
    </xf>
    <xf numFmtId="0" fontId="1" fillId="0" borderId="28" xfId="2" applyBorder="1" applyAlignment="1">
      <alignment horizontal="center" vertical="center"/>
    </xf>
    <xf numFmtId="0" fontId="1" fillId="0" borderId="5" xfId="2" quotePrefix="1" applyBorder="1" applyAlignment="1">
      <alignment horizontal="center" vertical="center"/>
    </xf>
    <xf numFmtId="0" fontId="28" fillId="0" borderId="2" xfId="2" applyFont="1" applyBorder="1" applyAlignment="1">
      <alignment horizontal="center" vertical="center" wrapText="1"/>
    </xf>
    <xf numFmtId="0" fontId="22" fillId="0" borderId="3" xfId="2" applyFont="1" applyBorder="1" applyAlignment="1">
      <alignment horizontal="center" vertical="center"/>
    </xf>
    <xf numFmtId="0" fontId="27" fillId="0" borderId="25" xfId="2" applyFont="1" applyBorder="1" applyAlignment="1">
      <alignment horizontal="right" vertical="top" wrapText="1"/>
    </xf>
    <xf numFmtId="20" fontId="23" fillId="0" borderId="15" xfId="2" applyNumberFormat="1" applyFont="1" applyBorder="1" applyAlignment="1">
      <alignment horizontal="centerContinuous"/>
    </xf>
    <xf numFmtId="20" fontId="23" fillId="0" borderId="15" xfId="2" applyNumberFormat="1" applyFont="1" applyBorder="1" applyAlignment="1">
      <alignment horizontal="center"/>
    </xf>
    <xf numFmtId="20" fontId="23" fillId="0" borderId="25" xfId="2" applyNumberFormat="1" applyFont="1" applyBorder="1" applyAlignment="1">
      <alignment horizontal="center"/>
    </xf>
    <xf numFmtId="0" fontId="23" fillId="0" borderId="0" xfId="2" applyFont="1" applyAlignment="1">
      <alignment horizontal="right" wrapText="1"/>
    </xf>
    <xf numFmtId="0" fontId="23" fillId="0" borderId="17" xfId="2" applyFont="1" applyBorder="1" applyAlignment="1">
      <alignment horizontal="centerContinuous"/>
    </xf>
    <xf numFmtId="0" fontId="23" fillId="0" borderId="26" xfId="2" applyFont="1" applyBorder="1" applyAlignment="1">
      <alignment horizontal="center"/>
    </xf>
    <xf numFmtId="0" fontId="23" fillId="0" borderId="0" xfId="2" applyFont="1" applyAlignment="1">
      <alignment horizontal="right"/>
    </xf>
    <xf numFmtId="0" fontId="20" fillId="0" borderId="17" xfId="2" applyFont="1" applyBorder="1" applyAlignment="1">
      <alignment horizontal="centerContinuous"/>
    </xf>
    <xf numFmtId="0" fontId="20" fillId="0" borderId="26" xfId="2" applyFont="1" applyBorder="1" applyAlignment="1">
      <alignment horizontal="center"/>
    </xf>
    <xf numFmtId="16" fontId="20" fillId="0" borderId="20" xfId="2" applyNumberFormat="1" applyFont="1" applyBorder="1" applyAlignment="1">
      <alignment horizontal="centerContinuous"/>
    </xf>
    <xf numFmtId="16" fontId="20" fillId="0" borderId="29" xfId="2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right" vertical="center"/>
    </xf>
    <xf numFmtId="165" fontId="0" fillId="0" borderId="17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164" fontId="5" fillId="0" borderId="23" xfId="0" applyNumberFormat="1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15" fontId="0" fillId="0" borderId="0" xfId="0" quotePrefix="1" applyNumberFormat="1"/>
    <xf numFmtId="15" fontId="0" fillId="0" borderId="0" xfId="0" applyNumberFormat="1"/>
    <xf numFmtId="1" fontId="1" fillId="0" borderId="0" xfId="3" applyNumberFormat="1" applyAlignment="1">
      <alignment horizontal="center" vertical="center"/>
    </xf>
    <xf numFmtId="0" fontId="1" fillId="0" borderId="5" xfId="2" applyBorder="1" applyAlignment="1">
      <alignment horizontal="center"/>
    </xf>
    <xf numFmtId="0" fontId="7" fillId="0" borderId="5" xfId="2" applyFont="1" applyBorder="1" applyAlignment="1">
      <alignment horizontal="center" vertical="center"/>
    </xf>
    <xf numFmtId="0" fontId="1" fillId="0" borderId="5" xfId="2" applyBorder="1"/>
    <xf numFmtId="0" fontId="1" fillId="0" borderId="4" xfId="2" applyBorder="1"/>
    <xf numFmtId="0" fontId="7" fillId="0" borderId="17" xfId="2" applyFont="1" applyBorder="1" applyAlignment="1">
      <alignment horizontal="center" vertical="center"/>
    </xf>
    <xf numFmtId="0" fontId="5" fillId="0" borderId="17" xfId="2" applyFont="1" applyBorder="1" applyAlignment="1">
      <alignment horizontal="left" vertical="center"/>
    </xf>
    <xf numFmtId="164" fontId="5" fillId="0" borderId="26" xfId="2" applyNumberFormat="1" applyFont="1" applyBorder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left" vertical="center"/>
    </xf>
    <xf numFmtId="164" fontId="5" fillId="0" borderId="2" xfId="2" applyNumberFormat="1" applyFont="1" applyBorder="1" applyAlignment="1">
      <alignment horizontal="right" vertical="center"/>
    </xf>
    <xf numFmtId="0" fontId="31" fillId="0" borderId="5" xfId="2" applyFont="1" applyBorder="1" applyAlignment="1">
      <alignment horizontal="center" vertical="center"/>
    </xf>
    <xf numFmtId="0" fontId="5" fillId="0" borderId="5" xfId="2" applyFont="1" applyBorder="1" applyAlignment="1">
      <alignment horizontal="left" vertical="center"/>
    </xf>
    <xf numFmtId="164" fontId="5" fillId="0" borderId="4" xfId="2" applyNumberFormat="1" applyFont="1" applyBorder="1" applyAlignment="1">
      <alignment horizontal="right" vertical="center"/>
    </xf>
    <xf numFmtId="0" fontId="31" fillId="0" borderId="17" xfId="2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17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24" fillId="0" borderId="0" xfId="2" applyFont="1" applyAlignment="1">
      <alignment horizontal="center" wrapText="1"/>
    </xf>
    <xf numFmtId="0" fontId="23" fillId="0" borderId="0" xfId="2" applyFont="1" applyAlignment="1">
      <alignment horizontal="center"/>
    </xf>
    <xf numFmtId="0" fontId="1" fillId="0" borderId="23" xfId="2" applyBorder="1" applyAlignment="1">
      <alignment horizontal="center"/>
    </xf>
    <xf numFmtId="16" fontId="1" fillId="0" borderId="24" xfId="2" applyNumberFormat="1" applyBorder="1" applyAlignment="1">
      <alignment horizontal="center"/>
    </xf>
    <xf numFmtId="0" fontId="25" fillId="0" borderId="0" xfId="2" applyFont="1" applyAlignment="1">
      <alignment horizontal="left"/>
    </xf>
    <xf numFmtId="165" fontId="5" fillId="0" borderId="31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32" fillId="0" borderId="32" xfId="0" applyFont="1" applyBorder="1" applyAlignment="1">
      <alignment horizontal="center" wrapText="1"/>
    </xf>
    <xf numFmtId="0" fontId="7" fillId="0" borderId="33" xfId="0" applyFont="1" applyBorder="1" applyAlignment="1">
      <alignment horizontal="center" wrapText="1"/>
    </xf>
    <xf numFmtId="0" fontId="14" fillId="0" borderId="0" xfId="0" applyFont="1" applyAlignment="1">
      <alignment vertical="top"/>
    </xf>
    <xf numFmtId="166" fontId="0" fillId="0" borderId="0" xfId="0" applyNumberFormat="1"/>
    <xf numFmtId="16" fontId="5" fillId="0" borderId="0" xfId="0" applyNumberFormat="1" applyFont="1" applyAlignment="1">
      <alignment horizontal="right"/>
    </xf>
    <xf numFmtId="165" fontId="5" fillId="0" borderId="31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5" fontId="5" fillId="0" borderId="0" xfId="0" applyNumberFormat="1" applyFont="1" applyAlignment="1">
      <alignment horizontal="right"/>
    </xf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21" fillId="0" borderId="16" xfId="2" applyFont="1" applyBorder="1" applyAlignment="1">
      <alignment horizontal="center" vertical="top" wrapText="1"/>
    </xf>
    <xf numFmtId="0" fontId="21" fillId="0" borderId="0" xfId="2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20" fillId="0" borderId="0" xfId="2" applyFont="1" applyAlignment="1">
      <alignment horizontal="center" wrapText="1"/>
    </xf>
    <xf numFmtId="0" fontId="1" fillId="0" borderId="0" xfId="2" applyAlignment="1">
      <alignment horizontal="center"/>
    </xf>
    <xf numFmtId="0" fontId="0" fillId="0" borderId="0" xfId="0" applyAlignment="1">
      <alignment horizontal="left" vertical="center" wrapText="1"/>
    </xf>
  </cellXfs>
  <cellStyles count="4">
    <cellStyle name="Normal" xfId="0" builtinId="0"/>
    <cellStyle name="Normal 2" xfId="1" xr:uid="{B85BC033-5E21-4158-8B20-B32FAAAB9E94}"/>
    <cellStyle name="Normal 3" xfId="2" xr:uid="{11D0330E-C383-44CD-8CDA-AA8D001300D6}"/>
    <cellStyle name="Normal 4" xfId="3" xr:uid="{27287CF0-12EA-49D0-B53A-2FB0296FD81B}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5D79-AE16-4BEB-AB79-C3CE2101D712}">
  <dimension ref="A1:R49"/>
  <sheetViews>
    <sheetView workbookViewId="0"/>
  </sheetViews>
  <sheetFormatPr defaultRowHeight="15" x14ac:dyDescent="0.25"/>
  <cols>
    <col min="1" max="16384" width="9.140625" style="63"/>
  </cols>
  <sheetData>
    <row r="1" spans="1:18" x14ac:dyDescent="0.25">
      <c r="A1" s="64" t="s">
        <v>87</v>
      </c>
      <c r="B1" s="63" t="s">
        <v>86</v>
      </c>
      <c r="C1" s="63" t="s">
        <v>85</v>
      </c>
      <c r="D1" s="63" t="s">
        <v>84</v>
      </c>
      <c r="E1" s="63" t="s">
        <v>83</v>
      </c>
      <c r="F1" s="63" t="s">
        <v>82</v>
      </c>
      <c r="G1" s="63" t="s">
        <v>81</v>
      </c>
      <c r="H1" s="63" t="s">
        <v>80</v>
      </c>
      <c r="I1" s="63" t="s">
        <v>79</v>
      </c>
      <c r="J1" s="63" t="s">
        <v>78</v>
      </c>
      <c r="K1" s="63" t="s">
        <v>77</v>
      </c>
      <c r="L1" s="63" t="s">
        <v>76</v>
      </c>
      <c r="M1" s="63" t="s">
        <v>75</v>
      </c>
      <c r="N1" s="63" t="s">
        <v>74</v>
      </c>
      <c r="O1" s="63" t="s">
        <v>73</v>
      </c>
      <c r="P1" s="63" t="s">
        <v>72</v>
      </c>
      <c r="Q1" s="63" t="s">
        <v>71</v>
      </c>
      <c r="R1" s="63" t="s">
        <v>70</v>
      </c>
    </row>
    <row r="2" spans="1:18" x14ac:dyDescent="0.25">
      <c r="A2" s="65" t="s">
        <v>88</v>
      </c>
      <c r="B2" s="63">
        <v>10</v>
      </c>
      <c r="C2" s="63">
        <v>14</v>
      </c>
      <c r="D2" s="63">
        <v>15</v>
      </c>
      <c r="E2" s="63">
        <v>23</v>
      </c>
      <c r="F2" s="63">
        <v>32</v>
      </c>
      <c r="G2" s="63">
        <v>38</v>
      </c>
      <c r="H2" s="63">
        <v>56</v>
      </c>
      <c r="I2" s="63">
        <v>71</v>
      </c>
      <c r="J2" s="63">
        <v>83</v>
      </c>
      <c r="K2" s="63">
        <v>91</v>
      </c>
      <c r="L2" s="63">
        <v>104</v>
      </c>
      <c r="M2" s="63">
        <v>113</v>
      </c>
      <c r="N2" s="63">
        <v>109</v>
      </c>
      <c r="O2" s="63">
        <v>111</v>
      </c>
      <c r="P2" s="63">
        <v>109</v>
      </c>
      <c r="Q2" s="63">
        <v>107</v>
      </c>
      <c r="R2" s="63">
        <v>101</v>
      </c>
    </row>
    <row r="3" spans="1:18" x14ac:dyDescent="0.25">
      <c r="A3" s="65" t="s">
        <v>89</v>
      </c>
      <c r="B3" s="63">
        <v>10</v>
      </c>
      <c r="C3" s="63">
        <v>15</v>
      </c>
      <c r="D3" s="63">
        <v>18</v>
      </c>
      <c r="E3" s="63">
        <v>31</v>
      </c>
      <c r="F3" s="63">
        <v>44</v>
      </c>
      <c r="G3" s="63">
        <v>53</v>
      </c>
      <c r="H3" s="63">
        <v>64</v>
      </c>
      <c r="I3" s="63">
        <v>73</v>
      </c>
      <c r="J3" s="63">
        <v>84</v>
      </c>
      <c r="K3" s="63">
        <v>96</v>
      </c>
      <c r="L3" s="63">
        <v>94</v>
      </c>
      <c r="M3" s="63">
        <v>102</v>
      </c>
      <c r="N3" s="63">
        <v>98</v>
      </c>
      <c r="O3" s="63">
        <v>100</v>
      </c>
      <c r="P3" s="63">
        <v>102</v>
      </c>
      <c r="Q3" s="63">
        <v>104</v>
      </c>
      <c r="R3" s="63">
        <v>109</v>
      </c>
    </row>
    <row r="4" spans="1:18" x14ac:dyDescent="0.25">
      <c r="A4" s="65" t="s">
        <v>90</v>
      </c>
      <c r="B4" s="63">
        <v>11</v>
      </c>
      <c r="C4" s="63">
        <v>14</v>
      </c>
      <c r="D4" s="63">
        <v>19</v>
      </c>
      <c r="E4" s="63">
        <v>27</v>
      </c>
      <c r="F4" s="63">
        <v>41</v>
      </c>
      <c r="G4" s="63">
        <v>54</v>
      </c>
      <c r="H4" s="63">
        <v>67</v>
      </c>
      <c r="I4" s="63">
        <v>73</v>
      </c>
      <c r="J4" s="63">
        <v>82</v>
      </c>
      <c r="K4" s="63">
        <v>93</v>
      </c>
      <c r="L4" s="63">
        <v>97</v>
      </c>
      <c r="M4" s="63">
        <v>105</v>
      </c>
      <c r="N4" s="63">
        <v>94</v>
      </c>
      <c r="O4" s="63">
        <v>80</v>
      </c>
      <c r="P4" s="63">
        <v>89</v>
      </c>
      <c r="Q4" s="63">
        <v>95</v>
      </c>
      <c r="R4" s="63">
        <v>114</v>
      </c>
    </row>
    <row r="5" spans="1:18" x14ac:dyDescent="0.25">
      <c r="A5" s="65" t="s">
        <v>91</v>
      </c>
      <c r="B5" s="63">
        <v>12</v>
      </c>
      <c r="C5" s="63">
        <v>14</v>
      </c>
      <c r="D5" s="63">
        <v>19</v>
      </c>
      <c r="E5" s="63">
        <v>31</v>
      </c>
      <c r="F5" s="63">
        <v>43</v>
      </c>
      <c r="G5" s="63">
        <v>60</v>
      </c>
      <c r="H5" s="63">
        <v>75</v>
      </c>
      <c r="I5" s="63">
        <v>91</v>
      </c>
      <c r="J5" s="63">
        <v>98</v>
      </c>
      <c r="K5" s="63">
        <v>108</v>
      </c>
      <c r="L5" s="63">
        <v>113</v>
      </c>
      <c r="M5" s="63">
        <v>119</v>
      </c>
      <c r="N5" s="63">
        <v>113</v>
      </c>
      <c r="O5" s="63">
        <v>110</v>
      </c>
      <c r="P5" s="63">
        <v>107</v>
      </c>
      <c r="Q5" s="63">
        <v>117</v>
      </c>
      <c r="R5" s="63">
        <v>109</v>
      </c>
    </row>
    <row r="6" spans="1:18" x14ac:dyDescent="0.25">
      <c r="A6" s="65" t="s">
        <v>92</v>
      </c>
      <c r="B6" s="63">
        <v>12</v>
      </c>
      <c r="C6" s="63">
        <v>15</v>
      </c>
      <c r="D6" s="63">
        <v>22</v>
      </c>
      <c r="E6" s="63">
        <v>34</v>
      </c>
      <c r="F6" s="63">
        <v>40</v>
      </c>
      <c r="G6" s="63">
        <v>47</v>
      </c>
      <c r="H6" s="63">
        <v>61</v>
      </c>
      <c r="I6" s="63">
        <v>68</v>
      </c>
      <c r="J6" s="63">
        <v>73</v>
      </c>
      <c r="K6" s="63">
        <v>76</v>
      </c>
      <c r="L6" s="63">
        <v>77</v>
      </c>
      <c r="M6" s="63">
        <v>85</v>
      </c>
      <c r="N6" s="63">
        <v>86</v>
      </c>
      <c r="O6" s="63">
        <v>91</v>
      </c>
      <c r="P6" s="63">
        <v>95</v>
      </c>
      <c r="Q6" s="63">
        <v>101</v>
      </c>
      <c r="R6" s="63">
        <v>109</v>
      </c>
    </row>
    <row r="7" spans="1:18" x14ac:dyDescent="0.25">
      <c r="A7" s="65" t="s">
        <v>93</v>
      </c>
      <c r="B7" s="63">
        <v>9</v>
      </c>
      <c r="C7" s="63">
        <v>12</v>
      </c>
      <c r="D7" s="63">
        <v>18</v>
      </c>
      <c r="E7" s="63">
        <v>25</v>
      </c>
      <c r="F7" s="63">
        <v>34</v>
      </c>
      <c r="G7" s="63">
        <v>48</v>
      </c>
      <c r="H7" s="63">
        <v>61</v>
      </c>
      <c r="I7" s="63">
        <v>74</v>
      </c>
      <c r="J7" s="63">
        <v>86</v>
      </c>
      <c r="K7" s="63">
        <v>97</v>
      </c>
      <c r="L7" s="63">
        <v>102</v>
      </c>
      <c r="M7" s="63">
        <v>109</v>
      </c>
      <c r="N7" s="63">
        <v>107</v>
      </c>
      <c r="O7" s="63">
        <v>106</v>
      </c>
      <c r="P7" s="63">
        <v>106</v>
      </c>
      <c r="Q7" s="63">
        <v>107</v>
      </c>
      <c r="R7" s="63">
        <v>108</v>
      </c>
    </row>
    <row r="8" spans="1:18" x14ac:dyDescent="0.25">
      <c r="A8" s="65" t="s">
        <v>94</v>
      </c>
      <c r="B8" s="63">
        <v>9</v>
      </c>
      <c r="C8" s="63">
        <v>13</v>
      </c>
      <c r="D8" s="63">
        <v>15</v>
      </c>
      <c r="E8" s="63">
        <v>25</v>
      </c>
      <c r="F8" s="63">
        <v>33</v>
      </c>
      <c r="G8" s="63">
        <v>47</v>
      </c>
      <c r="H8" s="63">
        <v>58</v>
      </c>
      <c r="I8" s="63">
        <v>74</v>
      </c>
      <c r="J8" s="63">
        <v>85</v>
      </c>
      <c r="K8" s="63">
        <v>92</v>
      </c>
      <c r="L8" s="63">
        <v>100</v>
      </c>
      <c r="M8" s="63">
        <v>107</v>
      </c>
      <c r="N8" s="63">
        <v>95</v>
      </c>
      <c r="O8" s="63">
        <v>96</v>
      </c>
      <c r="P8" s="63">
        <v>95</v>
      </c>
      <c r="Q8" s="63">
        <v>87</v>
      </c>
      <c r="R8" s="63">
        <v>88</v>
      </c>
    </row>
    <row r="9" spans="1:18" x14ac:dyDescent="0.25">
      <c r="A9" s="65" t="s">
        <v>95</v>
      </c>
      <c r="B9" s="63">
        <v>11</v>
      </c>
      <c r="C9" s="63">
        <v>13</v>
      </c>
      <c r="D9" s="63">
        <v>17</v>
      </c>
      <c r="E9" s="63">
        <v>28</v>
      </c>
      <c r="F9" s="63">
        <v>36</v>
      </c>
      <c r="G9" s="63">
        <v>49</v>
      </c>
      <c r="H9" s="63">
        <v>66</v>
      </c>
      <c r="I9" s="63">
        <v>79</v>
      </c>
      <c r="J9" s="63">
        <v>86</v>
      </c>
      <c r="K9" s="63">
        <v>98</v>
      </c>
      <c r="L9" s="63">
        <v>98</v>
      </c>
      <c r="M9" s="63">
        <v>105</v>
      </c>
      <c r="N9" s="63">
        <v>94</v>
      </c>
      <c r="O9" s="63">
        <v>98</v>
      </c>
      <c r="P9" s="63">
        <v>106</v>
      </c>
      <c r="Q9" s="63">
        <v>108</v>
      </c>
      <c r="R9" s="63">
        <v>114</v>
      </c>
    </row>
    <row r="10" spans="1:18" x14ac:dyDescent="0.25">
      <c r="A10" s="65" t="s">
        <v>96</v>
      </c>
      <c r="B10" s="63">
        <v>10</v>
      </c>
      <c r="C10" s="63">
        <v>12</v>
      </c>
      <c r="D10" s="63">
        <v>20</v>
      </c>
      <c r="E10" s="63">
        <v>29</v>
      </c>
      <c r="F10" s="63">
        <v>38</v>
      </c>
      <c r="G10" s="63">
        <v>53</v>
      </c>
      <c r="H10" s="63">
        <v>70</v>
      </c>
      <c r="I10" s="63">
        <v>85</v>
      </c>
      <c r="J10" s="63">
        <v>97</v>
      </c>
      <c r="K10" s="63">
        <v>106</v>
      </c>
      <c r="L10" s="63">
        <v>112</v>
      </c>
      <c r="M10" s="63">
        <v>120</v>
      </c>
      <c r="N10" s="63">
        <v>106</v>
      </c>
      <c r="O10" s="63">
        <v>107</v>
      </c>
      <c r="P10" s="63">
        <v>108</v>
      </c>
      <c r="Q10" s="63">
        <v>107</v>
      </c>
      <c r="R10" s="63">
        <v>104</v>
      </c>
    </row>
    <row r="11" spans="1:18" x14ac:dyDescent="0.25">
      <c r="A11" s="65" t="s">
        <v>97</v>
      </c>
      <c r="B11" s="63">
        <v>10</v>
      </c>
      <c r="C11" s="63">
        <v>13</v>
      </c>
      <c r="D11" s="63">
        <v>20</v>
      </c>
      <c r="E11" s="63">
        <v>29</v>
      </c>
      <c r="F11" s="63">
        <v>42</v>
      </c>
      <c r="G11" s="63">
        <v>59</v>
      </c>
      <c r="H11" s="63">
        <v>68</v>
      </c>
      <c r="I11" s="63">
        <v>86</v>
      </c>
      <c r="J11" s="63">
        <v>97</v>
      </c>
      <c r="K11" s="63">
        <v>102</v>
      </c>
      <c r="L11" s="63">
        <v>108</v>
      </c>
      <c r="M11" s="63">
        <v>116</v>
      </c>
      <c r="N11" s="63">
        <v>100</v>
      </c>
      <c r="O11" s="63">
        <v>102</v>
      </c>
      <c r="P11" s="63">
        <v>109</v>
      </c>
      <c r="Q11" s="63">
        <v>110</v>
      </c>
      <c r="R11" s="63">
        <v>108</v>
      </c>
    </row>
    <row r="12" spans="1:18" x14ac:dyDescent="0.25">
      <c r="A12" s="65" t="s">
        <v>98</v>
      </c>
      <c r="B12" s="63">
        <v>10</v>
      </c>
      <c r="C12" s="63">
        <v>14</v>
      </c>
      <c r="D12" s="63">
        <v>20</v>
      </c>
      <c r="E12" s="63">
        <v>30</v>
      </c>
      <c r="F12" s="63">
        <v>42</v>
      </c>
      <c r="G12" s="63">
        <v>62</v>
      </c>
      <c r="H12" s="63">
        <v>77</v>
      </c>
      <c r="I12" s="63">
        <v>95</v>
      </c>
      <c r="J12" s="63">
        <v>108</v>
      </c>
      <c r="K12" s="63">
        <v>119</v>
      </c>
      <c r="L12" s="63">
        <v>122</v>
      </c>
      <c r="M12" s="63">
        <v>127</v>
      </c>
      <c r="N12" s="63">
        <v>103</v>
      </c>
      <c r="O12" s="63">
        <v>111</v>
      </c>
      <c r="P12" s="63">
        <v>119</v>
      </c>
      <c r="Q12" s="63">
        <v>124</v>
      </c>
      <c r="R12" s="63">
        <v>127</v>
      </c>
    </row>
    <row r="13" spans="1:18" x14ac:dyDescent="0.25">
      <c r="A13" s="65" t="s">
        <v>99</v>
      </c>
      <c r="B13" s="63">
        <v>10</v>
      </c>
      <c r="C13" s="63">
        <v>13</v>
      </c>
      <c r="D13" s="63">
        <v>20</v>
      </c>
      <c r="E13" s="63">
        <v>29</v>
      </c>
      <c r="F13" s="63">
        <v>43</v>
      </c>
      <c r="G13" s="63">
        <v>54</v>
      </c>
      <c r="H13" s="63">
        <v>72</v>
      </c>
      <c r="I13" s="63">
        <v>89</v>
      </c>
      <c r="J13" s="63">
        <v>101</v>
      </c>
      <c r="K13" s="63">
        <v>107</v>
      </c>
      <c r="L13" s="63">
        <v>116</v>
      </c>
      <c r="M13" s="63">
        <v>120</v>
      </c>
      <c r="N13" s="63">
        <v>105</v>
      </c>
      <c r="O13" s="63">
        <v>111</v>
      </c>
      <c r="P13" s="63">
        <v>118</v>
      </c>
      <c r="Q13" s="63">
        <v>121</v>
      </c>
      <c r="R13" s="63">
        <v>126</v>
      </c>
    </row>
    <row r="14" spans="1:18" x14ac:dyDescent="0.25">
      <c r="A14" s="65" t="s">
        <v>100</v>
      </c>
      <c r="B14" s="63">
        <v>9</v>
      </c>
      <c r="C14" s="63">
        <v>14</v>
      </c>
      <c r="D14" s="63">
        <v>20</v>
      </c>
      <c r="E14" s="63">
        <v>29</v>
      </c>
      <c r="F14" s="63">
        <v>40</v>
      </c>
      <c r="G14" s="63">
        <v>61</v>
      </c>
      <c r="H14" s="63">
        <v>70</v>
      </c>
      <c r="I14" s="63">
        <v>90</v>
      </c>
      <c r="J14" s="63">
        <v>101</v>
      </c>
      <c r="K14" s="63">
        <v>107</v>
      </c>
      <c r="L14" s="63">
        <v>102</v>
      </c>
      <c r="M14" s="63">
        <v>110</v>
      </c>
      <c r="N14" s="63">
        <v>102</v>
      </c>
      <c r="O14" s="63">
        <v>107</v>
      </c>
      <c r="P14" s="63">
        <v>114</v>
      </c>
      <c r="Q14" s="63">
        <v>120</v>
      </c>
      <c r="R14" s="63">
        <v>125</v>
      </c>
    </row>
    <row r="15" spans="1:18" x14ac:dyDescent="0.25">
      <c r="A15" s="65" t="s">
        <v>101</v>
      </c>
      <c r="B15" s="63">
        <v>10</v>
      </c>
      <c r="C15" s="63">
        <v>12</v>
      </c>
      <c r="D15" s="63">
        <v>18</v>
      </c>
      <c r="E15" s="63">
        <v>27</v>
      </c>
      <c r="F15" s="63">
        <v>35</v>
      </c>
      <c r="G15" s="63">
        <v>47</v>
      </c>
      <c r="H15" s="63">
        <v>59</v>
      </c>
      <c r="I15" s="63">
        <v>69</v>
      </c>
      <c r="J15" s="63">
        <v>75</v>
      </c>
      <c r="K15" s="63">
        <v>78</v>
      </c>
      <c r="L15" s="63">
        <v>86</v>
      </c>
      <c r="M15" s="63">
        <v>91</v>
      </c>
      <c r="N15" s="63">
        <v>87</v>
      </c>
      <c r="O15" s="63">
        <v>95</v>
      </c>
      <c r="P15" s="63">
        <v>101</v>
      </c>
      <c r="Q15" s="63">
        <v>109</v>
      </c>
      <c r="R15" s="63">
        <v>115</v>
      </c>
    </row>
    <row r="16" spans="1:18" x14ac:dyDescent="0.25">
      <c r="A16" s="65" t="s">
        <v>102</v>
      </c>
      <c r="B16" s="63">
        <v>11</v>
      </c>
      <c r="C16" s="63">
        <v>14</v>
      </c>
      <c r="D16" s="63">
        <v>20</v>
      </c>
      <c r="E16" s="63">
        <v>32</v>
      </c>
      <c r="F16" s="63">
        <v>41</v>
      </c>
      <c r="G16" s="63">
        <v>58</v>
      </c>
      <c r="H16" s="63">
        <v>68</v>
      </c>
      <c r="I16" s="63">
        <v>80</v>
      </c>
      <c r="J16" s="63">
        <v>88</v>
      </c>
      <c r="K16" s="63">
        <v>94</v>
      </c>
      <c r="L16" s="63">
        <v>97</v>
      </c>
      <c r="M16" s="63">
        <v>103</v>
      </c>
      <c r="N16" s="63">
        <v>90</v>
      </c>
      <c r="O16" s="63">
        <v>96</v>
      </c>
      <c r="P16" s="63">
        <v>99</v>
      </c>
      <c r="Q16" s="63">
        <v>111</v>
      </c>
      <c r="R16" s="63">
        <v>114</v>
      </c>
    </row>
    <row r="17" spans="1:18" x14ac:dyDescent="0.25">
      <c r="A17" s="65" t="s">
        <v>103</v>
      </c>
      <c r="B17" s="63">
        <v>10</v>
      </c>
      <c r="C17" s="63">
        <v>12</v>
      </c>
      <c r="D17" s="63">
        <v>18</v>
      </c>
      <c r="E17" s="63">
        <v>29</v>
      </c>
      <c r="F17" s="63">
        <v>37</v>
      </c>
      <c r="G17" s="63">
        <v>53</v>
      </c>
      <c r="H17" s="63">
        <v>67</v>
      </c>
      <c r="I17" s="63">
        <v>77</v>
      </c>
      <c r="J17" s="63">
        <v>83</v>
      </c>
      <c r="K17" s="63">
        <v>87</v>
      </c>
      <c r="L17" s="63">
        <v>89</v>
      </c>
      <c r="M17" s="63">
        <v>94</v>
      </c>
      <c r="N17" s="63">
        <v>87</v>
      </c>
      <c r="O17" s="63">
        <v>94</v>
      </c>
      <c r="P17" s="63">
        <v>98</v>
      </c>
      <c r="Q17" s="63">
        <v>108</v>
      </c>
      <c r="R17" s="63">
        <v>110</v>
      </c>
    </row>
    <row r="18" spans="1:18" x14ac:dyDescent="0.25">
      <c r="A18" s="65" t="s">
        <v>104</v>
      </c>
      <c r="B18" s="63">
        <v>9</v>
      </c>
      <c r="C18" s="63">
        <v>13</v>
      </c>
      <c r="D18" s="63">
        <v>19</v>
      </c>
      <c r="E18" s="63">
        <v>27</v>
      </c>
      <c r="F18" s="63">
        <v>34</v>
      </c>
      <c r="G18" s="63">
        <v>53</v>
      </c>
      <c r="H18" s="63">
        <v>61</v>
      </c>
      <c r="I18" s="63">
        <v>78</v>
      </c>
      <c r="J18" s="63">
        <v>93</v>
      </c>
      <c r="K18" s="63">
        <v>106</v>
      </c>
      <c r="L18" s="63">
        <v>116</v>
      </c>
      <c r="M18" s="63">
        <v>121</v>
      </c>
      <c r="N18" s="63">
        <v>113</v>
      </c>
      <c r="O18" s="63">
        <v>112</v>
      </c>
      <c r="P18" s="63">
        <v>110</v>
      </c>
      <c r="Q18" s="63">
        <v>111</v>
      </c>
      <c r="R18" s="63">
        <v>111</v>
      </c>
    </row>
    <row r="19" spans="1:18" x14ac:dyDescent="0.25">
      <c r="A19" s="65" t="s">
        <v>105</v>
      </c>
      <c r="B19" s="63">
        <v>11</v>
      </c>
      <c r="C19" s="63">
        <v>12</v>
      </c>
      <c r="D19" s="63">
        <v>17</v>
      </c>
      <c r="E19" s="63">
        <v>24</v>
      </c>
      <c r="F19" s="63">
        <v>32</v>
      </c>
      <c r="G19" s="63">
        <v>45</v>
      </c>
      <c r="H19" s="63">
        <v>61</v>
      </c>
      <c r="I19" s="63">
        <v>77</v>
      </c>
      <c r="J19" s="63">
        <v>91</v>
      </c>
      <c r="K19" s="63">
        <v>98</v>
      </c>
      <c r="L19" s="63">
        <v>108</v>
      </c>
      <c r="M19" s="63">
        <v>114</v>
      </c>
      <c r="N19" s="63">
        <v>105</v>
      </c>
      <c r="O19" s="63">
        <v>107</v>
      </c>
      <c r="P19" s="63">
        <v>109</v>
      </c>
      <c r="Q19" s="63">
        <v>97</v>
      </c>
      <c r="R19" s="63">
        <v>99</v>
      </c>
    </row>
    <row r="20" spans="1:18" x14ac:dyDescent="0.25">
      <c r="A20" s="65" t="s">
        <v>106</v>
      </c>
      <c r="B20" s="63">
        <v>10</v>
      </c>
      <c r="C20" s="63">
        <v>12</v>
      </c>
      <c r="D20" s="63">
        <v>17</v>
      </c>
      <c r="E20" s="63">
        <v>25</v>
      </c>
      <c r="F20" s="63">
        <v>32</v>
      </c>
      <c r="G20" s="63">
        <v>43</v>
      </c>
      <c r="H20" s="63">
        <v>56</v>
      </c>
      <c r="I20" s="63">
        <v>71</v>
      </c>
      <c r="J20" s="63">
        <v>87</v>
      </c>
      <c r="K20" s="63">
        <v>96</v>
      </c>
      <c r="L20" s="63">
        <v>107</v>
      </c>
      <c r="M20" s="63">
        <v>114</v>
      </c>
      <c r="N20" s="63">
        <v>112</v>
      </c>
      <c r="O20" s="63">
        <v>111</v>
      </c>
      <c r="P20" s="63">
        <v>112</v>
      </c>
      <c r="Q20" s="63">
        <v>111</v>
      </c>
      <c r="R20" s="63">
        <v>113</v>
      </c>
    </row>
    <row r="21" spans="1:18" x14ac:dyDescent="0.25">
      <c r="A21" s="65" t="s">
        <v>107</v>
      </c>
      <c r="B21" s="63">
        <v>10</v>
      </c>
      <c r="C21" s="63">
        <v>15</v>
      </c>
      <c r="D21" s="63">
        <v>25</v>
      </c>
      <c r="E21" s="63">
        <v>35</v>
      </c>
      <c r="F21" s="63">
        <v>49</v>
      </c>
      <c r="G21" s="63">
        <v>64</v>
      </c>
      <c r="H21" s="63">
        <v>82</v>
      </c>
      <c r="I21" s="63">
        <v>93</v>
      </c>
      <c r="J21" s="63">
        <v>107</v>
      </c>
      <c r="K21" s="63">
        <v>117</v>
      </c>
      <c r="L21" s="63">
        <v>118</v>
      </c>
      <c r="M21" s="63">
        <v>123</v>
      </c>
      <c r="N21" s="63">
        <v>113</v>
      </c>
      <c r="O21" s="63">
        <v>116</v>
      </c>
      <c r="P21" s="63">
        <v>120</v>
      </c>
      <c r="Q21" s="63">
        <v>119</v>
      </c>
      <c r="R21" s="63">
        <v>118</v>
      </c>
    </row>
    <row r="22" spans="1:18" x14ac:dyDescent="0.25">
      <c r="A22" s="65" t="s">
        <v>108</v>
      </c>
      <c r="B22" s="63">
        <v>10</v>
      </c>
      <c r="C22" s="63">
        <v>15</v>
      </c>
      <c r="D22" s="63">
        <v>19</v>
      </c>
      <c r="E22" s="63">
        <v>32</v>
      </c>
      <c r="F22" s="63">
        <v>41</v>
      </c>
      <c r="G22" s="63">
        <v>56</v>
      </c>
      <c r="H22" s="63">
        <v>74</v>
      </c>
      <c r="I22" s="63">
        <v>78</v>
      </c>
      <c r="J22" s="63">
        <v>89</v>
      </c>
      <c r="K22" s="63">
        <v>97</v>
      </c>
      <c r="L22" s="63">
        <v>105</v>
      </c>
      <c r="M22" s="63">
        <v>113</v>
      </c>
      <c r="N22" s="63">
        <v>99</v>
      </c>
      <c r="O22" s="63">
        <v>105</v>
      </c>
      <c r="P22" s="63">
        <v>111</v>
      </c>
      <c r="Q22" s="63">
        <v>118</v>
      </c>
      <c r="R22" s="63">
        <v>123</v>
      </c>
    </row>
    <row r="23" spans="1:18" x14ac:dyDescent="0.25">
      <c r="A23" s="65" t="s">
        <v>109</v>
      </c>
      <c r="B23" s="63">
        <v>10</v>
      </c>
      <c r="C23" s="63">
        <v>14</v>
      </c>
      <c r="D23" s="63">
        <v>18</v>
      </c>
      <c r="E23" s="63">
        <v>28</v>
      </c>
      <c r="F23" s="63">
        <v>36</v>
      </c>
      <c r="G23" s="63">
        <v>47</v>
      </c>
      <c r="H23" s="63">
        <v>62</v>
      </c>
      <c r="I23" s="63">
        <v>76</v>
      </c>
      <c r="J23" s="63">
        <v>87</v>
      </c>
      <c r="K23" s="63">
        <v>92</v>
      </c>
      <c r="L23" s="63">
        <v>93</v>
      </c>
      <c r="M23" s="63">
        <v>100</v>
      </c>
      <c r="N23" s="63">
        <v>97</v>
      </c>
      <c r="O23" s="63">
        <v>100</v>
      </c>
      <c r="P23" s="63">
        <v>106</v>
      </c>
      <c r="Q23" s="63">
        <v>110</v>
      </c>
      <c r="R23" s="63">
        <v>117</v>
      </c>
    </row>
    <row r="24" spans="1:18" x14ac:dyDescent="0.25">
      <c r="A24" s="65" t="s">
        <v>110</v>
      </c>
      <c r="B24" s="63">
        <v>10</v>
      </c>
      <c r="C24" s="63">
        <v>14</v>
      </c>
      <c r="D24" s="63">
        <v>23</v>
      </c>
      <c r="E24" s="63">
        <v>38</v>
      </c>
      <c r="F24" s="63">
        <v>46</v>
      </c>
      <c r="G24" s="63">
        <v>62</v>
      </c>
      <c r="H24" s="63">
        <v>77</v>
      </c>
      <c r="I24" s="63">
        <v>91</v>
      </c>
      <c r="J24" s="63">
        <v>102</v>
      </c>
      <c r="K24" s="63">
        <v>109</v>
      </c>
      <c r="L24" s="63">
        <v>106</v>
      </c>
      <c r="M24" s="63">
        <v>118</v>
      </c>
      <c r="N24" s="63">
        <v>96</v>
      </c>
      <c r="O24" s="63">
        <v>100</v>
      </c>
      <c r="P24" s="63">
        <v>105</v>
      </c>
      <c r="Q24" s="63">
        <v>113</v>
      </c>
      <c r="R24" s="63">
        <v>121</v>
      </c>
    </row>
    <row r="25" spans="1:18" x14ac:dyDescent="0.25">
      <c r="A25" s="65" t="s">
        <v>111</v>
      </c>
      <c r="B25" s="63">
        <v>11</v>
      </c>
      <c r="C25" s="63">
        <v>14</v>
      </c>
      <c r="D25" s="63">
        <v>19</v>
      </c>
      <c r="E25" s="63">
        <v>31</v>
      </c>
      <c r="F25" s="63">
        <v>41</v>
      </c>
      <c r="G25" s="63">
        <v>56</v>
      </c>
      <c r="H25" s="63">
        <v>69</v>
      </c>
      <c r="I25" s="63">
        <v>83</v>
      </c>
      <c r="J25" s="63">
        <v>92</v>
      </c>
      <c r="K25" s="63">
        <v>100</v>
      </c>
      <c r="L25" s="63">
        <v>109</v>
      </c>
      <c r="M25" s="63">
        <v>121</v>
      </c>
      <c r="N25" s="63">
        <v>102</v>
      </c>
      <c r="O25" s="63">
        <v>107</v>
      </c>
      <c r="P25" s="63">
        <v>106</v>
      </c>
      <c r="Q25" s="63">
        <v>107</v>
      </c>
      <c r="R25" s="63">
        <v>109</v>
      </c>
    </row>
    <row r="26" spans="1:18" x14ac:dyDescent="0.25">
      <c r="A26" s="65" t="s">
        <v>112</v>
      </c>
      <c r="B26" s="63">
        <v>12</v>
      </c>
      <c r="C26" s="63">
        <v>14</v>
      </c>
      <c r="D26" s="63">
        <v>21</v>
      </c>
      <c r="E26" s="63">
        <v>34</v>
      </c>
      <c r="F26" s="63">
        <v>42</v>
      </c>
      <c r="G26" s="63">
        <v>58</v>
      </c>
      <c r="H26" s="63">
        <v>70</v>
      </c>
      <c r="I26" s="63">
        <v>83</v>
      </c>
      <c r="J26" s="63">
        <v>89</v>
      </c>
      <c r="K26" s="63">
        <v>95</v>
      </c>
      <c r="L26" s="63">
        <v>94</v>
      </c>
      <c r="M26" s="63">
        <v>101</v>
      </c>
      <c r="N26" s="63">
        <v>96</v>
      </c>
      <c r="O26" s="63">
        <v>99</v>
      </c>
      <c r="P26" s="63">
        <v>102</v>
      </c>
      <c r="Q26" s="63">
        <v>103</v>
      </c>
      <c r="R26" s="63">
        <v>101</v>
      </c>
    </row>
    <row r="27" spans="1:18" x14ac:dyDescent="0.25">
      <c r="A27" s="65" t="s">
        <v>113</v>
      </c>
      <c r="B27" s="63">
        <v>12</v>
      </c>
      <c r="C27" s="63">
        <v>15</v>
      </c>
      <c r="D27" s="63">
        <v>19</v>
      </c>
      <c r="E27" s="63">
        <v>31</v>
      </c>
      <c r="F27" s="63">
        <v>40</v>
      </c>
      <c r="G27" s="63">
        <v>57</v>
      </c>
      <c r="H27" s="63">
        <v>71</v>
      </c>
      <c r="I27" s="63">
        <v>83</v>
      </c>
      <c r="J27" s="63">
        <v>89</v>
      </c>
      <c r="K27" s="63">
        <v>96</v>
      </c>
      <c r="L27" s="63">
        <v>97</v>
      </c>
      <c r="M27" s="63">
        <v>105</v>
      </c>
      <c r="N27" s="63">
        <v>94</v>
      </c>
      <c r="O27" s="63">
        <v>96</v>
      </c>
      <c r="P27" s="63">
        <v>100</v>
      </c>
      <c r="Q27" s="63">
        <v>106</v>
      </c>
      <c r="R27" s="63">
        <v>111</v>
      </c>
    </row>
    <row r="28" spans="1:18" x14ac:dyDescent="0.25">
      <c r="A28" s="65" t="s">
        <v>114</v>
      </c>
      <c r="B28" s="63">
        <v>10</v>
      </c>
      <c r="C28" s="63">
        <v>12</v>
      </c>
      <c r="D28" s="63">
        <v>20</v>
      </c>
      <c r="E28" s="63">
        <v>27</v>
      </c>
      <c r="F28" s="63">
        <v>37</v>
      </c>
      <c r="G28" s="63">
        <v>51</v>
      </c>
      <c r="H28" s="63">
        <v>66</v>
      </c>
      <c r="I28" s="63">
        <v>82</v>
      </c>
      <c r="J28" s="63">
        <v>88</v>
      </c>
      <c r="K28" s="63">
        <v>96</v>
      </c>
      <c r="L28" s="63">
        <v>107</v>
      </c>
      <c r="M28" s="63">
        <v>115</v>
      </c>
      <c r="N28" s="63">
        <v>98</v>
      </c>
      <c r="O28" s="63">
        <v>106</v>
      </c>
      <c r="P28" s="63">
        <v>108</v>
      </c>
      <c r="Q28" s="63">
        <v>110</v>
      </c>
      <c r="R28" s="63">
        <v>111</v>
      </c>
    </row>
    <row r="29" spans="1:18" x14ac:dyDescent="0.25">
      <c r="A29" s="65" t="s">
        <v>115</v>
      </c>
      <c r="B29" s="63">
        <v>11</v>
      </c>
      <c r="C29" s="63">
        <v>14</v>
      </c>
      <c r="D29" s="63">
        <v>21</v>
      </c>
      <c r="E29" s="63">
        <v>29</v>
      </c>
      <c r="F29" s="63">
        <v>35</v>
      </c>
      <c r="G29" s="63">
        <v>51</v>
      </c>
      <c r="H29" s="63">
        <v>65</v>
      </c>
      <c r="I29" s="63">
        <v>81</v>
      </c>
      <c r="J29" s="63">
        <v>90</v>
      </c>
      <c r="K29" s="63">
        <v>98</v>
      </c>
      <c r="L29" s="63">
        <v>96</v>
      </c>
      <c r="M29" s="63">
        <v>101</v>
      </c>
      <c r="N29" s="63">
        <v>83</v>
      </c>
      <c r="O29" s="63">
        <v>90</v>
      </c>
      <c r="P29" s="63">
        <v>93</v>
      </c>
      <c r="Q29" s="63">
        <v>97</v>
      </c>
      <c r="R29" s="63">
        <v>102</v>
      </c>
    </row>
    <row r="30" spans="1:18" x14ac:dyDescent="0.25">
      <c r="A30" s="65" t="s">
        <v>116</v>
      </c>
      <c r="B30" s="63">
        <v>12</v>
      </c>
      <c r="C30" s="63">
        <v>16</v>
      </c>
      <c r="D30" s="63">
        <v>25</v>
      </c>
      <c r="E30" s="63">
        <v>38</v>
      </c>
      <c r="F30" s="63">
        <v>51</v>
      </c>
      <c r="G30" s="63">
        <v>73</v>
      </c>
      <c r="H30" s="63">
        <v>86</v>
      </c>
      <c r="I30" s="63">
        <v>101</v>
      </c>
      <c r="J30" s="63">
        <v>105</v>
      </c>
      <c r="K30" s="63">
        <v>109</v>
      </c>
      <c r="L30" s="63">
        <v>105</v>
      </c>
      <c r="M30" s="63">
        <v>111</v>
      </c>
      <c r="N30" s="63">
        <v>84</v>
      </c>
      <c r="O30" s="63">
        <v>90</v>
      </c>
      <c r="P30" s="63">
        <v>98</v>
      </c>
      <c r="Q30" s="63">
        <v>106</v>
      </c>
      <c r="R30" s="63">
        <v>114</v>
      </c>
    </row>
    <row r="31" spans="1:18" x14ac:dyDescent="0.25">
      <c r="A31" s="65" t="s">
        <v>117</v>
      </c>
      <c r="B31" s="63">
        <v>11</v>
      </c>
      <c r="C31" s="63">
        <v>14</v>
      </c>
      <c r="D31" s="63">
        <v>23</v>
      </c>
      <c r="E31" s="63">
        <v>34</v>
      </c>
      <c r="F31" s="63">
        <v>46</v>
      </c>
      <c r="G31" s="63">
        <v>58</v>
      </c>
      <c r="H31" s="63">
        <v>64</v>
      </c>
      <c r="I31" s="63">
        <v>78</v>
      </c>
      <c r="J31" s="63">
        <v>87</v>
      </c>
      <c r="K31" s="63">
        <v>95</v>
      </c>
      <c r="L31" s="63">
        <v>93</v>
      </c>
      <c r="M31" s="63">
        <v>100</v>
      </c>
      <c r="N31" s="63">
        <v>91</v>
      </c>
      <c r="O31" s="63">
        <v>97</v>
      </c>
      <c r="P31" s="63">
        <v>100</v>
      </c>
      <c r="Q31" s="63">
        <v>101</v>
      </c>
      <c r="R31" s="63">
        <v>104</v>
      </c>
    </row>
    <row r="32" spans="1:18" x14ac:dyDescent="0.25">
      <c r="A32" s="65" t="s">
        <v>118</v>
      </c>
      <c r="B32" s="63">
        <v>11</v>
      </c>
      <c r="C32" s="63">
        <v>14</v>
      </c>
      <c r="D32" s="63">
        <v>20</v>
      </c>
      <c r="E32" s="63">
        <v>33</v>
      </c>
      <c r="F32" s="63">
        <v>40</v>
      </c>
      <c r="G32" s="63">
        <v>52</v>
      </c>
      <c r="H32" s="63">
        <v>65</v>
      </c>
      <c r="I32" s="63">
        <v>76</v>
      </c>
      <c r="J32" s="63">
        <v>85</v>
      </c>
      <c r="K32" s="63">
        <v>89</v>
      </c>
      <c r="L32" s="63">
        <v>87</v>
      </c>
      <c r="M32" s="63">
        <v>95</v>
      </c>
      <c r="N32" s="63">
        <v>85</v>
      </c>
      <c r="O32" s="63">
        <v>89</v>
      </c>
      <c r="P32" s="63">
        <v>94</v>
      </c>
      <c r="Q32" s="63">
        <v>95</v>
      </c>
      <c r="R32" s="63">
        <v>88</v>
      </c>
    </row>
    <row r="33" spans="1:18" x14ac:dyDescent="0.25">
      <c r="A33" s="65" t="s">
        <v>119</v>
      </c>
      <c r="B33" s="63">
        <v>11</v>
      </c>
      <c r="C33" s="63">
        <v>15</v>
      </c>
      <c r="D33" s="63">
        <v>18</v>
      </c>
      <c r="E33" s="63">
        <v>33</v>
      </c>
      <c r="F33" s="63">
        <v>44</v>
      </c>
      <c r="G33" s="63">
        <v>61</v>
      </c>
      <c r="H33" s="63">
        <v>74</v>
      </c>
      <c r="I33" s="63">
        <v>82</v>
      </c>
      <c r="J33" s="63">
        <v>88</v>
      </c>
      <c r="K33" s="63">
        <v>92</v>
      </c>
      <c r="L33" s="63">
        <v>95</v>
      </c>
      <c r="M33" s="63">
        <v>101</v>
      </c>
      <c r="N33" s="63">
        <v>89</v>
      </c>
      <c r="O33" s="63">
        <v>95</v>
      </c>
      <c r="P33" s="63">
        <v>101</v>
      </c>
      <c r="Q33" s="63">
        <v>108</v>
      </c>
      <c r="R33" s="63">
        <v>115</v>
      </c>
    </row>
    <row r="34" spans="1:18" x14ac:dyDescent="0.25">
      <c r="A34" s="65" t="s">
        <v>120</v>
      </c>
      <c r="B34" s="63">
        <v>11</v>
      </c>
      <c r="C34" s="63">
        <v>14</v>
      </c>
      <c r="D34" s="63">
        <v>20</v>
      </c>
      <c r="E34" s="63">
        <v>30</v>
      </c>
      <c r="F34" s="63">
        <v>42</v>
      </c>
      <c r="G34" s="63">
        <v>57</v>
      </c>
      <c r="H34" s="63">
        <v>70</v>
      </c>
      <c r="I34" s="63">
        <v>84</v>
      </c>
      <c r="J34" s="63">
        <v>91</v>
      </c>
      <c r="K34" s="63">
        <v>99</v>
      </c>
      <c r="L34" s="63">
        <v>107</v>
      </c>
      <c r="M34" s="63">
        <v>112</v>
      </c>
      <c r="N34" s="63">
        <v>100</v>
      </c>
      <c r="O34" s="63">
        <v>103</v>
      </c>
      <c r="P34" s="63">
        <v>108</v>
      </c>
      <c r="Q34" s="63">
        <v>109</v>
      </c>
      <c r="R34" s="63">
        <v>103</v>
      </c>
    </row>
    <row r="35" spans="1:18" x14ac:dyDescent="0.25">
      <c r="A35" s="65" t="s">
        <v>121</v>
      </c>
      <c r="B35" s="63">
        <v>10</v>
      </c>
      <c r="C35" s="63">
        <v>13</v>
      </c>
      <c r="D35" s="63">
        <v>18</v>
      </c>
      <c r="E35" s="63">
        <v>32</v>
      </c>
      <c r="F35" s="63">
        <v>42</v>
      </c>
      <c r="G35" s="63">
        <v>56</v>
      </c>
      <c r="H35" s="63">
        <v>67</v>
      </c>
      <c r="I35" s="63">
        <v>82</v>
      </c>
      <c r="J35" s="63">
        <v>89</v>
      </c>
      <c r="K35" s="63">
        <v>95</v>
      </c>
      <c r="L35" s="63">
        <v>104</v>
      </c>
      <c r="M35" s="63">
        <v>109</v>
      </c>
      <c r="N35" s="63">
        <v>99</v>
      </c>
      <c r="O35" s="63">
        <v>101</v>
      </c>
      <c r="P35" s="63">
        <v>107</v>
      </c>
      <c r="Q35" s="63">
        <v>110</v>
      </c>
      <c r="R35" s="63">
        <v>112</v>
      </c>
    </row>
    <row r="36" spans="1:18" x14ac:dyDescent="0.25">
      <c r="A36" s="65" t="s">
        <v>122</v>
      </c>
      <c r="B36" s="63">
        <v>10</v>
      </c>
      <c r="C36" s="63">
        <v>14</v>
      </c>
      <c r="D36" s="63">
        <v>19</v>
      </c>
      <c r="E36" s="63">
        <v>33</v>
      </c>
      <c r="F36" s="63">
        <v>38</v>
      </c>
      <c r="G36" s="63">
        <v>55</v>
      </c>
      <c r="H36" s="63">
        <v>69</v>
      </c>
      <c r="I36" s="63">
        <v>84</v>
      </c>
      <c r="J36" s="63">
        <v>96</v>
      </c>
      <c r="K36" s="63">
        <v>102</v>
      </c>
      <c r="L36" s="63">
        <v>107</v>
      </c>
      <c r="M36" s="63">
        <v>113</v>
      </c>
      <c r="N36" s="63">
        <v>109</v>
      </c>
      <c r="O36" s="63">
        <v>111</v>
      </c>
      <c r="P36" s="63">
        <v>114</v>
      </c>
      <c r="Q36" s="63">
        <v>115</v>
      </c>
      <c r="R36" s="63">
        <v>117</v>
      </c>
    </row>
    <row r="37" spans="1:18" x14ac:dyDescent="0.25">
      <c r="A37" s="65" t="s">
        <v>123</v>
      </c>
      <c r="B37" s="63">
        <v>10</v>
      </c>
      <c r="C37" s="63">
        <v>13</v>
      </c>
      <c r="D37" s="63">
        <v>19</v>
      </c>
      <c r="E37" s="63">
        <v>31</v>
      </c>
      <c r="F37" s="63">
        <v>40</v>
      </c>
      <c r="G37" s="63">
        <v>58</v>
      </c>
      <c r="H37" s="63">
        <v>71</v>
      </c>
      <c r="I37" s="63">
        <v>85</v>
      </c>
      <c r="J37" s="63">
        <v>98</v>
      </c>
      <c r="K37" s="63">
        <v>104</v>
      </c>
      <c r="L37" s="63">
        <v>106</v>
      </c>
      <c r="M37" s="63">
        <v>111</v>
      </c>
      <c r="N37" s="63">
        <v>96</v>
      </c>
      <c r="O37" s="63">
        <v>99</v>
      </c>
      <c r="P37" s="63">
        <v>102</v>
      </c>
      <c r="Q37" s="63">
        <v>108</v>
      </c>
      <c r="R37" s="63">
        <v>116</v>
      </c>
    </row>
    <row r="38" spans="1:18" x14ac:dyDescent="0.25">
      <c r="A38" s="65" t="s">
        <v>124</v>
      </c>
      <c r="B38" s="63">
        <v>11</v>
      </c>
      <c r="C38" s="63">
        <v>13</v>
      </c>
      <c r="D38" s="63">
        <v>19</v>
      </c>
      <c r="E38" s="63">
        <v>30</v>
      </c>
      <c r="F38" s="63">
        <v>42</v>
      </c>
      <c r="G38" s="63">
        <v>60</v>
      </c>
      <c r="H38" s="63">
        <v>73</v>
      </c>
      <c r="I38" s="63">
        <v>84</v>
      </c>
      <c r="J38" s="63">
        <v>95</v>
      </c>
      <c r="K38" s="63">
        <v>103</v>
      </c>
      <c r="L38" s="63">
        <v>110</v>
      </c>
      <c r="M38" s="63">
        <v>116</v>
      </c>
      <c r="N38" s="63">
        <v>97</v>
      </c>
      <c r="O38" s="63">
        <v>106</v>
      </c>
      <c r="P38" s="63">
        <v>111</v>
      </c>
      <c r="Q38" s="63">
        <v>120</v>
      </c>
      <c r="R38" s="63">
        <v>139</v>
      </c>
    </row>
    <row r="39" spans="1:18" x14ac:dyDescent="0.25">
      <c r="A39" s="65" t="s">
        <v>125</v>
      </c>
      <c r="B39" s="63">
        <v>9</v>
      </c>
      <c r="C39" s="63">
        <v>15</v>
      </c>
      <c r="D39" s="63">
        <v>22</v>
      </c>
      <c r="E39" s="63">
        <v>33</v>
      </c>
      <c r="F39" s="63">
        <v>41</v>
      </c>
      <c r="G39" s="63">
        <v>48</v>
      </c>
      <c r="H39" s="63">
        <v>66</v>
      </c>
      <c r="I39" s="63">
        <v>72</v>
      </c>
      <c r="J39" s="63">
        <v>74</v>
      </c>
      <c r="K39" s="63">
        <v>76</v>
      </c>
      <c r="L39" s="63">
        <v>86</v>
      </c>
      <c r="M39" s="63">
        <v>95</v>
      </c>
      <c r="N39" s="63">
        <v>82</v>
      </c>
      <c r="O39" s="63">
        <v>89</v>
      </c>
      <c r="P39" s="63">
        <v>94</v>
      </c>
      <c r="Q39" s="63">
        <v>97</v>
      </c>
      <c r="R39" s="63">
        <v>103</v>
      </c>
    </row>
    <row r="40" spans="1:18" x14ac:dyDescent="0.25">
      <c r="A40" s="65" t="s">
        <v>126</v>
      </c>
      <c r="B40" s="63">
        <v>11</v>
      </c>
      <c r="C40" s="63">
        <v>15</v>
      </c>
      <c r="D40" s="63">
        <v>21</v>
      </c>
      <c r="E40" s="63">
        <v>34</v>
      </c>
      <c r="F40" s="63">
        <v>46</v>
      </c>
      <c r="G40" s="63">
        <v>62</v>
      </c>
      <c r="H40" s="63">
        <v>76</v>
      </c>
      <c r="I40" s="63">
        <v>84</v>
      </c>
      <c r="J40" s="63">
        <v>97</v>
      </c>
      <c r="K40" s="63">
        <v>100</v>
      </c>
      <c r="L40" s="63">
        <v>102</v>
      </c>
      <c r="M40" s="63">
        <v>106</v>
      </c>
      <c r="N40" s="63">
        <v>100</v>
      </c>
      <c r="O40" s="63">
        <v>102</v>
      </c>
      <c r="P40" s="63">
        <v>107</v>
      </c>
      <c r="Q40" s="63">
        <v>113</v>
      </c>
      <c r="R40" s="63">
        <v>118</v>
      </c>
    </row>
    <row r="41" spans="1:18" x14ac:dyDescent="0.25">
      <c r="A41" s="65" t="s">
        <v>127</v>
      </c>
      <c r="B41" s="63">
        <v>10</v>
      </c>
      <c r="C41" s="63">
        <v>13</v>
      </c>
      <c r="D41" s="63">
        <v>17</v>
      </c>
      <c r="E41" s="63">
        <v>26</v>
      </c>
      <c r="F41" s="63">
        <v>34</v>
      </c>
      <c r="G41" s="63">
        <v>48</v>
      </c>
      <c r="H41" s="63">
        <v>56</v>
      </c>
      <c r="I41" s="63">
        <v>66</v>
      </c>
      <c r="J41" s="63">
        <v>72</v>
      </c>
      <c r="K41" s="63">
        <v>76</v>
      </c>
      <c r="L41" s="63">
        <v>82</v>
      </c>
      <c r="M41" s="63">
        <v>89</v>
      </c>
      <c r="N41" s="63">
        <v>85</v>
      </c>
      <c r="O41" s="63">
        <v>90</v>
      </c>
      <c r="P41" s="63">
        <v>94</v>
      </c>
      <c r="Q41" s="63">
        <v>100</v>
      </c>
      <c r="R41" s="63">
        <v>108</v>
      </c>
    </row>
    <row r="42" spans="1:18" x14ac:dyDescent="0.25">
      <c r="A42" s="65" t="s">
        <v>128</v>
      </c>
      <c r="B42" s="63">
        <v>9</v>
      </c>
      <c r="C42" s="63">
        <v>12</v>
      </c>
      <c r="D42" s="63">
        <v>19</v>
      </c>
      <c r="E42" s="63">
        <v>28</v>
      </c>
      <c r="F42" s="63">
        <v>36</v>
      </c>
      <c r="G42" s="63">
        <v>52</v>
      </c>
      <c r="H42" s="63">
        <v>67</v>
      </c>
      <c r="I42" s="63">
        <v>78</v>
      </c>
      <c r="J42" s="63">
        <v>90</v>
      </c>
      <c r="K42" s="63">
        <v>99</v>
      </c>
      <c r="L42" s="63">
        <v>104</v>
      </c>
      <c r="M42" s="63">
        <v>112</v>
      </c>
      <c r="N42" s="63">
        <v>98</v>
      </c>
      <c r="O42" s="63">
        <v>99</v>
      </c>
      <c r="P42" s="63">
        <v>103</v>
      </c>
      <c r="Q42" s="63">
        <v>99</v>
      </c>
      <c r="R42" s="63">
        <v>98</v>
      </c>
    </row>
    <row r="43" spans="1:18" x14ac:dyDescent="0.25">
      <c r="A43" s="65" t="s">
        <v>129</v>
      </c>
      <c r="B43" s="63">
        <v>10</v>
      </c>
      <c r="C43" s="63">
        <v>14</v>
      </c>
      <c r="D43" s="63">
        <v>20</v>
      </c>
      <c r="E43" s="63">
        <v>31</v>
      </c>
      <c r="F43" s="63">
        <v>39</v>
      </c>
      <c r="G43" s="63">
        <v>53</v>
      </c>
      <c r="H43" s="63">
        <v>62</v>
      </c>
      <c r="I43" s="63">
        <v>76</v>
      </c>
      <c r="J43" s="63">
        <v>85</v>
      </c>
      <c r="K43" s="63">
        <v>94</v>
      </c>
      <c r="L43" s="63">
        <v>90</v>
      </c>
      <c r="M43" s="63">
        <v>96</v>
      </c>
      <c r="N43" s="63">
        <v>93</v>
      </c>
      <c r="O43" s="63">
        <v>95</v>
      </c>
      <c r="P43" s="63">
        <v>97</v>
      </c>
      <c r="Q43" s="63">
        <v>103</v>
      </c>
      <c r="R43" s="63">
        <v>107</v>
      </c>
    </row>
    <row r="44" spans="1:18" x14ac:dyDescent="0.25">
      <c r="A44" s="65" t="s">
        <v>130</v>
      </c>
      <c r="B44" s="63">
        <v>12</v>
      </c>
      <c r="C44" s="63">
        <v>15</v>
      </c>
      <c r="D44" s="63">
        <v>21</v>
      </c>
      <c r="E44" s="63">
        <v>35</v>
      </c>
      <c r="F44" s="63">
        <v>44</v>
      </c>
      <c r="G44" s="63">
        <v>59</v>
      </c>
      <c r="H44" s="63">
        <v>77</v>
      </c>
      <c r="I44" s="63">
        <v>90</v>
      </c>
      <c r="J44" s="63">
        <v>97</v>
      </c>
      <c r="K44" s="63">
        <v>105</v>
      </c>
      <c r="L44" s="63">
        <v>109</v>
      </c>
      <c r="M44" s="63">
        <v>115</v>
      </c>
      <c r="N44" s="63">
        <v>84</v>
      </c>
      <c r="O44" s="63">
        <v>89</v>
      </c>
      <c r="P44" s="63">
        <v>93</v>
      </c>
      <c r="Q44" s="63">
        <v>98</v>
      </c>
      <c r="R44" s="63">
        <v>102</v>
      </c>
    </row>
    <row r="45" spans="1:18" x14ac:dyDescent="0.25">
      <c r="A45" s="65" t="s">
        <v>131</v>
      </c>
      <c r="B45" s="63">
        <v>12</v>
      </c>
      <c r="C45" s="63">
        <v>17</v>
      </c>
      <c r="D45" s="63">
        <v>24</v>
      </c>
      <c r="E45" s="63">
        <v>33</v>
      </c>
      <c r="F45" s="63">
        <v>44</v>
      </c>
      <c r="G45" s="63">
        <v>60</v>
      </c>
      <c r="H45" s="63">
        <v>78</v>
      </c>
      <c r="I45" s="63">
        <v>90</v>
      </c>
      <c r="J45" s="63">
        <v>96</v>
      </c>
      <c r="K45" s="63">
        <v>99</v>
      </c>
      <c r="L45" s="63">
        <v>102</v>
      </c>
      <c r="M45" s="63">
        <v>108</v>
      </c>
      <c r="N45" s="63">
        <v>76</v>
      </c>
      <c r="O45" s="63">
        <v>81</v>
      </c>
      <c r="P45" s="63">
        <v>94</v>
      </c>
      <c r="Q45" s="63">
        <v>99</v>
      </c>
      <c r="R45" s="63">
        <v>106</v>
      </c>
    </row>
    <row r="46" spans="1:18" x14ac:dyDescent="0.25">
      <c r="A46" s="65" t="s">
        <v>132</v>
      </c>
      <c r="B46" s="63">
        <v>10</v>
      </c>
      <c r="C46" s="63">
        <v>14</v>
      </c>
      <c r="D46" s="63">
        <v>23</v>
      </c>
      <c r="E46" s="63">
        <v>33</v>
      </c>
      <c r="F46" s="63">
        <v>44</v>
      </c>
      <c r="G46" s="63">
        <v>61</v>
      </c>
      <c r="H46" s="63">
        <v>72</v>
      </c>
      <c r="I46" s="63">
        <v>87</v>
      </c>
      <c r="J46" s="63">
        <v>98</v>
      </c>
      <c r="K46" s="63">
        <v>104</v>
      </c>
      <c r="L46" s="63">
        <v>104</v>
      </c>
      <c r="M46" s="63">
        <v>109</v>
      </c>
      <c r="N46" s="63">
        <v>88</v>
      </c>
      <c r="O46" s="63">
        <v>91</v>
      </c>
      <c r="P46" s="63">
        <v>93</v>
      </c>
      <c r="Q46" s="63">
        <v>96</v>
      </c>
      <c r="R46" s="63">
        <v>98</v>
      </c>
    </row>
    <row r="47" spans="1:18" x14ac:dyDescent="0.25">
      <c r="A47" s="65" t="s">
        <v>133</v>
      </c>
      <c r="B47" s="63">
        <v>10</v>
      </c>
      <c r="C47" s="63">
        <v>13</v>
      </c>
      <c r="D47" s="63">
        <v>20</v>
      </c>
      <c r="E47" s="63">
        <v>31</v>
      </c>
      <c r="F47" s="63">
        <v>41</v>
      </c>
      <c r="G47" s="63">
        <v>57</v>
      </c>
      <c r="H47" s="63">
        <v>68</v>
      </c>
      <c r="I47" s="63">
        <v>79</v>
      </c>
      <c r="J47" s="63">
        <v>88</v>
      </c>
      <c r="K47" s="63">
        <v>95</v>
      </c>
      <c r="L47" s="63">
        <v>103</v>
      </c>
      <c r="M47" s="63">
        <v>107</v>
      </c>
      <c r="N47" s="63">
        <v>92</v>
      </c>
      <c r="O47" s="63">
        <v>95</v>
      </c>
      <c r="P47" s="63">
        <v>96</v>
      </c>
      <c r="Q47" s="63">
        <v>98</v>
      </c>
      <c r="R47" s="63">
        <v>101</v>
      </c>
    </row>
    <row r="48" spans="1:18" x14ac:dyDescent="0.25">
      <c r="A48" s="65" t="s">
        <v>134</v>
      </c>
      <c r="B48" s="63">
        <v>11</v>
      </c>
      <c r="C48" s="63">
        <v>16</v>
      </c>
      <c r="D48" s="63">
        <v>22</v>
      </c>
      <c r="E48" s="63">
        <v>32</v>
      </c>
      <c r="F48" s="63">
        <v>43</v>
      </c>
      <c r="G48" s="63">
        <v>55</v>
      </c>
      <c r="H48" s="63">
        <v>62</v>
      </c>
      <c r="I48" s="63">
        <v>66</v>
      </c>
      <c r="J48" s="63">
        <v>71</v>
      </c>
      <c r="K48" s="63">
        <v>77</v>
      </c>
      <c r="L48" s="63">
        <v>76</v>
      </c>
      <c r="M48" s="63">
        <v>80</v>
      </c>
      <c r="N48" s="63">
        <v>69</v>
      </c>
      <c r="O48" s="63">
        <v>73</v>
      </c>
      <c r="P48" s="63">
        <v>79</v>
      </c>
      <c r="Q48" s="63">
        <v>86</v>
      </c>
      <c r="R48" s="63">
        <v>94</v>
      </c>
    </row>
    <row r="49" spans="1:18" x14ac:dyDescent="0.25">
      <c r="A49" s="65" t="s">
        <v>135</v>
      </c>
      <c r="B49" s="63">
        <v>10</v>
      </c>
      <c r="C49" s="63">
        <v>12</v>
      </c>
      <c r="D49" s="63">
        <v>19</v>
      </c>
      <c r="E49" s="63">
        <v>30</v>
      </c>
      <c r="F49" s="63">
        <v>39</v>
      </c>
      <c r="G49" s="63">
        <v>51</v>
      </c>
      <c r="H49" s="63">
        <v>58</v>
      </c>
      <c r="I49" s="63">
        <v>67</v>
      </c>
      <c r="J49" s="63">
        <v>69</v>
      </c>
      <c r="K49" s="63">
        <v>72</v>
      </c>
      <c r="L49" s="63">
        <v>72</v>
      </c>
      <c r="M49" s="63">
        <v>78</v>
      </c>
      <c r="N49" s="63">
        <v>76</v>
      </c>
      <c r="O49" s="63">
        <v>79</v>
      </c>
      <c r="P49" s="63">
        <v>83</v>
      </c>
      <c r="Q49" s="63">
        <v>70</v>
      </c>
      <c r="R49" s="63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527D-8A79-4594-975D-256D288511F2}">
  <dimension ref="A1:R49"/>
  <sheetViews>
    <sheetView workbookViewId="0"/>
  </sheetViews>
  <sheetFormatPr defaultRowHeight="15" x14ac:dyDescent="0.25"/>
  <cols>
    <col min="1" max="16384" width="9.140625" style="63"/>
  </cols>
  <sheetData>
    <row r="1" spans="1:18" x14ac:dyDescent="0.25">
      <c r="A1" s="64" t="s">
        <v>87</v>
      </c>
      <c r="B1" s="63" t="s">
        <v>86</v>
      </c>
      <c r="C1" s="63" t="s">
        <v>85</v>
      </c>
      <c r="D1" s="63" t="s">
        <v>84</v>
      </c>
      <c r="E1" s="63" t="s">
        <v>83</v>
      </c>
      <c r="F1" s="63" t="s">
        <v>82</v>
      </c>
      <c r="G1" s="63" t="s">
        <v>81</v>
      </c>
      <c r="H1" s="63" t="s">
        <v>80</v>
      </c>
      <c r="I1" s="63" t="s">
        <v>79</v>
      </c>
      <c r="J1" s="63" t="s">
        <v>78</v>
      </c>
      <c r="K1" s="63" t="s">
        <v>77</v>
      </c>
      <c r="L1" s="63" t="s">
        <v>76</v>
      </c>
      <c r="M1" s="63" t="s">
        <v>75</v>
      </c>
      <c r="N1" s="63" t="s">
        <v>74</v>
      </c>
      <c r="O1" s="63" t="s">
        <v>73</v>
      </c>
      <c r="P1" s="63" t="s">
        <v>72</v>
      </c>
      <c r="Q1" s="63" t="s">
        <v>71</v>
      </c>
      <c r="R1" s="63" t="s">
        <v>70</v>
      </c>
    </row>
    <row r="2" spans="1:18" x14ac:dyDescent="0.25">
      <c r="A2" s="65" t="s">
        <v>88</v>
      </c>
      <c r="B2" s="63">
        <v>6</v>
      </c>
      <c r="C2" s="63">
        <v>9</v>
      </c>
      <c r="D2" s="63">
        <v>12</v>
      </c>
      <c r="E2" s="63">
        <v>21</v>
      </c>
      <c r="F2" s="63">
        <v>30</v>
      </c>
      <c r="G2" s="63">
        <v>37</v>
      </c>
      <c r="H2" s="63">
        <v>54</v>
      </c>
      <c r="I2" s="63">
        <v>72</v>
      </c>
      <c r="J2" s="63">
        <v>79</v>
      </c>
      <c r="K2" s="63">
        <v>83</v>
      </c>
      <c r="L2" s="63">
        <v>93</v>
      </c>
      <c r="M2" s="63">
        <v>102</v>
      </c>
      <c r="N2" s="63">
        <v>102</v>
      </c>
      <c r="O2" s="63">
        <v>102</v>
      </c>
      <c r="P2" s="63">
        <v>102</v>
      </c>
      <c r="Q2" s="63">
        <v>102</v>
      </c>
      <c r="R2" s="63">
        <v>102</v>
      </c>
    </row>
    <row r="3" spans="1:18" x14ac:dyDescent="0.25">
      <c r="A3" s="65" t="s">
        <v>89</v>
      </c>
      <c r="B3" s="63">
        <v>6</v>
      </c>
      <c r="C3" s="63">
        <v>11</v>
      </c>
      <c r="D3" s="63">
        <v>15</v>
      </c>
      <c r="E3" s="63">
        <v>27</v>
      </c>
      <c r="F3" s="63">
        <v>39</v>
      </c>
      <c r="G3" s="63">
        <v>47</v>
      </c>
      <c r="H3" s="63">
        <v>57</v>
      </c>
      <c r="I3" s="63">
        <v>66</v>
      </c>
      <c r="J3" s="63">
        <v>80</v>
      </c>
      <c r="K3" s="63">
        <v>94</v>
      </c>
      <c r="L3" s="63">
        <v>90</v>
      </c>
      <c r="M3" s="63">
        <v>99</v>
      </c>
      <c r="N3" s="63">
        <v>102</v>
      </c>
      <c r="O3" s="63">
        <v>102</v>
      </c>
      <c r="P3" s="63">
        <v>102</v>
      </c>
      <c r="Q3" s="63">
        <v>102</v>
      </c>
      <c r="R3" s="63">
        <v>102</v>
      </c>
    </row>
    <row r="4" spans="1:18" x14ac:dyDescent="0.25">
      <c r="A4" s="65" t="s">
        <v>90</v>
      </c>
      <c r="B4" s="63">
        <v>7</v>
      </c>
      <c r="C4" s="63">
        <v>11</v>
      </c>
      <c r="D4" s="63">
        <v>18</v>
      </c>
      <c r="E4" s="63">
        <v>23</v>
      </c>
      <c r="F4" s="63">
        <v>36</v>
      </c>
      <c r="G4" s="63">
        <v>50</v>
      </c>
      <c r="H4" s="63">
        <v>63</v>
      </c>
      <c r="I4" s="63">
        <v>67</v>
      </c>
      <c r="J4" s="63">
        <v>78</v>
      </c>
      <c r="K4" s="63">
        <v>86</v>
      </c>
      <c r="L4" s="63">
        <v>100</v>
      </c>
      <c r="M4" s="63">
        <v>102</v>
      </c>
      <c r="N4" s="63">
        <v>102</v>
      </c>
      <c r="O4" s="63">
        <v>102</v>
      </c>
      <c r="P4" s="63">
        <v>102</v>
      </c>
      <c r="Q4" s="63">
        <v>102</v>
      </c>
      <c r="R4" s="63">
        <v>102</v>
      </c>
    </row>
    <row r="5" spans="1:18" x14ac:dyDescent="0.25">
      <c r="A5" s="65" t="s">
        <v>91</v>
      </c>
      <c r="B5" s="63">
        <v>8</v>
      </c>
      <c r="C5" s="63">
        <v>9</v>
      </c>
      <c r="D5" s="63">
        <v>17</v>
      </c>
      <c r="E5" s="63">
        <v>29</v>
      </c>
      <c r="F5" s="63">
        <v>40</v>
      </c>
      <c r="G5" s="63">
        <v>54</v>
      </c>
      <c r="H5" s="63">
        <v>64</v>
      </c>
      <c r="I5" s="63">
        <v>80</v>
      </c>
      <c r="J5" s="63">
        <v>88</v>
      </c>
      <c r="K5" s="63">
        <v>89</v>
      </c>
      <c r="L5" s="63">
        <v>102</v>
      </c>
      <c r="M5" s="63">
        <v>102</v>
      </c>
      <c r="N5" s="63">
        <v>102</v>
      </c>
      <c r="O5" s="63">
        <v>102</v>
      </c>
      <c r="P5" s="63">
        <v>102</v>
      </c>
      <c r="Q5" s="63">
        <v>102</v>
      </c>
      <c r="R5" s="63">
        <v>102</v>
      </c>
    </row>
    <row r="6" spans="1:18" x14ac:dyDescent="0.25">
      <c r="A6" s="65" t="s">
        <v>92</v>
      </c>
      <c r="B6" s="63">
        <v>8</v>
      </c>
      <c r="C6" s="63">
        <v>12</v>
      </c>
      <c r="D6" s="63">
        <v>20</v>
      </c>
      <c r="E6" s="63">
        <v>32</v>
      </c>
      <c r="F6" s="63">
        <v>42</v>
      </c>
      <c r="G6" s="63">
        <v>46</v>
      </c>
      <c r="H6" s="63">
        <v>56</v>
      </c>
      <c r="I6" s="63">
        <v>62</v>
      </c>
      <c r="J6" s="63">
        <v>71</v>
      </c>
      <c r="K6" s="63">
        <v>73</v>
      </c>
      <c r="L6" s="63">
        <v>81</v>
      </c>
      <c r="M6" s="63">
        <v>95</v>
      </c>
      <c r="N6" s="63">
        <v>94</v>
      </c>
      <c r="O6" s="63">
        <v>102</v>
      </c>
      <c r="P6" s="63">
        <v>102</v>
      </c>
      <c r="Q6" s="63">
        <v>102</v>
      </c>
      <c r="R6" s="63">
        <v>102</v>
      </c>
    </row>
    <row r="7" spans="1:18" x14ac:dyDescent="0.25">
      <c r="A7" s="65" t="s">
        <v>93</v>
      </c>
      <c r="B7" s="63">
        <v>6</v>
      </c>
      <c r="C7" s="63">
        <v>9</v>
      </c>
      <c r="D7" s="63">
        <v>18</v>
      </c>
      <c r="E7" s="63">
        <v>26</v>
      </c>
      <c r="F7" s="63">
        <v>36</v>
      </c>
      <c r="G7" s="63">
        <v>48</v>
      </c>
      <c r="H7" s="63">
        <v>62</v>
      </c>
      <c r="I7" s="63">
        <v>71</v>
      </c>
      <c r="J7" s="63">
        <v>82</v>
      </c>
      <c r="K7" s="63">
        <v>92</v>
      </c>
      <c r="L7" s="63">
        <v>97</v>
      </c>
      <c r="M7" s="63">
        <v>102</v>
      </c>
      <c r="N7" s="63">
        <v>102</v>
      </c>
      <c r="O7" s="63">
        <v>102</v>
      </c>
      <c r="P7" s="63">
        <v>102</v>
      </c>
      <c r="Q7" s="63">
        <v>102</v>
      </c>
      <c r="R7" s="63">
        <v>102</v>
      </c>
    </row>
    <row r="8" spans="1:18" x14ac:dyDescent="0.25">
      <c r="A8" s="65" t="s">
        <v>94</v>
      </c>
      <c r="B8" s="63">
        <v>7</v>
      </c>
      <c r="C8" s="63">
        <v>9</v>
      </c>
      <c r="D8" s="63">
        <v>14</v>
      </c>
      <c r="E8" s="63">
        <v>25</v>
      </c>
      <c r="F8" s="63">
        <v>31</v>
      </c>
      <c r="G8" s="63">
        <v>44</v>
      </c>
      <c r="H8" s="63">
        <v>57</v>
      </c>
      <c r="I8" s="63">
        <v>65</v>
      </c>
      <c r="J8" s="63">
        <v>77</v>
      </c>
      <c r="K8" s="63">
        <v>83</v>
      </c>
      <c r="L8" s="63">
        <v>91</v>
      </c>
      <c r="M8" s="63">
        <v>102</v>
      </c>
      <c r="N8" s="63">
        <v>102</v>
      </c>
      <c r="O8" s="63">
        <v>102</v>
      </c>
      <c r="P8" s="63">
        <v>102</v>
      </c>
      <c r="Q8" s="63">
        <v>102</v>
      </c>
      <c r="R8" s="63">
        <v>102</v>
      </c>
    </row>
    <row r="9" spans="1:18" x14ac:dyDescent="0.25">
      <c r="A9" s="65" t="s">
        <v>95</v>
      </c>
      <c r="B9" s="63">
        <v>10</v>
      </c>
      <c r="C9" s="63">
        <v>10</v>
      </c>
      <c r="D9" s="63">
        <v>15</v>
      </c>
      <c r="E9" s="63">
        <v>25</v>
      </c>
      <c r="F9" s="63">
        <v>38</v>
      </c>
      <c r="G9" s="63">
        <v>51</v>
      </c>
      <c r="H9" s="63">
        <v>60</v>
      </c>
      <c r="I9" s="63">
        <v>67</v>
      </c>
      <c r="J9" s="63">
        <v>71</v>
      </c>
      <c r="K9" s="63">
        <v>80</v>
      </c>
      <c r="L9" s="63">
        <v>99</v>
      </c>
      <c r="M9" s="63">
        <v>102</v>
      </c>
      <c r="N9" s="63">
        <v>102</v>
      </c>
      <c r="O9" s="63">
        <v>102</v>
      </c>
      <c r="P9" s="63">
        <v>102</v>
      </c>
      <c r="Q9" s="63">
        <v>102</v>
      </c>
      <c r="R9" s="63">
        <v>102</v>
      </c>
    </row>
    <row r="10" spans="1:18" x14ac:dyDescent="0.25">
      <c r="A10" s="65" t="s">
        <v>96</v>
      </c>
      <c r="B10" s="63">
        <v>7</v>
      </c>
      <c r="C10" s="63">
        <v>10</v>
      </c>
      <c r="D10" s="63">
        <v>17</v>
      </c>
      <c r="E10" s="63">
        <v>27</v>
      </c>
      <c r="F10" s="63">
        <v>36</v>
      </c>
      <c r="G10" s="63">
        <v>50</v>
      </c>
      <c r="H10" s="63">
        <v>62</v>
      </c>
      <c r="I10" s="63">
        <v>75</v>
      </c>
      <c r="J10" s="63">
        <v>95</v>
      </c>
      <c r="K10" s="63">
        <v>101</v>
      </c>
      <c r="L10" s="63">
        <v>102</v>
      </c>
      <c r="M10" s="63">
        <v>102</v>
      </c>
      <c r="N10" s="63">
        <v>102</v>
      </c>
      <c r="O10" s="63">
        <v>102</v>
      </c>
      <c r="P10" s="63">
        <v>102</v>
      </c>
      <c r="Q10" s="63">
        <v>102</v>
      </c>
      <c r="R10" s="63">
        <v>102</v>
      </c>
    </row>
    <row r="11" spans="1:18" x14ac:dyDescent="0.25">
      <c r="A11" s="65" t="s">
        <v>97</v>
      </c>
      <c r="B11" s="63">
        <v>8</v>
      </c>
      <c r="C11" s="63">
        <v>10</v>
      </c>
      <c r="D11" s="63">
        <v>19</v>
      </c>
      <c r="E11" s="63">
        <v>28</v>
      </c>
      <c r="F11" s="63">
        <v>41</v>
      </c>
      <c r="G11" s="63">
        <v>58</v>
      </c>
      <c r="H11" s="63">
        <v>69</v>
      </c>
      <c r="I11" s="63">
        <v>75</v>
      </c>
      <c r="J11" s="63">
        <v>85</v>
      </c>
      <c r="K11" s="63">
        <v>89</v>
      </c>
      <c r="L11" s="63">
        <v>102</v>
      </c>
      <c r="M11" s="63">
        <v>102</v>
      </c>
      <c r="N11" s="63">
        <v>102</v>
      </c>
      <c r="O11" s="63">
        <v>102</v>
      </c>
      <c r="P11" s="63">
        <v>102</v>
      </c>
      <c r="Q11" s="63">
        <v>102</v>
      </c>
      <c r="R11" s="63">
        <v>102</v>
      </c>
    </row>
    <row r="12" spans="1:18" x14ac:dyDescent="0.25">
      <c r="A12" s="65" t="s">
        <v>98</v>
      </c>
      <c r="B12" s="63">
        <v>7</v>
      </c>
      <c r="C12" s="63">
        <v>11</v>
      </c>
      <c r="D12" s="63">
        <v>17</v>
      </c>
      <c r="E12" s="63">
        <v>28</v>
      </c>
      <c r="F12" s="63">
        <v>38</v>
      </c>
      <c r="G12" s="63">
        <v>56</v>
      </c>
      <c r="H12" s="63">
        <v>71</v>
      </c>
      <c r="I12" s="63">
        <v>78</v>
      </c>
      <c r="J12" s="63">
        <v>89</v>
      </c>
      <c r="K12" s="63">
        <v>96</v>
      </c>
      <c r="L12" s="63">
        <v>102</v>
      </c>
      <c r="M12" s="63">
        <v>102</v>
      </c>
      <c r="N12" s="63">
        <v>102</v>
      </c>
      <c r="O12" s="63">
        <v>102</v>
      </c>
      <c r="P12" s="63">
        <v>102</v>
      </c>
      <c r="Q12" s="63">
        <v>102</v>
      </c>
      <c r="R12" s="63">
        <v>102</v>
      </c>
    </row>
    <row r="13" spans="1:18" x14ac:dyDescent="0.25">
      <c r="A13" s="65" t="s">
        <v>99</v>
      </c>
      <c r="B13" s="63">
        <v>7</v>
      </c>
      <c r="C13" s="63">
        <v>10</v>
      </c>
      <c r="D13" s="63">
        <v>17</v>
      </c>
      <c r="E13" s="63">
        <v>29</v>
      </c>
      <c r="F13" s="63">
        <v>38</v>
      </c>
      <c r="G13" s="63">
        <v>50</v>
      </c>
      <c r="H13" s="63">
        <v>64</v>
      </c>
      <c r="I13" s="63">
        <v>71</v>
      </c>
      <c r="J13" s="63">
        <v>87</v>
      </c>
      <c r="K13" s="63">
        <v>93</v>
      </c>
      <c r="L13" s="63">
        <v>102</v>
      </c>
      <c r="M13" s="63">
        <v>102</v>
      </c>
      <c r="N13" s="63">
        <v>102</v>
      </c>
      <c r="O13" s="63">
        <v>102</v>
      </c>
      <c r="P13" s="63">
        <v>102</v>
      </c>
      <c r="Q13" s="63">
        <v>102</v>
      </c>
      <c r="R13" s="63">
        <v>102</v>
      </c>
    </row>
    <row r="14" spans="1:18" x14ac:dyDescent="0.25">
      <c r="A14" s="65" t="s">
        <v>100</v>
      </c>
      <c r="B14" s="63">
        <v>7</v>
      </c>
      <c r="C14" s="63">
        <v>11</v>
      </c>
      <c r="D14" s="63">
        <v>18</v>
      </c>
      <c r="E14" s="63">
        <v>30</v>
      </c>
      <c r="F14" s="63">
        <v>37</v>
      </c>
      <c r="G14" s="63">
        <v>54</v>
      </c>
      <c r="H14" s="63">
        <v>64</v>
      </c>
      <c r="I14" s="63">
        <v>72</v>
      </c>
      <c r="J14" s="63">
        <v>89</v>
      </c>
      <c r="K14" s="63">
        <v>94</v>
      </c>
      <c r="L14" s="63">
        <v>102</v>
      </c>
      <c r="M14" s="63">
        <v>102</v>
      </c>
      <c r="N14" s="63">
        <v>102</v>
      </c>
      <c r="O14" s="63">
        <v>102</v>
      </c>
      <c r="P14" s="63">
        <v>102</v>
      </c>
      <c r="Q14" s="63">
        <v>102</v>
      </c>
      <c r="R14" s="63">
        <v>102</v>
      </c>
    </row>
    <row r="15" spans="1:18" x14ac:dyDescent="0.25">
      <c r="A15" s="65" t="s">
        <v>101</v>
      </c>
      <c r="B15" s="63">
        <v>8</v>
      </c>
      <c r="C15" s="63">
        <v>10</v>
      </c>
      <c r="D15" s="63">
        <v>17</v>
      </c>
      <c r="E15" s="63">
        <v>26</v>
      </c>
      <c r="F15" s="63">
        <v>34</v>
      </c>
      <c r="G15" s="63">
        <v>43</v>
      </c>
      <c r="H15" s="63">
        <v>55</v>
      </c>
      <c r="I15" s="63">
        <v>66</v>
      </c>
      <c r="J15" s="63">
        <v>71</v>
      </c>
      <c r="K15" s="63">
        <v>75</v>
      </c>
      <c r="L15" s="63">
        <v>81</v>
      </c>
      <c r="M15" s="63">
        <v>95</v>
      </c>
      <c r="N15" s="63">
        <v>93</v>
      </c>
      <c r="O15" s="63">
        <v>102</v>
      </c>
      <c r="P15" s="63">
        <v>102</v>
      </c>
      <c r="Q15" s="63">
        <v>102</v>
      </c>
      <c r="R15" s="63">
        <v>102</v>
      </c>
    </row>
    <row r="16" spans="1:18" x14ac:dyDescent="0.25">
      <c r="A16" s="65" t="s">
        <v>102</v>
      </c>
      <c r="B16" s="63">
        <v>9</v>
      </c>
      <c r="C16" s="63">
        <v>12</v>
      </c>
      <c r="D16" s="63">
        <v>18</v>
      </c>
      <c r="E16" s="63">
        <v>28</v>
      </c>
      <c r="F16" s="63">
        <v>40</v>
      </c>
      <c r="G16" s="63">
        <v>52</v>
      </c>
      <c r="H16" s="63">
        <v>63</v>
      </c>
      <c r="I16" s="63">
        <v>67</v>
      </c>
      <c r="J16" s="63">
        <v>78</v>
      </c>
      <c r="K16" s="63">
        <v>81</v>
      </c>
      <c r="L16" s="63">
        <v>92</v>
      </c>
      <c r="M16" s="63">
        <v>102</v>
      </c>
      <c r="N16" s="63">
        <v>102</v>
      </c>
      <c r="O16" s="63">
        <v>102</v>
      </c>
      <c r="P16" s="63">
        <v>102</v>
      </c>
      <c r="Q16" s="63">
        <v>102</v>
      </c>
      <c r="R16" s="63">
        <v>102</v>
      </c>
    </row>
    <row r="17" spans="1:18" x14ac:dyDescent="0.25">
      <c r="A17" s="65" t="s">
        <v>103</v>
      </c>
      <c r="B17" s="63">
        <v>6</v>
      </c>
      <c r="C17" s="63">
        <v>8</v>
      </c>
      <c r="D17" s="63">
        <v>15</v>
      </c>
      <c r="E17" s="63">
        <v>26</v>
      </c>
      <c r="F17" s="63">
        <v>37</v>
      </c>
      <c r="G17" s="63">
        <v>50</v>
      </c>
      <c r="H17" s="63">
        <v>65</v>
      </c>
      <c r="I17" s="63">
        <v>79</v>
      </c>
      <c r="J17" s="63">
        <v>82</v>
      </c>
      <c r="K17" s="63">
        <v>88</v>
      </c>
      <c r="L17" s="63">
        <v>102</v>
      </c>
      <c r="M17" s="63">
        <v>102</v>
      </c>
      <c r="N17" s="63">
        <v>102</v>
      </c>
      <c r="O17" s="63">
        <v>102</v>
      </c>
      <c r="P17" s="63">
        <v>102</v>
      </c>
      <c r="Q17" s="63">
        <v>102</v>
      </c>
      <c r="R17" s="63">
        <v>102</v>
      </c>
    </row>
    <row r="18" spans="1:18" x14ac:dyDescent="0.25">
      <c r="A18" s="65" t="s">
        <v>104</v>
      </c>
      <c r="B18" s="63">
        <v>6</v>
      </c>
      <c r="C18" s="63">
        <v>10</v>
      </c>
      <c r="D18" s="63">
        <v>18</v>
      </c>
      <c r="E18" s="63">
        <v>26</v>
      </c>
      <c r="F18" s="63">
        <v>31</v>
      </c>
      <c r="G18" s="63">
        <v>54</v>
      </c>
      <c r="H18" s="63">
        <v>59</v>
      </c>
      <c r="I18" s="63">
        <v>70</v>
      </c>
      <c r="J18" s="63">
        <v>84</v>
      </c>
      <c r="K18" s="63">
        <v>93</v>
      </c>
      <c r="L18" s="63">
        <v>102</v>
      </c>
      <c r="M18" s="63">
        <v>102</v>
      </c>
      <c r="N18" s="63">
        <v>102</v>
      </c>
      <c r="O18" s="63">
        <v>102</v>
      </c>
      <c r="P18" s="63">
        <v>102</v>
      </c>
      <c r="Q18" s="63">
        <v>102</v>
      </c>
      <c r="R18" s="63">
        <v>102</v>
      </c>
    </row>
    <row r="19" spans="1:18" x14ac:dyDescent="0.25">
      <c r="A19" s="65" t="s">
        <v>105</v>
      </c>
      <c r="B19" s="63">
        <v>10</v>
      </c>
      <c r="C19" s="63">
        <v>9</v>
      </c>
      <c r="D19" s="63">
        <v>14</v>
      </c>
      <c r="E19" s="63">
        <v>23</v>
      </c>
      <c r="F19" s="63">
        <v>30</v>
      </c>
      <c r="G19" s="63">
        <v>44</v>
      </c>
      <c r="H19" s="63">
        <v>57</v>
      </c>
      <c r="I19" s="63">
        <v>71</v>
      </c>
      <c r="J19" s="63">
        <v>85</v>
      </c>
      <c r="K19" s="63">
        <v>92</v>
      </c>
      <c r="L19" s="63">
        <v>100</v>
      </c>
      <c r="M19" s="63">
        <v>102</v>
      </c>
      <c r="N19" s="63">
        <v>102</v>
      </c>
      <c r="O19" s="63">
        <v>102</v>
      </c>
      <c r="P19" s="63">
        <v>102</v>
      </c>
      <c r="Q19" s="63">
        <v>102</v>
      </c>
      <c r="R19" s="63">
        <v>102</v>
      </c>
    </row>
    <row r="20" spans="1:18" x14ac:dyDescent="0.25">
      <c r="A20" s="65" t="s">
        <v>106</v>
      </c>
      <c r="B20" s="63">
        <v>6</v>
      </c>
      <c r="C20" s="63">
        <v>8</v>
      </c>
      <c r="D20" s="63">
        <v>13</v>
      </c>
      <c r="E20" s="63">
        <v>22</v>
      </c>
      <c r="F20" s="63">
        <v>31</v>
      </c>
      <c r="G20" s="63">
        <v>40</v>
      </c>
      <c r="H20" s="63">
        <v>56</v>
      </c>
      <c r="I20" s="63">
        <v>67</v>
      </c>
      <c r="J20" s="63">
        <v>79</v>
      </c>
      <c r="K20" s="63">
        <v>85</v>
      </c>
      <c r="L20" s="63">
        <v>100</v>
      </c>
      <c r="M20" s="63">
        <v>102</v>
      </c>
      <c r="N20" s="63">
        <v>102</v>
      </c>
      <c r="O20" s="63">
        <v>102</v>
      </c>
      <c r="P20" s="63">
        <v>102</v>
      </c>
      <c r="Q20" s="63">
        <v>102</v>
      </c>
      <c r="R20" s="63">
        <v>102</v>
      </c>
    </row>
    <row r="21" spans="1:18" x14ac:dyDescent="0.25">
      <c r="A21" s="65" t="s">
        <v>107</v>
      </c>
      <c r="B21" s="63">
        <v>7</v>
      </c>
      <c r="C21" s="63">
        <v>12</v>
      </c>
      <c r="D21" s="63">
        <v>22</v>
      </c>
      <c r="E21" s="63">
        <v>31</v>
      </c>
      <c r="F21" s="63">
        <v>45</v>
      </c>
      <c r="G21" s="63">
        <v>57</v>
      </c>
      <c r="H21" s="63">
        <v>75</v>
      </c>
      <c r="I21" s="63">
        <v>84</v>
      </c>
      <c r="J21" s="63">
        <v>92</v>
      </c>
      <c r="K21" s="63">
        <v>97</v>
      </c>
      <c r="L21" s="63">
        <v>102</v>
      </c>
      <c r="M21" s="63">
        <v>102</v>
      </c>
      <c r="N21" s="63">
        <v>102</v>
      </c>
      <c r="O21" s="63">
        <v>102</v>
      </c>
      <c r="P21" s="63">
        <v>102</v>
      </c>
      <c r="Q21" s="63">
        <v>102</v>
      </c>
      <c r="R21" s="63">
        <v>102</v>
      </c>
    </row>
    <row r="22" spans="1:18" x14ac:dyDescent="0.25">
      <c r="A22" s="65" t="s">
        <v>108</v>
      </c>
      <c r="B22" s="63">
        <v>7</v>
      </c>
      <c r="C22" s="63">
        <v>10</v>
      </c>
      <c r="D22" s="63">
        <v>17</v>
      </c>
      <c r="E22" s="63">
        <v>28</v>
      </c>
      <c r="F22" s="63">
        <v>38</v>
      </c>
      <c r="G22" s="63">
        <v>52</v>
      </c>
      <c r="H22" s="63">
        <v>62</v>
      </c>
      <c r="I22" s="63">
        <v>64</v>
      </c>
      <c r="J22" s="63">
        <v>76</v>
      </c>
      <c r="K22" s="63">
        <v>87</v>
      </c>
      <c r="L22" s="63">
        <v>98</v>
      </c>
      <c r="M22" s="63">
        <v>102</v>
      </c>
      <c r="N22" s="63">
        <v>102</v>
      </c>
      <c r="O22" s="63">
        <v>102</v>
      </c>
      <c r="P22" s="63">
        <v>102</v>
      </c>
      <c r="Q22" s="63">
        <v>102</v>
      </c>
      <c r="R22" s="63">
        <v>102</v>
      </c>
    </row>
    <row r="23" spans="1:18" x14ac:dyDescent="0.25">
      <c r="A23" s="65" t="s">
        <v>109</v>
      </c>
      <c r="B23" s="63">
        <v>7</v>
      </c>
      <c r="C23" s="63">
        <v>10</v>
      </c>
      <c r="D23" s="63">
        <v>15</v>
      </c>
      <c r="E23" s="63">
        <v>24</v>
      </c>
      <c r="F23" s="63">
        <v>34</v>
      </c>
      <c r="G23" s="63">
        <v>44</v>
      </c>
      <c r="H23" s="63">
        <v>56</v>
      </c>
      <c r="I23" s="63">
        <v>74</v>
      </c>
      <c r="J23" s="63">
        <v>84</v>
      </c>
      <c r="K23" s="63">
        <v>90</v>
      </c>
      <c r="L23" s="63">
        <v>95</v>
      </c>
      <c r="M23" s="63">
        <v>102</v>
      </c>
      <c r="N23" s="63">
        <v>102</v>
      </c>
      <c r="O23" s="63">
        <v>102</v>
      </c>
      <c r="P23" s="63">
        <v>102</v>
      </c>
      <c r="Q23" s="63">
        <v>102</v>
      </c>
      <c r="R23" s="63">
        <v>102</v>
      </c>
    </row>
    <row r="24" spans="1:18" x14ac:dyDescent="0.25">
      <c r="A24" s="65" t="s">
        <v>110</v>
      </c>
      <c r="B24" s="63">
        <v>7</v>
      </c>
      <c r="C24" s="63">
        <v>12</v>
      </c>
      <c r="D24" s="63">
        <v>22</v>
      </c>
      <c r="E24" s="63">
        <v>34</v>
      </c>
      <c r="F24" s="63">
        <v>44</v>
      </c>
      <c r="G24" s="63">
        <v>60</v>
      </c>
      <c r="H24" s="63">
        <v>71</v>
      </c>
      <c r="I24" s="63">
        <v>76</v>
      </c>
      <c r="J24" s="63">
        <v>90</v>
      </c>
      <c r="K24" s="63">
        <v>97</v>
      </c>
      <c r="L24" s="63">
        <v>102</v>
      </c>
      <c r="M24" s="63">
        <v>102</v>
      </c>
      <c r="N24" s="63">
        <v>102</v>
      </c>
      <c r="O24" s="63">
        <v>102</v>
      </c>
      <c r="P24" s="63">
        <v>102</v>
      </c>
      <c r="Q24" s="63">
        <v>102</v>
      </c>
      <c r="R24" s="63">
        <v>102</v>
      </c>
    </row>
    <row r="25" spans="1:18" x14ac:dyDescent="0.25">
      <c r="A25" s="65" t="s">
        <v>111</v>
      </c>
      <c r="B25" s="63">
        <v>8</v>
      </c>
      <c r="C25" s="63">
        <v>12</v>
      </c>
      <c r="D25" s="63">
        <v>17</v>
      </c>
      <c r="E25" s="63">
        <v>29</v>
      </c>
      <c r="F25" s="63">
        <v>40</v>
      </c>
      <c r="G25" s="63">
        <v>57</v>
      </c>
      <c r="H25" s="63">
        <v>66</v>
      </c>
      <c r="I25" s="63">
        <v>76</v>
      </c>
      <c r="J25" s="63">
        <v>98</v>
      </c>
      <c r="K25" s="63">
        <v>95</v>
      </c>
      <c r="L25" s="63">
        <v>102</v>
      </c>
      <c r="M25" s="63">
        <v>102</v>
      </c>
      <c r="N25" s="63">
        <v>102</v>
      </c>
      <c r="O25" s="63">
        <v>102</v>
      </c>
      <c r="P25" s="63">
        <v>102</v>
      </c>
      <c r="Q25" s="63">
        <v>102</v>
      </c>
      <c r="R25" s="63">
        <v>102</v>
      </c>
    </row>
    <row r="26" spans="1:18" x14ac:dyDescent="0.25">
      <c r="A26" s="65" t="s">
        <v>112</v>
      </c>
      <c r="B26" s="63">
        <v>9</v>
      </c>
      <c r="C26" s="63">
        <v>12</v>
      </c>
      <c r="D26" s="63">
        <v>19</v>
      </c>
      <c r="E26" s="63">
        <v>30</v>
      </c>
      <c r="F26" s="63">
        <v>40</v>
      </c>
      <c r="G26" s="63">
        <v>51</v>
      </c>
      <c r="H26" s="63">
        <v>61</v>
      </c>
      <c r="I26" s="63">
        <v>69</v>
      </c>
      <c r="J26" s="63">
        <v>73</v>
      </c>
      <c r="K26" s="63">
        <v>74</v>
      </c>
      <c r="L26" s="63">
        <v>97</v>
      </c>
      <c r="M26" s="63">
        <v>102</v>
      </c>
      <c r="N26" s="63">
        <v>102</v>
      </c>
      <c r="O26" s="63">
        <v>102</v>
      </c>
      <c r="P26" s="63">
        <v>102</v>
      </c>
      <c r="Q26" s="63">
        <v>102</v>
      </c>
      <c r="R26" s="63">
        <v>102</v>
      </c>
    </row>
    <row r="27" spans="1:18" x14ac:dyDescent="0.25">
      <c r="A27" s="65" t="s">
        <v>113</v>
      </c>
      <c r="B27" s="63">
        <v>10</v>
      </c>
      <c r="C27" s="63">
        <v>11</v>
      </c>
      <c r="D27" s="63">
        <v>18</v>
      </c>
      <c r="E27" s="63">
        <v>26</v>
      </c>
      <c r="F27" s="63">
        <v>38</v>
      </c>
      <c r="G27" s="63">
        <v>46</v>
      </c>
      <c r="H27" s="63">
        <v>63</v>
      </c>
      <c r="I27" s="63">
        <v>72</v>
      </c>
      <c r="J27" s="63">
        <v>77</v>
      </c>
      <c r="K27" s="63">
        <v>83</v>
      </c>
      <c r="L27" s="63">
        <v>94</v>
      </c>
      <c r="M27" s="63">
        <v>102</v>
      </c>
      <c r="N27" s="63">
        <v>102</v>
      </c>
      <c r="O27" s="63">
        <v>102</v>
      </c>
      <c r="P27" s="63">
        <v>102</v>
      </c>
      <c r="Q27" s="63">
        <v>102</v>
      </c>
      <c r="R27" s="63">
        <v>102</v>
      </c>
    </row>
    <row r="28" spans="1:18" x14ac:dyDescent="0.25">
      <c r="A28" s="65" t="s">
        <v>114</v>
      </c>
      <c r="B28" s="63">
        <v>8</v>
      </c>
      <c r="C28" s="63">
        <v>10</v>
      </c>
      <c r="D28" s="63">
        <v>19</v>
      </c>
      <c r="E28" s="63">
        <v>24</v>
      </c>
      <c r="F28" s="63">
        <v>35</v>
      </c>
      <c r="G28" s="63">
        <v>50</v>
      </c>
      <c r="H28" s="63">
        <v>63</v>
      </c>
      <c r="I28" s="63">
        <v>73</v>
      </c>
      <c r="J28" s="63">
        <v>80</v>
      </c>
      <c r="K28" s="63">
        <v>89</v>
      </c>
      <c r="L28" s="63">
        <v>102</v>
      </c>
      <c r="M28" s="63">
        <v>102</v>
      </c>
      <c r="N28" s="63">
        <v>102</v>
      </c>
      <c r="O28" s="63">
        <v>102</v>
      </c>
      <c r="P28" s="63">
        <v>102</v>
      </c>
      <c r="Q28" s="63">
        <v>102</v>
      </c>
      <c r="R28" s="63">
        <v>102</v>
      </c>
    </row>
    <row r="29" spans="1:18" x14ac:dyDescent="0.25">
      <c r="A29" s="65" t="s">
        <v>115</v>
      </c>
      <c r="B29" s="63">
        <v>7</v>
      </c>
      <c r="C29" s="63">
        <v>10</v>
      </c>
      <c r="D29" s="63">
        <v>16</v>
      </c>
      <c r="E29" s="63">
        <v>28</v>
      </c>
      <c r="F29" s="63">
        <v>36</v>
      </c>
      <c r="G29" s="63">
        <v>47</v>
      </c>
      <c r="H29" s="63">
        <v>58</v>
      </c>
      <c r="I29" s="63">
        <v>64</v>
      </c>
      <c r="J29" s="63">
        <v>72</v>
      </c>
      <c r="K29" s="63">
        <v>80</v>
      </c>
      <c r="L29" s="63">
        <v>91</v>
      </c>
      <c r="M29" s="63">
        <v>102</v>
      </c>
      <c r="N29" s="63">
        <v>102</v>
      </c>
      <c r="O29" s="63">
        <v>102</v>
      </c>
      <c r="P29" s="63">
        <v>102</v>
      </c>
      <c r="Q29" s="63">
        <v>102</v>
      </c>
      <c r="R29" s="63">
        <v>102</v>
      </c>
    </row>
    <row r="30" spans="1:18" x14ac:dyDescent="0.25">
      <c r="A30" s="65" t="s">
        <v>116</v>
      </c>
      <c r="B30" s="63">
        <v>10</v>
      </c>
      <c r="C30" s="63">
        <v>13</v>
      </c>
      <c r="D30" s="63">
        <v>23</v>
      </c>
      <c r="E30" s="63">
        <v>34</v>
      </c>
      <c r="F30" s="63">
        <v>46</v>
      </c>
      <c r="G30" s="63">
        <v>62</v>
      </c>
      <c r="H30" s="63">
        <v>73</v>
      </c>
      <c r="I30" s="63">
        <v>81</v>
      </c>
      <c r="J30" s="63">
        <v>91</v>
      </c>
      <c r="K30" s="63">
        <v>97</v>
      </c>
      <c r="L30" s="63">
        <v>102</v>
      </c>
      <c r="M30" s="63">
        <v>102</v>
      </c>
      <c r="N30" s="63">
        <v>102</v>
      </c>
      <c r="O30" s="63">
        <v>102</v>
      </c>
      <c r="P30" s="63">
        <v>102</v>
      </c>
      <c r="Q30" s="63">
        <v>102</v>
      </c>
      <c r="R30" s="63">
        <v>102</v>
      </c>
    </row>
    <row r="31" spans="1:18" x14ac:dyDescent="0.25">
      <c r="A31" s="65" t="s">
        <v>117</v>
      </c>
      <c r="B31" s="63">
        <v>10</v>
      </c>
      <c r="C31" s="63">
        <v>12</v>
      </c>
      <c r="D31" s="63">
        <v>22</v>
      </c>
      <c r="E31" s="63">
        <v>29</v>
      </c>
      <c r="F31" s="63">
        <v>39</v>
      </c>
      <c r="G31" s="63">
        <v>49</v>
      </c>
      <c r="H31" s="63">
        <v>56</v>
      </c>
      <c r="I31" s="63">
        <v>61</v>
      </c>
      <c r="J31" s="63">
        <v>69</v>
      </c>
      <c r="K31" s="63">
        <v>71</v>
      </c>
      <c r="L31" s="63">
        <v>79</v>
      </c>
      <c r="M31" s="63">
        <v>87</v>
      </c>
      <c r="N31" s="63">
        <v>102</v>
      </c>
      <c r="O31" s="63">
        <v>102</v>
      </c>
      <c r="P31" s="63">
        <v>102</v>
      </c>
      <c r="Q31" s="63">
        <v>102</v>
      </c>
      <c r="R31" s="63">
        <v>102</v>
      </c>
    </row>
    <row r="32" spans="1:18" x14ac:dyDescent="0.25">
      <c r="A32" s="65" t="s">
        <v>118</v>
      </c>
      <c r="B32" s="63">
        <v>8</v>
      </c>
      <c r="C32" s="63">
        <v>11</v>
      </c>
      <c r="D32" s="63">
        <v>18</v>
      </c>
      <c r="E32" s="63">
        <v>30</v>
      </c>
      <c r="F32" s="63">
        <v>37</v>
      </c>
      <c r="G32" s="63">
        <v>46</v>
      </c>
      <c r="H32" s="63">
        <v>57</v>
      </c>
      <c r="I32" s="63">
        <v>62</v>
      </c>
      <c r="J32" s="63">
        <v>69</v>
      </c>
      <c r="K32" s="63">
        <v>72</v>
      </c>
      <c r="L32" s="63">
        <v>80</v>
      </c>
      <c r="M32" s="63">
        <v>98</v>
      </c>
      <c r="N32" s="63">
        <v>102</v>
      </c>
      <c r="O32" s="63">
        <v>102</v>
      </c>
      <c r="P32" s="63">
        <v>102</v>
      </c>
      <c r="Q32" s="63">
        <v>102</v>
      </c>
      <c r="R32" s="63">
        <v>102</v>
      </c>
    </row>
    <row r="33" spans="1:18" x14ac:dyDescent="0.25">
      <c r="A33" s="65" t="s">
        <v>119</v>
      </c>
      <c r="B33" s="63">
        <v>9</v>
      </c>
      <c r="C33" s="63">
        <v>12</v>
      </c>
      <c r="D33" s="63">
        <v>18</v>
      </c>
      <c r="E33" s="63">
        <v>29</v>
      </c>
      <c r="F33" s="63">
        <v>44</v>
      </c>
      <c r="G33" s="63">
        <v>57</v>
      </c>
      <c r="H33" s="63">
        <v>65</v>
      </c>
      <c r="I33" s="63">
        <v>74</v>
      </c>
      <c r="J33" s="63">
        <v>79</v>
      </c>
      <c r="K33" s="63">
        <v>88</v>
      </c>
      <c r="L33" s="63">
        <v>97</v>
      </c>
      <c r="M33" s="63">
        <v>102</v>
      </c>
      <c r="N33" s="63">
        <v>102</v>
      </c>
      <c r="O33" s="63">
        <v>102</v>
      </c>
      <c r="P33" s="63">
        <v>102</v>
      </c>
      <c r="Q33" s="63">
        <v>102</v>
      </c>
      <c r="R33" s="63">
        <v>102</v>
      </c>
    </row>
    <row r="34" spans="1:18" x14ac:dyDescent="0.25">
      <c r="A34" s="65" t="s">
        <v>120</v>
      </c>
      <c r="B34" s="63">
        <v>9</v>
      </c>
      <c r="C34" s="63">
        <v>11</v>
      </c>
      <c r="D34" s="63">
        <v>19</v>
      </c>
      <c r="E34" s="63">
        <v>29</v>
      </c>
      <c r="F34" s="63">
        <v>41</v>
      </c>
      <c r="G34" s="63">
        <v>53</v>
      </c>
      <c r="H34" s="63">
        <v>65</v>
      </c>
      <c r="I34" s="63">
        <v>71</v>
      </c>
      <c r="J34" s="63">
        <v>76</v>
      </c>
      <c r="K34" s="63">
        <v>85</v>
      </c>
      <c r="L34" s="63">
        <v>100</v>
      </c>
      <c r="M34" s="63">
        <v>102</v>
      </c>
      <c r="N34" s="63">
        <v>102</v>
      </c>
      <c r="O34" s="63">
        <v>102</v>
      </c>
      <c r="P34" s="63">
        <v>102</v>
      </c>
      <c r="Q34" s="63">
        <v>102</v>
      </c>
      <c r="R34" s="63">
        <v>102</v>
      </c>
    </row>
    <row r="35" spans="1:18" x14ac:dyDescent="0.25">
      <c r="A35" s="65" t="s">
        <v>121</v>
      </c>
      <c r="B35" s="63">
        <v>7</v>
      </c>
      <c r="C35" s="63">
        <v>10</v>
      </c>
      <c r="D35" s="63">
        <v>16</v>
      </c>
      <c r="E35" s="63">
        <v>32</v>
      </c>
      <c r="F35" s="63">
        <v>39</v>
      </c>
      <c r="G35" s="63">
        <v>43</v>
      </c>
      <c r="H35" s="63">
        <v>60</v>
      </c>
      <c r="I35" s="63">
        <v>67</v>
      </c>
      <c r="J35" s="63">
        <v>73</v>
      </c>
      <c r="K35" s="63">
        <v>77</v>
      </c>
      <c r="L35" s="63">
        <v>103</v>
      </c>
      <c r="M35" s="63">
        <v>102</v>
      </c>
      <c r="N35" s="63">
        <v>102</v>
      </c>
      <c r="O35" s="63">
        <v>102</v>
      </c>
      <c r="P35" s="63">
        <v>102</v>
      </c>
      <c r="Q35" s="63">
        <v>102</v>
      </c>
      <c r="R35" s="63">
        <v>102</v>
      </c>
    </row>
    <row r="36" spans="1:18" x14ac:dyDescent="0.25">
      <c r="A36" s="65" t="s">
        <v>122</v>
      </c>
      <c r="B36" s="63">
        <v>8</v>
      </c>
      <c r="C36" s="63">
        <v>11</v>
      </c>
      <c r="D36" s="63">
        <v>15</v>
      </c>
      <c r="E36" s="63">
        <v>28</v>
      </c>
      <c r="F36" s="63">
        <v>38</v>
      </c>
      <c r="G36" s="63">
        <v>44</v>
      </c>
      <c r="H36" s="63">
        <v>61</v>
      </c>
      <c r="I36" s="63">
        <v>69</v>
      </c>
      <c r="J36" s="63">
        <v>82</v>
      </c>
      <c r="K36" s="63">
        <v>90</v>
      </c>
      <c r="L36" s="63">
        <v>102</v>
      </c>
      <c r="M36" s="63">
        <v>102</v>
      </c>
      <c r="N36" s="63">
        <v>102</v>
      </c>
      <c r="O36" s="63">
        <v>102</v>
      </c>
      <c r="P36" s="63">
        <v>102</v>
      </c>
      <c r="Q36" s="63">
        <v>102</v>
      </c>
      <c r="R36" s="63">
        <v>102</v>
      </c>
    </row>
    <row r="37" spans="1:18" x14ac:dyDescent="0.25">
      <c r="A37" s="65" t="s">
        <v>123</v>
      </c>
      <c r="B37" s="63">
        <v>8</v>
      </c>
      <c r="C37" s="63">
        <v>11</v>
      </c>
      <c r="D37" s="63">
        <v>18</v>
      </c>
      <c r="E37" s="63">
        <v>30</v>
      </c>
      <c r="F37" s="63">
        <v>39</v>
      </c>
      <c r="G37" s="63">
        <v>52</v>
      </c>
      <c r="H37" s="63">
        <v>61</v>
      </c>
      <c r="I37" s="63">
        <v>68</v>
      </c>
      <c r="J37" s="63">
        <v>80</v>
      </c>
      <c r="K37" s="63">
        <v>89</v>
      </c>
      <c r="L37" s="63">
        <v>100</v>
      </c>
      <c r="M37" s="63">
        <v>102</v>
      </c>
      <c r="N37" s="63">
        <v>102</v>
      </c>
      <c r="O37" s="63">
        <v>102</v>
      </c>
      <c r="P37" s="63">
        <v>102</v>
      </c>
      <c r="Q37" s="63">
        <v>102</v>
      </c>
      <c r="R37" s="63">
        <v>102</v>
      </c>
    </row>
    <row r="38" spans="1:18" x14ac:dyDescent="0.25">
      <c r="A38" s="65" t="s">
        <v>124</v>
      </c>
      <c r="B38" s="63">
        <v>8</v>
      </c>
      <c r="C38" s="63">
        <v>10</v>
      </c>
      <c r="D38" s="63">
        <v>19</v>
      </c>
      <c r="E38" s="63">
        <v>28</v>
      </c>
      <c r="F38" s="63">
        <v>42</v>
      </c>
      <c r="G38" s="63">
        <v>53</v>
      </c>
      <c r="H38" s="63">
        <v>62</v>
      </c>
      <c r="I38" s="63">
        <v>68</v>
      </c>
      <c r="J38" s="63">
        <v>80</v>
      </c>
      <c r="K38" s="63">
        <v>89</v>
      </c>
      <c r="L38" s="63">
        <v>102</v>
      </c>
      <c r="M38" s="63">
        <v>102</v>
      </c>
      <c r="N38" s="63">
        <v>102</v>
      </c>
      <c r="O38" s="63">
        <v>102</v>
      </c>
      <c r="P38" s="63">
        <v>102</v>
      </c>
      <c r="Q38" s="63">
        <v>102</v>
      </c>
      <c r="R38" s="63">
        <v>102</v>
      </c>
    </row>
    <row r="39" spans="1:18" x14ac:dyDescent="0.25">
      <c r="A39" s="65" t="s">
        <v>125</v>
      </c>
      <c r="B39" s="63">
        <v>6</v>
      </c>
      <c r="C39" s="63">
        <v>12</v>
      </c>
      <c r="D39" s="63">
        <v>20</v>
      </c>
      <c r="E39" s="63">
        <v>31</v>
      </c>
      <c r="F39" s="63">
        <v>40</v>
      </c>
      <c r="G39" s="63">
        <v>45</v>
      </c>
      <c r="H39" s="63">
        <v>57</v>
      </c>
      <c r="I39" s="63">
        <v>70</v>
      </c>
      <c r="J39" s="63">
        <v>76</v>
      </c>
      <c r="K39" s="63">
        <v>81</v>
      </c>
      <c r="L39" s="63">
        <v>91</v>
      </c>
      <c r="M39" s="63">
        <v>99</v>
      </c>
      <c r="N39" s="63">
        <v>96</v>
      </c>
      <c r="O39" s="63">
        <v>102</v>
      </c>
      <c r="P39" s="63">
        <v>102</v>
      </c>
      <c r="Q39" s="63">
        <v>102</v>
      </c>
      <c r="R39" s="63">
        <v>102</v>
      </c>
    </row>
    <row r="40" spans="1:18" x14ac:dyDescent="0.25">
      <c r="A40" s="65" t="s">
        <v>126</v>
      </c>
      <c r="B40" s="63">
        <v>9</v>
      </c>
      <c r="C40" s="63">
        <v>12</v>
      </c>
      <c r="D40" s="63">
        <v>23</v>
      </c>
      <c r="E40" s="63">
        <v>30</v>
      </c>
      <c r="F40" s="63">
        <v>45</v>
      </c>
      <c r="G40" s="63">
        <v>58</v>
      </c>
      <c r="H40" s="63">
        <v>71</v>
      </c>
      <c r="I40" s="63">
        <v>74</v>
      </c>
      <c r="J40" s="63">
        <v>86</v>
      </c>
      <c r="K40" s="63">
        <v>94</v>
      </c>
      <c r="L40" s="63">
        <v>98</v>
      </c>
      <c r="M40" s="63">
        <v>102</v>
      </c>
      <c r="N40" s="63">
        <v>102</v>
      </c>
      <c r="O40" s="63">
        <v>102</v>
      </c>
      <c r="P40" s="63">
        <v>102</v>
      </c>
      <c r="Q40" s="63">
        <v>102</v>
      </c>
      <c r="R40" s="63">
        <v>102</v>
      </c>
    </row>
    <row r="41" spans="1:18" x14ac:dyDescent="0.25">
      <c r="A41" s="65" t="s">
        <v>127</v>
      </c>
      <c r="B41" s="63">
        <v>8</v>
      </c>
      <c r="C41" s="63">
        <v>10</v>
      </c>
      <c r="D41" s="63">
        <v>17</v>
      </c>
      <c r="E41" s="63">
        <v>25</v>
      </c>
      <c r="F41" s="63">
        <v>33</v>
      </c>
      <c r="G41" s="63">
        <v>44</v>
      </c>
      <c r="H41" s="63">
        <v>55</v>
      </c>
      <c r="I41" s="63">
        <v>56</v>
      </c>
      <c r="J41" s="63">
        <v>60</v>
      </c>
      <c r="K41" s="63">
        <v>65</v>
      </c>
      <c r="L41" s="63">
        <v>73</v>
      </c>
      <c r="M41" s="63">
        <v>87</v>
      </c>
      <c r="N41" s="63">
        <v>93</v>
      </c>
      <c r="O41" s="63">
        <v>102</v>
      </c>
      <c r="P41" s="63">
        <v>102</v>
      </c>
      <c r="Q41" s="63">
        <v>102</v>
      </c>
      <c r="R41" s="63">
        <v>102</v>
      </c>
    </row>
    <row r="42" spans="1:18" x14ac:dyDescent="0.25">
      <c r="A42" s="65" t="s">
        <v>128</v>
      </c>
      <c r="B42" s="63">
        <v>6</v>
      </c>
      <c r="C42" s="63">
        <v>10</v>
      </c>
      <c r="D42" s="63">
        <v>17</v>
      </c>
      <c r="E42" s="63">
        <v>27</v>
      </c>
      <c r="F42" s="63">
        <v>37</v>
      </c>
      <c r="G42" s="63">
        <v>50</v>
      </c>
      <c r="H42" s="63">
        <v>61</v>
      </c>
      <c r="I42" s="63">
        <v>67</v>
      </c>
      <c r="J42" s="63">
        <v>78</v>
      </c>
      <c r="K42" s="63">
        <v>90</v>
      </c>
      <c r="L42" s="63">
        <v>100</v>
      </c>
      <c r="M42" s="63">
        <v>102</v>
      </c>
      <c r="N42" s="63">
        <v>102</v>
      </c>
      <c r="O42" s="63">
        <v>102</v>
      </c>
      <c r="P42" s="63">
        <v>102</v>
      </c>
      <c r="Q42" s="63">
        <v>102</v>
      </c>
      <c r="R42" s="63">
        <v>102</v>
      </c>
    </row>
    <row r="43" spans="1:18" x14ac:dyDescent="0.25">
      <c r="A43" s="65" t="s">
        <v>129</v>
      </c>
      <c r="B43" s="63">
        <v>9</v>
      </c>
      <c r="C43" s="63">
        <v>13</v>
      </c>
      <c r="D43" s="63">
        <v>18</v>
      </c>
      <c r="E43" s="63">
        <v>30</v>
      </c>
      <c r="F43" s="63">
        <v>40</v>
      </c>
      <c r="G43" s="63">
        <v>49</v>
      </c>
      <c r="H43" s="63">
        <v>59</v>
      </c>
      <c r="I43" s="63">
        <v>65</v>
      </c>
      <c r="J43" s="63">
        <v>76</v>
      </c>
      <c r="K43" s="63">
        <v>91</v>
      </c>
      <c r="L43" s="63">
        <v>102</v>
      </c>
      <c r="M43" s="63">
        <v>102</v>
      </c>
      <c r="N43" s="63">
        <v>102</v>
      </c>
      <c r="O43" s="63">
        <v>102</v>
      </c>
      <c r="P43" s="63">
        <v>102</v>
      </c>
      <c r="Q43" s="63">
        <v>102</v>
      </c>
      <c r="R43" s="63">
        <v>102</v>
      </c>
    </row>
    <row r="44" spans="1:18" x14ac:dyDescent="0.25">
      <c r="A44" s="65" t="s">
        <v>130</v>
      </c>
      <c r="B44" s="63">
        <v>9</v>
      </c>
      <c r="C44" s="63">
        <v>10</v>
      </c>
      <c r="D44" s="63">
        <v>18</v>
      </c>
      <c r="E44" s="63">
        <v>30</v>
      </c>
      <c r="F44" s="63">
        <v>42</v>
      </c>
      <c r="G44" s="63">
        <v>60</v>
      </c>
      <c r="H44" s="63">
        <v>72</v>
      </c>
      <c r="I44" s="63">
        <v>76</v>
      </c>
      <c r="J44" s="63">
        <v>84</v>
      </c>
      <c r="K44" s="63">
        <v>92</v>
      </c>
      <c r="L44" s="63">
        <v>102</v>
      </c>
      <c r="M44" s="63">
        <v>102</v>
      </c>
      <c r="N44" s="63">
        <v>102</v>
      </c>
      <c r="O44" s="63">
        <v>102</v>
      </c>
      <c r="P44" s="63">
        <v>102</v>
      </c>
      <c r="Q44" s="63">
        <v>102</v>
      </c>
      <c r="R44" s="63">
        <v>102</v>
      </c>
    </row>
    <row r="45" spans="1:18" x14ac:dyDescent="0.25">
      <c r="A45" s="65" t="s">
        <v>131</v>
      </c>
      <c r="B45" s="63">
        <v>10</v>
      </c>
      <c r="C45" s="63">
        <v>13</v>
      </c>
      <c r="D45" s="63">
        <v>22</v>
      </c>
      <c r="E45" s="63">
        <v>29</v>
      </c>
      <c r="F45" s="63">
        <v>41</v>
      </c>
      <c r="G45" s="63">
        <v>56</v>
      </c>
      <c r="H45" s="63">
        <v>70</v>
      </c>
      <c r="I45" s="63">
        <v>69</v>
      </c>
      <c r="J45" s="63">
        <v>80</v>
      </c>
      <c r="K45" s="63">
        <v>85</v>
      </c>
      <c r="L45" s="63">
        <v>102</v>
      </c>
      <c r="M45" s="63">
        <v>102</v>
      </c>
      <c r="N45" s="63">
        <v>102</v>
      </c>
      <c r="O45" s="63">
        <v>102</v>
      </c>
      <c r="P45" s="63">
        <v>102</v>
      </c>
      <c r="Q45" s="63">
        <v>102</v>
      </c>
      <c r="R45" s="63">
        <v>102</v>
      </c>
    </row>
    <row r="46" spans="1:18" x14ac:dyDescent="0.25">
      <c r="A46" s="65" t="s">
        <v>132</v>
      </c>
      <c r="B46" s="63">
        <v>9</v>
      </c>
      <c r="C46" s="63">
        <v>11</v>
      </c>
      <c r="D46" s="63">
        <v>22</v>
      </c>
      <c r="E46" s="63">
        <v>30</v>
      </c>
      <c r="F46" s="63">
        <v>43</v>
      </c>
      <c r="G46" s="63">
        <v>57</v>
      </c>
      <c r="H46" s="63">
        <v>69</v>
      </c>
      <c r="I46" s="63">
        <v>81</v>
      </c>
      <c r="J46" s="63">
        <v>90</v>
      </c>
      <c r="K46" s="63">
        <v>98</v>
      </c>
      <c r="L46" s="63">
        <v>102</v>
      </c>
      <c r="M46" s="63">
        <v>102</v>
      </c>
      <c r="N46" s="63">
        <v>102</v>
      </c>
      <c r="O46" s="63">
        <v>102</v>
      </c>
      <c r="P46" s="63">
        <v>102</v>
      </c>
      <c r="Q46" s="63">
        <v>102</v>
      </c>
      <c r="R46" s="63">
        <v>102</v>
      </c>
    </row>
    <row r="47" spans="1:18" x14ac:dyDescent="0.25">
      <c r="A47" s="65" t="s">
        <v>133</v>
      </c>
      <c r="B47" s="63">
        <v>9</v>
      </c>
      <c r="C47" s="63">
        <v>12</v>
      </c>
      <c r="D47" s="63">
        <v>21</v>
      </c>
      <c r="E47" s="63">
        <v>31</v>
      </c>
      <c r="F47" s="63">
        <v>39</v>
      </c>
      <c r="G47" s="63">
        <v>47</v>
      </c>
      <c r="H47" s="63">
        <v>57</v>
      </c>
      <c r="I47" s="63">
        <v>70</v>
      </c>
      <c r="J47" s="63">
        <v>79</v>
      </c>
      <c r="K47" s="63">
        <v>87</v>
      </c>
      <c r="L47" s="63">
        <v>102</v>
      </c>
      <c r="M47" s="63">
        <v>102</v>
      </c>
      <c r="N47" s="63">
        <v>102</v>
      </c>
      <c r="O47" s="63">
        <v>102</v>
      </c>
      <c r="P47" s="63">
        <v>102</v>
      </c>
      <c r="Q47" s="63">
        <v>102</v>
      </c>
      <c r="R47" s="63">
        <v>102</v>
      </c>
    </row>
    <row r="48" spans="1:18" x14ac:dyDescent="0.25">
      <c r="A48" s="65" t="s">
        <v>134</v>
      </c>
      <c r="B48" s="63">
        <v>8</v>
      </c>
      <c r="C48" s="63">
        <v>14</v>
      </c>
      <c r="D48" s="63">
        <v>19</v>
      </c>
      <c r="E48" s="63">
        <v>30</v>
      </c>
      <c r="F48" s="63">
        <v>44</v>
      </c>
      <c r="G48" s="63">
        <v>45</v>
      </c>
      <c r="H48" s="63">
        <v>54</v>
      </c>
      <c r="I48" s="63">
        <v>49</v>
      </c>
      <c r="J48" s="63">
        <v>58</v>
      </c>
      <c r="K48" s="63">
        <v>65</v>
      </c>
      <c r="L48" s="63">
        <v>72</v>
      </c>
      <c r="M48" s="63">
        <v>85</v>
      </c>
      <c r="N48" s="63">
        <v>88</v>
      </c>
      <c r="O48" s="63">
        <v>102</v>
      </c>
      <c r="P48" s="63">
        <v>102</v>
      </c>
      <c r="Q48" s="63">
        <v>102</v>
      </c>
      <c r="R48" s="63">
        <v>102</v>
      </c>
    </row>
    <row r="49" spans="1:18" x14ac:dyDescent="0.25">
      <c r="A49" s="65" t="s">
        <v>135</v>
      </c>
      <c r="B49" s="63">
        <v>7</v>
      </c>
      <c r="C49" s="63">
        <v>10</v>
      </c>
      <c r="D49" s="63">
        <v>16</v>
      </c>
      <c r="E49" s="63">
        <v>28</v>
      </c>
      <c r="F49" s="63">
        <v>39</v>
      </c>
      <c r="G49" s="63">
        <v>48</v>
      </c>
      <c r="H49" s="63">
        <v>52</v>
      </c>
      <c r="I49" s="63">
        <v>56</v>
      </c>
      <c r="J49" s="63">
        <v>60</v>
      </c>
      <c r="K49" s="63">
        <v>65</v>
      </c>
      <c r="L49" s="63">
        <v>69</v>
      </c>
      <c r="M49" s="63">
        <v>80</v>
      </c>
      <c r="N49" s="63">
        <v>85</v>
      </c>
      <c r="O49" s="63">
        <v>102</v>
      </c>
      <c r="P49" s="63">
        <v>102</v>
      </c>
      <c r="Q49" s="63">
        <v>102</v>
      </c>
      <c r="R49" s="63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9AB6-F582-4070-ABC3-F5B68B9FF9EB}">
  <dimension ref="A1:I25"/>
  <sheetViews>
    <sheetView workbookViewId="0"/>
  </sheetViews>
  <sheetFormatPr defaultRowHeight="12.75" x14ac:dyDescent="0.2"/>
  <sheetData>
    <row r="1" spans="1:9" x14ac:dyDescent="0.2">
      <c r="A1" t="s">
        <v>87</v>
      </c>
      <c r="B1" t="s">
        <v>160</v>
      </c>
      <c r="C1" t="s">
        <v>84</v>
      </c>
      <c r="D1" t="s">
        <v>161</v>
      </c>
      <c r="E1" t="s">
        <v>162</v>
      </c>
      <c r="F1" t="s">
        <v>82</v>
      </c>
      <c r="G1" t="s">
        <v>163</v>
      </c>
      <c r="H1" t="s">
        <v>164</v>
      </c>
      <c r="I1" t="s">
        <v>165</v>
      </c>
    </row>
    <row r="2" spans="1:9" x14ac:dyDescent="0.2">
      <c r="A2" t="s">
        <v>136</v>
      </c>
      <c r="B2" s="67">
        <v>0.06</v>
      </c>
      <c r="C2" s="67">
        <v>0.16</v>
      </c>
      <c r="D2" s="67"/>
      <c r="E2" s="67">
        <v>0.51</v>
      </c>
      <c r="F2" s="67">
        <v>0.72</v>
      </c>
      <c r="G2" s="67">
        <v>1.1100000000000001</v>
      </c>
      <c r="H2" s="67">
        <v>1.32</v>
      </c>
      <c r="I2" s="67">
        <v>1.74</v>
      </c>
    </row>
    <row r="3" spans="1:9" x14ac:dyDescent="0.2">
      <c r="A3" t="s">
        <v>137</v>
      </c>
      <c r="B3" s="67">
        <v>0.11</v>
      </c>
      <c r="C3" s="67">
        <v>0.43</v>
      </c>
      <c r="D3" s="67"/>
      <c r="E3" s="67">
        <v>0.38</v>
      </c>
      <c r="F3" s="67">
        <v>0.67</v>
      </c>
      <c r="G3" s="67">
        <v>1</v>
      </c>
      <c r="H3" s="67">
        <v>1.19</v>
      </c>
      <c r="I3" s="67">
        <v>2.13</v>
      </c>
    </row>
    <row r="4" spans="1:9" x14ac:dyDescent="0.2">
      <c r="A4" t="s">
        <v>138</v>
      </c>
      <c r="B4" s="67">
        <v>7.0000000000000007E-2</v>
      </c>
      <c r="C4" s="67">
        <v>0.31</v>
      </c>
      <c r="D4" s="67"/>
      <c r="E4" s="67">
        <v>0.55000000000000004</v>
      </c>
      <c r="F4" s="67">
        <v>1.74</v>
      </c>
      <c r="G4" s="67">
        <v>0.75</v>
      </c>
      <c r="H4" s="67">
        <v>1.34</v>
      </c>
      <c r="I4" s="67">
        <v>2.14</v>
      </c>
    </row>
    <row r="5" spans="1:9" x14ac:dyDescent="0.2">
      <c r="A5" t="s">
        <v>139</v>
      </c>
      <c r="B5" s="67">
        <v>0.08</v>
      </c>
      <c r="C5" s="67">
        <v>0.35</v>
      </c>
      <c r="D5" s="67"/>
      <c r="E5" s="67">
        <v>0.41</v>
      </c>
      <c r="F5" s="67">
        <v>0.96</v>
      </c>
      <c r="G5" s="67">
        <v>0.65</v>
      </c>
      <c r="H5" s="67">
        <v>1.08</v>
      </c>
      <c r="I5" s="67">
        <v>1.74</v>
      </c>
    </row>
    <row r="6" spans="1:9" x14ac:dyDescent="0.2">
      <c r="A6" t="s">
        <v>140</v>
      </c>
      <c r="B6" s="67">
        <v>7.0000000000000007E-2</v>
      </c>
      <c r="C6" s="67">
        <v>0.36</v>
      </c>
      <c r="D6" s="67"/>
      <c r="E6" s="67">
        <v>0.69</v>
      </c>
      <c r="F6" s="67">
        <v>1.1000000000000001</v>
      </c>
      <c r="G6" s="67">
        <v>1.1100000000000001</v>
      </c>
      <c r="H6" s="67">
        <v>1.57</v>
      </c>
      <c r="I6" s="67">
        <v>2.95</v>
      </c>
    </row>
    <row r="7" spans="1:9" x14ac:dyDescent="0.2">
      <c r="A7" t="s">
        <v>141</v>
      </c>
      <c r="B7" s="67">
        <v>0.05</v>
      </c>
      <c r="C7" s="67">
        <v>0.43</v>
      </c>
      <c r="D7" s="67"/>
      <c r="E7" s="67">
        <v>0.59</v>
      </c>
      <c r="F7" s="67">
        <v>1.19</v>
      </c>
      <c r="G7" s="67">
        <v>1.52</v>
      </c>
      <c r="H7" s="67">
        <v>1.69</v>
      </c>
      <c r="I7" s="67">
        <v>2.2000000000000002</v>
      </c>
    </row>
    <row r="8" spans="1:9" x14ac:dyDescent="0.2">
      <c r="A8" t="s">
        <v>142</v>
      </c>
      <c r="B8" s="67">
        <v>0.04</v>
      </c>
      <c r="C8" s="67">
        <v>0.18</v>
      </c>
      <c r="D8" s="67"/>
      <c r="E8" s="67">
        <v>0.88</v>
      </c>
      <c r="F8" s="67">
        <v>1.56</v>
      </c>
      <c r="G8" s="67">
        <v>0.84</v>
      </c>
      <c r="H8" s="67">
        <v>1.1000000000000001</v>
      </c>
      <c r="I8" s="67">
        <v>1.55</v>
      </c>
    </row>
    <row r="9" spans="1:9" x14ac:dyDescent="0.2">
      <c r="A9" t="s">
        <v>143</v>
      </c>
      <c r="B9" s="67">
        <v>0</v>
      </c>
      <c r="C9" s="67">
        <v>0.56000000000000005</v>
      </c>
      <c r="D9" s="67"/>
      <c r="E9" s="67">
        <v>0.21</v>
      </c>
      <c r="F9" s="67">
        <v>0.6</v>
      </c>
      <c r="G9" s="67">
        <v>1.07</v>
      </c>
      <c r="H9" s="67">
        <v>1.4</v>
      </c>
      <c r="I9" s="67">
        <v>2.06</v>
      </c>
    </row>
    <row r="10" spans="1:9" x14ac:dyDescent="0.2">
      <c r="A10" t="s">
        <v>144</v>
      </c>
      <c r="B10" s="67">
        <v>0</v>
      </c>
      <c r="C10" s="67">
        <v>0.52</v>
      </c>
      <c r="D10" s="67">
        <v>0.36</v>
      </c>
      <c r="E10" s="67">
        <v>0.24</v>
      </c>
      <c r="F10" s="67">
        <v>0.82</v>
      </c>
      <c r="G10" s="67">
        <v>0.94</v>
      </c>
      <c r="H10" s="67">
        <v>1.3</v>
      </c>
      <c r="I10" s="67">
        <v>1.95</v>
      </c>
    </row>
    <row r="11" spans="1:9" x14ac:dyDescent="0.2">
      <c r="A11" t="s">
        <v>145</v>
      </c>
      <c r="B11" s="67">
        <v>0.09</v>
      </c>
      <c r="C11" s="67">
        <v>0.21</v>
      </c>
      <c r="D11" s="67">
        <v>0.28999999999999998</v>
      </c>
      <c r="E11" s="67">
        <v>0.14000000000000001</v>
      </c>
      <c r="F11" s="67">
        <v>0.23</v>
      </c>
      <c r="G11" s="67">
        <v>0.67</v>
      </c>
      <c r="H11" s="67">
        <v>1.23</v>
      </c>
      <c r="I11" s="67">
        <v>1.83</v>
      </c>
    </row>
    <row r="12" spans="1:9" x14ac:dyDescent="0.2">
      <c r="A12" t="s">
        <v>146</v>
      </c>
      <c r="B12" s="67">
        <v>0.06</v>
      </c>
      <c r="C12" s="67">
        <v>0.35</v>
      </c>
      <c r="D12" s="67">
        <v>0.41</v>
      </c>
      <c r="E12" s="67">
        <v>1.18</v>
      </c>
      <c r="F12" s="67">
        <v>0.82</v>
      </c>
      <c r="G12" s="67">
        <v>1.01</v>
      </c>
      <c r="H12" s="67">
        <v>1.99</v>
      </c>
      <c r="I12" s="67">
        <v>2.3199999999999998</v>
      </c>
    </row>
    <row r="13" spans="1:9" x14ac:dyDescent="0.2">
      <c r="A13" t="s">
        <v>147</v>
      </c>
      <c r="B13" s="67">
        <v>0.08</v>
      </c>
      <c r="C13" s="67"/>
      <c r="D13" s="67">
        <v>0.35</v>
      </c>
      <c r="E13" s="67">
        <v>0.81</v>
      </c>
      <c r="F13" s="67">
        <v>1.04</v>
      </c>
      <c r="G13" s="67">
        <v>0.81</v>
      </c>
      <c r="H13" s="67">
        <v>1.46</v>
      </c>
      <c r="I13" s="67">
        <v>1.97</v>
      </c>
    </row>
    <row r="14" spans="1:9" x14ac:dyDescent="0.2">
      <c r="A14" t="s">
        <v>148</v>
      </c>
      <c r="B14" s="67">
        <v>0</v>
      </c>
      <c r="C14" s="67"/>
      <c r="D14" s="67">
        <v>0.48</v>
      </c>
      <c r="E14" s="67">
        <v>0.32</v>
      </c>
      <c r="F14" s="67">
        <v>0.57999999999999996</v>
      </c>
      <c r="G14" s="67">
        <v>0.89</v>
      </c>
      <c r="H14" s="67">
        <v>1.43</v>
      </c>
      <c r="I14" s="67">
        <v>1.61</v>
      </c>
    </row>
    <row r="15" spans="1:9" x14ac:dyDescent="0.2">
      <c r="A15" t="s">
        <v>149</v>
      </c>
      <c r="B15" s="67">
        <v>0.04</v>
      </c>
      <c r="C15" s="67"/>
      <c r="D15" s="67">
        <v>0</v>
      </c>
      <c r="E15" s="67">
        <v>7.0000000000000007E-2</v>
      </c>
      <c r="F15" s="67">
        <v>0.61</v>
      </c>
      <c r="G15" s="67">
        <v>0.8</v>
      </c>
      <c r="H15" s="67">
        <v>1.1100000000000001</v>
      </c>
      <c r="I15" s="67">
        <v>1.72</v>
      </c>
    </row>
    <row r="16" spans="1:9" x14ac:dyDescent="0.2">
      <c r="A16" t="s">
        <v>150</v>
      </c>
      <c r="B16" s="67">
        <v>0.09</v>
      </c>
      <c r="C16" s="67"/>
      <c r="D16" s="67">
        <v>0.51</v>
      </c>
      <c r="E16" s="67">
        <v>0.91</v>
      </c>
      <c r="F16" s="67">
        <v>1.71</v>
      </c>
      <c r="G16" s="67">
        <v>1.17</v>
      </c>
      <c r="H16" s="67">
        <v>2.0499999999999998</v>
      </c>
      <c r="I16" s="67">
        <v>2.2599999999999998</v>
      </c>
    </row>
    <row r="17" spans="1:9" x14ac:dyDescent="0.2">
      <c r="A17" t="s">
        <v>151</v>
      </c>
      <c r="B17" s="67">
        <v>0.03</v>
      </c>
      <c r="C17" s="67"/>
      <c r="D17" s="67">
        <v>0.69</v>
      </c>
      <c r="E17" s="67">
        <v>0.43</v>
      </c>
      <c r="F17" s="67">
        <v>0.9</v>
      </c>
      <c r="G17" s="67">
        <v>0.75</v>
      </c>
      <c r="H17" s="67">
        <v>0.85</v>
      </c>
      <c r="I17" s="67">
        <v>0.97</v>
      </c>
    </row>
    <row r="18" spans="1:9" x14ac:dyDescent="0.2">
      <c r="A18" t="s">
        <v>152</v>
      </c>
      <c r="B18" s="67">
        <v>0.11</v>
      </c>
      <c r="C18" s="67"/>
      <c r="D18" s="67">
        <v>0.56999999999999995</v>
      </c>
      <c r="E18" s="67">
        <v>0.15</v>
      </c>
      <c r="F18" s="67">
        <v>0.77</v>
      </c>
      <c r="G18" s="67">
        <v>0.84</v>
      </c>
      <c r="H18" s="67">
        <v>1.79</v>
      </c>
      <c r="I18" s="67">
        <v>2.0699999999999998</v>
      </c>
    </row>
    <row r="19" spans="1:9" x14ac:dyDescent="0.2">
      <c r="A19" t="s">
        <v>153</v>
      </c>
      <c r="B19" s="67">
        <v>0.15</v>
      </c>
      <c r="C19" s="67"/>
      <c r="D19" s="67">
        <v>0.35</v>
      </c>
      <c r="E19" s="67">
        <v>0.61</v>
      </c>
      <c r="F19" s="67">
        <v>0.66</v>
      </c>
      <c r="G19" s="67">
        <v>1.41</v>
      </c>
      <c r="H19" s="67">
        <v>1.89</v>
      </c>
      <c r="I19" s="67">
        <v>2.84</v>
      </c>
    </row>
    <row r="20" spans="1:9" x14ac:dyDescent="0.2">
      <c r="A20" t="s">
        <v>154</v>
      </c>
      <c r="B20" s="67">
        <v>0.05</v>
      </c>
      <c r="C20" s="67"/>
      <c r="D20" s="67">
        <v>0.33</v>
      </c>
      <c r="E20" s="67">
        <v>0.56999999999999995</v>
      </c>
      <c r="F20" s="67">
        <v>0.82</v>
      </c>
      <c r="G20" s="67">
        <v>1.02</v>
      </c>
      <c r="H20" s="67">
        <v>1.66</v>
      </c>
      <c r="I20" s="67">
        <v>2.4500000000000002</v>
      </c>
    </row>
    <row r="21" spans="1:9" x14ac:dyDescent="0.2">
      <c r="A21" t="s">
        <v>155</v>
      </c>
      <c r="B21" s="67">
        <v>0.03</v>
      </c>
      <c r="C21" s="67"/>
      <c r="D21" s="67">
        <v>0.74</v>
      </c>
      <c r="E21" s="67">
        <v>0.44</v>
      </c>
      <c r="F21" s="67">
        <v>0.52</v>
      </c>
      <c r="G21" s="67">
        <v>0.76</v>
      </c>
      <c r="H21" s="67">
        <v>0.98</v>
      </c>
      <c r="I21" s="67">
        <v>0.83</v>
      </c>
    </row>
    <row r="22" spans="1:9" x14ac:dyDescent="0.2">
      <c r="A22" t="s">
        <v>156</v>
      </c>
      <c r="B22" s="67">
        <v>0</v>
      </c>
      <c r="C22" s="67"/>
      <c r="D22" s="67">
        <v>0.1</v>
      </c>
      <c r="E22" s="67">
        <v>0.68</v>
      </c>
      <c r="F22" s="67">
        <v>0.42</v>
      </c>
      <c r="G22" s="67">
        <v>0.78</v>
      </c>
      <c r="H22" s="67">
        <v>1.27</v>
      </c>
      <c r="I22" s="67">
        <v>1.77</v>
      </c>
    </row>
    <row r="23" spans="1:9" x14ac:dyDescent="0.2">
      <c r="A23" t="s">
        <v>157</v>
      </c>
      <c r="B23" s="67">
        <v>0.08</v>
      </c>
      <c r="C23" s="67"/>
      <c r="D23" s="67">
        <v>0.19</v>
      </c>
      <c r="E23" s="67">
        <v>0.17</v>
      </c>
      <c r="F23" s="67">
        <v>0.5</v>
      </c>
      <c r="G23" s="67">
        <v>0.74</v>
      </c>
      <c r="H23" s="67">
        <v>1.17</v>
      </c>
      <c r="I23" s="67">
        <v>1.34</v>
      </c>
    </row>
    <row r="24" spans="1:9" x14ac:dyDescent="0.2">
      <c r="A24" t="s">
        <v>158</v>
      </c>
      <c r="B24" s="67">
        <v>0.06</v>
      </c>
      <c r="C24" s="67"/>
      <c r="D24" s="67">
        <v>0.52</v>
      </c>
      <c r="E24" s="67">
        <v>0.57999999999999996</v>
      </c>
      <c r="F24" s="67">
        <v>0.93</v>
      </c>
      <c r="G24" s="67">
        <v>1.1499999999999999</v>
      </c>
      <c r="H24" s="67">
        <v>1.3</v>
      </c>
      <c r="I24" s="67">
        <v>1.17</v>
      </c>
    </row>
    <row r="25" spans="1:9" x14ac:dyDescent="0.2">
      <c r="A25" t="s">
        <v>159</v>
      </c>
      <c r="B25" s="67">
        <v>0</v>
      </c>
      <c r="C25" s="67"/>
      <c r="D25" s="67">
        <v>0.39</v>
      </c>
      <c r="E25" s="67">
        <v>0.3</v>
      </c>
      <c r="F25" s="67">
        <v>0.47</v>
      </c>
      <c r="G25" s="67">
        <v>0.86</v>
      </c>
      <c r="H25" s="67">
        <v>1.45</v>
      </c>
      <c r="I25" s="67">
        <v>1.78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620D-AE24-4E9F-88B4-276ED3096B89}">
  <dimension ref="A1:B25"/>
  <sheetViews>
    <sheetView workbookViewId="0">
      <selection activeCell="A2" sqref="A2:A25"/>
    </sheetView>
  </sheetViews>
  <sheetFormatPr defaultRowHeight="12.75" x14ac:dyDescent="0.2"/>
  <sheetData>
    <row r="1" spans="1:2" x14ac:dyDescent="0.2">
      <c r="A1" t="s">
        <v>87</v>
      </c>
      <c r="B1" t="s">
        <v>254</v>
      </c>
    </row>
    <row r="2" spans="1:2" x14ac:dyDescent="0.2">
      <c r="A2" t="s">
        <v>136</v>
      </c>
      <c r="B2" s="208">
        <v>6.5616797900262469</v>
      </c>
    </row>
    <row r="3" spans="1:2" x14ac:dyDescent="0.2">
      <c r="A3" t="s">
        <v>137</v>
      </c>
      <c r="B3" s="208">
        <v>6.7804024496937885</v>
      </c>
    </row>
    <row r="4" spans="1:2" x14ac:dyDescent="0.2">
      <c r="A4" t="s">
        <v>138</v>
      </c>
      <c r="B4" s="208">
        <v>6.5616797900262469</v>
      </c>
    </row>
    <row r="5" spans="1:2" x14ac:dyDescent="0.2">
      <c r="A5" t="s">
        <v>139</v>
      </c>
      <c r="B5" s="208">
        <v>7.2178477690288716</v>
      </c>
    </row>
    <row r="6" spans="1:2" x14ac:dyDescent="0.2">
      <c r="A6" t="s">
        <v>140</v>
      </c>
      <c r="B6" s="208">
        <v>7.8740157480314963</v>
      </c>
    </row>
    <row r="7" spans="1:2" x14ac:dyDescent="0.2">
      <c r="A7" t="s">
        <v>141</v>
      </c>
      <c r="B7" s="208">
        <v>6.1242344706911638</v>
      </c>
    </row>
    <row r="8" spans="1:2" x14ac:dyDescent="0.2">
      <c r="A8" t="s">
        <v>142</v>
      </c>
      <c r="B8" s="208">
        <v>8.530183727034121</v>
      </c>
    </row>
    <row r="9" spans="1:2" x14ac:dyDescent="0.2">
      <c r="A9" t="s">
        <v>143</v>
      </c>
      <c r="B9" s="208">
        <v>7.4365704286964132</v>
      </c>
    </row>
    <row r="10" spans="1:2" x14ac:dyDescent="0.2">
      <c r="A10" t="s">
        <v>144</v>
      </c>
      <c r="B10" s="208">
        <v>8.530183727034121</v>
      </c>
    </row>
    <row r="11" spans="1:2" x14ac:dyDescent="0.2">
      <c r="A11" t="s">
        <v>145</v>
      </c>
      <c r="B11" s="208">
        <v>7.6552930883639547</v>
      </c>
    </row>
    <row r="12" spans="1:2" x14ac:dyDescent="0.2">
      <c r="A12" t="s">
        <v>146</v>
      </c>
      <c r="B12" s="208">
        <v>7.6552930883639547</v>
      </c>
    </row>
    <row r="13" spans="1:2" x14ac:dyDescent="0.2">
      <c r="A13" t="s">
        <v>147</v>
      </c>
      <c r="B13" s="208">
        <v>7.2178477690288716</v>
      </c>
    </row>
    <row r="14" spans="1:2" x14ac:dyDescent="0.2">
      <c r="A14" t="s">
        <v>148</v>
      </c>
      <c r="B14" s="208">
        <v>7.4365704286964132</v>
      </c>
    </row>
    <row r="15" spans="1:2" x14ac:dyDescent="0.2">
      <c r="A15" t="s">
        <v>149</v>
      </c>
      <c r="B15" s="208">
        <v>6.99912510936133</v>
      </c>
    </row>
    <row r="16" spans="1:2" x14ac:dyDescent="0.2">
      <c r="A16" t="s">
        <v>150</v>
      </c>
      <c r="B16" s="208">
        <v>5.4680664916885391</v>
      </c>
    </row>
    <row r="17" spans="1:2" x14ac:dyDescent="0.2">
      <c r="A17" t="s">
        <v>151</v>
      </c>
      <c r="B17" s="208">
        <v>5.6867891513560807</v>
      </c>
    </row>
    <row r="18" spans="1:2" x14ac:dyDescent="0.2">
      <c r="A18" t="s">
        <v>152</v>
      </c>
      <c r="B18" s="208">
        <v>4.1557305336832897</v>
      </c>
    </row>
    <row r="19" spans="1:2" x14ac:dyDescent="0.2">
      <c r="A19" t="s">
        <v>153</v>
      </c>
      <c r="B19" s="208">
        <v>7.2178477690288716</v>
      </c>
    </row>
    <row r="20" spans="1:2" x14ac:dyDescent="0.2">
      <c r="A20" t="s">
        <v>154</v>
      </c>
      <c r="B20" s="208">
        <v>6.99912510936133</v>
      </c>
    </row>
    <row r="21" spans="1:2" x14ac:dyDescent="0.2">
      <c r="A21" t="s">
        <v>155</v>
      </c>
      <c r="B21" s="208">
        <v>5.9055118110236222</v>
      </c>
    </row>
    <row r="22" spans="1:2" x14ac:dyDescent="0.2">
      <c r="A22" t="s">
        <v>156</v>
      </c>
      <c r="B22" s="208">
        <v>7.8740157480314963</v>
      </c>
    </row>
    <row r="23" spans="1:2" x14ac:dyDescent="0.2">
      <c r="A23" t="s">
        <v>157</v>
      </c>
      <c r="B23" s="208">
        <v>5.6867891513560807</v>
      </c>
    </row>
    <row r="24" spans="1:2" x14ac:dyDescent="0.2">
      <c r="A24" t="s">
        <v>158</v>
      </c>
      <c r="B24" s="208">
        <v>5.6867891513560807</v>
      </c>
    </row>
    <row r="25" spans="1:2" x14ac:dyDescent="0.2">
      <c r="A25" t="s">
        <v>159</v>
      </c>
      <c r="B25" s="208">
        <v>7.4365704286964132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4298-0ADF-4E7A-A80B-949D02860762}">
  <dimension ref="A1:S144"/>
  <sheetViews>
    <sheetView tabSelected="1" workbookViewId="0"/>
  </sheetViews>
  <sheetFormatPr defaultRowHeight="12.75" x14ac:dyDescent="0.2"/>
  <cols>
    <col min="2" max="2" width="10.42578125" bestFit="1" customWidth="1"/>
    <col min="3" max="3" width="10.42578125" customWidth="1"/>
    <col min="5" max="6" width="10.42578125" bestFit="1" customWidth="1"/>
    <col min="7" max="7" width="10.42578125" customWidth="1"/>
  </cols>
  <sheetData>
    <row r="1" spans="1:19" x14ac:dyDescent="0.2">
      <c r="A1" t="s">
        <v>87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289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  <c r="R1" t="s">
        <v>287</v>
      </c>
      <c r="S1" t="s">
        <v>288</v>
      </c>
    </row>
    <row r="2" spans="1:19" x14ac:dyDescent="0.2">
      <c r="A2" t="s">
        <v>88</v>
      </c>
      <c r="F2" s="210"/>
      <c r="G2" s="210"/>
    </row>
    <row r="3" spans="1:19" x14ac:dyDescent="0.2">
      <c r="A3" t="s">
        <v>136</v>
      </c>
      <c r="F3" s="210"/>
      <c r="G3" s="210"/>
      <c r="H3" s="208">
        <v>7</v>
      </c>
      <c r="I3" s="208">
        <v>8</v>
      </c>
      <c r="J3" s="208">
        <v>7.166666666666667</v>
      </c>
      <c r="K3" s="208">
        <v>5.666666666666667</v>
      </c>
      <c r="L3" s="208">
        <v>4.333333333333333</v>
      </c>
      <c r="M3" s="208">
        <v>3</v>
      </c>
      <c r="N3" s="208">
        <v>2.1666666666666665</v>
      </c>
      <c r="O3" s="208">
        <v>1.8333333333333333</v>
      </c>
      <c r="P3" s="208">
        <v>1.1666666666666667</v>
      </c>
      <c r="Q3" s="208">
        <v>1</v>
      </c>
      <c r="R3" s="208">
        <v>0.66666666666666663</v>
      </c>
      <c r="S3" s="208"/>
    </row>
    <row r="4" spans="1:19" x14ac:dyDescent="0.2">
      <c r="A4" t="s">
        <v>89</v>
      </c>
      <c r="F4" s="210"/>
      <c r="G4" s="210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</row>
    <row r="5" spans="1:19" x14ac:dyDescent="0.2">
      <c r="A5" t="s">
        <v>215</v>
      </c>
      <c r="B5" s="210">
        <v>43580</v>
      </c>
      <c r="C5" s="209">
        <v>2019</v>
      </c>
      <c r="D5" s="209">
        <v>115.4</v>
      </c>
      <c r="E5" s="210">
        <v>43590</v>
      </c>
      <c r="F5" s="210"/>
      <c r="G5" s="210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</row>
    <row r="6" spans="1:19" x14ac:dyDescent="0.2">
      <c r="A6" t="s">
        <v>90</v>
      </c>
      <c r="B6" s="210"/>
      <c r="C6" s="209"/>
      <c r="D6" s="209"/>
      <c r="E6" s="210"/>
      <c r="F6" s="210">
        <v>45837</v>
      </c>
      <c r="G6" s="209">
        <v>180.33333333333334</v>
      </c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</row>
    <row r="7" spans="1:19" x14ac:dyDescent="0.2">
      <c r="A7" t="s">
        <v>137</v>
      </c>
      <c r="B7" s="210"/>
      <c r="C7" s="209"/>
      <c r="D7" s="209"/>
      <c r="E7" s="210"/>
      <c r="F7" s="210"/>
      <c r="G7" s="209"/>
      <c r="H7" s="208">
        <v>7.6</v>
      </c>
      <c r="I7" s="208">
        <v>7.5</v>
      </c>
      <c r="J7" s="208">
        <v>5</v>
      </c>
      <c r="K7" s="208">
        <v>4.333333333333333</v>
      </c>
      <c r="L7" s="208">
        <v>3.5</v>
      </c>
      <c r="M7" s="208">
        <v>2.5</v>
      </c>
      <c r="N7" s="208">
        <v>1.3333333333333333</v>
      </c>
      <c r="O7" s="208">
        <v>2.6666666666666665</v>
      </c>
      <c r="P7" s="208">
        <v>2</v>
      </c>
      <c r="Q7" s="208">
        <v>1.3333333333333333</v>
      </c>
      <c r="R7" s="208">
        <v>1.25</v>
      </c>
      <c r="S7" s="208">
        <v>1.6666666666666667</v>
      </c>
    </row>
    <row r="8" spans="1:19" x14ac:dyDescent="0.2">
      <c r="A8" t="s">
        <v>91</v>
      </c>
      <c r="B8" s="210"/>
      <c r="C8" s="209"/>
      <c r="D8" s="209"/>
      <c r="E8" s="210"/>
      <c r="F8" s="210">
        <v>43647</v>
      </c>
      <c r="G8" s="209">
        <v>182</v>
      </c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</row>
    <row r="9" spans="1:19" x14ac:dyDescent="0.2">
      <c r="A9" t="s">
        <v>213</v>
      </c>
      <c r="B9" s="210">
        <v>43580</v>
      </c>
      <c r="C9" s="209">
        <v>2019</v>
      </c>
      <c r="D9" s="209">
        <v>115.25</v>
      </c>
      <c r="E9" s="210">
        <v>43591</v>
      </c>
      <c r="F9" s="210"/>
      <c r="G9" s="209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</row>
    <row r="10" spans="1:19" x14ac:dyDescent="0.2">
      <c r="A10" t="s">
        <v>92</v>
      </c>
      <c r="B10" s="210"/>
      <c r="C10" s="209"/>
      <c r="D10" s="209"/>
      <c r="E10" s="210"/>
      <c r="F10" s="210">
        <v>45837</v>
      </c>
      <c r="G10" s="209">
        <v>180.33333333333334</v>
      </c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</row>
    <row r="11" spans="1:19" x14ac:dyDescent="0.2">
      <c r="A11" t="s">
        <v>138</v>
      </c>
      <c r="B11" s="210"/>
      <c r="C11" s="209"/>
      <c r="D11" s="209"/>
      <c r="E11" s="210"/>
      <c r="F11" s="210"/>
      <c r="G11" s="209"/>
      <c r="H11" s="208">
        <v>7</v>
      </c>
      <c r="I11" s="208">
        <v>6.166666666666667</v>
      </c>
      <c r="J11" s="208">
        <v>5</v>
      </c>
      <c r="K11" s="208">
        <v>4.166666666666667</v>
      </c>
      <c r="L11" s="208">
        <v>3.1666666666666665</v>
      </c>
      <c r="M11" s="208">
        <v>2.5</v>
      </c>
      <c r="N11" s="208">
        <v>1.5</v>
      </c>
      <c r="O11" s="208">
        <v>1.1666666666666667</v>
      </c>
      <c r="P11" s="208">
        <v>1</v>
      </c>
      <c r="Q11" s="208">
        <v>0.5</v>
      </c>
      <c r="R11" s="208">
        <v>0.75</v>
      </c>
      <c r="S11" s="208">
        <v>0.5</v>
      </c>
    </row>
    <row r="12" spans="1:19" x14ac:dyDescent="0.2">
      <c r="A12" t="s">
        <v>93</v>
      </c>
      <c r="B12" s="210"/>
      <c r="C12" s="209"/>
      <c r="D12" s="209"/>
      <c r="E12" s="210"/>
      <c r="F12" s="210">
        <v>43646</v>
      </c>
      <c r="G12" s="209">
        <v>181</v>
      </c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</row>
    <row r="13" spans="1:19" x14ac:dyDescent="0.2">
      <c r="A13" t="s">
        <v>211</v>
      </c>
      <c r="B13" s="210">
        <v>43579</v>
      </c>
      <c r="C13" s="209">
        <v>2019</v>
      </c>
      <c r="D13" s="209">
        <v>114.33333333333333</v>
      </c>
      <c r="E13" s="210">
        <v>43590</v>
      </c>
      <c r="F13" s="210"/>
      <c r="G13" s="209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</row>
    <row r="14" spans="1:19" x14ac:dyDescent="0.2">
      <c r="A14" t="s">
        <v>94</v>
      </c>
      <c r="B14" s="210"/>
      <c r="C14" s="209"/>
      <c r="D14" s="209"/>
      <c r="E14" s="210"/>
      <c r="F14" s="210">
        <v>43646</v>
      </c>
      <c r="G14" s="209">
        <v>181</v>
      </c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</row>
    <row r="15" spans="1:19" x14ac:dyDescent="0.2">
      <c r="A15" t="s">
        <v>139</v>
      </c>
      <c r="B15" s="210"/>
      <c r="C15" s="209"/>
      <c r="D15" s="209"/>
      <c r="E15" s="210"/>
      <c r="F15" s="210"/>
      <c r="G15" s="209"/>
      <c r="H15" s="208"/>
      <c r="I15" s="208">
        <v>7.333333333333333</v>
      </c>
      <c r="J15" s="208">
        <v>6</v>
      </c>
      <c r="K15" s="208">
        <v>5.166666666666667</v>
      </c>
      <c r="L15" s="208">
        <v>4.166666666666667</v>
      </c>
      <c r="M15" s="208">
        <v>2.5</v>
      </c>
      <c r="N15" s="208">
        <v>1.8333333333333333</v>
      </c>
      <c r="O15" s="208">
        <v>1.6666666666666667</v>
      </c>
      <c r="P15" s="208">
        <v>1</v>
      </c>
      <c r="Q15" s="208">
        <v>0.66666666666666663</v>
      </c>
      <c r="R15" s="208">
        <v>0.25</v>
      </c>
      <c r="S15" s="208">
        <v>1</v>
      </c>
    </row>
    <row r="16" spans="1:19" x14ac:dyDescent="0.2">
      <c r="A16" t="s">
        <v>95</v>
      </c>
      <c r="B16" s="210"/>
      <c r="C16" s="209"/>
      <c r="D16" s="209"/>
      <c r="E16" s="210"/>
      <c r="F16" s="210">
        <v>45837</v>
      </c>
      <c r="G16" s="209">
        <v>180</v>
      </c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</row>
    <row r="17" spans="1:19" x14ac:dyDescent="0.2">
      <c r="A17" t="s">
        <v>209</v>
      </c>
      <c r="B17" s="210">
        <v>43580</v>
      </c>
      <c r="C17" s="209">
        <v>2019</v>
      </c>
      <c r="D17" s="209">
        <v>114.75</v>
      </c>
      <c r="E17" s="210">
        <v>43591</v>
      </c>
      <c r="F17" s="210"/>
      <c r="G17" s="209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</row>
    <row r="18" spans="1:19" x14ac:dyDescent="0.2">
      <c r="A18" t="s">
        <v>96</v>
      </c>
      <c r="B18" s="210"/>
      <c r="C18" s="209"/>
      <c r="D18" s="209"/>
      <c r="E18" s="210"/>
      <c r="F18" s="210">
        <v>43646</v>
      </c>
      <c r="G18" s="209">
        <v>180.75</v>
      </c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</row>
    <row r="19" spans="1:19" x14ac:dyDescent="0.2">
      <c r="A19" t="s">
        <v>140</v>
      </c>
      <c r="B19" s="210"/>
      <c r="C19" s="209"/>
      <c r="D19" s="209"/>
      <c r="E19" s="210"/>
      <c r="F19" s="210"/>
      <c r="G19" s="209"/>
      <c r="H19" s="208">
        <v>8</v>
      </c>
      <c r="I19" s="208">
        <v>8</v>
      </c>
      <c r="J19" s="208">
        <v>5.833333333333333</v>
      </c>
      <c r="K19" s="208">
        <v>4.833333333333333</v>
      </c>
      <c r="L19" s="208">
        <v>3.3333333333333335</v>
      </c>
      <c r="M19" s="208">
        <v>2.8333333333333335</v>
      </c>
      <c r="N19" s="208">
        <v>2.5</v>
      </c>
      <c r="O19" s="208">
        <v>2</v>
      </c>
      <c r="P19" s="208">
        <v>1</v>
      </c>
      <c r="Q19" s="208">
        <v>0.83333333333333337</v>
      </c>
      <c r="R19" s="208">
        <v>0.33333333333333331</v>
      </c>
      <c r="S19" s="208">
        <v>2</v>
      </c>
    </row>
    <row r="20" spans="1:19" x14ac:dyDescent="0.2">
      <c r="A20" t="s">
        <v>97</v>
      </c>
      <c r="B20" s="210"/>
      <c r="C20" s="209"/>
      <c r="D20" s="209"/>
      <c r="E20" s="210"/>
      <c r="F20" s="210">
        <v>43647</v>
      </c>
      <c r="G20" s="209">
        <v>182</v>
      </c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</row>
    <row r="21" spans="1:19" x14ac:dyDescent="0.2">
      <c r="A21" t="s">
        <v>201</v>
      </c>
      <c r="B21" s="210">
        <v>43580</v>
      </c>
      <c r="C21" s="209">
        <v>2019</v>
      </c>
      <c r="D21" s="209">
        <v>114.5</v>
      </c>
      <c r="E21" s="210">
        <v>43591</v>
      </c>
      <c r="F21" s="210"/>
      <c r="G21" s="209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</row>
    <row r="22" spans="1:19" x14ac:dyDescent="0.2">
      <c r="A22" t="s">
        <v>98</v>
      </c>
      <c r="B22" s="210"/>
      <c r="C22" s="209"/>
      <c r="D22" s="209"/>
      <c r="E22" s="210"/>
      <c r="F22" s="210">
        <v>43644</v>
      </c>
      <c r="G22" s="209">
        <v>178.66666666666666</v>
      </c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</row>
    <row r="23" spans="1:19" x14ac:dyDescent="0.2">
      <c r="A23" t="s">
        <v>141</v>
      </c>
      <c r="B23" s="210"/>
      <c r="C23" s="209"/>
      <c r="D23" s="209"/>
      <c r="E23" s="210"/>
      <c r="F23" s="210"/>
      <c r="G23" s="209"/>
      <c r="H23" s="208">
        <v>8.5</v>
      </c>
      <c r="I23" s="208">
        <v>8.5</v>
      </c>
      <c r="J23" s="208">
        <v>6.166666666666667</v>
      </c>
      <c r="K23" s="208">
        <v>5.333333333333333</v>
      </c>
      <c r="L23" s="208">
        <v>3.8333333333333335</v>
      </c>
      <c r="M23" s="208">
        <v>3.1666666666666665</v>
      </c>
      <c r="N23" s="208">
        <v>2.1666666666666665</v>
      </c>
      <c r="O23" s="208">
        <v>1.8333333333333333</v>
      </c>
      <c r="P23" s="208">
        <v>0.83333333333333337</v>
      </c>
      <c r="Q23" s="208">
        <v>0.5</v>
      </c>
      <c r="R23" s="208">
        <v>0.33333333333333331</v>
      </c>
      <c r="S23" s="208"/>
    </row>
    <row r="24" spans="1:19" x14ac:dyDescent="0.2">
      <c r="A24" t="s">
        <v>99</v>
      </c>
      <c r="B24" s="210"/>
      <c r="C24" s="209"/>
      <c r="D24" s="209"/>
      <c r="E24" s="210"/>
      <c r="F24" s="210">
        <v>43644</v>
      </c>
      <c r="G24" s="209">
        <v>178.66666666666666</v>
      </c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</row>
    <row r="25" spans="1:19" x14ac:dyDescent="0.2">
      <c r="A25" t="s">
        <v>203</v>
      </c>
      <c r="B25" s="210">
        <v>43580</v>
      </c>
      <c r="C25" s="209">
        <v>2019</v>
      </c>
      <c r="D25" s="209">
        <v>115.375</v>
      </c>
      <c r="E25" s="210">
        <v>43591</v>
      </c>
      <c r="F25" s="210"/>
      <c r="G25" s="209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</row>
    <row r="26" spans="1:19" x14ac:dyDescent="0.2">
      <c r="A26" t="s">
        <v>100</v>
      </c>
      <c r="B26" s="210"/>
      <c r="C26" s="209"/>
      <c r="D26" s="209"/>
      <c r="E26" s="210"/>
      <c r="F26" s="210">
        <v>45837</v>
      </c>
      <c r="G26" s="209">
        <v>179.5</v>
      </c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</row>
    <row r="27" spans="1:19" x14ac:dyDescent="0.2">
      <c r="A27" t="s">
        <v>142</v>
      </c>
      <c r="B27" s="210"/>
      <c r="C27" s="209"/>
      <c r="D27" s="209"/>
      <c r="E27" s="210"/>
      <c r="F27" s="210"/>
      <c r="G27" s="209"/>
      <c r="H27" s="208">
        <v>8.75</v>
      </c>
      <c r="I27" s="208">
        <v>7.5</v>
      </c>
      <c r="J27" s="208">
        <v>5.833333333333333</v>
      </c>
      <c r="K27" s="208">
        <v>4.333333333333333</v>
      </c>
      <c r="L27" s="208">
        <v>3.1666666666666665</v>
      </c>
      <c r="M27" s="208">
        <v>2</v>
      </c>
      <c r="N27" s="208">
        <v>0.83333333333333337</v>
      </c>
      <c r="O27" s="208">
        <v>1.5</v>
      </c>
      <c r="P27" s="208">
        <v>1</v>
      </c>
      <c r="Q27" s="208">
        <v>0.6</v>
      </c>
      <c r="R27" s="208">
        <v>0.33333333333333331</v>
      </c>
      <c r="S27" s="208">
        <v>1</v>
      </c>
    </row>
    <row r="28" spans="1:19" x14ac:dyDescent="0.2">
      <c r="A28" t="s">
        <v>101</v>
      </c>
      <c r="B28" s="210"/>
      <c r="C28" s="209"/>
      <c r="D28" s="209"/>
      <c r="E28" s="210"/>
      <c r="F28" s="210">
        <v>45837</v>
      </c>
      <c r="G28" s="209">
        <v>179.5</v>
      </c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</row>
    <row r="29" spans="1:19" x14ac:dyDescent="0.2">
      <c r="A29" t="s">
        <v>205</v>
      </c>
      <c r="B29" s="210">
        <v>43580</v>
      </c>
      <c r="C29" s="209">
        <v>2019</v>
      </c>
      <c r="D29" s="209">
        <v>114.83333333333333</v>
      </c>
      <c r="E29" s="210">
        <v>43594</v>
      </c>
      <c r="F29" s="210"/>
      <c r="G29" s="209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</row>
    <row r="30" spans="1:19" x14ac:dyDescent="0.2">
      <c r="A30" t="s">
        <v>102</v>
      </c>
      <c r="B30" s="210"/>
      <c r="C30" s="209"/>
      <c r="D30" s="209"/>
      <c r="E30" s="210"/>
      <c r="F30" s="210">
        <v>43643</v>
      </c>
      <c r="G30" s="209">
        <v>178.25</v>
      </c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</row>
    <row r="31" spans="1:19" x14ac:dyDescent="0.2">
      <c r="A31" t="s">
        <v>143</v>
      </c>
      <c r="B31" s="210"/>
      <c r="C31" s="209"/>
      <c r="D31" s="209"/>
      <c r="E31" s="210"/>
      <c r="F31" s="210"/>
      <c r="G31" s="209"/>
      <c r="H31" s="208">
        <v>8.25</v>
      </c>
      <c r="I31" s="208">
        <v>8</v>
      </c>
      <c r="J31" s="208">
        <v>6.5</v>
      </c>
      <c r="K31" s="208">
        <v>5.333333333333333</v>
      </c>
      <c r="L31" s="208">
        <v>2.6666666666666665</v>
      </c>
      <c r="M31" s="208">
        <v>1.8333333333333333</v>
      </c>
      <c r="N31" s="208">
        <v>0.83333333333333337</v>
      </c>
      <c r="O31" s="208">
        <v>2.5</v>
      </c>
      <c r="P31" s="208">
        <v>2</v>
      </c>
      <c r="Q31" s="208">
        <v>1.3333333333333333</v>
      </c>
      <c r="R31" s="208">
        <v>0.66666666666666663</v>
      </c>
      <c r="S31" s="208">
        <v>1.5</v>
      </c>
    </row>
    <row r="32" spans="1:19" x14ac:dyDescent="0.2">
      <c r="A32" t="s">
        <v>103</v>
      </c>
      <c r="B32" s="210"/>
      <c r="C32" s="209"/>
      <c r="D32" s="209"/>
      <c r="E32" s="210"/>
      <c r="F32" s="210">
        <v>45837</v>
      </c>
      <c r="G32" s="209">
        <v>180</v>
      </c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</row>
    <row r="33" spans="1:19" x14ac:dyDescent="0.2">
      <c r="A33" t="s">
        <v>207</v>
      </c>
      <c r="B33" s="210">
        <v>43580</v>
      </c>
      <c r="C33" s="209">
        <v>2019</v>
      </c>
      <c r="D33" s="209">
        <v>115.2</v>
      </c>
      <c r="E33" s="210">
        <v>43591</v>
      </c>
      <c r="F33" s="210"/>
      <c r="G33" s="209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</row>
    <row r="34" spans="1:19" x14ac:dyDescent="0.2">
      <c r="A34" t="s">
        <v>104</v>
      </c>
      <c r="B34" s="210"/>
      <c r="C34" s="209"/>
      <c r="D34" s="209"/>
      <c r="E34" s="210"/>
      <c r="F34" s="210">
        <v>45837</v>
      </c>
      <c r="G34" s="209">
        <v>180.33333333333334</v>
      </c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</row>
    <row r="35" spans="1:19" x14ac:dyDescent="0.2">
      <c r="A35" t="s">
        <v>144</v>
      </c>
      <c r="B35" s="210"/>
      <c r="C35" s="209"/>
      <c r="D35" s="209"/>
      <c r="E35" s="210"/>
      <c r="F35" s="210"/>
      <c r="G35" s="209"/>
      <c r="H35" s="208"/>
      <c r="I35" s="208">
        <v>7.833333333333333</v>
      </c>
      <c r="J35" s="208">
        <v>7.5</v>
      </c>
      <c r="K35" s="208">
        <v>5.666666666666667</v>
      </c>
      <c r="L35" s="208">
        <v>5</v>
      </c>
      <c r="M35" s="208">
        <v>3.5</v>
      </c>
      <c r="N35" s="208">
        <v>2.6666666666666665</v>
      </c>
      <c r="O35" s="208">
        <v>2.8333333333333335</v>
      </c>
      <c r="P35" s="208">
        <v>2</v>
      </c>
      <c r="Q35" s="208">
        <v>1.3333333333333333</v>
      </c>
      <c r="R35" s="208">
        <v>0.83333333333333337</v>
      </c>
      <c r="S35" s="208"/>
    </row>
    <row r="36" spans="1:19" x14ac:dyDescent="0.2">
      <c r="A36" t="s">
        <v>105</v>
      </c>
      <c r="B36" s="210"/>
      <c r="C36" s="209"/>
      <c r="D36" s="209"/>
      <c r="E36" s="210"/>
      <c r="F36" s="210">
        <v>43646</v>
      </c>
      <c r="G36" s="209">
        <v>180.75</v>
      </c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</row>
    <row r="37" spans="1:19" x14ac:dyDescent="0.2">
      <c r="A37" t="s">
        <v>199</v>
      </c>
      <c r="B37" s="210">
        <v>43580</v>
      </c>
      <c r="C37" s="209">
        <v>2019</v>
      </c>
      <c r="D37" s="209">
        <v>115.375</v>
      </c>
      <c r="E37" s="210">
        <v>43591</v>
      </c>
      <c r="F37" s="210"/>
      <c r="G37" s="209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</row>
    <row r="38" spans="1:19" x14ac:dyDescent="0.2">
      <c r="A38" t="s">
        <v>106</v>
      </c>
      <c r="B38" s="210"/>
      <c r="C38" s="209"/>
      <c r="D38" s="209"/>
      <c r="E38" s="210"/>
      <c r="F38" s="210">
        <v>43647</v>
      </c>
      <c r="G38" s="209">
        <v>182</v>
      </c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</row>
    <row r="39" spans="1:19" x14ac:dyDescent="0.2">
      <c r="A39" t="s">
        <v>145</v>
      </c>
      <c r="B39" s="210"/>
      <c r="C39" s="209"/>
      <c r="D39" s="209"/>
      <c r="E39" s="210"/>
      <c r="F39" s="210"/>
      <c r="G39" s="209"/>
      <c r="H39" s="208">
        <v>8.5</v>
      </c>
      <c r="I39" s="208">
        <v>7.5</v>
      </c>
      <c r="J39" s="208">
        <v>7.166666666666667</v>
      </c>
      <c r="K39" s="208">
        <v>4.833333333333333</v>
      </c>
      <c r="L39" s="208">
        <v>5</v>
      </c>
      <c r="M39" s="208">
        <v>3.5</v>
      </c>
      <c r="N39" s="208">
        <v>2.5</v>
      </c>
      <c r="O39" s="208">
        <v>2.5</v>
      </c>
      <c r="P39" s="208">
        <v>1.8333333333333333</v>
      </c>
      <c r="Q39" s="208">
        <v>1.3333333333333333</v>
      </c>
      <c r="R39" s="208">
        <v>0.83333333333333337</v>
      </c>
      <c r="S39" s="208"/>
    </row>
    <row r="40" spans="1:19" x14ac:dyDescent="0.2">
      <c r="A40" t="s">
        <v>107</v>
      </c>
      <c r="B40" s="210"/>
      <c r="C40" s="209"/>
      <c r="D40" s="209"/>
      <c r="E40" s="210"/>
      <c r="F40" s="210">
        <v>43646</v>
      </c>
      <c r="G40" s="209">
        <v>181.16666666666666</v>
      </c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</row>
    <row r="41" spans="1:19" x14ac:dyDescent="0.2">
      <c r="A41" t="s">
        <v>197</v>
      </c>
      <c r="B41" s="210">
        <v>43581</v>
      </c>
      <c r="C41" s="209">
        <v>2019</v>
      </c>
      <c r="D41" s="209">
        <v>115.83333333333333</v>
      </c>
      <c r="E41" s="210">
        <v>43592</v>
      </c>
      <c r="F41" s="210"/>
      <c r="G41" s="209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</row>
    <row r="42" spans="1:19" x14ac:dyDescent="0.2">
      <c r="A42" t="s">
        <v>108</v>
      </c>
      <c r="B42" s="210"/>
      <c r="C42" s="209"/>
      <c r="D42" s="209"/>
      <c r="E42" s="210"/>
      <c r="F42" s="210">
        <v>45837</v>
      </c>
      <c r="G42" s="209">
        <v>180</v>
      </c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</row>
    <row r="43" spans="1:19" x14ac:dyDescent="0.2">
      <c r="A43" t="s">
        <v>146</v>
      </c>
      <c r="B43" s="210"/>
      <c r="C43" s="209"/>
      <c r="D43" s="209"/>
      <c r="E43" s="210"/>
      <c r="F43" s="210"/>
      <c r="G43" s="209"/>
      <c r="H43" s="208">
        <v>6.833333333333333</v>
      </c>
      <c r="I43" s="208">
        <v>7</v>
      </c>
      <c r="J43" s="208">
        <v>6</v>
      </c>
      <c r="K43" s="208">
        <v>5</v>
      </c>
      <c r="L43" s="208">
        <v>3.1666666666666665</v>
      </c>
      <c r="M43" s="208">
        <v>2.1666666666666665</v>
      </c>
      <c r="N43" s="208">
        <v>1</v>
      </c>
      <c r="O43" s="208">
        <v>1.8333333333333333</v>
      </c>
      <c r="P43" s="208">
        <v>1.1666666666666667</v>
      </c>
      <c r="Q43" s="208">
        <v>1</v>
      </c>
      <c r="R43" s="208">
        <v>0.5</v>
      </c>
      <c r="S43" s="208">
        <v>1</v>
      </c>
    </row>
    <row r="44" spans="1:19" x14ac:dyDescent="0.2">
      <c r="A44" t="s">
        <v>109</v>
      </c>
      <c r="B44" s="210"/>
      <c r="C44" s="209"/>
      <c r="D44" s="209"/>
      <c r="E44" s="210"/>
      <c r="F44" s="210">
        <v>43643</v>
      </c>
      <c r="G44" s="209">
        <v>178.25</v>
      </c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</row>
    <row r="45" spans="1:19" x14ac:dyDescent="0.2">
      <c r="A45" t="s">
        <v>195</v>
      </c>
      <c r="B45" s="210">
        <v>43580</v>
      </c>
      <c r="C45" s="209">
        <v>2019</v>
      </c>
      <c r="D45" s="209">
        <v>115</v>
      </c>
      <c r="E45" s="210">
        <v>43591</v>
      </c>
      <c r="F45" s="210"/>
      <c r="G45" s="209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</row>
    <row r="46" spans="1:19" x14ac:dyDescent="0.2">
      <c r="A46" t="s">
        <v>110</v>
      </c>
      <c r="B46" s="210"/>
      <c r="C46" s="209"/>
      <c r="D46" s="209"/>
      <c r="E46" s="210"/>
      <c r="F46" s="210">
        <v>43644</v>
      </c>
      <c r="G46" s="209">
        <v>179.14285714285714</v>
      </c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</row>
    <row r="47" spans="1:19" x14ac:dyDescent="0.2">
      <c r="A47" t="s">
        <v>147</v>
      </c>
      <c r="B47" s="210"/>
      <c r="C47" s="209"/>
      <c r="D47" s="209"/>
      <c r="E47" s="210"/>
      <c r="F47" s="210"/>
      <c r="G47" s="209"/>
      <c r="H47" s="208">
        <v>8.4</v>
      </c>
      <c r="I47" s="208">
        <v>7.833333333333333</v>
      </c>
      <c r="J47" s="208">
        <v>6.5</v>
      </c>
      <c r="K47" s="208">
        <v>4.666666666666667</v>
      </c>
      <c r="L47" s="208">
        <v>2.8333333333333335</v>
      </c>
      <c r="M47" s="208">
        <v>2.1666666666666665</v>
      </c>
      <c r="N47" s="208">
        <v>1.3333333333333333</v>
      </c>
      <c r="O47" s="208">
        <v>2.1666666666666665</v>
      </c>
      <c r="P47" s="208">
        <v>1.1666666666666667</v>
      </c>
      <c r="Q47" s="208">
        <v>0.5</v>
      </c>
      <c r="R47" s="208">
        <v>1</v>
      </c>
      <c r="S47" s="208"/>
    </row>
    <row r="48" spans="1:19" x14ac:dyDescent="0.2">
      <c r="A48" t="s">
        <v>111</v>
      </c>
      <c r="B48" s="210"/>
      <c r="C48" s="209"/>
      <c r="D48" s="209"/>
      <c r="E48" s="210"/>
      <c r="F48" s="210">
        <v>45837</v>
      </c>
      <c r="G48" s="209">
        <v>180</v>
      </c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</row>
    <row r="49" spans="1:19" x14ac:dyDescent="0.2">
      <c r="A49" t="s">
        <v>193</v>
      </c>
      <c r="B49" s="210">
        <v>43580</v>
      </c>
      <c r="C49" s="209">
        <v>2019</v>
      </c>
      <c r="D49" s="209">
        <v>114.78571428571429</v>
      </c>
      <c r="E49" s="210">
        <v>43591</v>
      </c>
      <c r="F49" s="210"/>
      <c r="G49" s="209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</row>
    <row r="50" spans="1:19" x14ac:dyDescent="0.2">
      <c r="A50" t="s">
        <v>112</v>
      </c>
      <c r="B50" s="210"/>
      <c r="C50" s="209"/>
      <c r="D50" s="209"/>
      <c r="E50" s="210"/>
      <c r="F50" s="210">
        <v>45837</v>
      </c>
      <c r="G50" s="209">
        <v>180.33333333333334</v>
      </c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</row>
    <row r="51" spans="1:19" x14ac:dyDescent="0.2">
      <c r="A51" t="s">
        <v>148</v>
      </c>
      <c r="B51" s="210"/>
      <c r="C51" s="209"/>
      <c r="D51" s="209"/>
      <c r="E51" s="210"/>
      <c r="F51" s="210"/>
      <c r="G51" s="209"/>
      <c r="H51" s="208">
        <v>8</v>
      </c>
      <c r="I51" s="208">
        <v>7.666666666666667</v>
      </c>
      <c r="J51" s="208">
        <v>6.166666666666667</v>
      </c>
      <c r="K51" s="208">
        <v>5</v>
      </c>
      <c r="L51" s="208">
        <v>3.5</v>
      </c>
      <c r="M51" s="208">
        <v>2.3333333333333335</v>
      </c>
      <c r="N51" s="208">
        <v>1.3333333333333333</v>
      </c>
      <c r="O51" s="208">
        <v>1.5</v>
      </c>
      <c r="P51" s="208">
        <v>1.3333333333333333</v>
      </c>
      <c r="Q51" s="208">
        <v>1.1666666666666667</v>
      </c>
      <c r="R51" s="208">
        <v>0.5</v>
      </c>
      <c r="S51" s="208"/>
    </row>
    <row r="52" spans="1:19" x14ac:dyDescent="0.2">
      <c r="A52" t="s">
        <v>113</v>
      </c>
      <c r="B52" s="210"/>
      <c r="C52" s="209"/>
      <c r="D52" s="209"/>
      <c r="E52" s="210"/>
      <c r="F52" s="210">
        <v>45837</v>
      </c>
      <c r="G52" s="209">
        <v>180.33333333333334</v>
      </c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</row>
    <row r="53" spans="1:19" x14ac:dyDescent="0.2">
      <c r="A53" t="s">
        <v>185</v>
      </c>
      <c r="B53" s="210">
        <v>43580</v>
      </c>
      <c r="C53" s="209">
        <v>2019</v>
      </c>
      <c r="D53" s="209">
        <v>114.5</v>
      </c>
      <c r="E53" s="210">
        <v>43591</v>
      </c>
      <c r="F53" s="210"/>
      <c r="G53" s="209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</row>
    <row r="54" spans="1:19" x14ac:dyDescent="0.2">
      <c r="A54" t="s">
        <v>114</v>
      </c>
      <c r="B54" s="210"/>
      <c r="C54" s="209"/>
      <c r="D54" s="209"/>
      <c r="E54" s="210"/>
      <c r="F54" s="210">
        <v>45837</v>
      </c>
      <c r="G54" s="209">
        <v>180.33333333333334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</row>
    <row r="55" spans="1:19" x14ac:dyDescent="0.2">
      <c r="A55" t="s">
        <v>149</v>
      </c>
      <c r="B55" s="210"/>
      <c r="C55" s="209"/>
      <c r="D55" s="209"/>
      <c r="E55" s="210"/>
      <c r="F55" s="210"/>
      <c r="G55" s="209"/>
      <c r="H55" s="208">
        <v>8.5</v>
      </c>
      <c r="I55" s="208">
        <v>8</v>
      </c>
      <c r="J55" s="208">
        <v>7</v>
      </c>
      <c r="K55" s="208">
        <v>5.166666666666667</v>
      </c>
      <c r="L55" s="208">
        <v>3.6666666666666665</v>
      </c>
      <c r="M55" s="208">
        <v>2.5</v>
      </c>
      <c r="N55" s="208">
        <v>1.6666666666666667</v>
      </c>
      <c r="O55" s="208">
        <v>2</v>
      </c>
      <c r="P55" s="208">
        <v>1.5</v>
      </c>
      <c r="Q55" s="208">
        <v>1</v>
      </c>
      <c r="R55" s="208">
        <v>0.8</v>
      </c>
      <c r="S55" s="208"/>
    </row>
    <row r="56" spans="1:19" x14ac:dyDescent="0.2">
      <c r="A56" t="s">
        <v>115</v>
      </c>
      <c r="B56" s="210"/>
      <c r="C56" s="209"/>
      <c r="D56" s="209"/>
      <c r="E56" s="210"/>
      <c r="F56" s="210">
        <v>43646</v>
      </c>
      <c r="G56" s="209">
        <v>180.75</v>
      </c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</row>
    <row r="57" spans="1:19" x14ac:dyDescent="0.2">
      <c r="A57" t="s">
        <v>187</v>
      </c>
      <c r="B57" s="210">
        <v>43582</v>
      </c>
      <c r="C57" s="209">
        <v>2019</v>
      </c>
      <c r="D57" s="209">
        <v>117</v>
      </c>
      <c r="E57" s="210">
        <v>43593</v>
      </c>
      <c r="F57" s="210"/>
      <c r="G57" s="209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</row>
    <row r="58" spans="1:19" x14ac:dyDescent="0.2">
      <c r="A58" t="s">
        <v>116</v>
      </c>
      <c r="B58" s="210"/>
      <c r="C58" s="209"/>
      <c r="D58" s="209"/>
      <c r="E58" s="210"/>
      <c r="F58" s="210">
        <v>45837</v>
      </c>
      <c r="G58" s="209">
        <v>179.5</v>
      </c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</row>
    <row r="59" spans="1:19" x14ac:dyDescent="0.2">
      <c r="A59" t="s">
        <v>150</v>
      </c>
      <c r="B59" s="210"/>
      <c r="C59" s="209"/>
      <c r="D59" s="209"/>
      <c r="E59" s="210"/>
      <c r="F59" s="210"/>
      <c r="G59" s="209"/>
      <c r="H59" s="208">
        <v>8.3333333333333339</v>
      </c>
      <c r="I59" s="208">
        <v>7.333333333333333</v>
      </c>
      <c r="J59" s="208">
        <v>5.5</v>
      </c>
      <c r="K59" s="208">
        <v>3.5</v>
      </c>
      <c r="L59" s="208">
        <v>2.8333333333333335</v>
      </c>
      <c r="M59" s="208">
        <v>2</v>
      </c>
      <c r="N59" s="208">
        <v>0.83333333333333337</v>
      </c>
      <c r="O59" s="208">
        <v>2.1666666666666665</v>
      </c>
      <c r="P59" s="208">
        <v>1.5</v>
      </c>
      <c r="Q59" s="208">
        <v>0.83333333333333337</v>
      </c>
      <c r="R59" s="208">
        <v>0.66666666666666663</v>
      </c>
      <c r="S59" s="208"/>
    </row>
    <row r="60" spans="1:19" x14ac:dyDescent="0.2">
      <c r="A60" t="s">
        <v>117</v>
      </c>
      <c r="B60" s="210"/>
      <c r="C60" s="209"/>
      <c r="D60" s="209"/>
      <c r="E60" s="210"/>
      <c r="F60" s="210">
        <v>43643</v>
      </c>
      <c r="G60" s="209">
        <v>177.83333333333334</v>
      </c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</row>
    <row r="61" spans="1:19" x14ac:dyDescent="0.2">
      <c r="A61" t="s">
        <v>189</v>
      </c>
      <c r="B61" s="210">
        <v>43580</v>
      </c>
      <c r="C61" s="209">
        <v>2019</v>
      </c>
      <c r="D61" s="209">
        <v>115.125</v>
      </c>
      <c r="E61" s="210">
        <v>43591</v>
      </c>
      <c r="F61" s="210"/>
      <c r="G61" s="209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</row>
    <row r="62" spans="1:19" x14ac:dyDescent="0.2">
      <c r="A62" t="s">
        <v>118</v>
      </c>
      <c r="B62" s="210"/>
      <c r="C62" s="209"/>
      <c r="D62" s="209"/>
      <c r="E62" s="210"/>
      <c r="F62" s="210">
        <v>43644</v>
      </c>
      <c r="G62" s="209">
        <v>178.66666666666666</v>
      </c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</row>
    <row r="63" spans="1:19" x14ac:dyDescent="0.2">
      <c r="A63" t="s">
        <v>151</v>
      </c>
      <c r="B63" s="210"/>
      <c r="C63" s="209"/>
      <c r="D63" s="209"/>
      <c r="E63" s="210"/>
      <c r="F63" s="210"/>
      <c r="G63" s="209"/>
      <c r="H63" s="208">
        <v>7.5</v>
      </c>
      <c r="I63" s="208">
        <v>6.833333333333333</v>
      </c>
      <c r="J63" s="208">
        <v>4.833333333333333</v>
      </c>
      <c r="K63" s="208">
        <v>3.1666666666666665</v>
      </c>
      <c r="L63" s="208">
        <v>1.8333333333333333</v>
      </c>
      <c r="M63" s="208">
        <v>1.1666666666666667</v>
      </c>
      <c r="N63" s="208">
        <v>0.5</v>
      </c>
      <c r="O63" s="208">
        <v>2.1666666666666665</v>
      </c>
      <c r="P63" s="208">
        <v>1.3333333333333333</v>
      </c>
      <c r="Q63" s="208">
        <v>0.5</v>
      </c>
      <c r="R63" s="208">
        <v>0.83333333333333337</v>
      </c>
      <c r="S63" s="208">
        <v>1.5</v>
      </c>
    </row>
    <row r="64" spans="1:19" x14ac:dyDescent="0.2">
      <c r="A64" t="s">
        <v>119</v>
      </c>
      <c r="B64" s="210"/>
      <c r="C64" s="209"/>
      <c r="D64" s="209"/>
      <c r="E64" s="210"/>
      <c r="F64" s="210">
        <v>43643</v>
      </c>
      <c r="G64" s="209">
        <v>178</v>
      </c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</row>
    <row r="65" spans="1:19" x14ac:dyDescent="0.2">
      <c r="A65" t="s">
        <v>191</v>
      </c>
      <c r="B65" s="210">
        <v>43580</v>
      </c>
      <c r="C65" s="209">
        <v>2019</v>
      </c>
      <c r="D65" s="209">
        <v>114.83333333333333</v>
      </c>
      <c r="E65" s="210">
        <v>43591</v>
      </c>
      <c r="F65" s="210"/>
      <c r="G65" s="209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</row>
    <row r="66" spans="1:19" x14ac:dyDescent="0.2">
      <c r="A66" t="s">
        <v>120</v>
      </c>
      <c r="B66" s="210"/>
      <c r="C66" s="209"/>
      <c r="D66" s="209"/>
      <c r="E66" s="210"/>
      <c r="F66" s="210">
        <v>45837</v>
      </c>
      <c r="G66" s="209">
        <v>179.5</v>
      </c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</row>
    <row r="67" spans="1:19" x14ac:dyDescent="0.2">
      <c r="A67" t="s">
        <v>152</v>
      </c>
      <c r="B67" s="210"/>
      <c r="C67" s="209"/>
      <c r="D67" s="209"/>
      <c r="E67" s="210"/>
      <c r="F67" s="210"/>
      <c r="G67" s="209"/>
      <c r="H67" s="208">
        <v>8</v>
      </c>
      <c r="I67" s="208">
        <v>7.666666666666667</v>
      </c>
      <c r="J67" s="208">
        <v>6.666666666666667</v>
      </c>
      <c r="K67" s="208">
        <v>5.166666666666667</v>
      </c>
      <c r="L67" s="208">
        <v>3.3333333333333335</v>
      </c>
      <c r="M67" s="208">
        <v>3</v>
      </c>
      <c r="N67" s="208">
        <v>2</v>
      </c>
      <c r="O67" s="208">
        <v>2.5</v>
      </c>
      <c r="P67" s="208">
        <v>1.8333333333333333</v>
      </c>
      <c r="Q67" s="208">
        <v>1.1666666666666667</v>
      </c>
      <c r="R67" s="208">
        <v>1</v>
      </c>
      <c r="S67" s="208"/>
    </row>
    <row r="68" spans="1:19" x14ac:dyDescent="0.2">
      <c r="A68" t="s">
        <v>121</v>
      </c>
      <c r="B68" s="210"/>
      <c r="C68" s="209"/>
      <c r="D68" s="209"/>
      <c r="E68" s="210"/>
      <c r="F68" s="210">
        <v>43644</v>
      </c>
      <c r="G68" s="209">
        <v>178.66666666666666</v>
      </c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</row>
    <row r="69" spans="1:19" x14ac:dyDescent="0.2">
      <c r="A69" t="s">
        <v>182</v>
      </c>
      <c r="B69" s="210">
        <v>43580</v>
      </c>
      <c r="C69" s="209">
        <v>2019</v>
      </c>
      <c r="D69" s="209">
        <v>115.1</v>
      </c>
      <c r="E69" s="210">
        <v>43590</v>
      </c>
      <c r="F69" s="210"/>
      <c r="G69" s="209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</row>
    <row r="70" spans="1:19" x14ac:dyDescent="0.2">
      <c r="A70" t="s">
        <v>122</v>
      </c>
      <c r="B70" s="210"/>
      <c r="C70" s="209"/>
      <c r="D70" s="209"/>
      <c r="E70" s="210"/>
      <c r="F70" s="210">
        <v>45837</v>
      </c>
      <c r="G70" s="209">
        <v>180.33333333333334</v>
      </c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</row>
    <row r="71" spans="1:19" x14ac:dyDescent="0.2">
      <c r="A71" t="s">
        <v>153</v>
      </c>
      <c r="B71" s="210"/>
      <c r="C71" s="209"/>
      <c r="D71" s="209"/>
      <c r="E71" s="210"/>
      <c r="F71" s="210"/>
      <c r="G71" s="209"/>
      <c r="H71" s="208">
        <v>8.1999999999999993</v>
      </c>
      <c r="I71" s="208">
        <v>8</v>
      </c>
      <c r="J71" s="208">
        <v>7</v>
      </c>
      <c r="K71" s="208">
        <v>5.833333333333333</v>
      </c>
      <c r="L71" s="208">
        <v>3.6666666666666665</v>
      </c>
      <c r="M71" s="208">
        <v>3</v>
      </c>
      <c r="N71" s="208">
        <v>2</v>
      </c>
      <c r="O71" s="208">
        <v>1.6666666666666667</v>
      </c>
      <c r="P71" s="208">
        <v>1.1666666666666667</v>
      </c>
      <c r="Q71" s="208">
        <v>0.83333333333333337</v>
      </c>
      <c r="R71" s="208">
        <v>0.66666666666666663</v>
      </c>
      <c r="S71" s="208"/>
    </row>
    <row r="72" spans="1:19" x14ac:dyDescent="0.2">
      <c r="A72" t="s">
        <v>123</v>
      </c>
      <c r="B72" s="210"/>
      <c r="C72" s="209"/>
      <c r="D72" s="209"/>
      <c r="E72" s="210"/>
      <c r="F72" s="210">
        <v>45837</v>
      </c>
      <c r="G72" s="209">
        <v>180</v>
      </c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</row>
    <row r="73" spans="1:19" x14ac:dyDescent="0.2">
      <c r="A73" t="s">
        <v>180</v>
      </c>
      <c r="B73" s="210">
        <v>43581</v>
      </c>
      <c r="C73" s="209">
        <v>2019</v>
      </c>
      <c r="D73" s="209">
        <v>115.6</v>
      </c>
      <c r="E73" s="210">
        <v>43592</v>
      </c>
      <c r="F73" s="210"/>
      <c r="G73" s="209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</row>
    <row r="74" spans="1:19" x14ac:dyDescent="0.2">
      <c r="A74" t="s">
        <v>124</v>
      </c>
      <c r="B74" s="210"/>
      <c r="C74" s="209"/>
      <c r="D74" s="209"/>
      <c r="E74" s="210"/>
      <c r="F74" s="210">
        <v>43643</v>
      </c>
      <c r="G74" s="209">
        <v>178</v>
      </c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</row>
    <row r="75" spans="1:19" x14ac:dyDescent="0.2">
      <c r="A75" t="s">
        <v>154</v>
      </c>
      <c r="B75" s="210"/>
      <c r="C75" s="209"/>
      <c r="D75" s="209"/>
      <c r="E75" s="210"/>
      <c r="F75" s="210"/>
      <c r="G75" s="209"/>
      <c r="H75" s="208">
        <v>8</v>
      </c>
      <c r="I75" s="208">
        <v>7.333333333333333</v>
      </c>
      <c r="J75" s="208">
        <v>6.5</v>
      </c>
      <c r="K75" s="208">
        <v>4.5</v>
      </c>
      <c r="L75" s="208">
        <v>3.3333333333333335</v>
      </c>
      <c r="M75" s="208">
        <v>3.3333333333333335</v>
      </c>
      <c r="N75" s="208">
        <v>2.3333333333333335</v>
      </c>
      <c r="O75" s="208">
        <v>1.1666666666666667</v>
      </c>
      <c r="P75" s="208">
        <v>1</v>
      </c>
      <c r="Q75" s="208">
        <v>0.66666666666666663</v>
      </c>
      <c r="R75" s="208">
        <v>1</v>
      </c>
      <c r="S75" s="208">
        <v>1.5</v>
      </c>
    </row>
    <row r="76" spans="1:19" x14ac:dyDescent="0.2">
      <c r="A76" t="s">
        <v>125</v>
      </c>
      <c r="B76" s="210"/>
      <c r="C76" s="209"/>
      <c r="D76" s="209"/>
      <c r="E76" s="210"/>
      <c r="F76" s="210">
        <v>43644</v>
      </c>
      <c r="G76" s="209">
        <v>179</v>
      </c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</row>
    <row r="77" spans="1:19" x14ac:dyDescent="0.2">
      <c r="A77" t="s">
        <v>178</v>
      </c>
      <c r="B77" s="210">
        <v>43580</v>
      </c>
      <c r="C77" s="209">
        <v>2019</v>
      </c>
      <c r="D77" s="209">
        <v>114.75</v>
      </c>
      <c r="E77" s="210">
        <v>43590</v>
      </c>
      <c r="F77" s="210"/>
      <c r="G77" s="209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</row>
    <row r="78" spans="1:19" x14ac:dyDescent="0.2">
      <c r="A78" t="s">
        <v>126</v>
      </c>
      <c r="B78" s="210"/>
      <c r="C78" s="209"/>
      <c r="D78" s="209"/>
      <c r="E78" s="210"/>
      <c r="F78" s="210">
        <v>43644</v>
      </c>
      <c r="G78" s="209">
        <v>179.14285714285714</v>
      </c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</row>
    <row r="79" spans="1:19" x14ac:dyDescent="0.2">
      <c r="A79" t="s">
        <v>155</v>
      </c>
      <c r="B79" s="210"/>
      <c r="C79" s="209"/>
      <c r="D79" s="209"/>
      <c r="E79" s="210"/>
      <c r="F79" s="210"/>
      <c r="G79" s="209"/>
      <c r="H79" s="208">
        <v>6.333333333333333</v>
      </c>
      <c r="I79" s="208">
        <v>7.333333333333333</v>
      </c>
      <c r="J79" s="208">
        <v>5.166666666666667</v>
      </c>
      <c r="K79" s="208">
        <v>4</v>
      </c>
      <c r="L79" s="208">
        <v>2.1666666666666665</v>
      </c>
      <c r="M79" s="208">
        <v>1.5</v>
      </c>
      <c r="N79" s="208">
        <v>0.66666666666666663</v>
      </c>
      <c r="O79" s="208">
        <v>2</v>
      </c>
      <c r="P79" s="208">
        <v>1.6666666666666667</v>
      </c>
      <c r="Q79" s="208">
        <v>1.1666666666666667</v>
      </c>
      <c r="R79" s="208">
        <v>1</v>
      </c>
      <c r="S79" s="208"/>
    </row>
    <row r="80" spans="1:19" x14ac:dyDescent="0.2">
      <c r="A80" t="s">
        <v>127</v>
      </c>
      <c r="B80" s="210"/>
      <c r="C80" s="209"/>
      <c r="D80" s="209"/>
      <c r="E80" s="210"/>
      <c r="F80" s="210">
        <v>43644</v>
      </c>
      <c r="G80" s="209">
        <v>178.66666666666666</v>
      </c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</row>
    <row r="81" spans="1:19" x14ac:dyDescent="0.2">
      <c r="A81" t="s">
        <v>176</v>
      </c>
      <c r="B81" s="210">
        <v>43580</v>
      </c>
      <c r="C81" s="209">
        <v>2019</v>
      </c>
      <c r="D81" s="209">
        <v>115</v>
      </c>
      <c r="E81" s="210">
        <v>43590</v>
      </c>
      <c r="F81" s="210"/>
      <c r="G81" s="209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</row>
    <row r="82" spans="1:19" x14ac:dyDescent="0.2">
      <c r="A82" t="s">
        <v>128</v>
      </c>
      <c r="B82" s="210"/>
      <c r="C82" s="209"/>
      <c r="D82" s="209"/>
      <c r="E82" s="210"/>
      <c r="F82" s="210">
        <v>43644</v>
      </c>
      <c r="G82" s="209">
        <v>178.66666666666666</v>
      </c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</row>
    <row r="83" spans="1:19" x14ac:dyDescent="0.2">
      <c r="A83" t="s">
        <v>156</v>
      </c>
      <c r="B83" s="210"/>
      <c r="C83" s="209"/>
      <c r="D83" s="209"/>
      <c r="E83" s="210"/>
      <c r="F83" s="210"/>
      <c r="G83" s="209"/>
      <c r="H83" s="208">
        <v>8.5</v>
      </c>
      <c r="I83" s="208">
        <v>8</v>
      </c>
      <c r="J83" s="208">
        <v>6.833333333333333</v>
      </c>
      <c r="K83" s="208">
        <v>5.666666666666667</v>
      </c>
      <c r="L83" s="208">
        <v>3.5</v>
      </c>
      <c r="M83" s="208">
        <v>2.5</v>
      </c>
      <c r="N83" s="208">
        <v>1.6666666666666667</v>
      </c>
      <c r="O83" s="208">
        <v>1.8333333333333333</v>
      </c>
      <c r="P83" s="208">
        <v>1.3333333333333333</v>
      </c>
      <c r="Q83" s="208">
        <v>1.1666666666666667</v>
      </c>
      <c r="R83" s="208">
        <v>1.1666666666666667</v>
      </c>
      <c r="S83" s="208"/>
    </row>
    <row r="84" spans="1:19" x14ac:dyDescent="0.2">
      <c r="A84" t="s">
        <v>129</v>
      </c>
      <c r="B84" s="210"/>
      <c r="C84" s="209"/>
      <c r="D84" s="209"/>
      <c r="E84" s="210"/>
      <c r="F84" s="210">
        <v>45837</v>
      </c>
      <c r="G84" s="209">
        <v>179.85714285714286</v>
      </c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</row>
    <row r="85" spans="1:19" x14ac:dyDescent="0.2">
      <c r="A85" t="s">
        <v>167</v>
      </c>
      <c r="B85" s="210">
        <v>43581</v>
      </c>
      <c r="C85" s="209">
        <v>2019</v>
      </c>
      <c r="D85" s="209">
        <v>115.625</v>
      </c>
      <c r="E85" s="210">
        <v>43592</v>
      </c>
      <c r="F85" s="210"/>
      <c r="G85" s="209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</row>
    <row r="86" spans="1:19" x14ac:dyDescent="0.2">
      <c r="A86" t="s">
        <v>130</v>
      </c>
      <c r="B86" s="210"/>
      <c r="C86" s="209"/>
      <c r="D86" s="209"/>
      <c r="E86" s="210"/>
      <c r="F86" s="210">
        <v>43644</v>
      </c>
      <c r="G86" s="209">
        <v>178.66666666666666</v>
      </c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</row>
    <row r="87" spans="1:19" x14ac:dyDescent="0.2">
      <c r="A87" t="s">
        <v>157</v>
      </c>
      <c r="B87" s="210"/>
      <c r="C87" s="209"/>
      <c r="D87" s="209"/>
      <c r="E87" s="210"/>
      <c r="F87" s="210"/>
      <c r="G87" s="209"/>
      <c r="H87" s="208">
        <v>7.4</v>
      </c>
      <c r="I87" s="208">
        <v>7.166666666666667</v>
      </c>
      <c r="J87" s="208">
        <v>5.833333333333333</v>
      </c>
      <c r="K87" s="208">
        <v>4.166666666666667</v>
      </c>
      <c r="L87" s="208">
        <v>2.6666666666666665</v>
      </c>
      <c r="M87" s="208">
        <v>2</v>
      </c>
      <c r="N87" s="208">
        <v>1</v>
      </c>
      <c r="O87" s="208">
        <v>1.5</v>
      </c>
      <c r="P87" s="208">
        <v>1.5</v>
      </c>
      <c r="Q87" s="208">
        <v>1.1666666666666667</v>
      </c>
      <c r="R87" s="208">
        <v>0.83333333333333337</v>
      </c>
      <c r="S87" s="208"/>
    </row>
    <row r="88" spans="1:19" x14ac:dyDescent="0.2">
      <c r="A88" t="s">
        <v>131</v>
      </c>
      <c r="B88" s="210"/>
      <c r="C88" s="209"/>
      <c r="D88" s="209"/>
      <c r="E88" s="210"/>
      <c r="F88" s="210">
        <v>45837</v>
      </c>
      <c r="G88" s="209">
        <v>179.5</v>
      </c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</row>
    <row r="89" spans="1:19" x14ac:dyDescent="0.2">
      <c r="A89" t="s">
        <v>170</v>
      </c>
      <c r="B89" s="210">
        <v>43580</v>
      </c>
      <c r="C89" s="209">
        <v>2019</v>
      </c>
      <c r="D89" s="209">
        <v>114.875</v>
      </c>
      <c r="E89" s="210">
        <v>43591</v>
      </c>
      <c r="F89" s="210"/>
      <c r="G89" s="209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</row>
    <row r="90" spans="1:19" x14ac:dyDescent="0.2">
      <c r="A90" t="s">
        <v>132</v>
      </c>
      <c r="B90" s="210"/>
      <c r="C90" s="209"/>
      <c r="D90" s="209"/>
      <c r="E90" s="210"/>
      <c r="F90" s="210">
        <v>43643</v>
      </c>
      <c r="G90" s="209">
        <v>178</v>
      </c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</row>
    <row r="91" spans="1:19" x14ac:dyDescent="0.2">
      <c r="A91" t="s">
        <v>158</v>
      </c>
      <c r="B91" s="210"/>
      <c r="C91" s="209"/>
      <c r="D91" s="209"/>
      <c r="E91" s="210"/>
      <c r="F91" s="210"/>
      <c r="G91" s="209"/>
      <c r="H91" s="208">
        <v>7</v>
      </c>
      <c r="I91" s="208">
        <v>7.666666666666667</v>
      </c>
      <c r="J91" s="208">
        <v>6</v>
      </c>
      <c r="K91" s="208">
        <v>5</v>
      </c>
      <c r="L91" s="208">
        <v>3.1666666666666665</v>
      </c>
      <c r="M91" s="208">
        <v>2.1666666666666665</v>
      </c>
      <c r="N91" s="208">
        <v>1.3333333333333333</v>
      </c>
      <c r="O91" s="208">
        <v>1.3333333333333333</v>
      </c>
      <c r="P91" s="208">
        <v>1</v>
      </c>
      <c r="Q91" s="208">
        <v>0.83333333333333337</v>
      </c>
      <c r="R91" s="208">
        <v>0.66666666666666663</v>
      </c>
      <c r="S91" s="208">
        <v>1</v>
      </c>
    </row>
    <row r="92" spans="1:19" x14ac:dyDescent="0.2">
      <c r="A92" t="s">
        <v>133</v>
      </c>
      <c r="B92" s="210"/>
      <c r="C92" s="209"/>
      <c r="D92" s="209"/>
      <c r="E92" s="210"/>
      <c r="F92" s="210">
        <v>43643</v>
      </c>
      <c r="G92" s="209">
        <v>177.83333333333334</v>
      </c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</row>
    <row r="93" spans="1:19" x14ac:dyDescent="0.2">
      <c r="A93" t="s">
        <v>172</v>
      </c>
      <c r="B93" s="210">
        <v>43582</v>
      </c>
      <c r="C93" s="209">
        <v>2019</v>
      </c>
      <c r="D93" s="209">
        <v>116.75</v>
      </c>
      <c r="E93" s="210">
        <v>43592</v>
      </c>
      <c r="F93" s="210"/>
      <c r="G93" s="209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</row>
    <row r="94" spans="1:19" x14ac:dyDescent="0.2">
      <c r="A94" t="s">
        <v>134</v>
      </c>
      <c r="B94" s="210"/>
      <c r="C94" s="209"/>
      <c r="D94" s="209"/>
      <c r="E94" s="210"/>
      <c r="F94" s="210">
        <v>43642</v>
      </c>
      <c r="G94" s="209">
        <v>177</v>
      </c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</row>
    <row r="95" spans="1:19" x14ac:dyDescent="0.2">
      <c r="A95" t="s">
        <v>159</v>
      </c>
      <c r="B95" s="210"/>
      <c r="C95" s="209"/>
      <c r="D95" s="209"/>
      <c r="E95" s="210"/>
      <c r="F95" s="210"/>
      <c r="G95" s="209"/>
      <c r="H95" s="208">
        <v>6.5</v>
      </c>
      <c r="I95" s="208">
        <v>6.166666666666667</v>
      </c>
      <c r="J95" s="208">
        <v>3.8333333333333335</v>
      </c>
      <c r="K95" s="208">
        <v>2.5</v>
      </c>
      <c r="L95" s="208">
        <v>1.5</v>
      </c>
      <c r="M95" s="208">
        <v>1.3333333333333333</v>
      </c>
      <c r="N95" s="208">
        <v>1</v>
      </c>
      <c r="O95" s="208">
        <v>1.5</v>
      </c>
      <c r="P95" s="208">
        <v>1.3333333333333333</v>
      </c>
      <c r="Q95" s="208">
        <v>0.83333333333333337</v>
      </c>
      <c r="R95" s="208">
        <v>0.8</v>
      </c>
      <c r="S95" s="208"/>
    </row>
    <row r="96" spans="1:19" x14ac:dyDescent="0.2">
      <c r="A96" t="s">
        <v>135</v>
      </c>
      <c r="B96" s="210"/>
      <c r="C96" s="209"/>
      <c r="D96" s="209"/>
      <c r="E96" s="210"/>
      <c r="F96" s="210">
        <v>43646</v>
      </c>
      <c r="G96" s="209">
        <v>180.75</v>
      </c>
    </row>
    <row r="97" spans="1:7" x14ac:dyDescent="0.2">
      <c r="A97" t="s">
        <v>174</v>
      </c>
      <c r="B97" s="210">
        <v>43580</v>
      </c>
      <c r="C97" s="209">
        <v>2019</v>
      </c>
      <c r="D97" s="209">
        <v>114.7</v>
      </c>
      <c r="E97" s="210">
        <v>43590</v>
      </c>
      <c r="F97" s="210"/>
      <c r="G97" s="210"/>
    </row>
    <row r="98" spans="1:7" x14ac:dyDescent="0.2">
      <c r="G98" s="210"/>
    </row>
    <row r="99" spans="1:7" x14ac:dyDescent="0.2">
      <c r="G99" s="210"/>
    </row>
    <row r="100" spans="1:7" x14ac:dyDescent="0.2">
      <c r="G100" s="210"/>
    </row>
    <row r="101" spans="1:7" x14ac:dyDescent="0.2">
      <c r="G101" s="210"/>
    </row>
    <row r="102" spans="1:7" x14ac:dyDescent="0.2">
      <c r="G102" s="210"/>
    </row>
    <row r="103" spans="1:7" x14ac:dyDescent="0.2">
      <c r="G103" s="210"/>
    </row>
    <row r="104" spans="1:7" x14ac:dyDescent="0.2">
      <c r="G104" s="210"/>
    </row>
    <row r="105" spans="1:7" x14ac:dyDescent="0.2">
      <c r="G105" s="210"/>
    </row>
    <row r="106" spans="1:7" x14ac:dyDescent="0.2">
      <c r="G106" s="210"/>
    </row>
    <row r="107" spans="1:7" x14ac:dyDescent="0.2">
      <c r="G107" s="210"/>
    </row>
    <row r="108" spans="1:7" x14ac:dyDescent="0.2">
      <c r="G108" s="210"/>
    </row>
    <row r="109" spans="1:7" x14ac:dyDescent="0.2">
      <c r="G109" s="210"/>
    </row>
    <row r="110" spans="1:7" x14ac:dyDescent="0.2">
      <c r="G110" s="210"/>
    </row>
    <row r="111" spans="1:7" x14ac:dyDescent="0.2">
      <c r="G111" s="210"/>
    </row>
    <row r="112" spans="1:7" x14ac:dyDescent="0.2">
      <c r="G112" s="210"/>
    </row>
    <row r="113" spans="7:7" x14ac:dyDescent="0.2">
      <c r="G113" s="210"/>
    </row>
    <row r="114" spans="7:7" x14ac:dyDescent="0.2">
      <c r="G114" s="210"/>
    </row>
    <row r="115" spans="7:7" x14ac:dyDescent="0.2">
      <c r="G115" s="210"/>
    </row>
    <row r="116" spans="7:7" x14ac:dyDescent="0.2">
      <c r="G116" s="210"/>
    </row>
    <row r="117" spans="7:7" x14ac:dyDescent="0.2">
      <c r="G117" s="210"/>
    </row>
    <row r="118" spans="7:7" x14ac:dyDescent="0.2">
      <c r="G118" s="210"/>
    </row>
    <row r="119" spans="7:7" x14ac:dyDescent="0.2">
      <c r="G119" s="210"/>
    </row>
    <row r="120" spans="7:7" x14ac:dyDescent="0.2">
      <c r="G120" s="210"/>
    </row>
    <row r="121" spans="7:7" x14ac:dyDescent="0.2">
      <c r="G121" s="210"/>
    </row>
    <row r="122" spans="7:7" x14ac:dyDescent="0.2">
      <c r="G122" s="210"/>
    </row>
    <row r="123" spans="7:7" x14ac:dyDescent="0.2">
      <c r="G123" s="210"/>
    </row>
    <row r="124" spans="7:7" x14ac:dyDescent="0.2">
      <c r="G124" s="210"/>
    </row>
    <row r="125" spans="7:7" x14ac:dyDescent="0.2">
      <c r="G125" s="210"/>
    </row>
    <row r="126" spans="7:7" x14ac:dyDescent="0.2">
      <c r="G126" s="210"/>
    </row>
    <row r="127" spans="7:7" x14ac:dyDescent="0.2">
      <c r="G127" s="210"/>
    </row>
    <row r="128" spans="7:7" x14ac:dyDescent="0.2">
      <c r="G128" s="210"/>
    </row>
    <row r="129" spans="7:7" x14ac:dyDescent="0.2">
      <c r="G129" s="210"/>
    </row>
    <row r="130" spans="7:7" x14ac:dyDescent="0.2">
      <c r="G130" s="210"/>
    </row>
    <row r="131" spans="7:7" x14ac:dyDescent="0.2">
      <c r="G131" s="210"/>
    </row>
    <row r="132" spans="7:7" x14ac:dyDescent="0.2">
      <c r="G132" s="210"/>
    </row>
    <row r="133" spans="7:7" x14ac:dyDescent="0.2">
      <c r="G133" s="210"/>
    </row>
    <row r="134" spans="7:7" x14ac:dyDescent="0.2">
      <c r="G134" s="210"/>
    </row>
    <row r="135" spans="7:7" x14ac:dyDescent="0.2">
      <c r="G135" s="210"/>
    </row>
    <row r="136" spans="7:7" x14ac:dyDescent="0.2">
      <c r="G136" s="210"/>
    </row>
    <row r="137" spans="7:7" x14ac:dyDescent="0.2">
      <c r="G137" s="210"/>
    </row>
    <row r="138" spans="7:7" x14ac:dyDescent="0.2">
      <c r="G138" s="210"/>
    </row>
    <row r="139" spans="7:7" x14ac:dyDescent="0.2">
      <c r="G139" s="210"/>
    </row>
    <row r="140" spans="7:7" x14ac:dyDescent="0.2">
      <c r="G140" s="210"/>
    </row>
    <row r="141" spans="7:7" x14ac:dyDescent="0.2">
      <c r="G141" s="210"/>
    </row>
    <row r="142" spans="7:7" x14ac:dyDescent="0.2">
      <c r="G142" s="210"/>
    </row>
    <row r="143" spans="7:7" x14ac:dyDescent="0.2">
      <c r="G143" s="210"/>
    </row>
    <row r="144" spans="7:7" x14ac:dyDescent="0.2">
      <c r="G144" s="2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C6CD-0FED-4B61-8078-52A225920E33}">
  <dimension ref="A1:D48"/>
  <sheetViews>
    <sheetView workbookViewId="0">
      <selection activeCell="B72" sqref="B72"/>
    </sheetView>
  </sheetViews>
  <sheetFormatPr defaultRowHeight="15" x14ac:dyDescent="0.25"/>
  <cols>
    <col min="1" max="16384" width="9.140625" style="63"/>
  </cols>
  <sheetData>
    <row r="1" spans="1:4" x14ac:dyDescent="0.25">
      <c r="A1" s="63">
        <v>1</v>
      </c>
      <c r="B1" s="63">
        <v>1</v>
      </c>
      <c r="C1" s="63" t="s">
        <v>68</v>
      </c>
      <c r="D1" s="63" t="str">
        <f t="shared" ref="D1:D48" si="0">_xlfn.CONCAT("p",TEXT(A1,"00"),"-",TEXT(B1,"0"),C1)</f>
        <v>p01-1N</v>
      </c>
    </row>
    <row r="2" spans="1:4" x14ac:dyDescent="0.25">
      <c r="A2" s="63">
        <v>1</v>
      </c>
      <c r="B2" s="63">
        <v>1</v>
      </c>
      <c r="C2" s="63" t="s">
        <v>69</v>
      </c>
      <c r="D2" s="63" t="str">
        <f t="shared" si="0"/>
        <v>p01-1S</v>
      </c>
    </row>
    <row r="3" spans="1:4" x14ac:dyDescent="0.25">
      <c r="A3" s="63">
        <v>1</v>
      </c>
      <c r="B3" s="63">
        <v>2</v>
      </c>
      <c r="C3" s="63" t="s">
        <v>68</v>
      </c>
      <c r="D3" s="63" t="str">
        <f t="shared" si="0"/>
        <v>p01-2N</v>
      </c>
    </row>
    <row r="4" spans="1:4" x14ac:dyDescent="0.25">
      <c r="A4" s="63">
        <v>1</v>
      </c>
      <c r="B4" s="63">
        <v>2</v>
      </c>
      <c r="C4" s="63" t="s">
        <v>69</v>
      </c>
      <c r="D4" s="63" t="str">
        <f t="shared" si="0"/>
        <v>p01-2S</v>
      </c>
    </row>
    <row r="5" spans="1:4" x14ac:dyDescent="0.25">
      <c r="A5" s="63">
        <v>1</v>
      </c>
      <c r="B5" s="63">
        <v>3</v>
      </c>
      <c r="C5" s="63" t="s">
        <v>68</v>
      </c>
      <c r="D5" s="63" t="str">
        <f t="shared" si="0"/>
        <v>p01-3N</v>
      </c>
    </row>
    <row r="6" spans="1:4" x14ac:dyDescent="0.25">
      <c r="A6" s="63">
        <v>1</v>
      </c>
      <c r="B6" s="63">
        <v>3</v>
      </c>
      <c r="C6" s="63" t="s">
        <v>69</v>
      </c>
      <c r="D6" s="63" t="str">
        <f t="shared" si="0"/>
        <v>p01-3S</v>
      </c>
    </row>
    <row r="7" spans="1:4" x14ac:dyDescent="0.25">
      <c r="A7" s="63">
        <v>1</v>
      </c>
      <c r="B7" s="63">
        <v>4</v>
      </c>
      <c r="C7" s="63" t="s">
        <v>68</v>
      </c>
      <c r="D7" s="63" t="str">
        <f t="shared" si="0"/>
        <v>p01-4N</v>
      </c>
    </row>
    <row r="8" spans="1:4" x14ac:dyDescent="0.25">
      <c r="A8" s="63">
        <v>1</v>
      </c>
      <c r="B8" s="63">
        <v>4</v>
      </c>
      <c r="C8" s="63" t="s">
        <v>69</v>
      </c>
      <c r="D8" s="63" t="str">
        <f t="shared" si="0"/>
        <v>p01-4S</v>
      </c>
    </row>
    <row r="9" spans="1:4" x14ac:dyDescent="0.25">
      <c r="A9" s="63">
        <v>2</v>
      </c>
      <c r="B9" s="63">
        <v>4</v>
      </c>
      <c r="C9" s="63" t="s">
        <v>69</v>
      </c>
      <c r="D9" s="63" t="str">
        <f t="shared" si="0"/>
        <v>p02-4S</v>
      </c>
    </row>
    <row r="10" spans="1:4" x14ac:dyDescent="0.25">
      <c r="A10" s="63">
        <v>2</v>
      </c>
      <c r="B10" s="63">
        <v>4</v>
      </c>
      <c r="C10" s="63" t="s">
        <v>68</v>
      </c>
      <c r="D10" s="63" t="str">
        <f t="shared" si="0"/>
        <v>p02-4N</v>
      </c>
    </row>
    <row r="11" spans="1:4" x14ac:dyDescent="0.25">
      <c r="A11" s="63">
        <v>2</v>
      </c>
      <c r="B11" s="63">
        <v>3</v>
      </c>
      <c r="C11" s="63" t="s">
        <v>69</v>
      </c>
      <c r="D11" s="63" t="str">
        <f t="shared" si="0"/>
        <v>p02-3S</v>
      </c>
    </row>
    <row r="12" spans="1:4" x14ac:dyDescent="0.25">
      <c r="A12" s="63">
        <v>2</v>
      </c>
      <c r="B12" s="63">
        <v>3</v>
      </c>
      <c r="C12" s="63" t="s">
        <v>68</v>
      </c>
      <c r="D12" s="63" t="str">
        <f t="shared" si="0"/>
        <v>p02-3N</v>
      </c>
    </row>
    <row r="13" spans="1:4" x14ac:dyDescent="0.25">
      <c r="A13" s="63">
        <v>2</v>
      </c>
      <c r="B13" s="63">
        <v>2</v>
      </c>
      <c r="C13" s="63" t="s">
        <v>69</v>
      </c>
      <c r="D13" s="63" t="str">
        <f t="shared" si="0"/>
        <v>p02-2S</v>
      </c>
    </row>
    <row r="14" spans="1:4" x14ac:dyDescent="0.25">
      <c r="A14" s="63">
        <v>2</v>
      </c>
      <c r="B14" s="63">
        <v>2</v>
      </c>
      <c r="C14" s="63" t="s">
        <v>68</v>
      </c>
      <c r="D14" s="63" t="str">
        <f t="shared" si="0"/>
        <v>p02-2N</v>
      </c>
    </row>
    <row r="15" spans="1:4" x14ac:dyDescent="0.25">
      <c r="A15" s="63">
        <v>2</v>
      </c>
      <c r="B15" s="63">
        <v>1</v>
      </c>
      <c r="C15" s="63" t="s">
        <v>69</v>
      </c>
      <c r="D15" s="63" t="str">
        <f t="shared" si="0"/>
        <v>p02-1S</v>
      </c>
    </row>
    <row r="16" spans="1:4" x14ac:dyDescent="0.25">
      <c r="A16" s="63">
        <v>2</v>
      </c>
      <c r="B16" s="63">
        <v>1</v>
      </c>
      <c r="C16" s="63" t="s">
        <v>68</v>
      </c>
      <c r="D16" s="63" t="str">
        <f t="shared" si="0"/>
        <v>p02-1N</v>
      </c>
    </row>
    <row r="17" spans="1:4" x14ac:dyDescent="0.25">
      <c r="A17" s="63">
        <v>3</v>
      </c>
      <c r="B17" s="63">
        <v>1</v>
      </c>
      <c r="C17" s="63" t="s">
        <v>68</v>
      </c>
      <c r="D17" s="63" t="str">
        <f t="shared" si="0"/>
        <v>p03-1N</v>
      </c>
    </row>
    <row r="18" spans="1:4" x14ac:dyDescent="0.25">
      <c r="A18" s="63">
        <v>3</v>
      </c>
      <c r="B18" s="63">
        <v>1</v>
      </c>
      <c r="C18" s="63" t="s">
        <v>69</v>
      </c>
      <c r="D18" s="63" t="str">
        <f t="shared" si="0"/>
        <v>p03-1S</v>
      </c>
    </row>
    <row r="19" spans="1:4" x14ac:dyDescent="0.25">
      <c r="A19" s="63">
        <v>3</v>
      </c>
      <c r="B19" s="63">
        <v>2</v>
      </c>
      <c r="C19" s="63" t="s">
        <v>68</v>
      </c>
      <c r="D19" s="63" t="str">
        <f t="shared" si="0"/>
        <v>p03-2N</v>
      </c>
    </row>
    <row r="20" spans="1:4" x14ac:dyDescent="0.25">
      <c r="A20" s="63">
        <v>3</v>
      </c>
      <c r="B20" s="63">
        <v>2</v>
      </c>
      <c r="C20" s="63" t="s">
        <v>69</v>
      </c>
      <c r="D20" s="63" t="str">
        <f t="shared" si="0"/>
        <v>p03-2S</v>
      </c>
    </row>
    <row r="21" spans="1:4" x14ac:dyDescent="0.25">
      <c r="A21" s="63">
        <v>3</v>
      </c>
      <c r="B21" s="63">
        <v>3</v>
      </c>
      <c r="C21" s="63" t="s">
        <v>68</v>
      </c>
      <c r="D21" s="63" t="str">
        <f t="shared" si="0"/>
        <v>p03-3N</v>
      </c>
    </row>
    <row r="22" spans="1:4" x14ac:dyDescent="0.25">
      <c r="A22" s="63">
        <v>3</v>
      </c>
      <c r="B22" s="63">
        <v>3</v>
      </c>
      <c r="C22" s="63" t="s">
        <v>69</v>
      </c>
      <c r="D22" s="63" t="str">
        <f t="shared" si="0"/>
        <v>p03-3S</v>
      </c>
    </row>
    <row r="23" spans="1:4" x14ac:dyDescent="0.25">
      <c r="A23" s="63">
        <v>3</v>
      </c>
      <c r="B23" s="63">
        <v>4</v>
      </c>
      <c r="C23" s="63" t="s">
        <v>68</v>
      </c>
      <c r="D23" s="63" t="str">
        <f t="shared" si="0"/>
        <v>p03-4N</v>
      </c>
    </row>
    <row r="24" spans="1:4" x14ac:dyDescent="0.25">
      <c r="A24" s="63">
        <v>3</v>
      </c>
      <c r="B24" s="63">
        <v>4</v>
      </c>
      <c r="C24" s="63" t="s">
        <v>69</v>
      </c>
      <c r="D24" s="63" t="str">
        <f t="shared" si="0"/>
        <v>p03-4S</v>
      </c>
    </row>
    <row r="25" spans="1:4" x14ac:dyDescent="0.25">
      <c r="A25" s="63">
        <v>4</v>
      </c>
      <c r="B25" s="63">
        <v>4</v>
      </c>
      <c r="C25" s="63" t="s">
        <v>69</v>
      </c>
      <c r="D25" s="63" t="str">
        <f t="shared" si="0"/>
        <v>p04-4S</v>
      </c>
    </row>
    <row r="26" spans="1:4" x14ac:dyDescent="0.25">
      <c r="A26" s="63">
        <v>4</v>
      </c>
      <c r="B26" s="63">
        <v>4</v>
      </c>
      <c r="C26" s="63" t="s">
        <v>68</v>
      </c>
      <c r="D26" s="63" t="str">
        <f t="shared" si="0"/>
        <v>p04-4N</v>
      </c>
    </row>
    <row r="27" spans="1:4" x14ac:dyDescent="0.25">
      <c r="A27" s="63">
        <v>4</v>
      </c>
      <c r="B27" s="63">
        <v>3</v>
      </c>
      <c r="C27" s="63" t="s">
        <v>69</v>
      </c>
      <c r="D27" s="63" t="str">
        <f t="shared" si="0"/>
        <v>p04-3S</v>
      </c>
    </row>
    <row r="28" spans="1:4" x14ac:dyDescent="0.25">
      <c r="A28" s="63">
        <v>4</v>
      </c>
      <c r="B28" s="63">
        <v>3</v>
      </c>
      <c r="C28" s="63" t="s">
        <v>68</v>
      </c>
      <c r="D28" s="63" t="str">
        <f t="shared" si="0"/>
        <v>p04-3N</v>
      </c>
    </row>
    <row r="29" spans="1:4" x14ac:dyDescent="0.25">
      <c r="A29" s="63">
        <v>4</v>
      </c>
      <c r="B29" s="63">
        <v>2</v>
      </c>
      <c r="C29" s="63" t="s">
        <v>69</v>
      </c>
      <c r="D29" s="63" t="str">
        <f t="shared" si="0"/>
        <v>p04-2S</v>
      </c>
    </row>
    <row r="30" spans="1:4" x14ac:dyDescent="0.25">
      <c r="A30" s="63">
        <v>4</v>
      </c>
      <c r="B30" s="63">
        <v>2</v>
      </c>
      <c r="C30" s="63" t="s">
        <v>68</v>
      </c>
      <c r="D30" s="63" t="str">
        <f t="shared" si="0"/>
        <v>p04-2N</v>
      </c>
    </row>
    <row r="31" spans="1:4" x14ac:dyDescent="0.25">
      <c r="A31" s="63">
        <v>4</v>
      </c>
      <c r="B31" s="63">
        <v>1</v>
      </c>
      <c r="C31" s="63" t="s">
        <v>69</v>
      </c>
      <c r="D31" s="63" t="str">
        <f t="shared" si="0"/>
        <v>p04-1S</v>
      </c>
    </row>
    <row r="32" spans="1:4" x14ac:dyDescent="0.25">
      <c r="A32" s="63">
        <v>4</v>
      </c>
      <c r="B32" s="63">
        <v>1</v>
      </c>
      <c r="C32" s="63" t="s">
        <v>68</v>
      </c>
      <c r="D32" s="63" t="str">
        <f t="shared" si="0"/>
        <v>p04-1N</v>
      </c>
    </row>
    <row r="33" spans="1:4" x14ac:dyDescent="0.25">
      <c r="A33" s="63">
        <v>5</v>
      </c>
      <c r="B33" s="63">
        <v>1</v>
      </c>
      <c r="C33" s="63" t="s">
        <v>68</v>
      </c>
      <c r="D33" s="63" t="str">
        <f t="shared" si="0"/>
        <v>p05-1N</v>
      </c>
    </row>
    <row r="34" spans="1:4" x14ac:dyDescent="0.25">
      <c r="A34" s="63">
        <v>5</v>
      </c>
      <c r="B34" s="63">
        <v>1</v>
      </c>
      <c r="C34" s="63" t="s">
        <v>69</v>
      </c>
      <c r="D34" s="63" t="str">
        <f t="shared" si="0"/>
        <v>p05-1S</v>
      </c>
    </row>
    <row r="35" spans="1:4" x14ac:dyDescent="0.25">
      <c r="A35" s="63">
        <v>5</v>
      </c>
      <c r="B35" s="63">
        <v>2</v>
      </c>
      <c r="C35" s="63" t="s">
        <v>68</v>
      </c>
      <c r="D35" s="63" t="str">
        <f t="shared" si="0"/>
        <v>p05-2N</v>
      </c>
    </row>
    <row r="36" spans="1:4" x14ac:dyDescent="0.25">
      <c r="A36" s="63">
        <v>5</v>
      </c>
      <c r="B36" s="63">
        <v>2</v>
      </c>
      <c r="C36" s="63" t="s">
        <v>69</v>
      </c>
      <c r="D36" s="63" t="str">
        <f t="shared" si="0"/>
        <v>p05-2S</v>
      </c>
    </row>
    <row r="37" spans="1:4" x14ac:dyDescent="0.25">
      <c r="A37" s="63">
        <v>5</v>
      </c>
      <c r="B37" s="63">
        <v>3</v>
      </c>
      <c r="C37" s="63" t="s">
        <v>68</v>
      </c>
      <c r="D37" s="63" t="str">
        <f t="shared" si="0"/>
        <v>p05-3N</v>
      </c>
    </row>
    <row r="38" spans="1:4" x14ac:dyDescent="0.25">
      <c r="A38" s="63">
        <v>5</v>
      </c>
      <c r="B38" s="63">
        <v>3</v>
      </c>
      <c r="C38" s="63" t="s">
        <v>69</v>
      </c>
      <c r="D38" s="63" t="str">
        <f t="shared" si="0"/>
        <v>p05-3S</v>
      </c>
    </row>
    <row r="39" spans="1:4" x14ac:dyDescent="0.25">
      <c r="A39" s="63">
        <v>5</v>
      </c>
      <c r="B39" s="63">
        <v>4</v>
      </c>
      <c r="C39" s="63" t="s">
        <v>68</v>
      </c>
      <c r="D39" s="63" t="str">
        <f t="shared" si="0"/>
        <v>p05-4N</v>
      </c>
    </row>
    <row r="40" spans="1:4" x14ac:dyDescent="0.25">
      <c r="A40" s="63">
        <v>5</v>
      </c>
      <c r="B40" s="63">
        <v>4</v>
      </c>
      <c r="C40" s="63" t="s">
        <v>69</v>
      </c>
      <c r="D40" s="63" t="str">
        <f t="shared" si="0"/>
        <v>p05-4S</v>
      </c>
    </row>
    <row r="41" spans="1:4" x14ac:dyDescent="0.25">
      <c r="A41" s="63">
        <v>6</v>
      </c>
      <c r="B41" s="63">
        <v>4</v>
      </c>
      <c r="C41" s="63" t="s">
        <v>69</v>
      </c>
      <c r="D41" s="63" t="str">
        <f t="shared" si="0"/>
        <v>p06-4S</v>
      </c>
    </row>
    <row r="42" spans="1:4" x14ac:dyDescent="0.25">
      <c r="A42" s="63">
        <v>6</v>
      </c>
      <c r="B42" s="63">
        <v>4</v>
      </c>
      <c r="C42" s="63" t="s">
        <v>68</v>
      </c>
      <c r="D42" s="63" t="str">
        <f t="shared" si="0"/>
        <v>p06-4N</v>
      </c>
    </row>
    <row r="43" spans="1:4" x14ac:dyDescent="0.25">
      <c r="A43" s="63">
        <v>6</v>
      </c>
      <c r="B43" s="63">
        <v>3</v>
      </c>
      <c r="C43" s="63" t="s">
        <v>69</v>
      </c>
      <c r="D43" s="63" t="str">
        <f t="shared" si="0"/>
        <v>p06-3S</v>
      </c>
    </row>
    <row r="44" spans="1:4" x14ac:dyDescent="0.25">
      <c r="A44" s="63">
        <v>6</v>
      </c>
      <c r="B44" s="63">
        <v>3</v>
      </c>
      <c r="C44" s="63" t="s">
        <v>68</v>
      </c>
      <c r="D44" s="63" t="str">
        <f t="shared" si="0"/>
        <v>p06-3N</v>
      </c>
    </row>
    <row r="45" spans="1:4" x14ac:dyDescent="0.25">
      <c r="A45" s="63">
        <v>6</v>
      </c>
      <c r="B45" s="63">
        <v>2</v>
      </c>
      <c r="C45" s="63" t="s">
        <v>69</v>
      </c>
      <c r="D45" s="63" t="str">
        <f t="shared" si="0"/>
        <v>p06-2S</v>
      </c>
    </row>
    <row r="46" spans="1:4" x14ac:dyDescent="0.25">
      <c r="A46" s="63">
        <v>6</v>
      </c>
      <c r="B46" s="63">
        <v>2</v>
      </c>
      <c r="C46" s="63" t="s">
        <v>68</v>
      </c>
      <c r="D46" s="63" t="str">
        <f t="shared" si="0"/>
        <v>p06-2N</v>
      </c>
    </row>
    <row r="47" spans="1:4" x14ac:dyDescent="0.25">
      <c r="A47" s="63">
        <v>6</v>
      </c>
      <c r="B47" s="63">
        <v>1</v>
      </c>
      <c r="C47" s="63" t="s">
        <v>69</v>
      </c>
      <c r="D47" s="63" t="str">
        <f t="shared" si="0"/>
        <v>p06-1S</v>
      </c>
    </row>
    <row r="48" spans="1:4" x14ac:dyDescent="0.25">
      <c r="A48" s="63">
        <v>6</v>
      </c>
      <c r="B48" s="63">
        <v>1</v>
      </c>
      <c r="C48" s="63" t="s">
        <v>68</v>
      </c>
      <c r="D48" s="63" t="str">
        <f t="shared" si="0"/>
        <v>p06-1N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zoomScale="85" zoomScaleNormal="85" zoomScaleSheetLayoutView="70" workbookViewId="0">
      <selection activeCell="F2" sqref="F2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1.28515625" customWidth="1"/>
    <col min="7" max="9" width="8.7109375" customWidth="1"/>
    <col min="10" max="10" width="2.28515625" customWidth="1"/>
  </cols>
  <sheetData>
    <row r="1" spans="1:11" ht="15.75" x14ac:dyDescent="0.25">
      <c r="A1" s="6">
        <v>2019</v>
      </c>
      <c r="C1" s="8" t="s">
        <v>25</v>
      </c>
      <c r="D1" s="8"/>
      <c r="E1" s="8" t="s">
        <v>6</v>
      </c>
      <c r="F1" s="4" t="s">
        <v>8</v>
      </c>
      <c r="J1" s="1" t="s">
        <v>17</v>
      </c>
      <c r="K1" s="19"/>
    </row>
    <row r="2" spans="1:11" ht="14.45" customHeight="1" x14ac:dyDescent="0.25">
      <c r="A2" s="6"/>
      <c r="B2" s="7"/>
      <c r="C2" s="8"/>
      <c r="D2" s="8"/>
      <c r="F2" s="4" t="s">
        <v>14</v>
      </c>
      <c r="G2" s="20"/>
      <c r="H2" s="20"/>
      <c r="I2" s="20"/>
    </row>
    <row r="3" spans="1:11" x14ac:dyDescent="0.2">
      <c r="B3" s="5" t="s">
        <v>9</v>
      </c>
      <c r="F3" s="4" t="s">
        <v>13</v>
      </c>
      <c r="G3" s="20"/>
      <c r="H3" s="20"/>
      <c r="I3" s="20"/>
    </row>
    <row r="4" spans="1:11" ht="7.9" customHeight="1" x14ac:dyDescent="0.2">
      <c r="B4" s="5"/>
    </row>
    <row r="5" spans="1:11" x14ac:dyDescent="0.2">
      <c r="B5" s="2" t="s">
        <v>33</v>
      </c>
    </row>
    <row r="6" spans="1:11" x14ac:dyDescent="0.2">
      <c r="B6" s="2" t="s">
        <v>34</v>
      </c>
    </row>
    <row r="7" spans="1:11" ht="22.15" customHeight="1" x14ac:dyDescent="0.2">
      <c r="B7" s="211" t="s">
        <v>39</v>
      </c>
      <c r="C7" s="212"/>
      <c r="D7" s="212"/>
      <c r="E7" s="212"/>
      <c r="F7" s="212"/>
      <c r="G7" s="212"/>
      <c r="H7" s="212"/>
    </row>
    <row r="8" spans="1:11" ht="24" customHeight="1" thickBot="1" x14ac:dyDescent="0.25">
      <c r="B8" s="213" t="s">
        <v>7</v>
      </c>
      <c r="C8" s="213"/>
      <c r="D8" s="18" t="s">
        <v>12</v>
      </c>
      <c r="E8" s="21" t="s">
        <v>15</v>
      </c>
      <c r="F8" s="21" t="s">
        <v>16</v>
      </c>
      <c r="G8" s="18" t="s">
        <v>30</v>
      </c>
      <c r="H8" s="18" t="s">
        <v>30</v>
      </c>
      <c r="I8" s="18" t="s">
        <v>30</v>
      </c>
      <c r="J8" s="18"/>
    </row>
    <row r="9" spans="1:11" ht="34.9" customHeight="1" x14ac:dyDescent="0.2">
      <c r="B9" s="11" t="s">
        <v>0</v>
      </c>
      <c r="C9" s="15">
        <v>1</v>
      </c>
      <c r="D9" s="13" t="s">
        <v>10</v>
      </c>
      <c r="E9" s="9"/>
      <c r="F9" s="9"/>
      <c r="G9" s="9"/>
      <c r="H9" s="9"/>
      <c r="I9" s="9"/>
    </row>
    <row r="10" spans="1:11" ht="34.9" customHeight="1" thickBot="1" x14ac:dyDescent="0.25">
      <c r="B10" s="14"/>
      <c r="C10" s="16"/>
      <c r="D10" s="17" t="s">
        <v>11</v>
      </c>
      <c r="E10" s="10"/>
      <c r="F10" s="10"/>
      <c r="G10" s="10"/>
      <c r="H10" s="10"/>
      <c r="I10" s="10"/>
    </row>
    <row r="11" spans="1:11" ht="34.9" customHeight="1" x14ac:dyDescent="0.2">
      <c r="B11" s="11" t="s">
        <v>0</v>
      </c>
      <c r="C11" s="15">
        <v>2</v>
      </c>
      <c r="D11" s="13" t="s">
        <v>10</v>
      </c>
      <c r="E11" s="9"/>
      <c r="F11" s="9"/>
      <c r="G11" s="9"/>
      <c r="H11" s="9"/>
      <c r="I11" s="9"/>
    </row>
    <row r="12" spans="1:11" ht="34.9" customHeight="1" thickBot="1" x14ac:dyDescent="0.25">
      <c r="B12" s="14"/>
      <c r="C12" s="16"/>
      <c r="D12" s="17" t="s">
        <v>11</v>
      </c>
      <c r="E12" s="10"/>
      <c r="F12" s="10"/>
      <c r="G12" s="10"/>
      <c r="H12" s="10"/>
      <c r="I12" s="10"/>
    </row>
    <row r="13" spans="1:11" ht="34.9" customHeight="1" x14ac:dyDescent="0.2">
      <c r="B13" s="11" t="s">
        <v>0</v>
      </c>
      <c r="C13" s="15">
        <v>3</v>
      </c>
      <c r="D13" s="13" t="s">
        <v>10</v>
      </c>
      <c r="E13" s="9"/>
      <c r="F13" s="9"/>
      <c r="G13" s="9"/>
      <c r="H13" s="9"/>
      <c r="I13" s="9"/>
    </row>
    <row r="14" spans="1:11" ht="34.9" customHeight="1" thickBot="1" x14ac:dyDescent="0.25">
      <c r="B14" s="14"/>
      <c r="C14" s="16"/>
      <c r="D14" s="17" t="s">
        <v>11</v>
      </c>
      <c r="E14" s="10"/>
      <c r="F14" s="10"/>
      <c r="G14" s="10"/>
      <c r="H14" s="10"/>
      <c r="I14" s="10"/>
    </row>
    <row r="15" spans="1:11" ht="34.9" customHeight="1" x14ac:dyDescent="0.2">
      <c r="B15" s="11" t="s">
        <v>0</v>
      </c>
      <c r="C15" s="15">
        <v>4</v>
      </c>
      <c r="D15" s="13" t="s">
        <v>10</v>
      </c>
      <c r="E15" s="9"/>
      <c r="F15" s="9"/>
      <c r="G15" s="9"/>
      <c r="H15" s="9"/>
      <c r="I15" s="9"/>
    </row>
    <row r="16" spans="1:11" ht="34.9" customHeight="1" thickBot="1" x14ac:dyDescent="0.25">
      <c r="B16" s="14"/>
      <c r="C16" s="16"/>
      <c r="D16" s="17" t="s">
        <v>11</v>
      </c>
      <c r="E16" s="10"/>
      <c r="F16" s="10"/>
      <c r="G16" s="10"/>
      <c r="H16" s="10"/>
      <c r="I16" s="10"/>
    </row>
    <row r="17" spans="2:9" ht="34.9" customHeight="1" x14ac:dyDescent="0.2">
      <c r="B17" s="11" t="s">
        <v>1</v>
      </c>
      <c r="C17" s="15">
        <v>4</v>
      </c>
      <c r="D17" s="13" t="s">
        <v>11</v>
      </c>
      <c r="E17" s="9"/>
      <c r="F17" s="9"/>
      <c r="G17" s="9"/>
      <c r="H17" s="9"/>
      <c r="I17" s="9"/>
    </row>
    <row r="18" spans="2:9" ht="34.9" customHeight="1" thickBot="1" x14ac:dyDescent="0.25">
      <c r="B18" s="14"/>
      <c r="C18" s="16"/>
      <c r="D18" s="17" t="s">
        <v>10</v>
      </c>
      <c r="E18" s="10"/>
      <c r="F18" s="10"/>
      <c r="G18" s="10"/>
      <c r="H18" s="10"/>
      <c r="I18" s="10"/>
    </row>
    <row r="19" spans="2:9" ht="34.9" customHeight="1" x14ac:dyDescent="0.2">
      <c r="B19" s="11" t="s">
        <v>1</v>
      </c>
      <c r="C19" s="15">
        <v>3</v>
      </c>
      <c r="D19" s="13" t="s">
        <v>11</v>
      </c>
      <c r="E19" s="9"/>
      <c r="F19" s="9"/>
      <c r="G19" s="9"/>
      <c r="H19" s="9"/>
      <c r="I19" s="9"/>
    </row>
    <row r="20" spans="2:9" ht="34.9" customHeight="1" thickBot="1" x14ac:dyDescent="0.25">
      <c r="B20" s="14"/>
      <c r="C20" s="16"/>
      <c r="D20" s="17" t="s">
        <v>10</v>
      </c>
      <c r="E20" s="10"/>
      <c r="F20" s="10"/>
      <c r="G20" s="10"/>
      <c r="H20" s="10"/>
      <c r="I20" s="10"/>
    </row>
    <row r="21" spans="2:9" ht="34.9" customHeight="1" x14ac:dyDescent="0.2">
      <c r="B21" s="11" t="s">
        <v>1</v>
      </c>
      <c r="C21" s="15">
        <v>2</v>
      </c>
      <c r="D21" s="13" t="s">
        <v>11</v>
      </c>
      <c r="E21" s="9"/>
      <c r="F21" s="9"/>
      <c r="G21" s="9"/>
      <c r="H21" s="9"/>
      <c r="I21" s="9"/>
    </row>
    <row r="22" spans="2:9" ht="34.9" customHeight="1" thickBot="1" x14ac:dyDescent="0.25">
      <c r="B22" s="14"/>
      <c r="C22" s="16"/>
      <c r="D22" s="17" t="s">
        <v>10</v>
      </c>
      <c r="E22" s="10"/>
      <c r="F22" s="10"/>
      <c r="G22" s="10"/>
      <c r="H22" s="10"/>
      <c r="I22" s="10"/>
    </row>
    <row r="23" spans="2:9" ht="34.9" customHeight="1" x14ac:dyDescent="0.2">
      <c r="B23" s="11" t="s">
        <v>1</v>
      </c>
      <c r="C23" s="15">
        <v>1</v>
      </c>
      <c r="D23" s="13" t="s">
        <v>11</v>
      </c>
      <c r="E23" s="9"/>
      <c r="F23" s="9"/>
      <c r="G23" s="9"/>
      <c r="H23" s="9"/>
      <c r="I23" s="9"/>
    </row>
    <row r="24" spans="2:9" ht="34.9" customHeight="1" thickBot="1" x14ac:dyDescent="0.25">
      <c r="B24" s="14"/>
      <c r="C24" s="16"/>
      <c r="D24" s="17" t="s">
        <v>10</v>
      </c>
      <c r="E24" s="10"/>
      <c r="F24" s="10"/>
      <c r="G24" s="10"/>
      <c r="H24" s="10"/>
      <c r="I24" s="10"/>
    </row>
    <row r="25" spans="2:9" ht="34.9" customHeight="1" x14ac:dyDescent="0.2">
      <c r="B25" s="11" t="s">
        <v>2</v>
      </c>
      <c r="C25" s="15">
        <v>1</v>
      </c>
      <c r="D25" s="13" t="s">
        <v>10</v>
      </c>
      <c r="E25" s="9"/>
      <c r="F25" s="9"/>
      <c r="G25" s="9"/>
      <c r="H25" s="9"/>
      <c r="I25" s="9"/>
    </row>
    <row r="26" spans="2:9" ht="34.9" customHeight="1" thickBot="1" x14ac:dyDescent="0.25">
      <c r="B26" s="14"/>
      <c r="C26" s="16"/>
      <c r="D26" s="17" t="s">
        <v>11</v>
      </c>
      <c r="E26" s="10"/>
      <c r="F26" s="10"/>
      <c r="G26" s="10"/>
      <c r="H26" s="10"/>
      <c r="I26" s="10"/>
    </row>
    <row r="27" spans="2:9" ht="34.9" customHeight="1" x14ac:dyDescent="0.2">
      <c r="B27" s="11" t="s">
        <v>2</v>
      </c>
      <c r="C27" s="15">
        <v>2</v>
      </c>
      <c r="D27" s="13" t="s">
        <v>10</v>
      </c>
      <c r="E27" s="9"/>
      <c r="F27" s="9"/>
      <c r="G27" s="9"/>
      <c r="H27" s="9"/>
      <c r="I27" s="9"/>
    </row>
    <row r="28" spans="2:9" ht="34.9" customHeight="1" thickBot="1" x14ac:dyDescent="0.25">
      <c r="B28" s="14"/>
      <c r="C28" s="16"/>
      <c r="D28" s="17" t="s">
        <v>11</v>
      </c>
      <c r="E28" s="10"/>
      <c r="F28" s="10"/>
      <c r="G28" s="10"/>
      <c r="H28" s="10"/>
      <c r="I28" s="10"/>
    </row>
    <row r="29" spans="2:9" ht="34.9" customHeight="1" x14ac:dyDescent="0.2">
      <c r="B29" s="11" t="s">
        <v>2</v>
      </c>
      <c r="C29" s="15">
        <v>3</v>
      </c>
      <c r="D29" s="13" t="s">
        <v>10</v>
      </c>
      <c r="E29" s="9"/>
      <c r="F29" s="9"/>
      <c r="G29" s="9"/>
      <c r="H29" s="9"/>
      <c r="I29" s="9"/>
    </row>
    <row r="30" spans="2:9" ht="34.9" customHeight="1" thickBot="1" x14ac:dyDescent="0.25">
      <c r="B30" s="14"/>
      <c r="C30" s="16"/>
      <c r="D30" s="17" t="s">
        <v>11</v>
      </c>
      <c r="E30" s="10"/>
      <c r="F30" s="10"/>
      <c r="G30" s="10"/>
      <c r="H30" s="10"/>
      <c r="I30" s="10"/>
    </row>
    <row r="31" spans="2:9" ht="34.9" customHeight="1" x14ac:dyDescent="0.2">
      <c r="B31" s="11" t="s">
        <v>2</v>
      </c>
      <c r="C31" s="15">
        <v>4</v>
      </c>
      <c r="D31" s="13" t="s">
        <v>10</v>
      </c>
      <c r="E31" s="9"/>
      <c r="F31" s="9"/>
      <c r="G31" s="9"/>
      <c r="H31" s="9"/>
      <c r="I31" s="9"/>
    </row>
    <row r="32" spans="2:9" ht="34.9" customHeight="1" thickBot="1" x14ac:dyDescent="0.25">
      <c r="B32" s="14"/>
      <c r="C32" s="16"/>
      <c r="D32" s="17" t="s">
        <v>11</v>
      </c>
      <c r="E32" s="10"/>
      <c r="F32" s="10"/>
      <c r="G32" s="10"/>
      <c r="H32" s="10"/>
      <c r="I32" s="10"/>
    </row>
    <row r="33" spans="2:9" ht="34.9" customHeight="1" x14ac:dyDescent="0.2">
      <c r="B33" s="11" t="s">
        <v>3</v>
      </c>
      <c r="C33" s="15">
        <v>4</v>
      </c>
      <c r="D33" s="13" t="s">
        <v>11</v>
      </c>
      <c r="E33" s="9"/>
      <c r="F33" s="9"/>
      <c r="G33" s="9"/>
      <c r="H33" s="9"/>
      <c r="I33" s="9"/>
    </row>
    <row r="34" spans="2:9" ht="34.9" customHeight="1" thickBot="1" x14ac:dyDescent="0.25">
      <c r="B34" s="14"/>
      <c r="C34" s="16"/>
      <c r="D34" s="17" t="s">
        <v>10</v>
      </c>
      <c r="E34" s="10"/>
      <c r="F34" s="10"/>
      <c r="G34" s="10"/>
      <c r="H34" s="10"/>
      <c r="I34" s="10"/>
    </row>
    <row r="35" spans="2:9" ht="34.9" customHeight="1" x14ac:dyDescent="0.2">
      <c r="B35" s="11" t="s">
        <v>3</v>
      </c>
      <c r="C35" s="15">
        <v>3</v>
      </c>
      <c r="D35" s="13" t="s">
        <v>11</v>
      </c>
      <c r="E35" s="9"/>
      <c r="F35" s="9"/>
      <c r="G35" s="9"/>
      <c r="H35" s="9"/>
      <c r="I35" s="9"/>
    </row>
    <row r="36" spans="2:9" ht="34.9" customHeight="1" thickBot="1" x14ac:dyDescent="0.25">
      <c r="B36" s="14"/>
      <c r="C36" s="16"/>
      <c r="D36" s="17" t="s">
        <v>10</v>
      </c>
      <c r="E36" s="10"/>
      <c r="F36" s="10"/>
      <c r="G36" s="10"/>
      <c r="H36" s="10"/>
      <c r="I36" s="10"/>
    </row>
    <row r="37" spans="2:9" ht="34.9" customHeight="1" x14ac:dyDescent="0.2">
      <c r="B37" s="11" t="s">
        <v>3</v>
      </c>
      <c r="C37" s="15">
        <v>2</v>
      </c>
      <c r="D37" s="13" t="s">
        <v>11</v>
      </c>
      <c r="E37" s="9"/>
      <c r="F37" s="9"/>
      <c r="G37" s="9"/>
      <c r="H37" s="9"/>
      <c r="I37" s="9"/>
    </row>
    <row r="38" spans="2:9" ht="34.9" customHeight="1" thickBot="1" x14ac:dyDescent="0.25">
      <c r="B38" s="14"/>
      <c r="C38" s="16"/>
      <c r="D38" s="17" t="s">
        <v>10</v>
      </c>
      <c r="E38" s="10"/>
      <c r="F38" s="10"/>
      <c r="G38" s="10"/>
      <c r="H38" s="10"/>
      <c r="I38" s="10"/>
    </row>
    <row r="39" spans="2:9" ht="34.9" customHeight="1" x14ac:dyDescent="0.2">
      <c r="B39" s="11" t="s">
        <v>3</v>
      </c>
      <c r="C39" s="15">
        <v>1</v>
      </c>
      <c r="D39" s="13" t="s">
        <v>11</v>
      </c>
      <c r="E39" s="9"/>
      <c r="F39" s="9"/>
      <c r="G39" s="9"/>
      <c r="H39" s="9"/>
      <c r="I39" s="9"/>
    </row>
    <row r="40" spans="2:9" ht="34.9" customHeight="1" thickBot="1" x14ac:dyDescent="0.25">
      <c r="B40" s="14"/>
      <c r="C40" s="16"/>
      <c r="D40" s="17" t="s">
        <v>10</v>
      </c>
      <c r="E40" s="10"/>
      <c r="F40" s="10"/>
      <c r="G40" s="10"/>
      <c r="H40" s="10"/>
      <c r="I40" s="10"/>
    </row>
    <row r="41" spans="2:9" ht="34.9" customHeight="1" x14ac:dyDescent="0.2">
      <c r="B41" s="11" t="s">
        <v>4</v>
      </c>
      <c r="C41" s="15">
        <v>1</v>
      </c>
      <c r="D41" s="13" t="s">
        <v>10</v>
      </c>
      <c r="E41" s="9"/>
      <c r="F41" s="9"/>
      <c r="G41" s="9"/>
      <c r="H41" s="9"/>
      <c r="I41" s="9"/>
    </row>
    <row r="42" spans="2:9" ht="34.9" customHeight="1" thickBot="1" x14ac:dyDescent="0.25">
      <c r="B42" s="14"/>
      <c r="C42" s="16"/>
      <c r="D42" s="17" t="s">
        <v>11</v>
      </c>
      <c r="E42" s="10"/>
      <c r="F42" s="10"/>
      <c r="G42" s="10"/>
      <c r="H42" s="10"/>
      <c r="I42" s="10"/>
    </row>
    <row r="43" spans="2:9" ht="34.9" customHeight="1" x14ac:dyDescent="0.2">
      <c r="B43" s="11" t="s">
        <v>4</v>
      </c>
      <c r="C43" s="15">
        <v>2</v>
      </c>
      <c r="D43" s="13" t="s">
        <v>10</v>
      </c>
      <c r="E43" s="9"/>
      <c r="F43" s="9"/>
      <c r="G43" s="9"/>
      <c r="H43" s="9"/>
      <c r="I43" s="9"/>
    </row>
    <row r="44" spans="2:9" ht="34.9" customHeight="1" thickBot="1" x14ac:dyDescent="0.25">
      <c r="B44" s="14"/>
      <c r="C44" s="16"/>
      <c r="D44" s="17" t="s">
        <v>11</v>
      </c>
      <c r="E44" s="10"/>
      <c r="F44" s="10"/>
      <c r="G44" s="10"/>
      <c r="H44" s="10"/>
      <c r="I44" s="10"/>
    </row>
    <row r="45" spans="2:9" ht="34.9" customHeight="1" x14ac:dyDescent="0.2">
      <c r="B45" s="11" t="s">
        <v>4</v>
      </c>
      <c r="C45" s="15">
        <v>3</v>
      </c>
      <c r="D45" s="13" t="s">
        <v>10</v>
      </c>
      <c r="E45" s="9"/>
      <c r="F45" s="9"/>
      <c r="G45" s="9"/>
      <c r="H45" s="9"/>
      <c r="I45" s="9"/>
    </row>
    <row r="46" spans="2:9" ht="34.9" customHeight="1" thickBot="1" x14ac:dyDescent="0.25">
      <c r="B46" s="14"/>
      <c r="C46" s="16"/>
      <c r="D46" s="17" t="s">
        <v>11</v>
      </c>
      <c r="E46" s="10"/>
      <c r="F46" s="10"/>
      <c r="G46" s="10"/>
      <c r="H46" s="10"/>
      <c r="I46" s="10"/>
    </row>
    <row r="47" spans="2:9" ht="34.9" customHeight="1" x14ac:dyDescent="0.2">
      <c r="B47" s="11" t="s">
        <v>4</v>
      </c>
      <c r="C47" s="15">
        <v>4</v>
      </c>
      <c r="D47" s="13" t="s">
        <v>10</v>
      </c>
      <c r="E47" s="9"/>
      <c r="F47" s="9"/>
      <c r="G47" s="9"/>
      <c r="H47" s="9"/>
      <c r="I47" s="9"/>
    </row>
    <row r="48" spans="2:9" ht="34.9" customHeight="1" thickBot="1" x14ac:dyDescent="0.25">
      <c r="B48" s="14"/>
      <c r="C48" s="16"/>
      <c r="D48" s="17" t="s">
        <v>11</v>
      </c>
      <c r="E48" s="10"/>
      <c r="F48" s="10"/>
      <c r="G48" s="10"/>
      <c r="H48" s="10"/>
      <c r="I48" s="10"/>
    </row>
    <row r="49" spans="2:9" ht="34.9" customHeight="1" x14ac:dyDescent="0.2">
      <c r="B49" s="11" t="s">
        <v>5</v>
      </c>
      <c r="C49" s="15">
        <v>4</v>
      </c>
      <c r="D49" s="13" t="s">
        <v>11</v>
      </c>
      <c r="E49" s="9"/>
      <c r="F49" s="9"/>
      <c r="G49" s="9"/>
      <c r="H49" s="9"/>
      <c r="I49" s="9"/>
    </row>
    <row r="50" spans="2:9" ht="34.9" customHeight="1" thickBot="1" x14ac:dyDescent="0.25">
      <c r="B50" s="14"/>
      <c r="C50" s="16"/>
      <c r="D50" s="17" t="s">
        <v>10</v>
      </c>
      <c r="E50" s="10"/>
      <c r="F50" s="10"/>
      <c r="G50" s="10"/>
      <c r="H50" s="10"/>
      <c r="I50" s="10"/>
    </row>
    <row r="51" spans="2:9" ht="34.9" customHeight="1" x14ac:dyDescent="0.2">
      <c r="B51" s="11" t="s">
        <v>5</v>
      </c>
      <c r="C51" s="15">
        <v>3</v>
      </c>
      <c r="D51" s="13" t="s">
        <v>11</v>
      </c>
      <c r="E51" s="9"/>
      <c r="F51" s="9"/>
      <c r="G51" s="9"/>
      <c r="H51" s="9"/>
      <c r="I51" s="9"/>
    </row>
    <row r="52" spans="2:9" ht="34.9" customHeight="1" thickBot="1" x14ac:dyDescent="0.25">
      <c r="B52" s="14"/>
      <c r="C52" s="16"/>
      <c r="D52" s="17" t="s">
        <v>10</v>
      </c>
      <c r="E52" s="10"/>
      <c r="F52" s="10"/>
      <c r="G52" s="10"/>
      <c r="H52" s="10"/>
      <c r="I52" s="10"/>
    </row>
    <row r="53" spans="2:9" ht="34.9" customHeight="1" x14ac:dyDescent="0.2">
      <c r="B53" s="11" t="s">
        <v>5</v>
      </c>
      <c r="C53" s="15">
        <v>2</v>
      </c>
      <c r="D53" s="13" t="s">
        <v>11</v>
      </c>
      <c r="E53" s="9"/>
      <c r="F53" s="9"/>
      <c r="G53" s="9"/>
      <c r="H53" s="9"/>
      <c r="I53" s="9"/>
    </row>
    <row r="54" spans="2:9" ht="34.9" customHeight="1" thickBot="1" x14ac:dyDescent="0.25">
      <c r="B54" s="14"/>
      <c r="C54" s="16"/>
      <c r="D54" s="17" t="s">
        <v>10</v>
      </c>
      <c r="E54" s="10"/>
      <c r="F54" s="10"/>
      <c r="G54" s="10"/>
      <c r="H54" s="10"/>
      <c r="I54" s="10"/>
    </row>
    <row r="55" spans="2:9" ht="34.9" customHeight="1" x14ac:dyDescent="0.2">
      <c r="B55" s="11" t="s">
        <v>5</v>
      </c>
      <c r="C55" s="15">
        <v>1</v>
      </c>
      <c r="D55" s="13" t="s">
        <v>11</v>
      </c>
      <c r="E55" s="9"/>
      <c r="F55" s="9"/>
      <c r="G55" s="9"/>
      <c r="H55" s="9"/>
      <c r="I55" s="9"/>
    </row>
    <row r="56" spans="2:9" ht="34.9" customHeight="1" thickBot="1" x14ac:dyDescent="0.25">
      <c r="B56" s="14"/>
      <c r="C56" s="16"/>
      <c r="D56" s="17" t="s">
        <v>10</v>
      </c>
      <c r="E56" s="10"/>
      <c r="F56" s="10"/>
      <c r="G56" s="10"/>
      <c r="H56" s="10"/>
      <c r="I56" s="10"/>
    </row>
  </sheetData>
  <mergeCells count="2">
    <mergeCell ref="B7:H7"/>
    <mergeCell ref="B8:C8"/>
  </mergeCells>
  <printOptions horizontalCentered="1" verticalCentered="1"/>
  <pageMargins left="0.2" right="0.2" top="0.25" bottom="0.25" header="0" footer="0"/>
  <pageSetup scale="80" fitToHeight="2" orientation="portrait" r:id="rId1"/>
  <headerFooter>
    <oddFooter>&amp;R&amp;8&amp;D&amp;   &amp;Z&amp;F&amp;' page &amp;P&amp;' o&amp;Of &amp;N</oddFooter>
  </headerFooter>
  <rowBreaks count="1" manualBreakCount="1">
    <brk id="32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1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" style="44" customWidth="1"/>
    <col min="6" max="22" width="11.140625" customWidth="1"/>
  </cols>
  <sheetData>
    <row r="1" spans="1:22" ht="15.75" x14ac:dyDescent="0.25">
      <c r="A1" s="6" t="s">
        <v>18</v>
      </c>
      <c r="B1" s="28">
        <v>2019</v>
      </c>
      <c r="C1" s="29"/>
      <c r="D1" s="8" t="s">
        <v>25</v>
      </c>
      <c r="E1" s="45"/>
      <c r="F1" s="8" t="s">
        <v>6</v>
      </c>
      <c r="G1" s="8"/>
    </row>
    <row r="2" spans="1:22" ht="14.45" customHeight="1" x14ac:dyDescent="0.25">
      <c r="A2" s="6"/>
      <c r="B2" s="7"/>
      <c r="C2" s="8"/>
      <c r="D2" s="8"/>
      <c r="E2" s="45"/>
    </row>
    <row r="3" spans="1:22" ht="15" x14ac:dyDescent="0.25">
      <c r="B3" s="30" t="s">
        <v>19</v>
      </c>
    </row>
    <row r="4" spans="1:22" ht="7.9" customHeight="1" x14ac:dyDescent="0.2">
      <c r="B4" s="5"/>
      <c r="M4" s="4"/>
      <c r="N4" s="4"/>
      <c r="O4" s="4"/>
      <c r="P4" s="4"/>
      <c r="Q4" s="4"/>
      <c r="R4" s="4"/>
      <c r="S4" s="4"/>
      <c r="T4" s="4"/>
      <c r="U4" s="4"/>
    </row>
    <row r="5" spans="1:22" x14ac:dyDescent="0.2">
      <c r="B5" s="2"/>
      <c r="M5" s="4"/>
      <c r="N5" s="4"/>
      <c r="O5" s="4"/>
      <c r="P5" s="4"/>
      <c r="Q5" s="4"/>
      <c r="R5" s="4"/>
      <c r="S5" s="4"/>
      <c r="T5" s="4"/>
      <c r="U5" s="4"/>
    </row>
    <row r="6" spans="1:22" x14ac:dyDescent="0.2">
      <c r="B6" s="2"/>
      <c r="M6" s="4"/>
      <c r="N6" s="4"/>
      <c r="O6" s="4"/>
      <c r="P6" s="4"/>
      <c r="Q6" s="4"/>
      <c r="R6" s="4"/>
      <c r="S6" s="4"/>
      <c r="T6" s="4"/>
      <c r="U6" s="4"/>
    </row>
    <row r="7" spans="1:22" ht="12" customHeight="1" x14ac:dyDescent="0.2">
      <c r="B7" s="2"/>
      <c r="H7" s="56"/>
      <c r="I7" s="41" t="s">
        <v>49</v>
      </c>
      <c r="M7" s="4"/>
      <c r="N7" s="4"/>
      <c r="O7" s="56"/>
      <c r="P7" s="56"/>
      <c r="Q7" s="56"/>
      <c r="R7" s="4"/>
      <c r="S7" s="4"/>
      <c r="T7" s="4"/>
      <c r="U7" s="4"/>
    </row>
    <row r="8" spans="1:22" s="39" customFormat="1" x14ac:dyDescent="0.2">
      <c r="D8" s="49" t="s">
        <v>26</v>
      </c>
      <c r="F8" s="39" t="s">
        <v>40</v>
      </c>
      <c r="G8" s="39" t="s">
        <v>40</v>
      </c>
      <c r="H8" s="39" t="s">
        <v>40</v>
      </c>
      <c r="I8" s="39" t="s">
        <v>40</v>
      </c>
      <c r="J8" s="39" t="s">
        <v>40</v>
      </c>
      <c r="K8" s="39" t="s">
        <v>40</v>
      </c>
      <c r="L8" s="39" t="s">
        <v>40</v>
      </c>
      <c r="M8" s="39" t="s">
        <v>40</v>
      </c>
      <c r="N8" s="39" t="s">
        <v>40</v>
      </c>
      <c r="O8" s="39" t="s">
        <v>40</v>
      </c>
      <c r="P8" s="39" t="s">
        <v>40</v>
      </c>
      <c r="Q8" s="39" t="s">
        <v>40</v>
      </c>
      <c r="R8" s="39" t="s">
        <v>40</v>
      </c>
      <c r="S8" s="39" t="s">
        <v>40</v>
      </c>
      <c r="T8" s="39" t="s">
        <v>40</v>
      </c>
      <c r="U8" s="39" t="s">
        <v>40</v>
      </c>
      <c r="V8" s="39" t="s">
        <v>40</v>
      </c>
    </row>
    <row r="9" spans="1:22" x14ac:dyDescent="0.2">
      <c r="B9" s="2"/>
      <c r="D9" s="49" t="s">
        <v>27</v>
      </c>
      <c r="F9" s="22">
        <v>43606</v>
      </c>
      <c r="G9" s="22">
        <v>43613</v>
      </c>
      <c r="H9" s="22">
        <v>43619</v>
      </c>
      <c r="I9" s="22">
        <v>43627</v>
      </c>
      <c r="J9" s="22">
        <v>43633</v>
      </c>
      <c r="K9" s="22">
        <v>43641</v>
      </c>
      <c r="L9" s="22">
        <v>43647</v>
      </c>
      <c r="M9" s="22">
        <v>43654</v>
      </c>
      <c r="N9" s="22">
        <v>43661</v>
      </c>
      <c r="O9" s="22">
        <v>43668</v>
      </c>
      <c r="P9" s="22">
        <v>43676</v>
      </c>
      <c r="Q9" s="22">
        <v>43682</v>
      </c>
      <c r="R9" s="22">
        <v>43690</v>
      </c>
      <c r="S9" s="22">
        <v>43697</v>
      </c>
      <c r="T9" s="22">
        <v>43703</v>
      </c>
      <c r="U9" s="22">
        <v>43711</v>
      </c>
      <c r="V9" s="22">
        <v>43724</v>
      </c>
    </row>
    <row r="10" spans="1:22" ht="15.6" customHeight="1" x14ac:dyDescent="0.2">
      <c r="B10" s="5"/>
      <c r="D10" s="49" t="s">
        <v>29</v>
      </c>
      <c r="F10" s="18">
        <v>141</v>
      </c>
      <c r="G10" s="18">
        <v>148</v>
      </c>
      <c r="H10" s="18">
        <v>154</v>
      </c>
      <c r="I10" s="18">
        <v>162</v>
      </c>
      <c r="J10" s="18">
        <v>168</v>
      </c>
      <c r="K10" s="18">
        <v>176</v>
      </c>
      <c r="L10" s="18">
        <v>182</v>
      </c>
      <c r="M10" s="18">
        <v>189</v>
      </c>
      <c r="N10" s="18">
        <v>196</v>
      </c>
      <c r="O10" s="18">
        <v>203</v>
      </c>
      <c r="P10" s="18">
        <v>211</v>
      </c>
      <c r="Q10" s="18">
        <v>217</v>
      </c>
      <c r="R10" s="18" t="s">
        <v>56</v>
      </c>
      <c r="S10" s="18" t="s">
        <v>58</v>
      </c>
      <c r="T10" s="18" t="s">
        <v>61</v>
      </c>
      <c r="U10" s="18" t="s">
        <v>66</v>
      </c>
      <c r="V10" s="18" t="s">
        <v>67</v>
      </c>
    </row>
    <row r="11" spans="1:22" s="58" customFormat="1" ht="22.15" customHeight="1" x14ac:dyDescent="0.2">
      <c r="B11" s="37"/>
      <c r="D11" s="57" t="s">
        <v>28</v>
      </c>
      <c r="E11" s="57"/>
      <c r="F11" s="59" t="s">
        <v>41</v>
      </c>
      <c r="G11" s="26" t="s">
        <v>46</v>
      </c>
      <c r="H11" s="59" t="s">
        <v>47</v>
      </c>
      <c r="I11" s="59" t="s">
        <v>48</v>
      </c>
      <c r="J11" s="59" t="s">
        <v>50</v>
      </c>
      <c r="K11" s="59" t="s">
        <v>51</v>
      </c>
      <c r="L11" s="59" t="s">
        <v>52</v>
      </c>
      <c r="M11" s="59" t="s">
        <v>53</v>
      </c>
      <c r="N11" s="59" t="s">
        <v>54</v>
      </c>
      <c r="O11" s="40" t="s">
        <v>55</v>
      </c>
      <c r="P11" s="40" t="s">
        <v>65</v>
      </c>
      <c r="Q11" s="40" t="s">
        <v>55</v>
      </c>
      <c r="R11" s="40" t="s">
        <v>57</v>
      </c>
      <c r="S11" s="40" t="s">
        <v>59</v>
      </c>
      <c r="T11" s="59" t="s">
        <v>62</v>
      </c>
      <c r="U11" s="59" t="s">
        <v>63</v>
      </c>
      <c r="V11" s="59" t="s">
        <v>64</v>
      </c>
    </row>
    <row r="12" spans="1:22" ht="20.45" customHeight="1" thickBot="1" x14ac:dyDescent="0.25">
      <c r="B12" s="213" t="s">
        <v>7</v>
      </c>
      <c r="C12" s="213"/>
      <c r="D12" s="18" t="s">
        <v>12</v>
      </c>
      <c r="E12" s="45" t="s">
        <v>24</v>
      </c>
      <c r="F12" s="18" t="s">
        <v>20</v>
      </c>
      <c r="G12" s="18" t="s">
        <v>20</v>
      </c>
      <c r="H12" s="18" t="s">
        <v>20</v>
      </c>
      <c r="I12" s="18" t="s">
        <v>20</v>
      </c>
      <c r="J12" s="18" t="s">
        <v>20</v>
      </c>
      <c r="K12" s="18" t="s">
        <v>20</v>
      </c>
      <c r="L12" s="18" t="s">
        <v>20</v>
      </c>
      <c r="M12" s="18" t="s">
        <v>20</v>
      </c>
      <c r="N12" s="18" t="s">
        <v>20</v>
      </c>
      <c r="O12" s="18" t="s">
        <v>20</v>
      </c>
      <c r="P12" s="18" t="s">
        <v>20</v>
      </c>
      <c r="Q12" s="18" t="s">
        <v>20</v>
      </c>
      <c r="R12" s="18" t="s">
        <v>20</v>
      </c>
      <c r="S12" s="18" t="s">
        <v>20</v>
      </c>
      <c r="T12" s="18" t="s">
        <v>20</v>
      </c>
      <c r="U12" s="18" t="s">
        <v>20</v>
      </c>
      <c r="V12" s="18" t="s">
        <v>20</v>
      </c>
    </row>
    <row r="13" spans="1:22" ht="19.899999999999999" customHeight="1" x14ac:dyDescent="0.2">
      <c r="A13" s="31"/>
      <c r="B13" s="11" t="s">
        <v>0</v>
      </c>
      <c r="C13" s="15">
        <v>1</v>
      </c>
      <c r="D13" s="32" t="s">
        <v>10</v>
      </c>
      <c r="E13" s="46" t="s">
        <v>35</v>
      </c>
      <c r="F13" s="34">
        <v>10</v>
      </c>
      <c r="G13" s="9">
        <v>14</v>
      </c>
      <c r="H13" s="9">
        <v>15</v>
      </c>
      <c r="I13" s="23">
        <v>23</v>
      </c>
      <c r="J13" s="9">
        <v>32</v>
      </c>
      <c r="K13" s="9">
        <v>38</v>
      </c>
      <c r="L13" s="9">
        <v>56</v>
      </c>
      <c r="M13" s="9">
        <v>71</v>
      </c>
      <c r="N13" s="9">
        <v>83</v>
      </c>
      <c r="O13" s="42">
        <v>91</v>
      </c>
      <c r="P13" s="61">
        <v>104</v>
      </c>
      <c r="Q13" s="61">
        <v>113</v>
      </c>
      <c r="R13" s="9">
        <v>109</v>
      </c>
      <c r="S13" s="9">
        <v>111</v>
      </c>
      <c r="T13" s="9">
        <v>109</v>
      </c>
      <c r="U13" s="9">
        <v>107</v>
      </c>
      <c r="V13" s="9">
        <v>101</v>
      </c>
    </row>
    <row r="14" spans="1:22" ht="19.899999999999999" customHeight="1" thickBot="1" x14ac:dyDescent="0.25">
      <c r="A14" s="31"/>
      <c r="B14" s="14"/>
      <c r="C14" s="16"/>
      <c r="D14" s="33" t="s">
        <v>11</v>
      </c>
      <c r="E14" s="47" t="s">
        <v>35</v>
      </c>
      <c r="F14" s="35">
        <v>10</v>
      </c>
      <c r="G14" s="10">
        <v>15</v>
      </c>
      <c r="H14" s="10">
        <v>18</v>
      </c>
      <c r="I14" s="24">
        <v>31</v>
      </c>
      <c r="J14" s="10">
        <v>44</v>
      </c>
      <c r="K14" s="10">
        <v>53</v>
      </c>
      <c r="L14" s="10">
        <v>64</v>
      </c>
      <c r="M14" s="10">
        <v>73</v>
      </c>
      <c r="N14" s="10">
        <v>84</v>
      </c>
      <c r="O14" s="24">
        <v>96</v>
      </c>
      <c r="P14" s="35">
        <v>94</v>
      </c>
      <c r="Q14" s="35">
        <v>102</v>
      </c>
      <c r="R14" s="10">
        <v>98</v>
      </c>
      <c r="S14" s="10">
        <v>100</v>
      </c>
      <c r="T14" s="10">
        <v>102</v>
      </c>
      <c r="U14" s="10">
        <v>104</v>
      </c>
      <c r="V14" s="10">
        <v>109</v>
      </c>
    </row>
    <row r="15" spans="1:22" ht="19.899999999999999" customHeight="1" x14ac:dyDescent="0.2">
      <c r="A15" s="31"/>
      <c r="B15" s="11" t="s">
        <v>0</v>
      </c>
      <c r="C15" s="15">
        <v>2</v>
      </c>
      <c r="D15" s="13" t="s">
        <v>10</v>
      </c>
      <c r="E15" s="46" t="s">
        <v>36</v>
      </c>
      <c r="F15" s="9">
        <v>11</v>
      </c>
      <c r="G15" s="9">
        <v>14</v>
      </c>
      <c r="H15" s="9">
        <v>19</v>
      </c>
      <c r="I15" s="23">
        <v>27</v>
      </c>
      <c r="J15" s="9">
        <v>41</v>
      </c>
      <c r="K15" s="9">
        <v>54</v>
      </c>
      <c r="L15" s="9">
        <v>67</v>
      </c>
      <c r="M15" s="9">
        <v>73</v>
      </c>
      <c r="N15" s="9">
        <v>82</v>
      </c>
      <c r="O15" s="23">
        <v>93</v>
      </c>
      <c r="P15" s="34">
        <v>97</v>
      </c>
      <c r="Q15" s="34">
        <v>105</v>
      </c>
      <c r="R15" s="9">
        <v>94</v>
      </c>
      <c r="S15" s="9">
        <v>80</v>
      </c>
      <c r="T15" s="9">
        <v>89</v>
      </c>
      <c r="U15" s="9">
        <v>95</v>
      </c>
      <c r="V15" s="9">
        <v>114</v>
      </c>
    </row>
    <row r="16" spans="1:22" ht="19.899999999999999" customHeight="1" thickBot="1" x14ac:dyDescent="0.25">
      <c r="A16" s="31"/>
      <c r="B16" s="14"/>
      <c r="C16" s="16"/>
      <c r="D16" s="17" t="s">
        <v>11</v>
      </c>
      <c r="E16" s="47" t="s">
        <v>36</v>
      </c>
      <c r="F16" s="10">
        <v>12</v>
      </c>
      <c r="G16" s="10">
        <v>14</v>
      </c>
      <c r="H16" s="10">
        <v>19</v>
      </c>
      <c r="I16" s="24">
        <v>31</v>
      </c>
      <c r="J16" s="10">
        <v>43</v>
      </c>
      <c r="K16" s="10">
        <v>60</v>
      </c>
      <c r="L16" s="10">
        <v>75</v>
      </c>
      <c r="M16" s="10">
        <v>91</v>
      </c>
      <c r="N16" s="10">
        <v>98</v>
      </c>
      <c r="O16" s="24">
        <v>108</v>
      </c>
      <c r="P16" s="35">
        <v>113</v>
      </c>
      <c r="Q16" s="35">
        <v>119</v>
      </c>
      <c r="R16" s="10">
        <v>113</v>
      </c>
      <c r="S16" s="10">
        <v>110</v>
      </c>
      <c r="T16" s="10">
        <v>107</v>
      </c>
      <c r="U16" s="10">
        <v>117</v>
      </c>
      <c r="V16" s="10">
        <v>109</v>
      </c>
    </row>
    <row r="17" spans="1:22" ht="19.899999999999999" customHeight="1" x14ac:dyDescent="0.2">
      <c r="A17" s="31"/>
      <c r="B17" s="11" t="s">
        <v>0</v>
      </c>
      <c r="C17" s="15">
        <v>3</v>
      </c>
      <c r="D17" s="13" t="s">
        <v>10</v>
      </c>
      <c r="E17" s="46" t="s">
        <v>35</v>
      </c>
      <c r="F17" s="9">
        <v>12</v>
      </c>
      <c r="G17" s="9">
        <v>15</v>
      </c>
      <c r="H17" s="9">
        <v>22</v>
      </c>
      <c r="I17" s="23">
        <v>34</v>
      </c>
      <c r="J17" s="9">
        <v>40</v>
      </c>
      <c r="K17" s="9">
        <v>47</v>
      </c>
      <c r="L17" s="9">
        <v>61</v>
      </c>
      <c r="M17" s="9">
        <v>68</v>
      </c>
      <c r="N17" s="9">
        <v>73</v>
      </c>
      <c r="O17" s="23">
        <v>76</v>
      </c>
      <c r="P17" s="34">
        <v>77</v>
      </c>
      <c r="Q17" s="34">
        <v>85</v>
      </c>
      <c r="R17" s="9">
        <v>86</v>
      </c>
      <c r="S17" s="9">
        <v>91</v>
      </c>
      <c r="T17" s="9">
        <v>95</v>
      </c>
      <c r="U17" s="9">
        <v>101</v>
      </c>
      <c r="V17" s="9">
        <v>109</v>
      </c>
    </row>
    <row r="18" spans="1:22" ht="19.899999999999999" customHeight="1" thickBot="1" x14ac:dyDescent="0.25">
      <c r="A18" s="31"/>
      <c r="B18" s="14"/>
      <c r="C18" s="16"/>
      <c r="D18" s="17" t="s">
        <v>11</v>
      </c>
      <c r="E18" s="47" t="s">
        <v>35</v>
      </c>
      <c r="F18" s="10">
        <v>9</v>
      </c>
      <c r="G18" s="10">
        <v>12</v>
      </c>
      <c r="H18" s="10">
        <v>18</v>
      </c>
      <c r="I18" s="24">
        <v>25</v>
      </c>
      <c r="J18" s="10">
        <v>34</v>
      </c>
      <c r="K18" s="10">
        <v>48</v>
      </c>
      <c r="L18" s="10">
        <v>61</v>
      </c>
      <c r="M18" s="10">
        <v>74</v>
      </c>
      <c r="N18" s="10">
        <v>86</v>
      </c>
      <c r="O18" s="24">
        <v>97</v>
      </c>
      <c r="P18" s="35">
        <v>102</v>
      </c>
      <c r="Q18" s="35">
        <v>109</v>
      </c>
      <c r="R18" s="10">
        <v>107</v>
      </c>
      <c r="S18" s="10">
        <v>106</v>
      </c>
      <c r="T18" s="10">
        <v>106</v>
      </c>
      <c r="U18" s="10">
        <v>107</v>
      </c>
      <c r="V18" s="10">
        <v>108</v>
      </c>
    </row>
    <row r="19" spans="1:22" ht="19.899999999999999" customHeight="1" x14ac:dyDescent="0.2">
      <c r="A19" s="31"/>
      <c r="B19" s="11" t="s">
        <v>0</v>
      </c>
      <c r="C19" s="15">
        <v>4</v>
      </c>
      <c r="D19" s="13" t="s">
        <v>10</v>
      </c>
      <c r="E19" s="46" t="s">
        <v>37</v>
      </c>
      <c r="F19" s="9">
        <v>9</v>
      </c>
      <c r="G19" s="9">
        <v>13</v>
      </c>
      <c r="H19" s="9">
        <v>15</v>
      </c>
      <c r="I19" s="23">
        <v>25</v>
      </c>
      <c r="J19" s="9">
        <v>33</v>
      </c>
      <c r="K19" s="9">
        <v>47</v>
      </c>
      <c r="L19" s="9">
        <v>58</v>
      </c>
      <c r="M19" s="9">
        <v>74</v>
      </c>
      <c r="N19" s="9">
        <v>85</v>
      </c>
      <c r="O19" s="23">
        <v>92</v>
      </c>
      <c r="P19" s="34">
        <v>100</v>
      </c>
      <c r="Q19" s="34">
        <v>107</v>
      </c>
      <c r="R19" s="9">
        <v>95</v>
      </c>
      <c r="S19" s="9">
        <v>96</v>
      </c>
      <c r="T19" s="9">
        <v>95</v>
      </c>
      <c r="U19" s="9">
        <v>87</v>
      </c>
      <c r="V19" s="9">
        <v>88</v>
      </c>
    </row>
    <row r="20" spans="1:22" ht="19.899999999999999" customHeight="1" thickBot="1" x14ac:dyDescent="0.25">
      <c r="A20" s="31"/>
      <c r="B20" s="14"/>
      <c r="C20" s="16"/>
      <c r="D20" s="17" t="s">
        <v>11</v>
      </c>
      <c r="E20" s="47" t="s">
        <v>37</v>
      </c>
      <c r="F20" s="10">
        <v>11</v>
      </c>
      <c r="G20" s="10">
        <v>13</v>
      </c>
      <c r="H20" s="10">
        <v>17</v>
      </c>
      <c r="I20" s="24">
        <v>28</v>
      </c>
      <c r="J20" s="10">
        <v>36</v>
      </c>
      <c r="K20" s="10">
        <v>49</v>
      </c>
      <c r="L20" s="10">
        <v>66</v>
      </c>
      <c r="M20" s="10">
        <v>79</v>
      </c>
      <c r="N20" s="10">
        <v>86</v>
      </c>
      <c r="O20" s="24">
        <v>98</v>
      </c>
      <c r="P20" s="35">
        <v>98</v>
      </c>
      <c r="Q20" s="35">
        <v>105</v>
      </c>
      <c r="R20" s="10">
        <v>94</v>
      </c>
      <c r="S20" s="10">
        <v>98</v>
      </c>
      <c r="T20" s="10">
        <v>106</v>
      </c>
      <c r="U20" s="10">
        <v>108</v>
      </c>
      <c r="V20" s="10">
        <v>114</v>
      </c>
    </row>
    <row r="21" spans="1:22" ht="19.899999999999999" customHeight="1" x14ac:dyDescent="0.2">
      <c r="A21" s="31"/>
      <c r="B21" s="11" t="s">
        <v>1</v>
      </c>
      <c r="C21" s="15">
        <v>4</v>
      </c>
      <c r="D21" s="13" t="s">
        <v>11</v>
      </c>
      <c r="E21" s="46" t="s">
        <v>38</v>
      </c>
      <c r="F21" s="9">
        <v>10</v>
      </c>
      <c r="G21" s="9">
        <v>12</v>
      </c>
      <c r="H21" s="9">
        <v>18</v>
      </c>
      <c r="I21" s="23">
        <v>29</v>
      </c>
      <c r="J21" s="9">
        <v>37</v>
      </c>
      <c r="K21" s="9">
        <v>53</v>
      </c>
      <c r="L21" s="9">
        <v>67</v>
      </c>
      <c r="M21" s="9">
        <v>77</v>
      </c>
      <c r="N21" s="9">
        <v>83</v>
      </c>
      <c r="O21" s="23">
        <v>87</v>
      </c>
      <c r="P21" s="34">
        <v>89</v>
      </c>
      <c r="Q21" s="34">
        <v>94</v>
      </c>
      <c r="R21" s="9">
        <v>87</v>
      </c>
      <c r="S21" s="9">
        <v>94</v>
      </c>
      <c r="T21" s="9">
        <v>98</v>
      </c>
      <c r="U21" s="9">
        <v>108</v>
      </c>
      <c r="V21" s="9">
        <v>110</v>
      </c>
    </row>
    <row r="22" spans="1:22" ht="19.899999999999999" customHeight="1" thickBot="1" x14ac:dyDescent="0.25">
      <c r="A22" s="31"/>
      <c r="B22" s="14"/>
      <c r="C22" s="16"/>
      <c r="D22" s="17" t="s">
        <v>10</v>
      </c>
      <c r="E22" s="47" t="s">
        <v>38</v>
      </c>
      <c r="F22" s="10">
        <v>11</v>
      </c>
      <c r="G22" s="10">
        <v>14</v>
      </c>
      <c r="H22" s="10">
        <v>20</v>
      </c>
      <c r="I22" s="24">
        <v>32</v>
      </c>
      <c r="J22" s="10">
        <v>41</v>
      </c>
      <c r="K22" s="10">
        <v>58</v>
      </c>
      <c r="L22" s="10">
        <v>68</v>
      </c>
      <c r="M22" s="10">
        <v>80</v>
      </c>
      <c r="N22" s="10">
        <v>88</v>
      </c>
      <c r="O22" s="24">
        <v>94</v>
      </c>
      <c r="P22" s="35">
        <v>97</v>
      </c>
      <c r="Q22" s="35">
        <v>103</v>
      </c>
      <c r="R22" s="10">
        <v>90</v>
      </c>
      <c r="S22" s="10">
        <v>96</v>
      </c>
      <c r="T22" s="10">
        <v>99</v>
      </c>
      <c r="U22" s="10">
        <v>111</v>
      </c>
      <c r="V22" s="10">
        <v>114</v>
      </c>
    </row>
    <row r="23" spans="1:22" ht="19.899999999999999" customHeight="1" x14ac:dyDescent="0.2">
      <c r="A23" s="31"/>
      <c r="B23" s="11" t="s">
        <v>1</v>
      </c>
      <c r="C23" s="15">
        <v>3</v>
      </c>
      <c r="D23" s="13" t="s">
        <v>11</v>
      </c>
      <c r="E23" s="46" t="s">
        <v>36</v>
      </c>
      <c r="F23" s="9">
        <v>10</v>
      </c>
      <c r="G23" s="9">
        <v>12</v>
      </c>
      <c r="H23" s="9">
        <v>18</v>
      </c>
      <c r="I23" s="23">
        <v>27</v>
      </c>
      <c r="J23" s="9">
        <v>35</v>
      </c>
      <c r="K23" s="9">
        <v>47</v>
      </c>
      <c r="L23" s="9">
        <v>59</v>
      </c>
      <c r="M23" s="9">
        <v>69</v>
      </c>
      <c r="N23" s="9">
        <v>75</v>
      </c>
      <c r="O23" s="23">
        <v>78</v>
      </c>
      <c r="P23" s="34">
        <v>86</v>
      </c>
      <c r="Q23" s="34">
        <v>91</v>
      </c>
      <c r="R23" s="9">
        <v>87</v>
      </c>
      <c r="S23" s="9">
        <v>95</v>
      </c>
      <c r="T23" s="9">
        <v>101</v>
      </c>
      <c r="U23" s="9">
        <v>109</v>
      </c>
      <c r="V23" s="9">
        <v>115</v>
      </c>
    </row>
    <row r="24" spans="1:22" ht="19.899999999999999" customHeight="1" thickBot="1" x14ac:dyDescent="0.25">
      <c r="A24" s="31"/>
      <c r="B24" s="14"/>
      <c r="C24" s="16"/>
      <c r="D24" s="17" t="s">
        <v>10</v>
      </c>
      <c r="E24" s="47" t="s">
        <v>36</v>
      </c>
      <c r="F24" s="10">
        <v>9</v>
      </c>
      <c r="G24" s="10">
        <v>14</v>
      </c>
      <c r="H24" s="10">
        <v>20</v>
      </c>
      <c r="I24" s="24">
        <v>29</v>
      </c>
      <c r="J24" s="10">
        <v>40</v>
      </c>
      <c r="K24" s="10">
        <v>61</v>
      </c>
      <c r="L24" s="10">
        <v>70</v>
      </c>
      <c r="M24" s="10">
        <v>90</v>
      </c>
      <c r="N24" s="10">
        <v>101</v>
      </c>
      <c r="O24" s="24">
        <v>107</v>
      </c>
      <c r="P24" s="35">
        <v>102</v>
      </c>
      <c r="Q24" s="35">
        <v>110</v>
      </c>
      <c r="R24" s="10">
        <v>102</v>
      </c>
      <c r="S24" s="10">
        <v>107</v>
      </c>
      <c r="T24" s="10">
        <v>114</v>
      </c>
      <c r="U24" s="10">
        <v>120</v>
      </c>
      <c r="V24" s="10">
        <v>125</v>
      </c>
    </row>
    <row r="25" spans="1:22" ht="19.899999999999999" customHeight="1" x14ac:dyDescent="0.2">
      <c r="A25" s="31"/>
      <c r="B25" s="11" t="s">
        <v>1</v>
      </c>
      <c r="C25" s="15">
        <v>2</v>
      </c>
      <c r="D25" s="13" t="s">
        <v>11</v>
      </c>
      <c r="E25" s="46" t="s">
        <v>37</v>
      </c>
      <c r="F25" s="9">
        <v>10</v>
      </c>
      <c r="G25" s="9">
        <v>13</v>
      </c>
      <c r="H25" s="9">
        <v>20</v>
      </c>
      <c r="I25" s="23">
        <v>29</v>
      </c>
      <c r="J25" s="9">
        <v>43</v>
      </c>
      <c r="K25" s="9">
        <v>54</v>
      </c>
      <c r="L25" s="9">
        <v>72</v>
      </c>
      <c r="M25" s="9">
        <v>89</v>
      </c>
      <c r="N25" s="9">
        <v>101</v>
      </c>
      <c r="O25" s="23">
        <v>107</v>
      </c>
      <c r="P25" s="34">
        <v>116</v>
      </c>
      <c r="Q25" s="34">
        <v>120</v>
      </c>
      <c r="R25" s="9">
        <v>105</v>
      </c>
      <c r="S25" s="9">
        <v>111</v>
      </c>
      <c r="T25" s="9">
        <v>118</v>
      </c>
      <c r="U25" s="9">
        <v>121</v>
      </c>
      <c r="V25" s="9">
        <v>126</v>
      </c>
    </row>
    <row r="26" spans="1:22" ht="19.899999999999999" customHeight="1" thickBot="1" x14ac:dyDescent="0.25">
      <c r="A26" s="31"/>
      <c r="B26" s="14"/>
      <c r="C26" s="16"/>
      <c r="D26" s="17" t="s">
        <v>10</v>
      </c>
      <c r="E26" s="47" t="s">
        <v>37</v>
      </c>
      <c r="F26" s="10">
        <v>10</v>
      </c>
      <c r="G26" s="10">
        <v>14</v>
      </c>
      <c r="H26" s="10">
        <v>20</v>
      </c>
      <c r="I26" s="24">
        <v>30</v>
      </c>
      <c r="J26" s="10">
        <v>42</v>
      </c>
      <c r="K26" s="10">
        <v>62</v>
      </c>
      <c r="L26" s="10">
        <v>77</v>
      </c>
      <c r="M26" s="10">
        <v>95</v>
      </c>
      <c r="N26" s="10">
        <v>108</v>
      </c>
      <c r="O26" s="24">
        <v>119</v>
      </c>
      <c r="P26" s="35">
        <v>122</v>
      </c>
      <c r="Q26" s="35">
        <v>127</v>
      </c>
      <c r="R26" s="10">
        <v>103</v>
      </c>
      <c r="S26" s="10">
        <v>111</v>
      </c>
      <c r="T26" s="10">
        <v>119</v>
      </c>
      <c r="U26" s="10">
        <v>124</v>
      </c>
      <c r="V26" s="10">
        <v>127</v>
      </c>
    </row>
    <row r="27" spans="1:22" ht="19.899999999999999" customHeight="1" x14ac:dyDescent="0.2">
      <c r="A27" s="31"/>
      <c r="B27" s="11" t="s">
        <v>1</v>
      </c>
      <c r="C27" s="15">
        <v>1</v>
      </c>
      <c r="D27" s="13" t="s">
        <v>11</v>
      </c>
      <c r="E27" s="46" t="s">
        <v>38</v>
      </c>
      <c r="F27" s="9">
        <v>10</v>
      </c>
      <c r="G27" s="9">
        <v>13</v>
      </c>
      <c r="H27" s="9">
        <v>20</v>
      </c>
      <c r="I27" s="23">
        <v>29</v>
      </c>
      <c r="J27" s="9">
        <v>42</v>
      </c>
      <c r="K27" s="9">
        <v>59</v>
      </c>
      <c r="L27" s="9">
        <v>68</v>
      </c>
      <c r="M27" s="9">
        <v>86</v>
      </c>
      <c r="N27" s="9">
        <v>97</v>
      </c>
      <c r="O27" s="42">
        <v>102</v>
      </c>
      <c r="P27" s="61">
        <v>108</v>
      </c>
      <c r="Q27" s="61">
        <v>116</v>
      </c>
      <c r="R27" s="9">
        <v>100</v>
      </c>
      <c r="S27" s="9">
        <v>102</v>
      </c>
      <c r="T27" s="9">
        <v>109</v>
      </c>
      <c r="U27" s="9">
        <v>110</v>
      </c>
      <c r="V27" s="9">
        <v>108</v>
      </c>
    </row>
    <row r="28" spans="1:22" ht="19.899999999999999" customHeight="1" thickBot="1" x14ac:dyDescent="0.25">
      <c r="A28" s="31"/>
      <c r="B28" s="14"/>
      <c r="C28" s="16"/>
      <c r="D28" s="17" t="s">
        <v>10</v>
      </c>
      <c r="E28" s="47" t="s">
        <v>38</v>
      </c>
      <c r="F28" s="10">
        <v>10</v>
      </c>
      <c r="G28" s="10">
        <v>12</v>
      </c>
      <c r="H28" s="10">
        <v>20</v>
      </c>
      <c r="I28" s="24">
        <v>29</v>
      </c>
      <c r="J28" s="10">
        <v>38</v>
      </c>
      <c r="K28" s="10">
        <v>53</v>
      </c>
      <c r="L28" s="10">
        <v>70</v>
      </c>
      <c r="M28" s="10">
        <v>85</v>
      </c>
      <c r="N28" s="10">
        <v>97</v>
      </c>
      <c r="O28" s="24">
        <v>106</v>
      </c>
      <c r="P28" s="35">
        <v>112</v>
      </c>
      <c r="Q28" s="35">
        <v>120</v>
      </c>
      <c r="R28" s="10">
        <v>106</v>
      </c>
      <c r="S28" s="10">
        <v>107</v>
      </c>
      <c r="T28" s="10">
        <v>108</v>
      </c>
      <c r="U28" s="10">
        <v>107</v>
      </c>
      <c r="V28" s="10">
        <v>104</v>
      </c>
    </row>
    <row r="29" spans="1:22" ht="19.899999999999999" customHeight="1" x14ac:dyDescent="0.2">
      <c r="A29" s="31"/>
      <c r="B29" s="11" t="s">
        <v>2</v>
      </c>
      <c r="C29" s="15">
        <v>1</v>
      </c>
      <c r="D29" s="13" t="s">
        <v>10</v>
      </c>
      <c r="E29" s="46" t="s">
        <v>38</v>
      </c>
      <c r="F29" s="9">
        <v>9</v>
      </c>
      <c r="G29" s="9">
        <v>13</v>
      </c>
      <c r="H29" s="9">
        <v>19</v>
      </c>
      <c r="I29" s="23">
        <v>27</v>
      </c>
      <c r="J29" s="9">
        <v>34</v>
      </c>
      <c r="K29" s="9">
        <v>53</v>
      </c>
      <c r="L29" s="9">
        <v>61</v>
      </c>
      <c r="M29" s="9">
        <v>78</v>
      </c>
      <c r="N29" s="9">
        <v>93</v>
      </c>
      <c r="O29" s="42">
        <v>106</v>
      </c>
      <c r="P29" s="61">
        <v>116</v>
      </c>
      <c r="Q29" s="61">
        <v>121</v>
      </c>
      <c r="R29" s="9">
        <v>113</v>
      </c>
      <c r="S29" s="9">
        <v>112</v>
      </c>
      <c r="T29" s="9">
        <v>110</v>
      </c>
      <c r="U29" s="9">
        <v>111</v>
      </c>
      <c r="V29" s="9">
        <v>111</v>
      </c>
    </row>
    <row r="30" spans="1:22" ht="19.899999999999999" customHeight="1" thickBot="1" x14ac:dyDescent="0.25">
      <c r="A30" s="31"/>
      <c r="B30" s="14"/>
      <c r="C30" s="16"/>
      <c r="D30" s="17" t="s">
        <v>11</v>
      </c>
      <c r="E30" s="47" t="s">
        <v>38</v>
      </c>
      <c r="F30" s="10">
        <v>11</v>
      </c>
      <c r="G30" s="10">
        <v>12</v>
      </c>
      <c r="H30" s="10">
        <v>17</v>
      </c>
      <c r="I30" s="24">
        <v>24</v>
      </c>
      <c r="J30" s="10">
        <v>32</v>
      </c>
      <c r="K30" s="10">
        <v>45</v>
      </c>
      <c r="L30" s="10">
        <v>61</v>
      </c>
      <c r="M30" s="10">
        <v>77</v>
      </c>
      <c r="N30" s="10">
        <v>91</v>
      </c>
      <c r="O30" s="24">
        <v>98</v>
      </c>
      <c r="P30" s="35">
        <v>108</v>
      </c>
      <c r="Q30" s="35">
        <v>114</v>
      </c>
      <c r="R30" s="10">
        <v>105</v>
      </c>
      <c r="S30" s="10">
        <v>107</v>
      </c>
      <c r="T30" s="10">
        <v>109</v>
      </c>
      <c r="U30" s="10">
        <v>97</v>
      </c>
      <c r="V30" s="10">
        <v>99</v>
      </c>
    </row>
    <row r="31" spans="1:22" ht="19.899999999999999" customHeight="1" x14ac:dyDescent="0.2">
      <c r="A31" s="31"/>
      <c r="B31" s="11" t="s">
        <v>2</v>
      </c>
      <c r="C31" s="15">
        <v>2</v>
      </c>
      <c r="D31" s="13" t="s">
        <v>10</v>
      </c>
      <c r="E31" s="46" t="s">
        <v>37</v>
      </c>
      <c r="F31" s="9">
        <v>10</v>
      </c>
      <c r="G31" s="9">
        <v>12</v>
      </c>
      <c r="H31" s="9">
        <v>17</v>
      </c>
      <c r="I31" s="23">
        <v>25</v>
      </c>
      <c r="J31" s="9">
        <v>32</v>
      </c>
      <c r="K31" s="9">
        <v>43</v>
      </c>
      <c r="L31" s="9">
        <v>56</v>
      </c>
      <c r="M31" s="9">
        <v>71</v>
      </c>
      <c r="N31" s="9">
        <v>87</v>
      </c>
      <c r="O31" s="23">
        <v>96</v>
      </c>
      <c r="P31" s="34">
        <v>107</v>
      </c>
      <c r="Q31" s="34">
        <v>114</v>
      </c>
      <c r="R31" s="9">
        <v>112</v>
      </c>
      <c r="S31" s="9">
        <v>111</v>
      </c>
      <c r="T31" s="9">
        <v>112</v>
      </c>
      <c r="U31" s="9">
        <v>111</v>
      </c>
      <c r="V31" s="9">
        <v>113</v>
      </c>
    </row>
    <row r="32" spans="1:22" ht="19.899999999999999" customHeight="1" thickBot="1" x14ac:dyDescent="0.25">
      <c r="A32" s="31"/>
      <c r="B32" s="14"/>
      <c r="C32" s="16"/>
      <c r="D32" s="17" t="s">
        <v>11</v>
      </c>
      <c r="E32" s="47" t="s">
        <v>37</v>
      </c>
      <c r="F32" s="10">
        <v>10</v>
      </c>
      <c r="G32" s="10">
        <v>15</v>
      </c>
      <c r="H32" s="10">
        <v>25</v>
      </c>
      <c r="I32" s="24">
        <v>35</v>
      </c>
      <c r="J32" s="10">
        <v>49</v>
      </c>
      <c r="K32" s="10">
        <v>64</v>
      </c>
      <c r="L32" s="10">
        <v>82</v>
      </c>
      <c r="M32" s="10">
        <v>93</v>
      </c>
      <c r="N32" s="10">
        <v>107</v>
      </c>
      <c r="O32" s="24">
        <v>117</v>
      </c>
      <c r="P32" s="35">
        <v>118</v>
      </c>
      <c r="Q32" s="35">
        <v>123</v>
      </c>
      <c r="R32" s="10">
        <v>113</v>
      </c>
      <c r="S32" s="10">
        <v>116</v>
      </c>
      <c r="T32" s="10">
        <v>120</v>
      </c>
      <c r="U32" s="10">
        <v>119</v>
      </c>
      <c r="V32" s="10">
        <v>118</v>
      </c>
    </row>
    <row r="33" spans="1:22" ht="19.899999999999999" customHeight="1" x14ac:dyDescent="0.2">
      <c r="A33" s="31"/>
      <c r="B33" s="11" t="s">
        <v>2</v>
      </c>
      <c r="C33" s="15">
        <v>3</v>
      </c>
      <c r="D33" s="13" t="s">
        <v>10</v>
      </c>
      <c r="E33" s="46" t="s">
        <v>35</v>
      </c>
      <c r="F33" s="9">
        <v>10</v>
      </c>
      <c r="G33" s="9">
        <v>15</v>
      </c>
      <c r="H33" s="9">
        <v>19</v>
      </c>
      <c r="I33" s="23">
        <v>32</v>
      </c>
      <c r="J33" s="9">
        <v>41</v>
      </c>
      <c r="K33" s="9">
        <v>56</v>
      </c>
      <c r="L33" s="9">
        <v>74</v>
      </c>
      <c r="M33" s="9">
        <v>78</v>
      </c>
      <c r="N33" s="9">
        <v>89</v>
      </c>
      <c r="O33" s="23">
        <v>97</v>
      </c>
      <c r="P33" s="34">
        <v>105</v>
      </c>
      <c r="Q33" s="34">
        <v>113</v>
      </c>
      <c r="R33" s="9">
        <v>99</v>
      </c>
      <c r="S33" s="9">
        <v>105</v>
      </c>
      <c r="T33" s="9">
        <v>111</v>
      </c>
      <c r="U33" s="9">
        <v>118</v>
      </c>
      <c r="V33" s="9">
        <v>123</v>
      </c>
    </row>
    <row r="34" spans="1:22" ht="19.899999999999999" customHeight="1" thickBot="1" x14ac:dyDescent="0.25">
      <c r="A34" s="31"/>
      <c r="B34" s="14"/>
      <c r="C34" s="16"/>
      <c r="D34" s="17" t="s">
        <v>11</v>
      </c>
      <c r="E34" s="47" t="s">
        <v>35</v>
      </c>
      <c r="F34" s="10">
        <v>10</v>
      </c>
      <c r="G34" s="10">
        <v>14</v>
      </c>
      <c r="H34" s="10">
        <v>18</v>
      </c>
      <c r="I34" s="24">
        <v>28</v>
      </c>
      <c r="J34" s="10">
        <v>36</v>
      </c>
      <c r="K34" s="10">
        <v>47</v>
      </c>
      <c r="L34" s="10">
        <v>62</v>
      </c>
      <c r="M34" s="10">
        <v>76</v>
      </c>
      <c r="N34" s="10">
        <v>87</v>
      </c>
      <c r="O34" s="24">
        <v>92</v>
      </c>
      <c r="P34" s="35">
        <v>93</v>
      </c>
      <c r="Q34" s="35">
        <v>100</v>
      </c>
      <c r="R34" s="10">
        <v>97</v>
      </c>
      <c r="S34" s="10">
        <v>100</v>
      </c>
      <c r="T34" s="10">
        <v>106</v>
      </c>
      <c r="U34" s="10">
        <v>110</v>
      </c>
      <c r="V34" s="10">
        <v>117</v>
      </c>
    </row>
    <row r="35" spans="1:22" ht="19.899999999999999" customHeight="1" x14ac:dyDescent="0.2">
      <c r="A35" s="31"/>
      <c r="B35" s="11" t="s">
        <v>2</v>
      </c>
      <c r="C35" s="15">
        <v>4</v>
      </c>
      <c r="D35" s="13" t="s">
        <v>10</v>
      </c>
      <c r="E35" s="46" t="s">
        <v>37</v>
      </c>
      <c r="F35" s="9">
        <v>10</v>
      </c>
      <c r="G35" s="9">
        <v>14</v>
      </c>
      <c r="H35" s="9">
        <v>23</v>
      </c>
      <c r="I35" s="23">
        <v>38</v>
      </c>
      <c r="J35" s="9">
        <v>46</v>
      </c>
      <c r="K35" s="9">
        <v>62</v>
      </c>
      <c r="L35" s="9">
        <v>77</v>
      </c>
      <c r="M35" s="9">
        <v>91</v>
      </c>
      <c r="N35" s="9">
        <v>102</v>
      </c>
      <c r="O35" s="23">
        <v>109</v>
      </c>
      <c r="P35" s="34">
        <v>106</v>
      </c>
      <c r="Q35" s="34">
        <v>118</v>
      </c>
      <c r="R35" s="9">
        <v>96</v>
      </c>
      <c r="S35" s="9">
        <v>100</v>
      </c>
      <c r="T35" s="9">
        <v>105</v>
      </c>
      <c r="U35" s="9">
        <v>113</v>
      </c>
      <c r="V35" s="9">
        <v>121</v>
      </c>
    </row>
    <row r="36" spans="1:22" ht="19.899999999999999" customHeight="1" thickBot="1" x14ac:dyDescent="0.25">
      <c r="A36" s="31"/>
      <c r="B36" s="14"/>
      <c r="C36" s="16"/>
      <c r="D36" s="17" t="s">
        <v>11</v>
      </c>
      <c r="E36" s="47" t="s">
        <v>37</v>
      </c>
      <c r="F36" s="10">
        <v>11</v>
      </c>
      <c r="G36" s="10">
        <v>14</v>
      </c>
      <c r="H36" s="10">
        <v>19</v>
      </c>
      <c r="I36" s="24">
        <v>31</v>
      </c>
      <c r="J36" s="10">
        <v>41</v>
      </c>
      <c r="K36" s="10">
        <v>56</v>
      </c>
      <c r="L36" s="10">
        <v>69</v>
      </c>
      <c r="M36" s="10">
        <v>83</v>
      </c>
      <c r="N36" s="10">
        <v>92</v>
      </c>
      <c r="O36" s="24">
        <v>100</v>
      </c>
      <c r="P36" s="35">
        <v>109</v>
      </c>
      <c r="Q36" s="35">
        <v>121</v>
      </c>
      <c r="R36" s="10">
        <v>102</v>
      </c>
      <c r="S36" s="10">
        <v>107</v>
      </c>
      <c r="T36" s="10">
        <v>106</v>
      </c>
      <c r="U36" s="10">
        <v>107</v>
      </c>
      <c r="V36" s="10">
        <v>109</v>
      </c>
    </row>
    <row r="37" spans="1:22" ht="19.899999999999999" customHeight="1" x14ac:dyDescent="0.2">
      <c r="A37" s="31"/>
      <c r="B37" s="11" t="s">
        <v>3</v>
      </c>
      <c r="C37" s="15">
        <v>4</v>
      </c>
      <c r="D37" s="13" t="s">
        <v>11</v>
      </c>
      <c r="E37" s="46" t="s">
        <v>36</v>
      </c>
      <c r="F37" s="9">
        <v>11</v>
      </c>
      <c r="G37" s="9">
        <v>15</v>
      </c>
      <c r="H37" s="9">
        <v>18</v>
      </c>
      <c r="I37" s="23">
        <v>33</v>
      </c>
      <c r="J37" s="9">
        <v>44</v>
      </c>
      <c r="K37" s="9">
        <v>61</v>
      </c>
      <c r="L37" s="9">
        <v>74</v>
      </c>
      <c r="M37" s="9">
        <v>82</v>
      </c>
      <c r="N37" s="9">
        <v>88</v>
      </c>
      <c r="O37" s="23">
        <v>92</v>
      </c>
      <c r="P37" s="34">
        <v>95</v>
      </c>
      <c r="Q37" s="34">
        <v>101</v>
      </c>
      <c r="R37" s="9">
        <v>89</v>
      </c>
      <c r="S37" s="9">
        <v>95</v>
      </c>
      <c r="T37" s="9">
        <v>101</v>
      </c>
      <c r="U37" s="9">
        <v>108</v>
      </c>
      <c r="V37" s="9">
        <v>115</v>
      </c>
    </row>
    <row r="38" spans="1:22" ht="19.899999999999999" customHeight="1" thickBot="1" x14ac:dyDescent="0.25">
      <c r="A38" s="31"/>
      <c r="B38" s="14"/>
      <c r="C38" s="16"/>
      <c r="D38" s="17" t="s">
        <v>10</v>
      </c>
      <c r="E38" s="47" t="s">
        <v>36</v>
      </c>
      <c r="F38" s="10">
        <v>11</v>
      </c>
      <c r="G38" s="10">
        <v>14</v>
      </c>
      <c r="H38" s="10">
        <v>20</v>
      </c>
      <c r="I38" s="24">
        <v>33</v>
      </c>
      <c r="J38" s="10">
        <v>40</v>
      </c>
      <c r="K38" s="10">
        <v>52</v>
      </c>
      <c r="L38" s="10">
        <v>65</v>
      </c>
      <c r="M38" s="10">
        <v>76</v>
      </c>
      <c r="N38" s="10">
        <v>85</v>
      </c>
      <c r="O38" s="24">
        <v>89</v>
      </c>
      <c r="P38" s="35">
        <v>87</v>
      </c>
      <c r="Q38" s="35">
        <v>95</v>
      </c>
      <c r="R38" s="10">
        <v>85</v>
      </c>
      <c r="S38" s="10">
        <v>89</v>
      </c>
      <c r="T38" s="10">
        <v>94</v>
      </c>
      <c r="U38" s="10">
        <v>95</v>
      </c>
      <c r="V38" s="10">
        <v>88</v>
      </c>
    </row>
    <row r="39" spans="1:22" ht="19.899999999999999" customHeight="1" x14ac:dyDescent="0.2">
      <c r="A39" s="31"/>
      <c r="B39" s="11" t="s">
        <v>3</v>
      </c>
      <c r="C39" s="15">
        <v>3</v>
      </c>
      <c r="D39" s="13" t="s">
        <v>11</v>
      </c>
      <c r="E39" s="46" t="s">
        <v>38</v>
      </c>
      <c r="F39" s="9">
        <v>11</v>
      </c>
      <c r="G39" s="9">
        <v>14</v>
      </c>
      <c r="H39" s="9">
        <v>23</v>
      </c>
      <c r="I39" s="23">
        <v>34</v>
      </c>
      <c r="J39" s="9">
        <v>46</v>
      </c>
      <c r="K39" s="9">
        <v>58</v>
      </c>
      <c r="L39" s="9">
        <v>64</v>
      </c>
      <c r="M39" s="9">
        <v>78</v>
      </c>
      <c r="N39" s="9">
        <v>87</v>
      </c>
      <c r="O39" s="23">
        <v>95</v>
      </c>
      <c r="P39" s="34">
        <v>93</v>
      </c>
      <c r="Q39" s="34">
        <v>100</v>
      </c>
      <c r="R39" s="9">
        <v>91</v>
      </c>
      <c r="S39" s="9">
        <v>97</v>
      </c>
      <c r="T39" s="9">
        <v>100</v>
      </c>
      <c r="U39" s="9">
        <v>101</v>
      </c>
      <c r="V39" s="9">
        <v>104</v>
      </c>
    </row>
    <row r="40" spans="1:22" ht="19.899999999999999" customHeight="1" thickBot="1" x14ac:dyDescent="0.25">
      <c r="A40" s="31"/>
      <c r="B40" s="14"/>
      <c r="C40" s="16"/>
      <c r="D40" s="17" t="s">
        <v>10</v>
      </c>
      <c r="E40" s="47" t="s">
        <v>38</v>
      </c>
      <c r="F40" s="10">
        <v>12</v>
      </c>
      <c r="G40" s="10">
        <v>16</v>
      </c>
      <c r="H40" s="10">
        <v>25</v>
      </c>
      <c r="I40" s="24">
        <v>38</v>
      </c>
      <c r="J40" s="10">
        <v>51</v>
      </c>
      <c r="K40" s="10">
        <v>73</v>
      </c>
      <c r="L40" s="10">
        <v>86</v>
      </c>
      <c r="M40" s="10">
        <v>101</v>
      </c>
      <c r="N40" s="10">
        <v>105</v>
      </c>
      <c r="O40" s="24">
        <v>109</v>
      </c>
      <c r="P40" s="35">
        <v>105</v>
      </c>
      <c r="Q40" s="35">
        <v>111</v>
      </c>
      <c r="R40" s="10">
        <v>84</v>
      </c>
      <c r="S40" s="10">
        <v>90</v>
      </c>
      <c r="T40" s="10">
        <v>98</v>
      </c>
      <c r="U40" s="10">
        <v>106</v>
      </c>
      <c r="V40" s="10">
        <v>114</v>
      </c>
    </row>
    <row r="41" spans="1:22" ht="19.899999999999999" customHeight="1" x14ac:dyDescent="0.2">
      <c r="A41" s="31"/>
      <c r="B41" s="11" t="s">
        <v>3</v>
      </c>
      <c r="C41" s="15">
        <v>2</v>
      </c>
      <c r="D41" s="13" t="s">
        <v>11</v>
      </c>
      <c r="E41" s="46" t="s">
        <v>36</v>
      </c>
      <c r="F41" s="9">
        <v>11</v>
      </c>
      <c r="G41" s="9">
        <v>14</v>
      </c>
      <c r="H41" s="9">
        <v>21</v>
      </c>
      <c r="I41" s="23">
        <v>29</v>
      </c>
      <c r="J41" s="9">
        <v>35</v>
      </c>
      <c r="K41" s="9">
        <v>51</v>
      </c>
      <c r="L41" s="9">
        <v>65</v>
      </c>
      <c r="M41" s="9">
        <v>81</v>
      </c>
      <c r="N41" s="9">
        <v>90</v>
      </c>
      <c r="O41" s="23">
        <v>98</v>
      </c>
      <c r="P41" s="34">
        <v>96</v>
      </c>
      <c r="Q41" s="34">
        <v>101</v>
      </c>
      <c r="R41" s="9">
        <v>83</v>
      </c>
      <c r="S41" s="9">
        <v>90</v>
      </c>
      <c r="T41" s="9">
        <v>93</v>
      </c>
      <c r="U41" s="9">
        <v>97</v>
      </c>
      <c r="V41" s="9">
        <v>102</v>
      </c>
    </row>
    <row r="42" spans="1:22" ht="19.899999999999999" customHeight="1" thickBot="1" x14ac:dyDescent="0.25">
      <c r="A42" s="31"/>
      <c r="B42" s="14"/>
      <c r="C42" s="16"/>
      <c r="D42" s="17" t="s">
        <v>10</v>
      </c>
      <c r="E42" s="47" t="s">
        <v>36</v>
      </c>
      <c r="F42" s="10">
        <v>10</v>
      </c>
      <c r="G42" s="10">
        <v>12</v>
      </c>
      <c r="H42" s="10">
        <v>20</v>
      </c>
      <c r="I42" s="24">
        <v>27</v>
      </c>
      <c r="J42" s="10">
        <v>37</v>
      </c>
      <c r="K42" s="10">
        <v>51</v>
      </c>
      <c r="L42" s="10">
        <v>66</v>
      </c>
      <c r="M42" s="10">
        <v>82</v>
      </c>
      <c r="N42" s="10">
        <v>88</v>
      </c>
      <c r="O42" s="24">
        <v>96</v>
      </c>
      <c r="P42" s="35">
        <v>107</v>
      </c>
      <c r="Q42" s="35">
        <v>115</v>
      </c>
      <c r="R42" s="10">
        <v>98</v>
      </c>
      <c r="S42" s="10">
        <v>106</v>
      </c>
      <c r="T42" s="10">
        <v>108</v>
      </c>
      <c r="U42" s="10">
        <v>110</v>
      </c>
      <c r="V42" s="10">
        <v>111</v>
      </c>
    </row>
    <row r="43" spans="1:22" ht="19.899999999999999" customHeight="1" x14ac:dyDescent="0.2">
      <c r="A43" s="31"/>
      <c r="B43" s="11" t="s">
        <v>3</v>
      </c>
      <c r="C43" s="15">
        <v>1</v>
      </c>
      <c r="D43" s="13" t="s">
        <v>11</v>
      </c>
      <c r="E43" s="46" t="s">
        <v>35</v>
      </c>
      <c r="F43" s="9">
        <v>12</v>
      </c>
      <c r="G43" s="9">
        <v>15</v>
      </c>
      <c r="H43" s="9">
        <v>19</v>
      </c>
      <c r="I43" s="23">
        <v>31</v>
      </c>
      <c r="J43" s="9">
        <v>40</v>
      </c>
      <c r="K43" s="9">
        <v>57</v>
      </c>
      <c r="L43" s="9">
        <v>71</v>
      </c>
      <c r="M43" s="9">
        <v>83</v>
      </c>
      <c r="N43" s="9">
        <v>89</v>
      </c>
      <c r="O43" s="23">
        <v>96</v>
      </c>
      <c r="P43" s="34">
        <v>97</v>
      </c>
      <c r="Q43" s="34">
        <v>105</v>
      </c>
      <c r="R43" s="9">
        <v>94</v>
      </c>
      <c r="S43" s="9">
        <v>96</v>
      </c>
      <c r="T43" s="9">
        <v>100</v>
      </c>
      <c r="U43" s="9">
        <v>106</v>
      </c>
      <c r="V43" s="9">
        <v>111</v>
      </c>
    </row>
    <row r="44" spans="1:22" ht="19.899999999999999" customHeight="1" thickBot="1" x14ac:dyDescent="0.25">
      <c r="A44" s="31"/>
      <c r="B44" s="14"/>
      <c r="C44" s="16"/>
      <c r="D44" s="17" t="s">
        <v>10</v>
      </c>
      <c r="E44" s="47" t="s">
        <v>35</v>
      </c>
      <c r="F44" s="10">
        <v>12</v>
      </c>
      <c r="G44" s="10">
        <v>14</v>
      </c>
      <c r="H44" s="10">
        <v>21</v>
      </c>
      <c r="I44" s="24">
        <v>34</v>
      </c>
      <c r="J44" s="10">
        <v>42</v>
      </c>
      <c r="K44" s="10">
        <v>58</v>
      </c>
      <c r="L44" s="10">
        <v>70</v>
      </c>
      <c r="M44" s="10">
        <v>83</v>
      </c>
      <c r="N44" s="10">
        <v>89</v>
      </c>
      <c r="O44" s="24">
        <v>95</v>
      </c>
      <c r="P44" s="35">
        <v>94</v>
      </c>
      <c r="Q44" s="35">
        <v>101</v>
      </c>
      <c r="R44" s="10">
        <v>96</v>
      </c>
      <c r="S44" s="10">
        <v>99</v>
      </c>
      <c r="T44" s="10">
        <v>102</v>
      </c>
      <c r="U44" s="10">
        <v>103</v>
      </c>
      <c r="V44" s="10">
        <v>101</v>
      </c>
    </row>
    <row r="45" spans="1:22" ht="19.899999999999999" customHeight="1" x14ac:dyDescent="0.2">
      <c r="A45" s="31"/>
      <c r="B45" s="11" t="s">
        <v>4</v>
      </c>
      <c r="C45" s="15">
        <v>1</v>
      </c>
      <c r="D45" s="13" t="s">
        <v>10</v>
      </c>
      <c r="E45" s="46" t="s">
        <v>36</v>
      </c>
      <c r="F45" s="9">
        <v>11</v>
      </c>
      <c r="G45" s="9">
        <v>14</v>
      </c>
      <c r="H45" s="9">
        <v>20</v>
      </c>
      <c r="I45" s="23">
        <v>30</v>
      </c>
      <c r="J45" s="9">
        <v>42</v>
      </c>
      <c r="K45" s="9">
        <v>57</v>
      </c>
      <c r="L45" s="9">
        <v>70</v>
      </c>
      <c r="M45" s="9">
        <v>84</v>
      </c>
      <c r="N45" s="9">
        <v>91</v>
      </c>
      <c r="O45" s="23">
        <v>99</v>
      </c>
      <c r="P45" s="34">
        <v>107</v>
      </c>
      <c r="Q45" s="34">
        <v>112</v>
      </c>
      <c r="R45" s="9">
        <v>100</v>
      </c>
      <c r="S45" s="9">
        <v>103</v>
      </c>
      <c r="T45" s="9">
        <v>108</v>
      </c>
      <c r="U45" s="9">
        <v>109</v>
      </c>
      <c r="V45" s="9">
        <v>103</v>
      </c>
    </row>
    <row r="46" spans="1:22" ht="19.899999999999999" customHeight="1" thickBot="1" x14ac:dyDescent="0.25">
      <c r="A46" s="31"/>
      <c r="B46" s="14"/>
      <c r="C46" s="16"/>
      <c r="D46" s="17" t="s">
        <v>11</v>
      </c>
      <c r="E46" s="47" t="s">
        <v>36</v>
      </c>
      <c r="F46" s="10">
        <v>10</v>
      </c>
      <c r="G46" s="10">
        <v>13</v>
      </c>
      <c r="H46" s="10">
        <v>18</v>
      </c>
      <c r="I46" s="24">
        <v>32</v>
      </c>
      <c r="J46" s="10">
        <v>42</v>
      </c>
      <c r="K46" s="10">
        <v>56</v>
      </c>
      <c r="L46" s="10">
        <v>67</v>
      </c>
      <c r="M46" s="10">
        <v>82</v>
      </c>
      <c r="N46" s="10">
        <v>89</v>
      </c>
      <c r="O46" s="24">
        <v>95</v>
      </c>
      <c r="P46" s="35">
        <v>104</v>
      </c>
      <c r="Q46" s="35">
        <v>109</v>
      </c>
      <c r="R46" s="10">
        <v>99</v>
      </c>
      <c r="S46" s="10">
        <v>101</v>
      </c>
      <c r="T46" s="10">
        <v>107</v>
      </c>
      <c r="U46" s="10">
        <v>110</v>
      </c>
      <c r="V46" s="10">
        <v>112</v>
      </c>
    </row>
    <row r="47" spans="1:22" ht="19.899999999999999" customHeight="1" x14ac:dyDescent="0.2">
      <c r="A47" s="31"/>
      <c r="B47" s="11" t="s">
        <v>4</v>
      </c>
      <c r="C47" s="15">
        <v>2</v>
      </c>
      <c r="D47" s="13" t="s">
        <v>10</v>
      </c>
      <c r="E47" s="46" t="s">
        <v>38</v>
      </c>
      <c r="F47" s="9">
        <v>10</v>
      </c>
      <c r="G47" s="9">
        <v>14</v>
      </c>
      <c r="H47" s="9">
        <v>19</v>
      </c>
      <c r="I47" s="23">
        <v>33</v>
      </c>
      <c r="J47" s="9">
        <v>38</v>
      </c>
      <c r="K47" s="9">
        <v>55</v>
      </c>
      <c r="L47" s="9">
        <v>69</v>
      </c>
      <c r="M47" s="9">
        <v>84</v>
      </c>
      <c r="N47" s="9">
        <v>96</v>
      </c>
      <c r="O47" s="42">
        <v>102</v>
      </c>
      <c r="P47" s="61">
        <v>107</v>
      </c>
      <c r="Q47" s="61">
        <v>113</v>
      </c>
      <c r="R47" s="9">
        <v>109</v>
      </c>
      <c r="S47" s="9">
        <v>111</v>
      </c>
      <c r="T47" s="9">
        <v>114</v>
      </c>
      <c r="U47" s="9">
        <v>115</v>
      </c>
      <c r="V47" s="9">
        <v>117</v>
      </c>
    </row>
    <row r="48" spans="1:22" ht="19.899999999999999" customHeight="1" thickBot="1" x14ac:dyDescent="0.25">
      <c r="A48" s="31"/>
      <c r="B48" s="14"/>
      <c r="C48" s="16"/>
      <c r="D48" s="17" t="s">
        <v>11</v>
      </c>
      <c r="E48" s="47" t="s">
        <v>38</v>
      </c>
      <c r="F48" s="10">
        <v>10</v>
      </c>
      <c r="G48" s="10">
        <v>13</v>
      </c>
      <c r="H48" s="10">
        <v>19</v>
      </c>
      <c r="I48" s="24">
        <v>31</v>
      </c>
      <c r="J48" s="10">
        <v>40</v>
      </c>
      <c r="K48" s="10">
        <v>58</v>
      </c>
      <c r="L48" s="10">
        <v>71</v>
      </c>
      <c r="M48" s="10">
        <v>85</v>
      </c>
      <c r="N48" s="10">
        <v>98</v>
      </c>
      <c r="O48" s="24">
        <v>104</v>
      </c>
      <c r="P48" s="35">
        <v>106</v>
      </c>
      <c r="Q48" s="35">
        <v>111</v>
      </c>
      <c r="R48" s="10">
        <v>96</v>
      </c>
      <c r="S48" s="10">
        <v>99</v>
      </c>
      <c r="T48" s="10">
        <v>102</v>
      </c>
      <c r="U48" s="10">
        <v>108</v>
      </c>
      <c r="V48" s="10">
        <v>116</v>
      </c>
    </row>
    <row r="49" spans="1:22" ht="19.899999999999999" customHeight="1" x14ac:dyDescent="0.2">
      <c r="A49" s="31"/>
      <c r="B49" s="11" t="s">
        <v>4</v>
      </c>
      <c r="C49" s="15">
        <v>3</v>
      </c>
      <c r="D49" s="13" t="s">
        <v>10</v>
      </c>
      <c r="E49" s="46" t="s">
        <v>37</v>
      </c>
      <c r="F49" s="9">
        <v>11</v>
      </c>
      <c r="G49" s="9">
        <v>13</v>
      </c>
      <c r="H49" s="9">
        <v>19</v>
      </c>
      <c r="I49" s="23">
        <v>30</v>
      </c>
      <c r="J49" s="9">
        <v>42</v>
      </c>
      <c r="K49" s="9">
        <v>60</v>
      </c>
      <c r="L49" s="9">
        <v>73</v>
      </c>
      <c r="M49" s="9">
        <v>84</v>
      </c>
      <c r="N49" s="9">
        <v>95</v>
      </c>
      <c r="O49" s="42">
        <v>103</v>
      </c>
      <c r="P49" s="61">
        <v>110</v>
      </c>
      <c r="Q49" s="61">
        <v>116</v>
      </c>
      <c r="R49" s="9">
        <v>97</v>
      </c>
      <c r="S49" s="9">
        <v>106</v>
      </c>
      <c r="T49" s="9">
        <v>111</v>
      </c>
      <c r="U49" s="9">
        <v>120</v>
      </c>
      <c r="V49" s="9">
        <v>139</v>
      </c>
    </row>
    <row r="50" spans="1:22" ht="19.899999999999999" customHeight="1" thickBot="1" x14ac:dyDescent="0.25">
      <c r="A50" s="31"/>
      <c r="B50" s="14"/>
      <c r="C50" s="16"/>
      <c r="D50" s="17" t="s">
        <v>11</v>
      </c>
      <c r="E50" s="47" t="s">
        <v>37</v>
      </c>
      <c r="F50" s="10">
        <v>9</v>
      </c>
      <c r="G50" s="10">
        <v>15</v>
      </c>
      <c r="H50" s="10">
        <v>22</v>
      </c>
      <c r="I50" s="24">
        <v>33</v>
      </c>
      <c r="J50" s="10">
        <v>41</v>
      </c>
      <c r="K50" s="10">
        <v>48</v>
      </c>
      <c r="L50" s="10">
        <v>66</v>
      </c>
      <c r="M50" s="10">
        <v>72</v>
      </c>
      <c r="N50" s="10">
        <v>74</v>
      </c>
      <c r="O50" s="54">
        <v>76</v>
      </c>
      <c r="P50" s="62">
        <v>86</v>
      </c>
      <c r="Q50" s="62">
        <v>95</v>
      </c>
      <c r="R50" s="10">
        <v>82</v>
      </c>
      <c r="S50" s="10">
        <v>89</v>
      </c>
      <c r="T50" s="10">
        <v>94</v>
      </c>
      <c r="U50" s="10">
        <v>97</v>
      </c>
      <c r="V50" s="10">
        <v>103</v>
      </c>
    </row>
    <row r="51" spans="1:22" ht="19.899999999999999" customHeight="1" x14ac:dyDescent="0.2">
      <c r="A51" s="31"/>
      <c r="B51" s="11" t="s">
        <v>4</v>
      </c>
      <c r="C51" s="15">
        <v>4</v>
      </c>
      <c r="D51" s="13" t="s">
        <v>10</v>
      </c>
      <c r="E51" s="46" t="s">
        <v>35</v>
      </c>
      <c r="F51" s="9">
        <v>11</v>
      </c>
      <c r="G51" s="9">
        <v>15</v>
      </c>
      <c r="H51" s="9">
        <v>21</v>
      </c>
      <c r="I51" s="23">
        <v>34</v>
      </c>
      <c r="J51" s="9">
        <v>46</v>
      </c>
      <c r="K51" s="9">
        <v>62</v>
      </c>
      <c r="L51" s="9">
        <v>76</v>
      </c>
      <c r="M51" s="9">
        <v>84</v>
      </c>
      <c r="N51" s="9">
        <v>97</v>
      </c>
      <c r="O51" s="23">
        <v>100</v>
      </c>
      <c r="P51" s="34">
        <v>102</v>
      </c>
      <c r="Q51" s="34">
        <v>106</v>
      </c>
      <c r="R51" s="9">
        <v>100</v>
      </c>
      <c r="S51" s="9">
        <v>102</v>
      </c>
      <c r="T51" s="9">
        <v>107</v>
      </c>
      <c r="U51" s="9">
        <v>113</v>
      </c>
      <c r="V51" s="9">
        <v>118</v>
      </c>
    </row>
    <row r="52" spans="1:22" ht="19.899999999999999" customHeight="1" thickBot="1" x14ac:dyDescent="0.25">
      <c r="A52" s="31"/>
      <c r="B52" s="14"/>
      <c r="C52" s="16"/>
      <c r="D52" s="17" t="s">
        <v>11</v>
      </c>
      <c r="E52" s="47" t="s">
        <v>35</v>
      </c>
      <c r="F52" s="10">
        <v>10</v>
      </c>
      <c r="G52" s="10">
        <v>13</v>
      </c>
      <c r="H52" s="10">
        <v>17</v>
      </c>
      <c r="I52" s="24">
        <v>26</v>
      </c>
      <c r="J52" s="10">
        <v>34</v>
      </c>
      <c r="K52" s="10">
        <v>48</v>
      </c>
      <c r="L52" s="10">
        <v>56</v>
      </c>
      <c r="M52" s="10">
        <v>66</v>
      </c>
      <c r="N52" s="10">
        <v>72</v>
      </c>
      <c r="O52" s="24">
        <v>76</v>
      </c>
      <c r="P52" s="35">
        <v>82</v>
      </c>
      <c r="Q52" s="35">
        <v>89</v>
      </c>
      <c r="R52" s="10">
        <v>85</v>
      </c>
      <c r="S52" s="10">
        <v>90</v>
      </c>
      <c r="T52" s="10">
        <v>94</v>
      </c>
      <c r="U52" s="10">
        <v>100</v>
      </c>
      <c r="V52" s="10">
        <v>108</v>
      </c>
    </row>
    <row r="53" spans="1:22" ht="19.899999999999999" customHeight="1" x14ac:dyDescent="0.2">
      <c r="A53" s="31"/>
      <c r="B53" s="11" t="s">
        <v>5</v>
      </c>
      <c r="C53" s="15">
        <v>4</v>
      </c>
      <c r="D53" s="13" t="s">
        <v>11</v>
      </c>
      <c r="E53" s="46" t="s">
        <v>36</v>
      </c>
      <c r="F53" s="9">
        <v>10</v>
      </c>
      <c r="G53" s="9">
        <v>12</v>
      </c>
      <c r="H53" s="9">
        <v>19</v>
      </c>
      <c r="I53" s="23">
        <v>30</v>
      </c>
      <c r="J53" s="9">
        <v>39</v>
      </c>
      <c r="K53" s="9">
        <v>51</v>
      </c>
      <c r="L53" s="9">
        <v>58</v>
      </c>
      <c r="M53" s="9">
        <v>67</v>
      </c>
      <c r="N53" s="9">
        <v>69</v>
      </c>
      <c r="O53" s="23">
        <v>72</v>
      </c>
      <c r="P53" s="34">
        <v>72</v>
      </c>
      <c r="Q53" s="34">
        <v>78</v>
      </c>
      <c r="R53" s="9">
        <v>76</v>
      </c>
      <c r="S53" s="9">
        <v>79</v>
      </c>
      <c r="T53" s="9">
        <v>83</v>
      </c>
      <c r="U53" s="9">
        <v>70</v>
      </c>
      <c r="V53" s="9">
        <v>68</v>
      </c>
    </row>
    <row r="54" spans="1:22" ht="19.899999999999999" customHeight="1" thickBot="1" x14ac:dyDescent="0.25">
      <c r="A54" s="31"/>
      <c r="B54" s="14"/>
      <c r="C54" s="16"/>
      <c r="D54" s="17" t="s">
        <v>10</v>
      </c>
      <c r="E54" s="47" t="s">
        <v>36</v>
      </c>
      <c r="F54" s="10">
        <v>11</v>
      </c>
      <c r="G54" s="10">
        <v>16</v>
      </c>
      <c r="H54" s="10">
        <v>22</v>
      </c>
      <c r="I54" s="24">
        <v>32</v>
      </c>
      <c r="J54" s="10">
        <v>43</v>
      </c>
      <c r="K54" s="10">
        <v>55</v>
      </c>
      <c r="L54" s="10">
        <v>62</v>
      </c>
      <c r="M54" s="10">
        <v>66</v>
      </c>
      <c r="N54" s="10">
        <v>71</v>
      </c>
      <c r="O54" s="24">
        <v>77</v>
      </c>
      <c r="P54" s="35">
        <v>76</v>
      </c>
      <c r="Q54" s="35">
        <v>80</v>
      </c>
      <c r="R54" s="10">
        <v>69</v>
      </c>
      <c r="S54" s="10">
        <v>73</v>
      </c>
      <c r="T54" s="10">
        <v>79</v>
      </c>
      <c r="U54" s="10">
        <v>86</v>
      </c>
      <c r="V54" s="10">
        <v>94</v>
      </c>
    </row>
    <row r="55" spans="1:22" ht="19.899999999999999" customHeight="1" x14ac:dyDescent="0.2">
      <c r="A55" s="31"/>
      <c r="B55" s="11" t="s">
        <v>5</v>
      </c>
      <c r="C55" s="15">
        <v>3</v>
      </c>
      <c r="D55" s="13" t="s">
        <v>11</v>
      </c>
      <c r="E55" s="46" t="s">
        <v>38</v>
      </c>
      <c r="F55" s="9">
        <v>10</v>
      </c>
      <c r="G55" s="9">
        <v>13</v>
      </c>
      <c r="H55" s="9">
        <v>20</v>
      </c>
      <c r="I55" s="23">
        <v>31</v>
      </c>
      <c r="J55" s="9">
        <v>41</v>
      </c>
      <c r="K55" s="9">
        <v>57</v>
      </c>
      <c r="L55" s="9">
        <v>68</v>
      </c>
      <c r="M55" s="9">
        <v>79</v>
      </c>
      <c r="N55" s="9">
        <v>88</v>
      </c>
      <c r="O55" s="23">
        <v>95</v>
      </c>
      <c r="P55" s="34">
        <v>103</v>
      </c>
      <c r="Q55" s="34">
        <v>107</v>
      </c>
      <c r="R55" s="9">
        <v>92</v>
      </c>
      <c r="S55" s="9">
        <v>95</v>
      </c>
      <c r="T55" s="9">
        <v>96</v>
      </c>
      <c r="U55" s="9">
        <v>98</v>
      </c>
      <c r="V55" s="9">
        <v>101</v>
      </c>
    </row>
    <row r="56" spans="1:22" ht="19.899999999999999" customHeight="1" thickBot="1" x14ac:dyDescent="0.25">
      <c r="A56" s="31"/>
      <c r="B56" s="14"/>
      <c r="C56" s="16"/>
      <c r="D56" s="17" t="s">
        <v>10</v>
      </c>
      <c r="E56" s="47" t="s">
        <v>38</v>
      </c>
      <c r="F56" s="10">
        <v>10</v>
      </c>
      <c r="G56" s="10">
        <v>14</v>
      </c>
      <c r="H56" s="10">
        <v>23</v>
      </c>
      <c r="I56" s="24">
        <v>33</v>
      </c>
      <c r="J56" s="10">
        <v>44</v>
      </c>
      <c r="K56" s="10">
        <v>61</v>
      </c>
      <c r="L56" s="10">
        <v>72</v>
      </c>
      <c r="M56" s="10">
        <v>87</v>
      </c>
      <c r="N56" s="10">
        <v>98</v>
      </c>
      <c r="O56" s="24">
        <v>104</v>
      </c>
      <c r="P56" s="35">
        <v>104</v>
      </c>
      <c r="Q56" s="35">
        <v>109</v>
      </c>
      <c r="R56" s="10">
        <v>88</v>
      </c>
      <c r="S56" s="10">
        <v>91</v>
      </c>
      <c r="T56" s="10">
        <v>93</v>
      </c>
      <c r="U56" s="10">
        <v>96</v>
      </c>
      <c r="V56" s="10">
        <v>98</v>
      </c>
    </row>
    <row r="57" spans="1:22" ht="19.899999999999999" customHeight="1" x14ac:dyDescent="0.2">
      <c r="A57" s="31"/>
      <c r="B57" s="11" t="s">
        <v>5</v>
      </c>
      <c r="C57" s="15">
        <v>2</v>
      </c>
      <c r="D57" s="13" t="s">
        <v>11</v>
      </c>
      <c r="E57" s="46" t="s">
        <v>35</v>
      </c>
      <c r="F57" s="9">
        <v>12</v>
      </c>
      <c r="G57" s="9">
        <v>17</v>
      </c>
      <c r="H57" s="9">
        <v>24</v>
      </c>
      <c r="I57" s="23">
        <v>33</v>
      </c>
      <c r="J57" s="9">
        <v>44</v>
      </c>
      <c r="K57" s="9">
        <v>60</v>
      </c>
      <c r="L57" s="9">
        <v>78</v>
      </c>
      <c r="M57" s="9">
        <v>90</v>
      </c>
      <c r="N57" s="9">
        <v>96</v>
      </c>
      <c r="O57" s="23">
        <v>99</v>
      </c>
      <c r="P57" s="34">
        <v>102</v>
      </c>
      <c r="Q57" s="34">
        <v>108</v>
      </c>
      <c r="R57" s="9">
        <v>76</v>
      </c>
      <c r="S57" s="9">
        <v>81</v>
      </c>
      <c r="T57" s="9">
        <v>94</v>
      </c>
      <c r="U57" s="9">
        <v>99</v>
      </c>
      <c r="V57" s="9">
        <v>106</v>
      </c>
    </row>
    <row r="58" spans="1:22" ht="19.899999999999999" customHeight="1" thickBot="1" x14ac:dyDescent="0.25">
      <c r="A58" s="31"/>
      <c r="B58" s="14"/>
      <c r="C58" s="16"/>
      <c r="D58" s="17" t="s">
        <v>10</v>
      </c>
      <c r="E58" s="47" t="s">
        <v>35</v>
      </c>
      <c r="F58" s="10">
        <v>12</v>
      </c>
      <c r="G58" s="10">
        <v>15</v>
      </c>
      <c r="H58" s="10">
        <v>21</v>
      </c>
      <c r="I58" s="24">
        <v>35</v>
      </c>
      <c r="J58" s="10">
        <v>44</v>
      </c>
      <c r="K58" s="10">
        <v>59</v>
      </c>
      <c r="L58" s="10">
        <v>77</v>
      </c>
      <c r="M58" s="10">
        <v>90</v>
      </c>
      <c r="N58" s="10">
        <v>97</v>
      </c>
      <c r="O58" s="24">
        <v>105</v>
      </c>
      <c r="P58" s="35">
        <v>109</v>
      </c>
      <c r="Q58" s="35">
        <v>115</v>
      </c>
      <c r="R58" s="10">
        <v>84</v>
      </c>
      <c r="S58" s="10">
        <v>89</v>
      </c>
      <c r="T58" s="10">
        <v>93</v>
      </c>
      <c r="U58" s="10">
        <v>98</v>
      </c>
      <c r="V58" s="10">
        <v>102</v>
      </c>
    </row>
    <row r="59" spans="1:22" ht="19.899999999999999" customHeight="1" x14ac:dyDescent="0.2">
      <c r="A59" s="31"/>
      <c r="B59" s="11" t="s">
        <v>5</v>
      </c>
      <c r="C59" s="15">
        <v>1</v>
      </c>
      <c r="D59" s="13" t="s">
        <v>11</v>
      </c>
      <c r="E59" s="46" t="s">
        <v>37</v>
      </c>
      <c r="F59" s="9">
        <v>10</v>
      </c>
      <c r="G59" s="9">
        <v>14</v>
      </c>
      <c r="H59" s="9">
        <v>20</v>
      </c>
      <c r="I59" s="23">
        <v>31</v>
      </c>
      <c r="J59" s="9">
        <v>39</v>
      </c>
      <c r="K59" s="9">
        <v>53</v>
      </c>
      <c r="L59" s="9">
        <v>62</v>
      </c>
      <c r="M59" s="9">
        <v>76</v>
      </c>
      <c r="N59" s="9">
        <v>85</v>
      </c>
      <c r="O59" s="23">
        <v>94</v>
      </c>
      <c r="P59" s="34">
        <v>90</v>
      </c>
      <c r="Q59" s="34">
        <v>96</v>
      </c>
      <c r="R59" s="9">
        <v>93</v>
      </c>
      <c r="S59" s="9">
        <v>95</v>
      </c>
      <c r="T59" s="9">
        <v>97</v>
      </c>
      <c r="U59" s="9">
        <v>103</v>
      </c>
      <c r="V59" s="9">
        <v>107</v>
      </c>
    </row>
    <row r="60" spans="1:22" ht="19.899999999999999" customHeight="1" thickBot="1" x14ac:dyDescent="0.25">
      <c r="A60" s="31"/>
      <c r="B60" s="14"/>
      <c r="C60" s="16"/>
      <c r="D60" s="17" t="s">
        <v>10</v>
      </c>
      <c r="E60" s="47" t="s">
        <v>37</v>
      </c>
      <c r="F60" s="10">
        <v>9</v>
      </c>
      <c r="G60" s="10">
        <v>12</v>
      </c>
      <c r="H60" s="10">
        <v>19</v>
      </c>
      <c r="I60" s="24">
        <v>28</v>
      </c>
      <c r="J60" s="10">
        <v>36</v>
      </c>
      <c r="K60" s="10">
        <v>52</v>
      </c>
      <c r="L60" s="10">
        <v>67</v>
      </c>
      <c r="M60" s="10">
        <v>78</v>
      </c>
      <c r="N60" s="10">
        <v>90</v>
      </c>
      <c r="O60" s="24">
        <v>99</v>
      </c>
      <c r="P60" s="35">
        <v>104</v>
      </c>
      <c r="Q60" s="35">
        <v>112</v>
      </c>
      <c r="R60" s="10">
        <v>98</v>
      </c>
      <c r="S60" s="10">
        <v>99</v>
      </c>
      <c r="T60" s="10">
        <v>103</v>
      </c>
      <c r="U60" s="10">
        <v>99</v>
      </c>
      <c r="V60" s="10">
        <v>98</v>
      </c>
    </row>
    <row r="61" spans="1:22" x14ac:dyDescent="0.2">
      <c r="R61" s="55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.85546875" style="2" customWidth="1"/>
    <col min="6" max="6" width="10.7109375" customWidth="1"/>
    <col min="7" max="8" width="11.140625" customWidth="1"/>
    <col min="9" max="11" width="12.7109375" customWidth="1"/>
    <col min="12" max="22" width="11.140625" customWidth="1"/>
  </cols>
  <sheetData>
    <row r="1" spans="1:22" ht="15.75" x14ac:dyDescent="0.25">
      <c r="A1" s="6" t="s">
        <v>18</v>
      </c>
      <c r="B1" s="28">
        <v>2019</v>
      </c>
      <c r="C1" s="29"/>
      <c r="D1" s="8" t="s">
        <v>25</v>
      </c>
      <c r="E1" s="45"/>
      <c r="F1" s="8" t="s">
        <v>6</v>
      </c>
      <c r="G1" t="s">
        <v>32</v>
      </c>
      <c r="H1" t="s">
        <v>32</v>
      </c>
      <c r="I1" t="s">
        <v>32</v>
      </c>
      <c r="J1" t="s">
        <v>32</v>
      </c>
      <c r="K1" t="s">
        <v>32</v>
      </c>
      <c r="L1" t="s">
        <v>32</v>
      </c>
      <c r="M1" t="s">
        <v>32</v>
      </c>
      <c r="N1" t="s">
        <v>32</v>
      </c>
      <c r="O1" t="s">
        <v>32</v>
      </c>
      <c r="R1" t="s">
        <v>32</v>
      </c>
      <c r="S1" t="s">
        <v>32</v>
      </c>
      <c r="T1" t="s">
        <v>32</v>
      </c>
      <c r="U1" t="s">
        <v>32</v>
      </c>
      <c r="V1" t="s">
        <v>32</v>
      </c>
    </row>
    <row r="2" spans="1:22" ht="14.45" customHeight="1" x14ac:dyDescent="0.25">
      <c r="A2" s="6" t="s">
        <v>32</v>
      </c>
      <c r="B2" s="7" t="s">
        <v>32</v>
      </c>
      <c r="C2" s="8" t="s">
        <v>32</v>
      </c>
      <c r="D2" s="8" t="s">
        <v>32</v>
      </c>
      <c r="E2" s="45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</row>
    <row r="3" spans="1:22" ht="15" x14ac:dyDescent="0.25">
      <c r="A3" t="s">
        <v>32</v>
      </c>
      <c r="B3" s="30" t="s">
        <v>19</v>
      </c>
      <c r="E3" s="44"/>
      <c r="H3" s="3" t="s">
        <v>31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</row>
    <row r="4" spans="1:22" ht="7.9" customHeight="1" x14ac:dyDescent="0.2">
      <c r="A4" t="s">
        <v>32</v>
      </c>
      <c r="B4" s="5" t="s">
        <v>32</v>
      </c>
      <c r="C4" s="2" t="s">
        <v>32</v>
      </c>
      <c r="D4" s="2" t="s">
        <v>32</v>
      </c>
      <c r="E4" s="4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</row>
    <row r="5" spans="1:22" x14ac:dyDescent="0.2">
      <c r="A5" t="s">
        <v>32</v>
      </c>
      <c r="B5" s="2" t="s">
        <v>32</v>
      </c>
      <c r="C5" s="2" t="s">
        <v>32</v>
      </c>
      <c r="D5" s="2" t="s">
        <v>32</v>
      </c>
      <c r="E5" s="44" t="s">
        <v>32</v>
      </c>
      <c r="F5" s="2" t="s">
        <v>32</v>
      </c>
      <c r="G5" s="2" t="s">
        <v>32</v>
      </c>
    </row>
    <row r="6" spans="1:22" x14ac:dyDescent="0.2">
      <c r="B6" s="2"/>
      <c r="E6" s="44"/>
    </row>
    <row r="7" spans="1:22" x14ac:dyDescent="0.2">
      <c r="A7" s="39"/>
      <c r="B7" s="39"/>
      <c r="C7" s="39"/>
      <c r="D7" s="39"/>
      <c r="E7" s="48"/>
      <c r="F7" s="39"/>
      <c r="G7" s="39"/>
      <c r="H7" s="56"/>
      <c r="I7" s="41" t="s">
        <v>49</v>
      </c>
      <c r="N7" s="39"/>
      <c r="O7" s="56"/>
      <c r="P7" s="56"/>
      <c r="Q7" s="56"/>
      <c r="R7" s="39"/>
      <c r="S7" s="39"/>
      <c r="T7" s="39"/>
    </row>
    <row r="8" spans="1:22" x14ac:dyDescent="0.2">
      <c r="B8" s="2"/>
      <c r="D8" s="49" t="s">
        <v>26</v>
      </c>
      <c r="E8" s="48"/>
      <c r="F8" s="39" t="s">
        <v>40</v>
      </c>
      <c r="G8" s="39" t="s">
        <v>40</v>
      </c>
      <c r="H8" s="39" t="s">
        <v>40</v>
      </c>
      <c r="I8" s="39" t="s">
        <v>40</v>
      </c>
      <c r="J8" s="39" t="s">
        <v>40</v>
      </c>
      <c r="K8" s="39" t="s">
        <v>40</v>
      </c>
      <c r="L8" s="39" t="s">
        <v>40</v>
      </c>
      <c r="M8" s="39" t="s">
        <v>40</v>
      </c>
      <c r="N8" s="39" t="s">
        <v>40</v>
      </c>
      <c r="O8" s="39" t="s">
        <v>40</v>
      </c>
      <c r="P8" s="39" t="s">
        <v>40</v>
      </c>
      <c r="Q8" s="39" t="s">
        <v>40</v>
      </c>
      <c r="R8" s="39" t="s">
        <v>40</v>
      </c>
      <c r="S8" s="39" t="s">
        <v>40</v>
      </c>
      <c r="T8" s="39" t="s">
        <v>40</v>
      </c>
      <c r="U8" s="39" t="s">
        <v>40</v>
      </c>
      <c r="V8" s="39" t="s">
        <v>40</v>
      </c>
    </row>
    <row r="9" spans="1:22" x14ac:dyDescent="0.2">
      <c r="B9" s="2"/>
      <c r="D9" s="49" t="s">
        <v>27</v>
      </c>
      <c r="E9" s="48"/>
      <c r="F9" s="22">
        <v>43606</v>
      </c>
      <c r="G9" s="22">
        <v>43613</v>
      </c>
      <c r="H9" s="22">
        <v>43619</v>
      </c>
      <c r="I9" s="22">
        <v>43627</v>
      </c>
      <c r="J9" s="22">
        <v>43633</v>
      </c>
      <c r="K9" s="22">
        <v>43641</v>
      </c>
      <c r="L9" s="22">
        <v>43647</v>
      </c>
      <c r="M9" s="22">
        <v>43654</v>
      </c>
      <c r="N9" s="22">
        <v>43661</v>
      </c>
      <c r="O9" s="22">
        <v>43668</v>
      </c>
      <c r="P9" s="22">
        <v>43676</v>
      </c>
      <c r="Q9" s="22">
        <v>43682</v>
      </c>
      <c r="R9" s="22">
        <v>43690</v>
      </c>
      <c r="S9" s="22">
        <v>43697</v>
      </c>
      <c r="T9" s="22">
        <v>43703</v>
      </c>
      <c r="U9" s="22">
        <v>43711</v>
      </c>
      <c r="V9" s="22">
        <v>43724</v>
      </c>
    </row>
    <row r="10" spans="1:22" ht="15.6" customHeight="1" x14ac:dyDescent="0.2">
      <c r="B10" s="5"/>
      <c r="D10" s="49" t="s">
        <v>29</v>
      </c>
      <c r="E10" s="48"/>
      <c r="F10" s="18">
        <v>141</v>
      </c>
      <c r="G10" s="18">
        <v>148</v>
      </c>
      <c r="H10" s="18">
        <v>154</v>
      </c>
      <c r="I10" s="18">
        <v>162</v>
      </c>
      <c r="J10" s="18">
        <v>168</v>
      </c>
      <c r="K10" s="18">
        <v>176</v>
      </c>
      <c r="L10" s="18">
        <v>182</v>
      </c>
      <c r="M10" s="18">
        <v>189</v>
      </c>
      <c r="N10" s="18">
        <v>196</v>
      </c>
      <c r="O10" s="18">
        <v>203</v>
      </c>
      <c r="P10" s="18">
        <v>211</v>
      </c>
      <c r="Q10" s="18">
        <v>217</v>
      </c>
      <c r="R10" s="18" t="s">
        <v>56</v>
      </c>
      <c r="S10" s="18" t="s">
        <v>58</v>
      </c>
      <c r="T10" s="18" t="s">
        <v>61</v>
      </c>
      <c r="U10" s="18" t="s">
        <v>66</v>
      </c>
      <c r="V10" s="18" t="s">
        <v>67</v>
      </c>
    </row>
    <row r="11" spans="1:22" ht="12" customHeight="1" x14ac:dyDescent="0.2">
      <c r="B11" s="5"/>
      <c r="D11" s="49" t="s">
        <v>28</v>
      </c>
      <c r="E11" s="48"/>
      <c r="F11" s="59" t="s">
        <v>41</v>
      </c>
      <c r="G11" s="26" t="s">
        <v>46</v>
      </c>
      <c r="H11" s="59" t="s">
        <v>47</v>
      </c>
      <c r="I11" s="59" t="s">
        <v>48</v>
      </c>
      <c r="J11" s="59" t="s">
        <v>50</v>
      </c>
      <c r="K11" s="59" t="s">
        <v>51</v>
      </c>
      <c r="L11" s="59" t="s">
        <v>52</v>
      </c>
      <c r="M11" s="59" t="s">
        <v>53</v>
      </c>
      <c r="N11" s="59" t="s">
        <v>54</v>
      </c>
      <c r="O11" s="40" t="s">
        <v>55</v>
      </c>
      <c r="P11" s="40" t="s">
        <v>65</v>
      </c>
      <c r="Q11" s="40" t="s">
        <v>55</v>
      </c>
      <c r="R11" s="40" t="s">
        <v>57</v>
      </c>
      <c r="S11" s="40" t="s">
        <v>59</v>
      </c>
      <c r="T11" s="59" t="s">
        <v>62</v>
      </c>
      <c r="U11" s="59" t="s">
        <v>63</v>
      </c>
      <c r="V11" s="59" t="s">
        <v>64</v>
      </c>
    </row>
    <row r="12" spans="1:22" ht="27.6" customHeight="1" thickBot="1" x14ac:dyDescent="0.25">
      <c r="B12" s="213" t="s">
        <v>7</v>
      </c>
      <c r="C12" s="213"/>
      <c r="D12" s="18" t="s">
        <v>12</v>
      </c>
      <c r="E12" s="45" t="s">
        <v>24</v>
      </c>
      <c r="F12" s="25" t="s">
        <v>16</v>
      </c>
      <c r="G12" s="25" t="s">
        <v>16</v>
      </c>
      <c r="H12" s="25" t="s">
        <v>16</v>
      </c>
      <c r="I12" s="25" t="s">
        <v>16</v>
      </c>
      <c r="J12" s="25" t="s">
        <v>16</v>
      </c>
      <c r="K12" s="25" t="s">
        <v>16</v>
      </c>
      <c r="L12" s="25" t="s">
        <v>16</v>
      </c>
      <c r="M12" s="25" t="s">
        <v>16</v>
      </c>
      <c r="N12" s="25" t="s">
        <v>16</v>
      </c>
      <c r="O12" s="25" t="s">
        <v>16</v>
      </c>
      <c r="P12" s="25" t="s">
        <v>16</v>
      </c>
      <c r="Q12" s="18" t="s">
        <v>20</v>
      </c>
      <c r="R12" s="25" t="s">
        <v>16</v>
      </c>
      <c r="S12" s="25" t="s">
        <v>16</v>
      </c>
      <c r="T12" s="25" t="s">
        <v>16</v>
      </c>
      <c r="U12" s="25" t="s">
        <v>16</v>
      </c>
      <c r="V12" s="25" t="s">
        <v>16</v>
      </c>
    </row>
    <row r="13" spans="1:22" ht="19.899999999999999" customHeight="1" x14ac:dyDescent="0.2">
      <c r="B13" s="11" t="s">
        <v>0</v>
      </c>
      <c r="C13" s="15">
        <v>1</v>
      </c>
      <c r="D13" s="13" t="s">
        <v>10</v>
      </c>
      <c r="E13" s="46" t="s">
        <v>35</v>
      </c>
      <c r="F13" s="23">
        <v>6</v>
      </c>
      <c r="G13" s="23">
        <v>9</v>
      </c>
      <c r="H13" s="23">
        <v>12</v>
      </c>
      <c r="I13" s="23">
        <v>21</v>
      </c>
      <c r="J13" s="23">
        <v>30</v>
      </c>
      <c r="K13" s="23">
        <v>37</v>
      </c>
      <c r="L13" s="23">
        <v>54</v>
      </c>
      <c r="M13" s="23">
        <v>72</v>
      </c>
      <c r="N13" s="23">
        <v>79</v>
      </c>
      <c r="O13" s="23">
        <v>83</v>
      </c>
      <c r="P13" s="23">
        <v>93</v>
      </c>
      <c r="Q13" s="42" t="s">
        <v>60</v>
      </c>
      <c r="R13" s="42" t="s">
        <v>60</v>
      </c>
      <c r="S13" s="42" t="s">
        <v>60</v>
      </c>
      <c r="T13" s="42" t="s">
        <v>60</v>
      </c>
      <c r="U13" s="42" t="s">
        <v>60</v>
      </c>
      <c r="V13" s="23" t="s">
        <v>60</v>
      </c>
    </row>
    <row r="14" spans="1:22" ht="19.899999999999999" customHeight="1" thickBot="1" x14ac:dyDescent="0.25">
      <c r="B14" s="14"/>
      <c r="C14" s="16"/>
      <c r="D14" s="17" t="s">
        <v>11</v>
      </c>
      <c r="E14" s="47" t="s">
        <v>35</v>
      </c>
      <c r="F14" s="24">
        <v>6</v>
      </c>
      <c r="G14" s="24">
        <v>11</v>
      </c>
      <c r="H14" s="24">
        <v>15</v>
      </c>
      <c r="I14" s="24">
        <v>27</v>
      </c>
      <c r="J14" s="24">
        <v>39</v>
      </c>
      <c r="K14" s="24">
        <v>47</v>
      </c>
      <c r="L14" s="24">
        <v>57</v>
      </c>
      <c r="M14" s="24">
        <v>66</v>
      </c>
      <c r="N14" s="24">
        <v>80</v>
      </c>
      <c r="O14" s="24">
        <v>94</v>
      </c>
      <c r="P14" s="24">
        <v>90</v>
      </c>
      <c r="Q14" s="24">
        <v>99</v>
      </c>
      <c r="R14" s="24" t="s">
        <v>60</v>
      </c>
      <c r="S14" s="24" t="s">
        <v>60</v>
      </c>
      <c r="T14" s="24" t="s">
        <v>60</v>
      </c>
      <c r="U14" s="24" t="s">
        <v>60</v>
      </c>
      <c r="V14" s="24" t="s">
        <v>60</v>
      </c>
    </row>
    <row r="15" spans="1:22" ht="19.899999999999999" customHeight="1" x14ac:dyDescent="0.2">
      <c r="B15" s="11" t="s">
        <v>0</v>
      </c>
      <c r="C15" s="15">
        <v>2</v>
      </c>
      <c r="D15" s="13" t="s">
        <v>10</v>
      </c>
      <c r="E15" s="46" t="s">
        <v>36</v>
      </c>
      <c r="F15" s="23">
        <v>7</v>
      </c>
      <c r="G15" s="23">
        <v>11</v>
      </c>
      <c r="H15" s="23">
        <v>18</v>
      </c>
      <c r="I15" s="23">
        <v>23</v>
      </c>
      <c r="J15" s="23">
        <v>36</v>
      </c>
      <c r="K15" s="23">
        <v>50</v>
      </c>
      <c r="L15" s="23">
        <v>63</v>
      </c>
      <c r="M15" s="23">
        <v>67</v>
      </c>
      <c r="N15" s="23">
        <v>78</v>
      </c>
      <c r="O15" s="23">
        <v>86</v>
      </c>
      <c r="P15" s="23">
        <v>100</v>
      </c>
      <c r="Q15" s="42" t="s">
        <v>60</v>
      </c>
      <c r="R15" s="23" t="s">
        <v>60</v>
      </c>
      <c r="S15" s="23" t="s">
        <v>60</v>
      </c>
      <c r="T15" s="23" t="s">
        <v>60</v>
      </c>
      <c r="U15" s="23" t="s">
        <v>60</v>
      </c>
      <c r="V15" s="23" t="s">
        <v>60</v>
      </c>
    </row>
    <row r="16" spans="1:22" ht="19.899999999999999" customHeight="1" thickBot="1" x14ac:dyDescent="0.25">
      <c r="A16" t="s">
        <v>32</v>
      </c>
      <c r="B16" s="14" t="s">
        <v>32</v>
      </c>
      <c r="C16" s="16" t="s">
        <v>32</v>
      </c>
      <c r="D16" s="17" t="s">
        <v>11</v>
      </c>
      <c r="E16" s="47" t="s">
        <v>36</v>
      </c>
      <c r="F16" s="24">
        <v>8</v>
      </c>
      <c r="G16" s="24">
        <v>9</v>
      </c>
      <c r="H16" s="24">
        <v>17</v>
      </c>
      <c r="I16" s="24">
        <v>29</v>
      </c>
      <c r="J16" s="24">
        <v>40</v>
      </c>
      <c r="K16" s="24">
        <v>54</v>
      </c>
      <c r="L16" s="24">
        <v>64</v>
      </c>
      <c r="M16" s="24">
        <v>80</v>
      </c>
      <c r="N16" s="24">
        <v>88</v>
      </c>
      <c r="O16" s="24">
        <v>89</v>
      </c>
      <c r="P16" s="54" t="s">
        <v>60</v>
      </c>
      <c r="Q16" s="54" t="s">
        <v>60</v>
      </c>
      <c r="R16" s="24" t="s">
        <v>60</v>
      </c>
      <c r="S16" s="24" t="s">
        <v>60</v>
      </c>
      <c r="T16" s="24" t="s">
        <v>60</v>
      </c>
      <c r="U16" s="24" t="s">
        <v>60</v>
      </c>
      <c r="V16" s="24" t="s">
        <v>60</v>
      </c>
    </row>
    <row r="17" spans="1:22" ht="19.899999999999999" customHeight="1" x14ac:dyDescent="0.2">
      <c r="A17" t="s">
        <v>32</v>
      </c>
      <c r="B17" s="11" t="s">
        <v>0</v>
      </c>
      <c r="C17" s="15">
        <v>3</v>
      </c>
      <c r="D17" s="13" t="s">
        <v>10</v>
      </c>
      <c r="E17" s="46" t="s">
        <v>35</v>
      </c>
      <c r="F17" s="23">
        <v>8</v>
      </c>
      <c r="G17" s="23">
        <v>12</v>
      </c>
      <c r="H17" s="23">
        <v>20</v>
      </c>
      <c r="I17" s="23">
        <v>32</v>
      </c>
      <c r="J17" s="23">
        <v>42</v>
      </c>
      <c r="K17" s="23">
        <v>46</v>
      </c>
      <c r="L17" s="23">
        <v>56</v>
      </c>
      <c r="M17" s="23">
        <v>62</v>
      </c>
      <c r="N17" s="23">
        <v>71</v>
      </c>
      <c r="O17" s="23">
        <v>73</v>
      </c>
      <c r="P17" s="23">
        <v>81</v>
      </c>
      <c r="Q17" s="23">
        <v>95</v>
      </c>
      <c r="R17" s="23">
        <v>94</v>
      </c>
      <c r="S17" s="23" t="s">
        <v>60</v>
      </c>
      <c r="T17" s="23" t="s">
        <v>60</v>
      </c>
      <c r="U17" s="23" t="s">
        <v>60</v>
      </c>
      <c r="V17" s="23" t="s">
        <v>60</v>
      </c>
    </row>
    <row r="18" spans="1:22" ht="19.899999999999999" customHeight="1" thickBot="1" x14ac:dyDescent="0.25">
      <c r="A18" t="s">
        <v>32</v>
      </c>
      <c r="B18" s="14" t="s">
        <v>32</v>
      </c>
      <c r="C18" s="16" t="s">
        <v>32</v>
      </c>
      <c r="D18" s="17" t="s">
        <v>11</v>
      </c>
      <c r="E18" s="47" t="s">
        <v>35</v>
      </c>
      <c r="F18" s="24">
        <v>6</v>
      </c>
      <c r="G18" s="24">
        <v>9</v>
      </c>
      <c r="H18" s="24">
        <v>18</v>
      </c>
      <c r="I18" s="24">
        <v>26</v>
      </c>
      <c r="J18" s="24">
        <v>36</v>
      </c>
      <c r="K18" s="24">
        <v>48</v>
      </c>
      <c r="L18" s="24">
        <v>62</v>
      </c>
      <c r="M18" s="24">
        <v>71</v>
      </c>
      <c r="N18" s="24">
        <v>82</v>
      </c>
      <c r="O18" s="24">
        <v>92</v>
      </c>
      <c r="P18" s="24">
        <v>97</v>
      </c>
      <c r="Q18" s="54" t="s">
        <v>60</v>
      </c>
      <c r="R18" s="24" t="s">
        <v>60</v>
      </c>
      <c r="S18" s="24" t="s">
        <v>60</v>
      </c>
      <c r="T18" s="24" t="s">
        <v>60</v>
      </c>
      <c r="U18" s="24" t="s">
        <v>60</v>
      </c>
      <c r="V18" s="24" t="s">
        <v>60</v>
      </c>
    </row>
    <row r="19" spans="1:22" ht="19.899999999999999" customHeight="1" x14ac:dyDescent="0.2">
      <c r="A19" t="s">
        <v>32</v>
      </c>
      <c r="B19" s="11" t="s">
        <v>0</v>
      </c>
      <c r="C19" s="15">
        <v>4</v>
      </c>
      <c r="D19" s="13" t="s">
        <v>10</v>
      </c>
      <c r="E19" s="46" t="s">
        <v>37</v>
      </c>
      <c r="F19" s="23">
        <v>7</v>
      </c>
      <c r="G19" s="23">
        <v>9</v>
      </c>
      <c r="H19" s="23">
        <v>14</v>
      </c>
      <c r="I19" s="23">
        <v>25</v>
      </c>
      <c r="J19" s="23">
        <v>31</v>
      </c>
      <c r="K19" s="23">
        <v>44</v>
      </c>
      <c r="L19" s="23">
        <v>57</v>
      </c>
      <c r="M19" s="23">
        <v>65</v>
      </c>
      <c r="N19" s="23">
        <v>77</v>
      </c>
      <c r="O19" s="23">
        <v>83</v>
      </c>
      <c r="P19" s="23">
        <v>91</v>
      </c>
      <c r="Q19" s="42" t="s">
        <v>60</v>
      </c>
      <c r="R19" s="23" t="s">
        <v>60</v>
      </c>
      <c r="S19" s="23" t="s">
        <v>60</v>
      </c>
      <c r="T19" s="23" t="s">
        <v>60</v>
      </c>
      <c r="U19" s="23" t="s">
        <v>60</v>
      </c>
      <c r="V19" s="23" t="s">
        <v>60</v>
      </c>
    </row>
    <row r="20" spans="1:22" ht="19.899999999999999" customHeight="1" thickBot="1" x14ac:dyDescent="0.25">
      <c r="A20" t="s">
        <v>32</v>
      </c>
      <c r="B20" s="14" t="s">
        <v>32</v>
      </c>
      <c r="C20" s="16" t="s">
        <v>32</v>
      </c>
      <c r="D20" s="17" t="s">
        <v>11</v>
      </c>
      <c r="E20" s="47" t="s">
        <v>37</v>
      </c>
      <c r="F20" s="24">
        <v>10</v>
      </c>
      <c r="G20" s="24">
        <v>10</v>
      </c>
      <c r="H20" s="24">
        <v>15</v>
      </c>
      <c r="I20" s="24">
        <v>25</v>
      </c>
      <c r="J20" s="24">
        <v>38</v>
      </c>
      <c r="K20" s="24">
        <v>51</v>
      </c>
      <c r="L20" s="24">
        <v>60</v>
      </c>
      <c r="M20" s="24">
        <v>67</v>
      </c>
      <c r="N20" s="24">
        <v>71</v>
      </c>
      <c r="O20" s="24">
        <v>80</v>
      </c>
      <c r="P20" s="24">
        <v>99</v>
      </c>
      <c r="Q20" s="54" t="s">
        <v>60</v>
      </c>
      <c r="R20" s="24" t="s">
        <v>60</v>
      </c>
      <c r="S20" s="24" t="s">
        <v>60</v>
      </c>
      <c r="T20" s="24" t="s">
        <v>60</v>
      </c>
      <c r="U20" s="24" t="s">
        <v>60</v>
      </c>
      <c r="V20" s="24" t="s">
        <v>60</v>
      </c>
    </row>
    <row r="21" spans="1:22" ht="19.899999999999999" customHeight="1" x14ac:dyDescent="0.2">
      <c r="A21" t="s">
        <v>32</v>
      </c>
      <c r="B21" s="11" t="s">
        <v>1</v>
      </c>
      <c r="C21" s="15">
        <v>4</v>
      </c>
      <c r="D21" s="13" t="s">
        <v>11</v>
      </c>
      <c r="E21" s="46" t="s">
        <v>38</v>
      </c>
      <c r="F21" s="23">
        <v>6</v>
      </c>
      <c r="G21" s="23">
        <v>8</v>
      </c>
      <c r="H21" s="23">
        <v>15</v>
      </c>
      <c r="I21" s="23">
        <v>26</v>
      </c>
      <c r="J21" s="23">
        <v>37</v>
      </c>
      <c r="K21" s="23">
        <v>50</v>
      </c>
      <c r="L21" s="23">
        <v>65</v>
      </c>
      <c r="M21" s="23">
        <v>79</v>
      </c>
      <c r="N21" s="23">
        <v>82</v>
      </c>
      <c r="O21" s="23">
        <v>88</v>
      </c>
      <c r="P21" s="42" t="s">
        <v>60</v>
      </c>
      <c r="Q21" s="42" t="s">
        <v>60</v>
      </c>
      <c r="R21" s="23" t="s">
        <v>60</v>
      </c>
      <c r="S21" s="23" t="s">
        <v>60</v>
      </c>
      <c r="T21" s="23" t="s">
        <v>60</v>
      </c>
      <c r="U21" s="23" t="s">
        <v>60</v>
      </c>
      <c r="V21" s="23" t="s">
        <v>60</v>
      </c>
    </row>
    <row r="22" spans="1:22" ht="19.899999999999999" customHeight="1" thickBot="1" x14ac:dyDescent="0.25">
      <c r="A22" t="s">
        <v>32</v>
      </c>
      <c r="B22" s="14" t="s">
        <v>32</v>
      </c>
      <c r="C22" s="16" t="s">
        <v>32</v>
      </c>
      <c r="D22" s="17" t="s">
        <v>10</v>
      </c>
      <c r="E22" s="47" t="s">
        <v>38</v>
      </c>
      <c r="F22" s="24">
        <v>9</v>
      </c>
      <c r="G22" s="24">
        <v>12</v>
      </c>
      <c r="H22" s="24">
        <v>18</v>
      </c>
      <c r="I22" s="24">
        <v>28</v>
      </c>
      <c r="J22" s="24">
        <v>40</v>
      </c>
      <c r="K22" s="24">
        <v>52</v>
      </c>
      <c r="L22" s="24">
        <v>63</v>
      </c>
      <c r="M22" s="24">
        <v>67</v>
      </c>
      <c r="N22" s="24">
        <v>78</v>
      </c>
      <c r="O22" s="24">
        <v>81</v>
      </c>
      <c r="P22" s="24">
        <v>92</v>
      </c>
      <c r="Q22" s="54" t="s">
        <v>60</v>
      </c>
      <c r="R22" s="24" t="s">
        <v>60</v>
      </c>
      <c r="S22" s="24" t="s">
        <v>60</v>
      </c>
      <c r="T22" s="24" t="s">
        <v>60</v>
      </c>
      <c r="U22" s="24" t="s">
        <v>60</v>
      </c>
      <c r="V22" s="24" t="s">
        <v>60</v>
      </c>
    </row>
    <row r="23" spans="1:22" ht="19.899999999999999" customHeight="1" x14ac:dyDescent="0.2">
      <c r="A23" t="s">
        <v>32</v>
      </c>
      <c r="B23" s="11" t="s">
        <v>1</v>
      </c>
      <c r="C23" s="15">
        <v>3</v>
      </c>
      <c r="D23" s="13" t="s">
        <v>11</v>
      </c>
      <c r="E23" s="46" t="s">
        <v>36</v>
      </c>
      <c r="F23" s="23">
        <v>8</v>
      </c>
      <c r="G23" s="23">
        <v>10</v>
      </c>
      <c r="H23" s="23">
        <v>17</v>
      </c>
      <c r="I23" s="23">
        <v>26</v>
      </c>
      <c r="J23" s="23">
        <v>34</v>
      </c>
      <c r="K23" s="23">
        <v>43</v>
      </c>
      <c r="L23" s="23">
        <v>55</v>
      </c>
      <c r="M23" s="23">
        <v>66</v>
      </c>
      <c r="N23" s="23">
        <v>71</v>
      </c>
      <c r="O23" s="23">
        <v>75</v>
      </c>
      <c r="P23" s="23">
        <v>81</v>
      </c>
      <c r="Q23" s="23">
        <v>95</v>
      </c>
      <c r="R23" s="23">
        <v>93</v>
      </c>
      <c r="S23" s="23" t="s">
        <v>60</v>
      </c>
      <c r="T23" s="23" t="s">
        <v>60</v>
      </c>
      <c r="U23" s="23" t="s">
        <v>60</v>
      </c>
      <c r="V23" s="23" t="s">
        <v>60</v>
      </c>
    </row>
    <row r="24" spans="1:22" ht="19.899999999999999" customHeight="1" thickBot="1" x14ac:dyDescent="0.25">
      <c r="A24" t="s">
        <v>32</v>
      </c>
      <c r="B24" s="14" t="s">
        <v>32</v>
      </c>
      <c r="C24" s="16" t="s">
        <v>32</v>
      </c>
      <c r="D24" s="17" t="s">
        <v>10</v>
      </c>
      <c r="E24" s="47" t="s">
        <v>36</v>
      </c>
      <c r="F24" s="24">
        <v>7</v>
      </c>
      <c r="G24" s="24">
        <v>11</v>
      </c>
      <c r="H24" s="24">
        <v>18</v>
      </c>
      <c r="I24" s="24">
        <v>30</v>
      </c>
      <c r="J24" s="24">
        <v>37</v>
      </c>
      <c r="K24" s="24">
        <v>54</v>
      </c>
      <c r="L24" s="24">
        <v>64</v>
      </c>
      <c r="M24" s="24">
        <v>72</v>
      </c>
      <c r="N24" s="24">
        <v>89</v>
      </c>
      <c r="O24" s="24">
        <v>94</v>
      </c>
      <c r="P24" s="54" t="s">
        <v>60</v>
      </c>
      <c r="Q24" s="54" t="s">
        <v>60</v>
      </c>
      <c r="R24" s="24" t="s">
        <v>60</v>
      </c>
      <c r="S24" s="24" t="s">
        <v>60</v>
      </c>
      <c r="T24" s="24" t="s">
        <v>60</v>
      </c>
      <c r="U24" s="24" t="s">
        <v>60</v>
      </c>
      <c r="V24" s="24" t="s">
        <v>60</v>
      </c>
    </row>
    <row r="25" spans="1:22" ht="19.899999999999999" customHeight="1" x14ac:dyDescent="0.2">
      <c r="A25" t="s">
        <v>32</v>
      </c>
      <c r="B25" s="11" t="s">
        <v>1</v>
      </c>
      <c r="C25" s="15">
        <v>2</v>
      </c>
      <c r="D25" s="13" t="s">
        <v>11</v>
      </c>
      <c r="E25" s="46" t="s">
        <v>37</v>
      </c>
      <c r="F25" s="23">
        <v>7</v>
      </c>
      <c r="G25" s="23">
        <v>10</v>
      </c>
      <c r="H25" s="23">
        <v>17</v>
      </c>
      <c r="I25" s="23">
        <v>29</v>
      </c>
      <c r="J25" s="23">
        <v>38</v>
      </c>
      <c r="K25" s="23">
        <v>50</v>
      </c>
      <c r="L25" s="23">
        <v>64</v>
      </c>
      <c r="M25" s="23">
        <v>71</v>
      </c>
      <c r="N25" s="23">
        <v>87</v>
      </c>
      <c r="O25" s="23">
        <v>93</v>
      </c>
      <c r="P25" s="42" t="s">
        <v>60</v>
      </c>
      <c r="Q25" s="42" t="s">
        <v>60</v>
      </c>
      <c r="R25" s="23" t="s">
        <v>60</v>
      </c>
      <c r="S25" s="23" t="s">
        <v>60</v>
      </c>
      <c r="T25" s="23" t="s">
        <v>60</v>
      </c>
      <c r="U25" s="23" t="s">
        <v>60</v>
      </c>
      <c r="V25" s="23" t="s">
        <v>60</v>
      </c>
    </row>
    <row r="26" spans="1:22" ht="19.899999999999999" customHeight="1" thickBot="1" x14ac:dyDescent="0.25">
      <c r="A26" t="s">
        <v>32</v>
      </c>
      <c r="B26" s="14" t="s">
        <v>32</v>
      </c>
      <c r="C26" s="16" t="s">
        <v>32</v>
      </c>
      <c r="D26" s="17" t="s">
        <v>10</v>
      </c>
      <c r="E26" s="47" t="s">
        <v>37</v>
      </c>
      <c r="F26" s="24">
        <v>7</v>
      </c>
      <c r="G26" s="24">
        <v>11</v>
      </c>
      <c r="H26" s="24">
        <v>17</v>
      </c>
      <c r="I26" s="24">
        <v>28</v>
      </c>
      <c r="J26" s="24">
        <v>38</v>
      </c>
      <c r="K26" s="24">
        <v>56</v>
      </c>
      <c r="L26" s="24">
        <v>71</v>
      </c>
      <c r="M26" s="24">
        <v>78</v>
      </c>
      <c r="N26" s="24">
        <v>89</v>
      </c>
      <c r="O26" s="24">
        <v>96</v>
      </c>
      <c r="P26" s="54" t="s">
        <v>60</v>
      </c>
      <c r="Q26" s="54" t="s">
        <v>60</v>
      </c>
      <c r="R26" s="24" t="s">
        <v>60</v>
      </c>
      <c r="S26" s="24" t="s">
        <v>60</v>
      </c>
      <c r="T26" s="24" t="s">
        <v>60</v>
      </c>
      <c r="U26" s="24" t="s">
        <v>60</v>
      </c>
      <c r="V26" s="24" t="s">
        <v>60</v>
      </c>
    </row>
    <row r="27" spans="1:22" ht="19.899999999999999" customHeight="1" x14ac:dyDescent="0.2">
      <c r="A27" t="s">
        <v>32</v>
      </c>
      <c r="B27" s="11" t="s">
        <v>1</v>
      </c>
      <c r="C27" s="15">
        <v>1</v>
      </c>
      <c r="D27" s="13" t="s">
        <v>11</v>
      </c>
      <c r="E27" s="46" t="s">
        <v>38</v>
      </c>
      <c r="F27" s="23">
        <v>8</v>
      </c>
      <c r="G27" s="23">
        <v>10</v>
      </c>
      <c r="H27" s="23">
        <v>19</v>
      </c>
      <c r="I27" s="23">
        <v>28</v>
      </c>
      <c r="J27" s="23">
        <v>41</v>
      </c>
      <c r="K27" s="23">
        <v>58</v>
      </c>
      <c r="L27" s="23">
        <v>69</v>
      </c>
      <c r="M27" s="23">
        <v>75</v>
      </c>
      <c r="N27" s="23">
        <v>85</v>
      </c>
      <c r="O27" s="23">
        <v>89</v>
      </c>
      <c r="P27" s="42" t="s">
        <v>60</v>
      </c>
      <c r="Q27" s="42" t="s">
        <v>60</v>
      </c>
      <c r="R27" s="23" t="s">
        <v>60</v>
      </c>
      <c r="S27" s="23" t="s">
        <v>60</v>
      </c>
      <c r="T27" s="23" t="s">
        <v>60</v>
      </c>
      <c r="U27" s="23" t="s">
        <v>60</v>
      </c>
      <c r="V27" s="23" t="s">
        <v>60</v>
      </c>
    </row>
    <row r="28" spans="1:22" ht="19.899999999999999" customHeight="1" thickBot="1" x14ac:dyDescent="0.25">
      <c r="A28" t="s">
        <v>32</v>
      </c>
      <c r="B28" s="14" t="s">
        <v>32</v>
      </c>
      <c r="C28" s="16" t="s">
        <v>32</v>
      </c>
      <c r="D28" s="17" t="s">
        <v>10</v>
      </c>
      <c r="E28" s="47" t="s">
        <v>38</v>
      </c>
      <c r="F28" s="24">
        <v>7</v>
      </c>
      <c r="G28" s="24">
        <v>10</v>
      </c>
      <c r="H28" s="24">
        <v>17</v>
      </c>
      <c r="I28" s="24">
        <v>27</v>
      </c>
      <c r="J28" s="24">
        <v>36</v>
      </c>
      <c r="K28" s="24">
        <v>50</v>
      </c>
      <c r="L28" s="24">
        <v>62</v>
      </c>
      <c r="M28" s="24">
        <v>75</v>
      </c>
      <c r="N28" s="24">
        <v>95</v>
      </c>
      <c r="O28" s="24">
        <v>101</v>
      </c>
      <c r="P28" s="54" t="s">
        <v>60</v>
      </c>
      <c r="Q28" s="54" t="s">
        <v>60</v>
      </c>
      <c r="R28" s="24" t="s">
        <v>60</v>
      </c>
      <c r="S28" s="24" t="s">
        <v>60</v>
      </c>
      <c r="T28" s="24" t="s">
        <v>60</v>
      </c>
      <c r="U28" s="24" t="s">
        <v>60</v>
      </c>
      <c r="V28" s="24" t="s">
        <v>60</v>
      </c>
    </row>
    <row r="29" spans="1:22" ht="19.899999999999999" customHeight="1" x14ac:dyDescent="0.2">
      <c r="A29" t="s">
        <v>32</v>
      </c>
      <c r="B29" s="11" t="s">
        <v>2</v>
      </c>
      <c r="C29" s="15">
        <v>1</v>
      </c>
      <c r="D29" s="13" t="s">
        <v>10</v>
      </c>
      <c r="E29" s="46" t="s">
        <v>38</v>
      </c>
      <c r="F29" s="23">
        <v>6</v>
      </c>
      <c r="G29" s="23">
        <v>10</v>
      </c>
      <c r="H29" s="23">
        <v>18</v>
      </c>
      <c r="I29" s="23">
        <v>26</v>
      </c>
      <c r="J29" s="23">
        <v>31</v>
      </c>
      <c r="K29" s="23">
        <v>54</v>
      </c>
      <c r="L29" s="23">
        <v>59</v>
      </c>
      <c r="M29" s="23">
        <v>70</v>
      </c>
      <c r="N29" s="23">
        <v>84</v>
      </c>
      <c r="O29" s="23">
        <v>93</v>
      </c>
      <c r="P29" s="42" t="s">
        <v>60</v>
      </c>
      <c r="Q29" s="42" t="s">
        <v>60</v>
      </c>
      <c r="R29" s="23" t="s">
        <v>60</v>
      </c>
      <c r="S29" s="23" t="s">
        <v>60</v>
      </c>
      <c r="T29" s="23" t="s">
        <v>60</v>
      </c>
      <c r="U29" s="23" t="s">
        <v>60</v>
      </c>
      <c r="V29" s="23" t="s">
        <v>60</v>
      </c>
    </row>
    <row r="30" spans="1:22" ht="19.899999999999999" customHeight="1" thickBot="1" x14ac:dyDescent="0.25">
      <c r="A30" t="s">
        <v>32</v>
      </c>
      <c r="B30" s="14" t="s">
        <v>32</v>
      </c>
      <c r="C30" s="16" t="s">
        <v>32</v>
      </c>
      <c r="D30" s="17" t="s">
        <v>11</v>
      </c>
      <c r="E30" s="47" t="s">
        <v>38</v>
      </c>
      <c r="F30" s="24">
        <v>10</v>
      </c>
      <c r="G30" s="24">
        <v>9</v>
      </c>
      <c r="H30" s="24">
        <v>14</v>
      </c>
      <c r="I30" s="24">
        <v>23</v>
      </c>
      <c r="J30" s="24">
        <v>30</v>
      </c>
      <c r="K30" s="24">
        <v>44</v>
      </c>
      <c r="L30" s="24">
        <v>57</v>
      </c>
      <c r="M30" s="24">
        <v>71</v>
      </c>
      <c r="N30" s="24">
        <v>85</v>
      </c>
      <c r="O30" s="24">
        <v>92</v>
      </c>
      <c r="P30" s="24">
        <v>100</v>
      </c>
      <c r="Q30" s="54" t="s">
        <v>60</v>
      </c>
      <c r="R30" s="24" t="s">
        <v>60</v>
      </c>
      <c r="S30" s="24" t="s">
        <v>60</v>
      </c>
      <c r="T30" s="24" t="s">
        <v>60</v>
      </c>
      <c r="U30" s="24" t="s">
        <v>60</v>
      </c>
      <c r="V30" s="24" t="s">
        <v>60</v>
      </c>
    </row>
    <row r="31" spans="1:22" ht="19.899999999999999" customHeight="1" x14ac:dyDescent="0.2">
      <c r="A31" t="s">
        <v>32</v>
      </c>
      <c r="B31" s="11" t="s">
        <v>2</v>
      </c>
      <c r="C31" s="15">
        <v>2</v>
      </c>
      <c r="D31" s="13" t="s">
        <v>10</v>
      </c>
      <c r="E31" s="46" t="s">
        <v>37</v>
      </c>
      <c r="F31" s="23">
        <v>6</v>
      </c>
      <c r="G31" s="23">
        <v>8</v>
      </c>
      <c r="H31" s="23">
        <v>13</v>
      </c>
      <c r="I31" s="23">
        <v>22</v>
      </c>
      <c r="J31" s="23">
        <v>31</v>
      </c>
      <c r="K31" s="23">
        <v>40</v>
      </c>
      <c r="L31" s="23">
        <v>56</v>
      </c>
      <c r="M31" s="23">
        <v>67</v>
      </c>
      <c r="N31" s="23">
        <v>79</v>
      </c>
      <c r="O31" s="23">
        <v>85</v>
      </c>
      <c r="P31" s="23">
        <v>100</v>
      </c>
      <c r="Q31" s="42" t="s">
        <v>60</v>
      </c>
      <c r="R31" s="23" t="s">
        <v>60</v>
      </c>
      <c r="S31" s="23" t="s">
        <v>60</v>
      </c>
      <c r="T31" s="23" t="s">
        <v>60</v>
      </c>
      <c r="U31" s="23" t="s">
        <v>60</v>
      </c>
      <c r="V31" s="23" t="s">
        <v>60</v>
      </c>
    </row>
    <row r="32" spans="1:22" ht="19.899999999999999" customHeight="1" thickBot="1" x14ac:dyDescent="0.25">
      <c r="A32" t="s">
        <v>32</v>
      </c>
      <c r="B32" s="14" t="s">
        <v>32</v>
      </c>
      <c r="C32" s="16" t="s">
        <v>32</v>
      </c>
      <c r="D32" s="17" t="s">
        <v>11</v>
      </c>
      <c r="E32" s="47" t="s">
        <v>37</v>
      </c>
      <c r="F32" s="24">
        <v>7</v>
      </c>
      <c r="G32" s="24">
        <v>12</v>
      </c>
      <c r="H32" s="24">
        <v>22</v>
      </c>
      <c r="I32" s="24">
        <v>31</v>
      </c>
      <c r="J32" s="24">
        <v>45</v>
      </c>
      <c r="K32" s="24">
        <v>57</v>
      </c>
      <c r="L32" s="24">
        <v>75</v>
      </c>
      <c r="M32" s="24">
        <v>84</v>
      </c>
      <c r="N32" s="24">
        <v>92</v>
      </c>
      <c r="O32" s="24">
        <v>97</v>
      </c>
      <c r="P32" s="54" t="s">
        <v>60</v>
      </c>
      <c r="Q32" s="54" t="s">
        <v>60</v>
      </c>
      <c r="R32" s="24" t="s">
        <v>60</v>
      </c>
      <c r="S32" s="24" t="s">
        <v>60</v>
      </c>
      <c r="T32" s="24" t="s">
        <v>60</v>
      </c>
      <c r="U32" s="24" t="s">
        <v>60</v>
      </c>
      <c r="V32" s="24" t="s">
        <v>60</v>
      </c>
    </row>
    <row r="33" spans="1:22" ht="19.899999999999999" customHeight="1" x14ac:dyDescent="0.2">
      <c r="A33" t="s">
        <v>32</v>
      </c>
      <c r="B33" s="11" t="s">
        <v>2</v>
      </c>
      <c r="C33" s="15">
        <v>3</v>
      </c>
      <c r="D33" s="13" t="s">
        <v>10</v>
      </c>
      <c r="E33" s="46" t="s">
        <v>35</v>
      </c>
      <c r="F33" s="23">
        <v>7</v>
      </c>
      <c r="G33" s="23">
        <v>10</v>
      </c>
      <c r="H33" s="23">
        <v>17</v>
      </c>
      <c r="I33" s="23">
        <v>28</v>
      </c>
      <c r="J33" s="23">
        <v>38</v>
      </c>
      <c r="K33" s="23">
        <v>52</v>
      </c>
      <c r="L33" s="23">
        <v>62</v>
      </c>
      <c r="M33" s="23">
        <v>64</v>
      </c>
      <c r="N33" s="23">
        <v>76</v>
      </c>
      <c r="O33" s="23">
        <v>87</v>
      </c>
      <c r="P33" s="23">
        <v>98</v>
      </c>
      <c r="Q33" s="42" t="s">
        <v>60</v>
      </c>
      <c r="R33" s="23" t="s">
        <v>60</v>
      </c>
      <c r="S33" s="23" t="s">
        <v>60</v>
      </c>
      <c r="T33" s="23" t="s">
        <v>60</v>
      </c>
      <c r="U33" s="23" t="s">
        <v>60</v>
      </c>
      <c r="V33" s="23" t="s">
        <v>60</v>
      </c>
    </row>
    <row r="34" spans="1:22" ht="19.899999999999999" customHeight="1" thickBot="1" x14ac:dyDescent="0.25">
      <c r="A34" t="s">
        <v>32</v>
      </c>
      <c r="B34" s="14" t="s">
        <v>32</v>
      </c>
      <c r="C34" s="16" t="s">
        <v>32</v>
      </c>
      <c r="D34" s="17" t="s">
        <v>11</v>
      </c>
      <c r="E34" s="47" t="s">
        <v>35</v>
      </c>
      <c r="F34" s="24">
        <v>7</v>
      </c>
      <c r="G34" s="24">
        <v>10</v>
      </c>
      <c r="H34" s="24">
        <v>15</v>
      </c>
      <c r="I34" s="24">
        <v>24</v>
      </c>
      <c r="J34" s="24">
        <v>34</v>
      </c>
      <c r="K34" s="24">
        <v>44</v>
      </c>
      <c r="L34" s="24">
        <v>56</v>
      </c>
      <c r="M34" s="24">
        <v>74</v>
      </c>
      <c r="N34" s="24">
        <v>84</v>
      </c>
      <c r="O34" s="24">
        <v>90</v>
      </c>
      <c r="P34" s="24">
        <v>95</v>
      </c>
      <c r="Q34" s="54" t="s">
        <v>60</v>
      </c>
      <c r="R34" s="24" t="s">
        <v>60</v>
      </c>
      <c r="S34" s="24" t="s">
        <v>60</v>
      </c>
      <c r="T34" s="24" t="s">
        <v>60</v>
      </c>
      <c r="U34" s="24" t="s">
        <v>60</v>
      </c>
      <c r="V34" s="24" t="s">
        <v>60</v>
      </c>
    </row>
    <row r="35" spans="1:22" ht="19.899999999999999" customHeight="1" x14ac:dyDescent="0.2">
      <c r="A35" t="s">
        <v>32</v>
      </c>
      <c r="B35" s="11" t="s">
        <v>2</v>
      </c>
      <c r="C35" s="15">
        <v>4</v>
      </c>
      <c r="D35" s="13" t="s">
        <v>10</v>
      </c>
      <c r="E35" s="46" t="s">
        <v>37</v>
      </c>
      <c r="F35" s="23">
        <v>7</v>
      </c>
      <c r="G35" s="23">
        <v>12</v>
      </c>
      <c r="H35" s="23">
        <v>22</v>
      </c>
      <c r="I35" s="23">
        <v>34</v>
      </c>
      <c r="J35" s="23">
        <v>44</v>
      </c>
      <c r="K35" s="23">
        <v>60</v>
      </c>
      <c r="L35" s="23">
        <v>71</v>
      </c>
      <c r="M35" s="23">
        <v>76</v>
      </c>
      <c r="N35" s="23">
        <v>90</v>
      </c>
      <c r="O35" s="23">
        <v>97</v>
      </c>
      <c r="P35" s="42" t="s">
        <v>60</v>
      </c>
      <c r="Q35" s="42" t="s">
        <v>60</v>
      </c>
      <c r="R35" s="23" t="s">
        <v>60</v>
      </c>
      <c r="S35" s="23" t="s">
        <v>60</v>
      </c>
      <c r="T35" s="23" t="s">
        <v>60</v>
      </c>
      <c r="U35" s="23" t="s">
        <v>60</v>
      </c>
      <c r="V35" s="23" t="s">
        <v>60</v>
      </c>
    </row>
    <row r="36" spans="1:22" ht="19.899999999999999" customHeight="1" thickBot="1" x14ac:dyDescent="0.25">
      <c r="A36" t="s">
        <v>32</v>
      </c>
      <c r="B36" s="14" t="s">
        <v>32</v>
      </c>
      <c r="C36" s="16" t="s">
        <v>32</v>
      </c>
      <c r="D36" s="17" t="s">
        <v>11</v>
      </c>
      <c r="E36" s="47" t="s">
        <v>37</v>
      </c>
      <c r="F36" s="24">
        <v>8</v>
      </c>
      <c r="G36" s="24">
        <v>12</v>
      </c>
      <c r="H36" s="24">
        <v>17</v>
      </c>
      <c r="I36" s="24">
        <v>29</v>
      </c>
      <c r="J36" s="24">
        <v>40</v>
      </c>
      <c r="K36" s="24">
        <v>57</v>
      </c>
      <c r="L36" s="24">
        <v>66</v>
      </c>
      <c r="M36" s="24">
        <v>76</v>
      </c>
      <c r="N36" s="24">
        <v>98</v>
      </c>
      <c r="O36" s="24">
        <v>95</v>
      </c>
      <c r="P36" s="54" t="s">
        <v>60</v>
      </c>
      <c r="Q36" s="54" t="s">
        <v>60</v>
      </c>
      <c r="R36" s="24" t="s">
        <v>60</v>
      </c>
      <c r="S36" s="24" t="s">
        <v>60</v>
      </c>
      <c r="T36" s="24" t="s">
        <v>60</v>
      </c>
      <c r="U36" s="24" t="s">
        <v>60</v>
      </c>
      <c r="V36" s="24" t="s">
        <v>60</v>
      </c>
    </row>
    <row r="37" spans="1:22" ht="19.899999999999999" customHeight="1" x14ac:dyDescent="0.2">
      <c r="A37" t="s">
        <v>32</v>
      </c>
      <c r="B37" s="11" t="s">
        <v>3</v>
      </c>
      <c r="C37" s="15">
        <v>4</v>
      </c>
      <c r="D37" s="13" t="s">
        <v>11</v>
      </c>
      <c r="E37" s="46" t="s">
        <v>36</v>
      </c>
      <c r="F37" s="23">
        <v>9</v>
      </c>
      <c r="G37" s="23">
        <v>12</v>
      </c>
      <c r="H37" s="23">
        <v>18</v>
      </c>
      <c r="I37" s="23">
        <v>29</v>
      </c>
      <c r="J37" s="23">
        <v>44</v>
      </c>
      <c r="K37" s="23">
        <v>57</v>
      </c>
      <c r="L37" s="23">
        <v>65</v>
      </c>
      <c r="M37" s="23">
        <v>74</v>
      </c>
      <c r="N37" s="23">
        <v>79</v>
      </c>
      <c r="O37" s="23">
        <v>88</v>
      </c>
      <c r="P37" s="23">
        <v>97</v>
      </c>
      <c r="Q37" s="42" t="s">
        <v>60</v>
      </c>
      <c r="R37" s="23" t="s">
        <v>60</v>
      </c>
      <c r="S37" s="23" t="s">
        <v>60</v>
      </c>
      <c r="T37" s="23" t="s">
        <v>60</v>
      </c>
      <c r="U37" s="23" t="s">
        <v>60</v>
      </c>
      <c r="V37" s="23" t="s">
        <v>60</v>
      </c>
    </row>
    <row r="38" spans="1:22" ht="19.899999999999999" customHeight="1" thickBot="1" x14ac:dyDescent="0.25">
      <c r="A38" t="s">
        <v>32</v>
      </c>
      <c r="B38" s="14" t="s">
        <v>32</v>
      </c>
      <c r="C38" s="16" t="s">
        <v>32</v>
      </c>
      <c r="D38" s="17" t="s">
        <v>10</v>
      </c>
      <c r="E38" s="47" t="s">
        <v>36</v>
      </c>
      <c r="F38" s="24">
        <v>8</v>
      </c>
      <c r="G38" s="24">
        <v>11</v>
      </c>
      <c r="H38" s="24">
        <v>18</v>
      </c>
      <c r="I38" s="24">
        <v>30</v>
      </c>
      <c r="J38" s="24">
        <v>37</v>
      </c>
      <c r="K38" s="24">
        <v>46</v>
      </c>
      <c r="L38" s="24">
        <v>57</v>
      </c>
      <c r="M38" s="24">
        <v>62</v>
      </c>
      <c r="N38" s="24">
        <v>69</v>
      </c>
      <c r="O38" s="24">
        <v>72</v>
      </c>
      <c r="P38" s="24">
        <v>80</v>
      </c>
      <c r="Q38" s="24">
        <v>98</v>
      </c>
      <c r="R38" s="24" t="s">
        <v>60</v>
      </c>
      <c r="S38" s="24" t="s">
        <v>60</v>
      </c>
      <c r="T38" s="24" t="s">
        <v>60</v>
      </c>
      <c r="U38" s="24" t="s">
        <v>60</v>
      </c>
      <c r="V38" s="24" t="s">
        <v>60</v>
      </c>
    </row>
    <row r="39" spans="1:22" ht="19.899999999999999" customHeight="1" x14ac:dyDescent="0.2">
      <c r="A39" t="s">
        <v>32</v>
      </c>
      <c r="B39" s="11" t="s">
        <v>3</v>
      </c>
      <c r="C39" s="15">
        <v>3</v>
      </c>
      <c r="D39" s="13" t="s">
        <v>11</v>
      </c>
      <c r="E39" s="46" t="s">
        <v>38</v>
      </c>
      <c r="F39" s="23">
        <v>10</v>
      </c>
      <c r="G39" s="23">
        <v>12</v>
      </c>
      <c r="H39" s="23">
        <v>22</v>
      </c>
      <c r="I39" s="23">
        <v>29</v>
      </c>
      <c r="J39" s="23">
        <v>39</v>
      </c>
      <c r="K39" s="23">
        <v>49</v>
      </c>
      <c r="L39" s="23">
        <v>56</v>
      </c>
      <c r="M39" s="23">
        <v>61</v>
      </c>
      <c r="N39" s="23">
        <v>69</v>
      </c>
      <c r="O39" s="23">
        <v>71</v>
      </c>
      <c r="P39" s="23">
        <v>79</v>
      </c>
      <c r="Q39" s="23">
        <v>87</v>
      </c>
      <c r="R39" s="23" t="s">
        <v>60</v>
      </c>
      <c r="S39" s="23" t="s">
        <v>60</v>
      </c>
      <c r="T39" s="23" t="s">
        <v>60</v>
      </c>
      <c r="U39" s="23" t="s">
        <v>60</v>
      </c>
      <c r="V39" s="23" t="s">
        <v>60</v>
      </c>
    </row>
    <row r="40" spans="1:22" ht="19.899999999999999" customHeight="1" thickBot="1" x14ac:dyDescent="0.25">
      <c r="A40" t="s">
        <v>32</v>
      </c>
      <c r="B40" s="14" t="s">
        <v>32</v>
      </c>
      <c r="C40" s="16" t="s">
        <v>32</v>
      </c>
      <c r="D40" s="17" t="s">
        <v>10</v>
      </c>
      <c r="E40" s="47" t="s">
        <v>38</v>
      </c>
      <c r="F40" s="24">
        <v>10</v>
      </c>
      <c r="G40" s="24">
        <v>13</v>
      </c>
      <c r="H40" s="24">
        <v>23</v>
      </c>
      <c r="I40" s="24">
        <v>34</v>
      </c>
      <c r="J40" s="24">
        <v>46</v>
      </c>
      <c r="K40" s="24">
        <v>62</v>
      </c>
      <c r="L40" s="24">
        <v>73</v>
      </c>
      <c r="M40" s="24">
        <v>81</v>
      </c>
      <c r="N40" s="24">
        <v>91</v>
      </c>
      <c r="O40" s="24">
        <v>97</v>
      </c>
      <c r="P40" s="54" t="s">
        <v>60</v>
      </c>
      <c r="Q40" s="54" t="s">
        <v>60</v>
      </c>
      <c r="R40" s="24" t="s">
        <v>60</v>
      </c>
      <c r="S40" s="24" t="s">
        <v>60</v>
      </c>
      <c r="T40" s="24" t="s">
        <v>60</v>
      </c>
      <c r="U40" s="24" t="s">
        <v>60</v>
      </c>
      <c r="V40" s="24" t="s">
        <v>60</v>
      </c>
    </row>
    <row r="41" spans="1:22" ht="19.899999999999999" customHeight="1" x14ac:dyDescent="0.2">
      <c r="A41" t="s">
        <v>32</v>
      </c>
      <c r="B41" s="11" t="s">
        <v>3</v>
      </c>
      <c r="C41" s="15">
        <v>2</v>
      </c>
      <c r="D41" s="13" t="s">
        <v>11</v>
      </c>
      <c r="E41" s="46" t="s">
        <v>36</v>
      </c>
      <c r="F41" s="23">
        <v>7</v>
      </c>
      <c r="G41" s="23">
        <v>10</v>
      </c>
      <c r="H41" s="23">
        <v>16</v>
      </c>
      <c r="I41" s="23">
        <v>28</v>
      </c>
      <c r="J41" s="23">
        <v>36</v>
      </c>
      <c r="K41" s="23">
        <v>47</v>
      </c>
      <c r="L41" s="23">
        <v>58</v>
      </c>
      <c r="M41" s="23">
        <v>64</v>
      </c>
      <c r="N41" s="23">
        <v>72</v>
      </c>
      <c r="O41" s="23">
        <v>80</v>
      </c>
      <c r="P41" s="23">
        <v>91</v>
      </c>
      <c r="Q41" s="42" t="s">
        <v>60</v>
      </c>
      <c r="R41" s="23" t="s">
        <v>60</v>
      </c>
      <c r="S41" s="23" t="s">
        <v>60</v>
      </c>
      <c r="T41" s="23" t="s">
        <v>60</v>
      </c>
      <c r="U41" s="23" t="s">
        <v>60</v>
      </c>
      <c r="V41" s="23" t="s">
        <v>60</v>
      </c>
    </row>
    <row r="42" spans="1:22" ht="19.899999999999999" customHeight="1" thickBot="1" x14ac:dyDescent="0.25">
      <c r="A42" t="s">
        <v>32</v>
      </c>
      <c r="B42" s="14" t="s">
        <v>32</v>
      </c>
      <c r="C42" s="16" t="s">
        <v>32</v>
      </c>
      <c r="D42" s="17" t="s">
        <v>10</v>
      </c>
      <c r="E42" s="47" t="s">
        <v>36</v>
      </c>
      <c r="F42" s="24">
        <v>8</v>
      </c>
      <c r="G42" s="24">
        <v>10</v>
      </c>
      <c r="H42" s="24">
        <v>19</v>
      </c>
      <c r="I42" s="24">
        <v>24</v>
      </c>
      <c r="J42" s="24">
        <v>35</v>
      </c>
      <c r="K42" s="24">
        <v>50</v>
      </c>
      <c r="L42" s="24">
        <v>63</v>
      </c>
      <c r="M42" s="24">
        <v>73</v>
      </c>
      <c r="N42" s="24">
        <v>80</v>
      </c>
      <c r="O42" s="24">
        <v>89</v>
      </c>
      <c r="P42" s="54" t="s">
        <v>60</v>
      </c>
      <c r="Q42" s="54" t="s">
        <v>60</v>
      </c>
      <c r="R42" s="24" t="s">
        <v>60</v>
      </c>
      <c r="S42" s="24" t="s">
        <v>60</v>
      </c>
      <c r="T42" s="24" t="s">
        <v>60</v>
      </c>
      <c r="U42" s="24" t="s">
        <v>60</v>
      </c>
      <c r="V42" s="24" t="s">
        <v>60</v>
      </c>
    </row>
    <row r="43" spans="1:22" ht="19.899999999999999" customHeight="1" x14ac:dyDescent="0.2">
      <c r="A43" s="1" t="s">
        <v>32</v>
      </c>
      <c r="B43" s="11" t="s">
        <v>3</v>
      </c>
      <c r="C43" s="15">
        <v>1</v>
      </c>
      <c r="D43" s="13" t="s">
        <v>11</v>
      </c>
      <c r="E43" s="46" t="s">
        <v>35</v>
      </c>
      <c r="F43" s="23">
        <v>10</v>
      </c>
      <c r="G43" s="23">
        <v>11</v>
      </c>
      <c r="H43" s="23">
        <v>18</v>
      </c>
      <c r="I43" s="23">
        <v>26</v>
      </c>
      <c r="J43" s="23">
        <v>38</v>
      </c>
      <c r="K43" s="23">
        <v>46</v>
      </c>
      <c r="L43" s="23">
        <v>63</v>
      </c>
      <c r="M43" s="23">
        <v>72</v>
      </c>
      <c r="N43" s="23">
        <v>77</v>
      </c>
      <c r="O43" s="23">
        <v>83</v>
      </c>
      <c r="P43" s="23">
        <v>94</v>
      </c>
      <c r="Q43" s="42" t="s">
        <v>60</v>
      </c>
      <c r="R43" s="23" t="s">
        <v>60</v>
      </c>
      <c r="S43" s="23" t="s">
        <v>60</v>
      </c>
      <c r="T43" s="23" t="s">
        <v>60</v>
      </c>
      <c r="U43" s="23" t="s">
        <v>60</v>
      </c>
      <c r="V43" s="23" t="s">
        <v>60</v>
      </c>
    </row>
    <row r="44" spans="1:22" ht="19.899999999999999" customHeight="1" thickBot="1" x14ac:dyDescent="0.25">
      <c r="A44" s="1" t="s">
        <v>32</v>
      </c>
      <c r="B44" s="14" t="s">
        <v>32</v>
      </c>
      <c r="C44" s="16" t="s">
        <v>32</v>
      </c>
      <c r="D44" s="17" t="s">
        <v>10</v>
      </c>
      <c r="E44" s="47" t="s">
        <v>35</v>
      </c>
      <c r="F44" s="24">
        <v>9</v>
      </c>
      <c r="G44" s="24">
        <v>12</v>
      </c>
      <c r="H44" s="24">
        <v>19</v>
      </c>
      <c r="I44" s="24">
        <v>30</v>
      </c>
      <c r="J44" s="24">
        <v>40</v>
      </c>
      <c r="K44" s="24">
        <v>51</v>
      </c>
      <c r="L44" s="24">
        <v>61</v>
      </c>
      <c r="M44" s="24">
        <v>69</v>
      </c>
      <c r="N44" s="24">
        <v>73</v>
      </c>
      <c r="O44" s="24">
        <v>74</v>
      </c>
      <c r="P44" s="24">
        <v>97</v>
      </c>
      <c r="Q44" s="54" t="s">
        <v>60</v>
      </c>
      <c r="R44" s="24" t="s">
        <v>60</v>
      </c>
      <c r="S44" s="24" t="s">
        <v>60</v>
      </c>
      <c r="T44" s="24" t="s">
        <v>60</v>
      </c>
      <c r="U44" s="24" t="s">
        <v>60</v>
      </c>
      <c r="V44" s="24" t="s">
        <v>60</v>
      </c>
    </row>
    <row r="45" spans="1:22" ht="19.899999999999999" customHeight="1" x14ac:dyDescent="0.2">
      <c r="A45" s="12" t="s">
        <v>32</v>
      </c>
      <c r="B45" s="11" t="s">
        <v>4</v>
      </c>
      <c r="C45" s="15">
        <v>1</v>
      </c>
      <c r="D45" s="13" t="s">
        <v>10</v>
      </c>
      <c r="E45" s="46" t="s">
        <v>36</v>
      </c>
      <c r="F45" s="23">
        <v>9</v>
      </c>
      <c r="G45" s="23">
        <v>11</v>
      </c>
      <c r="H45" s="23">
        <v>19</v>
      </c>
      <c r="I45" s="23">
        <v>29</v>
      </c>
      <c r="J45" s="23">
        <v>41</v>
      </c>
      <c r="K45" s="23">
        <v>53</v>
      </c>
      <c r="L45" s="23">
        <v>65</v>
      </c>
      <c r="M45" s="23">
        <v>71</v>
      </c>
      <c r="N45" s="23">
        <v>76</v>
      </c>
      <c r="O45" s="23">
        <v>85</v>
      </c>
      <c r="P45" s="23">
        <v>100</v>
      </c>
      <c r="Q45" s="42" t="s">
        <v>60</v>
      </c>
      <c r="R45" s="23" t="s">
        <v>60</v>
      </c>
      <c r="S45" s="23" t="s">
        <v>60</v>
      </c>
      <c r="T45" s="23" t="s">
        <v>60</v>
      </c>
      <c r="U45" s="23" t="s">
        <v>60</v>
      </c>
      <c r="V45" s="23" t="s">
        <v>60</v>
      </c>
    </row>
    <row r="46" spans="1:22" ht="19.899999999999999" customHeight="1" thickBot="1" x14ac:dyDescent="0.25">
      <c r="A46" s="1" t="s">
        <v>32</v>
      </c>
      <c r="B46" s="14" t="s">
        <v>32</v>
      </c>
      <c r="C46" s="16" t="s">
        <v>32</v>
      </c>
      <c r="D46" s="17" t="s">
        <v>11</v>
      </c>
      <c r="E46" s="47" t="s">
        <v>36</v>
      </c>
      <c r="F46" s="24">
        <v>7</v>
      </c>
      <c r="G46" s="24">
        <v>10</v>
      </c>
      <c r="H46" s="24">
        <v>16</v>
      </c>
      <c r="I46" s="24">
        <v>32</v>
      </c>
      <c r="J46" s="24">
        <v>39</v>
      </c>
      <c r="K46" s="24">
        <v>43</v>
      </c>
      <c r="L46" s="24">
        <v>60</v>
      </c>
      <c r="M46" s="24">
        <v>67</v>
      </c>
      <c r="N46" s="24">
        <v>73</v>
      </c>
      <c r="O46" s="24">
        <v>77</v>
      </c>
      <c r="P46" s="24">
        <v>103</v>
      </c>
      <c r="Q46" s="54" t="s">
        <v>60</v>
      </c>
      <c r="R46" s="24" t="s">
        <v>60</v>
      </c>
      <c r="S46" s="24" t="s">
        <v>60</v>
      </c>
      <c r="T46" s="24" t="s">
        <v>60</v>
      </c>
      <c r="U46" s="24" t="s">
        <v>60</v>
      </c>
      <c r="V46" s="24" t="s">
        <v>60</v>
      </c>
    </row>
    <row r="47" spans="1:22" ht="19.899999999999999" customHeight="1" x14ac:dyDescent="0.2">
      <c r="A47" s="1" t="s">
        <v>32</v>
      </c>
      <c r="B47" s="11" t="s">
        <v>4</v>
      </c>
      <c r="C47" s="15">
        <v>2</v>
      </c>
      <c r="D47" s="13" t="s">
        <v>10</v>
      </c>
      <c r="E47" s="46" t="s">
        <v>38</v>
      </c>
      <c r="F47" s="23">
        <v>8</v>
      </c>
      <c r="G47" s="23">
        <v>11</v>
      </c>
      <c r="H47" s="23">
        <v>15</v>
      </c>
      <c r="I47" s="23">
        <v>28</v>
      </c>
      <c r="J47" s="23">
        <v>38</v>
      </c>
      <c r="K47" s="23">
        <v>44</v>
      </c>
      <c r="L47" s="23">
        <v>61</v>
      </c>
      <c r="M47" s="23">
        <v>69</v>
      </c>
      <c r="N47" s="23">
        <v>82</v>
      </c>
      <c r="O47" s="23">
        <v>90</v>
      </c>
      <c r="P47" s="42" t="s">
        <v>60</v>
      </c>
      <c r="Q47" s="42" t="s">
        <v>60</v>
      </c>
      <c r="R47" s="23" t="s">
        <v>60</v>
      </c>
      <c r="S47" s="23" t="s">
        <v>60</v>
      </c>
      <c r="T47" s="23" t="s">
        <v>60</v>
      </c>
      <c r="U47" s="23" t="s">
        <v>60</v>
      </c>
      <c r="V47" s="23" t="s">
        <v>60</v>
      </c>
    </row>
    <row r="48" spans="1:22" ht="19.899999999999999" customHeight="1" thickBot="1" x14ac:dyDescent="0.25">
      <c r="A48" s="1" t="s">
        <v>32</v>
      </c>
      <c r="B48" s="14" t="s">
        <v>32</v>
      </c>
      <c r="C48" s="16" t="s">
        <v>32</v>
      </c>
      <c r="D48" s="17" t="s">
        <v>11</v>
      </c>
      <c r="E48" s="47" t="s">
        <v>38</v>
      </c>
      <c r="F48" s="24">
        <v>8</v>
      </c>
      <c r="G48" s="24">
        <v>11</v>
      </c>
      <c r="H48" s="24">
        <v>18</v>
      </c>
      <c r="I48" s="24">
        <v>30</v>
      </c>
      <c r="J48" s="24">
        <v>39</v>
      </c>
      <c r="K48" s="24">
        <v>52</v>
      </c>
      <c r="L48" s="24">
        <v>61</v>
      </c>
      <c r="M48" s="24">
        <v>68</v>
      </c>
      <c r="N48" s="24">
        <v>80</v>
      </c>
      <c r="O48" s="24">
        <v>89</v>
      </c>
      <c r="P48" s="24">
        <v>100</v>
      </c>
      <c r="Q48" s="54" t="s">
        <v>60</v>
      </c>
      <c r="R48" s="24" t="s">
        <v>60</v>
      </c>
      <c r="S48" s="24" t="s">
        <v>60</v>
      </c>
      <c r="T48" s="24" t="s">
        <v>60</v>
      </c>
      <c r="U48" s="24" t="s">
        <v>60</v>
      </c>
      <c r="V48" s="24" t="s">
        <v>60</v>
      </c>
    </row>
    <row r="49" spans="1:22" ht="19.899999999999999" customHeight="1" x14ac:dyDescent="0.2">
      <c r="A49" s="1" t="s">
        <v>32</v>
      </c>
      <c r="B49" s="11" t="s">
        <v>4</v>
      </c>
      <c r="C49" s="15">
        <v>3</v>
      </c>
      <c r="D49" s="13" t="s">
        <v>10</v>
      </c>
      <c r="E49" s="46" t="s">
        <v>37</v>
      </c>
      <c r="F49" s="23">
        <v>8</v>
      </c>
      <c r="G49" s="23">
        <v>10</v>
      </c>
      <c r="H49" s="23">
        <v>19</v>
      </c>
      <c r="I49" s="23">
        <v>28</v>
      </c>
      <c r="J49" s="23">
        <v>42</v>
      </c>
      <c r="K49" s="23">
        <v>53</v>
      </c>
      <c r="L49" s="23">
        <v>62</v>
      </c>
      <c r="M49" s="23">
        <v>68</v>
      </c>
      <c r="N49" s="23">
        <v>80</v>
      </c>
      <c r="O49" s="23">
        <v>89</v>
      </c>
      <c r="P49" s="42" t="s">
        <v>60</v>
      </c>
      <c r="Q49" s="42" t="s">
        <v>60</v>
      </c>
      <c r="R49" s="23" t="s">
        <v>60</v>
      </c>
      <c r="S49" s="23" t="s">
        <v>60</v>
      </c>
      <c r="T49" s="23" t="s">
        <v>60</v>
      </c>
      <c r="U49" s="23" t="s">
        <v>60</v>
      </c>
      <c r="V49" s="23" t="s">
        <v>60</v>
      </c>
    </row>
    <row r="50" spans="1:22" ht="19.899999999999999" customHeight="1" thickBot="1" x14ac:dyDescent="0.25">
      <c r="A50" s="1" t="s">
        <v>32</v>
      </c>
      <c r="B50" s="14" t="s">
        <v>32</v>
      </c>
      <c r="C50" s="16" t="s">
        <v>32</v>
      </c>
      <c r="D50" s="17" t="s">
        <v>11</v>
      </c>
      <c r="E50" s="47" t="s">
        <v>37</v>
      </c>
      <c r="F50" s="24">
        <v>6</v>
      </c>
      <c r="G50" s="24">
        <v>12</v>
      </c>
      <c r="H50" s="24">
        <v>20</v>
      </c>
      <c r="I50" s="24">
        <v>31</v>
      </c>
      <c r="J50" s="24">
        <v>40</v>
      </c>
      <c r="K50" s="24">
        <v>45</v>
      </c>
      <c r="L50" s="24">
        <v>57</v>
      </c>
      <c r="M50" s="24">
        <v>70</v>
      </c>
      <c r="N50" s="24">
        <v>76</v>
      </c>
      <c r="O50" s="24">
        <v>81</v>
      </c>
      <c r="P50" s="24">
        <v>91</v>
      </c>
      <c r="Q50" s="24">
        <v>99</v>
      </c>
      <c r="R50" s="24">
        <v>96</v>
      </c>
      <c r="S50" s="24" t="s">
        <v>60</v>
      </c>
      <c r="T50" s="24" t="s">
        <v>60</v>
      </c>
      <c r="U50" s="24" t="s">
        <v>60</v>
      </c>
      <c r="V50" s="24" t="s">
        <v>60</v>
      </c>
    </row>
    <row r="51" spans="1:22" ht="19.899999999999999" customHeight="1" x14ac:dyDescent="0.2">
      <c r="A51" s="1" t="s">
        <v>32</v>
      </c>
      <c r="B51" s="11" t="s">
        <v>4</v>
      </c>
      <c r="C51" s="15">
        <v>4</v>
      </c>
      <c r="D51" s="13" t="s">
        <v>10</v>
      </c>
      <c r="E51" s="46" t="s">
        <v>35</v>
      </c>
      <c r="F51" s="23">
        <v>9</v>
      </c>
      <c r="G51" s="23">
        <v>12</v>
      </c>
      <c r="H51" s="23">
        <v>23</v>
      </c>
      <c r="I51" s="23">
        <v>30</v>
      </c>
      <c r="J51" s="23">
        <v>45</v>
      </c>
      <c r="K51" s="23">
        <v>58</v>
      </c>
      <c r="L51" s="23">
        <v>71</v>
      </c>
      <c r="M51" s="23">
        <v>74</v>
      </c>
      <c r="N51" s="23">
        <v>86</v>
      </c>
      <c r="O51" s="23">
        <v>94</v>
      </c>
      <c r="P51" s="23">
        <v>98</v>
      </c>
      <c r="Q51" s="42" t="s">
        <v>60</v>
      </c>
      <c r="R51" s="23" t="s">
        <v>60</v>
      </c>
      <c r="S51" s="23" t="s">
        <v>60</v>
      </c>
      <c r="T51" s="23" t="s">
        <v>60</v>
      </c>
      <c r="U51" s="23" t="s">
        <v>60</v>
      </c>
      <c r="V51" s="23" t="s">
        <v>60</v>
      </c>
    </row>
    <row r="52" spans="1:22" ht="19.899999999999999" customHeight="1" thickBot="1" x14ac:dyDescent="0.25">
      <c r="A52" s="1" t="s">
        <v>32</v>
      </c>
      <c r="B52" s="14" t="s">
        <v>32</v>
      </c>
      <c r="C52" s="16" t="s">
        <v>32</v>
      </c>
      <c r="D52" s="17" t="s">
        <v>11</v>
      </c>
      <c r="E52" s="47" t="s">
        <v>35</v>
      </c>
      <c r="F52" s="24">
        <v>8</v>
      </c>
      <c r="G52" s="24">
        <v>10</v>
      </c>
      <c r="H52" s="24">
        <v>17</v>
      </c>
      <c r="I52" s="24">
        <v>25</v>
      </c>
      <c r="J52" s="24">
        <v>33</v>
      </c>
      <c r="K52" s="24">
        <v>44</v>
      </c>
      <c r="L52" s="24">
        <v>55</v>
      </c>
      <c r="M52" s="24">
        <v>56</v>
      </c>
      <c r="N52" s="24">
        <v>60</v>
      </c>
      <c r="O52" s="24">
        <v>65</v>
      </c>
      <c r="P52" s="24">
        <v>73</v>
      </c>
      <c r="Q52" s="24">
        <v>87</v>
      </c>
      <c r="R52" s="24">
        <v>93</v>
      </c>
      <c r="S52" s="24" t="s">
        <v>60</v>
      </c>
      <c r="T52" s="24" t="s">
        <v>60</v>
      </c>
      <c r="U52" s="24" t="s">
        <v>60</v>
      </c>
      <c r="V52" s="24" t="s">
        <v>60</v>
      </c>
    </row>
    <row r="53" spans="1:22" ht="19.899999999999999" customHeight="1" x14ac:dyDescent="0.2">
      <c r="A53" s="1" t="s">
        <v>32</v>
      </c>
      <c r="B53" s="11" t="s">
        <v>5</v>
      </c>
      <c r="C53" s="15">
        <v>4</v>
      </c>
      <c r="D53" s="13" t="s">
        <v>11</v>
      </c>
      <c r="E53" s="46" t="s">
        <v>36</v>
      </c>
      <c r="F53" s="23">
        <v>7</v>
      </c>
      <c r="G53" s="23">
        <v>10</v>
      </c>
      <c r="H53" s="23">
        <v>16</v>
      </c>
      <c r="I53" s="23">
        <v>28</v>
      </c>
      <c r="J53" s="23">
        <v>39</v>
      </c>
      <c r="K53" s="23">
        <v>48</v>
      </c>
      <c r="L53" s="23">
        <v>52</v>
      </c>
      <c r="M53" s="23">
        <v>56</v>
      </c>
      <c r="N53" s="23">
        <v>60</v>
      </c>
      <c r="O53" s="23">
        <v>65</v>
      </c>
      <c r="P53" s="23">
        <v>69</v>
      </c>
      <c r="Q53" s="23">
        <v>80</v>
      </c>
      <c r="R53" s="23">
        <v>85</v>
      </c>
      <c r="S53" s="23" t="s">
        <v>60</v>
      </c>
      <c r="T53" s="23" t="s">
        <v>60</v>
      </c>
      <c r="U53" s="23" t="s">
        <v>60</v>
      </c>
      <c r="V53" s="23" t="s">
        <v>60</v>
      </c>
    </row>
    <row r="54" spans="1:22" ht="19.899999999999999" customHeight="1" thickBot="1" x14ac:dyDescent="0.25">
      <c r="A54" s="1" t="s">
        <v>32</v>
      </c>
      <c r="B54" s="14" t="s">
        <v>32</v>
      </c>
      <c r="C54" s="16" t="s">
        <v>32</v>
      </c>
      <c r="D54" s="17" t="s">
        <v>10</v>
      </c>
      <c r="E54" s="47" t="s">
        <v>36</v>
      </c>
      <c r="F54" s="24">
        <v>8</v>
      </c>
      <c r="G54" s="24">
        <v>14</v>
      </c>
      <c r="H54" s="24">
        <v>19</v>
      </c>
      <c r="I54" s="24">
        <v>30</v>
      </c>
      <c r="J54" s="24">
        <v>44</v>
      </c>
      <c r="K54" s="24">
        <v>45</v>
      </c>
      <c r="L54" s="24">
        <v>54</v>
      </c>
      <c r="M54" s="24">
        <v>49</v>
      </c>
      <c r="N54" s="24">
        <v>58</v>
      </c>
      <c r="O54" s="24">
        <v>65</v>
      </c>
      <c r="P54" s="54">
        <v>72</v>
      </c>
      <c r="Q54" s="54">
        <v>85</v>
      </c>
      <c r="R54" s="24">
        <v>88</v>
      </c>
      <c r="S54" s="24" t="s">
        <v>60</v>
      </c>
      <c r="T54" s="24" t="s">
        <v>60</v>
      </c>
      <c r="U54" s="24" t="s">
        <v>60</v>
      </c>
      <c r="V54" s="24" t="s">
        <v>60</v>
      </c>
    </row>
    <row r="55" spans="1:22" ht="19.899999999999999" customHeight="1" x14ac:dyDescent="0.2">
      <c r="A55" s="1" t="s">
        <v>32</v>
      </c>
      <c r="B55" s="11" t="s">
        <v>5</v>
      </c>
      <c r="C55" s="15">
        <v>3</v>
      </c>
      <c r="D55" s="13" t="s">
        <v>11</v>
      </c>
      <c r="E55" s="46" t="s">
        <v>38</v>
      </c>
      <c r="F55" s="23">
        <v>9</v>
      </c>
      <c r="G55" s="23">
        <v>12</v>
      </c>
      <c r="H55" s="23">
        <v>21</v>
      </c>
      <c r="I55" s="23">
        <v>31</v>
      </c>
      <c r="J55" s="23">
        <v>39</v>
      </c>
      <c r="K55" s="23">
        <v>47</v>
      </c>
      <c r="L55" s="23">
        <v>57</v>
      </c>
      <c r="M55" s="23">
        <v>70</v>
      </c>
      <c r="N55" s="23">
        <v>79</v>
      </c>
      <c r="O55" s="23">
        <v>87</v>
      </c>
      <c r="P55" s="42" t="s">
        <v>60</v>
      </c>
      <c r="Q55" s="42" t="s">
        <v>60</v>
      </c>
      <c r="R55" s="23" t="s">
        <v>60</v>
      </c>
      <c r="S55" s="23" t="s">
        <v>60</v>
      </c>
      <c r="T55" s="23" t="s">
        <v>60</v>
      </c>
      <c r="U55" s="23" t="s">
        <v>60</v>
      </c>
      <c r="V55" s="23" t="s">
        <v>60</v>
      </c>
    </row>
    <row r="56" spans="1:22" ht="19.899999999999999" customHeight="1" thickBot="1" x14ac:dyDescent="0.25">
      <c r="A56" s="1" t="s">
        <v>32</v>
      </c>
      <c r="B56" s="14" t="s">
        <v>32</v>
      </c>
      <c r="C56" s="16" t="s">
        <v>32</v>
      </c>
      <c r="D56" s="17" t="s">
        <v>10</v>
      </c>
      <c r="E56" s="47" t="s">
        <v>38</v>
      </c>
      <c r="F56" s="24">
        <v>9</v>
      </c>
      <c r="G56" s="24">
        <v>11</v>
      </c>
      <c r="H56" s="24">
        <v>22</v>
      </c>
      <c r="I56" s="24">
        <v>30</v>
      </c>
      <c r="J56" s="24">
        <v>43</v>
      </c>
      <c r="K56" s="24">
        <v>57</v>
      </c>
      <c r="L56" s="24">
        <v>69</v>
      </c>
      <c r="M56" s="24">
        <v>81</v>
      </c>
      <c r="N56" s="24">
        <v>90</v>
      </c>
      <c r="O56" s="24">
        <v>98</v>
      </c>
      <c r="P56" s="54" t="s">
        <v>60</v>
      </c>
      <c r="Q56" s="54" t="s">
        <v>60</v>
      </c>
      <c r="R56" s="24" t="s">
        <v>60</v>
      </c>
      <c r="S56" s="24" t="s">
        <v>60</v>
      </c>
      <c r="T56" s="24" t="s">
        <v>60</v>
      </c>
      <c r="U56" s="24" t="s">
        <v>60</v>
      </c>
      <c r="V56" s="24" t="s">
        <v>60</v>
      </c>
    </row>
    <row r="57" spans="1:22" ht="19.899999999999999" customHeight="1" x14ac:dyDescent="0.2">
      <c r="A57" s="1" t="s">
        <v>32</v>
      </c>
      <c r="B57" s="11" t="s">
        <v>5</v>
      </c>
      <c r="C57" s="15">
        <v>2</v>
      </c>
      <c r="D57" s="13" t="s">
        <v>11</v>
      </c>
      <c r="E57" s="46" t="s">
        <v>35</v>
      </c>
      <c r="F57" s="23">
        <v>10</v>
      </c>
      <c r="G57" s="23">
        <v>13</v>
      </c>
      <c r="H57" s="23">
        <v>22</v>
      </c>
      <c r="I57" s="23">
        <v>29</v>
      </c>
      <c r="J57" s="23">
        <v>41</v>
      </c>
      <c r="K57" s="23">
        <v>56</v>
      </c>
      <c r="L57" s="23">
        <v>70</v>
      </c>
      <c r="M57" s="23">
        <v>69</v>
      </c>
      <c r="N57" s="23">
        <v>80</v>
      </c>
      <c r="O57" s="23">
        <v>85</v>
      </c>
      <c r="P57" s="42" t="s">
        <v>60</v>
      </c>
      <c r="Q57" s="42" t="s">
        <v>60</v>
      </c>
      <c r="R57" s="23" t="s">
        <v>60</v>
      </c>
      <c r="S57" s="23" t="s">
        <v>60</v>
      </c>
      <c r="T57" s="23" t="s">
        <v>60</v>
      </c>
      <c r="U57" s="23" t="s">
        <v>60</v>
      </c>
      <c r="V57" s="23" t="s">
        <v>60</v>
      </c>
    </row>
    <row r="58" spans="1:22" ht="19.899999999999999" customHeight="1" thickBot="1" x14ac:dyDescent="0.25">
      <c r="A58" s="1" t="s">
        <v>32</v>
      </c>
      <c r="B58" s="14" t="s">
        <v>32</v>
      </c>
      <c r="C58" s="16" t="s">
        <v>32</v>
      </c>
      <c r="D58" s="17" t="s">
        <v>10</v>
      </c>
      <c r="E58" s="47" t="s">
        <v>35</v>
      </c>
      <c r="F58" s="24">
        <v>9</v>
      </c>
      <c r="G58" s="24">
        <v>10</v>
      </c>
      <c r="H58" s="24">
        <v>18</v>
      </c>
      <c r="I58" s="24">
        <v>30</v>
      </c>
      <c r="J58" s="24">
        <v>42</v>
      </c>
      <c r="K58" s="24">
        <v>60</v>
      </c>
      <c r="L58" s="24">
        <v>72</v>
      </c>
      <c r="M58" s="24">
        <v>76</v>
      </c>
      <c r="N58" s="24">
        <v>84</v>
      </c>
      <c r="O58" s="24">
        <v>92</v>
      </c>
      <c r="P58" s="54" t="s">
        <v>60</v>
      </c>
      <c r="Q58" s="54" t="s">
        <v>60</v>
      </c>
      <c r="R58" s="24" t="s">
        <v>60</v>
      </c>
      <c r="S58" s="24" t="s">
        <v>60</v>
      </c>
      <c r="T58" s="24" t="s">
        <v>60</v>
      </c>
      <c r="U58" s="24" t="s">
        <v>60</v>
      </c>
      <c r="V58" s="24" t="s">
        <v>60</v>
      </c>
    </row>
    <row r="59" spans="1:22" ht="19.899999999999999" customHeight="1" x14ac:dyDescent="0.2">
      <c r="A59" s="1" t="s">
        <v>32</v>
      </c>
      <c r="B59" s="11" t="s">
        <v>5</v>
      </c>
      <c r="C59" s="15">
        <v>1</v>
      </c>
      <c r="D59" s="13" t="s">
        <v>11</v>
      </c>
      <c r="E59" s="46" t="s">
        <v>37</v>
      </c>
      <c r="F59" s="23">
        <v>9</v>
      </c>
      <c r="G59" s="23">
        <v>13</v>
      </c>
      <c r="H59" s="23">
        <v>18</v>
      </c>
      <c r="I59" s="23">
        <v>30</v>
      </c>
      <c r="J59" s="23">
        <v>40</v>
      </c>
      <c r="K59" s="23">
        <v>49</v>
      </c>
      <c r="L59" s="23">
        <v>59</v>
      </c>
      <c r="M59" s="23">
        <v>65</v>
      </c>
      <c r="N59" s="23">
        <v>76</v>
      </c>
      <c r="O59" s="23">
        <v>91</v>
      </c>
      <c r="P59" s="42" t="s">
        <v>60</v>
      </c>
      <c r="Q59" s="42" t="s">
        <v>60</v>
      </c>
      <c r="R59" s="23" t="s">
        <v>60</v>
      </c>
      <c r="S59" s="23" t="s">
        <v>60</v>
      </c>
      <c r="T59" s="23" t="s">
        <v>60</v>
      </c>
      <c r="U59" s="23" t="s">
        <v>60</v>
      </c>
      <c r="V59" s="23" t="s">
        <v>60</v>
      </c>
    </row>
    <row r="60" spans="1:22" ht="19.899999999999999" customHeight="1" thickBot="1" x14ac:dyDescent="0.25">
      <c r="A60" s="1" t="s">
        <v>32</v>
      </c>
      <c r="B60" s="14" t="s">
        <v>32</v>
      </c>
      <c r="C60" s="16" t="s">
        <v>32</v>
      </c>
      <c r="D60" s="17" t="s">
        <v>10</v>
      </c>
      <c r="E60" s="47" t="s">
        <v>37</v>
      </c>
      <c r="F60" s="24">
        <v>6</v>
      </c>
      <c r="G60" s="24">
        <v>10</v>
      </c>
      <c r="H60" s="24">
        <v>17</v>
      </c>
      <c r="I60" s="24">
        <v>27</v>
      </c>
      <c r="J60" s="24">
        <v>37</v>
      </c>
      <c r="K60" s="24">
        <v>50</v>
      </c>
      <c r="L60" s="24">
        <v>61</v>
      </c>
      <c r="M60" s="24">
        <v>67</v>
      </c>
      <c r="N60" s="24">
        <v>78</v>
      </c>
      <c r="O60" s="24">
        <v>90</v>
      </c>
      <c r="P60" s="24">
        <v>100</v>
      </c>
      <c r="Q60" s="54" t="s">
        <v>60</v>
      </c>
      <c r="R60" s="24" t="s">
        <v>60</v>
      </c>
      <c r="S60" s="24" t="s">
        <v>60</v>
      </c>
      <c r="T60" s="24" t="s">
        <v>60</v>
      </c>
      <c r="U60" s="24" t="s">
        <v>60</v>
      </c>
      <c r="V60" s="24" t="s">
        <v>60</v>
      </c>
    </row>
    <row r="61" spans="1:22" x14ac:dyDescent="0.2">
      <c r="A61" s="1"/>
      <c r="F61" s="2"/>
      <c r="G61" s="2"/>
      <c r="H61" s="2"/>
      <c r="I61" s="2"/>
      <c r="J61" s="2"/>
      <c r="K61" s="2"/>
      <c r="L61" s="41"/>
      <c r="M61" s="2"/>
      <c r="N61" s="41" t="s">
        <v>31</v>
      </c>
      <c r="O61" s="2"/>
      <c r="P61" s="2"/>
      <c r="Q61" s="2"/>
      <c r="R61" s="58"/>
      <c r="T61" s="60"/>
      <c r="V61" s="58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zoomScaleNormal="100" workbookViewId="0"/>
  </sheetViews>
  <sheetFormatPr defaultRowHeight="12.75" x14ac:dyDescent="0.2"/>
  <cols>
    <col min="3" max="3" width="9" customWidth="1"/>
  </cols>
  <sheetData>
    <row r="1" spans="1:17" ht="15.75" x14ac:dyDescent="0.25">
      <c r="A1" s="6" t="s">
        <v>21</v>
      </c>
    </row>
    <row r="2" spans="1:17" ht="15.75" x14ac:dyDescent="0.25">
      <c r="A2" s="6"/>
      <c r="D2" s="41"/>
    </row>
    <row r="3" spans="1:17" ht="18.75" x14ac:dyDescent="0.3">
      <c r="A3" s="6"/>
      <c r="C3" s="38" t="s">
        <v>22</v>
      </c>
    </row>
    <row r="5" spans="1:17" s="50" customFormat="1" ht="12" x14ac:dyDescent="0.2">
      <c r="B5" s="51"/>
      <c r="C5" s="52">
        <f>'Height Summary'!F9</f>
        <v>43606</v>
      </c>
      <c r="D5" s="52">
        <f>'Height Summary'!G9</f>
        <v>43613</v>
      </c>
      <c r="E5" s="52">
        <f>'Height Summary'!H9</f>
        <v>43619</v>
      </c>
      <c r="F5" s="52">
        <f>'Height Summary'!I9</f>
        <v>43627</v>
      </c>
      <c r="G5" s="52">
        <f>'Height Summary'!J9</f>
        <v>43633</v>
      </c>
      <c r="H5" s="52">
        <f>'Height Summary'!K9</f>
        <v>43641</v>
      </c>
      <c r="I5" s="52">
        <f>'Height Summary'!L9</f>
        <v>43647</v>
      </c>
      <c r="J5" s="52">
        <f>'Height Summary'!M9</f>
        <v>43654</v>
      </c>
      <c r="K5" s="52">
        <f>'Height Summary'!N9</f>
        <v>43661</v>
      </c>
      <c r="L5" s="52">
        <f>'Height Summary'!O9</f>
        <v>43668</v>
      </c>
      <c r="M5" s="52">
        <f>'Height Summary'!R9</f>
        <v>43690</v>
      </c>
      <c r="N5" s="52">
        <f>'Height Summary'!S9</f>
        <v>43697</v>
      </c>
      <c r="O5" s="52">
        <f>'Height Summary'!T9</f>
        <v>43703</v>
      </c>
      <c r="P5" s="52">
        <f>'Height Summary'!U9</f>
        <v>43711</v>
      </c>
      <c r="Q5" s="52">
        <f>'Height Summary'!V9</f>
        <v>43724</v>
      </c>
    </row>
    <row r="6" spans="1:17" x14ac:dyDescent="0.2">
      <c r="C6" s="37">
        <f>'Height Summary'!F10</f>
        <v>141</v>
      </c>
      <c r="D6" s="37">
        <f>'Height Summary'!G10</f>
        <v>148</v>
      </c>
      <c r="E6" s="37">
        <f>'Height Summary'!H10</f>
        <v>154</v>
      </c>
      <c r="F6" s="37">
        <f>'Height Summary'!I10</f>
        <v>162</v>
      </c>
      <c r="G6" s="37">
        <f>'Height Summary'!J10</f>
        <v>168</v>
      </c>
      <c r="H6" s="37">
        <f>'Height Summary'!K10</f>
        <v>176</v>
      </c>
      <c r="I6" s="37">
        <f>'Height Summary'!L10</f>
        <v>182</v>
      </c>
      <c r="J6" s="37">
        <f>'Height Summary'!M10</f>
        <v>189</v>
      </c>
      <c r="K6" s="37">
        <f>'Height Summary'!N10</f>
        <v>196</v>
      </c>
      <c r="L6" s="37">
        <f>'Height Summary'!O10</f>
        <v>203</v>
      </c>
      <c r="M6" s="37" t="str">
        <f>'Height Summary'!R10</f>
        <v>d225</v>
      </c>
      <c r="N6" s="37" t="str">
        <f>'Height Summary'!S10</f>
        <v>d232</v>
      </c>
      <c r="O6" s="37" t="str">
        <f>'Height Summary'!T10</f>
        <v>d238</v>
      </c>
      <c r="P6" s="37" t="str">
        <f>'Height Summary'!U10</f>
        <v>d246</v>
      </c>
      <c r="Q6" s="37" t="str">
        <f>'Height Summary'!V10</f>
        <v>d259</v>
      </c>
    </row>
    <row r="7" spans="1:17" x14ac:dyDescent="0.2">
      <c r="B7" s="4" t="s">
        <v>42</v>
      </c>
      <c r="C7" s="43">
        <f>AVERAGEIFS('Height Summary'!F$13:F$60,'Height Summary'!$E$13:$E$60, "MDL")</f>
        <v>10.333333333333334</v>
      </c>
      <c r="D7" s="43">
        <f>AVERAGEIFS('Height Summary'!G$13:G$60,'Height Summary'!$E$13:$E$60, "MDL")</f>
        <v>13.333333333333334</v>
      </c>
      <c r="E7" s="43">
        <f>AVERAGEIFS('Height Summary'!H$13:H$60,'Height Summary'!$E$13:$E$60, "MDL")</f>
        <v>20.25</v>
      </c>
      <c r="F7" s="43">
        <f>AVERAGEIFS('Height Summary'!I$13:I$60,'Height Summary'!$E$13:$E$60, "MDL")</f>
        <v>30.833333333333332</v>
      </c>
      <c r="G7" s="43">
        <f>AVERAGEIFS('Height Summary'!J$13:J$60,'Height Summary'!$E$13:$E$60, "MDL")</f>
        <v>40.333333333333336</v>
      </c>
      <c r="H7" s="43">
        <f>AVERAGEIFS('Height Summary'!K$13:K$60,'Height Summary'!$E$13:$E$60, "MDL")</f>
        <v>56.916666666666664</v>
      </c>
      <c r="I7" s="43">
        <f>AVERAGEIFS('Height Summary'!L$13:L$60,'Height Summary'!$E$13:$E$60, "MDL")</f>
        <v>68.75</v>
      </c>
      <c r="J7" s="43">
        <f>AVERAGEIFS('Height Summary'!M$13:M$60,'Height Summary'!$E$13:$E$60, "MDL")</f>
        <v>83.083333333333329</v>
      </c>
      <c r="K7" s="43">
        <f>AVERAGEIFS('Height Summary'!N$13:N$60,'Height Summary'!$E$13:$E$60, "MDL")</f>
        <v>93.416666666666671</v>
      </c>
      <c r="L7" s="43">
        <f>AVERAGEIFS('Height Summary'!O$13:O$60,'Height Summary'!$E$13:$E$60, "MDL")</f>
        <v>100.16666666666667</v>
      </c>
      <c r="M7" s="43">
        <f>AVERAGEIFS('Height Summary'!R$13:R$60,'Height Summary'!$E$13:$E$60, "MDL")</f>
        <v>96.75</v>
      </c>
      <c r="N7" s="43">
        <f>AVERAGEIFS('Height Summary'!S$13:S$60,'Height Summary'!$E$13:$E$60, "MDL")</f>
        <v>100.08333333333333</v>
      </c>
      <c r="O7" s="43">
        <f>AVERAGEIFS('Height Summary'!T$13:T$60,'Height Summary'!$E$13:$E$60, "MDL")</f>
        <v>103</v>
      </c>
      <c r="P7" s="43">
        <f>AVERAGEIFS('Height Summary'!U$13:U$60,'Height Summary'!$E$13:$E$60, "MDL")</f>
        <v>105.66666666666667</v>
      </c>
      <c r="Q7" s="43">
        <f>AVERAGEIFS('Height Summary'!V$13:V$60,'Height Summary'!$E$13:$E$60, "MDL")</f>
        <v>108</v>
      </c>
    </row>
    <row r="8" spans="1:17" x14ac:dyDescent="0.2"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x14ac:dyDescent="0.2">
      <c r="B9" s="4" t="s">
        <v>43</v>
      </c>
      <c r="C9" s="27">
        <f>AVERAGEIFS('Height Summary'!F$13:F$60,'Height Summary'!$E$13:$E$60, "SOL")</f>
        <v>10</v>
      </c>
      <c r="D9" s="27">
        <f>AVERAGEIFS('Height Summary'!G$13:G$60,'Height Summary'!$E$13:$E$60, "SOL")</f>
        <v>13.5</v>
      </c>
      <c r="E9" s="27">
        <f>AVERAGEIFS('Height Summary'!H$13:H$60,'Height Summary'!$E$13:$E$60, "SOL")</f>
        <v>19.666666666666668</v>
      </c>
      <c r="F9" s="27">
        <f>AVERAGEIFS('Height Summary'!I$13:I$60,'Height Summary'!$E$13:$E$60, "SOL")</f>
        <v>30.25</v>
      </c>
      <c r="G9" s="27">
        <f>AVERAGEIFS('Height Summary'!J$13:J$60,'Height Summary'!$E$13:$E$60, "SOL")</f>
        <v>40</v>
      </c>
      <c r="H9" s="27">
        <f>AVERAGEIFS('Height Summary'!K$13:K$60,'Height Summary'!$E$13:$E$60, "SOL")</f>
        <v>54.166666666666664</v>
      </c>
      <c r="I9" s="27">
        <f>AVERAGEIFS('Height Summary'!L$13:L$60,'Height Summary'!$E$13:$E$60, "SOL")</f>
        <v>68.75</v>
      </c>
      <c r="J9" s="27">
        <f>AVERAGEIFS('Height Summary'!M$13:M$60,'Height Summary'!$E$13:$E$60, "SOL")</f>
        <v>82.083333333333329</v>
      </c>
      <c r="K9" s="27">
        <f>AVERAGEIFS('Height Summary'!N$13:N$60,'Height Summary'!$E$13:$E$60, "SOL")</f>
        <v>92.666666666666671</v>
      </c>
      <c r="L9" s="27">
        <f>AVERAGEIFS('Height Summary'!O$13:O$60,'Height Summary'!$E$13:$E$60, "SOL")</f>
        <v>100.83333333333333</v>
      </c>
      <c r="M9" s="27">
        <f>AVERAGEIFS('Height Summary'!R$13:R$60,'Height Summary'!$E$13:$E$60, "SOL")</f>
        <v>99.166666666666671</v>
      </c>
      <c r="N9" s="27">
        <f>AVERAGEIFS('Height Summary'!S$13:S$60,'Height Summary'!$E$13:$E$60, "SOL")</f>
        <v>103.25</v>
      </c>
      <c r="O9" s="27">
        <f>AVERAGEIFS('Height Summary'!T$13:T$60,'Height Summary'!$E$13:$E$60, "SOL")</f>
        <v>107.16666666666667</v>
      </c>
      <c r="P9" s="27">
        <f>AVERAGEIFS('Height Summary'!U$13:U$60,'Height Summary'!$E$13:$E$60, "SOL")</f>
        <v>109.08333333333333</v>
      </c>
      <c r="Q9" s="27">
        <f>AVERAGEIFS('Height Summary'!V$13:V$60,'Height Summary'!$E$13:$E$60, "SOL")</f>
        <v>113.58333333333333</v>
      </c>
    </row>
    <row r="10" spans="1:17" x14ac:dyDescent="0.2"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x14ac:dyDescent="0.2">
      <c r="B11" s="4" t="s">
        <v>44</v>
      </c>
      <c r="C11" s="27">
        <f>AVERAGEIFS('Height Summary'!F$13:F$60,'Height Summary'!$E$13:$E$60, "DRN")</f>
        <v>10.833333333333334</v>
      </c>
      <c r="D11" s="27">
        <f>AVERAGEIFS('Height Summary'!G$13:G$60,'Height Summary'!$E$13:$E$60, "DRN")</f>
        <v>14.5</v>
      </c>
      <c r="E11" s="27">
        <f>AVERAGEIFS('Height Summary'!H$13:H$60,'Height Summary'!$E$13:$E$60, "DRN")</f>
        <v>19.416666666666668</v>
      </c>
      <c r="F11" s="27">
        <f>AVERAGEIFS('Height Summary'!I$13:I$60,'Height Summary'!$E$13:$E$60, "DRN")</f>
        <v>30.5</v>
      </c>
      <c r="G11" s="27">
        <f>AVERAGEIFS('Height Summary'!J$13:J$60,'Height Summary'!$E$13:$E$60, "DRN")</f>
        <v>39.75</v>
      </c>
      <c r="H11" s="27">
        <f>AVERAGEIFS('Height Summary'!K$13:K$60,'Height Summary'!$E$13:$E$60, "DRN")</f>
        <v>52.75</v>
      </c>
      <c r="I11" s="27">
        <f>AVERAGEIFS('Height Summary'!L$13:L$60,'Height Summary'!$E$13:$E$60, "DRN")</f>
        <v>67.166666666666671</v>
      </c>
      <c r="J11" s="27">
        <f>AVERAGEIFS('Height Summary'!M$13:M$60,'Height Summary'!$E$13:$E$60, "DRN")</f>
        <v>78</v>
      </c>
      <c r="K11" s="27">
        <f>AVERAGEIFS('Height Summary'!N$13:N$60,'Height Summary'!$E$13:$E$60, "DRN")</f>
        <v>86.833333333333329</v>
      </c>
      <c r="L11" s="27">
        <f>AVERAGEIFS('Height Summary'!O$13:O$60,'Height Summary'!$E$13:$E$60, "DRN")</f>
        <v>93.333333333333329</v>
      </c>
      <c r="M11" s="27">
        <f>AVERAGEIFS('Height Summary'!R$13:R$60,'Height Summary'!$E$13:$E$60, "DRN")</f>
        <v>94.25</v>
      </c>
      <c r="N11" s="27">
        <f>AVERAGEIFS('Height Summary'!S$13:S$60,'Height Summary'!$E$13:$E$60, "DRN")</f>
        <v>97.5</v>
      </c>
      <c r="O11" s="27">
        <f>AVERAGEIFS('Height Summary'!T$13:T$60,'Height Summary'!$E$13:$E$60, "DRN")</f>
        <v>101.58333333333333</v>
      </c>
      <c r="P11" s="27">
        <f>AVERAGEIFS('Height Summary'!U$13:U$60,'Height Summary'!$E$13:$E$60, "DRN")</f>
        <v>105.5</v>
      </c>
      <c r="Q11" s="27">
        <f>AVERAGEIFS('Height Summary'!V$13:V$60,'Height Summary'!$E$13:$E$60, "DRN")</f>
        <v>109.41666666666667</v>
      </c>
    </row>
    <row r="12" spans="1:17" x14ac:dyDescent="0.2"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x14ac:dyDescent="0.2">
      <c r="B13" s="4" t="s">
        <v>45</v>
      </c>
      <c r="C13" s="27">
        <f>AVERAGEIFS('Height Summary'!F$13:F$60,'Height Summary'!$E$13:$E$60, "VRI")</f>
        <v>10.583333333333334</v>
      </c>
      <c r="D13" s="27">
        <f>AVERAGEIFS('Height Summary'!G$13:G$60,'Height Summary'!$E$13:$E$60, "VRI")</f>
        <v>13.666666666666666</v>
      </c>
      <c r="E13" s="27">
        <f>AVERAGEIFS('Height Summary'!H$13:H$60,'Height Summary'!$E$13:$E$60, "VRI")</f>
        <v>19.5</v>
      </c>
      <c r="F13" s="27">
        <f>AVERAGEIFS('Height Summary'!I$13:I$60,'Height Summary'!$E$13:$E$60, "VRI")</f>
        <v>30</v>
      </c>
      <c r="G13" s="27">
        <f>AVERAGEIFS('Height Summary'!J$13:J$60,'Height Summary'!$E$13:$E$60, "VRI")</f>
        <v>40.083333333333336</v>
      </c>
      <c r="H13" s="27">
        <f>AVERAGEIFS('Height Summary'!K$13:K$60,'Height Summary'!$E$13:$E$60, "VRI")</f>
        <v>54.666666666666664</v>
      </c>
      <c r="I13" s="27">
        <f>AVERAGEIFS('Height Summary'!L$13:L$60,'Height Summary'!$E$13:$E$60, "VRI")</f>
        <v>66.5</v>
      </c>
      <c r="J13" s="27">
        <f>AVERAGEIFS('Height Summary'!M$13:M$60,'Height Summary'!$E$13:$E$60, "VRI")</f>
        <v>78.583333333333329</v>
      </c>
      <c r="K13" s="27">
        <f>AVERAGEIFS('Height Summary'!N$13:N$60,'Height Summary'!$E$13:$E$60, "VRI")</f>
        <v>85.583333333333329</v>
      </c>
      <c r="L13" s="27">
        <f>AVERAGEIFS('Height Summary'!O$13:O$60,'Height Summary'!$E$13:$E$60, "VRI")</f>
        <v>92</v>
      </c>
      <c r="M13" s="27">
        <f>AVERAGEIFS('Height Summary'!R$13:R$60,'Height Summary'!$E$13:$E$60, "VRI")</f>
        <v>91.25</v>
      </c>
      <c r="N13" s="27">
        <f>AVERAGEIFS('Height Summary'!S$13:S$60,'Height Summary'!$E$13:$E$60, "VRI")</f>
        <v>94</v>
      </c>
      <c r="O13" s="27">
        <f>AVERAGEIFS('Height Summary'!T$13:T$60,'Height Summary'!$E$13:$E$60, "VRI")</f>
        <v>98.666666666666671</v>
      </c>
      <c r="P13" s="27">
        <f>AVERAGEIFS('Height Summary'!U$13:U$60,'Height Summary'!$E$13:$E$60, "VRI")</f>
        <v>102.16666666666667</v>
      </c>
      <c r="Q13" s="27">
        <f>AVERAGEIFS('Height Summary'!V$13:V$60,'Height Summary'!$E$13:$E$60, "VRI")</f>
        <v>104.66666666666667</v>
      </c>
    </row>
    <row r="14" spans="1:17" x14ac:dyDescent="0.2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17" x14ac:dyDescent="0.2">
      <c r="B15" s="3"/>
      <c r="C15" s="27"/>
    </row>
    <row r="16" spans="1:17" x14ac:dyDescent="0.2">
      <c r="C16" s="27"/>
    </row>
    <row r="17" spans="2:17" ht="18.75" x14ac:dyDescent="0.3">
      <c r="C17" s="38" t="s">
        <v>23</v>
      </c>
    </row>
    <row r="19" spans="2:17" s="50" customFormat="1" ht="12" x14ac:dyDescent="0.2">
      <c r="C19" s="52">
        <f>'Cover Summary'!F9</f>
        <v>43606</v>
      </c>
      <c r="D19" s="52">
        <f>'Cover Summary'!G9</f>
        <v>43613</v>
      </c>
      <c r="E19" s="52">
        <f>'Cover Summary'!H9</f>
        <v>43619</v>
      </c>
      <c r="F19" s="52">
        <f>'Cover Summary'!I9</f>
        <v>43627</v>
      </c>
      <c r="G19" s="52">
        <f>'Cover Summary'!J9</f>
        <v>43633</v>
      </c>
      <c r="H19" s="52">
        <f>'Cover Summary'!K9</f>
        <v>43641</v>
      </c>
      <c r="I19" s="52">
        <f>'Cover Summary'!L9</f>
        <v>43647</v>
      </c>
      <c r="J19" s="52">
        <f>'Cover Summary'!M9</f>
        <v>43654</v>
      </c>
      <c r="K19" s="52">
        <f>'Cover Summary'!N9</f>
        <v>43661</v>
      </c>
      <c r="L19" s="52">
        <f>'Cover Summary'!O9</f>
        <v>43668</v>
      </c>
      <c r="M19" s="52">
        <f>'Cover Summary'!R9</f>
        <v>43690</v>
      </c>
      <c r="N19" s="52">
        <f>'Cover Summary'!S9</f>
        <v>43697</v>
      </c>
      <c r="O19" s="52">
        <f>'Cover Summary'!T9</f>
        <v>43703</v>
      </c>
      <c r="P19" s="52">
        <f>'Cover Summary'!U9</f>
        <v>43711</v>
      </c>
      <c r="Q19" s="52">
        <f>'Cover Summary'!V9</f>
        <v>43724</v>
      </c>
    </row>
    <row r="20" spans="2:17" s="50" customFormat="1" ht="12" x14ac:dyDescent="0.2">
      <c r="C20" s="53">
        <f>'Cover Summary'!F10</f>
        <v>141</v>
      </c>
      <c r="D20" s="53">
        <f>'Cover Summary'!G10</f>
        <v>148</v>
      </c>
      <c r="E20" s="53">
        <f>'Cover Summary'!H10</f>
        <v>154</v>
      </c>
      <c r="F20" s="53">
        <f>'Cover Summary'!I10</f>
        <v>162</v>
      </c>
      <c r="G20" s="53">
        <f>'Cover Summary'!J10</f>
        <v>168</v>
      </c>
      <c r="H20" s="53">
        <f>'Cover Summary'!K10</f>
        <v>176</v>
      </c>
      <c r="I20" s="53">
        <f>'Cover Summary'!L10</f>
        <v>182</v>
      </c>
      <c r="J20" s="53">
        <f>'Cover Summary'!M10</f>
        <v>189</v>
      </c>
      <c r="K20" s="53">
        <f>'Cover Summary'!N10</f>
        <v>196</v>
      </c>
      <c r="L20" s="53">
        <f>'Cover Summary'!O10</f>
        <v>203</v>
      </c>
      <c r="M20" s="53" t="str">
        <f>'Cover Summary'!R10</f>
        <v>d225</v>
      </c>
      <c r="N20" s="53" t="str">
        <f>'Cover Summary'!S10</f>
        <v>d232</v>
      </c>
      <c r="O20" s="53" t="str">
        <f>'Cover Summary'!T10</f>
        <v>d238</v>
      </c>
      <c r="P20" s="53" t="str">
        <f>'Cover Summary'!U10</f>
        <v>d246</v>
      </c>
      <c r="Q20" s="53" t="str">
        <f>'Cover Summary'!V10</f>
        <v>d259</v>
      </c>
    </row>
    <row r="21" spans="2:17" x14ac:dyDescent="0.2">
      <c r="B21" s="4" t="s">
        <v>42</v>
      </c>
      <c r="C21" s="27">
        <f>AVERAGEIFS('Cover Summary'!F$13:F$60,'Cover Summary'!$E$13:$E$60, "MDL")</f>
        <v>8.3333333333333339</v>
      </c>
      <c r="D21" s="27">
        <f>AVERAGEIFS('Cover Summary'!G$13:G$60,'Cover Summary'!$E$13:$E$60, "MDL")</f>
        <v>10.75</v>
      </c>
      <c r="E21" s="27">
        <f>AVERAGEIFS('Cover Summary'!H$13:H$60,'Cover Summary'!$E$13:$E$60, "MDL")</f>
        <v>18.5</v>
      </c>
      <c r="F21" s="27">
        <f>AVERAGEIFS('Cover Summary'!I$13:I$60,'Cover Summary'!$E$13:$E$60, "MDL")</f>
        <v>28.333333333333332</v>
      </c>
      <c r="G21" s="27">
        <f>AVERAGEIFS('Cover Summary'!J$13:J$60,'Cover Summary'!$E$13:$E$60, "MDL")</f>
        <v>38.25</v>
      </c>
      <c r="H21" s="27">
        <f>AVERAGEIFS('Cover Summary'!K$13:K$60,'Cover Summary'!$E$13:$E$60, "MDL")</f>
        <v>51.583333333333336</v>
      </c>
      <c r="I21" s="27">
        <f>AVERAGEIFS('Cover Summary'!L$13:L$60,'Cover Summary'!$E$13:$E$60, "MDL")</f>
        <v>62.666666666666664</v>
      </c>
      <c r="J21" s="27">
        <f>AVERAGEIFS('Cover Summary'!M$13:M$60,'Cover Summary'!$E$13:$E$60, "MDL")</f>
        <v>72.25</v>
      </c>
      <c r="K21" s="27">
        <f>AVERAGEIFS('Cover Summary'!N$13:N$60,'Cover Summary'!$E$13:$E$60, "MDL")</f>
        <v>83.333333333333329</v>
      </c>
      <c r="L21" s="27">
        <f>AVERAGEIFS('Cover Summary'!O$13:O$60,'Cover Summary'!$E$13:$E$60, "MDL")</f>
        <v>89.666666666666671</v>
      </c>
      <c r="M21" s="27" t="e">
        <f>AVERAGEIFS('Cover Summary'!R$13:R$60,'Cover Summary'!$E$13:$E$60, "MDL")</f>
        <v>#DIV/0!</v>
      </c>
      <c r="N21" s="27" t="e">
        <f>AVERAGEIFS('Cover Summary'!S$13:S$60,'Cover Summary'!$E$13:$E$60, "MDL")</f>
        <v>#DIV/0!</v>
      </c>
      <c r="O21" s="27" t="e">
        <f>AVERAGEIFS('Cover Summary'!T$13:T$60,'Cover Summary'!$E$13:$E$60, "MDL")</f>
        <v>#DIV/0!</v>
      </c>
      <c r="P21" s="27" t="e">
        <f>AVERAGEIFS('Cover Summary'!U$13:U$60,'Cover Summary'!$E$13:$E$60, "MDL")</f>
        <v>#DIV/0!</v>
      </c>
      <c r="Q21" s="27" t="e">
        <f>AVERAGEIFS('Cover Summary'!V$13:V$60,'Cover Summary'!$E$13:$E$60, "MDL")</f>
        <v>#DIV/0!</v>
      </c>
    </row>
    <row r="22" spans="2:17" x14ac:dyDescent="0.2"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spans="2:17" x14ac:dyDescent="0.2">
      <c r="B23" s="4" t="s">
        <v>43</v>
      </c>
      <c r="C23" s="27">
        <f>AVERAGEIFS('Cover Summary'!F$13:F$60,'Cover Summary'!$E$13:$E$60, "SOL")</f>
        <v>7.333333333333333</v>
      </c>
      <c r="D23" s="27">
        <f>AVERAGEIFS('Cover Summary'!G$13:G$60,'Cover Summary'!$E$13:$E$60, "SOL")</f>
        <v>10.75</v>
      </c>
      <c r="E23" s="27">
        <f>AVERAGEIFS('Cover Summary'!H$13:H$60,'Cover Summary'!$E$13:$E$60, "SOL")</f>
        <v>17.583333333333332</v>
      </c>
      <c r="F23" s="27">
        <f>AVERAGEIFS('Cover Summary'!I$13:I$60,'Cover Summary'!$E$13:$E$60, "SOL")</f>
        <v>28.25</v>
      </c>
      <c r="G23" s="27">
        <f>AVERAGEIFS('Cover Summary'!J$13:J$60,'Cover Summary'!$E$13:$E$60, "SOL")</f>
        <v>38.666666666666664</v>
      </c>
      <c r="H23" s="27">
        <f>AVERAGEIFS('Cover Summary'!K$13:K$60,'Cover Summary'!$E$13:$E$60, "SOL")</f>
        <v>51</v>
      </c>
      <c r="I23" s="27">
        <f>AVERAGEIFS('Cover Summary'!L$13:L$60,'Cover Summary'!$E$13:$E$60, "SOL")</f>
        <v>63.25</v>
      </c>
      <c r="J23" s="27">
        <f>AVERAGEIFS('Cover Summary'!M$13:M$60,'Cover Summary'!$E$13:$E$60, "SOL")</f>
        <v>71.166666666666671</v>
      </c>
      <c r="K23" s="27">
        <f>AVERAGEIFS('Cover Summary'!N$13:N$60,'Cover Summary'!$E$13:$E$60, "SOL")</f>
        <v>82.75</v>
      </c>
      <c r="L23" s="27">
        <f>AVERAGEIFS('Cover Summary'!O$13:O$60,'Cover Summary'!$E$13:$E$60, "SOL")</f>
        <v>89.75</v>
      </c>
      <c r="M23" s="27">
        <f>AVERAGEIFS('Cover Summary'!R$13:R$60,'Cover Summary'!$E$13:$E$60, "SOL")</f>
        <v>96</v>
      </c>
      <c r="N23" s="27" t="e">
        <f>AVERAGEIFS('Cover Summary'!S$13:S$60,'Cover Summary'!$E$13:$E$60, "SOL")</f>
        <v>#DIV/0!</v>
      </c>
      <c r="O23" s="27" t="e">
        <f>AVERAGEIFS('Cover Summary'!T$13:T$60,'Cover Summary'!$E$13:$E$60, "SOL")</f>
        <v>#DIV/0!</v>
      </c>
      <c r="P23" s="27" t="e">
        <f>AVERAGEIFS('Cover Summary'!U$13:U$60,'Cover Summary'!$E$13:$E$60, "SOL")</f>
        <v>#DIV/0!</v>
      </c>
      <c r="Q23" s="27" t="e">
        <f>AVERAGEIFS('Cover Summary'!V$13:V$60,'Cover Summary'!$E$13:$E$60, "SOL")</f>
        <v>#DIV/0!</v>
      </c>
    </row>
    <row r="24" spans="2:17" x14ac:dyDescent="0.2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2:17" x14ac:dyDescent="0.2">
      <c r="B25" s="4" t="s">
        <v>44</v>
      </c>
      <c r="C25" s="27">
        <f>AVERAGEIFS('Cover Summary'!F$13:F$60,'Cover Summary'!$E$13:$E$60, "DRN")</f>
        <v>7.916666666666667</v>
      </c>
      <c r="D25" s="27">
        <f>AVERAGEIFS('Cover Summary'!G$13:G$60,'Cover Summary'!$E$13:$E$60, "DRN")</f>
        <v>10.75</v>
      </c>
      <c r="E25" s="27">
        <f>AVERAGEIFS('Cover Summary'!H$13:H$60,'Cover Summary'!$E$13:$E$60, "DRN")</f>
        <v>17.833333333333332</v>
      </c>
      <c r="F25" s="27">
        <f>AVERAGEIFS('Cover Summary'!I$13:I$60,'Cover Summary'!$E$13:$E$60, "DRN")</f>
        <v>27.333333333333332</v>
      </c>
      <c r="G25" s="27">
        <f>AVERAGEIFS('Cover Summary'!J$13:J$60,'Cover Summary'!$E$13:$E$60, "DRN")</f>
        <v>38.166666666666664</v>
      </c>
      <c r="H25" s="27">
        <f>AVERAGEIFS('Cover Summary'!K$13:K$60,'Cover Summary'!$E$13:$E$60, "DRN")</f>
        <v>49.083333333333336</v>
      </c>
      <c r="I25" s="27">
        <f>AVERAGEIFS('Cover Summary'!L$13:L$60,'Cover Summary'!$E$13:$E$60, "DRN")</f>
        <v>61.583333333333336</v>
      </c>
      <c r="J25" s="27">
        <f>AVERAGEIFS('Cover Summary'!M$13:M$60,'Cover Summary'!$E$13:$E$60, "DRN")</f>
        <v>68.75</v>
      </c>
      <c r="K25" s="27">
        <f>AVERAGEIFS('Cover Summary'!N$13:N$60,'Cover Summary'!$E$13:$E$60, "DRN")</f>
        <v>77.666666666666671</v>
      </c>
      <c r="L25" s="27">
        <f>AVERAGEIFS('Cover Summary'!O$13:O$60,'Cover Summary'!$E$13:$E$60, "DRN")</f>
        <v>84.333333333333329</v>
      </c>
      <c r="M25" s="27">
        <f>AVERAGEIFS('Cover Summary'!R$13:R$60,'Cover Summary'!$E$13:$E$60, "DRN")</f>
        <v>93.5</v>
      </c>
      <c r="N25" s="27" t="e">
        <f>AVERAGEIFS('Cover Summary'!S$13:S$60,'Cover Summary'!$E$13:$E$60, "DRN")</f>
        <v>#DIV/0!</v>
      </c>
      <c r="O25" s="27" t="e">
        <f>AVERAGEIFS('Cover Summary'!T$13:T$60,'Cover Summary'!$E$13:$E$60, "DRN")</f>
        <v>#DIV/0!</v>
      </c>
      <c r="P25" s="27" t="e">
        <f>AVERAGEIFS('Cover Summary'!U$13:U$60,'Cover Summary'!$E$13:$E$60, "DRN")</f>
        <v>#DIV/0!</v>
      </c>
      <c r="Q25" s="27" t="e">
        <f>AVERAGEIFS('Cover Summary'!V$13:V$60,'Cover Summary'!$E$13:$E$60, "DRN")</f>
        <v>#DIV/0!</v>
      </c>
    </row>
    <row r="26" spans="2:17" x14ac:dyDescent="0.2"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2:17" x14ac:dyDescent="0.2">
      <c r="B27" s="4" t="s">
        <v>45</v>
      </c>
      <c r="C27" s="27">
        <f>AVERAGEIFS('Cover Summary'!F$13:F$60,'Cover Summary'!$E$13:$E$60, "VRI")</f>
        <v>7.75</v>
      </c>
      <c r="D27" s="27">
        <f>AVERAGEIFS('Cover Summary'!G$13:G$60,'Cover Summary'!$E$13:$E$60, "VRI")</f>
        <v>10.75</v>
      </c>
      <c r="E27" s="27">
        <f>AVERAGEIFS('Cover Summary'!H$13:H$60,'Cover Summary'!$E$13:$E$60, "VRI")</f>
        <v>17.583333333333332</v>
      </c>
      <c r="F27" s="27">
        <f>AVERAGEIFS('Cover Summary'!I$13:I$60,'Cover Summary'!$E$13:$E$60, "VRI")</f>
        <v>28.166666666666668</v>
      </c>
      <c r="G27" s="27">
        <f>AVERAGEIFS('Cover Summary'!J$13:J$60,'Cover Summary'!$E$13:$E$60, "VRI")</f>
        <v>38.5</v>
      </c>
      <c r="H27" s="27">
        <f>AVERAGEIFS('Cover Summary'!K$13:K$60,'Cover Summary'!$E$13:$E$60, "VRI")</f>
        <v>49.166666666666664</v>
      </c>
      <c r="I27" s="27">
        <f>AVERAGEIFS('Cover Summary'!L$13:L$60,'Cover Summary'!$E$13:$E$60, "VRI")</f>
        <v>60</v>
      </c>
      <c r="J27" s="27">
        <f>AVERAGEIFS('Cover Summary'!M$13:M$60,'Cover Summary'!$E$13:$E$60, "VRI")</f>
        <v>66.75</v>
      </c>
      <c r="K27" s="27">
        <f>AVERAGEIFS('Cover Summary'!N$13:N$60,'Cover Summary'!$E$13:$E$60, "VRI")</f>
        <v>74.416666666666671</v>
      </c>
      <c r="L27" s="27">
        <f>AVERAGEIFS('Cover Summary'!O$13:O$60,'Cover Summary'!$E$13:$E$60, "VRI")</f>
        <v>80.416666666666671</v>
      </c>
      <c r="M27" s="27">
        <f>AVERAGEIFS('Cover Summary'!R$13:R$60,'Cover Summary'!$E$13:$E$60, "VRI")</f>
        <v>88.666666666666671</v>
      </c>
      <c r="N27" s="27" t="e">
        <f>AVERAGEIFS('Cover Summary'!S$13:S$60,'Cover Summary'!$E$13:$E$60, "VRI")</f>
        <v>#DIV/0!</v>
      </c>
      <c r="O27" s="27" t="e">
        <f>AVERAGEIFS('Cover Summary'!T$13:T$60,'Cover Summary'!$E$13:$E$60, "VRI")</f>
        <v>#DIV/0!</v>
      </c>
      <c r="P27" s="27" t="e">
        <f>AVERAGEIFS('Cover Summary'!U$13:U$60,'Cover Summary'!$E$13:$E$60, "VRI")</f>
        <v>#DIV/0!</v>
      </c>
      <c r="Q27" s="27" t="e">
        <f>AVERAGEIFS('Cover Summary'!V$13:V$60,'Cover Summary'!$E$13:$E$60, "VRI")</f>
        <v>#DIV/0!</v>
      </c>
    </row>
    <row r="28" spans="2:17" x14ac:dyDescent="0.2">
      <c r="B28" s="2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2:17" x14ac:dyDescent="0.2">
      <c r="B29" s="27"/>
      <c r="C29" s="27"/>
    </row>
    <row r="30" spans="2:17" x14ac:dyDescent="0.2">
      <c r="B30" s="27"/>
      <c r="C30" s="27"/>
    </row>
    <row r="31" spans="2:17" x14ac:dyDescent="0.2">
      <c r="B31" s="27"/>
      <c r="C31" s="27"/>
    </row>
    <row r="32" spans="2:17" x14ac:dyDescent="0.2">
      <c r="B32" s="27"/>
      <c r="C32" s="27"/>
    </row>
    <row r="33" spans="2:3" x14ac:dyDescent="0.2">
      <c r="B33" s="27"/>
      <c r="C33" s="27"/>
    </row>
    <row r="34" spans="2:3" x14ac:dyDescent="0.2">
      <c r="B34" s="27"/>
      <c r="C34" s="27"/>
    </row>
    <row r="35" spans="2:3" x14ac:dyDescent="0.2">
      <c r="B35" s="27"/>
      <c r="C35" s="27"/>
    </row>
    <row r="36" spans="2:3" x14ac:dyDescent="0.2">
      <c r="B36" s="27"/>
      <c r="C36" s="27"/>
    </row>
    <row r="37" spans="2:3" x14ac:dyDescent="0.2">
      <c r="B37" s="27"/>
      <c r="C37" s="27"/>
    </row>
    <row r="38" spans="2:3" x14ac:dyDescent="0.2">
      <c r="B38" s="27"/>
      <c r="C38" s="27"/>
    </row>
    <row r="39" spans="2:3" x14ac:dyDescent="0.2">
      <c r="B39" s="27"/>
      <c r="C39" s="27"/>
    </row>
    <row r="40" spans="2:3" x14ac:dyDescent="0.2">
      <c r="B40" s="27"/>
      <c r="C40" s="27"/>
    </row>
    <row r="41" spans="2:3" x14ac:dyDescent="0.2">
      <c r="B41" s="27"/>
      <c r="C41" s="27"/>
    </row>
    <row r="42" spans="2:3" x14ac:dyDescent="0.2">
      <c r="B42" s="27"/>
      <c r="C42" s="27"/>
    </row>
    <row r="43" spans="2:3" x14ac:dyDescent="0.2">
      <c r="B43" s="27"/>
      <c r="C43" s="27"/>
    </row>
    <row r="44" spans="2:3" x14ac:dyDescent="0.2">
      <c r="B44" s="27"/>
      <c r="C44" s="27"/>
    </row>
    <row r="45" spans="2:3" x14ac:dyDescent="0.2">
      <c r="B45" s="27"/>
      <c r="C45" s="27"/>
    </row>
    <row r="46" spans="2:3" x14ac:dyDescent="0.2">
      <c r="C46" s="27"/>
    </row>
    <row r="47" spans="2:3" x14ac:dyDescent="0.2">
      <c r="C47" s="27"/>
    </row>
    <row r="48" spans="2:3" x14ac:dyDescent="0.2">
      <c r="C48" s="27"/>
    </row>
    <row r="49" spans="3:3" x14ac:dyDescent="0.2">
      <c r="C49" s="2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D309-FD27-41FB-8A19-63F28784FC97}">
  <dimension ref="A1:T63"/>
  <sheetViews>
    <sheetView topLeftCell="A33" zoomScaleNormal="100" workbookViewId="0">
      <selection activeCell="O40" sqref="O40:O63"/>
    </sheetView>
  </sheetViews>
  <sheetFormatPr defaultRowHeight="15" x14ac:dyDescent="0.25"/>
  <cols>
    <col min="1" max="1" width="17" style="107" customWidth="1"/>
    <col min="2" max="2" width="7.7109375" style="69" customWidth="1"/>
    <col min="3" max="3" width="9.42578125" style="68" customWidth="1"/>
    <col min="4" max="6" width="9.140625" style="68"/>
    <col min="7" max="7" width="5.28515625" style="68" customWidth="1"/>
    <col min="8" max="8" width="4.42578125" style="68" customWidth="1"/>
    <col min="9" max="9" width="5.28515625" style="68" customWidth="1"/>
    <col min="10" max="10" width="4.42578125" style="68" customWidth="1"/>
    <col min="11" max="11" width="4.140625" style="68" customWidth="1"/>
    <col min="12" max="12" width="4" style="68" customWidth="1"/>
    <col min="13" max="13" width="4.85546875" style="68" customWidth="1"/>
    <col min="14" max="14" width="5.7109375" style="68" customWidth="1"/>
    <col min="15" max="15" width="8.7109375" style="68" bestFit="1" customWidth="1"/>
    <col min="16" max="16" width="5.7109375" style="68" customWidth="1"/>
    <col min="17" max="17" width="4.85546875" style="68" customWidth="1"/>
    <col min="18" max="18" width="5.7109375" style="68" customWidth="1"/>
    <col min="19" max="19" width="4.85546875" style="68" customWidth="1"/>
    <col min="20" max="20" width="5.7109375" style="68" customWidth="1"/>
    <col min="21" max="16384" width="9.140625" style="68"/>
  </cols>
  <sheetData>
    <row r="1" spans="1:20" ht="22.15" customHeight="1" x14ac:dyDescent="0.3">
      <c r="A1" s="106">
        <v>2019</v>
      </c>
      <c r="B1" s="106" t="s">
        <v>227</v>
      </c>
      <c r="C1" s="105" t="s">
        <v>6</v>
      </c>
    </row>
    <row r="2" spans="1:20" x14ac:dyDescent="0.25">
      <c r="B2" s="68"/>
    </row>
    <row r="3" spans="1:20" x14ac:dyDescent="0.25">
      <c r="B3" s="104" t="s">
        <v>244</v>
      </c>
    </row>
    <row r="4" spans="1:20" x14ac:dyDescent="0.25">
      <c r="A4" s="103" t="s">
        <v>243</v>
      </c>
      <c r="B4" s="104"/>
    </row>
    <row r="5" spans="1:20" x14ac:dyDescent="0.25">
      <c r="A5" s="103"/>
      <c r="B5" s="104"/>
    </row>
    <row r="6" spans="1:20" x14ac:dyDescent="0.25">
      <c r="A6" s="103"/>
      <c r="B6" s="104"/>
    </row>
    <row r="7" spans="1:20" ht="15" customHeight="1" x14ac:dyDescent="0.25">
      <c r="C7" s="104"/>
    </row>
    <row r="8" spans="1:20" ht="19.899999999999999" customHeight="1" x14ac:dyDescent="0.25">
      <c r="C8" s="68" t="s">
        <v>242</v>
      </c>
    </row>
    <row r="9" spans="1:20" ht="28.15" customHeight="1" x14ac:dyDescent="0.25">
      <c r="B9" s="101" t="s">
        <v>27</v>
      </c>
      <c r="C9" s="148">
        <v>43577</v>
      </c>
      <c r="D9" s="98">
        <v>43579</v>
      </c>
      <c r="E9" s="98">
        <v>43580</v>
      </c>
      <c r="F9" s="98">
        <v>43581</v>
      </c>
      <c r="G9" s="147">
        <v>43584</v>
      </c>
      <c r="H9" s="147"/>
      <c r="I9" s="147">
        <v>43586</v>
      </c>
      <c r="J9" s="147"/>
      <c r="K9" s="147">
        <v>43588</v>
      </c>
      <c r="L9" s="147"/>
      <c r="M9" s="147">
        <v>43591</v>
      </c>
      <c r="N9" s="147"/>
      <c r="O9" s="147">
        <v>43592</v>
      </c>
      <c r="P9" s="147"/>
      <c r="Q9" s="147">
        <v>43593</v>
      </c>
      <c r="R9" s="147"/>
      <c r="S9" s="147">
        <v>43598</v>
      </c>
      <c r="T9" s="147"/>
    </row>
    <row r="10" spans="1:20" ht="28.15" customHeight="1" x14ac:dyDescent="0.25">
      <c r="A10" s="144"/>
      <c r="B10" s="97" t="s">
        <v>29</v>
      </c>
      <c r="C10" s="146">
        <v>112</v>
      </c>
      <c r="D10" s="95">
        <v>114</v>
      </c>
      <c r="E10" s="95">
        <v>115</v>
      </c>
      <c r="F10" s="95">
        <v>116</v>
      </c>
      <c r="G10" s="145">
        <v>119</v>
      </c>
      <c r="H10" s="145"/>
      <c r="I10" s="145">
        <v>121</v>
      </c>
      <c r="J10" s="145"/>
      <c r="K10" s="145">
        <v>123</v>
      </c>
      <c r="L10" s="145"/>
      <c r="M10" s="145">
        <v>126</v>
      </c>
      <c r="N10" s="145"/>
      <c r="O10" s="145">
        <v>127</v>
      </c>
      <c r="P10" s="145"/>
      <c r="Q10" s="145">
        <v>128</v>
      </c>
      <c r="R10" s="145"/>
      <c r="S10" s="145">
        <v>133</v>
      </c>
      <c r="T10" s="145"/>
    </row>
    <row r="11" spans="1:20" s="91" customFormat="1" ht="28.15" customHeight="1" x14ac:dyDescent="0.2">
      <c r="A11" s="144"/>
      <c r="B11" s="94" t="s">
        <v>13</v>
      </c>
      <c r="C11" s="143" t="s">
        <v>40</v>
      </c>
      <c r="D11" s="92" t="s">
        <v>40</v>
      </c>
      <c r="E11" s="92" t="s">
        <v>40</v>
      </c>
      <c r="F11" s="92" t="s">
        <v>40</v>
      </c>
      <c r="G11" s="142" t="s">
        <v>40</v>
      </c>
      <c r="H11" s="142"/>
      <c r="I11" s="142" t="s">
        <v>40</v>
      </c>
      <c r="J11" s="142"/>
      <c r="K11" s="142" t="s">
        <v>40</v>
      </c>
      <c r="L11" s="142"/>
      <c r="M11" s="142" t="s">
        <v>40</v>
      </c>
      <c r="N11" s="142"/>
      <c r="O11" s="142" t="s">
        <v>40</v>
      </c>
      <c r="P11" s="142"/>
      <c r="Q11" s="142" t="s">
        <v>40</v>
      </c>
      <c r="R11" s="142"/>
      <c r="S11" s="142" t="s">
        <v>40</v>
      </c>
      <c r="T11" s="142"/>
    </row>
    <row r="12" spans="1:20" s="69" customFormat="1" ht="37.15" customHeight="1" thickBot="1" x14ac:dyDescent="0.3">
      <c r="A12" s="141"/>
      <c r="B12" s="90" t="s">
        <v>222</v>
      </c>
      <c r="C12" s="140"/>
      <c r="D12" s="139" t="s">
        <v>218</v>
      </c>
      <c r="E12" s="139" t="s">
        <v>241</v>
      </c>
      <c r="F12" s="139" t="s">
        <v>240</v>
      </c>
      <c r="G12" s="138" t="s">
        <v>239</v>
      </c>
      <c r="H12" s="138"/>
      <c r="I12" s="138" t="s">
        <v>238</v>
      </c>
      <c r="J12" s="138"/>
      <c r="K12" s="138" t="s">
        <v>238</v>
      </c>
      <c r="L12" s="138"/>
      <c r="M12" s="138" t="s">
        <v>218</v>
      </c>
      <c r="N12" s="138"/>
      <c r="O12" s="138" t="s">
        <v>237</v>
      </c>
      <c r="P12" s="138"/>
      <c r="Q12" s="138" t="s">
        <v>218</v>
      </c>
      <c r="R12" s="138"/>
      <c r="S12" s="138" t="s">
        <v>218</v>
      </c>
      <c r="T12" s="138"/>
    </row>
    <row r="13" spans="1:20" ht="37.9" customHeight="1" thickBot="1" x14ac:dyDescent="0.3">
      <c r="A13" s="137" t="s">
        <v>236</v>
      </c>
      <c r="B13" s="126" t="s">
        <v>216</v>
      </c>
      <c r="C13" s="115">
        <v>0</v>
      </c>
      <c r="D13" s="115">
        <v>0</v>
      </c>
      <c r="E13" s="131">
        <v>1</v>
      </c>
      <c r="F13" s="115">
        <v>6</v>
      </c>
      <c r="G13" s="125">
        <v>6</v>
      </c>
      <c r="H13" s="130"/>
      <c r="I13" s="125">
        <v>6</v>
      </c>
      <c r="J13" s="130"/>
      <c r="K13" s="125">
        <v>6</v>
      </c>
      <c r="L13" s="130"/>
      <c r="M13" s="125">
        <v>6</v>
      </c>
      <c r="N13" s="130"/>
      <c r="O13" s="125">
        <v>6</v>
      </c>
      <c r="P13" s="130"/>
      <c r="Q13" s="125">
        <v>6</v>
      </c>
      <c r="R13" s="130"/>
      <c r="S13" s="125">
        <v>6</v>
      </c>
      <c r="T13" s="130"/>
    </row>
    <row r="14" spans="1:20" ht="37.9" customHeight="1" thickBot="1" x14ac:dyDescent="0.3">
      <c r="A14" s="128"/>
      <c r="B14" s="123" t="s">
        <v>214</v>
      </c>
      <c r="C14" s="115">
        <v>0</v>
      </c>
      <c r="D14" s="71">
        <v>0</v>
      </c>
      <c r="E14" s="71">
        <v>3</v>
      </c>
      <c r="F14" s="71">
        <v>5</v>
      </c>
      <c r="G14" s="119">
        <v>6</v>
      </c>
      <c r="H14" s="121"/>
      <c r="I14" s="119">
        <v>7</v>
      </c>
      <c r="J14" s="121"/>
      <c r="K14" s="119">
        <v>7</v>
      </c>
      <c r="L14" s="121"/>
      <c r="M14" s="119">
        <v>7</v>
      </c>
      <c r="N14" s="121"/>
      <c r="O14" s="119">
        <v>7</v>
      </c>
      <c r="P14" s="121"/>
      <c r="Q14" s="119">
        <v>7</v>
      </c>
      <c r="R14" s="121"/>
      <c r="S14" s="119">
        <v>7</v>
      </c>
      <c r="T14" s="121"/>
    </row>
    <row r="15" spans="1:20" ht="37.9" customHeight="1" thickBot="1" x14ac:dyDescent="0.3">
      <c r="B15" s="123" t="s">
        <v>212</v>
      </c>
      <c r="C15" s="115">
        <v>0</v>
      </c>
      <c r="D15" s="71">
        <v>2</v>
      </c>
      <c r="E15" s="71">
        <v>5</v>
      </c>
      <c r="F15" s="71">
        <v>6</v>
      </c>
      <c r="G15" s="119">
        <v>6</v>
      </c>
      <c r="H15" s="121"/>
      <c r="I15" s="119">
        <v>6</v>
      </c>
      <c r="J15" s="121"/>
      <c r="K15" s="119">
        <v>6</v>
      </c>
      <c r="L15" s="121"/>
      <c r="M15" s="119">
        <v>6</v>
      </c>
      <c r="N15" s="121"/>
      <c r="O15" s="119">
        <v>6</v>
      </c>
      <c r="P15" s="121"/>
      <c r="Q15" s="119">
        <v>6</v>
      </c>
      <c r="R15" s="121"/>
      <c r="S15" s="119">
        <v>6</v>
      </c>
      <c r="T15" s="121"/>
    </row>
    <row r="16" spans="1:20" ht="37.9" customHeight="1" thickBot="1" x14ac:dyDescent="0.3">
      <c r="B16" s="116" t="s">
        <v>210</v>
      </c>
      <c r="C16" s="115">
        <v>0</v>
      </c>
      <c r="D16" s="80">
        <v>1</v>
      </c>
      <c r="E16" s="80">
        <v>5</v>
      </c>
      <c r="F16" s="80">
        <v>7</v>
      </c>
      <c r="G16" s="112">
        <v>8</v>
      </c>
      <c r="H16" s="114"/>
      <c r="I16" s="112">
        <v>8</v>
      </c>
      <c r="J16" s="114"/>
      <c r="K16" s="112">
        <v>8</v>
      </c>
      <c r="L16" s="114"/>
      <c r="M16" s="112">
        <v>8</v>
      </c>
      <c r="N16" s="114"/>
      <c r="O16" s="112">
        <v>8</v>
      </c>
      <c r="P16" s="114"/>
      <c r="Q16" s="112">
        <v>8</v>
      </c>
      <c r="R16" s="114"/>
      <c r="S16" s="112">
        <v>8</v>
      </c>
      <c r="T16" s="114"/>
    </row>
    <row r="17" spans="1:20" ht="37.9" customHeight="1" thickBot="1" x14ac:dyDescent="0.3">
      <c r="B17" s="126" t="s">
        <v>208</v>
      </c>
      <c r="C17" s="115">
        <v>0</v>
      </c>
      <c r="D17" s="115">
        <v>0</v>
      </c>
      <c r="E17" s="115">
        <v>4</v>
      </c>
      <c r="F17" s="115">
        <v>9</v>
      </c>
      <c r="G17" s="125">
        <v>10</v>
      </c>
      <c r="H17" s="130"/>
      <c r="I17" s="125">
        <v>10</v>
      </c>
      <c r="J17" s="130"/>
      <c r="K17" s="125">
        <v>10</v>
      </c>
      <c r="L17" s="130"/>
      <c r="M17" s="125">
        <v>10</v>
      </c>
      <c r="N17" s="130"/>
      <c r="O17" s="125">
        <v>10</v>
      </c>
      <c r="P17" s="130"/>
      <c r="Q17" s="125">
        <v>10</v>
      </c>
      <c r="R17" s="130"/>
      <c r="S17" s="125">
        <v>10</v>
      </c>
      <c r="T17" s="130"/>
    </row>
    <row r="18" spans="1:20" ht="37.9" customHeight="1" thickBot="1" x14ac:dyDescent="0.3">
      <c r="B18" s="123" t="s">
        <v>206</v>
      </c>
      <c r="C18" s="115">
        <v>0</v>
      </c>
      <c r="D18" s="71">
        <v>0</v>
      </c>
      <c r="E18" s="122">
        <v>3</v>
      </c>
      <c r="F18" s="71">
        <v>3</v>
      </c>
      <c r="G18" s="119">
        <v>4</v>
      </c>
      <c r="H18" s="121"/>
      <c r="I18" s="119">
        <v>5</v>
      </c>
      <c r="J18" s="121"/>
      <c r="K18" s="119">
        <v>5</v>
      </c>
      <c r="L18" s="121"/>
      <c r="M18" s="119">
        <v>5</v>
      </c>
      <c r="N18" s="121"/>
      <c r="O18" s="119">
        <v>5</v>
      </c>
      <c r="P18" s="121"/>
      <c r="Q18" s="119">
        <v>5</v>
      </c>
      <c r="R18" s="121"/>
      <c r="S18" s="119">
        <v>5</v>
      </c>
      <c r="T18" s="121"/>
    </row>
    <row r="19" spans="1:20" ht="37.9" customHeight="1" thickBot="1" x14ac:dyDescent="0.3">
      <c r="B19" s="123" t="s">
        <v>204</v>
      </c>
      <c r="C19" s="115">
        <v>0</v>
      </c>
      <c r="D19" s="71">
        <v>1</v>
      </c>
      <c r="E19" s="122">
        <v>3</v>
      </c>
      <c r="F19" s="71">
        <v>7</v>
      </c>
      <c r="G19" s="119">
        <v>9</v>
      </c>
      <c r="H19" s="121"/>
      <c r="I19" s="119">
        <v>9</v>
      </c>
      <c r="J19" s="121"/>
      <c r="K19" s="119">
        <v>9</v>
      </c>
      <c r="L19" s="121"/>
      <c r="M19" s="119">
        <v>9</v>
      </c>
      <c r="N19" s="121"/>
      <c r="O19" s="119">
        <v>9</v>
      </c>
      <c r="P19" s="121"/>
      <c r="Q19" s="119">
        <v>9</v>
      </c>
      <c r="R19" s="121"/>
      <c r="S19" s="119">
        <v>9</v>
      </c>
      <c r="T19" s="121"/>
    </row>
    <row r="20" spans="1:20" ht="37.9" customHeight="1" thickBot="1" x14ac:dyDescent="0.3">
      <c r="B20" s="116" t="s">
        <v>202</v>
      </c>
      <c r="C20" s="115">
        <v>0</v>
      </c>
      <c r="D20" s="80">
        <v>0</v>
      </c>
      <c r="E20" s="80">
        <v>6</v>
      </c>
      <c r="F20" s="80">
        <v>8</v>
      </c>
      <c r="G20" s="112">
        <v>10</v>
      </c>
      <c r="H20" s="114"/>
      <c r="I20" s="112">
        <v>10</v>
      </c>
      <c r="J20" s="113" t="s">
        <v>231</v>
      </c>
      <c r="K20" s="112">
        <v>10</v>
      </c>
      <c r="L20" s="113" t="s">
        <v>229</v>
      </c>
      <c r="M20" s="112">
        <v>10</v>
      </c>
      <c r="N20" s="113" t="s">
        <v>231</v>
      </c>
      <c r="O20" s="112">
        <v>10</v>
      </c>
      <c r="P20" s="113" t="s">
        <v>234</v>
      </c>
      <c r="Q20" s="112">
        <v>10</v>
      </c>
      <c r="R20" s="113" t="s">
        <v>234</v>
      </c>
      <c r="S20" s="112">
        <v>10</v>
      </c>
      <c r="T20" s="113" t="s">
        <v>234</v>
      </c>
    </row>
    <row r="21" spans="1:20" ht="37.9" customHeight="1" thickBot="1" x14ac:dyDescent="0.3">
      <c r="B21" s="126" t="s">
        <v>200</v>
      </c>
      <c r="C21" s="115">
        <v>0</v>
      </c>
      <c r="D21" s="115">
        <v>0</v>
      </c>
      <c r="E21" s="115">
        <v>4</v>
      </c>
      <c r="F21" s="136">
        <v>8</v>
      </c>
      <c r="G21" s="125">
        <v>9</v>
      </c>
      <c r="H21" s="130"/>
      <c r="I21" s="125">
        <v>11</v>
      </c>
      <c r="J21" s="130"/>
      <c r="K21" s="125">
        <v>11</v>
      </c>
      <c r="L21" s="130"/>
      <c r="M21" s="125">
        <v>11</v>
      </c>
      <c r="N21" s="135" t="s">
        <v>235</v>
      </c>
      <c r="O21" s="125">
        <v>11</v>
      </c>
      <c r="P21" s="135"/>
      <c r="Q21" s="125">
        <v>11</v>
      </c>
      <c r="R21" s="135" t="s">
        <v>234</v>
      </c>
      <c r="S21" s="125">
        <v>11</v>
      </c>
      <c r="T21" s="135" t="s">
        <v>234</v>
      </c>
    </row>
    <row r="22" spans="1:20" ht="37.9" customHeight="1" thickBot="1" x14ac:dyDescent="0.3">
      <c r="B22" s="123" t="s">
        <v>198</v>
      </c>
      <c r="C22" s="115">
        <v>0</v>
      </c>
      <c r="D22" s="71">
        <v>0</v>
      </c>
      <c r="E22" s="71">
        <v>2</v>
      </c>
      <c r="F22" s="71">
        <v>5</v>
      </c>
      <c r="G22" s="119">
        <v>9</v>
      </c>
      <c r="H22" s="121"/>
      <c r="I22" s="119">
        <v>9</v>
      </c>
      <c r="J22" s="121"/>
      <c r="K22" s="119">
        <v>9</v>
      </c>
      <c r="L22" s="121"/>
      <c r="M22" s="119">
        <v>9</v>
      </c>
      <c r="N22" s="121"/>
      <c r="O22" s="119">
        <v>9</v>
      </c>
      <c r="P22" s="121"/>
      <c r="Q22" s="119">
        <v>9</v>
      </c>
      <c r="R22" s="121"/>
      <c r="S22" s="119">
        <v>9</v>
      </c>
      <c r="T22" s="121"/>
    </row>
    <row r="23" spans="1:20" ht="37.9" customHeight="1" thickBot="1" x14ac:dyDescent="0.3">
      <c r="B23" s="123" t="s">
        <v>196</v>
      </c>
      <c r="C23" s="115">
        <v>0</v>
      </c>
      <c r="D23" s="71">
        <v>0</v>
      </c>
      <c r="E23" s="71">
        <v>4</v>
      </c>
      <c r="F23" s="71">
        <v>7</v>
      </c>
      <c r="G23" s="119">
        <v>8</v>
      </c>
      <c r="H23" s="121"/>
      <c r="I23" s="119">
        <v>8</v>
      </c>
      <c r="J23" s="133"/>
      <c r="K23" s="119">
        <v>8</v>
      </c>
      <c r="L23" s="133"/>
      <c r="M23" s="119">
        <v>8</v>
      </c>
      <c r="N23" s="133"/>
      <c r="O23" s="119">
        <v>8</v>
      </c>
      <c r="P23" s="133"/>
      <c r="Q23" s="119">
        <v>8</v>
      </c>
      <c r="R23" s="133"/>
      <c r="S23" s="119">
        <v>8</v>
      </c>
      <c r="T23" s="133"/>
    </row>
    <row r="24" spans="1:20" ht="37.9" customHeight="1" thickBot="1" x14ac:dyDescent="0.3">
      <c r="B24" s="116" t="s">
        <v>194</v>
      </c>
      <c r="C24" s="115">
        <v>0</v>
      </c>
      <c r="D24" s="80">
        <v>0</v>
      </c>
      <c r="E24" s="134">
        <v>7</v>
      </c>
      <c r="F24" s="80">
        <v>9</v>
      </c>
      <c r="G24" s="112">
        <v>11</v>
      </c>
      <c r="H24" s="114"/>
      <c r="I24" s="112">
        <v>10</v>
      </c>
      <c r="J24" s="113" t="s">
        <v>229</v>
      </c>
      <c r="K24" s="112">
        <v>11</v>
      </c>
      <c r="L24" s="113" t="s">
        <v>229</v>
      </c>
      <c r="M24" s="112">
        <v>11</v>
      </c>
      <c r="N24" s="113"/>
      <c r="O24" s="112">
        <v>11</v>
      </c>
      <c r="P24" s="113" t="s">
        <v>231</v>
      </c>
      <c r="Q24" s="112">
        <v>11</v>
      </c>
      <c r="R24" s="113"/>
      <c r="S24" s="112">
        <v>11</v>
      </c>
      <c r="T24" s="113"/>
    </row>
    <row r="25" spans="1:20" ht="37.9" customHeight="1" thickBot="1" x14ac:dyDescent="0.3">
      <c r="B25" s="126" t="s">
        <v>192</v>
      </c>
      <c r="C25" s="115">
        <v>0</v>
      </c>
      <c r="D25" s="115">
        <v>0</v>
      </c>
      <c r="E25" s="131">
        <v>3</v>
      </c>
      <c r="F25" s="115">
        <v>3</v>
      </c>
      <c r="G25" s="125">
        <v>5</v>
      </c>
      <c r="H25" s="124" t="s">
        <v>229</v>
      </c>
      <c r="I25" s="125">
        <v>5</v>
      </c>
      <c r="J25" s="124" t="s">
        <v>229</v>
      </c>
      <c r="K25" s="125">
        <v>5</v>
      </c>
      <c r="L25" s="124" t="s">
        <v>229</v>
      </c>
      <c r="M25" s="125">
        <v>5</v>
      </c>
      <c r="N25" s="124"/>
      <c r="O25" s="125">
        <v>5</v>
      </c>
      <c r="P25" s="124"/>
      <c r="Q25" s="125">
        <v>5</v>
      </c>
      <c r="R25" s="124"/>
      <c r="S25" s="125">
        <v>5</v>
      </c>
      <c r="T25" s="124"/>
    </row>
    <row r="26" spans="1:20" ht="37.9" customHeight="1" thickBot="1" x14ac:dyDescent="0.3">
      <c r="B26" s="123" t="s">
        <v>190</v>
      </c>
      <c r="C26" s="115">
        <v>0</v>
      </c>
      <c r="D26" s="71">
        <v>0</v>
      </c>
      <c r="E26" s="71">
        <v>3</v>
      </c>
      <c r="F26" s="71">
        <v>7</v>
      </c>
      <c r="G26" s="119">
        <v>7</v>
      </c>
      <c r="H26" s="121"/>
      <c r="I26" s="119">
        <v>7</v>
      </c>
      <c r="J26" s="121"/>
      <c r="K26" s="119">
        <v>7</v>
      </c>
      <c r="L26" s="121"/>
      <c r="M26" s="119">
        <v>7</v>
      </c>
      <c r="N26" s="121"/>
      <c r="O26" s="119">
        <v>7</v>
      </c>
      <c r="P26" s="121"/>
      <c r="Q26" s="119">
        <v>7</v>
      </c>
      <c r="R26" s="121"/>
      <c r="S26" s="119">
        <v>7</v>
      </c>
      <c r="T26" s="121"/>
    </row>
    <row r="27" spans="1:20" ht="37.9" customHeight="1" thickBot="1" x14ac:dyDescent="0.3">
      <c r="B27" s="123" t="s">
        <v>188</v>
      </c>
      <c r="C27" s="115">
        <v>0</v>
      </c>
      <c r="D27" s="71">
        <v>0</v>
      </c>
      <c r="E27" s="71">
        <v>2</v>
      </c>
      <c r="F27" s="71">
        <v>2</v>
      </c>
      <c r="G27" s="119">
        <v>5</v>
      </c>
      <c r="H27" s="133"/>
      <c r="I27" s="119">
        <v>5</v>
      </c>
      <c r="J27" s="133"/>
      <c r="K27" s="119">
        <v>6</v>
      </c>
      <c r="L27" s="133"/>
      <c r="M27" s="119">
        <v>6</v>
      </c>
      <c r="N27" s="133"/>
      <c r="O27" s="119">
        <v>6</v>
      </c>
      <c r="P27" s="133"/>
      <c r="Q27" s="119">
        <v>6</v>
      </c>
      <c r="R27" s="133"/>
      <c r="S27" s="119">
        <v>6</v>
      </c>
      <c r="T27" s="133"/>
    </row>
    <row r="28" spans="1:20" ht="37.9" customHeight="1" thickBot="1" x14ac:dyDescent="0.3">
      <c r="B28" s="116" t="s">
        <v>186</v>
      </c>
      <c r="C28" s="115">
        <v>0</v>
      </c>
      <c r="D28" s="80">
        <v>1</v>
      </c>
      <c r="E28" s="80">
        <v>3</v>
      </c>
      <c r="F28" s="80">
        <v>5</v>
      </c>
      <c r="G28" s="112">
        <v>5</v>
      </c>
      <c r="H28" s="113" t="s">
        <v>229</v>
      </c>
      <c r="I28" s="112">
        <v>4</v>
      </c>
      <c r="J28" s="113" t="s">
        <v>232</v>
      </c>
      <c r="K28" s="112">
        <v>4</v>
      </c>
      <c r="L28" s="113" t="s">
        <v>232</v>
      </c>
      <c r="M28" s="112">
        <v>4</v>
      </c>
      <c r="N28" s="113"/>
      <c r="O28" s="112">
        <v>4</v>
      </c>
      <c r="P28" s="113"/>
      <c r="Q28" s="112">
        <v>4</v>
      </c>
      <c r="R28" s="113"/>
      <c r="S28" s="112">
        <v>4</v>
      </c>
      <c r="T28" s="113"/>
    </row>
    <row r="29" spans="1:20" ht="37.9" customHeight="1" thickBot="1" x14ac:dyDescent="0.3">
      <c r="A29" s="132"/>
      <c r="B29" s="126" t="s">
        <v>184</v>
      </c>
      <c r="C29" s="115">
        <v>0</v>
      </c>
      <c r="D29" s="115">
        <v>0</v>
      </c>
      <c r="E29" s="131">
        <v>2</v>
      </c>
      <c r="F29" s="115">
        <v>7</v>
      </c>
      <c r="G29" s="125">
        <v>7</v>
      </c>
      <c r="H29" s="130"/>
      <c r="I29" s="125">
        <v>7</v>
      </c>
      <c r="J29" s="129"/>
      <c r="K29" s="125">
        <v>6</v>
      </c>
      <c r="L29" s="124" t="s">
        <v>229</v>
      </c>
      <c r="M29" s="125">
        <v>6</v>
      </c>
      <c r="N29" s="124"/>
      <c r="O29" s="125">
        <v>6</v>
      </c>
      <c r="P29" s="124" t="s">
        <v>231</v>
      </c>
      <c r="Q29" s="125">
        <v>6</v>
      </c>
      <c r="R29" s="124" t="s">
        <v>234</v>
      </c>
      <c r="S29" s="125">
        <v>5</v>
      </c>
      <c r="T29" s="124" t="s">
        <v>233</v>
      </c>
    </row>
    <row r="30" spans="1:20" ht="37.9" customHeight="1" thickBot="1" x14ac:dyDescent="0.3">
      <c r="A30" s="128"/>
      <c r="B30" s="123" t="s">
        <v>181</v>
      </c>
      <c r="C30" s="115">
        <v>0</v>
      </c>
      <c r="D30" s="71">
        <v>0</v>
      </c>
      <c r="E30" s="71">
        <v>2</v>
      </c>
      <c r="F30" s="71">
        <v>7</v>
      </c>
      <c r="G30" s="119">
        <v>10</v>
      </c>
      <c r="H30" s="121"/>
      <c r="I30" s="119">
        <v>9</v>
      </c>
      <c r="J30" s="127" t="s">
        <v>229</v>
      </c>
      <c r="K30" s="119">
        <v>10</v>
      </c>
      <c r="L30" s="127" t="s">
        <v>229</v>
      </c>
      <c r="M30" s="119">
        <v>10</v>
      </c>
      <c r="N30" s="127"/>
      <c r="O30" s="119">
        <v>10</v>
      </c>
      <c r="P30" s="127"/>
      <c r="Q30" s="119">
        <v>10</v>
      </c>
      <c r="R30" s="127"/>
      <c r="S30" s="119">
        <v>10</v>
      </c>
      <c r="T30" s="127"/>
    </row>
    <row r="31" spans="1:20" ht="37.9" customHeight="1" thickBot="1" x14ac:dyDescent="0.3">
      <c r="B31" s="123" t="s">
        <v>179</v>
      </c>
      <c r="C31" s="115">
        <v>0</v>
      </c>
      <c r="D31" s="71">
        <v>0</v>
      </c>
      <c r="E31" s="71">
        <v>4</v>
      </c>
      <c r="F31" s="71">
        <v>8</v>
      </c>
      <c r="G31" s="119">
        <v>8</v>
      </c>
      <c r="H31" s="121"/>
      <c r="I31" s="119">
        <v>7</v>
      </c>
      <c r="J31" s="127" t="s">
        <v>229</v>
      </c>
      <c r="K31" s="119">
        <v>6</v>
      </c>
      <c r="L31" s="127" t="s">
        <v>232</v>
      </c>
      <c r="M31" s="119">
        <v>6</v>
      </c>
      <c r="N31" s="127"/>
      <c r="O31" s="119">
        <v>6</v>
      </c>
      <c r="P31" s="127"/>
      <c r="Q31" s="119">
        <v>6</v>
      </c>
      <c r="R31" s="127"/>
      <c r="S31" s="119">
        <v>6</v>
      </c>
      <c r="T31" s="127"/>
    </row>
    <row r="32" spans="1:20" ht="37.9" customHeight="1" thickBot="1" x14ac:dyDescent="0.3">
      <c r="B32" s="116" t="s">
        <v>177</v>
      </c>
      <c r="C32" s="115">
        <v>0</v>
      </c>
      <c r="D32" s="80">
        <v>1</v>
      </c>
      <c r="E32" s="80">
        <v>4</v>
      </c>
      <c r="F32" s="80">
        <v>8</v>
      </c>
      <c r="G32" s="112">
        <v>8</v>
      </c>
      <c r="H32" s="114"/>
      <c r="I32" s="112">
        <v>8</v>
      </c>
      <c r="J32" s="114"/>
      <c r="K32" s="112">
        <v>8</v>
      </c>
      <c r="L32" s="114"/>
      <c r="M32" s="112">
        <v>8</v>
      </c>
      <c r="N32" s="114"/>
      <c r="O32" s="112">
        <v>8</v>
      </c>
      <c r="P32" s="114"/>
      <c r="Q32" s="112">
        <v>8</v>
      </c>
      <c r="R32" s="114"/>
      <c r="S32" s="112">
        <v>8</v>
      </c>
      <c r="T32" s="114"/>
    </row>
    <row r="33" spans="1:20" ht="37.9" customHeight="1" thickBot="1" x14ac:dyDescent="0.3">
      <c r="B33" s="126" t="s">
        <v>175</v>
      </c>
      <c r="C33" s="115">
        <v>0</v>
      </c>
      <c r="D33" s="115">
        <v>0</v>
      </c>
      <c r="E33" s="115">
        <v>5</v>
      </c>
      <c r="F33" s="115">
        <v>5</v>
      </c>
      <c r="G33" s="125">
        <v>7</v>
      </c>
      <c r="H33" s="124" t="s">
        <v>229</v>
      </c>
      <c r="I33" s="125">
        <v>7</v>
      </c>
      <c r="J33" s="124" t="s">
        <v>229</v>
      </c>
      <c r="K33" s="125">
        <v>7</v>
      </c>
      <c r="L33" s="124" t="s">
        <v>229</v>
      </c>
      <c r="M33" s="125">
        <v>7</v>
      </c>
      <c r="N33" s="124"/>
      <c r="O33" s="125">
        <v>7</v>
      </c>
      <c r="P33" s="124"/>
      <c r="Q33" s="125">
        <v>7</v>
      </c>
      <c r="R33" s="124"/>
      <c r="S33" s="125">
        <v>7</v>
      </c>
      <c r="T33" s="124"/>
    </row>
    <row r="34" spans="1:20" ht="37.9" customHeight="1" thickBot="1" x14ac:dyDescent="0.3">
      <c r="B34" s="123" t="s">
        <v>173</v>
      </c>
      <c r="C34" s="115">
        <v>0</v>
      </c>
      <c r="D34" s="71">
        <v>1</v>
      </c>
      <c r="E34" s="122">
        <v>2</v>
      </c>
      <c r="F34" s="71">
        <v>2</v>
      </c>
      <c r="G34" s="119">
        <v>4</v>
      </c>
      <c r="H34" s="121"/>
      <c r="I34" s="119">
        <v>5</v>
      </c>
      <c r="J34" s="121"/>
      <c r="K34" s="119">
        <v>5</v>
      </c>
      <c r="L34" s="121"/>
      <c r="M34" s="119">
        <v>5</v>
      </c>
      <c r="N34" s="121"/>
      <c r="O34" s="119">
        <v>5</v>
      </c>
      <c r="P34" s="121"/>
      <c r="Q34" s="119">
        <v>5</v>
      </c>
      <c r="R34" s="121"/>
      <c r="S34" s="119">
        <v>5</v>
      </c>
      <c r="T34" s="121"/>
    </row>
    <row r="35" spans="1:20" ht="37.9" customHeight="1" thickBot="1" x14ac:dyDescent="0.3">
      <c r="B35" s="123" t="s">
        <v>171</v>
      </c>
      <c r="C35" s="115">
        <v>0</v>
      </c>
      <c r="D35" s="71">
        <v>0</v>
      </c>
      <c r="E35" s="122">
        <v>4</v>
      </c>
      <c r="F35" s="71">
        <v>5</v>
      </c>
      <c r="G35" s="119">
        <v>8</v>
      </c>
      <c r="H35" s="121"/>
      <c r="I35" s="119">
        <v>8</v>
      </c>
      <c r="J35" s="121"/>
      <c r="K35" s="119">
        <v>8</v>
      </c>
      <c r="L35" s="121"/>
      <c r="M35" s="119">
        <v>8</v>
      </c>
      <c r="N35" s="120" t="s">
        <v>231</v>
      </c>
      <c r="O35" s="119">
        <v>7</v>
      </c>
      <c r="P35" s="118" t="s">
        <v>229</v>
      </c>
      <c r="Q35" s="119">
        <v>7</v>
      </c>
      <c r="R35" s="118"/>
      <c r="S35" s="119">
        <v>7</v>
      </c>
      <c r="T35" s="118"/>
    </row>
    <row r="36" spans="1:20" ht="37.9" customHeight="1" thickBot="1" x14ac:dyDescent="0.3">
      <c r="A36" s="117" t="s">
        <v>230</v>
      </c>
      <c r="B36" s="116" t="s">
        <v>169</v>
      </c>
      <c r="C36" s="115">
        <v>0</v>
      </c>
      <c r="D36" s="80">
        <v>0</v>
      </c>
      <c r="E36" s="80">
        <v>2</v>
      </c>
      <c r="F36" s="80">
        <v>6</v>
      </c>
      <c r="G36" s="112">
        <v>7</v>
      </c>
      <c r="H36" s="114"/>
      <c r="I36" s="112">
        <v>9</v>
      </c>
      <c r="J36" s="114"/>
      <c r="K36" s="112">
        <v>8</v>
      </c>
      <c r="L36" s="113" t="s">
        <v>229</v>
      </c>
      <c r="M36" s="112">
        <v>8</v>
      </c>
      <c r="N36" s="113"/>
      <c r="O36" s="112">
        <v>9</v>
      </c>
      <c r="P36" s="111" t="s">
        <v>228</v>
      </c>
      <c r="Q36" s="112">
        <v>9</v>
      </c>
      <c r="R36" s="111"/>
      <c r="S36" s="112">
        <v>9</v>
      </c>
      <c r="T36" s="111"/>
    </row>
    <row r="39" spans="1:20" x14ac:dyDescent="0.25">
      <c r="B39" s="69" t="s">
        <v>7</v>
      </c>
      <c r="C39" s="109">
        <v>112</v>
      </c>
      <c r="D39" s="109">
        <v>114</v>
      </c>
      <c r="E39" s="68">
        <v>115</v>
      </c>
      <c r="F39" s="109">
        <v>116</v>
      </c>
      <c r="G39" s="110">
        <v>119</v>
      </c>
      <c r="H39" s="109">
        <v>121</v>
      </c>
      <c r="I39" s="68">
        <v>123</v>
      </c>
      <c r="J39" s="68">
        <v>126</v>
      </c>
      <c r="K39" s="68">
        <v>127</v>
      </c>
      <c r="L39" s="68">
        <v>128</v>
      </c>
      <c r="M39" s="68">
        <v>133</v>
      </c>
      <c r="N39" s="108">
        <v>0.5</v>
      </c>
      <c r="O39" s="68" t="s">
        <v>217</v>
      </c>
    </row>
    <row r="40" spans="1:20" x14ac:dyDescent="0.25">
      <c r="B40" s="69" t="s">
        <v>216</v>
      </c>
      <c r="C40" s="68">
        <v>0</v>
      </c>
      <c r="D40" s="68">
        <v>0</v>
      </c>
      <c r="E40" s="68">
        <v>1</v>
      </c>
      <c r="F40" s="68">
        <v>6</v>
      </c>
      <c r="G40" s="68">
        <v>6</v>
      </c>
      <c r="H40" s="68">
        <v>6</v>
      </c>
      <c r="I40" s="68">
        <v>6</v>
      </c>
      <c r="J40" s="68">
        <v>6</v>
      </c>
      <c r="K40" s="68">
        <v>6</v>
      </c>
      <c r="L40" s="68">
        <v>6</v>
      </c>
      <c r="M40" s="68">
        <v>6</v>
      </c>
      <c r="N40" s="68">
        <f t="shared" ref="N40:N63" si="0">M40/2</f>
        <v>3</v>
      </c>
      <c r="O40" s="70">
        <f>E$39+(N40-E40)/(F40-E40)*(F$39-E$39)</f>
        <v>115.4</v>
      </c>
    </row>
    <row r="41" spans="1:20" x14ac:dyDescent="0.25">
      <c r="B41" s="69" t="s">
        <v>214</v>
      </c>
      <c r="C41" s="68">
        <v>0</v>
      </c>
      <c r="D41" s="68">
        <v>0</v>
      </c>
      <c r="E41" s="68">
        <v>3</v>
      </c>
      <c r="F41" s="68">
        <v>5</v>
      </c>
      <c r="G41" s="68">
        <v>6</v>
      </c>
      <c r="H41" s="68">
        <v>7</v>
      </c>
      <c r="I41" s="68">
        <v>7</v>
      </c>
      <c r="J41" s="68">
        <v>7</v>
      </c>
      <c r="K41" s="68">
        <v>7</v>
      </c>
      <c r="L41" s="68">
        <v>7</v>
      </c>
      <c r="M41" s="68">
        <v>7</v>
      </c>
      <c r="N41" s="68">
        <f t="shared" si="0"/>
        <v>3.5</v>
      </c>
      <c r="O41" s="70">
        <f>E$39+(N41-E41)/(F41-E41)*(F$39-E$39)</f>
        <v>115.25</v>
      </c>
    </row>
    <row r="42" spans="1:20" x14ac:dyDescent="0.25">
      <c r="B42" s="69" t="s">
        <v>212</v>
      </c>
      <c r="C42" s="68">
        <v>0</v>
      </c>
      <c r="D42" s="68">
        <v>2</v>
      </c>
      <c r="E42" s="68">
        <v>5</v>
      </c>
      <c r="F42" s="68">
        <v>6</v>
      </c>
      <c r="G42" s="68">
        <v>6</v>
      </c>
      <c r="H42" s="68">
        <v>6</v>
      </c>
      <c r="I42" s="68">
        <v>6</v>
      </c>
      <c r="J42" s="68">
        <v>6</v>
      </c>
      <c r="K42" s="68">
        <v>6</v>
      </c>
      <c r="L42" s="68">
        <v>6</v>
      </c>
      <c r="M42" s="68">
        <v>6</v>
      </c>
      <c r="N42" s="68">
        <f t="shared" si="0"/>
        <v>3</v>
      </c>
      <c r="O42" s="70">
        <f>D$39+(N42-D42)/(E42-D42)*(E$39-D$39)</f>
        <v>114.33333333333333</v>
      </c>
    </row>
    <row r="43" spans="1:20" x14ac:dyDescent="0.25">
      <c r="B43" s="69" t="s">
        <v>210</v>
      </c>
      <c r="C43" s="68">
        <v>0</v>
      </c>
      <c r="D43" s="68">
        <v>1</v>
      </c>
      <c r="E43" s="68">
        <v>5</v>
      </c>
      <c r="F43" s="68">
        <v>7</v>
      </c>
      <c r="G43" s="68">
        <v>8</v>
      </c>
      <c r="H43" s="68">
        <v>8</v>
      </c>
      <c r="I43" s="68">
        <v>8</v>
      </c>
      <c r="J43" s="68">
        <v>8</v>
      </c>
      <c r="K43" s="68">
        <v>8</v>
      </c>
      <c r="L43" s="68">
        <v>8</v>
      </c>
      <c r="M43" s="68">
        <v>8</v>
      </c>
      <c r="N43" s="68">
        <f t="shared" si="0"/>
        <v>4</v>
      </c>
      <c r="O43" s="70">
        <f>D$39+(N43-D43)/(E43-D43)*(E$39-D$39)</f>
        <v>114.75</v>
      </c>
    </row>
    <row r="44" spans="1:20" x14ac:dyDescent="0.25">
      <c r="B44" s="69" t="s">
        <v>208</v>
      </c>
      <c r="C44" s="68">
        <v>0</v>
      </c>
      <c r="D44" s="68">
        <v>0</v>
      </c>
      <c r="E44" s="68">
        <v>4</v>
      </c>
      <c r="F44" s="68">
        <v>9</v>
      </c>
      <c r="G44" s="68">
        <v>10</v>
      </c>
      <c r="H44" s="68">
        <v>10</v>
      </c>
      <c r="I44" s="68">
        <v>10</v>
      </c>
      <c r="J44" s="68">
        <v>10</v>
      </c>
      <c r="K44" s="68">
        <v>10</v>
      </c>
      <c r="L44" s="68">
        <v>10</v>
      </c>
      <c r="M44" s="68">
        <v>10</v>
      </c>
      <c r="N44" s="68">
        <f t="shared" si="0"/>
        <v>5</v>
      </c>
      <c r="O44" s="70">
        <f>E$39+(N44-E44)/(F44-E44)*(F$39-E$39)</f>
        <v>115.2</v>
      </c>
    </row>
    <row r="45" spans="1:20" x14ac:dyDescent="0.25">
      <c r="B45" s="69" t="s">
        <v>206</v>
      </c>
      <c r="C45" s="68">
        <v>0</v>
      </c>
      <c r="D45" s="68">
        <v>0</v>
      </c>
      <c r="E45" s="68">
        <v>3</v>
      </c>
      <c r="F45" s="68">
        <v>3</v>
      </c>
      <c r="G45" s="68">
        <v>4</v>
      </c>
      <c r="H45" s="68">
        <v>5</v>
      </c>
      <c r="I45" s="68">
        <v>5</v>
      </c>
      <c r="J45" s="68">
        <v>5</v>
      </c>
      <c r="K45" s="68">
        <v>5</v>
      </c>
      <c r="L45" s="68">
        <v>5</v>
      </c>
      <c r="M45" s="68">
        <v>5</v>
      </c>
      <c r="N45" s="68">
        <f t="shared" si="0"/>
        <v>2.5</v>
      </c>
      <c r="O45" s="70">
        <f>D$39+(N45-D45)/(E45-D45)*(E$39-D$39)</f>
        <v>114.83333333333333</v>
      </c>
    </row>
    <row r="46" spans="1:20" x14ac:dyDescent="0.25">
      <c r="B46" s="69" t="s">
        <v>204</v>
      </c>
      <c r="C46" s="68">
        <v>0</v>
      </c>
      <c r="D46" s="68">
        <v>1</v>
      </c>
      <c r="E46" s="68">
        <v>3</v>
      </c>
      <c r="F46" s="68">
        <v>7</v>
      </c>
      <c r="G46" s="68">
        <v>9</v>
      </c>
      <c r="H46" s="68">
        <v>9</v>
      </c>
      <c r="I46" s="68">
        <v>9</v>
      </c>
      <c r="J46" s="68">
        <v>9</v>
      </c>
      <c r="K46" s="68">
        <v>9</v>
      </c>
      <c r="L46" s="68">
        <v>9</v>
      </c>
      <c r="M46" s="68">
        <v>9</v>
      </c>
      <c r="N46" s="68">
        <f t="shared" si="0"/>
        <v>4.5</v>
      </c>
      <c r="O46" s="70">
        <f>E$39+(N46-E46)/(F46-E46)*(F$39-E$39)</f>
        <v>115.375</v>
      </c>
    </row>
    <row r="47" spans="1:20" x14ac:dyDescent="0.25">
      <c r="B47" s="69" t="s">
        <v>202</v>
      </c>
      <c r="C47" s="68">
        <v>0</v>
      </c>
      <c r="D47" s="68">
        <v>0</v>
      </c>
      <c r="E47" s="68">
        <v>6</v>
      </c>
      <c r="F47" s="68">
        <v>8</v>
      </c>
      <c r="G47" s="68">
        <v>10</v>
      </c>
      <c r="H47" s="68">
        <v>10</v>
      </c>
      <c r="I47" s="68">
        <v>10</v>
      </c>
      <c r="J47" s="68">
        <v>10</v>
      </c>
      <c r="K47" s="68">
        <v>10</v>
      </c>
      <c r="L47" s="68">
        <v>10</v>
      </c>
      <c r="M47" s="68">
        <v>10</v>
      </c>
      <c r="N47" s="68">
        <f t="shared" si="0"/>
        <v>5</v>
      </c>
      <c r="O47" s="70">
        <f>E$39+(N47-E47)/(F47-E47)*(F$39-E$39)</f>
        <v>114.5</v>
      </c>
    </row>
    <row r="48" spans="1:20" x14ac:dyDescent="0.25">
      <c r="B48" s="69" t="s">
        <v>200</v>
      </c>
      <c r="C48" s="68">
        <v>0</v>
      </c>
      <c r="D48" s="68">
        <v>0</v>
      </c>
      <c r="E48" s="68">
        <v>4</v>
      </c>
      <c r="F48" s="68">
        <v>8</v>
      </c>
      <c r="G48" s="68">
        <v>9</v>
      </c>
      <c r="H48" s="68">
        <v>11</v>
      </c>
      <c r="I48" s="68">
        <v>11</v>
      </c>
      <c r="J48" s="68">
        <v>11</v>
      </c>
      <c r="K48" s="68">
        <v>11</v>
      </c>
      <c r="L48" s="68">
        <v>11</v>
      </c>
      <c r="M48" s="68">
        <v>11</v>
      </c>
      <c r="N48" s="68">
        <f t="shared" si="0"/>
        <v>5.5</v>
      </c>
      <c r="O48" s="70">
        <f>E$39+(N48-E48)/(F48-E48)*(F$39-E$39)</f>
        <v>115.375</v>
      </c>
    </row>
    <row r="49" spans="2:15" x14ac:dyDescent="0.25">
      <c r="B49" s="69" t="s">
        <v>198</v>
      </c>
      <c r="C49" s="68">
        <v>0</v>
      </c>
      <c r="D49" s="68">
        <v>0</v>
      </c>
      <c r="E49" s="68">
        <v>2</v>
      </c>
      <c r="F49" s="68">
        <v>5</v>
      </c>
      <c r="G49" s="68">
        <v>9</v>
      </c>
      <c r="H49" s="68">
        <v>9</v>
      </c>
      <c r="I49" s="68">
        <v>9</v>
      </c>
      <c r="J49" s="68">
        <v>9</v>
      </c>
      <c r="K49" s="68">
        <v>9</v>
      </c>
      <c r="L49" s="68">
        <v>9</v>
      </c>
      <c r="M49" s="68">
        <v>9</v>
      </c>
      <c r="N49" s="68">
        <f t="shared" si="0"/>
        <v>4.5</v>
      </c>
      <c r="O49" s="70">
        <f>E$39+(N49-E49)/(F49-E49)*(F$39-E$39)</f>
        <v>115.83333333333333</v>
      </c>
    </row>
    <row r="50" spans="2:15" x14ac:dyDescent="0.25">
      <c r="B50" s="69" t="s">
        <v>196</v>
      </c>
      <c r="C50" s="68">
        <v>0</v>
      </c>
      <c r="D50" s="68">
        <v>0</v>
      </c>
      <c r="E50" s="68">
        <v>4</v>
      </c>
      <c r="F50" s="68">
        <v>7</v>
      </c>
      <c r="G50" s="68">
        <v>8</v>
      </c>
      <c r="H50" s="68">
        <v>8</v>
      </c>
      <c r="I50" s="68">
        <v>8</v>
      </c>
      <c r="J50" s="68">
        <v>8</v>
      </c>
      <c r="K50" s="68">
        <v>8</v>
      </c>
      <c r="L50" s="68">
        <v>8</v>
      </c>
      <c r="M50" s="68">
        <v>8</v>
      </c>
      <c r="N50" s="68">
        <f t="shared" si="0"/>
        <v>4</v>
      </c>
      <c r="O50" s="70">
        <f>D$39+(N50-D50)/(E50-D50)*(E$39-D$39)</f>
        <v>115</v>
      </c>
    </row>
    <row r="51" spans="2:15" x14ac:dyDescent="0.25">
      <c r="B51" s="69" t="s">
        <v>194</v>
      </c>
      <c r="C51" s="68">
        <v>0</v>
      </c>
      <c r="D51" s="68">
        <v>0</v>
      </c>
      <c r="E51" s="68">
        <v>7</v>
      </c>
      <c r="F51" s="68">
        <v>9</v>
      </c>
      <c r="G51" s="68">
        <v>11</v>
      </c>
      <c r="H51" s="68">
        <v>10</v>
      </c>
      <c r="I51" s="68">
        <v>11</v>
      </c>
      <c r="J51" s="68">
        <v>11</v>
      </c>
      <c r="K51" s="68">
        <v>11</v>
      </c>
      <c r="L51" s="68">
        <v>11</v>
      </c>
      <c r="M51" s="68">
        <v>11</v>
      </c>
      <c r="N51" s="68">
        <f t="shared" si="0"/>
        <v>5.5</v>
      </c>
      <c r="O51" s="70">
        <f>D$39+(N51-D51)/(E51-D51)*(E$39-D$39)</f>
        <v>114.78571428571429</v>
      </c>
    </row>
    <row r="52" spans="2:15" x14ac:dyDescent="0.25">
      <c r="B52" s="69" t="s">
        <v>192</v>
      </c>
      <c r="C52" s="68">
        <v>0</v>
      </c>
      <c r="D52" s="68">
        <v>0</v>
      </c>
      <c r="E52" s="68">
        <v>3</v>
      </c>
      <c r="F52" s="68">
        <v>3</v>
      </c>
      <c r="G52" s="68">
        <v>5</v>
      </c>
      <c r="H52" s="68">
        <v>5</v>
      </c>
      <c r="I52" s="68">
        <v>5</v>
      </c>
      <c r="J52" s="68">
        <v>5</v>
      </c>
      <c r="K52" s="68">
        <v>5</v>
      </c>
      <c r="L52" s="68">
        <v>5</v>
      </c>
      <c r="M52" s="68">
        <v>5</v>
      </c>
      <c r="N52" s="68">
        <f t="shared" si="0"/>
        <v>2.5</v>
      </c>
      <c r="O52" s="70">
        <f>D$39+(N52-D52)/(E52-D52)*(E$39-D$39)</f>
        <v>114.83333333333333</v>
      </c>
    </row>
    <row r="53" spans="2:15" x14ac:dyDescent="0.25">
      <c r="B53" s="69" t="s">
        <v>190</v>
      </c>
      <c r="C53" s="68">
        <v>0</v>
      </c>
      <c r="D53" s="68">
        <v>0</v>
      </c>
      <c r="E53" s="68">
        <v>3</v>
      </c>
      <c r="F53" s="68">
        <v>7</v>
      </c>
      <c r="G53" s="68">
        <v>7</v>
      </c>
      <c r="H53" s="68">
        <v>7</v>
      </c>
      <c r="I53" s="68">
        <v>7</v>
      </c>
      <c r="J53" s="68">
        <v>7</v>
      </c>
      <c r="K53" s="68">
        <v>7</v>
      </c>
      <c r="L53" s="68">
        <v>7</v>
      </c>
      <c r="M53" s="68">
        <v>7</v>
      </c>
      <c r="N53" s="68">
        <f t="shared" si="0"/>
        <v>3.5</v>
      </c>
      <c r="O53" s="70">
        <f>E$39+(N53-E53)/(F53-E53)*(F$39-E$39)</f>
        <v>115.125</v>
      </c>
    </row>
    <row r="54" spans="2:15" x14ac:dyDescent="0.25">
      <c r="B54" s="69" t="s">
        <v>188</v>
      </c>
      <c r="C54" s="68">
        <v>0</v>
      </c>
      <c r="D54" s="68">
        <v>0</v>
      </c>
      <c r="E54" s="68">
        <v>2</v>
      </c>
      <c r="F54" s="68">
        <v>2</v>
      </c>
      <c r="G54" s="68">
        <v>5</v>
      </c>
      <c r="H54" s="68">
        <v>5</v>
      </c>
      <c r="I54" s="68">
        <v>6</v>
      </c>
      <c r="J54" s="68">
        <v>6</v>
      </c>
      <c r="K54" s="68">
        <v>6</v>
      </c>
      <c r="L54" s="68">
        <v>6</v>
      </c>
      <c r="M54" s="68">
        <v>6</v>
      </c>
      <c r="N54" s="68">
        <f t="shared" si="0"/>
        <v>3</v>
      </c>
      <c r="O54" s="70">
        <f>F$39+(N54-F54)/(G54-F54)*(G$39-F$39)</f>
        <v>117</v>
      </c>
    </row>
    <row r="55" spans="2:15" x14ac:dyDescent="0.25">
      <c r="B55" s="69" t="s">
        <v>186</v>
      </c>
      <c r="C55" s="68">
        <v>0</v>
      </c>
      <c r="D55" s="68">
        <v>1</v>
      </c>
      <c r="E55" s="68">
        <v>3</v>
      </c>
      <c r="F55" s="68">
        <v>5</v>
      </c>
      <c r="G55" s="68">
        <v>5</v>
      </c>
      <c r="H55" s="68">
        <v>4</v>
      </c>
      <c r="I55" s="68">
        <v>4</v>
      </c>
      <c r="J55" s="68">
        <v>4</v>
      </c>
      <c r="K55" s="68">
        <v>4</v>
      </c>
      <c r="L55" s="68">
        <v>4</v>
      </c>
      <c r="M55" s="68">
        <v>4</v>
      </c>
      <c r="N55" s="68">
        <f t="shared" si="0"/>
        <v>2</v>
      </c>
      <c r="O55" s="70">
        <f>D$39+(N55-D55)/(E55-D55)*(E$39-D$39)</f>
        <v>114.5</v>
      </c>
    </row>
    <row r="56" spans="2:15" x14ac:dyDescent="0.25">
      <c r="B56" s="69" t="s">
        <v>184</v>
      </c>
      <c r="C56" s="68">
        <v>0</v>
      </c>
      <c r="D56" s="68">
        <v>0</v>
      </c>
      <c r="E56" s="68">
        <v>2</v>
      </c>
      <c r="F56" s="68">
        <v>7</v>
      </c>
      <c r="G56" s="68">
        <v>7</v>
      </c>
      <c r="H56" s="68">
        <v>7</v>
      </c>
      <c r="I56" s="68">
        <v>6</v>
      </c>
      <c r="J56" s="68">
        <v>6</v>
      </c>
      <c r="K56" s="68">
        <v>6</v>
      </c>
      <c r="L56" s="68">
        <v>6</v>
      </c>
      <c r="M56" s="68">
        <v>5</v>
      </c>
      <c r="N56" s="68">
        <f t="shared" si="0"/>
        <v>2.5</v>
      </c>
      <c r="O56" s="70">
        <f>E$39+(N56-E56)/(F56-E56)*(F$39-E$39)</f>
        <v>115.1</v>
      </c>
    </row>
    <row r="57" spans="2:15" x14ac:dyDescent="0.25">
      <c r="B57" s="69" t="s">
        <v>181</v>
      </c>
      <c r="C57" s="68">
        <v>0</v>
      </c>
      <c r="D57" s="68">
        <v>0</v>
      </c>
      <c r="E57" s="68">
        <v>2</v>
      </c>
      <c r="F57" s="68">
        <v>7</v>
      </c>
      <c r="G57" s="68">
        <v>10</v>
      </c>
      <c r="H57" s="68">
        <v>9</v>
      </c>
      <c r="I57" s="68">
        <v>10</v>
      </c>
      <c r="J57" s="68">
        <v>10</v>
      </c>
      <c r="K57" s="68">
        <v>10</v>
      </c>
      <c r="L57" s="68">
        <v>10</v>
      </c>
      <c r="M57" s="68">
        <v>10</v>
      </c>
      <c r="N57" s="68">
        <f t="shared" si="0"/>
        <v>5</v>
      </c>
      <c r="O57" s="70">
        <f>E$39+(N57-E57)/(F57-E57)*(F$39-E$39)</f>
        <v>115.6</v>
      </c>
    </row>
    <row r="58" spans="2:15" x14ac:dyDescent="0.25">
      <c r="B58" s="69" t="s">
        <v>179</v>
      </c>
      <c r="C58" s="68">
        <v>0</v>
      </c>
      <c r="D58" s="68">
        <v>0</v>
      </c>
      <c r="E58" s="68">
        <v>4</v>
      </c>
      <c r="F58" s="68">
        <v>8</v>
      </c>
      <c r="G58" s="68">
        <v>8</v>
      </c>
      <c r="H58" s="68">
        <v>7</v>
      </c>
      <c r="I58" s="68">
        <v>6</v>
      </c>
      <c r="J58" s="68">
        <v>6</v>
      </c>
      <c r="K58" s="68">
        <v>6</v>
      </c>
      <c r="L58" s="68">
        <v>6</v>
      </c>
      <c r="M58" s="68">
        <v>6</v>
      </c>
      <c r="N58" s="68">
        <f t="shared" si="0"/>
        <v>3</v>
      </c>
      <c r="O58" s="70">
        <f>D$39+(N58-D58)/(E58-D58)*(E$39-D$39)</f>
        <v>114.75</v>
      </c>
    </row>
    <row r="59" spans="2:15" x14ac:dyDescent="0.25">
      <c r="B59" s="69" t="s">
        <v>177</v>
      </c>
      <c r="C59" s="68">
        <v>0</v>
      </c>
      <c r="D59" s="68">
        <v>1</v>
      </c>
      <c r="E59" s="68">
        <v>4</v>
      </c>
      <c r="F59" s="68">
        <v>8</v>
      </c>
      <c r="G59" s="68">
        <v>8</v>
      </c>
      <c r="H59" s="68">
        <v>8</v>
      </c>
      <c r="I59" s="68">
        <v>8</v>
      </c>
      <c r="J59" s="68">
        <v>8</v>
      </c>
      <c r="K59" s="68">
        <v>8</v>
      </c>
      <c r="L59" s="68">
        <v>8</v>
      </c>
      <c r="M59" s="68">
        <v>8</v>
      </c>
      <c r="N59" s="68">
        <f t="shared" si="0"/>
        <v>4</v>
      </c>
      <c r="O59" s="70">
        <f>D$39+(N59-D59)/(E59-D59)*(E$39-D$39)</f>
        <v>115</v>
      </c>
    </row>
    <row r="60" spans="2:15" x14ac:dyDescent="0.25">
      <c r="B60" s="69" t="s">
        <v>175</v>
      </c>
      <c r="C60" s="68">
        <v>0</v>
      </c>
      <c r="D60" s="68">
        <v>0</v>
      </c>
      <c r="E60" s="68">
        <v>5</v>
      </c>
      <c r="F60" s="68">
        <v>5</v>
      </c>
      <c r="G60" s="68">
        <v>7</v>
      </c>
      <c r="H60" s="68">
        <v>7</v>
      </c>
      <c r="I60" s="68">
        <v>7</v>
      </c>
      <c r="J60" s="68">
        <v>7</v>
      </c>
      <c r="K60" s="68">
        <v>7</v>
      </c>
      <c r="L60" s="68">
        <v>7</v>
      </c>
      <c r="M60" s="68">
        <v>7</v>
      </c>
      <c r="N60" s="68">
        <f t="shared" si="0"/>
        <v>3.5</v>
      </c>
      <c r="O60" s="70">
        <f>D$39+(N60-D60)/(E60-D60)*(E$39-D$39)</f>
        <v>114.7</v>
      </c>
    </row>
    <row r="61" spans="2:15" x14ac:dyDescent="0.25">
      <c r="B61" s="69" t="s">
        <v>173</v>
      </c>
      <c r="C61" s="68">
        <v>0</v>
      </c>
      <c r="D61" s="68">
        <v>1</v>
      </c>
      <c r="E61" s="68">
        <v>2</v>
      </c>
      <c r="F61" s="68">
        <v>2</v>
      </c>
      <c r="G61" s="68">
        <v>4</v>
      </c>
      <c r="H61" s="68">
        <v>5</v>
      </c>
      <c r="I61" s="68">
        <v>5</v>
      </c>
      <c r="J61" s="68">
        <v>5</v>
      </c>
      <c r="K61" s="68">
        <v>5</v>
      </c>
      <c r="L61" s="68">
        <v>5</v>
      </c>
      <c r="M61" s="68">
        <v>5</v>
      </c>
      <c r="N61" s="68">
        <f t="shared" si="0"/>
        <v>2.5</v>
      </c>
      <c r="O61" s="70">
        <f>F$39+(N61-F61)/(G61-F61)*(G$39-F$39)</f>
        <v>116.75</v>
      </c>
    </row>
    <row r="62" spans="2:15" x14ac:dyDescent="0.25">
      <c r="B62" s="69" t="s">
        <v>171</v>
      </c>
      <c r="C62" s="68">
        <v>0</v>
      </c>
      <c r="D62" s="68">
        <v>0</v>
      </c>
      <c r="E62" s="68">
        <v>4</v>
      </c>
      <c r="F62" s="68">
        <v>5</v>
      </c>
      <c r="G62" s="68">
        <v>8</v>
      </c>
      <c r="H62" s="68">
        <v>8</v>
      </c>
      <c r="I62" s="68">
        <v>8</v>
      </c>
      <c r="J62" s="68">
        <v>8</v>
      </c>
      <c r="K62" s="68">
        <v>7</v>
      </c>
      <c r="L62" s="68">
        <v>7</v>
      </c>
      <c r="M62" s="68">
        <v>7</v>
      </c>
      <c r="N62" s="68">
        <f t="shared" si="0"/>
        <v>3.5</v>
      </c>
      <c r="O62" s="70">
        <f>D$39+(N62-D62)/(E62-D62)*(E$39-D$39)</f>
        <v>114.875</v>
      </c>
    </row>
    <row r="63" spans="2:15" x14ac:dyDescent="0.25">
      <c r="B63" s="69" t="s">
        <v>169</v>
      </c>
      <c r="C63" s="68">
        <v>0</v>
      </c>
      <c r="D63" s="68">
        <v>0</v>
      </c>
      <c r="E63" s="68">
        <v>2</v>
      </c>
      <c r="F63" s="68">
        <v>6</v>
      </c>
      <c r="G63" s="68">
        <v>7</v>
      </c>
      <c r="H63" s="68">
        <v>9</v>
      </c>
      <c r="I63" s="68">
        <v>8</v>
      </c>
      <c r="J63" s="68">
        <v>8</v>
      </c>
      <c r="K63" s="68">
        <v>9</v>
      </c>
      <c r="L63" s="68">
        <v>9</v>
      </c>
      <c r="M63" s="68">
        <v>9</v>
      </c>
      <c r="N63" s="68">
        <f t="shared" si="0"/>
        <v>4.5</v>
      </c>
      <c r="O63" s="70">
        <f>E$39+(N63-E63)/(F63-E63)*(F$39-E$39)</f>
        <v>115.625</v>
      </c>
    </row>
  </sheetData>
  <printOptions horizontalCentered="1"/>
  <pageMargins left="0.5" right="0.5" top="0.5" bottom="0.5" header="0" footer="0.25"/>
  <pageSetup scale="87" fitToHeight="2" orientation="landscape" r:id="rId1"/>
  <headerFooter>
    <oddFooter xml:space="preserve">&amp;R&amp;9smm - &amp;Z&amp;F&amp;P of &amp;N&amp;11
  </oddFooter>
  </headerFooter>
  <rowBreaks count="1" manualBreakCount="1">
    <brk id="2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3476-3E48-4E7A-9646-1CEE27598152}">
  <dimension ref="A1:M42"/>
  <sheetViews>
    <sheetView topLeftCell="A23" zoomScale="85" zoomScaleNormal="85" workbookViewId="0">
      <selection activeCell="L13" sqref="L13:M36"/>
    </sheetView>
  </sheetViews>
  <sheetFormatPr defaultRowHeight="15" x14ac:dyDescent="0.25"/>
  <cols>
    <col min="1" max="1" width="9.140625" style="68"/>
    <col min="2" max="2" width="7.7109375" style="69" customWidth="1"/>
    <col min="3" max="3" width="6.7109375" style="69" customWidth="1"/>
    <col min="4" max="4" width="9.42578125" style="69" customWidth="1"/>
    <col min="5" max="16384" width="9.140625" style="68"/>
  </cols>
  <sheetData>
    <row r="1" spans="1:13" ht="22.15" customHeight="1" x14ac:dyDescent="0.3">
      <c r="A1" s="105">
        <v>2019</v>
      </c>
      <c r="B1" s="106" t="s">
        <v>227</v>
      </c>
      <c r="C1" s="106"/>
      <c r="D1" s="105" t="s">
        <v>6</v>
      </c>
    </row>
    <row r="2" spans="1:13" x14ac:dyDescent="0.25">
      <c r="A2" s="69"/>
      <c r="B2" s="68"/>
      <c r="C2" s="68"/>
    </row>
    <row r="3" spans="1:13" x14ac:dyDescent="0.25">
      <c r="A3" s="69"/>
      <c r="B3" s="104" t="s">
        <v>226</v>
      </c>
      <c r="C3" s="104"/>
    </row>
    <row r="4" spans="1:13" hidden="1" x14ac:dyDescent="0.25">
      <c r="A4" s="103" t="s">
        <v>225</v>
      </c>
      <c r="B4" s="104"/>
      <c r="C4" s="104"/>
    </row>
    <row r="5" spans="1:13" hidden="1" x14ac:dyDescent="0.25">
      <c r="A5" s="103" t="s">
        <v>224</v>
      </c>
      <c r="B5" s="104"/>
      <c r="C5" s="104"/>
    </row>
    <row r="6" spans="1:13" hidden="1" x14ac:dyDescent="0.25">
      <c r="A6" s="68" t="s">
        <v>223</v>
      </c>
      <c r="B6" s="103"/>
      <c r="C6" s="103"/>
      <c r="D6" s="102"/>
    </row>
    <row r="7" spans="1:13" hidden="1" x14ac:dyDescent="0.25">
      <c r="D7" s="102"/>
    </row>
    <row r="9" spans="1:13" x14ac:dyDescent="0.25">
      <c r="B9" s="101" t="s">
        <v>27</v>
      </c>
      <c r="C9" s="100"/>
      <c r="D9" s="99">
        <v>43588</v>
      </c>
      <c r="E9" s="98">
        <v>43591</v>
      </c>
      <c r="F9" s="98">
        <v>43592</v>
      </c>
      <c r="G9" s="98">
        <v>43593</v>
      </c>
      <c r="H9" s="98">
        <v>43598</v>
      </c>
      <c r="I9" s="98"/>
    </row>
    <row r="10" spans="1:13" ht="14.45" customHeight="1" x14ac:dyDescent="0.25">
      <c r="B10" s="97" t="s">
        <v>29</v>
      </c>
      <c r="C10" s="97"/>
      <c r="D10" s="96">
        <v>123</v>
      </c>
      <c r="E10" s="95">
        <v>126</v>
      </c>
      <c r="F10" s="95">
        <v>127</v>
      </c>
      <c r="G10" s="95">
        <v>128</v>
      </c>
      <c r="H10" s="95">
        <v>133</v>
      </c>
      <c r="I10" s="95"/>
    </row>
    <row r="11" spans="1:13" s="91" customFormat="1" ht="12" x14ac:dyDescent="0.2">
      <c r="B11" s="94" t="s">
        <v>13</v>
      </c>
      <c r="C11" s="94"/>
      <c r="D11" s="93" t="s">
        <v>40</v>
      </c>
      <c r="E11" s="92" t="s">
        <v>40</v>
      </c>
      <c r="F11" s="92" t="s">
        <v>40</v>
      </c>
      <c r="G11" s="92" t="s">
        <v>40</v>
      </c>
      <c r="H11" s="92" t="s">
        <v>40</v>
      </c>
      <c r="I11" s="92"/>
    </row>
    <row r="12" spans="1:13" s="69" customFormat="1" ht="37.15" customHeight="1" thickBot="1" x14ac:dyDescent="0.3">
      <c r="B12" s="90" t="s">
        <v>222</v>
      </c>
      <c r="C12" s="89" t="s">
        <v>221</v>
      </c>
      <c r="D12" s="88" t="s">
        <v>220</v>
      </c>
      <c r="E12" s="87" t="s">
        <v>218</v>
      </c>
      <c r="F12" s="87" t="s">
        <v>219</v>
      </c>
      <c r="G12" s="87" t="s">
        <v>218</v>
      </c>
      <c r="H12" s="87" t="s">
        <v>218</v>
      </c>
      <c r="I12" s="87"/>
      <c r="K12" s="86">
        <v>0.5</v>
      </c>
      <c r="L12" s="69" t="s">
        <v>217</v>
      </c>
    </row>
    <row r="13" spans="1:13" ht="40.15" customHeight="1" x14ac:dyDescent="0.25">
      <c r="B13" s="74" t="s">
        <v>216</v>
      </c>
      <c r="C13" s="85">
        <v>6</v>
      </c>
      <c r="D13" s="72">
        <v>0</v>
      </c>
      <c r="E13" s="71">
        <v>4</v>
      </c>
      <c r="F13" s="71">
        <v>4</v>
      </c>
      <c r="G13" s="71">
        <v>5</v>
      </c>
      <c r="H13" s="71">
        <v>6</v>
      </c>
      <c r="I13" s="71"/>
      <c r="K13" s="68">
        <f t="shared" ref="K13:K36" si="0">H13/2</f>
        <v>3</v>
      </c>
      <c r="L13" s="70">
        <f>D$10+(K13-D13)/(E13-D13)*(E$10-D$10)</f>
        <v>125.25</v>
      </c>
      <c r="M13" s="68" t="s">
        <v>215</v>
      </c>
    </row>
    <row r="14" spans="1:13" ht="40.15" customHeight="1" x14ac:dyDescent="0.25">
      <c r="B14" s="74" t="s">
        <v>214</v>
      </c>
      <c r="C14" s="75">
        <v>7</v>
      </c>
      <c r="D14" s="72">
        <v>0</v>
      </c>
      <c r="E14" s="71">
        <v>4</v>
      </c>
      <c r="F14" s="71">
        <v>5</v>
      </c>
      <c r="G14" s="71">
        <v>7</v>
      </c>
      <c r="H14" s="71">
        <v>7</v>
      </c>
      <c r="I14" s="71"/>
      <c r="K14" s="68">
        <f t="shared" si="0"/>
        <v>3.5</v>
      </c>
      <c r="L14" s="70">
        <f>D$10+(K14-D14)/(E14-D14)*(E$10-D$10)</f>
        <v>125.625</v>
      </c>
      <c r="M14" s="68" t="s">
        <v>213</v>
      </c>
    </row>
    <row r="15" spans="1:13" ht="40.15" customHeight="1" x14ac:dyDescent="0.25">
      <c r="B15" s="74" t="s">
        <v>212</v>
      </c>
      <c r="C15" s="75">
        <v>6</v>
      </c>
      <c r="D15" s="72">
        <v>0</v>
      </c>
      <c r="E15" s="71">
        <v>4</v>
      </c>
      <c r="F15" s="71">
        <v>5</v>
      </c>
      <c r="G15" s="71">
        <v>6</v>
      </c>
      <c r="H15" s="71">
        <v>6</v>
      </c>
      <c r="I15" s="71"/>
      <c r="K15" s="68">
        <f t="shared" si="0"/>
        <v>3</v>
      </c>
      <c r="L15" s="70">
        <f>D$10+(K15-D15)/(E15-D15)*(E$10-D$10)</f>
        <v>125.25</v>
      </c>
      <c r="M15" s="68" t="s">
        <v>211</v>
      </c>
    </row>
    <row r="16" spans="1:13" ht="40.15" customHeight="1" thickBot="1" x14ac:dyDescent="0.3">
      <c r="B16" s="83" t="s">
        <v>210</v>
      </c>
      <c r="C16" s="82">
        <v>8</v>
      </c>
      <c r="D16" s="81">
        <v>0</v>
      </c>
      <c r="E16" s="80">
        <v>4</v>
      </c>
      <c r="F16" s="80">
        <v>6</v>
      </c>
      <c r="G16" s="80">
        <v>8</v>
      </c>
      <c r="H16" s="80">
        <v>8</v>
      </c>
      <c r="I16" s="80"/>
      <c r="K16" s="68">
        <f t="shared" si="0"/>
        <v>4</v>
      </c>
      <c r="L16" s="70">
        <f>D$10+(K16-D16)/(E16-D16)*(E$10-D$10)</f>
        <v>126</v>
      </c>
      <c r="M16" s="68" t="s">
        <v>209</v>
      </c>
    </row>
    <row r="17" spans="2:13" ht="40.15" customHeight="1" x14ac:dyDescent="0.25">
      <c r="B17" s="79" t="s">
        <v>208</v>
      </c>
      <c r="C17" s="78">
        <v>10</v>
      </c>
      <c r="D17" s="77">
        <v>0</v>
      </c>
      <c r="E17" s="76">
        <v>5</v>
      </c>
      <c r="F17" s="76">
        <v>7</v>
      </c>
      <c r="G17" s="76">
        <v>10</v>
      </c>
      <c r="H17" s="76">
        <v>10</v>
      </c>
      <c r="I17" s="76"/>
      <c r="K17" s="68">
        <f t="shared" si="0"/>
        <v>5</v>
      </c>
      <c r="L17" s="70">
        <f>D$10+(K17-D17)/(E17-D17)*(E$10-D$10)</f>
        <v>126</v>
      </c>
      <c r="M17" s="68" t="s">
        <v>207</v>
      </c>
    </row>
    <row r="18" spans="2:13" ht="40.15" customHeight="1" x14ac:dyDescent="0.25">
      <c r="B18" s="74" t="s">
        <v>206</v>
      </c>
      <c r="C18" s="75">
        <v>5</v>
      </c>
      <c r="D18" s="72">
        <v>0</v>
      </c>
      <c r="E18" s="71">
        <v>1</v>
      </c>
      <c r="F18" s="71">
        <v>2</v>
      </c>
      <c r="G18" s="71">
        <v>2</v>
      </c>
      <c r="H18" s="71">
        <v>5</v>
      </c>
      <c r="I18" s="71"/>
      <c r="K18" s="68">
        <f t="shared" si="0"/>
        <v>2.5</v>
      </c>
      <c r="L18" s="70">
        <f>G$10+(K18-G18)/(H18-G18)*(H$10-G$10)</f>
        <v>128.83333333333334</v>
      </c>
      <c r="M18" s="68" t="s">
        <v>205</v>
      </c>
    </row>
    <row r="19" spans="2:13" ht="40.15" customHeight="1" x14ac:dyDescent="0.25">
      <c r="B19" s="74" t="s">
        <v>204</v>
      </c>
      <c r="C19" s="75">
        <v>9</v>
      </c>
      <c r="D19" s="72">
        <v>0</v>
      </c>
      <c r="E19" s="71">
        <v>5</v>
      </c>
      <c r="F19" s="71">
        <v>7</v>
      </c>
      <c r="G19" s="71">
        <v>9</v>
      </c>
      <c r="H19" s="71">
        <v>9</v>
      </c>
      <c r="I19" s="71"/>
      <c r="K19" s="68">
        <f t="shared" si="0"/>
        <v>4.5</v>
      </c>
      <c r="L19" s="70">
        <f>D$10+(K19-D19)/(E19-D19)*(E$10-D$10)</f>
        <v>125.7</v>
      </c>
      <c r="M19" s="68" t="s">
        <v>203</v>
      </c>
    </row>
    <row r="20" spans="2:13" ht="40.15" customHeight="1" thickBot="1" x14ac:dyDescent="0.3">
      <c r="B20" s="83" t="s">
        <v>202</v>
      </c>
      <c r="C20" s="82">
        <v>10</v>
      </c>
      <c r="D20" s="81">
        <v>0</v>
      </c>
      <c r="E20" s="80">
        <v>5</v>
      </c>
      <c r="F20" s="80">
        <v>8</v>
      </c>
      <c r="G20" s="80">
        <v>9</v>
      </c>
      <c r="H20" s="80">
        <v>9</v>
      </c>
      <c r="I20" s="80"/>
      <c r="K20" s="68">
        <f t="shared" si="0"/>
        <v>4.5</v>
      </c>
      <c r="L20" s="70">
        <f>D$10+(K20-D20)/(E20-D20)*(E$10-D$10)</f>
        <v>125.7</v>
      </c>
      <c r="M20" s="68" t="s">
        <v>201</v>
      </c>
    </row>
    <row r="21" spans="2:13" ht="40.15" customHeight="1" x14ac:dyDescent="0.25">
      <c r="B21" s="79" t="s">
        <v>200</v>
      </c>
      <c r="C21" s="78">
        <v>11</v>
      </c>
      <c r="D21" s="77">
        <v>0</v>
      </c>
      <c r="E21" s="76">
        <v>5</v>
      </c>
      <c r="F21" s="76">
        <v>8</v>
      </c>
      <c r="G21" s="76">
        <v>9</v>
      </c>
      <c r="H21" s="76">
        <v>11</v>
      </c>
      <c r="I21" s="76"/>
      <c r="K21" s="68">
        <f t="shared" si="0"/>
        <v>5.5</v>
      </c>
      <c r="L21" s="70">
        <f>E$10+(K21-E21)/(F21-E21)*(F$10-E$10)</f>
        <v>126.16666666666667</v>
      </c>
      <c r="M21" s="68" t="s">
        <v>199</v>
      </c>
    </row>
    <row r="22" spans="2:13" ht="40.15" customHeight="1" x14ac:dyDescent="0.25">
      <c r="B22" s="74" t="s">
        <v>198</v>
      </c>
      <c r="C22" s="75">
        <v>9</v>
      </c>
      <c r="D22" s="72">
        <v>0</v>
      </c>
      <c r="E22" s="71">
        <v>4</v>
      </c>
      <c r="F22" s="71">
        <v>4</v>
      </c>
      <c r="G22" s="71">
        <v>7</v>
      </c>
      <c r="H22" s="71">
        <v>9</v>
      </c>
      <c r="I22" s="71"/>
      <c r="K22" s="68">
        <f t="shared" si="0"/>
        <v>4.5</v>
      </c>
      <c r="L22" s="70">
        <f>F$10+(K22-F22)/(G22-F22)*(G$10-F$10)</f>
        <v>127.16666666666667</v>
      </c>
      <c r="M22" s="68" t="s">
        <v>197</v>
      </c>
    </row>
    <row r="23" spans="2:13" ht="40.15" customHeight="1" x14ac:dyDescent="0.25">
      <c r="B23" s="74" t="s">
        <v>196</v>
      </c>
      <c r="C23" s="75">
        <v>8</v>
      </c>
      <c r="D23" s="72">
        <v>0</v>
      </c>
      <c r="E23" s="71">
        <v>4</v>
      </c>
      <c r="F23" s="71">
        <v>6</v>
      </c>
      <c r="G23" s="71">
        <v>7</v>
      </c>
      <c r="H23" s="71">
        <v>8</v>
      </c>
      <c r="I23" s="71"/>
      <c r="K23" s="68">
        <f t="shared" si="0"/>
        <v>4</v>
      </c>
      <c r="L23" s="70">
        <f>D$10+(K23-D23)/(E23-D23)*(E$10-D$10)</f>
        <v>126</v>
      </c>
      <c r="M23" s="68" t="s">
        <v>195</v>
      </c>
    </row>
    <row r="24" spans="2:13" ht="40.15" customHeight="1" thickBot="1" x14ac:dyDescent="0.3">
      <c r="B24" s="83" t="s">
        <v>194</v>
      </c>
      <c r="C24" s="82">
        <v>11</v>
      </c>
      <c r="D24" s="81">
        <v>0</v>
      </c>
      <c r="E24" s="80">
        <v>6</v>
      </c>
      <c r="F24" s="80">
        <v>9</v>
      </c>
      <c r="G24" s="80">
        <v>10</v>
      </c>
      <c r="H24" s="80">
        <v>11</v>
      </c>
      <c r="I24" s="80"/>
      <c r="K24" s="68">
        <f t="shared" si="0"/>
        <v>5.5</v>
      </c>
      <c r="L24" s="70">
        <f>D$10+(K24-D24)/(E24-D24)*(E$10-D$10)</f>
        <v>125.75</v>
      </c>
      <c r="M24" s="68" t="s">
        <v>193</v>
      </c>
    </row>
    <row r="25" spans="2:13" ht="40.15" customHeight="1" x14ac:dyDescent="0.25">
      <c r="B25" s="79" t="s">
        <v>192</v>
      </c>
      <c r="C25" s="78">
        <v>5</v>
      </c>
      <c r="D25" s="77">
        <v>0</v>
      </c>
      <c r="E25" s="76">
        <v>3</v>
      </c>
      <c r="F25" s="76">
        <v>4</v>
      </c>
      <c r="G25" s="76">
        <v>5</v>
      </c>
      <c r="H25" s="76">
        <v>5</v>
      </c>
      <c r="I25" s="76"/>
      <c r="K25" s="68">
        <f t="shared" si="0"/>
        <v>2.5</v>
      </c>
      <c r="L25" s="70">
        <f>D$10+(K25-D25)/(E25-D25)*(E$10-D$10)</f>
        <v>125.5</v>
      </c>
      <c r="M25" s="68" t="s">
        <v>191</v>
      </c>
    </row>
    <row r="26" spans="2:13" ht="40.15" customHeight="1" x14ac:dyDescent="0.25">
      <c r="B26" s="74" t="s">
        <v>190</v>
      </c>
      <c r="C26" s="75">
        <v>7</v>
      </c>
      <c r="D26" s="72">
        <v>0</v>
      </c>
      <c r="E26" s="71">
        <v>4</v>
      </c>
      <c r="F26" s="71">
        <v>5</v>
      </c>
      <c r="G26" s="71">
        <v>6</v>
      </c>
      <c r="H26" s="71">
        <v>7</v>
      </c>
      <c r="I26" s="71"/>
      <c r="K26" s="68">
        <f t="shared" si="0"/>
        <v>3.5</v>
      </c>
      <c r="L26" s="70">
        <f>D$10+(K26-D26)/(E26-D26)*(E$10-D$10)</f>
        <v>125.625</v>
      </c>
      <c r="M26" s="68" t="s">
        <v>189</v>
      </c>
    </row>
    <row r="27" spans="2:13" ht="40.15" customHeight="1" x14ac:dyDescent="0.25">
      <c r="B27" s="74" t="s">
        <v>188</v>
      </c>
      <c r="C27" s="75">
        <v>6</v>
      </c>
      <c r="D27" s="72">
        <v>0</v>
      </c>
      <c r="E27" s="71">
        <v>1</v>
      </c>
      <c r="F27" s="71">
        <v>2</v>
      </c>
      <c r="G27" s="71">
        <v>3</v>
      </c>
      <c r="H27" s="71">
        <v>6</v>
      </c>
      <c r="I27" s="71"/>
      <c r="K27" s="68">
        <f t="shared" si="0"/>
        <v>3</v>
      </c>
      <c r="L27" s="70">
        <f>F$10+(K27-F27)/(G27-F27)*(G$10-F$10)</f>
        <v>128</v>
      </c>
      <c r="M27" s="68" t="s">
        <v>187</v>
      </c>
    </row>
    <row r="28" spans="2:13" ht="40.15" customHeight="1" thickBot="1" x14ac:dyDescent="0.3">
      <c r="B28" s="83" t="s">
        <v>186</v>
      </c>
      <c r="C28" s="82">
        <v>4</v>
      </c>
      <c r="D28" s="81">
        <v>0</v>
      </c>
      <c r="E28" s="80">
        <v>1</v>
      </c>
      <c r="F28" s="80">
        <v>4</v>
      </c>
      <c r="G28" s="80">
        <v>4</v>
      </c>
      <c r="H28" s="80">
        <v>4</v>
      </c>
      <c r="I28" s="80"/>
      <c r="K28" s="68">
        <f t="shared" si="0"/>
        <v>2</v>
      </c>
      <c r="L28" s="70">
        <f>E$10+(K28-E28)/(F28-E28)*(F$10-E$10)</f>
        <v>126.33333333333333</v>
      </c>
      <c r="M28" s="68" t="s">
        <v>185</v>
      </c>
    </row>
    <row r="29" spans="2:13" ht="39.6" customHeight="1" x14ac:dyDescent="0.25">
      <c r="B29" s="79" t="s">
        <v>184</v>
      </c>
      <c r="C29" s="84" t="s">
        <v>183</v>
      </c>
      <c r="D29" s="77">
        <v>0</v>
      </c>
      <c r="E29" s="76">
        <v>4</v>
      </c>
      <c r="F29" s="76">
        <v>5</v>
      </c>
      <c r="G29" s="76">
        <v>5</v>
      </c>
      <c r="H29" s="76">
        <v>5</v>
      </c>
      <c r="I29" s="76"/>
      <c r="K29" s="68">
        <f t="shared" si="0"/>
        <v>2.5</v>
      </c>
      <c r="L29" s="70">
        <f>D$10+(K29-D29)/(E29-D29)*(E$10-D$10)</f>
        <v>124.875</v>
      </c>
      <c r="M29" s="68" t="s">
        <v>182</v>
      </c>
    </row>
    <row r="30" spans="2:13" ht="39.6" customHeight="1" x14ac:dyDescent="0.25">
      <c r="B30" s="74" t="s">
        <v>181</v>
      </c>
      <c r="C30" s="75">
        <v>10</v>
      </c>
      <c r="D30" s="72">
        <v>0</v>
      </c>
      <c r="E30" s="71">
        <v>2</v>
      </c>
      <c r="F30" s="71">
        <v>6</v>
      </c>
      <c r="G30" s="71">
        <v>6</v>
      </c>
      <c r="H30" s="71">
        <v>10</v>
      </c>
      <c r="I30" s="71"/>
      <c r="K30" s="68">
        <f t="shared" si="0"/>
        <v>5</v>
      </c>
      <c r="L30" s="70">
        <f>E$10+(K30-E30)/(F30-E30)*(F$10-E$10)</f>
        <v>126.75</v>
      </c>
      <c r="M30" s="68" t="s">
        <v>180</v>
      </c>
    </row>
    <row r="31" spans="2:13" ht="39.6" customHeight="1" x14ac:dyDescent="0.25">
      <c r="B31" s="74" t="s">
        <v>179</v>
      </c>
      <c r="C31" s="75">
        <v>6</v>
      </c>
      <c r="D31" s="72">
        <v>0</v>
      </c>
      <c r="E31" s="71">
        <v>4</v>
      </c>
      <c r="F31" s="71">
        <v>6</v>
      </c>
      <c r="G31" s="71">
        <v>6</v>
      </c>
      <c r="H31" s="71">
        <v>6</v>
      </c>
      <c r="I31" s="71"/>
      <c r="K31" s="68">
        <f t="shared" si="0"/>
        <v>3</v>
      </c>
      <c r="L31" s="70">
        <f>D$10+(K31-D31)/(E31-D31)*(E$10-D$10)</f>
        <v>125.25</v>
      </c>
      <c r="M31" s="68" t="s">
        <v>178</v>
      </c>
    </row>
    <row r="32" spans="2:13" ht="39.6" customHeight="1" thickBot="1" x14ac:dyDescent="0.3">
      <c r="B32" s="83" t="s">
        <v>177</v>
      </c>
      <c r="C32" s="82">
        <v>8</v>
      </c>
      <c r="D32" s="81">
        <v>0</v>
      </c>
      <c r="E32" s="80">
        <v>6</v>
      </c>
      <c r="F32" s="80">
        <v>8</v>
      </c>
      <c r="G32" s="80">
        <v>8</v>
      </c>
      <c r="H32" s="80">
        <v>8</v>
      </c>
      <c r="I32" s="80"/>
      <c r="K32" s="68">
        <f t="shared" si="0"/>
        <v>4</v>
      </c>
      <c r="L32" s="70">
        <f>D$10+(K32-D32)/(E32-D32)*(E$10-D$10)</f>
        <v>125</v>
      </c>
      <c r="M32" s="68" t="s">
        <v>176</v>
      </c>
    </row>
    <row r="33" spans="2:13" ht="39.6" customHeight="1" x14ac:dyDescent="0.25">
      <c r="B33" s="79" t="s">
        <v>175</v>
      </c>
      <c r="C33" s="78">
        <v>7</v>
      </c>
      <c r="D33" s="77">
        <v>0</v>
      </c>
      <c r="E33" s="76">
        <v>5</v>
      </c>
      <c r="F33" s="76">
        <v>6</v>
      </c>
      <c r="G33" s="76">
        <v>6</v>
      </c>
      <c r="H33" s="76">
        <v>7</v>
      </c>
      <c r="I33" s="76"/>
      <c r="K33" s="68">
        <f t="shared" si="0"/>
        <v>3.5</v>
      </c>
      <c r="L33" s="70">
        <f>D$10+(K33-D33)/(E33-D33)*(E$10-D$10)</f>
        <v>125.1</v>
      </c>
      <c r="M33" s="68" t="s">
        <v>174</v>
      </c>
    </row>
    <row r="34" spans="2:13" ht="39.6" customHeight="1" x14ac:dyDescent="0.25">
      <c r="B34" s="74" t="s">
        <v>173</v>
      </c>
      <c r="C34" s="75">
        <v>5</v>
      </c>
      <c r="D34" s="72">
        <v>0</v>
      </c>
      <c r="E34" s="71">
        <v>2</v>
      </c>
      <c r="F34" s="71">
        <v>3</v>
      </c>
      <c r="G34" s="71">
        <v>3</v>
      </c>
      <c r="H34" s="71">
        <v>5</v>
      </c>
      <c r="I34" s="71"/>
      <c r="K34" s="68">
        <f t="shared" si="0"/>
        <v>2.5</v>
      </c>
      <c r="L34" s="70">
        <f>E$10+(K34-E34)/(F34-E34)*(F$10-E$10)</f>
        <v>126.5</v>
      </c>
      <c r="M34" s="68" t="s">
        <v>172</v>
      </c>
    </row>
    <row r="35" spans="2:13" ht="39.6" customHeight="1" x14ac:dyDescent="0.25">
      <c r="B35" s="74" t="s">
        <v>171</v>
      </c>
      <c r="C35" s="75">
        <v>8</v>
      </c>
      <c r="D35" s="72">
        <v>0</v>
      </c>
      <c r="E35" s="71">
        <v>4</v>
      </c>
      <c r="F35" s="71">
        <v>5</v>
      </c>
      <c r="G35" s="71">
        <v>6</v>
      </c>
      <c r="H35" s="71">
        <v>7</v>
      </c>
      <c r="I35" s="71"/>
      <c r="K35" s="68">
        <f t="shared" si="0"/>
        <v>3.5</v>
      </c>
      <c r="L35" s="70">
        <f>D$10+(K35-D35)/(E35-D35)*(E$10-D$10)</f>
        <v>125.625</v>
      </c>
      <c r="M35" s="68" t="s">
        <v>170</v>
      </c>
    </row>
    <row r="36" spans="2:13" ht="39.6" customHeight="1" thickBot="1" x14ac:dyDescent="0.3">
      <c r="B36" s="74" t="s">
        <v>169</v>
      </c>
      <c r="C36" s="73" t="s">
        <v>168</v>
      </c>
      <c r="D36" s="72">
        <v>0</v>
      </c>
      <c r="E36" s="71">
        <v>3</v>
      </c>
      <c r="F36" s="71">
        <v>5</v>
      </c>
      <c r="G36" s="71">
        <v>6</v>
      </c>
      <c r="H36" s="71">
        <v>9</v>
      </c>
      <c r="I36" s="71"/>
      <c r="K36" s="68">
        <f t="shared" si="0"/>
        <v>4.5</v>
      </c>
      <c r="L36" s="70">
        <f>E$10+(K36-E36)/(F36-E36)*(F$10-E$10)</f>
        <v>126.75</v>
      </c>
      <c r="M36" s="68" t="s">
        <v>167</v>
      </c>
    </row>
    <row r="37" spans="2:13" x14ac:dyDescent="0.25">
      <c r="D37" s="214" t="s">
        <v>166</v>
      </c>
    </row>
    <row r="38" spans="2:13" x14ac:dyDescent="0.25">
      <c r="D38" s="215"/>
    </row>
    <row r="39" spans="2:13" x14ac:dyDescent="0.25">
      <c r="D39" s="215"/>
    </row>
    <row r="40" spans="2:13" x14ac:dyDescent="0.25">
      <c r="D40" s="215"/>
    </row>
    <row r="41" spans="2:13" x14ac:dyDescent="0.25">
      <c r="D41" s="215"/>
    </row>
    <row r="42" spans="2:13" x14ac:dyDescent="0.25">
      <c r="D42" s="215"/>
    </row>
  </sheetData>
  <mergeCells count="1">
    <mergeCell ref="D37:D42"/>
  </mergeCells>
  <pageMargins left="0.5" right="0.5" top="0.5" bottom="0.75" header="0" footer="0.3"/>
  <pageSetup fitToHeight="2" orientation="portrait" r:id="rId1"/>
  <headerFooter>
    <oddFooter xml:space="preserve">&amp;Rsmm - &amp;Z&amp;F
&amp;P of &amp;N
  </oddFooter>
  </headerFooter>
  <rowBreaks count="1" manualBreakCount="1">
    <brk id="24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50D8-BED3-4452-BCCD-8410EAEC9177}">
  <dimension ref="A1:N22"/>
  <sheetViews>
    <sheetView zoomScaleNormal="100" zoomScaleSheetLayoutView="100" workbookViewId="0">
      <selection activeCell="I7" sqref="I7:M18"/>
    </sheetView>
  </sheetViews>
  <sheetFormatPr defaultRowHeight="12.75" x14ac:dyDescent="0.2"/>
  <cols>
    <col min="1" max="1" width="10.140625" customWidth="1"/>
    <col min="2" max="2" width="4.7109375" style="1" customWidth="1"/>
    <col min="3" max="3" width="2.7109375" style="2" customWidth="1"/>
    <col min="4" max="6" width="7.7109375" customWidth="1"/>
    <col min="7" max="7" width="9.140625" customWidth="1"/>
    <col min="8" max="8" width="3.85546875" customWidth="1"/>
    <col min="9" max="9" width="4.7109375" customWidth="1"/>
    <col min="10" max="10" width="2.7109375" customWidth="1"/>
    <col min="11" max="13" width="7.7109375" customWidth="1"/>
    <col min="14" max="14" width="9.140625" customWidth="1"/>
  </cols>
  <sheetData>
    <row r="1" spans="1:14" ht="15.75" x14ac:dyDescent="0.25">
      <c r="A1" s="6">
        <v>2019</v>
      </c>
      <c r="B1" s="8" t="s">
        <v>25</v>
      </c>
      <c r="C1" s="8"/>
      <c r="D1" s="8" t="s">
        <v>6</v>
      </c>
      <c r="I1" s="4" t="s">
        <v>8</v>
      </c>
      <c r="J1" s="169"/>
      <c r="K1" s="168" t="s">
        <v>253</v>
      </c>
      <c r="M1" t="s">
        <v>252</v>
      </c>
    </row>
    <row r="2" spans="1:14" ht="6.6" customHeight="1" x14ac:dyDescent="0.25">
      <c r="A2" s="6"/>
      <c r="B2" s="7"/>
      <c r="C2" s="8"/>
      <c r="I2" s="4"/>
    </row>
    <row r="3" spans="1:14" x14ac:dyDescent="0.2">
      <c r="B3" s="5" t="s">
        <v>251</v>
      </c>
      <c r="I3" s="4" t="s">
        <v>13</v>
      </c>
      <c r="J3" t="s">
        <v>40</v>
      </c>
    </row>
    <row r="4" spans="1:14" ht="43.15" customHeight="1" x14ac:dyDescent="0.2">
      <c r="B4" s="217" t="s">
        <v>250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</row>
    <row r="5" spans="1:14" ht="40.15" customHeight="1" x14ac:dyDescent="0.2">
      <c r="B5" s="5"/>
      <c r="D5" s="166" t="s">
        <v>249</v>
      </c>
      <c r="E5" s="166" t="s">
        <v>32</v>
      </c>
      <c r="F5" s="166" t="s">
        <v>247</v>
      </c>
      <c r="G5" s="166"/>
      <c r="H5" s="3"/>
      <c r="I5" s="3"/>
      <c r="J5" s="166"/>
      <c r="K5" s="166" t="s">
        <v>249</v>
      </c>
      <c r="L5" s="166" t="s">
        <v>248</v>
      </c>
      <c r="M5" s="166" t="s">
        <v>247</v>
      </c>
    </row>
    <row r="6" spans="1:14" ht="22.15" customHeight="1" thickBot="1" x14ac:dyDescent="0.25">
      <c r="B6" s="216" t="s">
        <v>7</v>
      </c>
      <c r="C6" s="216"/>
      <c r="D6" s="165" t="s">
        <v>246</v>
      </c>
      <c r="E6" s="165" t="s">
        <v>246</v>
      </c>
      <c r="F6" s="165" t="s">
        <v>246</v>
      </c>
      <c r="G6" s="165" t="s">
        <v>245</v>
      </c>
      <c r="H6" s="164"/>
      <c r="I6" s="216" t="s">
        <v>7</v>
      </c>
      <c r="J6" s="216"/>
      <c r="K6" s="163" t="s">
        <v>246</v>
      </c>
      <c r="L6" s="163" t="s">
        <v>246</v>
      </c>
      <c r="M6" s="163" t="s">
        <v>246</v>
      </c>
      <c r="N6" s="163" t="s">
        <v>245</v>
      </c>
    </row>
    <row r="7" spans="1:14" ht="22.15" customHeight="1" x14ac:dyDescent="0.2">
      <c r="B7" s="11" t="s">
        <v>0</v>
      </c>
      <c r="C7" s="158">
        <v>1</v>
      </c>
      <c r="D7" s="162">
        <v>13</v>
      </c>
      <c r="E7" s="162">
        <v>11</v>
      </c>
      <c r="F7" s="162">
        <v>6</v>
      </c>
      <c r="G7" s="161">
        <f t="shared" ref="G7:G18" si="0">(AVERAGE(D7:F7))/1.5</f>
        <v>6.666666666666667</v>
      </c>
      <c r="I7" s="160" t="s">
        <v>3</v>
      </c>
      <c r="J7" s="159">
        <v>4</v>
      </c>
      <c r="K7" s="9">
        <v>12</v>
      </c>
      <c r="L7" s="9">
        <v>11</v>
      </c>
      <c r="M7" s="9">
        <v>11</v>
      </c>
      <c r="N7" s="157">
        <f t="shared" ref="N7:N18" si="1">(AVERAGE(K7:M7))/1.5</f>
        <v>7.5555555555555562</v>
      </c>
    </row>
    <row r="8" spans="1:14" ht="22.15" customHeight="1" x14ac:dyDescent="0.2">
      <c r="B8" s="155" t="s">
        <v>0</v>
      </c>
      <c r="C8" s="154">
        <v>2</v>
      </c>
      <c r="D8" s="156">
        <v>13</v>
      </c>
      <c r="E8" s="156">
        <v>9</v>
      </c>
      <c r="F8" s="156">
        <v>9</v>
      </c>
      <c r="G8" s="152">
        <f t="shared" si="0"/>
        <v>6.8888888888888893</v>
      </c>
      <c r="I8" s="155" t="s">
        <v>3</v>
      </c>
      <c r="J8" s="154">
        <v>3</v>
      </c>
      <c r="K8" s="156">
        <v>15</v>
      </c>
      <c r="L8" s="156">
        <v>8</v>
      </c>
      <c r="M8" s="156">
        <v>9</v>
      </c>
      <c r="N8" s="152">
        <f t="shared" si="1"/>
        <v>7.1111111111111107</v>
      </c>
    </row>
    <row r="9" spans="1:14" ht="22.15" customHeight="1" x14ac:dyDescent="0.2">
      <c r="B9" s="155" t="s">
        <v>0</v>
      </c>
      <c r="C9" s="154">
        <v>3</v>
      </c>
      <c r="D9" s="156">
        <v>9</v>
      </c>
      <c r="E9" s="156">
        <v>10</v>
      </c>
      <c r="F9" s="156">
        <v>11</v>
      </c>
      <c r="G9" s="152">
        <f t="shared" si="0"/>
        <v>6.666666666666667</v>
      </c>
      <c r="I9" s="155" t="s">
        <v>3</v>
      </c>
      <c r="J9" s="154">
        <v>2</v>
      </c>
      <c r="K9" s="156">
        <v>10</v>
      </c>
      <c r="L9" s="156">
        <v>8</v>
      </c>
      <c r="M9" s="156">
        <v>7</v>
      </c>
      <c r="N9" s="152">
        <f t="shared" si="1"/>
        <v>5.5555555555555562</v>
      </c>
    </row>
    <row r="10" spans="1:14" ht="22.15" customHeight="1" thickBot="1" x14ac:dyDescent="0.25">
      <c r="B10" s="151" t="s">
        <v>0</v>
      </c>
      <c r="C10" s="150">
        <v>4</v>
      </c>
      <c r="D10" s="10">
        <v>12</v>
      </c>
      <c r="E10" s="10">
        <v>11</v>
      </c>
      <c r="F10" s="10">
        <v>10</v>
      </c>
      <c r="G10" s="149">
        <f t="shared" si="0"/>
        <v>7.333333333333333</v>
      </c>
      <c r="I10" s="151" t="s">
        <v>3</v>
      </c>
      <c r="J10" s="150">
        <v>1</v>
      </c>
      <c r="K10" s="10">
        <v>12</v>
      </c>
      <c r="L10" s="10">
        <v>6</v>
      </c>
      <c r="M10" s="10">
        <v>8</v>
      </c>
      <c r="N10" s="149">
        <f t="shared" si="1"/>
        <v>5.7777777777777777</v>
      </c>
    </row>
    <row r="11" spans="1:14" ht="22.15" customHeight="1" x14ac:dyDescent="0.2">
      <c r="B11" s="11" t="s">
        <v>1</v>
      </c>
      <c r="C11" s="158">
        <v>4</v>
      </c>
      <c r="D11" s="9">
        <v>10</v>
      </c>
      <c r="E11" s="9">
        <v>16</v>
      </c>
      <c r="F11" s="9">
        <v>10</v>
      </c>
      <c r="G11" s="157">
        <f t="shared" si="0"/>
        <v>8</v>
      </c>
      <c r="I11" s="11" t="s">
        <v>4</v>
      </c>
      <c r="J11" s="158">
        <v>1</v>
      </c>
      <c r="K11" s="9">
        <v>4</v>
      </c>
      <c r="L11" s="9">
        <v>9</v>
      </c>
      <c r="M11" s="9">
        <v>6</v>
      </c>
      <c r="N11" s="157">
        <f t="shared" si="1"/>
        <v>4.2222222222222223</v>
      </c>
    </row>
    <row r="12" spans="1:14" ht="22.15" customHeight="1" x14ac:dyDescent="0.2">
      <c r="B12" s="155" t="s">
        <v>1</v>
      </c>
      <c r="C12" s="154">
        <v>3</v>
      </c>
      <c r="D12" s="156">
        <v>11</v>
      </c>
      <c r="E12" s="156">
        <v>8</v>
      </c>
      <c r="F12" s="156">
        <v>9</v>
      </c>
      <c r="G12" s="152">
        <f t="shared" si="0"/>
        <v>6.2222222222222223</v>
      </c>
      <c r="I12" s="155" t="s">
        <v>4</v>
      </c>
      <c r="J12" s="154">
        <v>2</v>
      </c>
      <c r="K12" s="156">
        <v>10</v>
      </c>
      <c r="L12" s="156">
        <v>14</v>
      </c>
      <c r="M12" s="156">
        <v>9</v>
      </c>
      <c r="N12" s="152">
        <f t="shared" si="1"/>
        <v>7.333333333333333</v>
      </c>
    </row>
    <row r="13" spans="1:14" ht="22.15" customHeight="1" x14ac:dyDescent="0.2">
      <c r="B13" s="155" t="s">
        <v>1</v>
      </c>
      <c r="C13" s="154">
        <v>2</v>
      </c>
      <c r="D13" s="156">
        <v>12</v>
      </c>
      <c r="E13" s="156">
        <v>12</v>
      </c>
      <c r="F13" s="156">
        <v>15</v>
      </c>
      <c r="G13" s="152">
        <f t="shared" si="0"/>
        <v>8.6666666666666661</v>
      </c>
      <c r="I13" s="155" t="s">
        <v>4</v>
      </c>
      <c r="J13" s="154">
        <v>3</v>
      </c>
      <c r="K13" s="156">
        <v>10</v>
      </c>
      <c r="L13" s="156">
        <v>11</v>
      </c>
      <c r="M13" s="156">
        <v>11</v>
      </c>
      <c r="N13" s="152">
        <f t="shared" si="1"/>
        <v>7.1111111111111107</v>
      </c>
    </row>
    <row r="14" spans="1:14" ht="22.15" customHeight="1" thickBot="1" x14ac:dyDescent="0.25">
      <c r="B14" s="151" t="s">
        <v>1</v>
      </c>
      <c r="C14" s="150">
        <v>1</v>
      </c>
      <c r="D14" s="10">
        <v>8</v>
      </c>
      <c r="E14" s="10">
        <v>14</v>
      </c>
      <c r="F14" s="10">
        <v>12</v>
      </c>
      <c r="G14" s="149">
        <f t="shared" si="0"/>
        <v>7.5555555555555562</v>
      </c>
      <c r="I14" s="151" t="s">
        <v>4</v>
      </c>
      <c r="J14" s="150">
        <v>4</v>
      </c>
      <c r="K14" s="10">
        <v>9</v>
      </c>
      <c r="L14" s="10">
        <v>10</v>
      </c>
      <c r="M14" s="10">
        <v>8</v>
      </c>
      <c r="N14" s="149">
        <f t="shared" si="1"/>
        <v>6</v>
      </c>
    </row>
    <row r="15" spans="1:14" ht="22.15" customHeight="1" x14ac:dyDescent="0.2">
      <c r="B15" s="11" t="s">
        <v>2</v>
      </c>
      <c r="C15" s="158">
        <v>1</v>
      </c>
      <c r="D15" s="9">
        <v>14</v>
      </c>
      <c r="E15" s="9">
        <v>16</v>
      </c>
      <c r="F15" s="9">
        <v>9</v>
      </c>
      <c r="G15" s="157">
        <f t="shared" si="0"/>
        <v>8.6666666666666661</v>
      </c>
      <c r="I15" s="11" t="s">
        <v>5</v>
      </c>
      <c r="J15" s="158">
        <v>4</v>
      </c>
      <c r="K15" s="9">
        <v>13</v>
      </c>
      <c r="L15" s="9">
        <v>11</v>
      </c>
      <c r="M15" s="9">
        <v>12</v>
      </c>
      <c r="N15" s="157">
        <f t="shared" si="1"/>
        <v>8</v>
      </c>
    </row>
    <row r="16" spans="1:14" ht="22.15" customHeight="1" x14ac:dyDescent="0.2">
      <c r="B16" s="155" t="s">
        <v>2</v>
      </c>
      <c r="C16" s="154">
        <v>2</v>
      </c>
      <c r="D16" s="156">
        <v>11</v>
      </c>
      <c r="E16" s="156">
        <v>11</v>
      </c>
      <c r="F16" s="156">
        <v>13</v>
      </c>
      <c r="G16" s="152">
        <f t="shared" si="0"/>
        <v>7.7777777777777777</v>
      </c>
      <c r="I16" s="155" t="s">
        <v>5</v>
      </c>
      <c r="J16" s="154">
        <v>3</v>
      </c>
      <c r="K16" s="156">
        <v>7</v>
      </c>
      <c r="L16" s="156">
        <v>9</v>
      </c>
      <c r="M16" s="156">
        <v>10</v>
      </c>
      <c r="N16" s="152">
        <f t="shared" si="1"/>
        <v>5.7777777777777777</v>
      </c>
    </row>
    <row r="17" spans="2:14" ht="22.15" customHeight="1" x14ac:dyDescent="0.2">
      <c r="B17" s="155" t="s">
        <v>2</v>
      </c>
      <c r="C17" s="154">
        <v>3</v>
      </c>
      <c r="D17" s="156">
        <v>8</v>
      </c>
      <c r="E17" s="156">
        <v>10</v>
      </c>
      <c r="F17" s="156">
        <v>17</v>
      </c>
      <c r="G17" s="152">
        <f t="shared" si="0"/>
        <v>7.7777777777777777</v>
      </c>
      <c r="I17" s="155" t="s">
        <v>5</v>
      </c>
      <c r="J17" s="154">
        <v>2</v>
      </c>
      <c r="K17" s="153">
        <v>7</v>
      </c>
      <c r="L17" s="153">
        <v>10</v>
      </c>
      <c r="M17" s="153">
        <v>9</v>
      </c>
      <c r="N17" s="152">
        <f t="shared" si="1"/>
        <v>5.7777777777777777</v>
      </c>
    </row>
    <row r="18" spans="2:14" ht="22.15" customHeight="1" thickBot="1" x14ac:dyDescent="0.25">
      <c r="B18" s="151" t="s">
        <v>2</v>
      </c>
      <c r="C18" s="150">
        <v>4</v>
      </c>
      <c r="D18" s="10">
        <v>11</v>
      </c>
      <c r="E18" s="10">
        <v>14</v>
      </c>
      <c r="F18" s="10">
        <v>8</v>
      </c>
      <c r="G18" s="149">
        <f t="shared" si="0"/>
        <v>7.333333333333333</v>
      </c>
      <c r="I18" s="151" t="s">
        <v>5</v>
      </c>
      <c r="J18" s="150">
        <v>1</v>
      </c>
      <c r="K18" s="10">
        <v>10</v>
      </c>
      <c r="L18" s="10">
        <v>11</v>
      </c>
      <c r="M18" s="10">
        <v>13</v>
      </c>
      <c r="N18" s="149">
        <f t="shared" si="1"/>
        <v>7.5555555555555562</v>
      </c>
    </row>
    <row r="21" spans="2:14" x14ac:dyDescent="0.2">
      <c r="D21">
        <f>AVERAGE(D7:F18,K7:M18)</f>
        <v>10.458333333333334</v>
      </c>
    </row>
    <row r="22" spans="2:14" x14ac:dyDescent="0.2">
      <c r="D22">
        <f>AVERAGE(D7:F18,K7:M18)/(1.5*1.016)</f>
        <v>6.8624234470691166</v>
      </c>
    </row>
  </sheetData>
  <mergeCells count="3">
    <mergeCell ref="B6:C6"/>
    <mergeCell ref="I6:J6"/>
    <mergeCell ref="B4:M4"/>
  </mergeCells>
  <pageMargins left="0.45" right="0.45" top="0.75" bottom="0.75" header="0.3" footer="0.3"/>
  <pageSetup scale="12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5EEF-5D89-47F2-94A8-86A40E6E4236}">
  <dimension ref="A2:G26"/>
  <sheetViews>
    <sheetView workbookViewId="0">
      <selection activeCell="G3" sqref="G3:G26"/>
    </sheetView>
  </sheetViews>
  <sheetFormatPr defaultRowHeight="12.75" x14ac:dyDescent="0.2"/>
  <sheetData>
    <row r="2" spans="1:7" x14ac:dyDescent="0.2">
      <c r="G2" t="s">
        <v>254</v>
      </c>
    </row>
    <row r="3" spans="1:7" x14ac:dyDescent="0.2">
      <c r="A3" t="s">
        <v>0</v>
      </c>
      <c r="B3">
        <v>1</v>
      </c>
      <c r="C3">
        <v>11</v>
      </c>
      <c r="D3">
        <v>13</v>
      </c>
      <c r="E3">
        <v>11</v>
      </c>
      <c r="F3">
        <v>6</v>
      </c>
      <c r="G3">
        <f>SUM(D3:F3)/(1.5*1.016*3)</f>
        <v>6.5616797900262469</v>
      </c>
    </row>
    <row r="4" spans="1:7" x14ac:dyDescent="0.2">
      <c r="A4" t="s">
        <v>0</v>
      </c>
      <c r="B4">
        <v>2</v>
      </c>
      <c r="C4">
        <v>12</v>
      </c>
      <c r="D4">
        <v>13</v>
      </c>
      <c r="E4">
        <v>9</v>
      </c>
      <c r="F4">
        <v>9</v>
      </c>
      <c r="G4">
        <f t="shared" ref="G4:G26" si="0">SUM(D4:F4)/(1.5*1.016*3)</f>
        <v>6.7804024496937885</v>
      </c>
    </row>
    <row r="5" spans="1:7" x14ac:dyDescent="0.2">
      <c r="A5" t="s">
        <v>0</v>
      </c>
      <c r="B5">
        <v>3</v>
      </c>
      <c r="C5">
        <v>13</v>
      </c>
      <c r="D5">
        <v>9</v>
      </c>
      <c r="E5">
        <v>10</v>
      </c>
      <c r="F5">
        <v>11</v>
      </c>
      <c r="G5">
        <f t="shared" si="0"/>
        <v>6.5616797900262469</v>
      </c>
    </row>
    <row r="6" spans="1:7" x14ac:dyDescent="0.2">
      <c r="A6" t="s">
        <v>0</v>
      </c>
      <c r="B6">
        <v>4</v>
      </c>
      <c r="C6">
        <v>14</v>
      </c>
      <c r="D6">
        <v>12</v>
      </c>
      <c r="E6">
        <v>11</v>
      </c>
      <c r="F6">
        <v>10</v>
      </c>
      <c r="G6">
        <f t="shared" si="0"/>
        <v>7.2178477690288716</v>
      </c>
    </row>
    <row r="7" spans="1:7" x14ac:dyDescent="0.2">
      <c r="A7" t="s">
        <v>1</v>
      </c>
      <c r="B7">
        <v>4</v>
      </c>
      <c r="C7">
        <v>24</v>
      </c>
      <c r="D7">
        <v>10</v>
      </c>
      <c r="E7">
        <v>16</v>
      </c>
      <c r="F7">
        <v>10</v>
      </c>
      <c r="G7">
        <f>SUM(D7:F7)/(1.5*1.016*3)</f>
        <v>7.8740157480314963</v>
      </c>
    </row>
    <row r="8" spans="1:7" x14ac:dyDescent="0.2">
      <c r="A8" t="s">
        <v>1</v>
      </c>
      <c r="B8">
        <v>3</v>
      </c>
      <c r="C8">
        <v>23</v>
      </c>
      <c r="D8">
        <v>11</v>
      </c>
      <c r="E8">
        <v>8</v>
      </c>
      <c r="F8">
        <v>9</v>
      </c>
      <c r="G8">
        <f t="shared" si="0"/>
        <v>6.1242344706911638</v>
      </c>
    </row>
    <row r="9" spans="1:7" x14ac:dyDescent="0.2">
      <c r="A9" t="s">
        <v>1</v>
      </c>
      <c r="B9">
        <v>2</v>
      </c>
      <c r="C9">
        <v>22</v>
      </c>
      <c r="D9">
        <v>12</v>
      </c>
      <c r="E9">
        <v>12</v>
      </c>
      <c r="F9">
        <v>15</v>
      </c>
      <c r="G9">
        <f t="shared" si="0"/>
        <v>8.530183727034121</v>
      </c>
    </row>
    <row r="10" spans="1:7" x14ac:dyDescent="0.2">
      <c r="A10" t="s">
        <v>1</v>
      </c>
      <c r="B10">
        <v>1</v>
      </c>
      <c r="C10">
        <v>21</v>
      </c>
      <c r="D10">
        <v>8</v>
      </c>
      <c r="E10">
        <v>14</v>
      </c>
      <c r="F10">
        <v>12</v>
      </c>
      <c r="G10">
        <f t="shared" si="0"/>
        <v>7.4365704286964132</v>
      </c>
    </row>
    <row r="11" spans="1:7" x14ac:dyDescent="0.2">
      <c r="A11" t="s">
        <v>2</v>
      </c>
      <c r="B11">
        <v>1</v>
      </c>
      <c r="C11">
        <v>31</v>
      </c>
      <c r="D11">
        <v>14</v>
      </c>
      <c r="E11">
        <v>16</v>
      </c>
      <c r="F11">
        <v>9</v>
      </c>
      <c r="G11">
        <f>SUM(D11:F11)/(1.5*1.016*3)</f>
        <v>8.530183727034121</v>
      </c>
    </row>
    <row r="12" spans="1:7" x14ac:dyDescent="0.2">
      <c r="A12" t="s">
        <v>2</v>
      </c>
      <c r="B12">
        <v>2</v>
      </c>
      <c r="C12">
        <v>32</v>
      </c>
      <c r="D12">
        <v>11</v>
      </c>
      <c r="E12">
        <v>11</v>
      </c>
      <c r="F12">
        <v>13</v>
      </c>
      <c r="G12">
        <f t="shared" si="0"/>
        <v>7.6552930883639547</v>
      </c>
    </row>
    <row r="13" spans="1:7" x14ac:dyDescent="0.2">
      <c r="A13" t="s">
        <v>2</v>
      </c>
      <c r="B13">
        <v>3</v>
      </c>
      <c r="C13">
        <v>33</v>
      </c>
      <c r="D13">
        <v>8</v>
      </c>
      <c r="E13">
        <v>10</v>
      </c>
      <c r="F13">
        <v>17</v>
      </c>
      <c r="G13">
        <f t="shared" si="0"/>
        <v>7.6552930883639547</v>
      </c>
    </row>
    <row r="14" spans="1:7" x14ac:dyDescent="0.2">
      <c r="A14" t="s">
        <v>2</v>
      </c>
      <c r="B14">
        <v>4</v>
      </c>
      <c r="C14">
        <v>34</v>
      </c>
      <c r="D14">
        <v>11</v>
      </c>
      <c r="E14">
        <v>14</v>
      </c>
      <c r="F14">
        <v>8</v>
      </c>
      <c r="G14">
        <f t="shared" si="0"/>
        <v>7.2178477690288716</v>
      </c>
    </row>
    <row r="15" spans="1:7" x14ac:dyDescent="0.2">
      <c r="A15" t="s">
        <v>3</v>
      </c>
      <c r="B15">
        <v>4</v>
      </c>
      <c r="C15">
        <v>44</v>
      </c>
      <c r="D15">
        <v>12</v>
      </c>
      <c r="E15">
        <v>11</v>
      </c>
      <c r="F15">
        <v>11</v>
      </c>
      <c r="G15">
        <f t="shared" si="0"/>
        <v>7.4365704286964132</v>
      </c>
    </row>
    <row r="16" spans="1:7" x14ac:dyDescent="0.2">
      <c r="A16" t="s">
        <v>3</v>
      </c>
      <c r="B16">
        <v>3</v>
      </c>
      <c r="C16">
        <v>43</v>
      </c>
      <c r="D16">
        <v>15</v>
      </c>
      <c r="E16">
        <v>8</v>
      </c>
      <c r="F16">
        <v>9</v>
      </c>
      <c r="G16">
        <f t="shared" si="0"/>
        <v>6.99912510936133</v>
      </c>
    </row>
    <row r="17" spans="1:7" x14ac:dyDescent="0.2">
      <c r="A17" t="s">
        <v>3</v>
      </c>
      <c r="B17">
        <v>2</v>
      </c>
      <c r="C17">
        <v>42</v>
      </c>
      <c r="D17">
        <v>10</v>
      </c>
      <c r="E17">
        <v>8</v>
      </c>
      <c r="F17">
        <v>7</v>
      </c>
      <c r="G17">
        <f t="shared" si="0"/>
        <v>5.4680664916885391</v>
      </c>
    </row>
    <row r="18" spans="1:7" x14ac:dyDescent="0.2">
      <c r="A18" t="s">
        <v>3</v>
      </c>
      <c r="B18">
        <v>1</v>
      </c>
      <c r="C18">
        <v>41</v>
      </c>
      <c r="D18">
        <v>12</v>
      </c>
      <c r="E18">
        <v>6</v>
      </c>
      <c r="F18">
        <v>8</v>
      </c>
      <c r="G18">
        <f t="shared" si="0"/>
        <v>5.6867891513560807</v>
      </c>
    </row>
    <row r="19" spans="1:7" x14ac:dyDescent="0.2">
      <c r="A19" t="s">
        <v>4</v>
      </c>
      <c r="B19">
        <v>1</v>
      </c>
      <c r="C19">
        <v>51</v>
      </c>
      <c r="D19">
        <v>4</v>
      </c>
      <c r="E19">
        <v>9</v>
      </c>
      <c r="F19">
        <v>6</v>
      </c>
      <c r="G19">
        <f t="shared" si="0"/>
        <v>4.1557305336832897</v>
      </c>
    </row>
    <row r="20" spans="1:7" x14ac:dyDescent="0.2">
      <c r="A20" t="s">
        <v>4</v>
      </c>
      <c r="B20">
        <v>2</v>
      </c>
      <c r="C20">
        <v>52</v>
      </c>
      <c r="D20">
        <v>10</v>
      </c>
      <c r="E20">
        <v>14</v>
      </c>
      <c r="F20">
        <v>9</v>
      </c>
      <c r="G20">
        <f t="shared" si="0"/>
        <v>7.2178477690288716</v>
      </c>
    </row>
    <row r="21" spans="1:7" x14ac:dyDescent="0.2">
      <c r="A21" t="s">
        <v>4</v>
      </c>
      <c r="B21">
        <v>3</v>
      </c>
      <c r="C21">
        <v>53</v>
      </c>
      <c r="D21">
        <v>10</v>
      </c>
      <c r="E21">
        <v>11</v>
      </c>
      <c r="F21">
        <v>11</v>
      </c>
      <c r="G21">
        <f t="shared" si="0"/>
        <v>6.99912510936133</v>
      </c>
    </row>
    <row r="22" spans="1:7" x14ac:dyDescent="0.2">
      <c r="A22" t="s">
        <v>4</v>
      </c>
      <c r="B22">
        <v>4</v>
      </c>
      <c r="C22">
        <v>54</v>
      </c>
      <c r="D22">
        <v>9</v>
      </c>
      <c r="E22">
        <v>10</v>
      </c>
      <c r="F22">
        <v>8</v>
      </c>
      <c r="G22">
        <f>SUM(D22:F22)/(1.5*1.016*3)</f>
        <v>5.9055118110236222</v>
      </c>
    </row>
    <row r="23" spans="1:7" x14ac:dyDescent="0.2">
      <c r="A23" t="s">
        <v>5</v>
      </c>
      <c r="B23">
        <v>4</v>
      </c>
      <c r="C23">
        <v>64</v>
      </c>
      <c r="D23">
        <v>13</v>
      </c>
      <c r="E23">
        <v>11</v>
      </c>
      <c r="F23">
        <v>12</v>
      </c>
      <c r="G23">
        <f t="shared" si="0"/>
        <v>7.8740157480314963</v>
      </c>
    </row>
    <row r="24" spans="1:7" x14ac:dyDescent="0.2">
      <c r="A24" t="s">
        <v>5</v>
      </c>
      <c r="B24">
        <v>3</v>
      </c>
      <c r="C24">
        <v>63</v>
      </c>
      <c r="D24">
        <v>7</v>
      </c>
      <c r="E24">
        <v>9</v>
      </c>
      <c r="F24">
        <v>10</v>
      </c>
      <c r="G24">
        <f t="shared" si="0"/>
        <v>5.6867891513560807</v>
      </c>
    </row>
    <row r="25" spans="1:7" x14ac:dyDescent="0.2">
      <c r="A25" t="s">
        <v>5</v>
      </c>
      <c r="B25">
        <v>2</v>
      </c>
      <c r="C25">
        <v>62</v>
      </c>
      <c r="D25">
        <v>7</v>
      </c>
      <c r="E25">
        <v>10</v>
      </c>
      <c r="F25">
        <v>9</v>
      </c>
      <c r="G25">
        <f t="shared" si="0"/>
        <v>5.6867891513560807</v>
      </c>
    </row>
    <row r="26" spans="1:7" x14ac:dyDescent="0.2">
      <c r="A26" t="s">
        <v>5</v>
      </c>
      <c r="B26">
        <v>1</v>
      </c>
      <c r="C26">
        <v>61</v>
      </c>
      <c r="D26">
        <v>10</v>
      </c>
      <c r="E26">
        <v>11</v>
      </c>
      <c r="F26">
        <v>13</v>
      </c>
      <c r="G26">
        <f t="shared" si="0"/>
        <v>7.4365704286964132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4DF9-0301-4817-8550-9BB5528C95DC}">
  <dimension ref="A1:L61"/>
  <sheetViews>
    <sheetView topLeftCell="A5" zoomScaleNormal="100" workbookViewId="0">
      <selection activeCell="K14" sqref="K14:L61"/>
    </sheetView>
  </sheetViews>
  <sheetFormatPr defaultRowHeight="15" x14ac:dyDescent="0.25"/>
  <cols>
    <col min="1" max="1" width="9.140625" style="68"/>
    <col min="2" max="2" width="4.28515625" style="68" customWidth="1"/>
    <col min="3" max="3" width="6.28515625" style="68" customWidth="1"/>
    <col min="4" max="16384" width="9.140625" style="68"/>
  </cols>
  <sheetData>
    <row r="1" spans="1:12" ht="18.75" x14ac:dyDescent="0.3">
      <c r="B1" s="193" t="s">
        <v>227</v>
      </c>
      <c r="C1" s="106"/>
      <c r="D1" s="105" t="s">
        <v>6</v>
      </c>
      <c r="E1" s="106"/>
      <c r="F1" s="69"/>
    </row>
    <row r="2" spans="1:12" x14ac:dyDescent="0.25">
      <c r="A2" s="69"/>
      <c r="H2" s="69"/>
    </row>
    <row r="3" spans="1:12" x14ac:dyDescent="0.25">
      <c r="A3" s="69"/>
      <c r="B3" s="104" t="s">
        <v>260</v>
      </c>
      <c r="C3" s="104"/>
      <c r="D3" s="104"/>
      <c r="E3" s="104"/>
      <c r="F3" s="104"/>
      <c r="G3" s="104"/>
      <c r="H3" s="69"/>
    </row>
    <row r="4" spans="1:12" x14ac:dyDescent="0.25">
      <c r="A4" s="103" t="s">
        <v>259</v>
      </c>
      <c r="B4" s="104"/>
      <c r="C4" s="104"/>
      <c r="D4" s="104"/>
      <c r="E4" s="104"/>
      <c r="F4" s="104"/>
      <c r="G4" s="104"/>
      <c r="H4" s="69"/>
    </row>
    <row r="5" spans="1:12" x14ac:dyDescent="0.25">
      <c r="A5" s="103"/>
      <c r="B5" s="104"/>
      <c r="C5" s="104"/>
      <c r="D5" s="104"/>
      <c r="E5" s="104"/>
      <c r="F5" s="104"/>
      <c r="G5" s="104"/>
      <c r="H5" s="69"/>
    </row>
    <row r="6" spans="1:12" x14ac:dyDescent="0.25">
      <c r="B6" s="103" t="s">
        <v>258</v>
      </c>
      <c r="C6" s="103"/>
      <c r="D6" s="103"/>
      <c r="E6" s="103"/>
      <c r="F6" s="103"/>
      <c r="G6" s="103"/>
      <c r="H6" s="102"/>
    </row>
    <row r="7" spans="1:12" x14ac:dyDescent="0.25">
      <c r="B7" s="69"/>
      <c r="C7" s="69"/>
      <c r="D7" s="69"/>
      <c r="E7" s="69"/>
      <c r="F7" s="69"/>
      <c r="G7" s="69"/>
      <c r="H7" s="102"/>
    </row>
    <row r="8" spans="1:12" x14ac:dyDescent="0.25">
      <c r="B8" s="69"/>
      <c r="C8" s="69"/>
      <c r="D8" s="69"/>
      <c r="E8" s="69"/>
      <c r="F8" s="69"/>
      <c r="G8" s="69"/>
      <c r="H8" s="69"/>
    </row>
    <row r="9" spans="1:12" x14ac:dyDescent="0.25">
      <c r="B9" s="107"/>
      <c r="C9" s="101" t="s">
        <v>27</v>
      </c>
      <c r="D9" s="192">
        <v>43641</v>
      </c>
      <c r="E9" s="192">
        <v>43642</v>
      </c>
      <c r="F9" s="192">
        <v>43647</v>
      </c>
      <c r="G9" s="192"/>
      <c r="H9" s="99"/>
    </row>
    <row r="10" spans="1:12" x14ac:dyDescent="0.25">
      <c r="B10" s="107"/>
      <c r="C10" s="97" t="s">
        <v>29</v>
      </c>
      <c r="D10" s="191">
        <v>176</v>
      </c>
      <c r="E10" s="191">
        <v>177</v>
      </c>
      <c r="F10" s="191">
        <v>182</v>
      </c>
      <c r="G10" s="191"/>
      <c r="H10" s="96"/>
    </row>
    <row r="11" spans="1:12" x14ac:dyDescent="0.25">
      <c r="A11" s="91"/>
      <c r="B11" s="144"/>
      <c r="C11" s="94" t="s">
        <v>13</v>
      </c>
      <c r="D11" s="93" t="s">
        <v>40</v>
      </c>
      <c r="E11" s="93" t="s">
        <v>40</v>
      </c>
      <c r="F11" s="93" t="s">
        <v>40</v>
      </c>
      <c r="G11" s="93"/>
      <c r="H11" s="93"/>
    </row>
    <row r="12" spans="1:12" x14ac:dyDescent="0.25">
      <c r="A12" s="91"/>
      <c r="B12" s="144"/>
      <c r="C12" s="144"/>
      <c r="D12" s="190"/>
      <c r="E12" s="190"/>
      <c r="F12" s="190"/>
      <c r="G12" s="190"/>
      <c r="H12" s="190"/>
    </row>
    <row r="13" spans="1:12" ht="37.15" customHeight="1" x14ac:dyDescent="0.25">
      <c r="A13" s="219" t="s">
        <v>257</v>
      </c>
      <c r="B13" s="220"/>
      <c r="C13" s="69"/>
      <c r="D13" s="189" t="s">
        <v>256</v>
      </c>
      <c r="E13" s="189" t="s">
        <v>256</v>
      </c>
      <c r="F13" s="189" t="s">
        <v>256</v>
      </c>
      <c r="G13" s="189" t="s">
        <v>256</v>
      </c>
      <c r="H13" s="189" t="s">
        <v>256</v>
      </c>
      <c r="K13" s="68" t="s">
        <v>217</v>
      </c>
    </row>
    <row r="14" spans="1:12" x14ac:dyDescent="0.25">
      <c r="A14" s="177" t="s">
        <v>0</v>
      </c>
      <c r="B14" s="176">
        <v>1</v>
      </c>
      <c r="C14" s="184" t="s">
        <v>10</v>
      </c>
      <c r="D14" s="187">
        <v>0</v>
      </c>
      <c r="E14" s="71">
        <v>0</v>
      </c>
      <c r="F14" s="71">
        <v>1</v>
      </c>
      <c r="G14" s="71"/>
      <c r="H14" s="71"/>
      <c r="J14" s="68">
        <v>5</v>
      </c>
      <c r="K14" s="170"/>
      <c r="L14" s="68" t="s">
        <v>88</v>
      </c>
    </row>
    <row r="15" spans="1:12" x14ac:dyDescent="0.25">
      <c r="A15" s="177"/>
      <c r="B15" s="176"/>
      <c r="C15" s="184" t="s">
        <v>11</v>
      </c>
      <c r="D15" s="187">
        <v>0</v>
      </c>
      <c r="E15" s="71">
        <v>0</v>
      </c>
      <c r="F15" s="71">
        <v>0</v>
      </c>
      <c r="G15" s="71"/>
      <c r="H15" s="71"/>
      <c r="J15" s="68">
        <v>5</v>
      </c>
      <c r="K15" s="170"/>
      <c r="L15" s="68" t="s">
        <v>89</v>
      </c>
    </row>
    <row r="16" spans="1:12" x14ac:dyDescent="0.25">
      <c r="A16" s="177" t="s">
        <v>0</v>
      </c>
      <c r="B16" s="176">
        <v>2</v>
      </c>
      <c r="C16" s="184" t="s">
        <v>10</v>
      </c>
      <c r="D16" s="187">
        <v>2</v>
      </c>
      <c r="E16" s="71">
        <v>3</v>
      </c>
      <c r="F16" s="71">
        <v>6</v>
      </c>
      <c r="G16" s="71"/>
      <c r="H16" s="71"/>
      <c r="J16" s="68">
        <v>5</v>
      </c>
      <c r="K16" s="170">
        <f t="shared" ref="K16:K61" si="0">E$10+(J16-E16)/(F16-E16)*(F$10-E$10)</f>
        <v>180.33333333333334</v>
      </c>
      <c r="L16" s="68" t="s">
        <v>90</v>
      </c>
    </row>
    <row r="17" spans="1:12" x14ac:dyDescent="0.25">
      <c r="A17" s="177"/>
      <c r="B17" s="176"/>
      <c r="C17" s="184" t="s">
        <v>11</v>
      </c>
      <c r="D17" s="187">
        <v>1</v>
      </c>
      <c r="E17" s="71">
        <v>1</v>
      </c>
      <c r="F17" s="71">
        <v>5</v>
      </c>
      <c r="G17" s="71"/>
      <c r="H17" s="71"/>
      <c r="J17" s="68">
        <v>5</v>
      </c>
      <c r="K17" s="170">
        <f t="shared" si="0"/>
        <v>182</v>
      </c>
      <c r="L17" s="68" t="s">
        <v>91</v>
      </c>
    </row>
    <row r="18" spans="1:12" x14ac:dyDescent="0.25">
      <c r="A18" s="177" t="s">
        <v>0</v>
      </c>
      <c r="B18" s="176">
        <v>3</v>
      </c>
      <c r="C18" s="184" t="s">
        <v>10</v>
      </c>
      <c r="D18" s="187">
        <v>2</v>
      </c>
      <c r="E18" s="71">
        <v>3</v>
      </c>
      <c r="F18" s="71">
        <v>6</v>
      </c>
      <c r="G18" s="71"/>
      <c r="H18" s="71"/>
      <c r="J18" s="68">
        <v>5</v>
      </c>
      <c r="K18" s="170">
        <f t="shared" si="0"/>
        <v>180.33333333333334</v>
      </c>
      <c r="L18" s="68" t="s">
        <v>92</v>
      </c>
    </row>
    <row r="19" spans="1:12" x14ac:dyDescent="0.25">
      <c r="A19" s="177"/>
      <c r="B19" s="176"/>
      <c r="C19" s="184" t="s">
        <v>11</v>
      </c>
      <c r="D19" s="187">
        <v>0</v>
      </c>
      <c r="E19" s="71">
        <v>1</v>
      </c>
      <c r="F19" s="71">
        <v>6</v>
      </c>
      <c r="G19" s="71"/>
      <c r="H19" s="71"/>
      <c r="J19" s="68">
        <v>5</v>
      </c>
      <c r="K19" s="170">
        <f t="shared" si="0"/>
        <v>181</v>
      </c>
      <c r="L19" s="68" t="s">
        <v>93</v>
      </c>
    </row>
    <row r="20" spans="1:12" x14ac:dyDescent="0.25">
      <c r="A20" s="177" t="s">
        <v>0</v>
      </c>
      <c r="B20" s="176">
        <v>4</v>
      </c>
      <c r="C20" s="184" t="s">
        <v>10</v>
      </c>
      <c r="D20" s="187">
        <v>0</v>
      </c>
      <c r="E20" s="71">
        <v>1</v>
      </c>
      <c r="F20" s="71">
        <v>6</v>
      </c>
      <c r="G20" s="71"/>
      <c r="H20" s="71"/>
      <c r="J20" s="68">
        <v>5</v>
      </c>
      <c r="K20" s="170">
        <f t="shared" si="0"/>
        <v>181</v>
      </c>
      <c r="L20" s="68" t="s">
        <v>94</v>
      </c>
    </row>
    <row r="21" spans="1:12" ht="15.75" thickBot="1" x14ac:dyDescent="0.3">
      <c r="A21" s="183"/>
      <c r="B21" s="182"/>
      <c r="C21" s="181" t="s">
        <v>11</v>
      </c>
      <c r="D21" s="186">
        <v>0</v>
      </c>
      <c r="E21" s="80">
        <v>2</v>
      </c>
      <c r="F21" s="80">
        <v>7</v>
      </c>
      <c r="G21" s="80"/>
      <c r="H21" s="80"/>
      <c r="J21" s="68">
        <v>5</v>
      </c>
      <c r="K21" s="170">
        <f t="shared" si="0"/>
        <v>180</v>
      </c>
      <c r="L21" s="68" t="s">
        <v>95</v>
      </c>
    </row>
    <row r="22" spans="1:12" x14ac:dyDescent="0.25">
      <c r="A22" s="180" t="s">
        <v>1</v>
      </c>
      <c r="B22" s="179">
        <v>4</v>
      </c>
      <c r="C22" s="178" t="s">
        <v>255</v>
      </c>
      <c r="D22" s="188">
        <v>1</v>
      </c>
      <c r="E22" s="115">
        <v>2</v>
      </c>
      <c r="F22" s="115">
        <v>7</v>
      </c>
      <c r="G22" s="115"/>
      <c r="H22" s="115"/>
      <c r="J22" s="68">
        <v>5</v>
      </c>
      <c r="K22" s="170">
        <f t="shared" si="0"/>
        <v>180</v>
      </c>
      <c r="L22" s="68" t="s">
        <v>103</v>
      </c>
    </row>
    <row r="23" spans="1:12" x14ac:dyDescent="0.25">
      <c r="A23" s="177"/>
      <c r="B23" s="176"/>
      <c r="C23" s="175" t="s">
        <v>10</v>
      </c>
      <c r="D23" s="187">
        <v>2</v>
      </c>
      <c r="E23" s="71">
        <v>4</v>
      </c>
      <c r="F23" s="71">
        <v>8</v>
      </c>
      <c r="G23" s="71"/>
      <c r="H23" s="71"/>
      <c r="J23" s="68">
        <v>5</v>
      </c>
      <c r="K23" s="170">
        <f t="shared" si="0"/>
        <v>178.25</v>
      </c>
      <c r="L23" s="68" t="s">
        <v>102</v>
      </c>
    </row>
    <row r="24" spans="1:12" x14ac:dyDescent="0.25">
      <c r="A24" s="177" t="s">
        <v>1</v>
      </c>
      <c r="B24" s="176">
        <v>3</v>
      </c>
      <c r="C24" s="175" t="s">
        <v>255</v>
      </c>
      <c r="D24" s="187">
        <v>2</v>
      </c>
      <c r="E24" s="71">
        <v>3</v>
      </c>
      <c r="F24" s="71">
        <v>7</v>
      </c>
      <c r="G24" s="71"/>
      <c r="H24" s="71"/>
      <c r="J24" s="68">
        <v>5</v>
      </c>
      <c r="K24" s="170">
        <f t="shared" si="0"/>
        <v>179.5</v>
      </c>
      <c r="L24" s="68" t="s">
        <v>101</v>
      </c>
    </row>
    <row r="25" spans="1:12" x14ac:dyDescent="0.25">
      <c r="A25" s="177"/>
      <c r="B25" s="176"/>
      <c r="C25" s="175" t="s">
        <v>10</v>
      </c>
      <c r="D25" s="187">
        <v>0</v>
      </c>
      <c r="E25" s="71">
        <v>2</v>
      </c>
      <c r="F25" s="71">
        <v>8</v>
      </c>
      <c r="G25" s="71"/>
      <c r="H25" s="71"/>
      <c r="J25" s="68">
        <v>5</v>
      </c>
      <c r="K25" s="170">
        <f t="shared" si="0"/>
        <v>179.5</v>
      </c>
      <c r="L25" s="68" t="s">
        <v>100</v>
      </c>
    </row>
    <row r="26" spans="1:12" x14ac:dyDescent="0.25">
      <c r="A26" s="177" t="s">
        <v>1</v>
      </c>
      <c r="B26" s="176">
        <v>2</v>
      </c>
      <c r="C26" s="175" t="s">
        <v>255</v>
      </c>
      <c r="D26" s="187">
        <v>0</v>
      </c>
      <c r="E26" s="71">
        <v>3</v>
      </c>
      <c r="F26" s="71">
        <v>9</v>
      </c>
      <c r="G26" s="71"/>
      <c r="H26" s="71"/>
      <c r="J26" s="68">
        <v>5</v>
      </c>
      <c r="K26" s="170">
        <f t="shared" si="0"/>
        <v>178.66666666666666</v>
      </c>
      <c r="L26" s="68" t="s">
        <v>99</v>
      </c>
    </row>
    <row r="27" spans="1:12" x14ac:dyDescent="0.25">
      <c r="A27" s="177"/>
      <c r="B27" s="176"/>
      <c r="C27" s="175" t="s">
        <v>10</v>
      </c>
      <c r="D27" s="187">
        <v>1</v>
      </c>
      <c r="E27" s="71">
        <v>4</v>
      </c>
      <c r="F27" s="71">
        <v>7</v>
      </c>
      <c r="G27" s="71"/>
      <c r="H27" s="71"/>
      <c r="J27" s="68">
        <v>5</v>
      </c>
      <c r="K27" s="170">
        <f t="shared" si="0"/>
        <v>178.66666666666666</v>
      </c>
      <c r="L27" s="68" t="s">
        <v>98</v>
      </c>
    </row>
    <row r="28" spans="1:12" x14ac:dyDescent="0.25">
      <c r="A28" s="177" t="s">
        <v>1</v>
      </c>
      <c r="B28" s="176">
        <v>1</v>
      </c>
      <c r="C28" s="175" t="s">
        <v>255</v>
      </c>
      <c r="D28" s="187">
        <v>0</v>
      </c>
      <c r="E28" s="71">
        <v>3</v>
      </c>
      <c r="F28" s="71">
        <v>5</v>
      </c>
      <c r="G28" s="71"/>
      <c r="H28" s="71"/>
      <c r="J28" s="68">
        <v>5</v>
      </c>
      <c r="K28" s="170">
        <f t="shared" si="0"/>
        <v>182</v>
      </c>
      <c r="L28" s="68" t="s">
        <v>97</v>
      </c>
    </row>
    <row r="29" spans="1:12" ht="15.75" thickBot="1" x14ac:dyDescent="0.3">
      <c r="A29" s="183"/>
      <c r="B29" s="182"/>
      <c r="C29" s="172" t="s">
        <v>10</v>
      </c>
      <c r="D29" s="186">
        <v>1</v>
      </c>
      <c r="E29" s="80">
        <v>2</v>
      </c>
      <c r="F29" s="80">
        <v>6</v>
      </c>
      <c r="G29" s="80"/>
      <c r="H29" s="80"/>
      <c r="J29" s="68">
        <v>5</v>
      </c>
      <c r="K29" s="170">
        <f t="shared" si="0"/>
        <v>180.75</v>
      </c>
      <c r="L29" s="68" t="s">
        <v>96</v>
      </c>
    </row>
    <row r="30" spans="1:12" x14ac:dyDescent="0.25">
      <c r="A30" s="180" t="s">
        <v>2</v>
      </c>
      <c r="B30" s="179">
        <v>1</v>
      </c>
      <c r="C30" s="185" t="s">
        <v>10</v>
      </c>
      <c r="D30" s="188">
        <v>0</v>
      </c>
      <c r="E30" s="115">
        <v>1</v>
      </c>
      <c r="F30" s="115">
        <v>7</v>
      </c>
      <c r="G30" s="115"/>
      <c r="H30" s="115"/>
      <c r="J30" s="68">
        <v>5</v>
      </c>
      <c r="K30" s="170">
        <f t="shared" si="0"/>
        <v>180.33333333333334</v>
      </c>
      <c r="L30" s="68" t="s">
        <v>104</v>
      </c>
    </row>
    <row r="31" spans="1:12" x14ac:dyDescent="0.25">
      <c r="A31" s="177"/>
      <c r="B31" s="176"/>
      <c r="C31" s="184" t="s">
        <v>11</v>
      </c>
      <c r="D31" s="187">
        <v>0</v>
      </c>
      <c r="E31" s="71">
        <v>2</v>
      </c>
      <c r="F31" s="71">
        <v>6</v>
      </c>
      <c r="G31" s="71"/>
      <c r="H31" s="71"/>
      <c r="J31" s="68">
        <v>5</v>
      </c>
      <c r="K31" s="170">
        <f t="shared" si="0"/>
        <v>180.75</v>
      </c>
      <c r="L31" s="68" t="s">
        <v>105</v>
      </c>
    </row>
    <row r="32" spans="1:12" x14ac:dyDescent="0.25">
      <c r="A32" s="177" t="s">
        <v>2</v>
      </c>
      <c r="B32" s="176">
        <v>2</v>
      </c>
      <c r="C32" s="184" t="s">
        <v>10</v>
      </c>
      <c r="D32" s="187">
        <v>1</v>
      </c>
      <c r="E32" s="71">
        <v>2</v>
      </c>
      <c r="F32" s="71">
        <v>5</v>
      </c>
      <c r="G32" s="71"/>
      <c r="H32" s="71"/>
      <c r="J32" s="68">
        <v>5</v>
      </c>
      <c r="K32" s="170">
        <f t="shared" si="0"/>
        <v>182</v>
      </c>
      <c r="L32" s="68" t="s">
        <v>106</v>
      </c>
    </row>
    <row r="33" spans="1:12" x14ac:dyDescent="0.25">
      <c r="A33" s="177"/>
      <c r="B33" s="176"/>
      <c r="C33" s="184" t="s">
        <v>11</v>
      </c>
      <c r="D33" s="187">
        <v>0</v>
      </c>
      <c r="E33" s="71">
        <v>0</v>
      </c>
      <c r="F33" s="71">
        <v>6</v>
      </c>
      <c r="G33" s="71"/>
      <c r="H33" s="71"/>
      <c r="J33" s="68">
        <v>5</v>
      </c>
      <c r="K33" s="170">
        <f t="shared" si="0"/>
        <v>181.16666666666666</v>
      </c>
      <c r="L33" s="68" t="s">
        <v>107</v>
      </c>
    </row>
    <row r="34" spans="1:12" x14ac:dyDescent="0.25">
      <c r="A34" s="177" t="s">
        <v>2</v>
      </c>
      <c r="B34" s="176">
        <v>3</v>
      </c>
      <c r="C34" s="184" t="s">
        <v>10</v>
      </c>
      <c r="D34" s="187">
        <v>1</v>
      </c>
      <c r="E34" s="71">
        <v>2</v>
      </c>
      <c r="F34" s="71">
        <v>7</v>
      </c>
      <c r="G34" s="71"/>
      <c r="H34" s="71"/>
      <c r="J34" s="68">
        <v>5</v>
      </c>
      <c r="K34" s="170">
        <f t="shared" si="0"/>
        <v>180</v>
      </c>
      <c r="L34" s="68" t="s">
        <v>108</v>
      </c>
    </row>
    <row r="35" spans="1:12" x14ac:dyDescent="0.25">
      <c r="A35" s="177"/>
      <c r="B35" s="176"/>
      <c r="C35" s="184" t="s">
        <v>11</v>
      </c>
      <c r="D35" s="187">
        <v>2</v>
      </c>
      <c r="E35" s="71">
        <v>4</v>
      </c>
      <c r="F35" s="71">
        <v>8</v>
      </c>
      <c r="G35" s="71"/>
      <c r="H35" s="71"/>
      <c r="J35" s="68">
        <v>5</v>
      </c>
      <c r="K35" s="170">
        <f t="shared" si="0"/>
        <v>178.25</v>
      </c>
      <c r="L35" s="68" t="s">
        <v>109</v>
      </c>
    </row>
    <row r="36" spans="1:12" x14ac:dyDescent="0.25">
      <c r="A36" s="177" t="s">
        <v>2</v>
      </c>
      <c r="B36" s="176">
        <v>4</v>
      </c>
      <c r="C36" s="184" t="s">
        <v>10</v>
      </c>
      <c r="D36" s="187">
        <v>1</v>
      </c>
      <c r="E36" s="71">
        <v>2</v>
      </c>
      <c r="F36" s="71">
        <v>9</v>
      </c>
      <c r="G36" s="71"/>
      <c r="H36" s="71"/>
      <c r="J36" s="68">
        <v>5</v>
      </c>
      <c r="K36" s="170">
        <f t="shared" si="0"/>
        <v>179.14285714285714</v>
      </c>
      <c r="L36" s="68" t="s">
        <v>110</v>
      </c>
    </row>
    <row r="37" spans="1:12" ht="15.75" thickBot="1" x14ac:dyDescent="0.3">
      <c r="A37" s="183"/>
      <c r="B37" s="182"/>
      <c r="C37" s="181" t="s">
        <v>11</v>
      </c>
      <c r="D37" s="186">
        <v>2</v>
      </c>
      <c r="E37" s="80">
        <v>2</v>
      </c>
      <c r="F37" s="80">
        <v>7</v>
      </c>
      <c r="G37" s="80"/>
      <c r="H37" s="80"/>
      <c r="J37" s="68">
        <v>5</v>
      </c>
      <c r="K37" s="170">
        <f t="shared" si="0"/>
        <v>180</v>
      </c>
      <c r="L37" s="68" t="s">
        <v>111</v>
      </c>
    </row>
    <row r="38" spans="1:12" x14ac:dyDescent="0.25">
      <c r="A38" s="180" t="s">
        <v>3</v>
      </c>
      <c r="B38" s="179">
        <v>4</v>
      </c>
      <c r="C38" s="178" t="s">
        <v>255</v>
      </c>
      <c r="D38" s="188">
        <v>3</v>
      </c>
      <c r="E38" s="115">
        <v>4</v>
      </c>
      <c r="F38" s="115">
        <v>9</v>
      </c>
      <c r="G38" s="115"/>
      <c r="H38" s="115"/>
      <c r="J38" s="68">
        <v>5</v>
      </c>
      <c r="K38" s="170">
        <f t="shared" si="0"/>
        <v>178</v>
      </c>
      <c r="L38" s="68" t="s">
        <v>119</v>
      </c>
    </row>
    <row r="39" spans="1:12" x14ac:dyDescent="0.25">
      <c r="A39" s="177"/>
      <c r="B39" s="176"/>
      <c r="C39" s="175" t="s">
        <v>10</v>
      </c>
      <c r="D39" s="187">
        <v>2</v>
      </c>
      <c r="E39" s="71">
        <v>4</v>
      </c>
      <c r="F39" s="71">
        <v>7</v>
      </c>
      <c r="G39" s="71"/>
      <c r="H39" s="71"/>
      <c r="J39" s="68">
        <v>5</v>
      </c>
      <c r="K39" s="170">
        <f t="shared" si="0"/>
        <v>178.66666666666666</v>
      </c>
      <c r="L39" s="68" t="s">
        <v>118</v>
      </c>
    </row>
    <row r="40" spans="1:12" x14ac:dyDescent="0.25">
      <c r="A40" s="177" t="s">
        <v>3</v>
      </c>
      <c r="B40" s="176">
        <v>3</v>
      </c>
      <c r="C40" s="175" t="s">
        <v>255</v>
      </c>
      <c r="D40" s="187">
        <v>1</v>
      </c>
      <c r="E40" s="71">
        <v>4</v>
      </c>
      <c r="F40" s="71">
        <v>10</v>
      </c>
      <c r="G40" s="71"/>
      <c r="H40" s="71"/>
      <c r="J40" s="68">
        <v>5</v>
      </c>
      <c r="K40" s="170">
        <f t="shared" si="0"/>
        <v>177.83333333333334</v>
      </c>
      <c r="L40" s="68" t="s">
        <v>117</v>
      </c>
    </row>
    <row r="41" spans="1:12" x14ac:dyDescent="0.25">
      <c r="A41" s="177"/>
      <c r="B41" s="176"/>
      <c r="C41" s="175" t="s">
        <v>10</v>
      </c>
      <c r="D41" s="187">
        <v>1</v>
      </c>
      <c r="E41" s="71">
        <v>2</v>
      </c>
      <c r="F41" s="71">
        <v>8</v>
      </c>
      <c r="G41" s="71"/>
      <c r="H41" s="71"/>
      <c r="J41" s="68">
        <v>5</v>
      </c>
      <c r="K41" s="170">
        <f t="shared" si="0"/>
        <v>179.5</v>
      </c>
      <c r="L41" s="68" t="s">
        <v>116</v>
      </c>
    </row>
    <row r="42" spans="1:12" x14ac:dyDescent="0.25">
      <c r="A42" s="177" t="s">
        <v>3</v>
      </c>
      <c r="B42" s="176">
        <v>2</v>
      </c>
      <c r="C42" s="175" t="s">
        <v>255</v>
      </c>
      <c r="D42" s="187">
        <v>0</v>
      </c>
      <c r="E42" s="71">
        <v>2</v>
      </c>
      <c r="F42" s="71">
        <v>6</v>
      </c>
      <c r="G42" s="71"/>
      <c r="H42" s="71"/>
      <c r="J42" s="68">
        <v>5</v>
      </c>
      <c r="K42" s="170">
        <f t="shared" si="0"/>
        <v>180.75</v>
      </c>
      <c r="L42" s="68" t="s">
        <v>115</v>
      </c>
    </row>
    <row r="43" spans="1:12" x14ac:dyDescent="0.25">
      <c r="A43" s="177"/>
      <c r="B43" s="176"/>
      <c r="C43" s="175" t="s">
        <v>10</v>
      </c>
      <c r="D43" s="187">
        <v>0</v>
      </c>
      <c r="E43" s="71">
        <v>1</v>
      </c>
      <c r="F43" s="71">
        <v>7</v>
      </c>
      <c r="G43" s="71"/>
      <c r="H43" s="71"/>
      <c r="J43" s="68">
        <v>5</v>
      </c>
      <c r="K43" s="170">
        <f t="shared" si="0"/>
        <v>180.33333333333334</v>
      </c>
      <c r="L43" s="68" t="s">
        <v>114</v>
      </c>
    </row>
    <row r="44" spans="1:12" x14ac:dyDescent="0.25">
      <c r="A44" s="177" t="s">
        <v>3</v>
      </c>
      <c r="B44" s="176">
        <v>1</v>
      </c>
      <c r="C44" s="175" t="s">
        <v>255</v>
      </c>
      <c r="D44" s="187">
        <v>0</v>
      </c>
      <c r="E44" s="71">
        <v>3</v>
      </c>
      <c r="F44" s="71">
        <v>6</v>
      </c>
      <c r="G44" s="71"/>
      <c r="H44" s="71"/>
      <c r="J44" s="68">
        <v>5</v>
      </c>
      <c r="K44" s="170">
        <f t="shared" si="0"/>
        <v>180.33333333333334</v>
      </c>
      <c r="L44" s="68" t="s">
        <v>113</v>
      </c>
    </row>
    <row r="45" spans="1:12" ht="15.75" thickBot="1" x14ac:dyDescent="0.3">
      <c r="A45" s="183"/>
      <c r="B45" s="182"/>
      <c r="C45" s="172" t="s">
        <v>10</v>
      </c>
      <c r="D45" s="186">
        <v>0</v>
      </c>
      <c r="E45" s="80">
        <v>1</v>
      </c>
      <c r="F45" s="80">
        <v>7</v>
      </c>
      <c r="G45" s="80"/>
      <c r="H45" s="80"/>
      <c r="J45" s="68">
        <v>5</v>
      </c>
      <c r="K45" s="170">
        <f t="shared" si="0"/>
        <v>180.33333333333334</v>
      </c>
      <c r="L45" s="68" t="s">
        <v>112</v>
      </c>
    </row>
    <row r="46" spans="1:12" x14ac:dyDescent="0.25">
      <c r="A46" s="180" t="s">
        <v>4</v>
      </c>
      <c r="B46" s="179">
        <v>1</v>
      </c>
      <c r="C46" s="185" t="s">
        <v>10</v>
      </c>
      <c r="D46" s="115">
        <v>1</v>
      </c>
      <c r="E46" s="115">
        <v>2</v>
      </c>
      <c r="F46" s="115">
        <v>8</v>
      </c>
      <c r="G46" s="115"/>
      <c r="H46" s="115"/>
      <c r="J46" s="68">
        <v>5</v>
      </c>
      <c r="K46" s="170">
        <f t="shared" si="0"/>
        <v>179.5</v>
      </c>
      <c r="L46" s="68" t="s">
        <v>120</v>
      </c>
    </row>
    <row r="47" spans="1:12" x14ac:dyDescent="0.25">
      <c r="A47" s="177"/>
      <c r="B47" s="176"/>
      <c r="C47" s="184" t="s">
        <v>11</v>
      </c>
      <c r="D47" s="71">
        <v>0</v>
      </c>
      <c r="E47" s="71">
        <v>3</v>
      </c>
      <c r="F47" s="71">
        <v>9</v>
      </c>
      <c r="G47" s="71"/>
      <c r="H47" s="71"/>
      <c r="J47" s="68">
        <v>5</v>
      </c>
      <c r="K47" s="170">
        <f t="shared" si="0"/>
        <v>178.66666666666666</v>
      </c>
      <c r="L47" s="68" t="s">
        <v>121</v>
      </c>
    </row>
    <row r="48" spans="1:12" x14ac:dyDescent="0.25">
      <c r="A48" s="177" t="s">
        <v>4</v>
      </c>
      <c r="B48" s="176">
        <v>2</v>
      </c>
      <c r="C48" s="184" t="s">
        <v>10</v>
      </c>
      <c r="D48" s="71">
        <v>0</v>
      </c>
      <c r="E48" s="71">
        <v>1</v>
      </c>
      <c r="F48" s="71">
        <v>7</v>
      </c>
      <c r="G48" s="71"/>
      <c r="H48" s="71"/>
      <c r="J48" s="68">
        <v>5</v>
      </c>
      <c r="K48" s="170">
        <f t="shared" si="0"/>
        <v>180.33333333333334</v>
      </c>
      <c r="L48" s="68" t="s">
        <v>122</v>
      </c>
    </row>
    <row r="49" spans="1:12" x14ac:dyDescent="0.25">
      <c r="A49" s="177"/>
      <c r="B49" s="176"/>
      <c r="C49" s="184" t="s">
        <v>11</v>
      </c>
      <c r="D49" s="71">
        <v>1</v>
      </c>
      <c r="E49" s="71">
        <v>2</v>
      </c>
      <c r="F49" s="71">
        <v>7</v>
      </c>
      <c r="G49" s="71"/>
      <c r="H49" s="71"/>
      <c r="J49" s="68">
        <v>5</v>
      </c>
      <c r="K49" s="170">
        <f t="shared" si="0"/>
        <v>180</v>
      </c>
      <c r="L49" s="68" t="s">
        <v>123</v>
      </c>
    </row>
    <row r="50" spans="1:12" x14ac:dyDescent="0.25">
      <c r="A50" s="177" t="s">
        <v>4</v>
      </c>
      <c r="B50" s="176">
        <v>3</v>
      </c>
      <c r="C50" s="184" t="s">
        <v>10</v>
      </c>
      <c r="D50" s="71">
        <v>3</v>
      </c>
      <c r="E50" s="71">
        <v>4</v>
      </c>
      <c r="F50" s="71">
        <v>9</v>
      </c>
      <c r="G50" s="71"/>
      <c r="H50" s="71"/>
      <c r="J50" s="68">
        <v>5</v>
      </c>
      <c r="K50" s="170">
        <f t="shared" si="0"/>
        <v>178</v>
      </c>
      <c r="L50" s="68" t="s">
        <v>124</v>
      </c>
    </row>
    <row r="51" spans="1:12" x14ac:dyDescent="0.25">
      <c r="A51" s="177"/>
      <c r="B51" s="176"/>
      <c r="C51" s="184" t="s">
        <v>11</v>
      </c>
      <c r="D51" s="71">
        <v>3</v>
      </c>
      <c r="E51" s="71">
        <v>3</v>
      </c>
      <c r="F51" s="71">
        <v>8</v>
      </c>
      <c r="G51" s="71"/>
      <c r="H51" s="71"/>
      <c r="J51" s="68">
        <v>5</v>
      </c>
      <c r="K51" s="170">
        <f t="shared" si="0"/>
        <v>179</v>
      </c>
      <c r="L51" s="68" t="s">
        <v>125</v>
      </c>
    </row>
    <row r="52" spans="1:12" x14ac:dyDescent="0.25">
      <c r="A52" s="177" t="s">
        <v>4</v>
      </c>
      <c r="B52" s="176">
        <v>4</v>
      </c>
      <c r="C52" s="184" t="s">
        <v>10</v>
      </c>
      <c r="D52" s="71">
        <v>1</v>
      </c>
      <c r="E52" s="71">
        <v>2</v>
      </c>
      <c r="F52" s="71">
        <v>9</v>
      </c>
      <c r="G52" s="71"/>
      <c r="H52" s="71"/>
      <c r="J52" s="68">
        <v>5</v>
      </c>
      <c r="K52" s="170">
        <f t="shared" si="0"/>
        <v>179.14285714285714</v>
      </c>
      <c r="L52" s="68" t="s">
        <v>126</v>
      </c>
    </row>
    <row r="53" spans="1:12" ht="15.75" thickBot="1" x14ac:dyDescent="0.3">
      <c r="A53" s="183"/>
      <c r="B53" s="182"/>
      <c r="C53" s="181" t="s">
        <v>11</v>
      </c>
      <c r="D53" s="80">
        <v>1</v>
      </c>
      <c r="E53" s="80">
        <v>3</v>
      </c>
      <c r="F53" s="80">
        <v>9</v>
      </c>
      <c r="G53" s="80"/>
      <c r="H53" s="80"/>
      <c r="J53" s="68">
        <v>5</v>
      </c>
      <c r="K53" s="170">
        <f t="shared" si="0"/>
        <v>178.66666666666666</v>
      </c>
      <c r="L53" s="68" t="s">
        <v>127</v>
      </c>
    </row>
    <row r="54" spans="1:12" x14ac:dyDescent="0.25">
      <c r="A54" s="180" t="s">
        <v>5</v>
      </c>
      <c r="B54" s="179">
        <v>4</v>
      </c>
      <c r="C54" s="178" t="s">
        <v>255</v>
      </c>
      <c r="D54" s="115">
        <v>0</v>
      </c>
      <c r="E54" s="115">
        <v>2</v>
      </c>
      <c r="F54" s="115">
        <v>6</v>
      </c>
      <c r="G54" s="115"/>
      <c r="H54" s="115"/>
      <c r="J54" s="68">
        <v>5</v>
      </c>
      <c r="K54" s="170">
        <f t="shared" si="0"/>
        <v>180.75</v>
      </c>
      <c r="L54" s="68" t="s">
        <v>135</v>
      </c>
    </row>
    <row r="55" spans="1:12" x14ac:dyDescent="0.25">
      <c r="A55" s="177"/>
      <c r="B55" s="176"/>
      <c r="C55" s="175" t="s">
        <v>10</v>
      </c>
      <c r="D55" s="71">
        <v>1</v>
      </c>
      <c r="E55" s="71">
        <v>5</v>
      </c>
      <c r="F55" s="71">
        <v>8</v>
      </c>
      <c r="G55" s="71"/>
      <c r="H55" s="71"/>
      <c r="J55" s="68">
        <v>5</v>
      </c>
      <c r="K55" s="170">
        <f t="shared" si="0"/>
        <v>177</v>
      </c>
      <c r="L55" s="68" t="s">
        <v>134</v>
      </c>
    </row>
    <row r="56" spans="1:12" x14ac:dyDescent="0.25">
      <c r="A56" s="177" t="s">
        <v>5</v>
      </c>
      <c r="B56" s="176">
        <v>3</v>
      </c>
      <c r="C56" s="175" t="s">
        <v>255</v>
      </c>
      <c r="D56" s="71">
        <v>2</v>
      </c>
      <c r="E56" s="71">
        <v>4</v>
      </c>
      <c r="F56" s="71">
        <v>10</v>
      </c>
      <c r="G56" s="71"/>
      <c r="H56" s="71"/>
      <c r="J56" s="68">
        <v>5</v>
      </c>
      <c r="K56" s="170">
        <f t="shared" si="0"/>
        <v>177.83333333333334</v>
      </c>
      <c r="L56" s="68" t="s">
        <v>133</v>
      </c>
    </row>
    <row r="57" spans="1:12" x14ac:dyDescent="0.25">
      <c r="A57" s="177"/>
      <c r="B57" s="176"/>
      <c r="C57" s="175" t="s">
        <v>10</v>
      </c>
      <c r="D57" s="71">
        <v>1</v>
      </c>
      <c r="E57" s="71">
        <v>4</v>
      </c>
      <c r="F57" s="71">
        <v>9</v>
      </c>
      <c r="G57" s="71"/>
      <c r="H57" s="71"/>
      <c r="J57" s="68">
        <v>5</v>
      </c>
      <c r="K57" s="170">
        <f t="shared" si="0"/>
        <v>178</v>
      </c>
      <c r="L57" s="68" t="s">
        <v>132</v>
      </c>
    </row>
    <row r="58" spans="1:12" x14ac:dyDescent="0.25">
      <c r="A58" s="177" t="s">
        <v>5</v>
      </c>
      <c r="B58" s="176">
        <v>2</v>
      </c>
      <c r="C58" s="175" t="s">
        <v>255</v>
      </c>
      <c r="D58" s="71">
        <v>0</v>
      </c>
      <c r="E58" s="71">
        <v>2</v>
      </c>
      <c r="F58" s="71">
        <v>8</v>
      </c>
      <c r="G58" s="71"/>
      <c r="H58" s="71"/>
      <c r="J58" s="68">
        <v>5</v>
      </c>
      <c r="K58" s="170">
        <f t="shared" si="0"/>
        <v>179.5</v>
      </c>
      <c r="L58" s="68" t="s">
        <v>131</v>
      </c>
    </row>
    <row r="59" spans="1:12" x14ac:dyDescent="0.25">
      <c r="A59" s="177"/>
      <c r="B59" s="176"/>
      <c r="C59" s="175" t="s">
        <v>10</v>
      </c>
      <c r="D59" s="71">
        <v>0</v>
      </c>
      <c r="E59" s="71">
        <v>3</v>
      </c>
      <c r="F59" s="71">
        <v>9</v>
      </c>
      <c r="G59" s="71"/>
      <c r="H59" s="71"/>
      <c r="J59" s="68">
        <v>5</v>
      </c>
      <c r="K59" s="170">
        <f t="shared" si="0"/>
        <v>178.66666666666666</v>
      </c>
      <c r="L59" s="68" t="s">
        <v>130</v>
      </c>
    </row>
    <row r="60" spans="1:12" x14ac:dyDescent="0.25">
      <c r="A60" s="177" t="s">
        <v>5</v>
      </c>
      <c r="B60" s="176">
        <v>1</v>
      </c>
      <c r="C60" s="175" t="s">
        <v>255</v>
      </c>
      <c r="D60" s="71">
        <v>0</v>
      </c>
      <c r="E60" s="71">
        <v>1</v>
      </c>
      <c r="F60" s="71">
        <v>8</v>
      </c>
      <c r="G60" s="71"/>
      <c r="H60" s="71"/>
      <c r="J60" s="68">
        <v>5</v>
      </c>
      <c r="K60" s="170">
        <f t="shared" si="0"/>
        <v>179.85714285714286</v>
      </c>
      <c r="L60" s="68" t="s">
        <v>129</v>
      </c>
    </row>
    <row r="61" spans="1:12" ht="15.75" thickBot="1" x14ac:dyDescent="0.3">
      <c r="A61" s="174"/>
      <c r="B61" s="173"/>
      <c r="C61" s="172" t="s">
        <v>10</v>
      </c>
      <c r="D61" s="171">
        <v>0</v>
      </c>
      <c r="E61" s="171">
        <v>3</v>
      </c>
      <c r="F61" s="171">
        <v>9</v>
      </c>
      <c r="G61" s="171"/>
      <c r="H61" s="171"/>
      <c r="J61" s="68">
        <v>5</v>
      </c>
      <c r="K61" s="170">
        <f t="shared" si="0"/>
        <v>178.66666666666666</v>
      </c>
      <c r="L61" s="68" t="s">
        <v>128</v>
      </c>
    </row>
  </sheetData>
  <mergeCells count="1">
    <mergeCell ref="A13:B13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366C-8169-4ACC-B4D2-3B68FCB80CBD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2">
        <v>43641</v>
      </c>
      <c r="H1" s="201"/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200" t="s">
        <v>263</v>
      </c>
      <c r="E5" s="18"/>
      <c r="F5" s="18"/>
      <c r="G5" s="18"/>
      <c r="H5" s="18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7</v>
      </c>
      <c r="E7" s="197"/>
      <c r="F7" s="197"/>
      <c r="G7" s="197"/>
      <c r="H7" s="197"/>
      <c r="I7" s="197"/>
      <c r="J7" s="194">
        <f t="shared" ref="J7:J30" si="0">AVERAGE(D7:I7)</f>
        <v>7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7</v>
      </c>
      <c r="E8" s="196">
        <v>7</v>
      </c>
      <c r="F8" s="196">
        <v>8</v>
      </c>
      <c r="G8" s="196">
        <v>7</v>
      </c>
      <c r="H8" s="196">
        <v>9</v>
      </c>
      <c r="I8" s="196"/>
      <c r="J8" s="194">
        <f t="shared" si="0"/>
        <v>7.6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6</v>
      </c>
      <c r="E9" s="196">
        <v>7</v>
      </c>
      <c r="F9" s="196">
        <v>8</v>
      </c>
      <c r="G9" s="196">
        <v>7</v>
      </c>
      <c r="H9" s="196"/>
      <c r="I9" s="196"/>
      <c r="J9" s="194">
        <f t="shared" si="0"/>
        <v>7</v>
      </c>
    </row>
    <row r="10" spans="1:10" ht="21.6" customHeight="1" thickTop="1" thickBot="1" x14ac:dyDescent="0.25">
      <c r="B10" s="151" t="s">
        <v>0</v>
      </c>
      <c r="C10" s="150">
        <v>4</v>
      </c>
      <c r="D10" s="195"/>
      <c r="E10" s="195"/>
      <c r="F10" s="195"/>
      <c r="G10" s="195"/>
      <c r="H10" s="195"/>
      <c r="I10" s="195"/>
      <c r="J10" s="194" t="e">
        <f t="shared" si="0"/>
        <v>#DIV/0!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8</v>
      </c>
      <c r="E11" s="197">
        <v>8</v>
      </c>
      <c r="F11" s="197">
        <v>9</v>
      </c>
      <c r="G11" s="197">
        <v>8</v>
      </c>
      <c r="H11" s="197"/>
      <c r="I11" s="197"/>
      <c r="J11" s="194">
        <f t="shared" si="0"/>
        <v>8.25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8</v>
      </c>
      <c r="E12" s="196">
        <v>9</v>
      </c>
      <c r="F12" s="196">
        <v>10</v>
      </c>
      <c r="G12" s="196">
        <v>8</v>
      </c>
      <c r="H12" s="196"/>
      <c r="I12" s="196"/>
      <c r="J12" s="194">
        <f t="shared" si="0"/>
        <v>8.75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8</v>
      </c>
      <c r="E13" s="196">
        <v>9</v>
      </c>
      <c r="F13" s="196">
        <v>8</v>
      </c>
      <c r="G13" s="196">
        <v>9</v>
      </c>
      <c r="H13" s="196"/>
      <c r="I13" s="196"/>
      <c r="J13" s="194">
        <f t="shared" si="0"/>
        <v>8.5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8</v>
      </c>
      <c r="E14" s="195">
        <v>8</v>
      </c>
      <c r="F14" s="195">
        <v>8</v>
      </c>
      <c r="G14" s="195">
        <v>8</v>
      </c>
      <c r="H14" s="195"/>
      <c r="I14" s="195"/>
      <c r="J14" s="194">
        <f t="shared" si="0"/>
        <v>8</v>
      </c>
    </row>
    <row r="15" spans="1:10" ht="21.6" customHeight="1" thickTop="1" thickBot="1" x14ac:dyDescent="0.25">
      <c r="B15" s="11" t="s">
        <v>2</v>
      </c>
      <c r="C15" s="158">
        <v>1</v>
      </c>
      <c r="D15" s="197"/>
      <c r="E15" s="197"/>
      <c r="F15" s="197"/>
      <c r="G15" s="197"/>
      <c r="H15" s="197"/>
      <c r="I15" s="197"/>
      <c r="J15" s="194" t="e">
        <f t="shared" si="0"/>
        <v>#DIV/0!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8</v>
      </c>
      <c r="E16" s="196">
        <v>8</v>
      </c>
      <c r="F16" s="196">
        <v>9</v>
      </c>
      <c r="G16" s="196">
        <v>9</v>
      </c>
      <c r="H16" s="196"/>
      <c r="I16" s="196"/>
      <c r="J16" s="194">
        <f t="shared" si="0"/>
        <v>8.5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7</v>
      </c>
      <c r="E17" s="196">
        <v>6</v>
      </c>
      <c r="F17" s="196">
        <v>7</v>
      </c>
      <c r="G17" s="196">
        <v>7</v>
      </c>
      <c r="H17" s="196">
        <v>7</v>
      </c>
      <c r="I17" s="196">
        <v>7</v>
      </c>
      <c r="J17" s="194">
        <f t="shared" si="0"/>
        <v>6.833333333333333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8</v>
      </c>
      <c r="E18" s="195">
        <v>9</v>
      </c>
      <c r="F18" s="195">
        <v>8</v>
      </c>
      <c r="G18" s="195">
        <v>8</v>
      </c>
      <c r="H18" s="195">
        <v>9</v>
      </c>
      <c r="I18" s="195"/>
      <c r="J18" s="194">
        <f t="shared" si="0"/>
        <v>8.4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8</v>
      </c>
      <c r="E19" s="197">
        <v>7</v>
      </c>
      <c r="F19" s="197">
        <v>7</v>
      </c>
      <c r="G19" s="197">
        <v>8</v>
      </c>
      <c r="H19" s="197">
        <v>7</v>
      </c>
      <c r="I19" s="197">
        <v>8</v>
      </c>
      <c r="J19" s="194">
        <f t="shared" si="0"/>
        <v>7.5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8</v>
      </c>
      <c r="E20" s="196">
        <v>8</v>
      </c>
      <c r="F20" s="196">
        <v>9</v>
      </c>
      <c r="G20" s="196"/>
      <c r="H20" s="196"/>
      <c r="I20" s="196"/>
      <c r="J20" s="194">
        <f t="shared" si="0"/>
        <v>8.3333333333333339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8</v>
      </c>
      <c r="E21" s="196">
        <v>9</v>
      </c>
      <c r="F21" s="196"/>
      <c r="G21" s="196"/>
      <c r="H21" s="196"/>
      <c r="I21" s="196"/>
      <c r="J21" s="194">
        <f t="shared" si="0"/>
        <v>8.5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7</v>
      </c>
      <c r="E22" s="195">
        <v>9</v>
      </c>
      <c r="F22" s="195">
        <v>8</v>
      </c>
      <c r="G22" s="195"/>
      <c r="H22" s="195"/>
      <c r="I22" s="195"/>
      <c r="J22" s="194">
        <f t="shared" si="0"/>
        <v>8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8</v>
      </c>
      <c r="E23" s="197"/>
      <c r="F23" s="197"/>
      <c r="G23" s="197"/>
      <c r="H23" s="197"/>
      <c r="I23" s="197"/>
      <c r="J23" s="194">
        <f t="shared" si="0"/>
        <v>8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8</v>
      </c>
      <c r="E24" s="196">
        <v>8</v>
      </c>
      <c r="F24" s="196">
        <v>8</v>
      </c>
      <c r="G24" s="196">
        <v>9</v>
      </c>
      <c r="H24" s="196">
        <v>8</v>
      </c>
      <c r="I24" s="196"/>
      <c r="J24" s="194">
        <f t="shared" si="0"/>
        <v>8.1999999999999993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8</v>
      </c>
      <c r="E25" s="196">
        <v>8</v>
      </c>
      <c r="F25" s="196">
        <v>9</v>
      </c>
      <c r="G25" s="196">
        <v>8</v>
      </c>
      <c r="H25" s="196">
        <v>7</v>
      </c>
      <c r="I25" s="196">
        <v>8</v>
      </c>
      <c r="J25" s="194">
        <f t="shared" si="0"/>
        <v>8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7</v>
      </c>
      <c r="E26" s="195">
        <v>6</v>
      </c>
      <c r="F26" s="195">
        <v>6</v>
      </c>
      <c r="G26" s="195"/>
      <c r="H26" s="195"/>
      <c r="I26" s="195"/>
      <c r="J26" s="194">
        <f t="shared" si="0"/>
        <v>6.333333333333333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7</v>
      </c>
      <c r="E27" s="197">
        <v>7</v>
      </c>
      <c r="F27" s="197">
        <v>6</v>
      </c>
      <c r="G27" s="197">
        <v>6</v>
      </c>
      <c r="H27" s="197"/>
      <c r="I27" s="197"/>
      <c r="J27" s="194">
        <f t="shared" si="0"/>
        <v>6.5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8</v>
      </c>
      <c r="E28" s="196">
        <v>6</v>
      </c>
      <c r="F28" s="196">
        <v>7</v>
      </c>
      <c r="G28" s="196" t="s">
        <v>32</v>
      </c>
      <c r="H28" s="196" t="s">
        <v>261</v>
      </c>
      <c r="I28" s="196"/>
      <c r="J28" s="194">
        <f t="shared" si="0"/>
        <v>7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7</v>
      </c>
      <c r="E29" s="196">
        <v>7</v>
      </c>
      <c r="F29" s="196">
        <v>7</v>
      </c>
      <c r="G29" s="196">
        <v>8</v>
      </c>
      <c r="H29" s="196">
        <v>8</v>
      </c>
      <c r="I29" s="196"/>
      <c r="J29" s="194">
        <f t="shared" si="0"/>
        <v>7.4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9</v>
      </c>
      <c r="E30" s="195">
        <v>8</v>
      </c>
      <c r="F30" s="195"/>
      <c r="G30" s="195"/>
      <c r="H30" s="195"/>
      <c r="I30" s="195"/>
      <c r="J30" s="194">
        <f t="shared" si="0"/>
        <v>8.5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FBBC-5B1D-4214-B4AA-C38A989E58FE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2">
        <v>43647</v>
      </c>
      <c r="H1" s="201"/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8</v>
      </c>
      <c r="E7" s="197">
        <v>8</v>
      </c>
      <c r="F7" s="197">
        <v>8</v>
      </c>
      <c r="G7" s="197"/>
      <c r="H7" s="197"/>
      <c r="I7" s="197"/>
      <c r="J7" s="194">
        <f t="shared" ref="J7:J30" si="0">AVERAGE(D7:I7)</f>
        <v>8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9</v>
      </c>
      <c r="E8" s="196">
        <v>8</v>
      </c>
      <c r="F8" s="196">
        <v>8</v>
      </c>
      <c r="G8" s="196">
        <v>6</v>
      </c>
      <c r="H8" s="196">
        <v>7</v>
      </c>
      <c r="I8" s="196">
        <v>7</v>
      </c>
      <c r="J8" s="194">
        <f t="shared" si="0"/>
        <v>7.5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7</v>
      </c>
      <c r="E9" s="196">
        <v>5</v>
      </c>
      <c r="F9" s="196">
        <v>6</v>
      </c>
      <c r="G9" s="196">
        <v>6</v>
      </c>
      <c r="H9" s="196">
        <v>6</v>
      </c>
      <c r="I9" s="196">
        <v>7</v>
      </c>
      <c r="J9" s="194">
        <f t="shared" si="0"/>
        <v>6.166666666666667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7</v>
      </c>
      <c r="E10" s="195">
        <v>7</v>
      </c>
      <c r="F10" s="195">
        <v>8</v>
      </c>
      <c r="G10" s="195">
        <v>8</v>
      </c>
      <c r="H10" s="195">
        <v>7</v>
      </c>
      <c r="I10" s="195">
        <v>7</v>
      </c>
      <c r="J10" s="194">
        <f t="shared" si="0"/>
        <v>7.333333333333333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8</v>
      </c>
      <c r="E11" s="197">
        <v>8</v>
      </c>
      <c r="F11" s="197">
        <v>7</v>
      </c>
      <c r="G11" s="197">
        <v>8</v>
      </c>
      <c r="H11" s="197">
        <v>9</v>
      </c>
      <c r="I11" s="197">
        <v>8</v>
      </c>
      <c r="J11" s="194">
        <f t="shared" si="0"/>
        <v>8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8</v>
      </c>
      <c r="E12" s="196">
        <v>7</v>
      </c>
      <c r="F12" s="196">
        <v>7</v>
      </c>
      <c r="G12" s="196">
        <v>7</v>
      </c>
      <c r="H12" s="196">
        <v>8</v>
      </c>
      <c r="I12" s="196">
        <v>8</v>
      </c>
      <c r="J12" s="194">
        <f t="shared" si="0"/>
        <v>7.5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9</v>
      </c>
      <c r="E13" s="196">
        <v>9</v>
      </c>
      <c r="F13" s="196">
        <v>8</v>
      </c>
      <c r="G13" s="196">
        <v>8</v>
      </c>
      <c r="H13" s="196">
        <v>9</v>
      </c>
      <c r="I13" s="196">
        <v>8</v>
      </c>
      <c r="J13" s="194">
        <f t="shared" si="0"/>
        <v>8.5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8</v>
      </c>
      <c r="E14" s="195">
        <v>8</v>
      </c>
      <c r="F14" s="195">
        <v>9</v>
      </c>
      <c r="G14" s="195">
        <v>7</v>
      </c>
      <c r="H14" s="195">
        <v>8</v>
      </c>
      <c r="I14" s="195">
        <v>8</v>
      </c>
      <c r="J14" s="194">
        <f t="shared" si="0"/>
        <v>8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8</v>
      </c>
      <c r="E15" s="197">
        <v>9</v>
      </c>
      <c r="F15" s="197">
        <v>8</v>
      </c>
      <c r="G15" s="197">
        <v>7</v>
      </c>
      <c r="H15" s="197">
        <v>8</v>
      </c>
      <c r="I15" s="197">
        <v>7</v>
      </c>
      <c r="J15" s="194">
        <f t="shared" si="0"/>
        <v>7.833333333333333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8</v>
      </c>
      <c r="E16" s="196">
        <v>8</v>
      </c>
      <c r="F16" s="196">
        <v>8</v>
      </c>
      <c r="G16" s="196">
        <v>6</v>
      </c>
      <c r="H16" s="196">
        <v>7</v>
      </c>
      <c r="I16" s="196">
        <v>8</v>
      </c>
      <c r="J16" s="194">
        <f t="shared" si="0"/>
        <v>7.5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8</v>
      </c>
      <c r="E17" s="196">
        <v>7</v>
      </c>
      <c r="F17" s="196">
        <v>7</v>
      </c>
      <c r="G17" s="196">
        <v>6</v>
      </c>
      <c r="H17" s="196">
        <v>7</v>
      </c>
      <c r="I17" s="196">
        <v>7</v>
      </c>
      <c r="J17" s="194">
        <f t="shared" si="0"/>
        <v>7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9</v>
      </c>
      <c r="E18" s="195">
        <v>8</v>
      </c>
      <c r="F18" s="195">
        <v>8</v>
      </c>
      <c r="G18" s="195">
        <v>7</v>
      </c>
      <c r="H18" s="195">
        <v>7</v>
      </c>
      <c r="I18" s="195">
        <v>8</v>
      </c>
      <c r="J18" s="194">
        <f t="shared" si="0"/>
        <v>7.833333333333333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8</v>
      </c>
      <c r="E19" s="197">
        <v>6</v>
      </c>
      <c r="F19" s="197">
        <v>7</v>
      </c>
      <c r="G19" s="197">
        <v>6</v>
      </c>
      <c r="H19" s="197">
        <v>7</v>
      </c>
      <c r="I19" s="197">
        <v>7</v>
      </c>
      <c r="J19" s="194">
        <f t="shared" si="0"/>
        <v>6.833333333333333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7</v>
      </c>
      <c r="E20" s="196">
        <v>7</v>
      </c>
      <c r="F20" s="196">
        <v>8</v>
      </c>
      <c r="G20" s="196">
        <v>7</v>
      </c>
      <c r="H20" s="196">
        <v>8</v>
      </c>
      <c r="I20" s="196">
        <v>7</v>
      </c>
      <c r="J20" s="194">
        <f t="shared" si="0"/>
        <v>7.333333333333333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8</v>
      </c>
      <c r="E21" s="196">
        <v>9</v>
      </c>
      <c r="F21" s="196">
        <v>8</v>
      </c>
      <c r="G21" s="196">
        <v>7</v>
      </c>
      <c r="H21" s="196">
        <v>8</v>
      </c>
      <c r="I21" s="196">
        <v>8</v>
      </c>
      <c r="J21" s="194">
        <f t="shared" si="0"/>
        <v>8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8</v>
      </c>
      <c r="E22" s="195">
        <v>8</v>
      </c>
      <c r="F22" s="195">
        <v>8</v>
      </c>
      <c r="G22" s="195">
        <v>7</v>
      </c>
      <c r="H22" s="195">
        <v>7</v>
      </c>
      <c r="I22" s="195">
        <v>8</v>
      </c>
      <c r="J22" s="194">
        <f t="shared" si="0"/>
        <v>7.666666666666667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8</v>
      </c>
      <c r="E23" s="197">
        <v>7</v>
      </c>
      <c r="F23" s="197">
        <v>8</v>
      </c>
      <c r="G23" s="197">
        <v>8</v>
      </c>
      <c r="H23" s="197">
        <v>8</v>
      </c>
      <c r="I23" s="197">
        <v>7</v>
      </c>
      <c r="J23" s="194">
        <f t="shared" si="0"/>
        <v>7.666666666666667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8</v>
      </c>
      <c r="E24" s="196">
        <v>8</v>
      </c>
      <c r="F24" s="196">
        <v>9</v>
      </c>
      <c r="G24" s="196">
        <v>8</v>
      </c>
      <c r="H24" s="196">
        <v>7</v>
      </c>
      <c r="I24" s="196">
        <v>8</v>
      </c>
      <c r="J24" s="194">
        <f t="shared" si="0"/>
        <v>8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8</v>
      </c>
      <c r="E25" s="196">
        <v>8</v>
      </c>
      <c r="F25" s="196">
        <v>8</v>
      </c>
      <c r="G25" s="196">
        <v>6</v>
      </c>
      <c r="H25" s="196">
        <v>7</v>
      </c>
      <c r="I25" s="196">
        <v>7</v>
      </c>
      <c r="J25" s="194">
        <f t="shared" si="0"/>
        <v>7.333333333333333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8</v>
      </c>
      <c r="E26" s="195">
        <v>8</v>
      </c>
      <c r="F26" s="195">
        <v>7</v>
      </c>
      <c r="G26" s="195">
        <v>7</v>
      </c>
      <c r="H26" s="195">
        <v>7</v>
      </c>
      <c r="I26" s="195">
        <v>7</v>
      </c>
      <c r="J26" s="194">
        <f t="shared" si="0"/>
        <v>7.333333333333333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6</v>
      </c>
      <c r="E27" s="197">
        <v>5</v>
      </c>
      <c r="F27" s="197">
        <v>7</v>
      </c>
      <c r="G27" s="197">
        <v>6</v>
      </c>
      <c r="H27" s="197">
        <v>6</v>
      </c>
      <c r="I27" s="197">
        <v>7</v>
      </c>
      <c r="J27" s="194">
        <f t="shared" si="0"/>
        <v>6.166666666666667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7</v>
      </c>
      <c r="E28" s="196">
        <v>7</v>
      </c>
      <c r="F28" s="196">
        <v>8</v>
      </c>
      <c r="G28" s="196">
        <v>8</v>
      </c>
      <c r="H28" s="196">
        <v>8</v>
      </c>
      <c r="I28" s="196">
        <v>8</v>
      </c>
      <c r="J28" s="194">
        <f t="shared" si="0"/>
        <v>7.666666666666667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7</v>
      </c>
      <c r="E29" s="196">
        <v>7</v>
      </c>
      <c r="F29" s="196">
        <v>7</v>
      </c>
      <c r="G29" s="196">
        <v>7</v>
      </c>
      <c r="H29" s="196">
        <v>7</v>
      </c>
      <c r="I29" s="196">
        <v>8</v>
      </c>
      <c r="J29" s="194">
        <f t="shared" si="0"/>
        <v>7.166666666666667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8</v>
      </c>
      <c r="E30" s="195">
        <v>8</v>
      </c>
      <c r="F30" s="195">
        <v>9</v>
      </c>
      <c r="G30" s="195">
        <v>8</v>
      </c>
      <c r="H30" s="195">
        <v>8</v>
      </c>
      <c r="I30" s="195">
        <v>7</v>
      </c>
      <c r="J30" s="194">
        <f t="shared" si="0"/>
        <v>8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27B8-7160-4D8D-BE05-91E8B262E43F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43654</v>
      </c>
      <c r="H1" s="201" t="s">
        <v>266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7</v>
      </c>
      <c r="E7" s="197">
        <v>7</v>
      </c>
      <c r="F7" s="197">
        <v>8</v>
      </c>
      <c r="G7" s="197">
        <v>7</v>
      </c>
      <c r="H7" s="197">
        <v>7</v>
      </c>
      <c r="I7" s="197">
        <v>7</v>
      </c>
      <c r="J7" s="194">
        <f t="shared" ref="J7:J30" si="0">AVERAGE(D7:I7)</f>
        <v>7.166666666666667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5</v>
      </c>
      <c r="E8" s="196">
        <v>4</v>
      </c>
      <c r="F8" s="196">
        <v>6</v>
      </c>
      <c r="G8" s="196">
        <v>5</v>
      </c>
      <c r="H8" s="196">
        <v>5</v>
      </c>
      <c r="I8" s="196">
        <v>5</v>
      </c>
      <c r="J8" s="194">
        <f t="shared" si="0"/>
        <v>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4</v>
      </c>
      <c r="E9" s="196">
        <v>5</v>
      </c>
      <c r="F9" s="196">
        <v>5</v>
      </c>
      <c r="G9" s="196">
        <v>5</v>
      </c>
      <c r="H9" s="196">
        <v>5</v>
      </c>
      <c r="I9" s="196">
        <v>6</v>
      </c>
      <c r="J9" s="194">
        <f t="shared" si="0"/>
        <v>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5</v>
      </c>
      <c r="E10" s="195">
        <v>5</v>
      </c>
      <c r="F10" s="195">
        <v>6</v>
      </c>
      <c r="G10" s="195">
        <v>7</v>
      </c>
      <c r="H10" s="195">
        <v>7</v>
      </c>
      <c r="I10" s="195">
        <v>6</v>
      </c>
      <c r="J10" s="194">
        <f t="shared" si="0"/>
        <v>6</v>
      </c>
    </row>
    <row r="11" spans="1:10" s="66" customFormat="1" ht="21.6" customHeight="1" thickTop="1" thickBot="1" x14ac:dyDescent="0.25">
      <c r="B11" s="206" t="s">
        <v>1</v>
      </c>
      <c r="C11" s="205">
        <v>4</v>
      </c>
      <c r="D11" s="204">
        <v>7</v>
      </c>
      <c r="E11" s="204">
        <v>8</v>
      </c>
      <c r="F11" s="204">
        <v>7</v>
      </c>
      <c r="G11" s="204">
        <v>6</v>
      </c>
      <c r="H11" s="204">
        <v>6</v>
      </c>
      <c r="I11" s="204">
        <v>5</v>
      </c>
      <c r="J11" s="203">
        <f t="shared" si="0"/>
        <v>6.5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6</v>
      </c>
      <c r="E12" s="196">
        <v>6</v>
      </c>
      <c r="F12" s="196">
        <v>5</v>
      </c>
      <c r="G12" s="196">
        <v>6</v>
      </c>
      <c r="H12" s="196">
        <v>6</v>
      </c>
      <c r="I12" s="196">
        <v>6</v>
      </c>
      <c r="J12" s="194">
        <f t="shared" si="0"/>
        <v>5.833333333333333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6</v>
      </c>
      <c r="E13" s="196">
        <v>6</v>
      </c>
      <c r="F13" s="196">
        <v>6</v>
      </c>
      <c r="G13" s="196">
        <v>6</v>
      </c>
      <c r="H13" s="196">
        <v>7</v>
      </c>
      <c r="I13" s="196">
        <v>6</v>
      </c>
      <c r="J13" s="194">
        <f t="shared" si="0"/>
        <v>6.166666666666667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6</v>
      </c>
      <c r="E14" s="195">
        <v>6</v>
      </c>
      <c r="F14" s="195">
        <v>5</v>
      </c>
      <c r="G14" s="195">
        <v>6</v>
      </c>
      <c r="H14" s="195">
        <v>6</v>
      </c>
      <c r="I14" s="195">
        <v>6</v>
      </c>
      <c r="J14" s="194">
        <f t="shared" si="0"/>
        <v>5.833333333333333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7</v>
      </c>
      <c r="E15" s="197">
        <v>8</v>
      </c>
      <c r="F15" s="197">
        <v>8</v>
      </c>
      <c r="G15" s="197">
        <v>8</v>
      </c>
      <c r="H15" s="197">
        <v>7</v>
      </c>
      <c r="I15" s="197">
        <v>7</v>
      </c>
      <c r="J15" s="194">
        <f t="shared" si="0"/>
        <v>7.5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7</v>
      </c>
      <c r="E16" s="196">
        <v>8</v>
      </c>
      <c r="F16" s="196">
        <v>7</v>
      </c>
      <c r="G16" s="196">
        <v>7</v>
      </c>
      <c r="H16" s="196">
        <v>7</v>
      </c>
      <c r="I16" s="196">
        <v>7</v>
      </c>
      <c r="J16" s="194">
        <f t="shared" si="0"/>
        <v>7.166666666666667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7</v>
      </c>
      <c r="E17" s="196">
        <v>5</v>
      </c>
      <c r="F17" s="196">
        <v>6</v>
      </c>
      <c r="G17" s="196">
        <v>6</v>
      </c>
      <c r="H17" s="196">
        <v>6</v>
      </c>
      <c r="I17" s="196">
        <v>6</v>
      </c>
      <c r="J17" s="194">
        <f t="shared" si="0"/>
        <v>6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6</v>
      </c>
      <c r="E18" s="195">
        <v>6</v>
      </c>
      <c r="F18" s="195">
        <v>6</v>
      </c>
      <c r="G18" s="195">
        <v>7</v>
      </c>
      <c r="H18" s="195">
        <v>7</v>
      </c>
      <c r="I18" s="195">
        <v>7</v>
      </c>
      <c r="J18" s="194">
        <f t="shared" si="0"/>
        <v>6.5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5</v>
      </c>
      <c r="E19" s="197">
        <v>5</v>
      </c>
      <c r="F19" s="197">
        <v>4</v>
      </c>
      <c r="G19" s="197">
        <v>5</v>
      </c>
      <c r="H19" s="197">
        <v>5</v>
      </c>
      <c r="I19" s="197">
        <v>5</v>
      </c>
      <c r="J19" s="194">
        <f t="shared" si="0"/>
        <v>4.833333333333333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5</v>
      </c>
      <c r="E20" s="196">
        <v>5</v>
      </c>
      <c r="F20" s="196">
        <v>6</v>
      </c>
      <c r="G20" s="196">
        <v>6</v>
      </c>
      <c r="H20" s="196">
        <v>6</v>
      </c>
      <c r="I20" s="196">
        <v>5</v>
      </c>
      <c r="J20" s="194">
        <f t="shared" si="0"/>
        <v>5.5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7</v>
      </c>
      <c r="E21" s="196">
        <v>8</v>
      </c>
      <c r="F21" s="196">
        <v>7</v>
      </c>
      <c r="G21" s="196">
        <v>7</v>
      </c>
      <c r="H21" s="196">
        <v>7</v>
      </c>
      <c r="I21" s="196">
        <v>6</v>
      </c>
      <c r="J21" s="194">
        <f t="shared" si="0"/>
        <v>7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6</v>
      </c>
      <c r="E22" s="195">
        <v>6</v>
      </c>
      <c r="F22" s="195">
        <v>7</v>
      </c>
      <c r="G22" s="195">
        <v>6</v>
      </c>
      <c r="H22" s="195">
        <v>6</v>
      </c>
      <c r="I22" s="195">
        <v>6</v>
      </c>
      <c r="J22" s="194">
        <f t="shared" si="0"/>
        <v>6.166666666666667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7</v>
      </c>
      <c r="E23" s="197">
        <v>7</v>
      </c>
      <c r="F23" s="197">
        <v>7</v>
      </c>
      <c r="G23" s="197">
        <v>7</v>
      </c>
      <c r="H23" s="197">
        <v>6</v>
      </c>
      <c r="I23" s="197">
        <v>6</v>
      </c>
      <c r="J23" s="194">
        <f t="shared" si="0"/>
        <v>6.666666666666667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7</v>
      </c>
      <c r="E24" s="196">
        <v>8</v>
      </c>
      <c r="F24" s="196">
        <v>7</v>
      </c>
      <c r="G24" s="196">
        <v>7</v>
      </c>
      <c r="H24" s="196">
        <v>6</v>
      </c>
      <c r="I24" s="196">
        <v>7</v>
      </c>
      <c r="J24" s="194">
        <f t="shared" si="0"/>
        <v>7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7</v>
      </c>
      <c r="E25" s="196">
        <v>7</v>
      </c>
      <c r="F25" s="196">
        <v>7</v>
      </c>
      <c r="G25" s="196">
        <v>6</v>
      </c>
      <c r="H25" s="196">
        <v>6</v>
      </c>
      <c r="I25" s="196">
        <v>6</v>
      </c>
      <c r="J25" s="194">
        <f t="shared" si="0"/>
        <v>6.5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6</v>
      </c>
      <c r="E26" s="195">
        <v>6</v>
      </c>
      <c r="F26" s="195">
        <v>5</v>
      </c>
      <c r="G26" s="195">
        <v>4</v>
      </c>
      <c r="H26" s="195">
        <v>5</v>
      </c>
      <c r="I26" s="195">
        <v>5</v>
      </c>
      <c r="J26" s="194">
        <f t="shared" si="0"/>
        <v>5.166666666666667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4</v>
      </c>
      <c r="E27" s="197">
        <v>3</v>
      </c>
      <c r="F27" s="197">
        <v>4</v>
      </c>
      <c r="G27" s="197">
        <v>4</v>
      </c>
      <c r="H27" s="197">
        <v>4</v>
      </c>
      <c r="I27" s="197">
        <v>4</v>
      </c>
      <c r="J27" s="194">
        <f t="shared" si="0"/>
        <v>3.8333333333333335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6</v>
      </c>
      <c r="E28" s="196">
        <v>6</v>
      </c>
      <c r="F28" s="196">
        <v>7</v>
      </c>
      <c r="G28" s="196">
        <v>6</v>
      </c>
      <c r="H28" s="196">
        <v>5</v>
      </c>
      <c r="I28" s="196">
        <v>6</v>
      </c>
      <c r="J28" s="194">
        <f t="shared" si="0"/>
        <v>6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6</v>
      </c>
      <c r="E29" s="196">
        <v>5</v>
      </c>
      <c r="F29" s="196">
        <v>6</v>
      </c>
      <c r="G29" s="196">
        <v>6</v>
      </c>
      <c r="H29" s="196">
        <v>6</v>
      </c>
      <c r="I29" s="196">
        <v>6</v>
      </c>
      <c r="J29" s="194">
        <f t="shared" si="0"/>
        <v>5.833333333333333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7</v>
      </c>
      <c r="E30" s="195">
        <v>7</v>
      </c>
      <c r="F30" s="195">
        <v>8</v>
      </c>
      <c r="G30" s="195">
        <v>6</v>
      </c>
      <c r="H30" s="195">
        <v>6</v>
      </c>
      <c r="I30" s="195">
        <v>7</v>
      </c>
      <c r="J30" s="194">
        <f t="shared" si="0"/>
        <v>6.833333333333333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3EC7-0257-455B-A590-E88E9F38CEA4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43661</v>
      </c>
      <c r="H1" s="201" t="s">
        <v>267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6</v>
      </c>
      <c r="E7" s="197">
        <v>6</v>
      </c>
      <c r="F7" s="197">
        <v>5</v>
      </c>
      <c r="G7" s="197">
        <v>6</v>
      </c>
      <c r="H7" s="197">
        <v>5</v>
      </c>
      <c r="I7" s="197">
        <v>6</v>
      </c>
      <c r="J7" s="194">
        <f t="shared" ref="J7:J30" si="0">AVERAGE(D7:I7)</f>
        <v>5.666666666666667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4</v>
      </c>
      <c r="E8" s="196">
        <v>4</v>
      </c>
      <c r="F8" s="196">
        <v>5</v>
      </c>
      <c r="G8" s="196">
        <v>4</v>
      </c>
      <c r="H8" s="196">
        <v>4</v>
      </c>
      <c r="I8" s="196">
        <v>5</v>
      </c>
      <c r="J8" s="194">
        <f t="shared" si="0"/>
        <v>4.333333333333333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3</v>
      </c>
      <c r="E9" s="196">
        <v>4</v>
      </c>
      <c r="F9" s="196">
        <v>4</v>
      </c>
      <c r="G9" s="196">
        <v>5</v>
      </c>
      <c r="H9" s="196">
        <v>4</v>
      </c>
      <c r="I9" s="196">
        <v>5</v>
      </c>
      <c r="J9" s="194">
        <f t="shared" si="0"/>
        <v>4.166666666666667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4</v>
      </c>
      <c r="E10" s="195">
        <v>5</v>
      </c>
      <c r="F10" s="195">
        <v>5</v>
      </c>
      <c r="G10" s="195">
        <v>6</v>
      </c>
      <c r="H10" s="195">
        <v>6</v>
      </c>
      <c r="I10" s="195">
        <v>5</v>
      </c>
      <c r="J10" s="194">
        <f t="shared" si="0"/>
        <v>5.166666666666667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5</v>
      </c>
      <c r="E11" s="197">
        <v>6</v>
      </c>
      <c r="F11" s="197">
        <v>6</v>
      </c>
      <c r="G11" s="197">
        <v>5</v>
      </c>
      <c r="H11" s="197">
        <v>5</v>
      </c>
      <c r="I11" s="197">
        <v>5</v>
      </c>
      <c r="J11" s="194">
        <f t="shared" si="0"/>
        <v>5.333333333333333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4</v>
      </c>
      <c r="E12" s="196">
        <v>4</v>
      </c>
      <c r="F12" s="196">
        <v>4</v>
      </c>
      <c r="G12" s="196">
        <v>5</v>
      </c>
      <c r="H12" s="196">
        <v>4</v>
      </c>
      <c r="I12" s="196">
        <v>5</v>
      </c>
      <c r="J12" s="194">
        <f t="shared" si="0"/>
        <v>4.333333333333333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5</v>
      </c>
      <c r="E13" s="196">
        <v>5</v>
      </c>
      <c r="F13" s="196">
        <v>5</v>
      </c>
      <c r="G13" s="196">
        <v>6</v>
      </c>
      <c r="H13" s="196">
        <v>6</v>
      </c>
      <c r="I13" s="196">
        <v>5</v>
      </c>
      <c r="J13" s="194">
        <f t="shared" si="0"/>
        <v>5.333333333333333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5</v>
      </c>
      <c r="E14" s="195">
        <v>4</v>
      </c>
      <c r="F14" s="195">
        <v>5</v>
      </c>
      <c r="G14" s="195">
        <v>5</v>
      </c>
      <c r="H14" s="195">
        <v>5</v>
      </c>
      <c r="I14" s="195">
        <v>5</v>
      </c>
      <c r="J14" s="194">
        <f t="shared" si="0"/>
        <v>4.833333333333333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6</v>
      </c>
      <c r="E15" s="197">
        <v>6</v>
      </c>
      <c r="F15" s="197">
        <v>6</v>
      </c>
      <c r="G15" s="197">
        <v>6</v>
      </c>
      <c r="H15" s="197">
        <v>5</v>
      </c>
      <c r="I15" s="197">
        <v>5</v>
      </c>
      <c r="J15" s="194">
        <f t="shared" si="0"/>
        <v>5.666666666666667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6</v>
      </c>
      <c r="E16" s="196">
        <v>7</v>
      </c>
      <c r="F16" s="196">
        <v>4</v>
      </c>
      <c r="G16" s="196">
        <v>5</v>
      </c>
      <c r="H16" s="196">
        <v>3</v>
      </c>
      <c r="I16" s="196">
        <v>4</v>
      </c>
      <c r="J16" s="194">
        <f t="shared" si="0"/>
        <v>4.833333333333333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5</v>
      </c>
      <c r="E17" s="196">
        <v>6</v>
      </c>
      <c r="F17" s="196">
        <v>5</v>
      </c>
      <c r="G17" s="196">
        <v>5</v>
      </c>
      <c r="H17" s="196">
        <v>4</v>
      </c>
      <c r="I17" s="196">
        <v>5</v>
      </c>
      <c r="J17" s="194">
        <f t="shared" si="0"/>
        <v>5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5</v>
      </c>
      <c r="E18" s="195">
        <v>4</v>
      </c>
      <c r="F18" s="195">
        <v>5</v>
      </c>
      <c r="G18" s="195">
        <v>5</v>
      </c>
      <c r="H18" s="195">
        <v>5</v>
      </c>
      <c r="I18" s="195">
        <v>4</v>
      </c>
      <c r="J18" s="194">
        <f t="shared" si="0"/>
        <v>4.666666666666667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4</v>
      </c>
      <c r="E19" s="197">
        <v>2</v>
      </c>
      <c r="F19" s="197">
        <v>3</v>
      </c>
      <c r="G19" s="197">
        <v>4</v>
      </c>
      <c r="H19" s="197">
        <v>3</v>
      </c>
      <c r="I19" s="197">
        <v>3</v>
      </c>
      <c r="J19" s="194">
        <f t="shared" si="0"/>
        <v>3.1666666666666665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4</v>
      </c>
      <c r="E20" s="196">
        <v>3</v>
      </c>
      <c r="F20" s="196">
        <v>3</v>
      </c>
      <c r="G20" s="196">
        <v>4</v>
      </c>
      <c r="H20" s="196">
        <v>3</v>
      </c>
      <c r="I20" s="196">
        <v>4</v>
      </c>
      <c r="J20" s="194">
        <f t="shared" si="0"/>
        <v>3.5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4</v>
      </c>
      <c r="E21" s="196">
        <v>6</v>
      </c>
      <c r="F21" s="196">
        <v>5</v>
      </c>
      <c r="G21" s="196">
        <v>5</v>
      </c>
      <c r="H21" s="196">
        <v>6</v>
      </c>
      <c r="I21" s="196">
        <v>5</v>
      </c>
      <c r="J21" s="194">
        <f t="shared" si="0"/>
        <v>5.166666666666667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6</v>
      </c>
      <c r="E22" s="195">
        <v>5</v>
      </c>
      <c r="F22" s="195">
        <v>5</v>
      </c>
      <c r="G22" s="195">
        <v>5</v>
      </c>
      <c r="H22" s="195">
        <v>4</v>
      </c>
      <c r="I22" s="195">
        <v>5</v>
      </c>
      <c r="J22" s="194">
        <f t="shared" si="0"/>
        <v>5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6</v>
      </c>
      <c r="E23" s="197">
        <v>6</v>
      </c>
      <c r="F23" s="197">
        <v>5</v>
      </c>
      <c r="G23" s="197">
        <v>5</v>
      </c>
      <c r="H23" s="197">
        <v>5</v>
      </c>
      <c r="I23" s="197">
        <v>4</v>
      </c>
      <c r="J23" s="194">
        <f t="shared" si="0"/>
        <v>5.166666666666667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7</v>
      </c>
      <c r="E24" s="196">
        <v>5</v>
      </c>
      <c r="F24" s="196">
        <v>6</v>
      </c>
      <c r="G24" s="196">
        <v>6</v>
      </c>
      <c r="H24" s="196">
        <v>6</v>
      </c>
      <c r="I24" s="196">
        <v>5</v>
      </c>
      <c r="J24" s="194">
        <f t="shared" si="0"/>
        <v>5.833333333333333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5</v>
      </c>
      <c r="E25" s="196">
        <v>4</v>
      </c>
      <c r="F25" s="196">
        <v>4</v>
      </c>
      <c r="G25" s="196">
        <v>5</v>
      </c>
      <c r="H25" s="196">
        <v>5</v>
      </c>
      <c r="I25" s="196">
        <v>4</v>
      </c>
      <c r="J25" s="194">
        <f t="shared" si="0"/>
        <v>4.5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4</v>
      </c>
      <c r="E26" s="195">
        <v>5</v>
      </c>
      <c r="F26" s="195">
        <v>4</v>
      </c>
      <c r="G26" s="195">
        <v>3</v>
      </c>
      <c r="H26" s="195">
        <v>4</v>
      </c>
      <c r="I26" s="195">
        <v>4</v>
      </c>
      <c r="J26" s="194">
        <f t="shared" si="0"/>
        <v>4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3</v>
      </c>
      <c r="E27" s="197">
        <v>2</v>
      </c>
      <c r="F27" s="197">
        <v>3</v>
      </c>
      <c r="G27" s="197">
        <v>3</v>
      </c>
      <c r="H27" s="197">
        <v>2</v>
      </c>
      <c r="I27" s="197">
        <v>2</v>
      </c>
      <c r="J27" s="194">
        <f t="shared" si="0"/>
        <v>2.5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5</v>
      </c>
      <c r="E28" s="196">
        <v>5</v>
      </c>
      <c r="F28" s="196">
        <v>6</v>
      </c>
      <c r="G28" s="196">
        <v>5</v>
      </c>
      <c r="H28" s="196">
        <v>4</v>
      </c>
      <c r="I28" s="196">
        <v>5</v>
      </c>
      <c r="J28" s="194">
        <f t="shared" si="0"/>
        <v>5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5</v>
      </c>
      <c r="E29" s="196">
        <v>5</v>
      </c>
      <c r="F29" s="196">
        <v>3</v>
      </c>
      <c r="G29" s="196">
        <v>4</v>
      </c>
      <c r="H29" s="196">
        <v>4</v>
      </c>
      <c r="I29" s="196">
        <v>4</v>
      </c>
      <c r="J29" s="194">
        <f t="shared" si="0"/>
        <v>4.166666666666667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5</v>
      </c>
      <c r="E30" s="195">
        <v>7</v>
      </c>
      <c r="F30" s="195">
        <v>6</v>
      </c>
      <c r="G30" s="195">
        <v>5</v>
      </c>
      <c r="H30" s="195">
        <v>6</v>
      </c>
      <c r="I30" s="195">
        <v>5</v>
      </c>
      <c r="J30" s="194">
        <f t="shared" si="0"/>
        <v>5.666666666666667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FD6E-89F2-4BCF-98B5-69013C7B6A91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43668</v>
      </c>
      <c r="H1" s="201" t="s">
        <v>268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4</v>
      </c>
      <c r="E7" s="197">
        <v>5</v>
      </c>
      <c r="F7" s="197">
        <v>4</v>
      </c>
      <c r="G7" s="197">
        <v>4</v>
      </c>
      <c r="H7" s="197">
        <v>5</v>
      </c>
      <c r="I7" s="197">
        <v>4</v>
      </c>
      <c r="J7" s="194">
        <f t="shared" ref="J7:J30" si="0">AVERAGE(D7:I7)</f>
        <v>4.333333333333333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5</v>
      </c>
      <c r="E8" s="196">
        <v>4</v>
      </c>
      <c r="F8" s="196">
        <v>3</v>
      </c>
      <c r="G8" s="196">
        <v>2</v>
      </c>
      <c r="H8" s="196">
        <v>3</v>
      </c>
      <c r="I8" s="196">
        <v>4</v>
      </c>
      <c r="J8" s="194">
        <f t="shared" si="0"/>
        <v>3.5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2</v>
      </c>
      <c r="E9" s="196">
        <v>3</v>
      </c>
      <c r="F9" s="196">
        <v>2</v>
      </c>
      <c r="G9" s="196">
        <v>4</v>
      </c>
      <c r="H9" s="196">
        <v>4</v>
      </c>
      <c r="I9" s="196">
        <v>4</v>
      </c>
      <c r="J9" s="194">
        <f t="shared" si="0"/>
        <v>3.1666666666666665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3</v>
      </c>
      <c r="E10" s="195">
        <v>5</v>
      </c>
      <c r="F10" s="195">
        <v>5</v>
      </c>
      <c r="G10" s="195">
        <v>4</v>
      </c>
      <c r="H10" s="195">
        <v>4</v>
      </c>
      <c r="I10" s="195">
        <v>4</v>
      </c>
      <c r="J10" s="194">
        <f t="shared" si="0"/>
        <v>4.166666666666667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3</v>
      </c>
      <c r="E11" s="197">
        <v>2</v>
      </c>
      <c r="F11" s="197">
        <v>3</v>
      </c>
      <c r="G11" s="197">
        <v>3</v>
      </c>
      <c r="H11" s="197">
        <v>3</v>
      </c>
      <c r="I11" s="197">
        <v>2</v>
      </c>
      <c r="J11" s="194">
        <f t="shared" si="0"/>
        <v>2.6666666666666665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2</v>
      </c>
      <c r="E12" s="196">
        <v>3</v>
      </c>
      <c r="F12" s="196">
        <v>3</v>
      </c>
      <c r="G12" s="196">
        <v>3</v>
      </c>
      <c r="H12" s="196">
        <v>4</v>
      </c>
      <c r="I12" s="196">
        <v>4</v>
      </c>
      <c r="J12" s="194">
        <f t="shared" si="0"/>
        <v>3.1666666666666665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5</v>
      </c>
      <c r="E13" s="196">
        <v>4</v>
      </c>
      <c r="F13" s="196">
        <v>3</v>
      </c>
      <c r="G13" s="196">
        <v>4</v>
      </c>
      <c r="H13" s="196">
        <v>3</v>
      </c>
      <c r="I13" s="196">
        <v>4</v>
      </c>
      <c r="J13" s="194">
        <f t="shared" si="0"/>
        <v>3.8333333333333335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3</v>
      </c>
      <c r="E14" s="195">
        <v>3</v>
      </c>
      <c r="F14" s="195">
        <v>3</v>
      </c>
      <c r="G14" s="195">
        <v>4</v>
      </c>
      <c r="H14" s="195">
        <v>3</v>
      </c>
      <c r="I14" s="195">
        <v>4</v>
      </c>
      <c r="J14" s="194">
        <f t="shared" si="0"/>
        <v>3.3333333333333335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5</v>
      </c>
      <c r="E15" s="197">
        <v>6</v>
      </c>
      <c r="F15" s="197">
        <v>5</v>
      </c>
      <c r="G15" s="197">
        <v>4</v>
      </c>
      <c r="H15" s="197">
        <v>4</v>
      </c>
      <c r="I15" s="197">
        <v>6</v>
      </c>
      <c r="J15" s="194">
        <f t="shared" si="0"/>
        <v>5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6</v>
      </c>
      <c r="E16" s="196">
        <v>5</v>
      </c>
      <c r="F16" s="196">
        <v>5</v>
      </c>
      <c r="G16" s="196">
        <v>5</v>
      </c>
      <c r="H16" s="196">
        <v>4</v>
      </c>
      <c r="I16" s="196">
        <v>5</v>
      </c>
      <c r="J16" s="194">
        <f t="shared" si="0"/>
        <v>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3</v>
      </c>
      <c r="E17" s="196">
        <v>4</v>
      </c>
      <c r="F17" s="196">
        <v>3</v>
      </c>
      <c r="G17" s="196">
        <v>3</v>
      </c>
      <c r="H17" s="196">
        <v>2</v>
      </c>
      <c r="I17" s="196">
        <v>4</v>
      </c>
      <c r="J17" s="194">
        <f t="shared" si="0"/>
        <v>3.1666666666666665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2</v>
      </c>
      <c r="E18" s="195">
        <v>2</v>
      </c>
      <c r="F18" s="195">
        <v>4</v>
      </c>
      <c r="G18" s="195">
        <v>3</v>
      </c>
      <c r="H18" s="195">
        <v>3</v>
      </c>
      <c r="I18" s="195">
        <v>3</v>
      </c>
      <c r="J18" s="194">
        <f t="shared" si="0"/>
        <v>2.8333333333333335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2</v>
      </c>
      <c r="E19" s="197">
        <v>1</v>
      </c>
      <c r="F19" s="197">
        <v>2</v>
      </c>
      <c r="G19" s="197">
        <v>2</v>
      </c>
      <c r="H19" s="197">
        <v>2</v>
      </c>
      <c r="I19" s="197">
        <v>2</v>
      </c>
      <c r="J19" s="194">
        <f t="shared" si="0"/>
        <v>1.8333333333333333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2</v>
      </c>
      <c r="E20" s="196">
        <v>2</v>
      </c>
      <c r="F20" s="196">
        <v>3</v>
      </c>
      <c r="G20" s="196">
        <v>3</v>
      </c>
      <c r="H20" s="196">
        <v>4</v>
      </c>
      <c r="I20" s="196">
        <v>3</v>
      </c>
      <c r="J20" s="194">
        <f t="shared" si="0"/>
        <v>2.8333333333333335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3</v>
      </c>
      <c r="E21" s="196">
        <v>4</v>
      </c>
      <c r="F21" s="196">
        <v>4</v>
      </c>
      <c r="G21" s="196">
        <v>4</v>
      </c>
      <c r="H21" s="196">
        <v>3</v>
      </c>
      <c r="I21" s="196">
        <v>4</v>
      </c>
      <c r="J21" s="194">
        <f t="shared" si="0"/>
        <v>3.6666666666666665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5</v>
      </c>
      <c r="E22" s="195">
        <v>3</v>
      </c>
      <c r="F22" s="195">
        <v>3</v>
      </c>
      <c r="G22" s="195">
        <v>4</v>
      </c>
      <c r="H22" s="195">
        <v>3</v>
      </c>
      <c r="I22" s="195">
        <v>3</v>
      </c>
      <c r="J22" s="194">
        <f t="shared" si="0"/>
        <v>3.5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3</v>
      </c>
      <c r="E23" s="197">
        <v>4</v>
      </c>
      <c r="F23" s="197">
        <v>4</v>
      </c>
      <c r="G23" s="197">
        <v>3</v>
      </c>
      <c r="H23" s="197">
        <v>3</v>
      </c>
      <c r="I23" s="197">
        <v>3</v>
      </c>
      <c r="J23" s="194">
        <f t="shared" si="0"/>
        <v>3.3333333333333335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4</v>
      </c>
      <c r="E24" s="196">
        <v>3</v>
      </c>
      <c r="F24" s="196">
        <v>4</v>
      </c>
      <c r="G24" s="196">
        <v>4</v>
      </c>
      <c r="H24" s="196">
        <v>4</v>
      </c>
      <c r="I24" s="196">
        <v>3</v>
      </c>
      <c r="J24" s="194">
        <f t="shared" si="0"/>
        <v>3.6666666666666665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4</v>
      </c>
      <c r="E25" s="196">
        <v>3</v>
      </c>
      <c r="F25" s="196">
        <v>5</v>
      </c>
      <c r="G25" s="196">
        <v>3</v>
      </c>
      <c r="H25" s="196">
        <v>3</v>
      </c>
      <c r="I25" s="196">
        <v>2</v>
      </c>
      <c r="J25" s="194">
        <f t="shared" si="0"/>
        <v>3.3333333333333335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3</v>
      </c>
      <c r="E26" s="195">
        <v>3</v>
      </c>
      <c r="F26" s="195">
        <v>2</v>
      </c>
      <c r="G26" s="195">
        <v>1</v>
      </c>
      <c r="H26" s="195">
        <v>2</v>
      </c>
      <c r="I26" s="195">
        <v>2</v>
      </c>
      <c r="J26" s="194">
        <f t="shared" si="0"/>
        <v>2.1666666666666665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1</v>
      </c>
      <c r="E27" s="197">
        <v>2</v>
      </c>
      <c r="F27" s="197">
        <v>2</v>
      </c>
      <c r="G27" s="197">
        <v>1</v>
      </c>
      <c r="H27" s="197">
        <v>2</v>
      </c>
      <c r="I27" s="197">
        <v>1</v>
      </c>
      <c r="J27" s="194">
        <f t="shared" si="0"/>
        <v>1.5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3</v>
      </c>
      <c r="E28" s="196">
        <v>4</v>
      </c>
      <c r="F28" s="196">
        <v>4</v>
      </c>
      <c r="G28" s="196">
        <v>3</v>
      </c>
      <c r="H28" s="196">
        <v>2</v>
      </c>
      <c r="I28" s="196">
        <v>3</v>
      </c>
      <c r="J28" s="194">
        <f t="shared" si="0"/>
        <v>3.1666666666666665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3</v>
      </c>
      <c r="E29" s="196">
        <v>2</v>
      </c>
      <c r="F29" s="196">
        <v>2</v>
      </c>
      <c r="G29" s="196">
        <v>3</v>
      </c>
      <c r="H29" s="196">
        <v>3</v>
      </c>
      <c r="I29" s="196">
        <v>3</v>
      </c>
      <c r="J29" s="194">
        <f t="shared" si="0"/>
        <v>2.6666666666666665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3</v>
      </c>
      <c r="E30" s="195">
        <v>3</v>
      </c>
      <c r="F30" s="195">
        <v>4</v>
      </c>
      <c r="G30" s="195">
        <v>3</v>
      </c>
      <c r="H30" s="195">
        <v>3</v>
      </c>
      <c r="I30" s="195">
        <v>5</v>
      </c>
      <c r="J30" s="194">
        <f t="shared" si="0"/>
        <v>3.5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0C5D-C5D2-4B65-ACFC-BC7BA35CCB7C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43676</v>
      </c>
      <c r="H1" s="201" t="s">
        <v>269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4</v>
      </c>
      <c r="E7" s="197">
        <v>3</v>
      </c>
      <c r="F7" s="197">
        <v>3</v>
      </c>
      <c r="G7" s="197">
        <v>3</v>
      </c>
      <c r="H7" s="197">
        <v>3</v>
      </c>
      <c r="I7" s="197">
        <v>2</v>
      </c>
      <c r="J7" s="194">
        <f t="shared" ref="J7:J30" si="0">AVERAGE(D7:I7)</f>
        <v>3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2</v>
      </c>
      <c r="E8" s="196">
        <v>2</v>
      </c>
      <c r="F8" s="196">
        <v>1</v>
      </c>
      <c r="G8" s="196">
        <v>3</v>
      </c>
      <c r="H8" s="196">
        <v>4</v>
      </c>
      <c r="I8" s="196">
        <v>3</v>
      </c>
      <c r="J8" s="194">
        <f t="shared" si="0"/>
        <v>2.5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2</v>
      </c>
      <c r="E9" s="196">
        <v>2</v>
      </c>
      <c r="F9" s="196">
        <v>3</v>
      </c>
      <c r="G9" s="196">
        <v>2</v>
      </c>
      <c r="H9" s="196">
        <v>3</v>
      </c>
      <c r="I9" s="196">
        <v>3</v>
      </c>
      <c r="J9" s="194">
        <f t="shared" si="0"/>
        <v>2.5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2</v>
      </c>
      <c r="E10" s="195">
        <v>3</v>
      </c>
      <c r="F10" s="195">
        <v>3</v>
      </c>
      <c r="G10" s="195">
        <v>3</v>
      </c>
      <c r="H10" s="195">
        <v>2</v>
      </c>
      <c r="I10" s="195">
        <v>2</v>
      </c>
      <c r="J10" s="194">
        <f t="shared" si="0"/>
        <v>2.5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2</v>
      </c>
      <c r="E11" s="197">
        <v>1</v>
      </c>
      <c r="F11" s="197">
        <v>2</v>
      </c>
      <c r="G11" s="197">
        <v>2</v>
      </c>
      <c r="H11" s="197">
        <v>2</v>
      </c>
      <c r="I11" s="197">
        <v>2</v>
      </c>
      <c r="J11" s="194">
        <f t="shared" si="0"/>
        <v>1.8333333333333333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2</v>
      </c>
      <c r="E12" s="196">
        <v>2</v>
      </c>
      <c r="F12" s="196">
        <v>2</v>
      </c>
      <c r="G12" s="196">
        <v>2</v>
      </c>
      <c r="H12" s="196">
        <v>2</v>
      </c>
      <c r="I12" s="196">
        <v>2</v>
      </c>
      <c r="J12" s="194">
        <f t="shared" si="0"/>
        <v>2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3</v>
      </c>
      <c r="E13" s="196">
        <v>3</v>
      </c>
      <c r="F13" s="196">
        <v>4</v>
      </c>
      <c r="G13" s="196">
        <v>3</v>
      </c>
      <c r="H13" s="196">
        <v>3</v>
      </c>
      <c r="I13" s="196">
        <v>3</v>
      </c>
      <c r="J13" s="194">
        <f t="shared" si="0"/>
        <v>3.1666666666666665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3</v>
      </c>
      <c r="E14" s="195">
        <v>2</v>
      </c>
      <c r="F14" s="195">
        <v>2</v>
      </c>
      <c r="G14" s="195">
        <v>3</v>
      </c>
      <c r="H14" s="195">
        <v>3</v>
      </c>
      <c r="I14" s="195">
        <v>4</v>
      </c>
      <c r="J14" s="194">
        <f t="shared" si="0"/>
        <v>2.8333333333333335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3</v>
      </c>
      <c r="E15" s="197">
        <v>4</v>
      </c>
      <c r="F15" s="197">
        <v>4</v>
      </c>
      <c r="G15" s="197">
        <v>3</v>
      </c>
      <c r="H15" s="197">
        <v>4</v>
      </c>
      <c r="I15" s="197">
        <v>3</v>
      </c>
      <c r="J15" s="194">
        <f t="shared" si="0"/>
        <v>3.5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3</v>
      </c>
      <c r="E16" s="196">
        <v>4</v>
      </c>
      <c r="F16" s="196">
        <v>4</v>
      </c>
      <c r="G16" s="196">
        <v>4</v>
      </c>
      <c r="H16" s="196">
        <v>3</v>
      </c>
      <c r="I16" s="196">
        <v>3</v>
      </c>
      <c r="J16" s="194">
        <f t="shared" si="0"/>
        <v>3.5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2</v>
      </c>
      <c r="E17" s="196">
        <v>2</v>
      </c>
      <c r="F17" s="196">
        <v>2</v>
      </c>
      <c r="G17" s="196">
        <v>2</v>
      </c>
      <c r="H17" s="196">
        <v>3</v>
      </c>
      <c r="I17" s="196">
        <v>2</v>
      </c>
      <c r="J17" s="194">
        <f t="shared" si="0"/>
        <v>2.1666666666666665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1</v>
      </c>
      <c r="E18" s="195">
        <v>2</v>
      </c>
      <c r="F18" s="195">
        <v>2</v>
      </c>
      <c r="G18" s="195">
        <v>3</v>
      </c>
      <c r="H18" s="195">
        <v>3</v>
      </c>
      <c r="I18" s="195">
        <v>2</v>
      </c>
      <c r="J18" s="194">
        <f t="shared" si="0"/>
        <v>2.1666666666666665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1</v>
      </c>
      <c r="E19" s="197">
        <v>1</v>
      </c>
      <c r="F19" s="197">
        <v>1</v>
      </c>
      <c r="G19" s="197">
        <v>1</v>
      </c>
      <c r="H19" s="197">
        <v>2</v>
      </c>
      <c r="I19" s="197">
        <v>1</v>
      </c>
      <c r="J19" s="194">
        <f t="shared" si="0"/>
        <v>1.1666666666666667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2</v>
      </c>
      <c r="E20" s="196">
        <v>2</v>
      </c>
      <c r="F20" s="196">
        <v>2</v>
      </c>
      <c r="G20" s="196">
        <v>2</v>
      </c>
      <c r="H20" s="196">
        <v>2</v>
      </c>
      <c r="I20" s="196">
        <v>2</v>
      </c>
      <c r="J20" s="194">
        <f t="shared" si="0"/>
        <v>2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2</v>
      </c>
      <c r="E21" s="196">
        <v>3</v>
      </c>
      <c r="F21" s="196">
        <v>2</v>
      </c>
      <c r="G21" s="196">
        <v>2</v>
      </c>
      <c r="H21" s="196">
        <v>3</v>
      </c>
      <c r="I21" s="196">
        <v>3</v>
      </c>
      <c r="J21" s="194">
        <f t="shared" si="0"/>
        <v>2.5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3</v>
      </c>
      <c r="E22" s="195">
        <v>2</v>
      </c>
      <c r="F22" s="195">
        <v>2</v>
      </c>
      <c r="G22" s="195">
        <v>2</v>
      </c>
      <c r="H22" s="195">
        <v>2</v>
      </c>
      <c r="I22" s="195">
        <v>3</v>
      </c>
      <c r="J22" s="194">
        <f t="shared" si="0"/>
        <v>2.3333333333333335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3</v>
      </c>
      <c r="E23" s="197">
        <v>4</v>
      </c>
      <c r="F23" s="197">
        <v>3</v>
      </c>
      <c r="G23" s="197">
        <v>2</v>
      </c>
      <c r="H23" s="197">
        <v>3</v>
      </c>
      <c r="I23" s="197">
        <v>3</v>
      </c>
      <c r="J23" s="194">
        <f t="shared" si="0"/>
        <v>3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2</v>
      </c>
      <c r="E24" s="196">
        <v>3</v>
      </c>
      <c r="F24" s="196">
        <v>3</v>
      </c>
      <c r="G24" s="196">
        <v>4</v>
      </c>
      <c r="H24" s="196">
        <v>3</v>
      </c>
      <c r="I24" s="196">
        <v>3</v>
      </c>
      <c r="J24" s="194">
        <f t="shared" si="0"/>
        <v>3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3</v>
      </c>
      <c r="E25" s="196">
        <v>4</v>
      </c>
      <c r="F25" s="196">
        <v>4</v>
      </c>
      <c r="G25" s="196">
        <v>3</v>
      </c>
      <c r="H25" s="196">
        <v>3</v>
      </c>
      <c r="I25" s="196">
        <v>3</v>
      </c>
      <c r="J25" s="194">
        <f t="shared" si="0"/>
        <v>3.3333333333333335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2</v>
      </c>
      <c r="E26" s="195">
        <v>2</v>
      </c>
      <c r="F26" s="195">
        <v>1</v>
      </c>
      <c r="G26" s="195">
        <v>2</v>
      </c>
      <c r="H26" s="195">
        <v>1</v>
      </c>
      <c r="I26" s="195">
        <v>1</v>
      </c>
      <c r="J26" s="194">
        <f t="shared" si="0"/>
        <v>1.5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2</v>
      </c>
      <c r="E27" s="197">
        <v>1</v>
      </c>
      <c r="F27" s="197">
        <v>1</v>
      </c>
      <c r="G27" s="197">
        <v>1</v>
      </c>
      <c r="H27" s="197">
        <v>1</v>
      </c>
      <c r="I27" s="197">
        <v>2</v>
      </c>
      <c r="J27" s="194">
        <f t="shared" si="0"/>
        <v>1.3333333333333333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2</v>
      </c>
      <c r="E28" s="196">
        <v>2</v>
      </c>
      <c r="F28" s="196">
        <v>2</v>
      </c>
      <c r="G28" s="196">
        <v>3</v>
      </c>
      <c r="H28" s="196">
        <v>2</v>
      </c>
      <c r="I28" s="196">
        <v>2</v>
      </c>
      <c r="J28" s="194">
        <f t="shared" si="0"/>
        <v>2.1666666666666665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2</v>
      </c>
      <c r="E29" s="196">
        <v>2</v>
      </c>
      <c r="F29" s="196">
        <v>2</v>
      </c>
      <c r="G29" s="196">
        <v>2</v>
      </c>
      <c r="H29" s="196">
        <v>2</v>
      </c>
      <c r="I29" s="196">
        <v>2</v>
      </c>
      <c r="J29" s="194">
        <f t="shared" si="0"/>
        <v>2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2</v>
      </c>
      <c r="E30" s="195">
        <v>3</v>
      </c>
      <c r="F30" s="195">
        <v>3</v>
      </c>
      <c r="G30" s="195">
        <v>2</v>
      </c>
      <c r="H30" s="195">
        <v>2</v>
      </c>
      <c r="I30" s="195">
        <v>3</v>
      </c>
      <c r="J30" s="194">
        <f t="shared" si="0"/>
        <v>2.5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93C8-8645-4F10-B3C0-91E7EE8567AE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43682</v>
      </c>
      <c r="H1" s="201" t="s">
        <v>270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3</v>
      </c>
      <c r="E7" s="197">
        <v>2</v>
      </c>
      <c r="F7" s="197">
        <v>1</v>
      </c>
      <c r="G7" s="197">
        <v>3</v>
      </c>
      <c r="H7" s="197">
        <v>2</v>
      </c>
      <c r="I7" s="197">
        <v>2</v>
      </c>
      <c r="J7" s="194">
        <f t="shared" ref="J7:J30" si="0">AVERAGE(D7:I7)</f>
        <v>2.1666666666666665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1</v>
      </c>
      <c r="E8" s="196">
        <v>0</v>
      </c>
      <c r="F8" s="196">
        <v>1</v>
      </c>
      <c r="G8" s="196">
        <v>1</v>
      </c>
      <c r="H8" s="196">
        <v>3</v>
      </c>
      <c r="I8" s="196">
        <v>2</v>
      </c>
      <c r="J8" s="194">
        <f t="shared" si="0"/>
        <v>1.3333333333333333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1</v>
      </c>
      <c r="F9" s="196">
        <v>2</v>
      </c>
      <c r="G9" s="196">
        <v>2</v>
      </c>
      <c r="H9" s="196">
        <v>2</v>
      </c>
      <c r="I9" s="196">
        <v>1</v>
      </c>
      <c r="J9" s="194">
        <f t="shared" si="0"/>
        <v>1.5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1</v>
      </c>
      <c r="E10" s="195">
        <v>2</v>
      </c>
      <c r="F10" s="195">
        <v>2</v>
      </c>
      <c r="G10" s="195">
        <v>2</v>
      </c>
      <c r="H10" s="195">
        <v>2</v>
      </c>
      <c r="I10" s="195">
        <v>2</v>
      </c>
      <c r="J10" s="194">
        <f t="shared" si="0"/>
        <v>1.8333333333333333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0</v>
      </c>
      <c r="E11" s="197">
        <v>1</v>
      </c>
      <c r="F11" s="197">
        <v>1</v>
      </c>
      <c r="G11" s="197">
        <v>2</v>
      </c>
      <c r="H11" s="197">
        <v>1</v>
      </c>
      <c r="I11" s="197">
        <v>0</v>
      </c>
      <c r="J11" s="194">
        <f t="shared" si="0"/>
        <v>0.83333333333333337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1</v>
      </c>
      <c r="E12" s="196">
        <v>0</v>
      </c>
      <c r="F12" s="196">
        <v>1</v>
      </c>
      <c r="G12" s="196">
        <v>1</v>
      </c>
      <c r="H12" s="196">
        <v>1</v>
      </c>
      <c r="I12" s="196">
        <v>1</v>
      </c>
      <c r="J12" s="194">
        <f t="shared" si="0"/>
        <v>0.83333333333333337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2</v>
      </c>
      <c r="E13" s="196">
        <v>2</v>
      </c>
      <c r="F13" s="196">
        <v>3</v>
      </c>
      <c r="G13" s="196">
        <v>2</v>
      </c>
      <c r="H13" s="196">
        <v>2</v>
      </c>
      <c r="I13" s="196">
        <v>2</v>
      </c>
      <c r="J13" s="194">
        <f t="shared" si="0"/>
        <v>2.1666666666666665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2</v>
      </c>
      <c r="E14" s="195">
        <v>2</v>
      </c>
      <c r="F14" s="195">
        <v>3</v>
      </c>
      <c r="G14" s="195">
        <v>3</v>
      </c>
      <c r="H14" s="195">
        <v>2</v>
      </c>
      <c r="I14" s="195">
        <v>3</v>
      </c>
      <c r="J14" s="194">
        <f t="shared" si="0"/>
        <v>2.5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3</v>
      </c>
      <c r="E15" s="197">
        <v>3</v>
      </c>
      <c r="F15" s="197">
        <v>2</v>
      </c>
      <c r="G15" s="197">
        <v>2</v>
      </c>
      <c r="H15" s="197">
        <v>3</v>
      </c>
      <c r="I15" s="197">
        <v>3</v>
      </c>
      <c r="J15" s="194">
        <f t="shared" si="0"/>
        <v>2.6666666666666665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2</v>
      </c>
      <c r="E16" s="196">
        <v>3</v>
      </c>
      <c r="F16" s="196">
        <v>2</v>
      </c>
      <c r="G16" s="196">
        <v>3</v>
      </c>
      <c r="H16" s="196">
        <v>3</v>
      </c>
      <c r="I16" s="196">
        <v>2</v>
      </c>
      <c r="J16" s="194">
        <f t="shared" si="0"/>
        <v>2.5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1</v>
      </c>
      <c r="E17" s="196">
        <v>0</v>
      </c>
      <c r="F17" s="196">
        <v>1</v>
      </c>
      <c r="G17" s="196">
        <v>1</v>
      </c>
      <c r="H17" s="196">
        <v>2</v>
      </c>
      <c r="I17" s="196">
        <v>1</v>
      </c>
      <c r="J17" s="194">
        <f t="shared" si="0"/>
        <v>1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1</v>
      </c>
      <c r="E18" s="195">
        <v>1</v>
      </c>
      <c r="F18" s="195">
        <v>1</v>
      </c>
      <c r="G18" s="195">
        <v>2</v>
      </c>
      <c r="H18" s="195">
        <v>1</v>
      </c>
      <c r="I18" s="195">
        <v>2</v>
      </c>
      <c r="J18" s="194">
        <f t="shared" si="0"/>
        <v>1.3333333333333333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0</v>
      </c>
      <c r="E19" s="197">
        <v>0</v>
      </c>
      <c r="F19" s="197">
        <v>1</v>
      </c>
      <c r="G19" s="197">
        <v>0</v>
      </c>
      <c r="H19" s="197">
        <v>1</v>
      </c>
      <c r="I19" s="197">
        <v>1</v>
      </c>
      <c r="J19" s="194">
        <f t="shared" si="0"/>
        <v>0.5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1</v>
      </c>
      <c r="E20" s="196">
        <v>1</v>
      </c>
      <c r="F20" s="196">
        <v>1</v>
      </c>
      <c r="G20" s="196">
        <v>1</v>
      </c>
      <c r="H20" s="196">
        <v>0</v>
      </c>
      <c r="I20" s="196">
        <v>1</v>
      </c>
      <c r="J20" s="194">
        <f t="shared" si="0"/>
        <v>0.83333333333333337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2</v>
      </c>
      <c r="E21" s="196">
        <v>2</v>
      </c>
      <c r="F21" s="196">
        <v>1</v>
      </c>
      <c r="G21" s="196">
        <v>2</v>
      </c>
      <c r="H21" s="196">
        <v>2</v>
      </c>
      <c r="I21" s="196">
        <v>1</v>
      </c>
      <c r="J21" s="194">
        <f t="shared" si="0"/>
        <v>1.6666666666666667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2</v>
      </c>
      <c r="E22" s="195">
        <v>1</v>
      </c>
      <c r="F22" s="195">
        <v>1</v>
      </c>
      <c r="G22" s="195">
        <v>1</v>
      </c>
      <c r="H22" s="195">
        <v>2</v>
      </c>
      <c r="I22" s="195">
        <v>1</v>
      </c>
      <c r="J22" s="194">
        <f t="shared" si="0"/>
        <v>1.3333333333333333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2</v>
      </c>
      <c r="E23" s="197">
        <v>3</v>
      </c>
      <c r="F23" s="197">
        <v>2</v>
      </c>
      <c r="G23" s="197">
        <v>1</v>
      </c>
      <c r="H23" s="197">
        <v>3</v>
      </c>
      <c r="I23" s="197">
        <v>1</v>
      </c>
      <c r="J23" s="194">
        <f t="shared" si="0"/>
        <v>2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1</v>
      </c>
      <c r="E24" s="196">
        <v>2</v>
      </c>
      <c r="F24" s="196">
        <v>2</v>
      </c>
      <c r="G24" s="196">
        <v>3</v>
      </c>
      <c r="H24" s="196">
        <v>2</v>
      </c>
      <c r="I24" s="196">
        <v>2</v>
      </c>
      <c r="J24" s="194">
        <f t="shared" si="0"/>
        <v>2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2</v>
      </c>
      <c r="E25" s="196">
        <v>3</v>
      </c>
      <c r="F25" s="196">
        <v>2</v>
      </c>
      <c r="G25" s="196">
        <v>2</v>
      </c>
      <c r="H25" s="196">
        <v>2</v>
      </c>
      <c r="I25" s="196">
        <v>3</v>
      </c>
      <c r="J25" s="194">
        <f t="shared" si="0"/>
        <v>2.3333333333333335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1</v>
      </c>
      <c r="E26" s="195">
        <v>1</v>
      </c>
      <c r="F26" s="195">
        <v>0</v>
      </c>
      <c r="G26" s="195">
        <v>1</v>
      </c>
      <c r="H26" s="195">
        <v>0</v>
      </c>
      <c r="I26" s="195">
        <v>1</v>
      </c>
      <c r="J26" s="194">
        <f t="shared" si="0"/>
        <v>0.66666666666666663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2</v>
      </c>
      <c r="E27" s="197">
        <v>0</v>
      </c>
      <c r="F27" s="197">
        <v>1</v>
      </c>
      <c r="G27" s="197">
        <v>1</v>
      </c>
      <c r="H27" s="197">
        <v>1</v>
      </c>
      <c r="I27" s="197">
        <v>1</v>
      </c>
      <c r="J27" s="194">
        <f t="shared" si="0"/>
        <v>1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1</v>
      </c>
      <c r="E28" s="196">
        <v>1</v>
      </c>
      <c r="F28" s="196">
        <v>1</v>
      </c>
      <c r="G28" s="196">
        <v>2</v>
      </c>
      <c r="H28" s="196">
        <v>1</v>
      </c>
      <c r="I28" s="196">
        <v>2</v>
      </c>
      <c r="J28" s="194">
        <f t="shared" si="0"/>
        <v>1.3333333333333333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1</v>
      </c>
      <c r="E29" s="196">
        <v>0</v>
      </c>
      <c r="F29" s="196">
        <v>2</v>
      </c>
      <c r="G29" s="196">
        <v>1</v>
      </c>
      <c r="H29" s="196">
        <v>1</v>
      </c>
      <c r="I29" s="196">
        <v>1</v>
      </c>
      <c r="J29" s="194">
        <f t="shared" si="0"/>
        <v>1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1</v>
      </c>
      <c r="E30" s="195">
        <v>2</v>
      </c>
      <c r="F30" s="195">
        <v>3</v>
      </c>
      <c r="G30" s="195">
        <v>1</v>
      </c>
      <c r="H30" s="195">
        <v>2</v>
      </c>
      <c r="I30" s="195">
        <v>1</v>
      </c>
      <c r="J30" s="194">
        <f t="shared" si="0"/>
        <v>1.6666666666666667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EF20-EDDC-4E03-B6C0-8ED9B0B1AFD9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43690</v>
      </c>
      <c r="H1" s="201" t="s">
        <v>56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2</v>
      </c>
      <c r="E7" s="197">
        <v>2</v>
      </c>
      <c r="F7" s="197">
        <v>1</v>
      </c>
      <c r="G7" s="197">
        <v>2</v>
      </c>
      <c r="H7" s="197">
        <v>2</v>
      </c>
      <c r="I7" s="197">
        <v>2</v>
      </c>
      <c r="J7" s="194">
        <f t="shared" ref="J7:J30" si="0">AVERAGE(D7:I7)</f>
        <v>1.8333333333333333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3</v>
      </c>
      <c r="E8" s="196">
        <v>3</v>
      </c>
      <c r="F8" s="196">
        <v>2</v>
      </c>
      <c r="G8" s="196">
        <v>3</v>
      </c>
      <c r="H8" s="196">
        <v>2</v>
      </c>
      <c r="I8" s="196">
        <v>3</v>
      </c>
      <c r="J8" s="194">
        <f t="shared" si="0"/>
        <v>2.6666666666666665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2</v>
      </c>
      <c r="F9" s="196">
        <v>1</v>
      </c>
      <c r="G9" s="196">
        <v>1</v>
      </c>
      <c r="H9" s="196">
        <v>1</v>
      </c>
      <c r="I9" s="196">
        <v>1</v>
      </c>
      <c r="J9" s="194">
        <f t="shared" si="0"/>
        <v>1.1666666666666667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2</v>
      </c>
      <c r="E10" s="195">
        <v>2</v>
      </c>
      <c r="F10" s="195">
        <v>2</v>
      </c>
      <c r="G10" s="195">
        <v>2</v>
      </c>
      <c r="H10" s="195">
        <v>1</v>
      </c>
      <c r="I10" s="195">
        <v>1</v>
      </c>
      <c r="J10" s="194">
        <f t="shared" si="0"/>
        <v>1.6666666666666667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3</v>
      </c>
      <c r="E11" s="197">
        <v>3</v>
      </c>
      <c r="F11" s="197">
        <v>3</v>
      </c>
      <c r="G11" s="197">
        <v>2</v>
      </c>
      <c r="H11" s="197">
        <v>2</v>
      </c>
      <c r="I11" s="197">
        <v>2</v>
      </c>
      <c r="J11" s="194">
        <f t="shared" si="0"/>
        <v>2.5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1</v>
      </c>
      <c r="E12" s="196">
        <v>1</v>
      </c>
      <c r="F12" s="196">
        <v>1</v>
      </c>
      <c r="G12" s="196">
        <v>2</v>
      </c>
      <c r="H12" s="196">
        <v>1</v>
      </c>
      <c r="I12" s="196">
        <v>3</v>
      </c>
      <c r="J12" s="194">
        <f t="shared" si="0"/>
        <v>1.5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2</v>
      </c>
      <c r="E13" s="196">
        <v>2</v>
      </c>
      <c r="F13" s="196">
        <v>2</v>
      </c>
      <c r="G13" s="196">
        <v>2</v>
      </c>
      <c r="H13" s="196">
        <v>1</v>
      </c>
      <c r="I13" s="196">
        <v>2</v>
      </c>
      <c r="J13" s="194">
        <f t="shared" si="0"/>
        <v>1.8333333333333333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1</v>
      </c>
      <c r="E14" s="195">
        <v>2</v>
      </c>
      <c r="F14" s="195">
        <v>2</v>
      </c>
      <c r="G14" s="195">
        <v>2</v>
      </c>
      <c r="H14" s="195">
        <v>2</v>
      </c>
      <c r="I14" s="195">
        <v>3</v>
      </c>
      <c r="J14" s="194">
        <f t="shared" si="0"/>
        <v>2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3</v>
      </c>
      <c r="E15" s="197">
        <v>3</v>
      </c>
      <c r="F15" s="197">
        <v>2</v>
      </c>
      <c r="G15" s="197">
        <v>3</v>
      </c>
      <c r="H15" s="197">
        <v>3</v>
      </c>
      <c r="I15" s="197">
        <v>3</v>
      </c>
      <c r="J15" s="194">
        <f t="shared" si="0"/>
        <v>2.8333333333333335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3</v>
      </c>
      <c r="E16" s="196">
        <v>3</v>
      </c>
      <c r="F16" s="196">
        <v>2</v>
      </c>
      <c r="G16" s="196">
        <v>3</v>
      </c>
      <c r="H16" s="196">
        <v>2</v>
      </c>
      <c r="I16" s="196">
        <v>2</v>
      </c>
      <c r="J16" s="194">
        <f t="shared" si="0"/>
        <v>2.5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2</v>
      </c>
      <c r="E17" s="196">
        <v>1</v>
      </c>
      <c r="F17" s="196">
        <v>1</v>
      </c>
      <c r="G17" s="196">
        <v>2</v>
      </c>
      <c r="H17" s="196">
        <v>3</v>
      </c>
      <c r="I17" s="196">
        <v>2</v>
      </c>
      <c r="J17" s="194">
        <f t="shared" si="0"/>
        <v>1.8333333333333333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2</v>
      </c>
      <c r="E18" s="195">
        <v>2</v>
      </c>
      <c r="F18" s="195">
        <v>2</v>
      </c>
      <c r="G18" s="195">
        <v>2</v>
      </c>
      <c r="H18" s="195">
        <v>3</v>
      </c>
      <c r="I18" s="195">
        <v>2</v>
      </c>
      <c r="J18" s="194">
        <f t="shared" si="0"/>
        <v>2.1666666666666665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3</v>
      </c>
      <c r="E19" s="197">
        <v>1</v>
      </c>
      <c r="F19" s="197">
        <v>2</v>
      </c>
      <c r="G19" s="197">
        <v>2</v>
      </c>
      <c r="H19" s="197">
        <v>2</v>
      </c>
      <c r="I19" s="197">
        <v>3</v>
      </c>
      <c r="J19" s="194">
        <f t="shared" si="0"/>
        <v>2.1666666666666665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3</v>
      </c>
      <c r="E20" s="196">
        <v>2</v>
      </c>
      <c r="F20" s="196">
        <v>2</v>
      </c>
      <c r="G20" s="196">
        <v>2</v>
      </c>
      <c r="H20" s="196">
        <v>2</v>
      </c>
      <c r="I20" s="196">
        <v>2</v>
      </c>
      <c r="J20" s="194">
        <f t="shared" si="0"/>
        <v>2.1666666666666665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2</v>
      </c>
      <c r="E21" s="196">
        <v>2</v>
      </c>
      <c r="F21" s="196">
        <v>2</v>
      </c>
      <c r="G21" s="196">
        <v>2</v>
      </c>
      <c r="H21" s="196">
        <v>2</v>
      </c>
      <c r="I21" s="196">
        <v>2</v>
      </c>
      <c r="J21" s="194">
        <f t="shared" si="0"/>
        <v>2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1</v>
      </c>
      <c r="E22" s="195">
        <v>1</v>
      </c>
      <c r="F22" s="195">
        <v>2</v>
      </c>
      <c r="G22" s="195">
        <v>1</v>
      </c>
      <c r="H22" s="195">
        <v>2</v>
      </c>
      <c r="I22" s="195">
        <v>2</v>
      </c>
      <c r="J22" s="194">
        <f t="shared" si="0"/>
        <v>1.5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3</v>
      </c>
      <c r="E23" s="197">
        <v>3</v>
      </c>
      <c r="F23" s="197">
        <v>3</v>
      </c>
      <c r="G23" s="197">
        <v>2</v>
      </c>
      <c r="H23" s="197">
        <v>2</v>
      </c>
      <c r="I23" s="197">
        <v>2</v>
      </c>
      <c r="J23" s="194">
        <f t="shared" si="0"/>
        <v>2.5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2</v>
      </c>
      <c r="E24" s="196">
        <v>1</v>
      </c>
      <c r="F24" s="196">
        <v>2</v>
      </c>
      <c r="G24" s="196">
        <v>2</v>
      </c>
      <c r="H24" s="196">
        <v>2</v>
      </c>
      <c r="I24" s="196">
        <v>1</v>
      </c>
      <c r="J24" s="194">
        <f t="shared" si="0"/>
        <v>1.6666666666666667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2</v>
      </c>
      <c r="E25" s="196">
        <v>2</v>
      </c>
      <c r="F25" s="196">
        <v>2</v>
      </c>
      <c r="G25" s="196">
        <v>1</v>
      </c>
      <c r="H25" s="196">
        <v>0</v>
      </c>
      <c r="I25" s="196">
        <v>0</v>
      </c>
      <c r="J25" s="194">
        <f t="shared" si="0"/>
        <v>1.1666666666666667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2</v>
      </c>
      <c r="E26" s="195">
        <v>2</v>
      </c>
      <c r="F26" s="195">
        <v>2</v>
      </c>
      <c r="G26" s="195">
        <v>2</v>
      </c>
      <c r="H26" s="195">
        <v>2</v>
      </c>
      <c r="I26" s="195">
        <v>2</v>
      </c>
      <c r="J26" s="194">
        <f t="shared" si="0"/>
        <v>2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2</v>
      </c>
      <c r="E27" s="197">
        <v>2</v>
      </c>
      <c r="F27" s="197">
        <v>2</v>
      </c>
      <c r="G27" s="197">
        <v>1</v>
      </c>
      <c r="H27" s="197">
        <v>1</v>
      </c>
      <c r="I27" s="197">
        <v>1</v>
      </c>
      <c r="J27" s="194">
        <f t="shared" si="0"/>
        <v>1.5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2</v>
      </c>
      <c r="E28" s="196">
        <v>1</v>
      </c>
      <c r="F28" s="196">
        <v>1</v>
      </c>
      <c r="G28" s="196">
        <v>2</v>
      </c>
      <c r="H28" s="196">
        <v>1</v>
      </c>
      <c r="I28" s="196">
        <v>1</v>
      </c>
      <c r="J28" s="194">
        <f t="shared" si="0"/>
        <v>1.3333333333333333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2</v>
      </c>
      <c r="E29" s="196">
        <v>2</v>
      </c>
      <c r="F29" s="196">
        <v>1</v>
      </c>
      <c r="G29" s="196">
        <v>2</v>
      </c>
      <c r="H29" s="196">
        <v>1</v>
      </c>
      <c r="I29" s="196">
        <v>1</v>
      </c>
      <c r="J29" s="194">
        <f t="shared" si="0"/>
        <v>1.5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1</v>
      </c>
      <c r="E30" s="195">
        <v>2</v>
      </c>
      <c r="F30" s="195">
        <v>2</v>
      </c>
      <c r="G30" s="195">
        <v>2</v>
      </c>
      <c r="H30" s="195">
        <v>2</v>
      </c>
      <c r="I30" s="195">
        <v>2</v>
      </c>
      <c r="J30" s="194">
        <f t="shared" si="0"/>
        <v>1.8333333333333333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78C8-A9BC-4236-9171-886F98D0EF4B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43697</v>
      </c>
      <c r="H1" s="201" t="s">
        <v>58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1</v>
      </c>
      <c r="E7" s="197">
        <v>2</v>
      </c>
      <c r="F7" s="197">
        <v>1</v>
      </c>
      <c r="G7" s="197">
        <v>1</v>
      </c>
      <c r="H7" s="197">
        <v>1</v>
      </c>
      <c r="I7" s="197">
        <v>1</v>
      </c>
      <c r="J7" s="194">
        <f t="shared" ref="J7:J30" si="0">AVERAGE(D7:I7)</f>
        <v>1.1666666666666667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2</v>
      </c>
      <c r="E8" s="196">
        <v>3</v>
      </c>
      <c r="F8" s="196">
        <v>2</v>
      </c>
      <c r="G8" s="196">
        <v>1</v>
      </c>
      <c r="H8" s="196">
        <v>2</v>
      </c>
      <c r="I8" s="196">
        <v>2</v>
      </c>
      <c r="J8" s="194">
        <f t="shared" si="0"/>
        <v>2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1</v>
      </c>
      <c r="F9" s="196">
        <v>0</v>
      </c>
      <c r="G9" s="196">
        <v>2</v>
      </c>
      <c r="H9" s="196">
        <v>1</v>
      </c>
      <c r="I9" s="196">
        <v>1</v>
      </c>
      <c r="J9" s="194">
        <f t="shared" si="0"/>
        <v>1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1</v>
      </c>
      <c r="E10" s="195">
        <v>1</v>
      </c>
      <c r="F10" s="195">
        <v>1</v>
      </c>
      <c r="G10" s="195">
        <v>1</v>
      </c>
      <c r="H10" s="195">
        <v>2</v>
      </c>
      <c r="I10" s="195">
        <v>0</v>
      </c>
      <c r="J10" s="194">
        <f t="shared" si="0"/>
        <v>1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2</v>
      </c>
      <c r="E11" s="197">
        <v>2</v>
      </c>
      <c r="F11" s="197">
        <v>1</v>
      </c>
      <c r="G11" s="197">
        <v>3</v>
      </c>
      <c r="H11" s="197">
        <v>2</v>
      </c>
      <c r="I11" s="197">
        <v>2</v>
      </c>
      <c r="J11" s="194">
        <f t="shared" si="0"/>
        <v>2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1</v>
      </c>
      <c r="E12" s="196">
        <v>2</v>
      </c>
      <c r="F12" s="196">
        <v>1</v>
      </c>
      <c r="G12" s="196">
        <v>0</v>
      </c>
      <c r="H12" s="196">
        <v>1</v>
      </c>
      <c r="I12" s="196">
        <v>1</v>
      </c>
      <c r="J12" s="194">
        <f t="shared" si="0"/>
        <v>1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1</v>
      </c>
      <c r="E13" s="196">
        <v>1</v>
      </c>
      <c r="F13" s="196">
        <v>0</v>
      </c>
      <c r="G13" s="196">
        <v>1</v>
      </c>
      <c r="H13" s="196">
        <v>1</v>
      </c>
      <c r="I13" s="196">
        <v>1</v>
      </c>
      <c r="J13" s="194">
        <f t="shared" si="0"/>
        <v>0.83333333333333337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1</v>
      </c>
      <c r="E14" s="195">
        <v>1</v>
      </c>
      <c r="F14" s="195">
        <v>2</v>
      </c>
      <c r="G14" s="195">
        <v>0</v>
      </c>
      <c r="H14" s="195">
        <v>1</v>
      </c>
      <c r="I14" s="195">
        <v>1</v>
      </c>
      <c r="J14" s="194">
        <f t="shared" si="0"/>
        <v>1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2</v>
      </c>
      <c r="E15" s="197">
        <v>3</v>
      </c>
      <c r="F15" s="197">
        <v>2</v>
      </c>
      <c r="G15" s="197">
        <v>2</v>
      </c>
      <c r="H15" s="197">
        <v>1</v>
      </c>
      <c r="I15" s="197">
        <v>2</v>
      </c>
      <c r="J15" s="194">
        <f t="shared" si="0"/>
        <v>2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2</v>
      </c>
      <c r="E16" s="196">
        <v>1</v>
      </c>
      <c r="F16" s="196">
        <v>2</v>
      </c>
      <c r="G16" s="196">
        <v>2</v>
      </c>
      <c r="H16" s="196">
        <v>2</v>
      </c>
      <c r="I16" s="196">
        <v>2</v>
      </c>
      <c r="J16" s="194">
        <f t="shared" si="0"/>
        <v>1.8333333333333333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1</v>
      </c>
      <c r="E17" s="196">
        <v>2</v>
      </c>
      <c r="F17" s="196">
        <v>1</v>
      </c>
      <c r="G17" s="196">
        <v>1</v>
      </c>
      <c r="H17" s="196">
        <v>1</v>
      </c>
      <c r="I17" s="196">
        <v>1</v>
      </c>
      <c r="J17" s="194">
        <f t="shared" si="0"/>
        <v>1.1666666666666667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1</v>
      </c>
      <c r="E18" s="195">
        <v>1</v>
      </c>
      <c r="F18" s="195">
        <v>1</v>
      </c>
      <c r="G18" s="195">
        <v>1</v>
      </c>
      <c r="H18" s="195">
        <v>1</v>
      </c>
      <c r="I18" s="195">
        <v>2</v>
      </c>
      <c r="J18" s="194">
        <f t="shared" si="0"/>
        <v>1.1666666666666667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1</v>
      </c>
      <c r="E19" s="197">
        <v>2</v>
      </c>
      <c r="F19" s="197">
        <v>1</v>
      </c>
      <c r="G19" s="197">
        <v>1</v>
      </c>
      <c r="H19" s="197">
        <v>2</v>
      </c>
      <c r="I19" s="197">
        <v>1</v>
      </c>
      <c r="J19" s="194">
        <f t="shared" si="0"/>
        <v>1.3333333333333333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1</v>
      </c>
      <c r="E20" s="196">
        <v>2</v>
      </c>
      <c r="F20" s="196">
        <v>1</v>
      </c>
      <c r="G20" s="196">
        <v>2</v>
      </c>
      <c r="H20" s="196">
        <v>2</v>
      </c>
      <c r="I20" s="196">
        <v>1</v>
      </c>
      <c r="J20" s="194">
        <f t="shared" si="0"/>
        <v>1.5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2</v>
      </c>
      <c r="E21" s="196">
        <v>1</v>
      </c>
      <c r="F21" s="196">
        <v>2</v>
      </c>
      <c r="G21" s="196">
        <v>1</v>
      </c>
      <c r="H21" s="196">
        <v>2</v>
      </c>
      <c r="I21" s="196">
        <v>1</v>
      </c>
      <c r="J21" s="194">
        <f t="shared" si="0"/>
        <v>1.5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2</v>
      </c>
      <c r="E22" s="195">
        <v>2</v>
      </c>
      <c r="F22" s="195">
        <v>1</v>
      </c>
      <c r="G22" s="195">
        <v>1</v>
      </c>
      <c r="H22" s="195">
        <v>1</v>
      </c>
      <c r="I22" s="195">
        <v>1</v>
      </c>
      <c r="J22" s="194">
        <f t="shared" si="0"/>
        <v>1.3333333333333333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2</v>
      </c>
      <c r="E23" s="197">
        <v>2</v>
      </c>
      <c r="F23" s="197">
        <v>3</v>
      </c>
      <c r="G23" s="197">
        <v>2</v>
      </c>
      <c r="H23" s="197">
        <v>1</v>
      </c>
      <c r="I23" s="197">
        <v>1</v>
      </c>
      <c r="J23" s="194">
        <f t="shared" si="0"/>
        <v>1.8333333333333333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1</v>
      </c>
      <c r="E24" s="196">
        <v>2</v>
      </c>
      <c r="F24" s="196">
        <v>1</v>
      </c>
      <c r="G24" s="196">
        <v>1</v>
      </c>
      <c r="H24" s="196">
        <v>1</v>
      </c>
      <c r="I24" s="196">
        <v>1</v>
      </c>
      <c r="J24" s="194">
        <f t="shared" si="0"/>
        <v>1.1666666666666667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1</v>
      </c>
      <c r="E25" s="196">
        <v>1</v>
      </c>
      <c r="F25" s="196">
        <v>2</v>
      </c>
      <c r="G25" s="196">
        <v>0</v>
      </c>
      <c r="H25" s="196">
        <v>1</v>
      </c>
      <c r="I25" s="196">
        <v>1</v>
      </c>
      <c r="J25" s="194">
        <f t="shared" si="0"/>
        <v>1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2</v>
      </c>
      <c r="E26" s="195">
        <v>1</v>
      </c>
      <c r="F26" s="195">
        <v>2</v>
      </c>
      <c r="G26" s="195">
        <v>2</v>
      </c>
      <c r="H26" s="195">
        <v>2</v>
      </c>
      <c r="I26" s="195">
        <v>1</v>
      </c>
      <c r="J26" s="194">
        <f t="shared" si="0"/>
        <v>1.6666666666666667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1</v>
      </c>
      <c r="E27" s="197">
        <v>1</v>
      </c>
      <c r="F27" s="197">
        <v>2</v>
      </c>
      <c r="G27" s="197">
        <v>2</v>
      </c>
      <c r="H27" s="197">
        <v>1</v>
      </c>
      <c r="I27" s="197">
        <v>1</v>
      </c>
      <c r="J27" s="194">
        <f t="shared" si="0"/>
        <v>1.3333333333333333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1</v>
      </c>
      <c r="E28" s="196">
        <v>2</v>
      </c>
      <c r="F28" s="196">
        <v>1</v>
      </c>
      <c r="G28" s="196">
        <v>1</v>
      </c>
      <c r="H28" s="196">
        <v>0</v>
      </c>
      <c r="I28" s="196">
        <v>1</v>
      </c>
      <c r="J28" s="194">
        <f t="shared" si="0"/>
        <v>1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1</v>
      </c>
      <c r="E29" s="196">
        <v>2</v>
      </c>
      <c r="F29" s="196">
        <v>1</v>
      </c>
      <c r="G29" s="196">
        <v>1</v>
      </c>
      <c r="H29" s="196">
        <v>2</v>
      </c>
      <c r="I29" s="196">
        <v>2</v>
      </c>
      <c r="J29" s="194">
        <f t="shared" si="0"/>
        <v>1.5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2</v>
      </c>
      <c r="E30" s="195">
        <v>1</v>
      </c>
      <c r="F30" s="195">
        <v>1</v>
      </c>
      <c r="G30" s="195">
        <v>1</v>
      </c>
      <c r="H30" s="195">
        <v>2</v>
      </c>
      <c r="I30" s="195">
        <v>1</v>
      </c>
      <c r="J30" s="194">
        <f t="shared" si="0"/>
        <v>1.3333333333333333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244F-9FC0-4BD7-80BE-C17BDEE61BFD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43703</v>
      </c>
      <c r="H1" s="201"/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56" t="s">
        <v>271</v>
      </c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1</v>
      </c>
      <c r="E7" s="197">
        <v>1</v>
      </c>
      <c r="F7" s="197">
        <v>1</v>
      </c>
      <c r="G7" s="197">
        <v>1</v>
      </c>
      <c r="H7" s="197">
        <v>1</v>
      </c>
      <c r="I7" s="197"/>
      <c r="J7" s="194">
        <f t="shared" ref="J7:J30" si="0">AVERAGE(D7:I7)</f>
        <v>1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2</v>
      </c>
      <c r="E8" s="196">
        <v>2</v>
      </c>
      <c r="F8" s="196">
        <v>1</v>
      </c>
      <c r="G8" s="196">
        <v>1</v>
      </c>
      <c r="H8" s="196">
        <v>1</v>
      </c>
      <c r="I8" s="196">
        <v>1</v>
      </c>
      <c r="J8" s="194">
        <f t="shared" si="0"/>
        <v>1.3333333333333333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1</v>
      </c>
      <c r="F9" s="196">
        <v>0</v>
      </c>
      <c r="G9" s="196">
        <v>1</v>
      </c>
      <c r="H9" s="196">
        <v>0</v>
      </c>
      <c r="I9" s="196">
        <v>0</v>
      </c>
      <c r="J9" s="194">
        <f t="shared" si="0"/>
        <v>0.5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0</v>
      </c>
      <c r="E10" s="195">
        <v>1</v>
      </c>
      <c r="F10" s="195">
        <v>1</v>
      </c>
      <c r="G10" s="195">
        <v>1</v>
      </c>
      <c r="H10" s="195">
        <v>1</v>
      </c>
      <c r="I10" s="195">
        <v>0</v>
      </c>
      <c r="J10" s="194">
        <f t="shared" si="0"/>
        <v>0.66666666666666663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2</v>
      </c>
      <c r="E11" s="197">
        <v>1</v>
      </c>
      <c r="F11" s="197">
        <v>1</v>
      </c>
      <c r="G11" s="197">
        <v>1</v>
      </c>
      <c r="H11" s="197">
        <v>2</v>
      </c>
      <c r="I11" s="197">
        <v>1</v>
      </c>
      <c r="J11" s="194">
        <f t="shared" si="0"/>
        <v>1.3333333333333333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1</v>
      </c>
      <c r="E12" s="196">
        <v>0</v>
      </c>
      <c r="F12" s="196">
        <v>0</v>
      </c>
      <c r="G12" s="196">
        <v>1</v>
      </c>
      <c r="H12" s="196">
        <v>1</v>
      </c>
      <c r="I12" s="196"/>
      <c r="J12" s="194">
        <f t="shared" si="0"/>
        <v>0.6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0</v>
      </c>
      <c r="E13" s="196">
        <v>1</v>
      </c>
      <c r="F13" s="196">
        <v>0</v>
      </c>
      <c r="G13" s="196">
        <v>1</v>
      </c>
      <c r="H13" s="196"/>
      <c r="I13" s="196"/>
      <c r="J13" s="194">
        <f t="shared" si="0"/>
        <v>0.5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1</v>
      </c>
      <c r="E14" s="195">
        <v>1</v>
      </c>
      <c r="F14" s="195">
        <v>1</v>
      </c>
      <c r="G14" s="195">
        <v>1</v>
      </c>
      <c r="H14" s="195">
        <v>0</v>
      </c>
      <c r="I14" s="195">
        <v>1</v>
      </c>
      <c r="J14" s="194">
        <f t="shared" si="0"/>
        <v>0.83333333333333337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2</v>
      </c>
      <c r="E15" s="197">
        <v>1</v>
      </c>
      <c r="F15" s="197">
        <v>1</v>
      </c>
      <c r="G15" s="197">
        <v>2</v>
      </c>
      <c r="H15" s="197">
        <v>1</v>
      </c>
      <c r="I15" s="197">
        <v>1</v>
      </c>
      <c r="J15" s="194">
        <f t="shared" si="0"/>
        <v>1.3333333333333333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1</v>
      </c>
      <c r="E16" s="196">
        <v>2</v>
      </c>
      <c r="F16" s="196">
        <v>1</v>
      </c>
      <c r="G16" s="196">
        <v>2</v>
      </c>
      <c r="H16" s="196">
        <v>1</v>
      </c>
      <c r="I16" s="196">
        <v>1</v>
      </c>
      <c r="J16" s="194">
        <f t="shared" si="0"/>
        <v>1.3333333333333333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1</v>
      </c>
      <c r="E17" s="196">
        <v>1</v>
      </c>
      <c r="F17" s="196">
        <v>1</v>
      </c>
      <c r="G17" s="196">
        <v>1</v>
      </c>
      <c r="H17" s="196">
        <v>1</v>
      </c>
      <c r="I17" s="196">
        <v>1</v>
      </c>
      <c r="J17" s="194">
        <f t="shared" si="0"/>
        <v>1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0</v>
      </c>
      <c r="E18" s="195">
        <v>1</v>
      </c>
      <c r="F18" s="195">
        <v>0</v>
      </c>
      <c r="G18" s="195">
        <v>1</v>
      </c>
      <c r="H18" s="195"/>
      <c r="I18" s="195"/>
      <c r="J18" s="194">
        <f t="shared" si="0"/>
        <v>0.5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1</v>
      </c>
      <c r="E19" s="197">
        <v>0</v>
      </c>
      <c r="F19" s="197">
        <v>1</v>
      </c>
      <c r="G19" s="197">
        <v>0</v>
      </c>
      <c r="H19" s="197">
        <v>0</v>
      </c>
      <c r="I19" s="197">
        <v>1</v>
      </c>
      <c r="J19" s="194">
        <f t="shared" si="0"/>
        <v>0.5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1</v>
      </c>
      <c r="E20" s="196">
        <v>1</v>
      </c>
      <c r="F20" s="196">
        <v>1</v>
      </c>
      <c r="G20" s="196">
        <v>0</v>
      </c>
      <c r="H20" s="196">
        <v>1</v>
      </c>
      <c r="I20" s="196">
        <v>1</v>
      </c>
      <c r="J20" s="194">
        <f t="shared" si="0"/>
        <v>0.83333333333333337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1</v>
      </c>
      <c r="E21" s="196">
        <v>1</v>
      </c>
      <c r="F21" s="196">
        <v>2</v>
      </c>
      <c r="G21" s="196">
        <v>1</v>
      </c>
      <c r="H21" s="196">
        <v>1</v>
      </c>
      <c r="I21" s="196">
        <v>0</v>
      </c>
      <c r="J21" s="194">
        <f t="shared" si="0"/>
        <v>1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1</v>
      </c>
      <c r="E22" s="195">
        <v>2</v>
      </c>
      <c r="F22" s="195">
        <v>1</v>
      </c>
      <c r="G22" s="195">
        <v>1</v>
      </c>
      <c r="H22" s="195">
        <v>1</v>
      </c>
      <c r="I22" s="195">
        <v>1</v>
      </c>
      <c r="J22" s="194">
        <f t="shared" si="0"/>
        <v>1.1666666666666667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1</v>
      </c>
      <c r="E23" s="197">
        <v>2</v>
      </c>
      <c r="F23" s="197">
        <v>2</v>
      </c>
      <c r="G23" s="197">
        <v>1</v>
      </c>
      <c r="H23" s="197">
        <v>1</v>
      </c>
      <c r="I23" s="197">
        <v>0</v>
      </c>
      <c r="J23" s="194">
        <f t="shared" si="0"/>
        <v>1.1666666666666667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1</v>
      </c>
      <c r="E24" s="196">
        <v>1</v>
      </c>
      <c r="F24" s="196">
        <v>1</v>
      </c>
      <c r="G24" s="196">
        <v>1</v>
      </c>
      <c r="H24" s="196">
        <v>0</v>
      </c>
      <c r="I24" s="196">
        <v>1</v>
      </c>
      <c r="J24" s="194">
        <f t="shared" si="0"/>
        <v>0.83333333333333337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1</v>
      </c>
      <c r="E25" s="196">
        <v>1</v>
      </c>
      <c r="F25" s="196">
        <v>0</v>
      </c>
      <c r="G25" s="196">
        <v>1</v>
      </c>
      <c r="H25" s="196">
        <v>1</v>
      </c>
      <c r="I25" s="196">
        <v>0</v>
      </c>
      <c r="J25" s="194">
        <f t="shared" si="0"/>
        <v>0.66666666666666663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1</v>
      </c>
      <c r="E26" s="195">
        <v>1</v>
      </c>
      <c r="F26" s="195">
        <v>1</v>
      </c>
      <c r="G26" s="195">
        <v>2</v>
      </c>
      <c r="H26" s="195">
        <v>1</v>
      </c>
      <c r="I26" s="195">
        <v>1</v>
      </c>
      <c r="J26" s="194">
        <f t="shared" si="0"/>
        <v>1.1666666666666667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1</v>
      </c>
      <c r="E27" s="197">
        <v>1</v>
      </c>
      <c r="F27" s="197">
        <v>1</v>
      </c>
      <c r="G27" s="197">
        <v>1</v>
      </c>
      <c r="H27" s="197">
        <v>1</v>
      </c>
      <c r="I27" s="197">
        <v>0</v>
      </c>
      <c r="J27" s="194">
        <f t="shared" si="0"/>
        <v>0.83333333333333337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1</v>
      </c>
      <c r="E28" s="196">
        <v>0</v>
      </c>
      <c r="F28" s="196">
        <v>1</v>
      </c>
      <c r="G28" s="196">
        <v>1</v>
      </c>
      <c r="H28" s="196">
        <v>1</v>
      </c>
      <c r="I28" s="196">
        <v>1</v>
      </c>
      <c r="J28" s="194">
        <f t="shared" si="0"/>
        <v>0.83333333333333337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1</v>
      </c>
      <c r="E29" s="196">
        <v>1</v>
      </c>
      <c r="F29" s="196">
        <v>2</v>
      </c>
      <c r="G29" s="196">
        <v>1</v>
      </c>
      <c r="H29" s="196">
        <v>1</v>
      </c>
      <c r="I29" s="196">
        <v>1</v>
      </c>
      <c r="J29" s="194">
        <f t="shared" si="0"/>
        <v>1.1666666666666667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1</v>
      </c>
      <c r="E30" s="195">
        <v>2</v>
      </c>
      <c r="F30" s="195">
        <v>1</v>
      </c>
      <c r="G30" s="195">
        <v>1</v>
      </c>
      <c r="H30" s="195">
        <v>1</v>
      </c>
      <c r="I30" s="195">
        <v>1</v>
      </c>
      <c r="J30" s="194">
        <f t="shared" si="0"/>
        <v>1.1666666666666667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DAD4-4340-4090-A0BC-F4FD946B744C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7">
        <v>43711</v>
      </c>
      <c r="H1" s="201" t="s">
        <v>66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>
        <v>0</v>
      </c>
      <c r="E7" s="197">
        <v>1</v>
      </c>
      <c r="F7" s="197">
        <v>1</v>
      </c>
      <c r="G7" s="197"/>
      <c r="H7" s="197"/>
      <c r="I7" s="197"/>
      <c r="J7" s="194">
        <f t="shared" ref="J7:J30" si="0">AVERAGE(D7:I7)</f>
        <v>0.66666666666666663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1</v>
      </c>
      <c r="E8" s="196">
        <v>2</v>
      </c>
      <c r="F8" s="196">
        <v>2</v>
      </c>
      <c r="G8" s="196">
        <v>0</v>
      </c>
      <c r="H8" s="196"/>
      <c r="I8" s="196"/>
      <c r="J8" s="194">
        <f t="shared" si="0"/>
        <v>1.25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0</v>
      </c>
      <c r="F9" s="196">
        <v>1</v>
      </c>
      <c r="G9" s="196">
        <v>1</v>
      </c>
      <c r="H9" s="196"/>
      <c r="I9" s="196"/>
      <c r="J9" s="194">
        <f t="shared" si="0"/>
        <v>0.75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0</v>
      </c>
      <c r="E10" s="195">
        <v>1</v>
      </c>
      <c r="F10" s="195">
        <v>0</v>
      </c>
      <c r="G10" s="195">
        <v>0</v>
      </c>
      <c r="H10" s="195"/>
      <c r="I10" s="195"/>
      <c r="J10" s="194">
        <f t="shared" si="0"/>
        <v>0.25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1</v>
      </c>
      <c r="E11" s="197">
        <v>0</v>
      </c>
      <c r="F11" s="197">
        <v>1</v>
      </c>
      <c r="G11" s="197">
        <v>1</v>
      </c>
      <c r="H11" s="197">
        <v>1</v>
      </c>
      <c r="I11" s="197">
        <v>0</v>
      </c>
      <c r="J11" s="194">
        <f t="shared" si="0"/>
        <v>0.66666666666666663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0</v>
      </c>
      <c r="E12" s="196">
        <v>0</v>
      </c>
      <c r="F12" s="196">
        <v>1</v>
      </c>
      <c r="G12" s="196"/>
      <c r="H12" s="196"/>
      <c r="I12" s="196"/>
      <c r="J12" s="194">
        <f t="shared" si="0"/>
        <v>0.33333333333333331</v>
      </c>
    </row>
    <row r="13" spans="1:10" ht="21.6" customHeight="1" thickTop="1" thickBot="1" x14ac:dyDescent="0.25">
      <c r="B13" s="155" t="s">
        <v>1</v>
      </c>
      <c r="C13" s="154">
        <v>2</v>
      </c>
      <c r="D13" s="196">
        <v>0</v>
      </c>
      <c r="E13" s="196">
        <v>1</v>
      </c>
      <c r="F13" s="196">
        <v>0</v>
      </c>
      <c r="G13" s="196"/>
      <c r="H13" s="196"/>
      <c r="I13" s="196"/>
      <c r="J13" s="194">
        <f t="shared" si="0"/>
        <v>0.33333333333333331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1</v>
      </c>
      <c r="E14" s="195">
        <v>0</v>
      </c>
      <c r="F14" s="195">
        <v>0</v>
      </c>
      <c r="G14" s="195"/>
      <c r="H14" s="195"/>
      <c r="I14" s="195"/>
      <c r="J14" s="194">
        <f t="shared" si="0"/>
        <v>0.33333333333333331</v>
      </c>
    </row>
    <row r="15" spans="1:10" ht="21.6" customHeight="1" thickTop="1" thickBot="1" x14ac:dyDescent="0.25">
      <c r="B15" s="11" t="s">
        <v>2</v>
      </c>
      <c r="C15" s="158">
        <v>1</v>
      </c>
      <c r="D15" s="197">
        <v>1</v>
      </c>
      <c r="E15" s="197">
        <v>1</v>
      </c>
      <c r="F15" s="197">
        <v>1</v>
      </c>
      <c r="G15" s="197">
        <v>1</v>
      </c>
      <c r="H15" s="197">
        <v>0</v>
      </c>
      <c r="I15" s="197">
        <v>1</v>
      </c>
      <c r="J15" s="194">
        <f t="shared" si="0"/>
        <v>0.83333333333333337</v>
      </c>
    </row>
    <row r="16" spans="1:10" ht="21.6" customHeight="1" thickTop="1" thickBot="1" x14ac:dyDescent="0.25">
      <c r="B16" s="155" t="s">
        <v>2</v>
      </c>
      <c r="C16" s="154">
        <v>2</v>
      </c>
      <c r="D16" s="196">
        <v>1</v>
      </c>
      <c r="E16" s="196">
        <v>1</v>
      </c>
      <c r="F16" s="196">
        <v>0</v>
      </c>
      <c r="G16" s="196">
        <v>1</v>
      </c>
      <c r="H16" s="196">
        <v>1</v>
      </c>
      <c r="I16" s="196">
        <v>1</v>
      </c>
      <c r="J16" s="194">
        <f t="shared" si="0"/>
        <v>0.83333333333333337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1</v>
      </c>
      <c r="E17" s="196">
        <v>0</v>
      </c>
      <c r="F17" s="196">
        <v>0</v>
      </c>
      <c r="G17" s="196">
        <v>1</v>
      </c>
      <c r="H17" s="196"/>
      <c r="I17" s="196"/>
      <c r="J17" s="194">
        <f t="shared" si="0"/>
        <v>0.5</v>
      </c>
    </row>
    <row r="18" spans="1:10" ht="21.6" customHeight="1" thickTop="1" thickBot="1" x14ac:dyDescent="0.25">
      <c r="B18" s="151" t="s">
        <v>2</v>
      </c>
      <c r="C18" s="150">
        <v>4</v>
      </c>
      <c r="D18" s="195">
        <v>1</v>
      </c>
      <c r="E18" s="195"/>
      <c r="F18" s="195"/>
      <c r="G18" s="195"/>
      <c r="H18" s="195"/>
      <c r="I18" s="195"/>
      <c r="J18" s="194">
        <f t="shared" si="0"/>
        <v>1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1</v>
      </c>
      <c r="E19" s="197">
        <v>0</v>
      </c>
      <c r="F19" s="197">
        <v>1</v>
      </c>
      <c r="G19" s="197">
        <v>1</v>
      </c>
      <c r="H19" s="197">
        <v>1</v>
      </c>
      <c r="I19" s="197">
        <v>1</v>
      </c>
      <c r="J19" s="194">
        <f t="shared" si="0"/>
        <v>0.83333333333333337</v>
      </c>
    </row>
    <row r="20" spans="1:10" ht="21.6" customHeight="1" thickTop="1" thickBot="1" x14ac:dyDescent="0.25">
      <c r="B20" s="155" t="s">
        <v>3</v>
      </c>
      <c r="C20" s="154">
        <v>3</v>
      </c>
      <c r="D20" s="196">
        <v>0</v>
      </c>
      <c r="E20" s="196">
        <v>1</v>
      </c>
      <c r="F20" s="196">
        <v>1</v>
      </c>
      <c r="G20" s="196"/>
      <c r="H20" s="196"/>
      <c r="I20" s="196"/>
      <c r="J20" s="194">
        <f t="shared" si="0"/>
        <v>0.66666666666666663</v>
      </c>
    </row>
    <row r="21" spans="1:10" ht="21.6" customHeight="1" thickTop="1" thickBot="1" x14ac:dyDescent="0.25">
      <c r="B21" s="155" t="s">
        <v>3</v>
      </c>
      <c r="C21" s="154">
        <v>2</v>
      </c>
      <c r="D21" s="196">
        <v>1</v>
      </c>
      <c r="E21" s="196">
        <v>0</v>
      </c>
      <c r="F21" s="196">
        <v>1</v>
      </c>
      <c r="G21" s="196">
        <v>1</v>
      </c>
      <c r="H21" s="196">
        <v>1</v>
      </c>
      <c r="I21" s="196"/>
      <c r="J21" s="194">
        <f t="shared" si="0"/>
        <v>0.8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>
        <v>1</v>
      </c>
      <c r="E22" s="195">
        <v>0</v>
      </c>
      <c r="F22" s="195">
        <v>1</v>
      </c>
      <c r="G22" s="195">
        <v>0</v>
      </c>
      <c r="H22" s="195"/>
      <c r="I22" s="195"/>
      <c r="J22" s="194">
        <f t="shared" si="0"/>
        <v>0.5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>
        <v>1</v>
      </c>
      <c r="E23" s="197">
        <v>1</v>
      </c>
      <c r="F23" s="197">
        <v>1</v>
      </c>
      <c r="G23" s="197">
        <v>1</v>
      </c>
      <c r="H23" s="197">
        <v>1</v>
      </c>
      <c r="I23" s="197">
        <v>1</v>
      </c>
      <c r="J23" s="194">
        <f t="shared" si="0"/>
        <v>1</v>
      </c>
    </row>
    <row r="24" spans="1:10" ht="21.6" customHeight="1" thickTop="1" thickBot="1" x14ac:dyDescent="0.25">
      <c r="B24" s="155" t="s">
        <v>4</v>
      </c>
      <c r="C24" s="154">
        <v>2</v>
      </c>
      <c r="D24" s="196">
        <v>1</v>
      </c>
      <c r="E24" s="196">
        <v>1</v>
      </c>
      <c r="F24" s="196">
        <v>0</v>
      </c>
      <c r="G24" s="196"/>
      <c r="H24" s="196"/>
      <c r="I24" s="196"/>
      <c r="J24" s="194">
        <f t="shared" si="0"/>
        <v>0.66666666666666663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1</v>
      </c>
      <c r="E25" s="196">
        <v>1</v>
      </c>
      <c r="F25" s="196">
        <v>1</v>
      </c>
      <c r="G25" s="196"/>
      <c r="H25" s="196"/>
      <c r="I25" s="196"/>
      <c r="J25" s="194">
        <f t="shared" si="0"/>
        <v>1</v>
      </c>
    </row>
    <row r="26" spans="1:10" ht="21.6" customHeight="1" thickTop="1" thickBot="1" x14ac:dyDescent="0.25">
      <c r="B26" s="151" t="s">
        <v>4</v>
      </c>
      <c r="C26" s="150">
        <v>4</v>
      </c>
      <c r="D26" s="195">
        <v>1</v>
      </c>
      <c r="E26" s="195">
        <v>1</v>
      </c>
      <c r="F26" s="195">
        <v>0</v>
      </c>
      <c r="G26" s="195">
        <v>1</v>
      </c>
      <c r="H26" s="195">
        <v>2</v>
      </c>
      <c r="I26" s="195"/>
      <c r="J26" s="194">
        <f t="shared" si="0"/>
        <v>1</v>
      </c>
    </row>
    <row r="27" spans="1:10" ht="21.6" customHeight="1" thickTop="1" thickBot="1" x14ac:dyDescent="0.25">
      <c r="B27" s="11" t="s">
        <v>5</v>
      </c>
      <c r="C27" s="158">
        <v>4</v>
      </c>
      <c r="D27" s="197">
        <v>1</v>
      </c>
      <c r="E27" s="197">
        <v>1</v>
      </c>
      <c r="F27" s="197">
        <v>1</v>
      </c>
      <c r="G27" s="197">
        <v>0</v>
      </c>
      <c r="H27" s="197">
        <v>1</v>
      </c>
      <c r="I27" s="197"/>
      <c r="J27" s="194">
        <f t="shared" si="0"/>
        <v>0.8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1</v>
      </c>
      <c r="E28" s="196">
        <v>0</v>
      </c>
      <c r="F28" s="196">
        <v>1</v>
      </c>
      <c r="G28" s="196"/>
      <c r="H28" s="196"/>
      <c r="I28" s="196"/>
      <c r="J28" s="194">
        <f t="shared" si="0"/>
        <v>0.66666666666666663</v>
      </c>
    </row>
    <row r="29" spans="1:10" ht="21.6" customHeight="1" thickTop="1" thickBot="1" x14ac:dyDescent="0.25">
      <c r="B29" s="155" t="s">
        <v>5</v>
      </c>
      <c r="C29" s="154">
        <v>2</v>
      </c>
      <c r="D29" s="196">
        <v>1</v>
      </c>
      <c r="E29" s="196">
        <v>1</v>
      </c>
      <c r="F29" s="196">
        <v>1</v>
      </c>
      <c r="G29" s="196">
        <v>0</v>
      </c>
      <c r="H29" s="196">
        <v>1</v>
      </c>
      <c r="I29" s="196">
        <v>1</v>
      </c>
      <c r="J29" s="194">
        <f t="shared" si="0"/>
        <v>0.83333333333333337</v>
      </c>
    </row>
    <row r="30" spans="1:10" ht="21.6" customHeight="1" thickTop="1" thickBot="1" x14ac:dyDescent="0.25">
      <c r="B30" s="151" t="s">
        <v>5</v>
      </c>
      <c r="C30" s="150">
        <v>1</v>
      </c>
      <c r="D30" s="195">
        <v>0</v>
      </c>
      <c r="E30" s="195">
        <v>1</v>
      </c>
      <c r="F30" s="195">
        <v>2</v>
      </c>
      <c r="G30" s="195">
        <v>1</v>
      </c>
      <c r="H30" s="195">
        <v>1</v>
      </c>
      <c r="I30" s="195">
        <v>2</v>
      </c>
      <c r="J30" s="194">
        <f t="shared" si="0"/>
        <v>1.1666666666666667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B4F7-A8F5-43E8-B79E-BBED0A1EAD99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2019</v>
      </c>
      <c r="B1" s="8" t="s">
        <v>25</v>
      </c>
      <c r="D1" s="8" t="s">
        <v>6</v>
      </c>
      <c r="F1" s="4" t="s">
        <v>8</v>
      </c>
      <c r="G1" s="202">
        <v>43724</v>
      </c>
      <c r="H1" s="201" t="s">
        <v>67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265</v>
      </c>
      <c r="F3" s="4" t="s">
        <v>13</v>
      </c>
      <c r="G3" s="4" t="s">
        <v>40</v>
      </c>
    </row>
    <row r="4" spans="1:10" ht="33" customHeight="1" x14ac:dyDescent="0.2">
      <c r="B4" s="217" t="s">
        <v>264</v>
      </c>
      <c r="C4" s="221"/>
      <c r="D4" s="221"/>
      <c r="E4" s="221"/>
      <c r="F4" s="221"/>
      <c r="G4" s="221"/>
      <c r="H4" s="221"/>
      <c r="I4" s="167"/>
    </row>
    <row r="5" spans="1:10" ht="15" customHeight="1" x14ac:dyDescent="0.2">
      <c r="B5" s="5"/>
      <c r="D5" s="166"/>
      <c r="E5" s="166"/>
      <c r="F5" s="166"/>
      <c r="G5" s="166"/>
      <c r="H5" s="166"/>
      <c r="I5" s="3"/>
    </row>
    <row r="6" spans="1:10" ht="21.6" customHeight="1" thickBot="1" x14ac:dyDescent="0.25">
      <c r="B6" s="213" t="s">
        <v>7</v>
      </c>
      <c r="C6" s="213"/>
      <c r="D6" s="199" t="s">
        <v>30</v>
      </c>
      <c r="E6" s="199" t="s">
        <v>30</v>
      </c>
      <c r="F6" s="199" t="s">
        <v>30</v>
      </c>
      <c r="G6" s="199" t="s">
        <v>30</v>
      </c>
      <c r="H6" s="199" t="s">
        <v>30</v>
      </c>
      <c r="I6" s="199" t="s">
        <v>30</v>
      </c>
      <c r="J6" s="198" t="s">
        <v>262</v>
      </c>
    </row>
    <row r="7" spans="1:10" ht="21.6" customHeight="1" thickTop="1" thickBot="1" x14ac:dyDescent="0.25">
      <c r="B7" s="11" t="s">
        <v>0</v>
      </c>
      <c r="C7" s="158">
        <v>1</v>
      </c>
      <c r="D7" s="197"/>
      <c r="E7" s="197"/>
      <c r="F7" s="197"/>
      <c r="G7" s="197"/>
      <c r="H7" s="197"/>
      <c r="I7" s="197"/>
      <c r="J7" s="194" t="e">
        <f t="shared" ref="J7:J30" si="0">AVERAGE(D7:I7)</f>
        <v>#DIV/0!</v>
      </c>
    </row>
    <row r="8" spans="1:10" ht="21.6" customHeight="1" thickTop="1" thickBot="1" x14ac:dyDescent="0.25">
      <c r="B8" s="155" t="s">
        <v>0</v>
      </c>
      <c r="C8" s="154">
        <v>2</v>
      </c>
      <c r="D8" s="196">
        <v>2</v>
      </c>
      <c r="E8" s="196">
        <v>2</v>
      </c>
      <c r="F8" s="196">
        <v>1</v>
      </c>
      <c r="G8" s="196"/>
      <c r="H8" s="196"/>
      <c r="I8" s="196"/>
      <c r="J8" s="194">
        <f t="shared" si="0"/>
        <v>1.6666666666666667</v>
      </c>
    </row>
    <row r="9" spans="1:10" ht="21.6" customHeight="1" thickTop="1" thickBot="1" x14ac:dyDescent="0.25">
      <c r="B9" s="155" t="s">
        <v>0</v>
      </c>
      <c r="C9" s="154">
        <v>3</v>
      </c>
      <c r="D9" s="196">
        <v>1</v>
      </c>
      <c r="E9" s="196">
        <v>0</v>
      </c>
      <c r="F9" s="196"/>
      <c r="G9" s="196"/>
      <c r="H9" s="196"/>
      <c r="I9" s="196"/>
      <c r="J9" s="194">
        <f t="shared" si="0"/>
        <v>0.5</v>
      </c>
    </row>
    <row r="10" spans="1:10" ht="21.6" customHeight="1" thickTop="1" thickBot="1" x14ac:dyDescent="0.25">
      <c r="B10" s="151" t="s">
        <v>0</v>
      </c>
      <c r="C10" s="150">
        <v>4</v>
      </c>
      <c r="D10" s="195">
        <v>1</v>
      </c>
      <c r="E10" s="195"/>
      <c r="F10" s="195"/>
      <c r="G10" s="195"/>
      <c r="H10" s="195"/>
      <c r="I10" s="195"/>
      <c r="J10" s="194">
        <f t="shared" si="0"/>
        <v>1</v>
      </c>
    </row>
    <row r="11" spans="1:10" ht="21.6" customHeight="1" thickTop="1" thickBot="1" x14ac:dyDescent="0.25">
      <c r="B11" s="11" t="s">
        <v>1</v>
      </c>
      <c r="C11" s="158">
        <v>4</v>
      </c>
      <c r="D11" s="197">
        <v>2</v>
      </c>
      <c r="E11" s="197">
        <v>1</v>
      </c>
      <c r="F11" s="197"/>
      <c r="G11" s="197"/>
      <c r="H11" s="197"/>
      <c r="I11" s="197"/>
      <c r="J11" s="194">
        <f t="shared" si="0"/>
        <v>1.5</v>
      </c>
    </row>
    <row r="12" spans="1:10" ht="21.6" customHeight="1" thickTop="1" thickBot="1" x14ac:dyDescent="0.25">
      <c r="B12" s="155" t="s">
        <v>1</v>
      </c>
      <c r="C12" s="154">
        <v>3</v>
      </c>
      <c r="D12" s="196">
        <v>1</v>
      </c>
      <c r="E12" s="196"/>
      <c r="F12" s="196"/>
      <c r="G12" s="196"/>
      <c r="H12" s="196"/>
      <c r="I12" s="196"/>
      <c r="J12" s="194">
        <f t="shared" si="0"/>
        <v>1</v>
      </c>
    </row>
    <row r="13" spans="1:10" ht="21.6" customHeight="1" thickTop="1" thickBot="1" x14ac:dyDescent="0.25">
      <c r="B13" s="155" t="s">
        <v>1</v>
      </c>
      <c r="C13" s="154">
        <v>2</v>
      </c>
      <c r="D13" s="196"/>
      <c r="E13" s="196"/>
      <c r="F13" s="196"/>
      <c r="G13" s="196"/>
      <c r="H13" s="196"/>
      <c r="I13" s="196"/>
      <c r="J13" s="194" t="e">
        <f t="shared" si="0"/>
        <v>#DIV/0!</v>
      </c>
    </row>
    <row r="14" spans="1:10" ht="21.6" customHeight="1" thickTop="1" thickBot="1" x14ac:dyDescent="0.25">
      <c r="B14" s="151" t="s">
        <v>1</v>
      </c>
      <c r="C14" s="150">
        <v>1</v>
      </c>
      <c r="D14" s="195">
        <v>2</v>
      </c>
      <c r="E14" s="195"/>
      <c r="F14" s="195"/>
      <c r="G14" s="195"/>
      <c r="H14" s="195"/>
      <c r="I14" s="195"/>
      <c r="J14" s="194">
        <f t="shared" si="0"/>
        <v>2</v>
      </c>
    </row>
    <row r="15" spans="1:10" ht="21.6" customHeight="1" thickTop="1" thickBot="1" x14ac:dyDescent="0.25">
      <c r="B15" s="11" t="s">
        <v>2</v>
      </c>
      <c r="C15" s="158">
        <v>1</v>
      </c>
      <c r="D15" s="197"/>
      <c r="E15" s="197"/>
      <c r="F15" s="197"/>
      <c r="G15" s="197"/>
      <c r="H15" s="197"/>
      <c r="I15" s="197"/>
      <c r="J15" s="194" t="e">
        <f t="shared" si="0"/>
        <v>#DIV/0!</v>
      </c>
    </row>
    <row r="16" spans="1:10" ht="21.6" customHeight="1" thickTop="1" thickBot="1" x14ac:dyDescent="0.25">
      <c r="B16" s="155" t="s">
        <v>2</v>
      </c>
      <c r="C16" s="154">
        <v>2</v>
      </c>
      <c r="D16" s="196"/>
      <c r="E16" s="196"/>
      <c r="F16" s="196"/>
      <c r="G16" s="196"/>
      <c r="H16" s="196"/>
      <c r="I16" s="196"/>
      <c r="J16" s="194" t="e">
        <f t="shared" si="0"/>
        <v>#DIV/0!</v>
      </c>
    </row>
    <row r="17" spans="1:10" ht="21.6" customHeight="1" thickTop="1" thickBot="1" x14ac:dyDescent="0.25">
      <c r="B17" s="155" t="s">
        <v>2</v>
      </c>
      <c r="C17" s="154">
        <v>3</v>
      </c>
      <c r="D17" s="196">
        <v>1</v>
      </c>
      <c r="E17" s="196"/>
      <c r="F17" s="196"/>
      <c r="G17" s="196"/>
      <c r="H17" s="196"/>
      <c r="I17" s="196"/>
      <c r="J17" s="194">
        <f t="shared" si="0"/>
        <v>1</v>
      </c>
    </row>
    <row r="18" spans="1:10" ht="21.6" customHeight="1" thickTop="1" thickBot="1" x14ac:dyDescent="0.25">
      <c r="B18" s="151" t="s">
        <v>2</v>
      </c>
      <c r="C18" s="150">
        <v>4</v>
      </c>
      <c r="D18" s="195"/>
      <c r="E18" s="195"/>
      <c r="F18" s="195"/>
      <c r="G18" s="195"/>
      <c r="H18" s="195"/>
      <c r="I18" s="195"/>
      <c r="J18" s="194" t="e">
        <f t="shared" si="0"/>
        <v>#DIV/0!</v>
      </c>
    </row>
    <row r="19" spans="1:10" ht="21.6" customHeight="1" thickTop="1" thickBot="1" x14ac:dyDescent="0.25">
      <c r="B19" s="11" t="s">
        <v>3</v>
      </c>
      <c r="C19" s="158">
        <v>4</v>
      </c>
      <c r="D19" s="197">
        <v>1</v>
      </c>
      <c r="E19" s="197">
        <v>2</v>
      </c>
      <c r="F19" s="197"/>
      <c r="G19" s="197"/>
      <c r="H19" s="197"/>
      <c r="I19" s="197"/>
      <c r="J19" s="194">
        <f t="shared" si="0"/>
        <v>1.5</v>
      </c>
    </row>
    <row r="20" spans="1:10" ht="21.6" customHeight="1" thickTop="1" thickBot="1" x14ac:dyDescent="0.25">
      <c r="B20" s="155" t="s">
        <v>3</v>
      </c>
      <c r="C20" s="154">
        <v>3</v>
      </c>
      <c r="D20" s="196"/>
      <c r="E20" s="196"/>
      <c r="F20" s="196"/>
      <c r="G20" s="196"/>
      <c r="H20" s="196"/>
      <c r="I20" s="196"/>
      <c r="J20" s="194" t="e">
        <f t="shared" si="0"/>
        <v>#DIV/0!</v>
      </c>
    </row>
    <row r="21" spans="1:10" ht="21.6" customHeight="1" thickTop="1" thickBot="1" x14ac:dyDescent="0.25">
      <c r="B21" s="155" t="s">
        <v>3</v>
      </c>
      <c r="C21" s="154">
        <v>2</v>
      </c>
      <c r="D21" s="196"/>
      <c r="E21" s="196"/>
      <c r="F21" s="196"/>
      <c r="G21" s="196"/>
      <c r="H21" s="196"/>
      <c r="I21" s="196"/>
      <c r="J21" s="194" t="e">
        <f t="shared" si="0"/>
        <v>#DIV/0!</v>
      </c>
    </row>
    <row r="22" spans="1:10" ht="21.6" customHeight="1" thickTop="1" thickBot="1" x14ac:dyDescent="0.25">
      <c r="A22" s="1"/>
      <c r="B22" s="151" t="s">
        <v>3</v>
      </c>
      <c r="C22" s="150">
        <v>1</v>
      </c>
      <c r="D22" s="195"/>
      <c r="E22" s="195"/>
      <c r="F22" s="195"/>
      <c r="G22" s="195"/>
      <c r="H22" s="195"/>
      <c r="I22" s="195"/>
      <c r="J22" s="194" t="e">
        <f t="shared" si="0"/>
        <v>#DIV/0!</v>
      </c>
    </row>
    <row r="23" spans="1:10" ht="21.6" customHeight="1" thickTop="1" thickBot="1" x14ac:dyDescent="0.25">
      <c r="A23" s="12"/>
      <c r="B23" s="11" t="s">
        <v>4</v>
      </c>
      <c r="C23" s="158">
        <v>1</v>
      </c>
      <c r="D23" s="197"/>
      <c r="E23" s="197"/>
      <c r="F23" s="197"/>
      <c r="G23" s="197"/>
      <c r="H23" s="197"/>
      <c r="I23" s="197"/>
      <c r="J23" s="194" t="e">
        <f t="shared" si="0"/>
        <v>#DIV/0!</v>
      </c>
    </row>
    <row r="24" spans="1:10" ht="21.6" customHeight="1" thickTop="1" thickBot="1" x14ac:dyDescent="0.25">
      <c r="B24" s="155" t="s">
        <v>4</v>
      </c>
      <c r="C24" s="154">
        <v>2</v>
      </c>
      <c r="D24" s="196"/>
      <c r="E24" s="196"/>
      <c r="F24" s="196"/>
      <c r="G24" s="196"/>
      <c r="H24" s="196"/>
      <c r="I24" s="196"/>
      <c r="J24" s="194" t="e">
        <f t="shared" si="0"/>
        <v>#DIV/0!</v>
      </c>
    </row>
    <row r="25" spans="1:10" ht="21.6" customHeight="1" thickTop="1" thickBot="1" x14ac:dyDescent="0.25">
      <c r="B25" s="155" t="s">
        <v>4</v>
      </c>
      <c r="C25" s="154">
        <v>3</v>
      </c>
      <c r="D25" s="196">
        <v>2</v>
      </c>
      <c r="E25" s="196">
        <v>1</v>
      </c>
      <c r="F25" s="196"/>
      <c r="G25" s="196"/>
      <c r="H25" s="196"/>
      <c r="I25" s="196"/>
      <c r="J25" s="194">
        <f t="shared" si="0"/>
        <v>1.5</v>
      </c>
    </row>
    <row r="26" spans="1:10" ht="21.6" customHeight="1" thickTop="1" thickBot="1" x14ac:dyDescent="0.25">
      <c r="B26" s="151" t="s">
        <v>4</v>
      </c>
      <c r="C26" s="150">
        <v>4</v>
      </c>
      <c r="D26" s="195"/>
      <c r="E26" s="195"/>
      <c r="F26" s="195"/>
      <c r="G26" s="195"/>
      <c r="H26" s="195"/>
      <c r="I26" s="195"/>
      <c r="J26" s="194" t="e">
        <f t="shared" si="0"/>
        <v>#DIV/0!</v>
      </c>
    </row>
    <row r="27" spans="1:10" ht="21.6" customHeight="1" thickTop="1" thickBot="1" x14ac:dyDescent="0.25">
      <c r="B27" s="11" t="s">
        <v>5</v>
      </c>
      <c r="C27" s="158">
        <v>4</v>
      </c>
      <c r="D27" s="197"/>
      <c r="E27" s="197"/>
      <c r="F27" s="197"/>
      <c r="G27" s="197"/>
      <c r="H27" s="197"/>
      <c r="I27" s="197"/>
      <c r="J27" s="194" t="e">
        <f t="shared" si="0"/>
        <v>#DIV/0!</v>
      </c>
    </row>
    <row r="28" spans="1:10" ht="21.6" customHeight="1" thickTop="1" thickBot="1" x14ac:dyDescent="0.25">
      <c r="B28" s="155" t="s">
        <v>5</v>
      </c>
      <c r="C28" s="154">
        <v>3</v>
      </c>
      <c r="D28" s="196">
        <v>1</v>
      </c>
      <c r="E28" s="196"/>
      <c r="F28" s="196"/>
      <c r="G28" s="196"/>
      <c r="H28" s="196"/>
      <c r="I28" s="196"/>
      <c r="J28" s="194">
        <f t="shared" si="0"/>
        <v>1</v>
      </c>
    </row>
    <row r="29" spans="1:10" ht="21.6" customHeight="1" thickTop="1" thickBot="1" x14ac:dyDescent="0.25">
      <c r="B29" s="155" t="s">
        <v>5</v>
      </c>
      <c r="C29" s="154">
        <v>2</v>
      </c>
      <c r="D29" s="196"/>
      <c r="E29" s="196"/>
      <c r="F29" s="196"/>
      <c r="G29" s="196"/>
      <c r="H29" s="196"/>
      <c r="I29" s="196"/>
      <c r="J29" s="194" t="e">
        <f t="shared" si="0"/>
        <v>#DIV/0!</v>
      </c>
    </row>
    <row r="30" spans="1:10" ht="21.6" customHeight="1" thickTop="1" thickBot="1" x14ac:dyDescent="0.25">
      <c r="B30" s="151" t="s">
        <v>5</v>
      </c>
      <c r="C30" s="150">
        <v>1</v>
      </c>
      <c r="D30" s="195"/>
      <c r="E30" s="195"/>
      <c r="F30" s="195"/>
      <c r="G30" s="195"/>
      <c r="H30" s="195"/>
      <c r="I30" s="195"/>
      <c r="J30" s="194" t="e">
        <f t="shared" si="0"/>
        <v>#DIV/0!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33</vt:i4>
      </vt:variant>
    </vt:vector>
  </HeadingPairs>
  <TitlesOfParts>
    <vt:vector size="60" baseType="lpstr">
      <vt:lpstr>Height</vt:lpstr>
      <vt:lpstr>Width</vt:lpstr>
      <vt:lpstr>LAImeter</vt:lpstr>
      <vt:lpstr>Density</vt:lpstr>
      <vt:lpstr>Develop</vt:lpstr>
      <vt:lpstr>Ordering</vt:lpstr>
      <vt:lpstr>Blank Data Sheet</vt:lpstr>
      <vt:lpstr>Height Summary</vt:lpstr>
      <vt:lpstr>Cover Summary</vt:lpstr>
      <vt:lpstr>Averages</vt:lpstr>
      <vt:lpstr>Emergence</vt:lpstr>
      <vt:lpstr>1stLeaf</vt:lpstr>
      <vt:lpstr>Counts1</vt:lpstr>
      <vt:lpstr>Counts2</vt:lpstr>
      <vt:lpstr>Flowering</vt:lpstr>
      <vt:lpstr>NAWFd176</vt:lpstr>
      <vt:lpstr>NAWFd182</vt:lpstr>
      <vt:lpstr>NAWFd189</vt:lpstr>
      <vt:lpstr>NAWFd196</vt:lpstr>
      <vt:lpstr>NAWFd203</vt:lpstr>
      <vt:lpstr>NAWFd211</vt:lpstr>
      <vt:lpstr>NAWFd217</vt:lpstr>
      <vt:lpstr>NAWFd225</vt:lpstr>
      <vt:lpstr>NAWFd232</vt:lpstr>
      <vt:lpstr>NAWFd238</vt:lpstr>
      <vt:lpstr>NAWFd246</vt:lpstr>
      <vt:lpstr>NAWFd259</vt:lpstr>
      <vt:lpstr>'1stLeaf'!Print_Area</vt:lpstr>
      <vt:lpstr>'Blank Data Sheet'!Print_Area</vt:lpstr>
      <vt:lpstr>Counts1!Print_Area</vt:lpstr>
      <vt:lpstr>'Cover Summary'!Print_Area</vt:lpstr>
      <vt:lpstr>'Height Summary'!Print_Area</vt:lpstr>
      <vt:lpstr>NAWFd176!Print_Area</vt:lpstr>
      <vt:lpstr>NAWFd182!Print_Area</vt:lpstr>
      <vt:lpstr>NAWFd189!Print_Area</vt:lpstr>
      <vt:lpstr>NAWFd196!Print_Area</vt:lpstr>
      <vt:lpstr>NAWFd203!Print_Area</vt:lpstr>
      <vt:lpstr>NAWFd211!Print_Area</vt:lpstr>
      <vt:lpstr>NAWFd217!Print_Area</vt:lpstr>
      <vt:lpstr>NAWFd225!Print_Area</vt:lpstr>
      <vt:lpstr>NAWFd232!Print_Area</vt:lpstr>
      <vt:lpstr>NAWFd238!Print_Area</vt:lpstr>
      <vt:lpstr>NAWFd246!Print_Area</vt:lpstr>
      <vt:lpstr>NAWFd259!Print_Area</vt:lpstr>
      <vt:lpstr>'Blank Data Sheet'!Print_Titles</vt:lpstr>
      <vt:lpstr>Counts1!Print_Titles</vt:lpstr>
      <vt:lpstr>'Cover Summary'!Print_Titles</vt:lpstr>
      <vt:lpstr>'Height Summary'!Print_Titles</vt:lpstr>
      <vt:lpstr>NAWFd176!Print_Titles</vt:lpstr>
      <vt:lpstr>NAWFd182!Print_Titles</vt:lpstr>
      <vt:lpstr>NAWFd189!Print_Titles</vt:lpstr>
      <vt:lpstr>NAWFd196!Print_Titles</vt:lpstr>
      <vt:lpstr>NAWFd203!Print_Titles</vt:lpstr>
      <vt:lpstr>NAWFd211!Print_Titles</vt:lpstr>
      <vt:lpstr>NAWFd217!Print_Titles</vt:lpstr>
      <vt:lpstr>NAWFd225!Print_Titles</vt:lpstr>
      <vt:lpstr>NAWFd232!Print_Titles</vt:lpstr>
      <vt:lpstr>NAWFd238!Print_Titles</vt:lpstr>
      <vt:lpstr>NAWFd246!Print_Titles</vt:lpstr>
      <vt:lpstr>NAWFd259!Print_Titles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2019-05-15T21:00:46Z</cp:lastPrinted>
  <dcterms:created xsi:type="dcterms:W3CDTF">2016-05-31T16:53:28Z</dcterms:created>
  <dcterms:modified xsi:type="dcterms:W3CDTF">2025-05-01T20:36:34Z</dcterms:modified>
</cp:coreProperties>
</file>