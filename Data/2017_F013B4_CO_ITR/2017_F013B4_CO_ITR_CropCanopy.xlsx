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7_F013B4_CO_ITR\"/>
    </mc:Choice>
  </mc:AlternateContent>
  <xr:revisionPtr revIDLastSave="0" documentId="13_ncr:1_{5811EAE3-024A-4517-9AB1-0F831FE47164}" xr6:coauthVersionLast="47" xr6:coauthVersionMax="47" xr10:uidLastSave="{00000000-0000-0000-0000-000000000000}"/>
  <bookViews>
    <workbookView xWindow="-1545" yWindow="-27375" windowWidth="17820" windowHeight="26805" xr2:uid="{00000000-000D-0000-FFFF-FFFF00000000}"/>
  </bookViews>
  <sheets>
    <sheet name="Height" sheetId="10" r:id="rId1"/>
    <sheet name="Width" sheetId="11" r:id="rId2"/>
    <sheet name="Ordering" sheetId="9" r:id="rId3"/>
    <sheet name="Blank Data Sheet" sheetId="1" r:id="rId4"/>
    <sheet name="Height Summary" sheetId="5" r:id="rId5"/>
    <sheet name="Cover Summary" sheetId="7" r:id="rId6"/>
    <sheet name="Averages" sheetId="8" r:id="rId7"/>
  </sheets>
  <definedNames>
    <definedName name="_xlnm.Print_Area" localSheetId="3">'Blank Data Sheet'!$A$1:$N$106</definedName>
    <definedName name="_xlnm.Print_Area" localSheetId="5">'Cover Summary'!$A$1:$K$108</definedName>
    <definedName name="_xlnm.Print_Area" localSheetId="4">'Height Summary'!$A$1:$T$108</definedName>
    <definedName name="_xlnm.Print_Titles" localSheetId="3">'Blank Data Sheet'!$7:$7</definedName>
    <definedName name="_xlnm.Print_Titles" localSheetId="5">'Cover Summary'!$12:$12</definedName>
    <definedName name="_xlnm.Print_Titles" localSheetId="4">'Height Summary'!$12:$12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9" l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X14" i="5"/>
  <c r="Q32" i="8" l="1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D7" i="8" l="1"/>
  <c r="Q52" i="8" l="1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P52" i="8"/>
  <c r="P51" i="8"/>
  <c r="P50" i="8"/>
  <c r="P49" i="8"/>
  <c r="P48" i="8"/>
  <c r="P46" i="8"/>
  <c r="P45" i="8"/>
  <c r="P43" i="8"/>
  <c r="P42" i="8"/>
  <c r="P41" i="8"/>
  <c r="P40" i="8"/>
  <c r="P39" i="8"/>
  <c r="P38" i="8"/>
  <c r="P37" i="8"/>
  <c r="P36" i="8"/>
  <c r="P35" i="8"/>
  <c r="P34" i="8"/>
  <c r="P33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O52" i="8"/>
  <c r="N52" i="8"/>
  <c r="M52" i="8"/>
  <c r="L52" i="8"/>
  <c r="O51" i="8"/>
  <c r="N51" i="8"/>
  <c r="M51" i="8"/>
  <c r="L51" i="8"/>
  <c r="O50" i="8"/>
  <c r="N50" i="8"/>
  <c r="M50" i="8"/>
  <c r="L50" i="8"/>
  <c r="O49" i="8"/>
  <c r="N49" i="8"/>
  <c r="M49" i="8"/>
  <c r="L49" i="8"/>
  <c r="O48" i="8"/>
  <c r="N48" i="8"/>
  <c r="M48" i="8"/>
  <c r="L48" i="8"/>
  <c r="O47" i="8"/>
  <c r="N47" i="8"/>
  <c r="M47" i="8"/>
  <c r="L47" i="8"/>
  <c r="O46" i="8"/>
  <c r="N46" i="8"/>
  <c r="M46" i="8"/>
  <c r="L46" i="8"/>
  <c r="O45" i="8"/>
  <c r="N45" i="8"/>
  <c r="M45" i="8"/>
  <c r="L45" i="8"/>
  <c r="O44" i="8"/>
  <c r="N44" i="8"/>
  <c r="M44" i="8"/>
  <c r="L44" i="8"/>
  <c r="O43" i="8"/>
  <c r="N43" i="8"/>
  <c r="M43" i="8"/>
  <c r="L43" i="8"/>
  <c r="O42" i="8"/>
  <c r="N42" i="8"/>
  <c r="M42" i="8"/>
  <c r="L42" i="8"/>
  <c r="O41" i="8"/>
  <c r="N41" i="8"/>
  <c r="M41" i="8"/>
  <c r="L41" i="8"/>
  <c r="O40" i="8"/>
  <c r="N40" i="8"/>
  <c r="M40" i="8"/>
  <c r="L40" i="8"/>
  <c r="O39" i="8"/>
  <c r="N39" i="8"/>
  <c r="M39" i="8"/>
  <c r="L39" i="8"/>
  <c r="O38" i="8"/>
  <c r="N38" i="8"/>
  <c r="M38" i="8"/>
  <c r="L38" i="8"/>
  <c r="O37" i="8"/>
  <c r="N37" i="8"/>
  <c r="M37" i="8"/>
  <c r="L37" i="8"/>
  <c r="O36" i="8"/>
  <c r="N36" i="8"/>
  <c r="M36" i="8"/>
  <c r="L36" i="8"/>
  <c r="O35" i="8"/>
  <c r="N35" i="8"/>
  <c r="M35" i="8"/>
  <c r="L35" i="8"/>
  <c r="O34" i="8"/>
  <c r="N34" i="8"/>
  <c r="M34" i="8"/>
  <c r="L34" i="8"/>
  <c r="O33" i="8"/>
  <c r="N33" i="8"/>
  <c r="M33" i="8"/>
  <c r="L33" i="8"/>
  <c r="O26" i="8"/>
  <c r="N26" i="8"/>
  <c r="M26" i="8"/>
  <c r="L26" i="8"/>
  <c r="O25" i="8"/>
  <c r="N25" i="8"/>
  <c r="M25" i="8"/>
  <c r="L25" i="8"/>
  <c r="O24" i="8"/>
  <c r="N24" i="8"/>
  <c r="M24" i="8"/>
  <c r="L24" i="8"/>
  <c r="O23" i="8"/>
  <c r="N23" i="8"/>
  <c r="M23" i="8"/>
  <c r="L23" i="8"/>
  <c r="O22" i="8"/>
  <c r="N22" i="8"/>
  <c r="M22" i="8"/>
  <c r="L22" i="8"/>
  <c r="O21" i="8"/>
  <c r="N21" i="8"/>
  <c r="M21" i="8"/>
  <c r="L21" i="8"/>
  <c r="O20" i="8"/>
  <c r="N20" i="8"/>
  <c r="M20" i="8"/>
  <c r="L20" i="8"/>
  <c r="O19" i="8"/>
  <c r="N19" i="8"/>
  <c r="M19" i="8"/>
  <c r="L19" i="8"/>
  <c r="O18" i="8"/>
  <c r="N18" i="8"/>
  <c r="M18" i="8"/>
  <c r="L18" i="8"/>
  <c r="O17" i="8"/>
  <c r="N17" i="8"/>
  <c r="M17" i="8"/>
  <c r="L17" i="8"/>
  <c r="O16" i="8"/>
  <c r="N16" i="8"/>
  <c r="M16" i="8"/>
  <c r="L16" i="8"/>
  <c r="O15" i="8"/>
  <c r="N15" i="8"/>
  <c r="M15" i="8"/>
  <c r="L15" i="8"/>
  <c r="O14" i="8"/>
  <c r="N14" i="8"/>
  <c r="M14" i="8"/>
  <c r="L14" i="8"/>
  <c r="O13" i="8"/>
  <c r="N13" i="8"/>
  <c r="M13" i="8"/>
  <c r="L13" i="8"/>
  <c r="O12" i="8"/>
  <c r="N12" i="8"/>
  <c r="M12" i="8"/>
  <c r="L12" i="8"/>
  <c r="O11" i="8"/>
  <c r="N11" i="8"/>
  <c r="M11" i="8"/>
  <c r="L11" i="8"/>
  <c r="O10" i="8"/>
  <c r="N10" i="8"/>
  <c r="M10" i="8"/>
  <c r="L10" i="8"/>
  <c r="O9" i="8"/>
  <c r="N9" i="8"/>
  <c r="M9" i="8"/>
  <c r="L9" i="8"/>
  <c r="O8" i="8"/>
  <c r="N8" i="8"/>
  <c r="M8" i="8"/>
  <c r="L8" i="8"/>
  <c r="O7" i="8"/>
  <c r="N7" i="8"/>
  <c r="M7" i="8"/>
  <c r="L7" i="8"/>
  <c r="O6" i="8"/>
  <c r="N6" i="8"/>
  <c r="M6" i="8"/>
  <c r="L6" i="8"/>
  <c r="O5" i="8"/>
  <c r="N5" i="8"/>
  <c r="M5" i="8"/>
  <c r="L5" i="8"/>
  <c r="K52" i="8" l="1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K6" i="8"/>
  <c r="J6" i="8"/>
  <c r="I6" i="8"/>
  <c r="H6" i="8"/>
  <c r="G6" i="8"/>
  <c r="F6" i="8"/>
  <c r="E6" i="8"/>
  <c r="K5" i="8"/>
  <c r="J5" i="8"/>
  <c r="I5" i="8"/>
  <c r="H5" i="8"/>
  <c r="G5" i="8"/>
  <c r="F5" i="8"/>
  <c r="E5" i="8"/>
  <c r="D5" i="8"/>
  <c r="D6" i="8"/>
  <c r="K26" i="8"/>
  <c r="J26" i="8"/>
  <c r="I26" i="8"/>
  <c r="H26" i="8"/>
  <c r="G26" i="8"/>
  <c r="K25" i="8"/>
  <c r="J25" i="8"/>
  <c r="I25" i="8"/>
  <c r="H25" i="8"/>
  <c r="G25" i="8"/>
  <c r="K24" i="8"/>
  <c r="J24" i="8"/>
  <c r="I24" i="8"/>
  <c r="H24" i="8"/>
  <c r="G24" i="8"/>
  <c r="K23" i="8"/>
  <c r="J23" i="8"/>
  <c r="I23" i="8"/>
  <c r="H23" i="8"/>
  <c r="G23" i="8"/>
  <c r="K22" i="8"/>
  <c r="J22" i="8"/>
  <c r="I22" i="8"/>
  <c r="H22" i="8"/>
  <c r="G22" i="8"/>
  <c r="K21" i="8"/>
  <c r="J21" i="8"/>
  <c r="I21" i="8"/>
  <c r="H21" i="8"/>
  <c r="G21" i="8"/>
  <c r="K20" i="8"/>
  <c r="J20" i="8"/>
  <c r="I20" i="8"/>
  <c r="H20" i="8"/>
  <c r="G20" i="8"/>
  <c r="K19" i="8"/>
  <c r="J19" i="8"/>
  <c r="I19" i="8"/>
  <c r="H19" i="8"/>
  <c r="G19" i="8"/>
  <c r="K18" i="8"/>
  <c r="J18" i="8"/>
  <c r="I18" i="8"/>
  <c r="H18" i="8"/>
  <c r="G18" i="8"/>
  <c r="K17" i="8"/>
  <c r="J17" i="8"/>
  <c r="I17" i="8"/>
  <c r="H17" i="8"/>
  <c r="G17" i="8"/>
  <c r="K16" i="8"/>
  <c r="J16" i="8"/>
  <c r="I16" i="8"/>
  <c r="H16" i="8"/>
  <c r="G16" i="8"/>
  <c r="K15" i="8"/>
  <c r="J15" i="8"/>
  <c r="I15" i="8"/>
  <c r="H15" i="8"/>
  <c r="G15" i="8"/>
  <c r="K14" i="8"/>
  <c r="J14" i="8"/>
  <c r="I14" i="8"/>
  <c r="H14" i="8"/>
  <c r="G14" i="8"/>
  <c r="K13" i="8"/>
  <c r="J13" i="8"/>
  <c r="I13" i="8"/>
  <c r="H13" i="8"/>
  <c r="G13" i="8"/>
  <c r="K12" i="8"/>
  <c r="J12" i="8"/>
  <c r="I12" i="8"/>
  <c r="H12" i="8"/>
  <c r="G12" i="8"/>
  <c r="K11" i="8"/>
  <c r="J11" i="8"/>
  <c r="I11" i="8"/>
  <c r="H11" i="8"/>
  <c r="G11" i="8"/>
  <c r="K10" i="8"/>
  <c r="J10" i="8"/>
  <c r="I10" i="8"/>
  <c r="H10" i="8"/>
  <c r="G10" i="8"/>
  <c r="K9" i="8"/>
  <c r="J9" i="8"/>
  <c r="I9" i="8"/>
  <c r="H9" i="8"/>
  <c r="G9" i="8"/>
  <c r="K8" i="8"/>
  <c r="J8" i="8"/>
  <c r="I8" i="8"/>
  <c r="H8" i="8"/>
  <c r="G8" i="8"/>
  <c r="K7" i="8"/>
  <c r="J7" i="8"/>
  <c r="I7" i="8"/>
  <c r="H7" i="8"/>
  <c r="G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P47" i="8" l="1"/>
  <c r="P44" i="8"/>
</calcChain>
</file>

<file path=xl/sharedStrings.xml><?xml version="1.0" encoding="utf-8"?>
<sst xmlns="http://schemas.openxmlformats.org/spreadsheetml/2006/main" count="2158" uniqueCount="305">
  <si>
    <t>10-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</si>
  <si>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</si>
  <si>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</si>
  <si>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</si>
  <si>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</si>
  <si>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</si>
  <si>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</si>
  <si>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</si>
  <si>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</si>
  <si>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</si>
  <si>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11-</t>
  </si>
  <si>
    <t>12-</t>
  </si>
  <si>
    <t>13-</t>
  </si>
  <si>
    <t>14-</t>
  </si>
  <si>
    <t>15-</t>
  </si>
  <si>
    <t>16-</t>
  </si>
  <si>
    <t>Cotton</t>
  </si>
  <si>
    <t>Plot</t>
  </si>
  <si>
    <t>date:</t>
  </si>
  <si>
    <t>Canopy Heights &amp; Widths</t>
  </si>
  <si>
    <t>Mid</t>
  </si>
  <si>
    <t>North</t>
  </si>
  <si>
    <t>South</t>
  </si>
  <si>
    <t>Flag</t>
  </si>
  <si>
    <t>by:</t>
  </si>
  <si>
    <t>Measuring row 4 (from the West edge of plots). Width between row measured between rows 4 &amp; 5.</t>
  </si>
  <si>
    <t>time:</t>
  </si>
  <si>
    <t>Canopy Height (cm)</t>
  </si>
  <si>
    <t>Canopy Width (cm)</t>
  </si>
  <si>
    <t>doy:</t>
  </si>
  <si>
    <t>Summary</t>
  </si>
  <si>
    <t>Canopy Heights - Summary</t>
  </si>
  <si>
    <t>Height (cm)</t>
  </si>
  <si>
    <t>80-80</t>
  </si>
  <si>
    <t>100-120</t>
  </si>
  <si>
    <t>60-80</t>
  </si>
  <si>
    <t>80-60</t>
  </si>
  <si>
    <t>60-60</t>
  </si>
  <si>
    <t>120-60</t>
  </si>
  <si>
    <t>60-120</t>
  </si>
  <si>
    <t>120-120</t>
  </si>
  <si>
    <t>60-100</t>
  </si>
  <si>
    <t>100-60</t>
  </si>
  <si>
    <t>120-100</t>
  </si>
  <si>
    <t>80-100</t>
  </si>
  <si>
    <t>80-120</t>
  </si>
  <si>
    <t>100-100</t>
  </si>
  <si>
    <t>120-80</t>
  </si>
  <si>
    <t>100-80</t>
  </si>
  <si>
    <t>Ave of all 60-##:</t>
  </si>
  <si>
    <t>Ave of all 80-##:</t>
  </si>
  <si>
    <t>Ave of all 100-##:</t>
  </si>
  <si>
    <t>Ave of all 120-##:</t>
  </si>
  <si>
    <t>Averages by treatments</t>
  </si>
  <si>
    <t>Average Canopy Heights</t>
  </si>
  <si>
    <t>Average Canopy Widths</t>
  </si>
  <si>
    <t>TRT</t>
  </si>
  <si>
    <t xml:space="preserve"> b</t>
  </si>
  <si>
    <t>F13b4</t>
  </si>
  <si>
    <t>Initials:</t>
  </si>
  <si>
    <t>Date:</t>
  </si>
  <si>
    <t>Time:</t>
  </si>
  <si>
    <t>DOY:</t>
  </si>
  <si>
    <t>North and South flags are orange and Middle flag is pink.</t>
  </si>
  <si>
    <t xml:space="preserve">Measuring row 4 (from the West edge of plots). </t>
  </si>
  <si>
    <t>Measuring row 4 (from the West edge of plots).</t>
  </si>
  <si>
    <t>SMM</t>
  </si>
  <si>
    <t>1420-1525h</t>
  </si>
  <si>
    <t>Frank</t>
  </si>
  <si>
    <t>0950-1120h</t>
  </si>
  <si>
    <t>SH</t>
  </si>
  <si>
    <t>1024-1207h</t>
  </si>
  <si>
    <t>1000-1140h</t>
  </si>
  <si>
    <t>Variable rate irrigation started 1 June 2017 (d152)</t>
  </si>
  <si>
    <t>NAWF</t>
  </si>
  <si>
    <t>0945-1200h</t>
  </si>
  <si>
    <t>0945-1215h</t>
  </si>
  <si>
    <t>0930-1130h</t>
  </si>
  <si>
    <t>1000-1230h</t>
  </si>
  <si>
    <t>0930-1230h</t>
  </si>
  <si>
    <t>1000-1200h</t>
  </si>
  <si>
    <t>1050-1250h</t>
  </si>
  <si>
    <t>1000-1300h</t>
  </si>
  <si>
    <t>1000-1215h</t>
  </si>
  <si>
    <t>0930-1200h</t>
  </si>
  <si>
    <t>Irrigation treatment changed starting the 19th of July</t>
  </si>
  <si>
    <t>Entered by SMM</t>
  </si>
  <si>
    <t>Proofed by MH</t>
  </si>
  <si>
    <t>Corrections made by SMM</t>
  </si>
  <si>
    <t>A</t>
  </si>
  <si>
    <t>N</t>
  </si>
  <si>
    <t>B</t>
  </si>
  <si>
    <t>M</t>
  </si>
  <si>
    <t>C</t>
  </si>
  <si>
    <t>S</t>
  </si>
  <si>
    <t>16-4C</t>
  </si>
  <si>
    <t>16-4B</t>
  </si>
  <si>
    <t>16-4A</t>
  </si>
  <si>
    <t>16-3C</t>
  </si>
  <si>
    <t>16-3B</t>
  </si>
  <si>
    <t>16-3A</t>
  </si>
  <si>
    <t>16-2C</t>
  </si>
  <si>
    <t>16-2B</t>
  </si>
  <si>
    <t>16-2A</t>
  </si>
  <si>
    <t>16-1C</t>
  </si>
  <si>
    <t>16-1B</t>
  </si>
  <si>
    <t>16-1A</t>
  </si>
  <si>
    <t>15-4C</t>
  </si>
  <si>
    <t>15-4B</t>
  </si>
  <si>
    <t>15-4A</t>
  </si>
  <si>
    <t>15-3C</t>
  </si>
  <si>
    <t>15-3B</t>
  </si>
  <si>
    <t>15-3A</t>
  </si>
  <si>
    <t>15-2C</t>
  </si>
  <si>
    <t>15-2B</t>
  </si>
  <si>
    <t>15-2A</t>
  </si>
  <si>
    <t>15-1C</t>
  </si>
  <si>
    <t>15-1B</t>
  </si>
  <si>
    <t>15-1A</t>
  </si>
  <si>
    <t>14-4C</t>
  </si>
  <si>
    <t>14-4B</t>
  </si>
  <si>
    <t>14-4A</t>
  </si>
  <si>
    <t>14-3C</t>
  </si>
  <si>
    <t>14-3B</t>
  </si>
  <si>
    <t>14-3A</t>
  </si>
  <si>
    <t>14-2C</t>
  </si>
  <si>
    <t>14-2B</t>
  </si>
  <si>
    <t>14-2A</t>
  </si>
  <si>
    <t>14-1C</t>
  </si>
  <si>
    <t>14-1B</t>
  </si>
  <si>
    <t>14-1A</t>
  </si>
  <si>
    <t>13-4C</t>
  </si>
  <si>
    <t>13-4B</t>
  </si>
  <si>
    <t>13-4A</t>
  </si>
  <si>
    <t>13-3C</t>
  </si>
  <si>
    <t>13-3B</t>
  </si>
  <si>
    <t>13-3A</t>
  </si>
  <si>
    <t>13-2C</t>
  </si>
  <si>
    <t>13-2B</t>
  </si>
  <si>
    <t>13-2A</t>
  </si>
  <si>
    <t>13-1C</t>
  </si>
  <si>
    <t>13-1B</t>
  </si>
  <si>
    <t>13-1A</t>
  </si>
  <si>
    <t>12-4C</t>
  </si>
  <si>
    <t>12-4B</t>
  </si>
  <si>
    <t>12-4A</t>
  </si>
  <si>
    <t>12-3C</t>
  </si>
  <si>
    <t>12-3B</t>
  </si>
  <si>
    <t>12-3A</t>
  </si>
  <si>
    <t>12-2C</t>
  </si>
  <si>
    <t>12-2B</t>
  </si>
  <si>
    <t>12-2A</t>
  </si>
  <si>
    <t>12-1C</t>
  </si>
  <si>
    <t>12-1B</t>
  </si>
  <si>
    <t>12-1A</t>
  </si>
  <si>
    <t>11-4C</t>
  </si>
  <si>
    <t>11-4B</t>
  </si>
  <si>
    <t>11-4A</t>
  </si>
  <si>
    <t>11-3C</t>
  </si>
  <si>
    <t>11-3B</t>
  </si>
  <si>
    <t>11-3A</t>
  </si>
  <si>
    <t>11-2C</t>
  </si>
  <si>
    <t>11-2B</t>
  </si>
  <si>
    <t>11-2A</t>
  </si>
  <si>
    <t>11-1C</t>
  </si>
  <si>
    <t>11-1B</t>
  </si>
  <si>
    <t>11-1A</t>
  </si>
  <si>
    <t>10-4C</t>
  </si>
  <si>
    <t>10-4B</t>
  </si>
  <si>
    <t>10-4A</t>
  </si>
  <si>
    <t>10-3C</t>
  </si>
  <si>
    <t>10-3B</t>
  </si>
  <si>
    <t>10-3A</t>
  </si>
  <si>
    <t>10-2C</t>
  </si>
  <si>
    <t>10-2B</t>
  </si>
  <si>
    <t>10-2A</t>
  </si>
  <si>
    <t>10-1C</t>
  </si>
  <si>
    <t>10-1B</t>
  </si>
  <si>
    <t>10-1A</t>
  </si>
  <si>
    <t>09-4C</t>
  </si>
  <si>
    <t>09-4B</t>
  </si>
  <si>
    <t>09-4A</t>
  </si>
  <si>
    <t>09-3C</t>
  </si>
  <si>
    <t>09-3B</t>
  </si>
  <si>
    <t>09-3A</t>
  </si>
  <si>
    <t>09-2C</t>
  </si>
  <si>
    <t>09-2B</t>
  </si>
  <si>
    <t>09-2A</t>
  </si>
  <si>
    <t>09-1C</t>
  </si>
  <si>
    <t>09-1B</t>
  </si>
  <si>
    <t>09-1A</t>
  </si>
  <si>
    <t>08-4C</t>
  </si>
  <si>
    <t>08-4B</t>
  </si>
  <si>
    <t>08-4A</t>
  </si>
  <si>
    <t>08-3C</t>
  </si>
  <si>
    <t>08-3B</t>
  </si>
  <si>
    <t>08-3A</t>
  </si>
  <si>
    <t>08-2C</t>
  </si>
  <si>
    <t>08-2B</t>
  </si>
  <si>
    <t>08-2A</t>
  </si>
  <si>
    <t>08-1C</t>
  </si>
  <si>
    <t>08-1B</t>
  </si>
  <si>
    <t>08-1A</t>
  </si>
  <si>
    <t>07-4C</t>
  </si>
  <si>
    <t>07-4B</t>
  </si>
  <si>
    <t>07-4A</t>
  </si>
  <si>
    <t>07-3C</t>
  </si>
  <si>
    <t>07-3B</t>
  </si>
  <si>
    <t>07-3A</t>
  </si>
  <si>
    <t>07-2C</t>
  </si>
  <si>
    <t>07-2B</t>
  </si>
  <si>
    <t>07-2A</t>
  </si>
  <si>
    <t>07-1C</t>
  </si>
  <si>
    <t>07-1B</t>
  </si>
  <si>
    <t>07-1A</t>
  </si>
  <si>
    <t>06-4C</t>
  </si>
  <si>
    <t>06-4B</t>
  </si>
  <si>
    <t>06-4A</t>
  </si>
  <si>
    <t>06-3C</t>
  </si>
  <si>
    <t>06-3B</t>
  </si>
  <si>
    <t>06-3A</t>
  </si>
  <si>
    <t>06-2C</t>
  </si>
  <si>
    <t>06-2B</t>
  </si>
  <si>
    <t>06-2A</t>
  </si>
  <si>
    <t>06-1C</t>
  </si>
  <si>
    <t>06-1B</t>
  </si>
  <si>
    <t>06-1A</t>
  </si>
  <si>
    <t>05-4C</t>
  </si>
  <si>
    <t>05-4B</t>
  </si>
  <si>
    <t>05-4A</t>
  </si>
  <si>
    <t>05-3C</t>
  </si>
  <si>
    <t>05-3B</t>
  </si>
  <si>
    <t>05-3A</t>
  </si>
  <si>
    <t>05-2C</t>
  </si>
  <si>
    <t>05-2B</t>
  </si>
  <si>
    <t>05-2A</t>
  </si>
  <si>
    <t>05-1C</t>
  </si>
  <si>
    <t>05-1B</t>
  </si>
  <si>
    <t>05-1A</t>
  </si>
  <si>
    <t>04-4C</t>
  </si>
  <si>
    <t>04-4B</t>
  </si>
  <si>
    <t>04-4A</t>
  </si>
  <si>
    <t>04-3C</t>
  </si>
  <si>
    <t>04-3B</t>
  </si>
  <si>
    <t>04-3A</t>
  </si>
  <si>
    <t>04-2C</t>
  </si>
  <si>
    <t>04-2B</t>
  </si>
  <si>
    <t>04-2A</t>
  </si>
  <si>
    <t>04-1C</t>
  </si>
  <si>
    <t>04-1B</t>
  </si>
  <si>
    <t>04-1A</t>
  </si>
  <si>
    <t>03-4C</t>
  </si>
  <si>
    <t>03-4B</t>
  </si>
  <si>
    <t>03-4A</t>
  </si>
  <si>
    <t>03-3C</t>
  </si>
  <si>
    <t>03-3B</t>
  </si>
  <si>
    <t>03-3A</t>
  </si>
  <si>
    <t>03-2C</t>
  </si>
  <si>
    <t>03-2B</t>
  </si>
  <si>
    <t>03-2A</t>
  </si>
  <si>
    <t>03-1C</t>
  </si>
  <si>
    <t>03-1B</t>
  </si>
  <si>
    <t>03-1A</t>
  </si>
  <si>
    <t>02-4C</t>
  </si>
  <si>
    <t>02-4B</t>
  </si>
  <si>
    <t>02-4A</t>
  </si>
  <si>
    <t>02-3C</t>
  </si>
  <si>
    <t>02-3B</t>
  </si>
  <si>
    <t>02-3A</t>
  </si>
  <si>
    <t>02-2C</t>
  </si>
  <si>
    <t>02-2B</t>
  </si>
  <si>
    <t>02-2A</t>
  </si>
  <si>
    <t>02-1C</t>
  </si>
  <si>
    <t>02-1B</t>
  </si>
  <si>
    <t>02-1A</t>
  </si>
  <si>
    <t>01-4C</t>
  </si>
  <si>
    <t>01-4B</t>
  </si>
  <si>
    <t>01-4A</t>
  </si>
  <si>
    <t>01-3C</t>
  </si>
  <si>
    <t>01-3B</t>
  </si>
  <si>
    <t>01-3A</t>
  </si>
  <si>
    <t>01-2C</t>
  </si>
  <si>
    <t>01-2B</t>
  </si>
  <si>
    <t>01-2A</t>
  </si>
  <si>
    <t>01-1C</t>
  </si>
  <si>
    <t>01-1B</t>
  </si>
  <si>
    <t>01-1A</t>
  </si>
  <si>
    <t>DOY255</t>
  </si>
  <si>
    <t>DOY248</t>
  </si>
  <si>
    <t>DOY240</t>
  </si>
  <si>
    <t>DOY233</t>
  </si>
  <si>
    <t>DOY227</t>
  </si>
  <si>
    <t>DOY220</t>
  </si>
  <si>
    <t>DOY212</t>
  </si>
  <si>
    <t>DOY206</t>
  </si>
  <si>
    <t>DOY198</t>
  </si>
  <si>
    <t>DOY191</t>
  </si>
  <si>
    <t>DOY184</t>
  </si>
  <si>
    <t>DOY177</t>
  </si>
  <si>
    <t>DOY170</t>
  </si>
  <si>
    <t>DOY163</t>
  </si>
  <si>
    <t>DOY156</t>
  </si>
  <si>
    <t>DOY151</t>
  </si>
  <si>
    <t>DOY144</t>
  </si>
  <si>
    <t>CCID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</si>
</sst>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.0"/>
  </numFmts>
  <fonts count="18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 Light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rgb="FFC00000"/>
      <name val="Calibri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sz val="7"/>
      <color theme="1"/>
      <name val="Calibri Light"/>
      <family val="2"/>
    </font>
    <font>
      <sz val="9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ck">
        <color rgb="FFC0000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" fillId="0" borderId="4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0" fillId="0" borderId="0" xfId="0" applyAlignment="1">
      <alignment horizontal="right" vertical="top"/>
    </xf>
    <xf numFmtId="0" fontId="6" fillId="0" borderId="5" xfId="0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right"/>
    </xf>
    <xf numFmtId="0" fontId="6" fillId="0" borderId="0" xfId="0" applyFont="1" applyAlignment="1">
      <alignment horizontal="center"/>
    </xf>
    <xf numFmtId="15" fontId="3" fillId="0" borderId="0" xfId="0" applyNumberFormat="1" applyFont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15" xfId="0" applyFont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164" fontId="9" fillId="0" borderId="3" xfId="0" applyNumberFormat="1" applyFont="1" applyBorder="1" applyAlignment="1">
      <alignment horizontal="right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10" fillId="0" borderId="0" xfId="0" applyFont="1" applyAlignment="1">
      <alignment horizontal="left"/>
    </xf>
    <xf numFmtId="164" fontId="9" fillId="0" borderId="0" xfId="0" applyNumberFormat="1" applyFont="1" applyAlignment="1">
      <alignment horizontal="right" vertical="center"/>
    </xf>
    <xf numFmtId="0" fontId="6" fillId="0" borderId="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left"/>
    </xf>
    <xf numFmtId="0" fontId="3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/>
    </xf>
    <xf numFmtId="0" fontId="0" fillId="0" borderId="14" xfId="0" quotePrefix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12" fillId="0" borderId="0" xfId="0" applyFont="1"/>
    <xf numFmtId="165" fontId="0" fillId="0" borderId="0" xfId="0" quotePrefix="1" applyNumberFormat="1" applyAlignment="1">
      <alignment horizontal="center" vertic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16" fillId="0" borderId="18" xfId="0" applyNumberFormat="1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center" vertical="center"/>
    </xf>
    <xf numFmtId="164" fontId="16" fillId="0" borderId="2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15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17" fillId="0" borderId="0" xfId="0" applyFont="1"/>
    <xf numFmtId="0" fontId="2" fillId="0" borderId="0" xfId="1"/>
    <xf numFmtId="0" fontId="1" fillId="0" borderId="0" xfId="1" applyFont="1"/>
    <xf numFmtId="0" fontId="3" fillId="0" borderId="0" xfId="0" applyFont="1" applyAlignment="1">
      <alignment horizontal="center"/>
    </xf>
    <xf numFmtId="0" fontId="13" fillId="0" borderId="2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94ED8D5C-B283-4D90-BA64-9597653DCBFD}"/>
  </cellStyles>
  <dxfs count="0"/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9151-B570-4F84-85DB-21DBFAEB6F96}">
  <dimension ref="A1:R193"/>
  <sheetViews>
    <sheetView tabSelected="1" workbookViewId="0"/>
  </sheetViews>
  <sheetFormatPr defaultRowHeight="15" x14ac:dyDescent="0.25"/>
  <cols>
    <col min="1" max="16384" width="9.140625" style="76"/>
  </cols>
  <sheetData>
    <row r="1" spans="1:18" x14ac:dyDescent="0.25">
      <c r="A1" s="77" t="s">
        <v>304</v>
      </c>
      <c r="B1" s="76" t="s">
        <v>303</v>
      </c>
      <c r="C1" s="76" t="s">
        <v>302</v>
      </c>
      <c r="D1" s="76" t="s">
        <v>301</v>
      </c>
      <c r="E1" s="76" t="s">
        <v>300</v>
      </c>
      <c r="F1" s="76" t="s">
        <v>299</v>
      </c>
      <c r="G1" s="76" t="s">
        <v>298</v>
      </c>
      <c r="H1" s="76" t="s">
        <v>297</v>
      </c>
      <c r="I1" s="76" t="s">
        <v>296</v>
      </c>
      <c r="J1" s="76" t="s">
        <v>295</v>
      </c>
      <c r="K1" s="76" t="s">
        <v>294</v>
      </c>
      <c r="L1" s="76" t="s">
        <v>293</v>
      </c>
      <c r="M1" s="76" t="s">
        <v>292</v>
      </c>
      <c r="N1" s="76" t="s">
        <v>291</v>
      </c>
      <c r="O1" s="76" t="s">
        <v>290</v>
      </c>
      <c r="P1" s="76" t="s">
        <v>289</v>
      </c>
      <c r="Q1" s="76" t="s">
        <v>288</v>
      </c>
      <c r="R1" s="76" t="s">
        <v>287</v>
      </c>
    </row>
    <row r="2" spans="1:18" x14ac:dyDescent="0.25">
      <c r="A2" s="76" t="s">
        <v>286</v>
      </c>
      <c r="B2" s="76">
        <v>13</v>
      </c>
      <c r="C2" s="76">
        <v>18</v>
      </c>
      <c r="D2" s="76">
        <v>26</v>
      </c>
      <c r="E2" s="76">
        <v>32</v>
      </c>
      <c r="F2" s="76">
        <v>42</v>
      </c>
      <c r="G2" s="76">
        <v>56</v>
      </c>
      <c r="H2" s="76">
        <v>64</v>
      </c>
      <c r="I2" s="76">
        <v>85</v>
      </c>
      <c r="J2" s="76">
        <v>85</v>
      </c>
      <c r="K2" s="76">
        <v>103</v>
      </c>
      <c r="L2" s="76">
        <v>113</v>
      </c>
      <c r="M2" s="76">
        <v>132</v>
      </c>
      <c r="N2" s="76">
        <v>146</v>
      </c>
      <c r="O2" s="76">
        <v>153</v>
      </c>
      <c r="P2" s="76">
        <v>156</v>
      </c>
      <c r="Q2" s="76">
        <v>156</v>
      </c>
      <c r="R2" s="76">
        <v>158</v>
      </c>
    </row>
    <row r="3" spans="1:18" x14ac:dyDescent="0.25">
      <c r="A3" s="76" t="s">
        <v>285</v>
      </c>
      <c r="B3" s="76">
        <v>13</v>
      </c>
      <c r="C3" s="76">
        <v>18</v>
      </c>
      <c r="D3" s="76">
        <v>27</v>
      </c>
      <c r="E3" s="76">
        <v>32</v>
      </c>
      <c r="F3" s="76">
        <v>45</v>
      </c>
      <c r="G3" s="76">
        <v>49</v>
      </c>
      <c r="H3" s="76">
        <v>58</v>
      </c>
      <c r="I3" s="76">
        <v>68</v>
      </c>
      <c r="J3" s="76">
        <v>76</v>
      </c>
      <c r="K3" s="76">
        <v>89</v>
      </c>
      <c r="L3" s="76">
        <v>95</v>
      </c>
      <c r="M3" s="76">
        <v>111</v>
      </c>
      <c r="N3" s="76">
        <v>118</v>
      </c>
      <c r="O3" s="76">
        <v>130</v>
      </c>
      <c r="P3" s="76">
        <v>131</v>
      </c>
      <c r="Q3" s="76">
        <v>134</v>
      </c>
      <c r="R3" s="76">
        <v>142</v>
      </c>
    </row>
    <row r="4" spans="1:18" x14ac:dyDescent="0.25">
      <c r="A4" s="76" t="s">
        <v>284</v>
      </c>
      <c r="B4" s="76">
        <v>11</v>
      </c>
      <c r="C4" s="76">
        <v>15</v>
      </c>
      <c r="D4" s="76">
        <v>22</v>
      </c>
      <c r="E4" s="76">
        <v>27</v>
      </c>
      <c r="F4" s="76">
        <v>31</v>
      </c>
      <c r="G4" s="76">
        <v>36</v>
      </c>
      <c r="H4" s="76">
        <v>51</v>
      </c>
      <c r="I4" s="76">
        <v>51</v>
      </c>
      <c r="J4" s="76">
        <v>63</v>
      </c>
      <c r="K4" s="76">
        <v>69</v>
      </c>
      <c r="L4" s="76">
        <v>68</v>
      </c>
      <c r="M4" s="76">
        <v>72</v>
      </c>
      <c r="N4" s="76">
        <v>90</v>
      </c>
      <c r="O4" s="76">
        <v>99</v>
      </c>
      <c r="P4" s="76">
        <v>102</v>
      </c>
      <c r="Q4" s="76">
        <v>110</v>
      </c>
      <c r="R4" s="76">
        <v>117</v>
      </c>
    </row>
    <row r="5" spans="1:18" x14ac:dyDescent="0.25">
      <c r="A5" s="76" t="s">
        <v>283</v>
      </c>
      <c r="B5" s="76">
        <v>12</v>
      </c>
      <c r="C5" s="76">
        <v>22</v>
      </c>
      <c r="D5" s="76">
        <v>24</v>
      </c>
      <c r="E5" s="76">
        <v>34</v>
      </c>
      <c r="F5" s="76">
        <v>48</v>
      </c>
      <c r="G5" s="76">
        <v>56</v>
      </c>
      <c r="H5" s="76">
        <v>69</v>
      </c>
      <c r="I5" s="76">
        <v>75</v>
      </c>
      <c r="J5" s="76">
        <v>72</v>
      </c>
      <c r="K5" s="76">
        <v>95</v>
      </c>
      <c r="L5" s="76">
        <v>110</v>
      </c>
      <c r="M5" s="76">
        <v>125</v>
      </c>
      <c r="N5" s="76">
        <v>126</v>
      </c>
      <c r="O5" s="76">
        <v>136</v>
      </c>
      <c r="P5" s="76">
        <v>135</v>
      </c>
      <c r="Q5" s="76">
        <v>141</v>
      </c>
      <c r="R5" s="76">
        <v>141</v>
      </c>
    </row>
    <row r="6" spans="1:18" x14ac:dyDescent="0.25">
      <c r="A6" s="76" t="s">
        <v>282</v>
      </c>
      <c r="B6" s="76">
        <v>13</v>
      </c>
      <c r="C6" s="76">
        <v>20</v>
      </c>
      <c r="D6" s="76">
        <v>25</v>
      </c>
      <c r="E6" s="76">
        <v>31</v>
      </c>
      <c r="F6" s="76">
        <v>40</v>
      </c>
      <c r="G6" s="76">
        <v>52</v>
      </c>
      <c r="H6" s="76">
        <v>57</v>
      </c>
      <c r="I6" s="76">
        <v>65</v>
      </c>
      <c r="J6" s="76">
        <v>58</v>
      </c>
      <c r="K6" s="76">
        <v>83</v>
      </c>
      <c r="L6" s="76">
        <v>96</v>
      </c>
      <c r="M6" s="76">
        <v>119</v>
      </c>
      <c r="N6" s="76">
        <v>132</v>
      </c>
      <c r="O6" s="76">
        <v>141</v>
      </c>
      <c r="P6" s="76">
        <v>142</v>
      </c>
      <c r="Q6" s="76">
        <v>153</v>
      </c>
      <c r="R6" s="76">
        <v>153</v>
      </c>
    </row>
    <row r="7" spans="1:18" x14ac:dyDescent="0.25">
      <c r="A7" s="76" t="s">
        <v>281</v>
      </c>
      <c r="B7" s="76">
        <v>9</v>
      </c>
      <c r="C7" s="76">
        <v>18</v>
      </c>
      <c r="D7" s="76">
        <v>23</v>
      </c>
      <c r="E7" s="76">
        <v>26</v>
      </c>
      <c r="F7" s="76">
        <v>37</v>
      </c>
      <c r="G7" s="76">
        <v>47</v>
      </c>
      <c r="H7" s="76">
        <v>53</v>
      </c>
      <c r="I7" s="76">
        <v>58</v>
      </c>
      <c r="J7" s="76">
        <v>71</v>
      </c>
      <c r="K7" s="76">
        <v>85</v>
      </c>
      <c r="L7" s="76">
        <v>101</v>
      </c>
      <c r="M7" s="76">
        <v>114</v>
      </c>
      <c r="N7" s="76">
        <v>122</v>
      </c>
      <c r="O7" s="76">
        <v>130</v>
      </c>
      <c r="P7" s="76">
        <v>124</v>
      </c>
      <c r="Q7" s="76">
        <v>139</v>
      </c>
      <c r="R7" s="76">
        <v>139</v>
      </c>
    </row>
    <row r="8" spans="1:18" x14ac:dyDescent="0.25">
      <c r="A8" s="76" t="s">
        <v>280</v>
      </c>
      <c r="B8" s="76">
        <v>13</v>
      </c>
      <c r="C8" s="76">
        <v>19</v>
      </c>
      <c r="D8" s="76">
        <v>26</v>
      </c>
      <c r="E8" s="76">
        <v>21</v>
      </c>
      <c r="F8" s="76">
        <v>42</v>
      </c>
      <c r="G8" s="76">
        <v>50</v>
      </c>
      <c r="H8" s="76">
        <v>57</v>
      </c>
      <c r="I8" s="76">
        <v>76</v>
      </c>
      <c r="J8" s="76">
        <v>72</v>
      </c>
      <c r="K8" s="76">
        <v>84</v>
      </c>
      <c r="L8" s="76">
        <v>93</v>
      </c>
      <c r="M8" s="76">
        <v>106</v>
      </c>
      <c r="N8" s="76">
        <v>118</v>
      </c>
      <c r="O8" s="76">
        <v>119</v>
      </c>
      <c r="P8" s="76">
        <v>116</v>
      </c>
      <c r="Q8" s="76">
        <v>126</v>
      </c>
      <c r="R8" s="76">
        <v>127</v>
      </c>
    </row>
    <row r="9" spans="1:18" x14ac:dyDescent="0.25">
      <c r="A9" s="76" t="s">
        <v>279</v>
      </c>
      <c r="B9" s="76">
        <v>11</v>
      </c>
      <c r="C9" s="76">
        <v>15</v>
      </c>
      <c r="D9" s="76">
        <v>24</v>
      </c>
      <c r="E9" s="76">
        <v>27</v>
      </c>
      <c r="F9" s="76">
        <v>38</v>
      </c>
      <c r="G9" s="76">
        <v>47</v>
      </c>
      <c r="H9" s="76">
        <v>58</v>
      </c>
      <c r="I9" s="76">
        <v>70</v>
      </c>
      <c r="J9" s="76">
        <v>85</v>
      </c>
      <c r="K9" s="76">
        <v>79</v>
      </c>
      <c r="L9" s="76">
        <v>96</v>
      </c>
      <c r="M9" s="76">
        <v>110</v>
      </c>
      <c r="N9" s="76">
        <v>122</v>
      </c>
      <c r="O9" s="76">
        <v>128</v>
      </c>
      <c r="P9" s="76">
        <v>132</v>
      </c>
      <c r="Q9" s="76">
        <v>139</v>
      </c>
      <c r="R9" s="76">
        <v>137</v>
      </c>
    </row>
    <row r="10" spans="1:18" x14ac:dyDescent="0.25">
      <c r="A10" s="76" t="s">
        <v>278</v>
      </c>
      <c r="B10" s="76">
        <v>12</v>
      </c>
      <c r="C10" s="76">
        <v>14</v>
      </c>
      <c r="D10" s="76">
        <v>24</v>
      </c>
      <c r="E10" s="76">
        <v>27</v>
      </c>
      <c r="F10" s="76">
        <v>39</v>
      </c>
      <c r="G10" s="76">
        <v>50</v>
      </c>
      <c r="H10" s="76">
        <v>61</v>
      </c>
      <c r="I10" s="76">
        <v>71</v>
      </c>
      <c r="J10" s="76">
        <v>94</v>
      </c>
      <c r="K10" s="76">
        <v>82</v>
      </c>
      <c r="L10" s="76">
        <v>92</v>
      </c>
      <c r="M10" s="76">
        <v>103</v>
      </c>
      <c r="N10" s="76">
        <v>116</v>
      </c>
      <c r="O10" s="76">
        <v>124</v>
      </c>
      <c r="P10" s="76">
        <v>118</v>
      </c>
      <c r="Q10" s="76">
        <v>128</v>
      </c>
      <c r="R10" s="76">
        <v>131</v>
      </c>
    </row>
    <row r="11" spans="1:18" x14ac:dyDescent="0.25">
      <c r="A11" s="76" t="s">
        <v>277</v>
      </c>
      <c r="B11" s="76">
        <v>10</v>
      </c>
      <c r="C11" s="76">
        <v>13</v>
      </c>
      <c r="D11" s="76">
        <v>23</v>
      </c>
      <c r="E11" s="76">
        <v>20</v>
      </c>
      <c r="F11" s="76">
        <v>37</v>
      </c>
      <c r="G11" s="76">
        <v>41</v>
      </c>
      <c r="H11" s="76">
        <v>44</v>
      </c>
      <c r="I11" s="76">
        <v>44</v>
      </c>
      <c r="J11" s="76">
        <v>84</v>
      </c>
      <c r="K11" s="76">
        <v>55</v>
      </c>
      <c r="L11" s="76">
        <v>58</v>
      </c>
      <c r="M11" s="76">
        <v>66</v>
      </c>
      <c r="N11" s="76">
        <v>70</v>
      </c>
      <c r="O11" s="76">
        <v>73</v>
      </c>
      <c r="P11" s="76">
        <v>68</v>
      </c>
      <c r="Q11" s="76">
        <v>72</v>
      </c>
      <c r="R11" s="76">
        <v>73</v>
      </c>
    </row>
    <row r="12" spans="1:18" x14ac:dyDescent="0.25">
      <c r="A12" s="76" t="s">
        <v>276</v>
      </c>
      <c r="B12" s="76">
        <v>9</v>
      </c>
      <c r="C12" s="76">
        <v>16</v>
      </c>
      <c r="D12" s="76">
        <v>21</v>
      </c>
      <c r="E12" s="76">
        <v>28</v>
      </c>
      <c r="F12" s="76">
        <v>31</v>
      </c>
      <c r="G12" s="76">
        <v>33</v>
      </c>
      <c r="H12" s="76">
        <v>36</v>
      </c>
      <c r="I12" s="76">
        <v>42</v>
      </c>
      <c r="J12" s="76">
        <v>84</v>
      </c>
      <c r="K12" s="76">
        <v>55</v>
      </c>
      <c r="L12" s="76">
        <v>38</v>
      </c>
      <c r="M12" s="76">
        <v>51</v>
      </c>
      <c r="N12" s="76">
        <v>52</v>
      </c>
      <c r="O12" s="76">
        <v>49</v>
      </c>
      <c r="P12" s="76">
        <v>49</v>
      </c>
      <c r="Q12" s="76">
        <v>54</v>
      </c>
      <c r="R12" s="76">
        <v>55</v>
      </c>
    </row>
    <row r="13" spans="1:18" x14ac:dyDescent="0.25">
      <c r="A13" s="76" t="s">
        <v>275</v>
      </c>
      <c r="B13" s="76">
        <v>12</v>
      </c>
      <c r="C13" s="76">
        <v>14</v>
      </c>
      <c r="D13" s="76">
        <v>25</v>
      </c>
      <c r="E13" s="76">
        <v>24</v>
      </c>
      <c r="F13" s="76">
        <v>36</v>
      </c>
      <c r="G13" s="76">
        <v>38</v>
      </c>
      <c r="H13" s="76">
        <v>46</v>
      </c>
      <c r="I13" s="76">
        <v>50</v>
      </c>
      <c r="J13" s="76">
        <v>74</v>
      </c>
      <c r="K13" s="76">
        <v>66</v>
      </c>
      <c r="L13" s="76">
        <v>68</v>
      </c>
      <c r="M13" s="76">
        <v>73</v>
      </c>
      <c r="N13" s="76">
        <v>78</v>
      </c>
      <c r="O13" s="76">
        <v>78</v>
      </c>
      <c r="P13" s="76">
        <v>73</v>
      </c>
      <c r="Q13" s="76">
        <v>75</v>
      </c>
      <c r="R13" s="76">
        <v>73</v>
      </c>
    </row>
    <row r="14" spans="1:18" x14ac:dyDescent="0.25">
      <c r="A14" s="76" t="s">
        <v>274</v>
      </c>
      <c r="B14" s="76">
        <v>10</v>
      </c>
      <c r="C14" s="76">
        <v>18</v>
      </c>
      <c r="D14" s="76">
        <v>24</v>
      </c>
      <c r="E14" s="76">
        <v>34</v>
      </c>
      <c r="F14" s="76">
        <v>47</v>
      </c>
      <c r="G14" s="76">
        <v>59</v>
      </c>
      <c r="H14" s="76">
        <v>74</v>
      </c>
      <c r="I14" s="76">
        <v>85</v>
      </c>
      <c r="J14" s="76">
        <v>98</v>
      </c>
      <c r="K14" s="76">
        <v>121</v>
      </c>
      <c r="L14" s="76">
        <v>117</v>
      </c>
      <c r="M14" s="76">
        <v>120</v>
      </c>
      <c r="N14" s="76">
        <v>125</v>
      </c>
      <c r="O14" s="76">
        <v>126</v>
      </c>
      <c r="P14" s="76">
        <v>129</v>
      </c>
      <c r="Q14" s="76">
        <v>128</v>
      </c>
      <c r="R14" s="76">
        <v>122</v>
      </c>
    </row>
    <row r="15" spans="1:18" x14ac:dyDescent="0.25">
      <c r="A15" s="76" t="s">
        <v>273</v>
      </c>
      <c r="B15" s="76">
        <v>11</v>
      </c>
      <c r="C15" s="76">
        <v>15</v>
      </c>
      <c r="D15" s="76">
        <v>24</v>
      </c>
      <c r="E15" s="76">
        <v>39</v>
      </c>
      <c r="F15" s="76">
        <v>43</v>
      </c>
      <c r="G15" s="76">
        <v>57</v>
      </c>
      <c r="H15" s="76">
        <v>78</v>
      </c>
      <c r="I15" s="76">
        <v>99</v>
      </c>
      <c r="J15" s="76">
        <v>104</v>
      </c>
      <c r="K15" s="76">
        <v>131</v>
      </c>
      <c r="L15" s="76">
        <v>124</v>
      </c>
      <c r="M15" s="76">
        <v>125</v>
      </c>
      <c r="N15" s="76">
        <v>136</v>
      </c>
      <c r="O15" s="76">
        <v>132</v>
      </c>
      <c r="P15" s="76">
        <v>136</v>
      </c>
      <c r="Q15" s="76">
        <v>133</v>
      </c>
      <c r="R15" s="76">
        <v>131</v>
      </c>
    </row>
    <row r="16" spans="1:18" x14ac:dyDescent="0.25">
      <c r="A16" s="76" t="s">
        <v>272</v>
      </c>
      <c r="B16" s="76">
        <v>10</v>
      </c>
      <c r="C16" s="76">
        <v>19</v>
      </c>
      <c r="D16" s="76">
        <v>24</v>
      </c>
      <c r="E16" s="76">
        <v>36</v>
      </c>
      <c r="F16" s="76">
        <v>42</v>
      </c>
      <c r="G16" s="76">
        <v>56</v>
      </c>
      <c r="H16" s="76">
        <v>68</v>
      </c>
      <c r="I16" s="76">
        <v>89</v>
      </c>
      <c r="J16" s="76">
        <v>96</v>
      </c>
      <c r="K16" s="76">
        <v>119</v>
      </c>
      <c r="L16" s="76">
        <v>120</v>
      </c>
      <c r="M16" s="76">
        <v>122</v>
      </c>
      <c r="N16" s="76">
        <v>132</v>
      </c>
      <c r="O16" s="76">
        <v>127</v>
      </c>
      <c r="P16" s="76">
        <v>132</v>
      </c>
      <c r="Q16" s="76">
        <v>130</v>
      </c>
      <c r="R16" s="76">
        <v>126</v>
      </c>
    </row>
    <row r="17" spans="1:18" x14ac:dyDescent="0.25">
      <c r="A17" s="76" t="s">
        <v>271</v>
      </c>
      <c r="B17" s="76">
        <v>10</v>
      </c>
      <c r="C17" s="76">
        <v>16</v>
      </c>
      <c r="D17" s="76">
        <v>22</v>
      </c>
      <c r="E17" s="76">
        <v>27</v>
      </c>
      <c r="F17" s="76">
        <v>34</v>
      </c>
      <c r="G17" s="76">
        <v>39</v>
      </c>
      <c r="H17" s="76">
        <v>44</v>
      </c>
      <c r="I17" s="76">
        <v>47</v>
      </c>
      <c r="J17" s="76">
        <v>54</v>
      </c>
      <c r="K17" s="76">
        <v>72</v>
      </c>
      <c r="L17" s="76">
        <v>74</v>
      </c>
      <c r="M17" s="76">
        <v>90</v>
      </c>
      <c r="N17" s="76">
        <v>107</v>
      </c>
      <c r="O17" s="76">
        <v>119</v>
      </c>
      <c r="P17" s="76">
        <v>124</v>
      </c>
      <c r="Q17" s="76">
        <v>132</v>
      </c>
      <c r="R17" s="76">
        <v>132</v>
      </c>
    </row>
    <row r="18" spans="1:18" x14ac:dyDescent="0.25">
      <c r="A18" s="76" t="s">
        <v>270</v>
      </c>
      <c r="B18" s="76">
        <v>10</v>
      </c>
      <c r="C18" s="76">
        <v>14</v>
      </c>
      <c r="D18" s="76">
        <v>24</v>
      </c>
      <c r="E18" s="76">
        <v>25</v>
      </c>
      <c r="F18" s="76">
        <v>40</v>
      </c>
      <c r="G18" s="76">
        <v>47</v>
      </c>
      <c r="H18" s="76">
        <v>52</v>
      </c>
      <c r="I18" s="76">
        <v>52</v>
      </c>
      <c r="J18" s="76">
        <v>59</v>
      </c>
      <c r="K18" s="76">
        <v>64</v>
      </c>
      <c r="L18" s="76">
        <v>82</v>
      </c>
      <c r="M18" s="76">
        <v>98</v>
      </c>
      <c r="N18" s="76">
        <v>117</v>
      </c>
      <c r="O18" s="76">
        <v>128</v>
      </c>
      <c r="P18" s="76">
        <v>136</v>
      </c>
      <c r="Q18" s="76">
        <v>148</v>
      </c>
      <c r="R18" s="76">
        <v>128</v>
      </c>
    </row>
    <row r="19" spans="1:18" x14ac:dyDescent="0.25">
      <c r="A19" s="76" t="s">
        <v>269</v>
      </c>
      <c r="B19" s="76">
        <v>10</v>
      </c>
      <c r="C19" s="76">
        <v>19</v>
      </c>
      <c r="D19" s="76">
        <v>24</v>
      </c>
      <c r="E19" s="76">
        <v>34</v>
      </c>
      <c r="F19" s="76">
        <v>37</v>
      </c>
      <c r="G19" s="76">
        <v>45</v>
      </c>
      <c r="H19" s="76">
        <v>51</v>
      </c>
      <c r="I19" s="76">
        <v>55</v>
      </c>
      <c r="J19" s="76">
        <v>61</v>
      </c>
      <c r="K19" s="76">
        <v>70</v>
      </c>
      <c r="L19" s="76">
        <v>80</v>
      </c>
      <c r="M19" s="76">
        <v>97</v>
      </c>
      <c r="N19" s="76">
        <v>113</v>
      </c>
      <c r="O19" s="76">
        <v>115</v>
      </c>
      <c r="P19" s="76">
        <v>133</v>
      </c>
      <c r="Q19" s="76">
        <v>142</v>
      </c>
      <c r="R19" s="76">
        <v>149</v>
      </c>
    </row>
    <row r="20" spans="1:18" x14ac:dyDescent="0.25">
      <c r="A20" s="76" t="s">
        <v>268</v>
      </c>
      <c r="B20" s="76">
        <v>9</v>
      </c>
      <c r="C20" s="76">
        <v>18</v>
      </c>
      <c r="D20" s="76">
        <v>22</v>
      </c>
      <c r="E20" s="76">
        <v>38</v>
      </c>
      <c r="F20" s="76">
        <v>41</v>
      </c>
      <c r="G20" s="76">
        <v>49</v>
      </c>
      <c r="H20" s="76">
        <v>62</v>
      </c>
      <c r="I20" s="76">
        <v>65</v>
      </c>
      <c r="J20" s="76">
        <v>72</v>
      </c>
      <c r="K20" s="76">
        <v>88</v>
      </c>
      <c r="L20" s="76">
        <v>92</v>
      </c>
      <c r="M20" s="76">
        <v>88</v>
      </c>
      <c r="N20" s="76">
        <v>95</v>
      </c>
      <c r="O20" s="76">
        <v>89</v>
      </c>
      <c r="P20" s="76">
        <v>91</v>
      </c>
      <c r="Q20" s="76">
        <v>88</v>
      </c>
      <c r="R20" s="76">
        <v>93</v>
      </c>
    </row>
    <row r="21" spans="1:18" x14ac:dyDescent="0.25">
      <c r="A21" s="76" t="s">
        <v>267</v>
      </c>
      <c r="B21" s="76">
        <v>10</v>
      </c>
      <c r="C21" s="76">
        <v>13</v>
      </c>
      <c r="D21" s="76">
        <v>25</v>
      </c>
      <c r="E21" s="76">
        <v>30</v>
      </c>
      <c r="F21" s="76">
        <v>43</v>
      </c>
      <c r="G21" s="76">
        <v>55</v>
      </c>
      <c r="H21" s="76">
        <v>74</v>
      </c>
      <c r="I21" s="76">
        <v>83</v>
      </c>
      <c r="J21" s="76">
        <v>104</v>
      </c>
      <c r="K21" s="76">
        <v>109</v>
      </c>
      <c r="L21" s="76">
        <v>116</v>
      </c>
      <c r="M21" s="76">
        <v>124</v>
      </c>
      <c r="N21" s="76">
        <v>130</v>
      </c>
      <c r="O21" s="76">
        <v>129</v>
      </c>
      <c r="P21" s="76">
        <v>125</v>
      </c>
      <c r="Q21" s="76">
        <v>125</v>
      </c>
      <c r="R21" s="76">
        <v>124</v>
      </c>
    </row>
    <row r="22" spans="1:18" x14ac:dyDescent="0.25">
      <c r="A22" s="76" t="s">
        <v>266</v>
      </c>
      <c r="B22" s="76">
        <v>11</v>
      </c>
      <c r="C22" s="76">
        <v>18</v>
      </c>
      <c r="D22" s="76">
        <v>23</v>
      </c>
      <c r="E22" s="76">
        <v>34</v>
      </c>
      <c r="F22" s="76">
        <v>39</v>
      </c>
      <c r="G22" s="76">
        <v>53</v>
      </c>
      <c r="H22" s="76">
        <v>66</v>
      </c>
      <c r="I22" s="76">
        <v>75</v>
      </c>
      <c r="J22" s="76">
        <v>84</v>
      </c>
      <c r="K22" s="76">
        <v>92</v>
      </c>
      <c r="L22" s="76">
        <v>103</v>
      </c>
      <c r="M22" s="76">
        <v>115</v>
      </c>
      <c r="N22" s="76">
        <v>115</v>
      </c>
      <c r="O22" s="76">
        <v>109</v>
      </c>
      <c r="P22" s="76">
        <v>105</v>
      </c>
      <c r="Q22" s="76">
        <v>106</v>
      </c>
      <c r="R22" s="76">
        <v>102</v>
      </c>
    </row>
    <row r="23" spans="1:18" x14ac:dyDescent="0.25">
      <c r="A23" s="76" t="s">
        <v>265</v>
      </c>
      <c r="B23" s="76">
        <v>11</v>
      </c>
      <c r="C23" s="76">
        <v>14</v>
      </c>
      <c r="D23" s="76">
        <v>20</v>
      </c>
      <c r="E23" s="76">
        <v>27</v>
      </c>
      <c r="F23" s="76">
        <v>41</v>
      </c>
      <c r="G23" s="76">
        <v>56</v>
      </c>
      <c r="H23" s="76">
        <v>72</v>
      </c>
      <c r="I23" s="76">
        <v>87</v>
      </c>
      <c r="J23" s="76">
        <v>102</v>
      </c>
      <c r="K23" s="76">
        <v>114</v>
      </c>
      <c r="L23" s="76">
        <v>124</v>
      </c>
      <c r="M23" s="76">
        <v>128</v>
      </c>
      <c r="N23" s="76">
        <v>141</v>
      </c>
      <c r="O23" s="76">
        <v>145</v>
      </c>
      <c r="P23" s="76">
        <v>142</v>
      </c>
      <c r="Q23" s="76">
        <v>143</v>
      </c>
      <c r="R23" s="76">
        <v>144</v>
      </c>
    </row>
    <row r="24" spans="1:18" x14ac:dyDescent="0.25">
      <c r="A24" s="76" t="s">
        <v>264</v>
      </c>
      <c r="B24" s="76">
        <v>11</v>
      </c>
      <c r="C24" s="76">
        <v>13</v>
      </c>
      <c r="D24" s="76">
        <v>23</v>
      </c>
      <c r="E24" s="76">
        <v>28</v>
      </c>
      <c r="F24" s="76">
        <v>38</v>
      </c>
      <c r="G24" s="76">
        <v>52</v>
      </c>
      <c r="H24" s="76">
        <v>66</v>
      </c>
      <c r="I24" s="76">
        <v>77</v>
      </c>
      <c r="J24" s="76">
        <v>90</v>
      </c>
      <c r="K24" s="76">
        <v>98</v>
      </c>
      <c r="L24" s="76">
        <v>111</v>
      </c>
      <c r="M24" s="76">
        <v>125</v>
      </c>
      <c r="N24" s="76">
        <v>129</v>
      </c>
      <c r="O24" s="76">
        <v>132</v>
      </c>
      <c r="P24" s="76">
        <v>133</v>
      </c>
      <c r="Q24" s="76">
        <v>127</v>
      </c>
      <c r="R24" s="76">
        <v>125</v>
      </c>
    </row>
    <row r="25" spans="1:18" x14ac:dyDescent="0.25">
      <c r="A25" s="76" t="s">
        <v>263</v>
      </c>
      <c r="B25" s="76">
        <v>10</v>
      </c>
      <c r="C25" s="76">
        <v>14</v>
      </c>
      <c r="D25" s="76">
        <v>23</v>
      </c>
      <c r="E25" s="76">
        <v>20</v>
      </c>
      <c r="F25" s="76">
        <v>37</v>
      </c>
      <c r="G25" s="76">
        <v>43</v>
      </c>
      <c r="H25" s="76">
        <v>53</v>
      </c>
      <c r="I25" s="76">
        <v>61</v>
      </c>
      <c r="J25" s="76">
        <v>66</v>
      </c>
      <c r="K25" s="76">
        <v>83</v>
      </c>
      <c r="L25" s="76">
        <v>93</v>
      </c>
      <c r="M25" s="76">
        <v>110</v>
      </c>
      <c r="N25" s="76">
        <v>118</v>
      </c>
      <c r="O25" s="76">
        <v>124</v>
      </c>
      <c r="P25" s="76">
        <v>125</v>
      </c>
      <c r="Q25" s="76">
        <v>127</v>
      </c>
      <c r="R25" s="76">
        <v>127</v>
      </c>
    </row>
    <row r="26" spans="1:18" x14ac:dyDescent="0.25">
      <c r="A26" s="76" t="s">
        <v>262</v>
      </c>
      <c r="B26" s="76">
        <v>9</v>
      </c>
      <c r="C26" s="76">
        <v>15</v>
      </c>
      <c r="D26" s="76">
        <v>21</v>
      </c>
      <c r="E26" s="76">
        <v>33</v>
      </c>
      <c r="F26" s="76">
        <v>42</v>
      </c>
      <c r="G26" s="76">
        <v>56</v>
      </c>
      <c r="H26" s="76">
        <v>68</v>
      </c>
      <c r="I26" s="76">
        <v>81</v>
      </c>
      <c r="J26" s="76">
        <v>98</v>
      </c>
      <c r="K26" s="76">
        <v>123</v>
      </c>
      <c r="L26" s="76">
        <v>131</v>
      </c>
      <c r="M26" s="76">
        <v>143</v>
      </c>
      <c r="N26" s="76">
        <v>159</v>
      </c>
      <c r="O26" s="76">
        <v>169</v>
      </c>
      <c r="P26" s="76">
        <v>173</v>
      </c>
      <c r="Q26" s="76">
        <v>174</v>
      </c>
      <c r="R26" s="76">
        <v>182</v>
      </c>
    </row>
    <row r="27" spans="1:18" x14ac:dyDescent="0.25">
      <c r="A27" s="76" t="s">
        <v>261</v>
      </c>
      <c r="B27" s="76">
        <v>10</v>
      </c>
      <c r="C27" s="76">
        <v>17</v>
      </c>
      <c r="D27" s="76">
        <v>23</v>
      </c>
      <c r="E27" s="76">
        <v>32</v>
      </c>
      <c r="F27" s="76">
        <v>45</v>
      </c>
      <c r="G27" s="76">
        <v>65</v>
      </c>
      <c r="H27" s="76">
        <v>73</v>
      </c>
      <c r="I27" s="76">
        <v>91</v>
      </c>
      <c r="J27" s="76">
        <v>107</v>
      </c>
      <c r="K27" s="76">
        <v>120</v>
      </c>
      <c r="L27" s="76">
        <v>130</v>
      </c>
      <c r="M27" s="76">
        <v>144</v>
      </c>
      <c r="N27" s="76">
        <v>158</v>
      </c>
      <c r="O27" s="76">
        <v>159</v>
      </c>
      <c r="P27" s="76">
        <v>161</v>
      </c>
      <c r="Q27" s="76">
        <v>169</v>
      </c>
      <c r="R27" s="76">
        <v>166</v>
      </c>
    </row>
    <row r="28" spans="1:18" x14ac:dyDescent="0.25">
      <c r="A28" s="76" t="s">
        <v>260</v>
      </c>
      <c r="B28" s="76">
        <v>11</v>
      </c>
      <c r="C28" s="76">
        <v>20</v>
      </c>
      <c r="D28" s="76">
        <v>22</v>
      </c>
      <c r="E28" s="76">
        <v>33</v>
      </c>
      <c r="F28" s="76">
        <v>44</v>
      </c>
      <c r="G28" s="76">
        <v>61</v>
      </c>
      <c r="H28" s="76">
        <v>64</v>
      </c>
      <c r="I28" s="76">
        <v>81</v>
      </c>
      <c r="J28" s="76">
        <v>91</v>
      </c>
      <c r="K28" s="76">
        <v>102</v>
      </c>
      <c r="L28" s="76">
        <v>118</v>
      </c>
      <c r="M28" s="76">
        <v>130</v>
      </c>
      <c r="N28" s="76">
        <v>132</v>
      </c>
      <c r="O28" s="76">
        <v>141</v>
      </c>
      <c r="P28" s="76">
        <v>139</v>
      </c>
      <c r="Q28" s="76">
        <v>144</v>
      </c>
      <c r="R28" s="76">
        <v>143</v>
      </c>
    </row>
    <row r="29" spans="1:18" x14ac:dyDescent="0.25">
      <c r="A29" s="76" t="s">
        <v>259</v>
      </c>
      <c r="B29" s="76">
        <v>10</v>
      </c>
      <c r="C29" s="76">
        <v>13</v>
      </c>
      <c r="D29" s="76">
        <v>25</v>
      </c>
      <c r="E29" s="76">
        <v>28</v>
      </c>
      <c r="F29" s="76">
        <v>42</v>
      </c>
      <c r="G29" s="76">
        <v>53</v>
      </c>
      <c r="H29" s="76">
        <v>59</v>
      </c>
      <c r="I29" s="76">
        <v>65</v>
      </c>
      <c r="J29" s="76">
        <v>75</v>
      </c>
      <c r="K29" s="76">
        <v>82</v>
      </c>
      <c r="L29" s="76">
        <v>90</v>
      </c>
      <c r="M29" s="76">
        <v>104</v>
      </c>
      <c r="N29" s="76">
        <v>111</v>
      </c>
      <c r="O29" s="76">
        <v>111</v>
      </c>
      <c r="P29" s="76">
        <v>120</v>
      </c>
      <c r="Q29" s="76">
        <v>119</v>
      </c>
      <c r="R29" s="76">
        <v>120</v>
      </c>
    </row>
    <row r="30" spans="1:18" x14ac:dyDescent="0.25">
      <c r="A30" s="76" t="s">
        <v>258</v>
      </c>
      <c r="B30" s="76">
        <v>13</v>
      </c>
      <c r="C30" s="76">
        <v>21</v>
      </c>
      <c r="D30" s="76">
        <v>25</v>
      </c>
      <c r="E30" s="76">
        <v>37</v>
      </c>
      <c r="F30" s="76">
        <v>39</v>
      </c>
      <c r="G30" s="76">
        <v>45</v>
      </c>
      <c r="H30" s="76">
        <v>49</v>
      </c>
      <c r="I30" s="76">
        <v>52</v>
      </c>
      <c r="J30" s="76">
        <v>58</v>
      </c>
      <c r="K30" s="76">
        <v>58</v>
      </c>
      <c r="L30" s="76">
        <v>76</v>
      </c>
      <c r="M30" s="76">
        <v>85</v>
      </c>
      <c r="N30" s="76">
        <v>102</v>
      </c>
      <c r="O30" s="76">
        <v>102</v>
      </c>
      <c r="P30" s="76">
        <v>105</v>
      </c>
      <c r="Q30" s="76">
        <v>109</v>
      </c>
      <c r="R30" s="76">
        <v>107</v>
      </c>
    </row>
    <row r="31" spans="1:18" x14ac:dyDescent="0.25">
      <c r="A31" s="76" t="s">
        <v>257</v>
      </c>
      <c r="B31" s="76">
        <v>12</v>
      </c>
      <c r="C31" s="76">
        <v>18</v>
      </c>
      <c r="D31" s="76">
        <v>24</v>
      </c>
      <c r="E31" s="76">
        <v>29</v>
      </c>
      <c r="F31" s="76">
        <v>35</v>
      </c>
      <c r="G31" s="76">
        <v>39</v>
      </c>
      <c r="H31" s="76">
        <v>43</v>
      </c>
      <c r="I31" s="76">
        <v>48</v>
      </c>
      <c r="J31" s="76">
        <v>54</v>
      </c>
      <c r="K31" s="76">
        <v>63</v>
      </c>
      <c r="L31" s="76">
        <v>66</v>
      </c>
      <c r="M31" s="76">
        <v>67</v>
      </c>
      <c r="N31" s="76">
        <v>82</v>
      </c>
      <c r="O31" s="76">
        <v>85</v>
      </c>
      <c r="P31" s="76">
        <v>89</v>
      </c>
      <c r="Q31" s="76">
        <v>79</v>
      </c>
      <c r="R31" s="76">
        <v>76</v>
      </c>
    </row>
    <row r="32" spans="1:18" x14ac:dyDescent="0.25">
      <c r="A32" s="76" t="s">
        <v>256</v>
      </c>
      <c r="B32" s="76">
        <v>11</v>
      </c>
      <c r="C32" s="76">
        <v>16</v>
      </c>
      <c r="D32" s="76">
        <v>21</v>
      </c>
      <c r="E32" s="76">
        <v>30</v>
      </c>
      <c r="F32" s="76">
        <v>33</v>
      </c>
      <c r="G32" s="76">
        <v>41</v>
      </c>
      <c r="H32" s="76">
        <v>46</v>
      </c>
      <c r="I32" s="76">
        <v>47</v>
      </c>
      <c r="J32" s="76">
        <v>58</v>
      </c>
      <c r="K32" s="76">
        <v>73</v>
      </c>
      <c r="L32" s="76">
        <v>85</v>
      </c>
      <c r="M32" s="76">
        <v>96</v>
      </c>
      <c r="N32" s="76">
        <v>114</v>
      </c>
      <c r="O32" s="76">
        <v>125</v>
      </c>
      <c r="P32" s="76">
        <v>133</v>
      </c>
      <c r="Q32" s="76">
        <v>134</v>
      </c>
      <c r="R32" s="76">
        <v>143</v>
      </c>
    </row>
    <row r="33" spans="1:18" x14ac:dyDescent="0.25">
      <c r="A33" s="76" t="s">
        <v>255</v>
      </c>
      <c r="B33" s="76">
        <v>11</v>
      </c>
      <c r="C33" s="76">
        <v>16</v>
      </c>
      <c r="D33" s="76">
        <v>22</v>
      </c>
      <c r="E33" s="76">
        <v>24</v>
      </c>
      <c r="F33" s="76">
        <v>33</v>
      </c>
      <c r="G33" s="76">
        <v>37</v>
      </c>
      <c r="H33" s="76">
        <v>39</v>
      </c>
      <c r="I33" s="76">
        <v>46</v>
      </c>
      <c r="J33" s="76">
        <v>47</v>
      </c>
      <c r="K33" s="76">
        <v>54</v>
      </c>
      <c r="L33" s="76">
        <v>53</v>
      </c>
      <c r="M33" s="76">
        <v>68</v>
      </c>
      <c r="N33" s="76">
        <v>79</v>
      </c>
      <c r="O33" s="76">
        <v>88</v>
      </c>
      <c r="P33" s="76">
        <v>90</v>
      </c>
      <c r="Q33" s="76">
        <v>96</v>
      </c>
      <c r="R33" s="76">
        <v>98</v>
      </c>
    </row>
    <row r="34" spans="1:18" x14ac:dyDescent="0.25">
      <c r="A34" s="76" t="s">
        <v>254</v>
      </c>
      <c r="B34" s="76">
        <v>12</v>
      </c>
      <c r="C34" s="76">
        <v>16</v>
      </c>
      <c r="D34" s="76">
        <v>23</v>
      </c>
      <c r="E34" s="76">
        <v>27</v>
      </c>
      <c r="F34" s="76">
        <v>34</v>
      </c>
      <c r="G34" s="76">
        <v>43</v>
      </c>
      <c r="H34" s="76">
        <v>48</v>
      </c>
      <c r="I34" s="76">
        <v>51</v>
      </c>
      <c r="J34" s="76">
        <v>58</v>
      </c>
      <c r="K34" s="76">
        <v>65</v>
      </c>
      <c r="L34" s="76">
        <v>76</v>
      </c>
      <c r="M34" s="76">
        <v>82</v>
      </c>
      <c r="N34" s="76">
        <v>100</v>
      </c>
      <c r="O34" s="76">
        <v>118</v>
      </c>
      <c r="P34" s="76">
        <v>119</v>
      </c>
      <c r="Q34" s="76">
        <v>130</v>
      </c>
      <c r="R34" s="76">
        <v>139</v>
      </c>
    </row>
    <row r="35" spans="1:18" x14ac:dyDescent="0.25">
      <c r="A35" s="76" t="s">
        <v>253</v>
      </c>
      <c r="B35" s="76">
        <v>9</v>
      </c>
      <c r="C35" s="76">
        <v>15</v>
      </c>
      <c r="D35" s="76">
        <v>20</v>
      </c>
      <c r="E35" s="76">
        <v>22</v>
      </c>
      <c r="F35" s="76">
        <v>38</v>
      </c>
      <c r="G35" s="76">
        <v>48</v>
      </c>
      <c r="H35" s="76">
        <v>52</v>
      </c>
      <c r="I35" s="76">
        <v>66</v>
      </c>
      <c r="J35" s="76">
        <v>74</v>
      </c>
      <c r="K35" s="76">
        <v>74</v>
      </c>
      <c r="L35" s="76">
        <v>94</v>
      </c>
      <c r="M35" s="76">
        <v>104</v>
      </c>
      <c r="N35" s="76">
        <v>108</v>
      </c>
      <c r="O35" s="76">
        <v>105</v>
      </c>
      <c r="P35" s="76">
        <v>99</v>
      </c>
      <c r="Q35" s="76">
        <v>94</v>
      </c>
      <c r="R35" s="76">
        <v>105</v>
      </c>
    </row>
    <row r="36" spans="1:18" x14ac:dyDescent="0.25">
      <c r="A36" s="76" t="s">
        <v>252</v>
      </c>
      <c r="B36" s="76">
        <v>11</v>
      </c>
      <c r="C36" s="76">
        <v>16</v>
      </c>
      <c r="D36" s="76">
        <v>19</v>
      </c>
      <c r="E36" s="76">
        <v>26</v>
      </c>
      <c r="F36" s="76">
        <v>35</v>
      </c>
      <c r="G36" s="76">
        <v>49</v>
      </c>
      <c r="H36" s="76">
        <v>62</v>
      </c>
      <c r="I36" s="76">
        <v>65</v>
      </c>
      <c r="J36" s="76">
        <v>73</v>
      </c>
      <c r="K36" s="76">
        <v>94</v>
      </c>
      <c r="L36" s="76">
        <v>103</v>
      </c>
      <c r="M36" s="76">
        <v>103</v>
      </c>
      <c r="N36" s="76">
        <v>111</v>
      </c>
      <c r="O36" s="76">
        <v>109</v>
      </c>
      <c r="P36" s="76">
        <v>106</v>
      </c>
      <c r="Q36" s="76">
        <v>107</v>
      </c>
      <c r="R36" s="76">
        <v>103</v>
      </c>
    </row>
    <row r="37" spans="1:18" x14ac:dyDescent="0.25">
      <c r="A37" s="76" t="s">
        <v>251</v>
      </c>
      <c r="B37" s="76">
        <v>9</v>
      </c>
      <c r="C37" s="76">
        <v>11</v>
      </c>
      <c r="D37" s="76">
        <v>20</v>
      </c>
      <c r="E37" s="76">
        <v>21</v>
      </c>
      <c r="F37" s="76">
        <v>36</v>
      </c>
      <c r="G37" s="76">
        <v>40</v>
      </c>
      <c r="H37" s="76">
        <v>55</v>
      </c>
      <c r="I37" s="76">
        <v>70</v>
      </c>
      <c r="J37" s="76">
        <v>79</v>
      </c>
      <c r="K37" s="76">
        <v>100</v>
      </c>
      <c r="L37" s="76">
        <v>98</v>
      </c>
      <c r="M37" s="76">
        <v>99</v>
      </c>
      <c r="N37" s="76">
        <v>109</v>
      </c>
      <c r="O37" s="76">
        <v>105</v>
      </c>
      <c r="P37" s="76">
        <v>107</v>
      </c>
      <c r="Q37" s="76">
        <v>109</v>
      </c>
      <c r="R37" s="76">
        <v>113</v>
      </c>
    </row>
    <row r="38" spans="1:18" x14ac:dyDescent="0.25">
      <c r="A38" s="76" t="s">
        <v>250</v>
      </c>
      <c r="B38" s="76">
        <v>11</v>
      </c>
      <c r="C38" s="76">
        <v>18</v>
      </c>
      <c r="D38" s="76">
        <v>28</v>
      </c>
      <c r="E38" s="76">
        <v>38</v>
      </c>
      <c r="F38" s="76">
        <v>46</v>
      </c>
      <c r="G38" s="76">
        <v>56</v>
      </c>
      <c r="H38" s="76">
        <v>60</v>
      </c>
      <c r="I38" s="76">
        <v>77</v>
      </c>
      <c r="J38" s="76">
        <v>85</v>
      </c>
      <c r="K38" s="76">
        <v>98</v>
      </c>
      <c r="L38" s="76">
        <v>107</v>
      </c>
      <c r="M38" s="76">
        <v>121</v>
      </c>
      <c r="N38" s="76">
        <v>135</v>
      </c>
      <c r="O38" s="76">
        <v>134</v>
      </c>
      <c r="P38" s="76">
        <v>137</v>
      </c>
      <c r="Q38" s="76">
        <v>137</v>
      </c>
      <c r="R38" s="76">
        <v>146</v>
      </c>
    </row>
    <row r="39" spans="1:18" x14ac:dyDescent="0.25">
      <c r="A39" s="76" t="s">
        <v>249</v>
      </c>
      <c r="B39" s="76">
        <v>11</v>
      </c>
      <c r="C39" s="76">
        <v>16</v>
      </c>
      <c r="D39" s="76">
        <v>24</v>
      </c>
      <c r="E39" s="76">
        <v>31</v>
      </c>
      <c r="F39" s="76">
        <v>41</v>
      </c>
      <c r="G39" s="76">
        <v>52</v>
      </c>
      <c r="H39" s="76">
        <v>60</v>
      </c>
      <c r="I39" s="76">
        <v>66</v>
      </c>
      <c r="J39" s="76">
        <v>72</v>
      </c>
      <c r="K39" s="76">
        <v>81</v>
      </c>
      <c r="L39" s="76">
        <v>87</v>
      </c>
      <c r="M39" s="76">
        <v>100</v>
      </c>
      <c r="N39" s="76">
        <v>104</v>
      </c>
      <c r="O39" s="76">
        <v>110</v>
      </c>
      <c r="P39" s="76">
        <v>108</v>
      </c>
      <c r="Q39" s="76">
        <v>107</v>
      </c>
      <c r="R39" s="76">
        <v>107</v>
      </c>
    </row>
    <row r="40" spans="1:18" x14ac:dyDescent="0.25">
      <c r="A40" s="76" t="s">
        <v>248</v>
      </c>
      <c r="B40" s="76">
        <v>10</v>
      </c>
      <c r="C40" s="76">
        <v>16</v>
      </c>
      <c r="D40" s="76">
        <v>22</v>
      </c>
      <c r="E40" s="76">
        <v>34</v>
      </c>
      <c r="F40" s="76">
        <v>39</v>
      </c>
      <c r="G40" s="76">
        <v>45</v>
      </c>
      <c r="H40" s="76">
        <v>53</v>
      </c>
      <c r="I40" s="76">
        <v>58</v>
      </c>
      <c r="J40" s="76">
        <v>66</v>
      </c>
      <c r="K40" s="76">
        <v>82</v>
      </c>
      <c r="L40" s="76">
        <v>82</v>
      </c>
      <c r="M40" s="76">
        <v>90</v>
      </c>
      <c r="N40" s="76">
        <v>100</v>
      </c>
      <c r="O40" s="76">
        <v>115</v>
      </c>
      <c r="P40" s="76">
        <v>112</v>
      </c>
      <c r="Q40" s="76">
        <v>105</v>
      </c>
      <c r="R40" s="76">
        <v>96</v>
      </c>
    </row>
    <row r="41" spans="1:18" x14ac:dyDescent="0.25">
      <c r="A41" s="76" t="s">
        <v>247</v>
      </c>
      <c r="B41" s="76">
        <v>13</v>
      </c>
      <c r="C41" s="76">
        <v>18</v>
      </c>
      <c r="D41" s="76">
        <v>24</v>
      </c>
      <c r="E41" s="76">
        <v>37</v>
      </c>
      <c r="F41" s="76">
        <v>41</v>
      </c>
      <c r="G41" s="76">
        <v>49</v>
      </c>
      <c r="H41" s="76">
        <v>60</v>
      </c>
      <c r="I41" s="76">
        <v>71</v>
      </c>
      <c r="J41" s="76">
        <v>72</v>
      </c>
      <c r="K41" s="76">
        <v>83</v>
      </c>
      <c r="L41" s="76">
        <v>87</v>
      </c>
      <c r="M41" s="76">
        <v>91</v>
      </c>
      <c r="N41" s="76">
        <v>99</v>
      </c>
      <c r="O41" s="76">
        <v>97</v>
      </c>
      <c r="P41" s="76">
        <v>95</v>
      </c>
      <c r="Q41" s="76">
        <v>96</v>
      </c>
      <c r="R41" s="76">
        <v>97</v>
      </c>
    </row>
    <row r="42" spans="1:18" x14ac:dyDescent="0.25">
      <c r="A42" s="76" t="s">
        <v>246</v>
      </c>
      <c r="B42" s="76">
        <v>10</v>
      </c>
      <c r="C42" s="76">
        <v>20</v>
      </c>
      <c r="D42" s="76">
        <v>23</v>
      </c>
      <c r="E42" s="76">
        <v>32</v>
      </c>
      <c r="F42" s="76">
        <v>38</v>
      </c>
      <c r="G42" s="76">
        <v>44</v>
      </c>
      <c r="H42" s="76">
        <v>48</v>
      </c>
      <c r="I42" s="76">
        <v>53</v>
      </c>
      <c r="J42" s="76">
        <v>54</v>
      </c>
      <c r="K42" s="76">
        <v>71</v>
      </c>
      <c r="L42" s="76">
        <v>68</v>
      </c>
      <c r="M42" s="76">
        <v>65</v>
      </c>
      <c r="N42" s="76">
        <v>65</v>
      </c>
      <c r="O42" s="76">
        <v>67</v>
      </c>
      <c r="P42" s="76">
        <v>65</v>
      </c>
      <c r="Q42" s="76">
        <v>65</v>
      </c>
      <c r="R42" s="76">
        <v>71</v>
      </c>
    </row>
    <row r="43" spans="1:18" x14ac:dyDescent="0.25">
      <c r="A43" s="76" t="s">
        <v>245</v>
      </c>
      <c r="B43" s="76">
        <v>11</v>
      </c>
      <c r="C43" s="76">
        <v>17</v>
      </c>
      <c r="D43" s="76">
        <v>22</v>
      </c>
      <c r="E43" s="76">
        <v>31</v>
      </c>
      <c r="F43" s="76">
        <v>44</v>
      </c>
      <c r="G43" s="76">
        <v>47</v>
      </c>
      <c r="H43" s="76">
        <v>56</v>
      </c>
      <c r="I43" s="76">
        <v>66</v>
      </c>
      <c r="J43" s="76">
        <v>69</v>
      </c>
      <c r="K43" s="76">
        <v>71</v>
      </c>
      <c r="L43" s="76">
        <v>54</v>
      </c>
      <c r="M43" s="76">
        <v>90</v>
      </c>
      <c r="N43" s="76">
        <v>92</v>
      </c>
      <c r="O43" s="76">
        <v>98</v>
      </c>
      <c r="P43" s="76">
        <v>93</v>
      </c>
      <c r="Q43" s="76">
        <v>93</v>
      </c>
      <c r="R43" s="76">
        <v>89</v>
      </c>
    </row>
    <row r="44" spans="1:18" x14ac:dyDescent="0.25">
      <c r="A44" s="76" t="s">
        <v>244</v>
      </c>
      <c r="B44" s="76">
        <v>11</v>
      </c>
      <c r="C44" s="76">
        <v>10</v>
      </c>
      <c r="D44" s="76">
        <v>22</v>
      </c>
      <c r="E44" s="76">
        <v>22</v>
      </c>
      <c r="F44" s="76">
        <v>38</v>
      </c>
      <c r="G44" s="76">
        <v>44</v>
      </c>
      <c r="H44" s="76">
        <v>53</v>
      </c>
      <c r="I44" s="76">
        <v>64</v>
      </c>
      <c r="J44" s="76">
        <v>69</v>
      </c>
      <c r="K44" s="76">
        <v>80</v>
      </c>
      <c r="L44" s="76">
        <v>89</v>
      </c>
      <c r="M44" s="76">
        <v>103</v>
      </c>
      <c r="N44" s="76">
        <v>118</v>
      </c>
      <c r="O44" s="76">
        <v>127</v>
      </c>
      <c r="P44" s="76">
        <v>134</v>
      </c>
      <c r="Q44" s="76">
        <v>134</v>
      </c>
      <c r="R44" s="76">
        <v>134</v>
      </c>
    </row>
    <row r="45" spans="1:18" x14ac:dyDescent="0.25">
      <c r="A45" s="76" t="s">
        <v>243</v>
      </c>
      <c r="B45" s="76">
        <v>10</v>
      </c>
      <c r="C45" s="76">
        <v>15</v>
      </c>
      <c r="D45" s="76">
        <v>20</v>
      </c>
      <c r="E45" s="76">
        <v>27</v>
      </c>
      <c r="F45" s="76">
        <v>38</v>
      </c>
      <c r="G45" s="76">
        <v>49</v>
      </c>
      <c r="H45" s="76">
        <v>56</v>
      </c>
      <c r="I45" s="76">
        <v>71</v>
      </c>
      <c r="J45" s="76">
        <v>85</v>
      </c>
      <c r="K45" s="76">
        <v>102</v>
      </c>
      <c r="L45" s="76">
        <v>112</v>
      </c>
      <c r="M45" s="76">
        <v>126</v>
      </c>
      <c r="N45" s="76">
        <v>138</v>
      </c>
      <c r="O45" s="76">
        <v>143</v>
      </c>
      <c r="P45" s="76">
        <v>151</v>
      </c>
      <c r="Q45" s="76">
        <v>166</v>
      </c>
      <c r="R45" s="76">
        <v>165</v>
      </c>
    </row>
    <row r="46" spans="1:18" x14ac:dyDescent="0.25">
      <c r="A46" s="76" t="s">
        <v>242</v>
      </c>
      <c r="B46" s="76">
        <v>11</v>
      </c>
      <c r="C46" s="76">
        <v>13</v>
      </c>
      <c r="D46" s="76">
        <v>22</v>
      </c>
      <c r="E46" s="76">
        <v>24</v>
      </c>
      <c r="F46" s="76">
        <v>39</v>
      </c>
      <c r="G46" s="76">
        <v>49</v>
      </c>
      <c r="H46" s="76">
        <v>64</v>
      </c>
      <c r="I46" s="76">
        <v>80</v>
      </c>
      <c r="J46" s="76">
        <v>89</v>
      </c>
      <c r="K46" s="76">
        <v>100</v>
      </c>
      <c r="L46" s="76">
        <v>116</v>
      </c>
      <c r="M46" s="76">
        <v>128</v>
      </c>
      <c r="N46" s="76">
        <v>146</v>
      </c>
      <c r="O46" s="76">
        <v>156</v>
      </c>
      <c r="P46" s="76">
        <v>157</v>
      </c>
      <c r="Q46" s="76">
        <v>165</v>
      </c>
      <c r="R46" s="76">
        <v>162</v>
      </c>
    </row>
    <row r="47" spans="1:18" x14ac:dyDescent="0.25">
      <c r="A47" s="76" t="s">
        <v>241</v>
      </c>
      <c r="B47" s="76">
        <v>11</v>
      </c>
      <c r="C47" s="76">
        <v>14</v>
      </c>
      <c r="D47" s="76">
        <v>18</v>
      </c>
      <c r="E47" s="76">
        <v>26</v>
      </c>
      <c r="F47" s="76">
        <v>40</v>
      </c>
      <c r="G47" s="76">
        <v>50</v>
      </c>
      <c r="H47" s="76">
        <v>62</v>
      </c>
      <c r="I47" s="76">
        <v>72</v>
      </c>
      <c r="J47" s="76">
        <v>82</v>
      </c>
      <c r="K47" s="76">
        <v>79</v>
      </c>
      <c r="L47" s="76">
        <v>99</v>
      </c>
      <c r="M47" s="76">
        <v>111</v>
      </c>
      <c r="N47" s="76">
        <v>118</v>
      </c>
      <c r="O47" s="76">
        <v>125</v>
      </c>
      <c r="P47" s="76">
        <v>126</v>
      </c>
      <c r="Q47" s="76">
        <v>119</v>
      </c>
      <c r="R47" s="76">
        <v>119</v>
      </c>
    </row>
    <row r="48" spans="1:18" x14ac:dyDescent="0.25">
      <c r="A48" s="76" t="s">
        <v>240</v>
      </c>
      <c r="B48" s="76">
        <v>11</v>
      </c>
      <c r="C48" s="76">
        <v>10</v>
      </c>
      <c r="D48" s="76">
        <v>23</v>
      </c>
      <c r="E48" s="76">
        <v>26</v>
      </c>
      <c r="F48" s="76">
        <v>44</v>
      </c>
      <c r="G48" s="76">
        <v>53</v>
      </c>
      <c r="H48" s="76">
        <v>58</v>
      </c>
      <c r="I48" s="76">
        <v>75</v>
      </c>
      <c r="J48" s="76">
        <v>81</v>
      </c>
      <c r="K48" s="76">
        <v>85</v>
      </c>
      <c r="L48" s="76">
        <v>103</v>
      </c>
      <c r="M48" s="76">
        <v>117</v>
      </c>
      <c r="N48" s="76">
        <v>121</v>
      </c>
      <c r="O48" s="76">
        <v>118</v>
      </c>
      <c r="P48" s="76">
        <v>119</v>
      </c>
      <c r="Q48" s="76">
        <v>122</v>
      </c>
      <c r="R48" s="76">
        <v>118</v>
      </c>
    </row>
    <row r="49" spans="1:18" x14ac:dyDescent="0.25">
      <c r="A49" s="76" t="s">
        <v>239</v>
      </c>
      <c r="B49" s="76">
        <v>11</v>
      </c>
      <c r="C49" s="76">
        <v>16</v>
      </c>
      <c r="D49" s="76">
        <v>21</v>
      </c>
      <c r="E49" s="76">
        <v>30</v>
      </c>
      <c r="F49" s="76">
        <v>41</v>
      </c>
      <c r="G49" s="76">
        <v>46</v>
      </c>
      <c r="H49" s="76">
        <v>55</v>
      </c>
      <c r="I49" s="76">
        <v>68</v>
      </c>
      <c r="J49" s="76">
        <v>74</v>
      </c>
      <c r="K49" s="76">
        <v>80</v>
      </c>
      <c r="L49" s="76">
        <v>98</v>
      </c>
      <c r="M49" s="76">
        <v>110</v>
      </c>
      <c r="N49" s="76">
        <v>127</v>
      </c>
      <c r="O49" s="76">
        <v>106</v>
      </c>
      <c r="P49" s="76">
        <v>104</v>
      </c>
      <c r="Q49" s="76">
        <v>103</v>
      </c>
      <c r="R49" s="76">
        <v>104</v>
      </c>
    </row>
    <row r="50" spans="1:18" x14ac:dyDescent="0.25">
      <c r="A50" s="76" t="s">
        <v>238</v>
      </c>
      <c r="B50" s="76">
        <v>11</v>
      </c>
      <c r="C50" s="76">
        <v>12</v>
      </c>
      <c r="D50" s="76">
        <v>24</v>
      </c>
      <c r="E50" s="76">
        <v>24</v>
      </c>
      <c r="F50" s="76">
        <v>38</v>
      </c>
      <c r="G50" s="76">
        <v>43</v>
      </c>
      <c r="H50" s="76">
        <v>67</v>
      </c>
      <c r="I50" s="76">
        <v>75</v>
      </c>
      <c r="J50" s="76">
        <v>82</v>
      </c>
      <c r="K50" s="76">
        <v>96</v>
      </c>
      <c r="L50" s="76">
        <v>106</v>
      </c>
      <c r="M50" s="76">
        <v>118</v>
      </c>
      <c r="N50" s="76">
        <v>125</v>
      </c>
      <c r="O50" s="76">
        <v>132</v>
      </c>
      <c r="P50" s="76">
        <v>137</v>
      </c>
      <c r="Q50" s="76">
        <v>142</v>
      </c>
      <c r="R50" s="76">
        <v>141</v>
      </c>
    </row>
    <row r="51" spans="1:18" x14ac:dyDescent="0.25">
      <c r="A51" s="76" t="s">
        <v>237</v>
      </c>
      <c r="B51" s="76">
        <v>11</v>
      </c>
      <c r="C51" s="76">
        <v>18</v>
      </c>
      <c r="D51" s="76">
        <v>23</v>
      </c>
      <c r="E51" s="76">
        <v>37</v>
      </c>
      <c r="F51" s="76">
        <v>43</v>
      </c>
      <c r="G51" s="76">
        <v>52</v>
      </c>
      <c r="H51" s="76">
        <v>69</v>
      </c>
      <c r="I51" s="76">
        <v>82</v>
      </c>
      <c r="J51" s="76">
        <v>90</v>
      </c>
      <c r="K51" s="76">
        <v>105</v>
      </c>
      <c r="L51" s="76">
        <v>116</v>
      </c>
      <c r="M51" s="76">
        <v>124</v>
      </c>
      <c r="N51" s="76">
        <v>131</v>
      </c>
      <c r="O51" s="76">
        <v>138</v>
      </c>
      <c r="P51" s="76">
        <v>144</v>
      </c>
      <c r="Q51" s="76">
        <v>147</v>
      </c>
      <c r="R51" s="76">
        <v>147</v>
      </c>
    </row>
    <row r="52" spans="1:18" x14ac:dyDescent="0.25">
      <c r="A52" s="76" t="s">
        <v>236</v>
      </c>
      <c r="B52" s="76">
        <v>13</v>
      </c>
      <c r="C52" s="76">
        <v>18</v>
      </c>
      <c r="D52" s="76">
        <v>24</v>
      </c>
      <c r="E52" s="76">
        <v>36</v>
      </c>
      <c r="F52" s="76">
        <v>44</v>
      </c>
      <c r="G52" s="76">
        <v>51</v>
      </c>
      <c r="H52" s="76">
        <v>62</v>
      </c>
      <c r="I52" s="76">
        <v>87</v>
      </c>
      <c r="J52" s="76">
        <v>89</v>
      </c>
      <c r="K52" s="76">
        <v>104</v>
      </c>
      <c r="L52" s="76">
        <v>116</v>
      </c>
      <c r="M52" s="76">
        <v>131</v>
      </c>
      <c r="N52" s="76">
        <v>137</v>
      </c>
      <c r="O52" s="76">
        <v>144</v>
      </c>
      <c r="P52" s="76">
        <v>150</v>
      </c>
      <c r="Q52" s="76">
        <v>160</v>
      </c>
      <c r="R52" s="76">
        <v>163</v>
      </c>
    </row>
    <row r="53" spans="1:18" x14ac:dyDescent="0.25">
      <c r="A53" s="76" t="s">
        <v>235</v>
      </c>
      <c r="B53" s="76">
        <v>12</v>
      </c>
      <c r="C53" s="76">
        <v>17</v>
      </c>
      <c r="D53" s="76">
        <v>26</v>
      </c>
      <c r="E53" s="76">
        <v>34</v>
      </c>
      <c r="F53" s="76">
        <v>46</v>
      </c>
      <c r="G53" s="76">
        <v>57</v>
      </c>
      <c r="H53" s="76">
        <v>81</v>
      </c>
      <c r="I53" s="76">
        <v>97</v>
      </c>
      <c r="J53" s="76">
        <v>101</v>
      </c>
      <c r="K53" s="76">
        <v>126</v>
      </c>
      <c r="L53" s="76">
        <v>137</v>
      </c>
      <c r="M53" s="76">
        <v>141</v>
      </c>
      <c r="N53" s="76">
        <v>144</v>
      </c>
      <c r="O53" s="76">
        <v>146</v>
      </c>
      <c r="P53" s="76">
        <v>143</v>
      </c>
      <c r="Q53" s="76">
        <v>142</v>
      </c>
      <c r="R53" s="76">
        <v>136</v>
      </c>
    </row>
    <row r="54" spans="1:18" x14ac:dyDescent="0.25">
      <c r="A54" s="76" t="s">
        <v>234</v>
      </c>
      <c r="B54" s="76">
        <v>12</v>
      </c>
      <c r="C54" s="76">
        <v>18</v>
      </c>
      <c r="D54" s="76">
        <v>24</v>
      </c>
      <c r="E54" s="76">
        <v>36</v>
      </c>
      <c r="F54" s="76">
        <v>43</v>
      </c>
      <c r="G54" s="76">
        <v>56</v>
      </c>
      <c r="H54" s="76">
        <v>73</v>
      </c>
      <c r="I54" s="76">
        <v>83</v>
      </c>
      <c r="J54" s="76">
        <v>94</v>
      </c>
      <c r="K54" s="76">
        <v>105</v>
      </c>
      <c r="L54" s="76">
        <v>114</v>
      </c>
      <c r="M54" s="76">
        <v>120</v>
      </c>
      <c r="N54" s="76">
        <v>124</v>
      </c>
      <c r="O54" s="76">
        <v>123</v>
      </c>
      <c r="P54" s="76">
        <v>123</v>
      </c>
      <c r="Q54" s="76">
        <v>122</v>
      </c>
      <c r="R54" s="76">
        <v>124</v>
      </c>
    </row>
    <row r="55" spans="1:18" x14ac:dyDescent="0.25">
      <c r="A55" s="76" t="s">
        <v>233</v>
      </c>
      <c r="B55" s="76">
        <v>13</v>
      </c>
      <c r="C55" s="76">
        <v>16</v>
      </c>
      <c r="D55" s="76">
        <v>23</v>
      </c>
      <c r="E55" s="76">
        <v>32</v>
      </c>
      <c r="F55" s="76">
        <v>40</v>
      </c>
      <c r="G55" s="76">
        <v>51</v>
      </c>
      <c r="H55" s="76">
        <v>62</v>
      </c>
      <c r="I55" s="76">
        <v>66</v>
      </c>
      <c r="J55" s="76">
        <v>70</v>
      </c>
      <c r="K55" s="76">
        <v>79</v>
      </c>
      <c r="L55" s="76">
        <v>87</v>
      </c>
      <c r="M55" s="76">
        <v>87</v>
      </c>
      <c r="N55" s="76">
        <v>98</v>
      </c>
      <c r="O55" s="76">
        <v>93</v>
      </c>
      <c r="P55" s="76">
        <v>91</v>
      </c>
      <c r="Q55" s="76">
        <v>100</v>
      </c>
      <c r="R55" s="76">
        <v>94</v>
      </c>
    </row>
    <row r="56" spans="1:18" x14ac:dyDescent="0.25">
      <c r="A56" s="76" t="s">
        <v>232</v>
      </c>
      <c r="B56" s="76">
        <v>9</v>
      </c>
      <c r="C56" s="76">
        <v>11</v>
      </c>
      <c r="D56" s="76">
        <v>21</v>
      </c>
      <c r="E56" s="76">
        <v>33</v>
      </c>
      <c r="F56" s="76">
        <v>44</v>
      </c>
      <c r="G56" s="76">
        <v>55</v>
      </c>
      <c r="H56" s="76">
        <v>73</v>
      </c>
      <c r="I56" s="76">
        <v>93</v>
      </c>
      <c r="J56" s="76">
        <v>106</v>
      </c>
      <c r="K56" s="76">
        <v>119</v>
      </c>
      <c r="L56" s="76">
        <v>129</v>
      </c>
      <c r="M56" s="76">
        <v>142</v>
      </c>
      <c r="N56" s="76">
        <v>143</v>
      </c>
      <c r="O56" s="76">
        <v>148</v>
      </c>
      <c r="P56" s="76">
        <v>151</v>
      </c>
      <c r="Q56" s="76">
        <v>151</v>
      </c>
      <c r="R56" s="76">
        <v>151</v>
      </c>
    </row>
    <row r="57" spans="1:18" x14ac:dyDescent="0.25">
      <c r="A57" s="76" t="s">
        <v>231</v>
      </c>
      <c r="B57" s="76">
        <v>11</v>
      </c>
      <c r="C57" s="76">
        <v>10</v>
      </c>
      <c r="D57" s="76">
        <v>21</v>
      </c>
      <c r="E57" s="76">
        <v>28</v>
      </c>
      <c r="F57" s="76">
        <v>37</v>
      </c>
      <c r="G57" s="76">
        <v>48</v>
      </c>
      <c r="H57" s="76">
        <v>59</v>
      </c>
      <c r="I57" s="76">
        <v>71</v>
      </c>
      <c r="J57" s="76">
        <v>80</v>
      </c>
      <c r="K57" s="76">
        <v>94</v>
      </c>
      <c r="L57" s="76">
        <v>110</v>
      </c>
      <c r="M57" s="76">
        <v>120</v>
      </c>
      <c r="N57" s="76">
        <v>131</v>
      </c>
      <c r="O57" s="76">
        <v>140</v>
      </c>
      <c r="P57" s="76">
        <v>148</v>
      </c>
      <c r="Q57" s="76">
        <v>143</v>
      </c>
      <c r="R57" s="76">
        <v>148</v>
      </c>
    </row>
    <row r="58" spans="1:18" x14ac:dyDescent="0.25">
      <c r="A58" s="76" t="s">
        <v>230</v>
      </c>
      <c r="B58" s="76">
        <v>9</v>
      </c>
      <c r="C58" s="76">
        <v>12</v>
      </c>
      <c r="D58" s="76">
        <v>17</v>
      </c>
      <c r="E58" s="76">
        <v>25</v>
      </c>
      <c r="F58" s="76">
        <v>37</v>
      </c>
      <c r="G58" s="76">
        <v>53</v>
      </c>
      <c r="H58" s="76">
        <v>64</v>
      </c>
      <c r="I58" s="76">
        <v>81</v>
      </c>
      <c r="J58" s="76">
        <v>98</v>
      </c>
      <c r="K58" s="76">
        <v>116</v>
      </c>
      <c r="L58" s="76">
        <v>129</v>
      </c>
      <c r="M58" s="76">
        <v>141</v>
      </c>
      <c r="N58" s="76">
        <v>146</v>
      </c>
      <c r="O58" s="76">
        <v>158</v>
      </c>
      <c r="P58" s="76">
        <v>158</v>
      </c>
      <c r="Q58" s="76">
        <v>158</v>
      </c>
      <c r="R58" s="76">
        <v>164</v>
      </c>
    </row>
    <row r="59" spans="1:18" x14ac:dyDescent="0.25">
      <c r="A59" s="76" t="s">
        <v>229</v>
      </c>
      <c r="B59" s="76">
        <v>9</v>
      </c>
      <c r="C59" s="76">
        <v>11</v>
      </c>
      <c r="D59" s="76">
        <v>18</v>
      </c>
      <c r="E59" s="76">
        <v>25</v>
      </c>
      <c r="F59" s="76">
        <v>33</v>
      </c>
      <c r="G59" s="76">
        <v>38</v>
      </c>
      <c r="H59" s="76">
        <v>41</v>
      </c>
      <c r="I59" s="76">
        <v>48</v>
      </c>
      <c r="J59" s="76">
        <v>51</v>
      </c>
      <c r="K59" s="76">
        <v>62</v>
      </c>
      <c r="L59" s="76">
        <v>70</v>
      </c>
      <c r="M59" s="76">
        <v>71</v>
      </c>
      <c r="N59" s="76">
        <v>86</v>
      </c>
      <c r="O59" s="76">
        <v>83</v>
      </c>
      <c r="P59" s="76">
        <v>86</v>
      </c>
      <c r="Q59" s="76">
        <v>88</v>
      </c>
      <c r="R59" s="76">
        <v>97</v>
      </c>
    </row>
    <row r="60" spans="1:18" x14ac:dyDescent="0.25">
      <c r="A60" s="76" t="s">
        <v>228</v>
      </c>
      <c r="B60" s="76">
        <v>9</v>
      </c>
      <c r="C60" s="76">
        <v>13</v>
      </c>
      <c r="D60" s="76">
        <v>15</v>
      </c>
      <c r="E60" s="76">
        <v>23</v>
      </c>
      <c r="F60" s="76">
        <v>24</v>
      </c>
      <c r="G60" s="76">
        <v>24</v>
      </c>
      <c r="H60" s="76">
        <v>32</v>
      </c>
      <c r="I60" s="76">
        <v>33</v>
      </c>
      <c r="J60" s="76">
        <v>33</v>
      </c>
      <c r="K60" s="76">
        <v>42</v>
      </c>
      <c r="L60" s="76">
        <v>47</v>
      </c>
      <c r="M60" s="76">
        <v>68</v>
      </c>
      <c r="N60" s="76">
        <v>66</v>
      </c>
      <c r="O60" s="76">
        <v>71</v>
      </c>
      <c r="P60" s="76">
        <v>72</v>
      </c>
      <c r="Q60" s="76">
        <v>74</v>
      </c>
      <c r="R60" s="76">
        <v>72</v>
      </c>
    </row>
    <row r="61" spans="1:18" x14ac:dyDescent="0.25">
      <c r="A61" s="76" t="s">
        <v>227</v>
      </c>
      <c r="B61" s="76">
        <v>10</v>
      </c>
      <c r="C61" s="76">
        <v>13</v>
      </c>
      <c r="D61" s="76">
        <v>17</v>
      </c>
      <c r="E61" s="76">
        <v>25</v>
      </c>
      <c r="F61" s="76">
        <v>27</v>
      </c>
      <c r="G61" s="76">
        <v>28</v>
      </c>
      <c r="H61" s="76">
        <v>32</v>
      </c>
      <c r="I61" s="76">
        <v>35</v>
      </c>
      <c r="J61" s="76">
        <v>34</v>
      </c>
      <c r="K61" s="76">
        <v>49</v>
      </c>
      <c r="L61" s="76">
        <v>56</v>
      </c>
      <c r="M61" s="76">
        <v>65</v>
      </c>
      <c r="N61" s="76">
        <v>74</v>
      </c>
      <c r="O61" s="76">
        <v>82</v>
      </c>
      <c r="P61" s="76">
        <v>81</v>
      </c>
      <c r="Q61" s="76">
        <v>80</v>
      </c>
      <c r="R61" s="76">
        <v>84</v>
      </c>
    </row>
    <row r="62" spans="1:18" x14ac:dyDescent="0.25">
      <c r="A62" s="76" t="s">
        <v>226</v>
      </c>
      <c r="B62" s="76">
        <v>12</v>
      </c>
      <c r="C62" s="76">
        <v>18</v>
      </c>
      <c r="D62" s="76">
        <v>27</v>
      </c>
      <c r="E62" s="76">
        <v>36</v>
      </c>
      <c r="F62" s="76">
        <v>43</v>
      </c>
      <c r="G62" s="76">
        <v>53</v>
      </c>
      <c r="H62" s="76">
        <v>59</v>
      </c>
      <c r="I62" s="76">
        <v>69</v>
      </c>
      <c r="J62" s="76">
        <v>78</v>
      </c>
      <c r="K62" s="76">
        <v>79</v>
      </c>
      <c r="L62" s="76">
        <v>97</v>
      </c>
      <c r="M62" s="76">
        <v>124</v>
      </c>
      <c r="N62" s="76">
        <v>137</v>
      </c>
      <c r="O62" s="76">
        <v>137</v>
      </c>
      <c r="P62" s="76">
        <v>141</v>
      </c>
      <c r="Q62" s="76">
        <v>147</v>
      </c>
      <c r="R62" s="76">
        <v>148</v>
      </c>
    </row>
    <row r="63" spans="1:18" x14ac:dyDescent="0.25">
      <c r="A63" s="76" t="s">
        <v>225</v>
      </c>
      <c r="B63" s="76">
        <v>10</v>
      </c>
      <c r="C63" s="76">
        <v>14</v>
      </c>
      <c r="D63" s="76">
        <v>21</v>
      </c>
      <c r="E63" s="76">
        <v>33</v>
      </c>
      <c r="F63" s="76">
        <v>37</v>
      </c>
      <c r="G63" s="76">
        <v>45</v>
      </c>
      <c r="H63" s="76">
        <v>53</v>
      </c>
      <c r="I63" s="76">
        <v>58</v>
      </c>
      <c r="J63" s="76">
        <v>65</v>
      </c>
      <c r="K63" s="76">
        <v>80</v>
      </c>
      <c r="L63" s="76">
        <v>83</v>
      </c>
      <c r="M63" s="76">
        <v>98</v>
      </c>
      <c r="N63" s="76">
        <v>105</v>
      </c>
      <c r="O63" s="76">
        <v>112</v>
      </c>
      <c r="P63" s="76">
        <v>118</v>
      </c>
      <c r="Q63" s="76">
        <v>121</v>
      </c>
      <c r="R63" s="76">
        <v>124</v>
      </c>
    </row>
    <row r="64" spans="1:18" x14ac:dyDescent="0.25">
      <c r="A64" s="76" t="s">
        <v>224</v>
      </c>
      <c r="B64" s="76">
        <v>11</v>
      </c>
      <c r="C64" s="76">
        <v>20</v>
      </c>
      <c r="D64" s="76">
        <v>25</v>
      </c>
      <c r="E64" s="76">
        <v>34</v>
      </c>
      <c r="F64" s="76">
        <v>41</v>
      </c>
      <c r="G64" s="76">
        <v>48</v>
      </c>
      <c r="H64" s="76">
        <v>57</v>
      </c>
      <c r="I64" s="76">
        <v>65</v>
      </c>
      <c r="J64" s="76">
        <v>76</v>
      </c>
      <c r="K64" s="76">
        <v>82</v>
      </c>
      <c r="L64" s="76">
        <v>98</v>
      </c>
      <c r="M64" s="76">
        <v>115</v>
      </c>
      <c r="N64" s="76">
        <v>126</v>
      </c>
      <c r="O64" s="76">
        <v>131</v>
      </c>
      <c r="P64" s="76">
        <v>139</v>
      </c>
      <c r="Q64" s="76">
        <v>142</v>
      </c>
      <c r="R64" s="76">
        <v>139</v>
      </c>
    </row>
    <row r="65" spans="1:18" x14ac:dyDescent="0.25">
      <c r="A65" s="76" t="s">
        <v>223</v>
      </c>
      <c r="B65" s="76">
        <v>10</v>
      </c>
      <c r="C65" s="76">
        <v>19</v>
      </c>
      <c r="D65" s="76">
        <v>21</v>
      </c>
      <c r="E65" s="76">
        <v>32</v>
      </c>
      <c r="F65" s="76">
        <v>33</v>
      </c>
      <c r="G65" s="76">
        <v>37</v>
      </c>
      <c r="H65" s="76">
        <v>50</v>
      </c>
      <c r="I65" s="76">
        <v>51</v>
      </c>
      <c r="J65" s="76">
        <v>49</v>
      </c>
      <c r="K65" s="76">
        <v>64</v>
      </c>
      <c r="L65" s="76">
        <v>71</v>
      </c>
      <c r="M65" s="76">
        <v>62</v>
      </c>
      <c r="N65" s="76">
        <v>67</v>
      </c>
      <c r="O65" s="76">
        <v>70</v>
      </c>
      <c r="P65" s="76">
        <v>73</v>
      </c>
      <c r="Q65" s="76">
        <v>92</v>
      </c>
      <c r="R65" s="76">
        <v>71</v>
      </c>
    </row>
    <row r="66" spans="1:18" x14ac:dyDescent="0.25">
      <c r="A66" s="76" t="s">
        <v>222</v>
      </c>
      <c r="B66" s="76">
        <v>11</v>
      </c>
      <c r="C66" s="76">
        <v>18</v>
      </c>
      <c r="D66" s="76">
        <v>23</v>
      </c>
      <c r="E66" s="76">
        <v>29</v>
      </c>
      <c r="F66" s="76">
        <v>33</v>
      </c>
      <c r="G66" s="76">
        <v>38</v>
      </c>
      <c r="H66" s="76">
        <v>55</v>
      </c>
      <c r="I66" s="76">
        <v>58</v>
      </c>
      <c r="J66" s="76">
        <v>62</v>
      </c>
      <c r="K66" s="76">
        <v>87</v>
      </c>
      <c r="L66" s="76">
        <v>82</v>
      </c>
      <c r="M66" s="76">
        <v>82</v>
      </c>
      <c r="N66" s="76">
        <v>84</v>
      </c>
      <c r="O66" s="76">
        <v>88</v>
      </c>
      <c r="P66" s="76">
        <v>102</v>
      </c>
      <c r="Q66" s="76">
        <v>92</v>
      </c>
      <c r="R66" s="76">
        <v>90</v>
      </c>
    </row>
    <row r="67" spans="1:18" x14ac:dyDescent="0.25">
      <c r="A67" s="76" t="s">
        <v>221</v>
      </c>
      <c r="B67" s="76">
        <v>11</v>
      </c>
      <c r="C67" s="76">
        <v>16</v>
      </c>
      <c r="D67" s="76">
        <v>20</v>
      </c>
      <c r="E67" s="76">
        <v>28</v>
      </c>
      <c r="F67" s="76">
        <v>35</v>
      </c>
      <c r="G67" s="76">
        <v>43</v>
      </c>
      <c r="H67" s="76">
        <v>54</v>
      </c>
      <c r="I67" s="76">
        <v>61</v>
      </c>
      <c r="J67" s="76">
        <v>70</v>
      </c>
      <c r="K67" s="76">
        <v>85</v>
      </c>
      <c r="L67" s="76">
        <v>98</v>
      </c>
      <c r="M67" s="76">
        <v>100</v>
      </c>
      <c r="N67" s="76">
        <v>108</v>
      </c>
      <c r="O67" s="76">
        <v>111</v>
      </c>
      <c r="P67" s="76">
        <v>110</v>
      </c>
      <c r="Q67" s="76">
        <v>108</v>
      </c>
      <c r="R67" s="76">
        <v>105</v>
      </c>
    </row>
    <row r="68" spans="1:18" x14ac:dyDescent="0.25">
      <c r="A68" s="76" t="s">
        <v>220</v>
      </c>
      <c r="B68" s="76">
        <v>11</v>
      </c>
      <c r="C68" s="76">
        <v>17</v>
      </c>
      <c r="D68" s="76">
        <v>24</v>
      </c>
      <c r="E68" s="76">
        <v>30</v>
      </c>
      <c r="F68" s="76">
        <v>36</v>
      </c>
      <c r="G68" s="76">
        <v>43</v>
      </c>
      <c r="H68" s="76">
        <v>46</v>
      </c>
      <c r="I68" s="76">
        <v>52</v>
      </c>
      <c r="J68" s="76">
        <v>60</v>
      </c>
      <c r="K68" s="76">
        <v>65</v>
      </c>
      <c r="L68" s="76">
        <v>77</v>
      </c>
      <c r="M68" s="76">
        <v>86</v>
      </c>
      <c r="N68" s="76">
        <v>104</v>
      </c>
      <c r="O68" s="76">
        <v>98</v>
      </c>
      <c r="P68" s="76">
        <v>127</v>
      </c>
      <c r="Q68" s="76">
        <v>121</v>
      </c>
      <c r="R68" s="76">
        <v>135</v>
      </c>
    </row>
    <row r="69" spans="1:18" x14ac:dyDescent="0.25">
      <c r="A69" s="76" t="s">
        <v>219</v>
      </c>
      <c r="B69" s="76">
        <v>10</v>
      </c>
      <c r="C69" s="76">
        <v>16</v>
      </c>
      <c r="D69" s="76">
        <v>23</v>
      </c>
      <c r="E69" s="76">
        <v>34</v>
      </c>
      <c r="F69" s="76">
        <v>35</v>
      </c>
      <c r="G69" s="76">
        <v>43</v>
      </c>
      <c r="H69" s="76">
        <v>46</v>
      </c>
      <c r="I69" s="76">
        <v>57</v>
      </c>
      <c r="J69" s="76">
        <v>62</v>
      </c>
      <c r="K69" s="76">
        <v>80</v>
      </c>
      <c r="L69" s="76">
        <v>85</v>
      </c>
      <c r="M69" s="76">
        <v>97</v>
      </c>
      <c r="N69" s="76">
        <v>115</v>
      </c>
      <c r="O69" s="76">
        <v>128</v>
      </c>
      <c r="P69" s="76">
        <v>144</v>
      </c>
      <c r="Q69" s="76">
        <v>156</v>
      </c>
      <c r="R69" s="76">
        <v>163</v>
      </c>
    </row>
    <row r="70" spans="1:18" x14ac:dyDescent="0.25">
      <c r="A70" s="76" t="s">
        <v>218</v>
      </c>
      <c r="B70" s="76">
        <v>10</v>
      </c>
      <c r="C70" s="76">
        <v>12</v>
      </c>
      <c r="D70" s="76">
        <v>23</v>
      </c>
      <c r="E70" s="76">
        <v>27</v>
      </c>
      <c r="F70" s="76">
        <v>32</v>
      </c>
      <c r="G70" s="76">
        <v>39</v>
      </c>
      <c r="H70" s="76">
        <v>43</v>
      </c>
      <c r="I70" s="76">
        <v>48</v>
      </c>
      <c r="J70" s="76">
        <v>52</v>
      </c>
      <c r="K70" s="76">
        <v>62</v>
      </c>
      <c r="L70" s="76">
        <v>69</v>
      </c>
      <c r="M70" s="76">
        <v>96</v>
      </c>
      <c r="N70" s="76">
        <v>113</v>
      </c>
      <c r="O70" s="76">
        <v>119</v>
      </c>
      <c r="P70" s="76">
        <v>137</v>
      </c>
      <c r="Q70" s="76">
        <v>151</v>
      </c>
      <c r="R70" s="76">
        <v>162</v>
      </c>
    </row>
    <row r="71" spans="1:18" x14ac:dyDescent="0.25">
      <c r="A71" s="76" t="s">
        <v>217</v>
      </c>
      <c r="B71" s="76">
        <v>11</v>
      </c>
      <c r="C71" s="76">
        <v>12</v>
      </c>
      <c r="D71" s="76">
        <v>21</v>
      </c>
      <c r="E71" s="76">
        <v>26</v>
      </c>
      <c r="F71" s="76">
        <v>33</v>
      </c>
      <c r="G71" s="76">
        <v>37</v>
      </c>
      <c r="H71" s="76">
        <v>44</v>
      </c>
      <c r="I71" s="76">
        <v>44</v>
      </c>
      <c r="J71" s="76">
        <v>50</v>
      </c>
      <c r="K71" s="76">
        <v>64</v>
      </c>
      <c r="L71" s="76">
        <v>74</v>
      </c>
      <c r="M71" s="76">
        <v>91</v>
      </c>
      <c r="N71" s="76">
        <v>101</v>
      </c>
      <c r="O71" s="76">
        <v>112</v>
      </c>
      <c r="P71" s="76">
        <v>118</v>
      </c>
      <c r="Q71" s="76">
        <v>119</v>
      </c>
      <c r="R71" s="76">
        <v>122</v>
      </c>
    </row>
    <row r="72" spans="1:18" x14ac:dyDescent="0.25">
      <c r="A72" s="76" t="s">
        <v>216</v>
      </c>
      <c r="B72" s="76">
        <v>11</v>
      </c>
      <c r="C72" s="76">
        <v>17</v>
      </c>
      <c r="D72" s="76">
        <v>19</v>
      </c>
      <c r="E72" s="76">
        <v>30</v>
      </c>
      <c r="F72" s="76">
        <v>32</v>
      </c>
      <c r="G72" s="76">
        <v>37</v>
      </c>
      <c r="H72" s="76">
        <v>43</v>
      </c>
      <c r="I72" s="76">
        <v>49</v>
      </c>
      <c r="J72" s="76">
        <v>53</v>
      </c>
      <c r="K72" s="76">
        <v>74</v>
      </c>
      <c r="L72" s="76">
        <v>84</v>
      </c>
      <c r="M72" s="76">
        <v>97</v>
      </c>
      <c r="N72" s="76">
        <v>107</v>
      </c>
      <c r="O72" s="76">
        <v>124</v>
      </c>
      <c r="P72" s="76">
        <v>137</v>
      </c>
      <c r="Q72" s="76">
        <v>139</v>
      </c>
      <c r="R72" s="76">
        <v>149</v>
      </c>
    </row>
    <row r="73" spans="1:18" x14ac:dyDescent="0.25">
      <c r="A73" s="76" t="s">
        <v>215</v>
      </c>
      <c r="B73" s="76">
        <v>9</v>
      </c>
      <c r="C73" s="76">
        <v>15</v>
      </c>
      <c r="D73" s="76">
        <v>20</v>
      </c>
      <c r="E73" s="76">
        <v>31</v>
      </c>
      <c r="F73" s="76">
        <v>33</v>
      </c>
      <c r="G73" s="76">
        <v>36</v>
      </c>
      <c r="H73" s="76">
        <v>43</v>
      </c>
      <c r="I73" s="76">
        <v>44</v>
      </c>
      <c r="J73" s="76">
        <v>54</v>
      </c>
      <c r="K73" s="76">
        <v>59</v>
      </c>
      <c r="L73" s="76">
        <v>67</v>
      </c>
      <c r="M73" s="76">
        <v>82</v>
      </c>
      <c r="N73" s="76">
        <v>86</v>
      </c>
      <c r="O73" s="76">
        <v>96</v>
      </c>
      <c r="P73" s="76">
        <v>96</v>
      </c>
      <c r="Q73" s="76">
        <v>101</v>
      </c>
      <c r="R73" s="76">
        <v>105</v>
      </c>
    </row>
    <row r="74" spans="1:18" x14ac:dyDescent="0.25">
      <c r="A74" s="76" t="s">
        <v>214</v>
      </c>
      <c r="B74" s="76">
        <v>11</v>
      </c>
      <c r="C74" s="76">
        <v>16</v>
      </c>
      <c r="D74" s="76">
        <v>26</v>
      </c>
      <c r="E74" s="76">
        <v>35</v>
      </c>
      <c r="F74" s="76">
        <v>46</v>
      </c>
      <c r="G74" s="76">
        <v>59</v>
      </c>
      <c r="H74" s="76">
        <v>77</v>
      </c>
      <c r="I74" s="76">
        <v>93</v>
      </c>
      <c r="J74" s="76">
        <v>109</v>
      </c>
      <c r="K74" s="76">
        <v>125</v>
      </c>
      <c r="L74" s="76">
        <v>136</v>
      </c>
      <c r="M74" s="76">
        <v>152</v>
      </c>
      <c r="N74" s="76">
        <v>151</v>
      </c>
      <c r="O74" s="76">
        <v>166</v>
      </c>
      <c r="P74" s="76">
        <v>166</v>
      </c>
      <c r="Q74" s="76">
        <v>159</v>
      </c>
      <c r="R74" s="76">
        <v>163</v>
      </c>
    </row>
    <row r="75" spans="1:18" x14ac:dyDescent="0.25">
      <c r="A75" s="76" t="s">
        <v>213</v>
      </c>
      <c r="B75" s="76">
        <v>10</v>
      </c>
      <c r="C75" s="76">
        <v>16</v>
      </c>
      <c r="D75" s="76">
        <v>23</v>
      </c>
      <c r="E75" s="76">
        <v>29</v>
      </c>
      <c r="F75" s="76">
        <v>45</v>
      </c>
      <c r="G75" s="76">
        <v>59</v>
      </c>
      <c r="H75" s="76">
        <v>71</v>
      </c>
      <c r="I75" s="76">
        <v>87</v>
      </c>
      <c r="J75" s="76">
        <v>104</v>
      </c>
      <c r="K75" s="76">
        <v>112</v>
      </c>
      <c r="L75" s="76">
        <v>120</v>
      </c>
      <c r="M75" s="76">
        <v>131</v>
      </c>
      <c r="N75" s="76">
        <v>132</v>
      </c>
      <c r="O75" s="76">
        <v>140</v>
      </c>
      <c r="P75" s="76">
        <v>141</v>
      </c>
      <c r="Q75" s="76">
        <v>148</v>
      </c>
      <c r="R75" s="76">
        <v>138</v>
      </c>
    </row>
    <row r="76" spans="1:18" x14ac:dyDescent="0.25">
      <c r="A76" s="76" t="s">
        <v>212</v>
      </c>
      <c r="B76" s="76">
        <v>12</v>
      </c>
      <c r="C76" s="76">
        <v>18</v>
      </c>
      <c r="D76" s="76">
        <v>23</v>
      </c>
      <c r="E76" s="76">
        <v>29</v>
      </c>
      <c r="F76" s="76">
        <v>42</v>
      </c>
      <c r="G76" s="76">
        <v>49</v>
      </c>
      <c r="H76" s="76">
        <v>64</v>
      </c>
      <c r="I76" s="76">
        <v>72</v>
      </c>
      <c r="J76" s="76">
        <v>82</v>
      </c>
      <c r="K76" s="76">
        <v>94</v>
      </c>
      <c r="L76" s="76">
        <v>97</v>
      </c>
      <c r="M76" s="76">
        <v>103</v>
      </c>
      <c r="N76" s="76">
        <v>106</v>
      </c>
      <c r="O76" s="76">
        <v>109</v>
      </c>
      <c r="P76" s="76">
        <v>105</v>
      </c>
      <c r="Q76" s="76">
        <v>108</v>
      </c>
      <c r="R76" s="76">
        <v>104</v>
      </c>
    </row>
    <row r="77" spans="1:18" x14ac:dyDescent="0.25">
      <c r="A77" s="76" t="s">
        <v>211</v>
      </c>
      <c r="B77" s="76">
        <v>10</v>
      </c>
      <c r="C77" s="76">
        <v>15</v>
      </c>
      <c r="D77" s="76">
        <v>21</v>
      </c>
      <c r="E77" s="76">
        <v>39</v>
      </c>
      <c r="F77" s="76">
        <v>44</v>
      </c>
      <c r="G77" s="76">
        <v>62</v>
      </c>
      <c r="H77" s="76">
        <v>82</v>
      </c>
      <c r="I77" s="76">
        <v>93</v>
      </c>
      <c r="J77" s="76">
        <v>113</v>
      </c>
      <c r="K77" s="76">
        <v>122</v>
      </c>
      <c r="L77" s="76">
        <v>134</v>
      </c>
      <c r="M77" s="76">
        <v>144</v>
      </c>
      <c r="N77" s="76">
        <v>125</v>
      </c>
      <c r="O77" s="76">
        <v>152</v>
      </c>
      <c r="P77" s="76">
        <v>150</v>
      </c>
      <c r="Q77" s="76">
        <v>155</v>
      </c>
      <c r="R77" s="76">
        <v>151</v>
      </c>
    </row>
    <row r="78" spans="1:18" x14ac:dyDescent="0.25">
      <c r="A78" s="76" t="s">
        <v>210</v>
      </c>
      <c r="B78" s="76">
        <v>12</v>
      </c>
      <c r="C78" s="76">
        <v>14</v>
      </c>
      <c r="D78" s="76">
        <v>23</v>
      </c>
      <c r="E78" s="76">
        <v>25</v>
      </c>
      <c r="F78" s="76">
        <v>44</v>
      </c>
      <c r="G78" s="76">
        <v>45</v>
      </c>
      <c r="H78" s="76">
        <v>53</v>
      </c>
      <c r="I78" s="76">
        <v>58</v>
      </c>
      <c r="J78" s="76">
        <v>75</v>
      </c>
      <c r="K78" s="76">
        <v>79</v>
      </c>
      <c r="L78" s="76">
        <v>87</v>
      </c>
      <c r="M78" s="76">
        <v>89</v>
      </c>
      <c r="N78" s="76">
        <v>96</v>
      </c>
      <c r="O78" s="76">
        <v>99</v>
      </c>
      <c r="P78" s="76">
        <v>101</v>
      </c>
      <c r="Q78" s="76">
        <v>103</v>
      </c>
      <c r="R78" s="76">
        <v>99</v>
      </c>
    </row>
    <row r="79" spans="1:18" x14ac:dyDescent="0.25">
      <c r="A79" s="76" t="s">
        <v>209</v>
      </c>
      <c r="B79" s="76">
        <v>11</v>
      </c>
      <c r="C79" s="76">
        <v>15</v>
      </c>
      <c r="D79" s="76">
        <v>21</v>
      </c>
      <c r="E79" s="76">
        <v>29</v>
      </c>
      <c r="F79" s="76">
        <v>37</v>
      </c>
      <c r="G79" s="76">
        <v>46</v>
      </c>
      <c r="H79" s="76">
        <v>55</v>
      </c>
      <c r="I79" s="76">
        <v>60</v>
      </c>
      <c r="J79" s="76">
        <v>65</v>
      </c>
      <c r="K79" s="76">
        <v>78</v>
      </c>
      <c r="L79" s="76">
        <v>81</v>
      </c>
      <c r="M79" s="76">
        <v>85</v>
      </c>
      <c r="N79" s="76">
        <v>88</v>
      </c>
      <c r="O79" s="76">
        <v>94</v>
      </c>
      <c r="P79" s="76">
        <v>91</v>
      </c>
      <c r="Q79" s="76">
        <v>93</v>
      </c>
      <c r="R79" s="76">
        <v>96</v>
      </c>
    </row>
    <row r="80" spans="1:18" x14ac:dyDescent="0.25">
      <c r="A80" s="76" t="s">
        <v>208</v>
      </c>
      <c r="B80" s="76">
        <v>12</v>
      </c>
      <c r="C80" s="76">
        <v>16</v>
      </c>
      <c r="D80" s="76">
        <v>24</v>
      </c>
      <c r="E80" s="76">
        <v>34</v>
      </c>
      <c r="F80" s="76">
        <v>45</v>
      </c>
      <c r="G80" s="76">
        <v>61</v>
      </c>
      <c r="H80" s="76">
        <v>70</v>
      </c>
      <c r="I80" s="76">
        <v>96</v>
      </c>
      <c r="J80" s="76">
        <v>107</v>
      </c>
      <c r="K80" s="76">
        <v>121</v>
      </c>
      <c r="L80" s="76">
        <v>131</v>
      </c>
      <c r="M80" s="76">
        <v>144</v>
      </c>
      <c r="N80" s="76">
        <v>145</v>
      </c>
      <c r="O80" s="76">
        <v>152</v>
      </c>
      <c r="P80" s="76">
        <v>154</v>
      </c>
      <c r="Q80" s="76">
        <v>157</v>
      </c>
      <c r="R80" s="76">
        <v>153</v>
      </c>
    </row>
    <row r="81" spans="1:18" x14ac:dyDescent="0.25">
      <c r="A81" s="76" t="s">
        <v>207</v>
      </c>
      <c r="B81" s="76">
        <v>10</v>
      </c>
      <c r="C81" s="76">
        <v>13</v>
      </c>
      <c r="D81" s="76">
        <v>19</v>
      </c>
      <c r="E81" s="76">
        <v>24</v>
      </c>
      <c r="F81" s="76">
        <v>36</v>
      </c>
      <c r="G81" s="76">
        <v>45</v>
      </c>
      <c r="H81" s="76">
        <v>60</v>
      </c>
      <c r="I81" s="76">
        <v>69</v>
      </c>
      <c r="J81" s="76">
        <v>86</v>
      </c>
      <c r="K81" s="76">
        <v>100</v>
      </c>
      <c r="L81" s="76">
        <v>109</v>
      </c>
      <c r="M81" s="76">
        <v>116</v>
      </c>
      <c r="N81" s="76">
        <v>124</v>
      </c>
      <c r="O81" s="76">
        <v>130</v>
      </c>
      <c r="P81" s="76">
        <v>127</v>
      </c>
      <c r="Q81" s="76">
        <v>129</v>
      </c>
      <c r="R81" s="76">
        <v>130</v>
      </c>
    </row>
    <row r="82" spans="1:18" x14ac:dyDescent="0.25">
      <c r="A82" s="76" t="s">
        <v>206</v>
      </c>
      <c r="B82" s="76">
        <v>8</v>
      </c>
      <c r="C82" s="76">
        <v>13</v>
      </c>
      <c r="D82" s="76">
        <v>19</v>
      </c>
      <c r="E82" s="76">
        <v>23</v>
      </c>
      <c r="F82" s="76">
        <v>37</v>
      </c>
      <c r="G82" s="76">
        <v>46</v>
      </c>
      <c r="H82" s="76">
        <v>55</v>
      </c>
      <c r="I82" s="76">
        <v>64</v>
      </c>
      <c r="J82" s="76">
        <v>77</v>
      </c>
      <c r="K82" s="76">
        <v>91</v>
      </c>
      <c r="L82" s="76">
        <v>103</v>
      </c>
      <c r="M82" s="76">
        <v>110</v>
      </c>
      <c r="N82" s="76">
        <v>122</v>
      </c>
      <c r="O82" s="76">
        <v>129</v>
      </c>
      <c r="P82" s="76">
        <v>123</v>
      </c>
      <c r="Q82" s="76">
        <v>124</v>
      </c>
      <c r="R82" s="76">
        <v>127</v>
      </c>
    </row>
    <row r="83" spans="1:18" x14ac:dyDescent="0.25">
      <c r="A83" s="76" t="s">
        <v>205</v>
      </c>
      <c r="B83" s="76">
        <v>8</v>
      </c>
      <c r="C83" s="76">
        <v>15</v>
      </c>
      <c r="D83" s="76">
        <v>22</v>
      </c>
      <c r="E83" s="76">
        <v>25</v>
      </c>
      <c r="F83" s="76">
        <v>35</v>
      </c>
      <c r="G83" s="76">
        <v>43</v>
      </c>
      <c r="H83" s="76">
        <v>47</v>
      </c>
      <c r="I83" s="76">
        <v>53</v>
      </c>
      <c r="J83" s="76">
        <v>58</v>
      </c>
      <c r="K83" s="76">
        <v>71</v>
      </c>
      <c r="L83" s="76">
        <v>84</v>
      </c>
      <c r="M83" s="76">
        <v>92</v>
      </c>
      <c r="N83" s="76">
        <v>104</v>
      </c>
      <c r="O83" s="76">
        <v>107</v>
      </c>
      <c r="P83" s="76">
        <v>108</v>
      </c>
      <c r="Q83" s="76">
        <v>111</v>
      </c>
      <c r="R83" s="76">
        <v>108</v>
      </c>
    </row>
    <row r="84" spans="1:18" x14ac:dyDescent="0.25">
      <c r="A84" s="76" t="s">
        <v>204</v>
      </c>
      <c r="B84" s="76">
        <v>10</v>
      </c>
      <c r="C84" s="76">
        <v>16</v>
      </c>
      <c r="D84" s="76">
        <v>18</v>
      </c>
      <c r="E84" s="76">
        <v>30</v>
      </c>
      <c r="F84" s="76">
        <v>29</v>
      </c>
      <c r="G84" s="76">
        <v>34</v>
      </c>
      <c r="H84" s="76">
        <v>42</v>
      </c>
      <c r="I84" s="76">
        <v>51</v>
      </c>
      <c r="J84" s="76">
        <v>55</v>
      </c>
      <c r="K84" s="76">
        <v>70</v>
      </c>
      <c r="L84" s="76">
        <v>82</v>
      </c>
      <c r="M84" s="76">
        <v>85</v>
      </c>
      <c r="N84" s="76">
        <v>103</v>
      </c>
      <c r="O84" s="76">
        <v>106</v>
      </c>
      <c r="P84" s="76">
        <v>112</v>
      </c>
      <c r="Q84" s="76">
        <v>113</v>
      </c>
      <c r="R84" s="76">
        <v>114</v>
      </c>
    </row>
    <row r="85" spans="1:18" x14ac:dyDescent="0.25">
      <c r="A85" s="76" t="s">
        <v>203</v>
      </c>
      <c r="B85" s="76">
        <v>10</v>
      </c>
      <c r="C85" s="76">
        <v>16</v>
      </c>
      <c r="D85" s="76">
        <v>20</v>
      </c>
      <c r="E85" s="76">
        <v>27</v>
      </c>
      <c r="F85" s="76">
        <v>41</v>
      </c>
      <c r="G85" s="76">
        <v>48</v>
      </c>
      <c r="H85" s="76">
        <v>61</v>
      </c>
      <c r="I85" s="76">
        <v>71</v>
      </c>
      <c r="J85" s="76">
        <v>79</v>
      </c>
      <c r="K85" s="76">
        <v>93</v>
      </c>
      <c r="L85" s="76">
        <v>104</v>
      </c>
      <c r="M85" s="76">
        <v>117</v>
      </c>
      <c r="N85" s="76">
        <v>126</v>
      </c>
      <c r="O85" s="76">
        <v>133</v>
      </c>
      <c r="P85" s="76">
        <v>130</v>
      </c>
      <c r="Q85" s="76">
        <v>130</v>
      </c>
      <c r="R85" s="76">
        <v>134</v>
      </c>
    </row>
    <row r="86" spans="1:18" x14ac:dyDescent="0.25">
      <c r="A86" s="76" t="s">
        <v>202</v>
      </c>
      <c r="B86" s="76">
        <v>13</v>
      </c>
      <c r="C86" s="76">
        <v>16</v>
      </c>
      <c r="D86" s="76">
        <v>25</v>
      </c>
      <c r="E86" s="76">
        <v>29</v>
      </c>
      <c r="F86" s="76">
        <v>40</v>
      </c>
      <c r="G86" s="76">
        <v>46</v>
      </c>
      <c r="H86" s="76">
        <v>51</v>
      </c>
      <c r="I86" s="76">
        <v>58</v>
      </c>
      <c r="J86" s="76">
        <v>53</v>
      </c>
      <c r="K86" s="76">
        <v>79</v>
      </c>
      <c r="L86" s="76">
        <v>96</v>
      </c>
      <c r="M86" s="76">
        <v>102</v>
      </c>
      <c r="N86" s="76">
        <v>116</v>
      </c>
      <c r="O86" s="76">
        <v>130</v>
      </c>
      <c r="P86" s="76">
        <v>141</v>
      </c>
      <c r="Q86" s="76">
        <v>147</v>
      </c>
      <c r="R86" s="76">
        <v>149</v>
      </c>
    </row>
    <row r="87" spans="1:18" x14ac:dyDescent="0.25">
      <c r="A87" s="76" t="s">
        <v>201</v>
      </c>
      <c r="B87" s="76">
        <v>13</v>
      </c>
      <c r="C87" s="76">
        <v>14</v>
      </c>
      <c r="D87" s="76">
        <v>27</v>
      </c>
      <c r="E87" s="76">
        <v>30</v>
      </c>
      <c r="F87" s="76">
        <v>39</v>
      </c>
      <c r="G87" s="76">
        <v>46</v>
      </c>
      <c r="H87" s="76">
        <v>53</v>
      </c>
      <c r="I87" s="76">
        <v>66</v>
      </c>
      <c r="J87" s="76">
        <v>68</v>
      </c>
      <c r="K87" s="76">
        <v>81</v>
      </c>
      <c r="L87" s="76">
        <v>95</v>
      </c>
      <c r="M87" s="76">
        <v>121</v>
      </c>
      <c r="N87" s="76">
        <v>133</v>
      </c>
      <c r="O87" s="76">
        <v>143</v>
      </c>
      <c r="P87" s="76">
        <v>156</v>
      </c>
      <c r="Q87" s="76">
        <v>162</v>
      </c>
      <c r="R87" s="76">
        <v>162</v>
      </c>
    </row>
    <row r="88" spans="1:18" x14ac:dyDescent="0.25">
      <c r="A88" s="76" t="s">
        <v>200</v>
      </c>
      <c r="B88" s="76">
        <v>12</v>
      </c>
      <c r="C88" s="76">
        <v>15</v>
      </c>
      <c r="D88" s="76">
        <v>23</v>
      </c>
      <c r="E88" s="76">
        <v>27</v>
      </c>
      <c r="F88" s="76">
        <v>37</v>
      </c>
      <c r="G88" s="76">
        <v>41</v>
      </c>
      <c r="H88" s="76">
        <v>48</v>
      </c>
      <c r="I88" s="76">
        <v>54</v>
      </c>
      <c r="J88" s="76">
        <v>62</v>
      </c>
      <c r="K88" s="76">
        <v>88</v>
      </c>
      <c r="L88" s="76">
        <v>86</v>
      </c>
      <c r="M88" s="76">
        <v>100</v>
      </c>
      <c r="N88" s="76">
        <v>115</v>
      </c>
      <c r="O88" s="76">
        <v>133</v>
      </c>
      <c r="P88" s="76">
        <v>142</v>
      </c>
      <c r="Q88" s="76">
        <v>147</v>
      </c>
      <c r="R88" s="76">
        <v>153</v>
      </c>
    </row>
    <row r="89" spans="1:18" x14ac:dyDescent="0.25">
      <c r="A89" s="76" t="s">
        <v>199</v>
      </c>
      <c r="B89" s="76">
        <v>11</v>
      </c>
      <c r="C89" s="76">
        <v>16</v>
      </c>
      <c r="D89" s="76">
        <v>23</v>
      </c>
      <c r="E89" s="76">
        <v>24</v>
      </c>
      <c r="F89" s="76">
        <v>40</v>
      </c>
      <c r="G89" s="76">
        <v>51</v>
      </c>
      <c r="H89" s="76">
        <v>69</v>
      </c>
      <c r="I89" s="76">
        <v>83</v>
      </c>
      <c r="J89" s="76">
        <v>96</v>
      </c>
      <c r="K89" s="76">
        <v>112</v>
      </c>
      <c r="L89" s="76">
        <v>127</v>
      </c>
      <c r="M89" s="76">
        <v>147</v>
      </c>
      <c r="N89" s="76">
        <v>161</v>
      </c>
      <c r="O89" s="76">
        <v>168</v>
      </c>
      <c r="P89" s="76">
        <v>184</v>
      </c>
      <c r="Q89" s="76">
        <v>191</v>
      </c>
      <c r="R89" s="76">
        <v>193</v>
      </c>
    </row>
    <row r="90" spans="1:18" x14ac:dyDescent="0.25">
      <c r="A90" s="76" t="s">
        <v>198</v>
      </c>
      <c r="B90" s="76">
        <v>11</v>
      </c>
      <c r="C90" s="76">
        <v>16</v>
      </c>
      <c r="D90" s="76">
        <v>27</v>
      </c>
      <c r="E90" s="76">
        <v>31</v>
      </c>
      <c r="F90" s="76">
        <v>47</v>
      </c>
      <c r="G90" s="76">
        <v>62</v>
      </c>
      <c r="H90" s="76">
        <v>81</v>
      </c>
      <c r="I90" s="76">
        <v>101</v>
      </c>
      <c r="J90" s="76">
        <v>116</v>
      </c>
      <c r="K90" s="76">
        <v>137</v>
      </c>
      <c r="L90" s="76">
        <v>147</v>
      </c>
      <c r="M90" s="76">
        <v>167</v>
      </c>
      <c r="N90" s="76">
        <v>178</v>
      </c>
      <c r="O90" s="76">
        <v>189</v>
      </c>
      <c r="P90" s="76">
        <v>193</v>
      </c>
      <c r="Q90" s="76">
        <v>198</v>
      </c>
      <c r="R90" s="76">
        <v>178</v>
      </c>
    </row>
    <row r="91" spans="1:18" x14ac:dyDescent="0.25">
      <c r="A91" s="76" t="s">
        <v>197</v>
      </c>
      <c r="B91" s="76">
        <v>12</v>
      </c>
      <c r="C91" s="76">
        <v>17</v>
      </c>
      <c r="D91" s="76">
        <v>24</v>
      </c>
      <c r="E91" s="76">
        <v>32</v>
      </c>
      <c r="F91" s="76">
        <v>41</v>
      </c>
      <c r="G91" s="76">
        <v>52</v>
      </c>
      <c r="H91" s="76">
        <v>74</v>
      </c>
      <c r="I91" s="76">
        <v>77</v>
      </c>
      <c r="J91" s="76">
        <v>90</v>
      </c>
      <c r="K91" s="76">
        <v>116</v>
      </c>
      <c r="L91" s="76">
        <v>118</v>
      </c>
      <c r="M91" s="76">
        <v>133</v>
      </c>
      <c r="N91" s="76">
        <v>150</v>
      </c>
      <c r="O91" s="76">
        <v>149</v>
      </c>
      <c r="P91" s="76">
        <v>147</v>
      </c>
      <c r="Q91" s="76">
        <v>151</v>
      </c>
      <c r="R91" s="76">
        <v>143</v>
      </c>
    </row>
    <row r="92" spans="1:18" x14ac:dyDescent="0.25">
      <c r="A92" s="76" t="s">
        <v>196</v>
      </c>
      <c r="B92" s="76">
        <v>11</v>
      </c>
      <c r="C92" s="76">
        <v>15</v>
      </c>
      <c r="D92" s="76">
        <v>24</v>
      </c>
      <c r="E92" s="76">
        <v>31</v>
      </c>
      <c r="F92" s="76">
        <v>38</v>
      </c>
      <c r="G92" s="76">
        <v>47</v>
      </c>
      <c r="H92" s="76">
        <v>65</v>
      </c>
      <c r="I92" s="76">
        <v>77</v>
      </c>
      <c r="J92" s="76">
        <v>83</v>
      </c>
      <c r="K92" s="76">
        <v>107</v>
      </c>
      <c r="L92" s="76">
        <v>117</v>
      </c>
      <c r="M92" s="76">
        <v>130</v>
      </c>
      <c r="N92" s="76">
        <v>144</v>
      </c>
      <c r="O92" s="76">
        <v>153</v>
      </c>
      <c r="P92" s="76">
        <v>162</v>
      </c>
      <c r="Q92" s="76">
        <v>164</v>
      </c>
      <c r="R92" s="76">
        <v>160</v>
      </c>
    </row>
    <row r="93" spans="1:18" x14ac:dyDescent="0.25">
      <c r="A93" s="76" t="s">
        <v>195</v>
      </c>
      <c r="B93" s="76">
        <v>11</v>
      </c>
      <c r="C93" s="76">
        <v>15</v>
      </c>
      <c r="D93" s="76">
        <v>24</v>
      </c>
      <c r="E93" s="76">
        <v>28</v>
      </c>
      <c r="F93" s="76">
        <v>42</v>
      </c>
      <c r="G93" s="76">
        <v>54</v>
      </c>
      <c r="H93" s="76">
        <v>65</v>
      </c>
      <c r="I93" s="76">
        <v>80</v>
      </c>
      <c r="J93" s="76">
        <v>94</v>
      </c>
      <c r="K93" s="76">
        <v>118</v>
      </c>
      <c r="L93" s="76">
        <v>116</v>
      </c>
      <c r="M93" s="76">
        <v>129</v>
      </c>
      <c r="N93" s="76">
        <v>142</v>
      </c>
      <c r="O93" s="76">
        <v>151</v>
      </c>
      <c r="P93" s="76">
        <v>153</v>
      </c>
      <c r="Q93" s="76">
        <v>158</v>
      </c>
      <c r="R93" s="76">
        <v>155</v>
      </c>
    </row>
    <row r="94" spans="1:18" x14ac:dyDescent="0.25">
      <c r="A94" s="76" t="s">
        <v>194</v>
      </c>
      <c r="B94" s="76">
        <v>12</v>
      </c>
      <c r="C94" s="76">
        <v>14</v>
      </c>
      <c r="D94" s="76">
        <v>21</v>
      </c>
      <c r="E94" s="76">
        <v>30</v>
      </c>
      <c r="F94" s="76">
        <v>43</v>
      </c>
      <c r="G94" s="76">
        <v>53</v>
      </c>
      <c r="H94" s="76">
        <v>75</v>
      </c>
      <c r="I94" s="76">
        <v>86</v>
      </c>
      <c r="J94" s="76">
        <v>106</v>
      </c>
      <c r="K94" s="76">
        <v>118</v>
      </c>
      <c r="L94" s="76">
        <v>133</v>
      </c>
      <c r="M94" s="76">
        <v>147</v>
      </c>
      <c r="N94" s="76">
        <v>154</v>
      </c>
      <c r="O94" s="76">
        <v>165</v>
      </c>
      <c r="P94" s="76">
        <v>176</v>
      </c>
      <c r="Q94" s="76">
        <v>174</v>
      </c>
      <c r="R94" s="76">
        <v>174</v>
      </c>
    </row>
    <row r="95" spans="1:18" x14ac:dyDescent="0.25">
      <c r="A95" s="76" t="s">
        <v>193</v>
      </c>
      <c r="B95" s="76">
        <v>10</v>
      </c>
      <c r="C95" s="76">
        <v>13</v>
      </c>
      <c r="D95" s="76">
        <v>20</v>
      </c>
      <c r="E95" s="76">
        <v>26</v>
      </c>
      <c r="F95" s="76">
        <v>36</v>
      </c>
      <c r="G95" s="76">
        <v>46</v>
      </c>
      <c r="H95" s="76">
        <v>55</v>
      </c>
      <c r="I95" s="76">
        <v>69</v>
      </c>
      <c r="J95" s="76">
        <v>78</v>
      </c>
      <c r="K95" s="76">
        <v>91</v>
      </c>
      <c r="L95" s="76">
        <v>99</v>
      </c>
      <c r="M95" s="76">
        <v>109</v>
      </c>
      <c r="N95" s="76">
        <v>116</v>
      </c>
      <c r="O95" s="76">
        <v>121</v>
      </c>
      <c r="P95" s="76">
        <v>121</v>
      </c>
      <c r="Q95" s="76">
        <v>120</v>
      </c>
      <c r="R95" s="76">
        <v>118</v>
      </c>
    </row>
    <row r="96" spans="1:18" x14ac:dyDescent="0.25">
      <c r="A96" s="76" t="s">
        <v>192</v>
      </c>
      <c r="B96" s="76">
        <v>11</v>
      </c>
      <c r="C96" s="76">
        <v>17</v>
      </c>
      <c r="D96" s="76">
        <v>23</v>
      </c>
      <c r="E96" s="76">
        <v>30</v>
      </c>
      <c r="F96" s="76">
        <v>44</v>
      </c>
      <c r="G96" s="76">
        <v>57</v>
      </c>
      <c r="H96" s="76">
        <v>69</v>
      </c>
      <c r="I96" s="76">
        <v>81</v>
      </c>
      <c r="J96" s="76">
        <v>98</v>
      </c>
      <c r="K96" s="76">
        <v>109</v>
      </c>
      <c r="L96" s="76">
        <v>122</v>
      </c>
      <c r="M96" s="76">
        <v>139</v>
      </c>
      <c r="N96" s="76">
        <v>147</v>
      </c>
      <c r="O96" s="76">
        <v>148</v>
      </c>
      <c r="P96" s="76">
        <v>148</v>
      </c>
      <c r="Q96" s="76">
        <v>150</v>
      </c>
      <c r="R96" s="76">
        <v>147</v>
      </c>
    </row>
    <row r="97" spans="1:18" x14ac:dyDescent="0.25">
      <c r="A97" s="76" t="s">
        <v>191</v>
      </c>
      <c r="B97" s="76">
        <v>11</v>
      </c>
      <c r="C97" s="76">
        <v>16</v>
      </c>
      <c r="D97" s="76">
        <v>21</v>
      </c>
      <c r="E97" s="76">
        <v>32</v>
      </c>
      <c r="F97" s="76">
        <v>44</v>
      </c>
      <c r="G97" s="76">
        <v>55</v>
      </c>
      <c r="H97" s="76">
        <v>58</v>
      </c>
      <c r="I97" s="76">
        <v>82</v>
      </c>
      <c r="J97" s="76">
        <v>93</v>
      </c>
      <c r="K97" s="76">
        <v>104</v>
      </c>
      <c r="L97" s="76">
        <v>118</v>
      </c>
      <c r="M97" s="76">
        <v>126</v>
      </c>
      <c r="N97" s="76">
        <v>136</v>
      </c>
      <c r="O97" s="76">
        <v>141</v>
      </c>
      <c r="P97" s="76">
        <v>136</v>
      </c>
      <c r="Q97" s="76">
        <v>140</v>
      </c>
      <c r="R97" s="76">
        <v>142</v>
      </c>
    </row>
    <row r="98" spans="1:18" x14ac:dyDescent="0.25">
      <c r="A98" s="76" t="s">
        <v>190</v>
      </c>
      <c r="B98" s="76">
        <v>11</v>
      </c>
      <c r="C98" s="76">
        <v>16</v>
      </c>
      <c r="D98" s="76">
        <v>23</v>
      </c>
      <c r="E98" s="76">
        <v>36</v>
      </c>
      <c r="F98" s="76">
        <v>41</v>
      </c>
      <c r="G98" s="76">
        <v>47</v>
      </c>
      <c r="H98" s="76">
        <v>55</v>
      </c>
      <c r="I98" s="76">
        <v>64</v>
      </c>
      <c r="J98" s="76">
        <v>70</v>
      </c>
      <c r="K98" s="76">
        <v>84</v>
      </c>
      <c r="L98" s="76">
        <v>92</v>
      </c>
      <c r="M98" s="76">
        <v>106</v>
      </c>
      <c r="N98" s="76">
        <v>112</v>
      </c>
      <c r="O98" s="76">
        <v>123</v>
      </c>
      <c r="P98" s="76">
        <v>118</v>
      </c>
      <c r="Q98" s="76">
        <v>123</v>
      </c>
      <c r="R98" s="76">
        <v>117</v>
      </c>
    </row>
    <row r="99" spans="1:18" x14ac:dyDescent="0.25">
      <c r="A99" s="76" t="s">
        <v>189</v>
      </c>
      <c r="B99" s="76">
        <v>11</v>
      </c>
      <c r="C99" s="76">
        <v>17</v>
      </c>
      <c r="D99" s="76">
        <v>23</v>
      </c>
      <c r="E99" s="76">
        <v>38</v>
      </c>
      <c r="F99" s="76">
        <v>44</v>
      </c>
      <c r="G99" s="76">
        <v>52</v>
      </c>
      <c r="H99" s="76">
        <v>61</v>
      </c>
      <c r="I99" s="76">
        <v>68</v>
      </c>
      <c r="J99" s="76">
        <v>74</v>
      </c>
      <c r="K99" s="76">
        <v>84</v>
      </c>
      <c r="L99" s="76">
        <v>92</v>
      </c>
      <c r="M99" s="76">
        <v>96</v>
      </c>
      <c r="N99" s="76">
        <v>107</v>
      </c>
      <c r="O99" s="76">
        <v>101</v>
      </c>
      <c r="P99" s="76">
        <v>103</v>
      </c>
      <c r="Q99" s="76">
        <v>105</v>
      </c>
      <c r="R99" s="76">
        <v>103</v>
      </c>
    </row>
    <row r="100" spans="1:18" x14ac:dyDescent="0.25">
      <c r="A100" s="76" t="s">
        <v>188</v>
      </c>
      <c r="B100" s="76">
        <v>11</v>
      </c>
      <c r="C100" s="76">
        <v>17</v>
      </c>
      <c r="D100" s="76">
        <v>24</v>
      </c>
      <c r="E100" s="76">
        <v>29</v>
      </c>
      <c r="F100" s="76">
        <v>45</v>
      </c>
      <c r="G100" s="76">
        <v>54</v>
      </c>
      <c r="H100" s="76">
        <v>59</v>
      </c>
      <c r="I100" s="76">
        <v>74</v>
      </c>
      <c r="J100" s="76">
        <v>79</v>
      </c>
      <c r="K100" s="76">
        <v>90</v>
      </c>
      <c r="L100" s="76">
        <v>99</v>
      </c>
      <c r="M100" s="76">
        <v>111</v>
      </c>
      <c r="N100" s="76">
        <v>118</v>
      </c>
      <c r="O100" s="76">
        <v>123</v>
      </c>
      <c r="P100" s="76">
        <v>125</v>
      </c>
      <c r="Q100" s="76">
        <v>125</v>
      </c>
      <c r="R100" s="76">
        <v>126</v>
      </c>
    </row>
    <row r="101" spans="1:18" x14ac:dyDescent="0.25">
      <c r="A101" s="76" t="s">
        <v>187</v>
      </c>
      <c r="B101" s="76">
        <v>11</v>
      </c>
      <c r="C101" s="76">
        <v>18</v>
      </c>
      <c r="D101" s="76">
        <v>23</v>
      </c>
      <c r="E101" s="76">
        <v>37</v>
      </c>
      <c r="F101" s="76">
        <v>42</v>
      </c>
      <c r="G101" s="76">
        <v>52</v>
      </c>
      <c r="H101" s="76">
        <v>65</v>
      </c>
      <c r="I101" s="76">
        <v>75</v>
      </c>
      <c r="J101" s="76">
        <v>87</v>
      </c>
      <c r="K101" s="76">
        <v>115</v>
      </c>
      <c r="L101" s="76">
        <v>116</v>
      </c>
      <c r="M101" s="76">
        <v>128</v>
      </c>
      <c r="N101" s="76">
        <v>138</v>
      </c>
      <c r="O101" s="76">
        <v>142</v>
      </c>
      <c r="P101" s="76">
        <v>137</v>
      </c>
      <c r="Q101" s="76">
        <v>143</v>
      </c>
      <c r="R101" s="76">
        <v>143</v>
      </c>
    </row>
    <row r="102" spans="1:18" x14ac:dyDescent="0.25">
      <c r="A102" s="76" t="s">
        <v>186</v>
      </c>
      <c r="B102" s="76">
        <v>12</v>
      </c>
      <c r="C102" s="76">
        <v>14</v>
      </c>
      <c r="D102" s="76">
        <v>25</v>
      </c>
      <c r="E102" s="76">
        <v>37</v>
      </c>
      <c r="F102" s="76">
        <v>51</v>
      </c>
      <c r="G102" s="76">
        <v>65</v>
      </c>
      <c r="H102" s="76">
        <v>90</v>
      </c>
      <c r="I102" s="76">
        <v>102</v>
      </c>
      <c r="J102" s="76">
        <v>115</v>
      </c>
      <c r="K102" s="76">
        <v>132</v>
      </c>
      <c r="L102" s="76">
        <v>143</v>
      </c>
      <c r="M102" s="76">
        <v>158</v>
      </c>
      <c r="N102" s="76">
        <v>163</v>
      </c>
      <c r="O102" s="76">
        <v>174</v>
      </c>
      <c r="P102" s="76">
        <v>183</v>
      </c>
      <c r="Q102" s="76">
        <v>176</v>
      </c>
      <c r="R102" s="76">
        <v>179</v>
      </c>
    </row>
    <row r="103" spans="1:18" x14ac:dyDescent="0.25">
      <c r="A103" s="76" t="s">
        <v>185</v>
      </c>
      <c r="B103" s="76">
        <v>11</v>
      </c>
      <c r="C103" s="76">
        <v>15</v>
      </c>
      <c r="D103" s="76">
        <v>23</v>
      </c>
      <c r="E103" s="76">
        <v>36</v>
      </c>
      <c r="F103" s="76">
        <v>42</v>
      </c>
      <c r="G103" s="76">
        <v>54</v>
      </c>
      <c r="H103" s="76">
        <v>68</v>
      </c>
      <c r="I103" s="76">
        <v>73</v>
      </c>
      <c r="J103" s="76">
        <v>91</v>
      </c>
      <c r="K103" s="76">
        <v>109</v>
      </c>
      <c r="L103" s="76">
        <v>118</v>
      </c>
      <c r="M103" s="76">
        <v>130</v>
      </c>
      <c r="N103" s="76">
        <v>134</v>
      </c>
      <c r="O103" s="76">
        <v>141</v>
      </c>
      <c r="P103" s="76">
        <v>144</v>
      </c>
      <c r="Q103" s="76">
        <v>141</v>
      </c>
      <c r="R103" s="76">
        <v>144</v>
      </c>
    </row>
    <row r="104" spans="1:18" x14ac:dyDescent="0.25">
      <c r="A104" s="76" t="s">
        <v>184</v>
      </c>
      <c r="B104" s="76">
        <v>9</v>
      </c>
      <c r="C104" s="76">
        <v>16</v>
      </c>
      <c r="D104" s="76">
        <v>21</v>
      </c>
      <c r="E104" s="76">
        <v>29</v>
      </c>
      <c r="F104" s="76">
        <v>39</v>
      </c>
      <c r="G104" s="76">
        <v>43</v>
      </c>
      <c r="H104" s="76">
        <v>51</v>
      </c>
      <c r="I104" s="76">
        <v>51</v>
      </c>
      <c r="J104" s="76">
        <v>60</v>
      </c>
      <c r="K104" s="76">
        <v>62</v>
      </c>
      <c r="L104" s="76">
        <v>70</v>
      </c>
      <c r="M104" s="76">
        <v>76</v>
      </c>
      <c r="N104" s="76">
        <v>82</v>
      </c>
      <c r="O104" s="76">
        <v>84</v>
      </c>
      <c r="P104" s="76">
        <v>83</v>
      </c>
      <c r="Q104" s="76">
        <v>79</v>
      </c>
      <c r="R104" s="76">
        <v>84</v>
      </c>
    </row>
    <row r="105" spans="1:18" x14ac:dyDescent="0.25">
      <c r="A105" s="76" t="s">
        <v>183</v>
      </c>
      <c r="B105" s="76">
        <v>12</v>
      </c>
      <c r="C105" s="76">
        <v>16</v>
      </c>
      <c r="D105" s="76">
        <v>22</v>
      </c>
      <c r="E105" s="76">
        <v>29</v>
      </c>
      <c r="F105" s="76">
        <v>44</v>
      </c>
      <c r="G105" s="76">
        <v>52</v>
      </c>
      <c r="H105" s="76">
        <v>62</v>
      </c>
      <c r="I105" s="76">
        <v>69</v>
      </c>
      <c r="J105" s="76">
        <v>79</v>
      </c>
      <c r="K105" s="76">
        <v>88</v>
      </c>
      <c r="L105" s="76">
        <v>99</v>
      </c>
      <c r="M105" s="76">
        <v>108</v>
      </c>
      <c r="N105" s="76">
        <v>104</v>
      </c>
      <c r="O105" s="76">
        <v>108</v>
      </c>
      <c r="P105" s="76">
        <v>112</v>
      </c>
      <c r="Q105" s="76">
        <v>108</v>
      </c>
      <c r="R105" s="76">
        <v>117</v>
      </c>
    </row>
    <row r="106" spans="1:18" x14ac:dyDescent="0.25">
      <c r="A106" s="76" t="s">
        <v>182</v>
      </c>
      <c r="B106" s="76">
        <v>12</v>
      </c>
      <c r="C106" s="76">
        <v>13</v>
      </c>
      <c r="D106" s="76">
        <v>22</v>
      </c>
      <c r="E106" s="76">
        <v>28</v>
      </c>
      <c r="F106" s="76">
        <v>35</v>
      </c>
      <c r="G106" s="76">
        <v>41</v>
      </c>
      <c r="H106" s="76">
        <v>49</v>
      </c>
      <c r="I106" s="76">
        <v>53</v>
      </c>
      <c r="J106" s="76">
        <v>60</v>
      </c>
      <c r="K106" s="76">
        <v>74</v>
      </c>
      <c r="L106" s="76">
        <v>77</v>
      </c>
      <c r="M106" s="76">
        <v>84</v>
      </c>
      <c r="N106" s="76">
        <v>87</v>
      </c>
      <c r="O106" s="76">
        <v>87</v>
      </c>
      <c r="P106" s="76">
        <v>94</v>
      </c>
      <c r="Q106" s="76">
        <v>95</v>
      </c>
      <c r="R106" s="76">
        <v>89</v>
      </c>
    </row>
    <row r="107" spans="1:18" x14ac:dyDescent="0.25">
      <c r="A107" s="76" t="s">
        <v>181</v>
      </c>
      <c r="B107" s="76">
        <v>10</v>
      </c>
      <c r="C107" s="76">
        <v>14</v>
      </c>
      <c r="D107" s="76">
        <v>19</v>
      </c>
      <c r="E107" s="76">
        <v>30</v>
      </c>
      <c r="F107" s="76">
        <v>38</v>
      </c>
      <c r="G107" s="76">
        <v>48</v>
      </c>
      <c r="H107" s="76">
        <v>61</v>
      </c>
      <c r="I107" s="76">
        <v>67</v>
      </c>
      <c r="J107" s="76">
        <v>73</v>
      </c>
      <c r="K107" s="76">
        <v>90</v>
      </c>
      <c r="L107" s="76">
        <v>99</v>
      </c>
      <c r="M107" s="76">
        <v>105</v>
      </c>
      <c r="N107" s="76">
        <v>102</v>
      </c>
      <c r="O107" s="76">
        <v>107</v>
      </c>
      <c r="P107" s="76">
        <v>100</v>
      </c>
      <c r="Q107" s="76">
        <v>106</v>
      </c>
      <c r="R107" s="76">
        <v>99</v>
      </c>
    </row>
    <row r="108" spans="1:18" x14ac:dyDescent="0.25">
      <c r="A108" s="76" t="s">
        <v>180</v>
      </c>
      <c r="B108" s="76">
        <v>10</v>
      </c>
      <c r="C108" s="76">
        <v>13</v>
      </c>
      <c r="D108" s="76">
        <v>21</v>
      </c>
      <c r="E108" s="76">
        <v>26</v>
      </c>
      <c r="F108" s="76">
        <v>38</v>
      </c>
      <c r="G108" s="76">
        <v>48</v>
      </c>
      <c r="H108" s="76">
        <v>57</v>
      </c>
      <c r="I108" s="76">
        <v>69</v>
      </c>
      <c r="J108" s="76">
        <v>73</v>
      </c>
      <c r="K108" s="76">
        <v>84</v>
      </c>
      <c r="L108" s="76">
        <v>93</v>
      </c>
      <c r="M108" s="76">
        <v>98</v>
      </c>
      <c r="N108" s="76">
        <v>101</v>
      </c>
      <c r="O108" s="76">
        <v>104</v>
      </c>
      <c r="P108" s="76">
        <v>98</v>
      </c>
      <c r="Q108" s="76">
        <v>97</v>
      </c>
      <c r="R108" s="76">
        <v>85</v>
      </c>
    </row>
    <row r="109" spans="1:18" x14ac:dyDescent="0.25">
      <c r="A109" s="76" t="s">
        <v>179</v>
      </c>
      <c r="B109" s="76">
        <v>9</v>
      </c>
      <c r="C109" s="76">
        <v>12</v>
      </c>
      <c r="D109" s="76">
        <v>21</v>
      </c>
      <c r="E109" s="76">
        <v>32</v>
      </c>
      <c r="F109" s="76">
        <v>37</v>
      </c>
      <c r="G109" s="76">
        <v>47</v>
      </c>
      <c r="H109" s="76">
        <v>57</v>
      </c>
      <c r="I109" s="76">
        <v>67</v>
      </c>
      <c r="J109" s="76">
        <v>68</v>
      </c>
      <c r="K109" s="76">
        <v>88</v>
      </c>
      <c r="L109" s="76">
        <v>91</v>
      </c>
      <c r="M109" s="76">
        <v>95</v>
      </c>
      <c r="N109" s="76">
        <v>97</v>
      </c>
      <c r="O109" s="76">
        <v>95</v>
      </c>
      <c r="P109" s="76">
        <v>94</v>
      </c>
      <c r="Q109" s="76">
        <v>93</v>
      </c>
      <c r="R109" s="76">
        <v>88</v>
      </c>
    </row>
    <row r="110" spans="1:18" x14ac:dyDescent="0.25">
      <c r="A110" s="76" t="s">
        <v>178</v>
      </c>
      <c r="B110" s="76">
        <v>10</v>
      </c>
      <c r="C110" s="76">
        <v>15</v>
      </c>
      <c r="D110" s="76">
        <v>25</v>
      </c>
      <c r="E110" s="76">
        <v>32</v>
      </c>
      <c r="F110" s="76">
        <v>43</v>
      </c>
      <c r="G110" s="76">
        <v>53</v>
      </c>
      <c r="H110" s="76">
        <v>67</v>
      </c>
      <c r="I110" s="76">
        <v>71</v>
      </c>
      <c r="J110" s="76">
        <v>83</v>
      </c>
      <c r="K110" s="76">
        <v>98</v>
      </c>
      <c r="L110" s="76">
        <v>107</v>
      </c>
      <c r="M110" s="76">
        <v>119</v>
      </c>
      <c r="N110" s="76">
        <v>134</v>
      </c>
      <c r="O110" s="76">
        <v>142</v>
      </c>
      <c r="P110" s="76">
        <v>143</v>
      </c>
      <c r="Q110" s="76">
        <v>142</v>
      </c>
      <c r="R110" s="76">
        <v>138</v>
      </c>
    </row>
    <row r="111" spans="1:18" x14ac:dyDescent="0.25">
      <c r="A111" s="76" t="s">
        <v>177</v>
      </c>
      <c r="B111" s="76">
        <v>13</v>
      </c>
      <c r="C111" s="76">
        <v>19</v>
      </c>
      <c r="D111" s="76">
        <v>29</v>
      </c>
      <c r="E111" s="76">
        <v>39</v>
      </c>
      <c r="F111" s="76">
        <v>47</v>
      </c>
      <c r="G111" s="76">
        <v>54</v>
      </c>
      <c r="H111" s="76">
        <v>68</v>
      </c>
      <c r="I111" s="76">
        <v>78</v>
      </c>
      <c r="J111" s="76">
        <v>90</v>
      </c>
      <c r="K111" s="76">
        <v>103</v>
      </c>
      <c r="L111" s="76">
        <v>114</v>
      </c>
      <c r="M111" s="76">
        <v>128</v>
      </c>
      <c r="N111" s="76">
        <v>137</v>
      </c>
      <c r="O111" s="76">
        <v>147</v>
      </c>
      <c r="P111" s="76">
        <v>148</v>
      </c>
      <c r="Q111" s="76">
        <v>151</v>
      </c>
      <c r="R111" s="76">
        <v>149</v>
      </c>
    </row>
    <row r="112" spans="1:18" x14ac:dyDescent="0.25">
      <c r="A112" s="76" t="s">
        <v>176</v>
      </c>
      <c r="B112" s="76">
        <v>13</v>
      </c>
      <c r="C112" s="76">
        <v>19</v>
      </c>
      <c r="D112" s="76">
        <v>26</v>
      </c>
      <c r="E112" s="76">
        <v>36</v>
      </c>
      <c r="F112" s="76">
        <v>44</v>
      </c>
      <c r="G112" s="76">
        <v>51</v>
      </c>
      <c r="H112" s="76">
        <v>63</v>
      </c>
      <c r="I112" s="76">
        <v>72</v>
      </c>
      <c r="J112" s="76">
        <v>83</v>
      </c>
      <c r="K112" s="76">
        <v>91</v>
      </c>
      <c r="L112" s="76">
        <v>104</v>
      </c>
      <c r="M112" s="76">
        <v>130</v>
      </c>
      <c r="N112" s="76">
        <v>133</v>
      </c>
      <c r="O112" s="76">
        <v>145</v>
      </c>
      <c r="P112" s="76">
        <v>151</v>
      </c>
      <c r="Q112" s="76">
        <v>151</v>
      </c>
      <c r="R112" s="76">
        <v>147</v>
      </c>
    </row>
    <row r="113" spans="1:18" x14ac:dyDescent="0.25">
      <c r="A113" s="76" t="s">
        <v>175</v>
      </c>
      <c r="B113" s="76">
        <v>12</v>
      </c>
      <c r="C113" s="76">
        <v>17</v>
      </c>
      <c r="D113" s="76">
        <v>23</v>
      </c>
      <c r="E113" s="76">
        <v>29</v>
      </c>
      <c r="F113" s="76">
        <v>36</v>
      </c>
      <c r="G113" s="76">
        <v>45</v>
      </c>
      <c r="H113" s="76">
        <v>49</v>
      </c>
      <c r="I113" s="76">
        <v>51</v>
      </c>
      <c r="J113" s="76">
        <v>54</v>
      </c>
      <c r="K113" s="76">
        <v>65</v>
      </c>
      <c r="L113" s="76">
        <v>75</v>
      </c>
      <c r="M113" s="76">
        <v>94</v>
      </c>
      <c r="N113" s="76">
        <v>103</v>
      </c>
      <c r="O113" s="76">
        <v>111</v>
      </c>
      <c r="P113" s="76">
        <v>122</v>
      </c>
      <c r="Q113" s="76">
        <v>125</v>
      </c>
      <c r="R113" s="76">
        <v>116</v>
      </c>
    </row>
    <row r="114" spans="1:18" x14ac:dyDescent="0.25">
      <c r="A114" s="76" t="s">
        <v>174</v>
      </c>
      <c r="B114" s="76">
        <v>11</v>
      </c>
      <c r="C114" s="76">
        <v>18</v>
      </c>
      <c r="D114" s="76">
        <v>21</v>
      </c>
      <c r="E114" s="76">
        <v>30</v>
      </c>
      <c r="F114" s="76">
        <v>36</v>
      </c>
      <c r="G114" s="76">
        <v>43</v>
      </c>
      <c r="H114" s="76">
        <v>44</v>
      </c>
      <c r="I114" s="76">
        <v>48</v>
      </c>
      <c r="J114" s="76">
        <v>51</v>
      </c>
      <c r="K114" s="76">
        <v>54</v>
      </c>
      <c r="L114" s="76">
        <v>62</v>
      </c>
      <c r="M114" s="76">
        <v>76</v>
      </c>
      <c r="N114" s="76">
        <v>79</v>
      </c>
      <c r="O114" s="76">
        <v>89</v>
      </c>
      <c r="P114" s="76">
        <v>87</v>
      </c>
      <c r="Q114" s="76">
        <v>90</v>
      </c>
      <c r="R114" s="76">
        <v>88</v>
      </c>
    </row>
    <row r="115" spans="1:18" x14ac:dyDescent="0.25">
      <c r="A115" s="76" t="s">
        <v>173</v>
      </c>
      <c r="B115" s="76">
        <v>11</v>
      </c>
      <c r="C115" s="76">
        <v>19</v>
      </c>
      <c r="D115" s="76">
        <v>20</v>
      </c>
      <c r="E115" s="76">
        <v>29</v>
      </c>
      <c r="F115" s="76">
        <v>35</v>
      </c>
      <c r="G115" s="76">
        <v>36</v>
      </c>
      <c r="H115" s="76">
        <v>46</v>
      </c>
      <c r="I115" s="76">
        <v>45</v>
      </c>
      <c r="J115" s="76">
        <v>40</v>
      </c>
      <c r="K115" s="76">
        <v>52</v>
      </c>
      <c r="L115" s="76">
        <v>53</v>
      </c>
      <c r="M115" s="76">
        <v>59</v>
      </c>
      <c r="N115" s="76">
        <v>63</v>
      </c>
      <c r="O115" s="76">
        <v>71</v>
      </c>
      <c r="P115" s="76">
        <v>98</v>
      </c>
      <c r="Q115" s="76">
        <v>79</v>
      </c>
      <c r="R115" s="76">
        <v>74</v>
      </c>
    </row>
    <row r="116" spans="1:18" x14ac:dyDescent="0.25">
      <c r="A116" s="76" t="s">
        <v>172</v>
      </c>
      <c r="B116" s="76">
        <v>10</v>
      </c>
      <c r="C116" s="76">
        <v>17</v>
      </c>
      <c r="D116" s="76">
        <v>19</v>
      </c>
      <c r="E116" s="76">
        <v>29</v>
      </c>
      <c r="F116" s="76">
        <v>38</v>
      </c>
      <c r="G116" s="76">
        <v>44</v>
      </c>
      <c r="H116" s="76">
        <v>51</v>
      </c>
      <c r="I116" s="76">
        <v>54</v>
      </c>
      <c r="J116" s="76">
        <v>55</v>
      </c>
      <c r="K116" s="76">
        <v>70</v>
      </c>
      <c r="L116" s="76">
        <v>78</v>
      </c>
      <c r="M116" s="76">
        <v>88</v>
      </c>
      <c r="N116" s="76">
        <v>97</v>
      </c>
      <c r="O116" s="76">
        <v>98</v>
      </c>
      <c r="P116" s="76">
        <v>101</v>
      </c>
      <c r="Q116" s="76">
        <v>101</v>
      </c>
      <c r="R116" s="76">
        <v>97</v>
      </c>
    </row>
    <row r="117" spans="1:18" x14ac:dyDescent="0.25">
      <c r="A117" s="76" t="s">
        <v>171</v>
      </c>
      <c r="B117" s="76">
        <v>11</v>
      </c>
      <c r="C117" s="76">
        <v>12</v>
      </c>
      <c r="D117" s="76">
        <v>20</v>
      </c>
      <c r="E117" s="76">
        <v>24</v>
      </c>
      <c r="F117" s="76">
        <v>33</v>
      </c>
      <c r="G117" s="76">
        <v>36</v>
      </c>
      <c r="H117" s="76">
        <v>39</v>
      </c>
      <c r="I117" s="76">
        <v>41</v>
      </c>
      <c r="J117" s="76">
        <v>43</v>
      </c>
      <c r="K117" s="76">
        <v>49</v>
      </c>
      <c r="L117" s="76">
        <v>55</v>
      </c>
      <c r="M117" s="76">
        <v>64</v>
      </c>
      <c r="N117" s="76">
        <v>67</v>
      </c>
      <c r="O117" s="76">
        <v>72</v>
      </c>
      <c r="P117" s="76">
        <v>74</v>
      </c>
      <c r="Q117" s="76">
        <v>74</v>
      </c>
      <c r="R117" s="76">
        <v>76</v>
      </c>
    </row>
    <row r="118" spans="1:18" x14ac:dyDescent="0.25">
      <c r="A118" s="76" t="s">
        <v>170</v>
      </c>
      <c r="B118" s="76">
        <v>10</v>
      </c>
      <c r="C118" s="76">
        <v>16</v>
      </c>
      <c r="D118" s="76">
        <v>19</v>
      </c>
      <c r="E118" s="76">
        <v>33</v>
      </c>
      <c r="F118" s="76">
        <v>33</v>
      </c>
      <c r="G118" s="76">
        <v>36</v>
      </c>
      <c r="H118" s="76">
        <v>44</v>
      </c>
      <c r="I118" s="76">
        <v>44</v>
      </c>
      <c r="J118" s="76">
        <v>52</v>
      </c>
      <c r="K118" s="76">
        <v>61</v>
      </c>
      <c r="L118" s="76">
        <v>70</v>
      </c>
      <c r="M118" s="76">
        <v>79</v>
      </c>
      <c r="N118" s="76">
        <v>80</v>
      </c>
      <c r="O118" s="76">
        <v>81</v>
      </c>
      <c r="P118" s="76">
        <v>81</v>
      </c>
      <c r="Q118" s="76">
        <v>81</v>
      </c>
      <c r="R118" s="76">
        <v>81</v>
      </c>
    </row>
    <row r="119" spans="1:18" x14ac:dyDescent="0.25">
      <c r="A119" s="76" t="s">
        <v>169</v>
      </c>
      <c r="B119" s="76">
        <v>11</v>
      </c>
      <c r="C119" s="76">
        <v>15</v>
      </c>
      <c r="D119" s="76">
        <v>21</v>
      </c>
      <c r="E119" s="76">
        <v>29</v>
      </c>
      <c r="F119" s="76">
        <v>35</v>
      </c>
      <c r="G119" s="76">
        <v>37</v>
      </c>
      <c r="H119" s="76">
        <v>41</v>
      </c>
      <c r="I119" s="76">
        <v>39</v>
      </c>
      <c r="J119" s="76">
        <v>45</v>
      </c>
      <c r="K119" s="76">
        <v>54</v>
      </c>
      <c r="L119" s="76">
        <v>65</v>
      </c>
      <c r="M119" s="76">
        <v>88</v>
      </c>
      <c r="N119" s="76">
        <v>103</v>
      </c>
      <c r="O119" s="76">
        <v>111</v>
      </c>
      <c r="P119" s="76">
        <v>113</v>
      </c>
      <c r="Q119" s="76">
        <v>120</v>
      </c>
      <c r="R119" s="76">
        <v>117</v>
      </c>
    </row>
    <row r="120" spans="1:18" x14ac:dyDescent="0.25">
      <c r="A120" s="76" t="s">
        <v>168</v>
      </c>
      <c r="B120" s="76">
        <v>10</v>
      </c>
      <c r="C120" s="76">
        <v>17</v>
      </c>
      <c r="D120" s="76">
        <v>20</v>
      </c>
      <c r="E120" s="76">
        <v>25</v>
      </c>
      <c r="F120" s="76">
        <v>31</v>
      </c>
      <c r="G120" s="76">
        <v>34</v>
      </c>
      <c r="H120" s="76">
        <v>37</v>
      </c>
      <c r="I120" s="76">
        <v>36</v>
      </c>
      <c r="J120" s="76">
        <v>37</v>
      </c>
      <c r="K120" s="76">
        <v>49</v>
      </c>
      <c r="L120" s="76">
        <v>57</v>
      </c>
      <c r="M120" s="76">
        <v>74</v>
      </c>
      <c r="N120" s="76">
        <v>87</v>
      </c>
      <c r="O120" s="76">
        <v>89</v>
      </c>
      <c r="P120" s="76">
        <v>92</v>
      </c>
      <c r="Q120" s="76">
        <v>99</v>
      </c>
      <c r="R120" s="76">
        <v>104</v>
      </c>
    </row>
    <row r="121" spans="1:18" x14ac:dyDescent="0.25">
      <c r="A121" s="76" t="s">
        <v>167</v>
      </c>
      <c r="B121" s="76">
        <v>9</v>
      </c>
      <c r="C121" s="76">
        <v>15</v>
      </c>
      <c r="D121" s="76">
        <v>19</v>
      </c>
      <c r="E121" s="76">
        <v>30</v>
      </c>
      <c r="F121" s="76">
        <v>36</v>
      </c>
      <c r="G121" s="76">
        <v>45</v>
      </c>
      <c r="H121" s="76">
        <v>49</v>
      </c>
      <c r="I121" s="76">
        <v>52</v>
      </c>
      <c r="J121" s="76">
        <v>60</v>
      </c>
      <c r="K121" s="76">
        <v>78</v>
      </c>
      <c r="L121" s="76">
        <v>87</v>
      </c>
      <c r="M121" s="76">
        <v>108</v>
      </c>
      <c r="N121" s="76">
        <v>120</v>
      </c>
      <c r="O121" s="76">
        <v>132</v>
      </c>
      <c r="P121" s="76">
        <v>137</v>
      </c>
      <c r="Q121" s="76">
        <v>138</v>
      </c>
      <c r="R121" s="76">
        <v>140</v>
      </c>
    </row>
    <row r="122" spans="1:18" x14ac:dyDescent="0.25">
      <c r="A122" s="76" t="s">
        <v>166</v>
      </c>
      <c r="B122" s="76">
        <v>12</v>
      </c>
      <c r="C122" s="76">
        <v>17</v>
      </c>
      <c r="D122" s="76">
        <v>25</v>
      </c>
      <c r="E122" s="76">
        <v>33</v>
      </c>
      <c r="F122" s="76">
        <v>34</v>
      </c>
      <c r="G122" s="76">
        <v>37</v>
      </c>
      <c r="H122" s="76">
        <v>48</v>
      </c>
      <c r="I122" s="76">
        <v>48</v>
      </c>
      <c r="J122" s="76">
        <v>49</v>
      </c>
      <c r="K122" s="76">
        <v>60</v>
      </c>
      <c r="L122" s="76">
        <v>77</v>
      </c>
      <c r="M122" s="76">
        <v>93</v>
      </c>
      <c r="N122" s="76">
        <v>105</v>
      </c>
      <c r="O122" s="76">
        <v>123</v>
      </c>
      <c r="P122" s="76">
        <v>136</v>
      </c>
      <c r="Q122" s="76">
        <v>149</v>
      </c>
      <c r="R122" s="76">
        <v>151</v>
      </c>
    </row>
    <row r="123" spans="1:18" x14ac:dyDescent="0.25">
      <c r="A123" s="76" t="s">
        <v>165</v>
      </c>
      <c r="B123" s="76">
        <v>12</v>
      </c>
      <c r="C123" s="76">
        <v>20</v>
      </c>
      <c r="D123" s="76">
        <v>23</v>
      </c>
      <c r="E123" s="76">
        <v>40</v>
      </c>
      <c r="F123" s="76">
        <v>33</v>
      </c>
      <c r="G123" s="76">
        <v>37</v>
      </c>
      <c r="H123" s="76">
        <v>45</v>
      </c>
      <c r="I123" s="76">
        <v>49</v>
      </c>
      <c r="J123" s="76">
        <v>46</v>
      </c>
      <c r="K123" s="76">
        <v>68</v>
      </c>
      <c r="L123" s="76">
        <v>80</v>
      </c>
      <c r="M123" s="76">
        <v>91</v>
      </c>
      <c r="N123" s="76">
        <v>109</v>
      </c>
      <c r="O123" s="76">
        <v>111</v>
      </c>
      <c r="P123" s="76">
        <v>126</v>
      </c>
      <c r="Q123" s="76">
        <v>141</v>
      </c>
      <c r="R123" s="76">
        <v>141</v>
      </c>
    </row>
    <row r="124" spans="1:18" x14ac:dyDescent="0.25">
      <c r="A124" s="76" t="s">
        <v>164</v>
      </c>
      <c r="B124" s="76">
        <v>13</v>
      </c>
      <c r="C124" s="76">
        <v>15</v>
      </c>
      <c r="D124" s="76">
        <v>22</v>
      </c>
      <c r="E124" s="76">
        <v>30</v>
      </c>
      <c r="F124" s="76">
        <v>39</v>
      </c>
      <c r="G124" s="76">
        <v>45</v>
      </c>
      <c r="H124" s="76">
        <v>52</v>
      </c>
      <c r="I124" s="76">
        <v>54</v>
      </c>
      <c r="J124" s="76">
        <v>54</v>
      </c>
      <c r="K124" s="76">
        <v>69</v>
      </c>
      <c r="L124" s="76">
        <v>80</v>
      </c>
      <c r="M124" s="76">
        <v>97</v>
      </c>
      <c r="N124" s="76">
        <v>111</v>
      </c>
      <c r="O124" s="76">
        <v>124</v>
      </c>
      <c r="P124" s="76">
        <v>137</v>
      </c>
      <c r="Q124" s="76">
        <v>147</v>
      </c>
      <c r="R124" s="76">
        <v>152</v>
      </c>
    </row>
    <row r="125" spans="1:18" x14ac:dyDescent="0.25">
      <c r="A125" s="76" t="s">
        <v>163</v>
      </c>
      <c r="B125" s="76">
        <v>10</v>
      </c>
      <c r="C125" s="76">
        <v>13</v>
      </c>
      <c r="D125" s="76">
        <v>24</v>
      </c>
      <c r="E125" s="76">
        <v>33</v>
      </c>
      <c r="F125" s="76">
        <v>38</v>
      </c>
      <c r="G125" s="76">
        <v>42</v>
      </c>
      <c r="H125" s="76">
        <v>49</v>
      </c>
      <c r="I125" s="76">
        <v>50</v>
      </c>
      <c r="J125" s="76">
        <v>54</v>
      </c>
      <c r="K125" s="76">
        <v>65</v>
      </c>
      <c r="L125" s="76">
        <v>77</v>
      </c>
      <c r="M125" s="76">
        <v>92</v>
      </c>
      <c r="N125" s="76">
        <v>109</v>
      </c>
      <c r="O125" s="76">
        <v>122</v>
      </c>
      <c r="P125" s="76">
        <v>134</v>
      </c>
      <c r="Q125" s="76">
        <v>148</v>
      </c>
      <c r="R125" s="76">
        <v>147</v>
      </c>
    </row>
    <row r="126" spans="1:18" x14ac:dyDescent="0.25">
      <c r="A126" s="76" t="s">
        <v>162</v>
      </c>
      <c r="B126" s="76">
        <v>13</v>
      </c>
      <c r="C126" s="76">
        <v>17</v>
      </c>
      <c r="D126" s="76">
        <v>25</v>
      </c>
      <c r="E126" s="76">
        <v>32</v>
      </c>
      <c r="F126" s="76">
        <v>39</v>
      </c>
      <c r="G126" s="76">
        <v>49</v>
      </c>
      <c r="H126" s="76">
        <v>58</v>
      </c>
      <c r="I126" s="76">
        <v>65</v>
      </c>
      <c r="J126" s="76">
        <v>73</v>
      </c>
      <c r="K126" s="76">
        <v>85</v>
      </c>
      <c r="L126" s="76">
        <v>92</v>
      </c>
      <c r="M126" s="76">
        <v>110</v>
      </c>
      <c r="N126" s="76">
        <v>118</v>
      </c>
      <c r="O126" s="76">
        <v>130</v>
      </c>
      <c r="P126" s="76">
        <v>141</v>
      </c>
      <c r="Q126" s="76">
        <v>151</v>
      </c>
      <c r="R126" s="76">
        <v>152</v>
      </c>
    </row>
    <row r="127" spans="1:18" x14ac:dyDescent="0.25">
      <c r="A127" s="76" t="s">
        <v>161</v>
      </c>
      <c r="B127" s="76">
        <v>11</v>
      </c>
      <c r="C127" s="76">
        <v>11</v>
      </c>
      <c r="D127" s="76">
        <v>26</v>
      </c>
      <c r="E127" s="76">
        <v>29</v>
      </c>
      <c r="F127" s="76">
        <v>41</v>
      </c>
      <c r="G127" s="76">
        <v>47</v>
      </c>
      <c r="H127" s="76">
        <v>59</v>
      </c>
      <c r="I127" s="76">
        <v>73</v>
      </c>
      <c r="J127" s="76">
        <v>76</v>
      </c>
      <c r="K127" s="76">
        <v>82</v>
      </c>
      <c r="L127" s="76">
        <v>93</v>
      </c>
      <c r="M127" s="76">
        <v>104</v>
      </c>
      <c r="N127" s="76">
        <v>120</v>
      </c>
      <c r="O127" s="76">
        <v>126</v>
      </c>
      <c r="P127" s="76">
        <v>134</v>
      </c>
      <c r="Q127" s="76">
        <v>142</v>
      </c>
      <c r="R127" s="76">
        <v>143</v>
      </c>
    </row>
    <row r="128" spans="1:18" x14ac:dyDescent="0.25">
      <c r="A128" s="76" t="s">
        <v>160</v>
      </c>
      <c r="B128" s="76">
        <v>12</v>
      </c>
      <c r="C128" s="76">
        <v>9</v>
      </c>
      <c r="D128" s="76">
        <v>22</v>
      </c>
      <c r="E128" s="76">
        <v>26</v>
      </c>
      <c r="F128" s="76">
        <v>39</v>
      </c>
      <c r="G128" s="76">
        <v>48</v>
      </c>
      <c r="H128" s="76">
        <v>56</v>
      </c>
      <c r="I128" s="76">
        <v>65</v>
      </c>
      <c r="J128" s="76">
        <v>74</v>
      </c>
      <c r="K128" s="76">
        <v>87</v>
      </c>
      <c r="L128" s="76">
        <v>95</v>
      </c>
      <c r="M128" s="76">
        <v>110</v>
      </c>
      <c r="N128" s="76">
        <v>111</v>
      </c>
      <c r="O128" s="76">
        <v>120</v>
      </c>
      <c r="P128" s="76">
        <v>107</v>
      </c>
      <c r="Q128" s="76">
        <v>119</v>
      </c>
      <c r="R128" s="76">
        <v>112</v>
      </c>
    </row>
    <row r="129" spans="1:18" x14ac:dyDescent="0.25">
      <c r="A129" s="76" t="s">
        <v>159</v>
      </c>
      <c r="B129" s="76">
        <v>11</v>
      </c>
      <c r="C129" s="76">
        <v>15</v>
      </c>
      <c r="D129" s="76">
        <v>21</v>
      </c>
      <c r="E129" s="76">
        <v>32</v>
      </c>
      <c r="F129" s="76">
        <v>35</v>
      </c>
      <c r="G129" s="76">
        <v>41</v>
      </c>
      <c r="H129" s="76">
        <v>52</v>
      </c>
      <c r="I129" s="76">
        <v>61</v>
      </c>
      <c r="J129" s="76">
        <v>72</v>
      </c>
      <c r="K129" s="76">
        <v>93</v>
      </c>
      <c r="L129" s="76">
        <v>93</v>
      </c>
      <c r="M129" s="76">
        <v>111</v>
      </c>
      <c r="N129" s="76">
        <v>110</v>
      </c>
      <c r="O129" s="76">
        <v>112</v>
      </c>
      <c r="P129" s="76">
        <v>113</v>
      </c>
      <c r="Q129" s="76">
        <v>115</v>
      </c>
      <c r="R129" s="76">
        <v>115</v>
      </c>
    </row>
    <row r="130" spans="1:18" x14ac:dyDescent="0.25">
      <c r="A130" s="76" t="s">
        <v>158</v>
      </c>
      <c r="B130" s="76">
        <v>12</v>
      </c>
      <c r="C130" s="76">
        <v>15</v>
      </c>
      <c r="D130" s="76">
        <v>22</v>
      </c>
      <c r="E130" s="76">
        <v>23</v>
      </c>
      <c r="F130" s="76">
        <v>37</v>
      </c>
      <c r="G130" s="76">
        <v>46</v>
      </c>
      <c r="H130" s="76">
        <v>55</v>
      </c>
      <c r="I130" s="76">
        <v>62</v>
      </c>
      <c r="J130" s="76">
        <v>68</v>
      </c>
      <c r="K130" s="76">
        <v>83</v>
      </c>
      <c r="L130" s="76">
        <v>92</v>
      </c>
      <c r="M130" s="76">
        <v>109</v>
      </c>
      <c r="N130" s="76">
        <v>108</v>
      </c>
      <c r="O130" s="76">
        <v>112</v>
      </c>
      <c r="P130" s="76">
        <v>109</v>
      </c>
      <c r="Q130" s="76">
        <v>115</v>
      </c>
      <c r="R130" s="76">
        <v>115</v>
      </c>
    </row>
    <row r="131" spans="1:18" x14ac:dyDescent="0.25">
      <c r="A131" s="76" t="s">
        <v>157</v>
      </c>
      <c r="B131" s="76">
        <v>10</v>
      </c>
      <c r="C131" s="76">
        <v>12</v>
      </c>
      <c r="D131" s="76">
        <v>21</v>
      </c>
      <c r="E131" s="76">
        <v>35</v>
      </c>
      <c r="F131" s="76">
        <v>41</v>
      </c>
      <c r="G131" s="76">
        <v>54</v>
      </c>
      <c r="H131" s="76">
        <v>67</v>
      </c>
      <c r="I131" s="76">
        <v>82</v>
      </c>
      <c r="J131" s="76">
        <v>94</v>
      </c>
      <c r="K131" s="76">
        <v>109</v>
      </c>
      <c r="L131" s="76">
        <v>118</v>
      </c>
      <c r="M131" s="76">
        <v>122</v>
      </c>
      <c r="N131" s="76">
        <v>120</v>
      </c>
      <c r="O131" s="76">
        <v>119</v>
      </c>
      <c r="P131" s="76">
        <v>116</v>
      </c>
      <c r="Q131" s="76">
        <v>116</v>
      </c>
      <c r="R131" s="76">
        <v>118</v>
      </c>
    </row>
    <row r="132" spans="1:18" x14ac:dyDescent="0.25">
      <c r="A132" s="76" t="s">
        <v>156</v>
      </c>
      <c r="B132" s="76">
        <v>12</v>
      </c>
      <c r="C132" s="76">
        <v>15</v>
      </c>
      <c r="D132" s="76">
        <v>24</v>
      </c>
      <c r="E132" s="76">
        <v>34</v>
      </c>
      <c r="F132" s="76">
        <v>40</v>
      </c>
      <c r="G132" s="76">
        <v>50</v>
      </c>
      <c r="H132" s="76">
        <v>62</v>
      </c>
      <c r="I132" s="76">
        <v>68</v>
      </c>
      <c r="J132" s="76">
        <v>80</v>
      </c>
      <c r="K132" s="76">
        <v>92</v>
      </c>
      <c r="L132" s="76">
        <v>101</v>
      </c>
      <c r="M132" s="76">
        <v>99</v>
      </c>
      <c r="N132" s="76">
        <v>102</v>
      </c>
      <c r="O132" s="76">
        <v>97</v>
      </c>
      <c r="P132" s="76">
        <v>97</v>
      </c>
      <c r="Q132" s="76">
        <v>100</v>
      </c>
      <c r="R132" s="76">
        <v>96</v>
      </c>
    </row>
    <row r="133" spans="1:18" x14ac:dyDescent="0.25">
      <c r="A133" s="76" t="s">
        <v>155</v>
      </c>
      <c r="B133" s="76">
        <v>11</v>
      </c>
      <c r="C133" s="76">
        <v>13</v>
      </c>
      <c r="D133" s="76">
        <v>21</v>
      </c>
      <c r="E133" s="76">
        <v>26</v>
      </c>
      <c r="F133" s="76">
        <v>39</v>
      </c>
      <c r="G133" s="76">
        <v>45</v>
      </c>
      <c r="H133" s="76">
        <v>56</v>
      </c>
      <c r="I133" s="76">
        <v>68</v>
      </c>
      <c r="J133" s="76">
        <v>81</v>
      </c>
      <c r="K133" s="76">
        <v>93</v>
      </c>
      <c r="L133" s="76">
        <v>102</v>
      </c>
      <c r="M133" s="76">
        <v>103</v>
      </c>
      <c r="N133" s="76">
        <v>105</v>
      </c>
      <c r="O133" s="76">
        <v>106</v>
      </c>
      <c r="P133" s="76">
        <v>102</v>
      </c>
      <c r="Q133" s="76">
        <v>109</v>
      </c>
      <c r="R133" s="76">
        <v>107</v>
      </c>
    </row>
    <row r="134" spans="1:18" x14ac:dyDescent="0.25">
      <c r="A134" s="76" t="s">
        <v>154</v>
      </c>
      <c r="B134" s="76">
        <v>12</v>
      </c>
      <c r="C134" s="76">
        <v>14</v>
      </c>
      <c r="D134" s="76">
        <v>23</v>
      </c>
      <c r="E134" s="76">
        <v>35</v>
      </c>
      <c r="F134" s="76">
        <v>42</v>
      </c>
      <c r="G134" s="76">
        <v>57</v>
      </c>
      <c r="H134" s="76">
        <v>71</v>
      </c>
      <c r="I134" s="76">
        <v>80</v>
      </c>
      <c r="J134" s="76">
        <v>97</v>
      </c>
      <c r="K134" s="76">
        <v>107</v>
      </c>
      <c r="L134" s="76">
        <v>124</v>
      </c>
      <c r="M134" s="76">
        <v>137</v>
      </c>
      <c r="N134" s="76">
        <v>153</v>
      </c>
      <c r="O134" s="76">
        <v>161</v>
      </c>
      <c r="P134" s="76">
        <v>173</v>
      </c>
      <c r="Q134" s="76">
        <v>181</v>
      </c>
      <c r="R134" s="76">
        <v>187</v>
      </c>
    </row>
    <row r="135" spans="1:18" x14ac:dyDescent="0.25">
      <c r="A135" s="76" t="s">
        <v>153</v>
      </c>
      <c r="B135" s="76">
        <v>11</v>
      </c>
      <c r="C135" s="76">
        <v>17</v>
      </c>
      <c r="D135" s="76">
        <v>24</v>
      </c>
      <c r="E135" s="76">
        <v>28</v>
      </c>
      <c r="F135" s="76">
        <v>37</v>
      </c>
      <c r="G135" s="76">
        <v>47</v>
      </c>
      <c r="H135" s="76">
        <v>55</v>
      </c>
      <c r="I135" s="76">
        <v>63</v>
      </c>
      <c r="J135" s="76">
        <v>70</v>
      </c>
      <c r="K135" s="76">
        <v>82</v>
      </c>
      <c r="L135" s="76">
        <v>95</v>
      </c>
      <c r="M135" s="76">
        <v>111</v>
      </c>
      <c r="N135" s="76">
        <v>128</v>
      </c>
      <c r="O135" s="76">
        <v>134</v>
      </c>
      <c r="P135" s="76">
        <v>124</v>
      </c>
      <c r="Q135" s="76">
        <v>139</v>
      </c>
      <c r="R135" s="76">
        <v>139</v>
      </c>
    </row>
    <row r="136" spans="1:18" x14ac:dyDescent="0.25">
      <c r="A136" s="76" t="s">
        <v>152</v>
      </c>
      <c r="B136" s="76">
        <v>11</v>
      </c>
      <c r="C136" s="76">
        <v>12</v>
      </c>
      <c r="D136" s="76">
        <v>19</v>
      </c>
      <c r="E136" s="76">
        <v>27</v>
      </c>
      <c r="F136" s="76">
        <v>38</v>
      </c>
      <c r="G136" s="76">
        <v>44</v>
      </c>
      <c r="H136" s="76">
        <v>57</v>
      </c>
      <c r="I136" s="76">
        <v>69</v>
      </c>
      <c r="J136" s="76">
        <v>65</v>
      </c>
      <c r="K136" s="76">
        <v>74</v>
      </c>
      <c r="L136" s="76">
        <v>91</v>
      </c>
      <c r="M136" s="76">
        <v>109</v>
      </c>
      <c r="N136" s="76">
        <v>115</v>
      </c>
      <c r="O136" s="76">
        <v>132</v>
      </c>
      <c r="P136" s="76">
        <v>133</v>
      </c>
      <c r="Q136" s="76">
        <v>141</v>
      </c>
      <c r="R136" s="76">
        <v>164</v>
      </c>
    </row>
    <row r="137" spans="1:18" x14ac:dyDescent="0.25">
      <c r="A137" s="76" t="s">
        <v>151</v>
      </c>
      <c r="B137" s="76">
        <v>12</v>
      </c>
      <c r="C137" s="76">
        <v>16</v>
      </c>
      <c r="D137" s="76">
        <v>24</v>
      </c>
      <c r="E137" s="76">
        <v>35</v>
      </c>
      <c r="F137" s="76">
        <v>41</v>
      </c>
      <c r="G137" s="76">
        <v>55</v>
      </c>
      <c r="H137" s="76">
        <v>77</v>
      </c>
      <c r="I137" s="76">
        <v>92</v>
      </c>
      <c r="J137" s="76">
        <v>107</v>
      </c>
      <c r="K137" s="76">
        <v>115</v>
      </c>
      <c r="L137" s="76">
        <v>123</v>
      </c>
      <c r="M137" s="76">
        <v>131</v>
      </c>
      <c r="N137" s="76">
        <v>142</v>
      </c>
      <c r="O137" s="76">
        <v>156</v>
      </c>
      <c r="P137" s="76">
        <v>162</v>
      </c>
      <c r="Q137" s="76">
        <v>166</v>
      </c>
      <c r="R137" s="76">
        <v>169</v>
      </c>
    </row>
    <row r="138" spans="1:18" x14ac:dyDescent="0.25">
      <c r="A138" s="76" t="s">
        <v>150</v>
      </c>
      <c r="B138" s="76">
        <v>13</v>
      </c>
      <c r="C138" s="76">
        <v>15</v>
      </c>
      <c r="D138" s="76">
        <v>26</v>
      </c>
      <c r="E138" s="76">
        <v>30</v>
      </c>
      <c r="F138" s="76">
        <v>41</v>
      </c>
      <c r="G138" s="76">
        <v>53</v>
      </c>
      <c r="H138" s="76">
        <v>61</v>
      </c>
      <c r="I138" s="76">
        <v>66</v>
      </c>
      <c r="J138" s="76">
        <v>78</v>
      </c>
      <c r="K138" s="76">
        <v>87</v>
      </c>
      <c r="L138" s="76">
        <v>101</v>
      </c>
      <c r="M138" s="76">
        <v>123</v>
      </c>
      <c r="N138" s="76">
        <v>134</v>
      </c>
      <c r="O138" s="76">
        <v>145</v>
      </c>
      <c r="P138" s="76">
        <v>154</v>
      </c>
      <c r="Q138" s="76">
        <v>164</v>
      </c>
      <c r="R138" s="76">
        <v>168</v>
      </c>
    </row>
    <row r="139" spans="1:18" x14ac:dyDescent="0.25">
      <c r="A139" s="76" t="s">
        <v>149</v>
      </c>
      <c r="B139" s="76">
        <v>12</v>
      </c>
      <c r="C139" s="76">
        <v>17</v>
      </c>
      <c r="D139" s="76">
        <v>20</v>
      </c>
      <c r="E139" s="76">
        <v>30</v>
      </c>
      <c r="F139" s="76">
        <v>29</v>
      </c>
      <c r="G139" s="76">
        <v>37</v>
      </c>
      <c r="H139" s="76">
        <v>47</v>
      </c>
      <c r="I139" s="76">
        <v>52</v>
      </c>
      <c r="J139" s="76">
        <v>54</v>
      </c>
      <c r="K139" s="76">
        <v>68</v>
      </c>
      <c r="L139" s="76">
        <v>77</v>
      </c>
      <c r="M139" s="76">
        <v>88</v>
      </c>
      <c r="N139" s="76">
        <v>102</v>
      </c>
      <c r="O139" s="76">
        <v>113</v>
      </c>
      <c r="P139" s="76">
        <v>122</v>
      </c>
      <c r="Q139" s="76">
        <v>129</v>
      </c>
      <c r="R139" s="76">
        <v>131</v>
      </c>
    </row>
    <row r="140" spans="1:18" x14ac:dyDescent="0.25">
      <c r="A140" s="76" t="s">
        <v>148</v>
      </c>
      <c r="B140" s="76">
        <v>12</v>
      </c>
      <c r="C140" s="76">
        <v>18</v>
      </c>
      <c r="D140" s="76">
        <v>23</v>
      </c>
      <c r="E140" s="76">
        <v>31</v>
      </c>
      <c r="F140" s="76">
        <v>39</v>
      </c>
      <c r="G140" s="76">
        <v>50</v>
      </c>
      <c r="H140" s="76">
        <v>63</v>
      </c>
      <c r="I140" s="76">
        <v>73</v>
      </c>
      <c r="J140" s="76">
        <v>82</v>
      </c>
      <c r="K140" s="76">
        <v>100</v>
      </c>
      <c r="L140" s="76">
        <v>111</v>
      </c>
      <c r="M140" s="76">
        <v>125</v>
      </c>
      <c r="N140" s="76">
        <v>137</v>
      </c>
      <c r="O140" s="76">
        <v>146</v>
      </c>
      <c r="P140" s="76">
        <v>166</v>
      </c>
      <c r="Q140" s="76">
        <v>163</v>
      </c>
      <c r="R140" s="76">
        <v>174</v>
      </c>
    </row>
    <row r="141" spans="1:18" x14ac:dyDescent="0.25">
      <c r="A141" s="76" t="s">
        <v>147</v>
      </c>
      <c r="B141" s="76">
        <v>13</v>
      </c>
      <c r="C141" s="76">
        <v>18</v>
      </c>
      <c r="D141" s="76">
        <v>23</v>
      </c>
      <c r="E141" s="76">
        <v>30</v>
      </c>
      <c r="F141" s="76">
        <v>35</v>
      </c>
      <c r="G141" s="76">
        <v>41</v>
      </c>
      <c r="H141" s="76">
        <v>50</v>
      </c>
      <c r="I141" s="76">
        <v>55</v>
      </c>
      <c r="J141" s="76">
        <v>65</v>
      </c>
      <c r="K141" s="76">
        <v>75</v>
      </c>
      <c r="L141" s="76">
        <v>83</v>
      </c>
      <c r="M141" s="76">
        <v>104</v>
      </c>
      <c r="N141" s="76">
        <v>118</v>
      </c>
      <c r="O141" s="76">
        <v>130</v>
      </c>
      <c r="P141" s="76">
        <v>131</v>
      </c>
      <c r="Q141" s="76">
        <v>145</v>
      </c>
      <c r="R141" s="76">
        <v>147</v>
      </c>
    </row>
    <row r="142" spans="1:18" x14ac:dyDescent="0.25">
      <c r="A142" s="76" t="s">
        <v>146</v>
      </c>
      <c r="B142" s="76">
        <v>13</v>
      </c>
      <c r="C142" s="76">
        <v>17</v>
      </c>
      <c r="D142" s="76">
        <v>24</v>
      </c>
      <c r="E142" s="76">
        <v>29</v>
      </c>
      <c r="F142" s="76">
        <v>38</v>
      </c>
      <c r="G142" s="76">
        <v>48</v>
      </c>
      <c r="H142" s="76">
        <v>58</v>
      </c>
      <c r="I142" s="76">
        <v>74</v>
      </c>
      <c r="J142" s="76">
        <v>73</v>
      </c>
      <c r="K142" s="76">
        <v>89</v>
      </c>
      <c r="L142" s="76">
        <v>95</v>
      </c>
      <c r="M142" s="76">
        <v>111</v>
      </c>
      <c r="N142" s="76">
        <v>120</v>
      </c>
      <c r="O142" s="76">
        <v>135</v>
      </c>
      <c r="P142" s="76">
        <v>147</v>
      </c>
      <c r="Q142" s="76">
        <v>156</v>
      </c>
      <c r="R142" s="76">
        <v>158</v>
      </c>
    </row>
    <row r="143" spans="1:18" x14ac:dyDescent="0.25">
      <c r="A143" s="76" t="s">
        <v>145</v>
      </c>
      <c r="B143" s="76">
        <v>12</v>
      </c>
      <c r="C143" s="76">
        <v>16</v>
      </c>
      <c r="D143" s="76">
        <v>24</v>
      </c>
      <c r="E143" s="76">
        <v>30</v>
      </c>
      <c r="F143" s="76">
        <v>42</v>
      </c>
      <c r="G143" s="76">
        <v>51</v>
      </c>
      <c r="H143" s="76">
        <v>63</v>
      </c>
      <c r="I143" s="76">
        <v>72</v>
      </c>
      <c r="J143" s="76">
        <v>82</v>
      </c>
      <c r="K143" s="76">
        <v>96</v>
      </c>
      <c r="L143" s="76">
        <v>101</v>
      </c>
      <c r="M143" s="76">
        <v>113</v>
      </c>
      <c r="N143" s="76">
        <v>118</v>
      </c>
      <c r="O143" s="76">
        <v>127</v>
      </c>
      <c r="P143" s="76">
        <v>122</v>
      </c>
      <c r="Q143" s="76">
        <v>131</v>
      </c>
      <c r="R143" s="76">
        <v>122</v>
      </c>
    </row>
    <row r="144" spans="1:18" x14ac:dyDescent="0.25">
      <c r="A144" s="76" t="s">
        <v>144</v>
      </c>
      <c r="B144" s="76">
        <v>12</v>
      </c>
      <c r="C144" s="76">
        <v>13</v>
      </c>
      <c r="D144" s="76">
        <v>22</v>
      </c>
      <c r="E144" s="76">
        <v>30</v>
      </c>
      <c r="F144" s="76">
        <v>36</v>
      </c>
      <c r="G144" s="76">
        <v>45</v>
      </c>
      <c r="H144" s="76">
        <v>60</v>
      </c>
      <c r="I144" s="76">
        <v>65</v>
      </c>
      <c r="J144" s="76">
        <v>77</v>
      </c>
      <c r="K144" s="76">
        <v>87</v>
      </c>
      <c r="L144" s="76">
        <v>100</v>
      </c>
      <c r="M144" s="76">
        <v>114</v>
      </c>
      <c r="N144" s="76">
        <v>122</v>
      </c>
      <c r="O144" s="76">
        <v>132</v>
      </c>
      <c r="P144" s="76">
        <v>131</v>
      </c>
      <c r="Q144" s="76">
        <v>134</v>
      </c>
      <c r="R144" s="76">
        <v>133</v>
      </c>
    </row>
    <row r="145" spans="1:18" x14ac:dyDescent="0.25">
      <c r="A145" s="76" t="s">
        <v>143</v>
      </c>
      <c r="B145" s="76">
        <v>11</v>
      </c>
      <c r="C145" s="76">
        <v>14</v>
      </c>
      <c r="D145" s="76">
        <v>17</v>
      </c>
      <c r="E145" s="76">
        <v>26</v>
      </c>
      <c r="F145" s="76">
        <v>32</v>
      </c>
      <c r="G145" s="76">
        <v>44</v>
      </c>
      <c r="H145" s="76">
        <v>54</v>
      </c>
      <c r="I145" s="76">
        <v>65</v>
      </c>
      <c r="J145" s="76">
        <v>78</v>
      </c>
      <c r="K145" s="76">
        <v>103</v>
      </c>
      <c r="L145" s="76">
        <v>97</v>
      </c>
      <c r="M145" s="76">
        <v>114</v>
      </c>
      <c r="N145" s="76">
        <v>117</v>
      </c>
      <c r="O145" s="76">
        <v>131</v>
      </c>
      <c r="P145" s="76">
        <v>122</v>
      </c>
      <c r="Q145" s="76">
        <v>124</v>
      </c>
      <c r="R145" s="76">
        <v>123</v>
      </c>
    </row>
    <row r="146" spans="1:18" x14ac:dyDescent="0.25">
      <c r="A146" s="76" t="s">
        <v>142</v>
      </c>
      <c r="B146" s="76">
        <v>13</v>
      </c>
      <c r="C146" s="76">
        <v>18</v>
      </c>
      <c r="D146" s="76">
        <v>27</v>
      </c>
      <c r="E146" s="76">
        <v>40</v>
      </c>
      <c r="F146" s="76">
        <v>42</v>
      </c>
      <c r="G146" s="76">
        <v>50</v>
      </c>
      <c r="H146" s="76">
        <v>63</v>
      </c>
      <c r="I146" s="76">
        <v>70</v>
      </c>
      <c r="J146" s="76">
        <v>78</v>
      </c>
      <c r="K146" s="76">
        <v>95</v>
      </c>
      <c r="L146" s="76">
        <v>109</v>
      </c>
      <c r="M146" s="76">
        <v>119</v>
      </c>
      <c r="N146" s="76">
        <v>126</v>
      </c>
      <c r="O146" s="76">
        <v>132</v>
      </c>
      <c r="P146" s="76">
        <v>137</v>
      </c>
      <c r="Q146" s="76">
        <v>138</v>
      </c>
      <c r="R146" s="76">
        <v>136</v>
      </c>
    </row>
    <row r="147" spans="1:18" x14ac:dyDescent="0.25">
      <c r="A147" s="76" t="s">
        <v>141</v>
      </c>
      <c r="B147" s="76">
        <v>13</v>
      </c>
      <c r="C147" s="76">
        <v>15</v>
      </c>
      <c r="D147" s="76">
        <v>25</v>
      </c>
      <c r="E147" s="76">
        <v>37</v>
      </c>
      <c r="F147" s="76">
        <v>43</v>
      </c>
      <c r="G147" s="76">
        <v>51</v>
      </c>
      <c r="H147" s="76">
        <v>61</v>
      </c>
      <c r="I147" s="76">
        <v>67</v>
      </c>
      <c r="J147" s="76">
        <v>72</v>
      </c>
      <c r="K147" s="76">
        <v>99</v>
      </c>
      <c r="L147" s="76">
        <v>90</v>
      </c>
      <c r="M147" s="76">
        <v>91</v>
      </c>
      <c r="N147" s="76">
        <v>101</v>
      </c>
      <c r="O147" s="76">
        <v>94</v>
      </c>
      <c r="P147" s="76">
        <v>100</v>
      </c>
      <c r="Q147" s="76">
        <v>98</v>
      </c>
      <c r="R147" s="76">
        <v>97</v>
      </c>
    </row>
    <row r="148" spans="1:18" x14ac:dyDescent="0.25">
      <c r="A148" s="76" t="s">
        <v>140</v>
      </c>
      <c r="B148" s="76">
        <v>13</v>
      </c>
      <c r="C148" s="76">
        <v>15</v>
      </c>
      <c r="D148" s="76">
        <v>25</v>
      </c>
      <c r="E148" s="76">
        <v>35</v>
      </c>
      <c r="F148" s="76">
        <v>41</v>
      </c>
      <c r="G148" s="76">
        <v>50</v>
      </c>
      <c r="H148" s="76">
        <v>63</v>
      </c>
      <c r="I148" s="76">
        <v>72</v>
      </c>
      <c r="J148" s="76">
        <v>84</v>
      </c>
      <c r="K148" s="76">
        <v>96</v>
      </c>
      <c r="L148" s="76">
        <v>108</v>
      </c>
      <c r="M148" s="76">
        <v>118</v>
      </c>
      <c r="N148" s="76">
        <v>120</v>
      </c>
      <c r="O148" s="76">
        <v>126</v>
      </c>
      <c r="P148" s="76">
        <v>127</v>
      </c>
      <c r="Q148" s="76">
        <v>127</v>
      </c>
      <c r="R148" s="76">
        <v>127</v>
      </c>
    </row>
    <row r="149" spans="1:18" x14ac:dyDescent="0.25">
      <c r="A149" s="76" t="s">
        <v>139</v>
      </c>
      <c r="B149" s="76">
        <v>13</v>
      </c>
      <c r="C149" s="76">
        <v>16</v>
      </c>
      <c r="D149" s="76">
        <v>25</v>
      </c>
      <c r="E149" s="76">
        <v>34</v>
      </c>
      <c r="F149" s="76">
        <v>38</v>
      </c>
      <c r="G149" s="76">
        <v>45</v>
      </c>
      <c r="H149" s="76">
        <v>54</v>
      </c>
      <c r="I149" s="76">
        <v>59</v>
      </c>
      <c r="J149" s="76">
        <v>68</v>
      </c>
      <c r="K149" s="76">
        <v>89</v>
      </c>
      <c r="L149" s="76">
        <v>86</v>
      </c>
      <c r="M149" s="76">
        <v>99</v>
      </c>
      <c r="N149" s="76">
        <v>98</v>
      </c>
      <c r="O149" s="76">
        <v>106</v>
      </c>
      <c r="P149" s="76">
        <v>106</v>
      </c>
      <c r="Q149" s="76">
        <v>111</v>
      </c>
      <c r="R149" s="76">
        <v>108</v>
      </c>
    </row>
    <row r="150" spans="1:18" x14ac:dyDescent="0.25">
      <c r="A150" s="76" t="s">
        <v>138</v>
      </c>
      <c r="B150" s="76">
        <v>12</v>
      </c>
      <c r="C150" s="76">
        <v>19</v>
      </c>
      <c r="D150" s="76">
        <v>22</v>
      </c>
      <c r="E150" s="76">
        <v>36</v>
      </c>
      <c r="F150" s="76">
        <v>39</v>
      </c>
      <c r="G150" s="76">
        <v>40</v>
      </c>
      <c r="H150" s="76">
        <v>56</v>
      </c>
      <c r="I150" s="76">
        <v>66</v>
      </c>
      <c r="J150" s="76">
        <v>74</v>
      </c>
      <c r="K150" s="76">
        <v>89</v>
      </c>
      <c r="L150" s="76">
        <v>97</v>
      </c>
      <c r="M150" s="76">
        <v>100</v>
      </c>
      <c r="N150" s="76">
        <v>111</v>
      </c>
      <c r="O150" s="76">
        <v>111</v>
      </c>
      <c r="P150" s="76">
        <v>123</v>
      </c>
      <c r="Q150" s="76">
        <v>121</v>
      </c>
      <c r="R150" s="76">
        <v>129</v>
      </c>
    </row>
    <row r="151" spans="1:18" x14ac:dyDescent="0.25">
      <c r="A151" s="76" t="s">
        <v>137</v>
      </c>
      <c r="B151" s="76">
        <v>11</v>
      </c>
      <c r="C151" s="76">
        <v>16</v>
      </c>
      <c r="D151" s="76">
        <v>23</v>
      </c>
      <c r="E151" s="76">
        <v>33</v>
      </c>
      <c r="F151" s="76">
        <v>41</v>
      </c>
      <c r="G151" s="76">
        <v>49</v>
      </c>
      <c r="H151" s="76">
        <v>57</v>
      </c>
      <c r="I151" s="76">
        <v>67</v>
      </c>
      <c r="J151" s="76">
        <v>80</v>
      </c>
      <c r="K151" s="76">
        <v>94</v>
      </c>
      <c r="L151" s="76">
        <v>106</v>
      </c>
      <c r="M151" s="76">
        <v>122</v>
      </c>
      <c r="N151" s="76">
        <v>126</v>
      </c>
      <c r="O151" s="76">
        <v>134</v>
      </c>
      <c r="P151" s="76">
        <v>136</v>
      </c>
      <c r="Q151" s="76">
        <v>143</v>
      </c>
      <c r="R151" s="76">
        <v>138</v>
      </c>
    </row>
    <row r="152" spans="1:18" x14ac:dyDescent="0.25">
      <c r="A152" s="76" t="s">
        <v>136</v>
      </c>
      <c r="B152" s="76">
        <v>12</v>
      </c>
      <c r="C152" s="76">
        <v>11</v>
      </c>
      <c r="D152" s="76">
        <v>22</v>
      </c>
      <c r="E152" s="76">
        <v>34</v>
      </c>
      <c r="F152" s="76">
        <v>36</v>
      </c>
      <c r="G152" s="76">
        <v>38</v>
      </c>
      <c r="H152" s="76">
        <v>44</v>
      </c>
      <c r="I152" s="76">
        <v>46</v>
      </c>
      <c r="J152" s="76">
        <v>49</v>
      </c>
      <c r="K152" s="76">
        <v>65</v>
      </c>
      <c r="L152" s="76">
        <v>70</v>
      </c>
      <c r="M152" s="76">
        <v>79</v>
      </c>
      <c r="N152" s="76">
        <v>91</v>
      </c>
      <c r="O152" s="76">
        <v>107</v>
      </c>
      <c r="P152" s="76">
        <v>108</v>
      </c>
      <c r="Q152" s="76">
        <v>119</v>
      </c>
      <c r="R152" s="76">
        <v>126</v>
      </c>
    </row>
    <row r="153" spans="1:18" x14ac:dyDescent="0.25">
      <c r="A153" s="76" t="s">
        <v>135</v>
      </c>
      <c r="B153" s="76">
        <v>12</v>
      </c>
      <c r="C153" s="76">
        <v>16</v>
      </c>
      <c r="D153" s="76">
        <v>21</v>
      </c>
      <c r="E153" s="76">
        <v>29</v>
      </c>
      <c r="F153" s="76">
        <v>36</v>
      </c>
      <c r="G153" s="76">
        <v>43</v>
      </c>
      <c r="H153" s="76">
        <v>44</v>
      </c>
      <c r="I153" s="76">
        <v>52</v>
      </c>
      <c r="J153" s="76">
        <v>59</v>
      </c>
      <c r="K153" s="76">
        <v>77</v>
      </c>
      <c r="L153" s="76">
        <v>88</v>
      </c>
      <c r="M153" s="76">
        <v>108</v>
      </c>
      <c r="N153" s="76">
        <v>119</v>
      </c>
      <c r="O153" s="76">
        <v>132</v>
      </c>
      <c r="P153" s="76">
        <v>146</v>
      </c>
      <c r="Q153" s="76">
        <v>152</v>
      </c>
      <c r="R153" s="76">
        <v>157</v>
      </c>
    </row>
    <row r="154" spans="1:18" x14ac:dyDescent="0.25">
      <c r="A154" s="76" t="s">
        <v>134</v>
      </c>
      <c r="B154" s="76">
        <v>11</v>
      </c>
      <c r="C154" s="76">
        <v>16</v>
      </c>
      <c r="D154" s="76">
        <v>21</v>
      </c>
      <c r="E154" s="76">
        <v>33</v>
      </c>
      <c r="F154" s="76">
        <v>37</v>
      </c>
      <c r="G154" s="76">
        <v>41</v>
      </c>
      <c r="H154" s="76">
        <v>50</v>
      </c>
      <c r="I154" s="76">
        <v>51</v>
      </c>
      <c r="J154" s="76">
        <v>61</v>
      </c>
      <c r="K154" s="76">
        <v>73</v>
      </c>
      <c r="L154" s="76">
        <v>88</v>
      </c>
      <c r="M154" s="76">
        <v>102</v>
      </c>
      <c r="N154" s="76">
        <v>112</v>
      </c>
      <c r="O154" s="76">
        <v>126</v>
      </c>
      <c r="P154" s="76">
        <v>136</v>
      </c>
      <c r="Q154" s="76">
        <v>142</v>
      </c>
      <c r="R154" s="76">
        <v>142</v>
      </c>
    </row>
    <row r="155" spans="1:18" x14ac:dyDescent="0.25">
      <c r="A155" s="76" t="s">
        <v>133</v>
      </c>
      <c r="B155" s="76">
        <v>10</v>
      </c>
      <c r="C155" s="76">
        <v>19</v>
      </c>
      <c r="D155" s="76">
        <v>20</v>
      </c>
      <c r="E155" s="76">
        <v>35</v>
      </c>
      <c r="F155" s="76">
        <v>34</v>
      </c>
      <c r="G155" s="76">
        <v>39</v>
      </c>
      <c r="H155" s="76">
        <v>45</v>
      </c>
      <c r="I155" s="76">
        <v>55</v>
      </c>
      <c r="J155" s="76">
        <v>56</v>
      </c>
      <c r="K155" s="76">
        <v>74</v>
      </c>
      <c r="L155" s="76">
        <v>89</v>
      </c>
      <c r="M155" s="76">
        <v>95</v>
      </c>
      <c r="N155" s="76">
        <v>117</v>
      </c>
      <c r="O155" s="76">
        <v>124</v>
      </c>
      <c r="P155" s="76">
        <v>127</v>
      </c>
      <c r="Q155" s="76">
        <v>132</v>
      </c>
      <c r="R155" s="76">
        <v>128</v>
      </c>
    </row>
    <row r="156" spans="1:18" x14ac:dyDescent="0.25">
      <c r="A156" s="76" t="s">
        <v>132</v>
      </c>
      <c r="B156" s="76">
        <v>13</v>
      </c>
      <c r="C156" s="76">
        <v>9</v>
      </c>
      <c r="D156" s="76">
        <v>24</v>
      </c>
      <c r="E156" s="76">
        <v>35</v>
      </c>
      <c r="F156" s="76">
        <v>43</v>
      </c>
      <c r="G156" s="76">
        <v>55</v>
      </c>
      <c r="H156" s="76">
        <v>64</v>
      </c>
      <c r="I156" s="76">
        <v>73</v>
      </c>
      <c r="J156" s="76">
        <v>80</v>
      </c>
      <c r="K156" s="76">
        <v>95</v>
      </c>
      <c r="L156" s="76">
        <v>108</v>
      </c>
      <c r="M156" s="76">
        <v>118</v>
      </c>
      <c r="N156" s="76">
        <v>122</v>
      </c>
      <c r="O156" s="76">
        <v>128</v>
      </c>
      <c r="P156" s="76">
        <v>132</v>
      </c>
      <c r="Q156" s="76">
        <v>136</v>
      </c>
      <c r="R156" s="76">
        <v>141</v>
      </c>
    </row>
    <row r="157" spans="1:18" x14ac:dyDescent="0.25">
      <c r="A157" s="76" t="s">
        <v>131</v>
      </c>
      <c r="B157" s="76">
        <v>12</v>
      </c>
      <c r="C157" s="76">
        <v>13</v>
      </c>
      <c r="D157" s="76">
        <v>21</v>
      </c>
      <c r="E157" s="76">
        <v>25</v>
      </c>
      <c r="F157" s="76">
        <v>31</v>
      </c>
      <c r="G157" s="76">
        <v>38</v>
      </c>
      <c r="H157" s="76">
        <v>44</v>
      </c>
      <c r="I157" s="76">
        <v>45</v>
      </c>
      <c r="J157" s="76">
        <v>54</v>
      </c>
      <c r="K157" s="76">
        <v>60</v>
      </c>
      <c r="L157" s="76">
        <v>80</v>
      </c>
      <c r="M157" s="76">
        <v>92</v>
      </c>
      <c r="N157" s="76">
        <v>88</v>
      </c>
      <c r="O157" s="76">
        <v>103</v>
      </c>
      <c r="P157" s="76">
        <v>106</v>
      </c>
      <c r="Q157" s="76">
        <v>108</v>
      </c>
      <c r="R157" s="76">
        <v>110</v>
      </c>
    </row>
    <row r="158" spans="1:18" x14ac:dyDescent="0.25">
      <c r="A158" s="76" t="s">
        <v>130</v>
      </c>
      <c r="B158" s="76">
        <v>10</v>
      </c>
      <c r="C158" s="76">
        <v>12</v>
      </c>
      <c r="D158" s="76">
        <v>23</v>
      </c>
      <c r="E158" s="76">
        <v>26</v>
      </c>
      <c r="F158" s="76">
        <v>36</v>
      </c>
      <c r="G158" s="76">
        <v>35</v>
      </c>
      <c r="H158" s="76">
        <v>43</v>
      </c>
      <c r="I158" s="76">
        <v>43</v>
      </c>
      <c r="J158" s="76">
        <v>44</v>
      </c>
      <c r="K158" s="76">
        <v>54</v>
      </c>
      <c r="L158" s="76">
        <v>59</v>
      </c>
      <c r="M158" s="76">
        <v>73</v>
      </c>
      <c r="N158" s="76">
        <v>77</v>
      </c>
      <c r="O158" s="76">
        <v>82</v>
      </c>
      <c r="P158" s="76">
        <v>78</v>
      </c>
      <c r="Q158" s="76">
        <v>78</v>
      </c>
      <c r="R158" s="76">
        <v>83</v>
      </c>
    </row>
    <row r="159" spans="1:18" x14ac:dyDescent="0.25">
      <c r="A159" s="76" t="s">
        <v>129</v>
      </c>
      <c r="B159" s="76">
        <v>11</v>
      </c>
      <c r="C159" s="76">
        <v>11</v>
      </c>
      <c r="D159" s="76">
        <v>24</v>
      </c>
      <c r="E159" s="76">
        <v>30</v>
      </c>
      <c r="F159" s="76">
        <v>36</v>
      </c>
      <c r="G159" s="76">
        <v>41</v>
      </c>
      <c r="H159" s="76">
        <v>48</v>
      </c>
      <c r="I159" s="76">
        <v>51</v>
      </c>
      <c r="J159" s="76">
        <v>52</v>
      </c>
      <c r="K159" s="76">
        <v>65</v>
      </c>
      <c r="L159" s="76">
        <v>75</v>
      </c>
      <c r="M159" s="76">
        <v>82</v>
      </c>
      <c r="N159" s="76">
        <v>90</v>
      </c>
      <c r="O159" s="76">
        <v>96</v>
      </c>
      <c r="P159" s="76">
        <v>94</v>
      </c>
      <c r="Q159" s="76">
        <v>105</v>
      </c>
      <c r="R159" s="76">
        <v>103</v>
      </c>
    </row>
    <row r="160" spans="1:18" x14ac:dyDescent="0.25">
      <c r="A160" s="76" t="s">
        <v>128</v>
      </c>
      <c r="B160" s="76">
        <v>10</v>
      </c>
      <c r="C160" s="76">
        <v>12</v>
      </c>
      <c r="D160" s="76">
        <v>23</v>
      </c>
      <c r="E160" s="76">
        <v>31</v>
      </c>
      <c r="F160" s="76">
        <v>40</v>
      </c>
      <c r="G160" s="76">
        <v>47</v>
      </c>
      <c r="H160" s="76">
        <v>52</v>
      </c>
      <c r="I160" s="76">
        <v>60</v>
      </c>
      <c r="J160" s="76">
        <v>70</v>
      </c>
      <c r="K160" s="76">
        <v>78</v>
      </c>
      <c r="L160" s="76">
        <v>86</v>
      </c>
      <c r="M160" s="76">
        <v>102</v>
      </c>
      <c r="N160" s="76">
        <v>109</v>
      </c>
      <c r="O160" s="76">
        <v>116</v>
      </c>
      <c r="P160" s="76">
        <v>115</v>
      </c>
      <c r="Q160" s="76">
        <v>122</v>
      </c>
      <c r="R160" s="76">
        <v>117</v>
      </c>
    </row>
    <row r="161" spans="1:18" x14ac:dyDescent="0.25">
      <c r="A161" s="76" t="s">
        <v>127</v>
      </c>
      <c r="B161" s="76">
        <v>11</v>
      </c>
      <c r="C161" s="76">
        <v>17</v>
      </c>
      <c r="D161" s="76">
        <v>23</v>
      </c>
      <c r="E161" s="76">
        <v>30</v>
      </c>
      <c r="F161" s="76">
        <v>44</v>
      </c>
      <c r="G161" s="76">
        <v>61</v>
      </c>
      <c r="H161" s="76">
        <v>79</v>
      </c>
      <c r="I161" s="76">
        <v>95</v>
      </c>
      <c r="J161" s="76">
        <v>99</v>
      </c>
      <c r="K161" s="76">
        <v>111</v>
      </c>
      <c r="L161" s="76">
        <v>121</v>
      </c>
      <c r="M161" s="76">
        <v>138</v>
      </c>
      <c r="N161" s="76">
        <v>148</v>
      </c>
      <c r="O161" s="76">
        <v>162</v>
      </c>
      <c r="P161" s="76">
        <v>164</v>
      </c>
      <c r="Q161" s="76">
        <v>166</v>
      </c>
      <c r="R161" s="76">
        <v>167</v>
      </c>
    </row>
    <row r="162" spans="1:18" x14ac:dyDescent="0.25">
      <c r="A162" s="76" t="s">
        <v>126</v>
      </c>
      <c r="B162" s="76">
        <v>11</v>
      </c>
      <c r="C162" s="76">
        <v>12</v>
      </c>
      <c r="D162" s="76">
        <v>27</v>
      </c>
      <c r="E162" s="76">
        <v>46</v>
      </c>
      <c r="F162" s="76">
        <v>51</v>
      </c>
      <c r="G162" s="76">
        <v>71</v>
      </c>
      <c r="H162" s="76">
        <v>92</v>
      </c>
      <c r="I162" s="76">
        <v>106</v>
      </c>
      <c r="J162" s="76">
        <v>118</v>
      </c>
      <c r="K162" s="76">
        <v>131</v>
      </c>
      <c r="L162" s="76">
        <v>146</v>
      </c>
      <c r="M162" s="76">
        <v>164</v>
      </c>
      <c r="N162" s="76">
        <v>176</v>
      </c>
      <c r="O162" s="76">
        <v>189</v>
      </c>
      <c r="P162" s="76">
        <v>196</v>
      </c>
      <c r="Q162" s="76">
        <v>196</v>
      </c>
      <c r="R162" s="76">
        <v>198</v>
      </c>
    </row>
    <row r="163" spans="1:18" x14ac:dyDescent="0.25">
      <c r="A163" s="76" t="s">
        <v>125</v>
      </c>
      <c r="B163" s="76">
        <v>8</v>
      </c>
      <c r="C163" s="76">
        <v>13</v>
      </c>
      <c r="D163" s="76">
        <v>23</v>
      </c>
      <c r="E163" s="76">
        <v>29</v>
      </c>
      <c r="F163" s="76">
        <v>43</v>
      </c>
      <c r="G163" s="76">
        <v>53</v>
      </c>
      <c r="H163" s="76">
        <v>61</v>
      </c>
      <c r="I163" s="76">
        <v>71</v>
      </c>
      <c r="J163" s="76">
        <v>84</v>
      </c>
      <c r="K163" s="76">
        <v>97</v>
      </c>
      <c r="L163" s="76">
        <v>109</v>
      </c>
      <c r="M163" s="76">
        <v>127</v>
      </c>
      <c r="N163" s="76">
        <v>138</v>
      </c>
      <c r="O163" s="76">
        <v>148</v>
      </c>
      <c r="P163" s="76">
        <v>156</v>
      </c>
      <c r="Q163" s="76">
        <v>161</v>
      </c>
      <c r="R163" s="76">
        <v>161</v>
      </c>
    </row>
    <row r="164" spans="1:18" x14ac:dyDescent="0.25">
      <c r="A164" s="76" t="s">
        <v>124</v>
      </c>
      <c r="B164" s="76">
        <v>9</v>
      </c>
      <c r="C164" s="76">
        <v>12</v>
      </c>
      <c r="D164" s="76">
        <v>21</v>
      </c>
      <c r="E164" s="76">
        <v>27</v>
      </c>
      <c r="F164" s="76">
        <v>35</v>
      </c>
      <c r="G164" s="76">
        <v>40</v>
      </c>
      <c r="H164" s="76">
        <v>52</v>
      </c>
      <c r="I164" s="76">
        <v>56</v>
      </c>
      <c r="J164" s="76">
        <v>61</v>
      </c>
      <c r="K164" s="76">
        <v>81</v>
      </c>
      <c r="L164" s="76">
        <v>90</v>
      </c>
      <c r="M164" s="76">
        <v>109</v>
      </c>
      <c r="N164" s="76">
        <v>122</v>
      </c>
      <c r="O164" s="76">
        <v>131</v>
      </c>
      <c r="P164" s="76">
        <v>141</v>
      </c>
      <c r="Q164" s="76">
        <v>151</v>
      </c>
      <c r="R164" s="76">
        <v>158</v>
      </c>
    </row>
    <row r="165" spans="1:18" x14ac:dyDescent="0.25">
      <c r="A165" s="76" t="s">
        <v>123</v>
      </c>
      <c r="B165" s="76">
        <v>12</v>
      </c>
      <c r="C165" s="76">
        <v>12</v>
      </c>
      <c r="D165" s="76">
        <v>23</v>
      </c>
      <c r="E165" s="76">
        <v>29</v>
      </c>
      <c r="F165" s="76">
        <v>39</v>
      </c>
      <c r="G165" s="76">
        <v>41</v>
      </c>
      <c r="H165" s="76">
        <v>48</v>
      </c>
      <c r="I165" s="76">
        <v>54</v>
      </c>
      <c r="J165" s="76">
        <v>60</v>
      </c>
      <c r="K165" s="76">
        <v>68</v>
      </c>
      <c r="L165" s="76">
        <v>82</v>
      </c>
      <c r="M165" s="76">
        <v>103</v>
      </c>
      <c r="N165" s="76">
        <v>118</v>
      </c>
      <c r="O165" s="76">
        <v>131</v>
      </c>
      <c r="P165" s="76">
        <v>148</v>
      </c>
      <c r="Q165" s="76">
        <v>163</v>
      </c>
      <c r="R165" s="76">
        <v>172</v>
      </c>
    </row>
    <row r="166" spans="1:18" x14ac:dyDescent="0.25">
      <c r="A166" s="76" t="s">
        <v>122</v>
      </c>
      <c r="B166" s="76">
        <v>10</v>
      </c>
      <c r="C166" s="76">
        <v>13</v>
      </c>
      <c r="D166" s="76">
        <v>20</v>
      </c>
      <c r="E166" s="76">
        <v>25</v>
      </c>
      <c r="F166" s="76">
        <v>32</v>
      </c>
      <c r="G166" s="76">
        <v>34</v>
      </c>
      <c r="H166" s="76">
        <v>44</v>
      </c>
      <c r="I166" s="76">
        <v>44</v>
      </c>
      <c r="J166" s="76">
        <v>48</v>
      </c>
      <c r="K166" s="76">
        <v>60</v>
      </c>
      <c r="L166" s="76">
        <v>62</v>
      </c>
      <c r="M166" s="76">
        <v>78</v>
      </c>
      <c r="N166" s="76">
        <v>88</v>
      </c>
      <c r="O166" s="76">
        <v>100</v>
      </c>
      <c r="P166" s="76">
        <v>123</v>
      </c>
      <c r="Q166" s="76">
        <v>140</v>
      </c>
      <c r="R166" s="76">
        <v>154</v>
      </c>
    </row>
    <row r="167" spans="1:18" x14ac:dyDescent="0.25">
      <c r="A167" s="76" t="s">
        <v>121</v>
      </c>
      <c r="B167" s="76">
        <v>10</v>
      </c>
      <c r="C167" s="76">
        <v>13</v>
      </c>
      <c r="D167" s="76">
        <v>21</v>
      </c>
      <c r="E167" s="76">
        <v>30</v>
      </c>
      <c r="F167" s="76">
        <v>40</v>
      </c>
      <c r="G167" s="76">
        <v>47</v>
      </c>
      <c r="H167" s="76">
        <v>59</v>
      </c>
      <c r="I167" s="76">
        <v>66</v>
      </c>
      <c r="J167" s="76">
        <v>82</v>
      </c>
      <c r="K167" s="76">
        <v>91</v>
      </c>
      <c r="L167" s="76">
        <v>87</v>
      </c>
      <c r="M167" s="76">
        <v>97</v>
      </c>
      <c r="N167" s="76">
        <v>105</v>
      </c>
      <c r="O167" s="76">
        <v>98</v>
      </c>
      <c r="P167" s="76">
        <v>102</v>
      </c>
      <c r="Q167" s="76">
        <v>102</v>
      </c>
      <c r="R167" s="76">
        <v>98</v>
      </c>
    </row>
    <row r="168" spans="1:18" x14ac:dyDescent="0.25">
      <c r="A168" s="76" t="s">
        <v>120</v>
      </c>
      <c r="B168" s="76">
        <v>10</v>
      </c>
      <c r="C168" s="76">
        <v>16</v>
      </c>
      <c r="D168" s="76">
        <v>20</v>
      </c>
      <c r="E168" s="76">
        <v>29</v>
      </c>
      <c r="F168" s="76">
        <v>32</v>
      </c>
      <c r="G168" s="76">
        <v>39</v>
      </c>
      <c r="H168" s="76">
        <v>47</v>
      </c>
      <c r="I168" s="76">
        <v>50</v>
      </c>
      <c r="J168" s="76">
        <v>54</v>
      </c>
      <c r="K168" s="76">
        <v>58</v>
      </c>
      <c r="L168" s="76">
        <v>62</v>
      </c>
      <c r="M168" s="76">
        <v>70</v>
      </c>
      <c r="N168" s="76">
        <v>75</v>
      </c>
      <c r="O168" s="76">
        <v>72</v>
      </c>
      <c r="P168" s="76">
        <v>74</v>
      </c>
      <c r="Q168" s="76">
        <v>68</v>
      </c>
      <c r="R168" s="76">
        <v>75</v>
      </c>
    </row>
    <row r="169" spans="1:18" x14ac:dyDescent="0.25">
      <c r="A169" s="76" t="s">
        <v>119</v>
      </c>
      <c r="B169" s="76">
        <v>10</v>
      </c>
      <c r="C169" s="76">
        <v>10</v>
      </c>
      <c r="D169" s="76">
        <v>21</v>
      </c>
      <c r="E169" s="76">
        <v>28</v>
      </c>
      <c r="F169" s="76">
        <v>40</v>
      </c>
      <c r="G169" s="76">
        <v>51</v>
      </c>
      <c r="H169" s="76">
        <v>61</v>
      </c>
      <c r="I169" s="76">
        <v>76</v>
      </c>
      <c r="J169" s="76">
        <v>75</v>
      </c>
      <c r="K169" s="76">
        <v>88</v>
      </c>
      <c r="L169" s="76">
        <v>103</v>
      </c>
      <c r="M169" s="76">
        <v>116</v>
      </c>
      <c r="N169" s="76">
        <v>120</v>
      </c>
      <c r="O169" s="76">
        <v>125</v>
      </c>
      <c r="P169" s="76">
        <v>123</v>
      </c>
      <c r="Q169" s="76">
        <v>120</v>
      </c>
      <c r="R169" s="76">
        <v>121</v>
      </c>
    </row>
    <row r="170" spans="1:18" x14ac:dyDescent="0.25">
      <c r="A170" s="76" t="s">
        <v>118</v>
      </c>
      <c r="B170" s="76">
        <v>12</v>
      </c>
      <c r="C170" s="76">
        <v>13</v>
      </c>
      <c r="D170" s="76">
        <v>24</v>
      </c>
      <c r="E170" s="76">
        <v>35</v>
      </c>
      <c r="F170" s="76">
        <v>43</v>
      </c>
      <c r="G170" s="76">
        <v>53</v>
      </c>
      <c r="H170" s="76">
        <v>62</v>
      </c>
      <c r="I170" s="76">
        <v>77</v>
      </c>
      <c r="J170" s="76">
        <v>86</v>
      </c>
      <c r="K170" s="76">
        <v>94</v>
      </c>
      <c r="L170" s="76">
        <v>104</v>
      </c>
      <c r="M170" s="76">
        <v>115</v>
      </c>
      <c r="N170" s="76">
        <v>114</v>
      </c>
      <c r="O170" s="76">
        <v>115</v>
      </c>
      <c r="P170" s="76">
        <v>112</v>
      </c>
      <c r="Q170" s="76">
        <v>103</v>
      </c>
      <c r="R170" s="76">
        <v>112</v>
      </c>
    </row>
    <row r="171" spans="1:18" x14ac:dyDescent="0.25">
      <c r="A171" s="76" t="s">
        <v>117</v>
      </c>
      <c r="B171" s="76">
        <v>9</v>
      </c>
      <c r="C171" s="76">
        <v>19</v>
      </c>
      <c r="D171" s="76">
        <v>24</v>
      </c>
      <c r="E171" s="76">
        <v>35</v>
      </c>
      <c r="F171" s="76">
        <v>44</v>
      </c>
      <c r="G171" s="76">
        <v>54</v>
      </c>
      <c r="H171" s="76">
        <v>54</v>
      </c>
      <c r="I171" s="76">
        <v>69</v>
      </c>
      <c r="J171" s="76">
        <v>82</v>
      </c>
      <c r="K171" s="76">
        <v>92</v>
      </c>
      <c r="L171" s="76">
        <v>96</v>
      </c>
      <c r="M171" s="76">
        <v>96</v>
      </c>
      <c r="N171" s="76">
        <v>100</v>
      </c>
      <c r="O171" s="76">
        <v>102</v>
      </c>
      <c r="P171" s="76">
        <v>101</v>
      </c>
      <c r="Q171" s="76">
        <v>101</v>
      </c>
      <c r="R171" s="76">
        <v>106</v>
      </c>
    </row>
    <row r="172" spans="1:18" x14ac:dyDescent="0.25">
      <c r="A172" s="76" t="s">
        <v>116</v>
      </c>
      <c r="B172" s="76">
        <v>11</v>
      </c>
      <c r="C172" s="76">
        <v>14</v>
      </c>
      <c r="D172" s="76">
        <v>24</v>
      </c>
      <c r="E172" s="76">
        <v>30</v>
      </c>
      <c r="F172" s="76">
        <v>39</v>
      </c>
      <c r="G172" s="76">
        <v>44</v>
      </c>
      <c r="H172" s="76">
        <v>53</v>
      </c>
      <c r="I172" s="76">
        <v>55</v>
      </c>
      <c r="J172" s="76">
        <v>66</v>
      </c>
      <c r="K172" s="76">
        <v>96</v>
      </c>
      <c r="L172" s="76">
        <v>84</v>
      </c>
      <c r="M172" s="76">
        <v>82</v>
      </c>
      <c r="N172" s="76">
        <v>86</v>
      </c>
      <c r="O172" s="76">
        <v>84</v>
      </c>
      <c r="P172" s="76">
        <v>85</v>
      </c>
      <c r="Q172" s="76">
        <v>86</v>
      </c>
      <c r="R172" s="76">
        <v>85</v>
      </c>
    </row>
    <row r="173" spans="1:18" x14ac:dyDescent="0.25">
      <c r="A173" s="76" t="s">
        <v>115</v>
      </c>
      <c r="B173" s="76">
        <v>13</v>
      </c>
      <c r="C173" s="76">
        <v>17</v>
      </c>
      <c r="D173" s="76">
        <v>26</v>
      </c>
      <c r="E173" s="76">
        <v>32</v>
      </c>
      <c r="F173" s="76">
        <v>42</v>
      </c>
      <c r="G173" s="76">
        <v>44</v>
      </c>
      <c r="H173" s="76">
        <v>55</v>
      </c>
      <c r="I173" s="76">
        <v>57</v>
      </c>
      <c r="J173" s="76">
        <v>68</v>
      </c>
      <c r="K173" s="76">
        <v>73</v>
      </c>
      <c r="L173" s="76">
        <v>83</v>
      </c>
      <c r="M173" s="76">
        <v>89</v>
      </c>
      <c r="N173" s="76">
        <v>92</v>
      </c>
      <c r="O173" s="76">
        <v>94</v>
      </c>
      <c r="P173" s="76">
        <v>90</v>
      </c>
      <c r="Q173" s="76">
        <v>92</v>
      </c>
      <c r="R173" s="76">
        <v>89</v>
      </c>
    </row>
    <row r="174" spans="1:18" x14ac:dyDescent="0.25">
      <c r="A174" s="76" t="s">
        <v>114</v>
      </c>
      <c r="B174" s="76">
        <v>12</v>
      </c>
      <c r="C174" s="76">
        <v>16</v>
      </c>
      <c r="D174" s="76">
        <v>27</v>
      </c>
      <c r="E174" s="76">
        <v>25</v>
      </c>
      <c r="F174" s="76">
        <v>37</v>
      </c>
      <c r="G174" s="76">
        <v>43</v>
      </c>
      <c r="H174" s="76">
        <v>48</v>
      </c>
      <c r="I174" s="76">
        <v>52</v>
      </c>
      <c r="J174" s="76">
        <v>57</v>
      </c>
      <c r="K174" s="76">
        <v>56</v>
      </c>
      <c r="L174" s="76">
        <v>73</v>
      </c>
      <c r="M174" s="76">
        <v>78</v>
      </c>
      <c r="N174" s="76">
        <v>87</v>
      </c>
      <c r="O174" s="76">
        <v>87</v>
      </c>
      <c r="P174" s="76">
        <v>86</v>
      </c>
      <c r="Q174" s="76">
        <v>87</v>
      </c>
      <c r="R174" s="76">
        <v>90</v>
      </c>
    </row>
    <row r="175" spans="1:18" x14ac:dyDescent="0.25">
      <c r="A175" s="76" t="s">
        <v>113</v>
      </c>
      <c r="B175" s="76">
        <v>13</v>
      </c>
      <c r="C175" s="76">
        <v>17</v>
      </c>
      <c r="D175" s="76">
        <v>24</v>
      </c>
      <c r="E175" s="76">
        <v>32</v>
      </c>
      <c r="F175" s="76">
        <v>35</v>
      </c>
      <c r="G175" s="76">
        <v>39</v>
      </c>
      <c r="H175" s="76">
        <v>47</v>
      </c>
      <c r="I175" s="76">
        <v>51</v>
      </c>
      <c r="J175" s="76">
        <v>54</v>
      </c>
      <c r="K175" s="76">
        <v>67</v>
      </c>
      <c r="L175" s="76">
        <v>73</v>
      </c>
      <c r="M175" s="76">
        <v>73</v>
      </c>
      <c r="N175" s="76">
        <v>81</v>
      </c>
      <c r="O175" s="76">
        <v>80</v>
      </c>
      <c r="P175" s="76">
        <v>78</v>
      </c>
      <c r="Q175" s="76">
        <v>78</v>
      </c>
      <c r="R175" s="76">
        <v>78</v>
      </c>
    </row>
    <row r="176" spans="1:18" x14ac:dyDescent="0.25">
      <c r="A176" s="76" t="s">
        <v>112</v>
      </c>
      <c r="B176" s="76">
        <v>11</v>
      </c>
      <c r="C176" s="76">
        <v>17</v>
      </c>
      <c r="D176" s="76">
        <v>23</v>
      </c>
      <c r="E176" s="76">
        <v>33</v>
      </c>
      <c r="F176" s="76">
        <v>39</v>
      </c>
      <c r="G176" s="76">
        <v>43</v>
      </c>
      <c r="H176" s="76">
        <v>54</v>
      </c>
      <c r="I176" s="76">
        <v>61</v>
      </c>
      <c r="J176" s="76">
        <v>73</v>
      </c>
      <c r="K176" s="76">
        <v>81</v>
      </c>
      <c r="L176" s="76">
        <v>94</v>
      </c>
      <c r="M176" s="76">
        <v>95</v>
      </c>
      <c r="N176" s="76">
        <v>101</v>
      </c>
      <c r="O176" s="76">
        <v>100</v>
      </c>
      <c r="P176" s="76">
        <v>100</v>
      </c>
      <c r="Q176" s="76">
        <v>96</v>
      </c>
      <c r="R176" s="76">
        <v>96</v>
      </c>
    </row>
    <row r="177" spans="1:18" x14ac:dyDescent="0.25">
      <c r="A177" s="76" t="s">
        <v>111</v>
      </c>
      <c r="B177" s="76">
        <v>13</v>
      </c>
      <c r="C177" s="76">
        <v>18</v>
      </c>
      <c r="D177" s="76">
        <v>24</v>
      </c>
      <c r="E177" s="76">
        <v>35</v>
      </c>
      <c r="F177" s="76">
        <v>47</v>
      </c>
      <c r="G177" s="76">
        <v>59</v>
      </c>
      <c r="H177" s="76">
        <v>73</v>
      </c>
      <c r="I177" s="76">
        <v>90</v>
      </c>
      <c r="J177" s="76">
        <v>104</v>
      </c>
      <c r="K177" s="76">
        <v>118</v>
      </c>
      <c r="L177" s="76">
        <v>123</v>
      </c>
      <c r="M177" s="76">
        <v>133</v>
      </c>
      <c r="N177" s="76">
        <v>139</v>
      </c>
      <c r="O177" s="76">
        <v>138</v>
      </c>
      <c r="P177" s="76">
        <v>133</v>
      </c>
      <c r="Q177" s="76">
        <v>139</v>
      </c>
      <c r="R177" s="76">
        <v>142</v>
      </c>
    </row>
    <row r="178" spans="1:18" x14ac:dyDescent="0.25">
      <c r="A178" s="76" t="s">
        <v>110</v>
      </c>
      <c r="B178" s="76">
        <v>11</v>
      </c>
      <c r="C178" s="76">
        <v>15</v>
      </c>
      <c r="D178" s="76">
        <v>22</v>
      </c>
      <c r="E178" s="76">
        <v>29</v>
      </c>
      <c r="F178" s="76">
        <v>41</v>
      </c>
      <c r="G178" s="76">
        <v>52</v>
      </c>
      <c r="H178" s="76">
        <v>69</v>
      </c>
      <c r="I178" s="76">
        <v>83</v>
      </c>
      <c r="J178" s="76">
        <v>96</v>
      </c>
      <c r="K178" s="76">
        <v>117</v>
      </c>
      <c r="L178" s="76">
        <v>129</v>
      </c>
      <c r="M178" s="76">
        <v>140</v>
      </c>
      <c r="N178" s="76">
        <v>148</v>
      </c>
      <c r="O178" s="76">
        <v>146</v>
      </c>
      <c r="P178" s="76">
        <v>144</v>
      </c>
      <c r="Q178" s="76">
        <v>146</v>
      </c>
      <c r="R178" s="76">
        <v>144</v>
      </c>
    </row>
    <row r="179" spans="1:18" x14ac:dyDescent="0.25">
      <c r="A179" s="76" t="s">
        <v>109</v>
      </c>
      <c r="B179" s="76">
        <v>11</v>
      </c>
      <c r="C179" s="76">
        <v>13</v>
      </c>
      <c r="D179" s="76">
        <v>23</v>
      </c>
      <c r="E179" s="76">
        <v>25</v>
      </c>
      <c r="F179" s="76">
        <v>39</v>
      </c>
      <c r="G179" s="76">
        <v>47</v>
      </c>
      <c r="H179" s="76">
        <v>53</v>
      </c>
      <c r="I179" s="76">
        <v>63</v>
      </c>
      <c r="J179" s="76">
        <v>70</v>
      </c>
      <c r="K179" s="76">
        <v>67</v>
      </c>
      <c r="L179" s="76">
        <v>86</v>
      </c>
      <c r="M179" s="76">
        <v>95</v>
      </c>
      <c r="N179" s="76">
        <v>97</v>
      </c>
      <c r="O179" s="76">
        <v>193</v>
      </c>
      <c r="P179" s="76">
        <v>106</v>
      </c>
      <c r="Q179" s="76">
        <v>107</v>
      </c>
      <c r="R179" s="76">
        <v>112</v>
      </c>
    </row>
    <row r="180" spans="1:18" x14ac:dyDescent="0.25">
      <c r="A180" s="76" t="s">
        <v>108</v>
      </c>
      <c r="B180" s="76">
        <v>11</v>
      </c>
      <c r="C180" s="76">
        <v>14</v>
      </c>
      <c r="D180" s="76">
        <v>22</v>
      </c>
      <c r="E180" s="76">
        <v>31</v>
      </c>
      <c r="F180" s="76">
        <v>42</v>
      </c>
      <c r="G180" s="76">
        <v>56</v>
      </c>
      <c r="H180" s="76">
        <v>72</v>
      </c>
      <c r="I180" s="76">
        <v>86</v>
      </c>
      <c r="J180" s="76">
        <v>93</v>
      </c>
      <c r="K180" s="76">
        <v>104</v>
      </c>
      <c r="L180" s="76">
        <v>114</v>
      </c>
      <c r="M180" s="76">
        <v>128</v>
      </c>
      <c r="N180" s="76">
        <v>137</v>
      </c>
      <c r="O180" s="76">
        <v>136</v>
      </c>
      <c r="P180" s="76">
        <v>141</v>
      </c>
      <c r="Q180" s="76">
        <v>140</v>
      </c>
      <c r="R180" s="76">
        <v>143</v>
      </c>
    </row>
    <row r="181" spans="1:18" x14ac:dyDescent="0.25">
      <c r="A181" s="76" t="s">
        <v>107</v>
      </c>
      <c r="B181" s="76">
        <v>10</v>
      </c>
      <c r="C181" s="76">
        <v>19</v>
      </c>
      <c r="D181" s="76">
        <v>23</v>
      </c>
      <c r="E181" s="76">
        <v>35</v>
      </c>
      <c r="F181" s="76">
        <v>46</v>
      </c>
      <c r="G181" s="76">
        <v>60</v>
      </c>
      <c r="H181" s="76">
        <v>78</v>
      </c>
      <c r="I181" s="76">
        <v>95</v>
      </c>
      <c r="J181" s="76">
        <v>107</v>
      </c>
      <c r="K181" s="76">
        <v>125</v>
      </c>
      <c r="L181" s="76">
        <v>134</v>
      </c>
      <c r="M181" s="76">
        <v>144</v>
      </c>
      <c r="N181" s="76">
        <v>154</v>
      </c>
      <c r="O181" s="76">
        <v>162</v>
      </c>
      <c r="P181" s="76">
        <v>167</v>
      </c>
      <c r="Q181" s="76">
        <v>168</v>
      </c>
      <c r="R181" s="76">
        <v>167</v>
      </c>
    </row>
    <row r="182" spans="1:18" x14ac:dyDescent="0.25">
      <c r="A182" s="76" t="s">
        <v>106</v>
      </c>
      <c r="B182" s="76">
        <v>12</v>
      </c>
      <c r="C182" s="76">
        <v>11</v>
      </c>
      <c r="D182" s="76">
        <v>20</v>
      </c>
      <c r="E182" s="76">
        <v>35</v>
      </c>
      <c r="F182" s="76">
        <v>40</v>
      </c>
      <c r="G182" s="76">
        <v>52</v>
      </c>
      <c r="H182" s="76">
        <v>68</v>
      </c>
      <c r="I182" s="76">
        <v>80</v>
      </c>
      <c r="J182" s="76">
        <v>90</v>
      </c>
      <c r="K182" s="76">
        <v>108</v>
      </c>
      <c r="L182" s="76">
        <v>113</v>
      </c>
      <c r="M182" s="76">
        <v>127</v>
      </c>
      <c r="N182" s="76">
        <v>134</v>
      </c>
      <c r="O182" s="76">
        <v>133</v>
      </c>
      <c r="P182" s="76">
        <v>135</v>
      </c>
      <c r="Q182" s="76">
        <v>136</v>
      </c>
      <c r="R182" s="76">
        <v>133</v>
      </c>
    </row>
    <row r="183" spans="1:18" x14ac:dyDescent="0.25">
      <c r="A183" s="76" t="s">
        <v>105</v>
      </c>
      <c r="B183" s="76">
        <v>13</v>
      </c>
      <c r="C183" s="76">
        <v>17</v>
      </c>
      <c r="D183" s="76">
        <v>22</v>
      </c>
      <c r="E183" s="76">
        <v>32</v>
      </c>
      <c r="F183" s="76">
        <v>40</v>
      </c>
      <c r="G183" s="76">
        <v>51</v>
      </c>
      <c r="H183" s="76">
        <v>65</v>
      </c>
      <c r="I183" s="76">
        <v>77</v>
      </c>
      <c r="J183" s="76">
        <v>88</v>
      </c>
      <c r="K183" s="76">
        <v>104</v>
      </c>
      <c r="L183" s="76">
        <v>101</v>
      </c>
      <c r="M183" s="76">
        <v>112</v>
      </c>
      <c r="N183" s="76">
        <v>124</v>
      </c>
      <c r="O183" s="76">
        <v>123</v>
      </c>
      <c r="P183" s="76">
        <v>126</v>
      </c>
      <c r="Q183" s="76">
        <v>124</v>
      </c>
      <c r="R183" s="76">
        <v>130</v>
      </c>
    </row>
    <row r="184" spans="1:18" x14ac:dyDescent="0.25">
      <c r="A184" s="76" t="s">
        <v>104</v>
      </c>
      <c r="B184" s="76">
        <v>13</v>
      </c>
      <c r="C184" s="76">
        <v>19</v>
      </c>
      <c r="D184" s="76">
        <v>27</v>
      </c>
      <c r="E184" s="76">
        <v>38</v>
      </c>
      <c r="F184" s="76">
        <v>52</v>
      </c>
      <c r="G184" s="76">
        <v>64</v>
      </c>
      <c r="H184" s="76">
        <v>87</v>
      </c>
      <c r="I184" s="76">
        <v>97</v>
      </c>
      <c r="J184" s="76">
        <v>111</v>
      </c>
      <c r="K184" s="76">
        <v>126</v>
      </c>
      <c r="L184" s="76">
        <v>132</v>
      </c>
      <c r="M184" s="76">
        <v>150</v>
      </c>
      <c r="N184" s="76">
        <v>157</v>
      </c>
      <c r="O184" s="76">
        <v>167</v>
      </c>
      <c r="P184" s="76">
        <v>176</v>
      </c>
      <c r="Q184" s="76">
        <v>174</v>
      </c>
      <c r="R184" s="76">
        <v>162</v>
      </c>
    </row>
    <row r="185" spans="1:18" x14ac:dyDescent="0.25">
      <c r="A185" s="76" t="s">
        <v>103</v>
      </c>
      <c r="B185" s="76">
        <v>12</v>
      </c>
      <c r="C185" s="76">
        <v>17</v>
      </c>
      <c r="D185" s="76">
        <v>22</v>
      </c>
      <c r="E185" s="76">
        <v>32</v>
      </c>
      <c r="F185" s="76">
        <v>40</v>
      </c>
      <c r="G185" s="76">
        <v>50</v>
      </c>
      <c r="H185" s="76">
        <v>66</v>
      </c>
      <c r="I185" s="76">
        <v>78</v>
      </c>
      <c r="J185" s="76">
        <v>89</v>
      </c>
      <c r="K185" s="76">
        <v>118</v>
      </c>
      <c r="L185" s="76">
        <v>118</v>
      </c>
      <c r="M185" s="76">
        <v>137</v>
      </c>
      <c r="N185" s="76">
        <v>151</v>
      </c>
      <c r="O185" s="76">
        <v>172</v>
      </c>
      <c r="P185" s="76">
        <v>186</v>
      </c>
      <c r="Q185" s="76">
        <v>196</v>
      </c>
      <c r="R185" s="76">
        <v>187</v>
      </c>
    </row>
    <row r="186" spans="1:18" x14ac:dyDescent="0.25">
      <c r="A186" s="76" t="s">
        <v>102</v>
      </c>
      <c r="B186" s="76">
        <v>11</v>
      </c>
      <c r="C186" s="76">
        <v>17</v>
      </c>
      <c r="D186" s="76">
        <v>22</v>
      </c>
      <c r="E186" s="76">
        <v>33</v>
      </c>
      <c r="F186" s="76">
        <v>40</v>
      </c>
      <c r="G186" s="76">
        <v>53</v>
      </c>
      <c r="H186" s="76">
        <v>72</v>
      </c>
      <c r="I186" s="76">
        <v>88</v>
      </c>
      <c r="J186" s="76">
        <v>91</v>
      </c>
      <c r="K186" s="76">
        <v>101</v>
      </c>
      <c r="L186" s="76">
        <v>123</v>
      </c>
      <c r="M186" s="76">
        <v>137</v>
      </c>
      <c r="N186" s="76">
        <v>150</v>
      </c>
      <c r="O186" s="76">
        <v>168</v>
      </c>
      <c r="P186" s="76">
        <v>183</v>
      </c>
      <c r="Q186" s="76">
        <v>192</v>
      </c>
      <c r="R186" s="76">
        <v>188</v>
      </c>
    </row>
    <row r="187" spans="1:18" x14ac:dyDescent="0.25">
      <c r="A187" s="76" t="s">
        <v>101</v>
      </c>
      <c r="B187" s="76">
        <v>12</v>
      </c>
      <c r="C187" s="76">
        <v>15</v>
      </c>
      <c r="D187" s="76">
        <v>21</v>
      </c>
      <c r="E187" s="76">
        <v>26</v>
      </c>
      <c r="F187" s="76">
        <v>40</v>
      </c>
      <c r="G187" s="76">
        <v>51</v>
      </c>
      <c r="H187" s="76">
        <v>67</v>
      </c>
      <c r="I187" s="76">
        <v>78</v>
      </c>
      <c r="J187" s="76">
        <v>89</v>
      </c>
      <c r="K187" s="76">
        <v>106</v>
      </c>
      <c r="L187" s="76">
        <v>122</v>
      </c>
      <c r="M187" s="76">
        <v>145</v>
      </c>
      <c r="N187" s="76">
        <v>161</v>
      </c>
      <c r="O187" s="76">
        <v>170</v>
      </c>
      <c r="P187" s="76">
        <v>181</v>
      </c>
      <c r="Q187" s="76">
        <v>182</v>
      </c>
      <c r="R187" s="76">
        <v>185</v>
      </c>
    </row>
    <row r="188" spans="1:18" x14ac:dyDescent="0.25">
      <c r="A188" s="76" t="s">
        <v>100</v>
      </c>
      <c r="B188" s="76">
        <v>11</v>
      </c>
      <c r="C188" s="76">
        <v>16</v>
      </c>
      <c r="D188" s="76">
        <v>23</v>
      </c>
      <c r="E188" s="76">
        <v>26</v>
      </c>
      <c r="F188" s="76">
        <v>35</v>
      </c>
      <c r="G188" s="76">
        <v>40</v>
      </c>
      <c r="H188" s="76">
        <v>46</v>
      </c>
      <c r="I188" s="76">
        <v>51</v>
      </c>
      <c r="J188" s="76">
        <v>60</v>
      </c>
      <c r="K188" s="76">
        <v>76</v>
      </c>
      <c r="L188" s="76">
        <v>85</v>
      </c>
      <c r="M188" s="76">
        <v>102</v>
      </c>
      <c r="N188" s="76">
        <v>114</v>
      </c>
      <c r="O188" s="76">
        <v>132</v>
      </c>
      <c r="P188" s="76">
        <v>141</v>
      </c>
      <c r="Q188" s="76">
        <v>145</v>
      </c>
      <c r="R188" s="76">
        <v>161</v>
      </c>
    </row>
    <row r="189" spans="1:18" x14ac:dyDescent="0.25">
      <c r="A189" s="76" t="s">
        <v>99</v>
      </c>
      <c r="B189" s="76">
        <v>12</v>
      </c>
      <c r="C189" s="76">
        <v>17</v>
      </c>
      <c r="D189" s="76">
        <v>24</v>
      </c>
      <c r="E189" s="76">
        <v>30</v>
      </c>
      <c r="F189" s="76">
        <v>40</v>
      </c>
      <c r="G189" s="76">
        <v>50</v>
      </c>
      <c r="H189" s="76">
        <v>63</v>
      </c>
      <c r="I189" s="76">
        <v>73</v>
      </c>
      <c r="J189" s="76">
        <v>84</v>
      </c>
      <c r="K189" s="76">
        <v>100</v>
      </c>
      <c r="L189" s="76">
        <v>111</v>
      </c>
      <c r="M189" s="76">
        <v>134</v>
      </c>
      <c r="N189" s="76">
        <v>146</v>
      </c>
      <c r="O189" s="76">
        <v>152</v>
      </c>
      <c r="P189" s="76">
        <v>168</v>
      </c>
      <c r="Q189" s="76">
        <v>177</v>
      </c>
      <c r="R189" s="76">
        <v>178</v>
      </c>
    </row>
    <row r="190" spans="1:18" x14ac:dyDescent="0.25">
      <c r="A190" s="76" t="s">
        <v>98</v>
      </c>
      <c r="B190" s="76">
        <v>12</v>
      </c>
      <c r="C190" s="76">
        <v>13</v>
      </c>
      <c r="D190" s="76">
        <v>21</v>
      </c>
      <c r="E190" s="76">
        <v>28</v>
      </c>
      <c r="F190" s="76">
        <v>35</v>
      </c>
      <c r="G190" s="76">
        <v>43</v>
      </c>
      <c r="H190" s="76">
        <v>54</v>
      </c>
      <c r="I190" s="76">
        <v>60</v>
      </c>
      <c r="J190" s="76">
        <v>71</v>
      </c>
      <c r="K190" s="76">
        <v>90</v>
      </c>
      <c r="L190" s="76">
        <v>99</v>
      </c>
      <c r="M190" s="76">
        <v>124</v>
      </c>
      <c r="N190" s="76">
        <v>139</v>
      </c>
      <c r="O190" s="76">
        <v>149</v>
      </c>
      <c r="P190" s="76">
        <v>162</v>
      </c>
      <c r="Q190" s="76">
        <v>171</v>
      </c>
      <c r="R190" s="76">
        <v>175</v>
      </c>
    </row>
    <row r="191" spans="1:18" x14ac:dyDescent="0.25">
      <c r="A191" s="76" t="s">
        <v>97</v>
      </c>
      <c r="B191" s="76">
        <v>10</v>
      </c>
      <c r="C191" s="76">
        <v>14</v>
      </c>
      <c r="D191" s="76">
        <v>22</v>
      </c>
      <c r="E191" s="76">
        <v>28</v>
      </c>
      <c r="F191" s="76">
        <v>37</v>
      </c>
      <c r="G191" s="76">
        <v>44</v>
      </c>
      <c r="H191" s="76">
        <v>56</v>
      </c>
      <c r="I191" s="76">
        <v>62</v>
      </c>
      <c r="J191" s="76">
        <v>72</v>
      </c>
      <c r="K191" s="76">
        <v>90</v>
      </c>
      <c r="L191" s="76">
        <v>100</v>
      </c>
      <c r="M191" s="76">
        <v>116</v>
      </c>
      <c r="N191" s="76">
        <v>134</v>
      </c>
      <c r="O191" s="76">
        <v>146</v>
      </c>
      <c r="P191" s="76">
        <v>153</v>
      </c>
      <c r="Q191" s="76">
        <v>162</v>
      </c>
      <c r="R191" s="76">
        <v>167</v>
      </c>
    </row>
    <row r="192" spans="1:18" x14ac:dyDescent="0.25">
      <c r="A192" s="76" t="s">
        <v>96</v>
      </c>
      <c r="B192" s="76">
        <v>11</v>
      </c>
      <c r="C192" s="76">
        <v>15</v>
      </c>
      <c r="D192" s="76">
        <v>20</v>
      </c>
      <c r="E192" s="76">
        <v>24</v>
      </c>
      <c r="F192" s="76">
        <v>33</v>
      </c>
      <c r="G192" s="76">
        <v>42</v>
      </c>
      <c r="H192" s="76">
        <v>53</v>
      </c>
      <c r="I192" s="76">
        <v>62</v>
      </c>
      <c r="J192" s="76">
        <v>73</v>
      </c>
      <c r="K192" s="76">
        <v>87</v>
      </c>
      <c r="L192" s="76">
        <v>100</v>
      </c>
      <c r="M192" s="76">
        <v>124</v>
      </c>
      <c r="N192" s="76">
        <v>134</v>
      </c>
      <c r="O192" s="76">
        <v>147</v>
      </c>
      <c r="P192" s="76">
        <v>153</v>
      </c>
      <c r="Q192" s="76">
        <v>161</v>
      </c>
      <c r="R192" s="76">
        <v>161</v>
      </c>
    </row>
    <row r="193" spans="1:18" x14ac:dyDescent="0.25">
      <c r="A193" s="76" t="s">
        <v>95</v>
      </c>
      <c r="B193" s="76">
        <v>9</v>
      </c>
      <c r="C193" s="76">
        <v>14</v>
      </c>
      <c r="D193" s="76">
        <v>21</v>
      </c>
      <c r="E193" s="76">
        <v>30</v>
      </c>
      <c r="F193" s="76">
        <v>37</v>
      </c>
      <c r="G193" s="76">
        <v>48</v>
      </c>
      <c r="H193" s="76">
        <v>66</v>
      </c>
      <c r="I193" s="76">
        <v>79</v>
      </c>
      <c r="J193" s="76">
        <v>85</v>
      </c>
      <c r="K193" s="76">
        <v>111</v>
      </c>
      <c r="L193" s="76">
        <v>122</v>
      </c>
      <c r="M193" s="76">
        <v>133</v>
      </c>
      <c r="N193" s="76">
        <v>146</v>
      </c>
      <c r="O193" s="76">
        <v>159</v>
      </c>
      <c r="P193" s="76">
        <v>168</v>
      </c>
      <c r="Q193" s="76">
        <v>177</v>
      </c>
      <c r="R193" s="76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45F5-023B-4640-A130-D4437E963192}">
  <dimension ref="A1:R193"/>
  <sheetViews>
    <sheetView workbookViewId="0"/>
  </sheetViews>
  <sheetFormatPr defaultRowHeight="15" x14ac:dyDescent="0.25"/>
  <cols>
    <col min="1" max="16384" width="9.140625" style="76"/>
  </cols>
  <sheetData>
    <row r="1" spans="1:18" x14ac:dyDescent="0.25">
      <c r="A1" s="77" t="s">
        <v>304</v>
      </c>
      <c r="B1" s="76" t="s">
        <v>303</v>
      </c>
      <c r="C1" s="76" t="s">
        <v>302</v>
      </c>
      <c r="D1" s="76" t="s">
        <v>301</v>
      </c>
      <c r="E1" s="76" t="s">
        <v>300</v>
      </c>
      <c r="F1" s="76" t="s">
        <v>299</v>
      </c>
      <c r="G1" s="76" t="s">
        <v>298</v>
      </c>
      <c r="H1" s="76" t="s">
        <v>297</v>
      </c>
      <c r="I1" s="76" t="s">
        <v>296</v>
      </c>
      <c r="J1" s="76" t="s">
        <v>295</v>
      </c>
      <c r="K1" s="76" t="s">
        <v>294</v>
      </c>
      <c r="L1" s="76" t="s">
        <v>293</v>
      </c>
      <c r="M1" s="76" t="s">
        <v>292</v>
      </c>
      <c r="N1" s="76" t="s">
        <v>291</v>
      </c>
      <c r="O1" s="76" t="s">
        <v>290</v>
      </c>
      <c r="P1" s="76" t="s">
        <v>289</v>
      </c>
      <c r="Q1" s="76" t="s">
        <v>288</v>
      </c>
      <c r="R1" s="76" t="s">
        <v>287</v>
      </c>
    </row>
    <row r="2" spans="1:18" x14ac:dyDescent="0.25">
      <c r="A2" s="76" t="s">
        <v>286</v>
      </c>
      <c r="B2" s="76">
        <v>12</v>
      </c>
      <c r="C2" s="76">
        <v>12</v>
      </c>
      <c r="D2" s="76">
        <v>23</v>
      </c>
      <c r="E2" s="76">
        <v>23</v>
      </c>
      <c r="F2" s="76">
        <v>40</v>
      </c>
      <c r="G2" s="76">
        <v>42</v>
      </c>
      <c r="H2" s="76">
        <v>62</v>
      </c>
      <c r="I2" s="76">
        <v>76</v>
      </c>
      <c r="J2" s="76">
        <v>75</v>
      </c>
      <c r="K2" s="76">
        <v>97</v>
      </c>
      <c r="L2" s="76">
        <v>102</v>
      </c>
      <c r="M2" s="76">
        <v>102</v>
      </c>
      <c r="N2" s="76">
        <v>102</v>
      </c>
      <c r="O2" s="76">
        <v>102</v>
      </c>
      <c r="P2" s="76">
        <v>102</v>
      </c>
      <c r="Q2" s="76">
        <v>102</v>
      </c>
      <c r="R2" s="76">
        <v>102</v>
      </c>
    </row>
    <row r="3" spans="1:18" x14ac:dyDescent="0.25">
      <c r="A3" s="76" t="s">
        <v>285</v>
      </c>
      <c r="B3" s="76">
        <v>13</v>
      </c>
      <c r="C3" s="76">
        <v>17</v>
      </c>
      <c r="D3" s="76">
        <v>25</v>
      </c>
      <c r="E3" s="76">
        <v>30</v>
      </c>
      <c r="F3" s="76">
        <v>40</v>
      </c>
      <c r="G3" s="76">
        <v>44</v>
      </c>
      <c r="H3" s="76">
        <v>57</v>
      </c>
      <c r="I3" s="76">
        <v>65</v>
      </c>
      <c r="J3" s="76">
        <v>59</v>
      </c>
      <c r="K3" s="76">
        <v>80</v>
      </c>
      <c r="L3" s="76">
        <v>90</v>
      </c>
      <c r="M3" s="76">
        <v>97</v>
      </c>
      <c r="N3" s="76">
        <v>102</v>
      </c>
      <c r="O3" s="76">
        <v>102</v>
      </c>
      <c r="P3" s="76">
        <v>102</v>
      </c>
      <c r="Q3" s="76">
        <v>102</v>
      </c>
      <c r="R3" s="76">
        <v>102</v>
      </c>
    </row>
    <row r="4" spans="1:18" x14ac:dyDescent="0.25">
      <c r="A4" s="76" t="s">
        <v>284</v>
      </c>
      <c r="B4" s="76">
        <v>9</v>
      </c>
      <c r="C4" s="76">
        <v>15</v>
      </c>
      <c r="D4" s="76">
        <v>22</v>
      </c>
      <c r="E4" s="76">
        <v>21</v>
      </c>
      <c r="F4" s="76">
        <v>29</v>
      </c>
      <c r="G4" s="76">
        <v>33</v>
      </c>
      <c r="H4" s="76">
        <v>39</v>
      </c>
      <c r="I4" s="76">
        <v>40</v>
      </c>
      <c r="J4" s="76">
        <v>59</v>
      </c>
      <c r="K4" s="76">
        <v>53</v>
      </c>
      <c r="L4" s="76">
        <v>49</v>
      </c>
      <c r="M4" s="76">
        <v>74</v>
      </c>
      <c r="N4" s="76">
        <v>76</v>
      </c>
      <c r="O4" s="76">
        <v>102</v>
      </c>
      <c r="P4" s="76">
        <v>102</v>
      </c>
      <c r="Q4" s="76">
        <v>102</v>
      </c>
      <c r="R4" s="76">
        <v>102</v>
      </c>
    </row>
    <row r="5" spans="1:18" x14ac:dyDescent="0.25">
      <c r="A5" s="76" t="s">
        <v>283</v>
      </c>
      <c r="B5" s="76">
        <v>11</v>
      </c>
      <c r="C5" s="76">
        <v>18</v>
      </c>
      <c r="D5" s="76">
        <v>25</v>
      </c>
      <c r="E5" s="76">
        <v>28</v>
      </c>
      <c r="F5" s="76">
        <v>42</v>
      </c>
      <c r="G5" s="76">
        <v>52</v>
      </c>
      <c r="H5" s="76">
        <v>61</v>
      </c>
      <c r="I5" s="76">
        <v>67</v>
      </c>
      <c r="J5" s="76">
        <v>60</v>
      </c>
      <c r="K5" s="76">
        <v>91</v>
      </c>
      <c r="L5" s="76">
        <v>100</v>
      </c>
      <c r="M5" s="76">
        <v>102</v>
      </c>
      <c r="N5" s="76">
        <v>102</v>
      </c>
      <c r="O5" s="76">
        <v>102</v>
      </c>
      <c r="P5" s="76">
        <v>102</v>
      </c>
      <c r="Q5" s="76">
        <v>102</v>
      </c>
      <c r="R5" s="76">
        <v>102</v>
      </c>
    </row>
    <row r="6" spans="1:18" x14ac:dyDescent="0.25">
      <c r="A6" s="76" t="s">
        <v>282</v>
      </c>
      <c r="B6" s="76">
        <v>12</v>
      </c>
      <c r="C6" s="76">
        <v>19</v>
      </c>
      <c r="D6" s="76">
        <v>22</v>
      </c>
      <c r="E6" s="76">
        <v>20</v>
      </c>
      <c r="F6" s="76">
        <v>32</v>
      </c>
      <c r="G6" s="76">
        <v>44</v>
      </c>
      <c r="H6" s="76">
        <v>43</v>
      </c>
      <c r="I6" s="76">
        <v>51</v>
      </c>
      <c r="J6" s="76">
        <v>38</v>
      </c>
      <c r="K6" s="76">
        <v>69</v>
      </c>
      <c r="L6" s="76">
        <v>78</v>
      </c>
      <c r="M6" s="76">
        <v>102</v>
      </c>
      <c r="N6" s="76">
        <v>102</v>
      </c>
      <c r="O6" s="76">
        <v>102</v>
      </c>
      <c r="P6" s="76">
        <v>102</v>
      </c>
      <c r="Q6" s="76">
        <v>102</v>
      </c>
      <c r="R6" s="76">
        <v>102</v>
      </c>
    </row>
    <row r="7" spans="1:18" x14ac:dyDescent="0.25">
      <c r="A7" s="76" t="s">
        <v>281</v>
      </c>
      <c r="B7" s="76">
        <v>8</v>
      </c>
      <c r="C7" s="76">
        <v>15</v>
      </c>
      <c r="D7" s="76">
        <v>19</v>
      </c>
      <c r="E7" s="76">
        <v>27</v>
      </c>
      <c r="F7" s="76">
        <v>30</v>
      </c>
      <c r="G7" s="76">
        <v>39</v>
      </c>
      <c r="H7" s="76">
        <v>47</v>
      </c>
      <c r="I7" s="76">
        <v>51</v>
      </c>
      <c r="J7" s="76">
        <v>66</v>
      </c>
      <c r="K7" s="76">
        <v>70</v>
      </c>
      <c r="L7" s="76">
        <v>89</v>
      </c>
      <c r="M7" s="76">
        <v>102</v>
      </c>
      <c r="N7" s="76">
        <v>102</v>
      </c>
      <c r="O7" s="76">
        <v>102</v>
      </c>
      <c r="P7" s="76">
        <v>102</v>
      </c>
      <c r="Q7" s="76">
        <v>102</v>
      </c>
      <c r="R7" s="76">
        <v>102</v>
      </c>
    </row>
    <row r="8" spans="1:18" x14ac:dyDescent="0.25">
      <c r="A8" s="76" t="s">
        <v>280</v>
      </c>
      <c r="B8" s="76">
        <v>12</v>
      </c>
      <c r="C8" s="76">
        <v>15</v>
      </c>
      <c r="D8" s="76">
        <v>24</v>
      </c>
      <c r="E8" s="76">
        <v>16</v>
      </c>
      <c r="F8" s="76">
        <v>39</v>
      </c>
      <c r="G8" s="76">
        <v>43</v>
      </c>
      <c r="H8" s="76">
        <v>50</v>
      </c>
      <c r="I8" s="76">
        <v>62</v>
      </c>
      <c r="J8" s="76">
        <v>65</v>
      </c>
      <c r="K8" s="76">
        <v>79</v>
      </c>
      <c r="L8" s="76">
        <v>77</v>
      </c>
      <c r="M8" s="76">
        <v>94</v>
      </c>
      <c r="N8" s="76">
        <v>102</v>
      </c>
      <c r="O8" s="76">
        <v>102</v>
      </c>
      <c r="P8" s="76">
        <v>102</v>
      </c>
      <c r="Q8" s="76">
        <v>102</v>
      </c>
      <c r="R8" s="76">
        <v>102</v>
      </c>
    </row>
    <row r="9" spans="1:18" x14ac:dyDescent="0.25">
      <c r="A9" s="76" t="s">
        <v>279</v>
      </c>
      <c r="B9" s="76">
        <v>8</v>
      </c>
      <c r="C9" s="76">
        <v>13</v>
      </c>
      <c r="D9" s="76">
        <v>22</v>
      </c>
      <c r="E9" s="76">
        <v>19</v>
      </c>
      <c r="F9" s="76">
        <v>33</v>
      </c>
      <c r="G9" s="76">
        <v>39</v>
      </c>
      <c r="H9" s="76">
        <v>47</v>
      </c>
      <c r="I9" s="76">
        <v>58</v>
      </c>
      <c r="J9" s="76">
        <v>75</v>
      </c>
      <c r="K9" s="76">
        <v>74</v>
      </c>
      <c r="L9" s="76">
        <v>85</v>
      </c>
      <c r="M9" s="76">
        <v>95</v>
      </c>
      <c r="N9" s="76">
        <v>102</v>
      </c>
      <c r="O9" s="76">
        <v>102</v>
      </c>
      <c r="P9" s="76">
        <v>102</v>
      </c>
      <c r="Q9" s="76">
        <v>102</v>
      </c>
      <c r="R9" s="76">
        <v>102</v>
      </c>
    </row>
    <row r="10" spans="1:18" x14ac:dyDescent="0.25">
      <c r="A10" s="76" t="s">
        <v>278</v>
      </c>
      <c r="B10" s="76">
        <v>11</v>
      </c>
      <c r="C10" s="76">
        <v>12</v>
      </c>
      <c r="D10" s="76">
        <v>21</v>
      </c>
      <c r="E10" s="76">
        <v>17</v>
      </c>
      <c r="F10" s="76">
        <v>31</v>
      </c>
      <c r="G10" s="76">
        <v>45</v>
      </c>
      <c r="H10" s="76">
        <v>56</v>
      </c>
      <c r="I10" s="76">
        <v>63</v>
      </c>
      <c r="J10" s="76">
        <v>72</v>
      </c>
      <c r="K10" s="76">
        <v>76</v>
      </c>
      <c r="L10" s="76">
        <v>90</v>
      </c>
      <c r="M10" s="76">
        <v>101</v>
      </c>
      <c r="N10" s="76">
        <v>102</v>
      </c>
      <c r="O10" s="76">
        <v>102</v>
      </c>
      <c r="P10" s="76">
        <v>102</v>
      </c>
      <c r="Q10" s="76">
        <v>102</v>
      </c>
      <c r="R10" s="76">
        <v>102</v>
      </c>
    </row>
    <row r="11" spans="1:18" x14ac:dyDescent="0.25">
      <c r="A11" s="76" t="s">
        <v>277</v>
      </c>
      <c r="B11" s="76">
        <v>7</v>
      </c>
      <c r="C11" s="76">
        <v>10</v>
      </c>
      <c r="D11" s="76">
        <v>22</v>
      </c>
      <c r="E11" s="76">
        <v>15</v>
      </c>
      <c r="F11" s="76">
        <v>30</v>
      </c>
      <c r="G11" s="76">
        <v>32</v>
      </c>
      <c r="H11" s="76">
        <v>37</v>
      </c>
      <c r="I11" s="76">
        <v>38</v>
      </c>
      <c r="J11" s="76">
        <v>74</v>
      </c>
      <c r="K11" s="76">
        <v>53</v>
      </c>
      <c r="L11" s="76">
        <v>56</v>
      </c>
      <c r="M11" s="76">
        <v>56</v>
      </c>
      <c r="N11" s="76">
        <v>59</v>
      </c>
      <c r="O11" s="76">
        <v>66</v>
      </c>
      <c r="P11" s="76">
        <v>60</v>
      </c>
      <c r="Q11" s="76">
        <v>66</v>
      </c>
      <c r="R11" s="76">
        <v>67</v>
      </c>
    </row>
    <row r="12" spans="1:18" x14ac:dyDescent="0.25">
      <c r="A12" s="76" t="s">
        <v>276</v>
      </c>
      <c r="B12" s="76">
        <v>7</v>
      </c>
      <c r="C12" s="76">
        <v>13</v>
      </c>
      <c r="D12" s="76">
        <v>18</v>
      </c>
      <c r="E12" s="76">
        <v>19</v>
      </c>
      <c r="F12" s="76">
        <v>28</v>
      </c>
      <c r="G12" s="76">
        <v>29</v>
      </c>
      <c r="H12" s="76">
        <v>30</v>
      </c>
      <c r="I12" s="76">
        <v>33</v>
      </c>
      <c r="J12" s="76">
        <v>72</v>
      </c>
      <c r="K12" s="76">
        <v>45</v>
      </c>
      <c r="L12" s="76">
        <v>28</v>
      </c>
      <c r="M12" s="76">
        <v>26</v>
      </c>
      <c r="N12" s="76">
        <v>28</v>
      </c>
      <c r="O12" s="76">
        <v>26</v>
      </c>
      <c r="P12" s="76">
        <v>27</v>
      </c>
      <c r="Q12" s="76">
        <v>32</v>
      </c>
      <c r="R12" s="76">
        <v>30</v>
      </c>
    </row>
    <row r="13" spans="1:18" x14ac:dyDescent="0.25">
      <c r="A13" s="76" t="s">
        <v>275</v>
      </c>
      <c r="B13" s="76">
        <v>9</v>
      </c>
      <c r="C13" s="76">
        <v>14</v>
      </c>
      <c r="D13" s="76">
        <v>23</v>
      </c>
      <c r="E13" s="76">
        <v>15</v>
      </c>
      <c r="F13" s="76">
        <v>32</v>
      </c>
      <c r="G13" s="76">
        <v>34</v>
      </c>
      <c r="H13" s="76">
        <v>41</v>
      </c>
      <c r="I13" s="76">
        <v>39</v>
      </c>
      <c r="J13" s="76">
        <v>66</v>
      </c>
      <c r="K13" s="76">
        <v>55</v>
      </c>
      <c r="L13" s="76">
        <v>59</v>
      </c>
      <c r="M13" s="76">
        <v>54</v>
      </c>
      <c r="N13" s="76">
        <v>68</v>
      </c>
      <c r="O13" s="76">
        <v>69</v>
      </c>
      <c r="P13" s="76">
        <v>65</v>
      </c>
      <c r="Q13" s="76">
        <v>67</v>
      </c>
      <c r="R13" s="76">
        <v>71</v>
      </c>
    </row>
    <row r="14" spans="1:18" x14ac:dyDescent="0.25">
      <c r="A14" s="76" t="s">
        <v>274</v>
      </c>
      <c r="B14" s="76">
        <v>9</v>
      </c>
      <c r="C14" s="76">
        <v>19</v>
      </c>
      <c r="D14" s="76">
        <v>23</v>
      </c>
      <c r="E14" s="76">
        <v>33</v>
      </c>
      <c r="F14" s="76">
        <v>45</v>
      </c>
      <c r="G14" s="76">
        <v>50</v>
      </c>
      <c r="H14" s="76">
        <v>70</v>
      </c>
      <c r="I14" s="76">
        <v>79</v>
      </c>
      <c r="J14" s="76">
        <v>90</v>
      </c>
      <c r="K14" s="76">
        <v>96</v>
      </c>
      <c r="L14" s="76">
        <v>102</v>
      </c>
      <c r="M14" s="76">
        <v>102</v>
      </c>
      <c r="N14" s="76">
        <v>102</v>
      </c>
      <c r="O14" s="76">
        <v>102</v>
      </c>
      <c r="P14" s="76">
        <v>102</v>
      </c>
      <c r="Q14" s="76">
        <v>102</v>
      </c>
      <c r="R14" s="76">
        <v>102</v>
      </c>
    </row>
    <row r="15" spans="1:18" x14ac:dyDescent="0.25">
      <c r="A15" s="76" t="s">
        <v>273</v>
      </c>
      <c r="B15" s="76">
        <v>10</v>
      </c>
      <c r="C15" s="76">
        <v>17</v>
      </c>
      <c r="D15" s="76">
        <v>21</v>
      </c>
      <c r="E15" s="76">
        <v>38</v>
      </c>
      <c r="F15" s="76">
        <v>41</v>
      </c>
      <c r="G15" s="76">
        <v>55</v>
      </c>
      <c r="H15" s="76">
        <v>69</v>
      </c>
      <c r="I15" s="76">
        <v>85</v>
      </c>
      <c r="J15" s="76">
        <v>91</v>
      </c>
      <c r="K15" s="76">
        <v>102</v>
      </c>
      <c r="L15" s="76">
        <v>102</v>
      </c>
      <c r="M15" s="76">
        <v>102</v>
      </c>
      <c r="N15" s="76">
        <v>102</v>
      </c>
      <c r="O15" s="76">
        <v>102</v>
      </c>
      <c r="P15" s="76">
        <v>102</v>
      </c>
      <c r="Q15" s="76">
        <v>102</v>
      </c>
      <c r="R15" s="76">
        <v>102</v>
      </c>
    </row>
    <row r="16" spans="1:18" x14ac:dyDescent="0.25">
      <c r="A16" s="76" t="s">
        <v>272</v>
      </c>
      <c r="B16" s="76">
        <v>10</v>
      </c>
      <c r="C16" s="76">
        <v>20</v>
      </c>
      <c r="D16" s="76">
        <v>23</v>
      </c>
      <c r="E16" s="76">
        <v>40</v>
      </c>
      <c r="F16" s="76">
        <v>42</v>
      </c>
      <c r="G16" s="76">
        <v>51</v>
      </c>
      <c r="H16" s="76">
        <v>67</v>
      </c>
      <c r="I16" s="76">
        <v>74</v>
      </c>
      <c r="J16" s="76">
        <v>88</v>
      </c>
      <c r="K16" s="76">
        <v>102</v>
      </c>
      <c r="L16" s="76">
        <v>102</v>
      </c>
      <c r="M16" s="76">
        <v>102</v>
      </c>
      <c r="N16" s="76">
        <v>102</v>
      </c>
      <c r="O16" s="76">
        <v>102</v>
      </c>
      <c r="P16" s="76">
        <v>102</v>
      </c>
      <c r="Q16" s="76">
        <v>102</v>
      </c>
      <c r="R16" s="76">
        <v>102</v>
      </c>
    </row>
    <row r="17" spans="1:18" x14ac:dyDescent="0.25">
      <c r="A17" s="76" t="s">
        <v>271</v>
      </c>
      <c r="B17" s="76">
        <v>8</v>
      </c>
      <c r="C17" s="76">
        <v>15</v>
      </c>
      <c r="D17" s="76">
        <v>18</v>
      </c>
      <c r="E17" s="76">
        <v>28</v>
      </c>
      <c r="F17" s="76">
        <v>32</v>
      </c>
      <c r="G17" s="76">
        <v>34</v>
      </c>
      <c r="H17" s="76">
        <v>33</v>
      </c>
      <c r="I17" s="76">
        <v>40</v>
      </c>
      <c r="J17" s="76">
        <v>43</v>
      </c>
      <c r="K17" s="76">
        <v>63</v>
      </c>
      <c r="L17" s="76">
        <v>67</v>
      </c>
      <c r="M17" s="76">
        <v>79</v>
      </c>
      <c r="N17" s="76">
        <v>97</v>
      </c>
      <c r="O17" s="76">
        <v>102</v>
      </c>
      <c r="P17" s="76">
        <v>102</v>
      </c>
      <c r="Q17" s="76">
        <v>102</v>
      </c>
      <c r="R17" s="76">
        <v>102</v>
      </c>
    </row>
    <row r="18" spans="1:18" x14ac:dyDescent="0.25">
      <c r="A18" s="76" t="s">
        <v>270</v>
      </c>
      <c r="B18" s="76">
        <v>9</v>
      </c>
      <c r="C18" s="76">
        <v>10</v>
      </c>
      <c r="D18" s="76">
        <v>21</v>
      </c>
      <c r="E18" s="76">
        <v>21</v>
      </c>
      <c r="F18" s="76">
        <v>32</v>
      </c>
      <c r="G18" s="76">
        <v>36</v>
      </c>
      <c r="H18" s="76">
        <v>38</v>
      </c>
      <c r="I18" s="76">
        <v>43</v>
      </c>
      <c r="J18" s="76">
        <v>46</v>
      </c>
      <c r="K18" s="76">
        <v>59</v>
      </c>
      <c r="L18" s="76">
        <v>62</v>
      </c>
      <c r="M18" s="76">
        <v>91</v>
      </c>
      <c r="N18" s="76">
        <v>96</v>
      </c>
      <c r="O18" s="76">
        <v>102</v>
      </c>
      <c r="P18" s="76">
        <v>102</v>
      </c>
      <c r="Q18" s="76">
        <v>102</v>
      </c>
      <c r="R18" s="76">
        <v>102</v>
      </c>
    </row>
    <row r="19" spans="1:18" x14ac:dyDescent="0.25">
      <c r="A19" s="76" t="s">
        <v>269</v>
      </c>
      <c r="B19" s="76">
        <v>9</v>
      </c>
      <c r="C19" s="76">
        <v>18</v>
      </c>
      <c r="D19" s="76">
        <v>22</v>
      </c>
      <c r="E19" s="76">
        <v>28</v>
      </c>
      <c r="F19" s="76">
        <v>29</v>
      </c>
      <c r="G19" s="76">
        <v>36</v>
      </c>
      <c r="H19" s="76">
        <v>39</v>
      </c>
      <c r="I19" s="76">
        <v>43</v>
      </c>
      <c r="J19" s="76">
        <v>50</v>
      </c>
      <c r="K19" s="76">
        <v>64</v>
      </c>
      <c r="L19" s="76">
        <v>72</v>
      </c>
      <c r="M19" s="76">
        <v>96</v>
      </c>
      <c r="N19" s="76">
        <v>95</v>
      </c>
      <c r="O19" s="76">
        <v>102</v>
      </c>
      <c r="P19" s="76">
        <v>102</v>
      </c>
      <c r="Q19" s="76">
        <v>102</v>
      </c>
      <c r="R19" s="76">
        <v>102</v>
      </c>
    </row>
    <row r="20" spans="1:18" x14ac:dyDescent="0.25">
      <c r="A20" s="76" t="s">
        <v>268</v>
      </c>
      <c r="B20" s="76">
        <v>7</v>
      </c>
      <c r="C20" s="76">
        <v>18</v>
      </c>
      <c r="D20" s="76">
        <v>20</v>
      </c>
      <c r="E20" s="76">
        <v>33</v>
      </c>
      <c r="F20" s="76">
        <v>34</v>
      </c>
      <c r="G20" s="76">
        <v>46</v>
      </c>
      <c r="H20" s="76">
        <v>54</v>
      </c>
      <c r="I20" s="76">
        <v>59</v>
      </c>
      <c r="J20" s="76">
        <v>72</v>
      </c>
      <c r="K20" s="76">
        <v>82</v>
      </c>
      <c r="L20" s="76">
        <v>85</v>
      </c>
      <c r="M20" s="76">
        <v>83</v>
      </c>
      <c r="N20" s="76">
        <v>89</v>
      </c>
      <c r="O20" s="76">
        <v>95</v>
      </c>
      <c r="P20" s="76">
        <v>102</v>
      </c>
      <c r="Q20" s="76">
        <v>94</v>
      </c>
      <c r="R20" s="76">
        <v>102</v>
      </c>
    </row>
    <row r="21" spans="1:18" x14ac:dyDescent="0.25">
      <c r="A21" s="76" t="s">
        <v>267</v>
      </c>
      <c r="B21" s="76">
        <v>9</v>
      </c>
      <c r="C21" s="76">
        <v>9</v>
      </c>
      <c r="D21" s="76">
        <v>23</v>
      </c>
      <c r="E21" s="76">
        <v>31</v>
      </c>
      <c r="F21" s="76">
        <v>37</v>
      </c>
      <c r="G21" s="76">
        <v>49</v>
      </c>
      <c r="H21" s="76">
        <v>63</v>
      </c>
      <c r="I21" s="76">
        <v>78</v>
      </c>
      <c r="J21" s="76">
        <v>92</v>
      </c>
      <c r="K21" s="76">
        <v>91</v>
      </c>
      <c r="L21" s="76">
        <v>100</v>
      </c>
      <c r="M21" s="76">
        <v>102</v>
      </c>
      <c r="N21" s="76">
        <v>102</v>
      </c>
      <c r="O21" s="76">
        <v>102</v>
      </c>
      <c r="P21" s="76">
        <v>102</v>
      </c>
      <c r="Q21" s="76">
        <v>102</v>
      </c>
      <c r="R21" s="76">
        <v>102</v>
      </c>
    </row>
    <row r="22" spans="1:18" x14ac:dyDescent="0.25">
      <c r="A22" s="76" t="s">
        <v>266</v>
      </c>
      <c r="B22" s="76">
        <v>10</v>
      </c>
      <c r="C22" s="76">
        <v>16</v>
      </c>
      <c r="D22" s="76">
        <v>22</v>
      </c>
      <c r="E22" s="76">
        <v>32</v>
      </c>
      <c r="F22" s="76">
        <v>36</v>
      </c>
      <c r="G22" s="76">
        <v>44</v>
      </c>
      <c r="H22" s="76">
        <v>57</v>
      </c>
      <c r="I22" s="76">
        <v>66</v>
      </c>
      <c r="J22" s="76">
        <v>71</v>
      </c>
      <c r="K22" s="76">
        <v>87</v>
      </c>
      <c r="L22" s="76">
        <v>96</v>
      </c>
      <c r="M22" s="76">
        <v>102</v>
      </c>
      <c r="N22" s="76">
        <v>102</v>
      </c>
      <c r="O22" s="76">
        <v>102</v>
      </c>
      <c r="P22" s="76">
        <v>102</v>
      </c>
      <c r="Q22" s="76">
        <v>102</v>
      </c>
      <c r="R22" s="76">
        <v>102</v>
      </c>
    </row>
    <row r="23" spans="1:18" x14ac:dyDescent="0.25">
      <c r="A23" s="76" t="s">
        <v>265</v>
      </c>
      <c r="B23" s="76">
        <v>9</v>
      </c>
      <c r="C23" s="76">
        <v>12</v>
      </c>
      <c r="D23" s="76">
        <v>19</v>
      </c>
      <c r="E23" s="76">
        <v>27</v>
      </c>
      <c r="F23" s="76">
        <v>38</v>
      </c>
      <c r="G23" s="76">
        <v>47</v>
      </c>
      <c r="H23" s="76">
        <v>66</v>
      </c>
      <c r="I23" s="76">
        <v>76</v>
      </c>
      <c r="J23" s="76">
        <v>89</v>
      </c>
      <c r="K23" s="76">
        <v>94</v>
      </c>
      <c r="L23" s="76">
        <v>102</v>
      </c>
      <c r="M23" s="76">
        <v>102</v>
      </c>
      <c r="N23" s="76">
        <v>102</v>
      </c>
      <c r="O23" s="76">
        <v>102</v>
      </c>
      <c r="P23" s="76">
        <v>102</v>
      </c>
      <c r="Q23" s="76">
        <v>102</v>
      </c>
      <c r="R23" s="76">
        <v>102</v>
      </c>
    </row>
    <row r="24" spans="1:18" x14ac:dyDescent="0.25">
      <c r="A24" s="76" t="s">
        <v>264</v>
      </c>
      <c r="B24" s="76">
        <v>10</v>
      </c>
      <c r="C24" s="76">
        <v>13</v>
      </c>
      <c r="D24" s="76">
        <v>21</v>
      </c>
      <c r="E24" s="76">
        <v>25</v>
      </c>
      <c r="F24" s="76">
        <v>34</v>
      </c>
      <c r="G24" s="76">
        <v>47</v>
      </c>
      <c r="H24" s="76">
        <v>61</v>
      </c>
      <c r="I24" s="76">
        <v>68</v>
      </c>
      <c r="J24" s="76">
        <v>82</v>
      </c>
      <c r="K24" s="76">
        <v>87</v>
      </c>
      <c r="L24" s="76">
        <v>97</v>
      </c>
      <c r="M24" s="76">
        <v>102</v>
      </c>
      <c r="N24" s="76">
        <v>102</v>
      </c>
      <c r="O24" s="76">
        <v>102</v>
      </c>
      <c r="P24" s="76">
        <v>102</v>
      </c>
      <c r="Q24" s="76">
        <v>102</v>
      </c>
      <c r="R24" s="76">
        <v>102</v>
      </c>
    </row>
    <row r="25" spans="1:18" x14ac:dyDescent="0.25">
      <c r="A25" s="76" t="s">
        <v>263</v>
      </c>
      <c r="B25" s="76">
        <v>10</v>
      </c>
      <c r="C25" s="76">
        <v>15</v>
      </c>
      <c r="D25" s="76">
        <v>20</v>
      </c>
      <c r="E25" s="76">
        <v>21</v>
      </c>
      <c r="F25" s="76">
        <v>31</v>
      </c>
      <c r="G25" s="76">
        <v>35</v>
      </c>
      <c r="H25" s="76">
        <v>41</v>
      </c>
      <c r="I25" s="76">
        <v>47</v>
      </c>
      <c r="J25" s="76">
        <v>60</v>
      </c>
      <c r="K25" s="76">
        <v>73</v>
      </c>
      <c r="L25" s="76">
        <v>81</v>
      </c>
      <c r="M25" s="76">
        <v>102</v>
      </c>
      <c r="N25" s="76">
        <v>102</v>
      </c>
      <c r="O25" s="76">
        <v>102</v>
      </c>
      <c r="P25" s="76">
        <v>102</v>
      </c>
      <c r="Q25" s="76">
        <v>102</v>
      </c>
      <c r="R25" s="76">
        <v>102</v>
      </c>
    </row>
    <row r="26" spans="1:18" x14ac:dyDescent="0.25">
      <c r="A26" s="76" t="s">
        <v>262</v>
      </c>
      <c r="B26" s="76">
        <v>8</v>
      </c>
      <c r="C26" s="76">
        <v>17</v>
      </c>
      <c r="D26" s="76">
        <v>18</v>
      </c>
      <c r="E26" s="76">
        <v>34</v>
      </c>
      <c r="F26" s="76">
        <v>38</v>
      </c>
      <c r="G26" s="76">
        <v>50</v>
      </c>
      <c r="H26" s="76">
        <v>58</v>
      </c>
      <c r="I26" s="76">
        <v>69</v>
      </c>
      <c r="J26" s="76">
        <v>83</v>
      </c>
      <c r="K26" s="76">
        <v>102</v>
      </c>
      <c r="L26" s="76">
        <v>102</v>
      </c>
      <c r="M26" s="76">
        <v>102</v>
      </c>
      <c r="N26" s="76">
        <v>102</v>
      </c>
      <c r="O26" s="76">
        <v>102</v>
      </c>
      <c r="P26" s="76">
        <v>102</v>
      </c>
      <c r="Q26" s="76">
        <v>102</v>
      </c>
      <c r="R26" s="76">
        <v>102</v>
      </c>
    </row>
    <row r="27" spans="1:18" x14ac:dyDescent="0.25">
      <c r="A27" s="76" t="s">
        <v>261</v>
      </c>
      <c r="B27" s="76">
        <v>9</v>
      </c>
      <c r="C27" s="76">
        <v>14</v>
      </c>
      <c r="D27" s="76">
        <v>20</v>
      </c>
      <c r="E27" s="76">
        <v>34</v>
      </c>
      <c r="F27" s="76">
        <v>41</v>
      </c>
      <c r="G27" s="76">
        <v>62</v>
      </c>
      <c r="H27" s="76">
        <v>69</v>
      </c>
      <c r="I27" s="76">
        <v>83</v>
      </c>
      <c r="J27" s="76">
        <v>97</v>
      </c>
      <c r="K27" s="76">
        <v>102</v>
      </c>
      <c r="L27" s="76">
        <v>102</v>
      </c>
      <c r="M27" s="76">
        <v>102</v>
      </c>
      <c r="N27" s="76">
        <v>102</v>
      </c>
      <c r="O27" s="76">
        <v>102</v>
      </c>
      <c r="P27" s="76">
        <v>102</v>
      </c>
      <c r="Q27" s="76">
        <v>102</v>
      </c>
      <c r="R27" s="76">
        <v>102</v>
      </c>
    </row>
    <row r="28" spans="1:18" x14ac:dyDescent="0.25">
      <c r="A28" s="76" t="s">
        <v>260</v>
      </c>
      <c r="B28" s="76">
        <v>9</v>
      </c>
      <c r="C28" s="76">
        <v>16</v>
      </c>
      <c r="D28" s="76">
        <v>21</v>
      </c>
      <c r="E28" s="76">
        <v>31</v>
      </c>
      <c r="F28" s="76">
        <v>40</v>
      </c>
      <c r="G28" s="76">
        <v>57</v>
      </c>
      <c r="H28" s="76">
        <v>61</v>
      </c>
      <c r="I28" s="76">
        <v>74</v>
      </c>
      <c r="J28" s="76">
        <v>82</v>
      </c>
      <c r="K28" s="76">
        <v>90</v>
      </c>
      <c r="L28" s="76">
        <v>102</v>
      </c>
      <c r="M28" s="76">
        <v>102</v>
      </c>
      <c r="N28" s="76">
        <v>102</v>
      </c>
      <c r="O28" s="76">
        <v>102</v>
      </c>
      <c r="P28" s="76">
        <v>102</v>
      </c>
      <c r="Q28" s="76">
        <v>102</v>
      </c>
      <c r="R28" s="76">
        <v>102</v>
      </c>
    </row>
    <row r="29" spans="1:18" x14ac:dyDescent="0.25">
      <c r="A29" s="76" t="s">
        <v>259</v>
      </c>
      <c r="B29" s="76">
        <v>8</v>
      </c>
      <c r="C29" s="76">
        <v>11</v>
      </c>
      <c r="D29" s="76">
        <v>23</v>
      </c>
      <c r="E29" s="76">
        <v>27</v>
      </c>
      <c r="F29" s="76">
        <v>37</v>
      </c>
      <c r="G29" s="76">
        <v>48</v>
      </c>
      <c r="H29" s="76">
        <v>46</v>
      </c>
      <c r="I29" s="76">
        <v>57</v>
      </c>
      <c r="J29" s="76">
        <v>63</v>
      </c>
      <c r="K29" s="76">
        <v>65</v>
      </c>
      <c r="L29" s="76">
        <v>77</v>
      </c>
      <c r="M29" s="76">
        <v>90</v>
      </c>
      <c r="N29" s="76">
        <v>102</v>
      </c>
      <c r="O29" s="76">
        <v>102</v>
      </c>
      <c r="P29" s="76">
        <v>102</v>
      </c>
      <c r="Q29" s="76">
        <v>102</v>
      </c>
      <c r="R29" s="76">
        <v>102</v>
      </c>
    </row>
    <row r="30" spans="1:18" x14ac:dyDescent="0.25">
      <c r="A30" s="76" t="s">
        <v>258</v>
      </c>
      <c r="B30" s="76">
        <v>10</v>
      </c>
      <c r="C30" s="76">
        <v>24</v>
      </c>
      <c r="D30" s="76">
        <v>25</v>
      </c>
      <c r="E30" s="76">
        <v>34</v>
      </c>
      <c r="F30" s="76">
        <v>33</v>
      </c>
      <c r="G30" s="76">
        <v>37</v>
      </c>
      <c r="H30" s="76">
        <v>41</v>
      </c>
      <c r="I30" s="76">
        <v>42</v>
      </c>
      <c r="J30" s="76">
        <v>42</v>
      </c>
      <c r="K30" s="76">
        <v>49</v>
      </c>
      <c r="L30" s="76">
        <v>76</v>
      </c>
      <c r="M30" s="76">
        <v>89</v>
      </c>
      <c r="N30" s="76">
        <v>96</v>
      </c>
      <c r="O30" s="76">
        <v>91</v>
      </c>
      <c r="P30" s="76">
        <v>102</v>
      </c>
      <c r="Q30" s="76">
        <v>102</v>
      </c>
      <c r="R30" s="76">
        <v>102</v>
      </c>
    </row>
    <row r="31" spans="1:18" x14ac:dyDescent="0.25">
      <c r="A31" s="76" t="s">
        <v>257</v>
      </c>
      <c r="B31" s="76">
        <v>11</v>
      </c>
      <c r="C31" s="76">
        <v>15</v>
      </c>
      <c r="D31" s="76">
        <v>22</v>
      </c>
      <c r="E31" s="76">
        <v>31</v>
      </c>
      <c r="F31" s="76">
        <v>30</v>
      </c>
      <c r="G31" s="76">
        <v>37</v>
      </c>
      <c r="H31" s="76">
        <v>40</v>
      </c>
      <c r="I31" s="76">
        <v>39</v>
      </c>
      <c r="J31" s="76">
        <v>37</v>
      </c>
      <c r="K31" s="76">
        <v>46</v>
      </c>
      <c r="L31" s="76">
        <v>54</v>
      </c>
      <c r="M31" s="76">
        <v>56</v>
      </c>
      <c r="N31" s="76">
        <v>66</v>
      </c>
      <c r="O31" s="76">
        <v>70</v>
      </c>
      <c r="P31" s="76">
        <v>70</v>
      </c>
      <c r="Q31" s="76">
        <v>83</v>
      </c>
      <c r="R31" s="76">
        <v>78</v>
      </c>
    </row>
    <row r="32" spans="1:18" x14ac:dyDescent="0.25">
      <c r="A32" s="76" t="s">
        <v>256</v>
      </c>
      <c r="B32" s="76">
        <v>8</v>
      </c>
      <c r="C32" s="76">
        <v>13</v>
      </c>
      <c r="D32" s="76">
        <v>20</v>
      </c>
      <c r="E32" s="76">
        <v>32</v>
      </c>
      <c r="F32" s="76">
        <v>30</v>
      </c>
      <c r="G32" s="76">
        <v>33</v>
      </c>
      <c r="H32" s="76">
        <v>38</v>
      </c>
      <c r="I32" s="76">
        <v>39</v>
      </c>
      <c r="J32" s="76">
        <v>40</v>
      </c>
      <c r="K32" s="76">
        <v>61</v>
      </c>
      <c r="L32" s="76">
        <v>64</v>
      </c>
      <c r="M32" s="76">
        <v>82</v>
      </c>
      <c r="N32" s="76">
        <v>101</v>
      </c>
      <c r="O32" s="76">
        <v>102</v>
      </c>
      <c r="P32" s="76">
        <v>102</v>
      </c>
      <c r="Q32" s="76">
        <v>102</v>
      </c>
      <c r="R32" s="76">
        <v>102</v>
      </c>
    </row>
    <row r="33" spans="1:18" x14ac:dyDescent="0.25">
      <c r="A33" s="76" t="s">
        <v>255</v>
      </c>
      <c r="B33" s="76">
        <v>11</v>
      </c>
      <c r="C33" s="76">
        <v>17</v>
      </c>
      <c r="D33" s="76">
        <v>21</v>
      </c>
      <c r="E33" s="76">
        <v>24</v>
      </c>
      <c r="F33" s="76">
        <v>31</v>
      </c>
      <c r="G33" s="76">
        <v>32</v>
      </c>
      <c r="H33" s="76">
        <v>30</v>
      </c>
      <c r="I33" s="76">
        <v>40</v>
      </c>
      <c r="J33" s="76">
        <v>39</v>
      </c>
      <c r="K33" s="76">
        <v>37</v>
      </c>
      <c r="L33" s="76">
        <v>48</v>
      </c>
      <c r="M33" s="76">
        <v>54</v>
      </c>
      <c r="N33" s="76">
        <v>69</v>
      </c>
      <c r="O33" s="76">
        <v>82</v>
      </c>
      <c r="P33" s="76">
        <v>83</v>
      </c>
      <c r="Q33" s="76">
        <v>102</v>
      </c>
      <c r="R33" s="76">
        <v>102</v>
      </c>
    </row>
    <row r="34" spans="1:18" x14ac:dyDescent="0.25">
      <c r="A34" s="76" t="s">
        <v>254</v>
      </c>
      <c r="B34" s="76">
        <v>11</v>
      </c>
      <c r="C34" s="76">
        <v>13</v>
      </c>
      <c r="D34" s="76">
        <v>22</v>
      </c>
      <c r="E34" s="76">
        <v>25</v>
      </c>
      <c r="F34" s="76">
        <v>33</v>
      </c>
      <c r="G34" s="76">
        <v>37</v>
      </c>
      <c r="H34" s="76">
        <v>41</v>
      </c>
      <c r="I34" s="76">
        <v>42</v>
      </c>
      <c r="J34" s="76">
        <v>41</v>
      </c>
      <c r="K34" s="76">
        <v>52</v>
      </c>
      <c r="L34" s="76">
        <v>61</v>
      </c>
      <c r="M34" s="76">
        <v>64</v>
      </c>
      <c r="N34" s="76">
        <v>78</v>
      </c>
      <c r="O34" s="76">
        <v>102</v>
      </c>
      <c r="P34" s="76">
        <v>102</v>
      </c>
      <c r="Q34" s="76">
        <v>102</v>
      </c>
      <c r="R34" s="76">
        <v>102</v>
      </c>
    </row>
    <row r="35" spans="1:18" x14ac:dyDescent="0.25">
      <c r="A35" s="76" t="s">
        <v>253</v>
      </c>
      <c r="B35" s="76">
        <v>8</v>
      </c>
      <c r="C35" s="76">
        <v>15</v>
      </c>
      <c r="D35" s="76">
        <v>17</v>
      </c>
      <c r="E35" s="76">
        <v>24</v>
      </c>
      <c r="F35" s="76">
        <v>33</v>
      </c>
      <c r="G35" s="76">
        <v>40</v>
      </c>
      <c r="H35" s="76">
        <v>45</v>
      </c>
      <c r="I35" s="76">
        <v>57</v>
      </c>
      <c r="J35" s="76">
        <v>63</v>
      </c>
      <c r="K35" s="76">
        <v>62</v>
      </c>
      <c r="L35" s="76">
        <v>87</v>
      </c>
      <c r="M35" s="76">
        <v>102</v>
      </c>
      <c r="N35" s="76">
        <v>102</v>
      </c>
      <c r="O35" s="76">
        <v>102</v>
      </c>
      <c r="P35" s="76">
        <v>102</v>
      </c>
      <c r="Q35" s="76">
        <v>102</v>
      </c>
      <c r="R35" s="76">
        <v>102</v>
      </c>
    </row>
    <row r="36" spans="1:18" x14ac:dyDescent="0.25">
      <c r="A36" s="76" t="s">
        <v>252</v>
      </c>
      <c r="B36" s="76">
        <v>9</v>
      </c>
      <c r="C36" s="76">
        <v>16</v>
      </c>
      <c r="D36" s="76">
        <v>18</v>
      </c>
      <c r="E36" s="76">
        <v>33</v>
      </c>
      <c r="F36" s="76">
        <v>32</v>
      </c>
      <c r="G36" s="76">
        <v>42</v>
      </c>
      <c r="H36" s="76">
        <v>51</v>
      </c>
      <c r="I36" s="76">
        <v>53</v>
      </c>
      <c r="J36" s="76">
        <v>61</v>
      </c>
      <c r="K36" s="76">
        <v>81</v>
      </c>
      <c r="L36" s="76">
        <v>91</v>
      </c>
      <c r="M36" s="76">
        <v>102</v>
      </c>
      <c r="N36" s="76">
        <v>102</v>
      </c>
      <c r="O36" s="76">
        <v>102</v>
      </c>
      <c r="P36" s="76">
        <v>102</v>
      </c>
      <c r="Q36" s="76">
        <v>102</v>
      </c>
      <c r="R36" s="76">
        <v>102</v>
      </c>
    </row>
    <row r="37" spans="1:18" x14ac:dyDescent="0.25">
      <c r="A37" s="76" t="s">
        <v>251</v>
      </c>
      <c r="B37" s="76">
        <v>7</v>
      </c>
      <c r="C37" s="76">
        <v>10</v>
      </c>
      <c r="D37" s="76">
        <v>18</v>
      </c>
      <c r="E37" s="76">
        <v>21</v>
      </c>
      <c r="F37" s="76">
        <v>31</v>
      </c>
      <c r="G37" s="76">
        <v>42</v>
      </c>
      <c r="H37" s="76">
        <v>51</v>
      </c>
      <c r="I37" s="76">
        <v>59</v>
      </c>
      <c r="J37" s="76">
        <v>68</v>
      </c>
      <c r="K37" s="76">
        <v>84</v>
      </c>
      <c r="L37" s="76">
        <v>77</v>
      </c>
      <c r="M37" s="76">
        <v>92</v>
      </c>
      <c r="N37" s="76">
        <v>102</v>
      </c>
      <c r="O37" s="76">
        <v>102</v>
      </c>
      <c r="P37" s="76">
        <v>102</v>
      </c>
      <c r="Q37" s="76">
        <v>102</v>
      </c>
      <c r="R37" s="76">
        <v>102</v>
      </c>
    </row>
    <row r="38" spans="1:18" x14ac:dyDescent="0.25">
      <c r="A38" s="76" t="s">
        <v>250</v>
      </c>
      <c r="B38" s="76">
        <v>9</v>
      </c>
      <c r="C38" s="76">
        <v>17</v>
      </c>
      <c r="D38" s="76">
        <v>26</v>
      </c>
      <c r="E38" s="76">
        <v>36</v>
      </c>
      <c r="F38" s="76">
        <v>43</v>
      </c>
      <c r="G38" s="76">
        <v>54</v>
      </c>
      <c r="H38" s="76">
        <v>58</v>
      </c>
      <c r="I38" s="76">
        <v>71</v>
      </c>
      <c r="J38" s="76">
        <v>79</v>
      </c>
      <c r="K38" s="76">
        <v>87</v>
      </c>
      <c r="L38" s="76">
        <v>98</v>
      </c>
      <c r="M38" s="76">
        <v>102</v>
      </c>
      <c r="N38" s="76">
        <v>102</v>
      </c>
      <c r="O38" s="76">
        <v>102</v>
      </c>
      <c r="P38" s="76">
        <v>102</v>
      </c>
      <c r="Q38" s="76">
        <v>102</v>
      </c>
      <c r="R38" s="76">
        <v>102</v>
      </c>
    </row>
    <row r="39" spans="1:18" x14ac:dyDescent="0.25">
      <c r="A39" s="76" t="s">
        <v>249</v>
      </c>
      <c r="B39" s="76">
        <v>10</v>
      </c>
      <c r="C39" s="76">
        <v>17</v>
      </c>
      <c r="D39" s="76">
        <v>22</v>
      </c>
      <c r="E39" s="76">
        <v>28</v>
      </c>
      <c r="F39" s="76">
        <v>34</v>
      </c>
      <c r="G39" s="76">
        <v>41</v>
      </c>
      <c r="H39" s="76">
        <v>49</v>
      </c>
      <c r="I39" s="76">
        <v>59</v>
      </c>
      <c r="J39" s="76">
        <v>64</v>
      </c>
      <c r="K39" s="76">
        <v>71</v>
      </c>
      <c r="L39" s="76">
        <v>85</v>
      </c>
      <c r="M39" s="76">
        <v>97</v>
      </c>
      <c r="N39" s="76">
        <v>102</v>
      </c>
      <c r="O39" s="76">
        <v>102</v>
      </c>
      <c r="P39" s="76">
        <v>102</v>
      </c>
      <c r="Q39" s="76">
        <v>102</v>
      </c>
      <c r="R39" s="76">
        <v>102</v>
      </c>
    </row>
    <row r="40" spans="1:18" x14ac:dyDescent="0.25">
      <c r="A40" s="76" t="s">
        <v>248</v>
      </c>
      <c r="B40" s="76">
        <v>9</v>
      </c>
      <c r="C40" s="76">
        <v>15</v>
      </c>
      <c r="D40" s="76">
        <v>22</v>
      </c>
      <c r="E40" s="76">
        <v>35</v>
      </c>
      <c r="F40" s="76">
        <v>43</v>
      </c>
      <c r="G40" s="76">
        <v>42</v>
      </c>
      <c r="H40" s="76">
        <v>49</v>
      </c>
      <c r="I40" s="76">
        <v>58</v>
      </c>
      <c r="J40" s="76">
        <v>56</v>
      </c>
      <c r="K40" s="76">
        <v>78</v>
      </c>
      <c r="L40" s="76">
        <v>79</v>
      </c>
      <c r="M40" s="76">
        <v>91</v>
      </c>
      <c r="N40" s="76">
        <v>94</v>
      </c>
      <c r="O40" s="76">
        <v>102</v>
      </c>
      <c r="P40" s="76">
        <v>102</v>
      </c>
      <c r="Q40" s="76">
        <v>102</v>
      </c>
      <c r="R40" s="76">
        <v>102</v>
      </c>
    </row>
    <row r="41" spans="1:18" x14ac:dyDescent="0.25">
      <c r="A41" s="76" t="s">
        <v>247</v>
      </c>
      <c r="B41" s="76">
        <v>11</v>
      </c>
      <c r="C41" s="76">
        <v>19</v>
      </c>
      <c r="D41" s="76">
        <v>23</v>
      </c>
      <c r="E41" s="76">
        <v>33</v>
      </c>
      <c r="F41" s="76">
        <v>38</v>
      </c>
      <c r="G41" s="76">
        <v>43</v>
      </c>
      <c r="H41" s="76">
        <v>56</v>
      </c>
      <c r="I41" s="76">
        <v>64</v>
      </c>
      <c r="J41" s="76">
        <v>65</v>
      </c>
      <c r="K41" s="76">
        <v>74</v>
      </c>
      <c r="L41" s="76">
        <v>82</v>
      </c>
      <c r="M41" s="76">
        <v>80</v>
      </c>
      <c r="N41" s="76">
        <v>91</v>
      </c>
      <c r="O41" s="76">
        <v>102</v>
      </c>
      <c r="P41" s="76">
        <v>102</v>
      </c>
      <c r="Q41" s="76">
        <v>102</v>
      </c>
      <c r="R41" s="76">
        <v>102</v>
      </c>
    </row>
    <row r="42" spans="1:18" x14ac:dyDescent="0.25">
      <c r="A42" s="76" t="s">
        <v>246</v>
      </c>
      <c r="B42" s="76">
        <v>8</v>
      </c>
      <c r="C42" s="76">
        <v>16</v>
      </c>
      <c r="D42" s="76">
        <v>23</v>
      </c>
      <c r="E42" s="76">
        <v>29</v>
      </c>
      <c r="F42" s="76">
        <v>33</v>
      </c>
      <c r="G42" s="76">
        <v>36</v>
      </c>
      <c r="H42" s="76">
        <v>41</v>
      </c>
      <c r="I42" s="76">
        <v>43</v>
      </c>
      <c r="J42" s="76">
        <v>42</v>
      </c>
      <c r="K42" s="76">
        <v>57</v>
      </c>
      <c r="L42" s="76">
        <v>55</v>
      </c>
      <c r="M42" s="76">
        <v>45</v>
      </c>
      <c r="N42" s="76">
        <v>50</v>
      </c>
      <c r="O42" s="76">
        <v>48</v>
      </c>
      <c r="P42" s="76">
        <v>51</v>
      </c>
      <c r="Q42" s="76">
        <v>46</v>
      </c>
      <c r="R42" s="76">
        <v>54</v>
      </c>
    </row>
    <row r="43" spans="1:18" x14ac:dyDescent="0.25">
      <c r="A43" s="76" t="s">
        <v>245</v>
      </c>
      <c r="B43" s="76">
        <v>10</v>
      </c>
      <c r="C43" s="76">
        <v>14</v>
      </c>
      <c r="D43" s="76">
        <v>23</v>
      </c>
      <c r="E43" s="76">
        <v>33</v>
      </c>
      <c r="F43" s="76">
        <v>36</v>
      </c>
      <c r="G43" s="76">
        <v>41</v>
      </c>
      <c r="H43" s="76">
        <v>43</v>
      </c>
      <c r="I43" s="76">
        <v>54</v>
      </c>
      <c r="J43" s="76">
        <v>48</v>
      </c>
      <c r="K43" s="76">
        <v>68</v>
      </c>
      <c r="L43" s="76">
        <v>76</v>
      </c>
      <c r="M43" s="76">
        <v>87</v>
      </c>
      <c r="N43" s="76">
        <v>92</v>
      </c>
      <c r="O43" s="76">
        <v>102</v>
      </c>
      <c r="P43" s="76">
        <v>102</v>
      </c>
      <c r="Q43" s="76">
        <v>102</v>
      </c>
      <c r="R43" s="76">
        <v>102</v>
      </c>
    </row>
    <row r="44" spans="1:18" x14ac:dyDescent="0.25">
      <c r="A44" s="76" t="s">
        <v>244</v>
      </c>
      <c r="B44" s="76">
        <v>10</v>
      </c>
      <c r="C44" s="76">
        <v>12</v>
      </c>
      <c r="D44" s="76">
        <v>21</v>
      </c>
      <c r="E44" s="76">
        <v>24</v>
      </c>
      <c r="F44" s="76">
        <v>38</v>
      </c>
      <c r="G44" s="76">
        <v>46</v>
      </c>
      <c r="H44" s="76">
        <v>51</v>
      </c>
      <c r="I44" s="76">
        <v>59</v>
      </c>
      <c r="J44" s="76">
        <v>66</v>
      </c>
      <c r="K44" s="76">
        <v>62</v>
      </c>
      <c r="L44" s="76">
        <v>79</v>
      </c>
      <c r="M44" s="76">
        <v>95</v>
      </c>
      <c r="N44" s="76">
        <v>102</v>
      </c>
      <c r="O44" s="76">
        <v>102</v>
      </c>
      <c r="P44" s="76">
        <v>102</v>
      </c>
      <c r="Q44" s="76">
        <v>102</v>
      </c>
      <c r="R44" s="76">
        <v>102</v>
      </c>
    </row>
    <row r="45" spans="1:18" x14ac:dyDescent="0.25">
      <c r="A45" s="76" t="s">
        <v>243</v>
      </c>
      <c r="B45" s="76">
        <v>9</v>
      </c>
      <c r="C45" s="76">
        <v>16</v>
      </c>
      <c r="D45" s="76">
        <v>17</v>
      </c>
      <c r="E45" s="76">
        <v>34</v>
      </c>
      <c r="F45" s="76">
        <v>31</v>
      </c>
      <c r="G45" s="76">
        <v>42</v>
      </c>
      <c r="H45" s="76">
        <v>43</v>
      </c>
      <c r="I45" s="76">
        <v>60</v>
      </c>
      <c r="J45" s="76">
        <v>68</v>
      </c>
      <c r="K45" s="76">
        <v>87</v>
      </c>
      <c r="L45" s="76">
        <v>94</v>
      </c>
      <c r="M45" s="76">
        <v>102</v>
      </c>
      <c r="N45" s="76">
        <v>102</v>
      </c>
      <c r="O45" s="76">
        <v>102</v>
      </c>
      <c r="P45" s="76">
        <v>102</v>
      </c>
      <c r="Q45" s="76">
        <v>102</v>
      </c>
      <c r="R45" s="76">
        <v>102</v>
      </c>
    </row>
    <row r="46" spans="1:18" x14ac:dyDescent="0.25">
      <c r="A46" s="76" t="s">
        <v>242</v>
      </c>
      <c r="B46" s="76">
        <v>9</v>
      </c>
      <c r="C46" s="76">
        <v>15</v>
      </c>
      <c r="D46" s="76">
        <v>18</v>
      </c>
      <c r="E46" s="76">
        <v>22</v>
      </c>
      <c r="F46" s="76">
        <v>37</v>
      </c>
      <c r="G46" s="76">
        <v>49</v>
      </c>
      <c r="H46" s="76">
        <v>58</v>
      </c>
      <c r="I46" s="76">
        <v>71</v>
      </c>
      <c r="J46" s="76">
        <v>84</v>
      </c>
      <c r="K46" s="76">
        <v>89</v>
      </c>
      <c r="L46" s="76">
        <v>102</v>
      </c>
      <c r="M46" s="76">
        <v>102</v>
      </c>
      <c r="N46" s="76">
        <v>102</v>
      </c>
      <c r="O46" s="76">
        <v>102</v>
      </c>
      <c r="P46" s="76">
        <v>102</v>
      </c>
      <c r="Q46" s="76">
        <v>102</v>
      </c>
      <c r="R46" s="76">
        <v>102</v>
      </c>
    </row>
    <row r="47" spans="1:18" x14ac:dyDescent="0.25">
      <c r="A47" s="76" t="s">
        <v>241</v>
      </c>
      <c r="B47" s="76">
        <v>10</v>
      </c>
      <c r="C47" s="76">
        <v>15</v>
      </c>
      <c r="D47" s="76">
        <v>16</v>
      </c>
      <c r="E47" s="76">
        <v>25</v>
      </c>
      <c r="F47" s="76">
        <v>35</v>
      </c>
      <c r="G47" s="76">
        <v>42</v>
      </c>
      <c r="H47" s="76">
        <v>57</v>
      </c>
      <c r="I47" s="76">
        <v>65</v>
      </c>
      <c r="J47" s="76">
        <v>68</v>
      </c>
      <c r="K47" s="76">
        <v>87</v>
      </c>
      <c r="L47" s="76">
        <v>88</v>
      </c>
      <c r="M47" s="76">
        <v>102</v>
      </c>
      <c r="N47" s="76">
        <v>102</v>
      </c>
      <c r="O47" s="76">
        <v>102</v>
      </c>
      <c r="P47" s="76">
        <v>102</v>
      </c>
      <c r="Q47" s="76">
        <v>102</v>
      </c>
      <c r="R47" s="76">
        <v>102</v>
      </c>
    </row>
    <row r="48" spans="1:18" x14ac:dyDescent="0.25">
      <c r="A48" s="76" t="s">
        <v>240</v>
      </c>
      <c r="B48" s="76">
        <v>10</v>
      </c>
      <c r="C48" s="76">
        <v>12</v>
      </c>
      <c r="D48" s="76">
        <v>21</v>
      </c>
      <c r="E48" s="76">
        <v>28</v>
      </c>
      <c r="F48" s="76">
        <v>38</v>
      </c>
      <c r="G48" s="76">
        <v>49</v>
      </c>
      <c r="H48" s="76">
        <v>55</v>
      </c>
      <c r="I48" s="76">
        <v>68</v>
      </c>
      <c r="J48" s="76">
        <v>74</v>
      </c>
      <c r="K48" s="76">
        <v>74</v>
      </c>
      <c r="L48" s="76">
        <v>95</v>
      </c>
      <c r="M48" s="76">
        <v>102</v>
      </c>
      <c r="N48" s="76">
        <v>102</v>
      </c>
      <c r="O48" s="76">
        <v>102</v>
      </c>
      <c r="P48" s="76">
        <v>102</v>
      </c>
      <c r="Q48" s="76">
        <v>102</v>
      </c>
      <c r="R48" s="76">
        <v>102</v>
      </c>
    </row>
    <row r="49" spans="1:18" x14ac:dyDescent="0.25">
      <c r="A49" s="76" t="s">
        <v>239</v>
      </c>
      <c r="B49" s="76">
        <v>9</v>
      </c>
      <c r="C49" s="76">
        <v>15</v>
      </c>
      <c r="D49" s="76">
        <v>21</v>
      </c>
      <c r="E49" s="76">
        <v>25</v>
      </c>
      <c r="F49" s="76">
        <v>36</v>
      </c>
      <c r="G49" s="76">
        <v>40</v>
      </c>
      <c r="H49" s="76">
        <v>50</v>
      </c>
      <c r="I49" s="76">
        <v>57</v>
      </c>
      <c r="J49" s="76">
        <v>66</v>
      </c>
      <c r="K49" s="76">
        <v>62</v>
      </c>
      <c r="L49" s="76">
        <v>89</v>
      </c>
      <c r="M49" s="76">
        <v>102</v>
      </c>
      <c r="N49" s="76">
        <v>102</v>
      </c>
      <c r="O49" s="76">
        <v>102</v>
      </c>
      <c r="P49" s="76">
        <v>102</v>
      </c>
      <c r="Q49" s="76">
        <v>102</v>
      </c>
      <c r="R49" s="76">
        <v>102</v>
      </c>
    </row>
    <row r="50" spans="1:18" x14ac:dyDescent="0.25">
      <c r="A50" s="76" t="s">
        <v>238</v>
      </c>
      <c r="B50" s="76">
        <v>9</v>
      </c>
      <c r="C50" s="76">
        <v>14</v>
      </c>
      <c r="D50" s="76">
        <v>21</v>
      </c>
      <c r="E50" s="76">
        <v>29</v>
      </c>
      <c r="F50" s="76">
        <v>41</v>
      </c>
      <c r="G50" s="76">
        <v>42</v>
      </c>
      <c r="H50" s="76">
        <v>63</v>
      </c>
      <c r="I50" s="76">
        <v>71</v>
      </c>
      <c r="J50" s="76">
        <v>69</v>
      </c>
      <c r="K50" s="76">
        <v>88</v>
      </c>
      <c r="L50" s="76">
        <v>94</v>
      </c>
      <c r="M50" s="76">
        <v>94</v>
      </c>
      <c r="N50" s="76">
        <v>102</v>
      </c>
      <c r="O50" s="76">
        <v>102</v>
      </c>
      <c r="P50" s="76">
        <v>102</v>
      </c>
      <c r="Q50" s="76">
        <v>102</v>
      </c>
      <c r="R50" s="76">
        <v>102</v>
      </c>
    </row>
    <row r="51" spans="1:18" x14ac:dyDescent="0.25">
      <c r="A51" s="76" t="s">
        <v>237</v>
      </c>
      <c r="B51" s="76">
        <v>9</v>
      </c>
      <c r="C51" s="76">
        <v>22</v>
      </c>
      <c r="D51" s="76">
        <v>23</v>
      </c>
      <c r="E51" s="76">
        <v>39</v>
      </c>
      <c r="F51" s="76">
        <v>42</v>
      </c>
      <c r="G51" s="76">
        <v>49</v>
      </c>
      <c r="H51" s="76">
        <v>66</v>
      </c>
      <c r="I51" s="76">
        <v>75</v>
      </c>
      <c r="J51" s="76">
        <v>82</v>
      </c>
      <c r="K51" s="76">
        <v>96</v>
      </c>
      <c r="L51" s="76">
        <v>100</v>
      </c>
      <c r="M51" s="76">
        <v>102</v>
      </c>
      <c r="N51" s="76">
        <v>102</v>
      </c>
      <c r="O51" s="76">
        <v>102</v>
      </c>
      <c r="P51" s="76">
        <v>102</v>
      </c>
      <c r="Q51" s="76">
        <v>102</v>
      </c>
      <c r="R51" s="76">
        <v>102</v>
      </c>
    </row>
    <row r="52" spans="1:18" x14ac:dyDescent="0.25">
      <c r="A52" s="76" t="s">
        <v>236</v>
      </c>
      <c r="B52" s="76">
        <v>12</v>
      </c>
      <c r="C52" s="76">
        <v>18</v>
      </c>
      <c r="D52" s="76">
        <v>25</v>
      </c>
      <c r="E52" s="76">
        <v>35</v>
      </c>
      <c r="F52" s="76">
        <v>41</v>
      </c>
      <c r="G52" s="76">
        <v>50</v>
      </c>
      <c r="H52" s="76">
        <v>61</v>
      </c>
      <c r="I52" s="76">
        <v>74</v>
      </c>
      <c r="J52" s="76">
        <v>80</v>
      </c>
      <c r="K52" s="76">
        <v>100</v>
      </c>
      <c r="L52" s="76">
        <v>102</v>
      </c>
      <c r="M52" s="76">
        <v>102</v>
      </c>
      <c r="N52" s="76">
        <v>102</v>
      </c>
      <c r="O52" s="76">
        <v>102</v>
      </c>
      <c r="P52" s="76">
        <v>102</v>
      </c>
      <c r="Q52" s="76">
        <v>102</v>
      </c>
      <c r="R52" s="76">
        <v>102</v>
      </c>
    </row>
    <row r="53" spans="1:18" x14ac:dyDescent="0.25">
      <c r="A53" s="76" t="s">
        <v>235</v>
      </c>
      <c r="B53" s="76">
        <v>10</v>
      </c>
      <c r="C53" s="76">
        <v>19</v>
      </c>
      <c r="D53" s="76">
        <v>26</v>
      </c>
      <c r="E53" s="76">
        <v>39</v>
      </c>
      <c r="F53" s="76">
        <v>43</v>
      </c>
      <c r="G53" s="76">
        <v>56</v>
      </c>
      <c r="H53" s="76">
        <v>75</v>
      </c>
      <c r="I53" s="76">
        <v>84</v>
      </c>
      <c r="J53" s="76">
        <v>91</v>
      </c>
      <c r="K53" s="76">
        <v>102</v>
      </c>
      <c r="L53" s="76">
        <v>102</v>
      </c>
      <c r="M53" s="76">
        <v>102</v>
      </c>
      <c r="N53" s="76">
        <v>102</v>
      </c>
      <c r="O53" s="76">
        <v>102</v>
      </c>
      <c r="P53" s="76">
        <v>102</v>
      </c>
      <c r="Q53" s="76">
        <v>102</v>
      </c>
      <c r="R53" s="76">
        <v>102</v>
      </c>
    </row>
    <row r="54" spans="1:18" x14ac:dyDescent="0.25">
      <c r="A54" s="76" t="s">
        <v>234</v>
      </c>
      <c r="B54" s="76">
        <v>10</v>
      </c>
      <c r="C54" s="76">
        <v>12</v>
      </c>
      <c r="D54" s="76">
        <v>23</v>
      </c>
      <c r="E54" s="76">
        <v>34</v>
      </c>
      <c r="F54" s="76">
        <v>42</v>
      </c>
      <c r="G54" s="76">
        <v>54</v>
      </c>
      <c r="H54" s="76">
        <v>64</v>
      </c>
      <c r="I54" s="76">
        <v>73</v>
      </c>
      <c r="J54" s="76">
        <v>86</v>
      </c>
      <c r="K54" s="76">
        <v>92</v>
      </c>
      <c r="L54" s="76">
        <v>102</v>
      </c>
      <c r="M54" s="76">
        <v>102</v>
      </c>
      <c r="N54" s="76">
        <v>102</v>
      </c>
      <c r="O54" s="76">
        <v>102</v>
      </c>
      <c r="P54" s="76">
        <v>102</v>
      </c>
      <c r="Q54" s="76">
        <v>102</v>
      </c>
      <c r="R54" s="76">
        <v>102</v>
      </c>
    </row>
    <row r="55" spans="1:18" x14ac:dyDescent="0.25">
      <c r="A55" s="76" t="s">
        <v>233</v>
      </c>
      <c r="B55" s="76">
        <v>10</v>
      </c>
      <c r="C55" s="76">
        <v>16</v>
      </c>
      <c r="D55" s="76">
        <v>22</v>
      </c>
      <c r="E55" s="76">
        <v>27</v>
      </c>
      <c r="F55" s="76">
        <v>36</v>
      </c>
      <c r="G55" s="76">
        <v>45</v>
      </c>
      <c r="H55" s="76">
        <v>57</v>
      </c>
      <c r="I55" s="76">
        <v>53</v>
      </c>
      <c r="J55" s="76">
        <v>62</v>
      </c>
      <c r="K55" s="76">
        <v>68</v>
      </c>
      <c r="L55" s="76">
        <v>74</v>
      </c>
      <c r="M55" s="76">
        <v>78</v>
      </c>
      <c r="N55" s="76">
        <v>102</v>
      </c>
      <c r="O55" s="76">
        <v>102</v>
      </c>
      <c r="P55" s="76">
        <v>102</v>
      </c>
      <c r="Q55" s="76">
        <v>102</v>
      </c>
      <c r="R55" s="76">
        <v>102</v>
      </c>
    </row>
    <row r="56" spans="1:18" x14ac:dyDescent="0.25">
      <c r="A56" s="76" t="s">
        <v>232</v>
      </c>
      <c r="B56" s="76">
        <v>8</v>
      </c>
      <c r="C56" s="76">
        <v>10</v>
      </c>
      <c r="D56" s="76">
        <v>20</v>
      </c>
      <c r="E56" s="76">
        <v>34</v>
      </c>
      <c r="F56" s="76">
        <v>36</v>
      </c>
      <c r="G56" s="76">
        <v>48</v>
      </c>
      <c r="H56" s="76">
        <v>64</v>
      </c>
      <c r="I56" s="76">
        <v>76</v>
      </c>
      <c r="J56" s="76">
        <v>89</v>
      </c>
      <c r="K56" s="76">
        <v>102</v>
      </c>
      <c r="L56" s="76">
        <v>102</v>
      </c>
      <c r="M56" s="76">
        <v>102</v>
      </c>
      <c r="N56" s="76">
        <v>102</v>
      </c>
      <c r="O56" s="76">
        <v>102</v>
      </c>
      <c r="P56" s="76">
        <v>102</v>
      </c>
      <c r="Q56" s="76">
        <v>102</v>
      </c>
      <c r="R56" s="76">
        <v>102</v>
      </c>
    </row>
    <row r="57" spans="1:18" x14ac:dyDescent="0.25">
      <c r="A57" s="76" t="s">
        <v>231</v>
      </c>
      <c r="B57" s="76">
        <v>8</v>
      </c>
      <c r="C57" s="76">
        <v>10</v>
      </c>
      <c r="D57" s="76">
        <v>18</v>
      </c>
      <c r="E57" s="76">
        <v>25</v>
      </c>
      <c r="F57" s="76">
        <v>34</v>
      </c>
      <c r="G57" s="76">
        <v>46</v>
      </c>
      <c r="H57" s="76">
        <v>52</v>
      </c>
      <c r="I57" s="76">
        <v>67</v>
      </c>
      <c r="J57" s="76">
        <v>73</v>
      </c>
      <c r="K57" s="76">
        <v>83</v>
      </c>
      <c r="L57" s="76">
        <v>102</v>
      </c>
      <c r="M57" s="76">
        <v>102</v>
      </c>
      <c r="N57" s="76">
        <v>102</v>
      </c>
      <c r="O57" s="76">
        <v>102</v>
      </c>
      <c r="P57" s="76">
        <v>102</v>
      </c>
      <c r="Q57" s="76">
        <v>102</v>
      </c>
      <c r="R57" s="76">
        <v>102</v>
      </c>
    </row>
    <row r="58" spans="1:18" x14ac:dyDescent="0.25">
      <c r="A58" s="76" t="s">
        <v>230</v>
      </c>
      <c r="B58" s="76">
        <v>8</v>
      </c>
      <c r="C58" s="76">
        <v>12</v>
      </c>
      <c r="D58" s="76">
        <v>15</v>
      </c>
      <c r="E58" s="76">
        <v>30</v>
      </c>
      <c r="F58" s="76">
        <v>34</v>
      </c>
      <c r="G58" s="76">
        <v>46</v>
      </c>
      <c r="H58" s="76">
        <v>61</v>
      </c>
      <c r="I58" s="76">
        <v>80</v>
      </c>
      <c r="J58" s="76">
        <v>87</v>
      </c>
      <c r="K58" s="76">
        <v>102</v>
      </c>
      <c r="L58" s="76">
        <v>102</v>
      </c>
      <c r="M58" s="76">
        <v>102</v>
      </c>
      <c r="N58" s="76">
        <v>102</v>
      </c>
      <c r="O58" s="76">
        <v>102</v>
      </c>
      <c r="P58" s="76">
        <v>102</v>
      </c>
      <c r="Q58" s="76">
        <v>102</v>
      </c>
      <c r="R58" s="76">
        <v>102</v>
      </c>
    </row>
    <row r="59" spans="1:18" x14ac:dyDescent="0.25">
      <c r="A59" s="76" t="s">
        <v>229</v>
      </c>
      <c r="B59" s="76">
        <v>7</v>
      </c>
      <c r="C59" s="76">
        <v>11</v>
      </c>
      <c r="D59" s="76">
        <v>17</v>
      </c>
      <c r="E59" s="76">
        <v>28</v>
      </c>
      <c r="F59" s="76">
        <v>30</v>
      </c>
      <c r="G59" s="76">
        <v>33</v>
      </c>
      <c r="H59" s="76">
        <v>36</v>
      </c>
      <c r="I59" s="76">
        <v>38</v>
      </c>
      <c r="J59" s="76">
        <v>37</v>
      </c>
      <c r="K59" s="76">
        <v>50</v>
      </c>
      <c r="L59" s="76">
        <v>57</v>
      </c>
      <c r="M59" s="76">
        <v>58</v>
      </c>
      <c r="N59" s="76">
        <v>72</v>
      </c>
      <c r="O59" s="76">
        <v>73</v>
      </c>
      <c r="P59" s="76">
        <v>79</v>
      </c>
      <c r="Q59" s="76">
        <v>80</v>
      </c>
      <c r="R59" s="76">
        <v>102</v>
      </c>
    </row>
    <row r="60" spans="1:18" x14ac:dyDescent="0.25">
      <c r="A60" s="76" t="s">
        <v>228</v>
      </c>
      <c r="B60" s="76">
        <v>8</v>
      </c>
      <c r="C60" s="76">
        <v>15</v>
      </c>
      <c r="D60" s="76">
        <v>14</v>
      </c>
      <c r="E60" s="76">
        <v>22</v>
      </c>
      <c r="F60" s="76">
        <v>24</v>
      </c>
      <c r="G60" s="76">
        <v>27</v>
      </c>
      <c r="H60" s="76">
        <v>29</v>
      </c>
      <c r="I60" s="76">
        <v>28</v>
      </c>
      <c r="J60" s="76">
        <v>30</v>
      </c>
      <c r="K60" s="76">
        <v>25</v>
      </c>
      <c r="L60" s="76">
        <v>34</v>
      </c>
      <c r="M60" s="76">
        <v>41</v>
      </c>
      <c r="N60" s="76">
        <v>54</v>
      </c>
      <c r="O60" s="76">
        <v>60</v>
      </c>
      <c r="P60" s="76">
        <v>64</v>
      </c>
      <c r="Q60" s="76">
        <v>61</v>
      </c>
      <c r="R60" s="76">
        <v>69</v>
      </c>
    </row>
    <row r="61" spans="1:18" x14ac:dyDescent="0.25">
      <c r="A61" s="76" t="s">
        <v>227</v>
      </c>
      <c r="B61" s="76">
        <v>8</v>
      </c>
      <c r="C61" s="76">
        <v>14</v>
      </c>
      <c r="D61" s="76">
        <v>15</v>
      </c>
      <c r="E61" s="76">
        <v>23</v>
      </c>
      <c r="F61" s="76">
        <v>23</v>
      </c>
      <c r="G61" s="76">
        <v>26</v>
      </c>
      <c r="H61" s="76">
        <v>26</v>
      </c>
      <c r="I61" s="76">
        <v>27</v>
      </c>
      <c r="J61" s="76">
        <v>29</v>
      </c>
      <c r="K61" s="76">
        <v>33</v>
      </c>
      <c r="L61" s="76">
        <v>41</v>
      </c>
      <c r="M61" s="76">
        <v>50</v>
      </c>
      <c r="N61" s="76">
        <v>63</v>
      </c>
      <c r="O61" s="76">
        <v>66</v>
      </c>
      <c r="P61" s="76">
        <v>77</v>
      </c>
      <c r="Q61" s="76">
        <v>77</v>
      </c>
      <c r="R61" s="76">
        <v>83</v>
      </c>
    </row>
    <row r="62" spans="1:18" x14ac:dyDescent="0.25">
      <c r="A62" s="76" t="s">
        <v>226</v>
      </c>
      <c r="B62" s="76">
        <v>11</v>
      </c>
      <c r="C62" s="76">
        <v>25</v>
      </c>
      <c r="D62" s="76">
        <v>26</v>
      </c>
      <c r="E62" s="76">
        <v>32</v>
      </c>
      <c r="F62" s="76">
        <v>38</v>
      </c>
      <c r="G62" s="76">
        <v>46</v>
      </c>
      <c r="H62" s="76">
        <v>50</v>
      </c>
      <c r="I62" s="76">
        <v>56</v>
      </c>
      <c r="J62" s="76">
        <v>65</v>
      </c>
      <c r="K62" s="76">
        <v>66</v>
      </c>
      <c r="L62" s="76">
        <v>91</v>
      </c>
      <c r="M62" s="76">
        <v>102</v>
      </c>
      <c r="N62" s="76">
        <v>102</v>
      </c>
      <c r="O62" s="76">
        <v>102</v>
      </c>
      <c r="P62" s="76">
        <v>102</v>
      </c>
      <c r="Q62" s="76">
        <v>102</v>
      </c>
      <c r="R62" s="76">
        <v>102</v>
      </c>
    </row>
    <row r="63" spans="1:18" x14ac:dyDescent="0.25">
      <c r="A63" s="76" t="s">
        <v>225</v>
      </c>
      <c r="B63" s="76">
        <v>9</v>
      </c>
      <c r="C63" s="76">
        <v>11</v>
      </c>
      <c r="D63" s="76">
        <v>23</v>
      </c>
      <c r="E63" s="76">
        <v>38</v>
      </c>
      <c r="F63" s="76">
        <v>35</v>
      </c>
      <c r="G63" s="76">
        <v>44</v>
      </c>
      <c r="H63" s="76">
        <v>54</v>
      </c>
      <c r="I63" s="76">
        <v>56</v>
      </c>
      <c r="J63" s="76">
        <v>55</v>
      </c>
      <c r="K63" s="76">
        <v>67</v>
      </c>
      <c r="L63" s="76">
        <v>85</v>
      </c>
      <c r="M63" s="76">
        <v>97</v>
      </c>
      <c r="N63" s="76">
        <v>102</v>
      </c>
      <c r="O63" s="76">
        <v>102</v>
      </c>
      <c r="P63" s="76">
        <v>102</v>
      </c>
      <c r="Q63" s="76">
        <v>102</v>
      </c>
      <c r="R63" s="76">
        <v>102</v>
      </c>
    </row>
    <row r="64" spans="1:18" x14ac:dyDescent="0.25">
      <c r="A64" s="76" t="s">
        <v>224</v>
      </c>
      <c r="B64" s="76">
        <v>8</v>
      </c>
      <c r="C64" s="76">
        <v>20</v>
      </c>
      <c r="D64" s="76">
        <v>24</v>
      </c>
      <c r="E64" s="76">
        <v>33</v>
      </c>
      <c r="F64" s="76">
        <v>40</v>
      </c>
      <c r="G64" s="76">
        <v>42</v>
      </c>
      <c r="H64" s="76">
        <v>55</v>
      </c>
      <c r="I64" s="76">
        <v>59</v>
      </c>
      <c r="J64" s="76">
        <v>67</v>
      </c>
      <c r="K64" s="76">
        <v>78</v>
      </c>
      <c r="L64" s="76">
        <v>89</v>
      </c>
      <c r="M64" s="76">
        <v>101</v>
      </c>
      <c r="N64" s="76">
        <v>102</v>
      </c>
      <c r="O64" s="76">
        <v>102</v>
      </c>
      <c r="P64" s="76">
        <v>102</v>
      </c>
      <c r="Q64" s="76">
        <v>102</v>
      </c>
      <c r="R64" s="76">
        <v>102</v>
      </c>
    </row>
    <row r="65" spans="1:18" x14ac:dyDescent="0.25">
      <c r="A65" s="76" t="s">
        <v>223</v>
      </c>
      <c r="B65" s="76">
        <v>10</v>
      </c>
      <c r="C65" s="76">
        <v>18</v>
      </c>
      <c r="D65" s="76">
        <v>18</v>
      </c>
      <c r="E65" s="76">
        <v>31</v>
      </c>
      <c r="F65" s="76">
        <v>31</v>
      </c>
      <c r="G65" s="76">
        <v>33</v>
      </c>
      <c r="H65" s="76">
        <v>41</v>
      </c>
      <c r="I65" s="76">
        <v>43</v>
      </c>
      <c r="J65" s="76">
        <v>31</v>
      </c>
      <c r="K65" s="76">
        <v>48</v>
      </c>
      <c r="L65" s="76">
        <v>58</v>
      </c>
      <c r="M65" s="76">
        <v>51</v>
      </c>
      <c r="N65" s="76">
        <v>61</v>
      </c>
      <c r="O65" s="76">
        <v>63</v>
      </c>
      <c r="P65" s="76">
        <v>70</v>
      </c>
      <c r="Q65" s="76">
        <v>69</v>
      </c>
      <c r="R65" s="76">
        <v>69</v>
      </c>
    </row>
    <row r="66" spans="1:18" x14ac:dyDescent="0.25">
      <c r="A66" s="76" t="s">
        <v>222</v>
      </c>
      <c r="B66" s="76">
        <v>9</v>
      </c>
      <c r="C66" s="76">
        <v>16</v>
      </c>
      <c r="D66" s="76">
        <v>20</v>
      </c>
      <c r="E66" s="76">
        <v>31</v>
      </c>
      <c r="F66" s="76">
        <v>30</v>
      </c>
      <c r="G66" s="76">
        <v>35</v>
      </c>
      <c r="H66" s="76">
        <v>46</v>
      </c>
      <c r="I66" s="76">
        <v>53</v>
      </c>
      <c r="J66" s="76">
        <v>62</v>
      </c>
      <c r="K66" s="76">
        <v>72</v>
      </c>
      <c r="L66" s="76">
        <v>72</v>
      </c>
      <c r="M66" s="76">
        <v>76</v>
      </c>
      <c r="N66" s="76">
        <v>82</v>
      </c>
      <c r="O66" s="76">
        <v>82</v>
      </c>
      <c r="P66" s="76">
        <v>96</v>
      </c>
      <c r="Q66" s="76">
        <v>84</v>
      </c>
      <c r="R66" s="76">
        <v>94</v>
      </c>
    </row>
    <row r="67" spans="1:18" x14ac:dyDescent="0.25">
      <c r="A67" s="76" t="s">
        <v>221</v>
      </c>
      <c r="B67" s="76">
        <v>9</v>
      </c>
      <c r="C67" s="76">
        <v>19</v>
      </c>
      <c r="D67" s="76">
        <v>18</v>
      </c>
      <c r="E67" s="76">
        <v>31</v>
      </c>
      <c r="F67" s="76">
        <v>33</v>
      </c>
      <c r="G67" s="76">
        <v>39</v>
      </c>
      <c r="H67" s="76">
        <v>49</v>
      </c>
      <c r="I67" s="76">
        <v>58</v>
      </c>
      <c r="J67" s="76">
        <v>64</v>
      </c>
      <c r="K67" s="76">
        <v>78</v>
      </c>
      <c r="L67" s="76">
        <v>93</v>
      </c>
      <c r="M67" s="76">
        <v>98</v>
      </c>
      <c r="N67" s="76">
        <v>102</v>
      </c>
      <c r="O67" s="76">
        <v>102</v>
      </c>
      <c r="P67" s="76">
        <v>102</v>
      </c>
      <c r="Q67" s="76">
        <v>102</v>
      </c>
      <c r="R67" s="76">
        <v>102</v>
      </c>
    </row>
    <row r="68" spans="1:18" x14ac:dyDescent="0.25">
      <c r="A68" s="76" t="s">
        <v>220</v>
      </c>
      <c r="B68" s="76">
        <v>8</v>
      </c>
      <c r="C68" s="76">
        <v>19</v>
      </c>
      <c r="D68" s="76">
        <v>22</v>
      </c>
      <c r="E68" s="76">
        <v>29</v>
      </c>
      <c r="F68" s="76">
        <v>31</v>
      </c>
      <c r="G68" s="76">
        <v>40</v>
      </c>
      <c r="H68" s="76">
        <v>40</v>
      </c>
      <c r="I68" s="76">
        <v>48</v>
      </c>
      <c r="J68" s="76">
        <v>47</v>
      </c>
      <c r="K68" s="76">
        <v>51</v>
      </c>
      <c r="L68" s="76">
        <v>65</v>
      </c>
      <c r="M68" s="76">
        <v>78</v>
      </c>
      <c r="N68" s="76">
        <v>94</v>
      </c>
      <c r="O68" s="76">
        <v>102</v>
      </c>
      <c r="P68" s="76">
        <v>102</v>
      </c>
      <c r="Q68" s="76">
        <v>102</v>
      </c>
      <c r="R68" s="76">
        <v>102</v>
      </c>
    </row>
    <row r="69" spans="1:18" x14ac:dyDescent="0.25">
      <c r="A69" s="76" t="s">
        <v>219</v>
      </c>
      <c r="B69" s="76">
        <v>8</v>
      </c>
      <c r="C69" s="76">
        <v>18</v>
      </c>
      <c r="D69" s="76">
        <v>22</v>
      </c>
      <c r="E69" s="76">
        <v>35</v>
      </c>
      <c r="F69" s="76">
        <v>30</v>
      </c>
      <c r="G69" s="76">
        <v>38</v>
      </c>
      <c r="H69" s="76">
        <v>39</v>
      </c>
      <c r="I69" s="76">
        <v>48</v>
      </c>
      <c r="J69" s="76">
        <v>46</v>
      </c>
      <c r="K69" s="76">
        <v>73</v>
      </c>
      <c r="L69" s="76">
        <v>76</v>
      </c>
      <c r="M69" s="76">
        <v>91</v>
      </c>
      <c r="N69" s="76">
        <v>92</v>
      </c>
      <c r="O69" s="76">
        <v>102</v>
      </c>
      <c r="P69" s="76">
        <v>102</v>
      </c>
      <c r="Q69" s="76">
        <v>102</v>
      </c>
      <c r="R69" s="76">
        <v>102</v>
      </c>
    </row>
    <row r="70" spans="1:18" x14ac:dyDescent="0.25">
      <c r="A70" s="76" t="s">
        <v>218</v>
      </c>
      <c r="B70" s="76">
        <v>8</v>
      </c>
      <c r="C70" s="76">
        <v>14</v>
      </c>
      <c r="D70" s="76">
        <v>23</v>
      </c>
      <c r="E70" s="76">
        <v>25</v>
      </c>
      <c r="F70" s="76">
        <v>30</v>
      </c>
      <c r="G70" s="76">
        <v>35</v>
      </c>
      <c r="H70" s="76">
        <v>36</v>
      </c>
      <c r="I70" s="76">
        <v>38</v>
      </c>
      <c r="J70" s="76">
        <v>37</v>
      </c>
      <c r="K70" s="76">
        <v>46</v>
      </c>
      <c r="L70" s="76">
        <v>70</v>
      </c>
      <c r="M70" s="76">
        <v>94</v>
      </c>
      <c r="N70" s="76">
        <v>94</v>
      </c>
      <c r="O70" s="76">
        <v>102</v>
      </c>
      <c r="P70" s="76">
        <v>102</v>
      </c>
      <c r="Q70" s="76">
        <v>102</v>
      </c>
      <c r="R70" s="76">
        <v>102</v>
      </c>
    </row>
    <row r="71" spans="1:18" x14ac:dyDescent="0.25">
      <c r="A71" s="76" t="s">
        <v>217</v>
      </c>
      <c r="B71" s="76">
        <v>9</v>
      </c>
      <c r="C71" s="76">
        <v>11</v>
      </c>
      <c r="D71" s="76">
        <v>18</v>
      </c>
      <c r="E71" s="76">
        <v>27</v>
      </c>
      <c r="F71" s="76">
        <v>30</v>
      </c>
      <c r="G71" s="76">
        <v>34</v>
      </c>
      <c r="H71" s="76">
        <v>35</v>
      </c>
      <c r="I71" s="76">
        <v>36</v>
      </c>
      <c r="J71" s="76">
        <v>34</v>
      </c>
      <c r="K71" s="76">
        <v>51</v>
      </c>
      <c r="L71" s="76">
        <v>63</v>
      </c>
      <c r="M71" s="76">
        <v>80</v>
      </c>
      <c r="N71" s="76">
        <v>88</v>
      </c>
      <c r="O71" s="76">
        <v>97</v>
      </c>
      <c r="P71" s="76">
        <v>102</v>
      </c>
      <c r="Q71" s="76">
        <v>102</v>
      </c>
      <c r="R71" s="76">
        <v>102</v>
      </c>
    </row>
    <row r="72" spans="1:18" x14ac:dyDescent="0.25">
      <c r="A72" s="76" t="s">
        <v>216</v>
      </c>
      <c r="B72" s="76">
        <v>8</v>
      </c>
      <c r="C72" s="76">
        <v>15</v>
      </c>
      <c r="D72" s="76">
        <v>17</v>
      </c>
      <c r="E72" s="76">
        <v>25</v>
      </c>
      <c r="F72" s="76">
        <v>28</v>
      </c>
      <c r="G72" s="76">
        <v>37</v>
      </c>
      <c r="H72" s="76">
        <v>37</v>
      </c>
      <c r="I72" s="76">
        <v>42</v>
      </c>
      <c r="J72" s="76">
        <v>39</v>
      </c>
      <c r="K72" s="76">
        <v>59</v>
      </c>
      <c r="L72" s="76">
        <v>70</v>
      </c>
      <c r="M72" s="76">
        <v>83</v>
      </c>
      <c r="N72" s="76">
        <v>90</v>
      </c>
      <c r="O72" s="76">
        <v>97</v>
      </c>
      <c r="P72" s="76">
        <v>102</v>
      </c>
      <c r="Q72" s="76">
        <v>102</v>
      </c>
      <c r="R72" s="76">
        <v>102</v>
      </c>
    </row>
    <row r="73" spans="1:18" x14ac:dyDescent="0.25">
      <c r="A73" s="76" t="s">
        <v>215</v>
      </c>
      <c r="B73" s="76">
        <v>8</v>
      </c>
      <c r="C73" s="76">
        <v>15</v>
      </c>
      <c r="D73" s="76">
        <v>18</v>
      </c>
      <c r="E73" s="76">
        <v>28</v>
      </c>
      <c r="F73" s="76">
        <v>27</v>
      </c>
      <c r="G73" s="76">
        <v>34</v>
      </c>
      <c r="H73" s="76">
        <v>38</v>
      </c>
      <c r="I73" s="76">
        <v>38</v>
      </c>
      <c r="J73" s="76">
        <v>37</v>
      </c>
      <c r="K73" s="76">
        <v>46</v>
      </c>
      <c r="L73" s="76">
        <v>60</v>
      </c>
      <c r="M73" s="76">
        <v>69</v>
      </c>
      <c r="N73" s="76">
        <v>74</v>
      </c>
      <c r="O73" s="76">
        <v>89</v>
      </c>
      <c r="P73" s="76">
        <v>102</v>
      </c>
      <c r="Q73" s="76">
        <v>102</v>
      </c>
      <c r="R73" s="76">
        <v>102</v>
      </c>
    </row>
    <row r="74" spans="1:18" x14ac:dyDescent="0.25">
      <c r="A74" s="76" t="s">
        <v>214</v>
      </c>
      <c r="B74" s="76">
        <v>9</v>
      </c>
      <c r="C74" s="76">
        <v>18</v>
      </c>
      <c r="D74" s="76">
        <v>25</v>
      </c>
      <c r="E74" s="76">
        <v>38</v>
      </c>
      <c r="F74" s="76">
        <v>39</v>
      </c>
      <c r="G74" s="76">
        <v>50</v>
      </c>
      <c r="H74" s="76">
        <v>68</v>
      </c>
      <c r="I74" s="76">
        <v>80</v>
      </c>
      <c r="J74" s="76">
        <v>97</v>
      </c>
      <c r="K74" s="76">
        <v>102</v>
      </c>
      <c r="L74" s="76">
        <v>102</v>
      </c>
      <c r="M74" s="76">
        <v>102</v>
      </c>
      <c r="N74" s="76">
        <v>102</v>
      </c>
      <c r="O74" s="76">
        <v>102</v>
      </c>
      <c r="P74" s="76">
        <v>102</v>
      </c>
      <c r="Q74" s="76">
        <v>102</v>
      </c>
      <c r="R74" s="76">
        <v>102</v>
      </c>
    </row>
    <row r="75" spans="1:18" x14ac:dyDescent="0.25">
      <c r="A75" s="76" t="s">
        <v>213</v>
      </c>
      <c r="B75" s="76">
        <v>9</v>
      </c>
      <c r="C75" s="76">
        <v>13</v>
      </c>
      <c r="D75" s="76">
        <v>22</v>
      </c>
      <c r="E75" s="76">
        <v>39</v>
      </c>
      <c r="F75" s="76">
        <v>47</v>
      </c>
      <c r="G75" s="76">
        <v>55</v>
      </c>
      <c r="H75" s="76">
        <v>77</v>
      </c>
      <c r="I75" s="76">
        <v>84</v>
      </c>
      <c r="J75" s="76">
        <v>92</v>
      </c>
      <c r="K75" s="76">
        <v>102</v>
      </c>
      <c r="L75" s="76">
        <v>102</v>
      </c>
      <c r="M75" s="76">
        <v>102</v>
      </c>
      <c r="N75" s="76">
        <v>102</v>
      </c>
      <c r="O75" s="76">
        <v>102</v>
      </c>
      <c r="P75" s="76">
        <v>102</v>
      </c>
      <c r="Q75" s="76">
        <v>102</v>
      </c>
      <c r="R75" s="76">
        <v>102</v>
      </c>
    </row>
    <row r="76" spans="1:18" x14ac:dyDescent="0.25">
      <c r="A76" s="76" t="s">
        <v>212</v>
      </c>
      <c r="B76" s="76">
        <v>11</v>
      </c>
      <c r="C76" s="76">
        <v>15</v>
      </c>
      <c r="D76" s="76">
        <v>22</v>
      </c>
      <c r="E76" s="76">
        <v>28</v>
      </c>
      <c r="F76" s="76">
        <v>37</v>
      </c>
      <c r="G76" s="76">
        <v>40</v>
      </c>
      <c r="H76" s="76">
        <v>52</v>
      </c>
      <c r="I76" s="76">
        <v>63</v>
      </c>
      <c r="J76" s="76">
        <v>75</v>
      </c>
      <c r="K76" s="76">
        <v>80</v>
      </c>
      <c r="L76" s="76">
        <v>92</v>
      </c>
      <c r="M76" s="76">
        <v>102</v>
      </c>
      <c r="N76" s="76">
        <v>102</v>
      </c>
      <c r="O76" s="76">
        <v>102</v>
      </c>
      <c r="P76" s="76">
        <v>102</v>
      </c>
      <c r="Q76" s="76">
        <v>102</v>
      </c>
      <c r="R76" s="76">
        <v>102</v>
      </c>
    </row>
    <row r="77" spans="1:18" x14ac:dyDescent="0.25">
      <c r="A77" s="76" t="s">
        <v>211</v>
      </c>
      <c r="B77" s="76">
        <v>9</v>
      </c>
      <c r="C77" s="76">
        <v>15</v>
      </c>
      <c r="D77" s="76">
        <v>19</v>
      </c>
      <c r="E77" s="76">
        <v>44</v>
      </c>
      <c r="F77" s="76">
        <v>45</v>
      </c>
      <c r="G77" s="76">
        <v>58</v>
      </c>
      <c r="H77" s="76">
        <v>73</v>
      </c>
      <c r="I77" s="76">
        <v>58</v>
      </c>
      <c r="J77" s="76">
        <v>98</v>
      </c>
      <c r="K77" s="76">
        <v>102</v>
      </c>
      <c r="L77" s="76">
        <v>102</v>
      </c>
      <c r="M77" s="76">
        <v>102</v>
      </c>
      <c r="N77" s="76">
        <v>102</v>
      </c>
      <c r="O77" s="76">
        <v>102</v>
      </c>
      <c r="P77" s="76">
        <v>102</v>
      </c>
      <c r="Q77" s="76">
        <v>102</v>
      </c>
      <c r="R77" s="76">
        <v>102</v>
      </c>
    </row>
    <row r="78" spans="1:18" x14ac:dyDescent="0.25">
      <c r="A78" s="76" t="s">
        <v>210</v>
      </c>
      <c r="B78" s="76">
        <v>10</v>
      </c>
      <c r="C78" s="76">
        <v>16</v>
      </c>
      <c r="D78" s="76">
        <v>22</v>
      </c>
      <c r="E78" s="76">
        <v>23</v>
      </c>
      <c r="F78" s="76">
        <v>39</v>
      </c>
      <c r="G78" s="76">
        <v>40</v>
      </c>
      <c r="H78" s="76">
        <v>51</v>
      </c>
      <c r="I78" s="76">
        <v>57</v>
      </c>
      <c r="J78" s="76">
        <v>69</v>
      </c>
      <c r="K78" s="76">
        <v>69</v>
      </c>
      <c r="L78" s="76">
        <v>85</v>
      </c>
      <c r="M78" s="76">
        <v>94</v>
      </c>
      <c r="N78" s="76">
        <v>102</v>
      </c>
      <c r="O78" s="76">
        <v>102</v>
      </c>
      <c r="P78" s="76">
        <v>102</v>
      </c>
      <c r="Q78" s="76">
        <v>102</v>
      </c>
      <c r="R78" s="76">
        <v>102</v>
      </c>
    </row>
    <row r="79" spans="1:18" x14ac:dyDescent="0.25">
      <c r="A79" s="76" t="s">
        <v>209</v>
      </c>
      <c r="B79" s="76">
        <v>8</v>
      </c>
      <c r="C79" s="76">
        <v>13</v>
      </c>
      <c r="D79" s="76">
        <v>18</v>
      </c>
      <c r="E79" s="76">
        <v>32</v>
      </c>
      <c r="F79" s="76">
        <v>31</v>
      </c>
      <c r="G79" s="76">
        <v>37</v>
      </c>
      <c r="H79" s="76">
        <v>49</v>
      </c>
      <c r="I79" s="76">
        <v>57</v>
      </c>
      <c r="J79" s="76">
        <v>60</v>
      </c>
      <c r="K79" s="76">
        <v>73</v>
      </c>
      <c r="L79" s="76">
        <v>75</v>
      </c>
      <c r="M79" s="76">
        <v>85</v>
      </c>
      <c r="N79" s="76">
        <v>91</v>
      </c>
      <c r="O79" s="76">
        <v>93</v>
      </c>
      <c r="P79" s="76">
        <v>102</v>
      </c>
      <c r="Q79" s="76">
        <v>102</v>
      </c>
      <c r="R79" s="76">
        <v>102</v>
      </c>
    </row>
    <row r="80" spans="1:18" x14ac:dyDescent="0.25">
      <c r="A80" s="76" t="s">
        <v>208</v>
      </c>
      <c r="B80" s="76">
        <v>9</v>
      </c>
      <c r="C80" s="76">
        <v>12</v>
      </c>
      <c r="D80" s="76">
        <v>23</v>
      </c>
      <c r="E80" s="76">
        <v>36</v>
      </c>
      <c r="F80" s="76">
        <v>44</v>
      </c>
      <c r="G80" s="76">
        <v>57</v>
      </c>
      <c r="H80" s="76">
        <v>65</v>
      </c>
      <c r="I80" s="76">
        <v>83</v>
      </c>
      <c r="J80" s="76">
        <v>92</v>
      </c>
      <c r="K80" s="76">
        <v>102</v>
      </c>
      <c r="L80" s="76">
        <v>102</v>
      </c>
      <c r="M80" s="76">
        <v>102</v>
      </c>
      <c r="N80" s="76">
        <v>102</v>
      </c>
      <c r="O80" s="76">
        <v>102</v>
      </c>
      <c r="P80" s="76">
        <v>102</v>
      </c>
      <c r="Q80" s="76">
        <v>102</v>
      </c>
      <c r="R80" s="76">
        <v>102</v>
      </c>
    </row>
    <row r="81" spans="1:18" x14ac:dyDescent="0.25">
      <c r="A81" s="76" t="s">
        <v>207</v>
      </c>
      <c r="B81" s="76">
        <v>9</v>
      </c>
      <c r="C81" s="76">
        <v>11</v>
      </c>
      <c r="D81" s="76">
        <v>19</v>
      </c>
      <c r="E81" s="76">
        <v>26</v>
      </c>
      <c r="F81" s="76">
        <v>36</v>
      </c>
      <c r="G81" s="76">
        <v>45</v>
      </c>
      <c r="H81" s="76">
        <v>57</v>
      </c>
      <c r="I81" s="76">
        <v>63</v>
      </c>
      <c r="J81" s="76">
        <v>78</v>
      </c>
      <c r="K81" s="76">
        <v>89</v>
      </c>
      <c r="L81" s="76">
        <v>98</v>
      </c>
      <c r="M81" s="76">
        <v>102</v>
      </c>
      <c r="N81" s="76">
        <v>102</v>
      </c>
      <c r="O81" s="76">
        <v>102</v>
      </c>
      <c r="P81" s="76">
        <v>102</v>
      </c>
      <c r="Q81" s="76">
        <v>102</v>
      </c>
      <c r="R81" s="76">
        <v>102</v>
      </c>
    </row>
    <row r="82" spans="1:18" x14ac:dyDescent="0.25">
      <c r="A82" s="76" t="s">
        <v>206</v>
      </c>
      <c r="B82" s="76">
        <v>7</v>
      </c>
      <c r="C82" s="76">
        <v>12</v>
      </c>
      <c r="D82" s="76">
        <v>18</v>
      </c>
      <c r="E82" s="76">
        <v>27</v>
      </c>
      <c r="F82" s="76">
        <v>32</v>
      </c>
      <c r="G82" s="76">
        <v>38</v>
      </c>
      <c r="H82" s="76">
        <v>44</v>
      </c>
      <c r="I82" s="76">
        <v>56</v>
      </c>
      <c r="J82" s="76">
        <v>60</v>
      </c>
      <c r="K82" s="76">
        <v>78</v>
      </c>
      <c r="L82" s="76">
        <v>91</v>
      </c>
      <c r="M82" s="76">
        <v>96</v>
      </c>
      <c r="N82" s="76">
        <v>102</v>
      </c>
      <c r="O82" s="76">
        <v>102</v>
      </c>
      <c r="P82" s="76">
        <v>102</v>
      </c>
      <c r="Q82" s="76">
        <v>102</v>
      </c>
      <c r="R82" s="76">
        <v>102</v>
      </c>
    </row>
    <row r="83" spans="1:18" x14ac:dyDescent="0.25">
      <c r="A83" s="76" t="s">
        <v>205</v>
      </c>
      <c r="B83" s="76">
        <v>6</v>
      </c>
      <c r="C83" s="76">
        <v>17</v>
      </c>
      <c r="D83" s="76">
        <v>20</v>
      </c>
      <c r="E83" s="76">
        <v>29</v>
      </c>
      <c r="F83" s="76">
        <v>31</v>
      </c>
      <c r="G83" s="76">
        <v>36</v>
      </c>
      <c r="H83" s="76">
        <v>45</v>
      </c>
      <c r="I83" s="76">
        <v>50</v>
      </c>
      <c r="J83" s="76">
        <v>48</v>
      </c>
      <c r="K83" s="76">
        <v>65</v>
      </c>
      <c r="L83" s="76">
        <v>77</v>
      </c>
      <c r="M83" s="76">
        <v>89</v>
      </c>
      <c r="N83" s="76">
        <v>99</v>
      </c>
      <c r="O83" s="76">
        <v>102</v>
      </c>
      <c r="P83" s="76">
        <v>102</v>
      </c>
      <c r="Q83" s="76">
        <v>102</v>
      </c>
      <c r="R83" s="76">
        <v>102</v>
      </c>
    </row>
    <row r="84" spans="1:18" x14ac:dyDescent="0.25">
      <c r="A84" s="76" t="s">
        <v>204</v>
      </c>
      <c r="B84" s="76">
        <v>8</v>
      </c>
      <c r="C84" s="76">
        <v>17</v>
      </c>
      <c r="D84" s="76">
        <v>16</v>
      </c>
      <c r="E84" s="76">
        <v>24</v>
      </c>
      <c r="F84" s="76">
        <v>27</v>
      </c>
      <c r="G84" s="76">
        <v>33</v>
      </c>
      <c r="H84" s="76">
        <v>39</v>
      </c>
      <c r="I84" s="76">
        <v>48</v>
      </c>
      <c r="J84" s="76">
        <v>49</v>
      </c>
      <c r="K84" s="76">
        <v>58</v>
      </c>
      <c r="L84" s="76">
        <v>68</v>
      </c>
      <c r="M84" s="76">
        <v>66</v>
      </c>
      <c r="N84" s="76">
        <v>94</v>
      </c>
      <c r="O84" s="76">
        <v>95</v>
      </c>
      <c r="P84" s="76">
        <v>102</v>
      </c>
      <c r="Q84" s="76">
        <v>102</v>
      </c>
      <c r="R84" s="76">
        <v>102</v>
      </c>
    </row>
    <row r="85" spans="1:18" x14ac:dyDescent="0.25">
      <c r="A85" s="76" t="s">
        <v>203</v>
      </c>
      <c r="B85" s="76">
        <v>8</v>
      </c>
      <c r="C85" s="76">
        <v>13</v>
      </c>
      <c r="D85" s="76">
        <v>17</v>
      </c>
      <c r="E85" s="76">
        <v>30</v>
      </c>
      <c r="F85" s="76">
        <v>41</v>
      </c>
      <c r="G85" s="76">
        <v>47</v>
      </c>
      <c r="H85" s="76">
        <v>51</v>
      </c>
      <c r="I85" s="76">
        <v>68</v>
      </c>
      <c r="J85" s="76">
        <v>71</v>
      </c>
      <c r="K85" s="76">
        <v>84</v>
      </c>
      <c r="L85" s="76">
        <v>94</v>
      </c>
      <c r="M85" s="76">
        <v>99</v>
      </c>
      <c r="N85" s="76">
        <v>102</v>
      </c>
      <c r="O85" s="76">
        <v>102</v>
      </c>
      <c r="P85" s="76">
        <v>102</v>
      </c>
      <c r="Q85" s="76">
        <v>102</v>
      </c>
      <c r="R85" s="76">
        <v>102</v>
      </c>
    </row>
    <row r="86" spans="1:18" x14ac:dyDescent="0.25">
      <c r="A86" s="76" t="s">
        <v>202</v>
      </c>
      <c r="B86" s="76">
        <v>11</v>
      </c>
      <c r="C86" s="76">
        <v>18</v>
      </c>
      <c r="D86" s="76">
        <v>23</v>
      </c>
      <c r="E86" s="76">
        <v>28</v>
      </c>
      <c r="F86" s="76">
        <v>38</v>
      </c>
      <c r="G86" s="76">
        <v>39</v>
      </c>
      <c r="H86" s="76">
        <v>40</v>
      </c>
      <c r="I86" s="76">
        <v>52</v>
      </c>
      <c r="J86" s="76">
        <v>57</v>
      </c>
      <c r="K86" s="76">
        <v>52</v>
      </c>
      <c r="L86" s="76">
        <v>77</v>
      </c>
      <c r="M86" s="76">
        <v>98</v>
      </c>
      <c r="N86" s="76">
        <v>102</v>
      </c>
      <c r="O86" s="76">
        <v>102</v>
      </c>
      <c r="P86" s="76">
        <v>102</v>
      </c>
      <c r="Q86" s="76">
        <v>102</v>
      </c>
      <c r="R86" s="76">
        <v>102</v>
      </c>
    </row>
    <row r="87" spans="1:18" x14ac:dyDescent="0.25">
      <c r="A87" s="76" t="s">
        <v>201</v>
      </c>
      <c r="B87" s="76">
        <v>12</v>
      </c>
      <c r="C87" s="76">
        <v>13</v>
      </c>
      <c r="D87" s="76">
        <v>26</v>
      </c>
      <c r="E87" s="76">
        <v>31</v>
      </c>
      <c r="F87" s="76">
        <v>34</v>
      </c>
      <c r="G87" s="76">
        <v>38</v>
      </c>
      <c r="H87" s="76">
        <v>48</v>
      </c>
      <c r="I87" s="76">
        <v>55</v>
      </c>
      <c r="J87" s="76">
        <v>53</v>
      </c>
      <c r="K87" s="76">
        <v>75</v>
      </c>
      <c r="L87" s="76">
        <v>86</v>
      </c>
      <c r="M87" s="76">
        <v>102</v>
      </c>
      <c r="N87" s="76">
        <v>102</v>
      </c>
      <c r="O87" s="76">
        <v>102</v>
      </c>
      <c r="P87" s="76">
        <v>102</v>
      </c>
      <c r="Q87" s="76">
        <v>102</v>
      </c>
      <c r="R87" s="76">
        <v>102</v>
      </c>
    </row>
    <row r="88" spans="1:18" x14ac:dyDescent="0.25">
      <c r="A88" s="76" t="s">
        <v>200</v>
      </c>
      <c r="B88" s="76">
        <v>10</v>
      </c>
      <c r="C88" s="76">
        <v>16</v>
      </c>
      <c r="D88" s="76">
        <v>20</v>
      </c>
      <c r="E88" s="76">
        <v>27</v>
      </c>
      <c r="F88" s="76">
        <v>31</v>
      </c>
      <c r="G88" s="76">
        <v>33</v>
      </c>
      <c r="H88" s="76">
        <v>39</v>
      </c>
      <c r="I88" s="76">
        <v>43</v>
      </c>
      <c r="J88" s="76">
        <v>53</v>
      </c>
      <c r="K88" s="76">
        <v>72</v>
      </c>
      <c r="L88" s="76">
        <v>75</v>
      </c>
      <c r="M88" s="76">
        <v>86</v>
      </c>
      <c r="N88" s="76">
        <v>95</v>
      </c>
      <c r="O88" s="76">
        <v>99</v>
      </c>
      <c r="P88" s="76">
        <v>102</v>
      </c>
      <c r="Q88" s="76">
        <v>102</v>
      </c>
      <c r="R88" s="76">
        <v>102</v>
      </c>
    </row>
    <row r="89" spans="1:18" x14ac:dyDescent="0.25">
      <c r="A89" s="76" t="s">
        <v>199</v>
      </c>
      <c r="B89" s="76">
        <v>9</v>
      </c>
      <c r="C89" s="76">
        <v>16</v>
      </c>
      <c r="D89" s="76">
        <v>22</v>
      </c>
      <c r="E89" s="76">
        <v>21</v>
      </c>
      <c r="F89" s="76">
        <v>39</v>
      </c>
      <c r="G89" s="76">
        <v>50</v>
      </c>
      <c r="H89" s="76">
        <v>58</v>
      </c>
      <c r="I89" s="76">
        <v>72</v>
      </c>
      <c r="J89" s="76">
        <v>84</v>
      </c>
      <c r="K89" s="76">
        <v>88</v>
      </c>
      <c r="L89" s="76">
        <v>102</v>
      </c>
      <c r="M89" s="76">
        <v>102</v>
      </c>
      <c r="N89" s="76">
        <v>102</v>
      </c>
      <c r="O89" s="76">
        <v>102</v>
      </c>
      <c r="P89" s="76">
        <v>102</v>
      </c>
      <c r="Q89" s="76">
        <v>102</v>
      </c>
      <c r="R89" s="76">
        <v>102</v>
      </c>
    </row>
    <row r="90" spans="1:18" x14ac:dyDescent="0.25">
      <c r="A90" s="76" t="s">
        <v>198</v>
      </c>
      <c r="B90" s="76">
        <v>9</v>
      </c>
      <c r="C90" s="76">
        <v>19</v>
      </c>
      <c r="D90" s="76">
        <v>25</v>
      </c>
      <c r="E90" s="76">
        <v>30</v>
      </c>
      <c r="F90" s="76">
        <v>41</v>
      </c>
      <c r="G90" s="76">
        <v>58</v>
      </c>
      <c r="H90" s="76">
        <v>74</v>
      </c>
      <c r="I90" s="76">
        <v>81</v>
      </c>
      <c r="J90" s="76">
        <v>99</v>
      </c>
      <c r="K90" s="76">
        <v>102</v>
      </c>
      <c r="L90" s="76">
        <v>102</v>
      </c>
      <c r="M90" s="76">
        <v>102</v>
      </c>
      <c r="N90" s="76">
        <v>102</v>
      </c>
      <c r="O90" s="76">
        <v>102</v>
      </c>
      <c r="P90" s="76">
        <v>102</v>
      </c>
      <c r="Q90" s="76">
        <v>102</v>
      </c>
      <c r="R90" s="76">
        <v>102</v>
      </c>
    </row>
    <row r="91" spans="1:18" x14ac:dyDescent="0.25">
      <c r="A91" s="76" t="s">
        <v>197</v>
      </c>
      <c r="B91" s="76">
        <v>12</v>
      </c>
      <c r="C91" s="76">
        <v>20</v>
      </c>
      <c r="D91" s="76">
        <v>23</v>
      </c>
      <c r="E91" s="76">
        <v>36</v>
      </c>
      <c r="F91" s="76">
        <v>39</v>
      </c>
      <c r="G91" s="76">
        <v>46</v>
      </c>
      <c r="H91" s="76">
        <v>65</v>
      </c>
      <c r="I91" s="76">
        <v>65</v>
      </c>
      <c r="J91" s="76">
        <v>74</v>
      </c>
      <c r="K91" s="76">
        <v>102</v>
      </c>
      <c r="L91" s="76">
        <v>102</v>
      </c>
      <c r="M91" s="76">
        <v>102</v>
      </c>
      <c r="N91" s="76">
        <v>102</v>
      </c>
      <c r="O91" s="76">
        <v>102</v>
      </c>
      <c r="P91" s="76">
        <v>102</v>
      </c>
      <c r="Q91" s="76">
        <v>102</v>
      </c>
      <c r="R91" s="76">
        <v>102</v>
      </c>
    </row>
    <row r="92" spans="1:18" x14ac:dyDescent="0.25">
      <c r="A92" s="76" t="s">
        <v>196</v>
      </c>
      <c r="B92" s="76">
        <v>10</v>
      </c>
      <c r="C92" s="76">
        <v>11</v>
      </c>
      <c r="D92" s="76">
        <v>20</v>
      </c>
      <c r="E92" s="76">
        <v>27</v>
      </c>
      <c r="F92" s="76">
        <v>33</v>
      </c>
      <c r="G92" s="76">
        <v>40</v>
      </c>
      <c r="H92" s="76">
        <v>56</v>
      </c>
      <c r="I92" s="76">
        <v>59</v>
      </c>
      <c r="J92" s="76">
        <v>69</v>
      </c>
      <c r="K92" s="76">
        <v>88</v>
      </c>
      <c r="L92" s="76">
        <v>102</v>
      </c>
      <c r="M92" s="76">
        <v>102</v>
      </c>
      <c r="N92" s="76">
        <v>102</v>
      </c>
      <c r="O92" s="76">
        <v>102</v>
      </c>
      <c r="P92" s="76">
        <v>102</v>
      </c>
      <c r="Q92" s="76">
        <v>102</v>
      </c>
      <c r="R92" s="76">
        <v>102</v>
      </c>
    </row>
    <row r="93" spans="1:18" x14ac:dyDescent="0.25">
      <c r="A93" s="76" t="s">
        <v>195</v>
      </c>
      <c r="B93" s="76">
        <v>11</v>
      </c>
      <c r="C93" s="76">
        <v>18</v>
      </c>
      <c r="D93" s="76">
        <v>20</v>
      </c>
      <c r="E93" s="76">
        <v>28</v>
      </c>
      <c r="F93" s="76">
        <v>37</v>
      </c>
      <c r="G93" s="76">
        <v>47</v>
      </c>
      <c r="H93" s="76">
        <v>58</v>
      </c>
      <c r="I93" s="76">
        <v>70</v>
      </c>
      <c r="J93" s="76">
        <v>78</v>
      </c>
      <c r="K93" s="76">
        <v>98</v>
      </c>
      <c r="L93" s="76">
        <v>102</v>
      </c>
      <c r="M93" s="76">
        <v>102</v>
      </c>
      <c r="N93" s="76">
        <v>102</v>
      </c>
      <c r="O93" s="76">
        <v>102</v>
      </c>
      <c r="P93" s="76">
        <v>102</v>
      </c>
      <c r="Q93" s="76">
        <v>102</v>
      </c>
      <c r="R93" s="76">
        <v>102</v>
      </c>
    </row>
    <row r="94" spans="1:18" x14ac:dyDescent="0.25">
      <c r="A94" s="76" t="s">
        <v>194</v>
      </c>
      <c r="B94" s="76">
        <v>10</v>
      </c>
      <c r="C94" s="76">
        <v>16</v>
      </c>
      <c r="D94" s="76">
        <v>19</v>
      </c>
      <c r="E94" s="76">
        <v>29</v>
      </c>
      <c r="F94" s="76">
        <v>40</v>
      </c>
      <c r="G94" s="76">
        <v>54</v>
      </c>
      <c r="H94" s="76">
        <v>69</v>
      </c>
      <c r="I94" s="76">
        <v>77</v>
      </c>
      <c r="J94" s="76">
        <v>93</v>
      </c>
      <c r="K94" s="76">
        <v>102</v>
      </c>
      <c r="L94" s="76">
        <v>102</v>
      </c>
      <c r="M94" s="76">
        <v>102</v>
      </c>
      <c r="N94" s="76">
        <v>102</v>
      </c>
      <c r="O94" s="76">
        <v>102</v>
      </c>
      <c r="P94" s="76">
        <v>102</v>
      </c>
      <c r="Q94" s="76">
        <v>102</v>
      </c>
      <c r="R94" s="76">
        <v>102</v>
      </c>
    </row>
    <row r="95" spans="1:18" x14ac:dyDescent="0.25">
      <c r="A95" s="76" t="s">
        <v>193</v>
      </c>
      <c r="B95" s="76">
        <v>9</v>
      </c>
      <c r="C95" s="76">
        <v>10</v>
      </c>
      <c r="D95" s="76">
        <v>18</v>
      </c>
      <c r="E95" s="76">
        <v>23</v>
      </c>
      <c r="F95" s="76">
        <v>38</v>
      </c>
      <c r="G95" s="76">
        <v>46</v>
      </c>
      <c r="H95" s="76">
        <v>43</v>
      </c>
      <c r="I95" s="76">
        <v>64</v>
      </c>
      <c r="J95" s="76">
        <v>71</v>
      </c>
      <c r="K95" s="76">
        <v>78</v>
      </c>
      <c r="L95" s="76">
        <v>93</v>
      </c>
      <c r="M95" s="76">
        <v>102</v>
      </c>
      <c r="N95" s="76">
        <v>102</v>
      </c>
      <c r="O95" s="76">
        <v>102</v>
      </c>
      <c r="P95" s="76">
        <v>102</v>
      </c>
      <c r="Q95" s="76">
        <v>102</v>
      </c>
      <c r="R95" s="76">
        <v>102</v>
      </c>
    </row>
    <row r="96" spans="1:18" x14ac:dyDescent="0.25">
      <c r="A96" s="76" t="s">
        <v>192</v>
      </c>
      <c r="B96" s="76">
        <v>10</v>
      </c>
      <c r="C96" s="76">
        <v>18</v>
      </c>
      <c r="D96" s="76">
        <v>21</v>
      </c>
      <c r="E96" s="76">
        <v>27</v>
      </c>
      <c r="F96" s="76">
        <v>39</v>
      </c>
      <c r="G96" s="76">
        <v>56</v>
      </c>
      <c r="H96" s="76">
        <v>65</v>
      </c>
      <c r="I96" s="76">
        <v>74</v>
      </c>
      <c r="J96" s="76">
        <v>88</v>
      </c>
      <c r="K96" s="76">
        <v>94</v>
      </c>
      <c r="L96" s="76">
        <v>102</v>
      </c>
      <c r="M96" s="76">
        <v>102</v>
      </c>
      <c r="N96" s="76">
        <v>102</v>
      </c>
      <c r="O96" s="76">
        <v>102</v>
      </c>
      <c r="P96" s="76">
        <v>102</v>
      </c>
      <c r="Q96" s="76">
        <v>102</v>
      </c>
      <c r="R96" s="76">
        <v>102</v>
      </c>
    </row>
    <row r="97" spans="1:18" x14ac:dyDescent="0.25">
      <c r="A97" s="76" t="s">
        <v>191</v>
      </c>
      <c r="B97" s="76">
        <v>10</v>
      </c>
      <c r="C97" s="76">
        <v>16</v>
      </c>
      <c r="D97" s="76">
        <v>19</v>
      </c>
      <c r="E97" s="76">
        <v>29</v>
      </c>
      <c r="F97" s="76">
        <v>38</v>
      </c>
      <c r="G97" s="76">
        <v>50</v>
      </c>
      <c r="H97" s="76">
        <v>53</v>
      </c>
      <c r="I97" s="76">
        <v>73</v>
      </c>
      <c r="J97" s="76">
        <v>80</v>
      </c>
      <c r="K97" s="76">
        <v>92</v>
      </c>
      <c r="L97" s="76">
        <v>99</v>
      </c>
      <c r="M97" s="76">
        <v>102</v>
      </c>
      <c r="N97" s="76">
        <v>102</v>
      </c>
      <c r="O97" s="76">
        <v>102</v>
      </c>
      <c r="P97" s="76">
        <v>102</v>
      </c>
      <c r="Q97" s="76">
        <v>102</v>
      </c>
      <c r="R97" s="76">
        <v>102</v>
      </c>
    </row>
    <row r="98" spans="1:18" x14ac:dyDescent="0.25">
      <c r="A98" s="76" t="s">
        <v>190</v>
      </c>
      <c r="B98" s="76">
        <v>10</v>
      </c>
      <c r="C98" s="76">
        <v>19</v>
      </c>
      <c r="D98" s="76">
        <v>22</v>
      </c>
      <c r="E98" s="76">
        <v>33</v>
      </c>
      <c r="F98" s="76">
        <v>37</v>
      </c>
      <c r="G98" s="76">
        <v>40</v>
      </c>
      <c r="H98" s="76">
        <v>53</v>
      </c>
      <c r="I98" s="76">
        <v>58</v>
      </c>
      <c r="J98" s="76">
        <v>57</v>
      </c>
      <c r="K98" s="76">
        <v>71</v>
      </c>
      <c r="L98" s="76">
        <v>85</v>
      </c>
      <c r="M98" s="76">
        <v>98</v>
      </c>
      <c r="N98" s="76">
        <v>102</v>
      </c>
      <c r="O98" s="76">
        <v>102</v>
      </c>
      <c r="P98" s="76">
        <v>102</v>
      </c>
      <c r="Q98" s="76">
        <v>102</v>
      </c>
      <c r="R98" s="76">
        <v>102</v>
      </c>
    </row>
    <row r="99" spans="1:18" x14ac:dyDescent="0.25">
      <c r="A99" s="76" t="s">
        <v>189</v>
      </c>
      <c r="B99" s="76">
        <v>9</v>
      </c>
      <c r="C99" s="76">
        <v>15</v>
      </c>
      <c r="D99" s="76">
        <v>23</v>
      </c>
      <c r="E99" s="76">
        <v>39</v>
      </c>
      <c r="F99" s="76">
        <v>40</v>
      </c>
      <c r="G99" s="76">
        <v>46</v>
      </c>
      <c r="H99" s="76">
        <v>53</v>
      </c>
      <c r="I99" s="76">
        <v>57</v>
      </c>
      <c r="J99" s="76">
        <v>63</v>
      </c>
      <c r="K99" s="76">
        <v>74</v>
      </c>
      <c r="L99" s="76">
        <v>81</v>
      </c>
      <c r="M99" s="76">
        <v>88</v>
      </c>
      <c r="N99" s="76">
        <v>102</v>
      </c>
      <c r="O99" s="76">
        <v>98</v>
      </c>
      <c r="P99" s="76">
        <v>102</v>
      </c>
      <c r="Q99" s="76">
        <v>102</v>
      </c>
      <c r="R99" s="76">
        <v>102</v>
      </c>
    </row>
    <row r="100" spans="1:18" x14ac:dyDescent="0.25">
      <c r="A100" s="76" t="s">
        <v>188</v>
      </c>
      <c r="B100" s="76">
        <v>9</v>
      </c>
      <c r="C100" s="76">
        <v>18</v>
      </c>
      <c r="D100" s="76">
        <v>22</v>
      </c>
      <c r="E100" s="76">
        <v>26</v>
      </c>
      <c r="F100" s="76">
        <v>39</v>
      </c>
      <c r="G100" s="76">
        <v>46</v>
      </c>
      <c r="H100" s="76">
        <v>57</v>
      </c>
      <c r="I100" s="76">
        <v>66</v>
      </c>
      <c r="J100" s="76">
        <v>73</v>
      </c>
      <c r="K100" s="76">
        <v>84</v>
      </c>
      <c r="L100" s="76">
        <v>93</v>
      </c>
      <c r="M100" s="76">
        <v>102</v>
      </c>
      <c r="N100" s="76">
        <v>102</v>
      </c>
      <c r="O100" s="76">
        <v>102</v>
      </c>
      <c r="P100" s="76">
        <v>102</v>
      </c>
      <c r="Q100" s="76">
        <v>102</v>
      </c>
      <c r="R100" s="76">
        <v>102</v>
      </c>
    </row>
    <row r="101" spans="1:18" x14ac:dyDescent="0.25">
      <c r="A101" s="76" t="s">
        <v>187</v>
      </c>
      <c r="B101" s="76">
        <v>9</v>
      </c>
      <c r="C101" s="76">
        <v>13</v>
      </c>
      <c r="D101" s="76">
        <v>21</v>
      </c>
      <c r="E101" s="76">
        <v>35</v>
      </c>
      <c r="F101" s="76">
        <v>37</v>
      </c>
      <c r="G101" s="76">
        <v>46</v>
      </c>
      <c r="H101" s="76">
        <v>57</v>
      </c>
      <c r="I101" s="76">
        <v>67</v>
      </c>
      <c r="J101" s="76">
        <v>73</v>
      </c>
      <c r="K101" s="76">
        <v>102</v>
      </c>
      <c r="L101" s="76">
        <v>102</v>
      </c>
      <c r="M101" s="76">
        <v>102</v>
      </c>
      <c r="N101" s="76">
        <v>102</v>
      </c>
      <c r="O101" s="76">
        <v>102</v>
      </c>
      <c r="P101" s="76">
        <v>102</v>
      </c>
      <c r="Q101" s="76">
        <v>102</v>
      </c>
      <c r="R101" s="76">
        <v>102</v>
      </c>
    </row>
    <row r="102" spans="1:18" x14ac:dyDescent="0.25">
      <c r="A102" s="76" t="s">
        <v>186</v>
      </c>
      <c r="B102" s="76">
        <v>10</v>
      </c>
      <c r="C102" s="76">
        <v>19</v>
      </c>
      <c r="D102" s="76">
        <v>23</v>
      </c>
      <c r="E102" s="76">
        <v>41</v>
      </c>
      <c r="F102" s="76">
        <v>49</v>
      </c>
      <c r="G102" s="76">
        <v>59</v>
      </c>
      <c r="H102" s="76">
        <v>81</v>
      </c>
      <c r="I102" s="76">
        <v>89</v>
      </c>
      <c r="J102" s="76">
        <v>100</v>
      </c>
      <c r="K102" s="76">
        <v>102</v>
      </c>
      <c r="L102" s="76">
        <v>102</v>
      </c>
      <c r="M102" s="76">
        <v>102</v>
      </c>
      <c r="N102" s="76">
        <v>102</v>
      </c>
      <c r="O102" s="76">
        <v>102</v>
      </c>
      <c r="P102" s="76">
        <v>102</v>
      </c>
      <c r="Q102" s="76">
        <v>102</v>
      </c>
      <c r="R102" s="76">
        <v>102</v>
      </c>
    </row>
    <row r="103" spans="1:18" x14ac:dyDescent="0.25">
      <c r="A103" s="76" t="s">
        <v>185</v>
      </c>
      <c r="B103" s="76">
        <v>10</v>
      </c>
      <c r="C103" s="76">
        <v>17</v>
      </c>
      <c r="D103" s="76">
        <v>19</v>
      </c>
      <c r="E103" s="76">
        <v>39</v>
      </c>
      <c r="F103" s="76">
        <v>36</v>
      </c>
      <c r="G103" s="76">
        <v>41</v>
      </c>
      <c r="H103" s="76">
        <v>61</v>
      </c>
      <c r="I103" s="76">
        <v>70</v>
      </c>
      <c r="J103" s="76">
        <v>74</v>
      </c>
      <c r="K103" s="76">
        <v>102</v>
      </c>
      <c r="L103" s="76">
        <v>102</v>
      </c>
      <c r="M103" s="76">
        <v>102</v>
      </c>
      <c r="N103" s="76">
        <v>102</v>
      </c>
      <c r="O103" s="76">
        <v>102</v>
      </c>
      <c r="P103" s="76">
        <v>102</v>
      </c>
      <c r="Q103" s="76">
        <v>102</v>
      </c>
      <c r="R103" s="76">
        <v>102</v>
      </c>
    </row>
    <row r="104" spans="1:18" x14ac:dyDescent="0.25">
      <c r="A104" s="76" t="s">
        <v>184</v>
      </c>
      <c r="B104" s="76">
        <v>7</v>
      </c>
      <c r="C104" s="76">
        <v>20</v>
      </c>
      <c r="D104" s="76">
        <v>21</v>
      </c>
      <c r="E104" s="76">
        <v>31</v>
      </c>
      <c r="F104" s="76">
        <v>39</v>
      </c>
      <c r="G104" s="76">
        <v>42</v>
      </c>
      <c r="H104" s="76">
        <v>50</v>
      </c>
      <c r="I104" s="76">
        <v>52</v>
      </c>
      <c r="J104" s="76">
        <v>49</v>
      </c>
      <c r="K104" s="76">
        <v>54</v>
      </c>
      <c r="L104" s="76">
        <v>66</v>
      </c>
      <c r="M104" s="76">
        <v>69</v>
      </c>
      <c r="N104" s="76">
        <v>75</v>
      </c>
      <c r="O104" s="76">
        <v>78</v>
      </c>
      <c r="P104" s="76">
        <v>79</v>
      </c>
      <c r="Q104" s="76">
        <v>74</v>
      </c>
      <c r="R104" s="76">
        <v>82</v>
      </c>
    </row>
    <row r="105" spans="1:18" x14ac:dyDescent="0.25">
      <c r="A105" s="76" t="s">
        <v>183</v>
      </c>
      <c r="B105" s="76">
        <v>10</v>
      </c>
      <c r="C105" s="76">
        <v>16</v>
      </c>
      <c r="D105" s="76">
        <v>18</v>
      </c>
      <c r="E105" s="76">
        <v>34</v>
      </c>
      <c r="F105" s="76">
        <v>37</v>
      </c>
      <c r="G105" s="76">
        <v>46</v>
      </c>
      <c r="H105" s="76">
        <v>54</v>
      </c>
      <c r="I105" s="76">
        <v>60</v>
      </c>
      <c r="J105" s="76">
        <v>72</v>
      </c>
      <c r="K105" s="76">
        <v>79</v>
      </c>
      <c r="L105" s="76">
        <v>93</v>
      </c>
      <c r="M105" s="76">
        <v>96</v>
      </c>
      <c r="N105" s="76">
        <v>98</v>
      </c>
      <c r="O105" s="76">
        <v>102</v>
      </c>
      <c r="P105" s="76">
        <v>102</v>
      </c>
      <c r="Q105" s="76">
        <v>102</v>
      </c>
      <c r="R105" s="76">
        <v>102</v>
      </c>
    </row>
    <row r="106" spans="1:18" x14ac:dyDescent="0.25">
      <c r="A106" s="76" t="s">
        <v>182</v>
      </c>
      <c r="B106" s="76">
        <v>9</v>
      </c>
      <c r="C106" s="76">
        <v>13</v>
      </c>
      <c r="D106" s="76">
        <v>19</v>
      </c>
      <c r="E106" s="76">
        <v>32</v>
      </c>
      <c r="F106" s="76">
        <v>33</v>
      </c>
      <c r="G106" s="76">
        <v>39</v>
      </c>
      <c r="H106" s="76">
        <v>46</v>
      </c>
      <c r="I106" s="76">
        <v>51</v>
      </c>
      <c r="J106" s="76">
        <v>48</v>
      </c>
      <c r="K106" s="76">
        <v>63</v>
      </c>
      <c r="L106" s="76">
        <v>66</v>
      </c>
      <c r="M106" s="76">
        <v>70</v>
      </c>
      <c r="N106" s="76">
        <v>86</v>
      </c>
      <c r="O106" s="76">
        <v>81</v>
      </c>
      <c r="P106" s="76">
        <v>83</v>
      </c>
      <c r="Q106" s="76">
        <v>80</v>
      </c>
      <c r="R106" s="76">
        <v>90</v>
      </c>
    </row>
    <row r="107" spans="1:18" x14ac:dyDescent="0.25">
      <c r="A107" s="76" t="s">
        <v>181</v>
      </c>
      <c r="B107" s="76">
        <v>9</v>
      </c>
      <c r="C107" s="76">
        <v>13</v>
      </c>
      <c r="D107" s="76">
        <v>18</v>
      </c>
      <c r="E107" s="76">
        <v>31</v>
      </c>
      <c r="F107" s="76">
        <v>37</v>
      </c>
      <c r="G107" s="76">
        <v>43</v>
      </c>
      <c r="H107" s="76">
        <v>49</v>
      </c>
      <c r="I107" s="76">
        <v>55</v>
      </c>
      <c r="J107" s="76">
        <v>55</v>
      </c>
      <c r="K107" s="76">
        <v>75</v>
      </c>
      <c r="L107" s="76">
        <v>86</v>
      </c>
      <c r="M107" s="76">
        <v>89</v>
      </c>
      <c r="N107" s="76">
        <v>95</v>
      </c>
      <c r="O107" s="76">
        <v>102</v>
      </c>
      <c r="P107" s="76">
        <v>102</v>
      </c>
      <c r="Q107" s="76">
        <v>98</v>
      </c>
      <c r="R107" s="76">
        <v>102</v>
      </c>
    </row>
    <row r="108" spans="1:18" x14ac:dyDescent="0.25">
      <c r="A108" s="76" t="s">
        <v>180</v>
      </c>
      <c r="B108" s="76">
        <v>8</v>
      </c>
      <c r="C108" s="76">
        <v>12</v>
      </c>
      <c r="D108" s="76">
        <v>20</v>
      </c>
      <c r="E108" s="76">
        <v>35</v>
      </c>
      <c r="F108" s="76">
        <v>37</v>
      </c>
      <c r="G108" s="76">
        <v>46</v>
      </c>
      <c r="H108" s="76">
        <v>54</v>
      </c>
      <c r="I108" s="76">
        <v>63</v>
      </c>
      <c r="J108" s="76">
        <v>68</v>
      </c>
      <c r="K108" s="76">
        <v>73</v>
      </c>
      <c r="L108" s="76">
        <v>90</v>
      </c>
      <c r="M108" s="76">
        <v>91</v>
      </c>
      <c r="N108" s="76">
        <v>97</v>
      </c>
      <c r="O108" s="76">
        <v>102</v>
      </c>
      <c r="P108" s="76">
        <v>96</v>
      </c>
      <c r="Q108" s="76">
        <v>102</v>
      </c>
      <c r="R108" s="76">
        <v>102</v>
      </c>
    </row>
    <row r="109" spans="1:18" x14ac:dyDescent="0.25">
      <c r="A109" s="76" t="s">
        <v>179</v>
      </c>
      <c r="B109" s="76">
        <v>8</v>
      </c>
      <c r="C109" s="76">
        <v>13</v>
      </c>
      <c r="D109" s="76">
        <v>20</v>
      </c>
      <c r="E109" s="76">
        <v>31</v>
      </c>
      <c r="F109" s="76">
        <v>34</v>
      </c>
      <c r="G109" s="76">
        <v>40</v>
      </c>
      <c r="H109" s="76">
        <v>49</v>
      </c>
      <c r="I109" s="76">
        <v>57</v>
      </c>
      <c r="J109" s="76">
        <v>66</v>
      </c>
      <c r="K109" s="76">
        <v>70</v>
      </c>
      <c r="L109" s="76">
        <v>81</v>
      </c>
      <c r="M109" s="76">
        <v>90</v>
      </c>
      <c r="N109" s="76">
        <v>89</v>
      </c>
      <c r="O109" s="76">
        <v>96</v>
      </c>
      <c r="P109" s="76">
        <v>89</v>
      </c>
      <c r="Q109" s="76">
        <v>94</v>
      </c>
      <c r="R109" s="76">
        <v>102</v>
      </c>
    </row>
    <row r="110" spans="1:18" x14ac:dyDescent="0.25">
      <c r="A110" s="76" t="s">
        <v>178</v>
      </c>
      <c r="B110" s="76">
        <v>10</v>
      </c>
      <c r="C110" s="76">
        <v>17</v>
      </c>
      <c r="D110" s="76">
        <v>24</v>
      </c>
      <c r="E110" s="76">
        <v>31</v>
      </c>
      <c r="F110" s="76">
        <v>40</v>
      </c>
      <c r="G110" s="76">
        <v>49</v>
      </c>
      <c r="H110" s="76">
        <v>60</v>
      </c>
      <c r="I110" s="76">
        <v>67</v>
      </c>
      <c r="J110" s="76">
        <v>71</v>
      </c>
      <c r="K110" s="76">
        <v>88</v>
      </c>
      <c r="L110" s="76">
        <v>92</v>
      </c>
      <c r="M110" s="76">
        <v>102</v>
      </c>
      <c r="N110" s="76">
        <v>102</v>
      </c>
      <c r="O110" s="76">
        <v>102</v>
      </c>
      <c r="P110" s="76">
        <v>102</v>
      </c>
      <c r="Q110" s="76">
        <v>102</v>
      </c>
      <c r="R110" s="76">
        <v>102</v>
      </c>
    </row>
    <row r="111" spans="1:18" x14ac:dyDescent="0.25">
      <c r="A111" s="76" t="s">
        <v>177</v>
      </c>
      <c r="B111" s="76">
        <v>11</v>
      </c>
      <c r="C111" s="76">
        <v>21</v>
      </c>
      <c r="D111" s="76">
        <v>28</v>
      </c>
      <c r="E111" s="76">
        <v>42</v>
      </c>
      <c r="F111" s="76">
        <v>46</v>
      </c>
      <c r="G111" s="76">
        <v>53</v>
      </c>
      <c r="H111" s="76">
        <v>61</v>
      </c>
      <c r="I111" s="76">
        <v>71</v>
      </c>
      <c r="J111" s="76">
        <v>78</v>
      </c>
      <c r="K111" s="76">
        <v>94</v>
      </c>
      <c r="L111" s="76">
        <v>99</v>
      </c>
      <c r="M111" s="76">
        <v>102</v>
      </c>
      <c r="N111" s="76">
        <v>102</v>
      </c>
      <c r="O111" s="76">
        <v>102</v>
      </c>
      <c r="P111" s="76">
        <v>102</v>
      </c>
      <c r="Q111" s="76">
        <v>102</v>
      </c>
      <c r="R111" s="76">
        <v>102</v>
      </c>
    </row>
    <row r="112" spans="1:18" x14ac:dyDescent="0.25">
      <c r="A112" s="76" t="s">
        <v>176</v>
      </c>
      <c r="B112" s="76">
        <v>12</v>
      </c>
      <c r="C112" s="76">
        <v>16</v>
      </c>
      <c r="D112" s="76">
        <v>25</v>
      </c>
      <c r="E112" s="76">
        <v>33</v>
      </c>
      <c r="F112" s="76">
        <v>39</v>
      </c>
      <c r="G112" s="76">
        <v>47</v>
      </c>
      <c r="H112" s="76">
        <v>57</v>
      </c>
      <c r="I112" s="76">
        <v>60</v>
      </c>
      <c r="J112" s="76">
        <v>70</v>
      </c>
      <c r="K112" s="76">
        <v>77</v>
      </c>
      <c r="L112" s="76">
        <v>96</v>
      </c>
      <c r="M112" s="76">
        <v>102</v>
      </c>
      <c r="N112" s="76">
        <v>102</v>
      </c>
      <c r="O112" s="76">
        <v>102</v>
      </c>
      <c r="P112" s="76">
        <v>102</v>
      </c>
      <c r="Q112" s="76">
        <v>102</v>
      </c>
      <c r="R112" s="76">
        <v>102</v>
      </c>
    </row>
    <row r="113" spans="1:18" x14ac:dyDescent="0.25">
      <c r="A113" s="76" t="s">
        <v>175</v>
      </c>
      <c r="B113" s="76">
        <v>10</v>
      </c>
      <c r="C113" s="76">
        <v>19</v>
      </c>
      <c r="D113" s="76">
        <v>20</v>
      </c>
      <c r="E113" s="76">
        <v>28</v>
      </c>
      <c r="F113" s="76">
        <v>32</v>
      </c>
      <c r="G113" s="76">
        <v>40</v>
      </c>
      <c r="H113" s="76">
        <v>42</v>
      </c>
      <c r="I113" s="76">
        <v>46</v>
      </c>
      <c r="J113" s="76">
        <v>49</v>
      </c>
      <c r="K113" s="76">
        <v>53</v>
      </c>
      <c r="L113" s="76">
        <v>70</v>
      </c>
      <c r="M113" s="76">
        <v>86</v>
      </c>
      <c r="N113" s="76">
        <v>97</v>
      </c>
      <c r="O113" s="76">
        <v>92</v>
      </c>
      <c r="P113" s="76">
        <v>102</v>
      </c>
      <c r="Q113" s="76">
        <v>102</v>
      </c>
      <c r="R113" s="76">
        <v>102</v>
      </c>
    </row>
    <row r="114" spans="1:18" x14ac:dyDescent="0.25">
      <c r="A114" s="76" t="s">
        <v>174</v>
      </c>
      <c r="B114" s="76">
        <v>10</v>
      </c>
      <c r="C114" s="76">
        <v>20</v>
      </c>
      <c r="D114" s="76">
        <v>20</v>
      </c>
      <c r="E114" s="76">
        <v>28</v>
      </c>
      <c r="F114" s="76">
        <v>34</v>
      </c>
      <c r="G114" s="76">
        <v>35</v>
      </c>
      <c r="H114" s="76">
        <v>37</v>
      </c>
      <c r="I114" s="76">
        <v>39</v>
      </c>
      <c r="J114" s="76">
        <v>45</v>
      </c>
      <c r="K114" s="76">
        <v>36</v>
      </c>
      <c r="L114" s="76">
        <v>43</v>
      </c>
      <c r="M114" s="76">
        <v>69</v>
      </c>
      <c r="N114" s="76">
        <v>75</v>
      </c>
      <c r="O114" s="76">
        <v>78</v>
      </c>
      <c r="P114" s="76">
        <v>79</v>
      </c>
      <c r="Q114" s="76">
        <v>85</v>
      </c>
      <c r="R114" s="76">
        <v>102</v>
      </c>
    </row>
    <row r="115" spans="1:18" x14ac:dyDescent="0.25">
      <c r="A115" s="76" t="s">
        <v>173</v>
      </c>
      <c r="B115" s="76">
        <v>10</v>
      </c>
      <c r="C115" s="76">
        <v>17</v>
      </c>
      <c r="D115" s="76">
        <v>19</v>
      </c>
      <c r="E115" s="76">
        <v>29</v>
      </c>
      <c r="F115" s="76">
        <v>30</v>
      </c>
      <c r="G115" s="76">
        <v>31</v>
      </c>
      <c r="H115" s="76">
        <v>35</v>
      </c>
      <c r="I115" s="76">
        <v>38</v>
      </c>
      <c r="J115" s="76">
        <v>39</v>
      </c>
      <c r="K115" s="76">
        <v>34</v>
      </c>
      <c r="L115" s="76">
        <v>40</v>
      </c>
      <c r="M115" s="76">
        <v>47</v>
      </c>
      <c r="N115" s="76">
        <v>52</v>
      </c>
      <c r="O115" s="76">
        <v>63</v>
      </c>
      <c r="P115" s="76">
        <v>71</v>
      </c>
      <c r="Q115" s="76">
        <v>79</v>
      </c>
      <c r="R115" s="76">
        <v>102</v>
      </c>
    </row>
    <row r="116" spans="1:18" x14ac:dyDescent="0.25">
      <c r="A116" s="76" t="s">
        <v>172</v>
      </c>
      <c r="B116" s="76">
        <v>8</v>
      </c>
      <c r="C116" s="76">
        <v>15</v>
      </c>
      <c r="D116" s="76">
        <v>20</v>
      </c>
      <c r="E116" s="76">
        <v>31</v>
      </c>
      <c r="F116" s="76">
        <v>35</v>
      </c>
      <c r="G116" s="76">
        <v>40</v>
      </c>
      <c r="H116" s="76">
        <v>41</v>
      </c>
      <c r="I116" s="76">
        <v>45</v>
      </c>
      <c r="J116" s="76">
        <v>46</v>
      </c>
      <c r="K116" s="76">
        <v>51</v>
      </c>
      <c r="L116" s="76">
        <v>69</v>
      </c>
      <c r="M116" s="76">
        <v>79</v>
      </c>
      <c r="N116" s="76">
        <v>91</v>
      </c>
      <c r="O116" s="76">
        <v>89</v>
      </c>
      <c r="P116" s="76">
        <v>92</v>
      </c>
      <c r="Q116" s="76">
        <v>93</v>
      </c>
      <c r="R116" s="76">
        <v>96</v>
      </c>
    </row>
    <row r="117" spans="1:18" x14ac:dyDescent="0.25">
      <c r="A117" s="76" t="s">
        <v>171</v>
      </c>
      <c r="B117" s="76">
        <v>10</v>
      </c>
      <c r="C117" s="76">
        <v>15</v>
      </c>
      <c r="D117" s="76">
        <v>19</v>
      </c>
      <c r="E117" s="76">
        <v>26</v>
      </c>
      <c r="F117" s="76">
        <v>29</v>
      </c>
      <c r="G117" s="76">
        <v>32</v>
      </c>
      <c r="H117" s="76">
        <v>34</v>
      </c>
      <c r="I117" s="76">
        <v>34</v>
      </c>
      <c r="J117" s="76">
        <v>32</v>
      </c>
      <c r="K117" s="76">
        <v>25</v>
      </c>
      <c r="L117" s="76">
        <v>31</v>
      </c>
      <c r="M117" s="76">
        <v>49</v>
      </c>
      <c r="N117" s="76">
        <v>54</v>
      </c>
      <c r="O117" s="76">
        <v>63</v>
      </c>
      <c r="P117" s="76">
        <v>60</v>
      </c>
      <c r="Q117" s="76">
        <v>65</v>
      </c>
      <c r="R117" s="76">
        <v>70</v>
      </c>
    </row>
    <row r="118" spans="1:18" x14ac:dyDescent="0.25">
      <c r="A118" s="76" t="s">
        <v>170</v>
      </c>
      <c r="B118" s="76">
        <v>9</v>
      </c>
      <c r="C118" s="76">
        <v>15</v>
      </c>
      <c r="D118" s="76">
        <v>17</v>
      </c>
      <c r="E118" s="76">
        <v>32</v>
      </c>
      <c r="F118" s="76">
        <v>28</v>
      </c>
      <c r="G118" s="76">
        <v>36</v>
      </c>
      <c r="H118" s="76">
        <v>39</v>
      </c>
      <c r="I118" s="76">
        <v>39</v>
      </c>
      <c r="J118" s="76">
        <v>38</v>
      </c>
      <c r="K118" s="76">
        <v>40</v>
      </c>
      <c r="L118" s="76">
        <v>58</v>
      </c>
      <c r="M118" s="76">
        <v>70</v>
      </c>
      <c r="N118" s="76">
        <v>71</v>
      </c>
      <c r="O118" s="76">
        <v>75</v>
      </c>
      <c r="P118" s="76">
        <v>79</v>
      </c>
      <c r="Q118" s="76">
        <v>70</v>
      </c>
      <c r="R118" s="76">
        <v>86</v>
      </c>
    </row>
    <row r="119" spans="1:18" x14ac:dyDescent="0.25">
      <c r="A119" s="76" t="s">
        <v>169</v>
      </c>
      <c r="B119" s="76">
        <v>10</v>
      </c>
      <c r="C119" s="76">
        <v>18</v>
      </c>
      <c r="D119" s="76">
        <v>19</v>
      </c>
      <c r="E119" s="76">
        <v>24</v>
      </c>
      <c r="F119" s="76">
        <v>33</v>
      </c>
      <c r="G119" s="76">
        <v>36</v>
      </c>
      <c r="H119" s="76">
        <v>40</v>
      </c>
      <c r="I119" s="76">
        <v>38</v>
      </c>
      <c r="J119" s="76">
        <v>42</v>
      </c>
      <c r="K119" s="76">
        <v>37</v>
      </c>
      <c r="L119" s="76">
        <v>54</v>
      </c>
      <c r="M119" s="76">
        <v>80</v>
      </c>
      <c r="N119" s="76">
        <v>90</v>
      </c>
      <c r="O119" s="76">
        <v>92</v>
      </c>
      <c r="P119" s="76">
        <v>102</v>
      </c>
      <c r="Q119" s="76">
        <v>102</v>
      </c>
      <c r="R119" s="76">
        <v>102</v>
      </c>
    </row>
    <row r="120" spans="1:18" x14ac:dyDescent="0.25">
      <c r="A120" s="76" t="s">
        <v>168</v>
      </c>
      <c r="B120" s="76">
        <v>8</v>
      </c>
      <c r="C120" s="76">
        <v>19</v>
      </c>
      <c r="D120" s="76">
        <v>18</v>
      </c>
      <c r="E120" s="76">
        <v>23</v>
      </c>
      <c r="F120" s="76">
        <v>28</v>
      </c>
      <c r="G120" s="76">
        <v>29</v>
      </c>
      <c r="H120" s="76">
        <v>32</v>
      </c>
      <c r="I120" s="76">
        <v>30</v>
      </c>
      <c r="J120" s="76">
        <v>29</v>
      </c>
      <c r="K120" s="76">
        <v>32</v>
      </c>
      <c r="L120" s="76">
        <v>43</v>
      </c>
      <c r="M120" s="76">
        <v>62</v>
      </c>
      <c r="N120" s="76">
        <v>72</v>
      </c>
      <c r="O120" s="76">
        <v>77</v>
      </c>
      <c r="P120" s="76">
        <v>79</v>
      </c>
      <c r="Q120" s="76">
        <v>88</v>
      </c>
      <c r="R120" s="76">
        <v>102</v>
      </c>
    </row>
    <row r="121" spans="1:18" x14ac:dyDescent="0.25">
      <c r="A121" s="76" t="s">
        <v>167</v>
      </c>
      <c r="B121" s="76">
        <v>8</v>
      </c>
      <c r="C121" s="76">
        <v>17</v>
      </c>
      <c r="D121" s="76">
        <v>19</v>
      </c>
      <c r="E121" s="76">
        <v>32</v>
      </c>
      <c r="F121" s="76">
        <v>34</v>
      </c>
      <c r="G121" s="76">
        <v>40</v>
      </c>
      <c r="H121" s="76">
        <v>42</v>
      </c>
      <c r="I121" s="76">
        <v>50</v>
      </c>
      <c r="J121" s="76">
        <v>51</v>
      </c>
      <c r="K121" s="76">
        <v>67</v>
      </c>
      <c r="L121" s="76">
        <v>82</v>
      </c>
      <c r="M121" s="76">
        <v>97</v>
      </c>
      <c r="N121" s="76">
        <v>99</v>
      </c>
      <c r="O121" s="76">
        <v>102</v>
      </c>
      <c r="P121" s="76">
        <v>102</v>
      </c>
      <c r="Q121" s="76">
        <v>102</v>
      </c>
      <c r="R121" s="76">
        <v>102</v>
      </c>
    </row>
    <row r="122" spans="1:18" x14ac:dyDescent="0.25">
      <c r="A122" s="76" t="s">
        <v>166</v>
      </c>
      <c r="B122" s="76">
        <v>12</v>
      </c>
      <c r="C122" s="76">
        <v>19</v>
      </c>
      <c r="D122" s="76">
        <v>23</v>
      </c>
      <c r="E122" s="76">
        <v>26</v>
      </c>
      <c r="F122" s="76">
        <v>29</v>
      </c>
      <c r="G122" s="76">
        <v>33</v>
      </c>
      <c r="H122" s="76">
        <v>38</v>
      </c>
      <c r="I122" s="76">
        <v>37</v>
      </c>
      <c r="J122" s="76">
        <v>35</v>
      </c>
      <c r="K122" s="76">
        <v>44</v>
      </c>
      <c r="L122" s="76">
        <v>59</v>
      </c>
      <c r="M122" s="76">
        <v>80</v>
      </c>
      <c r="N122" s="76">
        <v>95</v>
      </c>
      <c r="O122" s="76">
        <v>102</v>
      </c>
      <c r="P122" s="76">
        <v>102</v>
      </c>
      <c r="Q122" s="76">
        <v>102</v>
      </c>
      <c r="R122" s="76">
        <v>102</v>
      </c>
    </row>
    <row r="123" spans="1:18" x14ac:dyDescent="0.25">
      <c r="A123" s="76" t="s">
        <v>165</v>
      </c>
      <c r="B123" s="76">
        <v>10</v>
      </c>
      <c r="C123" s="76">
        <v>20</v>
      </c>
      <c r="D123" s="76">
        <v>23</v>
      </c>
      <c r="E123" s="76">
        <v>42</v>
      </c>
      <c r="F123" s="76">
        <v>32</v>
      </c>
      <c r="G123" s="76">
        <v>34</v>
      </c>
      <c r="H123" s="76">
        <v>41</v>
      </c>
      <c r="I123" s="76">
        <v>46</v>
      </c>
      <c r="J123" s="76">
        <v>34</v>
      </c>
      <c r="K123" s="76">
        <v>59</v>
      </c>
      <c r="L123" s="76">
        <v>58</v>
      </c>
      <c r="M123" s="76">
        <v>84</v>
      </c>
      <c r="N123" s="76">
        <v>98</v>
      </c>
      <c r="O123" s="76">
        <v>102</v>
      </c>
      <c r="P123" s="76">
        <v>102</v>
      </c>
      <c r="Q123" s="76">
        <v>102</v>
      </c>
      <c r="R123" s="76">
        <v>102</v>
      </c>
    </row>
    <row r="124" spans="1:18" x14ac:dyDescent="0.25">
      <c r="A124" s="76" t="s">
        <v>164</v>
      </c>
      <c r="B124" s="76">
        <v>11</v>
      </c>
      <c r="C124" s="76">
        <v>12</v>
      </c>
      <c r="D124" s="76">
        <v>21</v>
      </c>
      <c r="E124" s="76">
        <v>21</v>
      </c>
      <c r="F124" s="76">
        <v>33</v>
      </c>
      <c r="G124" s="76">
        <v>38</v>
      </c>
      <c r="H124" s="76">
        <v>51</v>
      </c>
      <c r="I124" s="76">
        <v>47</v>
      </c>
      <c r="J124" s="76">
        <v>43</v>
      </c>
      <c r="K124" s="76">
        <v>63</v>
      </c>
      <c r="L124" s="76">
        <v>67</v>
      </c>
      <c r="M124" s="76">
        <v>92</v>
      </c>
      <c r="N124" s="76">
        <v>94</v>
      </c>
      <c r="O124" s="76">
        <v>102</v>
      </c>
      <c r="P124" s="76">
        <v>102</v>
      </c>
      <c r="Q124" s="76">
        <v>102</v>
      </c>
      <c r="R124" s="76">
        <v>102</v>
      </c>
    </row>
    <row r="125" spans="1:18" x14ac:dyDescent="0.25">
      <c r="A125" s="76" t="s">
        <v>163</v>
      </c>
      <c r="B125" s="76">
        <v>10</v>
      </c>
      <c r="C125" s="76">
        <v>12</v>
      </c>
      <c r="D125" s="76">
        <v>23</v>
      </c>
      <c r="E125" s="76">
        <v>28</v>
      </c>
      <c r="F125" s="76">
        <v>32</v>
      </c>
      <c r="G125" s="76">
        <v>35</v>
      </c>
      <c r="H125" s="76">
        <v>36</v>
      </c>
      <c r="I125" s="76">
        <v>43</v>
      </c>
      <c r="J125" s="76">
        <v>51</v>
      </c>
      <c r="K125" s="76">
        <v>54</v>
      </c>
      <c r="L125" s="76">
        <v>69</v>
      </c>
      <c r="M125" s="76">
        <v>87</v>
      </c>
      <c r="N125" s="76">
        <v>102</v>
      </c>
      <c r="O125" s="76">
        <v>102</v>
      </c>
      <c r="P125" s="76">
        <v>102</v>
      </c>
      <c r="Q125" s="76">
        <v>102</v>
      </c>
      <c r="R125" s="76">
        <v>102</v>
      </c>
    </row>
    <row r="126" spans="1:18" x14ac:dyDescent="0.25">
      <c r="A126" s="76" t="s">
        <v>162</v>
      </c>
      <c r="B126" s="76">
        <v>11</v>
      </c>
      <c r="C126" s="76">
        <v>17</v>
      </c>
      <c r="D126" s="76">
        <v>24</v>
      </c>
      <c r="E126" s="76">
        <v>28</v>
      </c>
      <c r="F126" s="76">
        <v>39</v>
      </c>
      <c r="G126" s="76">
        <v>48</v>
      </c>
      <c r="H126" s="76">
        <v>56</v>
      </c>
      <c r="I126" s="76">
        <v>60</v>
      </c>
      <c r="J126" s="76">
        <v>70</v>
      </c>
      <c r="K126" s="76">
        <v>78</v>
      </c>
      <c r="L126" s="76">
        <v>80</v>
      </c>
      <c r="M126" s="76">
        <v>100</v>
      </c>
      <c r="N126" s="76">
        <v>102</v>
      </c>
      <c r="O126" s="76">
        <v>102</v>
      </c>
      <c r="P126" s="76">
        <v>102</v>
      </c>
      <c r="Q126" s="76">
        <v>102</v>
      </c>
      <c r="R126" s="76">
        <v>102</v>
      </c>
    </row>
    <row r="127" spans="1:18" x14ac:dyDescent="0.25">
      <c r="A127" s="76" t="s">
        <v>161</v>
      </c>
      <c r="B127" s="76">
        <v>10</v>
      </c>
      <c r="C127" s="76">
        <v>14</v>
      </c>
      <c r="D127" s="76">
        <v>23</v>
      </c>
      <c r="E127" s="76">
        <v>28</v>
      </c>
      <c r="F127" s="76">
        <v>38</v>
      </c>
      <c r="G127" s="76">
        <v>41</v>
      </c>
      <c r="H127" s="76">
        <v>56</v>
      </c>
      <c r="I127" s="76">
        <v>65</v>
      </c>
      <c r="J127" s="76">
        <v>69</v>
      </c>
      <c r="K127" s="76">
        <v>73</v>
      </c>
      <c r="L127" s="76">
        <v>87</v>
      </c>
      <c r="M127" s="76">
        <v>99</v>
      </c>
      <c r="N127" s="76">
        <v>102</v>
      </c>
      <c r="O127" s="76">
        <v>102</v>
      </c>
      <c r="P127" s="76">
        <v>102</v>
      </c>
      <c r="Q127" s="76">
        <v>102</v>
      </c>
      <c r="R127" s="76">
        <v>102</v>
      </c>
    </row>
    <row r="128" spans="1:18" x14ac:dyDescent="0.25">
      <c r="A128" s="76" t="s">
        <v>160</v>
      </c>
      <c r="B128" s="76">
        <v>10</v>
      </c>
      <c r="C128" s="76">
        <v>11</v>
      </c>
      <c r="D128" s="76">
        <v>19</v>
      </c>
      <c r="E128" s="76">
        <v>24</v>
      </c>
      <c r="F128" s="76">
        <v>36</v>
      </c>
      <c r="G128" s="76">
        <v>46</v>
      </c>
      <c r="H128" s="76">
        <v>49</v>
      </c>
      <c r="I128" s="76">
        <v>57</v>
      </c>
      <c r="J128" s="76">
        <v>67</v>
      </c>
      <c r="K128" s="76">
        <v>76</v>
      </c>
      <c r="L128" s="76">
        <v>88</v>
      </c>
      <c r="M128" s="76">
        <v>102</v>
      </c>
      <c r="N128" s="76">
        <v>102</v>
      </c>
      <c r="O128" s="76">
        <v>102</v>
      </c>
      <c r="P128" s="76">
        <v>102</v>
      </c>
      <c r="Q128" s="76">
        <v>102</v>
      </c>
      <c r="R128" s="76">
        <v>102</v>
      </c>
    </row>
    <row r="129" spans="1:18" x14ac:dyDescent="0.25">
      <c r="A129" s="76" t="s">
        <v>159</v>
      </c>
      <c r="B129" s="76">
        <v>10</v>
      </c>
      <c r="C129" s="76">
        <v>17</v>
      </c>
      <c r="D129" s="76">
        <v>20</v>
      </c>
      <c r="E129" s="76">
        <v>32</v>
      </c>
      <c r="F129" s="76">
        <v>34</v>
      </c>
      <c r="G129" s="76">
        <v>43</v>
      </c>
      <c r="H129" s="76">
        <v>53</v>
      </c>
      <c r="I129" s="76">
        <v>62</v>
      </c>
      <c r="J129" s="76">
        <v>66</v>
      </c>
      <c r="K129" s="76">
        <v>82</v>
      </c>
      <c r="L129" s="76">
        <v>88</v>
      </c>
      <c r="M129" s="76">
        <v>102</v>
      </c>
      <c r="N129" s="76">
        <v>102</v>
      </c>
      <c r="O129" s="76">
        <v>102</v>
      </c>
      <c r="P129" s="76">
        <v>102</v>
      </c>
      <c r="Q129" s="76">
        <v>102</v>
      </c>
      <c r="R129" s="76">
        <v>102</v>
      </c>
    </row>
    <row r="130" spans="1:18" x14ac:dyDescent="0.25">
      <c r="A130" s="76" t="s">
        <v>158</v>
      </c>
      <c r="B130" s="76">
        <v>10</v>
      </c>
      <c r="C130" s="76">
        <v>17</v>
      </c>
      <c r="D130" s="76">
        <v>22</v>
      </c>
      <c r="E130" s="76">
        <v>26</v>
      </c>
      <c r="F130" s="76">
        <v>40</v>
      </c>
      <c r="G130" s="76">
        <v>42</v>
      </c>
      <c r="H130" s="76">
        <v>49</v>
      </c>
      <c r="I130" s="76">
        <v>58</v>
      </c>
      <c r="J130" s="76">
        <v>62</v>
      </c>
      <c r="K130" s="76">
        <v>69</v>
      </c>
      <c r="L130" s="76">
        <v>75</v>
      </c>
      <c r="M130" s="76">
        <v>102</v>
      </c>
      <c r="N130" s="76">
        <v>102</v>
      </c>
      <c r="O130" s="76">
        <v>102</v>
      </c>
      <c r="P130" s="76">
        <v>102</v>
      </c>
      <c r="Q130" s="76">
        <v>102</v>
      </c>
      <c r="R130" s="76">
        <v>102</v>
      </c>
    </row>
    <row r="131" spans="1:18" x14ac:dyDescent="0.25">
      <c r="A131" s="76" t="s">
        <v>157</v>
      </c>
      <c r="B131" s="76">
        <v>8</v>
      </c>
      <c r="C131" s="76">
        <v>16</v>
      </c>
      <c r="D131" s="76">
        <v>22</v>
      </c>
      <c r="E131" s="76">
        <v>33</v>
      </c>
      <c r="F131" s="76">
        <v>40</v>
      </c>
      <c r="G131" s="76">
        <v>53</v>
      </c>
      <c r="H131" s="76">
        <v>63</v>
      </c>
      <c r="I131" s="76">
        <v>69</v>
      </c>
      <c r="J131" s="76">
        <v>77</v>
      </c>
      <c r="K131" s="76">
        <v>90</v>
      </c>
      <c r="L131" s="76">
        <v>94</v>
      </c>
      <c r="M131" s="76">
        <v>102</v>
      </c>
      <c r="N131" s="76">
        <v>102</v>
      </c>
      <c r="O131" s="76">
        <v>102</v>
      </c>
      <c r="P131" s="76">
        <v>102</v>
      </c>
      <c r="Q131" s="76">
        <v>102</v>
      </c>
      <c r="R131" s="76">
        <v>102</v>
      </c>
    </row>
    <row r="132" spans="1:18" x14ac:dyDescent="0.25">
      <c r="A132" s="76" t="s">
        <v>156</v>
      </c>
      <c r="B132" s="76">
        <v>10</v>
      </c>
      <c r="C132" s="76">
        <v>17</v>
      </c>
      <c r="D132" s="76">
        <v>22</v>
      </c>
      <c r="E132" s="76">
        <v>33</v>
      </c>
      <c r="F132" s="76">
        <v>39</v>
      </c>
      <c r="G132" s="76">
        <v>43</v>
      </c>
      <c r="H132" s="76">
        <v>55</v>
      </c>
      <c r="I132" s="76">
        <v>61</v>
      </c>
      <c r="J132" s="76">
        <v>64</v>
      </c>
      <c r="K132" s="76">
        <v>84</v>
      </c>
      <c r="L132" s="76">
        <v>89</v>
      </c>
      <c r="M132" s="76">
        <v>87</v>
      </c>
      <c r="N132" s="76">
        <v>102</v>
      </c>
      <c r="O132" s="76">
        <v>102</v>
      </c>
      <c r="P132" s="76">
        <v>92</v>
      </c>
      <c r="Q132" s="76">
        <v>102</v>
      </c>
      <c r="R132" s="76">
        <v>102</v>
      </c>
    </row>
    <row r="133" spans="1:18" x14ac:dyDescent="0.25">
      <c r="A133" s="76" t="s">
        <v>155</v>
      </c>
      <c r="B133" s="76">
        <v>10</v>
      </c>
      <c r="C133" s="76">
        <v>14</v>
      </c>
      <c r="D133" s="76">
        <v>19</v>
      </c>
      <c r="E133" s="76">
        <v>29</v>
      </c>
      <c r="F133" s="76">
        <v>40</v>
      </c>
      <c r="G133" s="76">
        <v>43</v>
      </c>
      <c r="H133" s="76">
        <v>53</v>
      </c>
      <c r="I133" s="76">
        <v>60</v>
      </c>
      <c r="J133" s="76">
        <v>66</v>
      </c>
      <c r="K133" s="76">
        <v>77</v>
      </c>
      <c r="L133" s="76">
        <v>88</v>
      </c>
      <c r="M133" s="76">
        <v>98</v>
      </c>
      <c r="N133" s="76">
        <v>102</v>
      </c>
      <c r="O133" s="76">
        <v>102</v>
      </c>
      <c r="P133" s="76">
        <v>102</v>
      </c>
      <c r="Q133" s="76">
        <v>102</v>
      </c>
      <c r="R133" s="76">
        <v>102</v>
      </c>
    </row>
    <row r="134" spans="1:18" x14ac:dyDescent="0.25">
      <c r="A134" s="76" t="s">
        <v>154</v>
      </c>
      <c r="B134" s="76">
        <v>12</v>
      </c>
      <c r="C134" s="76">
        <v>19</v>
      </c>
      <c r="D134" s="76">
        <v>21</v>
      </c>
      <c r="E134" s="76">
        <v>29</v>
      </c>
      <c r="F134" s="76">
        <v>40</v>
      </c>
      <c r="G134" s="76">
        <v>51</v>
      </c>
      <c r="H134" s="76">
        <v>63</v>
      </c>
      <c r="I134" s="76">
        <v>69</v>
      </c>
      <c r="J134" s="76">
        <v>90</v>
      </c>
      <c r="K134" s="76">
        <v>97</v>
      </c>
      <c r="L134" s="76">
        <v>94</v>
      </c>
      <c r="M134" s="76">
        <v>102</v>
      </c>
      <c r="N134" s="76">
        <v>102</v>
      </c>
      <c r="O134" s="76">
        <v>102</v>
      </c>
      <c r="P134" s="76">
        <v>102</v>
      </c>
      <c r="Q134" s="76">
        <v>102</v>
      </c>
      <c r="R134" s="76">
        <v>102</v>
      </c>
    </row>
    <row r="135" spans="1:18" x14ac:dyDescent="0.25">
      <c r="A135" s="76" t="s">
        <v>153</v>
      </c>
      <c r="B135" s="76">
        <v>10</v>
      </c>
      <c r="C135" s="76">
        <v>19</v>
      </c>
      <c r="D135" s="76">
        <v>21</v>
      </c>
      <c r="E135" s="76">
        <v>23</v>
      </c>
      <c r="F135" s="76">
        <v>29</v>
      </c>
      <c r="G135" s="76">
        <v>38</v>
      </c>
      <c r="H135" s="76">
        <v>43</v>
      </c>
      <c r="I135" s="76">
        <v>49</v>
      </c>
      <c r="J135" s="76">
        <v>56</v>
      </c>
      <c r="K135" s="76">
        <v>70</v>
      </c>
      <c r="L135" s="76">
        <v>78</v>
      </c>
      <c r="M135" s="76">
        <v>102</v>
      </c>
      <c r="N135" s="76">
        <v>102</v>
      </c>
      <c r="O135" s="76">
        <v>102</v>
      </c>
      <c r="P135" s="76">
        <v>102</v>
      </c>
      <c r="Q135" s="76">
        <v>102</v>
      </c>
      <c r="R135" s="76">
        <v>102</v>
      </c>
    </row>
    <row r="136" spans="1:18" x14ac:dyDescent="0.25">
      <c r="A136" s="76" t="s">
        <v>152</v>
      </c>
      <c r="B136" s="76">
        <v>8</v>
      </c>
      <c r="C136" s="76">
        <v>13</v>
      </c>
      <c r="D136" s="76">
        <v>17</v>
      </c>
      <c r="E136" s="76">
        <v>26</v>
      </c>
      <c r="F136" s="76">
        <v>31</v>
      </c>
      <c r="G136" s="76">
        <v>37</v>
      </c>
      <c r="H136" s="76">
        <v>49</v>
      </c>
      <c r="I136" s="76">
        <v>49</v>
      </c>
      <c r="J136" s="76">
        <v>52</v>
      </c>
      <c r="K136" s="76">
        <v>59</v>
      </c>
      <c r="L136" s="76">
        <v>79</v>
      </c>
      <c r="M136" s="76">
        <v>91</v>
      </c>
      <c r="N136" s="76">
        <v>102</v>
      </c>
      <c r="O136" s="76">
        <v>102</v>
      </c>
      <c r="P136" s="76">
        <v>102</v>
      </c>
      <c r="Q136" s="76">
        <v>102</v>
      </c>
      <c r="R136" s="76">
        <v>102</v>
      </c>
    </row>
    <row r="137" spans="1:18" x14ac:dyDescent="0.25">
      <c r="A137" s="76" t="s">
        <v>151</v>
      </c>
      <c r="B137" s="76">
        <v>10</v>
      </c>
      <c r="C137" s="76">
        <v>17</v>
      </c>
      <c r="D137" s="76">
        <v>23</v>
      </c>
      <c r="E137" s="76">
        <v>41</v>
      </c>
      <c r="F137" s="76">
        <v>35</v>
      </c>
      <c r="G137" s="76">
        <v>52</v>
      </c>
      <c r="H137" s="76">
        <v>76</v>
      </c>
      <c r="I137" s="76">
        <v>80</v>
      </c>
      <c r="J137" s="76">
        <v>92</v>
      </c>
      <c r="K137" s="76">
        <v>102</v>
      </c>
      <c r="L137" s="76">
        <v>98</v>
      </c>
      <c r="M137" s="76">
        <v>102</v>
      </c>
      <c r="N137" s="76">
        <v>102</v>
      </c>
      <c r="O137" s="76">
        <v>102</v>
      </c>
      <c r="P137" s="76">
        <v>102</v>
      </c>
      <c r="Q137" s="76">
        <v>102</v>
      </c>
      <c r="R137" s="76">
        <v>102</v>
      </c>
    </row>
    <row r="138" spans="1:18" x14ac:dyDescent="0.25">
      <c r="A138" s="76" t="s">
        <v>150</v>
      </c>
      <c r="B138" s="76">
        <v>11</v>
      </c>
      <c r="C138" s="76">
        <v>16</v>
      </c>
      <c r="D138" s="76">
        <v>23</v>
      </c>
      <c r="E138" s="76">
        <v>26</v>
      </c>
      <c r="F138" s="76">
        <v>37</v>
      </c>
      <c r="G138" s="76">
        <v>50</v>
      </c>
      <c r="H138" s="76">
        <v>58</v>
      </c>
      <c r="I138" s="76">
        <v>64</v>
      </c>
      <c r="J138" s="76">
        <v>68</v>
      </c>
      <c r="K138" s="76">
        <v>79</v>
      </c>
      <c r="L138" s="76">
        <v>90</v>
      </c>
      <c r="M138" s="76">
        <v>102</v>
      </c>
      <c r="N138" s="76">
        <v>102</v>
      </c>
      <c r="O138" s="76">
        <v>102</v>
      </c>
      <c r="P138" s="76">
        <v>102</v>
      </c>
      <c r="Q138" s="76">
        <v>102</v>
      </c>
      <c r="R138" s="76">
        <v>102</v>
      </c>
    </row>
    <row r="139" spans="1:18" x14ac:dyDescent="0.25">
      <c r="A139" s="76" t="s">
        <v>149</v>
      </c>
      <c r="B139" s="76">
        <v>11</v>
      </c>
      <c r="C139" s="76">
        <v>16</v>
      </c>
      <c r="D139" s="76">
        <v>17</v>
      </c>
      <c r="E139" s="76">
        <v>27</v>
      </c>
      <c r="F139" s="76">
        <v>27</v>
      </c>
      <c r="G139" s="76">
        <v>33</v>
      </c>
      <c r="H139" s="76">
        <v>39</v>
      </c>
      <c r="I139" s="76">
        <v>43</v>
      </c>
      <c r="J139" s="76">
        <v>48</v>
      </c>
      <c r="K139" s="76">
        <v>53</v>
      </c>
      <c r="L139" s="76">
        <v>59</v>
      </c>
      <c r="M139" s="76">
        <v>73</v>
      </c>
      <c r="N139" s="76">
        <v>87</v>
      </c>
      <c r="O139" s="76">
        <v>95</v>
      </c>
      <c r="P139" s="76">
        <v>102</v>
      </c>
      <c r="Q139" s="76">
        <v>102</v>
      </c>
      <c r="R139" s="76">
        <v>102</v>
      </c>
    </row>
    <row r="140" spans="1:18" x14ac:dyDescent="0.25">
      <c r="A140" s="76" t="s">
        <v>148</v>
      </c>
      <c r="B140" s="76">
        <v>11</v>
      </c>
      <c r="C140" s="76">
        <v>22</v>
      </c>
      <c r="D140" s="76">
        <v>21</v>
      </c>
      <c r="E140" s="76">
        <v>33</v>
      </c>
      <c r="F140" s="76">
        <v>31</v>
      </c>
      <c r="G140" s="76">
        <v>41</v>
      </c>
      <c r="H140" s="76">
        <v>57</v>
      </c>
      <c r="I140" s="76">
        <v>62</v>
      </c>
      <c r="J140" s="76">
        <v>70</v>
      </c>
      <c r="K140" s="76">
        <v>97</v>
      </c>
      <c r="L140" s="76">
        <v>97</v>
      </c>
      <c r="M140" s="76">
        <v>101</v>
      </c>
      <c r="N140" s="76">
        <v>102</v>
      </c>
      <c r="O140" s="76">
        <v>102</v>
      </c>
      <c r="P140" s="76">
        <v>102</v>
      </c>
      <c r="Q140" s="76">
        <v>102</v>
      </c>
      <c r="R140" s="76">
        <v>102</v>
      </c>
    </row>
    <row r="141" spans="1:18" x14ac:dyDescent="0.25">
      <c r="A141" s="76" t="s">
        <v>147</v>
      </c>
      <c r="B141" s="76">
        <v>11</v>
      </c>
      <c r="C141" s="76">
        <v>19</v>
      </c>
      <c r="D141" s="76">
        <v>21</v>
      </c>
      <c r="E141" s="76">
        <v>27</v>
      </c>
      <c r="F141" s="76">
        <v>30</v>
      </c>
      <c r="G141" s="76">
        <v>37</v>
      </c>
      <c r="H141" s="76">
        <v>42</v>
      </c>
      <c r="I141" s="76">
        <v>46</v>
      </c>
      <c r="J141" s="76">
        <v>54</v>
      </c>
      <c r="K141" s="76">
        <v>66</v>
      </c>
      <c r="L141" s="76">
        <v>75</v>
      </c>
      <c r="M141" s="76">
        <v>92</v>
      </c>
      <c r="N141" s="76">
        <v>96</v>
      </c>
      <c r="O141" s="76">
        <v>101</v>
      </c>
      <c r="P141" s="76">
        <v>102</v>
      </c>
      <c r="Q141" s="76">
        <v>102</v>
      </c>
      <c r="R141" s="76">
        <v>102</v>
      </c>
    </row>
    <row r="142" spans="1:18" x14ac:dyDescent="0.25">
      <c r="A142" s="76" t="s">
        <v>146</v>
      </c>
      <c r="B142" s="76">
        <v>11</v>
      </c>
      <c r="C142" s="76">
        <v>12</v>
      </c>
      <c r="D142" s="76">
        <v>22</v>
      </c>
      <c r="E142" s="76">
        <v>29</v>
      </c>
      <c r="F142" s="76">
        <v>34</v>
      </c>
      <c r="G142" s="76">
        <v>39</v>
      </c>
      <c r="H142" s="76">
        <v>49</v>
      </c>
      <c r="I142" s="76">
        <v>61</v>
      </c>
      <c r="J142" s="76">
        <v>62</v>
      </c>
      <c r="K142" s="76">
        <v>76</v>
      </c>
      <c r="L142" s="76">
        <v>80</v>
      </c>
      <c r="M142" s="76">
        <v>91</v>
      </c>
      <c r="N142" s="76">
        <v>98</v>
      </c>
      <c r="O142" s="76">
        <v>102</v>
      </c>
      <c r="P142" s="76">
        <v>102</v>
      </c>
      <c r="Q142" s="76">
        <v>102</v>
      </c>
      <c r="R142" s="76">
        <v>102</v>
      </c>
    </row>
    <row r="143" spans="1:18" x14ac:dyDescent="0.25">
      <c r="A143" s="76" t="s">
        <v>145</v>
      </c>
      <c r="B143" s="76">
        <v>10</v>
      </c>
      <c r="C143" s="76">
        <v>19</v>
      </c>
      <c r="D143" s="76">
        <v>21</v>
      </c>
      <c r="E143" s="76">
        <v>27</v>
      </c>
      <c r="F143" s="76">
        <v>38</v>
      </c>
      <c r="G143" s="76">
        <v>49</v>
      </c>
      <c r="H143" s="76">
        <v>56</v>
      </c>
      <c r="I143" s="76">
        <v>68</v>
      </c>
      <c r="J143" s="76">
        <v>77</v>
      </c>
      <c r="K143" s="76">
        <v>82</v>
      </c>
      <c r="L143" s="76">
        <v>92</v>
      </c>
      <c r="M143" s="76">
        <v>96</v>
      </c>
      <c r="N143" s="76">
        <v>99</v>
      </c>
      <c r="O143" s="76">
        <v>102</v>
      </c>
      <c r="P143" s="76">
        <v>102</v>
      </c>
      <c r="Q143" s="76">
        <v>102</v>
      </c>
      <c r="R143" s="76">
        <v>102</v>
      </c>
    </row>
    <row r="144" spans="1:18" x14ac:dyDescent="0.25">
      <c r="A144" s="76" t="s">
        <v>144</v>
      </c>
      <c r="B144" s="76">
        <v>11</v>
      </c>
      <c r="C144" s="76">
        <v>10</v>
      </c>
      <c r="D144" s="76">
        <v>20</v>
      </c>
      <c r="E144" s="76">
        <v>31</v>
      </c>
      <c r="F144" s="76">
        <v>32</v>
      </c>
      <c r="G144" s="76">
        <v>37</v>
      </c>
      <c r="H144" s="76">
        <v>57</v>
      </c>
      <c r="I144" s="76">
        <v>58</v>
      </c>
      <c r="J144" s="76">
        <v>66</v>
      </c>
      <c r="K144" s="76">
        <v>78</v>
      </c>
      <c r="L144" s="76">
        <v>93</v>
      </c>
      <c r="M144" s="76">
        <v>94</v>
      </c>
      <c r="N144" s="76">
        <v>101</v>
      </c>
      <c r="O144" s="76">
        <v>102</v>
      </c>
      <c r="P144" s="76">
        <v>102</v>
      </c>
      <c r="Q144" s="76">
        <v>102</v>
      </c>
      <c r="R144" s="76">
        <v>102</v>
      </c>
    </row>
    <row r="145" spans="1:18" x14ac:dyDescent="0.25">
      <c r="A145" s="76" t="s">
        <v>143</v>
      </c>
      <c r="B145" s="76">
        <v>9</v>
      </c>
      <c r="C145" s="76">
        <v>15</v>
      </c>
      <c r="D145" s="76">
        <v>16</v>
      </c>
      <c r="E145" s="76">
        <v>26</v>
      </c>
      <c r="F145" s="76">
        <v>31</v>
      </c>
      <c r="G145" s="76">
        <v>39</v>
      </c>
      <c r="H145" s="76">
        <v>46</v>
      </c>
      <c r="I145" s="76">
        <v>57</v>
      </c>
      <c r="J145" s="76">
        <v>68</v>
      </c>
      <c r="K145" s="76">
        <v>93</v>
      </c>
      <c r="L145" s="76">
        <v>88</v>
      </c>
      <c r="M145" s="76">
        <v>97</v>
      </c>
      <c r="N145" s="76">
        <v>99</v>
      </c>
      <c r="O145" s="76">
        <v>102</v>
      </c>
      <c r="P145" s="76">
        <v>102</v>
      </c>
      <c r="Q145" s="76">
        <v>102</v>
      </c>
      <c r="R145" s="76">
        <v>102</v>
      </c>
    </row>
    <row r="146" spans="1:18" x14ac:dyDescent="0.25">
      <c r="A146" s="76" t="s">
        <v>142</v>
      </c>
      <c r="B146" s="76">
        <v>12</v>
      </c>
      <c r="C146" s="76">
        <v>23</v>
      </c>
      <c r="D146" s="76">
        <v>27</v>
      </c>
      <c r="E146" s="76">
        <v>39</v>
      </c>
      <c r="F146" s="76">
        <v>35</v>
      </c>
      <c r="G146" s="76">
        <v>46</v>
      </c>
      <c r="H146" s="76">
        <v>56</v>
      </c>
      <c r="I146" s="76">
        <v>59</v>
      </c>
      <c r="J146" s="76">
        <v>70</v>
      </c>
      <c r="K146" s="76">
        <v>80</v>
      </c>
      <c r="L146" s="76">
        <v>102</v>
      </c>
      <c r="M146" s="76">
        <v>102</v>
      </c>
      <c r="N146" s="76">
        <v>102</v>
      </c>
      <c r="O146" s="76">
        <v>102</v>
      </c>
      <c r="P146" s="76">
        <v>102</v>
      </c>
      <c r="Q146" s="76">
        <v>102</v>
      </c>
      <c r="R146" s="76">
        <v>102</v>
      </c>
    </row>
    <row r="147" spans="1:18" x14ac:dyDescent="0.25">
      <c r="A147" s="76" t="s">
        <v>141</v>
      </c>
      <c r="B147" s="76">
        <v>12</v>
      </c>
      <c r="C147" s="76">
        <v>18</v>
      </c>
      <c r="D147" s="76">
        <v>23</v>
      </c>
      <c r="E147" s="76">
        <v>26</v>
      </c>
      <c r="F147" s="76">
        <v>37</v>
      </c>
      <c r="G147" s="76">
        <v>41</v>
      </c>
      <c r="H147" s="76">
        <v>51</v>
      </c>
      <c r="I147" s="76">
        <v>59</v>
      </c>
      <c r="J147" s="76">
        <v>60</v>
      </c>
      <c r="K147" s="76">
        <v>84</v>
      </c>
      <c r="L147" s="76">
        <v>81</v>
      </c>
      <c r="M147" s="76">
        <v>85</v>
      </c>
      <c r="N147" s="76">
        <v>89</v>
      </c>
      <c r="O147" s="76">
        <v>91</v>
      </c>
      <c r="P147" s="76">
        <v>102</v>
      </c>
      <c r="Q147" s="76">
        <v>102</v>
      </c>
      <c r="R147" s="76">
        <v>102</v>
      </c>
    </row>
    <row r="148" spans="1:18" x14ac:dyDescent="0.25">
      <c r="A148" s="76" t="s">
        <v>140</v>
      </c>
      <c r="B148" s="76">
        <v>13</v>
      </c>
      <c r="C148" s="76">
        <v>15</v>
      </c>
      <c r="D148" s="76">
        <v>23</v>
      </c>
      <c r="E148" s="76">
        <v>32</v>
      </c>
      <c r="F148" s="76">
        <v>36</v>
      </c>
      <c r="G148" s="76">
        <v>45</v>
      </c>
      <c r="H148" s="76">
        <v>56</v>
      </c>
      <c r="I148" s="76">
        <v>65</v>
      </c>
      <c r="J148" s="76">
        <v>64</v>
      </c>
      <c r="K148" s="76">
        <v>81</v>
      </c>
      <c r="L148" s="76">
        <v>94</v>
      </c>
      <c r="M148" s="76">
        <v>102</v>
      </c>
      <c r="N148" s="76">
        <v>102</v>
      </c>
      <c r="O148" s="76">
        <v>102</v>
      </c>
      <c r="P148" s="76">
        <v>102</v>
      </c>
      <c r="Q148" s="76">
        <v>102</v>
      </c>
      <c r="R148" s="76">
        <v>102</v>
      </c>
    </row>
    <row r="149" spans="1:18" x14ac:dyDescent="0.25">
      <c r="A149" s="76" t="s">
        <v>139</v>
      </c>
      <c r="B149" s="76">
        <v>11</v>
      </c>
      <c r="C149" s="76">
        <v>17</v>
      </c>
      <c r="D149" s="76">
        <v>22</v>
      </c>
      <c r="E149" s="76">
        <v>32</v>
      </c>
      <c r="F149" s="76">
        <v>34</v>
      </c>
      <c r="G149" s="76">
        <v>40</v>
      </c>
      <c r="H149" s="76">
        <v>49</v>
      </c>
      <c r="I149" s="76">
        <v>51</v>
      </c>
      <c r="J149" s="76">
        <v>61</v>
      </c>
      <c r="K149" s="76">
        <v>68</v>
      </c>
      <c r="L149" s="76">
        <v>83</v>
      </c>
      <c r="M149" s="76">
        <v>91</v>
      </c>
      <c r="N149" s="76">
        <v>102</v>
      </c>
      <c r="O149" s="76">
        <v>102</v>
      </c>
      <c r="P149" s="76">
        <v>102</v>
      </c>
      <c r="Q149" s="76">
        <v>102</v>
      </c>
      <c r="R149" s="76">
        <v>102</v>
      </c>
    </row>
    <row r="150" spans="1:18" x14ac:dyDescent="0.25">
      <c r="A150" s="76" t="s">
        <v>138</v>
      </c>
      <c r="B150" s="76">
        <v>10</v>
      </c>
      <c r="C150" s="76">
        <v>19</v>
      </c>
      <c r="D150" s="76">
        <v>22</v>
      </c>
      <c r="E150" s="76">
        <v>32</v>
      </c>
      <c r="F150" s="76">
        <v>35</v>
      </c>
      <c r="G150" s="76">
        <v>38</v>
      </c>
      <c r="H150" s="76">
        <v>51</v>
      </c>
      <c r="I150" s="76">
        <v>58</v>
      </c>
      <c r="J150" s="76">
        <v>68</v>
      </c>
      <c r="K150" s="76">
        <v>83</v>
      </c>
      <c r="L150" s="76">
        <v>92</v>
      </c>
      <c r="M150" s="76">
        <v>92</v>
      </c>
      <c r="N150" s="76">
        <v>102</v>
      </c>
      <c r="O150" s="76">
        <v>102</v>
      </c>
      <c r="P150" s="76">
        <v>102</v>
      </c>
      <c r="Q150" s="76">
        <v>102</v>
      </c>
      <c r="R150" s="76">
        <v>102</v>
      </c>
    </row>
    <row r="151" spans="1:18" x14ac:dyDescent="0.25">
      <c r="A151" s="76" t="s">
        <v>137</v>
      </c>
      <c r="B151" s="76">
        <v>10</v>
      </c>
      <c r="C151" s="76">
        <v>17</v>
      </c>
      <c r="D151" s="76">
        <v>22</v>
      </c>
      <c r="E151" s="76">
        <v>23</v>
      </c>
      <c r="F151" s="76">
        <v>34</v>
      </c>
      <c r="G151" s="76">
        <v>45</v>
      </c>
      <c r="H151" s="76">
        <v>56</v>
      </c>
      <c r="I151" s="76">
        <v>65</v>
      </c>
      <c r="J151" s="76">
        <v>71</v>
      </c>
      <c r="K151" s="76">
        <v>79</v>
      </c>
      <c r="L151" s="76">
        <v>95</v>
      </c>
      <c r="M151" s="76">
        <v>102</v>
      </c>
      <c r="N151" s="76">
        <v>102</v>
      </c>
      <c r="O151" s="76">
        <v>102</v>
      </c>
      <c r="P151" s="76">
        <v>102</v>
      </c>
      <c r="Q151" s="76">
        <v>102</v>
      </c>
      <c r="R151" s="76">
        <v>102</v>
      </c>
    </row>
    <row r="152" spans="1:18" x14ac:dyDescent="0.25">
      <c r="A152" s="76" t="s">
        <v>136</v>
      </c>
      <c r="B152" s="76">
        <v>11</v>
      </c>
      <c r="C152" s="76">
        <v>15</v>
      </c>
      <c r="D152" s="76">
        <v>19</v>
      </c>
      <c r="E152" s="76">
        <v>29</v>
      </c>
      <c r="F152" s="76">
        <v>34</v>
      </c>
      <c r="G152" s="76">
        <v>33</v>
      </c>
      <c r="H152" s="76">
        <v>40</v>
      </c>
      <c r="I152" s="76">
        <v>41</v>
      </c>
      <c r="J152" s="76">
        <v>40</v>
      </c>
      <c r="K152" s="76">
        <v>48</v>
      </c>
      <c r="L152" s="76">
        <v>70</v>
      </c>
      <c r="M152" s="76">
        <v>80</v>
      </c>
      <c r="N152" s="76">
        <v>94</v>
      </c>
      <c r="O152" s="76">
        <v>95</v>
      </c>
      <c r="P152" s="76">
        <v>102</v>
      </c>
      <c r="Q152" s="76">
        <v>102</v>
      </c>
      <c r="R152" s="76">
        <v>102</v>
      </c>
    </row>
    <row r="153" spans="1:18" x14ac:dyDescent="0.25">
      <c r="A153" s="76" t="s">
        <v>135</v>
      </c>
      <c r="B153" s="76">
        <v>10</v>
      </c>
      <c r="C153" s="76">
        <v>15</v>
      </c>
      <c r="D153" s="76">
        <v>20</v>
      </c>
      <c r="E153" s="76">
        <v>26</v>
      </c>
      <c r="F153" s="76">
        <v>30</v>
      </c>
      <c r="G153" s="76">
        <v>38</v>
      </c>
      <c r="H153" s="76">
        <v>42</v>
      </c>
      <c r="I153" s="76">
        <v>44</v>
      </c>
      <c r="J153" s="76">
        <v>46</v>
      </c>
      <c r="K153" s="76">
        <v>68</v>
      </c>
      <c r="L153" s="76">
        <v>72</v>
      </c>
      <c r="M153" s="76">
        <v>97</v>
      </c>
      <c r="N153" s="76">
        <v>100</v>
      </c>
      <c r="O153" s="76">
        <v>102</v>
      </c>
      <c r="P153" s="76">
        <v>102</v>
      </c>
      <c r="Q153" s="76">
        <v>102</v>
      </c>
      <c r="R153" s="76">
        <v>102</v>
      </c>
    </row>
    <row r="154" spans="1:18" x14ac:dyDescent="0.25">
      <c r="A154" s="76" t="s">
        <v>134</v>
      </c>
      <c r="B154" s="76">
        <v>9</v>
      </c>
      <c r="C154" s="76">
        <v>14</v>
      </c>
      <c r="D154" s="76">
        <v>19</v>
      </c>
      <c r="E154" s="76">
        <v>31</v>
      </c>
      <c r="F154" s="76">
        <v>33</v>
      </c>
      <c r="G154" s="76">
        <v>38</v>
      </c>
      <c r="H154" s="76">
        <v>42</v>
      </c>
      <c r="I154" s="76">
        <v>40</v>
      </c>
      <c r="J154" s="76">
        <v>54</v>
      </c>
      <c r="K154" s="76">
        <v>58</v>
      </c>
      <c r="L154" s="76">
        <v>76</v>
      </c>
      <c r="M154" s="76">
        <v>91</v>
      </c>
      <c r="N154" s="76">
        <v>97</v>
      </c>
      <c r="O154" s="76">
        <v>102</v>
      </c>
      <c r="P154" s="76">
        <v>102</v>
      </c>
      <c r="Q154" s="76">
        <v>102</v>
      </c>
      <c r="R154" s="76">
        <v>102</v>
      </c>
    </row>
    <row r="155" spans="1:18" x14ac:dyDescent="0.25">
      <c r="A155" s="76" t="s">
        <v>133</v>
      </c>
      <c r="B155" s="76">
        <v>9</v>
      </c>
      <c r="C155" s="76">
        <v>17</v>
      </c>
      <c r="D155" s="76">
        <v>19</v>
      </c>
      <c r="E155" s="76">
        <v>30</v>
      </c>
      <c r="F155" s="76">
        <v>30</v>
      </c>
      <c r="G155" s="76">
        <v>37</v>
      </c>
      <c r="H155" s="76">
        <v>41</v>
      </c>
      <c r="I155" s="76">
        <v>48</v>
      </c>
      <c r="J155" s="76">
        <v>48</v>
      </c>
      <c r="K155" s="76">
        <v>60</v>
      </c>
      <c r="L155" s="76">
        <v>74</v>
      </c>
      <c r="M155" s="76">
        <v>84</v>
      </c>
      <c r="N155" s="76">
        <v>102</v>
      </c>
      <c r="O155" s="76">
        <v>102</v>
      </c>
      <c r="P155" s="76">
        <v>102</v>
      </c>
      <c r="Q155" s="76">
        <v>102</v>
      </c>
      <c r="R155" s="76">
        <v>102</v>
      </c>
    </row>
    <row r="156" spans="1:18" x14ac:dyDescent="0.25">
      <c r="A156" s="76" t="s">
        <v>132</v>
      </c>
      <c r="B156" s="76">
        <v>11</v>
      </c>
      <c r="C156" s="76">
        <v>21</v>
      </c>
      <c r="D156" s="76">
        <v>22</v>
      </c>
      <c r="E156" s="76">
        <v>36</v>
      </c>
      <c r="F156" s="76">
        <v>40</v>
      </c>
      <c r="G156" s="76">
        <v>50</v>
      </c>
      <c r="H156" s="76">
        <v>57</v>
      </c>
      <c r="I156" s="76">
        <v>69</v>
      </c>
      <c r="J156" s="76">
        <v>69</v>
      </c>
      <c r="K156" s="76">
        <v>84</v>
      </c>
      <c r="L156" s="76">
        <v>96</v>
      </c>
      <c r="M156" s="76">
        <v>102</v>
      </c>
      <c r="N156" s="76">
        <v>102</v>
      </c>
      <c r="O156" s="76">
        <v>102</v>
      </c>
      <c r="P156" s="76">
        <v>102</v>
      </c>
      <c r="Q156" s="76">
        <v>102</v>
      </c>
      <c r="R156" s="76">
        <v>102</v>
      </c>
    </row>
    <row r="157" spans="1:18" x14ac:dyDescent="0.25">
      <c r="A157" s="76" t="s">
        <v>131</v>
      </c>
      <c r="B157" s="76">
        <v>10</v>
      </c>
      <c r="C157" s="76">
        <v>15</v>
      </c>
      <c r="D157" s="76">
        <v>18</v>
      </c>
      <c r="E157" s="76">
        <v>23</v>
      </c>
      <c r="F157" s="76">
        <v>26</v>
      </c>
      <c r="G157" s="76">
        <v>30</v>
      </c>
      <c r="H157" s="76">
        <v>37</v>
      </c>
      <c r="I157" s="76">
        <v>39</v>
      </c>
      <c r="J157" s="76">
        <v>41</v>
      </c>
      <c r="K157" s="76">
        <v>39</v>
      </c>
      <c r="L157" s="76">
        <v>58</v>
      </c>
      <c r="M157" s="76">
        <v>69</v>
      </c>
      <c r="N157" s="76">
        <v>80</v>
      </c>
      <c r="O157" s="76">
        <v>89</v>
      </c>
      <c r="P157" s="76">
        <v>102</v>
      </c>
      <c r="Q157" s="76">
        <v>102</v>
      </c>
      <c r="R157" s="76">
        <v>102</v>
      </c>
    </row>
    <row r="158" spans="1:18" x14ac:dyDescent="0.25">
      <c r="A158" s="76" t="s">
        <v>130</v>
      </c>
      <c r="B158" s="76">
        <v>9</v>
      </c>
      <c r="C158" s="76">
        <v>17</v>
      </c>
      <c r="D158" s="76">
        <v>22</v>
      </c>
      <c r="E158" s="76">
        <v>28</v>
      </c>
      <c r="F158" s="76">
        <v>34</v>
      </c>
      <c r="G158" s="76">
        <v>33</v>
      </c>
      <c r="H158" s="76">
        <v>34</v>
      </c>
      <c r="I158" s="76">
        <v>33</v>
      </c>
      <c r="J158" s="76">
        <v>32</v>
      </c>
      <c r="K158" s="76">
        <v>30</v>
      </c>
      <c r="L158" s="76">
        <v>50</v>
      </c>
      <c r="M158" s="76">
        <v>58</v>
      </c>
      <c r="N158" s="76">
        <v>72</v>
      </c>
      <c r="O158" s="76">
        <v>75</v>
      </c>
      <c r="P158" s="76">
        <v>79</v>
      </c>
      <c r="Q158" s="76">
        <v>77</v>
      </c>
      <c r="R158" s="76">
        <v>87</v>
      </c>
    </row>
    <row r="159" spans="1:18" x14ac:dyDescent="0.25">
      <c r="A159" s="76" t="s">
        <v>129</v>
      </c>
      <c r="B159" s="76">
        <v>10</v>
      </c>
      <c r="C159" s="76">
        <v>13</v>
      </c>
      <c r="D159" s="76">
        <v>23</v>
      </c>
      <c r="E159" s="76">
        <v>28</v>
      </c>
      <c r="F159" s="76">
        <v>30</v>
      </c>
      <c r="G159" s="76">
        <v>37</v>
      </c>
      <c r="H159" s="76">
        <v>37</v>
      </c>
      <c r="I159" s="76">
        <v>41</v>
      </c>
      <c r="J159" s="76">
        <v>47</v>
      </c>
      <c r="K159" s="76">
        <v>49</v>
      </c>
      <c r="L159" s="76">
        <v>63</v>
      </c>
      <c r="M159" s="76">
        <v>78</v>
      </c>
      <c r="N159" s="76">
        <v>88</v>
      </c>
      <c r="O159" s="76">
        <v>92</v>
      </c>
      <c r="P159" s="76">
        <v>102</v>
      </c>
      <c r="Q159" s="76">
        <v>102</v>
      </c>
      <c r="R159" s="76">
        <v>102</v>
      </c>
    </row>
    <row r="160" spans="1:18" x14ac:dyDescent="0.25">
      <c r="A160" s="76" t="s">
        <v>128</v>
      </c>
      <c r="B160" s="76">
        <v>9</v>
      </c>
      <c r="C160" s="76">
        <v>15</v>
      </c>
      <c r="D160" s="76">
        <v>23</v>
      </c>
      <c r="E160" s="76">
        <v>29</v>
      </c>
      <c r="F160" s="76">
        <v>36</v>
      </c>
      <c r="G160" s="76">
        <v>46</v>
      </c>
      <c r="H160" s="76">
        <v>47</v>
      </c>
      <c r="I160" s="76">
        <v>56</v>
      </c>
      <c r="J160" s="76">
        <v>59</v>
      </c>
      <c r="K160" s="76">
        <v>67</v>
      </c>
      <c r="L160" s="76">
        <v>84</v>
      </c>
      <c r="M160" s="76">
        <v>96</v>
      </c>
      <c r="N160" s="76">
        <v>102</v>
      </c>
      <c r="O160" s="76">
        <v>102</v>
      </c>
      <c r="P160" s="76">
        <v>102</v>
      </c>
      <c r="Q160" s="76">
        <v>102</v>
      </c>
      <c r="R160" s="76">
        <v>102</v>
      </c>
    </row>
    <row r="161" spans="1:18" x14ac:dyDescent="0.25">
      <c r="A161" s="76" t="s">
        <v>127</v>
      </c>
      <c r="B161" s="76">
        <v>9</v>
      </c>
      <c r="C161" s="76">
        <v>17</v>
      </c>
      <c r="D161" s="76">
        <v>22</v>
      </c>
      <c r="E161" s="76">
        <v>37</v>
      </c>
      <c r="F161" s="76">
        <v>39</v>
      </c>
      <c r="G161" s="76">
        <v>55</v>
      </c>
      <c r="H161" s="76">
        <v>63</v>
      </c>
      <c r="I161" s="76">
        <v>78</v>
      </c>
      <c r="J161" s="76">
        <v>87</v>
      </c>
      <c r="K161" s="76">
        <v>102</v>
      </c>
      <c r="L161" s="76">
        <v>102</v>
      </c>
      <c r="M161" s="76">
        <v>102</v>
      </c>
      <c r="N161" s="76">
        <v>102</v>
      </c>
      <c r="O161" s="76">
        <v>102</v>
      </c>
      <c r="P161" s="76">
        <v>102</v>
      </c>
      <c r="Q161" s="76">
        <v>102</v>
      </c>
      <c r="R161" s="76">
        <v>102</v>
      </c>
    </row>
    <row r="162" spans="1:18" x14ac:dyDescent="0.25">
      <c r="A162" s="76" t="s">
        <v>126</v>
      </c>
      <c r="B162" s="76">
        <v>10</v>
      </c>
      <c r="C162" s="76">
        <v>9</v>
      </c>
      <c r="D162" s="76">
        <v>27</v>
      </c>
      <c r="E162" s="76">
        <v>43</v>
      </c>
      <c r="F162" s="76">
        <v>45</v>
      </c>
      <c r="G162" s="76">
        <v>59</v>
      </c>
      <c r="H162" s="76">
        <v>77</v>
      </c>
      <c r="I162" s="76">
        <v>85</v>
      </c>
      <c r="J162" s="76">
        <v>96</v>
      </c>
      <c r="K162" s="76">
        <v>102</v>
      </c>
      <c r="L162" s="76">
        <v>102</v>
      </c>
      <c r="M162" s="76">
        <v>102</v>
      </c>
      <c r="N162" s="76">
        <v>102</v>
      </c>
      <c r="O162" s="76">
        <v>102</v>
      </c>
      <c r="P162" s="76">
        <v>102</v>
      </c>
      <c r="Q162" s="76">
        <v>102</v>
      </c>
      <c r="R162" s="76">
        <v>102</v>
      </c>
    </row>
    <row r="163" spans="1:18" x14ac:dyDescent="0.25">
      <c r="A163" s="76" t="s">
        <v>125</v>
      </c>
      <c r="B163" s="76">
        <v>7</v>
      </c>
      <c r="C163" s="76">
        <v>17</v>
      </c>
      <c r="D163" s="76">
        <v>21</v>
      </c>
      <c r="E163" s="76">
        <v>29</v>
      </c>
      <c r="F163" s="76">
        <v>40</v>
      </c>
      <c r="G163" s="76">
        <v>46</v>
      </c>
      <c r="H163" s="76">
        <v>49</v>
      </c>
      <c r="I163" s="76">
        <v>67</v>
      </c>
      <c r="J163" s="76">
        <v>78</v>
      </c>
      <c r="K163" s="76">
        <v>86</v>
      </c>
      <c r="L163" s="76">
        <v>102</v>
      </c>
      <c r="M163" s="76">
        <v>102</v>
      </c>
      <c r="N163" s="76">
        <v>102</v>
      </c>
      <c r="O163" s="76">
        <v>102</v>
      </c>
      <c r="P163" s="76">
        <v>102</v>
      </c>
      <c r="Q163" s="76">
        <v>102</v>
      </c>
      <c r="R163" s="76">
        <v>102</v>
      </c>
    </row>
    <row r="164" spans="1:18" x14ac:dyDescent="0.25">
      <c r="A164" s="76" t="s">
        <v>124</v>
      </c>
      <c r="B164" s="76">
        <v>8</v>
      </c>
      <c r="C164" s="76">
        <v>14</v>
      </c>
      <c r="D164" s="76">
        <v>18</v>
      </c>
      <c r="E164" s="76">
        <v>29</v>
      </c>
      <c r="F164" s="76">
        <v>29</v>
      </c>
      <c r="G164" s="76">
        <v>38</v>
      </c>
      <c r="H164" s="76">
        <v>48</v>
      </c>
      <c r="I164" s="76">
        <v>57</v>
      </c>
      <c r="J164" s="76">
        <v>54</v>
      </c>
      <c r="K164" s="76">
        <v>68</v>
      </c>
      <c r="L164" s="76">
        <v>85</v>
      </c>
      <c r="M164" s="76">
        <v>102</v>
      </c>
      <c r="N164" s="76">
        <v>102</v>
      </c>
      <c r="O164" s="76">
        <v>102</v>
      </c>
      <c r="P164" s="76">
        <v>102</v>
      </c>
      <c r="Q164" s="76">
        <v>102</v>
      </c>
      <c r="R164" s="76">
        <v>102</v>
      </c>
    </row>
    <row r="165" spans="1:18" x14ac:dyDescent="0.25">
      <c r="A165" s="76" t="s">
        <v>123</v>
      </c>
      <c r="B165" s="76">
        <v>9</v>
      </c>
      <c r="C165" s="76">
        <v>16</v>
      </c>
      <c r="D165" s="76">
        <v>22</v>
      </c>
      <c r="E165" s="76">
        <v>31</v>
      </c>
      <c r="F165" s="76">
        <v>34</v>
      </c>
      <c r="G165" s="76">
        <v>39</v>
      </c>
      <c r="H165" s="76">
        <v>40</v>
      </c>
      <c r="I165" s="76">
        <v>47</v>
      </c>
      <c r="J165" s="76">
        <v>54</v>
      </c>
      <c r="K165" s="76">
        <v>56</v>
      </c>
      <c r="L165" s="76">
        <v>70</v>
      </c>
      <c r="M165" s="76">
        <v>92</v>
      </c>
      <c r="N165" s="76">
        <v>102</v>
      </c>
      <c r="O165" s="76">
        <v>102</v>
      </c>
      <c r="P165" s="76">
        <v>102</v>
      </c>
      <c r="Q165" s="76">
        <v>102</v>
      </c>
      <c r="R165" s="76">
        <v>102</v>
      </c>
    </row>
    <row r="166" spans="1:18" x14ac:dyDescent="0.25">
      <c r="A166" s="76" t="s">
        <v>122</v>
      </c>
      <c r="B166" s="76">
        <v>8</v>
      </c>
      <c r="C166" s="76">
        <v>18</v>
      </c>
      <c r="D166" s="76">
        <v>17</v>
      </c>
      <c r="E166" s="76">
        <v>30</v>
      </c>
      <c r="F166" s="76">
        <v>27</v>
      </c>
      <c r="G166" s="76">
        <v>31</v>
      </c>
      <c r="H166" s="76">
        <v>33</v>
      </c>
      <c r="I166" s="76">
        <v>38</v>
      </c>
      <c r="J166" s="76">
        <v>36</v>
      </c>
      <c r="K166" s="76">
        <v>36</v>
      </c>
      <c r="L166" s="76">
        <v>49</v>
      </c>
      <c r="M166" s="76">
        <v>60</v>
      </c>
      <c r="N166" s="76">
        <v>83</v>
      </c>
      <c r="O166" s="76">
        <v>89</v>
      </c>
      <c r="P166" s="76">
        <v>102</v>
      </c>
      <c r="Q166" s="76">
        <v>102</v>
      </c>
      <c r="R166" s="76">
        <v>102</v>
      </c>
    </row>
    <row r="167" spans="1:18" x14ac:dyDescent="0.25">
      <c r="A167" s="76" t="s">
        <v>121</v>
      </c>
      <c r="B167" s="76">
        <v>8</v>
      </c>
      <c r="C167" s="76">
        <v>15</v>
      </c>
      <c r="D167" s="76">
        <v>20</v>
      </c>
      <c r="E167" s="76">
        <v>30</v>
      </c>
      <c r="F167" s="76">
        <v>38</v>
      </c>
      <c r="G167" s="76">
        <v>45</v>
      </c>
      <c r="H167" s="76">
        <v>57</v>
      </c>
      <c r="I167" s="76">
        <v>58</v>
      </c>
      <c r="J167" s="76">
        <v>68</v>
      </c>
      <c r="K167" s="76">
        <v>74</v>
      </c>
      <c r="L167" s="76">
        <v>84</v>
      </c>
      <c r="M167" s="76">
        <v>88</v>
      </c>
      <c r="N167" s="76">
        <v>102</v>
      </c>
      <c r="O167" s="76">
        <v>102</v>
      </c>
      <c r="P167" s="76">
        <v>102</v>
      </c>
      <c r="Q167" s="76">
        <v>102</v>
      </c>
      <c r="R167" s="76">
        <v>102</v>
      </c>
    </row>
    <row r="168" spans="1:18" x14ac:dyDescent="0.25">
      <c r="A168" s="76" t="s">
        <v>120</v>
      </c>
      <c r="B168" s="76">
        <v>9</v>
      </c>
      <c r="C168" s="76">
        <v>18</v>
      </c>
      <c r="D168" s="76">
        <v>18</v>
      </c>
      <c r="E168" s="76">
        <v>33</v>
      </c>
      <c r="F168" s="76">
        <v>24</v>
      </c>
      <c r="G168" s="76">
        <v>32</v>
      </c>
      <c r="H168" s="76">
        <v>36</v>
      </c>
      <c r="I168" s="76">
        <v>38</v>
      </c>
      <c r="J168" s="76">
        <v>37</v>
      </c>
      <c r="K168" s="76">
        <v>48</v>
      </c>
      <c r="L168" s="76">
        <v>49</v>
      </c>
      <c r="M168" s="76">
        <v>53</v>
      </c>
      <c r="N168" s="76">
        <v>61</v>
      </c>
      <c r="O168" s="76">
        <v>54</v>
      </c>
      <c r="P168" s="76">
        <v>61</v>
      </c>
      <c r="Q168" s="76">
        <v>62</v>
      </c>
      <c r="R168" s="76">
        <v>69</v>
      </c>
    </row>
    <row r="169" spans="1:18" x14ac:dyDescent="0.25">
      <c r="A169" s="76" t="s">
        <v>119</v>
      </c>
      <c r="B169" s="76">
        <v>10</v>
      </c>
      <c r="C169" s="76">
        <v>14</v>
      </c>
      <c r="D169" s="76">
        <v>21</v>
      </c>
      <c r="E169" s="76">
        <v>27</v>
      </c>
      <c r="F169" s="76">
        <v>36</v>
      </c>
      <c r="G169" s="76">
        <v>46</v>
      </c>
      <c r="H169" s="76">
        <v>62</v>
      </c>
      <c r="I169" s="76">
        <v>69</v>
      </c>
      <c r="J169" s="76">
        <v>68</v>
      </c>
      <c r="K169" s="76">
        <v>75</v>
      </c>
      <c r="L169" s="76">
        <v>96</v>
      </c>
      <c r="M169" s="76">
        <v>102</v>
      </c>
      <c r="N169" s="76">
        <v>102</v>
      </c>
      <c r="O169" s="76">
        <v>102</v>
      </c>
      <c r="P169" s="76">
        <v>102</v>
      </c>
      <c r="Q169" s="76">
        <v>102</v>
      </c>
      <c r="R169" s="76">
        <v>102</v>
      </c>
    </row>
    <row r="170" spans="1:18" x14ac:dyDescent="0.25">
      <c r="A170" s="76" t="s">
        <v>118</v>
      </c>
      <c r="B170" s="76">
        <v>12</v>
      </c>
      <c r="C170" s="76">
        <v>16</v>
      </c>
      <c r="D170" s="76">
        <v>23</v>
      </c>
      <c r="E170" s="76">
        <v>31</v>
      </c>
      <c r="F170" s="76">
        <v>42</v>
      </c>
      <c r="G170" s="76">
        <v>54</v>
      </c>
      <c r="H170" s="76">
        <v>57</v>
      </c>
      <c r="I170" s="76">
        <v>68</v>
      </c>
      <c r="J170" s="76">
        <v>77</v>
      </c>
      <c r="K170" s="76">
        <v>87</v>
      </c>
      <c r="L170" s="76">
        <v>97</v>
      </c>
      <c r="M170" s="76">
        <v>102</v>
      </c>
      <c r="N170" s="76">
        <v>102</v>
      </c>
      <c r="O170" s="76">
        <v>102</v>
      </c>
      <c r="P170" s="76">
        <v>102</v>
      </c>
      <c r="Q170" s="76">
        <v>102</v>
      </c>
      <c r="R170" s="76">
        <v>102</v>
      </c>
    </row>
    <row r="171" spans="1:18" x14ac:dyDescent="0.25">
      <c r="A171" s="76" t="s">
        <v>117</v>
      </c>
      <c r="B171" s="76">
        <v>8</v>
      </c>
      <c r="C171" s="76">
        <v>17</v>
      </c>
      <c r="D171" s="76">
        <v>22</v>
      </c>
      <c r="E171" s="76">
        <v>31</v>
      </c>
      <c r="F171" s="76">
        <v>40</v>
      </c>
      <c r="G171" s="76">
        <v>46</v>
      </c>
      <c r="H171" s="76">
        <v>46</v>
      </c>
      <c r="I171" s="76">
        <v>58</v>
      </c>
      <c r="J171" s="76">
        <v>70</v>
      </c>
      <c r="K171" s="76">
        <v>76</v>
      </c>
      <c r="L171" s="76">
        <v>91</v>
      </c>
      <c r="M171" s="76">
        <v>90</v>
      </c>
      <c r="N171" s="76">
        <v>94</v>
      </c>
      <c r="O171" s="76">
        <v>102</v>
      </c>
      <c r="P171" s="76">
        <v>102</v>
      </c>
      <c r="Q171" s="76">
        <v>97</v>
      </c>
      <c r="R171" s="76">
        <v>102</v>
      </c>
    </row>
    <row r="172" spans="1:18" x14ac:dyDescent="0.25">
      <c r="A172" s="76" t="s">
        <v>116</v>
      </c>
      <c r="B172" s="76">
        <v>10</v>
      </c>
      <c r="C172" s="76">
        <v>17</v>
      </c>
      <c r="D172" s="76">
        <v>21</v>
      </c>
      <c r="E172" s="76">
        <v>28</v>
      </c>
      <c r="F172" s="76">
        <v>33</v>
      </c>
      <c r="G172" s="76">
        <v>40</v>
      </c>
      <c r="H172" s="76">
        <v>42</v>
      </c>
      <c r="I172" s="76">
        <v>55</v>
      </c>
      <c r="J172" s="76">
        <v>54</v>
      </c>
      <c r="K172" s="76">
        <v>64</v>
      </c>
      <c r="L172" s="76">
        <v>72</v>
      </c>
      <c r="M172" s="76">
        <v>75</v>
      </c>
      <c r="N172" s="76">
        <v>82</v>
      </c>
      <c r="O172" s="76">
        <v>83</v>
      </c>
      <c r="P172" s="76">
        <v>102</v>
      </c>
      <c r="Q172" s="76">
        <v>90</v>
      </c>
      <c r="R172" s="76">
        <v>96</v>
      </c>
    </row>
    <row r="173" spans="1:18" x14ac:dyDescent="0.25">
      <c r="A173" s="76" t="s">
        <v>115</v>
      </c>
      <c r="B173" s="76">
        <v>12</v>
      </c>
      <c r="C173" s="76">
        <v>18</v>
      </c>
      <c r="D173" s="76">
        <v>24</v>
      </c>
      <c r="E173" s="76">
        <v>34</v>
      </c>
      <c r="F173" s="76">
        <v>33</v>
      </c>
      <c r="G173" s="76">
        <v>38</v>
      </c>
      <c r="H173" s="76">
        <v>53</v>
      </c>
      <c r="I173" s="76">
        <v>40</v>
      </c>
      <c r="J173" s="76">
        <v>60</v>
      </c>
      <c r="K173" s="76">
        <v>68</v>
      </c>
      <c r="L173" s="76">
        <v>68</v>
      </c>
      <c r="M173" s="76">
        <v>76</v>
      </c>
      <c r="N173" s="76">
        <v>87</v>
      </c>
      <c r="O173" s="76">
        <v>88</v>
      </c>
      <c r="P173" s="76">
        <v>88</v>
      </c>
      <c r="Q173" s="76">
        <v>88</v>
      </c>
      <c r="R173" s="76">
        <v>84</v>
      </c>
    </row>
    <row r="174" spans="1:18" x14ac:dyDescent="0.25">
      <c r="A174" s="76" t="s">
        <v>114</v>
      </c>
      <c r="B174" s="76">
        <v>11</v>
      </c>
      <c r="C174" s="76">
        <v>18</v>
      </c>
      <c r="D174" s="76">
        <v>24</v>
      </c>
      <c r="E174" s="76">
        <v>30</v>
      </c>
      <c r="F174" s="76">
        <v>32</v>
      </c>
      <c r="G174" s="76">
        <v>40</v>
      </c>
      <c r="H174" s="76">
        <v>46</v>
      </c>
      <c r="I174" s="76">
        <v>48</v>
      </c>
      <c r="J174" s="76">
        <v>54</v>
      </c>
      <c r="K174" s="76">
        <v>42</v>
      </c>
      <c r="L174" s="76">
        <v>68</v>
      </c>
      <c r="M174" s="76">
        <v>71</v>
      </c>
      <c r="N174" s="76">
        <v>79</v>
      </c>
      <c r="O174" s="76">
        <v>81</v>
      </c>
      <c r="P174" s="76">
        <v>88</v>
      </c>
      <c r="Q174" s="76">
        <v>86</v>
      </c>
      <c r="R174" s="76">
        <v>84</v>
      </c>
    </row>
    <row r="175" spans="1:18" x14ac:dyDescent="0.25">
      <c r="A175" s="76" t="s">
        <v>113</v>
      </c>
      <c r="B175" s="76">
        <v>10</v>
      </c>
      <c r="C175" s="76">
        <v>19</v>
      </c>
      <c r="D175" s="76">
        <v>20</v>
      </c>
      <c r="E175" s="76">
        <v>33</v>
      </c>
      <c r="F175" s="76">
        <v>30</v>
      </c>
      <c r="G175" s="76">
        <v>34</v>
      </c>
      <c r="H175" s="76">
        <v>40</v>
      </c>
      <c r="I175" s="76">
        <v>39</v>
      </c>
      <c r="J175" s="76">
        <v>41</v>
      </c>
      <c r="K175" s="76">
        <v>49</v>
      </c>
      <c r="L175" s="76">
        <v>58</v>
      </c>
      <c r="M175" s="76">
        <v>57</v>
      </c>
      <c r="N175" s="76">
        <v>76</v>
      </c>
      <c r="O175" s="76">
        <v>73</v>
      </c>
      <c r="P175" s="76">
        <v>77</v>
      </c>
      <c r="Q175" s="76">
        <v>76</v>
      </c>
      <c r="R175" s="76">
        <v>78</v>
      </c>
    </row>
    <row r="176" spans="1:18" x14ac:dyDescent="0.25">
      <c r="A176" s="76" t="s">
        <v>112</v>
      </c>
      <c r="B176" s="76">
        <v>10</v>
      </c>
      <c r="C176" s="76">
        <v>15</v>
      </c>
      <c r="D176" s="76">
        <v>22</v>
      </c>
      <c r="E176" s="76">
        <v>28</v>
      </c>
      <c r="F176" s="76">
        <v>34</v>
      </c>
      <c r="G176" s="76">
        <v>39</v>
      </c>
      <c r="H176" s="76">
        <v>51</v>
      </c>
      <c r="I176" s="76">
        <v>49</v>
      </c>
      <c r="J176" s="76">
        <v>57</v>
      </c>
      <c r="K176" s="76">
        <v>68</v>
      </c>
      <c r="L176" s="76">
        <v>76</v>
      </c>
      <c r="M176" s="76">
        <v>84</v>
      </c>
      <c r="N176" s="76">
        <v>90</v>
      </c>
      <c r="O176" s="76">
        <v>102</v>
      </c>
      <c r="P176" s="76">
        <v>102</v>
      </c>
      <c r="Q176" s="76">
        <v>102</v>
      </c>
      <c r="R176" s="76">
        <v>102</v>
      </c>
    </row>
    <row r="177" spans="1:18" x14ac:dyDescent="0.25">
      <c r="A177" s="76" t="s">
        <v>111</v>
      </c>
      <c r="B177" s="76">
        <v>10</v>
      </c>
      <c r="C177" s="76">
        <v>18</v>
      </c>
      <c r="D177" s="76">
        <v>23</v>
      </c>
      <c r="E177" s="76">
        <v>38</v>
      </c>
      <c r="F177" s="76">
        <v>43</v>
      </c>
      <c r="G177" s="76">
        <v>60</v>
      </c>
      <c r="H177" s="76">
        <v>73</v>
      </c>
      <c r="I177" s="76">
        <v>79</v>
      </c>
      <c r="J177" s="76">
        <v>91</v>
      </c>
      <c r="K177" s="76">
        <v>102</v>
      </c>
      <c r="L177" s="76">
        <v>102</v>
      </c>
      <c r="M177" s="76">
        <v>102</v>
      </c>
      <c r="N177" s="76">
        <v>102</v>
      </c>
      <c r="O177" s="76">
        <v>102</v>
      </c>
      <c r="P177" s="76">
        <v>102</v>
      </c>
      <c r="Q177" s="76">
        <v>102</v>
      </c>
      <c r="R177" s="76">
        <v>102</v>
      </c>
    </row>
    <row r="178" spans="1:18" x14ac:dyDescent="0.25">
      <c r="A178" s="76" t="s">
        <v>110</v>
      </c>
      <c r="B178" s="76">
        <v>8</v>
      </c>
      <c r="C178" s="76">
        <v>16</v>
      </c>
      <c r="D178" s="76">
        <v>19</v>
      </c>
      <c r="E178" s="76">
        <v>31</v>
      </c>
      <c r="F178" s="76">
        <v>40</v>
      </c>
      <c r="G178" s="76">
        <v>50</v>
      </c>
      <c r="H178" s="76">
        <v>62</v>
      </c>
      <c r="I178" s="76">
        <v>68</v>
      </c>
      <c r="J178" s="76">
        <v>84</v>
      </c>
      <c r="K178" s="76">
        <v>102</v>
      </c>
      <c r="L178" s="76">
        <v>102</v>
      </c>
      <c r="M178" s="76">
        <v>102</v>
      </c>
      <c r="N178" s="76">
        <v>102</v>
      </c>
      <c r="O178" s="76">
        <v>102</v>
      </c>
      <c r="P178" s="76">
        <v>102</v>
      </c>
      <c r="Q178" s="76">
        <v>102</v>
      </c>
      <c r="R178" s="76">
        <v>102</v>
      </c>
    </row>
    <row r="179" spans="1:18" x14ac:dyDescent="0.25">
      <c r="A179" s="76" t="s">
        <v>109</v>
      </c>
      <c r="B179" s="76">
        <v>8</v>
      </c>
      <c r="C179" s="76">
        <v>10</v>
      </c>
      <c r="D179" s="76">
        <v>20</v>
      </c>
      <c r="E179" s="76">
        <v>22</v>
      </c>
      <c r="F179" s="76">
        <v>34</v>
      </c>
      <c r="G179" s="76">
        <v>41</v>
      </c>
      <c r="H179" s="76">
        <v>48</v>
      </c>
      <c r="I179" s="76">
        <v>52</v>
      </c>
      <c r="J179" s="76">
        <v>54</v>
      </c>
      <c r="K179" s="76">
        <v>53</v>
      </c>
      <c r="L179" s="76">
        <v>67</v>
      </c>
      <c r="M179" s="76">
        <v>78</v>
      </c>
      <c r="N179" s="76">
        <v>86</v>
      </c>
      <c r="O179" s="76">
        <v>102</v>
      </c>
      <c r="P179" s="76">
        <v>102</v>
      </c>
      <c r="Q179" s="76">
        <v>102</v>
      </c>
      <c r="R179" s="76">
        <v>102</v>
      </c>
    </row>
    <row r="180" spans="1:18" x14ac:dyDescent="0.25">
      <c r="A180" s="76" t="s">
        <v>108</v>
      </c>
      <c r="B180" s="76">
        <v>9</v>
      </c>
      <c r="C180" s="76">
        <v>11</v>
      </c>
      <c r="D180" s="76">
        <v>20</v>
      </c>
      <c r="E180" s="76">
        <v>30</v>
      </c>
      <c r="F180" s="76">
        <v>38</v>
      </c>
      <c r="G180" s="76">
        <v>59</v>
      </c>
      <c r="H180" s="76">
        <v>73</v>
      </c>
      <c r="I180" s="76">
        <v>75</v>
      </c>
      <c r="J180" s="76">
        <v>85</v>
      </c>
      <c r="K180" s="76">
        <v>92</v>
      </c>
      <c r="L180" s="76">
        <v>96</v>
      </c>
      <c r="M180" s="76">
        <v>102</v>
      </c>
      <c r="N180" s="76">
        <v>102</v>
      </c>
      <c r="O180" s="76">
        <v>102</v>
      </c>
      <c r="P180" s="76">
        <v>102</v>
      </c>
      <c r="Q180" s="76">
        <v>102</v>
      </c>
      <c r="R180" s="76">
        <v>102</v>
      </c>
    </row>
    <row r="181" spans="1:18" x14ac:dyDescent="0.25">
      <c r="A181" s="76" t="s">
        <v>107</v>
      </c>
      <c r="B181" s="76">
        <v>9</v>
      </c>
      <c r="C181" s="76">
        <v>20</v>
      </c>
      <c r="D181" s="76">
        <v>24</v>
      </c>
      <c r="E181" s="76">
        <v>37</v>
      </c>
      <c r="F181" s="76">
        <v>44</v>
      </c>
      <c r="G181" s="76">
        <v>60</v>
      </c>
      <c r="H181" s="76">
        <v>73</v>
      </c>
      <c r="I181" s="76">
        <v>80</v>
      </c>
      <c r="J181" s="76">
        <v>91</v>
      </c>
      <c r="K181" s="76">
        <v>102</v>
      </c>
      <c r="L181" s="76">
        <v>102</v>
      </c>
      <c r="M181" s="76">
        <v>102</v>
      </c>
      <c r="N181" s="76">
        <v>102</v>
      </c>
      <c r="O181" s="76">
        <v>102</v>
      </c>
      <c r="P181" s="76">
        <v>102</v>
      </c>
      <c r="Q181" s="76">
        <v>102</v>
      </c>
      <c r="R181" s="76">
        <v>102</v>
      </c>
    </row>
    <row r="182" spans="1:18" x14ac:dyDescent="0.25">
      <c r="A182" s="76" t="s">
        <v>106</v>
      </c>
      <c r="B182" s="76">
        <v>11</v>
      </c>
      <c r="C182" s="76">
        <v>11</v>
      </c>
      <c r="D182" s="76">
        <v>19</v>
      </c>
      <c r="E182" s="76">
        <v>40</v>
      </c>
      <c r="F182" s="76">
        <v>38</v>
      </c>
      <c r="G182" s="76">
        <v>50</v>
      </c>
      <c r="H182" s="76">
        <v>60</v>
      </c>
      <c r="I182" s="76">
        <v>73</v>
      </c>
      <c r="J182" s="76">
        <v>81</v>
      </c>
      <c r="K182" s="76">
        <v>88</v>
      </c>
      <c r="L182" s="76">
        <v>102</v>
      </c>
      <c r="M182" s="76">
        <v>102</v>
      </c>
      <c r="N182" s="76">
        <v>102</v>
      </c>
      <c r="O182" s="76">
        <v>102</v>
      </c>
      <c r="P182" s="76">
        <v>102</v>
      </c>
      <c r="Q182" s="76">
        <v>102</v>
      </c>
      <c r="R182" s="76">
        <v>102</v>
      </c>
    </row>
    <row r="183" spans="1:18" x14ac:dyDescent="0.25">
      <c r="A183" s="76" t="s">
        <v>105</v>
      </c>
      <c r="B183" s="76">
        <v>12</v>
      </c>
      <c r="C183" s="76">
        <v>13</v>
      </c>
      <c r="D183" s="76">
        <v>19</v>
      </c>
      <c r="E183" s="76">
        <v>32</v>
      </c>
      <c r="F183" s="76">
        <v>37</v>
      </c>
      <c r="G183" s="76">
        <v>49</v>
      </c>
      <c r="H183" s="76">
        <v>55</v>
      </c>
      <c r="I183" s="76">
        <v>68</v>
      </c>
      <c r="J183" s="76">
        <v>74</v>
      </c>
      <c r="K183" s="76">
        <v>88</v>
      </c>
      <c r="L183" s="76">
        <v>102</v>
      </c>
      <c r="M183" s="76">
        <v>102</v>
      </c>
      <c r="N183" s="76">
        <v>102</v>
      </c>
      <c r="O183" s="76">
        <v>102</v>
      </c>
      <c r="P183" s="76">
        <v>102</v>
      </c>
      <c r="Q183" s="76">
        <v>102</v>
      </c>
      <c r="R183" s="76">
        <v>102</v>
      </c>
    </row>
    <row r="184" spans="1:18" x14ac:dyDescent="0.25">
      <c r="A184" s="76" t="s">
        <v>104</v>
      </c>
      <c r="B184" s="76">
        <v>11</v>
      </c>
      <c r="C184" s="76">
        <v>18</v>
      </c>
      <c r="D184" s="76">
        <v>24</v>
      </c>
      <c r="E184" s="76">
        <v>39</v>
      </c>
      <c r="F184" s="76">
        <v>43</v>
      </c>
      <c r="G184" s="76">
        <v>57</v>
      </c>
      <c r="H184" s="76">
        <v>68</v>
      </c>
      <c r="I184" s="76">
        <v>79</v>
      </c>
      <c r="J184" s="76">
        <v>86</v>
      </c>
      <c r="K184" s="76">
        <v>102</v>
      </c>
      <c r="L184" s="76">
        <v>102</v>
      </c>
      <c r="M184" s="76">
        <v>102</v>
      </c>
      <c r="N184" s="76">
        <v>102</v>
      </c>
      <c r="O184" s="76">
        <v>102</v>
      </c>
      <c r="P184" s="76">
        <v>102</v>
      </c>
      <c r="Q184" s="76">
        <v>102</v>
      </c>
      <c r="R184" s="76">
        <v>102</v>
      </c>
    </row>
    <row r="185" spans="1:18" x14ac:dyDescent="0.25">
      <c r="A185" s="76" t="s">
        <v>103</v>
      </c>
      <c r="B185" s="76">
        <v>11</v>
      </c>
      <c r="C185" s="76">
        <v>18</v>
      </c>
      <c r="D185" s="76">
        <v>20</v>
      </c>
      <c r="E185" s="76">
        <v>32</v>
      </c>
      <c r="F185" s="76">
        <v>35</v>
      </c>
      <c r="G185" s="76">
        <v>39</v>
      </c>
      <c r="H185" s="76">
        <v>59</v>
      </c>
      <c r="I185" s="76">
        <v>60</v>
      </c>
      <c r="J185" s="76">
        <v>74</v>
      </c>
      <c r="K185" s="76">
        <v>102</v>
      </c>
      <c r="L185" s="76">
        <v>102</v>
      </c>
      <c r="M185" s="76">
        <v>102</v>
      </c>
      <c r="N185" s="76">
        <v>102</v>
      </c>
      <c r="O185" s="76">
        <v>102</v>
      </c>
      <c r="P185" s="76">
        <v>102</v>
      </c>
      <c r="Q185" s="76">
        <v>102</v>
      </c>
      <c r="R185" s="76">
        <v>102</v>
      </c>
    </row>
    <row r="186" spans="1:18" x14ac:dyDescent="0.25">
      <c r="A186" s="76" t="s">
        <v>102</v>
      </c>
      <c r="B186" s="76">
        <v>9</v>
      </c>
      <c r="C186" s="76">
        <v>19</v>
      </c>
      <c r="D186" s="76">
        <v>20</v>
      </c>
      <c r="E186" s="76">
        <v>37</v>
      </c>
      <c r="F186" s="76">
        <v>35</v>
      </c>
      <c r="G186" s="76">
        <v>50</v>
      </c>
      <c r="H186" s="76">
        <v>64</v>
      </c>
      <c r="I186" s="76">
        <v>73</v>
      </c>
      <c r="J186" s="76">
        <v>79</v>
      </c>
      <c r="K186" s="76">
        <v>91</v>
      </c>
      <c r="L186" s="76">
        <v>102</v>
      </c>
      <c r="M186" s="76">
        <v>102</v>
      </c>
      <c r="N186" s="76">
        <v>102</v>
      </c>
      <c r="O186" s="76">
        <v>102</v>
      </c>
      <c r="P186" s="76">
        <v>102</v>
      </c>
      <c r="Q186" s="76">
        <v>102</v>
      </c>
      <c r="R186" s="76">
        <v>102</v>
      </c>
    </row>
    <row r="187" spans="1:18" x14ac:dyDescent="0.25">
      <c r="A187" s="76" t="s">
        <v>101</v>
      </c>
      <c r="B187" s="76">
        <v>8</v>
      </c>
      <c r="C187" s="76">
        <v>13</v>
      </c>
      <c r="D187" s="76">
        <v>19</v>
      </c>
      <c r="E187" s="76">
        <v>27</v>
      </c>
      <c r="F187" s="76">
        <v>36</v>
      </c>
      <c r="G187" s="76">
        <v>48</v>
      </c>
      <c r="H187" s="76">
        <v>58</v>
      </c>
      <c r="I187" s="76">
        <v>67</v>
      </c>
      <c r="J187" s="76">
        <v>74</v>
      </c>
      <c r="K187" s="76">
        <v>96</v>
      </c>
      <c r="L187" s="76">
        <v>102</v>
      </c>
      <c r="M187" s="76">
        <v>102</v>
      </c>
      <c r="N187" s="76">
        <v>102</v>
      </c>
      <c r="O187" s="76">
        <v>102</v>
      </c>
      <c r="P187" s="76">
        <v>102</v>
      </c>
      <c r="Q187" s="76">
        <v>102</v>
      </c>
      <c r="R187" s="76">
        <v>102</v>
      </c>
    </row>
    <row r="188" spans="1:18" x14ac:dyDescent="0.25">
      <c r="A188" s="76" t="s">
        <v>100</v>
      </c>
      <c r="B188" s="76">
        <v>10</v>
      </c>
      <c r="C188" s="76">
        <v>10</v>
      </c>
      <c r="D188" s="76">
        <v>22</v>
      </c>
      <c r="E188" s="76">
        <v>25</v>
      </c>
      <c r="F188" s="76">
        <v>33</v>
      </c>
      <c r="G188" s="76">
        <v>31</v>
      </c>
      <c r="H188" s="76">
        <v>38</v>
      </c>
      <c r="I188" s="76">
        <v>41</v>
      </c>
      <c r="J188" s="76">
        <v>42</v>
      </c>
      <c r="K188" s="76">
        <v>52</v>
      </c>
      <c r="L188" s="76">
        <v>66</v>
      </c>
      <c r="M188" s="76">
        <v>90</v>
      </c>
      <c r="N188" s="76">
        <v>102</v>
      </c>
      <c r="O188" s="76">
        <v>102</v>
      </c>
      <c r="P188" s="76">
        <v>102</v>
      </c>
      <c r="Q188" s="76">
        <v>102</v>
      </c>
      <c r="R188" s="76">
        <v>102</v>
      </c>
    </row>
    <row r="189" spans="1:18" x14ac:dyDescent="0.25">
      <c r="A189" s="76" t="s">
        <v>99</v>
      </c>
      <c r="B189" s="76">
        <v>10</v>
      </c>
      <c r="C189" s="76">
        <v>18</v>
      </c>
      <c r="D189" s="76">
        <v>23</v>
      </c>
      <c r="E189" s="76">
        <v>34</v>
      </c>
      <c r="F189" s="76">
        <v>36</v>
      </c>
      <c r="G189" s="76">
        <v>43</v>
      </c>
      <c r="H189" s="76">
        <v>56</v>
      </c>
      <c r="I189" s="76">
        <v>67</v>
      </c>
      <c r="J189" s="76">
        <v>75</v>
      </c>
      <c r="K189" s="76">
        <v>91</v>
      </c>
      <c r="L189" s="76">
        <v>100</v>
      </c>
      <c r="M189" s="76">
        <v>102</v>
      </c>
      <c r="N189" s="76">
        <v>102</v>
      </c>
      <c r="O189" s="76">
        <v>102</v>
      </c>
      <c r="P189" s="76">
        <v>102</v>
      </c>
      <c r="Q189" s="76">
        <v>102</v>
      </c>
      <c r="R189" s="76">
        <v>102</v>
      </c>
    </row>
    <row r="190" spans="1:18" x14ac:dyDescent="0.25">
      <c r="A190" s="76" t="s">
        <v>98</v>
      </c>
      <c r="B190" s="76">
        <v>11</v>
      </c>
      <c r="C190" s="76">
        <v>17</v>
      </c>
      <c r="D190" s="76">
        <v>19</v>
      </c>
      <c r="E190" s="76">
        <v>29</v>
      </c>
      <c r="F190" s="76">
        <v>31</v>
      </c>
      <c r="G190" s="76">
        <v>39</v>
      </c>
      <c r="H190" s="76">
        <v>41</v>
      </c>
      <c r="I190" s="76">
        <v>51</v>
      </c>
      <c r="J190" s="76">
        <v>59</v>
      </c>
      <c r="K190" s="76">
        <v>72</v>
      </c>
      <c r="L190" s="76">
        <v>84</v>
      </c>
      <c r="M190" s="76">
        <v>94</v>
      </c>
      <c r="N190" s="76">
        <v>102</v>
      </c>
      <c r="O190" s="76">
        <v>102</v>
      </c>
      <c r="P190" s="76">
        <v>102</v>
      </c>
      <c r="Q190" s="76">
        <v>102</v>
      </c>
      <c r="R190" s="76">
        <v>102</v>
      </c>
    </row>
    <row r="191" spans="1:18" x14ac:dyDescent="0.25">
      <c r="A191" s="76" t="s">
        <v>97</v>
      </c>
      <c r="B191" s="76">
        <v>9</v>
      </c>
      <c r="C191" s="76">
        <v>16</v>
      </c>
      <c r="D191" s="76">
        <v>20</v>
      </c>
      <c r="E191" s="76">
        <v>31</v>
      </c>
      <c r="F191" s="76">
        <v>33</v>
      </c>
      <c r="G191" s="76">
        <v>38</v>
      </c>
      <c r="H191" s="76">
        <v>52</v>
      </c>
      <c r="I191" s="76">
        <v>60</v>
      </c>
      <c r="J191" s="76">
        <v>63</v>
      </c>
      <c r="K191" s="76">
        <v>77</v>
      </c>
      <c r="L191" s="76">
        <v>84</v>
      </c>
      <c r="M191" s="76">
        <v>102</v>
      </c>
      <c r="N191" s="76">
        <v>102</v>
      </c>
      <c r="O191" s="76">
        <v>102</v>
      </c>
      <c r="P191" s="76">
        <v>102</v>
      </c>
      <c r="Q191" s="76">
        <v>102</v>
      </c>
      <c r="R191" s="76">
        <v>102</v>
      </c>
    </row>
    <row r="192" spans="1:18" x14ac:dyDescent="0.25">
      <c r="A192" s="76" t="s">
        <v>96</v>
      </c>
      <c r="B192" s="76">
        <v>9</v>
      </c>
      <c r="C192" s="76">
        <v>11</v>
      </c>
      <c r="D192" s="76">
        <v>19</v>
      </c>
      <c r="E192" s="76">
        <v>25</v>
      </c>
      <c r="F192" s="76">
        <v>30</v>
      </c>
      <c r="G192" s="76">
        <v>38</v>
      </c>
      <c r="H192" s="76">
        <v>46</v>
      </c>
      <c r="I192" s="76">
        <v>59</v>
      </c>
      <c r="J192" s="76">
        <v>57</v>
      </c>
      <c r="K192" s="76">
        <v>73</v>
      </c>
      <c r="L192" s="76">
        <v>82</v>
      </c>
      <c r="M192" s="76">
        <v>102</v>
      </c>
      <c r="N192" s="76">
        <v>102</v>
      </c>
      <c r="O192" s="76">
        <v>102</v>
      </c>
      <c r="P192" s="76">
        <v>102</v>
      </c>
      <c r="Q192" s="76">
        <v>102</v>
      </c>
      <c r="R192" s="76">
        <v>102</v>
      </c>
    </row>
    <row r="193" spans="1:18" x14ac:dyDescent="0.25">
      <c r="A193" s="76" t="s">
        <v>95</v>
      </c>
      <c r="B193" s="76">
        <v>8</v>
      </c>
      <c r="C193" s="76">
        <v>15</v>
      </c>
      <c r="D193" s="76">
        <v>22</v>
      </c>
      <c r="E193" s="76">
        <v>34</v>
      </c>
      <c r="F193" s="76">
        <v>36</v>
      </c>
      <c r="G193" s="76">
        <v>50</v>
      </c>
      <c r="H193" s="76">
        <v>61</v>
      </c>
      <c r="I193" s="76">
        <v>74</v>
      </c>
      <c r="J193" s="76">
        <v>63</v>
      </c>
      <c r="K193" s="76">
        <v>94</v>
      </c>
      <c r="L193" s="76">
        <v>102</v>
      </c>
      <c r="M193" s="76">
        <v>102</v>
      </c>
      <c r="N193" s="76">
        <v>102</v>
      </c>
      <c r="O193" s="76">
        <v>102</v>
      </c>
      <c r="P193" s="76">
        <v>102</v>
      </c>
      <c r="Q193" s="76">
        <v>102</v>
      </c>
      <c r="R193" s="76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8A3E-1137-486E-BE7E-C6D276A0FC1C}">
  <dimension ref="A1:E192"/>
  <sheetViews>
    <sheetView workbookViewId="0"/>
  </sheetViews>
  <sheetFormatPr defaultRowHeight="15" x14ac:dyDescent="0.25"/>
  <cols>
    <col min="1" max="16384" width="9.140625" style="76"/>
  </cols>
  <sheetData>
    <row r="1" spans="1:5" x14ac:dyDescent="0.25">
      <c r="A1" s="76">
        <v>1</v>
      </c>
      <c r="B1" s="76">
        <v>1</v>
      </c>
      <c r="C1" s="76" t="s">
        <v>90</v>
      </c>
      <c r="D1" s="76" t="s">
        <v>89</v>
      </c>
      <c r="E1" s="76" t="str">
        <f t="shared" ref="E1:E32" si="0">_xlfn.CONCAT(TEXT(A1,"00"),"-",TEXT(B1,"0"),D1)</f>
        <v>01-1A</v>
      </c>
    </row>
    <row r="2" spans="1:5" x14ac:dyDescent="0.25">
      <c r="A2" s="76">
        <v>1</v>
      </c>
      <c r="B2" s="76">
        <v>1</v>
      </c>
      <c r="C2" s="76" t="s">
        <v>92</v>
      </c>
      <c r="D2" s="76" t="s">
        <v>91</v>
      </c>
      <c r="E2" s="76" t="str">
        <f t="shared" si="0"/>
        <v>01-1B</v>
      </c>
    </row>
    <row r="3" spans="1:5" x14ac:dyDescent="0.25">
      <c r="A3" s="76">
        <v>1</v>
      </c>
      <c r="B3" s="76">
        <v>1</v>
      </c>
      <c r="C3" s="76" t="s">
        <v>94</v>
      </c>
      <c r="D3" s="76" t="s">
        <v>93</v>
      </c>
      <c r="E3" s="76" t="str">
        <f t="shared" si="0"/>
        <v>01-1C</v>
      </c>
    </row>
    <row r="4" spans="1:5" x14ac:dyDescent="0.25">
      <c r="A4" s="76">
        <v>1</v>
      </c>
      <c r="B4" s="76">
        <v>2</v>
      </c>
      <c r="C4" s="76" t="s">
        <v>90</v>
      </c>
      <c r="D4" s="76" t="s">
        <v>89</v>
      </c>
      <c r="E4" s="76" t="str">
        <f t="shared" si="0"/>
        <v>01-2A</v>
      </c>
    </row>
    <row r="5" spans="1:5" x14ac:dyDescent="0.25">
      <c r="A5" s="76">
        <v>1</v>
      </c>
      <c r="B5" s="76">
        <v>2</v>
      </c>
      <c r="C5" s="76" t="s">
        <v>92</v>
      </c>
      <c r="D5" s="76" t="s">
        <v>91</v>
      </c>
      <c r="E5" s="76" t="str">
        <f t="shared" si="0"/>
        <v>01-2B</v>
      </c>
    </row>
    <row r="6" spans="1:5" x14ac:dyDescent="0.25">
      <c r="A6" s="76">
        <v>1</v>
      </c>
      <c r="B6" s="76">
        <v>2</v>
      </c>
      <c r="C6" s="76" t="s">
        <v>94</v>
      </c>
      <c r="D6" s="76" t="s">
        <v>93</v>
      </c>
      <c r="E6" s="76" t="str">
        <f t="shared" si="0"/>
        <v>01-2C</v>
      </c>
    </row>
    <row r="7" spans="1:5" x14ac:dyDescent="0.25">
      <c r="A7" s="76">
        <v>1</v>
      </c>
      <c r="B7" s="76">
        <v>3</v>
      </c>
      <c r="C7" s="76" t="s">
        <v>90</v>
      </c>
      <c r="D7" s="76" t="s">
        <v>89</v>
      </c>
      <c r="E7" s="76" t="str">
        <f t="shared" si="0"/>
        <v>01-3A</v>
      </c>
    </row>
    <row r="8" spans="1:5" x14ac:dyDescent="0.25">
      <c r="A8" s="76">
        <v>1</v>
      </c>
      <c r="B8" s="76">
        <v>3</v>
      </c>
      <c r="C8" s="76" t="s">
        <v>92</v>
      </c>
      <c r="D8" s="76" t="s">
        <v>91</v>
      </c>
      <c r="E8" s="76" t="str">
        <f t="shared" si="0"/>
        <v>01-3B</v>
      </c>
    </row>
    <row r="9" spans="1:5" x14ac:dyDescent="0.25">
      <c r="A9" s="76">
        <v>1</v>
      </c>
      <c r="B9" s="76">
        <v>3</v>
      </c>
      <c r="C9" s="76" t="s">
        <v>94</v>
      </c>
      <c r="D9" s="76" t="s">
        <v>93</v>
      </c>
      <c r="E9" s="76" t="str">
        <f t="shared" si="0"/>
        <v>01-3C</v>
      </c>
    </row>
    <row r="10" spans="1:5" x14ac:dyDescent="0.25">
      <c r="A10" s="76">
        <v>1</v>
      </c>
      <c r="B10" s="76">
        <v>4</v>
      </c>
      <c r="C10" s="76" t="s">
        <v>90</v>
      </c>
      <c r="D10" s="76" t="s">
        <v>89</v>
      </c>
      <c r="E10" s="76" t="str">
        <f t="shared" si="0"/>
        <v>01-4A</v>
      </c>
    </row>
    <row r="11" spans="1:5" x14ac:dyDescent="0.25">
      <c r="A11" s="76">
        <v>1</v>
      </c>
      <c r="B11" s="76">
        <v>4</v>
      </c>
      <c r="C11" s="76" t="s">
        <v>92</v>
      </c>
      <c r="D11" s="76" t="s">
        <v>91</v>
      </c>
      <c r="E11" s="76" t="str">
        <f t="shared" si="0"/>
        <v>01-4B</v>
      </c>
    </row>
    <row r="12" spans="1:5" x14ac:dyDescent="0.25">
      <c r="A12" s="76">
        <v>1</v>
      </c>
      <c r="B12" s="76">
        <v>4</v>
      </c>
      <c r="C12" s="76" t="s">
        <v>94</v>
      </c>
      <c r="D12" s="76" t="s">
        <v>93</v>
      </c>
      <c r="E12" s="76" t="str">
        <f t="shared" si="0"/>
        <v>01-4C</v>
      </c>
    </row>
    <row r="13" spans="1:5" x14ac:dyDescent="0.25">
      <c r="A13" s="76">
        <v>2</v>
      </c>
      <c r="B13" s="76">
        <v>4</v>
      </c>
      <c r="C13" s="76" t="s">
        <v>94</v>
      </c>
      <c r="D13" s="76" t="s">
        <v>93</v>
      </c>
      <c r="E13" s="76" t="str">
        <f t="shared" si="0"/>
        <v>02-4C</v>
      </c>
    </row>
    <row r="14" spans="1:5" x14ac:dyDescent="0.25">
      <c r="A14" s="76">
        <v>2</v>
      </c>
      <c r="B14" s="76">
        <v>4</v>
      </c>
      <c r="C14" s="76" t="s">
        <v>92</v>
      </c>
      <c r="D14" s="76" t="s">
        <v>91</v>
      </c>
      <c r="E14" s="76" t="str">
        <f t="shared" si="0"/>
        <v>02-4B</v>
      </c>
    </row>
    <row r="15" spans="1:5" x14ac:dyDescent="0.25">
      <c r="A15" s="76">
        <v>2</v>
      </c>
      <c r="B15" s="76">
        <v>4</v>
      </c>
      <c r="C15" s="76" t="s">
        <v>90</v>
      </c>
      <c r="D15" s="76" t="s">
        <v>89</v>
      </c>
      <c r="E15" s="76" t="str">
        <f t="shared" si="0"/>
        <v>02-4A</v>
      </c>
    </row>
    <row r="16" spans="1:5" x14ac:dyDescent="0.25">
      <c r="A16" s="76">
        <v>2</v>
      </c>
      <c r="B16" s="76">
        <v>3</v>
      </c>
      <c r="C16" s="76" t="s">
        <v>94</v>
      </c>
      <c r="D16" s="76" t="s">
        <v>93</v>
      </c>
      <c r="E16" s="76" t="str">
        <f t="shared" si="0"/>
        <v>02-3C</v>
      </c>
    </row>
    <row r="17" spans="1:5" x14ac:dyDescent="0.25">
      <c r="A17" s="76">
        <v>2</v>
      </c>
      <c r="B17" s="76">
        <v>3</v>
      </c>
      <c r="C17" s="76" t="s">
        <v>92</v>
      </c>
      <c r="D17" s="76" t="s">
        <v>91</v>
      </c>
      <c r="E17" s="76" t="str">
        <f t="shared" si="0"/>
        <v>02-3B</v>
      </c>
    </row>
    <row r="18" spans="1:5" x14ac:dyDescent="0.25">
      <c r="A18" s="76">
        <v>2</v>
      </c>
      <c r="B18" s="76">
        <v>3</v>
      </c>
      <c r="C18" s="76" t="s">
        <v>90</v>
      </c>
      <c r="D18" s="76" t="s">
        <v>89</v>
      </c>
      <c r="E18" s="76" t="str">
        <f t="shared" si="0"/>
        <v>02-3A</v>
      </c>
    </row>
    <row r="19" spans="1:5" x14ac:dyDescent="0.25">
      <c r="A19" s="76">
        <v>2</v>
      </c>
      <c r="B19" s="76">
        <v>2</v>
      </c>
      <c r="C19" s="76" t="s">
        <v>94</v>
      </c>
      <c r="D19" s="76" t="s">
        <v>93</v>
      </c>
      <c r="E19" s="76" t="str">
        <f t="shared" si="0"/>
        <v>02-2C</v>
      </c>
    </row>
    <row r="20" spans="1:5" x14ac:dyDescent="0.25">
      <c r="A20" s="76">
        <v>2</v>
      </c>
      <c r="B20" s="76">
        <v>2</v>
      </c>
      <c r="C20" s="76" t="s">
        <v>92</v>
      </c>
      <c r="D20" s="76" t="s">
        <v>91</v>
      </c>
      <c r="E20" s="76" t="str">
        <f t="shared" si="0"/>
        <v>02-2B</v>
      </c>
    </row>
    <row r="21" spans="1:5" x14ac:dyDescent="0.25">
      <c r="A21" s="76">
        <v>2</v>
      </c>
      <c r="B21" s="76">
        <v>2</v>
      </c>
      <c r="C21" s="76" t="s">
        <v>90</v>
      </c>
      <c r="D21" s="76" t="s">
        <v>89</v>
      </c>
      <c r="E21" s="76" t="str">
        <f t="shared" si="0"/>
        <v>02-2A</v>
      </c>
    </row>
    <row r="22" spans="1:5" x14ac:dyDescent="0.25">
      <c r="A22" s="76">
        <v>2</v>
      </c>
      <c r="B22" s="76">
        <v>1</v>
      </c>
      <c r="C22" s="76" t="s">
        <v>94</v>
      </c>
      <c r="D22" s="76" t="s">
        <v>93</v>
      </c>
      <c r="E22" s="76" t="str">
        <f t="shared" si="0"/>
        <v>02-1C</v>
      </c>
    </row>
    <row r="23" spans="1:5" x14ac:dyDescent="0.25">
      <c r="A23" s="76">
        <v>2</v>
      </c>
      <c r="B23" s="76">
        <v>1</v>
      </c>
      <c r="C23" s="76" t="s">
        <v>92</v>
      </c>
      <c r="D23" s="76" t="s">
        <v>91</v>
      </c>
      <c r="E23" s="76" t="str">
        <f t="shared" si="0"/>
        <v>02-1B</v>
      </c>
    </row>
    <row r="24" spans="1:5" x14ac:dyDescent="0.25">
      <c r="A24" s="76">
        <v>2</v>
      </c>
      <c r="B24" s="76">
        <v>1</v>
      </c>
      <c r="C24" s="76" t="s">
        <v>90</v>
      </c>
      <c r="D24" s="76" t="s">
        <v>89</v>
      </c>
      <c r="E24" s="76" t="str">
        <f t="shared" si="0"/>
        <v>02-1A</v>
      </c>
    </row>
    <row r="25" spans="1:5" x14ac:dyDescent="0.25">
      <c r="A25" s="76">
        <v>3</v>
      </c>
      <c r="B25" s="76">
        <v>1</v>
      </c>
      <c r="C25" s="76" t="s">
        <v>90</v>
      </c>
      <c r="D25" s="76" t="s">
        <v>89</v>
      </c>
      <c r="E25" s="76" t="str">
        <f t="shared" si="0"/>
        <v>03-1A</v>
      </c>
    </row>
    <row r="26" spans="1:5" x14ac:dyDescent="0.25">
      <c r="A26" s="76">
        <v>3</v>
      </c>
      <c r="B26" s="76">
        <v>1</v>
      </c>
      <c r="C26" s="76" t="s">
        <v>92</v>
      </c>
      <c r="D26" s="76" t="s">
        <v>91</v>
      </c>
      <c r="E26" s="76" t="str">
        <f t="shared" si="0"/>
        <v>03-1B</v>
      </c>
    </row>
    <row r="27" spans="1:5" x14ac:dyDescent="0.25">
      <c r="A27" s="76">
        <v>3</v>
      </c>
      <c r="B27" s="76">
        <v>1</v>
      </c>
      <c r="C27" s="76" t="s">
        <v>94</v>
      </c>
      <c r="D27" s="76" t="s">
        <v>93</v>
      </c>
      <c r="E27" s="76" t="str">
        <f t="shared" si="0"/>
        <v>03-1C</v>
      </c>
    </row>
    <row r="28" spans="1:5" x14ac:dyDescent="0.25">
      <c r="A28" s="76">
        <v>3</v>
      </c>
      <c r="B28" s="76">
        <v>2</v>
      </c>
      <c r="C28" s="76" t="s">
        <v>90</v>
      </c>
      <c r="D28" s="76" t="s">
        <v>89</v>
      </c>
      <c r="E28" s="76" t="str">
        <f t="shared" si="0"/>
        <v>03-2A</v>
      </c>
    </row>
    <row r="29" spans="1:5" x14ac:dyDescent="0.25">
      <c r="A29" s="76">
        <v>3</v>
      </c>
      <c r="B29" s="76">
        <v>2</v>
      </c>
      <c r="C29" s="76" t="s">
        <v>92</v>
      </c>
      <c r="D29" s="76" t="s">
        <v>91</v>
      </c>
      <c r="E29" s="76" t="str">
        <f t="shared" si="0"/>
        <v>03-2B</v>
      </c>
    </row>
    <row r="30" spans="1:5" x14ac:dyDescent="0.25">
      <c r="A30" s="76">
        <v>3</v>
      </c>
      <c r="B30" s="76">
        <v>2</v>
      </c>
      <c r="C30" s="76" t="s">
        <v>94</v>
      </c>
      <c r="D30" s="76" t="s">
        <v>93</v>
      </c>
      <c r="E30" s="76" t="str">
        <f t="shared" si="0"/>
        <v>03-2C</v>
      </c>
    </row>
    <row r="31" spans="1:5" x14ac:dyDescent="0.25">
      <c r="A31" s="76">
        <v>3</v>
      </c>
      <c r="B31" s="76">
        <v>3</v>
      </c>
      <c r="C31" s="76" t="s">
        <v>90</v>
      </c>
      <c r="D31" s="76" t="s">
        <v>89</v>
      </c>
      <c r="E31" s="76" t="str">
        <f t="shared" si="0"/>
        <v>03-3A</v>
      </c>
    </row>
    <row r="32" spans="1:5" x14ac:dyDescent="0.25">
      <c r="A32" s="76">
        <v>3</v>
      </c>
      <c r="B32" s="76">
        <v>3</v>
      </c>
      <c r="C32" s="76" t="s">
        <v>92</v>
      </c>
      <c r="D32" s="76" t="s">
        <v>91</v>
      </c>
      <c r="E32" s="76" t="str">
        <f t="shared" si="0"/>
        <v>03-3B</v>
      </c>
    </row>
    <row r="33" spans="1:5" x14ac:dyDescent="0.25">
      <c r="A33" s="76">
        <v>3</v>
      </c>
      <c r="B33" s="76">
        <v>3</v>
      </c>
      <c r="C33" s="76" t="s">
        <v>94</v>
      </c>
      <c r="D33" s="76" t="s">
        <v>93</v>
      </c>
      <c r="E33" s="76" t="str">
        <f t="shared" ref="E33:E64" si="1">_xlfn.CONCAT(TEXT(A33,"00"),"-",TEXT(B33,"0"),D33)</f>
        <v>03-3C</v>
      </c>
    </row>
    <row r="34" spans="1:5" x14ac:dyDescent="0.25">
      <c r="A34" s="76">
        <v>3</v>
      </c>
      <c r="B34" s="76">
        <v>4</v>
      </c>
      <c r="C34" s="76" t="s">
        <v>90</v>
      </c>
      <c r="D34" s="76" t="s">
        <v>89</v>
      </c>
      <c r="E34" s="76" t="str">
        <f t="shared" si="1"/>
        <v>03-4A</v>
      </c>
    </row>
    <row r="35" spans="1:5" x14ac:dyDescent="0.25">
      <c r="A35" s="76">
        <v>3</v>
      </c>
      <c r="B35" s="76">
        <v>4</v>
      </c>
      <c r="C35" s="76" t="s">
        <v>92</v>
      </c>
      <c r="D35" s="76" t="s">
        <v>91</v>
      </c>
      <c r="E35" s="76" t="str">
        <f t="shared" si="1"/>
        <v>03-4B</v>
      </c>
    </row>
    <row r="36" spans="1:5" x14ac:dyDescent="0.25">
      <c r="A36" s="76">
        <v>3</v>
      </c>
      <c r="B36" s="76">
        <v>4</v>
      </c>
      <c r="C36" s="76" t="s">
        <v>94</v>
      </c>
      <c r="D36" s="76" t="s">
        <v>93</v>
      </c>
      <c r="E36" s="76" t="str">
        <f t="shared" si="1"/>
        <v>03-4C</v>
      </c>
    </row>
    <row r="37" spans="1:5" x14ac:dyDescent="0.25">
      <c r="A37" s="76">
        <v>4</v>
      </c>
      <c r="B37" s="76">
        <v>4</v>
      </c>
      <c r="C37" s="76" t="s">
        <v>94</v>
      </c>
      <c r="D37" s="76" t="s">
        <v>93</v>
      </c>
      <c r="E37" s="76" t="str">
        <f t="shared" si="1"/>
        <v>04-4C</v>
      </c>
    </row>
    <row r="38" spans="1:5" x14ac:dyDescent="0.25">
      <c r="A38" s="76">
        <v>4</v>
      </c>
      <c r="B38" s="76">
        <v>4</v>
      </c>
      <c r="C38" s="76" t="s">
        <v>92</v>
      </c>
      <c r="D38" s="76" t="s">
        <v>91</v>
      </c>
      <c r="E38" s="76" t="str">
        <f t="shared" si="1"/>
        <v>04-4B</v>
      </c>
    </row>
    <row r="39" spans="1:5" x14ac:dyDescent="0.25">
      <c r="A39" s="76">
        <v>4</v>
      </c>
      <c r="B39" s="76">
        <v>4</v>
      </c>
      <c r="C39" s="76" t="s">
        <v>90</v>
      </c>
      <c r="D39" s="76" t="s">
        <v>89</v>
      </c>
      <c r="E39" s="76" t="str">
        <f t="shared" si="1"/>
        <v>04-4A</v>
      </c>
    </row>
    <row r="40" spans="1:5" x14ac:dyDescent="0.25">
      <c r="A40" s="76">
        <v>4</v>
      </c>
      <c r="B40" s="76">
        <v>3</v>
      </c>
      <c r="C40" s="76" t="s">
        <v>94</v>
      </c>
      <c r="D40" s="76" t="s">
        <v>93</v>
      </c>
      <c r="E40" s="76" t="str">
        <f t="shared" si="1"/>
        <v>04-3C</v>
      </c>
    </row>
    <row r="41" spans="1:5" x14ac:dyDescent="0.25">
      <c r="A41" s="76">
        <v>4</v>
      </c>
      <c r="B41" s="76">
        <v>3</v>
      </c>
      <c r="C41" s="76" t="s">
        <v>92</v>
      </c>
      <c r="D41" s="76" t="s">
        <v>91</v>
      </c>
      <c r="E41" s="76" t="str">
        <f t="shared" si="1"/>
        <v>04-3B</v>
      </c>
    </row>
    <row r="42" spans="1:5" x14ac:dyDescent="0.25">
      <c r="A42" s="76">
        <v>4</v>
      </c>
      <c r="B42" s="76">
        <v>3</v>
      </c>
      <c r="C42" s="76" t="s">
        <v>90</v>
      </c>
      <c r="D42" s="76" t="s">
        <v>89</v>
      </c>
      <c r="E42" s="76" t="str">
        <f t="shared" si="1"/>
        <v>04-3A</v>
      </c>
    </row>
    <row r="43" spans="1:5" x14ac:dyDescent="0.25">
      <c r="A43" s="76">
        <v>4</v>
      </c>
      <c r="B43" s="76">
        <v>2</v>
      </c>
      <c r="C43" s="76" t="s">
        <v>94</v>
      </c>
      <c r="D43" s="76" t="s">
        <v>93</v>
      </c>
      <c r="E43" s="76" t="str">
        <f t="shared" si="1"/>
        <v>04-2C</v>
      </c>
    </row>
    <row r="44" spans="1:5" x14ac:dyDescent="0.25">
      <c r="A44" s="76">
        <v>4</v>
      </c>
      <c r="B44" s="76">
        <v>2</v>
      </c>
      <c r="C44" s="76" t="s">
        <v>92</v>
      </c>
      <c r="D44" s="76" t="s">
        <v>91</v>
      </c>
      <c r="E44" s="76" t="str">
        <f t="shared" si="1"/>
        <v>04-2B</v>
      </c>
    </row>
    <row r="45" spans="1:5" x14ac:dyDescent="0.25">
      <c r="A45" s="76">
        <v>4</v>
      </c>
      <c r="B45" s="76">
        <v>2</v>
      </c>
      <c r="C45" s="76" t="s">
        <v>90</v>
      </c>
      <c r="D45" s="76" t="s">
        <v>89</v>
      </c>
      <c r="E45" s="76" t="str">
        <f t="shared" si="1"/>
        <v>04-2A</v>
      </c>
    </row>
    <row r="46" spans="1:5" x14ac:dyDescent="0.25">
      <c r="A46" s="76">
        <v>4</v>
      </c>
      <c r="B46" s="76">
        <v>1</v>
      </c>
      <c r="C46" s="76" t="s">
        <v>94</v>
      </c>
      <c r="D46" s="76" t="s">
        <v>93</v>
      </c>
      <c r="E46" s="76" t="str">
        <f t="shared" si="1"/>
        <v>04-1C</v>
      </c>
    </row>
    <row r="47" spans="1:5" x14ac:dyDescent="0.25">
      <c r="A47" s="76">
        <v>4</v>
      </c>
      <c r="B47" s="76">
        <v>1</v>
      </c>
      <c r="C47" s="76" t="s">
        <v>92</v>
      </c>
      <c r="D47" s="76" t="s">
        <v>91</v>
      </c>
      <c r="E47" s="76" t="str">
        <f t="shared" si="1"/>
        <v>04-1B</v>
      </c>
    </row>
    <row r="48" spans="1:5" x14ac:dyDescent="0.25">
      <c r="A48" s="76">
        <v>4</v>
      </c>
      <c r="B48" s="76">
        <v>1</v>
      </c>
      <c r="C48" s="76" t="s">
        <v>90</v>
      </c>
      <c r="D48" s="76" t="s">
        <v>89</v>
      </c>
      <c r="E48" s="76" t="str">
        <f t="shared" si="1"/>
        <v>04-1A</v>
      </c>
    </row>
    <row r="49" spans="1:5" x14ac:dyDescent="0.25">
      <c r="A49" s="76">
        <v>5</v>
      </c>
      <c r="B49" s="76">
        <v>1</v>
      </c>
      <c r="C49" s="76" t="s">
        <v>90</v>
      </c>
      <c r="D49" s="76" t="s">
        <v>89</v>
      </c>
      <c r="E49" s="76" t="str">
        <f t="shared" si="1"/>
        <v>05-1A</v>
      </c>
    </row>
    <row r="50" spans="1:5" x14ac:dyDescent="0.25">
      <c r="A50" s="76">
        <v>5</v>
      </c>
      <c r="B50" s="76">
        <v>1</v>
      </c>
      <c r="C50" s="76" t="s">
        <v>92</v>
      </c>
      <c r="D50" s="76" t="s">
        <v>91</v>
      </c>
      <c r="E50" s="76" t="str">
        <f t="shared" si="1"/>
        <v>05-1B</v>
      </c>
    </row>
    <row r="51" spans="1:5" x14ac:dyDescent="0.25">
      <c r="A51" s="76">
        <v>5</v>
      </c>
      <c r="B51" s="76">
        <v>1</v>
      </c>
      <c r="C51" s="76" t="s">
        <v>94</v>
      </c>
      <c r="D51" s="76" t="s">
        <v>93</v>
      </c>
      <c r="E51" s="76" t="str">
        <f t="shared" si="1"/>
        <v>05-1C</v>
      </c>
    </row>
    <row r="52" spans="1:5" x14ac:dyDescent="0.25">
      <c r="A52" s="76">
        <v>5</v>
      </c>
      <c r="B52" s="76">
        <v>2</v>
      </c>
      <c r="C52" s="76" t="s">
        <v>90</v>
      </c>
      <c r="D52" s="76" t="s">
        <v>89</v>
      </c>
      <c r="E52" s="76" t="str">
        <f t="shared" si="1"/>
        <v>05-2A</v>
      </c>
    </row>
    <row r="53" spans="1:5" x14ac:dyDescent="0.25">
      <c r="A53" s="76">
        <v>5</v>
      </c>
      <c r="B53" s="76">
        <v>2</v>
      </c>
      <c r="C53" s="76" t="s">
        <v>92</v>
      </c>
      <c r="D53" s="76" t="s">
        <v>91</v>
      </c>
      <c r="E53" s="76" t="str">
        <f t="shared" si="1"/>
        <v>05-2B</v>
      </c>
    </row>
    <row r="54" spans="1:5" x14ac:dyDescent="0.25">
      <c r="A54" s="76">
        <v>5</v>
      </c>
      <c r="B54" s="76">
        <v>2</v>
      </c>
      <c r="C54" s="76" t="s">
        <v>94</v>
      </c>
      <c r="D54" s="76" t="s">
        <v>93</v>
      </c>
      <c r="E54" s="76" t="str">
        <f t="shared" si="1"/>
        <v>05-2C</v>
      </c>
    </row>
    <row r="55" spans="1:5" x14ac:dyDescent="0.25">
      <c r="A55" s="76">
        <v>5</v>
      </c>
      <c r="B55" s="76">
        <v>3</v>
      </c>
      <c r="C55" s="76" t="s">
        <v>90</v>
      </c>
      <c r="D55" s="76" t="s">
        <v>89</v>
      </c>
      <c r="E55" s="76" t="str">
        <f t="shared" si="1"/>
        <v>05-3A</v>
      </c>
    </row>
    <row r="56" spans="1:5" x14ac:dyDescent="0.25">
      <c r="A56" s="76">
        <v>5</v>
      </c>
      <c r="B56" s="76">
        <v>3</v>
      </c>
      <c r="C56" s="76" t="s">
        <v>92</v>
      </c>
      <c r="D56" s="76" t="s">
        <v>91</v>
      </c>
      <c r="E56" s="76" t="str">
        <f t="shared" si="1"/>
        <v>05-3B</v>
      </c>
    </row>
    <row r="57" spans="1:5" x14ac:dyDescent="0.25">
      <c r="A57" s="76">
        <v>5</v>
      </c>
      <c r="B57" s="76">
        <v>3</v>
      </c>
      <c r="C57" s="76" t="s">
        <v>94</v>
      </c>
      <c r="D57" s="76" t="s">
        <v>93</v>
      </c>
      <c r="E57" s="76" t="str">
        <f t="shared" si="1"/>
        <v>05-3C</v>
      </c>
    </row>
    <row r="58" spans="1:5" x14ac:dyDescent="0.25">
      <c r="A58" s="76">
        <v>5</v>
      </c>
      <c r="B58" s="76">
        <v>4</v>
      </c>
      <c r="C58" s="76" t="s">
        <v>90</v>
      </c>
      <c r="D58" s="76" t="s">
        <v>89</v>
      </c>
      <c r="E58" s="76" t="str">
        <f t="shared" si="1"/>
        <v>05-4A</v>
      </c>
    </row>
    <row r="59" spans="1:5" x14ac:dyDescent="0.25">
      <c r="A59" s="76">
        <v>5</v>
      </c>
      <c r="B59" s="76">
        <v>4</v>
      </c>
      <c r="C59" s="76" t="s">
        <v>92</v>
      </c>
      <c r="D59" s="76" t="s">
        <v>91</v>
      </c>
      <c r="E59" s="76" t="str">
        <f t="shared" si="1"/>
        <v>05-4B</v>
      </c>
    </row>
    <row r="60" spans="1:5" x14ac:dyDescent="0.25">
      <c r="A60" s="76">
        <v>5</v>
      </c>
      <c r="B60" s="76">
        <v>4</v>
      </c>
      <c r="C60" s="76" t="s">
        <v>94</v>
      </c>
      <c r="D60" s="76" t="s">
        <v>93</v>
      </c>
      <c r="E60" s="76" t="str">
        <f t="shared" si="1"/>
        <v>05-4C</v>
      </c>
    </row>
    <row r="61" spans="1:5" x14ac:dyDescent="0.25">
      <c r="A61" s="76">
        <v>6</v>
      </c>
      <c r="B61" s="76">
        <v>4</v>
      </c>
      <c r="C61" s="76" t="s">
        <v>94</v>
      </c>
      <c r="D61" s="76" t="s">
        <v>93</v>
      </c>
      <c r="E61" s="76" t="str">
        <f t="shared" si="1"/>
        <v>06-4C</v>
      </c>
    </row>
    <row r="62" spans="1:5" x14ac:dyDescent="0.25">
      <c r="A62" s="76">
        <v>6</v>
      </c>
      <c r="B62" s="76">
        <v>4</v>
      </c>
      <c r="C62" s="76" t="s">
        <v>92</v>
      </c>
      <c r="D62" s="76" t="s">
        <v>91</v>
      </c>
      <c r="E62" s="76" t="str">
        <f t="shared" si="1"/>
        <v>06-4B</v>
      </c>
    </row>
    <row r="63" spans="1:5" x14ac:dyDescent="0.25">
      <c r="A63" s="76">
        <v>6</v>
      </c>
      <c r="B63" s="76">
        <v>4</v>
      </c>
      <c r="C63" s="76" t="s">
        <v>90</v>
      </c>
      <c r="D63" s="76" t="s">
        <v>89</v>
      </c>
      <c r="E63" s="76" t="str">
        <f t="shared" si="1"/>
        <v>06-4A</v>
      </c>
    </row>
    <row r="64" spans="1:5" x14ac:dyDescent="0.25">
      <c r="A64" s="76">
        <v>6</v>
      </c>
      <c r="B64" s="76">
        <v>3</v>
      </c>
      <c r="C64" s="76" t="s">
        <v>94</v>
      </c>
      <c r="D64" s="76" t="s">
        <v>93</v>
      </c>
      <c r="E64" s="76" t="str">
        <f t="shared" si="1"/>
        <v>06-3C</v>
      </c>
    </row>
    <row r="65" spans="1:5" x14ac:dyDescent="0.25">
      <c r="A65" s="76">
        <v>6</v>
      </c>
      <c r="B65" s="76">
        <v>3</v>
      </c>
      <c r="C65" s="76" t="s">
        <v>92</v>
      </c>
      <c r="D65" s="76" t="s">
        <v>91</v>
      </c>
      <c r="E65" s="76" t="str">
        <f t="shared" ref="E65:E96" si="2">_xlfn.CONCAT(TEXT(A65,"00"),"-",TEXT(B65,"0"),D65)</f>
        <v>06-3B</v>
      </c>
    </row>
    <row r="66" spans="1:5" x14ac:dyDescent="0.25">
      <c r="A66" s="76">
        <v>6</v>
      </c>
      <c r="B66" s="76">
        <v>3</v>
      </c>
      <c r="C66" s="76" t="s">
        <v>90</v>
      </c>
      <c r="D66" s="76" t="s">
        <v>89</v>
      </c>
      <c r="E66" s="76" t="str">
        <f t="shared" si="2"/>
        <v>06-3A</v>
      </c>
    </row>
    <row r="67" spans="1:5" x14ac:dyDescent="0.25">
      <c r="A67" s="76">
        <v>6</v>
      </c>
      <c r="B67" s="76">
        <v>2</v>
      </c>
      <c r="C67" s="76" t="s">
        <v>94</v>
      </c>
      <c r="D67" s="76" t="s">
        <v>93</v>
      </c>
      <c r="E67" s="76" t="str">
        <f t="shared" si="2"/>
        <v>06-2C</v>
      </c>
    </row>
    <row r="68" spans="1:5" x14ac:dyDescent="0.25">
      <c r="A68" s="76">
        <v>6</v>
      </c>
      <c r="B68" s="76">
        <v>2</v>
      </c>
      <c r="C68" s="76" t="s">
        <v>92</v>
      </c>
      <c r="D68" s="76" t="s">
        <v>91</v>
      </c>
      <c r="E68" s="76" t="str">
        <f t="shared" si="2"/>
        <v>06-2B</v>
      </c>
    </row>
    <row r="69" spans="1:5" x14ac:dyDescent="0.25">
      <c r="A69" s="76">
        <v>6</v>
      </c>
      <c r="B69" s="76">
        <v>2</v>
      </c>
      <c r="C69" s="76" t="s">
        <v>90</v>
      </c>
      <c r="D69" s="76" t="s">
        <v>89</v>
      </c>
      <c r="E69" s="76" t="str">
        <f t="shared" si="2"/>
        <v>06-2A</v>
      </c>
    </row>
    <row r="70" spans="1:5" x14ac:dyDescent="0.25">
      <c r="A70" s="76">
        <v>6</v>
      </c>
      <c r="B70" s="76">
        <v>1</v>
      </c>
      <c r="C70" s="76" t="s">
        <v>94</v>
      </c>
      <c r="D70" s="76" t="s">
        <v>93</v>
      </c>
      <c r="E70" s="76" t="str">
        <f t="shared" si="2"/>
        <v>06-1C</v>
      </c>
    </row>
    <row r="71" spans="1:5" x14ac:dyDescent="0.25">
      <c r="A71" s="76">
        <v>6</v>
      </c>
      <c r="B71" s="76">
        <v>1</v>
      </c>
      <c r="C71" s="76" t="s">
        <v>92</v>
      </c>
      <c r="D71" s="76" t="s">
        <v>91</v>
      </c>
      <c r="E71" s="76" t="str">
        <f t="shared" si="2"/>
        <v>06-1B</v>
      </c>
    </row>
    <row r="72" spans="1:5" x14ac:dyDescent="0.25">
      <c r="A72" s="76">
        <v>6</v>
      </c>
      <c r="B72" s="76">
        <v>1</v>
      </c>
      <c r="C72" s="76" t="s">
        <v>90</v>
      </c>
      <c r="D72" s="76" t="s">
        <v>89</v>
      </c>
      <c r="E72" s="76" t="str">
        <f t="shared" si="2"/>
        <v>06-1A</v>
      </c>
    </row>
    <row r="73" spans="1:5" x14ac:dyDescent="0.25">
      <c r="A73" s="76">
        <v>7</v>
      </c>
      <c r="B73" s="76">
        <v>1</v>
      </c>
      <c r="C73" s="76" t="s">
        <v>90</v>
      </c>
      <c r="D73" s="76" t="s">
        <v>89</v>
      </c>
      <c r="E73" s="76" t="str">
        <f t="shared" si="2"/>
        <v>07-1A</v>
      </c>
    </row>
    <row r="74" spans="1:5" x14ac:dyDescent="0.25">
      <c r="A74" s="76">
        <v>7</v>
      </c>
      <c r="B74" s="76">
        <v>1</v>
      </c>
      <c r="C74" s="76" t="s">
        <v>92</v>
      </c>
      <c r="D74" s="76" t="s">
        <v>91</v>
      </c>
      <c r="E74" s="76" t="str">
        <f t="shared" si="2"/>
        <v>07-1B</v>
      </c>
    </row>
    <row r="75" spans="1:5" x14ac:dyDescent="0.25">
      <c r="A75" s="76">
        <v>7</v>
      </c>
      <c r="B75" s="76">
        <v>1</v>
      </c>
      <c r="C75" s="76" t="s">
        <v>94</v>
      </c>
      <c r="D75" s="76" t="s">
        <v>93</v>
      </c>
      <c r="E75" s="76" t="str">
        <f t="shared" si="2"/>
        <v>07-1C</v>
      </c>
    </row>
    <row r="76" spans="1:5" x14ac:dyDescent="0.25">
      <c r="A76" s="76">
        <v>7</v>
      </c>
      <c r="B76" s="76">
        <v>2</v>
      </c>
      <c r="C76" s="76" t="s">
        <v>90</v>
      </c>
      <c r="D76" s="76" t="s">
        <v>89</v>
      </c>
      <c r="E76" s="76" t="str">
        <f t="shared" si="2"/>
        <v>07-2A</v>
      </c>
    </row>
    <row r="77" spans="1:5" x14ac:dyDescent="0.25">
      <c r="A77" s="76">
        <v>7</v>
      </c>
      <c r="B77" s="76">
        <v>2</v>
      </c>
      <c r="C77" s="76" t="s">
        <v>92</v>
      </c>
      <c r="D77" s="76" t="s">
        <v>91</v>
      </c>
      <c r="E77" s="76" t="str">
        <f t="shared" si="2"/>
        <v>07-2B</v>
      </c>
    </row>
    <row r="78" spans="1:5" x14ac:dyDescent="0.25">
      <c r="A78" s="76">
        <v>7</v>
      </c>
      <c r="B78" s="76">
        <v>2</v>
      </c>
      <c r="C78" s="76" t="s">
        <v>94</v>
      </c>
      <c r="D78" s="76" t="s">
        <v>93</v>
      </c>
      <c r="E78" s="76" t="str">
        <f t="shared" si="2"/>
        <v>07-2C</v>
      </c>
    </row>
    <row r="79" spans="1:5" x14ac:dyDescent="0.25">
      <c r="A79" s="76">
        <v>7</v>
      </c>
      <c r="B79" s="76">
        <v>3</v>
      </c>
      <c r="C79" s="76" t="s">
        <v>90</v>
      </c>
      <c r="D79" s="76" t="s">
        <v>89</v>
      </c>
      <c r="E79" s="76" t="str">
        <f t="shared" si="2"/>
        <v>07-3A</v>
      </c>
    </row>
    <row r="80" spans="1:5" x14ac:dyDescent="0.25">
      <c r="A80" s="76">
        <v>7</v>
      </c>
      <c r="B80" s="76">
        <v>3</v>
      </c>
      <c r="C80" s="76" t="s">
        <v>92</v>
      </c>
      <c r="D80" s="76" t="s">
        <v>91</v>
      </c>
      <c r="E80" s="76" t="str">
        <f t="shared" si="2"/>
        <v>07-3B</v>
      </c>
    </row>
    <row r="81" spans="1:5" x14ac:dyDescent="0.25">
      <c r="A81" s="76">
        <v>7</v>
      </c>
      <c r="B81" s="76">
        <v>3</v>
      </c>
      <c r="C81" s="76" t="s">
        <v>94</v>
      </c>
      <c r="D81" s="76" t="s">
        <v>93</v>
      </c>
      <c r="E81" s="76" t="str">
        <f t="shared" si="2"/>
        <v>07-3C</v>
      </c>
    </row>
    <row r="82" spans="1:5" x14ac:dyDescent="0.25">
      <c r="A82" s="76">
        <v>7</v>
      </c>
      <c r="B82" s="76">
        <v>4</v>
      </c>
      <c r="C82" s="76" t="s">
        <v>90</v>
      </c>
      <c r="D82" s="76" t="s">
        <v>89</v>
      </c>
      <c r="E82" s="76" t="str">
        <f t="shared" si="2"/>
        <v>07-4A</v>
      </c>
    </row>
    <row r="83" spans="1:5" x14ac:dyDescent="0.25">
      <c r="A83" s="76">
        <v>7</v>
      </c>
      <c r="B83" s="76">
        <v>4</v>
      </c>
      <c r="C83" s="76" t="s">
        <v>92</v>
      </c>
      <c r="D83" s="76" t="s">
        <v>91</v>
      </c>
      <c r="E83" s="76" t="str">
        <f t="shared" si="2"/>
        <v>07-4B</v>
      </c>
    </row>
    <row r="84" spans="1:5" x14ac:dyDescent="0.25">
      <c r="A84" s="76">
        <v>7</v>
      </c>
      <c r="B84" s="76">
        <v>4</v>
      </c>
      <c r="C84" s="76" t="s">
        <v>94</v>
      </c>
      <c r="D84" s="76" t="s">
        <v>93</v>
      </c>
      <c r="E84" s="76" t="str">
        <f t="shared" si="2"/>
        <v>07-4C</v>
      </c>
    </row>
    <row r="85" spans="1:5" x14ac:dyDescent="0.25">
      <c r="A85" s="76">
        <v>8</v>
      </c>
      <c r="B85" s="76">
        <v>4</v>
      </c>
      <c r="C85" s="76" t="s">
        <v>94</v>
      </c>
      <c r="D85" s="76" t="s">
        <v>93</v>
      </c>
      <c r="E85" s="76" t="str">
        <f t="shared" si="2"/>
        <v>08-4C</v>
      </c>
    </row>
    <row r="86" spans="1:5" x14ac:dyDescent="0.25">
      <c r="A86" s="76">
        <v>8</v>
      </c>
      <c r="B86" s="76">
        <v>4</v>
      </c>
      <c r="C86" s="76" t="s">
        <v>92</v>
      </c>
      <c r="D86" s="76" t="s">
        <v>91</v>
      </c>
      <c r="E86" s="76" t="str">
        <f t="shared" si="2"/>
        <v>08-4B</v>
      </c>
    </row>
    <row r="87" spans="1:5" x14ac:dyDescent="0.25">
      <c r="A87" s="76">
        <v>8</v>
      </c>
      <c r="B87" s="76">
        <v>4</v>
      </c>
      <c r="C87" s="76" t="s">
        <v>90</v>
      </c>
      <c r="D87" s="76" t="s">
        <v>89</v>
      </c>
      <c r="E87" s="76" t="str">
        <f t="shared" si="2"/>
        <v>08-4A</v>
      </c>
    </row>
    <row r="88" spans="1:5" x14ac:dyDescent="0.25">
      <c r="A88" s="76">
        <v>8</v>
      </c>
      <c r="B88" s="76">
        <v>3</v>
      </c>
      <c r="C88" s="76" t="s">
        <v>94</v>
      </c>
      <c r="D88" s="76" t="s">
        <v>93</v>
      </c>
      <c r="E88" s="76" t="str">
        <f t="shared" si="2"/>
        <v>08-3C</v>
      </c>
    </row>
    <row r="89" spans="1:5" x14ac:dyDescent="0.25">
      <c r="A89" s="76">
        <v>8</v>
      </c>
      <c r="B89" s="76">
        <v>3</v>
      </c>
      <c r="C89" s="76" t="s">
        <v>92</v>
      </c>
      <c r="D89" s="76" t="s">
        <v>91</v>
      </c>
      <c r="E89" s="76" t="str">
        <f t="shared" si="2"/>
        <v>08-3B</v>
      </c>
    </row>
    <row r="90" spans="1:5" x14ac:dyDescent="0.25">
      <c r="A90" s="76">
        <v>8</v>
      </c>
      <c r="B90" s="76">
        <v>3</v>
      </c>
      <c r="C90" s="76" t="s">
        <v>90</v>
      </c>
      <c r="D90" s="76" t="s">
        <v>89</v>
      </c>
      <c r="E90" s="76" t="str">
        <f t="shared" si="2"/>
        <v>08-3A</v>
      </c>
    </row>
    <row r="91" spans="1:5" x14ac:dyDescent="0.25">
      <c r="A91" s="76">
        <v>8</v>
      </c>
      <c r="B91" s="76">
        <v>2</v>
      </c>
      <c r="C91" s="76" t="s">
        <v>94</v>
      </c>
      <c r="D91" s="76" t="s">
        <v>93</v>
      </c>
      <c r="E91" s="76" t="str">
        <f t="shared" si="2"/>
        <v>08-2C</v>
      </c>
    </row>
    <row r="92" spans="1:5" x14ac:dyDescent="0.25">
      <c r="A92" s="76">
        <v>8</v>
      </c>
      <c r="B92" s="76">
        <v>2</v>
      </c>
      <c r="C92" s="76" t="s">
        <v>92</v>
      </c>
      <c r="D92" s="76" t="s">
        <v>91</v>
      </c>
      <c r="E92" s="76" t="str">
        <f t="shared" si="2"/>
        <v>08-2B</v>
      </c>
    </row>
    <row r="93" spans="1:5" x14ac:dyDescent="0.25">
      <c r="A93" s="76">
        <v>8</v>
      </c>
      <c r="B93" s="76">
        <v>2</v>
      </c>
      <c r="C93" s="76" t="s">
        <v>90</v>
      </c>
      <c r="D93" s="76" t="s">
        <v>89</v>
      </c>
      <c r="E93" s="76" t="str">
        <f t="shared" si="2"/>
        <v>08-2A</v>
      </c>
    </row>
    <row r="94" spans="1:5" x14ac:dyDescent="0.25">
      <c r="A94" s="76">
        <v>8</v>
      </c>
      <c r="B94" s="76">
        <v>1</v>
      </c>
      <c r="C94" s="76" t="s">
        <v>94</v>
      </c>
      <c r="D94" s="76" t="s">
        <v>93</v>
      </c>
      <c r="E94" s="76" t="str">
        <f t="shared" si="2"/>
        <v>08-1C</v>
      </c>
    </row>
    <row r="95" spans="1:5" x14ac:dyDescent="0.25">
      <c r="A95" s="76">
        <v>8</v>
      </c>
      <c r="B95" s="76">
        <v>1</v>
      </c>
      <c r="C95" s="76" t="s">
        <v>92</v>
      </c>
      <c r="D95" s="76" t="s">
        <v>91</v>
      </c>
      <c r="E95" s="76" t="str">
        <f t="shared" si="2"/>
        <v>08-1B</v>
      </c>
    </row>
    <row r="96" spans="1:5" x14ac:dyDescent="0.25">
      <c r="A96" s="76">
        <v>8</v>
      </c>
      <c r="B96" s="76">
        <v>1</v>
      </c>
      <c r="C96" s="76" t="s">
        <v>90</v>
      </c>
      <c r="D96" s="76" t="s">
        <v>89</v>
      </c>
      <c r="E96" s="76" t="str">
        <f t="shared" si="2"/>
        <v>08-1A</v>
      </c>
    </row>
    <row r="97" spans="1:5" x14ac:dyDescent="0.25">
      <c r="A97" s="76">
        <v>9</v>
      </c>
      <c r="B97" s="76">
        <v>1</v>
      </c>
      <c r="C97" s="76" t="s">
        <v>90</v>
      </c>
      <c r="D97" s="76" t="s">
        <v>89</v>
      </c>
      <c r="E97" s="76" t="str">
        <f t="shared" ref="E97:E128" si="3">_xlfn.CONCAT(TEXT(A97,"00"),"-",TEXT(B97,"0"),D97)</f>
        <v>09-1A</v>
      </c>
    </row>
    <row r="98" spans="1:5" x14ac:dyDescent="0.25">
      <c r="A98" s="76">
        <v>9</v>
      </c>
      <c r="B98" s="76">
        <v>1</v>
      </c>
      <c r="C98" s="76" t="s">
        <v>92</v>
      </c>
      <c r="D98" s="76" t="s">
        <v>91</v>
      </c>
      <c r="E98" s="76" t="str">
        <f t="shared" si="3"/>
        <v>09-1B</v>
      </c>
    </row>
    <row r="99" spans="1:5" x14ac:dyDescent="0.25">
      <c r="A99" s="76">
        <v>9</v>
      </c>
      <c r="B99" s="76">
        <v>1</v>
      </c>
      <c r="C99" s="76" t="s">
        <v>94</v>
      </c>
      <c r="D99" s="76" t="s">
        <v>93</v>
      </c>
      <c r="E99" s="76" t="str">
        <f t="shared" si="3"/>
        <v>09-1C</v>
      </c>
    </row>
    <row r="100" spans="1:5" x14ac:dyDescent="0.25">
      <c r="A100" s="76">
        <v>9</v>
      </c>
      <c r="B100" s="76">
        <v>2</v>
      </c>
      <c r="C100" s="76" t="s">
        <v>90</v>
      </c>
      <c r="D100" s="76" t="s">
        <v>89</v>
      </c>
      <c r="E100" s="76" t="str">
        <f t="shared" si="3"/>
        <v>09-2A</v>
      </c>
    </row>
    <row r="101" spans="1:5" x14ac:dyDescent="0.25">
      <c r="A101" s="76">
        <v>9</v>
      </c>
      <c r="B101" s="76">
        <v>2</v>
      </c>
      <c r="C101" s="76" t="s">
        <v>92</v>
      </c>
      <c r="D101" s="76" t="s">
        <v>91</v>
      </c>
      <c r="E101" s="76" t="str">
        <f t="shared" si="3"/>
        <v>09-2B</v>
      </c>
    </row>
    <row r="102" spans="1:5" x14ac:dyDescent="0.25">
      <c r="A102" s="76">
        <v>9</v>
      </c>
      <c r="B102" s="76">
        <v>2</v>
      </c>
      <c r="C102" s="76" t="s">
        <v>94</v>
      </c>
      <c r="D102" s="76" t="s">
        <v>93</v>
      </c>
      <c r="E102" s="76" t="str">
        <f t="shared" si="3"/>
        <v>09-2C</v>
      </c>
    </row>
    <row r="103" spans="1:5" x14ac:dyDescent="0.25">
      <c r="A103" s="76">
        <v>9</v>
      </c>
      <c r="B103" s="76">
        <v>3</v>
      </c>
      <c r="C103" s="76" t="s">
        <v>90</v>
      </c>
      <c r="D103" s="76" t="s">
        <v>89</v>
      </c>
      <c r="E103" s="76" t="str">
        <f t="shared" si="3"/>
        <v>09-3A</v>
      </c>
    </row>
    <row r="104" spans="1:5" x14ac:dyDescent="0.25">
      <c r="A104" s="76">
        <v>9</v>
      </c>
      <c r="B104" s="76">
        <v>3</v>
      </c>
      <c r="C104" s="76" t="s">
        <v>92</v>
      </c>
      <c r="D104" s="76" t="s">
        <v>91</v>
      </c>
      <c r="E104" s="76" t="str">
        <f t="shared" si="3"/>
        <v>09-3B</v>
      </c>
    </row>
    <row r="105" spans="1:5" x14ac:dyDescent="0.25">
      <c r="A105" s="76">
        <v>9</v>
      </c>
      <c r="B105" s="76">
        <v>3</v>
      </c>
      <c r="C105" s="76" t="s">
        <v>94</v>
      </c>
      <c r="D105" s="76" t="s">
        <v>93</v>
      </c>
      <c r="E105" s="76" t="str">
        <f t="shared" si="3"/>
        <v>09-3C</v>
      </c>
    </row>
    <row r="106" spans="1:5" x14ac:dyDescent="0.25">
      <c r="A106" s="76">
        <v>9</v>
      </c>
      <c r="B106" s="76">
        <v>4</v>
      </c>
      <c r="C106" s="76" t="s">
        <v>90</v>
      </c>
      <c r="D106" s="76" t="s">
        <v>89</v>
      </c>
      <c r="E106" s="76" t="str">
        <f t="shared" si="3"/>
        <v>09-4A</v>
      </c>
    </row>
    <row r="107" spans="1:5" x14ac:dyDescent="0.25">
      <c r="A107" s="76">
        <v>9</v>
      </c>
      <c r="B107" s="76">
        <v>4</v>
      </c>
      <c r="C107" s="76" t="s">
        <v>92</v>
      </c>
      <c r="D107" s="76" t="s">
        <v>91</v>
      </c>
      <c r="E107" s="76" t="str">
        <f t="shared" si="3"/>
        <v>09-4B</v>
      </c>
    </row>
    <row r="108" spans="1:5" x14ac:dyDescent="0.25">
      <c r="A108" s="76">
        <v>9</v>
      </c>
      <c r="B108" s="76">
        <v>4</v>
      </c>
      <c r="C108" s="76" t="s">
        <v>94</v>
      </c>
      <c r="D108" s="76" t="s">
        <v>93</v>
      </c>
      <c r="E108" s="76" t="str">
        <f t="shared" si="3"/>
        <v>09-4C</v>
      </c>
    </row>
    <row r="109" spans="1:5" x14ac:dyDescent="0.25">
      <c r="A109" s="76">
        <v>10</v>
      </c>
      <c r="B109" s="76">
        <v>4</v>
      </c>
      <c r="C109" s="76" t="s">
        <v>94</v>
      </c>
      <c r="D109" s="76" t="s">
        <v>93</v>
      </c>
      <c r="E109" s="76" t="str">
        <f t="shared" si="3"/>
        <v>10-4C</v>
      </c>
    </row>
    <row r="110" spans="1:5" x14ac:dyDescent="0.25">
      <c r="A110" s="76">
        <v>10</v>
      </c>
      <c r="B110" s="76">
        <v>4</v>
      </c>
      <c r="C110" s="76" t="s">
        <v>92</v>
      </c>
      <c r="D110" s="76" t="s">
        <v>91</v>
      </c>
      <c r="E110" s="76" t="str">
        <f t="shared" si="3"/>
        <v>10-4B</v>
      </c>
    </row>
    <row r="111" spans="1:5" x14ac:dyDescent="0.25">
      <c r="A111" s="76">
        <v>10</v>
      </c>
      <c r="B111" s="76">
        <v>4</v>
      </c>
      <c r="C111" s="76" t="s">
        <v>90</v>
      </c>
      <c r="D111" s="76" t="s">
        <v>89</v>
      </c>
      <c r="E111" s="76" t="str">
        <f t="shared" si="3"/>
        <v>10-4A</v>
      </c>
    </row>
    <row r="112" spans="1:5" x14ac:dyDescent="0.25">
      <c r="A112" s="76">
        <v>10</v>
      </c>
      <c r="B112" s="76">
        <v>3</v>
      </c>
      <c r="C112" s="76" t="s">
        <v>94</v>
      </c>
      <c r="D112" s="76" t="s">
        <v>93</v>
      </c>
      <c r="E112" s="76" t="str">
        <f t="shared" si="3"/>
        <v>10-3C</v>
      </c>
    </row>
    <row r="113" spans="1:5" x14ac:dyDescent="0.25">
      <c r="A113" s="76">
        <v>10</v>
      </c>
      <c r="B113" s="76">
        <v>3</v>
      </c>
      <c r="C113" s="76" t="s">
        <v>92</v>
      </c>
      <c r="D113" s="76" t="s">
        <v>91</v>
      </c>
      <c r="E113" s="76" t="str">
        <f t="shared" si="3"/>
        <v>10-3B</v>
      </c>
    </row>
    <row r="114" spans="1:5" x14ac:dyDescent="0.25">
      <c r="A114" s="76">
        <v>10</v>
      </c>
      <c r="B114" s="76">
        <v>3</v>
      </c>
      <c r="C114" s="76" t="s">
        <v>90</v>
      </c>
      <c r="D114" s="76" t="s">
        <v>89</v>
      </c>
      <c r="E114" s="76" t="str">
        <f t="shared" si="3"/>
        <v>10-3A</v>
      </c>
    </row>
    <row r="115" spans="1:5" x14ac:dyDescent="0.25">
      <c r="A115" s="76">
        <v>10</v>
      </c>
      <c r="B115" s="76">
        <v>2</v>
      </c>
      <c r="C115" s="76" t="s">
        <v>94</v>
      </c>
      <c r="D115" s="76" t="s">
        <v>93</v>
      </c>
      <c r="E115" s="76" t="str">
        <f t="shared" si="3"/>
        <v>10-2C</v>
      </c>
    </row>
    <row r="116" spans="1:5" x14ac:dyDescent="0.25">
      <c r="A116" s="76">
        <v>10</v>
      </c>
      <c r="B116" s="76">
        <v>2</v>
      </c>
      <c r="C116" s="76" t="s">
        <v>92</v>
      </c>
      <c r="D116" s="76" t="s">
        <v>91</v>
      </c>
      <c r="E116" s="76" t="str">
        <f t="shared" si="3"/>
        <v>10-2B</v>
      </c>
    </row>
    <row r="117" spans="1:5" x14ac:dyDescent="0.25">
      <c r="A117" s="76">
        <v>10</v>
      </c>
      <c r="B117" s="76">
        <v>2</v>
      </c>
      <c r="C117" s="76" t="s">
        <v>90</v>
      </c>
      <c r="D117" s="76" t="s">
        <v>89</v>
      </c>
      <c r="E117" s="76" t="str">
        <f t="shared" si="3"/>
        <v>10-2A</v>
      </c>
    </row>
    <row r="118" spans="1:5" x14ac:dyDescent="0.25">
      <c r="A118" s="76">
        <v>10</v>
      </c>
      <c r="B118" s="76">
        <v>1</v>
      </c>
      <c r="C118" s="76" t="s">
        <v>94</v>
      </c>
      <c r="D118" s="76" t="s">
        <v>93</v>
      </c>
      <c r="E118" s="76" t="str">
        <f t="shared" si="3"/>
        <v>10-1C</v>
      </c>
    </row>
    <row r="119" spans="1:5" x14ac:dyDescent="0.25">
      <c r="A119" s="76">
        <v>10</v>
      </c>
      <c r="B119" s="76">
        <v>1</v>
      </c>
      <c r="C119" s="76" t="s">
        <v>92</v>
      </c>
      <c r="D119" s="76" t="s">
        <v>91</v>
      </c>
      <c r="E119" s="76" t="str">
        <f t="shared" si="3"/>
        <v>10-1B</v>
      </c>
    </row>
    <row r="120" spans="1:5" x14ac:dyDescent="0.25">
      <c r="A120" s="76">
        <v>10</v>
      </c>
      <c r="B120" s="76">
        <v>1</v>
      </c>
      <c r="C120" s="76" t="s">
        <v>90</v>
      </c>
      <c r="D120" s="76" t="s">
        <v>89</v>
      </c>
      <c r="E120" s="76" t="str">
        <f t="shared" si="3"/>
        <v>10-1A</v>
      </c>
    </row>
    <row r="121" spans="1:5" x14ac:dyDescent="0.25">
      <c r="A121" s="76">
        <v>11</v>
      </c>
      <c r="B121" s="76">
        <v>1</v>
      </c>
      <c r="C121" s="76" t="s">
        <v>90</v>
      </c>
      <c r="D121" s="76" t="s">
        <v>89</v>
      </c>
      <c r="E121" s="76" t="str">
        <f t="shared" si="3"/>
        <v>11-1A</v>
      </c>
    </row>
    <row r="122" spans="1:5" x14ac:dyDescent="0.25">
      <c r="A122" s="76">
        <v>11</v>
      </c>
      <c r="B122" s="76">
        <v>1</v>
      </c>
      <c r="C122" s="76" t="s">
        <v>92</v>
      </c>
      <c r="D122" s="76" t="s">
        <v>91</v>
      </c>
      <c r="E122" s="76" t="str">
        <f t="shared" si="3"/>
        <v>11-1B</v>
      </c>
    </row>
    <row r="123" spans="1:5" x14ac:dyDescent="0.25">
      <c r="A123" s="76">
        <v>11</v>
      </c>
      <c r="B123" s="76">
        <v>1</v>
      </c>
      <c r="C123" s="76" t="s">
        <v>94</v>
      </c>
      <c r="D123" s="76" t="s">
        <v>93</v>
      </c>
      <c r="E123" s="76" t="str">
        <f t="shared" si="3"/>
        <v>11-1C</v>
      </c>
    </row>
    <row r="124" spans="1:5" x14ac:dyDescent="0.25">
      <c r="A124" s="76">
        <v>11</v>
      </c>
      <c r="B124" s="76">
        <v>2</v>
      </c>
      <c r="C124" s="76" t="s">
        <v>90</v>
      </c>
      <c r="D124" s="76" t="s">
        <v>89</v>
      </c>
      <c r="E124" s="76" t="str">
        <f t="shared" si="3"/>
        <v>11-2A</v>
      </c>
    </row>
    <row r="125" spans="1:5" x14ac:dyDescent="0.25">
      <c r="A125" s="76">
        <v>11</v>
      </c>
      <c r="B125" s="76">
        <v>2</v>
      </c>
      <c r="C125" s="76" t="s">
        <v>92</v>
      </c>
      <c r="D125" s="76" t="s">
        <v>91</v>
      </c>
      <c r="E125" s="76" t="str">
        <f t="shared" si="3"/>
        <v>11-2B</v>
      </c>
    </row>
    <row r="126" spans="1:5" x14ac:dyDescent="0.25">
      <c r="A126" s="76">
        <v>11</v>
      </c>
      <c r="B126" s="76">
        <v>2</v>
      </c>
      <c r="C126" s="76" t="s">
        <v>94</v>
      </c>
      <c r="D126" s="76" t="s">
        <v>93</v>
      </c>
      <c r="E126" s="76" t="str">
        <f t="shared" si="3"/>
        <v>11-2C</v>
      </c>
    </row>
    <row r="127" spans="1:5" x14ac:dyDescent="0.25">
      <c r="A127" s="76">
        <v>11</v>
      </c>
      <c r="B127" s="76">
        <v>3</v>
      </c>
      <c r="C127" s="76" t="s">
        <v>90</v>
      </c>
      <c r="D127" s="76" t="s">
        <v>89</v>
      </c>
      <c r="E127" s="76" t="str">
        <f t="shared" si="3"/>
        <v>11-3A</v>
      </c>
    </row>
    <row r="128" spans="1:5" x14ac:dyDescent="0.25">
      <c r="A128" s="76">
        <v>11</v>
      </c>
      <c r="B128" s="76">
        <v>3</v>
      </c>
      <c r="C128" s="76" t="s">
        <v>92</v>
      </c>
      <c r="D128" s="76" t="s">
        <v>91</v>
      </c>
      <c r="E128" s="76" t="str">
        <f t="shared" si="3"/>
        <v>11-3B</v>
      </c>
    </row>
    <row r="129" spans="1:5" x14ac:dyDescent="0.25">
      <c r="A129" s="76">
        <v>11</v>
      </c>
      <c r="B129" s="76">
        <v>3</v>
      </c>
      <c r="C129" s="76" t="s">
        <v>94</v>
      </c>
      <c r="D129" s="76" t="s">
        <v>93</v>
      </c>
      <c r="E129" s="76" t="str">
        <f t="shared" ref="E129:E160" si="4">_xlfn.CONCAT(TEXT(A129,"00"),"-",TEXT(B129,"0"),D129)</f>
        <v>11-3C</v>
      </c>
    </row>
    <row r="130" spans="1:5" x14ac:dyDescent="0.25">
      <c r="A130" s="76">
        <v>11</v>
      </c>
      <c r="B130" s="76">
        <v>4</v>
      </c>
      <c r="C130" s="76" t="s">
        <v>90</v>
      </c>
      <c r="D130" s="76" t="s">
        <v>89</v>
      </c>
      <c r="E130" s="76" t="str">
        <f t="shared" si="4"/>
        <v>11-4A</v>
      </c>
    </row>
    <row r="131" spans="1:5" x14ac:dyDescent="0.25">
      <c r="A131" s="76">
        <v>11</v>
      </c>
      <c r="B131" s="76">
        <v>4</v>
      </c>
      <c r="C131" s="76" t="s">
        <v>92</v>
      </c>
      <c r="D131" s="76" t="s">
        <v>91</v>
      </c>
      <c r="E131" s="76" t="str">
        <f t="shared" si="4"/>
        <v>11-4B</v>
      </c>
    </row>
    <row r="132" spans="1:5" x14ac:dyDescent="0.25">
      <c r="A132" s="76">
        <v>11</v>
      </c>
      <c r="B132" s="76">
        <v>4</v>
      </c>
      <c r="C132" s="76" t="s">
        <v>94</v>
      </c>
      <c r="D132" s="76" t="s">
        <v>93</v>
      </c>
      <c r="E132" s="76" t="str">
        <f t="shared" si="4"/>
        <v>11-4C</v>
      </c>
    </row>
    <row r="133" spans="1:5" x14ac:dyDescent="0.25">
      <c r="A133" s="76">
        <v>12</v>
      </c>
      <c r="B133" s="76">
        <v>4</v>
      </c>
      <c r="C133" s="76" t="s">
        <v>94</v>
      </c>
      <c r="D133" s="76" t="s">
        <v>93</v>
      </c>
      <c r="E133" s="76" t="str">
        <f t="shared" si="4"/>
        <v>12-4C</v>
      </c>
    </row>
    <row r="134" spans="1:5" x14ac:dyDescent="0.25">
      <c r="A134" s="76">
        <v>12</v>
      </c>
      <c r="B134" s="76">
        <v>4</v>
      </c>
      <c r="C134" s="76" t="s">
        <v>92</v>
      </c>
      <c r="D134" s="76" t="s">
        <v>91</v>
      </c>
      <c r="E134" s="76" t="str">
        <f t="shared" si="4"/>
        <v>12-4B</v>
      </c>
    </row>
    <row r="135" spans="1:5" x14ac:dyDescent="0.25">
      <c r="A135" s="76">
        <v>12</v>
      </c>
      <c r="B135" s="76">
        <v>4</v>
      </c>
      <c r="C135" s="76" t="s">
        <v>90</v>
      </c>
      <c r="D135" s="76" t="s">
        <v>89</v>
      </c>
      <c r="E135" s="76" t="str">
        <f t="shared" si="4"/>
        <v>12-4A</v>
      </c>
    </row>
    <row r="136" spans="1:5" x14ac:dyDescent="0.25">
      <c r="A136" s="76">
        <v>12</v>
      </c>
      <c r="B136" s="76">
        <v>3</v>
      </c>
      <c r="C136" s="76" t="s">
        <v>94</v>
      </c>
      <c r="D136" s="76" t="s">
        <v>93</v>
      </c>
      <c r="E136" s="76" t="str">
        <f t="shared" si="4"/>
        <v>12-3C</v>
      </c>
    </row>
    <row r="137" spans="1:5" x14ac:dyDescent="0.25">
      <c r="A137" s="76">
        <v>12</v>
      </c>
      <c r="B137" s="76">
        <v>3</v>
      </c>
      <c r="C137" s="76" t="s">
        <v>92</v>
      </c>
      <c r="D137" s="76" t="s">
        <v>91</v>
      </c>
      <c r="E137" s="76" t="str">
        <f t="shared" si="4"/>
        <v>12-3B</v>
      </c>
    </row>
    <row r="138" spans="1:5" x14ac:dyDescent="0.25">
      <c r="A138" s="76">
        <v>12</v>
      </c>
      <c r="B138" s="76">
        <v>3</v>
      </c>
      <c r="C138" s="76" t="s">
        <v>90</v>
      </c>
      <c r="D138" s="76" t="s">
        <v>89</v>
      </c>
      <c r="E138" s="76" t="str">
        <f t="shared" si="4"/>
        <v>12-3A</v>
      </c>
    </row>
    <row r="139" spans="1:5" x14ac:dyDescent="0.25">
      <c r="A139" s="76">
        <v>12</v>
      </c>
      <c r="B139" s="76">
        <v>2</v>
      </c>
      <c r="C139" s="76" t="s">
        <v>94</v>
      </c>
      <c r="D139" s="76" t="s">
        <v>93</v>
      </c>
      <c r="E139" s="76" t="str">
        <f t="shared" si="4"/>
        <v>12-2C</v>
      </c>
    </row>
    <row r="140" spans="1:5" x14ac:dyDescent="0.25">
      <c r="A140" s="76">
        <v>12</v>
      </c>
      <c r="B140" s="76">
        <v>2</v>
      </c>
      <c r="C140" s="76" t="s">
        <v>92</v>
      </c>
      <c r="D140" s="76" t="s">
        <v>91</v>
      </c>
      <c r="E140" s="76" t="str">
        <f t="shared" si="4"/>
        <v>12-2B</v>
      </c>
    </row>
    <row r="141" spans="1:5" x14ac:dyDescent="0.25">
      <c r="A141" s="76">
        <v>12</v>
      </c>
      <c r="B141" s="76">
        <v>2</v>
      </c>
      <c r="C141" s="76" t="s">
        <v>90</v>
      </c>
      <c r="D141" s="76" t="s">
        <v>89</v>
      </c>
      <c r="E141" s="76" t="str">
        <f t="shared" si="4"/>
        <v>12-2A</v>
      </c>
    </row>
    <row r="142" spans="1:5" x14ac:dyDescent="0.25">
      <c r="A142" s="76">
        <v>12</v>
      </c>
      <c r="B142" s="76">
        <v>1</v>
      </c>
      <c r="C142" s="76" t="s">
        <v>94</v>
      </c>
      <c r="D142" s="76" t="s">
        <v>93</v>
      </c>
      <c r="E142" s="76" t="str">
        <f t="shared" si="4"/>
        <v>12-1C</v>
      </c>
    </row>
    <row r="143" spans="1:5" x14ac:dyDescent="0.25">
      <c r="A143" s="76">
        <v>12</v>
      </c>
      <c r="B143" s="76">
        <v>1</v>
      </c>
      <c r="C143" s="76" t="s">
        <v>92</v>
      </c>
      <c r="D143" s="76" t="s">
        <v>91</v>
      </c>
      <c r="E143" s="76" t="str">
        <f t="shared" si="4"/>
        <v>12-1B</v>
      </c>
    </row>
    <row r="144" spans="1:5" x14ac:dyDescent="0.25">
      <c r="A144" s="76">
        <v>12</v>
      </c>
      <c r="B144" s="76">
        <v>1</v>
      </c>
      <c r="C144" s="76" t="s">
        <v>90</v>
      </c>
      <c r="D144" s="76" t="s">
        <v>89</v>
      </c>
      <c r="E144" s="76" t="str">
        <f t="shared" si="4"/>
        <v>12-1A</v>
      </c>
    </row>
    <row r="145" spans="1:5" x14ac:dyDescent="0.25">
      <c r="A145" s="76">
        <v>13</v>
      </c>
      <c r="B145" s="76">
        <v>1</v>
      </c>
      <c r="C145" s="76" t="s">
        <v>90</v>
      </c>
      <c r="D145" s="76" t="s">
        <v>89</v>
      </c>
      <c r="E145" s="76" t="str">
        <f t="shared" si="4"/>
        <v>13-1A</v>
      </c>
    </row>
    <row r="146" spans="1:5" x14ac:dyDescent="0.25">
      <c r="A146" s="76">
        <v>13</v>
      </c>
      <c r="B146" s="76">
        <v>1</v>
      </c>
      <c r="C146" s="76" t="s">
        <v>92</v>
      </c>
      <c r="D146" s="76" t="s">
        <v>91</v>
      </c>
      <c r="E146" s="76" t="str">
        <f t="shared" si="4"/>
        <v>13-1B</v>
      </c>
    </row>
    <row r="147" spans="1:5" x14ac:dyDescent="0.25">
      <c r="A147" s="76">
        <v>13</v>
      </c>
      <c r="B147" s="76">
        <v>1</v>
      </c>
      <c r="C147" s="76" t="s">
        <v>94</v>
      </c>
      <c r="D147" s="76" t="s">
        <v>93</v>
      </c>
      <c r="E147" s="76" t="str">
        <f t="shared" si="4"/>
        <v>13-1C</v>
      </c>
    </row>
    <row r="148" spans="1:5" x14ac:dyDescent="0.25">
      <c r="A148" s="76">
        <v>13</v>
      </c>
      <c r="B148" s="76">
        <v>2</v>
      </c>
      <c r="C148" s="76" t="s">
        <v>90</v>
      </c>
      <c r="D148" s="76" t="s">
        <v>89</v>
      </c>
      <c r="E148" s="76" t="str">
        <f t="shared" si="4"/>
        <v>13-2A</v>
      </c>
    </row>
    <row r="149" spans="1:5" x14ac:dyDescent="0.25">
      <c r="A149" s="76">
        <v>13</v>
      </c>
      <c r="B149" s="76">
        <v>2</v>
      </c>
      <c r="C149" s="76" t="s">
        <v>92</v>
      </c>
      <c r="D149" s="76" t="s">
        <v>91</v>
      </c>
      <c r="E149" s="76" t="str">
        <f t="shared" si="4"/>
        <v>13-2B</v>
      </c>
    </row>
    <row r="150" spans="1:5" x14ac:dyDescent="0.25">
      <c r="A150" s="76">
        <v>13</v>
      </c>
      <c r="B150" s="76">
        <v>2</v>
      </c>
      <c r="C150" s="76" t="s">
        <v>94</v>
      </c>
      <c r="D150" s="76" t="s">
        <v>93</v>
      </c>
      <c r="E150" s="76" t="str">
        <f t="shared" si="4"/>
        <v>13-2C</v>
      </c>
    </row>
    <row r="151" spans="1:5" x14ac:dyDescent="0.25">
      <c r="A151" s="76">
        <v>13</v>
      </c>
      <c r="B151" s="76">
        <v>3</v>
      </c>
      <c r="C151" s="76" t="s">
        <v>90</v>
      </c>
      <c r="D151" s="76" t="s">
        <v>89</v>
      </c>
      <c r="E151" s="76" t="str">
        <f t="shared" si="4"/>
        <v>13-3A</v>
      </c>
    </row>
    <row r="152" spans="1:5" x14ac:dyDescent="0.25">
      <c r="A152" s="76">
        <v>13</v>
      </c>
      <c r="B152" s="76">
        <v>3</v>
      </c>
      <c r="C152" s="76" t="s">
        <v>92</v>
      </c>
      <c r="D152" s="76" t="s">
        <v>91</v>
      </c>
      <c r="E152" s="76" t="str">
        <f t="shared" si="4"/>
        <v>13-3B</v>
      </c>
    </row>
    <row r="153" spans="1:5" x14ac:dyDescent="0.25">
      <c r="A153" s="76">
        <v>13</v>
      </c>
      <c r="B153" s="76">
        <v>3</v>
      </c>
      <c r="C153" s="76" t="s">
        <v>94</v>
      </c>
      <c r="D153" s="76" t="s">
        <v>93</v>
      </c>
      <c r="E153" s="76" t="str">
        <f t="shared" si="4"/>
        <v>13-3C</v>
      </c>
    </row>
    <row r="154" spans="1:5" x14ac:dyDescent="0.25">
      <c r="A154" s="76">
        <v>13</v>
      </c>
      <c r="B154" s="76">
        <v>4</v>
      </c>
      <c r="C154" s="76" t="s">
        <v>90</v>
      </c>
      <c r="D154" s="76" t="s">
        <v>89</v>
      </c>
      <c r="E154" s="76" t="str">
        <f t="shared" si="4"/>
        <v>13-4A</v>
      </c>
    </row>
    <row r="155" spans="1:5" x14ac:dyDescent="0.25">
      <c r="A155" s="76">
        <v>13</v>
      </c>
      <c r="B155" s="76">
        <v>4</v>
      </c>
      <c r="C155" s="76" t="s">
        <v>92</v>
      </c>
      <c r="D155" s="76" t="s">
        <v>91</v>
      </c>
      <c r="E155" s="76" t="str">
        <f t="shared" si="4"/>
        <v>13-4B</v>
      </c>
    </row>
    <row r="156" spans="1:5" x14ac:dyDescent="0.25">
      <c r="A156" s="76">
        <v>13</v>
      </c>
      <c r="B156" s="76">
        <v>4</v>
      </c>
      <c r="C156" s="76" t="s">
        <v>94</v>
      </c>
      <c r="D156" s="76" t="s">
        <v>93</v>
      </c>
      <c r="E156" s="76" t="str">
        <f t="shared" si="4"/>
        <v>13-4C</v>
      </c>
    </row>
    <row r="157" spans="1:5" x14ac:dyDescent="0.25">
      <c r="A157" s="76">
        <v>14</v>
      </c>
      <c r="B157" s="76">
        <v>4</v>
      </c>
      <c r="C157" s="76" t="s">
        <v>94</v>
      </c>
      <c r="D157" s="76" t="s">
        <v>93</v>
      </c>
      <c r="E157" s="76" t="str">
        <f t="shared" si="4"/>
        <v>14-4C</v>
      </c>
    </row>
    <row r="158" spans="1:5" x14ac:dyDescent="0.25">
      <c r="A158" s="76">
        <v>14</v>
      </c>
      <c r="B158" s="76">
        <v>4</v>
      </c>
      <c r="C158" s="76" t="s">
        <v>92</v>
      </c>
      <c r="D158" s="76" t="s">
        <v>91</v>
      </c>
      <c r="E158" s="76" t="str">
        <f t="shared" si="4"/>
        <v>14-4B</v>
      </c>
    </row>
    <row r="159" spans="1:5" x14ac:dyDescent="0.25">
      <c r="A159" s="76">
        <v>14</v>
      </c>
      <c r="B159" s="76">
        <v>4</v>
      </c>
      <c r="C159" s="76" t="s">
        <v>90</v>
      </c>
      <c r="D159" s="76" t="s">
        <v>89</v>
      </c>
      <c r="E159" s="76" t="str">
        <f t="shared" si="4"/>
        <v>14-4A</v>
      </c>
    </row>
    <row r="160" spans="1:5" x14ac:dyDescent="0.25">
      <c r="A160" s="76">
        <v>14</v>
      </c>
      <c r="B160" s="76">
        <v>3</v>
      </c>
      <c r="C160" s="76" t="s">
        <v>94</v>
      </c>
      <c r="D160" s="76" t="s">
        <v>93</v>
      </c>
      <c r="E160" s="76" t="str">
        <f t="shared" si="4"/>
        <v>14-3C</v>
      </c>
    </row>
    <row r="161" spans="1:5" x14ac:dyDescent="0.25">
      <c r="A161" s="76">
        <v>14</v>
      </c>
      <c r="B161" s="76">
        <v>3</v>
      </c>
      <c r="C161" s="76" t="s">
        <v>92</v>
      </c>
      <c r="D161" s="76" t="s">
        <v>91</v>
      </c>
      <c r="E161" s="76" t="str">
        <f t="shared" ref="E161:E192" si="5">_xlfn.CONCAT(TEXT(A161,"00"),"-",TEXT(B161,"0"),D161)</f>
        <v>14-3B</v>
      </c>
    </row>
    <row r="162" spans="1:5" x14ac:dyDescent="0.25">
      <c r="A162" s="76">
        <v>14</v>
      </c>
      <c r="B162" s="76">
        <v>3</v>
      </c>
      <c r="C162" s="76" t="s">
        <v>90</v>
      </c>
      <c r="D162" s="76" t="s">
        <v>89</v>
      </c>
      <c r="E162" s="76" t="str">
        <f t="shared" si="5"/>
        <v>14-3A</v>
      </c>
    </row>
    <row r="163" spans="1:5" x14ac:dyDescent="0.25">
      <c r="A163" s="76">
        <v>14</v>
      </c>
      <c r="B163" s="76">
        <v>2</v>
      </c>
      <c r="C163" s="76" t="s">
        <v>94</v>
      </c>
      <c r="D163" s="76" t="s">
        <v>93</v>
      </c>
      <c r="E163" s="76" t="str">
        <f t="shared" si="5"/>
        <v>14-2C</v>
      </c>
    </row>
    <row r="164" spans="1:5" x14ac:dyDescent="0.25">
      <c r="A164" s="76">
        <v>14</v>
      </c>
      <c r="B164" s="76">
        <v>2</v>
      </c>
      <c r="C164" s="76" t="s">
        <v>92</v>
      </c>
      <c r="D164" s="76" t="s">
        <v>91</v>
      </c>
      <c r="E164" s="76" t="str">
        <f t="shared" si="5"/>
        <v>14-2B</v>
      </c>
    </row>
    <row r="165" spans="1:5" x14ac:dyDescent="0.25">
      <c r="A165" s="76">
        <v>14</v>
      </c>
      <c r="B165" s="76">
        <v>2</v>
      </c>
      <c r="C165" s="76" t="s">
        <v>90</v>
      </c>
      <c r="D165" s="76" t="s">
        <v>89</v>
      </c>
      <c r="E165" s="76" t="str">
        <f t="shared" si="5"/>
        <v>14-2A</v>
      </c>
    </row>
    <row r="166" spans="1:5" x14ac:dyDescent="0.25">
      <c r="A166" s="76">
        <v>14</v>
      </c>
      <c r="B166" s="76">
        <v>1</v>
      </c>
      <c r="C166" s="76" t="s">
        <v>94</v>
      </c>
      <c r="D166" s="76" t="s">
        <v>93</v>
      </c>
      <c r="E166" s="76" t="str">
        <f t="shared" si="5"/>
        <v>14-1C</v>
      </c>
    </row>
    <row r="167" spans="1:5" x14ac:dyDescent="0.25">
      <c r="A167" s="76">
        <v>14</v>
      </c>
      <c r="B167" s="76">
        <v>1</v>
      </c>
      <c r="C167" s="76" t="s">
        <v>92</v>
      </c>
      <c r="D167" s="76" t="s">
        <v>91</v>
      </c>
      <c r="E167" s="76" t="str">
        <f t="shared" si="5"/>
        <v>14-1B</v>
      </c>
    </row>
    <row r="168" spans="1:5" x14ac:dyDescent="0.25">
      <c r="A168" s="76">
        <v>14</v>
      </c>
      <c r="B168" s="76">
        <v>1</v>
      </c>
      <c r="C168" s="76" t="s">
        <v>90</v>
      </c>
      <c r="D168" s="76" t="s">
        <v>89</v>
      </c>
      <c r="E168" s="76" t="str">
        <f t="shared" si="5"/>
        <v>14-1A</v>
      </c>
    </row>
    <row r="169" spans="1:5" x14ac:dyDescent="0.25">
      <c r="A169" s="76">
        <v>15</v>
      </c>
      <c r="B169" s="76">
        <v>1</v>
      </c>
      <c r="C169" s="76" t="s">
        <v>90</v>
      </c>
      <c r="D169" s="76" t="s">
        <v>89</v>
      </c>
      <c r="E169" s="76" t="str">
        <f t="shared" si="5"/>
        <v>15-1A</v>
      </c>
    </row>
    <row r="170" spans="1:5" x14ac:dyDescent="0.25">
      <c r="A170" s="76">
        <v>15</v>
      </c>
      <c r="B170" s="76">
        <v>1</v>
      </c>
      <c r="C170" s="76" t="s">
        <v>92</v>
      </c>
      <c r="D170" s="76" t="s">
        <v>91</v>
      </c>
      <c r="E170" s="76" t="str">
        <f t="shared" si="5"/>
        <v>15-1B</v>
      </c>
    </row>
    <row r="171" spans="1:5" x14ac:dyDescent="0.25">
      <c r="A171" s="76">
        <v>15</v>
      </c>
      <c r="B171" s="76">
        <v>1</v>
      </c>
      <c r="C171" s="76" t="s">
        <v>94</v>
      </c>
      <c r="D171" s="76" t="s">
        <v>93</v>
      </c>
      <c r="E171" s="76" t="str">
        <f t="shared" si="5"/>
        <v>15-1C</v>
      </c>
    </row>
    <row r="172" spans="1:5" x14ac:dyDescent="0.25">
      <c r="A172" s="76">
        <v>15</v>
      </c>
      <c r="B172" s="76">
        <v>2</v>
      </c>
      <c r="C172" s="76" t="s">
        <v>90</v>
      </c>
      <c r="D172" s="76" t="s">
        <v>89</v>
      </c>
      <c r="E172" s="76" t="str">
        <f t="shared" si="5"/>
        <v>15-2A</v>
      </c>
    </row>
    <row r="173" spans="1:5" x14ac:dyDescent="0.25">
      <c r="A173" s="76">
        <v>15</v>
      </c>
      <c r="B173" s="76">
        <v>2</v>
      </c>
      <c r="C173" s="76" t="s">
        <v>92</v>
      </c>
      <c r="D173" s="76" t="s">
        <v>91</v>
      </c>
      <c r="E173" s="76" t="str">
        <f t="shared" si="5"/>
        <v>15-2B</v>
      </c>
    </row>
    <row r="174" spans="1:5" x14ac:dyDescent="0.25">
      <c r="A174" s="76">
        <v>15</v>
      </c>
      <c r="B174" s="76">
        <v>2</v>
      </c>
      <c r="C174" s="76" t="s">
        <v>94</v>
      </c>
      <c r="D174" s="76" t="s">
        <v>93</v>
      </c>
      <c r="E174" s="76" t="str">
        <f t="shared" si="5"/>
        <v>15-2C</v>
      </c>
    </row>
    <row r="175" spans="1:5" x14ac:dyDescent="0.25">
      <c r="A175" s="76">
        <v>15</v>
      </c>
      <c r="B175" s="76">
        <v>3</v>
      </c>
      <c r="C175" s="76" t="s">
        <v>90</v>
      </c>
      <c r="D175" s="76" t="s">
        <v>89</v>
      </c>
      <c r="E175" s="76" t="str">
        <f t="shared" si="5"/>
        <v>15-3A</v>
      </c>
    </row>
    <row r="176" spans="1:5" x14ac:dyDescent="0.25">
      <c r="A176" s="76">
        <v>15</v>
      </c>
      <c r="B176" s="76">
        <v>3</v>
      </c>
      <c r="C176" s="76" t="s">
        <v>92</v>
      </c>
      <c r="D176" s="76" t="s">
        <v>91</v>
      </c>
      <c r="E176" s="76" t="str">
        <f t="shared" si="5"/>
        <v>15-3B</v>
      </c>
    </row>
    <row r="177" spans="1:5" x14ac:dyDescent="0.25">
      <c r="A177" s="76">
        <v>15</v>
      </c>
      <c r="B177" s="76">
        <v>3</v>
      </c>
      <c r="C177" s="76" t="s">
        <v>94</v>
      </c>
      <c r="D177" s="76" t="s">
        <v>93</v>
      </c>
      <c r="E177" s="76" t="str">
        <f t="shared" si="5"/>
        <v>15-3C</v>
      </c>
    </row>
    <row r="178" spans="1:5" x14ac:dyDescent="0.25">
      <c r="A178" s="76">
        <v>15</v>
      </c>
      <c r="B178" s="76">
        <v>4</v>
      </c>
      <c r="C178" s="76" t="s">
        <v>90</v>
      </c>
      <c r="D178" s="76" t="s">
        <v>89</v>
      </c>
      <c r="E178" s="76" t="str">
        <f t="shared" si="5"/>
        <v>15-4A</v>
      </c>
    </row>
    <row r="179" spans="1:5" x14ac:dyDescent="0.25">
      <c r="A179" s="76">
        <v>15</v>
      </c>
      <c r="B179" s="76">
        <v>4</v>
      </c>
      <c r="C179" s="76" t="s">
        <v>92</v>
      </c>
      <c r="D179" s="76" t="s">
        <v>91</v>
      </c>
      <c r="E179" s="76" t="str">
        <f t="shared" si="5"/>
        <v>15-4B</v>
      </c>
    </row>
    <row r="180" spans="1:5" x14ac:dyDescent="0.25">
      <c r="A180" s="76">
        <v>15</v>
      </c>
      <c r="B180" s="76">
        <v>4</v>
      </c>
      <c r="C180" s="76" t="s">
        <v>94</v>
      </c>
      <c r="D180" s="76" t="s">
        <v>93</v>
      </c>
      <c r="E180" s="76" t="str">
        <f t="shared" si="5"/>
        <v>15-4C</v>
      </c>
    </row>
    <row r="181" spans="1:5" x14ac:dyDescent="0.25">
      <c r="A181" s="76">
        <v>16</v>
      </c>
      <c r="B181" s="76">
        <v>4</v>
      </c>
      <c r="C181" s="76" t="s">
        <v>94</v>
      </c>
      <c r="D181" s="76" t="s">
        <v>93</v>
      </c>
      <c r="E181" s="76" t="str">
        <f t="shared" si="5"/>
        <v>16-4C</v>
      </c>
    </row>
    <row r="182" spans="1:5" x14ac:dyDescent="0.25">
      <c r="A182" s="76">
        <v>16</v>
      </c>
      <c r="B182" s="76">
        <v>4</v>
      </c>
      <c r="C182" s="76" t="s">
        <v>92</v>
      </c>
      <c r="D182" s="76" t="s">
        <v>91</v>
      </c>
      <c r="E182" s="76" t="str">
        <f t="shared" si="5"/>
        <v>16-4B</v>
      </c>
    </row>
    <row r="183" spans="1:5" x14ac:dyDescent="0.25">
      <c r="A183" s="76">
        <v>16</v>
      </c>
      <c r="B183" s="76">
        <v>4</v>
      </c>
      <c r="C183" s="76" t="s">
        <v>90</v>
      </c>
      <c r="D183" s="76" t="s">
        <v>89</v>
      </c>
      <c r="E183" s="76" t="str">
        <f t="shared" si="5"/>
        <v>16-4A</v>
      </c>
    </row>
    <row r="184" spans="1:5" x14ac:dyDescent="0.25">
      <c r="A184" s="76">
        <v>16</v>
      </c>
      <c r="B184" s="76">
        <v>3</v>
      </c>
      <c r="C184" s="76" t="s">
        <v>94</v>
      </c>
      <c r="D184" s="76" t="s">
        <v>93</v>
      </c>
      <c r="E184" s="76" t="str">
        <f t="shared" si="5"/>
        <v>16-3C</v>
      </c>
    </row>
    <row r="185" spans="1:5" x14ac:dyDescent="0.25">
      <c r="A185" s="76">
        <v>16</v>
      </c>
      <c r="B185" s="76">
        <v>3</v>
      </c>
      <c r="C185" s="76" t="s">
        <v>92</v>
      </c>
      <c r="D185" s="76" t="s">
        <v>91</v>
      </c>
      <c r="E185" s="76" t="str">
        <f t="shared" si="5"/>
        <v>16-3B</v>
      </c>
    </row>
    <row r="186" spans="1:5" x14ac:dyDescent="0.25">
      <c r="A186" s="76">
        <v>16</v>
      </c>
      <c r="B186" s="76">
        <v>3</v>
      </c>
      <c r="C186" s="76" t="s">
        <v>90</v>
      </c>
      <c r="D186" s="76" t="s">
        <v>89</v>
      </c>
      <c r="E186" s="76" t="str">
        <f t="shared" si="5"/>
        <v>16-3A</v>
      </c>
    </row>
    <row r="187" spans="1:5" x14ac:dyDescent="0.25">
      <c r="A187" s="76">
        <v>16</v>
      </c>
      <c r="B187" s="76">
        <v>2</v>
      </c>
      <c r="C187" s="76" t="s">
        <v>94</v>
      </c>
      <c r="D187" s="76" t="s">
        <v>93</v>
      </c>
      <c r="E187" s="76" t="str">
        <f t="shared" si="5"/>
        <v>16-2C</v>
      </c>
    </row>
    <row r="188" spans="1:5" x14ac:dyDescent="0.25">
      <c r="A188" s="76">
        <v>16</v>
      </c>
      <c r="B188" s="76">
        <v>2</v>
      </c>
      <c r="C188" s="76" t="s">
        <v>92</v>
      </c>
      <c r="D188" s="76" t="s">
        <v>91</v>
      </c>
      <c r="E188" s="76" t="str">
        <f t="shared" si="5"/>
        <v>16-2B</v>
      </c>
    </row>
    <row r="189" spans="1:5" x14ac:dyDescent="0.25">
      <c r="A189" s="76">
        <v>16</v>
      </c>
      <c r="B189" s="76">
        <v>2</v>
      </c>
      <c r="C189" s="76" t="s">
        <v>90</v>
      </c>
      <c r="D189" s="76" t="s">
        <v>89</v>
      </c>
      <c r="E189" s="76" t="str">
        <f t="shared" si="5"/>
        <v>16-2A</v>
      </c>
    </row>
    <row r="190" spans="1:5" x14ac:dyDescent="0.25">
      <c r="A190" s="76">
        <v>16</v>
      </c>
      <c r="B190" s="76">
        <v>1</v>
      </c>
      <c r="C190" s="76" t="s">
        <v>94</v>
      </c>
      <c r="D190" s="76" t="s">
        <v>93</v>
      </c>
      <c r="E190" s="76" t="str">
        <f t="shared" si="5"/>
        <v>16-1C</v>
      </c>
    </row>
    <row r="191" spans="1:5" x14ac:dyDescent="0.25">
      <c r="A191" s="76">
        <v>16</v>
      </c>
      <c r="B191" s="76">
        <v>1</v>
      </c>
      <c r="C191" s="76" t="s">
        <v>92</v>
      </c>
      <c r="D191" s="76" t="s">
        <v>91</v>
      </c>
      <c r="E191" s="76" t="str">
        <f t="shared" si="5"/>
        <v>16-1B</v>
      </c>
    </row>
    <row r="192" spans="1:5" x14ac:dyDescent="0.25">
      <c r="A192" s="76">
        <v>16</v>
      </c>
      <c r="B192" s="76">
        <v>1</v>
      </c>
      <c r="C192" s="76" t="s">
        <v>90</v>
      </c>
      <c r="D192" s="76" t="s">
        <v>89</v>
      </c>
      <c r="E192" s="76" t="str">
        <f t="shared" si="5"/>
        <v>16-1A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zoomScale="85" zoomScaleNormal="85" zoomScaleSheetLayoutView="70" workbookViewId="0"/>
  </sheetViews>
  <sheetFormatPr defaultRowHeight="12.75" x14ac:dyDescent="0.2"/>
  <cols>
    <col min="1" max="1" width="6.28515625" customWidth="1"/>
    <col min="2" max="2" width="4.7109375" style="1" customWidth="1"/>
    <col min="3" max="3" width="2.7109375" style="2" customWidth="1"/>
    <col min="4" max="4" width="5.140625" style="2" customWidth="1"/>
    <col min="5" max="6" width="12.7109375" customWidth="1"/>
    <col min="7" max="7" width="8.7109375" customWidth="1"/>
    <col min="8" max="8" width="2.28515625" customWidth="1"/>
    <col min="9" max="9" width="4.7109375" customWidth="1"/>
    <col min="10" max="10" width="2.7109375" customWidth="1"/>
    <col min="11" max="11" width="5.140625" customWidth="1"/>
    <col min="12" max="13" width="12.7109375" customWidth="1"/>
  </cols>
  <sheetData>
    <row r="1" spans="1:14" ht="15.75" x14ac:dyDescent="0.25">
      <c r="A1" s="6">
        <v>2017</v>
      </c>
      <c r="C1" s="8" t="s">
        <v>58</v>
      </c>
      <c r="D1" s="8"/>
      <c r="E1" s="8" t="s">
        <v>16</v>
      </c>
      <c r="I1" s="4" t="s">
        <v>18</v>
      </c>
      <c r="J1" s="23"/>
      <c r="K1" s="23"/>
      <c r="L1" s="30" t="s">
        <v>29</v>
      </c>
      <c r="M1" s="23"/>
    </row>
    <row r="2" spans="1:14" ht="14.45" customHeight="1" x14ac:dyDescent="0.25">
      <c r="A2" s="6"/>
      <c r="B2" s="7"/>
      <c r="C2" s="8"/>
      <c r="D2" s="8"/>
      <c r="I2" s="4" t="s">
        <v>26</v>
      </c>
      <c r="J2" s="24"/>
      <c r="K2" s="24"/>
      <c r="L2" s="24"/>
      <c r="M2" s="24"/>
    </row>
    <row r="3" spans="1:14" x14ac:dyDescent="0.2">
      <c r="B3" s="5" t="s">
        <v>19</v>
      </c>
      <c r="I3" s="4" t="s">
        <v>24</v>
      </c>
      <c r="J3" s="24"/>
      <c r="K3" s="24"/>
      <c r="L3" s="24"/>
      <c r="M3" s="24"/>
    </row>
    <row r="4" spans="1:14" ht="7.9" customHeight="1" x14ac:dyDescent="0.2">
      <c r="B4" s="5"/>
      <c r="I4" s="4"/>
    </row>
    <row r="5" spans="1:14" x14ac:dyDescent="0.2">
      <c r="B5" s="2" t="s">
        <v>65</v>
      </c>
      <c r="I5" s="4"/>
    </row>
    <row r="6" spans="1:14" x14ac:dyDescent="0.2">
      <c r="B6" s="2" t="s">
        <v>63</v>
      </c>
      <c r="I6" s="4"/>
    </row>
    <row r="7" spans="1:14" ht="30.6" customHeight="1" thickBot="1" x14ac:dyDescent="0.25">
      <c r="B7" s="78" t="s">
        <v>17</v>
      </c>
      <c r="C7" s="78"/>
      <c r="D7" s="22" t="s">
        <v>23</v>
      </c>
      <c r="E7" s="25" t="s">
        <v>27</v>
      </c>
      <c r="F7" s="25" t="s">
        <v>28</v>
      </c>
      <c r="G7" s="22" t="s">
        <v>74</v>
      </c>
      <c r="H7" s="22"/>
      <c r="I7" s="78" t="s">
        <v>17</v>
      </c>
      <c r="J7" s="78"/>
      <c r="K7" s="22" t="s">
        <v>23</v>
      </c>
      <c r="L7" s="25" t="s">
        <v>27</v>
      </c>
      <c r="M7" s="25" t="s">
        <v>28</v>
      </c>
      <c r="N7" s="22" t="s">
        <v>74</v>
      </c>
    </row>
    <row r="8" spans="1:14" ht="25.15" customHeight="1" x14ac:dyDescent="0.2">
      <c r="B8" s="12" t="s">
        <v>1</v>
      </c>
      <c r="C8" s="18">
        <v>1</v>
      </c>
      <c r="D8" s="16" t="s">
        <v>21</v>
      </c>
      <c r="E8" s="9"/>
      <c r="F8" s="9"/>
      <c r="G8" s="9"/>
      <c r="I8" s="12" t="s">
        <v>3</v>
      </c>
      <c r="J8" s="18">
        <v>1</v>
      </c>
      <c r="K8" s="16" t="s">
        <v>21</v>
      </c>
      <c r="L8" s="9"/>
      <c r="M8" s="9"/>
      <c r="N8" s="9"/>
    </row>
    <row r="9" spans="1:14" ht="25.15" customHeight="1" x14ac:dyDescent="0.2">
      <c r="B9" s="13"/>
      <c r="C9" s="14"/>
      <c r="D9" s="20" t="s">
        <v>20</v>
      </c>
      <c r="E9" s="10"/>
      <c r="F9" s="10"/>
      <c r="G9" s="10"/>
      <c r="I9" s="13"/>
      <c r="J9" s="14"/>
      <c r="K9" s="20" t="s">
        <v>20</v>
      </c>
      <c r="L9" s="10"/>
      <c r="M9" s="10"/>
      <c r="N9" s="10"/>
    </row>
    <row r="10" spans="1:14" ht="25.15" customHeight="1" thickBot="1" x14ac:dyDescent="0.25">
      <c r="B10" s="17"/>
      <c r="C10" s="19"/>
      <c r="D10" s="21" t="s">
        <v>22</v>
      </c>
      <c r="E10" s="11"/>
      <c r="F10" s="11"/>
      <c r="G10" s="11"/>
      <c r="I10" s="17"/>
      <c r="J10" s="19"/>
      <c r="K10" s="21" t="s">
        <v>22</v>
      </c>
      <c r="L10" s="11"/>
      <c r="M10" s="11"/>
      <c r="N10" s="11"/>
    </row>
    <row r="11" spans="1:14" ht="25.15" customHeight="1" x14ac:dyDescent="0.2">
      <c r="B11" s="12" t="s">
        <v>1</v>
      </c>
      <c r="C11" s="18">
        <v>2</v>
      </c>
      <c r="D11" s="16" t="s">
        <v>21</v>
      </c>
      <c r="E11" s="9"/>
      <c r="F11" s="9"/>
      <c r="G11" s="9"/>
      <c r="I11" s="12" t="s">
        <v>3</v>
      </c>
      <c r="J11" s="18">
        <v>2</v>
      </c>
      <c r="K11" s="16" t="s">
        <v>21</v>
      </c>
      <c r="L11" s="9"/>
      <c r="M11" s="9"/>
      <c r="N11" s="9"/>
    </row>
    <row r="12" spans="1:14" ht="25.15" customHeight="1" x14ac:dyDescent="0.2">
      <c r="B12" s="13"/>
      <c r="C12" s="14"/>
      <c r="D12" s="20" t="s">
        <v>20</v>
      </c>
      <c r="E12" s="10"/>
      <c r="F12" s="10"/>
      <c r="G12" s="10"/>
      <c r="I12" s="13"/>
      <c r="J12" s="14"/>
      <c r="K12" s="20" t="s">
        <v>20</v>
      </c>
      <c r="L12" s="10"/>
      <c r="M12" s="10"/>
      <c r="N12" s="10"/>
    </row>
    <row r="13" spans="1:14" ht="25.15" customHeight="1" thickBot="1" x14ac:dyDescent="0.25">
      <c r="B13" s="17"/>
      <c r="C13" s="19"/>
      <c r="D13" s="21" t="s">
        <v>22</v>
      </c>
      <c r="E13" s="11"/>
      <c r="F13" s="11"/>
      <c r="G13" s="11"/>
      <c r="I13" s="17"/>
      <c r="J13" s="19"/>
      <c r="K13" s="21" t="s">
        <v>22</v>
      </c>
      <c r="L13" s="11"/>
      <c r="M13" s="11"/>
      <c r="N13" s="11"/>
    </row>
    <row r="14" spans="1:14" ht="25.15" customHeight="1" x14ac:dyDescent="0.2">
      <c r="B14" s="12" t="s">
        <v>1</v>
      </c>
      <c r="C14" s="18">
        <v>3</v>
      </c>
      <c r="D14" s="16" t="s">
        <v>21</v>
      </c>
      <c r="E14" s="9"/>
      <c r="F14" s="9"/>
      <c r="G14" s="9"/>
      <c r="I14" s="12" t="s">
        <v>3</v>
      </c>
      <c r="J14" s="18">
        <v>3</v>
      </c>
      <c r="K14" s="16" t="s">
        <v>21</v>
      </c>
      <c r="L14" s="9"/>
      <c r="M14" s="9"/>
      <c r="N14" s="9"/>
    </row>
    <row r="15" spans="1:14" ht="25.15" customHeight="1" x14ac:dyDescent="0.2">
      <c r="B15" s="13"/>
      <c r="C15" s="14"/>
      <c r="D15" s="20" t="s">
        <v>20</v>
      </c>
      <c r="E15" s="10"/>
      <c r="F15" s="10"/>
      <c r="G15" s="10"/>
      <c r="I15" s="13"/>
      <c r="J15" s="14"/>
      <c r="K15" s="20" t="s">
        <v>20</v>
      </c>
      <c r="L15" s="10"/>
      <c r="M15" s="10"/>
      <c r="N15" s="10"/>
    </row>
    <row r="16" spans="1:14" ht="25.15" customHeight="1" thickBot="1" x14ac:dyDescent="0.25">
      <c r="B16" s="17"/>
      <c r="C16" s="19"/>
      <c r="D16" s="21" t="s">
        <v>22</v>
      </c>
      <c r="E16" s="11"/>
      <c r="F16" s="11"/>
      <c r="G16" s="11"/>
      <c r="I16" s="17"/>
      <c r="J16" s="19"/>
      <c r="K16" s="21" t="s">
        <v>22</v>
      </c>
      <c r="L16" s="11"/>
      <c r="M16" s="11"/>
      <c r="N16" s="11"/>
    </row>
    <row r="17" spans="2:14" ht="25.15" customHeight="1" x14ac:dyDescent="0.2">
      <c r="B17" s="12" t="s">
        <v>1</v>
      </c>
      <c r="C17" s="18">
        <v>4</v>
      </c>
      <c r="D17" s="16" t="s">
        <v>21</v>
      </c>
      <c r="E17" s="9"/>
      <c r="F17" s="9"/>
      <c r="G17" s="9"/>
      <c r="I17" s="12" t="s">
        <v>3</v>
      </c>
      <c r="J17" s="18">
        <v>4</v>
      </c>
      <c r="K17" s="16" t="s">
        <v>21</v>
      </c>
      <c r="L17" s="9"/>
      <c r="M17" s="9"/>
      <c r="N17" s="9"/>
    </row>
    <row r="18" spans="2:14" ht="25.15" customHeight="1" x14ac:dyDescent="0.2">
      <c r="B18" s="13"/>
      <c r="C18" s="14"/>
      <c r="D18" s="20" t="s">
        <v>20</v>
      </c>
      <c r="E18" s="10"/>
      <c r="F18" s="10"/>
      <c r="G18" s="10"/>
      <c r="I18" s="13"/>
      <c r="J18" s="14"/>
      <c r="K18" s="20" t="s">
        <v>20</v>
      </c>
      <c r="L18" s="10"/>
      <c r="M18" s="10"/>
      <c r="N18" s="10"/>
    </row>
    <row r="19" spans="2:14" ht="25.15" customHeight="1" thickBot="1" x14ac:dyDescent="0.25">
      <c r="B19" s="17"/>
      <c r="C19" s="19"/>
      <c r="D19" s="21" t="s">
        <v>22</v>
      </c>
      <c r="E19" s="11"/>
      <c r="F19" s="11"/>
      <c r="G19" s="11"/>
      <c r="I19" s="17"/>
      <c r="J19" s="19"/>
      <c r="K19" s="21" t="s">
        <v>22</v>
      </c>
      <c r="L19" s="11"/>
      <c r="M19" s="11"/>
      <c r="N19" s="11"/>
    </row>
    <row r="20" spans="2:14" ht="25.15" customHeight="1" x14ac:dyDescent="0.2">
      <c r="B20" s="12" t="s">
        <v>2</v>
      </c>
      <c r="C20" s="18">
        <v>4</v>
      </c>
      <c r="D20" s="16" t="s">
        <v>22</v>
      </c>
      <c r="E20" s="9"/>
      <c r="F20" s="9"/>
      <c r="G20" s="9"/>
      <c r="I20" s="12" t="s">
        <v>4</v>
      </c>
      <c r="J20" s="18">
        <v>4</v>
      </c>
      <c r="K20" s="16" t="s">
        <v>22</v>
      </c>
      <c r="L20" s="9"/>
      <c r="M20" s="9"/>
      <c r="N20" s="9"/>
    </row>
    <row r="21" spans="2:14" ht="25.15" customHeight="1" x14ac:dyDescent="0.2">
      <c r="B21" s="13"/>
      <c r="C21" s="14"/>
      <c r="D21" s="20" t="s">
        <v>20</v>
      </c>
      <c r="E21" s="10"/>
      <c r="F21" s="10"/>
      <c r="G21" s="10"/>
      <c r="I21" s="13"/>
      <c r="J21" s="14"/>
      <c r="K21" s="20" t="s">
        <v>20</v>
      </c>
      <c r="L21" s="10"/>
      <c r="M21" s="10"/>
      <c r="N21" s="10"/>
    </row>
    <row r="22" spans="2:14" ht="25.15" customHeight="1" thickBot="1" x14ac:dyDescent="0.25">
      <c r="B22" s="17"/>
      <c r="C22" s="19"/>
      <c r="D22" s="21" t="s">
        <v>21</v>
      </c>
      <c r="E22" s="11"/>
      <c r="F22" s="11"/>
      <c r="G22" s="11"/>
      <c r="I22" s="17"/>
      <c r="J22" s="19"/>
      <c r="K22" s="21" t="s">
        <v>21</v>
      </c>
      <c r="L22" s="11"/>
      <c r="M22" s="11"/>
      <c r="N22" s="11"/>
    </row>
    <row r="23" spans="2:14" ht="25.15" customHeight="1" x14ac:dyDescent="0.2">
      <c r="B23" s="12" t="s">
        <v>2</v>
      </c>
      <c r="C23" s="18">
        <v>3</v>
      </c>
      <c r="D23" s="16" t="s">
        <v>22</v>
      </c>
      <c r="E23" s="9"/>
      <c r="F23" s="9"/>
      <c r="G23" s="9"/>
      <c r="I23" s="12" t="s">
        <v>4</v>
      </c>
      <c r="J23" s="18">
        <v>3</v>
      </c>
      <c r="K23" s="16" t="s">
        <v>22</v>
      </c>
      <c r="L23" s="9"/>
      <c r="M23" s="9"/>
      <c r="N23" s="9"/>
    </row>
    <row r="24" spans="2:14" ht="25.15" customHeight="1" x14ac:dyDescent="0.2">
      <c r="B24" s="13"/>
      <c r="C24" s="14"/>
      <c r="D24" s="20" t="s">
        <v>20</v>
      </c>
      <c r="E24" s="10"/>
      <c r="F24" s="10"/>
      <c r="G24" s="10"/>
      <c r="I24" s="13"/>
      <c r="J24" s="14"/>
      <c r="K24" s="20" t="s">
        <v>20</v>
      </c>
      <c r="L24" s="10"/>
      <c r="M24" s="10"/>
      <c r="N24" s="10"/>
    </row>
    <row r="25" spans="2:14" ht="25.15" customHeight="1" thickBot="1" x14ac:dyDescent="0.25">
      <c r="B25" s="17"/>
      <c r="C25" s="19"/>
      <c r="D25" s="21" t="s">
        <v>21</v>
      </c>
      <c r="E25" s="11"/>
      <c r="F25" s="11"/>
      <c r="G25" s="11"/>
      <c r="I25" s="17"/>
      <c r="J25" s="19"/>
      <c r="K25" s="21" t="s">
        <v>21</v>
      </c>
      <c r="L25" s="11"/>
      <c r="M25" s="11"/>
      <c r="N25" s="11"/>
    </row>
    <row r="26" spans="2:14" ht="25.15" customHeight="1" x14ac:dyDescent="0.2">
      <c r="B26" s="12" t="s">
        <v>2</v>
      </c>
      <c r="C26" s="18">
        <v>2</v>
      </c>
      <c r="D26" s="16" t="s">
        <v>22</v>
      </c>
      <c r="E26" s="9"/>
      <c r="F26" s="9"/>
      <c r="G26" s="9"/>
      <c r="I26" s="12" t="s">
        <v>4</v>
      </c>
      <c r="J26" s="18">
        <v>2</v>
      </c>
      <c r="K26" s="16" t="s">
        <v>22</v>
      </c>
      <c r="L26" s="9"/>
      <c r="M26" s="9"/>
      <c r="N26" s="9"/>
    </row>
    <row r="27" spans="2:14" ht="25.15" customHeight="1" x14ac:dyDescent="0.2">
      <c r="B27" s="13"/>
      <c r="C27" s="14"/>
      <c r="D27" s="20" t="s">
        <v>20</v>
      </c>
      <c r="E27" s="10"/>
      <c r="F27" s="10"/>
      <c r="G27" s="10"/>
      <c r="I27" s="13"/>
      <c r="J27" s="14"/>
      <c r="K27" s="20" t="s">
        <v>20</v>
      </c>
      <c r="L27" s="10"/>
      <c r="M27" s="10"/>
      <c r="N27" s="10"/>
    </row>
    <row r="28" spans="2:14" ht="25.15" customHeight="1" thickBot="1" x14ac:dyDescent="0.25">
      <c r="B28" s="17"/>
      <c r="C28" s="19"/>
      <c r="D28" s="21" t="s">
        <v>21</v>
      </c>
      <c r="E28" s="11"/>
      <c r="F28" s="11"/>
      <c r="G28" s="11"/>
      <c r="I28" s="17"/>
      <c r="J28" s="19"/>
      <c r="K28" s="21" t="s">
        <v>21</v>
      </c>
      <c r="L28" s="11"/>
      <c r="M28" s="11"/>
      <c r="N28" s="11"/>
    </row>
    <row r="29" spans="2:14" ht="25.15" customHeight="1" x14ac:dyDescent="0.2">
      <c r="B29" s="12" t="s">
        <v>2</v>
      </c>
      <c r="C29" s="18">
        <v>1</v>
      </c>
      <c r="D29" s="16" t="s">
        <v>22</v>
      </c>
      <c r="E29" s="9"/>
      <c r="F29" s="9"/>
      <c r="G29" s="9"/>
      <c r="I29" s="12" t="s">
        <v>4</v>
      </c>
      <c r="J29" s="18">
        <v>1</v>
      </c>
      <c r="K29" s="16" t="s">
        <v>22</v>
      </c>
      <c r="L29" s="9"/>
      <c r="M29" s="9"/>
      <c r="N29" s="9"/>
    </row>
    <row r="30" spans="2:14" ht="25.15" customHeight="1" x14ac:dyDescent="0.2">
      <c r="B30" s="13"/>
      <c r="C30" s="14"/>
      <c r="D30" s="20" t="s">
        <v>20</v>
      </c>
      <c r="E30" s="10"/>
      <c r="F30" s="10"/>
      <c r="G30" s="10"/>
      <c r="I30" s="13"/>
      <c r="J30" s="14"/>
      <c r="K30" s="20" t="s">
        <v>20</v>
      </c>
      <c r="L30" s="10"/>
      <c r="M30" s="10"/>
      <c r="N30" s="10"/>
    </row>
    <row r="31" spans="2:14" ht="25.15" customHeight="1" thickBot="1" x14ac:dyDescent="0.25">
      <c r="B31" s="17"/>
      <c r="C31" s="19"/>
      <c r="D31" s="21" t="s">
        <v>21</v>
      </c>
      <c r="E31" s="11"/>
      <c r="F31" s="11"/>
      <c r="G31" s="11"/>
      <c r="I31" s="17"/>
      <c r="J31" s="19"/>
      <c r="K31" s="21" t="s">
        <v>21</v>
      </c>
      <c r="L31" s="11"/>
      <c r="M31" s="11"/>
      <c r="N31" s="11"/>
    </row>
    <row r="32" spans="2:14" ht="13.9" customHeight="1" thickBot="1" x14ac:dyDescent="0.25">
      <c r="B32" s="26"/>
      <c r="C32" s="27"/>
      <c r="D32" s="28"/>
      <c r="E32" s="29"/>
      <c r="F32" s="29"/>
      <c r="G32" s="29"/>
      <c r="I32" s="26"/>
      <c r="J32" s="27"/>
      <c r="K32" s="28"/>
      <c r="L32" s="29"/>
      <c r="M32" s="29"/>
      <c r="N32" s="29"/>
    </row>
    <row r="33" spans="2:14" ht="25.15" customHeight="1" x14ac:dyDescent="0.2">
      <c r="B33" s="12" t="s">
        <v>5</v>
      </c>
      <c r="C33" s="18">
        <v>1</v>
      </c>
      <c r="D33" s="16" t="s">
        <v>21</v>
      </c>
      <c r="E33" s="9"/>
      <c r="F33" s="9"/>
      <c r="G33" s="9"/>
      <c r="I33" s="12" t="s">
        <v>7</v>
      </c>
      <c r="J33" s="18">
        <v>1</v>
      </c>
      <c r="K33" s="16" t="s">
        <v>21</v>
      </c>
      <c r="L33" s="9"/>
      <c r="M33" s="9"/>
      <c r="N33" s="9"/>
    </row>
    <row r="34" spans="2:14" ht="25.15" customHeight="1" x14ac:dyDescent="0.2">
      <c r="B34" s="13"/>
      <c r="C34" s="14"/>
      <c r="D34" s="20" t="s">
        <v>20</v>
      </c>
      <c r="E34" s="10"/>
      <c r="F34" s="10"/>
      <c r="G34" s="10"/>
      <c r="I34" s="13"/>
      <c r="J34" s="14"/>
      <c r="K34" s="20" t="s">
        <v>20</v>
      </c>
      <c r="L34" s="10"/>
      <c r="M34" s="10"/>
      <c r="N34" s="10"/>
    </row>
    <row r="35" spans="2:14" ht="25.15" customHeight="1" thickBot="1" x14ac:dyDescent="0.25">
      <c r="B35" s="17"/>
      <c r="C35" s="19"/>
      <c r="D35" s="21" t="s">
        <v>22</v>
      </c>
      <c r="E35" s="11"/>
      <c r="F35" s="11"/>
      <c r="G35" s="11"/>
      <c r="I35" s="17"/>
      <c r="J35" s="19"/>
      <c r="K35" s="21" t="s">
        <v>22</v>
      </c>
      <c r="L35" s="11"/>
      <c r="M35" s="11"/>
      <c r="N35" s="11"/>
    </row>
    <row r="36" spans="2:14" ht="25.15" customHeight="1" x14ac:dyDescent="0.2">
      <c r="B36" s="12" t="s">
        <v>5</v>
      </c>
      <c r="C36" s="18">
        <v>2</v>
      </c>
      <c r="D36" s="16" t="s">
        <v>21</v>
      </c>
      <c r="E36" s="9"/>
      <c r="F36" s="9"/>
      <c r="G36" s="9"/>
      <c r="I36" s="12" t="s">
        <v>7</v>
      </c>
      <c r="J36" s="18">
        <v>2</v>
      </c>
      <c r="K36" s="16" t="s">
        <v>21</v>
      </c>
      <c r="L36" s="9"/>
      <c r="M36" s="9"/>
      <c r="N36" s="9"/>
    </row>
    <row r="37" spans="2:14" ht="25.15" customHeight="1" x14ac:dyDescent="0.2">
      <c r="B37" s="13"/>
      <c r="C37" s="14"/>
      <c r="D37" s="20" t="s">
        <v>20</v>
      </c>
      <c r="E37" s="10"/>
      <c r="F37" s="10"/>
      <c r="G37" s="10"/>
      <c r="I37" s="13"/>
      <c r="J37" s="14"/>
      <c r="K37" s="20" t="s">
        <v>20</v>
      </c>
      <c r="L37" s="10"/>
      <c r="M37" s="10"/>
      <c r="N37" s="10"/>
    </row>
    <row r="38" spans="2:14" ht="25.15" customHeight="1" thickBot="1" x14ac:dyDescent="0.25">
      <c r="B38" s="17"/>
      <c r="C38" s="19"/>
      <c r="D38" s="21" t="s">
        <v>22</v>
      </c>
      <c r="E38" s="11"/>
      <c r="F38" s="11"/>
      <c r="G38" s="11"/>
      <c r="I38" s="17"/>
      <c r="J38" s="19"/>
      <c r="K38" s="21" t="s">
        <v>22</v>
      </c>
      <c r="L38" s="11"/>
      <c r="M38" s="11"/>
      <c r="N38" s="11"/>
    </row>
    <row r="39" spans="2:14" ht="25.15" customHeight="1" x14ac:dyDescent="0.2">
      <c r="B39" s="12" t="s">
        <v>5</v>
      </c>
      <c r="C39" s="18">
        <v>3</v>
      </c>
      <c r="D39" s="16" t="s">
        <v>21</v>
      </c>
      <c r="E39" s="9"/>
      <c r="F39" s="9"/>
      <c r="G39" s="9"/>
      <c r="I39" s="12" t="s">
        <v>7</v>
      </c>
      <c r="J39" s="18">
        <v>3</v>
      </c>
      <c r="K39" s="16" t="s">
        <v>21</v>
      </c>
      <c r="L39" s="9"/>
      <c r="M39" s="9"/>
      <c r="N39" s="9"/>
    </row>
    <row r="40" spans="2:14" ht="25.15" customHeight="1" x14ac:dyDescent="0.2">
      <c r="B40" s="13"/>
      <c r="C40" s="14"/>
      <c r="D40" s="20" t="s">
        <v>20</v>
      </c>
      <c r="E40" s="10"/>
      <c r="F40" s="10"/>
      <c r="G40" s="10"/>
      <c r="I40" s="13"/>
      <c r="J40" s="14"/>
      <c r="K40" s="20" t="s">
        <v>20</v>
      </c>
      <c r="L40" s="10"/>
      <c r="M40" s="10"/>
      <c r="N40" s="10"/>
    </row>
    <row r="41" spans="2:14" ht="25.15" customHeight="1" thickBot="1" x14ac:dyDescent="0.25">
      <c r="B41" s="17"/>
      <c r="C41" s="19"/>
      <c r="D41" s="21" t="s">
        <v>22</v>
      </c>
      <c r="E41" s="11"/>
      <c r="F41" s="11"/>
      <c r="G41" s="11"/>
      <c r="I41" s="17"/>
      <c r="J41" s="19"/>
      <c r="K41" s="21" t="s">
        <v>22</v>
      </c>
      <c r="L41" s="11"/>
      <c r="M41" s="11"/>
      <c r="N41" s="11"/>
    </row>
    <row r="42" spans="2:14" ht="25.15" customHeight="1" x14ac:dyDescent="0.2">
      <c r="B42" s="12" t="s">
        <v>5</v>
      </c>
      <c r="C42" s="18">
        <v>4</v>
      </c>
      <c r="D42" s="16" t="s">
        <v>21</v>
      </c>
      <c r="E42" s="9"/>
      <c r="F42" s="9"/>
      <c r="G42" s="9"/>
      <c r="I42" s="12" t="s">
        <v>7</v>
      </c>
      <c r="J42" s="18">
        <v>4</v>
      </c>
      <c r="K42" s="16" t="s">
        <v>21</v>
      </c>
      <c r="L42" s="9"/>
      <c r="M42" s="9"/>
      <c r="N42" s="9"/>
    </row>
    <row r="43" spans="2:14" ht="25.15" customHeight="1" x14ac:dyDescent="0.2">
      <c r="B43" s="13"/>
      <c r="C43" s="14"/>
      <c r="D43" s="20" t="s">
        <v>20</v>
      </c>
      <c r="E43" s="10"/>
      <c r="F43" s="10"/>
      <c r="G43" s="10"/>
      <c r="I43" s="13"/>
      <c r="J43" s="14"/>
      <c r="K43" s="20" t="s">
        <v>20</v>
      </c>
      <c r="L43" s="10"/>
      <c r="M43" s="10"/>
      <c r="N43" s="10"/>
    </row>
    <row r="44" spans="2:14" ht="25.15" customHeight="1" thickBot="1" x14ac:dyDescent="0.25">
      <c r="B44" s="17"/>
      <c r="C44" s="19"/>
      <c r="D44" s="21" t="s">
        <v>22</v>
      </c>
      <c r="E44" s="11"/>
      <c r="F44" s="11"/>
      <c r="G44" s="11"/>
      <c r="I44" s="17"/>
      <c r="J44" s="19"/>
      <c r="K44" s="21" t="s">
        <v>22</v>
      </c>
      <c r="L44" s="11"/>
      <c r="M44" s="11"/>
      <c r="N44" s="11"/>
    </row>
    <row r="45" spans="2:14" ht="25.15" customHeight="1" x14ac:dyDescent="0.2">
      <c r="B45" s="12" t="s">
        <v>6</v>
      </c>
      <c r="C45" s="18">
        <v>4</v>
      </c>
      <c r="D45" s="16" t="s">
        <v>22</v>
      </c>
      <c r="E45" s="9"/>
      <c r="F45" s="9"/>
      <c r="G45" s="9"/>
      <c r="I45" s="12" t="s">
        <v>8</v>
      </c>
      <c r="J45" s="18">
        <v>4</v>
      </c>
      <c r="K45" s="16" t="s">
        <v>22</v>
      </c>
      <c r="L45" s="9"/>
      <c r="M45" s="9"/>
      <c r="N45" s="9"/>
    </row>
    <row r="46" spans="2:14" ht="25.15" customHeight="1" x14ac:dyDescent="0.2">
      <c r="B46" s="13"/>
      <c r="C46" s="14"/>
      <c r="D46" s="20" t="s">
        <v>20</v>
      </c>
      <c r="E46" s="10"/>
      <c r="F46" s="10"/>
      <c r="G46" s="10"/>
      <c r="I46" s="13"/>
      <c r="J46" s="14"/>
      <c r="K46" s="20" t="s">
        <v>20</v>
      </c>
      <c r="L46" s="10"/>
      <c r="M46" s="10"/>
      <c r="N46" s="10"/>
    </row>
    <row r="47" spans="2:14" ht="25.15" customHeight="1" thickBot="1" x14ac:dyDescent="0.25">
      <c r="B47" s="17"/>
      <c r="C47" s="19"/>
      <c r="D47" s="21" t="s">
        <v>21</v>
      </c>
      <c r="E47" s="11"/>
      <c r="F47" s="11"/>
      <c r="G47" s="11"/>
      <c r="I47" s="17"/>
      <c r="J47" s="19"/>
      <c r="K47" s="21" t="s">
        <v>21</v>
      </c>
      <c r="L47" s="11"/>
      <c r="M47" s="11"/>
      <c r="N47" s="11"/>
    </row>
    <row r="48" spans="2:14" ht="25.15" customHeight="1" x14ac:dyDescent="0.2">
      <c r="B48" s="12" t="s">
        <v>6</v>
      </c>
      <c r="C48" s="18">
        <v>3</v>
      </c>
      <c r="D48" s="16" t="s">
        <v>22</v>
      </c>
      <c r="E48" s="9"/>
      <c r="F48" s="9"/>
      <c r="G48" s="9"/>
      <c r="I48" s="12" t="s">
        <v>8</v>
      </c>
      <c r="J48" s="18">
        <v>3</v>
      </c>
      <c r="K48" s="16" t="s">
        <v>22</v>
      </c>
      <c r="L48" s="9"/>
      <c r="M48" s="9"/>
      <c r="N48" s="9"/>
    </row>
    <row r="49" spans="1:14" ht="25.15" customHeight="1" x14ac:dyDescent="0.2">
      <c r="B49" s="13"/>
      <c r="C49" s="14"/>
      <c r="D49" s="20" t="s">
        <v>20</v>
      </c>
      <c r="E49" s="10"/>
      <c r="F49" s="10"/>
      <c r="G49" s="10"/>
      <c r="I49" s="13"/>
      <c r="J49" s="14"/>
      <c r="K49" s="20" t="s">
        <v>20</v>
      </c>
      <c r="L49" s="10"/>
      <c r="M49" s="10"/>
      <c r="N49" s="10"/>
    </row>
    <row r="50" spans="1:14" ht="25.15" customHeight="1" thickBot="1" x14ac:dyDescent="0.25">
      <c r="B50" s="17"/>
      <c r="C50" s="19"/>
      <c r="D50" s="21" t="s">
        <v>21</v>
      </c>
      <c r="E50" s="11"/>
      <c r="F50" s="11"/>
      <c r="G50" s="11"/>
      <c r="I50" s="17"/>
      <c r="J50" s="19"/>
      <c r="K50" s="21" t="s">
        <v>21</v>
      </c>
      <c r="L50" s="11"/>
      <c r="M50" s="11"/>
      <c r="N50" s="11"/>
    </row>
    <row r="51" spans="1:14" ht="25.15" customHeight="1" x14ac:dyDescent="0.2">
      <c r="B51" s="12" t="s">
        <v>6</v>
      </c>
      <c r="C51" s="18">
        <v>2</v>
      </c>
      <c r="D51" s="16" t="s">
        <v>22</v>
      </c>
      <c r="E51" s="9"/>
      <c r="F51" s="9"/>
      <c r="G51" s="9"/>
      <c r="I51" s="12" t="s">
        <v>8</v>
      </c>
      <c r="J51" s="18">
        <v>2</v>
      </c>
      <c r="K51" s="16" t="s">
        <v>22</v>
      </c>
      <c r="L51" s="9"/>
      <c r="M51" s="9"/>
      <c r="N51" s="9"/>
    </row>
    <row r="52" spans="1:14" ht="25.15" customHeight="1" x14ac:dyDescent="0.2">
      <c r="B52" s="13"/>
      <c r="C52" s="14"/>
      <c r="D52" s="20" t="s">
        <v>20</v>
      </c>
      <c r="E52" s="10"/>
      <c r="F52" s="10"/>
      <c r="G52" s="10"/>
      <c r="I52" s="13"/>
      <c r="J52" s="14"/>
      <c r="K52" s="20" t="s">
        <v>20</v>
      </c>
      <c r="L52" s="10"/>
      <c r="M52" s="10"/>
      <c r="N52" s="10"/>
    </row>
    <row r="53" spans="1:14" ht="25.15" customHeight="1" thickBot="1" x14ac:dyDescent="0.25">
      <c r="A53" s="1"/>
      <c r="B53" s="17"/>
      <c r="C53" s="19"/>
      <c r="D53" s="21" t="s">
        <v>21</v>
      </c>
      <c r="E53" s="11"/>
      <c r="F53" s="11"/>
      <c r="G53" s="11"/>
      <c r="I53" s="17"/>
      <c r="J53" s="19"/>
      <c r="K53" s="21" t="s">
        <v>21</v>
      </c>
      <c r="L53" s="11"/>
      <c r="M53" s="11"/>
      <c r="N53" s="11"/>
    </row>
    <row r="54" spans="1:14" ht="25.15" customHeight="1" x14ac:dyDescent="0.2">
      <c r="A54" s="1"/>
      <c r="B54" s="12" t="s">
        <v>6</v>
      </c>
      <c r="C54" s="18">
        <v>1</v>
      </c>
      <c r="D54" s="16" t="s">
        <v>22</v>
      </c>
      <c r="E54" s="9"/>
      <c r="F54" s="9"/>
      <c r="G54" s="9"/>
      <c r="I54" s="12" t="s">
        <v>8</v>
      </c>
      <c r="J54" s="18">
        <v>1</v>
      </c>
      <c r="K54" s="16" t="s">
        <v>22</v>
      </c>
      <c r="L54" s="9"/>
      <c r="M54" s="9"/>
      <c r="N54" s="9"/>
    </row>
    <row r="55" spans="1:14" ht="25.15" customHeight="1" x14ac:dyDescent="0.2">
      <c r="A55" s="1"/>
      <c r="B55" s="13"/>
      <c r="C55" s="14"/>
      <c r="D55" s="20" t="s">
        <v>20</v>
      </c>
      <c r="E55" s="10"/>
      <c r="F55" s="10"/>
      <c r="G55" s="10"/>
      <c r="I55" s="13"/>
      <c r="J55" s="14"/>
      <c r="K55" s="20" t="s">
        <v>20</v>
      </c>
      <c r="L55" s="10"/>
      <c r="M55" s="10"/>
      <c r="N55" s="10"/>
    </row>
    <row r="56" spans="1:14" ht="25.15" customHeight="1" thickBot="1" x14ac:dyDescent="0.25">
      <c r="A56" s="15"/>
      <c r="B56" s="17"/>
      <c r="C56" s="19"/>
      <c r="D56" s="21" t="s">
        <v>21</v>
      </c>
      <c r="E56" s="11"/>
      <c r="F56" s="11"/>
      <c r="G56" s="11"/>
      <c r="I56" s="17"/>
      <c r="J56" s="19"/>
      <c r="K56" s="21" t="s">
        <v>21</v>
      </c>
      <c r="L56" s="11"/>
      <c r="M56" s="11"/>
      <c r="N56" s="11"/>
    </row>
    <row r="57" spans="1:14" ht="13.9" customHeight="1" thickBot="1" x14ac:dyDescent="0.25">
      <c r="A57" s="15"/>
      <c r="B57" s="26"/>
      <c r="C57" s="27"/>
      <c r="D57" s="28"/>
      <c r="E57" s="29"/>
      <c r="F57" s="29"/>
      <c r="G57" s="29"/>
      <c r="N57" s="29"/>
    </row>
    <row r="58" spans="1:14" ht="25.15" customHeight="1" x14ac:dyDescent="0.2">
      <c r="A58" s="15"/>
      <c r="B58" s="12" t="s">
        <v>9</v>
      </c>
      <c r="C58" s="18">
        <v>1</v>
      </c>
      <c r="D58" s="16" t="s">
        <v>21</v>
      </c>
      <c r="E58" s="9"/>
      <c r="F58" s="9"/>
      <c r="G58" s="9"/>
      <c r="I58" s="12" t="s">
        <v>10</v>
      </c>
      <c r="J58" s="18">
        <v>1</v>
      </c>
      <c r="K58" s="16" t="s">
        <v>21</v>
      </c>
      <c r="L58" s="9"/>
      <c r="M58" s="9"/>
      <c r="N58" s="9"/>
    </row>
    <row r="59" spans="1:14" ht="25.15" customHeight="1" x14ac:dyDescent="0.2">
      <c r="B59" s="13"/>
      <c r="C59" s="14"/>
      <c r="D59" s="20" t="s">
        <v>20</v>
      </c>
      <c r="E59" s="10"/>
      <c r="F59" s="10"/>
      <c r="G59" s="10"/>
      <c r="I59" s="13"/>
      <c r="J59" s="14"/>
      <c r="K59" s="20" t="s">
        <v>20</v>
      </c>
      <c r="L59" s="10"/>
      <c r="M59" s="10"/>
      <c r="N59" s="10"/>
    </row>
    <row r="60" spans="1:14" ht="25.15" customHeight="1" thickBot="1" x14ac:dyDescent="0.25">
      <c r="B60" s="17"/>
      <c r="C60" s="19"/>
      <c r="D60" s="21" t="s">
        <v>22</v>
      </c>
      <c r="E60" s="11"/>
      <c r="F60" s="11"/>
      <c r="G60" s="11"/>
      <c r="I60" s="17"/>
      <c r="J60" s="19"/>
      <c r="K60" s="21" t="s">
        <v>22</v>
      </c>
      <c r="L60" s="11"/>
      <c r="M60" s="11"/>
      <c r="N60" s="11"/>
    </row>
    <row r="61" spans="1:14" ht="25.15" customHeight="1" x14ac:dyDescent="0.2">
      <c r="B61" s="12" t="s">
        <v>9</v>
      </c>
      <c r="C61" s="18">
        <v>2</v>
      </c>
      <c r="D61" s="16" t="s">
        <v>21</v>
      </c>
      <c r="E61" s="9"/>
      <c r="F61" s="9"/>
      <c r="G61" s="9"/>
      <c r="I61" s="12" t="s">
        <v>10</v>
      </c>
      <c r="J61" s="18">
        <v>2</v>
      </c>
      <c r="K61" s="16" t="s">
        <v>21</v>
      </c>
      <c r="L61" s="9"/>
      <c r="M61" s="9"/>
      <c r="N61" s="9"/>
    </row>
    <row r="62" spans="1:14" ht="25.15" customHeight="1" x14ac:dyDescent="0.2">
      <c r="B62" s="13"/>
      <c r="C62" s="14"/>
      <c r="D62" s="20" t="s">
        <v>20</v>
      </c>
      <c r="E62" s="10"/>
      <c r="F62" s="10"/>
      <c r="G62" s="10"/>
      <c r="I62" s="13"/>
      <c r="J62" s="14"/>
      <c r="K62" s="20" t="s">
        <v>20</v>
      </c>
      <c r="L62" s="10"/>
      <c r="M62" s="10"/>
      <c r="N62" s="10"/>
    </row>
    <row r="63" spans="1:14" ht="25.15" customHeight="1" thickBot="1" x14ac:dyDescent="0.25">
      <c r="B63" s="17"/>
      <c r="C63" s="19"/>
      <c r="D63" s="21" t="s">
        <v>22</v>
      </c>
      <c r="E63" s="11"/>
      <c r="F63" s="11"/>
      <c r="G63" s="11"/>
      <c r="I63" s="17"/>
      <c r="J63" s="19"/>
      <c r="K63" s="21" t="s">
        <v>22</v>
      </c>
      <c r="L63" s="11"/>
      <c r="M63" s="11"/>
      <c r="N63" s="11"/>
    </row>
    <row r="64" spans="1:14" ht="25.15" customHeight="1" x14ac:dyDescent="0.2">
      <c r="B64" s="12" t="s">
        <v>9</v>
      </c>
      <c r="C64" s="18">
        <v>3</v>
      </c>
      <c r="D64" s="16" t="s">
        <v>21</v>
      </c>
      <c r="E64" s="9"/>
      <c r="F64" s="9"/>
      <c r="G64" s="9"/>
      <c r="I64" s="12" t="s">
        <v>10</v>
      </c>
      <c r="J64" s="18">
        <v>3</v>
      </c>
      <c r="K64" s="16" t="s">
        <v>21</v>
      </c>
      <c r="L64" s="9"/>
      <c r="M64" s="9"/>
      <c r="N64" s="9"/>
    </row>
    <row r="65" spans="2:14" ht="25.15" customHeight="1" x14ac:dyDescent="0.2">
      <c r="B65" s="13"/>
      <c r="C65" s="14"/>
      <c r="D65" s="20" t="s">
        <v>20</v>
      </c>
      <c r="E65" s="10"/>
      <c r="F65" s="10"/>
      <c r="G65" s="10"/>
      <c r="I65" s="13"/>
      <c r="J65" s="14"/>
      <c r="K65" s="20" t="s">
        <v>20</v>
      </c>
      <c r="L65" s="10"/>
      <c r="M65" s="10"/>
      <c r="N65" s="10"/>
    </row>
    <row r="66" spans="2:14" ht="25.15" customHeight="1" thickBot="1" x14ac:dyDescent="0.25">
      <c r="B66" s="17"/>
      <c r="C66" s="19"/>
      <c r="D66" s="21" t="s">
        <v>22</v>
      </c>
      <c r="E66" s="11"/>
      <c r="F66" s="11"/>
      <c r="G66" s="11"/>
      <c r="I66" s="17"/>
      <c r="J66" s="19"/>
      <c r="K66" s="21" t="s">
        <v>22</v>
      </c>
      <c r="L66" s="11"/>
      <c r="M66" s="11"/>
      <c r="N66" s="11"/>
    </row>
    <row r="67" spans="2:14" ht="25.15" customHeight="1" x14ac:dyDescent="0.2">
      <c r="B67" s="12" t="s">
        <v>9</v>
      </c>
      <c r="C67" s="18">
        <v>4</v>
      </c>
      <c r="D67" s="16" t="s">
        <v>21</v>
      </c>
      <c r="E67" s="9"/>
      <c r="F67" s="9"/>
      <c r="G67" s="9"/>
      <c r="I67" s="12" t="s">
        <v>10</v>
      </c>
      <c r="J67" s="18">
        <v>4</v>
      </c>
      <c r="K67" s="16" t="s">
        <v>21</v>
      </c>
      <c r="L67" s="9"/>
      <c r="M67" s="9"/>
      <c r="N67" s="9"/>
    </row>
    <row r="68" spans="2:14" ht="25.15" customHeight="1" x14ac:dyDescent="0.2">
      <c r="B68" s="13"/>
      <c r="C68" s="14"/>
      <c r="D68" s="20" t="s">
        <v>20</v>
      </c>
      <c r="E68" s="10"/>
      <c r="F68" s="10"/>
      <c r="G68" s="10"/>
      <c r="I68" s="13"/>
      <c r="J68" s="14"/>
      <c r="K68" s="20" t="s">
        <v>20</v>
      </c>
      <c r="L68" s="10"/>
      <c r="M68" s="10"/>
      <c r="N68" s="10"/>
    </row>
    <row r="69" spans="2:14" ht="25.15" customHeight="1" thickBot="1" x14ac:dyDescent="0.25">
      <c r="B69" s="17"/>
      <c r="C69" s="19"/>
      <c r="D69" s="21" t="s">
        <v>22</v>
      </c>
      <c r="E69" s="11"/>
      <c r="F69" s="11"/>
      <c r="G69" s="11"/>
      <c r="I69" s="17"/>
      <c r="J69" s="19"/>
      <c r="K69" s="21" t="s">
        <v>22</v>
      </c>
      <c r="L69" s="11"/>
      <c r="M69" s="11"/>
      <c r="N69" s="11"/>
    </row>
    <row r="70" spans="2:14" ht="25.15" customHeight="1" x14ac:dyDescent="0.2">
      <c r="B70" s="12" t="s">
        <v>0</v>
      </c>
      <c r="C70" s="18">
        <v>4</v>
      </c>
      <c r="D70" s="16" t="s">
        <v>22</v>
      </c>
      <c r="E70" s="9"/>
      <c r="F70" s="9"/>
      <c r="G70" s="9"/>
      <c r="I70" s="12" t="s">
        <v>11</v>
      </c>
      <c r="J70" s="18">
        <v>4</v>
      </c>
      <c r="K70" s="16" t="s">
        <v>22</v>
      </c>
      <c r="L70" s="9"/>
      <c r="M70" s="9"/>
      <c r="N70" s="9"/>
    </row>
    <row r="71" spans="2:14" ht="25.15" customHeight="1" x14ac:dyDescent="0.2">
      <c r="B71" s="13"/>
      <c r="C71" s="14"/>
      <c r="D71" s="20" t="s">
        <v>20</v>
      </c>
      <c r="E71" s="10"/>
      <c r="F71" s="10"/>
      <c r="G71" s="10"/>
      <c r="I71" s="13"/>
      <c r="J71" s="14"/>
      <c r="K71" s="20" t="s">
        <v>20</v>
      </c>
      <c r="L71" s="10"/>
      <c r="M71" s="10"/>
      <c r="N71" s="10"/>
    </row>
    <row r="72" spans="2:14" ht="25.15" customHeight="1" thickBot="1" x14ac:dyDescent="0.25">
      <c r="B72" s="17"/>
      <c r="C72" s="19"/>
      <c r="D72" s="21" t="s">
        <v>21</v>
      </c>
      <c r="E72" s="11"/>
      <c r="F72" s="11"/>
      <c r="G72" s="11"/>
      <c r="I72" s="17"/>
      <c r="J72" s="19"/>
      <c r="K72" s="21" t="s">
        <v>21</v>
      </c>
      <c r="L72" s="11"/>
      <c r="M72" s="11"/>
      <c r="N72" s="11"/>
    </row>
    <row r="73" spans="2:14" ht="25.15" customHeight="1" x14ac:dyDescent="0.2">
      <c r="B73" s="12" t="s">
        <v>0</v>
      </c>
      <c r="C73" s="18">
        <v>3</v>
      </c>
      <c r="D73" s="16" t="s">
        <v>22</v>
      </c>
      <c r="E73" s="9"/>
      <c r="F73" s="9"/>
      <c r="G73" s="9"/>
      <c r="I73" s="12" t="s">
        <v>11</v>
      </c>
      <c r="J73" s="18">
        <v>3</v>
      </c>
      <c r="K73" s="16" t="s">
        <v>22</v>
      </c>
      <c r="L73" s="9"/>
      <c r="M73" s="9"/>
      <c r="N73" s="9"/>
    </row>
    <row r="74" spans="2:14" ht="25.15" customHeight="1" x14ac:dyDescent="0.2">
      <c r="B74" s="13"/>
      <c r="C74" s="14"/>
      <c r="D74" s="20" t="s">
        <v>20</v>
      </c>
      <c r="E74" s="10"/>
      <c r="F74" s="10"/>
      <c r="G74" s="10"/>
      <c r="I74" s="13"/>
      <c r="J74" s="14"/>
      <c r="K74" s="20" t="s">
        <v>20</v>
      </c>
      <c r="L74" s="10"/>
      <c r="M74" s="10"/>
      <c r="N74" s="10"/>
    </row>
    <row r="75" spans="2:14" ht="25.15" customHeight="1" thickBot="1" x14ac:dyDescent="0.25">
      <c r="B75" s="17"/>
      <c r="C75" s="19"/>
      <c r="D75" s="21" t="s">
        <v>21</v>
      </c>
      <c r="E75" s="11"/>
      <c r="F75" s="11"/>
      <c r="G75" s="11"/>
      <c r="I75" s="17"/>
      <c r="J75" s="19"/>
      <c r="K75" s="21" t="s">
        <v>21</v>
      </c>
      <c r="L75" s="11"/>
      <c r="M75" s="11"/>
      <c r="N75" s="11"/>
    </row>
    <row r="76" spans="2:14" ht="25.15" customHeight="1" x14ac:dyDescent="0.2">
      <c r="B76" s="12" t="s">
        <v>0</v>
      </c>
      <c r="C76" s="18">
        <v>2</v>
      </c>
      <c r="D76" s="16" t="s">
        <v>22</v>
      </c>
      <c r="E76" s="9"/>
      <c r="F76" s="9"/>
      <c r="G76" s="9"/>
      <c r="I76" s="12" t="s">
        <v>11</v>
      </c>
      <c r="J76" s="18">
        <v>2</v>
      </c>
      <c r="K76" s="16" t="s">
        <v>22</v>
      </c>
      <c r="L76" s="9"/>
      <c r="M76" s="9"/>
      <c r="N76" s="9"/>
    </row>
    <row r="77" spans="2:14" ht="25.15" customHeight="1" x14ac:dyDescent="0.2">
      <c r="B77" s="13"/>
      <c r="C77" s="14"/>
      <c r="D77" s="20" t="s">
        <v>20</v>
      </c>
      <c r="E77" s="10"/>
      <c r="F77" s="10"/>
      <c r="G77" s="10"/>
      <c r="I77" s="13"/>
      <c r="J77" s="14"/>
      <c r="K77" s="20" t="s">
        <v>20</v>
      </c>
      <c r="L77" s="10"/>
      <c r="M77" s="10"/>
      <c r="N77" s="10"/>
    </row>
    <row r="78" spans="2:14" ht="25.15" customHeight="1" thickBot="1" x14ac:dyDescent="0.25">
      <c r="B78" s="17"/>
      <c r="C78" s="19"/>
      <c r="D78" s="21" t="s">
        <v>21</v>
      </c>
      <c r="E78" s="11"/>
      <c r="F78" s="11"/>
      <c r="G78" s="11"/>
      <c r="I78" s="17"/>
      <c r="J78" s="19"/>
      <c r="K78" s="21" t="s">
        <v>21</v>
      </c>
      <c r="L78" s="11"/>
      <c r="M78" s="11"/>
      <c r="N78" s="11"/>
    </row>
    <row r="79" spans="2:14" ht="25.15" customHeight="1" x14ac:dyDescent="0.2">
      <c r="B79" s="12" t="s">
        <v>0</v>
      </c>
      <c r="C79" s="18">
        <v>1</v>
      </c>
      <c r="D79" s="16" t="s">
        <v>22</v>
      </c>
      <c r="E79" s="9"/>
      <c r="F79" s="9"/>
      <c r="G79" s="9"/>
      <c r="I79" s="12" t="s">
        <v>11</v>
      </c>
      <c r="J79" s="18">
        <v>1</v>
      </c>
      <c r="K79" s="16" t="s">
        <v>22</v>
      </c>
      <c r="L79" s="9"/>
      <c r="M79" s="9"/>
      <c r="N79" s="9"/>
    </row>
    <row r="80" spans="2:14" ht="25.15" customHeight="1" x14ac:dyDescent="0.2">
      <c r="B80" s="13"/>
      <c r="C80" s="14"/>
      <c r="D80" s="20" t="s">
        <v>20</v>
      </c>
      <c r="E80" s="10"/>
      <c r="F80" s="10"/>
      <c r="G80" s="10"/>
      <c r="I80" s="13"/>
      <c r="J80" s="14"/>
      <c r="K80" s="20" t="s">
        <v>20</v>
      </c>
      <c r="L80" s="10"/>
      <c r="M80" s="10"/>
      <c r="N80" s="10"/>
    </row>
    <row r="81" spans="2:14" ht="25.15" customHeight="1" thickBot="1" x14ac:dyDescent="0.25">
      <c r="B81" s="17"/>
      <c r="C81" s="19"/>
      <c r="D81" s="21" t="s">
        <v>21</v>
      </c>
      <c r="E81" s="11"/>
      <c r="F81" s="11"/>
      <c r="G81" s="11"/>
      <c r="I81" s="17"/>
      <c r="J81" s="19"/>
      <c r="K81" s="21" t="s">
        <v>21</v>
      </c>
      <c r="L81" s="11"/>
      <c r="M81" s="11"/>
      <c r="N81" s="11"/>
    </row>
    <row r="82" spans="2:14" ht="13.9" customHeight="1" thickBot="1" x14ac:dyDescent="0.25">
      <c r="B82" s="26"/>
      <c r="C82" s="27"/>
      <c r="D82" s="28"/>
      <c r="E82" s="29"/>
      <c r="F82" s="29"/>
      <c r="G82" s="29"/>
      <c r="I82" s="26"/>
      <c r="J82" s="27"/>
      <c r="K82" s="28"/>
      <c r="L82" s="29"/>
      <c r="M82" s="29"/>
      <c r="N82" s="29"/>
    </row>
    <row r="83" spans="2:14" ht="25.15" customHeight="1" x14ac:dyDescent="0.2">
      <c r="B83" s="12" t="s">
        <v>12</v>
      </c>
      <c r="C83" s="18">
        <v>1</v>
      </c>
      <c r="D83" s="16" t="s">
        <v>21</v>
      </c>
      <c r="E83" s="9"/>
      <c r="F83" s="9"/>
      <c r="G83" s="9"/>
      <c r="I83" s="12" t="s">
        <v>14</v>
      </c>
      <c r="J83" s="18">
        <v>1</v>
      </c>
      <c r="K83" s="16" t="s">
        <v>21</v>
      </c>
      <c r="L83" s="9"/>
      <c r="M83" s="9"/>
      <c r="N83" s="9"/>
    </row>
    <row r="84" spans="2:14" ht="25.15" customHeight="1" x14ac:dyDescent="0.2">
      <c r="B84" s="13"/>
      <c r="C84" s="14"/>
      <c r="D84" s="20" t="s">
        <v>20</v>
      </c>
      <c r="E84" s="10"/>
      <c r="F84" s="10"/>
      <c r="G84" s="10"/>
      <c r="I84" s="13"/>
      <c r="J84" s="14"/>
      <c r="K84" s="20" t="s">
        <v>20</v>
      </c>
      <c r="L84" s="10"/>
      <c r="M84" s="10"/>
      <c r="N84" s="10"/>
    </row>
    <row r="85" spans="2:14" ht="25.15" customHeight="1" thickBot="1" x14ac:dyDescent="0.25">
      <c r="B85" s="17"/>
      <c r="C85" s="19"/>
      <c r="D85" s="21" t="s">
        <v>22</v>
      </c>
      <c r="E85" s="11"/>
      <c r="F85" s="11"/>
      <c r="G85" s="11"/>
      <c r="I85" s="17"/>
      <c r="J85" s="19"/>
      <c r="K85" s="21" t="s">
        <v>22</v>
      </c>
      <c r="L85" s="11"/>
      <c r="M85" s="11"/>
      <c r="N85" s="11"/>
    </row>
    <row r="86" spans="2:14" ht="25.15" customHeight="1" x14ac:dyDescent="0.2">
      <c r="B86" s="12" t="s">
        <v>12</v>
      </c>
      <c r="C86" s="18">
        <v>2</v>
      </c>
      <c r="D86" s="16" t="s">
        <v>21</v>
      </c>
      <c r="E86" s="9"/>
      <c r="F86" s="9"/>
      <c r="G86" s="9"/>
      <c r="I86" s="12" t="s">
        <v>14</v>
      </c>
      <c r="J86" s="18">
        <v>2</v>
      </c>
      <c r="K86" s="16" t="s">
        <v>21</v>
      </c>
      <c r="L86" s="9"/>
      <c r="M86" s="9"/>
      <c r="N86" s="9"/>
    </row>
    <row r="87" spans="2:14" ht="25.15" customHeight="1" x14ac:dyDescent="0.2">
      <c r="B87" s="13"/>
      <c r="C87" s="14"/>
      <c r="D87" s="20" t="s">
        <v>20</v>
      </c>
      <c r="E87" s="10"/>
      <c r="F87" s="10"/>
      <c r="G87" s="10"/>
      <c r="I87" s="13"/>
      <c r="J87" s="14"/>
      <c r="K87" s="20" t="s">
        <v>20</v>
      </c>
      <c r="L87" s="10"/>
      <c r="M87" s="10"/>
      <c r="N87" s="10"/>
    </row>
    <row r="88" spans="2:14" ht="25.15" customHeight="1" thickBot="1" x14ac:dyDescent="0.25">
      <c r="B88" s="17"/>
      <c r="C88" s="19"/>
      <c r="D88" s="21" t="s">
        <v>22</v>
      </c>
      <c r="E88" s="11"/>
      <c r="F88" s="11"/>
      <c r="G88" s="11"/>
      <c r="I88" s="17"/>
      <c r="J88" s="19"/>
      <c r="K88" s="21" t="s">
        <v>22</v>
      </c>
      <c r="L88" s="11"/>
      <c r="M88" s="11"/>
      <c r="N88" s="11"/>
    </row>
    <row r="89" spans="2:14" ht="25.15" customHeight="1" x14ac:dyDescent="0.2">
      <c r="B89" s="12" t="s">
        <v>12</v>
      </c>
      <c r="C89" s="18">
        <v>3</v>
      </c>
      <c r="D89" s="16" t="s">
        <v>21</v>
      </c>
      <c r="E89" s="9"/>
      <c r="F89" s="9"/>
      <c r="G89" s="9"/>
      <c r="I89" s="12" t="s">
        <v>14</v>
      </c>
      <c r="J89" s="18">
        <v>3</v>
      </c>
      <c r="K89" s="16" t="s">
        <v>21</v>
      </c>
      <c r="L89" s="9"/>
      <c r="M89" s="9"/>
      <c r="N89" s="9"/>
    </row>
    <row r="90" spans="2:14" ht="25.15" customHeight="1" x14ac:dyDescent="0.2">
      <c r="B90" s="13"/>
      <c r="C90" s="14"/>
      <c r="D90" s="20" t="s">
        <v>20</v>
      </c>
      <c r="E90" s="10"/>
      <c r="F90" s="10"/>
      <c r="G90" s="10"/>
      <c r="I90" s="13"/>
      <c r="J90" s="14"/>
      <c r="K90" s="20" t="s">
        <v>20</v>
      </c>
      <c r="L90" s="10"/>
      <c r="M90" s="10"/>
      <c r="N90" s="10"/>
    </row>
    <row r="91" spans="2:14" ht="25.15" customHeight="1" thickBot="1" x14ac:dyDescent="0.25">
      <c r="B91" s="17"/>
      <c r="C91" s="19"/>
      <c r="D91" s="21" t="s">
        <v>22</v>
      </c>
      <c r="E91" s="11"/>
      <c r="F91" s="11"/>
      <c r="G91" s="11"/>
      <c r="I91" s="17"/>
      <c r="J91" s="19"/>
      <c r="K91" s="21" t="s">
        <v>22</v>
      </c>
      <c r="L91" s="11"/>
      <c r="M91" s="11"/>
      <c r="N91" s="11"/>
    </row>
    <row r="92" spans="2:14" ht="25.15" customHeight="1" x14ac:dyDescent="0.2">
      <c r="B92" s="12" t="s">
        <v>12</v>
      </c>
      <c r="C92" s="18">
        <v>4</v>
      </c>
      <c r="D92" s="16" t="s">
        <v>21</v>
      </c>
      <c r="E92" s="9"/>
      <c r="F92" s="9"/>
      <c r="G92" s="9"/>
      <c r="I92" s="12" t="s">
        <v>14</v>
      </c>
      <c r="J92" s="18">
        <v>4</v>
      </c>
      <c r="K92" s="16" t="s">
        <v>21</v>
      </c>
      <c r="L92" s="9"/>
      <c r="M92" s="9"/>
      <c r="N92" s="9"/>
    </row>
    <row r="93" spans="2:14" ht="25.15" customHeight="1" x14ac:dyDescent="0.2">
      <c r="B93" s="13"/>
      <c r="C93" s="14"/>
      <c r="D93" s="20" t="s">
        <v>20</v>
      </c>
      <c r="E93" s="10"/>
      <c r="F93" s="10"/>
      <c r="G93" s="10"/>
      <c r="I93" s="13"/>
      <c r="J93" s="14"/>
      <c r="K93" s="20" t="s">
        <v>20</v>
      </c>
      <c r="L93" s="10"/>
      <c r="M93" s="10"/>
      <c r="N93" s="10"/>
    </row>
    <row r="94" spans="2:14" ht="25.15" customHeight="1" thickBot="1" x14ac:dyDescent="0.25">
      <c r="B94" s="17"/>
      <c r="C94" s="19"/>
      <c r="D94" s="21" t="s">
        <v>22</v>
      </c>
      <c r="E94" s="11"/>
      <c r="F94" s="11"/>
      <c r="G94" s="11"/>
      <c r="I94" s="17"/>
      <c r="J94" s="19"/>
      <c r="K94" s="21" t="s">
        <v>22</v>
      </c>
      <c r="L94" s="11"/>
      <c r="M94" s="11"/>
      <c r="N94" s="11"/>
    </row>
    <row r="95" spans="2:14" ht="25.15" customHeight="1" x14ac:dyDescent="0.2">
      <c r="B95" s="12" t="s">
        <v>13</v>
      </c>
      <c r="C95" s="18">
        <v>4</v>
      </c>
      <c r="D95" s="16" t="s">
        <v>22</v>
      </c>
      <c r="E95" s="9"/>
      <c r="F95" s="9"/>
      <c r="G95" s="9"/>
      <c r="I95" s="12" t="s">
        <v>15</v>
      </c>
      <c r="J95" s="18">
        <v>4</v>
      </c>
      <c r="K95" s="16" t="s">
        <v>22</v>
      </c>
      <c r="L95" s="9"/>
      <c r="M95" s="9"/>
      <c r="N95" s="9"/>
    </row>
    <row r="96" spans="2:14" ht="25.15" customHeight="1" x14ac:dyDescent="0.2">
      <c r="B96" s="13"/>
      <c r="C96" s="14"/>
      <c r="D96" s="20" t="s">
        <v>20</v>
      </c>
      <c r="E96" s="10"/>
      <c r="F96" s="10"/>
      <c r="G96" s="10"/>
      <c r="I96" s="13"/>
      <c r="J96" s="14"/>
      <c r="K96" s="20" t="s">
        <v>20</v>
      </c>
      <c r="L96" s="10"/>
      <c r="M96" s="10"/>
      <c r="N96" s="10"/>
    </row>
    <row r="97" spans="2:14" ht="25.15" customHeight="1" thickBot="1" x14ac:dyDescent="0.25">
      <c r="B97" s="17"/>
      <c r="C97" s="19"/>
      <c r="D97" s="21" t="s">
        <v>21</v>
      </c>
      <c r="E97" s="11"/>
      <c r="F97" s="11"/>
      <c r="G97" s="11"/>
      <c r="I97" s="17"/>
      <c r="J97" s="19"/>
      <c r="K97" s="21" t="s">
        <v>21</v>
      </c>
      <c r="L97" s="11"/>
      <c r="M97" s="11"/>
      <c r="N97" s="11"/>
    </row>
    <row r="98" spans="2:14" ht="25.15" customHeight="1" x14ac:dyDescent="0.2">
      <c r="B98" s="12" t="s">
        <v>13</v>
      </c>
      <c r="C98" s="18">
        <v>3</v>
      </c>
      <c r="D98" s="16" t="s">
        <v>22</v>
      </c>
      <c r="E98" s="9"/>
      <c r="F98" s="9"/>
      <c r="G98" s="9"/>
      <c r="I98" s="12" t="s">
        <v>15</v>
      </c>
      <c r="J98" s="18">
        <v>3</v>
      </c>
      <c r="K98" s="16" t="s">
        <v>22</v>
      </c>
      <c r="L98" s="9"/>
      <c r="M98" s="9"/>
      <c r="N98" s="9"/>
    </row>
    <row r="99" spans="2:14" ht="25.15" customHeight="1" x14ac:dyDescent="0.2">
      <c r="B99" s="13"/>
      <c r="C99" s="14"/>
      <c r="D99" s="20" t="s">
        <v>20</v>
      </c>
      <c r="E99" s="10"/>
      <c r="F99" s="10"/>
      <c r="G99" s="10"/>
      <c r="I99" s="13"/>
      <c r="J99" s="14"/>
      <c r="K99" s="20" t="s">
        <v>20</v>
      </c>
      <c r="L99" s="10"/>
      <c r="M99" s="10"/>
      <c r="N99" s="10"/>
    </row>
    <row r="100" spans="2:14" ht="25.15" customHeight="1" thickBot="1" x14ac:dyDescent="0.25">
      <c r="B100" s="17"/>
      <c r="C100" s="19"/>
      <c r="D100" s="21" t="s">
        <v>21</v>
      </c>
      <c r="E100" s="11"/>
      <c r="F100" s="11"/>
      <c r="G100" s="11"/>
      <c r="I100" s="17"/>
      <c r="J100" s="19"/>
      <c r="K100" s="21" t="s">
        <v>21</v>
      </c>
      <c r="L100" s="11"/>
      <c r="M100" s="11"/>
      <c r="N100" s="11"/>
    </row>
    <row r="101" spans="2:14" ht="25.15" customHeight="1" x14ac:dyDescent="0.2">
      <c r="B101" s="12" t="s">
        <v>13</v>
      </c>
      <c r="C101" s="18">
        <v>2</v>
      </c>
      <c r="D101" s="16" t="s">
        <v>22</v>
      </c>
      <c r="E101" s="9"/>
      <c r="F101" s="9"/>
      <c r="G101" s="9"/>
      <c r="I101" s="12" t="s">
        <v>15</v>
      </c>
      <c r="J101" s="18">
        <v>2</v>
      </c>
      <c r="K101" s="16" t="s">
        <v>22</v>
      </c>
      <c r="L101" s="9"/>
      <c r="M101" s="9"/>
      <c r="N101" s="9"/>
    </row>
    <row r="102" spans="2:14" ht="25.15" customHeight="1" x14ac:dyDescent="0.2">
      <c r="B102" s="13"/>
      <c r="C102" s="14"/>
      <c r="D102" s="20" t="s">
        <v>20</v>
      </c>
      <c r="E102" s="10"/>
      <c r="F102" s="10"/>
      <c r="G102" s="10"/>
      <c r="I102" s="13"/>
      <c r="J102" s="14"/>
      <c r="K102" s="20" t="s">
        <v>20</v>
      </c>
      <c r="L102" s="10"/>
      <c r="M102" s="10"/>
      <c r="N102" s="10"/>
    </row>
    <row r="103" spans="2:14" ht="25.15" customHeight="1" thickBot="1" x14ac:dyDescent="0.25">
      <c r="B103" s="17"/>
      <c r="C103" s="19"/>
      <c r="D103" s="21" t="s">
        <v>21</v>
      </c>
      <c r="E103" s="11"/>
      <c r="F103" s="11"/>
      <c r="G103" s="11"/>
      <c r="I103" s="17"/>
      <c r="J103" s="19"/>
      <c r="K103" s="21" t="s">
        <v>21</v>
      </c>
      <c r="L103" s="11"/>
      <c r="M103" s="11"/>
      <c r="N103" s="11"/>
    </row>
    <row r="104" spans="2:14" ht="25.15" customHeight="1" x14ac:dyDescent="0.2">
      <c r="B104" s="12" t="s">
        <v>13</v>
      </c>
      <c r="C104" s="18">
        <v>1</v>
      </c>
      <c r="D104" s="16" t="s">
        <v>22</v>
      </c>
      <c r="E104" s="9"/>
      <c r="F104" s="9"/>
      <c r="G104" s="9"/>
      <c r="I104" s="12" t="s">
        <v>15</v>
      </c>
      <c r="J104" s="18">
        <v>1</v>
      </c>
      <c r="K104" s="16" t="s">
        <v>22</v>
      </c>
      <c r="L104" s="9"/>
      <c r="M104" s="9"/>
      <c r="N104" s="9"/>
    </row>
    <row r="105" spans="2:14" ht="25.15" customHeight="1" x14ac:dyDescent="0.2">
      <c r="B105" s="13"/>
      <c r="C105" s="14"/>
      <c r="D105" s="20" t="s">
        <v>20</v>
      </c>
      <c r="E105" s="10"/>
      <c r="F105" s="10"/>
      <c r="G105" s="10"/>
      <c r="I105" s="13"/>
      <c r="J105" s="14"/>
      <c r="K105" s="20" t="s">
        <v>20</v>
      </c>
      <c r="L105" s="10"/>
      <c r="M105" s="10"/>
      <c r="N105" s="10"/>
    </row>
    <row r="106" spans="2:14" ht="25.15" customHeight="1" thickBot="1" x14ac:dyDescent="0.25">
      <c r="B106" s="17"/>
      <c r="C106" s="19"/>
      <c r="D106" s="21" t="s">
        <v>21</v>
      </c>
      <c r="E106" s="11"/>
      <c r="F106" s="11"/>
      <c r="G106" s="11"/>
      <c r="I106" s="17"/>
      <c r="J106" s="19"/>
      <c r="K106" s="21" t="s">
        <v>21</v>
      </c>
      <c r="L106" s="11"/>
      <c r="M106" s="11"/>
      <c r="N106" s="11"/>
    </row>
  </sheetData>
  <mergeCells count="2">
    <mergeCell ref="B7:C7"/>
    <mergeCell ref="I7:J7"/>
  </mergeCells>
  <printOptions verticalCentered="1"/>
  <pageMargins left="0.2" right="0.2" top="0.25" bottom="0.25" header="0" footer="0"/>
  <pageSetup scale="110" fitToHeight="4" orientation="portrait" r:id="rId1"/>
  <headerFooter>
    <oddFooter>&amp;R&amp;8&amp;D&amp;   &amp;Z&amp;F&amp;' page &amp;P&amp;' o&amp;Of &amp;N</oddFooter>
  </headerFooter>
  <rowBreaks count="3" manualBreakCount="3">
    <brk id="32" max="13" man="1"/>
    <brk id="57" max="13" man="1"/>
    <brk id="82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26"/>
  <sheetViews>
    <sheetView zoomScaleNormal="100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6" style="60" customWidth="1"/>
    <col min="6" max="22" width="11.140625" customWidth="1"/>
  </cols>
  <sheetData>
    <row r="1" spans="1:40" ht="15.75" x14ac:dyDescent="0.25">
      <c r="A1" s="6" t="s">
        <v>30</v>
      </c>
      <c r="B1" s="40">
        <v>2017</v>
      </c>
      <c r="C1" s="41"/>
      <c r="D1" s="8" t="s">
        <v>58</v>
      </c>
      <c r="E1" s="61"/>
      <c r="F1" s="8" t="s">
        <v>16</v>
      </c>
      <c r="G1" s="8"/>
      <c r="H1" s="75" t="s">
        <v>86</v>
      </c>
      <c r="T1" t="s">
        <v>57</v>
      </c>
    </row>
    <row r="2" spans="1:40" ht="14.45" customHeight="1" x14ac:dyDescent="0.25">
      <c r="A2" s="6"/>
      <c r="B2" s="7"/>
      <c r="C2" s="8"/>
      <c r="D2" s="8"/>
      <c r="E2" s="61"/>
      <c r="H2" s="75" t="s">
        <v>87</v>
      </c>
    </row>
    <row r="3" spans="1:40" ht="15" x14ac:dyDescent="0.25">
      <c r="B3" s="42" t="s">
        <v>31</v>
      </c>
      <c r="H3" s="75" t="s">
        <v>88</v>
      </c>
    </row>
    <row r="4" spans="1:40" ht="7.9" customHeight="1" x14ac:dyDescent="0.2">
      <c r="B4" s="5"/>
      <c r="M4" s="4"/>
      <c r="N4" s="4"/>
      <c r="O4" s="4"/>
      <c r="P4" s="4"/>
      <c r="Q4" s="4"/>
      <c r="R4" s="4"/>
      <c r="S4" s="4"/>
    </row>
    <row r="5" spans="1:40" x14ac:dyDescent="0.2">
      <c r="B5" s="2" t="s">
        <v>64</v>
      </c>
      <c r="M5" s="4"/>
      <c r="N5" s="4"/>
      <c r="O5" s="4"/>
      <c r="P5" s="4"/>
      <c r="Q5" s="4"/>
      <c r="R5" s="4"/>
      <c r="S5" s="4"/>
    </row>
    <row r="6" spans="1:40" ht="9" customHeight="1" x14ac:dyDescent="0.2">
      <c r="B6" s="5"/>
      <c r="M6" s="4"/>
      <c r="N6" s="4"/>
      <c r="O6" s="4"/>
      <c r="P6" s="4"/>
      <c r="Q6" s="4"/>
      <c r="R6" s="4"/>
      <c r="S6" s="4"/>
    </row>
    <row r="7" spans="1:40" x14ac:dyDescent="0.2">
      <c r="B7" s="2" t="s">
        <v>63</v>
      </c>
      <c r="M7" s="4"/>
      <c r="N7" s="4"/>
      <c r="O7" s="4"/>
      <c r="P7" s="4"/>
      <c r="Q7" s="4"/>
      <c r="R7" s="4"/>
      <c r="S7" s="4"/>
    </row>
    <row r="8" spans="1:40" s="54" customFormat="1" x14ac:dyDescent="0.2">
      <c r="D8" s="66" t="s">
        <v>59</v>
      </c>
      <c r="F8" s="54" t="s">
        <v>66</v>
      </c>
      <c r="G8" s="54" t="s">
        <v>68</v>
      </c>
      <c r="H8" s="54" t="s">
        <v>66</v>
      </c>
      <c r="I8" s="54" t="s">
        <v>70</v>
      </c>
      <c r="J8" s="54" t="s">
        <v>66</v>
      </c>
      <c r="K8" s="54" t="s">
        <v>66</v>
      </c>
      <c r="L8" s="54" t="s">
        <v>66</v>
      </c>
      <c r="M8" s="54" t="s">
        <v>66</v>
      </c>
      <c r="N8" s="54" t="s">
        <v>66</v>
      </c>
      <c r="O8" s="54" t="s">
        <v>66</v>
      </c>
      <c r="P8" s="54" t="s">
        <v>66</v>
      </c>
      <c r="Q8" s="54" t="s">
        <v>66</v>
      </c>
      <c r="R8" s="54" t="s">
        <v>66</v>
      </c>
      <c r="S8" s="54" t="s">
        <v>66</v>
      </c>
      <c r="T8" s="54" t="s">
        <v>66</v>
      </c>
      <c r="U8" s="54" t="s">
        <v>66</v>
      </c>
      <c r="V8" s="54" t="s">
        <v>66</v>
      </c>
    </row>
    <row r="9" spans="1:40" x14ac:dyDescent="0.2">
      <c r="B9" s="2"/>
      <c r="D9" s="66" t="s">
        <v>60</v>
      </c>
      <c r="F9" s="32">
        <v>42879</v>
      </c>
      <c r="G9" s="32">
        <v>42886</v>
      </c>
      <c r="H9" s="32">
        <v>42891</v>
      </c>
      <c r="I9" s="32">
        <v>42898</v>
      </c>
      <c r="J9" s="32">
        <v>42905</v>
      </c>
      <c r="K9" s="32">
        <v>42912</v>
      </c>
      <c r="L9" s="32">
        <v>42919</v>
      </c>
      <c r="M9" s="32">
        <v>42926</v>
      </c>
      <c r="N9" s="32">
        <v>42933</v>
      </c>
      <c r="O9" s="32">
        <v>42941</v>
      </c>
      <c r="P9" s="32">
        <v>42947</v>
      </c>
      <c r="Q9" s="32">
        <v>42955</v>
      </c>
      <c r="R9" s="32">
        <v>42962</v>
      </c>
      <c r="S9" s="32">
        <v>42968</v>
      </c>
      <c r="T9" s="32">
        <v>42975</v>
      </c>
      <c r="U9" s="32">
        <v>42983</v>
      </c>
      <c r="V9" s="32">
        <v>42990</v>
      </c>
    </row>
    <row r="10" spans="1:40" ht="15.6" customHeight="1" x14ac:dyDescent="0.2">
      <c r="B10" s="5"/>
      <c r="D10" s="66" t="s">
        <v>62</v>
      </c>
      <c r="F10" s="22">
        <v>144</v>
      </c>
      <c r="G10" s="22">
        <v>151</v>
      </c>
      <c r="H10" s="22">
        <v>156</v>
      </c>
      <c r="I10" s="22">
        <v>163</v>
      </c>
      <c r="J10" s="22">
        <v>170</v>
      </c>
      <c r="K10" s="22">
        <v>177</v>
      </c>
      <c r="L10" s="22">
        <v>184</v>
      </c>
      <c r="M10" s="22">
        <v>191</v>
      </c>
      <c r="N10" s="22">
        <v>198</v>
      </c>
      <c r="O10" s="22">
        <v>206</v>
      </c>
      <c r="P10" s="22">
        <v>212</v>
      </c>
      <c r="Q10" s="22">
        <v>220</v>
      </c>
      <c r="R10" s="22">
        <v>227</v>
      </c>
      <c r="S10" s="22">
        <v>233</v>
      </c>
      <c r="T10" s="22">
        <v>240</v>
      </c>
      <c r="U10" s="22">
        <v>248</v>
      </c>
      <c r="V10" s="22">
        <v>255</v>
      </c>
      <c r="X10" s="22">
        <v>144</v>
      </c>
      <c r="Y10" s="22">
        <v>151</v>
      </c>
      <c r="Z10" s="22">
        <v>156</v>
      </c>
      <c r="AA10" s="22">
        <v>163</v>
      </c>
      <c r="AB10" s="22">
        <v>170</v>
      </c>
      <c r="AC10" s="22">
        <v>177</v>
      </c>
      <c r="AD10" s="22">
        <v>184</v>
      </c>
      <c r="AE10" s="22">
        <v>191</v>
      </c>
      <c r="AF10" s="22">
        <v>198</v>
      </c>
      <c r="AG10" s="22">
        <v>206</v>
      </c>
      <c r="AH10" s="22">
        <v>212</v>
      </c>
      <c r="AI10" s="22">
        <v>220</v>
      </c>
      <c r="AJ10" s="22">
        <v>227</v>
      </c>
      <c r="AK10" s="22">
        <v>233</v>
      </c>
      <c r="AL10" s="22">
        <v>240</v>
      </c>
      <c r="AM10" s="22">
        <v>248</v>
      </c>
      <c r="AN10" s="22">
        <v>255</v>
      </c>
    </row>
    <row r="11" spans="1:40" ht="22.15" customHeight="1" x14ac:dyDescent="0.2">
      <c r="B11" s="5"/>
      <c r="D11" s="66" t="s">
        <v>61</v>
      </c>
      <c r="F11" s="31" t="s">
        <v>67</v>
      </c>
      <c r="G11" s="37"/>
      <c r="H11" s="31" t="s">
        <v>69</v>
      </c>
      <c r="I11" s="31" t="s">
        <v>71</v>
      </c>
      <c r="J11" s="31" t="s">
        <v>72</v>
      </c>
      <c r="K11" s="31" t="s">
        <v>75</v>
      </c>
      <c r="L11" s="31" t="s">
        <v>76</v>
      </c>
      <c r="M11" s="31" t="s">
        <v>77</v>
      </c>
      <c r="N11" s="31" t="s">
        <v>78</v>
      </c>
      <c r="O11" s="31" t="s">
        <v>79</v>
      </c>
      <c r="P11" s="31" t="s">
        <v>80</v>
      </c>
      <c r="Q11" s="31" t="s">
        <v>81</v>
      </c>
      <c r="R11" s="31" t="s">
        <v>82</v>
      </c>
      <c r="S11" s="31" t="s">
        <v>80</v>
      </c>
      <c r="T11" s="31" t="s">
        <v>83</v>
      </c>
      <c r="U11" s="31" t="s">
        <v>80</v>
      </c>
      <c r="V11" s="31" t="s">
        <v>84</v>
      </c>
    </row>
    <row r="12" spans="1:40" ht="20.45" customHeight="1" thickBot="1" x14ac:dyDescent="0.25">
      <c r="B12" s="78" t="s">
        <v>17</v>
      </c>
      <c r="C12" s="78"/>
      <c r="D12" s="22" t="s">
        <v>23</v>
      </c>
      <c r="E12" s="61" t="s">
        <v>56</v>
      </c>
      <c r="F12" s="22" t="s">
        <v>32</v>
      </c>
      <c r="G12" s="22" t="s">
        <v>32</v>
      </c>
      <c r="H12" s="22" t="s">
        <v>32</v>
      </c>
      <c r="I12" s="22" t="s">
        <v>32</v>
      </c>
      <c r="J12" s="22" t="s">
        <v>32</v>
      </c>
      <c r="K12" s="22" t="s">
        <v>32</v>
      </c>
      <c r="L12" s="22" t="s">
        <v>32</v>
      </c>
      <c r="M12" s="22" t="s">
        <v>32</v>
      </c>
      <c r="N12" s="22" t="s">
        <v>32</v>
      </c>
      <c r="O12" s="22" t="s">
        <v>32</v>
      </c>
      <c r="P12" s="22" t="s">
        <v>32</v>
      </c>
      <c r="Q12" s="22" t="s">
        <v>32</v>
      </c>
      <c r="R12" s="22" t="s">
        <v>32</v>
      </c>
      <c r="S12" s="22" t="s">
        <v>32</v>
      </c>
      <c r="T12" s="22" t="s">
        <v>32</v>
      </c>
      <c r="U12" s="22" t="s">
        <v>32</v>
      </c>
      <c r="V12" s="22" t="s">
        <v>32</v>
      </c>
    </row>
    <row r="13" spans="1:40" ht="19.899999999999999" customHeight="1" x14ac:dyDescent="0.2">
      <c r="A13" s="43"/>
      <c r="B13" s="12" t="s">
        <v>1</v>
      </c>
      <c r="C13" s="18">
        <v>1</v>
      </c>
      <c r="D13" s="44" t="s">
        <v>21</v>
      </c>
      <c r="E13" s="62" t="s">
        <v>45</v>
      </c>
      <c r="F13" s="47">
        <v>13</v>
      </c>
      <c r="G13" s="9">
        <v>18</v>
      </c>
      <c r="H13" s="9">
        <v>26</v>
      </c>
      <c r="I13" s="9">
        <v>32</v>
      </c>
      <c r="J13" s="9">
        <v>42</v>
      </c>
      <c r="K13" s="9">
        <v>56</v>
      </c>
      <c r="L13" s="9">
        <v>64</v>
      </c>
      <c r="M13" s="9">
        <v>85</v>
      </c>
      <c r="N13" s="9">
        <v>85</v>
      </c>
      <c r="O13" s="9">
        <v>103</v>
      </c>
      <c r="P13" s="9">
        <v>113</v>
      </c>
      <c r="Q13" s="9">
        <v>132</v>
      </c>
      <c r="R13" s="9">
        <v>146</v>
      </c>
      <c r="S13" s="9">
        <v>153</v>
      </c>
      <c r="T13" s="9">
        <v>156</v>
      </c>
      <c r="U13" s="9">
        <v>156</v>
      </c>
      <c r="V13" s="9">
        <v>158</v>
      </c>
    </row>
    <row r="14" spans="1:40" ht="19.899999999999999" customHeight="1" x14ac:dyDescent="0.2">
      <c r="A14" s="43"/>
      <c r="C14" s="38"/>
      <c r="D14" s="45" t="s">
        <v>20</v>
      </c>
      <c r="E14" s="63" t="s">
        <v>45</v>
      </c>
      <c r="F14" s="48">
        <v>13</v>
      </c>
      <c r="G14" s="10">
        <v>18</v>
      </c>
      <c r="H14" s="10">
        <v>27</v>
      </c>
      <c r="I14" s="10">
        <v>31.5</v>
      </c>
      <c r="J14" s="10">
        <v>45</v>
      </c>
      <c r="K14" s="10">
        <v>49</v>
      </c>
      <c r="L14" s="10">
        <v>58</v>
      </c>
      <c r="M14" s="10">
        <v>68</v>
      </c>
      <c r="N14" s="10">
        <v>76</v>
      </c>
      <c r="O14" s="10">
        <v>89</v>
      </c>
      <c r="P14" s="10">
        <v>95</v>
      </c>
      <c r="Q14" s="10">
        <v>111</v>
      </c>
      <c r="R14" s="10">
        <v>118</v>
      </c>
      <c r="S14" s="10">
        <v>130</v>
      </c>
      <c r="T14" s="10">
        <v>131</v>
      </c>
      <c r="U14" s="10">
        <v>134</v>
      </c>
      <c r="V14" s="10">
        <v>142</v>
      </c>
      <c r="X14">
        <f>AVERAGE(F13:F15)</f>
        <v>12.333333333333334</v>
      </c>
      <c r="Y14">
        <f t="shared" ref="Y14:AN14" si="0">AVERAGE(G13:G15)</f>
        <v>17</v>
      </c>
      <c r="Z14">
        <f t="shared" si="0"/>
        <v>25</v>
      </c>
      <c r="AA14">
        <f t="shared" si="0"/>
        <v>30.166666666666668</v>
      </c>
      <c r="AB14">
        <f t="shared" si="0"/>
        <v>39.333333333333336</v>
      </c>
      <c r="AC14">
        <f t="shared" si="0"/>
        <v>47</v>
      </c>
      <c r="AD14">
        <f t="shared" si="0"/>
        <v>57.666666666666664</v>
      </c>
      <c r="AE14">
        <f t="shared" si="0"/>
        <v>68</v>
      </c>
      <c r="AF14">
        <f t="shared" si="0"/>
        <v>74.666666666666671</v>
      </c>
      <c r="AG14">
        <f t="shared" si="0"/>
        <v>87</v>
      </c>
      <c r="AH14">
        <f t="shared" si="0"/>
        <v>92</v>
      </c>
      <c r="AI14">
        <f t="shared" si="0"/>
        <v>105</v>
      </c>
      <c r="AJ14">
        <f t="shared" si="0"/>
        <v>118</v>
      </c>
      <c r="AK14">
        <f t="shared" si="0"/>
        <v>127.33333333333333</v>
      </c>
      <c r="AL14">
        <f t="shared" si="0"/>
        <v>129.66666666666666</v>
      </c>
      <c r="AM14">
        <f t="shared" si="0"/>
        <v>133.33333333333334</v>
      </c>
      <c r="AN14">
        <f t="shared" si="0"/>
        <v>139</v>
      </c>
    </row>
    <row r="15" spans="1:40" ht="19.899999999999999" customHeight="1" thickBot="1" x14ac:dyDescent="0.25">
      <c r="A15" s="43"/>
      <c r="B15" s="17"/>
      <c r="C15" s="19"/>
      <c r="D15" s="46" t="s">
        <v>22</v>
      </c>
      <c r="E15" s="64" t="s">
        <v>45</v>
      </c>
      <c r="F15" s="49">
        <v>11</v>
      </c>
      <c r="G15" s="11">
        <v>15</v>
      </c>
      <c r="H15" s="11">
        <v>22</v>
      </c>
      <c r="I15" s="11">
        <v>27</v>
      </c>
      <c r="J15" s="11">
        <v>31</v>
      </c>
      <c r="K15" s="11">
        <v>36</v>
      </c>
      <c r="L15" s="11">
        <v>51</v>
      </c>
      <c r="M15" s="11">
        <v>51</v>
      </c>
      <c r="N15" s="11">
        <v>63</v>
      </c>
      <c r="O15" s="11">
        <v>69</v>
      </c>
      <c r="P15" s="11">
        <v>68</v>
      </c>
      <c r="Q15" s="11">
        <v>72</v>
      </c>
      <c r="R15" s="11">
        <v>90</v>
      </c>
      <c r="S15" s="11">
        <v>99</v>
      </c>
      <c r="T15" s="11">
        <v>102</v>
      </c>
      <c r="U15" s="11">
        <v>110</v>
      </c>
      <c r="V15" s="11">
        <v>117</v>
      </c>
    </row>
    <row r="16" spans="1:40" ht="19.899999999999999" customHeight="1" x14ac:dyDescent="0.2">
      <c r="A16" s="43"/>
      <c r="B16" s="12" t="s">
        <v>1</v>
      </c>
      <c r="C16" s="18">
        <v>2</v>
      </c>
      <c r="D16" s="16" t="s">
        <v>21</v>
      </c>
      <c r="E16" s="62" t="s">
        <v>46</v>
      </c>
      <c r="F16" s="9">
        <v>12</v>
      </c>
      <c r="G16" s="9">
        <v>22</v>
      </c>
      <c r="H16" s="9">
        <v>24</v>
      </c>
      <c r="I16" s="9">
        <v>34</v>
      </c>
      <c r="J16" s="9">
        <v>48</v>
      </c>
      <c r="K16" s="9">
        <v>56</v>
      </c>
      <c r="L16" s="9">
        <v>69</v>
      </c>
      <c r="M16" s="9">
        <v>75</v>
      </c>
      <c r="N16" s="9">
        <v>72</v>
      </c>
      <c r="O16" s="9">
        <v>95</v>
      </c>
      <c r="P16" s="9">
        <v>110</v>
      </c>
      <c r="Q16" s="9">
        <v>125</v>
      </c>
      <c r="R16" s="9">
        <v>126</v>
      </c>
      <c r="S16" s="9">
        <v>136</v>
      </c>
      <c r="T16" s="9">
        <v>135</v>
      </c>
      <c r="U16" s="9">
        <v>141</v>
      </c>
      <c r="V16" s="9">
        <v>141</v>
      </c>
    </row>
    <row r="17" spans="1:40" ht="19.899999999999999" customHeight="1" x14ac:dyDescent="0.2">
      <c r="A17" s="43"/>
      <c r="B17" s="13"/>
      <c r="C17" s="38"/>
      <c r="D17" s="20" t="s">
        <v>20</v>
      </c>
      <c r="E17" s="63" t="s">
        <v>46</v>
      </c>
      <c r="F17" s="10">
        <v>13</v>
      </c>
      <c r="G17" s="10">
        <v>20</v>
      </c>
      <c r="H17" s="10">
        <v>25</v>
      </c>
      <c r="I17" s="10">
        <v>31</v>
      </c>
      <c r="J17" s="10">
        <v>40</v>
      </c>
      <c r="K17" s="10">
        <v>52</v>
      </c>
      <c r="L17" s="10">
        <v>57</v>
      </c>
      <c r="M17" s="10">
        <v>65</v>
      </c>
      <c r="N17" s="10">
        <v>58</v>
      </c>
      <c r="O17" s="10">
        <v>83</v>
      </c>
      <c r="P17" s="10">
        <v>96</v>
      </c>
      <c r="Q17" s="10">
        <v>119</v>
      </c>
      <c r="R17" s="10">
        <v>132</v>
      </c>
      <c r="S17" s="10">
        <v>141</v>
      </c>
      <c r="T17" s="10">
        <v>142</v>
      </c>
      <c r="U17" s="10">
        <v>153</v>
      </c>
      <c r="V17" s="10">
        <v>153</v>
      </c>
      <c r="X17">
        <f>AVERAGE(F16:F18)</f>
        <v>11.333333333333334</v>
      </c>
      <c r="Y17">
        <f t="shared" ref="Y17" si="1">AVERAGE(G16:G18)</f>
        <v>20</v>
      </c>
      <c r="Z17">
        <f t="shared" ref="Z17" si="2">AVERAGE(H16:H18)</f>
        <v>24</v>
      </c>
      <c r="AA17">
        <f t="shared" ref="AA17" si="3">AVERAGE(I16:I18)</f>
        <v>30.333333333333332</v>
      </c>
      <c r="AB17">
        <f t="shared" ref="AB17" si="4">AVERAGE(J16:J18)</f>
        <v>41.666666666666664</v>
      </c>
      <c r="AC17">
        <f t="shared" ref="AC17" si="5">AVERAGE(K16:K18)</f>
        <v>51.666666666666664</v>
      </c>
      <c r="AD17">
        <f t="shared" ref="AD17" si="6">AVERAGE(L16:L18)</f>
        <v>59.666666666666664</v>
      </c>
      <c r="AE17">
        <f t="shared" ref="AE17" si="7">AVERAGE(M16:M18)</f>
        <v>66</v>
      </c>
      <c r="AF17">
        <f t="shared" ref="AF17" si="8">AVERAGE(N16:N18)</f>
        <v>67</v>
      </c>
      <c r="AG17">
        <f t="shared" ref="AG17" si="9">AVERAGE(O16:O18)</f>
        <v>87.666666666666671</v>
      </c>
      <c r="AH17">
        <f t="shared" ref="AH17" si="10">AVERAGE(P16:P18)</f>
        <v>102.33333333333333</v>
      </c>
      <c r="AI17">
        <f t="shared" ref="AI17" si="11">AVERAGE(Q16:Q18)</f>
        <v>119.33333333333333</v>
      </c>
      <c r="AJ17">
        <f t="shared" ref="AJ17" si="12">AVERAGE(R16:R18)</f>
        <v>126.66666666666667</v>
      </c>
      <c r="AK17">
        <f t="shared" ref="AK17" si="13">AVERAGE(S16:S18)</f>
        <v>135.66666666666666</v>
      </c>
      <c r="AL17">
        <f t="shared" ref="AL17" si="14">AVERAGE(T16:T18)</f>
        <v>133.66666666666666</v>
      </c>
      <c r="AM17">
        <f t="shared" ref="AM17" si="15">AVERAGE(U16:U18)</f>
        <v>144.33333333333334</v>
      </c>
      <c r="AN17">
        <f t="shared" ref="AN17" si="16">AVERAGE(V16:V18)</f>
        <v>144.33333333333334</v>
      </c>
    </row>
    <row r="18" spans="1:40" ht="19.899999999999999" customHeight="1" thickBot="1" x14ac:dyDescent="0.25">
      <c r="A18" s="43"/>
      <c r="B18" s="17"/>
      <c r="C18" s="19"/>
      <c r="D18" s="21" t="s">
        <v>22</v>
      </c>
      <c r="E18" s="64" t="s">
        <v>46</v>
      </c>
      <c r="F18" s="11">
        <v>9</v>
      </c>
      <c r="G18" s="11">
        <v>18</v>
      </c>
      <c r="H18" s="11">
        <v>23</v>
      </c>
      <c r="I18" s="11">
        <v>26</v>
      </c>
      <c r="J18" s="11">
        <v>37</v>
      </c>
      <c r="K18" s="11">
        <v>47</v>
      </c>
      <c r="L18" s="11">
        <v>53</v>
      </c>
      <c r="M18" s="11">
        <v>58</v>
      </c>
      <c r="N18" s="11">
        <v>71</v>
      </c>
      <c r="O18" s="11">
        <v>85</v>
      </c>
      <c r="P18" s="11">
        <v>101</v>
      </c>
      <c r="Q18" s="11">
        <v>114</v>
      </c>
      <c r="R18" s="11">
        <v>122</v>
      </c>
      <c r="S18" s="11">
        <v>130</v>
      </c>
      <c r="T18" s="11">
        <v>124</v>
      </c>
      <c r="U18" s="11">
        <v>139</v>
      </c>
      <c r="V18" s="11">
        <v>139</v>
      </c>
    </row>
    <row r="19" spans="1:40" ht="19.899999999999999" customHeight="1" x14ac:dyDescent="0.2">
      <c r="A19" s="43"/>
      <c r="B19" s="12" t="s">
        <v>1</v>
      </c>
      <c r="C19" s="18">
        <v>3</v>
      </c>
      <c r="D19" s="16" t="s">
        <v>21</v>
      </c>
      <c r="E19" s="62" t="s">
        <v>44</v>
      </c>
      <c r="F19" s="9">
        <v>13</v>
      </c>
      <c r="G19" s="9">
        <v>19</v>
      </c>
      <c r="H19" s="9">
        <v>26</v>
      </c>
      <c r="I19" s="9">
        <v>21</v>
      </c>
      <c r="J19" s="9">
        <v>42</v>
      </c>
      <c r="K19" s="9">
        <v>50</v>
      </c>
      <c r="L19" s="9">
        <v>57</v>
      </c>
      <c r="M19" s="9">
        <v>76</v>
      </c>
      <c r="N19" s="9">
        <v>72</v>
      </c>
      <c r="O19" s="9">
        <v>84</v>
      </c>
      <c r="P19" s="9">
        <v>93</v>
      </c>
      <c r="Q19" s="9">
        <v>106</v>
      </c>
      <c r="R19" s="9">
        <v>118</v>
      </c>
      <c r="S19" s="9">
        <v>119</v>
      </c>
      <c r="T19" s="9">
        <v>116</v>
      </c>
      <c r="U19" s="9">
        <v>126</v>
      </c>
      <c r="V19" s="9">
        <v>127</v>
      </c>
    </row>
    <row r="20" spans="1:40" ht="19.899999999999999" customHeight="1" x14ac:dyDescent="0.2">
      <c r="A20" s="43"/>
      <c r="B20" s="13"/>
      <c r="C20" s="38"/>
      <c r="D20" s="20" t="s">
        <v>20</v>
      </c>
      <c r="E20" s="63" t="s">
        <v>44</v>
      </c>
      <c r="F20" s="10">
        <v>11</v>
      </c>
      <c r="G20" s="10">
        <v>15</v>
      </c>
      <c r="H20" s="10">
        <v>24</v>
      </c>
      <c r="I20" s="10">
        <v>27</v>
      </c>
      <c r="J20" s="10">
        <v>38</v>
      </c>
      <c r="K20" s="10">
        <v>47</v>
      </c>
      <c r="L20" s="10">
        <v>58</v>
      </c>
      <c r="M20" s="10">
        <v>70</v>
      </c>
      <c r="N20" s="10">
        <v>85</v>
      </c>
      <c r="O20" s="10">
        <v>79</v>
      </c>
      <c r="P20" s="10">
        <v>96</v>
      </c>
      <c r="Q20" s="10">
        <v>110</v>
      </c>
      <c r="R20" s="10">
        <v>122</v>
      </c>
      <c r="S20" s="10">
        <v>128</v>
      </c>
      <c r="T20" s="10">
        <v>132</v>
      </c>
      <c r="U20" s="10">
        <v>139</v>
      </c>
      <c r="V20" s="10">
        <v>137</v>
      </c>
      <c r="X20">
        <f>AVERAGE(F19:F21)</f>
        <v>12</v>
      </c>
      <c r="Y20">
        <f t="shared" ref="Y20" si="17">AVERAGE(G19:G21)</f>
        <v>16</v>
      </c>
      <c r="Z20">
        <f t="shared" ref="Z20" si="18">AVERAGE(H19:H21)</f>
        <v>24.666666666666668</v>
      </c>
      <c r="AA20">
        <f t="shared" ref="AA20" si="19">AVERAGE(I19:I21)</f>
        <v>24.833333333333332</v>
      </c>
      <c r="AB20">
        <f t="shared" ref="AB20" si="20">AVERAGE(J19:J21)</f>
        <v>39.666666666666664</v>
      </c>
      <c r="AC20">
        <f t="shared" ref="AC20" si="21">AVERAGE(K19:K21)</f>
        <v>49</v>
      </c>
      <c r="AD20">
        <f t="shared" ref="AD20" si="22">AVERAGE(L19:L21)</f>
        <v>58.666666666666664</v>
      </c>
      <c r="AE20">
        <f t="shared" ref="AE20" si="23">AVERAGE(M19:M21)</f>
        <v>72.333333333333329</v>
      </c>
      <c r="AF20">
        <f t="shared" ref="AF20" si="24">AVERAGE(N19:N21)</f>
        <v>83.666666666666671</v>
      </c>
      <c r="AG20">
        <f t="shared" ref="AG20" si="25">AVERAGE(O19:O21)</f>
        <v>81.666666666666671</v>
      </c>
      <c r="AH20">
        <f t="shared" ref="AH20" si="26">AVERAGE(P19:P21)</f>
        <v>93.666666666666671</v>
      </c>
      <c r="AI20">
        <f t="shared" ref="AI20" si="27">AVERAGE(Q19:Q21)</f>
        <v>106.33333333333333</v>
      </c>
      <c r="AJ20">
        <f t="shared" ref="AJ20" si="28">AVERAGE(R19:R21)</f>
        <v>118.66666666666667</v>
      </c>
      <c r="AK20">
        <f t="shared" ref="AK20" si="29">AVERAGE(S19:S21)</f>
        <v>123.66666666666667</v>
      </c>
      <c r="AL20">
        <f t="shared" ref="AL20" si="30">AVERAGE(T19:T21)</f>
        <v>122</v>
      </c>
      <c r="AM20">
        <f t="shared" ref="AM20" si="31">AVERAGE(U19:U21)</f>
        <v>131</v>
      </c>
      <c r="AN20">
        <f t="shared" ref="AN20" si="32">AVERAGE(V19:V21)</f>
        <v>131.66666666666666</v>
      </c>
    </row>
    <row r="21" spans="1:40" ht="19.899999999999999" customHeight="1" thickBot="1" x14ac:dyDescent="0.25">
      <c r="A21" s="43"/>
      <c r="B21" s="17"/>
      <c r="C21" s="19"/>
      <c r="D21" s="21" t="s">
        <v>22</v>
      </c>
      <c r="E21" s="64" t="s">
        <v>44</v>
      </c>
      <c r="F21" s="11">
        <v>12</v>
      </c>
      <c r="G21" s="11">
        <v>14</v>
      </c>
      <c r="H21" s="11">
        <v>24</v>
      </c>
      <c r="I21" s="11">
        <v>26.5</v>
      </c>
      <c r="J21" s="11">
        <v>39</v>
      </c>
      <c r="K21" s="11">
        <v>50</v>
      </c>
      <c r="L21" s="11">
        <v>61</v>
      </c>
      <c r="M21" s="11">
        <v>71</v>
      </c>
      <c r="N21" s="11">
        <v>94</v>
      </c>
      <c r="O21" s="11">
        <v>82</v>
      </c>
      <c r="P21" s="11">
        <v>92</v>
      </c>
      <c r="Q21" s="11">
        <v>103</v>
      </c>
      <c r="R21" s="11">
        <v>116</v>
      </c>
      <c r="S21" s="11">
        <v>124</v>
      </c>
      <c r="T21" s="11">
        <v>118</v>
      </c>
      <c r="U21" s="11">
        <v>128</v>
      </c>
      <c r="V21" s="11">
        <v>131</v>
      </c>
    </row>
    <row r="22" spans="1:40" ht="19.899999999999999" customHeight="1" x14ac:dyDescent="0.2">
      <c r="A22" s="43"/>
      <c r="B22" s="12" t="s">
        <v>1</v>
      </c>
      <c r="C22" s="18">
        <v>4</v>
      </c>
      <c r="D22" s="16" t="s">
        <v>21</v>
      </c>
      <c r="E22" s="62" t="s">
        <v>37</v>
      </c>
      <c r="F22" s="9">
        <v>10</v>
      </c>
      <c r="G22" s="9">
        <v>13</v>
      </c>
      <c r="H22" s="9">
        <v>23</v>
      </c>
      <c r="I22" s="9">
        <v>20</v>
      </c>
      <c r="J22" s="9">
        <v>37</v>
      </c>
      <c r="K22" s="9">
        <v>41</v>
      </c>
      <c r="L22" s="9">
        <v>44</v>
      </c>
      <c r="M22" s="9">
        <v>44</v>
      </c>
      <c r="N22" s="9">
        <v>84</v>
      </c>
      <c r="O22" s="9">
        <v>55</v>
      </c>
      <c r="P22" s="9">
        <v>58</v>
      </c>
      <c r="Q22" s="9">
        <v>66</v>
      </c>
      <c r="R22" s="9">
        <v>70</v>
      </c>
      <c r="S22" s="9">
        <v>73</v>
      </c>
      <c r="T22" s="9">
        <v>68</v>
      </c>
      <c r="U22" s="9">
        <v>72</v>
      </c>
      <c r="V22" s="9">
        <v>73</v>
      </c>
    </row>
    <row r="23" spans="1:40" ht="19.899999999999999" customHeight="1" x14ac:dyDescent="0.2">
      <c r="A23" s="43"/>
      <c r="B23" s="13"/>
      <c r="C23" s="38"/>
      <c r="D23" s="20" t="s">
        <v>20</v>
      </c>
      <c r="E23" s="63" t="s">
        <v>37</v>
      </c>
      <c r="F23" s="10">
        <v>9</v>
      </c>
      <c r="G23" s="10">
        <v>16</v>
      </c>
      <c r="H23" s="10">
        <v>21</v>
      </c>
      <c r="I23" s="10">
        <v>27.5</v>
      </c>
      <c r="J23" s="10">
        <v>31</v>
      </c>
      <c r="K23" s="10">
        <v>33</v>
      </c>
      <c r="L23" s="10">
        <v>36</v>
      </c>
      <c r="M23" s="10">
        <v>42</v>
      </c>
      <c r="N23" s="10">
        <v>84</v>
      </c>
      <c r="O23" s="10">
        <v>55</v>
      </c>
      <c r="P23" s="10">
        <v>38</v>
      </c>
      <c r="Q23" s="10">
        <v>51</v>
      </c>
      <c r="R23" s="10">
        <v>52</v>
      </c>
      <c r="S23" s="10">
        <v>49</v>
      </c>
      <c r="T23" s="10">
        <v>49</v>
      </c>
      <c r="U23" s="10">
        <v>54</v>
      </c>
      <c r="V23" s="10">
        <v>55</v>
      </c>
      <c r="X23">
        <f>AVERAGE(F22:F24)</f>
        <v>10.333333333333334</v>
      </c>
      <c r="Y23">
        <f t="shared" ref="Y23" si="33">AVERAGE(G22:G24)</f>
        <v>14.333333333333334</v>
      </c>
      <c r="Z23">
        <f t="shared" ref="Z23" si="34">AVERAGE(H22:H24)</f>
        <v>23</v>
      </c>
      <c r="AA23">
        <f t="shared" ref="AA23" si="35">AVERAGE(I22:I24)</f>
        <v>23.833333333333332</v>
      </c>
      <c r="AB23">
        <f t="shared" ref="AB23" si="36">AVERAGE(J22:J24)</f>
        <v>34.666666666666664</v>
      </c>
      <c r="AC23">
        <f t="shared" ref="AC23" si="37">AVERAGE(K22:K24)</f>
        <v>37.333333333333336</v>
      </c>
      <c r="AD23">
        <f t="shared" ref="AD23" si="38">AVERAGE(L22:L24)</f>
        <v>42</v>
      </c>
      <c r="AE23">
        <f t="shared" ref="AE23" si="39">AVERAGE(M22:M24)</f>
        <v>45.333333333333336</v>
      </c>
      <c r="AF23">
        <f t="shared" ref="AF23" si="40">AVERAGE(N22:N24)</f>
        <v>80.666666666666671</v>
      </c>
      <c r="AG23">
        <f t="shared" ref="AG23" si="41">AVERAGE(O22:O24)</f>
        <v>58.666666666666664</v>
      </c>
      <c r="AH23">
        <f t="shared" ref="AH23" si="42">AVERAGE(P22:P24)</f>
        <v>54.666666666666664</v>
      </c>
      <c r="AI23">
        <f t="shared" ref="AI23" si="43">AVERAGE(Q22:Q24)</f>
        <v>63.333333333333336</v>
      </c>
      <c r="AJ23">
        <f t="shared" ref="AJ23" si="44">AVERAGE(R22:R24)</f>
        <v>66.666666666666671</v>
      </c>
      <c r="AK23">
        <f t="shared" ref="AK23" si="45">AVERAGE(S22:S24)</f>
        <v>66.666666666666671</v>
      </c>
      <c r="AL23">
        <f t="shared" ref="AL23" si="46">AVERAGE(T22:T24)</f>
        <v>63.333333333333336</v>
      </c>
      <c r="AM23">
        <f t="shared" ref="AM23" si="47">AVERAGE(U22:U24)</f>
        <v>67</v>
      </c>
      <c r="AN23">
        <f t="shared" ref="AN23" si="48">AVERAGE(V22:V24)</f>
        <v>67</v>
      </c>
    </row>
    <row r="24" spans="1:40" ht="19.899999999999999" customHeight="1" thickBot="1" x14ac:dyDescent="0.25">
      <c r="A24" s="43"/>
      <c r="B24" s="17"/>
      <c r="C24" s="19"/>
      <c r="D24" s="21" t="s">
        <v>22</v>
      </c>
      <c r="E24" s="64" t="s">
        <v>37</v>
      </c>
      <c r="F24" s="11">
        <v>12</v>
      </c>
      <c r="G24" s="11">
        <v>14</v>
      </c>
      <c r="H24" s="11">
        <v>25</v>
      </c>
      <c r="I24" s="11">
        <v>24</v>
      </c>
      <c r="J24" s="11">
        <v>36</v>
      </c>
      <c r="K24" s="11">
        <v>38</v>
      </c>
      <c r="L24" s="11">
        <v>46</v>
      </c>
      <c r="M24" s="11">
        <v>50</v>
      </c>
      <c r="N24" s="11">
        <v>74</v>
      </c>
      <c r="O24" s="11">
        <v>66</v>
      </c>
      <c r="P24" s="11">
        <v>68</v>
      </c>
      <c r="Q24" s="11">
        <v>73</v>
      </c>
      <c r="R24" s="11">
        <v>78</v>
      </c>
      <c r="S24" s="11">
        <v>78</v>
      </c>
      <c r="T24" s="11">
        <v>73</v>
      </c>
      <c r="U24" s="11">
        <v>75</v>
      </c>
      <c r="V24" s="11">
        <v>73</v>
      </c>
    </row>
    <row r="25" spans="1:40" ht="19.899999999999999" customHeight="1" x14ac:dyDescent="0.2">
      <c r="A25" s="43"/>
      <c r="B25" s="12" t="s">
        <v>2</v>
      </c>
      <c r="C25" s="18">
        <v>4</v>
      </c>
      <c r="D25" s="16" t="s">
        <v>22</v>
      </c>
      <c r="E25" s="62" t="s">
        <v>40</v>
      </c>
      <c r="F25" s="9">
        <v>10</v>
      </c>
      <c r="G25" s="9">
        <v>14</v>
      </c>
      <c r="H25" s="9">
        <v>23</v>
      </c>
      <c r="I25" s="9">
        <v>20</v>
      </c>
      <c r="J25" s="9">
        <v>37</v>
      </c>
      <c r="K25" s="9">
        <v>43</v>
      </c>
      <c r="L25" s="9">
        <v>53</v>
      </c>
      <c r="M25" s="9">
        <v>61</v>
      </c>
      <c r="N25" s="9">
        <v>66</v>
      </c>
      <c r="O25" s="9">
        <v>83</v>
      </c>
      <c r="P25" s="9">
        <v>93</v>
      </c>
      <c r="Q25" s="9">
        <v>110</v>
      </c>
      <c r="R25" s="9">
        <v>118</v>
      </c>
      <c r="S25" s="9">
        <v>124</v>
      </c>
      <c r="T25" s="9">
        <v>125</v>
      </c>
      <c r="U25" s="9">
        <v>127</v>
      </c>
      <c r="V25" s="9">
        <v>127</v>
      </c>
    </row>
    <row r="26" spans="1:40" ht="19.899999999999999" customHeight="1" x14ac:dyDescent="0.2">
      <c r="A26" s="43"/>
      <c r="B26" s="13"/>
      <c r="C26" s="38"/>
      <c r="D26" s="20" t="s">
        <v>20</v>
      </c>
      <c r="E26" s="63" t="s">
        <v>40</v>
      </c>
      <c r="F26" s="10">
        <v>11</v>
      </c>
      <c r="G26" s="10">
        <v>13</v>
      </c>
      <c r="H26" s="10">
        <v>23</v>
      </c>
      <c r="I26" s="10">
        <v>28</v>
      </c>
      <c r="J26" s="10">
        <v>38</v>
      </c>
      <c r="K26" s="10">
        <v>52</v>
      </c>
      <c r="L26" s="10">
        <v>66</v>
      </c>
      <c r="M26" s="10">
        <v>77</v>
      </c>
      <c r="N26" s="10">
        <v>90</v>
      </c>
      <c r="O26" s="10">
        <v>98</v>
      </c>
      <c r="P26" s="10">
        <v>111</v>
      </c>
      <c r="Q26" s="10">
        <v>125</v>
      </c>
      <c r="R26" s="10">
        <v>129</v>
      </c>
      <c r="S26" s="10">
        <v>132</v>
      </c>
      <c r="T26" s="10">
        <v>133</v>
      </c>
      <c r="U26" s="10">
        <v>127</v>
      </c>
      <c r="V26" s="10">
        <v>125</v>
      </c>
      <c r="X26">
        <f>AVERAGE(F25:F27)</f>
        <v>10.666666666666666</v>
      </c>
      <c r="Y26">
        <f t="shared" ref="Y26" si="49">AVERAGE(G25:G27)</f>
        <v>13.666666666666666</v>
      </c>
      <c r="Z26">
        <f t="shared" ref="Z26" si="50">AVERAGE(H25:H27)</f>
        <v>22</v>
      </c>
      <c r="AA26">
        <f t="shared" ref="AA26" si="51">AVERAGE(I25:I27)</f>
        <v>25</v>
      </c>
      <c r="AB26">
        <f t="shared" ref="AB26" si="52">AVERAGE(J25:J27)</f>
        <v>38.666666666666664</v>
      </c>
      <c r="AC26">
        <f t="shared" ref="AC26" si="53">AVERAGE(K25:K27)</f>
        <v>50.333333333333336</v>
      </c>
      <c r="AD26">
        <f t="shared" ref="AD26" si="54">AVERAGE(L25:L27)</f>
        <v>63.666666666666664</v>
      </c>
      <c r="AE26">
        <f t="shared" ref="AE26" si="55">AVERAGE(M25:M27)</f>
        <v>75</v>
      </c>
      <c r="AF26">
        <f t="shared" ref="AF26" si="56">AVERAGE(N25:N27)</f>
        <v>86</v>
      </c>
      <c r="AG26">
        <f t="shared" ref="AG26" si="57">AVERAGE(O25:O27)</f>
        <v>98.333333333333329</v>
      </c>
      <c r="AH26">
        <f t="shared" ref="AH26" si="58">AVERAGE(P25:P27)</f>
        <v>109.33333333333333</v>
      </c>
      <c r="AI26">
        <f t="shared" ref="AI26" si="59">AVERAGE(Q25:Q27)</f>
        <v>121</v>
      </c>
      <c r="AJ26">
        <f t="shared" ref="AJ26" si="60">AVERAGE(R25:R27)</f>
        <v>129.33333333333334</v>
      </c>
      <c r="AK26">
        <f t="shared" ref="AK26" si="61">AVERAGE(S25:S27)</f>
        <v>133.66666666666666</v>
      </c>
      <c r="AL26">
        <f t="shared" ref="AL26" si="62">AVERAGE(T25:T27)</f>
        <v>133.33333333333334</v>
      </c>
      <c r="AM26">
        <f t="shared" ref="AM26" si="63">AVERAGE(U25:U27)</f>
        <v>132.33333333333334</v>
      </c>
      <c r="AN26">
        <f t="shared" ref="AN26" si="64">AVERAGE(V25:V27)</f>
        <v>132</v>
      </c>
    </row>
    <row r="27" spans="1:40" ht="19.899999999999999" customHeight="1" thickBot="1" x14ac:dyDescent="0.25">
      <c r="A27" s="43"/>
      <c r="B27" s="17"/>
      <c r="C27" s="19"/>
      <c r="D27" s="21" t="s">
        <v>21</v>
      </c>
      <c r="E27" s="64" t="s">
        <v>40</v>
      </c>
      <c r="F27" s="11">
        <v>11</v>
      </c>
      <c r="G27" s="11">
        <v>14</v>
      </c>
      <c r="H27" s="11">
        <v>20</v>
      </c>
      <c r="I27" s="11">
        <v>27</v>
      </c>
      <c r="J27" s="11">
        <v>41</v>
      </c>
      <c r="K27" s="11">
        <v>56</v>
      </c>
      <c r="L27" s="11">
        <v>72</v>
      </c>
      <c r="M27" s="11">
        <v>87</v>
      </c>
      <c r="N27" s="11">
        <v>102</v>
      </c>
      <c r="O27" s="11">
        <v>114</v>
      </c>
      <c r="P27" s="11">
        <v>124</v>
      </c>
      <c r="Q27" s="11">
        <v>128</v>
      </c>
      <c r="R27" s="11">
        <v>141</v>
      </c>
      <c r="S27" s="11">
        <v>145</v>
      </c>
      <c r="T27" s="11">
        <v>142</v>
      </c>
      <c r="U27" s="11">
        <v>143</v>
      </c>
      <c r="V27" s="11">
        <v>144</v>
      </c>
    </row>
    <row r="28" spans="1:40" ht="19.899999999999999" customHeight="1" x14ac:dyDescent="0.2">
      <c r="A28" s="43"/>
      <c r="B28" s="12" t="s">
        <v>2</v>
      </c>
      <c r="C28" s="18">
        <v>3</v>
      </c>
      <c r="D28" s="16" t="s">
        <v>22</v>
      </c>
      <c r="E28" s="62" t="s">
        <v>42</v>
      </c>
      <c r="F28" s="9">
        <v>11</v>
      </c>
      <c r="G28" s="9">
        <v>18</v>
      </c>
      <c r="H28" s="9">
        <v>23</v>
      </c>
      <c r="I28" s="9">
        <v>34</v>
      </c>
      <c r="J28" s="9">
        <v>39</v>
      </c>
      <c r="K28" s="9">
        <v>53</v>
      </c>
      <c r="L28" s="9">
        <v>66</v>
      </c>
      <c r="M28" s="9">
        <v>75</v>
      </c>
      <c r="N28" s="9">
        <v>84</v>
      </c>
      <c r="O28" s="9">
        <v>92</v>
      </c>
      <c r="P28" s="9">
        <v>103</v>
      </c>
      <c r="Q28" s="9">
        <v>115</v>
      </c>
      <c r="R28" s="9">
        <v>115</v>
      </c>
      <c r="S28" s="9">
        <v>109</v>
      </c>
      <c r="T28" s="9">
        <v>105</v>
      </c>
      <c r="U28" s="9">
        <v>106</v>
      </c>
      <c r="V28" s="9">
        <v>102</v>
      </c>
    </row>
    <row r="29" spans="1:40" ht="19.899999999999999" customHeight="1" x14ac:dyDescent="0.2">
      <c r="A29" s="43"/>
      <c r="B29" s="13"/>
      <c r="C29" s="38"/>
      <c r="D29" s="20" t="s">
        <v>20</v>
      </c>
      <c r="E29" s="63" t="s">
        <v>42</v>
      </c>
      <c r="F29" s="10">
        <v>10</v>
      </c>
      <c r="G29" s="10">
        <v>13</v>
      </c>
      <c r="H29" s="10">
        <v>25</v>
      </c>
      <c r="I29" s="10">
        <v>29.5</v>
      </c>
      <c r="J29" s="10">
        <v>43</v>
      </c>
      <c r="K29" s="10">
        <v>55</v>
      </c>
      <c r="L29" s="10">
        <v>74</v>
      </c>
      <c r="M29" s="10">
        <v>83</v>
      </c>
      <c r="N29" s="10">
        <v>104</v>
      </c>
      <c r="O29" s="10">
        <v>109</v>
      </c>
      <c r="P29" s="10">
        <v>116</v>
      </c>
      <c r="Q29" s="10">
        <v>124</v>
      </c>
      <c r="R29" s="10">
        <v>130</v>
      </c>
      <c r="S29" s="10">
        <v>129</v>
      </c>
      <c r="T29" s="10">
        <v>125</v>
      </c>
      <c r="U29" s="10">
        <v>125</v>
      </c>
      <c r="V29" s="10">
        <v>124</v>
      </c>
      <c r="X29">
        <f>AVERAGE(F28:F30)</f>
        <v>10</v>
      </c>
      <c r="Y29">
        <f t="shared" ref="Y29" si="65">AVERAGE(G28:G30)</f>
        <v>16.333333333333332</v>
      </c>
      <c r="Z29">
        <f t="shared" ref="Z29" si="66">AVERAGE(H28:H30)</f>
        <v>23.333333333333332</v>
      </c>
      <c r="AA29">
        <f t="shared" ref="AA29" si="67">AVERAGE(I28:I30)</f>
        <v>33.833333333333336</v>
      </c>
      <c r="AB29">
        <f t="shared" ref="AB29" si="68">AVERAGE(J28:J30)</f>
        <v>41</v>
      </c>
      <c r="AC29">
        <f t="shared" ref="AC29" si="69">AVERAGE(K28:K30)</f>
        <v>52.333333333333336</v>
      </c>
      <c r="AD29">
        <f t="shared" ref="AD29" si="70">AVERAGE(L28:L30)</f>
        <v>67.333333333333329</v>
      </c>
      <c r="AE29">
        <f t="shared" ref="AE29" si="71">AVERAGE(M28:M30)</f>
        <v>74.333333333333329</v>
      </c>
      <c r="AF29">
        <f t="shared" ref="AF29" si="72">AVERAGE(N28:N30)</f>
        <v>86.666666666666671</v>
      </c>
      <c r="AG29">
        <f t="shared" ref="AG29" si="73">AVERAGE(O28:O30)</f>
        <v>96.333333333333329</v>
      </c>
      <c r="AH29">
        <f t="shared" ref="AH29" si="74">AVERAGE(P28:P30)</f>
        <v>103.66666666666667</v>
      </c>
      <c r="AI29">
        <f t="shared" ref="AI29" si="75">AVERAGE(Q28:Q30)</f>
        <v>109</v>
      </c>
      <c r="AJ29">
        <f t="shared" ref="AJ29" si="76">AVERAGE(R28:R30)</f>
        <v>113.33333333333333</v>
      </c>
      <c r="AK29">
        <f t="shared" ref="AK29" si="77">AVERAGE(S28:S30)</f>
        <v>109</v>
      </c>
      <c r="AL29">
        <f t="shared" ref="AL29" si="78">AVERAGE(T28:T30)</f>
        <v>107</v>
      </c>
      <c r="AM29">
        <f t="shared" ref="AM29" si="79">AVERAGE(U28:U30)</f>
        <v>106.33333333333333</v>
      </c>
      <c r="AN29">
        <f t="shared" ref="AN29" si="80">AVERAGE(V28:V30)</f>
        <v>106.33333333333333</v>
      </c>
    </row>
    <row r="30" spans="1:40" ht="19.899999999999999" customHeight="1" thickBot="1" x14ac:dyDescent="0.25">
      <c r="A30" s="43"/>
      <c r="B30" s="17"/>
      <c r="C30" s="19"/>
      <c r="D30" s="21" t="s">
        <v>21</v>
      </c>
      <c r="E30" s="64" t="s">
        <v>42</v>
      </c>
      <c r="F30" s="11">
        <v>9</v>
      </c>
      <c r="G30" s="11">
        <v>18</v>
      </c>
      <c r="H30" s="11">
        <v>22</v>
      </c>
      <c r="I30" s="11">
        <v>38</v>
      </c>
      <c r="J30" s="11">
        <v>41</v>
      </c>
      <c r="K30" s="11">
        <v>49</v>
      </c>
      <c r="L30" s="11">
        <v>62</v>
      </c>
      <c r="M30" s="11">
        <v>65</v>
      </c>
      <c r="N30" s="11">
        <v>72</v>
      </c>
      <c r="O30" s="11">
        <v>88</v>
      </c>
      <c r="P30" s="11">
        <v>92</v>
      </c>
      <c r="Q30" s="11">
        <v>88</v>
      </c>
      <c r="R30" s="11">
        <v>95</v>
      </c>
      <c r="S30" s="11">
        <v>89</v>
      </c>
      <c r="T30" s="11">
        <v>91</v>
      </c>
      <c r="U30" s="11">
        <v>88</v>
      </c>
      <c r="V30" s="11">
        <v>93</v>
      </c>
    </row>
    <row r="31" spans="1:40" ht="19.899999999999999" customHeight="1" x14ac:dyDescent="0.2">
      <c r="A31" s="43"/>
      <c r="B31" s="12" t="s">
        <v>2</v>
      </c>
      <c r="C31" s="18">
        <v>2</v>
      </c>
      <c r="D31" s="16" t="s">
        <v>22</v>
      </c>
      <c r="E31" s="62" t="s">
        <v>39</v>
      </c>
      <c r="F31" s="9">
        <v>10</v>
      </c>
      <c r="G31" s="9">
        <v>19</v>
      </c>
      <c r="H31" s="9">
        <v>24</v>
      </c>
      <c r="I31" s="9">
        <v>33.5</v>
      </c>
      <c r="J31" s="9">
        <v>37</v>
      </c>
      <c r="K31" s="9">
        <v>45</v>
      </c>
      <c r="L31" s="9">
        <v>51</v>
      </c>
      <c r="M31" s="9">
        <v>55</v>
      </c>
      <c r="N31" s="9">
        <v>61</v>
      </c>
      <c r="O31" s="9">
        <v>70</v>
      </c>
      <c r="P31" s="9">
        <v>80</v>
      </c>
      <c r="Q31" s="9">
        <v>97</v>
      </c>
      <c r="R31" s="9">
        <v>113</v>
      </c>
      <c r="S31" s="9">
        <v>115</v>
      </c>
      <c r="T31" s="9">
        <v>133</v>
      </c>
      <c r="U31" s="9">
        <v>142</v>
      </c>
      <c r="V31" s="9">
        <v>149</v>
      </c>
    </row>
    <row r="32" spans="1:40" ht="19.899999999999999" customHeight="1" x14ac:dyDescent="0.2">
      <c r="A32" s="43"/>
      <c r="B32" s="13"/>
      <c r="C32" s="38"/>
      <c r="D32" s="20" t="s">
        <v>20</v>
      </c>
      <c r="E32" s="63" t="s">
        <v>39</v>
      </c>
      <c r="F32" s="10">
        <v>10</v>
      </c>
      <c r="G32" s="10">
        <v>14</v>
      </c>
      <c r="H32" s="10">
        <v>24</v>
      </c>
      <c r="I32" s="10">
        <v>25</v>
      </c>
      <c r="J32" s="10">
        <v>40</v>
      </c>
      <c r="K32" s="10">
        <v>47</v>
      </c>
      <c r="L32" s="10">
        <v>52</v>
      </c>
      <c r="M32" s="10">
        <v>52</v>
      </c>
      <c r="N32" s="10">
        <v>59</v>
      </c>
      <c r="O32" s="10">
        <v>64</v>
      </c>
      <c r="P32" s="10">
        <v>82</v>
      </c>
      <c r="Q32" s="10">
        <v>98</v>
      </c>
      <c r="R32" s="10">
        <v>117</v>
      </c>
      <c r="S32" s="10">
        <v>128</v>
      </c>
      <c r="T32" s="10">
        <v>136</v>
      </c>
      <c r="U32" s="10">
        <v>148</v>
      </c>
      <c r="V32" s="10">
        <v>128</v>
      </c>
      <c r="X32">
        <f>AVERAGE(F31:F33)</f>
        <v>10</v>
      </c>
      <c r="Y32">
        <f t="shared" ref="Y32" si="81">AVERAGE(G31:G33)</f>
        <v>16.333333333333332</v>
      </c>
      <c r="Z32">
        <f t="shared" ref="Z32" si="82">AVERAGE(H31:H33)</f>
        <v>23.333333333333332</v>
      </c>
      <c r="AA32">
        <f t="shared" ref="AA32" si="83">AVERAGE(I31:I33)</f>
        <v>28.5</v>
      </c>
      <c r="AB32">
        <f t="shared" ref="AB32" si="84">AVERAGE(J31:J33)</f>
        <v>37</v>
      </c>
      <c r="AC32">
        <f t="shared" ref="AC32" si="85">AVERAGE(K31:K33)</f>
        <v>43.666666666666664</v>
      </c>
      <c r="AD32">
        <f t="shared" ref="AD32" si="86">AVERAGE(L31:L33)</f>
        <v>49</v>
      </c>
      <c r="AE32">
        <f t="shared" ref="AE32" si="87">AVERAGE(M31:M33)</f>
        <v>51.333333333333336</v>
      </c>
      <c r="AF32">
        <f t="shared" ref="AF32" si="88">AVERAGE(N31:N33)</f>
        <v>58</v>
      </c>
      <c r="AG32">
        <f t="shared" ref="AG32" si="89">AVERAGE(O31:O33)</f>
        <v>68.666666666666671</v>
      </c>
      <c r="AH32">
        <f t="shared" ref="AH32" si="90">AVERAGE(P31:P33)</f>
        <v>78.666666666666671</v>
      </c>
      <c r="AI32">
        <f t="shared" ref="AI32" si="91">AVERAGE(Q31:Q33)</f>
        <v>95</v>
      </c>
      <c r="AJ32">
        <f t="shared" ref="AJ32" si="92">AVERAGE(R31:R33)</f>
        <v>112.33333333333333</v>
      </c>
      <c r="AK32">
        <f t="shared" ref="AK32" si="93">AVERAGE(S31:S33)</f>
        <v>120.66666666666667</v>
      </c>
      <c r="AL32">
        <f t="shared" ref="AL32" si="94">AVERAGE(T31:T33)</f>
        <v>131</v>
      </c>
      <c r="AM32">
        <f t="shared" ref="AM32" si="95">AVERAGE(U31:U33)</f>
        <v>140.66666666666666</v>
      </c>
      <c r="AN32">
        <f t="shared" ref="AN32" si="96">AVERAGE(V31:V33)</f>
        <v>136.33333333333334</v>
      </c>
    </row>
    <row r="33" spans="1:40" ht="19.899999999999999" customHeight="1" thickBot="1" x14ac:dyDescent="0.25">
      <c r="A33" s="43"/>
      <c r="B33" s="17"/>
      <c r="C33" s="19"/>
      <c r="D33" s="21" t="s">
        <v>21</v>
      </c>
      <c r="E33" s="64" t="s">
        <v>39</v>
      </c>
      <c r="F33" s="11">
        <v>10</v>
      </c>
      <c r="G33" s="11">
        <v>16</v>
      </c>
      <c r="H33" s="11">
        <v>22</v>
      </c>
      <c r="I33" s="11">
        <v>27</v>
      </c>
      <c r="J33" s="11">
        <v>34</v>
      </c>
      <c r="K33" s="11">
        <v>39</v>
      </c>
      <c r="L33" s="11">
        <v>44</v>
      </c>
      <c r="M33" s="11">
        <v>47</v>
      </c>
      <c r="N33" s="11">
        <v>54</v>
      </c>
      <c r="O33" s="11">
        <v>72</v>
      </c>
      <c r="P33" s="11">
        <v>74</v>
      </c>
      <c r="Q33" s="11">
        <v>90</v>
      </c>
      <c r="R33" s="11">
        <v>107</v>
      </c>
      <c r="S33" s="11">
        <v>119</v>
      </c>
      <c r="T33" s="11">
        <v>124</v>
      </c>
      <c r="U33" s="11">
        <v>132</v>
      </c>
      <c r="V33" s="11">
        <v>132</v>
      </c>
    </row>
    <row r="34" spans="1:40" ht="19.899999999999999" customHeight="1" x14ac:dyDescent="0.2">
      <c r="A34" s="43"/>
      <c r="B34" s="12" t="s">
        <v>2</v>
      </c>
      <c r="C34" s="18">
        <v>1</v>
      </c>
      <c r="D34" s="16" t="s">
        <v>22</v>
      </c>
      <c r="E34" s="62" t="s">
        <v>47</v>
      </c>
      <c r="F34" s="9">
        <v>10</v>
      </c>
      <c r="G34" s="9">
        <v>19</v>
      </c>
      <c r="H34" s="9">
        <v>24</v>
      </c>
      <c r="I34" s="9">
        <v>36</v>
      </c>
      <c r="J34" s="9">
        <v>42</v>
      </c>
      <c r="K34" s="9">
        <v>56</v>
      </c>
      <c r="L34" s="9">
        <v>68</v>
      </c>
      <c r="M34" s="9">
        <v>89</v>
      </c>
      <c r="N34" s="9">
        <v>96</v>
      </c>
      <c r="O34" s="9">
        <v>119</v>
      </c>
      <c r="P34" s="9">
        <v>120</v>
      </c>
      <c r="Q34" s="9">
        <v>122</v>
      </c>
      <c r="R34" s="9">
        <v>132</v>
      </c>
      <c r="S34" s="9">
        <v>127</v>
      </c>
      <c r="T34" s="9">
        <v>132</v>
      </c>
      <c r="U34" s="9">
        <v>130</v>
      </c>
      <c r="V34" s="9">
        <v>126</v>
      </c>
    </row>
    <row r="35" spans="1:40" ht="19.899999999999999" customHeight="1" x14ac:dyDescent="0.2">
      <c r="A35" s="43"/>
      <c r="B35" s="13"/>
      <c r="C35" s="38"/>
      <c r="D35" s="20" t="s">
        <v>20</v>
      </c>
      <c r="E35" s="63" t="s">
        <v>47</v>
      </c>
      <c r="F35" s="10">
        <v>11</v>
      </c>
      <c r="G35" s="10">
        <v>15</v>
      </c>
      <c r="H35" s="10">
        <v>24</v>
      </c>
      <c r="I35" s="10">
        <v>39</v>
      </c>
      <c r="J35" s="10">
        <v>43</v>
      </c>
      <c r="K35" s="10">
        <v>57</v>
      </c>
      <c r="L35" s="10">
        <v>78</v>
      </c>
      <c r="M35" s="10">
        <v>99</v>
      </c>
      <c r="N35" s="10">
        <v>104</v>
      </c>
      <c r="O35" s="10">
        <v>131</v>
      </c>
      <c r="P35" s="10">
        <v>124</v>
      </c>
      <c r="Q35" s="10">
        <v>125</v>
      </c>
      <c r="R35" s="10">
        <v>136</v>
      </c>
      <c r="S35" s="10">
        <v>132</v>
      </c>
      <c r="T35" s="10">
        <v>136</v>
      </c>
      <c r="U35" s="10">
        <v>133</v>
      </c>
      <c r="V35" s="10">
        <v>131</v>
      </c>
      <c r="X35">
        <f>AVERAGE(F34:F36)</f>
        <v>10.333333333333334</v>
      </c>
      <c r="Y35">
        <f t="shared" ref="Y35" si="97">AVERAGE(G34:G36)</f>
        <v>17.333333333333332</v>
      </c>
      <c r="Z35">
        <f t="shared" ref="Z35" si="98">AVERAGE(H34:H36)</f>
        <v>24</v>
      </c>
      <c r="AA35">
        <f t="shared" ref="AA35" si="99">AVERAGE(I34:I36)</f>
        <v>36.333333333333336</v>
      </c>
      <c r="AB35">
        <f t="shared" ref="AB35" si="100">AVERAGE(J34:J36)</f>
        <v>44</v>
      </c>
      <c r="AC35">
        <f t="shared" ref="AC35" si="101">AVERAGE(K34:K36)</f>
        <v>57.333333333333336</v>
      </c>
      <c r="AD35">
        <f t="shared" ref="AD35" si="102">AVERAGE(L34:L36)</f>
        <v>73.333333333333329</v>
      </c>
      <c r="AE35">
        <f t="shared" ref="AE35" si="103">AVERAGE(M34:M36)</f>
        <v>91</v>
      </c>
      <c r="AF35">
        <f t="shared" ref="AF35" si="104">AVERAGE(N34:N36)</f>
        <v>99.333333333333329</v>
      </c>
      <c r="AG35">
        <f t="shared" ref="AG35" si="105">AVERAGE(O34:O36)</f>
        <v>123.66666666666667</v>
      </c>
      <c r="AH35">
        <f t="shared" ref="AH35" si="106">AVERAGE(P34:P36)</f>
        <v>120.33333333333333</v>
      </c>
      <c r="AI35">
        <f t="shared" ref="AI35" si="107">AVERAGE(Q34:Q36)</f>
        <v>122.33333333333333</v>
      </c>
      <c r="AJ35">
        <f t="shared" ref="AJ35" si="108">AVERAGE(R34:R36)</f>
        <v>131</v>
      </c>
      <c r="AK35">
        <f t="shared" ref="AK35" si="109">AVERAGE(S34:S36)</f>
        <v>128.33333333333334</v>
      </c>
      <c r="AL35">
        <f t="shared" ref="AL35" si="110">AVERAGE(T34:T36)</f>
        <v>132.33333333333334</v>
      </c>
      <c r="AM35">
        <f t="shared" ref="AM35" si="111">AVERAGE(U34:U36)</f>
        <v>130.33333333333334</v>
      </c>
      <c r="AN35">
        <f t="shared" ref="AN35" si="112">AVERAGE(V34:V36)</f>
        <v>126.33333333333333</v>
      </c>
    </row>
    <row r="36" spans="1:40" ht="19.899999999999999" customHeight="1" thickBot="1" x14ac:dyDescent="0.25">
      <c r="A36" s="43"/>
      <c r="B36" s="17"/>
      <c r="C36" s="19"/>
      <c r="D36" s="21" t="s">
        <v>21</v>
      </c>
      <c r="E36" s="64" t="s">
        <v>47</v>
      </c>
      <c r="F36" s="11">
        <v>10</v>
      </c>
      <c r="G36" s="11">
        <v>18</v>
      </c>
      <c r="H36" s="11">
        <v>24</v>
      </c>
      <c r="I36" s="11">
        <v>34</v>
      </c>
      <c r="J36" s="11">
        <v>47</v>
      </c>
      <c r="K36" s="11">
        <v>59</v>
      </c>
      <c r="L36" s="11">
        <v>74</v>
      </c>
      <c r="M36" s="11">
        <v>85</v>
      </c>
      <c r="N36" s="11">
        <v>98</v>
      </c>
      <c r="O36" s="11">
        <v>121</v>
      </c>
      <c r="P36" s="11">
        <v>117</v>
      </c>
      <c r="Q36" s="11">
        <v>120</v>
      </c>
      <c r="R36" s="11">
        <v>125</v>
      </c>
      <c r="S36" s="11">
        <v>126</v>
      </c>
      <c r="T36" s="11">
        <v>129</v>
      </c>
      <c r="U36" s="11">
        <v>128</v>
      </c>
      <c r="V36" s="11">
        <v>122</v>
      </c>
    </row>
    <row r="37" spans="1:40" ht="19.899999999999999" customHeight="1" x14ac:dyDescent="0.2">
      <c r="A37" s="43"/>
      <c r="B37" s="12" t="s">
        <v>3</v>
      </c>
      <c r="C37" s="18">
        <v>1</v>
      </c>
      <c r="D37" s="16" t="s">
        <v>21</v>
      </c>
      <c r="E37" s="62" t="s">
        <v>43</v>
      </c>
      <c r="F37" s="9">
        <v>9</v>
      </c>
      <c r="G37" s="9">
        <v>15</v>
      </c>
      <c r="H37" s="9">
        <v>21</v>
      </c>
      <c r="I37" s="9">
        <v>33</v>
      </c>
      <c r="J37" s="9">
        <v>42</v>
      </c>
      <c r="K37" s="9">
        <v>56</v>
      </c>
      <c r="L37" s="9">
        <v>68</v>
      </c>
      <c r="M37" s="9">
        <v>81</v>
      </c>
      <c r="N37" s="9">
        <v>98</v>
      </c>
      <c r="O37" s="9">
        <v>123</v>
      </c>
      <c r="P37" s="9">
        <v>131</v>
      </c>
      <c r="Q37" s="9">
        <v>143</v>
      </c>
      <c r="R37" s="9">
        <v>159</v>
      </c>
      <c r="S37" s="9">
        <v>169</v>
      </c>
      <c r="T37" s="9">
        <v>173</v>
      </c>
      <c r="U37" s="9">
        <v>174</v>
      </c>
      <c r="V37" s="9">
        <v>182</v>
      </c>
    </row>
    <row r="38" spans="1:40" ht="19.899999999999999" customHeight="1" x14ac:dyDescent="0.2">
      <c r="A38" s="43"/>
      <c r="B38" s="13"/>
      <c r="C38" s="38"/>
      <c r="D38" s="20" t="s">
        <v>20</v>
      </c>
      <c r="E38" s="63" t="s">
        <v>43</v>
      </c>
      <c r="F38" s="10">
        <v>10</v>
      </c>
      <c r="G38" s="10">
        <v>17</v>
      </c>
      <c r="H38" s="10">
        <v>23</v>
      </c>
      <c r="I38" s="10">
        <v>31.5</v>
      </c>
      <c r="J38" s="10">
        <v>45</v>
      </c>
      <c r="K38" s="10">
        <v>65</v>
      </c>
      <c r="L38" s="10">
        <v>73</v>
      </c>
      <c r="M38" s="10">
        <v>91</v>
      </c>
      <c r="N38" s="10">
        <v>107</v>
      </c>
      <c r="O38" s="10">
        <v>120</v>
      </c>
      <c r="P38" s="10">
        <v>130</v>
      </c>
      <c r="Q38" s="10">
        <v>144</v>
      </c>
      <c r="R38" s="10">
        <v>158</v>
      </c>
      <c r="S38" s="10">
        <v>159</v>
      </c>
      <c r="T38" s="10">
        <v>161</v>
      </c>
      <c r="U38" s="10">
        <v>169</v>
      </c>
      <c r="V38" s="10">
        <v>166</v>
      </c>
      <c r="X38">
        <f>AVERAGE(F37:F39)</f>
        <v>10</v>
      </c>
      <c r="Y38">
        <f t="shared" ref="Y38" si="113">AVERAGE(G37:G39)</f>
        <v>17.333333333333332</v>
      </c>
      <c r="Z38">
        <f t="shared" ref="Z38" si="114">AVERAGE(H37:H39)</f>
        <v>22</v>
      </c>
      <c r="AA38">
        <f t="shared" ref="AA38" si="115">AVERAGE(I37:I39)</f>
        <v>32.5</v>
      </c>
      <c r="AB38">
        <f t="shared" ref="AB38" si="116">AVERAGE(J37:J39)</f>
        <v>43.666666666666664</v>
      </c>
      <c r="AC38">
        <f t="shared" ref="AC38" si="117">AVERAGE(K37:K39)</f>
        <v>60.666666666666664</v>
      </c>
      <c r="AD38">
        <f t="shared" ref="AD38" si="118">AVERAGE(L37:L39)</f>
        <v>68.333333333333329</v>
      </c>
      <c r="AE38">
        <f t="shared" ref="AE38" si="119">AVERAGE(M37:M39)</f>
        <v>84.333333333333329</v>
      </c>
      <c r="AF38">
        <f t="shared" ref="AF38" si="120">AVERAGE(N37:N39)</f>
        <v>98.666666666666671</v>
      </c>
      <c r="AG38">
        <f t="shared" ref="AG38" si="121">AVERAGE(O37:O39)</f>
        <v>115</v>
      </c>
      <c r="AH38">
        <f t="shared" ref="AH38" si="122">AVERAGE(P37:P39)</f>
        <v>126.33333333333333</v>
      </c>
      <c r="AI38">
        <f t="shared" ref="AI38" si="123">AVERAGE(Q37:Q39)</f>
        <v>139</v>
      </c>
      <c r="AJ38">
        <f t="shared" ref="AJ38" si="124">AVERAGE(R37:R39)</f>
        <v>149.66666666666666</v>
      </c>
      <c r="AK38">
        <f t="shared" ref="AK38" si="125">AVERAGE(S37:S39)</f>
        <v>156.33333333333334</v>
      </c>
      <c r="AL38">
        <f t="shared" ref="AL38" si="126">AVERAGE(T37:T39)</f>
        <v>157.66666666666666</v>
      </c>
      <c r="AM38">
        <f t="shared" ref="AM38" si="127">AVERAGE(U37:U39)</f>
        <v>162.33333333333334</v>
      </c>
      <c r="AN38">
        <f t="shared" ref="AN38" si="128">AVERAGE(V37:V39)</f>
        <v>163.66666666666666</v>
      </c>
    </row>
    <row r="39" spans="1:40" ht="19.899999999999999" customHeight="1" thickBot="1" x14ac:dyDescent="0.25">
      <c r="A39" s="43"/>
      <c r="B39" s="17"/>
      <c r="C39" s="19"/>
      <c r="D39" s="21" t="s">
        <v>22</v>
      </c>
      <c r="E39" s="64" t="s">
        <v>43</v>
      </c>
      <c r="F39" s="11">
        <v>11</v>
      </c>
      <c r="G39" s="11">
        <v>20</v>
      </c>
      <c r="H39" s="11">
        <v>22</v>
      </c>
      <c r="I39" s="11">
        <v>33</v>
      </c>
      <c r="J39" s="11">
        <v>44</v>
      </c>
      <c r="K39" s="11">
        <v>61</v>
      </c>
      <c r="L39" s="11">
        <v>64</v>
      </c>
      <c r="M39" s="11">
        <v>81</v>
      </c>
      <c r="N39" s="11">
        <v>91</v>
      </c>
      <c r="O39" s="11">
        <v>102</v>
      </c>
      <c r="P39" s="11">
        <v>118</v>
      </c>
      <c r="Q39" s="11">
        <v>130</v>
      </c>
      <c r="R39" s="11">
        <v>132</v>
      </c>
      <c r="S39" s="11">
        <v>141</v>
      </c>
      <c r="T39" s="11">
        <v>139</v>
      </c>
      <c r="U39" s="11">
        <v>144</v>
      </c>
      <c r="V39" s="11">
        <v>143</v>
      </c>
    </row>
    <row r="40" spans="1:40" ht="19.899999999999999" customHeight="1" x14ac:dyDescent="0.2">
      <c r="A40" s="43"/>
      <c r="B40" s="12" t="s">
        <v>3</v>
      </c>
      <c r="C40" s="18">
        <v>2</v>
      </c>
      <c r="D40" s="16" t="s">
        <v>21</v>
      </c>
      <c r="E40" s="62" t="s">
        <v>35</v>
      </c>
      <c r="F40" s="9">
        <v>10</v>
      </c>
      <c r="G40" s="9">
        <v>13</v>
      </c>
      <c r="H40" s="9">
        <v>25</v>
      </c>
      <c r="I40" s="9">
        <v>28</v>
      </c>
      <c r="J40" s="9">
        <v>42</v>
      </c>
      <c r="K40" s="9">
        <v>53</v>
      </c>
      <c r="L40" s="9">
        <v>59</v>
      </c>
      <c r="M40" s="9">
        <v>65</v>
      </c>
      <c r="N40" s="9">
        <v>75</v>
      </c>
      <c r="O40" s="9">
        <v>82</v>
      </c>
      <c r="P40" s="9">
        <v>90</v>
      </c>
      <c r="Q40" s="9">
        <v>104</v>
      </c>
      <c r="R40" s="9">
        <v>111</v>
      </c>
      <c r="S40" s="9">
        <v>111</v>
      </c>
      <c r="T40" s="9">
        <v>120</v>
      </c>
      <c r="U40" s="9">
        <v>119</v>
      </c>
      <c r="V40" s="9">
        <v>120</v>
      </c>
    </row>
    <row r="41" spans="1:40" ht="19.899999999999999" customHeight="1" x14ac:dyDescent="0.2">
      <c r="A41" s="43"/>
      <c r="B41" s="13"/>
      <c r="C41" s="38"/>
      <c r="D41" s="20" t="s">
        <v>20</v>
      </c>
      <c r="E41" s="63" t="s">
        <v>35</v>
      </c>
      <c r="F41" s="10">
        <v>13</v>
      </c>
      <c r="G41" s="10">
        <v>21</v>
      </c>
      <c r="H41" s="10">
        <v>25</v>
      </c>
      <c r="I41" s="10">
        <v>36.5</v>
      </c>
      <c r="J41" s="10">
        <v>39</v>
      </c>
      <c r="K41" s="10">
        <v>45</v>
      </c>
      <c r="L41" s="10">
        <v>49</v>
      </c>
      <c r="M41" s="10">
        <v>52</v>
      </c>
      <c r="N41" s="10">
        <v>58</v>
      </c>
      <c r="O41" s="10">
        <v>58</v>
      </c>
      <c r="P41" s="10">
        <v>76</v>
      </c>
      <c r="Q41" s="10">
        <v>85</v>
      </c>
      <c r="R41" s="10">
        <v>102</v>
      </c>
      <c r="S41" s="10">
        <v>102</v>
      </c>
      <c r="T41" s="10">
        <v>105</v>
      </c>
      <c r="U41" s="10">
        <v>109</v>
      </c>
      <c r="V41" s="10">
        <v>107</v>
      </c>
      <c r="X41">
        <f>AVERAGE(F40:F42)</f>
        <v>11.666666666666666</v>
      </c>
      <c r="Y41">
        <f t="shared" ref="Y41" si="129">AVERAGE(G40:G42)</f>
        <v>17.333333333333332</v>
      </c>
      <c r="Z41">
        <f t="shared" ref="Z41" si="130">AVERAGE(H40:H42)</f>
        <v>24.666666666666668</v>
      </c>
      <c r="AA41">
        <f t="shared" ref="AA41" si="131">AVERAGE(I40:I42)</f>
        <v>31.166666666666668</v>
      </c>
      <c r="AB41">
        <f t="shared" ref="AB41" si="132">AVERAGE(J40:J42)</f>
        <v>38.666666666666664</v>
      </c>
      <c r="AC41">
        <f t="shared" ref="AC41" si="133">AVERAGE(K40:K42)</f>
        <v>45.666666666666664</v>
      </c>
      <c r="AD41">
        <f t="shared" ref="AD41" si="134">AVERAGE(L40:L42)</f>
        <v>50.333333333333336</v>
      </c>
      <c r="AE41">
        <f t="shared" ref="AE41" si="135">AVERAGE(M40:M42)</f>
        <v>55</v>
      </c>
      <c r="AF41">
        <f t="shared" ref="AF41" si="136">AVERAGE(N40:N42)</f>
        <v>62.333333333333336</v>
      </c>
      <c r="AG41">
        <f t="shared" ref="AG41" si="137">AVERAGE(O40:O42)</f>
        <v>67.666666666666671</v>
      </c>
      <c r="AH41">
        <f t="shared" ref="AH41" si="138">AVERAGE(P40:P42)</f>
        <v>77.333333333333329</v>
      </c>
      <c r="AI41">
        <f t="shared" ref="AI41" si="139">AVERAGE(Q40:Q42)</f>
        <v>85.333333333333329</v>
      </c>
      <c r="AJ41">
        <f t="shared" ref="AJ41" si="140">AVERAGE(R40:R42)</f>
        <v>98.333333333333329</v>
      </c>
      <c r="AK41">
        <f t="shared" ref="AK41" si="141">AVERAGE(S40:S42)</f>
        <v>99.333333333333329</v>
      </c>
      <c r="AL41">
        <f t="shared" ref="AL41" si="142">AVERAGE(T40:T42)</f>
        <v>104.66666666666667</v>
      </c>
      <c r="AM41">
        <f t="shared" ref="AM41" si="143">AVERAGE(U40:U42)</f>
        <v>102.33333333333333</v>
      </c>
      <c r="AN41">
        <f t="shared" ref="AN41" si="144">AVERAGE(V40:V42)</f>
        <v>101</v>
      </c>
    </row>
    <row r="42" spans="1:40" ht="19.899999999999999" customHeight="1" thickBot="1" x14ac:dyDescent="0.25">
      <c r="A42" s="43"/>
      <c r="B42" s="17"/>
      <c r="C42" s="19"/>
      <c r="D42" s="21" t="s">
        <v>22</v>
      </c>
      <c r="E42" s="64" t="s">
        <v>35</v>
      </c>
      <c r="F42" s="11">
        <v>12</v>
      </c>
      <c r="G42" s="11">
        <v>18</v>
      </c>
      <c r="H42" s="11">
        <v>24</v>
      </c>
      <c r="I42" s="11">
        <v>29</v>
      </c>
      <c r="J42" s="11">
        <v>35</v>
      </c>
      <c r="K42" s="11">
        <v>39</v>
      </c>
      <c r="L42" s="11">
        <v>43</v>
      </c>
      <c r="M42" s="11">
        <v>48</v>
      </c>
      <c r="N42" s="11">
        <v>54</v>
      </c>
      <c r="O42" s="11">
        <v>63</v>
      </c>
      <c r="P42" s="11">
        <v>66</v>
      </c>
      <c r="Q42" s="11">
        <v>67</v>
      </c>
      <c r="R42" s="11">
        <v>82</v>
      </c>
      <c r="S42" s="11">
        <v>85</v>
      </c>
      <c r="T42" s="11">
        <v>89</v>
      </c>
      <c r="U42" s="11">
        <v>79</v>
      </c>
      <c r="V42" s="11">
        <v>76</v>
      </c>
    </row>
    <row r="43" spans="1:40" ht="19.899999999999999" customHeight="1" x14ac:dyDescent="0.2">
      <c r="A43" s="43"/>
      <c r="B43" s="12" t="s">
        <v>3</v>
      </c>
      <c r="C43" s="18">
        <v>3</v>
      </c>
      <c r="D43" s="16" t="s">
        <v>21</v>
      </c>
      <c r="E43" s="62" t="s">
        <v>41</v>
      </c>
      <c r="F43" s="9">
        <v>11</v>
      </c>
      <c r="G43" s="9">
        <v>16</v>
      </c>
      <c r="H43" s="9">
        <v>21</v>
      </c>
      <c r="I43" s="9">
        <v>30</v>
      </c>
      <c r="J43" s="9">
        <v>33</v>
      </c>
      <c r="K43" s="9">
        <v>41</v>
      </c>
      <c r="L43" s="9">
        <v>46</v>
      </c>
      <c r="M43" s="9">
        <v>47</v>
      </c>
      <c r="N43" s="9">
        <v>58</v>
      </c>
      <c r="O43" s="9">
        <v>73</v>
      </c>
      <c r="P43" s="9">
        <v>85</v>
      </c>
      <c r="Q43" s="9">
        <v>96</v>
      </c>
      <c r="R43" s="9">
        <v>114</v>
      </c>
      <c r="S43" s="9">
        <v>125</v>
      </c>
      <c r="T43" s="9">
        <v>133</v>
      </c>
      <c r="U43" s="9">
        <v>134</v>
      </c>
      <c r="V43" s="9">
        <v>143</v>
      </c>
    </row>
    <row r="44" spans="1:40" ht="19.899999999999999" customHeight="1" x14ac:dyDescent="0.2">
      <c r="A44" s="43"/>
      <c r="B44" s="13"/>
      <c r="C44" s="38"/>
      <c r="D44" s="20" t="s">
        <v>20</v>
      </c>
      <c r="E44" s="63" t="s">
        <v>41</v>
      </c>
      <c r="F44" s="10">
        <v>11</v>
      </c>
      <c r="G44" s="10">
        <v>16</v>
      </c>
      <c r="H44" s="10">
        <v>22</v>
      </c>
      <c r="I44" s="10">
        <v>24</v>
      </c>
      <c r="J44" s="10">
        <v>33</v>
      </c>
      <c r="K44" s="10">
        <v>37</v>
      </c>
      <c r="L44" s="10">
        <v>39</v>
      </c>
      <c r="M44" s="10">
        <v>46</v>
      </c>
      <c r="N44" s="10">
        <v>47</v>
      </c>
      <c r="O44" s="10">
        <v>54</v>
      </c>
      <c r="P44" s="10">
        <v>53</v>
      </c>
      <c r="Q44" s="10">
        <v>68</v>
      </c>
      <c r="R44" s="10">
        <v>79</v>
      </c>
      <c r="S44" s="10">
        <v>88</v>
      </c>
      <c r="T44" s="10">
        <v>90</v>
      </c>
      <c r="U44" s="10">
        <v>96</v>
      </c>
      <c r="V44" s="10">
        <v>98</v>
      </c>
      <c r="X44">
        <f>AVERAGE(F43:F45)</f>
        <v>11.333333333333334</v>
      </c>
      <c r="Y44">
        <f t="shared" ref="Y44" si="145">AVERAGE(G43:G45)</f>
        <v>16</v>
      </c>
      <c r="Z44">
        <f t="shared" ref="Z44" si="146">AVERAGE(H43:H45)</f>
        <v>22</v>
      </c>
      <c r="AA44">
        <f t="shared" ref="AA44" si="147">AVERAGE(I43:I45)</f>
        <v>27</v>
      </c>
      <c r="AB44">
        <f t="shared" ref="AB44" si="148">AVERAGE(J43:J45)</f>
        <v>33.333333333333336</v>
      </c>
      <c r="AC44">
        <f t="shared" ref="AC44" si="149">AVERAGE(K43:K45)</f>
        <v>40.333333333333336</v>
      </c>
      <c r="AD44">
        <f t="shared" ref="AD44" si="150">AVERAGE(L43:L45)</f>
        <v>44.333333333333336</v>
      </c>
      <c r="AE44">
        <f t="shared" ref="AE44" si="151">AVERAGE(M43:M45)</f>
        <v>48</v>
      </c>
      <c r="AF44">
        <f t="shared" ref="AF44" si="152">AVERAGE(N43:N45)</f>
        <v>54.333333333333336</v>
      </c>
      <c r="AG44">
        <f t="shared" ref="AG44" si="153">AVERAGE(O43:O45)</f>
        <v>64</v>
      </c>
      <c r="AH44">
        <f t="shared" ref="AH44" si="154">AVERAGE(P43:P45)</f>
        <v>71.333333333333329</v>
      </c>
      <c r="AI44">
        <f t="shared" ref="AI44" si="155">AVERAGE(Q43:Q45)</f>
        <v>82</v>
      </c>
      <c r="AJ44">
        <f t="shared" ref="AJ44" si="156">AVERAGE(R43:R45)</f>
        <v>97.666666666666671</v>
      </c>
      <c r="AK44">
        <f t="shared" ref="AK44" si="157">AVERAGE(S43:S45)</f>
        <v>110.33333333333333</v>
      </c>
      <c r="AL44">
        <f t="shared" ref="AL44" si="158">AVERAGE(T43:T45)</f>
        <v>114</v>
      </c>
      <c r="AM44">
        <f t="shared" ref="AM44" si="159">AVERAGE(U43:U45)</f>
        <v>120</v>
      </c>
      <c r="AN44">
        <f t="shared" ref="AN44" si="160">AVERAGE(V43:V45)</f>
        <v>126.66666666666667</v>
      </c>
    </row>
    <row r="45" spans="1:40" ht="19.899999999999999" customHeight="1" thickBot="1" x14ac:dyDescent="0.25">
      <c r="A45" s="43"/>
      <c r="B45" s="17"/>
      <c r="C45" s="19"/>
      <c r="D45" s="21" t="s">
        <v>22</v>
      </c>
      <c r="E45" s="64" t="s">
        <v>41</v>
      </c>
      <c r="F45" s="11">
        <v>12</v>
      </c>
      <c r="G45" s="11">
        <v>16</v>
      </c>
      <c r="H45" s="11">
        <v>23</v>
      </c>
      <c r="I45" s="11">
        <v>27</v>
      </c>
      <c r="J45" s="11">
        <v>34</v>
      </c>
      <c r="K45" s="11">
        <v>43</v>
      </c>
      <c r="L45" s="11">
        <v>48</v>
      </c>
      <c r="M45" s="11">
        <v>51</v>
      </c>
      <c r="N45" s="11">
        <v>58</v>
      </c>
      <c r="O45" s="11">
        <v>65</v>
      </c>
      <c r="P45" s="11">
        <v>76</v>
      </c>
      <c r="Q45" s="11">
        <v>82</v>
      </c>
      <c r="R45" s="11">
        <v>100</v>
      </c>
      <c r="S45" s="11">
        <v>118</v>
      </c>
      <c r="T45" s="11">
        <v>119</v>
      </c>
      <c r="U45" s="11">
        <v>130</v>
      </c>
      <c r="V45" s="11">
        <v>139</v>
      </c>
    </row>
    <row r="46" spans="1:40" ht="19.899999999999999" customHeight="1" x14ac:dyDescent="0.2">
      <c r="A46" s="43"/>
      <c r="B46" s="12" t="s">
        <v>3</v>
      </c>
      <c r="C46" s="18">
        <v>4</v>
      </c>
      <c r="D46" s="16" t="s">
        <v>21</v>
      </c>
      <c r="E46" s="62" t="s">
        <v>38</v>
      </c>
      <c r="F46" s="9">
        <v>9</v>
      </c>
      <c r="G46" s="9">
        <v>15</v>
      </c>
      <c r="H46" s="9">
        <v>20</v>
      </c>
      <c r="I46" s="9">
        <v>22</v>
      </c>
      <c r="J46" s="9">
        <v>38</v>
      </c>
      <c r="K46" s="9">
        <v>48</v>
      </c>
      <c r="L46" s="9">
        <v>52</v>
      </c>
      <c r="M46" s="9">
        <v>66</v>
      </c>
      <c r="N46" s="9">
        <v>74</v>
      </c>
      <c r="O46" s="9">
        <v>74</v>
      </c>
      <c r="P46" s="9">
        <v>94</v>
      </c>
      <c r="Q46" s="9">
        <v>104</v>
      </c>
      <c r="R46" s="9">
        <v>108</v>
      </c>
      <c r="S46" s="9">
        <v>105</v>
      </c>
      <c r="T46" s="9">
        <v>99</v>
      </c>
      <c r="U46" s="9">
        <v>94</v>
      </c>
      <c r="V46" s="9">
        <v>105</v>
      </c>
    </row>
    <row r="47" spans="1:40" ht="19.899999999999999" customHeight="1" x14ac:dyDescent="0.2">
      <c r="A47" s="43"/>
      <c r="B47" s="13"/>
      <c r="C47" s="38"/>
      <c r="D47" s="20" t="s">
        <v>20</v>
      </c>
      <c r="E47" s="63" t="s">
        <v>38</v>
      </c>
      <c r="F47" s="10">
        <v>11</v>
      </c>
      <c r="G47" s="10">
        <v>16</v>
      </c>
      <c r="H47" s="10">
        <v>19</v>
      </c>
      <c r="I47" s="10">
        <v>26</v>
      </c>
      <c r="J47" s="10">
        <v>35</v>
      </c>
      <c r="K47" s="10">
        <v>49</v>
      </c>
      <c r="L47" s="10">
        <v>62</v>
      </c>
      <c r="M47" s="10">
        <v>65</v>
      </c>
      <c r="N47" s="10">
        <v>73</v>
      </c>
      <c r="O47" s="10">
        <v>94</v>
      </c>
      <c r="P47" s="10">
        <v>103</v>
      </c>
      <c r="Q47" s="10">
        <v>103</v>
      </c>
      <c r="R47" s="10">
        <v>111</v>
      </c>
      <c r="S47" s="10">
        <v>109</v>
      </c>
      <c r="T47" s="10">
        <v>106</v>
      </c>
      <c r="U47" s="10">
        <v>107</v>
      </c>
      <c r="V47" s="10">
        <v>103</v>
      </c>
      <c r="X47">
        <f>AVERAGE(F46:F48)</f>
        <v>9.6666666666666661</v>
      </c>
      <c r="Y47">
        <f t="shared" ref="Y47" si="161">AVERAGE(G46:G48)</f>
        <v>14</v>
      </c>
      <c r="Z47">
        <f t="shared" ref="Z47" si="162">AVERAGE(H46:H48)</f>
        <v>19.666666666666668</v>
      </c>
      <c r="AA47">
        <f t="shared" ref="AA47" si="163">AVERAGE(I46:I48)</f>
        <v>23</v>
      </c>
      <c r="AB47">
        <f t="shared" ref="AB47" si="164">AVERAGE(J46:J48)</f>
        <v>36.333333333333336</v>
      </c>
      <c r="AC47">
        <f t="shared" ref="AC47" si="165">AVERAGE(K46:K48)</f>
        <v>45.666666666666664</v>
      </c>
      <c r="AD47">
        <f t="shared" ref="AD47" si="166">AVERAGE(L46:L48)</f>
        <v>56.333333333333336</v>
      </c>
      <c r="AE47">
        <f t="shared" ref="AE47" si="167">AVERAGE(M46:M48)</f>
        <v>67</v>
      </c>
      <c r="AF47">
        <f t="shared" ref="AF47" si="168">AVERAGE(N46:N48)</f>
        <v>75.333333333333329</v>
      </c>
      <c r="AG47">
        <f t="shared" ref="AG47" si="169">AVERAGE(O46:O48)</f>
        <v>89.333333333333329</v>
      </c>
      <c r="AH47">
        <f t="shared" ref="AH47" si="170">AVERAGE(P46:P48)</f>
        <v>98.333333333333329</v>
      </c>
      <c r="AI47">
        <f t="shared" ref="AI47" si="171">AVERAGE(Q46:Q48)</f>
        <v>102</v>
      </c>
      <c r="AJ47">
        <f t="shared" ref="AJ47" si="172">AVERAGE(R46:R48)</f>
        <v>109.33333333333333</v>
      </c>
      <c r="AK47">
        <f t="shared" ref="AK47" si="173">AVERAGE(S46:S48)</f>
        <v>106.33333333333333</v>
      </c>
      <c r="AL47">
        <f t="shared" ref="AL47" si="174">AVERAGE(T46:T48)</f>
        <v>104</v>
      </c>
      <c r="AM47">
        <f t="shared" ref="AM47" si="175">AVERAGE(U46:U48)</f>
        <v>103.33333333333333</v>
      </c>
      <c r="AN47">
        <f t="shared" ref="AN47" si="176">AVERAGE(V46:V48)</f>
        <v>107</v>
      </c>
    </row>
    <row r="48" spans="1:40" ht="19.899999999999999" customHeight="1" thickBot="1" x14ac:dyDescent="0.25">
      <c r="A48" s="43"/>
      <c r="B48" s="17"/>
      <c r="C48" s="19"/>
      <c r="D48" s="21" t="s">
        <v>22</v>
      </c>
      <c r="E48" s="64" t="s">
        <v>38</v>
      </c>
      <c r="F48" s="11">
        <v>9</v>
      </c>
      <c r="G48" s="11">
        <v>11</v>
      </c>
      <c r="H48" s="11">
        <v>20</v>
      </c>
      <c r="I48" s="11">
        <v>21</v>
      </c>
      <c r="J48" s="11">
        <v>36</v>
      </c>
      <c r="K48" s="11">
        <v>40</v>
      </c>
      <c r="L48" s="11">
        <v>55</v>
      </c>
      <c r="M48" s="11">
        <v>70</v>
      </c>
      <c r="N48" s="11">
        <v>79</v>
      </c>
      <c r="O48" s="11">
        <v>100</v>
      </c>
      <c r="P48" s="11">
        <v>98</v>
      </c>
      <c r="Q48" s="11">
        <v>99</v>
      </c>
      <c r="R48" s="11">
        <v>109</v>
      </c>
      <c r="S48" s="11">
        <v>105</v>
      </c>
      <c r="T48" s="11">
        <v>107</v>
      </c>
      <c r="U48" s="11">
        <v>109</v>
      </c>
      <c r="V48" s="11">
        <v>113</v>
      </c>
    </row>
    <row r="49" spans="1:40" ht="19.899999999999999" customHeight="1" x14ac:dyDescent="0.2">
      <c r="A49" s="43"/>
      <c r="B49" s="12" t="s">
        <v>4</v>
      </c>
      <c r="C49" s="18">
        <v>4</v>
      </c>
      <c r="D49" s="16" t="s">
        <v>22</v>
      </c>
      <c r="E49" s="62" t="s">
        <v>48</v>
      </c>
      <c r="F49" s="9">
        <v>11</v>
      </c>
      <c r="G49" s="9">
        <v>16</v>
      </c>
      <c r="H49" s="9">
        <v>21</v>
      </c>
      <c r="I49" s="9">
        <v>30</v>
      </c>
      <c r="J49" s="9">
        <v>41</v>
      </c>
      <c r="K49" s="9">
        <v>46</v>
      </c>
      <c r="L49" s="9">
        <v>55</v>
      </c>
      <c r="M49" s="9">
        <v>68</v>
      </c>
      <c r="N49" s="9">
        <v>74</v>
      </c>
      <c r="O49" s="9">
        <v>80</v>
      </c>
      <c r="P49" s="9">
        <v>98</v>
      </c>
      <c r="Q49" s="9">
        <v>110</v>
      </c>
      <c r="R49" s="9">
        <v>127</v>
      </c>
      <c r="S49" s="9">
        <v>106</v>
      </c>
      <c r="T49" s="9">
        <v>104</v>
      </c>
      <c r="U49" s="9">
        <v>103</v>
      </c>
      <c r="V49" s="9">
        <v>104</v>
      </c>
    </row>
    <row r="50" spans="1:40" ht="19.899999999999999" customHeight="1" x14ac:dyDescent="0.2">
      <c r="A50" s="43"/>
      <c r="B50" s="13"/>
      <c r="C50" s="38"/>
      <c r="D50" s="20" t="s">
        <v>20</v>
      </c>
      <c r="E50" s="63" t="s">
        <v>48</v>
      </c>
      <c r="F50" s="10">
        <v>11</v>
      </c>
      <c r="G50" s="10">
        <v>10</v>
      </c>
      <c r="H50" s="10">
        <v>23</v>
      </c>
      <c r="I50" s="10">
        <v>26</v>
      </c>
      <c r="J50" s="10">
        <v>44</v>
      </c>
      <c r="K50" s="10">
        <v>53</v>
      </c>
      <c r="L50" s="10">
        <v>58</v>
      </c>
      <c r="M50" s="10">
        <v>75</v>
      </c>
      <c r="N50" s="10">
        <v>81</v>
      </c>
      <c r="O50" s="10">
        <v>85</v>
      </c>
      <c r="P50" s="10">
        <v>103</v>
      </c>
      <c r="Q50" s="10">
        <v>117</v>
      </c>
      <c r="R50" s="10">
        <v>121</v>
      </c>
      <c r="S50" s="10">
        <v>118</v>
      </c>
      <c r="T50" s="10">
        <v>119</v>
      </c>
      <c r="U50" s="10">
        <v>122</v>
      </c>
      <c r="V50" s="10">
        <v>118</v>
      </c>
      <c r="X50">
        <f>AVERAGE(F49:F51)</f>
        <v>11</v>
      </c>
      <c r="Y50">
        <f t="shared" ref="Y50" si="177">AVERAGE(G49:G51)</f>
        <v>13.333333333333334</v>
      </c>
      <c r="Z50">
        <f t="shared" ref="Z50" si="178">AVERAGE(H49:H51)</f>
        <v>20.666666666666668</v>
      </c>
      <c r="AA50">
        <f t="shared" ref="AA50" si="179">AVERAGE(I49:I51)</f>
        <v>27.333333333333332</v>
      </c>
      <c r="AB50">
        <f t="shared" ref="AB50" si="180">AVERAGE(J49:J51)</f>
        <v>41.666666666666664</v>
      </c>
      <c r="AC50">
        <f t="shared" ref="AC50" si="181">AVERAGE(K49:K51)</f>
        <v>49.666666666666664</v>
      </c>
      <c r="AD50">
        <f t="shared" ref="AD50" si="182">AVERAGE(L49:L51)</f>
        <v>58.333333333333336</v>
      </c>
      <c r="AE50">
        <f t="shared" ref="AE50" si="183">AVERAGE(M49:M51)</f>
        <v>71.666666666666671</v>
      </c>
      <c r="AF50">
        <f t="shared" ref="AF50" si="184">AVERAGE(N49:N51)</f>
        <v>79</v>
      </c>
      <c r="AG50">
        <f t="shared" ref="AG50" si="185">AVERAGE(O49:O51)</f>
        <v>81.333333333333329</v>
      </c>
      <c r="AH50">
        <f t="shared" ref="AH50" si="186">AVERAGE(P49:P51)</f>
        <v>100</v>
      </c>
      <c r="AI50">
        <f t="shared" ref="AI50" si="187">AVERAGE(Q49:Q51)</f>
        <v>112.66666666666667</v>
      </c>
      <c r="AJ50">
        <f t="shared" ref="AJ50" si="188">AVERAGE(R49:R51)</f>
        <v>122</v>
      </c>
      <c r="AK50">
        <f t="shared" ref="AK50" si="189">AVERAGE(S49:S51)</f>
        <v>116.33333333333333</v>
      </c>
      <c r="AL50">
        <f t="shared" ref="AL50" si="190">AVERAGE(T49:T51)</f>
        <v>116.33333333333333</v>
      </c>
      <c r="AM50">
        <f t="shared" ref="AM50" si="191">AVERAGE(U49:U51)</f>
        <v>114.66666666666667</v>
      </c>
      <c r="AN50">
        <f t="shared" ref="AN50" si="192">AVERAGE(V49:V51)</f>
        <v>113.66666666666667</v>
      </c>
    </row>
    <row r="51" spans="1:40" ht="19.899999999999999" customHeight="1" thickBot="1" x14ac:dyDescent="0.25">
      <c r="A51" s="43"/>
      <c r="B51" s="17"/>
      <c r="C51" s="19"/>
      <c r="D51" s="21" t="s">
        <v>21</v>
      </c>
      <c r="E51" s="64" t="s">
        <v>48</v>
      </c>
      <c r="F51" s="11">
        <v>11</v>
      </c>
      <c r="G51" s="11">
        <v>14</v>
      </c>
      <c r="H51" s="11">
        <v>18</v>
      </c>
      <c r="I51" s="11">
        <v>26</v>
      </c>
      <c r="J51" s="11">
        <v>40</v>
      </c>
      <c r="K51" s="11">
        <v>50</v>
      </c>
      <c r="L51" s="11">
        <v>62</v>
      </c>
      <c r="M51" s="11">
        <v>72</v>
      </c>
      <c r="N51" s="11">
        <v>82</v>
      </c>
      <c r="O51" s="11">
        <v>79</v>
      </c>
      <c r="P51" s="11">
        <v>99</v>
      </c>
      <c r="Q51" s="11">
        <v>111</v>
      </c>
      <c r="R51" s="11">
        <v>118</v>
      </c>
      <c r="S51" s="11">
        <v>125</v>
      </c>
      <c r="T51" s="11">
        <v>126</v>
      </c>
      <c r="U51" s="11">
        <v>119</v>
      </c>
      <c r="V51" s="11">
        <v>119</v>
      </c>
    </row>
    <row r="52" spans="1:40" ht="19.899999999999999" customHeight="1" x14ac:dyDescent="0.2">
      <c r="A52" s="43"/>
      <c r="B52" s="12" t="s">
        <v>4</v>
      </c>
      <c r="C52" s="18">
        <v>3</v>
      </c>
      <c r="D52" s="16" t="s">
        <v>22</v>
      </c>
      <c r="E52" s="62" t="s">
        <v>34</v>
      </c>
      <c r="F52" s="9">
        <v>11</v>
      </c>
      <c r="G52" s="9">
        <v>13</v>
      </c>
      <c r="H52" s="9">
        <v>22</v>
      </c>
      <c r="I52" s="9">
        <v>23.5</v>
      </c>
      <c r="J52" s="9">
        <v>39</v>
      </c>
      <c r="K52" s="9">
        <v>49</v>
      </c>
      <c r="L52" s="9">
        <v>64</v>
      </c>
      <c r="M52" s="9">
        <v>80</v>
      </c>
      <c r="N52" s="9">
        <v>89</v>
      </c>
      <c r="O52" s="9">
        <v>100</v>
      </c>
      <c r="P52" s="9">
        <v>116</v>
      </c>
      <c r="Q52" s="9">
        <v>128</v>
      </c>
      <c r="R52" s="9">
        <v>146</v>
      </c>
      <c r="S52" s="9">
        <v>156</v>
      </c>
      <c r="T52" s="9">
        <v>157</v>
      </c>
      <c r="U52" s="9">
        <v>165</v>
      </c>
      <c r="V52" s="9">
        <v>162</v>
      </c>
    </row>
    <row r="53" spans="1:40" ht="19.899999999999999" customHeight="1" x14ac:dyDescent="0.2">
      <c r="A53" s="43"/>
      <c r="B53" s="13"/>
      <c r="C53" s="38"/>
      <c r="D53" s="20" t="s">
        <v>20</v>
      </c>
      <c r="E53" s="63" t="s">
        <v>34</v>
      </c>
      <c r="F53" s="10">
        <v>10</v>
      </c>
      <c r="G53" s="10">
        <v>15</v>
      </c>
      <c r="H53" s="10">
        <v>20</v>
      </c>
      <c r="I53" s="10">
        <v>27</v>
      </c>
      <c r="J53" s="10">
        <v>38</v>
      </c>
      <c r="K53" s="10">
        <v>49</v>
      </c>
      <c r="L53" s="10">
        <v>56</v>
      </c>
      <c r="M53" s="10">
        <v>71</v>
      </c>
      <c r="N53" s="10">
        <v>85</v>
      </c>
      <c r="O53" s="10">
        <v>102</v>
      </c>
      <c r="P53" s="10">
        <v>112</v>
      </c>
      <c r="Q53" s="10">
        <v>126</v>
      </c>
      <c r="R53" s="10">
        <v>138</v>
      </c>
      <c r="S53" s="10">
        <v>143</v>
      </c>
      <c r="T53" s="10">
        <v>151</v>
      </c>
      <c r="U53" s="10">
        <v>166</v>
      </c>
      <c r="V53" s="10">
        <v>165</v>
      </c>
      <c r="X53">
        <f>AVERAGE(F52:F54)</f>
        <v>10.666666666666666</v>
      </c>
      <c r="Y53">
        <f t="shared" ref="Y53" si="193">AVERAGE(G52:G54)</f>
        <v>12.666666666666666</v>
      </c>
      <c r="Z53">
        <f t="shared" ref="Z53" si="194">AVERAGE(H52:H54)</f>
        <v>21.333333333333332</v>
      </c>
      <c r="AA53">
        <f t="shared" ref="AA53" si="195">AVERAGE(I52:I54)</f>
        <v>24.166666666666668</v>
      </c>
      <c r="AB53">
        <f t="shared" ref="AB53" si="196">AVERAGE(J52:J54)</f>
        <v>38.333333333333336</v>
      </c>
      <c r="AC53">
        <f t="shared" ref="AC53" si="197">AVERAGE(K52:K54)</f>
        <v>47.333333333333336</v>
      </c>
      <c r="AD53">
        <f t="shared" ref="AD53" si="198">AVERAGE(L52:L54)</f>
        <v>57.666666666666664</v>
      </c>
      <c r="AE53">
        <f t="shared" ref="AE53" si="199">AVERAGE(M52:M54)</f>
        <v>71.666666666666671</v>
      </c>
      <c r="AF53">
        <f t="shared" ref="AF53" si="200">AVERAGE(N52:N54)</f>
        <v>81</v>
      </c>
      <c r="AG53">
        <f t="shared" ref="AG53" si="201">AVERAGE(O52:O54)</f>
        <v>94</v>
      </c>
      <c r="AH53">
        <f t="shared" ref="AH53" si="202">AVERAGE(P52:P54)</f>
        <v>105.66666666666667</v>
      </c>
      <c r="AI53">
        <f t="shared" ref="AI53" si="203">AVERAGE(Q52:Q54)</f>
        <v>119</v>
      </c>
      <c r="AJ53">
        <f t="shared" ref="AJ53" si="204">AVERAGE(R52:R54)</f>
        <v>134</v>
      </c>
      <c r="AK53">
        <f t="shared" ref="AK53" si="205">AVERAGE(S52:S54)</f>
        <v>142</v>
      </c>
      <c r="AL53">
        <f t="shared" ref="AL53" si="206">AVERAGE(T52:T54)</f>
        <v>147.33333333333334</v>
      </c>
      <c r="AM53">
        <f t="shared" ref="AM53" si="207">AVERAGE(U52:U54)</f>
        <v>155</v>
      </c>
      <c r="AN53">
        <f t="shared" ref="AN53" si="208">AVERAGE(V52:V54)</f>
        <v>153.66666666666666</v>
      </c>
    </row>
    <row r="54" spans="1:40" ht="19.899999999999999" customHeight="1" thickBot="1" x14ac:dyDescent="0.25">
      <c r="A54" s="43"/>
      <c r="B54" s="17"/>
      <c r="C54" s="19"/>
      <c r="D54" s="21" t="s">
        <v>21</v>
      </c>
      <c r="E54" s="64" t="s">
        <v>34</v>
      </c>
      <c r="F54" s="11">
        <v>11</v>
      </c>
      <c r="G54" s="11">
        <v>10</v>
      </c>
      <c r="H54" s="11">
        <v>22</v>
      </c>
      <c r="I54" s="11">
        <v>22</v>
      </c>
      <c r="J54" s="11">
        <v>38</v>
      </c>
      <c r="K54" s="11">
        <v>44</v>
      </c>
      <c r="L54" s="11">
        <v>53</v>
      </c>
      <c r="M54" s="11">
        <v>64</v>
      </c>
      <c r="N54" s="11">
        <v>69</v>
      </c>
      <c r="O54" s="11">
        <v>80</v>
      </c>
      <c r="P54" s="11">
        <v>89</v>
      </c>
      <c r="Q54" s="11">
        <v>103</v>
      </c>
      <c r="R54" s="11">
        <v>118</v>
      </c>
      <c r="S54" s="11">
        <v>127</v>
      </c>
      <c r="T54" s="11">
        <v>134</v>
      </c>
      <c r="U54" s="11">
        <v>134</v>
      </c>
      <c r="V54" s="11">
        <v>134</v>
      </c>
    </row>
    <row r="55" spans="1:40" ht="19.899999999999999" customHeight="1" x14ac:dyDescent="0.2">
      <c r="A55" s="43"/>
      <c r="B55" s="12" t="s">
        <v>4</v>
      </c>
      <c r="C55" s="18">
        <v>2</v>
      </c>
      <c r="D55" s="16" t="s">
        <v>22</v>
      </c>
      <c r="E55" s="62" t="s">
        <v>36</v>
      </c>
      <c r="F55" s="9">
        <v>11</v>
      </c>
      <c r="G55" s="9">
        <v>17</v>
      </c>
      <c r="H55" s="9">
        <v>22</v>
      </c>
      <c r="I55" s="9">
        <v>31</v>
      </c>
      <c r="J55" s="9">
        <v>44</v>
      </c>
      <c r="K55" s="9">
        <v>47</v>
      </c>
      <c r="L55" s="9">
        <v>56</v>
      </c>
      <c r="M55" s="9">
        <v>66</v>
      </c>
      <c r="N55" s="9">
        <v>69</v>
      </c>
      <c r="O55" s="9">
        <v>71</v>
      </c>
      <c r="P55" s="9">
        <v>54</v>
      </c>
      <c r="Q55" s="9">
        <v>90</v>
      </c>
      <c r="R55" s="9">
        <v>92</v>
      </c>
      <c r="S55" s="9">
        <v>98</v>
      </c>
      <c r="T55" s="9">
        <v>93</v>
      </c>
      <c r="U55" s="9">
        <v>93</v>
      </c>
      <c r="V55" s="9">
        <v>89</v>
      </c>
    </row>
    <row r="56" spans="1:40" ht="19.899999999999999" customHeight="1" x14ac:dyDescent="0.2">
      <c r="A56" s="43"/>
      <c r="B56" s="13"/>
      <c r="C56" s="38"/>
      <c r="D56" s="20" t="s">
        <v>20</v>
      </c>
      <c r="E56" s="63" t="s">
        <v>36</v>
      </c>
      <c r="F56" s="10">
        <v>10</v>
      </c>
      <c r="G56" s="10">
        <v>20</v>
      </c>
      <c r="H56" s="10">
        <v>23</v>
      </c>
      <c r="I56" s="10">
        <v>32</v>
      </c>
      <c r="J56" s="10">
        <v>38</v>
      </c>
      <c r="K56" s="10">
        <v>44</v>
      </c>
      <c r="L56" s="10">
        <v>48</v>
      </c>
      <c r="M56" s="10">
        <v>53</v>
      </c>
      <c r="N56" s="10">
        <v>54</v>
      </c>
      <c r="O56" s="10">
        <v>71</v>
      </c>
      <c r="P56" s="10">
        <v>68</v>
      </c>
      <c r="Q56" s="10">
        <v>65</v>
      </c>
      <c r="R56" s="10">
        <v>65</v>
      </c>
      <c r="S56" s="10">
        <v>67</v>
      </c>
      <c r="T56" s="10">
        <v>65</v>
      </c>
      <c r="U56" s="10">
        <v>65</v>
      </c>
      <c r="V56" s="10">
        <v>71</v>
      </c>
      <c r="X56">
        <f>AVERAGE(F55:F57)</f>
        <v>11.333333333333334</v>
      </c>
      <c r="Y56">
        <f t="shared" ref="Y56" si="209">AVERAGE(G55:G57)</f>
        <v>18.333333333333332</v>
      </c>
      <c r="Z56">
        <f t="shared" ref="Z56" si="210">AVERAGE(H55:H57)</f>
        <v>23</v>
      </c>
      <c r="AA56">
        <f t="shared" ref="AA56" si="211">AVERAGE(I55:I57)</f>
        <v>33.333333333333336</v>
      </c>
      <c r="AB56">
        <f t="shared" ref="AB56" si="212">AVERAGE(J55:J57)</f>
        <v>41</v>
      </c>
      <c r="AC56">
        <f t="shared" ref="AC56" si="213">AVERAGE(K55:K57)</f>
        <v>46.666666666666664</v>
      </c>
      <c r="AD56">
        <f t="shared" ref="AD56" si="214">AVERAGE(L55:L57)</f>
        <v>54.666666666666664</v>
      </c>
      <c r="AE56">
        <f t="shared" ref="AE56" si="215">AVERAGE(M55:M57)</f>
        <v>63.333333333333336</v>
      </c>
      <c r="AF56">
        <f t="shared" ref="AF56" si="216">AVERAGE(N55:N57)</f>
        <v>65</v>
      </c>
      <c r="AG56">
        <f t="shared" ref="AG56" si="217">AVERAGE(O55:O57)</f>
        <v>75</v>
      </c>
      <c r="AH56">
        <f t="shared" ref="AH56" si="218">AVERAGE(P55:P57)</f>
        <v>69.666666666666671</v>
      </c>
      <c r="AI56">
        <f t="shared" ref="AI56" si="219">AVERAGE(Q55:Q57)</f>
        <v>82</v>
      </c>
      <c r="AJ56">
        <f t="shared" ref="AJ56" si="220">AVERAGE(R55:R57)</f>
        <v>85.333333333333329</v>
      </c>
      <c r="AK56">
        <f t="shared" ref="AK56" si="221">AVERAGE(S55:S57)</f>
        <v>87.333333333333329</v>
      </c>
      <c r="AL56">
        <f t="shared" ref="AL56" si="222">AVERAGE(T55:T57)</f>
        <v>84.333333333333329</v>
      </c>
      <c r="AM56">
        <f t="shared" ref="AM56" si="223">AVERAGE(U55:U57)</f>
        <v>84.666666666666671</v>
      </c>
      <c r="AN56">
        <f t="shared" ref="AN56" si="224">AVERAGE(V55:V57)</f>
        <v>85.666666666666671</v>
      </c>
    </row>
    <row r="57" spans="1:40" ht="19.899999999999999" customHeight="1" thickBot="1" x14ac:dyDescent="0.25">
      <c r="A57" s="43"/>
      <c r="B57" s="17"/>
      <c r="C57" s="19"/>
      <c r="D57" s="21" t="s">
        <v>21</v>
      </c>
      <c r="E57" s="64" t="s">
        <v>36</v>
      </c>
      <c r="F57" s="11">
        <v>13</v>
      </c>
      <c r="G57" s="11">
        <v>18</v>
      </c>
      <c r="H57" s="11">
        <v>24</v>
      </c>
      <c r="I57" s="11">
        <v>37</v>
      </c>
      <c r="J57" s="11">
        <v>41</v>
      </c>
      <c r="K57" s="11">
        <v>49</v>
      </c>
      <c r="L57" s="11">
        <v>60</v>
      </c>
      <c r="M57" s="11">
        <v>71</v>
      </c>
      <c r="N57" s="11">
        <v>72</v>
      </c>
      <c r="O57" s="11">
        <v>83</v>
      </c>
      <c r="P57" s="11">
        <v>87</v>
      </c>
      <c r="Q57" s="11">
        <v>91</v>
      </c>
      <c r="R57" s="11">
        <v>99</v>
      </c>
      <c r="S57" s="11">
        <v>97</v>
      </c>
      <c r="T57" s="11">
        <v>95</v>
      </c>
      <c r="U57" s="11">
        <v>96</v>
      </c>
      <c r="V57" s="11">
        <v>97</v>
      </c>
    </row>
    <row r="58" spans="1:40" ht="19.899999999999999" customHeight="1" x14ac:dyDescent="0.2">
      <c r="A58" s="43"/>
      <c r="B58" s="12" t="s">
        <v>4</v>
      </c>
      <c r="C58" s="18">
        <v>1</v>
      </c>
      <c r="D58" s="16" t="s">
        <v>22</v>
      </c>
      <c r="E58" s="62" t="s">
        <v>33</v>
      </c>
      <c r="F58" s="9">
        <v>10</v>
      </c>
      <c r="G58" s="9">
        <v>16</v>
      </c>
      <c r="H58" s="9">
        <v>22</v>
      </c>
      <c r="I58" s="9">
        <v>34</v>
      </c>
      <c r="J58" s="9">
        <v>39</v>
      </c>
      <c r="K58" s="9">
        <v>45</v>
      </c>
      <c r="L58" s="9">
        <v>53</v>
      </c>
      <c r="M58" s="9">
        <v>58</v>
      </c>
      <c r="N58" s="9">
        <v>66</v>
      </c>
      <c r="O58" s="9">
        <v>82</v>
      </c>
      <c r="P58" s="9">
        <v>82</v>
      </c>
      <c r="Q58" s="9">
        <v>90</v>
      </c>
      <c r="R58" s="9">
        <v>100</v>
      </c>
      <c r="S58" s="9">
        <v>115</v>
      </c>
      <c r="T58" s="9">
        <v>112</v>
      </c>
      <c r="U58" s="9">
        <v>105</v>
      </c>
      <c r="V58" s="9">
        <v>96</v>
      </c>
    </row>
    <row r="59" spans="1:40" ht="19.899999999999999" customHeight="1" x14ac:dyDescent="0.2">
      <c r="A59" s="43"/>
      <c r="B59" s="13"/>
      <c r="C59" s="38"/>
      <c r="D59" s="20" t="s">
        <v>20</v>
      </c>
      <c r="E59" s="63" t="s">
        <v>33</v>
      </c>
      <c r="F59" s="10">
        <v>11</v>
      </c>
      <c r="G59" s="10">
        <v>16</v>
      </c>
      <c r="H59" s="10">
        <v>24</v>
      </c>
      <c r="I59" s="10">
        <v>30.5</v>
      </c>
      <c r="J59" s="10">
        <v>41</v>
      </c>
      <c r="K59" s="10">
        <v>52</v>
      </c>
      <c r="L59" s="10">
        <v>60</v>
      </c>
      <c r="M59" s="10">
        <v>66</v>
      </c>
      <c r="N59" s="10">
        <v>72</v>
      </c>
      <c r="O59" s="10">
        <v>81</v>
      </c>
      <c r="P59" s="10">
        <v>87</v>
      </c>
      <c r="Q59" s="10">
        <v>100</v>
      </c>
      <c r="R59" s="10">
        <v>104</v>
      </c>
      <c r="S59" s="10">
        <v>110</v>
      </c>
      <c r="T59" s="10">
        <v>108</v>
      </c>
      <c r="U59" s="10">
        <v>107</v>
      </c>
      <c r="V59" s="10">
        <v>107</v>
      </c>
      <c r="X59">
        <f>AVERAGE(F58:F60)</f>
        <v>10.666666666666666</v>
      </c>
      <c r="Y59">
        <f t="shared" ref="Y59" si="225">AVERAGE(G58:G60)</f>
        <v>16.666666666666668</v>
      </c>
      <c r="Z59">
        <f t="shared" ref="Z59" si="226">AVERAGE(H58:H60)</f>
        <v>24.666666666666668</v>
      </c>
      <c r="AA59">
        <f t="shared" ref="AA59" si="227">AVERAGE(I58:I60)</f>
        <v>34.166666666666664</v>
      </c>
      <c r="AB59">
        <f t="shared" ref="AB59" si="228">AVERAGE(J58:J60)</f>
        <v>42</v>
      </c>
      <c r="AC59">
        <f t="shared" ref="AC59" si="229">AVERAGE(K58:K60)</f>
        <v>51</v>
      </c>
      <c r="AD59">
        <f t="shared" ref="AD59" si="230">AVERAGE(L58:L60)</f>
        <v>57.666666666666664</v>
      </c>
      <c r="AE59">
        <f t="shared" ref="AE59" si="231">AVERAGE(M58:M60)</f>
        <v>67</v>
      </c>
      <c r="AF59">
        <f t="shared" ref="AF59" si="232">AVERAGE(N58:N60)</f>
        <v>74.333333333333329</v>
      </c>
      <c r="AG59">
        <f t="shared" ref="AG59" si="233">AVERAGE(O58:O60)</f>
        <v>87</v>
      </c>
      <c r="AH59">
        <f t="shared" ref="AH59" si="234">AVERAGE(P58:P60)</f>
        <v>92</v>
      </c>
      <c r="AI59">
        <f t="shared" ref="AI59" si="235">AVERAGE(Q58:Q60)</f>
        <v>103.66666666666667</v>
      </c>
      <c r="AJ59">
        <f t="shared" ref="AJ59" si="236">AVERAGE(R58:R60)</f>
        <v>113</v>
      </c>
      <c r="AK59">
        <f t="shared" ref="AK59" si="237">AVERAGE(S58:S60)</f>
        <v>119.66666666666667</v>
      </c>
      <c r="AL59">
        <f t="shared" ref="AL59" si="238">AVERAGE(T58:T60)</f>
        <v>119</v>
      </c>
      <c r="AM59">
        <f t="shared" ref="AM59" si="239">AVERAGE(U58:U60)</f>
        <v>116.33333333333333</v>
      </c>
      <c r="AN59">
        <f t="shared" ref="AN59" si="240">AVERAGE(V58:V60)</f>
        <v>116.33333333333333</v>
      </c>
    </row>
    <row r="60" spans="1:40" ht="19.899999999999999" customHeight="1" thickBot="1" x14ac:dyDescent="0.25">
      <c r="A60" s="43"/>
      <c r="B60" s="17"/>
      <c r="C60" s="19"/>
      <c r="D60" s="21" t="s">
        <v>21</v>
      </c>
      <c r="E60" s="64" t="s">
        <v>33</v>
      </c>
      <c r="F60" s="11">
        <v>11</v>
      </c>
      <c r="G60" s="11">
        <v>18</v>
      </c>
      <c r="H60" s="11">
        <v>28</v>
      </c>
      <c r="I60" s="11">
        <v>38</v>
      </c>
      <c r="J60" s="11">
        <v>46</v>
      </c>
      <c r="K60" s="11">
        <v>56</v>
      </c>
      <c r="L60" s="11">
        <v>60</v>
      </c>
      <c r="M60" s="11">
        <v>77</v>
      </c>
      <c r="N60" s="11">
        <v>85</v>
      </c>
      <c r="O60" s="11">
        <v>98</v>
      </c>
      <c r="P60" s="11">
        <v>107</v>
      </c>
      <c r="Q60" s="11">
        <v>121</v>
      </c>
      <c r="R60" s="11">
        <v>135</v>
      </c>
      <c r="S60" s="11">
        <v>134</v>
      </c>
      <c r="T60" s="11">
        <v>137</v>
      </c>
      <c r="U60" s="11">
        <v>137</v>
      </c>
      <c r="V60" s="11">
        <v>146</v>
      </c>
    </row>
    <row r="61" spans="1:40" ht="19.899999999999999" customHeight="1" x14ac:dyDescent="0.2">
      <c r="A61" s="43"/>
      <c r="B61" s="12" t="s">
        <v>5</v>
      </c>
      <c r="C61" s="18">
        <v>1</v>
      </c>
      <c r="D61" s="16" t="s">
        <v>21</v>
      </c>
      <c r="E61" s="62" t="s">
        <v>34</v>
      </c>
      <c r="F61" s="9">
        <v>11</v>
      </c>
      <c r="G61" s="9">
        <v>12</v>
      </c>
      <c r="H61" s="9">
        <v>24</v>
      </c>
      <c r="I61" s="9">
        <v>24</v>
      </c>
      <c r="J61" s="9">
        <v>38</v>
      </c>
      <c r="K61" s="9">
        <v>43</v>
      </c>
      <c r="L61" s="9">
        <v>67</v>
      </c>
      <c r="M61" s="9">
        <v>75</v>
      </c>
      <c r="N61" s="9">
        <v>82</v>
      </c>
      <c r="O61" s="9">
        <v>96</v>
      </c>
      <c r="P61" s="9">
        <v>106</v>
      </c>
      <c r="Q61" s="9">
        <v>118</v>
      </c>
      <c r="R61" s="9">
        <v>125</v>
      </c>
      <c r="S61" s="9">
        <v>132</v>
      </c>
      <c r="T61" s="9">
        <v>137</v>
      </c>
      <c r="U61" s="9">
        <v>142</v>
      </c>
      <c r="V61" s="9">
        <v>141</v>
      </c>
    </row>
    <row r="62" spans="1:40" ht="19.899999999999999" customHeight="1" x14ac:dyDescent="0.2">
      <c r="A62" s="43"/>
      <c r="C62" s="38"/>
      <c r="D62" s="20" t="s">
        <v>20</v>
      </c>
      <c r="E62" s="63" t="s">
        <v>34</v>
      </c>
      <c r="F62" s="10">
        <v>11</v>
      </c>
      <c r="G62" s="10">
        <v>18</v>
      </c>
      <c r="H62" s="10">
        <v>23</v>
      </c>
      <c r="I62" s="10">
        <v>37</v>
      </c>
      <c r="J62" s="10">
        <v>43</v>
      </c>
      <c r="K62" s="10">
        <v>52</v>
      </c>
      <c r="L62" s="10">
        <v>69</v>
      </c>
      <c r="M62" s="10">
        <v>82</v>
      </c>
      <c r="N62" s="10">
        <v>90</v>
      </c>
      <c r="O62" s="10">
        <v>105</v>
      </c>
      <c r="P62" s="10">
        <v>116</v>
      </c>
      <c r="Q62" s="10">
        <v>124</v>
      </c>
      <c r="R62" s="10">
        <v>131</v>
      </c>
      <c r="S62" s="10">
        <v>138</v>
      </c>
      <c r="T62" s="10">
        <v>144</v>
      </c>
      <c r="U62" s="10">
        <v>147</v>
      </c>
      <c r="V62" s="10">
        <v>147</v>
      </c>
      <c r="X62">
        <f>AVERAGE(F61:F63)</f>
        <v>11.666666666666666</v>
      </c>
      <c r="Y62">
        <f t="shared" ref="Y62" si="241">AVERAGE(G61:G63)</f>
        <v>16</v>
      </c>
      <c r="Z62">
        <f t="shared" ref="Z62" si="242">AVERAGE(H61:H63)</f>
        <v>23.666666666666668</v>
      </c>
      <c r="AA62">
        <f t="shared" ref="AA62" si="243">AVERAGE(I61:I63)</f>
        <v>32.166666666666664</v>
      </c>
      <c r="AB62">
        <f t="shared" ref="AB62" si="244">AVERAGE(J61:J63)</f>
        <v>41.666666666666664</v>
      </c>
      <c r="AC62">
        <f t="shared" ref="AC62" si="245">AVERAGE(K61:K63)</f>
        <v>48.666666666666664</v>
      </c>
      <c r="AD62">
        <f t="shared" ref="AD62" si="246">AVERAGE(L61:L63)</f>
        <v>66</v>
      </c>
      <c r="AE62">
        <f t="shared" ref="AE62" si="247">AVERAGE(M61:M63)</f>
        <v>81.333333333333329</v>
      </c>
      <c r="AF62">
        <f t="shared" ref="AF62" si="248">AVERAGE(N61:N63)</f>
        <v>87</v>
      </c>
      <c r="AG62">
        <f t="shared" ref="AG62" si="249">AVERAGE(O61:O63)</f>
        <v>101.66666666666667</v>
      </c>
      <c r="AH62">
        <f t="shared" ref="AH62" si="250">AVERAGE(P61:P63)</f>
        <v>112.66666666666667</v>
      </c>
      <c r="AI62">
        <f t="shared" ref="AI62" si="251">AVERAGE(Q61:Q63)</f>
        <v>124.33333333333333</v>
      </c>
      <c r="AJ62">
        <f t="shared" ref="AJ62" si="252">AVERAGE(R61:R63)</f>
        <v>131</v>
      </c>
      <c r="AK62">
        <f t="shared" ref="AK62" si="253">AVERAGE(S61:S63)</f>
        <v>138</v>
      </c>
      <c r="AL62">
        <f t="shared" ref="AL62" si="254">AVERAGE(T61:T63)</f>
        <v>143.66666666666666</v>
      </c>
      <c r="AM62">
        <f t="shared" ref="AM62" si="255">AVERAGE(U61:U63)</f>
        <v>149.66666666666666</v>
      </c>
      <c r="AN62">
        <f t="shared" ref="AN62" si="256">AVERAGE(V61:V63)</f>
        <v>150.33333333333334</v>
      </c>
    </row>
    <row r="63" spans="1:40" ht="19.899999999999999" customHeight="1" thickBot="1" x14ac:dyDescent="0.25">
      <c r="A63" s="43"/>
      <c r="B63" s="17"/>
      <c r="C63" s="19"/>
      <c r="D63" s="21" t="s">
        <v>22</v>
      </c>
      <c r="E63" s="64" t="s">
        <v>34</v>
      </c>
      <c r="F63" s="11">
        <v>13</v>
      </c>
      <c r="G63" s="11">
        <v>18</v>
      </c>
      <c r="H63" s="11">
        <v>24</v>
      </c>
      <c r="I63" s="11">
        <v>35.5</v>
      </c>
      <c r="J63" s="11">
        <v>44</v>
      </c>
      <c r="K63" s="11">
        <v>51</v>
      </c>
      <c r="L63" s="11">
        <v>62</v>
      </c>
      <c r="M63" s="11">
        <v>87</v>
      </c>
      <c r="N63" s="11">
        <v>89</v>
      </c>
      <c r="O63" s="11">
        <v>104</v>
      </c>
      <c r="P63" s="11">
        <v>116</v>
      </c>
      <c r="Q63" s="11">
        <v>131</v>
      </c>
      <c r="R63" s="11">
        <v>137</v>
      </c>
      <c r="S63" s="11">
        <v>144</v>
      </c>
      <c r="T63" s="11">
        <v>150</v>
      </c>
      <c r="U63" s="11">
        <v>160</v>
      </c>
      <c r="V63" s="11">
        <v>163</v>
      </c>
    </row>
    <row r="64" spans="1:40" ht="19.899999999999999" customHeight="1" x14ac:dyDescent="0.2">
      <c r="A64" s="43"/>
      <c r="B64" s="12" t="s">
        <v>5</v>
      </c>
      <c r="C64" s="18">
        <v>2</v>
      </c>
      <c r="D64" s="16" t="s">
        <v>21</v>
      </c>
      <c r="E64" s="62" t="s">
        <v>42</v>
      </c>
      <c r="F64" s="9">
        <v>12</v>
      </c>
      <c r="G64" s="9">
        <v>17</v>
      </c>
      <c r="H64" s="9">
        <v>26</v>
      </c>
      <c r="I64" s="9">
        <v>34</v>
      </c>
      <c r="J64" s="9">
        <v>46</v>
      </c>
      <c r="K64" s="9">
        <v>57</v>
      </c>
      <c r="L64" s="9">
        <v>81</v>
      </c>
      <c r="M64" s="9">
        <v>97</v>
      </c>
      <c r="N64" s="9">
        <v>101</v>
      </c>
      <c r="O64" s="9">
        <v>126</v>
      </c>
      <c r="P64" s="9">
        <v>137</v>
      </c>
      <c r="Q64" s="9">
        <v>141</v>
      </c>
      <c r="R64" s="9">
        <v>144</v>
      </c>
      <c r="S64" s="9">
        <v>146</v>
      </c>
      <c r="T64" s="9">
        <v>143</v>
      </c>
      <c r="U64" s="9">
        <v>142</v>
      </c>
      <c r="V64" s="9">
        <v>136</v>
      </c>
    </row>
    <row r="65" spans="1:40" ht="19.899999999999999" customHeight="1" x14ac:dyDescent="0.2">
      <c r="A65" s="43"/>
      <c r="B65" s="13"/>
      <c r="C65" s="38"/>
      <c r="D65" s="20" t="s">
        <v>20</v>
      </c>
      <c r="E65" s="63" t="s">
        <v>42</v>
      </c>
      <c r="F65" s="10">
        <v>12</v>
      </c>
      <c r="G65" s="10">
        <v>18</v>
      </c>
      <c r="H65" s="10">
        <v>24</v>
      </c>
      <c r="I65" s="10">
        <v>36</v>
      </c>
      <c r="J65" s="10">
        <v>43</v>
      </c>
      <c r="K65" s="10">
        <v>56</v>
      </c>
      <c r="L65" s="10">
        <v>73</v>
      </c>
      <c r="M65" s="10">
        <v>83</v>
      </c>
      <c r="N65" s="10">
        <v>94</v>
      </c>
      <c r="O65" s="10">
        <v>105</v>
      </c>
      <c r="P65" s="10">
        <v>114</v>
      </c>
      <c r="Q65" s="10">
        <v>120</v>
      </c>
      <c r="R65" s="10">
        <v>124</v>
      </c>
      <c r="S65" s="10">
        <v>123</v>
      </c>
      <c r="T65" s="10">
        <v>123</v>
      </c>
      <c r="U65" s="10">
        <v>122</v>
      </c>
      <c r="V65" s="10">
        <v>124</v>
      </c>
      <c r="X65">
        <f>AVERAGE(F64:F66)</f>
        <v>12.333333333333334</v>
      </c>
      <c r="Y65">
        <f t="shared" ref="Y65" si="257">AVERAGE(G64:G66)</f>
        <v>17</v>
      </c>
      <c r="Z65">
        <f t="shared" ref="Z65" si="258">AVERAGE(H64:H66)</f>
        <v>24.333333333333332</v>
      </c>
      <c r="AA65">
        <f t="shared" ref="AA65" si="259">AVERAGE(I64:I66)</f>
        <v>34</v>
      </c>
      <c r="AB65">
        <f t="shared" ref="AB65" si="260">AVERAGE(J64:J66)</f>
        <v>43</v>
      </c>
      <c r="AC65">
        <f t="shared" ref="AC65" si="261">AVERAGE(K64:K66)</f>
        <v>54.666666666666664</v>
      </c>
      <c r="AD65">
        <f t="shared" ref="AD65" si="262">AVERAGE(L64:L66)</f>
        <v>72</v>
      </c>
      <c r="AE65">
        <f t="shared" ref="AE65" si="263">AVERAGE(M64:M66)</f>
        <v>82</v>
      </c>
      <c r="AF65">
        <f t="shared" ref="AF65" si="264">AVERAGE(N64:N66)</f>
        <v>88.333333333333329</v>
      </c>
      <c r="AG65">
        <f t="shared" ref="AG65" si="265">AVERAGE(O64:O66)</f>
        <v>103.33333333333333</v>
      </c>
      <c r="AH65">
        <f t="shared" ref="AH65" si="266">AVERAGE(P64:P66)</f>
        <v>112.66666666666667</v>
      </c>
      <c r="AI65">
        <f t="shared" ref="AI65" si="267">AVERAGE(Q64:Q66)</f>
        <v>116</v>
      </c>
      <c r="AJ65">
        <f t="shared" ref="AJ65" si="268">AVERAGE(R64:R66)</f>
        <v>122</v>
      </c>
      <c r="AK65">
        <f t="shared" ref="AK65" si="269">AVERAGE(S64:S66)</f>
        <v>120.66666666666667</v>
      </c>
      <c r="AL65">
        <f t="shared" ref="AL65" si="270">AVERAGE(T64:T66)</f>
        <v>119</v>
      </c>
      <c r="AM65">
        <f t="shared" ref="AM65" si="271">AVERAGE(U64:U66)</f>
        <v>121.33333333333333</v>
      </c>
      <c r="AN65">
        <f t="shared" ref="AN65" si="272">AVERAGE(V64:V66)</f>
        <v>118</v>
      </c>
    </row>
    <row r="66" spans="1:40" ht="19.899999999999999" customHeight="1" thickBot="1" x14ac:dyDescent="0.25">
      <c r="A66" s="43"/>
      <c r="B66" s="17"/>
      <c r="C66" s="19"/>
      <c r="D66" s="21" t="s">
        <v>22</v>
      </c>
      <c r="E66" s="64" t="s">
        <v>42</v>
      </c>
      <c r="F66" s="11">
        <v>13</v>
      </c>
      <c r="G66" s="11">
        <v>16</v>
      </c>
      <c r="H66" s="11">
        <v>23</v>
      </c>
      <c r="I66" s="11">
        <v>32</v>
      </c>
      <c r="J66" s="11">
        <v>40</v>
      </c>
      <c r="K66" s="11">
        <v>51</v>
      </c>
      <c r="L66" s="11">
        <v>62</v>
      </c>
      <c r="M66" s="11">
        <v>66</v>
      </c>
      <c r="N66" s="11">
        <v>70</v>
      </c>
      <c r="O66" s="11">
        <v>79</v>
      </c>
      <c r="P66" s="11">
        <v>87</v>
      </c>
      <c r="Q66" s="11">
        <v>87</v>
      </c>
      <c r="R66" s="11">
        <v>98</v>
      </c>
      <c r="S66" s="11">
        <v>93</v>
      </c>
      <c r="T66" s="11">
        <v>91</v>
      </c>
      <c r="U66" s="11">
        <v>100</v>
      </c>
      <c r="V66" s="11">
        <v>94</v>
      </c>
    </row>
    <row r="67" spans="1:40" ht="19.899999999999999" customHeight="1" x14ac:dyDescent="0.2">
      <c r="A67" s="43"/>
      <c r="B67" s="12" t="s">
        <v>5</v>
      </c>
      <c r="C67" s="18">
        <v>3</v>
      </c>
      <c r="D67" s="16" t="s">
        <v>21</v>
      </c>
      <c r="E67" s="62" t="s">
        <v>43</v>
      </c>
      <c r="F67" s="9">
        <v>9</v>
      </c>
      <c r="G67" s="9">
        <v>11</v>
      </c>
      <c r="H67" s="9">
        <v>21</v>
      </c>
      <c r="I67" s="9">
        <v>33</v>
      </c>
      <c r="J67" s="9">
        <v>44</v>
      </c>
      <c r="K67" s="9">
        <v>55</v>
      </c>
      <c r="L67" s="9">
        <v>73</v>
      </c>
      <c r="M67" s="9">
        <v>93</v>
      </c>
      <c r="N67" s="9">
        <v>106</v>
      </c>
      <c r="O67" s="9">
        <v>119</v>
      </c>
      <c r="P67" s="9">
        <v>129</v>
      </c>
      <c r="Q67" s="9">
        <v>142</v>
      </c>
      <c r="R67" s="9">
        <v>143</v>
      </c>
      <c r="S67" s="9">
        <v>148</v>
      </c>
      <c r="T67" s="9">
        <v>151</v>
      </c>
      <c r="U67" s="9">
        <v>151</v>
      </c>
      <c r="V67" s="9">
        <v>151</v>
      </c>
    </row>
    <row r="68" spans="1:40" ht="19.899999999999999" customHeight="1" x14ac:dyDescent="0.2">
      <c r="A68" s="43"/>
      <c r="B68" s="13"/>
      <c r="C68" s="38"/>
      <c r="D68" s="20" t="s">
        <v>20</v>
      </c>
      <c r="E68" s="63" t="s">
        <v>43</v>
      </c>
      <c r="F68" s="10">
        <v>11</v>
      </c>
      <c r="G68" s="10">
        <v>10</v>
      </c>
      <c r="H68" s="10">
        <v>21</v>
      </c>
      <c r="I68" s="10">
        <v>28</v>
      </c>
      <c r="J68" s="10">
        <v>37</v>
      </c>
      <c r="K68" s="10">
        <v>48</v>
      </c>
      <c r="L68" s="10">
        <v>59</v>
      </c>
      <c r="M68" s="10">
        <v>71</v>
      </c>
      <c r="N68" s="10">
        <v>80</v>
      </c>
      <c r="O68" s="10">
        <v>94</v>
      </c>
      <c r="P68" s="10">
        <v>110</v>
      </c>
      <c r="Q68" s="10">
        <v>120</v>
      </c>
      <c r="R68" s="10">
        <v>131</v>
      </c>
      <c r="S68" s="10">
        <v>140</v>
      </c>
      <c r="T68" s="10">
        <v>148</v>
      </c>
      <c r="U68" s="10">
        <v>143</v>
      </c>
      <c r="V68" s="10">
        <v>148</v>
      </c>
      <c r="X68">
        <f>AVERAGE(F67:F69)</f>
        <v>9.6666666666666661</v>
      </c>
      <c r="Y68">
        <f t="shared" ref="Y68" si="273">AVERAGE(G67:G69)</f>
        <v>11</v>
      </c>
      <c r="Z68">
        <f t="shared" ref="Z68" si="274">AVERAGE(H67:H69)</f>
        <v>19.666666666666668</v>
      </c>
      <c r="AA68">
        <f t="shared" ref="AA68" si="275">AVERAGE(I67:I69)</f>
        <v>28.666666666666668</v>
      </c>
      <c r="AB68">
        <f t="shared" ref="AB68" si="276">AVERAGE(J67:J69)</f>
        <v>39.333333333333336</v>
      </c>
      <c r="AC68">
        <f t="shared" ref="AC68" si="277">AVERAGE(K67:K69)</f>
        <v>52</v>
      </c>
      <c r="AD68">
        <f t="shared" ref="AD68" si="278">AVERAGE(L67:L69)</f>
        <v>65.333333333333329</v>
      </c>
      <c r="AE68">
        <f t="shared" ref="AE68" si="279">AVERAGE(M67:M69)</f>
        <v>81.666666666666671</v>
      </c>
      <c r="AF68">
        <f t="shared" ref="AF68" si="280">AVERAGE(N67:N69)</f>
        <v>94.666666666666671</v>
      </c>
      <c r="AG68">
        <f t="shared" ref="AG68" si="281">AVERAGE(O67:O69)</f>
        <v>109.66666666666667</v>
      </c>
      <c r="AH68">
        <f t="shared" ref="AH68" si="282">AVERAGE(P67:P69)</f>
        <v>122.66666666666667</v>
      </c>
      <c r="AI68">
        <f t="shared" ref="AI68" si="283">AVERAGE(Q67:Q69)</f>
        <v>134.33333333333334</v>
      </c>
      <c r="AJ68">
        <f t="shared" ref="AJ68" si="284">AVERAGE(R67:R69)</f>
        <v>140</v>
      </c>
      <c r="AK68">
        <f t="shared" ref="AK68" si="285">AVERAGE(S67:S69)</f>
        <v>148.66666666666666</v>
      </c>
      <c r="AL68">
        <f t="shared" ref="AL68" si="286">AVERAGE(T67:T69)</f>
        <v>152.33333333333334</v>
      </c>
      <c r="AM68">
        <f t="shared" ref="AM68" si="287">AVERAGE(U67:U69)</f>
        <v>150.66666666666666</v>
      </c>
      <c r="AN68">
        <f t="shared" ref="AN68" si="288">AVERAGE(V67:V69)</f>
        <v>154.33333333333334</v>
      </c>
    </row>
    <row r="69" spans="1:40" ht="19.899999999999999" customHeight="1" thickBot="1" x14ac:dyDescent="0.25">
      <c r="A69" s="43"/>
      <c r="B69" s="17"/>
      <c r="C69" s="19"/>
      <c r="D69" s="21" t="s">
        <v>22</v>
      </c>
      <c r="E69" s="64" t="s">
        <v>43</v>
      </c>
      <c r="F69" s="11">
        <v>9</v>
      </c>
      <c r="G69" s="11">
        <v>12</v>
      </c>
      <c r="H69" s="11">
        <v>17</v>
      </c>
      <c r="I69" s="11">
        <v>25</v>
      </c>
      <c r="J69" s="11">
        <v>37</v>
      </c>
      <c r="K69" s="11">
        <v>53</v>
      </c>
      <c r="L69" s="11">
        <v>64</v>
      </c>
      <c r="M69" s="11">
        <v>81</v>
      </c>
      <c r="N69" s="11">
        <v>98</v>
      </c>
      <c r="O69" s="11">
        <v>116</v>
      </c>
      <c r="P69" s="11">
        <v>129</v>
      </c>
      <c r="Q69" s="11">
        <v>141</v>
      </c>
      <c r="R69" s="11">
        <v>146</v>
      </c>
      <c r="S69" s="11">
        <v>158</v>
      </c>
      <c r="T69" s="11">
        <v>158</v>
      </c>
      <c r="U69" s="11">
        <v>158</v>
      </c>
      <c r="V69" s="11">
        <v>164</v>
      </c>
    </row>
    <row r="70" spans="1:40" ht="19.899999999999999" customHeight="1" x14ac:dyDescent="0.2">
      <c r="A70" s="43"/>
      <c r="B70" s="12" t="s">
        <v>5</v>
      </c>
      <c r="C70" s="18">
        <v>4</v>
      </c>
      <c r="D70" s="16" t="s">
        <v>21</v>
      </c>
      <c r="E70" s="62" t="s">
        <v>35</v>
      </c>
      <c r="F70" s="9">
        <v>9</v>
      </c>
      <c r="G70" s="9">
        <v>11</v>
      </c>
      <c r="H70" s="9">
        <v>18</v>
      </c>
      <c r="I70" s="9">
        <v>24.5</v>
      </c>
      <c r="J70" s="9">
        <v>33</v>
      </c>
      <c r="K70" s="9">
        <v>38</v>
      </c>
      <c r="L70" s="9">
        <v>41</v>
      </c>
      <c r="M70" s="9">
        <v>48</v>
      </c>
      <c r="N70" s="9">
        <v>51</v>
      </c>
      <c r="O70" s="9">
        <v>62</v>
      </c>
      <c r="P70" s="9">
        <v>70</v>
      </c>
      <c r="Q70" s="9">
        <v>71</v>
      </c>
      <c r="R70" s="9">
        <v>86</v>
      </c>
      <c r="S70" s="9">
        <v>83</v>
      </c>
      <c r="T70" s="9">
        <v>86</v>
      </c>
      <c r="U70" s="9">
        <v>88</v>
      </c>
      <c r="V70" s="9">
        <v>97</v>
      </c>
    </row>
    <row r="71" spans="1:40" ht="19.899999999999999" customHeight="1" x14ac:dyDescent="0.2">
      <c r="A71" s="43"/>
      <c r="B71" s="13"/>
      <c r="C71" s="38"/>
      <c r="D71" s="20" t="s">
        <v>20</v>
      </c>
      <c r="E71" s="63" t="s">
        <v>35</v>
      </c>
      <c r="F71" s="10">
        <v>9</v>
      </c>
      <c r="G71" s="10">
        <v>13</v>
      </c>
      <c r="H71" s="10">
        <v>15</v>
      </c>
      <c r="I71" s="10">
        <v>23</v>
      </c>
      <c r="J71" s="10">
        <v>24</v>
      </c>
      <c r="K71" s="10">
        <v>24</v>
      </c>
      <c r="L71" s="10">
        <v>32</v>
      </c>
      <c r="M71" s="10">
        <v>33</v>
      </c>
      <c r="N71" s="10">
        <v>33</v>
      </c>
      <c r="O71" s="10">
        <v>42</v>
      </c>
      <c r="P71" s="10">
        <v>47</v>
      </c>
      <c r="Q71" s="10">
        <v>68</v>
      </c>
      <c r="R71" s="10">
        <v>66</v>
      </c>
      <c r="S71" s="10">
        <v>71</v>
      </c>
      <c r="T71" s="10">
        <v>72</v>
      </c>
      <c r="U71" s="10">
        <v>74</v>
      </c>
      <c r="V71" s="10">
        <v>72</v>
      </c>
      <c r="X71">
        <f>AVERAGE(F70:F72)</f>
        <v>9.3333333333333339</v>
      </c>
      <c r="Y71">
        <f t="shared" ref="Y71" si="289">AVERAGE(G70:G72)</f>
        <v>12.333333333333334</v>
      </c>
      <c r="Z71">
        <f t="shared" ref="Z71" si="290">AVERAGE(H70:H72)</f>
        <v>16.666666666666668</v>
      </c>
      <c r="AA71">
        <f t="shared" ref="AA71" si="291">AVERAGE(I70:I72)</f>
        <v>24.166666666666668</v>
      </c>
      <c r="AB71">
        <f t="shared" ref="AB71" si="292">AVERAGE(J70:J72)</f>
        <v>28</v>
      </c>
      <c r="AC71">
        <f t="shared" ref="AC71" si="293">AVERAGE(K70:K72)</f>
        <v>30</v>
      </c>
      <c r="AD71">
        <f t="shared" ref="AD71" si="294">AVERAGE(L70:L72)</f>
        <v>35</v>
      </c>
      <c r="AE71">
        <f t="shared" ref="AE71" si="295">AVERAGE(M70:M72)</f>
        <v>38.666666666666664</v>
      </c>
      <c r="AF71">
        <f t="shared" ref="AF71" si="296">AVERAGE(N70:N72)</f>
        <v>39.333333333333336</v>
      </c>
      <c r="AG71">
        <f t="shared" ref="AG71" si="297">AVERAGE(O70:O72)</f>
        <v>51</v>
      </c>
      <c r="AH71">
        <f t="shared" ref="AH71" si="298">AVERAGE(P70:P72)</f>
        <v>57.666666666666664</v>
      </c>
      <c r="AI71">
        <f t="shared" ref="AI71" si="299">AVERAGE(Q70:Q72)</f>
        <v>68</v>
      </c>
      <c r="AJ71">
        <f t="shared" ref="AJ71" si="300">AVERAGE(R70:R72)</f>
        <v>75.333333333333329</v>
      </c>
      <c r="AK71">
        <f t="shared" ref="AK71" si="301">AVERAGE(S70:S72)</f>
        <v>78.666666666666671</v>
      </c>
      <c r="AL71">
        <f t="shared" ref="AL71" si="302">AVERAGE(T70:T72)</f>
        <v>79.666666666666671</v>
      </c>
      <c r="AM71">
        <f t="shared" ref="AM71" si="303">AVERAGE(U70:U72)</f>
        <v>80.666666666666671</v>
      </c>
      <c r="AN71">
        <f t="shared" ref="AN71" si="304">AVERAGE(V70:V72)</f>
        <v>84.333333333333329</v>
      </c>
    </row>
    <row r="72" spans="1:40" ht="19.899999999999999" customHeight="1" thickBot="1" x14ac:dyDescent="0.25">
      <c r="A72" s="43"/>
      <c r="B72" s="17"/>
      <c r="C72" s="19"/>
      <c r="D72" s="21" t="s">
        <v>22</v>
      </c>
      <c r="E72" s="64" t="s">
        <v>35</v>
      </c>
      <c r="F72" s="11">
        <v>10</v>
      </c>
      <c r="G72" s="11">
        <v>13</v>
      </c>
      <c r="H72" s="11">
        <v>17</v>
      </c>
      <c r="I72" s="11">
        <v>25</v>
      </c>
      <c r="J72" s="11">
        <v>27</v>
      </c>
      <c r="K72" s="11">
        <v>28</v>
      </c>
      <c r="L72" s="11">
        <v>32</v>
      </c>
      <c r="M72" s="11">
        <v>35</v>
      </c>
      <c r="N72" s="11">
        <v>34</v>
      </c>
      <c r="O72" s="11">
        <v>49</v>
      </c>
      <c r="P72" s="11">
        <v>56</v>
      </c>
      <c r="Q72" s="11">
        <v>65</v>
      </c>
      <c r="R72" s="11">
        <v>74</v>
      </c>
      <c r="S72" s="11">
        <v>82</v>
      </c>
      <c r="T72" s="11">
        <v>81</v>
      </c>
      <c r="U72" s="11">
        <v>80</v>
      </c>
      <c r="V72" s="11">
        <v>84</v>
      </c>
    </row>
    <row r="73" spans="1:40" ht="19.899999999999999" customHeight="1" x14ac:dyDescent="0.2">
      <c r="A73" s="43"/>
      <c r="B73" s="12" t="s">
        <v>6</v>
      </c>
      <c r="C73" s="18">
        <v>4</v>
      </c>
      <c r="D73" s="16" t="s">
        <v>22</v>
      </c>
      <c r="E73" s="62" t="s">
        <v>41</v>
      </c>
      <c r="F73" s="9">
        <v>9</v>
      </c>
      <c r="G73" s="9">
        <v>15</v>
      </c>
      <c r="H73" s="9">
        <v>20</v>
      </c>
      <c r="I73" s="9">
        <v>30.5</v>
      </c>
      <c r="J73" s="9">
        <v>33</v>
      </c>
      <c r="K73" s="9">
        <v>36</v>
      </c>
      <c r="L73" s="9">
        <v>43</v>
      </c>
      <c r="M73" s="9">
        <v>44</v>
      </c>
      <c r="N73" s="9">
        <v>54</v>
      </c>
      <c r="O73" s="9">
        <v>59</v>
      </c>
      <c r="P73" s="9">
        <v>67</v>
      </c>
      <c r="Q73" s="9">
        <v>82</v>
      </c>
      <c r="R73" s="9">
        <v>86</v>
      </c>
      <c r="S73" s="9">
        <v>96</v>
      </c>
      <c r="T73" s="9">
        <v>96</v>
      </c>
      <c r="U73" s="9">
        <v>101</v>
      </c>
      <c r="V73" s="9">
        <v>105</v>
      </c>
    </row>
    <row r="74" spans="1:40" ht="19.899999999999999" customHeight="1" x14ac:dyDescent="0.2">
      <c r="A74" s="43"/>
      <c r="B74" s="13"/>
      <c r="C74" s="38"/>
      <c r="D74" s="20" t="s">
        <v>20</v>
      </c>
      <c r="E74" s="63" t="s">
        <v>41</v>
      </c>
      <c r="F74" s="10">
        <v>11</v>
      </c>
      <c r="G74" s="10">
        <v>17</v>
      </c>
      <c r="H74" s="10">
        <v>19</v>
      </c>
      <c r="I74" s="10">
        <v>30</v>
      </c>
      <c r="J74" s="10">
        <v>32</v>
      </c>
      <c r="K74" s="10">
        <v>37</v>
      </c>
      <c r="L74" s="10">
        <v>43</v>
      </c>
      <c r="M74" s="10">
        <v>49</v>
      </c>
      <c r="N74" s="10">
        <v>53</v>
      </c>
      <c r="O74" s="10">
        <v>74</v>
      </c>
      <c r="P74" s="10">
        <v>84</v>
      </c>
      <c r="Q74" s="10">
        <v>97</v>
      </c>
      <c r="R74" s="10">
        <v>107</v>
      </c>
      <c r="S74" s="10">
        <v>124</v>
      </c>
      <c r="T74" s="10">
        <v>137</v>
      </c>
      <c r="U74" s="10">
        <v>139</v>
      </c>
      <c r="V74" s="10">
        <v>149</v>
      </c>
      <c r="X74">
        <f>AVERAGE(F73:F75)</f>
        <v>10.333333333333334</v>
      </c>
      <c r="Y74">
        <f t="shared" ref="Y74" si="305">AVERAGE(G73:G75)</f>
        <v>14.666666666666666</v>
      </c>
      <c r="Z74">
        <f t="shared" ref="Z74" si="306">AVERAGE(H73:H75)</f>
        <v>20</v>
      </c>
      <c r="AA74">
        <f t="shared" ref="AA74" si="307">AVERAGE(I73:I75)</f>
        <v>28.833333333333332</v>
      </c>
      <c r="AB74">
        <f t="shared" ref="AB74" si="308">AVERAGE(J73:J75)</f>
        <v>32.666666666666664</v>
      </c>
      <c r="AC74">
        <f t="shared" ref="AC74" si="309">AVERAGE(K73:K75)</f>
        <v>36.666666666666664</v>
      </c>
      <c r="AD74">
        <f t="shared" ref="AD74" si="310">AVERAGE(L73:L75)</f>
        <v>43.333333333333336</v>
      </c>
      <c r="AE74">
        <f t="shared" ref="AE74" si="311">AVERAGE(M73:M75)</f>
        <v>45.666666666666664</v>
      </c>
      <c r="AF74">
        <f t="shared" ref="AF74" si="312">AVERAGE(N73:N75)</f>
        <v>52.333333333333336</v>
      </c>
      <c r="AG74">
        <f t="shared" ref="AG74" si="313">AVERAGE(O73:O75)</f>
        <v>65.666666666666671</v>
      </c>
      <c r="AH74">
        <f t="shared" ref="AH74" si="314">AVERAGE(P73:P75)</f>
        <v>75</v>
      </c>
      <c r="AI74">
        <f t="shared" ref="AI74" si="315">AVERAGE(Q73:Q75)</f>
        <v>90</v>
      </c>
      <c r="AJ74">
        <f t="shared" ref="AJ74" si="316">AVERAGE(R73:R75)</f>
        <v>98</v>
      </c>
      <c r="AK74">
        <f t="shared" ref="AK74" si="317">AVERAGE(S73:S75)</f>
        <v>110.66666666666667</v>
      </c>
      <c r="AL74">
        <f t="shared" ref="AL74" si="318">AVERAGE(T73:T75)</f>
        <v>117</v>
      </c>
      <c r="AM74">
        <f t="shared" ref="AM74" si="319">AVERAGE(U73:U75)</f>
        <v>119.66666666666667</v>
      </c>
      <c r="AN74">
        <f t="shared" ref="AN74" si="320">AVERAGE(V73:V75)</f>
        <v>125.33333333333333</v>
      </c>
    </row>
    <row r="75" spans="1:40" ht="19.899999999999999" customHeight="1" thickBot="1" x14ac:dyDescent="0.25">
      <c r="A75" s="43"/>
      <c r="B75" s="17"/>
      <c r="C75" s="19"/>
      <c r="D75" s="21" t="s">
        <v>21</v>
      </c>
      <c r="E75" s="64" t="s">
        <v>41</v>
      </c>
      <c r="F75" s="11">
        <v>11</v>
      </c>
      <c r="G75" s="11">
        <v>12</v>
      </c>
      <c r="H75" s="11">
        <v>21</v>
      </c>
      <c r="I75" s="11">
        <v>26</v>
      </c>
      <c r="J75" s="11">
        <v>33</v>
      </c>
      <c r="K75" s="11">
        <v>37</v>
      </c>
      <c r="L75" s="11">
        <v>44</v>
      </c>
      <c r="M75" s="11">
        <v>44</v>
      </c>
      <c r="N75" s="11">
        <v>50</v>
      </c>
      <c r="O75" s="11">
        <v>64</v>
      </c>
      <c r="P75" s="11">
        <v>74</v>
      </c>
      <c r="Q75" s="11">
        <v>91</v>
      </c>
      <c r="R75" s="11">
        <v>101</v>
      </c>
      <c r="S75" s="11">
        <v>112</v>
      </c>
      <c r="T75" s="11">
        <v>118</v>
      </c>
      <c r="U75" s="11">
        <v>119</v>
      </c>
      <c r="V75" s="11">
        <v>122</v>
      </c>
    </row>
    <row r="76" spans="1:40" ht="19.899999999999999" customHeight="1" x14ac:dyDescent="0.2">
      <c r="A76" s="43"/>
      <c r="B76" s="12" t="s">
        <v>6</v>
      </c>
      <c r="C76" s="18">
        <v>3</v>
      </c>
      <c r="D76" s="16" t="s">
        <v>22</v>
      </c>
      <c r="E76" s="62" t="s">
        <v>39</v>
      </c>
      <c r="F76" s="9">
        <v>10</v>
      </c>
      <c r="G76" s="9">
        <v>12</v>
      </c>
      <c r="H76" s="9">
        <v>23</v>
      </c>
      <c r="I76" s="9">
        <v>27</v>
      </c>
      <c r="J76" s="9">
        <v>32</v>
      </c>
      <c r="K76" s="9">
        <v>39</v>
      </c>
      <c r="L76" s="9">
        <v>43</v>
      </c>
      <c r="M76" s="9">
        <v>48</v>
      </c>
      <c r="N76" s="9">
        <v>52</v>
      </c>
      <c r="O76" s="9">
        <v>62</v>
      </c>
      <c r="P76" s="9">
        <v>69</v>
      </c>
      <c r="Q76" s="9">
        <v>96</v>
      </c>
      <c r="R76" s="9">
        <v>113</v>
      </c>
      <c r="S76" s="9">
        <v>119</v>
      </c>
      <c r="T76" s="9">
        <v>137</v>
      </c>
      <c r="U76" s="9">
        <v>151</v>
      </c>
      <c r="V76" s="9">
        <v>162</v>
      </c>
    </row>
    <row r="77" spans="1:40" ht="19.899999999999999" customHeight="1" x14ac:dyDescent="0.2">
      <c r="A77" s="43"/>
      <c r="B77" s="13"/>
      <c r="C77" s="38"/>
      <c r="D77" s="20" t="s">
        <v>20</v>
      </c>
      <c r="E77" s="63" t="s">
        <v>39</v>
      </c>
      <c r="F77" s="10">
        <v>10</v>
      </c>
      <c r="G77" s="10">
        <v>16</v>
      </c>
      <c r="H77" s="10">
        <v>23</v>
      </c>
      <c r="I77" s="10">
        <v>34</v>
      </c>
      <c r="J77" s="10">
        <v>35</v>
      </c>
      <c r="K77" s="10">
        <v>43</v>
      </c>
      <c r="L77" s="10">
        <v>46</v>
      </c>
      <c r="M77" s="10">
        <v>57</v>
      </c>
      <c r="N77" s="10">
        <v>62</v>
      </c>
      <c r="O77" s="10">
        <v>80</v>
      </c>
      <c r="P77" s="10">
        <v>85</v>
      </c>
      <c r="Q77" s="10">
        <v>97</v>
      </c>
      <c r="R77" s="10">
        <v>115</v>
      </c>
      <c r="S77" s="10">
        <v>128</v>
      </c>
      <c r="T77" s="10">
        <v>144</v>
      </c>
      <c r="U77" s="10">
        <v>156</v>
      </c>
      <c r="V77" s="10">
        <v>163</v>
      </c>
      <c r="X77">
        <f>AVERAGE(F76:F78)</f>
        <v>10.333333333333334</v>
      </c>
      <c r="Y77">
        <f t="shared" ref="Y77" si="321">AVERAGE(G76:G78)</f>
        <v>15</v>
      </c>
      <c r="Z77">
        <f t="shared" ref="Z77" si="322">AVERAGE(H76:H78)</f>
        <v>23.333333333333332</v>
      </c>
      <c r="AA77">
        <f t="shared" ref="AA77" si="323">AVERAGE(I76:I78)</f>
        <v>30.166666666666668</v>
      </c>
      <c r="AB77">
        <f t="shared" ref="AB77" si="324">AVERAGE(J76:J78)</f>
        <v>34.333333333333336</v>
      </c>
      <c r="AC77">
        <f t="shared" ref="AC77" si="325">AVERAGE(K76:K78)</f>
        <v>41.666666666666664</v>
      </c>
      <c r="AD77">
        <f t="shared" ref="AD77" si="326">AVERAGE(L76:L78)</f>
        <v>45</v>
      </c>
      <c r="AE77">
        <f t="shared" ref="AE77" si="327">AVERAGE(M76:M78)</f>
        <v>52.333333333333336</v>
      </c>
      <c r="AF77">
        <f t="shared" ref="AF77" si="328">AVERAGE(N76:N78)</f>
        <v>58</v>
      </c>
      <c r="AG77">
        <f t="shared" ref="AG77" si="329">AVERAGE(O76:O78)</f>
        <v>69</v>
      </c>
      <c r="AH77">
        <f t="shared" ref="AH77" si="330">AVERAGE(P76:P78)</f>
        <v>77</v>
      </c>
      <c r="AI77">
        <f t="shared" ref="AI77" si="331">AVERAGE(Q76:Q78)</f>
        <v>93</v>
      </c>
      <c r="AJ77">
        <f t="shared" ref="AJ77" si="332">AVERAGE(R76:R78)</f>
        <v>110.66666666666667</v>
      </c>
      <c r="AK77">
        <f t="shared" ref="AK77" si="333">AVERAGE(S76:S78)</f>
        <v>115</v>
      </c>
      <c r="AL77">
        <f t="shared" ref="AL77" si="334">AVERAGE(T76:T78)</f>
        <v>136</v>
      </c>
      <c r="AM77">
        <f t="shared" ref="AM77" si="335">AVERAGE(U76:U78)</f>
        <v>142.66666666666666</v>
      </c>
      <c r="AN77">
        <f t="shared" ref="AN77" si="336">AVERAGE(V76:V78)</f>
        <v>153.33333333333334</v>
      </c>
    </row>
    <row r="78" spans="1:40" ht="19.899999999999999" customHeight="1" thickBot="1" x14ac:dyDescent="0.25">
      <c r="A78" s="43"/>
      <c r="B78" s="17"/>
      <c r="C78" s="19"/>
      <c r="D78" s="21" t="s">
        <v>21</v>
      </c>
      <c r="E78" s="64" t="s">
        <v>39</v>
      </c>
      <c r="F78" s="11">
        <v>11</v>
      </c>
      <c r="G78" s="11">
        <v>17</v>
      </c>
      <c r="H78" s="11">
        <v>24</v>
      </c>
      <c r="I78" s="11">
        <v>29.5</v>
      </c>
      <c r="J78" s="11">
        <v>36</v>
      </c>
      <c r="K78" s="11">
        <v>43</v>
      </c>
      <c r="L78" s="11">
        <v>46</v>
      </c>
      <c r="M78" s="11">
        <v>52</v>
      </c>
      <c r="N78" s="11">
        <v>60</v>
      </c>
      <c r="O78" s="11">
        <v>65</v>
      </c>
      <c r="P78" s="11">
        <v>77</v>
      </c>
      <c r="Q78" s="11">
        <v>86</v>
      </c>
      <c r="R78" s="11">
        <v>104</v>
      </c>
      <c r="S78" s="11">
        <v>98</v>
      </c>
      <c r="T78" s="11">
        <v>127</v>
      </c>
      <c r="U78" s="11">
        <v>121</v>
      </c>
      <c r="V78" s="11">
        <v>135</v>
      </c>
    </row>
    <row r="79" spans="1:40" ht="19.899999999999999" customHeight="1" x14ac:dyDescent="0.2">
      <c r="A79" s="43"/>
      <c r="B79" s="12" t="s">
        <v>6</v>
      </c>
      <c r="C79" s="18">
        <v>2</v>
      </c>
      <c r="D79" s="16" t="s">
        <v>22</v>
      </c>
      <c r="E79" s="62" t="s">
        <v>37</v>
      </c>
      <c r="F79" s="9">
        <v>11</v>
      </c>
      <c r="G79" s="9">
        <v>16</v>
      </c>
      <c r="H79" s="9">
        <v>20</v>
      </c>
      <c r="I79" s="9">
        <v>28</v>
      </c>
      <c r="J79" s="9">
        <v>35</v>
      </c>
      <c r="K79" s="9">
        <v>43</v>
      </c>
      <c r="L79" s="9">
        <v>54</v>
      </c>
      <c r="M79" s="9">
        <v>61</v>
      </c>
      <c r="N79" s="9">
        <v>70</v>
      </c>
      <c r="O79" s="9">
        <v>85</v>
      </c>
      <c r="P79" s="9">
        <v>98</v>
      </c>
      <c r="Q79" s="9">
        <v>100</v>
      </c>
      <c r="R79" s="9">
        <v>108</v>
      </c>
      <c r="S79" s="9">
        <v>111</v>
      </c>
      <c r="T79" s="9">
        <v>110</v>
      </c>
      <c r="U79" s="9">
        <v>108</v>
      </c>
      <c r="V79" s="9">
        <v>105</v>
      </c>
    </row>
    <row r="80" spans="1:40" ht="19.899999999999999" customHeight="1" x14ac:dyDescent="0.2">
      <c r="A80" s="43"/>
      <c r="B80" s="13"/>
      <c r="C80" s="38"/>
      <c r="D80" s="20" t="s">
        <v>20</v>
      </c>
      <c r="E80" s="63" t="s">
        <v>37</v>
      </c>
      <c r="F80" s="10">
        <v>11</v>
      </c>
      <c r="G80" s="10">
        <v>18</v>
      </c>
      <c r="H80" s="10">
        <v>23</v>
      </c>
      <c r="I80" s="10">
        <v>29</v>
      </c>
      <c r="J80" s="10">
        <v>33</v>
      </c>
      <c r="K80" s="10">
        <v>38</v>
      </c>
      <c r="L80" s="10">
        <v>55</v>
      </c>
      <c r="M80" s="10">
        <v>58</v>
      </c>
      <c r="N80" s="10">
        <v>62</v>
      </c>
      <c r="O80" s="10">
        <v>87</v>
      </c>
      <c r="P80" s="10">
        <v>82</v>
      </c>
      <c r="Q80" s="10">
        <v>82</v>
      </c>
      <c r="R80" s="10">
        <v>84</v>
      </c>
      <c r="S80" s="10">
        <v>88</v>
      </c>
      <c r="T80" s="10">
        <v>102</v>
      </c>
      <c r="U80" s="10">
        <v>92</v>
      </c>
      <c r="V80" s="10">
        <v>90</v>
      </c>
      <c r="X80">
        <f>AVERAGE(F79:F81)</f>
        <v>10.666666666666666</v>
      </c>
      <c r="Y80">
        <f t="shared" ref="Y80" si="337">AVERAGE(G79:G81)</f>
        <v>17.666666666666668</v>
      </c>
      <c r="Z80">
        <f t="shared" ref="Z80" si="338">AVERAGE(H79:H81)</f>
        <v>21.333333333333332</v>
      </c>
      <c r="AA80">
        <f t="shared" ref="AA80" si="339">AVERAGE(I79:I81)</f>
        <v>29.666666666666668</v>
      </c>
      <c r="AB80">
        <f t="shared" ref="AB80" si="340">AVERAGE(J79:J81)</f>
        <v>33.666666666666664</v>
      </c>
      <c r="AC80">
        <f t="shared" ref="AC80" si="341">AVERAGE(K79:K81)</f>
        <v>39.333333333333336</v>
      </c>
      <c r="AD80">
        <f t="shared" ref="AD80" si="342">AVERAGE(L79:L81)</f>
        <v>53</v>
      </c>
      <c r="AE80">
        <f t="shared" ref="AE80" si="343">AVERAGE(M79:M81)</f>
        <v>56.666666666666664</v>
      </c>
      <c r="AF80">
        <f t="shared" ref="AF80" si="344">AVERAGE(N79:N81)</f>
        <v>60.333333333333336</v>
      </c>
      <c r="AG80">
        <f t="shared" ref="AG80" si="345">AVERAGE(O79:O81)</f>
        <v>78.666666666666671</v>
      </c>
      <c r="AH80">
        <f t="shared" ref="AH80" si="346">AVERAGE(P79:P81)</f>
        <v>83.666666666666671</v>
      </c>
      <c r="AI80">
        <f t="shared" ref="AI80" si="347">AVERAGE(Q79:Q81)</f>
        <v>81.333333333333329</v>
      </c>
      <c r="AJ80">
        <f t="shared" ref="AJ80" si="348">AVERAGE(R79:R81)</f>
        <v>86.333333333333329</v>
      </c>
      <c r="AK80">
        <f t="shared" ref="AK80" si="349">AVERAGE(S79:S81)</f>
        <v>89.666666666666671</v>
      </c>
      <c r="AL80">
        <f t="shared" ref="AL80" si="350">AVERAGE(T79:T81)</f>
        <v>95</v>
      </c>
      <c r="AM80">
        <f t="shared" ref="AM80" si="351">AVERAGE(U79:U81)</f>
        <v>97.333333333333329</v>
      </c>
      <c r="AN80">
        <f t="shared" ref="AN80" si="352">AVERAGE(V79:V81)</f>
        <v>88.666666666666671</v>
      </c>
    </row>
    <row r="81" spans="1:40" ht="19.899999999999999" customHeight="1" thickBot="1" x14ac:dyDescent="0.25">
      <c r="A81" s="43"/>
      <c r="B81" s="17"/>
      <c r="C81" s="19"/>
      <c r="D81" s="21" t="s">
        <v>21</v>
      </c>
      <c r="E81" s="64" t="s">
        <v>37</v>
      </c>
      <c r="F81" s="11">
        <v>10</v>
      </c>
      <c r="G81" s="11">
        <v>19</v>
      </c>
      <c r="H81" s="11">
        <v>21</v>
      </c>
      <c r="I81" s="11">
        <v>32</v>
      </c>
      <c r="J81" s="11">
        <v>33</v>
      </c>
      <c r="K81" s="11">
        <v>37</v>
      </c>
      <c r="L81" s="11">
        <v>50</v>
      </c>
      <c r="M81" s="11">
        <v>51</v>
      </c>
      <c r="N81" s="11">
        <v>49</v>
      </c>
      <c r="O81" s="11">
        <v>64</v>
      </c>
      <c r="P81" s="11">
        <v>71</v>
      </c>
      <c r="Q81" s="11">
        <v>62</v>
      </c>
      <c r="R81" s="11">
        <v>67</v>
      </c>
      <c r="S81" s="11">
        <v>70</v>
      </c>
      <c r="T81" s="11">
        <v>73</v>
      </c>
      <c r="U81" s="11">
        <v>92</v>
      </c>
      <c r="V81" s="11">
        <v>71</v>
      </c>
    </row>
    <row r="82" spans="1:40" ht="19.899999999999999" customHeight="1" x14ac:dyDescent="0.2">
      <c r="A82" s="43"/>
      <c r="B82" s="12" t="s">
        <v>6</v>
      </c>
      <c r="C82" s="18">
        <v>1</v>
      </c>
      <c r="D82" s="16" t="s">
        <v>22</v>
      </c>
      <c r="E82" s="62" t="s">
        <v>44</v>
      </c>
      <c r="F82" s="9">
        <v>11</v>
      </c>
      <c r="G82" s="9">
        <v>20</v>
      </c>
      <c r="H82" s="9">
        <v>25</v>
      </c>
      <c r="I82" s="9">
        <v>34</v>
      </c>
      <c r="J82" s="9">
        <v>41</v>
      </c>
      <c r="K82" s="9">
        <v>48</v>
      </c>
      <c r="L82" s="9">
        <v>57</v>
      </c>
      <c r="M82" s="9">
        <v>65</v>
      </c>
      <c r="N82" s="9">
        <v>76</v>
      </c>
      <c r="O82" s="9">
        <v>82</v>
      </c>
      <c r="P82" s="9">
        <v>98</v>
      </c>
      <c r="Q82" s="9">
        <v>115</v>
      </c>
      <c r="R82" s="9">
        <v>126</v>
      </c>
      <c r="S82" s="9">
        <v>131</v>
      </c>
      <c r="T82" s="9">
        <v>139</v>
      </c>
      <c r="U82" s="9">
        <v>142</v>
      </c>
      <c r="V82" s="9">
        <v>139</v>
      </c>
    </row>
    <row r="83" spans="1:40" ht="19.899999999999999" customHeight="1" x14ac:dyDescent="0.2">
      <c r="A83" s="43"/>
      <c r="B83" s="13"/>
      <c r="C83" s="38"/>
      <c r="D83" s="20" t="s">
        <v>20</v>
      </c>
      <c r="E83" s="63" t="s">
        <v>44</v>
      </c>
      <c r="F83" s="10">
        <v>10</v>
      </c>
      <c r="G83" s="10">
        <v>14</v>
      </c>
      <c r="H83" s="10">
        <v>21</v>
      </c>
      <c r="I83" s="10">
        <v>32.5</v>
      </c>
      <c r="J83" s="10">
        <v>37</v>
      </c>
      <c r="K83" s="10">
        <v>45</v>
      </c>
      <c r="L83" s="10">
        <v>53</v>
      </c>
      <c r="M83" s="10">
        <v>58</v>
      </c>
      <c r="N83" s="10">
        <v>65</v>
      </c>
      <c r="O83" s="10">
        <v>80</v>
      </c>
      <c r="P83" s="10">
        <v>83</v>
      </c>
      <c r="Q83" s="10">
        <v>98</v>
      </c>
      <c r="R83" s="10">
        <v>105</v>
      </c>
      <c r="S83" s="10">
        <v>112</v>
      </c>
      <c r="T83" s="10">
        <v>118</v>
      </c>
      <c r="U83" s="10">
        <v>121</v>
      </c>
      <c r="V83" s="10">
        <v>124</v>
      </c>
      <c r="X83">
        <f>AVERAGE(F82:F84)</f>
        <v>11</v>
      </c>
      <c r="Y83">
        <f t="shared" ref="Y83" si="353">AVERAGE(G82:G84)</f>
        <v>17.333333333333332</v>
      </c>
      <c r="Z83">
        <f t="shared" ref="Z83" si="354">AVERAGE(H82:H84)</f>
        <v>24.333333333333332</v>
      </c>
      <c r="AA83">
        <f t="shared" ref="AA83" si="355">AVERAGE(I82:I84)</f>
        <v>34.166666666666664</v>
      </c>
      <c r="AB83">
        <f t="shared" ref="AB83" si="356">AVERAGE(J82:J84)</f>
        <v>40.333333333333336</v>
      </c>
      <c r="AC83">
        <f t="shared" ref="AC83" si="357">AVERAGE(K82:K84)</f>
        <v>48.666666666666664</v>
      </c>
      <c r="AD83">
        <f t="shared" ref="AD83" si="358">AVERAGE(L82:L84)</f>
        <v>56.333333333333336</v>
      </c>
      <c r="AE83">
        <f t="shared" ref="AE83" si="359">AVERAGE(M82:M84)</f>
        <v>64</v>
      </c>
      <c r="AF83">
        <f t="shared" ref="AF83" si="360">AVERAGE(N82:N84)</f>
        <v>73</v>
      </c>
      <c r="AG83">
        <f t="shared" ref="AG83" si="361">AVERAGE(O82:O84)</f>
        <v>80.333333333333329</v>
      </c>
      <c r="AH83">
        <f t="shared" ref="AH83" si="362">AVERAGE(P82:P84)</f>
        <v>92.666666666666671</v>
      </c>
      <c r="AI83">
        <f t="shared" ref="AI83" si="363">AVERAGE(Q82:Q84)</f>
        <v>112.33333333333333</v>
      </c>
      <c r="AJ83">
        <f t="shared" ref="AJ83" si="364">AVERAGE(R82:R84)</f>
        <v>122.66666666666667</v>
      </c>
      <c r="AK83">
        <f t="shared" ref="AK83" si="365">AVERAGE(S82:S84)</f>
        <v>126.66666666666667</v>
      </c>
      <c r="AL83">
        <f t="shared" ref="AL83" si="366">AVERAGE(T82:T84)</f>
        <v>132.66666666666666</v>
      </c>
      <c r="AM83">
        <f t="shared" ref="AM83" si="367">AVERAGE(U82:U84)</f>
        <v>136.66666666666666</v>
      </c>
      <c r="AN83">
        <f t="shared" ref="AN83" si="368">AVERAGE(V82:V84)</f>
        <v>137</v>
      </c>
    </row>
    <row r="84" spans="1:40" ht="19.899999999999999" customHeight="1" thickBot="1" x14ac:dyDescent="0.25">
      <c r="A84" s="43"/>
      <c r="B84" s="17"/>
      <c r="C84" s="19"/>
      <c r="D84" s="21" t="s">
        <v>21</v>
      </c>
      <c r="E84" s="64" t="s">
        <v>44</v>
      </c>
      <c r="F84" s="11">
        <v>12</v>
      </c>
      <c r="G84" s="11">
        <v>18</v>
      </c>
      <c r="H84" s="11">
        <v>27</v>
      </c>
      <c r="I84" s="11">
        <v>36</v>
      </c>
      <c r="J84" s="11">
        <v>43</v>
      </c>
      <c r="K84" s="11">
        <v>53</v>
      </c>
      <c r="L84" s="11">
        <v>59</v>
      </c>
      <c r="M84" s="11">
        <v>69</v>
      </c>
      <c r="N84" s="11">
        <v>78</v>
      </c>
      <c r="O84" s="11">
        <v>79</v>
      </c>
      <c r="P84" s="11">
        <v>97</v>
      </c>
      <c r="Q84" s="11">
        <v>124</v>
      </c>
      <c r="R84" s="11">
        <v>137</v>
      </c>
      <c r="S84" s="11">
        <v>137</v>
      </c>
      <c r="T84" s="11">
        <v>141</v>
      </c>
      <c r="U84" s="11">
        <v>147</v>
      </c>
      <c r="V84" s="11">
        <v>148</v>
      </c>
    </row>
    <row r="85" spans="1:40" ht="19.899999999999999" customHeight="1" x14ac:dyDescent="0.2">
      <c r="A85" s="43"/>
      <c r="B85" s="12" t="s">
        <v>7</v>
      </c>
      <c r="C85" s="18">
        <v>1</v>
      </c>
      <c r="D85" s="16" t="s">
        <v>21</v>
      </c>
      <c r="E85" s="62" t="s">
        <v>38</v>
      </c>
      <c r="F85" s="9">
        <v>11</v>
      </c>
      <c r="G85" s="9">
        <v>16</v>
      </c>
      <c r="H85" s="9">
        <v>26</v>
      </c>
      <c r="I85" s="9">
        <v>35</v>
      </c>
      <c r="J85" s="9">
        <v>46</v>
      </c>
      <c r="K85" s="9">
        <v>59</v>
      </c>
      <c r="L85" s="9">
        <v>77</v>
      </c>
      <c r="M85" s="9">
        <v>93</v>
      </c>
      <c r="N85" s="9">
        <v>109</v>
      </c>
      <c r="O85" s="9">
        <v>125</v>
      </c>
      <c r="P85" s="9">
        <v>136</v>
      </c>
      <c r="Q85" s="9">
        <v>152</v>
      </c>
      <c r="R85" s="9">
        <v>151</v>
      </c>
      <c r="S85" s="9">
        <v>166</v>
      </c>
      <c r="T85" s="9">
        <v>166</v>
      </c>
      <c r="U85" s="9">
        <v>159</v>
      </c>
      <c r="V85" s="9">
        <v>163</v>
      </c>
    </row>
    <row r="86" spans="1:40" ht="19.899999999999999" customHeight="1" x14ac:dyDescent="0.2">
      <c r="A86" s="43"/>
      <c r="B86" s="13"/>
      <c r="C86" s="38"/>
      <c r="D86" s="20" t="s">
        <v>20</v>
      </c>
      <c r="E86" s="63" t="s">
        <v>38</v>
      </c>
      <c r="F86" s="10">
        <v>10</v>
      </c>
      <c r="G86" s="10">
        <v>16</v>
      </c>
      <c r="H86" s="10">
        <v>23</v>
      </c>
      <c r="I86" s="10">
        <v>29</v>
      </c>
      <c r="J86" s="10">
        <v>45</v>
      </c>
      <c r="K86" s="10">
        <v>59</v>
      </c>
      <c r="L86" s="10">
        <v>71</v>
      </c>
      <c r="M86" s="10">
        <v>87</v>
      </c>
      <c r="N86" s="10">
        <v>104</v>
      </c>
      <c r="O86" s="10">
        <v>112</v>
      </c>
      <c r="P86" s="10">
        <v>120</v>
      </c>
      <c r="Q86" s="10">
        <v>131</v>
      </c>
      <c r="R86" s="10">
        <v>132</v>
      </c>
      <c r="S86" s="10">
        <v>140</v>
      </c>
      <c r="T86" s="10">
        <v>141</v>
      </c>
      <c r="U86" s="10">
        <v>148</v>
      </c>
      <c r="V86" s="10">
        <v>138</v>
      </c>
      <c r="X86">
        <f>AVERAGE(F85:F87)</f>
        <v>11</v>
      </c>
      <c r="Y86">
        <f t="shared" ref="Y86" si="369">AVERAGE(G85:G87)</f>
        <v>16.666666666666668</v>
      </c>
      <c r="Z86">
        <f t="shared" ref="Z86" si="370">AVERAGE(H85:H87)</f>
        <v>24</v>
      </c>
      <c r="AA86">
        <f t="shared" ref="AA86" si="371">AVERAGE(I85:I87)</f>
        <v>31</v>
      </c>
      <c r="AB86">
        <f t="shared" ref="AB86" si="372">AVERAGE(J85:J87)</f>
        <v>44.333333333333336</v>
      </c>
      <c r="AC86">
        <f t="shared" ref="AC86" si="373">AVERAGE(K85:K87)</f>
        <v>55.666666666666664</v>
      </c>
      <c r="AD86">
        <f t="shared" ref="AD86" si="374">AVERAGE(L85:L87)</f>
        <v>70.666666666666671</v>
      </c>
      <c r="AE86">
        <f t="shared" ref="AE86" si="375">AVERAGE(M85:M87)</f>
        <v>84</v>
      </c>
      <c r="AF86">
        <f t="shared" ref="AF86" si="376">AVERAGE(N85:N87)</f>
        <v>98.333333333333329</v>
      </c>
      <c r="AG86">
        <f t="shared" ref="AG86" si="377">AVERAGE(O85:O87)</f>
        <v>110.33333333333333</v>
      </c>
      <c r="AH86">
        <f t="shared" ref="AH86" si="378">AVERAGE(P85:P87)</f>
        <v>117.66666666666667</v>
      </c>
      <c r="AI86">
        <f t="shared" ref="AI86" si="379">AVERAGE(Q85:Q87)</f>
        <v>128.66666666666666</v>
      </c>
      <c r="AJ86">
        <f t="shared" ref="AJ86" si="380">AVERAGE(R85:R87)</f>
        <v>129.66666666666666</v>
      </c>
      <c r="AK86">
        <f t="shared" ref="AK86" si="381">AVERAGE(S85:S87)</f>
        <v>138.33333333333334</v>
      </c>
      <c r="AL86">
        <f t="shared" ref="AL86" si="382">AVERAGE(T85:T87)</f>
        <v>137.33333333333334</v>
      </c>
      <c r="AM86">
        <f t="shared" ref="AM86" si="383">AVERAGE(U85:U87)</f>
        <v>138.33333333333334</v>
      </c>
      <c r="AN86">
        <f t="shared" ref="AN86" si="384">AVERAGE(V85:V87)</f>
        <v>135</v>
      </c>
    </row>
    <row r="87" spans="1:40" ht="19.899999999999999" customHeight="1" thickBot="1" x14ac:dyDescent="0.25">
      <c r="A87" s="43"/>
      <c r="B87" s="17"/>
      <c r="C87" s="19"/>
      <c r="D87" s="21" t="s">
        <v>22</v>
      </c>
      <c r="E87" s="64" t="s">
        <v>38</v>
      </c>
      <c r="F87" s="11">
        <v>12</v>
      </c>
      <c r="G87" s="11">
        <v>18</v>
      </c>
      <c r="H87" s="11">
        <v>23</v>
      </c>
      <c r="I87" s="11">
        <v>29</v>
      </c>
      <c r="J87" s="11">
        <v>42</v>
      </c>
      <c r="K87" s="11">
        <v>49</v>
      </c>
      <c r="L87" s="11">
        <v>64</v>
      </c>
      <c r="M87" s="11">
        <v>72</v>
      </c>
      <c r="N87" s="11">
        <v>82</v>
      </c>
      <c r="O87" s="11">
        <v>94</v>
      </c>
      <c r="P87" s="11">
        <v>97</v>
      </c>
      <c r="Q87" s="11">
        <v>103</v>
      </c>
      <c r="R87" s="11">
        <v>106</v>
      </c>
      <c r="S87" s="11">
        <v>109</v>
      </c>
      <c r="T87" s="11">
        <v>105</v>
      </c>
      <c r="U87" s="11">
        <v>108</v>
      </c>
      <c r="V87" s="11">
        <v>104</v>
      </c>
    </row>
    <row r="88" spans="1:40" ht="19.899999999999999" customHeight="1" x14ac:dyDescent="0.2">
      <c r="A88" s="43"/>
      <c r="B88" s="12" t="s">
        <v>7</v>
      </c>
      <c r="C88" s="18">
        <v>2</v>
      </c>
      <c r="D88" s="16" t="s">
        <v>21</v>
      </c>
      <c r="E88" s="62" t="s">
        <v>36</v>
      </c>
      <c r="F88" s="9">
        <v>10</v>
      </c>
      <c r="G88" s="9">
        <v>15</v>
      </c>
      <c r="H88" s="9">
        <v>21</v>
      </c>
      <c r="I88" s="9">
        <v>39</v>
      </c>
      <c r="J88" s="9">
        <v>44</v>
      </c>
      <c r="K88" s="9">
        <v>62</v>
      </c>
      <c r="L88" s="9">
        <v>82</v>
      </c>
      <c r="M88" s="9">
        <v>93</v>
      </c>
      <c r="N88" s="9">
        <v>113</v>
      </c>
      <c r="O88" s="9">
        <v>122</v>
      </c>
      <c r="P88" s="9">
        <v>134</v>
      </c>
      <c r="Q88" s="9">
        <v>144</v>
      </c>
      <c r="R88" s="9">
        <v>125</v>
      </c>
      <c r="S88" s="9">
        <v>152</v>
      </c>
      <c r="T88" s="9">
        <v>150</v>
      </c>
      <c r="U88" s="9">
        <v>155</v>
      </c>
      <c r="V88" s="9">
        <v>151</v>
      </c>
    </row>
    <row r="89" spans="1:40" ht="19.899999999999999" customHeight="1" x14ac:dyDescent="0.2">
      <c r="A89" s="43"/>
      <c r="B89" s="13"/>
      <c r="C89" s="38"/>
      <c r="D89" s="20" t="s">
        <v>20</v>
      </c>
      <c r="E89" s="63" t="s">
        <v>36</v>
      </c>
      <c r="F89" s="10">
        <v>12</v>
      </c>
      <c r="G89" s="10">
        <v>14</v>
      </c>
      <c r="H89" s="10">
        <v>23</v>
      </c>
      <c r="I89" s="10">
        <v>25</v>
      </c>
      <c r="J89" s="10">
        <v>44</v>
      </c>
      <c r="K89" s="10">
        <v>45</v>
      </c>
      <c r="L89" s="10">
        <v>53</v>
      </c>
      <c r="M89" s="10">
        <v>58</v>
      </c>
      <c r="N89" s="10">
        <v>75</v>
      </c>
      <c r="O89" s="10">
        <v>79</v>
      </c>
      <c r="P89" s="10">
        <v>87</v>
      </c>
      <c r="Q89" s="10">
        <v>89</v>
      </c>
      <c r="R89" s="10">
        <v>96</v>
      </c>
      <c r="S89" s="10">
        <v>99</v>
      </c>
      <c r="T89" s="10">
        <v>101</v>
      </c>
      <c r="U89" s="10">
        <v>103</v>
      </c>
      <c r="V89" s="10">
        <v>99</v>
      </c>
      <c r="X89">
        <f>AVERAGE(F88:F90)</f>
        <v>11</v>
      </c>
      <c r="Y89">
        <f t="shared" ref="Y89" si="385">AVERAGE(G88:G90)</f>
        <v>14.666666666666666</v>
      </c>
      <c r="Z89">
        <f t="shared" ref="Z89" si="386">AVERAGE(H88:H90)</f>
        <v>21.666666666666668</v>
      </c>
      <c r="AA89">
        <f t="shared" ref="AA89" si="387">AVERAGE(I88:I90)</f>
        <v>30.833333333333332</v>
      </c>
      <c r="AB89">
        <f t="shared" ref="AB89" si="388">AVERAGE(J88:J90)</f>
        <v>41.666666666666664</v>
      </c>
      <c r="AC89">
        <f t="shared" ref="AC89" si="389">AVERAGE(K88:K90)</f>
        <v>51</v>
      </c>
      <c r="AD89">
        <f t="shared" ref="AD89" si="390">AVERAGE(L88:L90)</f>
        <v>63.333333333333336</v>
      </c>
      <c r="AE89">
        <f t="shared" ref="AE89" si="391">AVERAGE(M88:M90)</f>
        <v>70.333333333333329</v>
      </c>
      <c r="AF89">
        <f t="shared" ref="AF89" si="392">AVERAGE(N88:N90)</f>
        <v>84.333333333333329</v>
      </c>
      <c r="AG89">
        <f t="shared" ref="AG89" si="393">AVERAGE(O88:O90)</f>
        <v>93</v>
      </c>
      <c r="AH89">
        <f t="shared" ref="AH89" si="394">AVERAGE(P88:P90)</f>
        <v>100.66666666666667</v>
      </c>
      <c r="AI89">
        <f t="shared" ref="AI89" si="395">AVERAGE(Q88:Q90)</f>
        <v>106</v>
      </c>
      <c r="AJ89">
        <f t="shared" ref="AJ89" si="396">AVERAGE(R88:R90)</f>
        <v>103</v>
      </c>
      <c r="AK89">
        <f t="shared" ref="AK89" si="397">AVERAGE(S88:S90)</f>
        <v>115</v>
      </c>
      <c r="AL89">
        <f t="shared" ref="AL89" si="398">AVERAGE(T88:T90)</f>
        <v>114</v>
      </c>
      <c r="AM89">
        <f t="shared" ref="AM89" si="399">AVERAGE(U88:U90)</f>
        <v>117</v>
      </c>
      <c r="AN89">
        <f t="shared" ref="AN89" si="400">AVERAGE(V88:V90)</f>
        <v>115.33333333333333</v>
      </c>
    </row>
    <row r="90" spans="1:40" ht="19.899999999999999" customHeight="1" thickBot="1" x14ac:dyDescent="0.25">
      <c r="A90" s="43"/>
      <c r="B90" s="17"/>
      <c r="C90" s="19"/>
      <c r="D90" s="21" t="s">
        <v>22</v>
      </c>
      <c r="E90" s="64" t="s">
        <v>36</v>
      </c>
      <c r="F90" s="11">
        <v>11</v>
      </c>
      <c r="G90" s="11">
        <v>15</v>
      </c>
      <c r="H90" s="11">
        <v>21</v>
      </c>
      <c r="I90" s="11">
        <v>28.5</v>
      </c>
      <c r="J90" s="11">
        <v>37</v>
      </c>
      <c r="K90" s="11">
        <v>46</v>
      </c>
      <c r="L90" s="11">
        <v>55</v>
      </c>
      <c r="M90" s="11">
        <v>60</v>
      </c>
      <c r="N90" s="11">
        <v>65</v>
      </c>
      <c r="O90" s="11">
        <v>78</v>
      </c>
      <c r="P90" s="11">
        <v>81</v>
      </c>
      <c r="Q90" s="11">
        <v>85</v>
      </c>
      <c r="R90" s="11">
        <v>88</v>
      </c>
      <c r="S90" s="11">
        <v>94</v>
      </c>
      <c r="T90" s="11">
        <v>91</v>
      </c>
      <c r="U90" s="11">
        <v>93</v>
      </c>
      <c r="V90" s="11">
        <v>96</v>
      </c>
    </row>
    <row r="91" spans="1:40" ht="19.899999999999999" customHeight="1" x14ac:dyDescent="0.2">
      <c r="A91" s="43"/>
      <c r="B91" s="12" t="s">
        <v>7</v>
      </c>
      <c r="C91" s="18">
        <v>3</v>
      </c>
      <c r="D91" s="16" t="s">
        <v>21</v>
      </c>
      <c r="E91" s="62" t="s">
        <v>47</v>
      </c>
      <c r="F91" s="9">
        <v>12</v>
      </c>
      <c r="G91" s="9">
        <v>16</v>
      </c>
      <c r="H91" s="9">
        <v>24</v>
      </c>
      <c r="I91" s="9">
        <v>34</v>
      </c>
      <c r="J91" s="9">
        <v>45</v>
      </c>
      <c r="K91" s="9">
        <v>61</v>
      </c>
      <c r="L91" s="9">
        <v>70</v>
      </c>
      <c r="M91" s="9">
        <v>96</v>
      </c>
      <c r="N91" s="9">
        <v>107</v>
      </c>
      <c r="O91" s="9">
        <v>121</v>
      </c>
      <c r="P91" s="9">
        <v>131</v>
      </c>
      <c r="Q91" s="9">
        <v>144</v>
      </c>
      <c r="R91" s="9">
        <v>145</v>
      </c>
      <c r="S91" s="9">
        <v>152</v>
      </c>
      <c r="T91" s="9">
        <v>154</v>
      </c>
      <c r="U91" s="9">
        <v>157</v>
      </c>
      <c r="V91" s="9">
        <v>153</v>
      </c>
    </row>
    <row r="92" spans="1:40" ht="19.899999999999999" customHeight="1" x14ac:dyDescent="0.2">
      <c r="A92" s="43"/>
      <c r="B92" s="13"/>
      <c r="C92" s="38"/>
      <c r="D92" s="20" t="s">
        <v>20</v>
      </c>
      <c r="E92" s="63" t="s">
        <v>47</v>
      </c>
      <c r="F92" s="10">
        <v>10</v>
      </c>
      <c r="G92" s="10">
        <v>13</v>
      </c>
      <c r="H92" s="10">
        <v>19</v>
      </c>
      <c r="I92" s="10">
        <v>24</v>
      </c>
      <c r="J92" s="10">
        <v>36</v>
      </c>
      <c r="K92" s="10">
        <v>45</v>
      </c>
      <c r="L92" s="10">
        <v>60</v>
      </c>
      <c r="M92" s="10">
        <v>69</v>
      </c>
      <c r="N92" s="10">
        <v>86</v>
      </c>
      <c r="O92" s="10">
        <v>100</v>
      </c>
      <c r="P92" s="10">
        <v>109</v>
      </c>
      <c r="Q92" s="10">
        <v>116</v>
      </c>
      <c r="R92" s="10">
        <v>124</v>
      </c>
      <c r="S92" s="10">
        <v>130</v>
      </c>
      <c r="T92" s="10">
        <v>127</v>
      </c>
      <c r="U92" s="10">
        <v>129</v>
      </c>
      <c r="V92" s="10">
        <v>130</v>
      </c>
      <c r="X92">
        <f>AVERAGE(F91:F93)</f>
        <v>10</v>
      </c>
      <c r="Y92">
        <f t="shared" ref="Y92" si="401">AVERAGE(G91:G93)</f>
        <v>14</v>
      </c>
      <c r="Z92">
        <f t="shared" ref="Z92" si="402">AVERAGE(H91:H93)</f>
        <v>20.666666666666668</v>
      </c>
      <c r="AA92">
        <f t="shared" ref="AA92" si="403">AVERAGE(I91:I93)</f>
        <v>27</v>
      </c>
      <c r="AB92">
        <f t="shared" ref="AB92" si="404">AVERAGE(J91:J93)</f>
        <v>39.333333333333336</v>
      </c>
      <c r="AC92">
        <f t="shared" ref="AC92" si="405">AVERAGE(K91:K93)</f>
        <v>50.666666666666664</v>
      </c>
      <c r="AD92">
        <f t="shared" ref="AD92" si="406">AVERAGE(L91:L93)</f>
        <v>61.666666666666664</v>
      </c>
      <c r="AE92">
        <f t="shared" ref="AE92" si="407">AVERAGE(M91:M93)</f>
        <v>76.333333333333329</v>
      </c>
      <c r="AF92">
        <f t="shared" ref="AF92" si="408">AVERAGE(N91:N93)</f>
        <v>90</v>
      </c>
      <c r="AG92">
        <f t="shared" ref="AG92" si="409">AVERAGE(O91:O93)</f>
        <v>104</v>
      </c>
      <c r="AH92">
        <f t="shared" ref="AH92" si="410">AVERAGE(P91:P93)</f>
        <v>114.33333333333333</v>
      </c>
      <c r="AI92">
        <f t="shared" ref="AI92" si="411">AVERAGE(Q91:Q93)</f>
        <v>123.33333333333333</v>
      </c>
      <c r="AJ92">
        <f t="shared" ref="AJ92" si="412">AVERAGE(R91:R93)</f>
        <v>130.33333333333334</v>
      </c>
      <c r="AK92">
        <f t="shared" ref="AK92" si="413">AVERAGE(S91:S93)</f>
        <v>137</v>
      </c>
      <c r="AL92">
        <f t="shared" ref="AL92" si="414">AVERAGE(T91:T93)</f>
        <v>134.66666666666666</v>
      </c>
      <c r="AM92">
        <f t="shared" ref="AM92" si="415">AVERAGE(U91:U93)</f>
        <v>136.66666666666666</v>
      </c>
      <c r="AN92">
        <f t="shared" ref="AN92" si="416">AVERAGE(V91:V93)</f>
        <v>136.66666666666666</v>
      </c>
    </row>
    <row r="93" spans="1:40" ht="19.899999999999999" customHeight="1" thickBot="1" x14ac:dyDescent="0.25">
      <c r="A93" s="43"/>
      <c r="B93" s="17"/>
      <c r="C93" s="19"/>
      <c r="D93" s="21" t="s">
        <v>22</v>
      </c>
      <c r="E93" s="64" t="s">
        <v>47</v>
      </c>
      <c r="F93" s="11">
        <v>8</v>
      </c>
      <c r="G93" s="11">
        <v>13</v>
      </c>
      <c r="H93" s="11">
        <v>19</v>
      </c>
      <c r="I93" s="11">
        <v>23</v>
      </c>
      <c r="J93" s="11">
        <v>37</v>
      </c>
      <c r="K93" s="11">
        <v>46</v>
      </c>
      <c r="L93" s="11">
        <v>55</v>
      </c>
      <c r="M93" s="11">
        <v>64</v>
      </c>
      <c r="N93" s="11">
        <v>77</v>
      </c>
      <c r="O93" s="11">
        <v>91</v>
      </c>
      <c r="P93" s="11">
        <v>103</v>
      </c>
      <c r="Q93" s="11">
        <v>110</v>
      </c>
      <c r="R93" s="11">
        <v>122</v>
      </c>
      <c r="S93" s="11">
        <v>129</v>
      </c>
      <c r="T93" s="11">
        <v>123</v>
      </c>
      <c r="U93" s="11">
        <v>124</v>
      </c>
      <c r="V93" s="11">
        <v>127</v>
      </c>
    </row>
    <row r="94" spans="1:40" ht="19.899999999999999" customHeight="1" x14ac:dyDescent="0.2">
      <c r="A94" s="43"/>
      <c r="B94" s="12" t="s">
        <v>7</v>
      </c>
      <c r="C94" s="18">
        <v>4</v>
      </c>
      <c r="D94" s="16" t="s">
        <v>21</v>
      </c>
      <c r="E94" s="62" t="s">
        <v>33</v>
      </c>
      <c r="F94" s="9">
        <v>8</v>
      </c>
      <c r="G94" s="9">
        <v>15</v>
      </c>
      <c r="H94" s="9">
        <v>22</v>
      </c>
      <c r="I94" s="9">
        <v>25</v>
      </c>
      <c r="J94" s="9">
        <v>35</v>
      </c>
      <c r="K94" s="9">
        <v>43</v>
      </c>
      <c r="L94" s="9">
        <v>47</v>
      </c>
      <c r="M94" s="9">
        <v>53</v>
      </c>
      <c r="N94" s="9">
        <v>58</v>
      </c>
      <c r="O94" s="9">
        <v>71</v>
      </c>
      <c r="P94" s="9">
        <v>84</v>
      </c>
      <c r="Q94" s="9">
        <v>92</v>
      </c>
      <c r="R94" s="9">
        <v>104</v>
      </c>
      <c r="S94" s="9">
        <v>107</v>
      </c>
      <c r="T94" s="9">
        <v>108</v>
      </c>
      <c r="U94" s="9">
        <v>111</v>
      </c>
      <c r="V94" s="9">
        <v>108</v>
      </c>
    </row>
    <row r="95" spans="1:40" ht="19.899999999999999" customHeight="1" x14ac:dyDescent="0.2">
      <c r="A95" s="43"/>
      <c r="B95" s="13"/>
      <c r="C95" s="38"/>
      <c r="D95" s="20" t="s">
        <v>20</v>
      </c>
      <c r="E95" s="63" t="s">
        <v>33</v>
      </c>
      <c r="F95" s="10">
        <v>10</v>
      </c>
      <c r="G95" s="10">
        <v>16</v>
      </c>
      <c r="H95" s="10">
        <v>18</v>
      </c>
      <c r="I95" s="10">
        <v>29.5</v>
      </c>
      <c r="J95" s="10">
        <v>29</v>
      </c>
      <c r="K95" s="10">
        <v>34</v>
      </c>
      <c r="L95" s="10">
        <v>42</v>
      </c>
      <c r="M95" s="10">
        <v>51</v>
      </c>
      <c r="N95" s="10">
        <v>55</v>
      </c>
      <c r="O95" s="10">
        <v>70</v>
      </c>
      <c r="P95" s="10">
        <v>82</v>
      </c>
      <c r="Q95" s="10">
        <v>85</v>
      </c>
      <c r="R95" s="10">
        <v>103</v>
      </c>
      <c r="S95" s="10">
        <v>106</v>
      </c>
      <c r="T95" s="10">
        <v>112</v>
      </c>
      <c r="U95" s="10">
        <v>113</v>
      </c>
      <c r="V95" s="10">
        <v>114</v>
      </c>
      <c r="X95">
        <f>AVERAGE(F94:F96)</f>
        <v>9.3333333333333339</v>
      </c>
      <c r="Y95">
        <f t="shared" ref="Y95" si="417">AVERAGE(G94:G96)</f>
        <v>15.666666666666666</v>
      </c>
      <c r="Z95">
        <f t="shared" ref="Z95" si="418">AVERAGE(H94:H96)</f>
        <v>20</v>
      </c>
      <c r="AA95">
        <f t="shared" ref="AA95" si="419">AVERAGE(I94:I96)</f>
        <v>27</v>
      </c>
      <c r="AB95">
        <f t="shared" ref="AB95" si="420">AVERAGE(J94:J96)</f>
        <v>35</v>
      </c>
      <c r="AC95">
        <f t="shared" ref="AC95" si="421">AVERAGE(K94:K96)</f>
        <v>41.666666666666664</v>
      </c>
      <c r="AD95">
        <f t="shared" ref="AD95" si="422">AVERAGE(L94:L96)</f>
        <v>50</v>
      </c>
      <c r="AE95">
        <f t="shared" ref="AE95" si="423">AVERAGE(M94:M96)</f>
        <v>58.333333333333336</v>
      </c>
      <c r="AF95">
        <f t="shared" ref="AF95" si="424">AVERAGE(N94:N96)</f>
        <v>64</v>
      </c>
      <c r="AG95">
        <f t="shared" ref="AG95" si="425">AVERAGE(O94:O96)</f>
        <v>78</v>
      </c>
      <c r="AH95">
        <f t="shared" ref="AH95" si="426">AVERAGE(P94:P96)</f>
        <v>90</v>
      </c>
      <c r="AI95">
        <f t="shared" ref="AI95" si="427">AVERAGE(Q94:Q96)</f>
        <v>98</v>
      </c>
      <c r="AJ95">
        <f t="shared" ref="AJ95" si="428">AVERAGE(R94:R96)</f>
        <v>111</v>
      </c>
      <c r="AK95">
        <f t="shared" ref="AK95" si="429">AVERAGE(S94:S96)</f>
        <v>115.33333333333333</v>
      </c>
      <c r="AL95">
        <f t="shared" ref="AL95" si="430">AVERAGE(T94:T96)</f>
        <v>116.66666666666667</v>
      </c>
      <c r="AM95">
        <f t="shared" ref="AM95" si="431">AVERAGE(U94:U96)</f>
        <v>118</v>
      </c>
      <c r="AN95">
        <f t="shared" ref="AN95" si="432">AVERAGE(V94:V96)</f>
        <v>118.66666666666667</v>
      </c>
    </row>
    <row r="96" spans="1:40" ht="19.899999999999999" customHeight="1" thickBot="1" x14ac:dyDescent="0.25">
      <c r="A96" s="43"/>
      <c r="B96" s="17"/>
      <c r="C96" s="19"/>
      <c r="D96" s="21" t="s">
        <v>22</v>
      </c>
      <c r="E96" s="64" t="s">
        <v>33</v>
      </c>
      <c r="F96" s="11">
        <v>10</v>
      </c>
      <c r="G96" s="11">
        <v>16</v>
      </c>
      <c r="H96" s="11">
        <v>20</v>
      </c>
      <c r="I96" s="11">
        <v>26.5</v>
      </c>
      <c r="J96" s="11">
        <v>41</v>
      </c>
      <c r="K96" s="11">
        <v>48</v>
      </c>
      <c r="L96" s="11">
        <v>61</v>
      </c>
      <c r="M96" s="11">
        <v>71</v>
      </c>
      <c r="N96" s="11">
        <v>79</v>
      </c>
      <c r="O96" s="11">
        <v>93</v>
      </c>
      <c r="P96" s="11">
        <v>104</v>
      </c>
      <c r="Q96" s="11">
        <v>117</v>
      </c>
      <c r="R96" s="11">
        <v>126</v>
      </c>
      <c r="S96" s="11">
        <v>133</v>
      </c>
      <c r="T96" s="11">
        <v>130</v>
      </c>
      <c r="U96" s="11">
        <v>130</v>
      </c>
      <c r="V96" s="11">
        <v>134</v>
      </c>
    </row>
    <row r="97" spans="1:40" ht="19.899999999999999" customHeight="1" x14ac:dyDescent="0.2">
      <c r="A97" s="43"/>
      <c r="B97" s="12" t="s">
        <v>8</v>
      </c>
      <c r="C97" s="18">
        <v>4</v>
      </c>
      <c r="D97" s="16" t="s">
        <v>22</v>
      </c>
      <c r="E97" s="62" t="s">
        <v>48</v>
      </c>
      <c r="F97" s="9">
        <v>11</v>
      </c>
      <c r="G97" s="9">
        <v>16</v>
      </c>
      <c r="H97" s="9">
        <v>21</v>
      </c>
      <c r="I97" s="9">
        <v>32</v>
      </c>
      <c r="J97" s="9">
        <v>44</v>
      </c>
      <c r="K97" s="9">
        <v>55</v>
      </c>
      <c r="L97" s="9">
        <v>58</v>
      </c>
      <c r="M97" s="9">
        <v>82</v>
      </c>
      <c r="N97" s="9">
        <v>93</v>
      </c>
      <c r="O97" s="9">
        <v>104</v>
      </c>
      <c r="P97" s="9">
        <v>118</v>
      </c>
      <c r="Q97" s="9">
        <v>126</v>
      </c>
      <c r="R97" s="9">
        <v>136</v>
      </c>
      <c r="S97" s="9">
        <v>141</v>
      </c>
      <c r="T97" s="9">
        <v>136</v>
      </c>
      <c r="U97" s="9">
        <v>140</v>
      </c>
      <c r="V97" s="9">
        <v>142</v>
      </c>
    </row>
    <row r="98" spans="1:40" ht="19.899999999999999" customHeight="1" x14ac:dyDescent="0.2">
      <c r="A98" s="43"/>
      <c r="B98" s="13"/>
      <c r="C98" s="38" t="s">
        <v>45</v>
      </c>
      <c r="D98" s="20" t="s">
        <v>20</v>
      </c>
      <c r="E98" s="63" t="s">
        <v>48</v>
      </c>
      <c r="F98" s="10">
        <v>11</v>
      </c>
      <c r="G98" s="10">
        <v>17</v>
      </c>
      <c r="H98" s="10">
        <v>23</v>
      </c>
      <c r="I98" s="10">
        <v>30</v>
      </c>
      <c r="J98" s="10">
        <v>44</v>
      </c>
      <c r="K98" s="10">
        <v>57</v>
      </c>
      <c r="L98" s="10">
        <v>69</v>
      </c>
      <c r="M98" s="10">
        <v>81</v>
      </c>
      <c r="N98" s="10">
        <v>98</v>
      </c>
      <c r="O98" s="10">
        <v>109</v>
      </c>
      <c r="P98" s="10">
        <v>122</v>
      </c>
      <c r="Q98" s="10">
        <v>139</v>
      </c>
      <c r="R98" s="10">
        <v>147</v>
      </c>
      <c r="S98" s="10">
        <v>148</v>
      </c>
      <c r="T98" s="10">
        <v>148</v>
      </c>
      <c r="U98" s="10">
        <v>150</v>
      </c>
      <c r="V98" s="10">
        <v>147</v>
      </c>
      <c r="X98">
        <f>AVERAGE(F97:F99)</f>
        <v>10.666666666666666</v>
      </c>
      <c r="Y98">
        <f t="shared" ref="Y98" si="433">AVERAGE(G97:G99)</f>
        <v>15.333333333333334</v>
      </c>
      <c r="Z98">
        <f t="shared" ref="Z98" si="434">AVERAGE(H97:H99)</f>
        <v>21.333333333333332</v>
      </c>
      <c r="AA98">
        <f t="shared" ref="AA98" si="435">AVERAGE(I97:I99)</f>
        <v>29.333333333333332</v>
      </c>
      <c r="AB98">
        <f t="shared" ref="AB98" si="436">AVERAGE(J97:J99)</f>
        <v>41.333333333333336</v>
      </c>
      <c r="AC98">
        <f t="shared" ref="AC98" si="437">AVERAGE(K97:K99)</f>
        <v>52.666666666666664</v>
      </c>
      <c r="AD98">
        <f t="shared" ref="AD98" si="438">AVERAGE(L97:L99)</f>
        <v>60.666666666666664</v>
      </c>
      <c r="AE98">
        <f t="shared" ref="AE98" si="439">AVERAGE(M97:M99)</f>
        <v>77.333333333333329</v>
      </c>
      <c r="AF98">
        <f t="shared" ref="AF98" si="440">AVERAGE(N97:N99)</f>
        <v>89.666666666666671</v>
      </c>
      <c r="AG98">
        <f t="shared" ref="AG98" si="441">AVERAGE(O97:O99)</f>
        <v>101.33333333333333</v>
      </c>
      <c r="AH98">
        <f t="shared" ref="AH98" si="442">AVERAGE(P97:P99)</f>
        <v>113</v>
      </c>
      <c r="AI98">
        <f t="shared" ref="AI98" si="443">AVERAGE(Q97:Q99)</f>
        <v>124.66666666666667</v>
      </c>
      <c r="AJ98">
        <f t="shared" ref="AJ98" si="444">AVERAGE(R97:R99)</f>
        <v>133</v>
      </c>
      <c r="AK98">
        <f t="shared" ref="AK98" si="445">AVERAGE(S97:S99)</f>
        <v>136.66666666666666</v>
      </c>
      <c r="AL98">
        <f t="shared" ref="AL98" si="446">AVERAGE(T97:T99)</f>
        <v>135</v>
      </c>
      <c r="AM98">
        <f t="shared" ref="AM98" si="447">AVERAGE(U97:U99)</f>
        <v>136.66666666666666</v>
      </c>
      <c r="AN98">
        <f t="shared" ref="AN98" si="448">AVERAGE(V97:V99)</f>
        <v>135.66666666666666</v>
      </c>
    </row>
    <row r="99" spans="1:40" ht="19.899999999999999" customHeight="1" thickBot="1" x14ac:dyDescent="0.25">
      <c r="A99" s="43"/>
      <c r="B99" s="17"/>
      <c r="C99" s="19"/>
      <c r="D99" s="21" t="s">
        <v>21</v>
      </c>
      <c r="E99" s="64" t="s">
        <v>48</v>
      </c>
      <c r="F99" s="11">
        <v>10</v>
      </c>
      <c r="G99" s="11">
        <v>13</v>
      </c>
      <c r="H99" s="11">
        <v>20</v>
      </c>
      <c r="I99" s="11">
        <v>26</v>
      </c>
      <c r="J99" s="11">
        <v>36</v>
      </c>
      <c r="K99" s="11">
        <v>46</v>
      </c>
      <c r="L99" s="11">
        <v>55</v>
      </c>
      <c r="M99" s="11">
        <v>69</v>
      </c>
      <c r="N99" s="11">
        <v>78</v>
      </c>
      <c r="O99" s="11">
        <v>91</v>
      </c>
      <c r="P99" s="11">
        <v>99</v>
      </c>
      <c r="Q99" s="11">
        <v>109</v>
      </c>
      <c r="R99" s="11">
        <v>116</v>
      </c>
      <c r="S99" s="11">
        <v>121</v>
      </c>
      <c r="T99" s="11">
        <v>121</v>
      </c>
      <c r="U99" s="11">
        <v>120</v>
      </c>
      <c r="V99" s="11">
        <v>118</v>
      </c>
    </row>
    <row r="100" spans="1:40" ht="19.899999999999999" customHeight="1" x14ac:dyDescent="0.2">
      <c r="A100" s="43"/>
      <c r="B100" s="12" t="s">
        <v>8</v>
      </c>
      <c r="C100" s="18">
        <v>3</v>
      </c>
      <c r="D100" s="16" t="s">
        <v>22</v>
      </c>
      <c r="E100" s="62" t="s">
        <v>46</v>
      </c>
      <c r="F100" s="9">
        <v>12</v>
      </c>
      <c r="G100" s="9">
        <v>14</v>
      </c>
      <c r="H100" s="9">
        <v>21</v>
      </c>
      <c r="I100" s="9">
        <v>30</v>
      </c>
      <c r="J100" s="9">
        <v>43</v>
      </c>
      <c r="K100" s="9">
        <v>53</v>
      </c>
      <c r="L100" s="9">
        <v>75</v>
      </c>
      <c r="M100" s="9">
        <v>86</v>
      </c>
      <c r="N100" s="9">
        <v>106</v>
      </c>
      <c r="O100" s="9">
        <v>118</v>
      </c>
      <c r="P100" s="9">
        <v>133</v>
      </c>
      <c r="Q100" s="9">
        <v>147</v>
      </c>
      <c r="R100" s="9">
        <v>154</v>
      </c>
      <c r="S100" s="9">
        <v>165</v>
      </c>
      <c r="T100" s="9">
        <v>176</v>
      </c>
      <c r="U100" s="9">
        <v>174</v>
      </c>
      <c r="V100" s="9">
        <v>174</v>
      </c>
    </row>
    <row r="101" spans="1:40" ht="19.899999999999999" customHeight="1" x14ac:dyDescent="0.2">
      <c r="A101" s="43"/>
      <c r="B101" s="13"/>
      <c r="C101" s="38"/>
      <c r="D101" s="20" t="s">
        <v>20</v>
      </c>
      <c r="E101" s="63" t="s">
        <v>46</v>
      </c>
      <c r="F101" s="10">
        <v>11</v>
      </c>
      <c r="G101" s="10">
        <v>15</v>
      </c>
      <c r="H101" s="10">
        <v>24</v>
      </c>
      <c r="I101" s="10">
        <v>28</v>
      </c>
      <c r="J101" s="10">
        <v>42</v>
      </c>
      <c r="K101" s="10">
        <v>54</v>
      </c>
      <c r="L101" s="10">
        <v>65</v>
      </c>
      <c r="M101" s="10">
        <v>80</v>
      </c>
      <c r="N101" s="10">
        <v>94</v>
      </c>
      <c r="O101" s="10">
        <v>118</v>
      </c>
      <c r="P101" s="10">
        <v>116</v>
      </c>
      <c r="Q101" s="10">
        <v>129</v>
      </c>
      <c r="R101" s="10">
        <v>142</v>
      </c>
      <c r="S101" s="10">
        <v>151</v>
      </c>
      <c r="T101" s="10">
        <v>153</v>
      </c>
      <c r="U101" s="10">
        <v>158</v>
      </c>
      <c r="V101" s="10">
        <v>155</v>
      </c>
      <c r="X101">
        <f>AVERAGE(F100:F102)</f>
        <v>11.333333333333334</v>
      </c>
      <c r="Y101">
        <f t="shared" ref="Y101" si="449">AVERAGE(G100:G102)</f>
        <v>14.666666666666666</v>
      </c>
      <c r="Z101">
        <f t="shared" ref="Z101" si="450">AVERAGE(H100:H102)</f>
        <v>23</v>
      </c>
      <c r="AA101">
        <f t="shared" ref="AA101" si="451">AVERAGE(I100:I102)</f>
        <v>29.5</v>
      </c>
      <c r="AB101">
        <f t="shared" ref="AB101" si="452">AVERAGE(J100:J102)</f>
        <v>41</v>
      </c>
      <c r="AC101">
        <f t="shared" ref="AC101" si="453">AVERAGE(K100:K102)</f>
        <v>51.333333333333336</v>
      </c>
      <c r="AD101">
        <f t="shared" ref="AD101" si="454">AVERAGE(L100:L102)</f>
        <v>68.333333333333329</v>
      </c>
      <c r="AE101">
        <f t="shared" ref="AE101" si="455">AVERAGE(M100:M102)</f>
        <v>81</v>
      </c>
      <c r="AF101">
        <f t="shared" ref="AF101" si="456">AVERAGE(N100:N102)</f>
        <v>94.333333333333329</v>
      </c>
      <c r="AG101">
        <f t="shared" ref="AG101" si="457">AVERAGE(O100:O102)</f>
        <v>114.33333333333333</v>
      </c>
      <c r="AH101">
        <f t="shared" ref="AH101" si="458">AVERAGE(P100:P102)</f>
        <v>122</v>
      </c>
      <c r="AI101">
        <f t="shared" ref="AI101" si="459">AVERAGE(Q100:Q102)</f>
        <v>135.33333333333334</v>
      </c>
      <c r="AJ101">
        <f t="shared" ref="AJ101" si="460">AVERAGE(R100:R102)</f>
        <v>146.66666666666666</v>
      </c>
      <c r="AK101">
        <f t="shared" ref="AK101" si="461">AVERAGE(S100:S102)</f>
        <v>156.33333333333334</v>
      </c>
      <c r="AL101">
        <f t="shared" ref="AL101" si="462">AVERAGE(T100:T102)</f>
        <v>163.66666666666666</v>
      </c>
      <c r="AM101">
        <f t="shared" ref="AM101" si="463">AVERAGE(U100:U102)</f>
        <v>165.33333333333334</v>
      </c>
      <c r="AN101">
        <f t="shared" ref="AN101" si="464">AVERAGE(V100:V102)</f>
        <v>163</v>
      </c>
    </row>
    <row r="102" spans="1:40" ht="19.899999999999999" customHeight="1" thickBot="1" x14ac:dyDescent="0.25">
      <c r="A102" s="43"/>
      <c r="B102" s="17"/>
      <c r="C102" s="19"/>
      <c r="D102" s="21" t="s">
        <v>21</v>
      </c>
      <c r="E102" s="64" t="s">
        <v>46</v>
      </c>
      <c r="F102" s="11">
        <v>11</v>
      </c>
      <c r="G102" s="11">
        <v>15</v>
      </c>
      <c r="H102" s="11">
        <v>24</v>
      </c>
      <c r="I102" s="11">
        <v>30.5</v>
      </c>
      <c r="J102" s="11">
        <v>38</v>
      </c>
      <c r="K102" s="11">
        <v>47</v>
      </c>
      <c r="L102" s="11">
        <v>65</v>
      </c>
      <c r="M102" s="11">
        <v>77</v>
      </c>
      <c r="N102" s="11">
        <v>83</v>
      </c>
      <c r="O102" s="11">
        <v>107</v>
      </c>
      <c r="P102" s="11">
        <v>117</v>
      </c>
      <c r="Q102" s="11">
        <v>130</v>
      </c>
      <c r="R102" s="11">
        <v>144</v>
      </c>
      <c r="S102" s="11">
        <v>153</v>
      </c>
      <c r="T102" s="11">
        <v>162</v>
      </c>
      <c r="U102" s="11">
        <v>164</v>
      </c>
      <c r="V102" s="11">
        <v>160</v>
      </c>
    </row>
    <row r="103" spans="1:40" ht="19.899999999999999" customHeight="1" x14ac:dyDescent="0.2">
      <c r="A103" s="43"/>
      <c r="B103" s="12" t="s">
        <v>8</v>
      </c>
      <c r="C103" s="18">
        <v>2</v>
      </c>
      <c r="D103" s="16" t="s">
        <v>22</v>
      </c>
      <c r="E103" s="62" t="s">
        <v>40</v>
      </c>
      <c r="F103" s="9">
        <v>12</v>
      </c>
      <c r="G103" s="9">
        <v>17</v>
      </c>
      <c r="H103" s="9">
        <v>24</v>
      </c>
      <c r="I103" s="9">
        <v>32</v>
      </c>
      <c r="J103" s="9">
        <v>41</v>
      </c>
      <c r="K103" s="9">
        <v>52</v>
      </c>
      <c r="L103" s="9">
        <v>74</v>
      </c>
      <c r="M103" s="9">
        <v>77</v>
      </c>
      <c r="N103" s="9">
        <v>90</v>
      </c>
      <c r="O103" s="9">
        <v>116</v>
      </c>
      <c r="P103" s="9">
        <v>118</v>
      </c>
      <c r="Q103" s="9">
        <v>133</v>
      </c>
      <c r="R103" s="9">
        <v>150</v>
      </c>
      <c r="S103" s="9">
        <v>149</v>
      </c>
      <c r="T103" s="9">
        <v>147</v>
      </c>
      <c r="U103" s="9">
        <v>151</v>
      </c>
      <c r="V103" s="9">
        <v>143</v>
      </c>
    </row>
    <row r="104" spans="1:40" ht="19.899999999999999" customHeight="1" x14ac:dyDescent="0.2">
      <c r="A104" s="43"/>
      <c r="B104" s="13"/>
      <c r="C104" s="38"/>
      <c r="D104" s="20" t="s">
        <v>20</v>
      </c>
      <c r="E104" s="63" t="s">
        <v>40</v>
      </c>
      <c r="F104" s="10">
        <v>11</v>
      </c>
      <c r="G104" s="10">
        <v>16</v>
      </c>
      <c r="H104" s="10">
        <v>27</v>
      </c>
      <c r="I104" s="10">
        <v>31</v>
      </c>
      <c r="J104" s="10">
        <v>47</v>
      </c>
      <c r="K104" s="10">
        <v>62</v>
      </c>
      <c r="L104" s="10">
        <v>81</v>
      </c>
      <c r="M104" s="10">
        <v>101</v>
      </c>
      <c r="N104" s="10">
        <v>116</v>
      </c>
      <c r="O104" s="10">
        <v>137</v>
      </c>
      <c r="P104" s="10">
        <v>147</v>
      </c>
      <c r="Q104" s="10">
        <v>167</v>
      </c>
      <c r="R104" s="10">
        <v>178</v>
      </c>
      <c r="S104" s="10">
        <v>189</v>
      </c>
      <c r="T104" s="10">
        <v>193</v>
      </c>
      <c r="U104" s="10">
        <v>198</v>
      </c>
      <c r="V104" s="10">
        <v>178</v>
      </c>
      <c r="X104">
        <f>AVERAGE(F103:F105)</f>
        <v>11.333333333333334</v>
      </c>
      <c r="Y104">
        <f t="shared" ref="Y104" si="465">AVERAGE(G103:G105)</f>
        <v>16.333333333333332</v>
      </c>
      <c r="Z104">
        <f t="shared" ref="Z104" si="466">AVERAGE(H103:H105)</f>
        <v>24.666666666666668</v>
      </c>
      <c r="AA104">
        <f t="shared" ref="AA104" si="467">AVERAGE(I103:I105)</f>
        <v>28.833333333333332</v>
      </c>
      <c r="AB104">
        <f t="shared" ref="AB104" si="468">AVERAGE(J103:J105)</f>
        <v>42.666666666666664</v>
      </c>
      <c r="AC104">
        <f t="shared" ref="AC104" si="469">AVERAGE(K103:K105)</f>
        <v>55</v>
      </c>
      <c r="AD104">
        <f t="shared" ref="AD104" si="470">AVERAGE(L103:L105)</f>
        <v>74.666666666666671</v>
      </c>
      <c r="AE104">
        <f t="shared" ref="AE104" si="471">AVERAGE(M103:M105)</f>
        <v>87</v>
      </c>
      <c r="AF104">
        <f t="shared" ref="AF104" si="472">AVERAGE(N103:N105)</f>
        <v>100.66666666666667</v>
      </c>
      <c r="AG104">
        <f t="shared" ref="AG104" si="473">AVERAGE(O103:O105)</f>
        <v>121.66666666666667</v>
      </c>
      <c r="AH104">
        <f t="shared" ref="AH104" si="474">AVERAGE(P103:P105)</f>
        <v>130.66666666666666</v>
      </c>
      <c r="AI104">
        <f t="shared" ref="AI104" si="475">AVERAGE(Q103:Q105)</f>
        <v>149</v>
      </c>
      <c r="AJ104">
        <f t="shared" ref="AJ104" si="476">AVERAGE(R103:R105)</f>
        <v>163</v>
      </c>
      <c r="AK104">
        <f t="shared" ref="AK104" si="477">AVERAGE(S103:S105)</f>
        <v>168.66666666666666</v>
      </c>
      <c r="AL104">
        <f t="shared" ref="AL104" si="478">AVERAGE(T103:T105)</f>
        <v>174.66666666666666</v>
      </c>
      <c r="AM104">
        <f t="shared" ref="AM104" si="479">AVERAGE(U103:U105)</f>
        <v>180</v>
      </c>
      <c r="AN104">
        <f t="shared" ref="AN104" si="480">AVERAGE(V103:V105)</f>
        <v>171.33333333333334</v>
      </c>
    </row>
    <row r="105" spans="1:40" ht="19.899999999999999" customHeight="1" thickBot="1" x14ac:dyDescent="0.25">
      <c r="A105" s="43"/>
      <c r="B105" s="17"/>
      <c r="C105" s="19"/>
      <c r="D105" s="21" t="s">
        <v>21</v>
      </c>
      <c r="E105" s="64" t="s">
        <v>40</v>
      </c>
      <c r="F105" s="11">
        <v>11</v>
      </c>
      <c r="G105" s="11">
        <v>16</v>
      </c>
      <c r="H105" s="11">
        <v>23</v>
      </c>
      <c r="I105" s="11">
        <v>23.5</v>
      </c>
      <c r="J105" s="11">
        <v>40</v>
      </c>
      <c r="K105" s="11">
        <v>51</v>
      </c>
      <c r="L105" s="11">
        <v>69</v>
      </c>
      <c r="M105" s="11">
        <v>83</v>
      </c>
      <c r="N105" s="11">
        <v>96</v>
      </c>
      <c r="O105" s="11">
        <v>112</v>
      </c>
      <c r="P105" s="11">
        <v>127</v>
      </c>
      <c r="Q105" s="11">
        <v>147</v>
      </c>
      <c r="R105" s="11">
        <v>161</v>
      </c>
      <c r="S105" s="11">
        <v>168</v>
      </c>
      <c r="T105" s="11">
        <v>184</v>
      </c>
      <c r="U105" s="11">
        <v>191</v>
      </c>
      <c r="V105" s="11">
        <v>193</v>
      </c>
    </row>
    <row r="106" spans="1:40" ht="19.899999999999999" customHeight="1" x14ac:dyDescent="0.2">
      <c r="A106" s="43"/>
      <c r="B106" s="12" t="s">
        <v>8</v>
      </c>
      <c r="C106" s="18">
        <v>1</v>
      </c>
      <c r="D106" s="16" t="s">
        <v>22</v>
      </c>
      <c r="E106" s="62" t="s">
        <v>45</v>
      </c>
      <c r="F106" s="9">
        <v>12</v>
      </c>
      <c r="G106" s="9">
        <v>15</v>
      </c>
      <c r="H106" s="9">
        <v>23</v>
      </c>
      <c r="I106" s="9">
        <v>27</v>
      </c>
      <c r="J106" s="9">
        <v>37</v>
      </c>
      <c r="K106" s="9">
        <v>41</v>
      </c>
      <c r="L106" s="9">
        <v>48</v>
      </c>
      <c r="M106" s="9">
        <v>54</v>
      </c>
      <c r="N106" s="9">
        <v>62</v>
      </c>
      <c r="O106" s="9">
        <v>88</v>
      </c>
      <c r="P106" s="9">
        <v>86</v>
      </c>
      <c r="Q106" s="9">
        <v>100</v>
      </c>
      <c r="R106" s="9">
        <v>115</v>
      </c>
      <c r="S106" s="9">
        <v>133</v>
      </c>
      <c r="T106" s="9">
        <v>142</v>
      </c>
      <c r="U106" s="9">
        <v>147</v>
      </c>
      <c r="V106" s="9">
        <v>153</v>
      </c>
    </row>
    <row r="107" spans="1:40" ht="19.899999999999999" customHeight="1" x14ac:dyDescent="0.2">
      <c r="A107" s="43"/>
      <c r="B107" s="13"/>
      <c r="C107" s="38"/>
      <c r="D107" s="20" t="s">
        <v>20</v>
      </c>
      <c r="E107" s="63" t="s">
        <v>45</v>
      </c>
      <c r="F107" s="10">
        <v>13</v>
      </c>
      <c r="G107" s="10">
        <v>14</v>
      </c>
      <c r="H107" s="10">
        <v>27</v>
      </c>
      <c r="I107" s="10">
        <v>30</v>
      </c>
      <c r="J107" s="10">
        <v>39</v>
      </c>
      <c r="K107" s="10">
        <v>46</v>
      </c>
      <c r="L107" s="10">
        <v>53</v>
      </c>
      <c r="M107" s="10">
        <v>66</v>
      </c>
      <c r="N107" s="10">
        <v>68</v>
      </c>
      <c r="O107" s="10">
        <v>81</v>
      </c>
      <c r="P107" s="10">
        <v>95</v>
      </c>
      <c r="Q107" s="10">
        <v>121</v>
      </c>
      <c r="R107" s="10">
        <v>133</v>
      </c>
      <c r="S107" s="10">
        <v>143</v>
      </c>
      <c r="T107" s="10">
        <v>156</v>
      </c>
      <c r="U107" s="10">
        <v>162</v>
      </c>
      <c r="V107" s="10">
        <v>162</v>
      </c>
      <c r="X107">
        <f>AVERAGE(F106:F108)</f>
        <v>12.666666666666666</v>
      </c>
      <c r="Y107">
        <f t="shared" ref="Y107" si="481">AVERAGE(G106:G108)</f>
        <v>15</v>
      </c>
      <c r="Z107">
        <f t="shared" ref="Z107" si="482">AVERAGE(H106:H108)</f>
        <v>25</v>
      </c>
      <c r="AA107">
        <f t="shared" ref="AA107" si="483">AVERAGE(I106:I108)</f>
        <v>28.666666666666668</v>
      </c>
      <c r="AB107">
        <f t="shared" ref="AB107" si="484">AVERAGE(J106:J108)</f>
        <v>38.666666666666664</v>
      </c>
      <c r="AC107">
        <f t="shared" ref="AC107" si="485">AVERAGE(K106:K108)</f>
        <v>44.333333333333336</v>
      </c>
      <c r="AD107">
        <f t="shared" ref="AD107" si="486">AVERAGE(L106:L108)</f>
        <v>50.666666666666664</v>
      </c>
      <c r="AE107">
        <f t="shared" ref="AE107" si="487">AVERAGE(M106:M108)</f>
        <v>59.333333333333336</v>
      </c>
      <c r="AF107">
        <f t="shared" ref="AF107" si="488">AVERAGE(N106:N108)</f>
        <v>61</v>
      </c>
      <c r="AG107">
        <f t="shared" ref="AG107" si="489">AVERAGE(O106:O108)</f>
        <v>82.666666666666671</v>
      </c>
      <c r="AH107">
        <f t="shared" ref="AH107" si="490">AVERAGE(P106:P108)</f>
        <v>92.333333333333329</v>
      </c>
      <c r="AI107">
        <f t="shared" ref="AI107" si="491">AVERAGE(Q106:Q108)</f>
        <v>107.66666666666667</v>
      </c>
      <c r="AJ107">
        <f t="shared" ref="AJ107" si="492">AVERAGE(R106:R108)</f>
        <v>121.33333333333333</v>
      </c>
      <c r="AK107">
        <f t="shared" ref="AK107" si="493">AVERAGE(S106:S108)</f>
        <v>135.33333333333334</v>
      </c>
      <c r="AL107">
        <f t="shared" ref="AL107" si="494">AVERAGE(T106:T108)</f>
        <v>146.33333333333334</v>
      </c>
      <c r="AM107">
        <f t="shared" ref="AM107" si="495">AVERAGE(U106:U108)</f>
        <v>152</v>
      </c>
      <c r="AN107">
        <f t="shared" ref="AN107" si="496">AVERAGE(V106:V108)</f>
        <v>154.66666666666666</v>
      </c>
    </row>
    <row r="108" spans="1:40" ht="19.899999999999999" customHeight="1" thickBot="1" x14ac:dyDescent="0.25">
      <c r="A108" s="43"/>
      <c r="B108" s="17"/>
      <c r="C108" s="19"/>
      <c r="D108" s="21" t="s">
        <v>21</v>
      </c>
      <c r="E108" s="64" t="s">
        <v>45</v>
      </c>
      <c r="F108" s="11">
        <v>13</v>
      </c>
      <c r="G108" s="11">
        <v>16</v>
      </c>
      <c r="H108" s="11">
        <v>25</v>
      </c>
      <c r="I108" s="11">
        <v>29</v>
      </c>
      <c r="J108" s="11">
        <v>40</v>
      </c>
      <c r="K108" s="11">
        <v>46</v>
      </c>
      <c r="L108" s="11">
        <v>51</v>
      </c>
      <c r="M108" s="11">
        <v>58</v>
      </c>
      <c r="N108" s="11">
        <v>53</v>
      </c>
      <c r="O108" s="11">
        <v>79</v>
      </c>
      <c r="P108" s="11">
        <v>96</v>
      </c>
      <c r="Q108" s="11">
        <v>102</v>
      </c>
      <c r="R108" s="11">
        <v>116</v>
      </c>
      <c r="S108" s="11">
        <v>130</v>
      </c>
      <c r="T108" s="11">
        <v>141</v>
      </c>
      <c r="U108" s="11">
        <v>147</v>
      </c>
      <c r="V108" s="11">
        <v>149</v>
      </c>
    </row>
    <row r="109" spans="1:40" ht="19.899999999999999" customHeight="1" x14ac:dyDescent="0.2">
      <c r="A109" s="43"/>
      <c r="B109" s="12" t="s">
        <v>9</v>
      </c>
      <c r="C109" s="18">
        <v>1</v>
      </c>
      <c r="D109" s="16" t="s">
        <v>21</v>
      </c>
      <c r="E109" s="62" t="s">
        <v>33</v>
      </c>
      <c r="F109" s="9">
        <v>11</v>
      </c>
      <c r="G109" s="9">
        <v>16</v>
      </c>
      <c r="H109" s="9">
        <v>23</v>
      </c>
      <c r="I109" s="9">
        <v>35.5</v>
      </c>
      <c r="J109" s="9">
        <v>41</v>
      </c>
      <c r="K109" s="9">
        <v>47</v>
      </c>
      <c r="L109" s="9">
        <v>55</v>
      </c>
      <c r="M109" s="9">
        <v>64</v>
      </c>
      <c r="N109" s="9">
        <v>70</v>
      </c>
      <c r="O109" s="9">
        <v>84</v>
      </c>
      <c r="P109" s="9">
        <v>92</v>
      </c>
      <c r="Q109" s="9">
        <v>106</v>
      </c>
      <c r="R109" s="9">
        <v>112</v>
      </c>
      <c r="S109" s="9">
        <v>123</v>
      </c>
      <c r="T109" s="9">
        <v>118</v>
      </c>
      <c r="U109" s="9">
        <v>123</v>
      </c>
      <c r="V109" s="9">
        <v>117</v>
      </c>
    </row>
    <row r="110" spans="1:40" ht="19.899999999999999" customHeight="1" x14ac:dyDescent="0.2">
      <c r="A110" s="43"/>
      <c r="C110" s="38"/>
      <c r="D110" s="20" t="s">
        <v>20</v>
      </c>
      <c r="E110" s="63" t="s">
        <v>33</v>
      </c>
      <c r="F110" s="10">
        <v>11</v>
      </c>
      <c r="G110" s="10">
        <v>17</v>
      </c>
      <c r="H110" s="10">
        <v>23</v>
      </c>
      <c r="I110" s="10">
        <v>38</v>
      </c>
      <c r="J110" s="10">
        <v>44</v>
      </c>
      <c r="K110" s="10">
        <v>52</v>
      </c>
      <c r="L110" s="10">
        <v>61</v>
      </c>
      <c r="M110" s="10">
        <v>68</v>
      </c>
      <c r="N110" s="10">
        <v>74</v>
      </c>
      <c r="O110" s="10">
        <v>84</v>
      </c>
      <c r="P110" s="10">
        <v>92</v>
      </c>
      <c r="Q110" s="10">
        <v>96</v>
      </c>
      <c r="R110" s="10">
        <v>107</v>
      </c>
      <c r="S110" s="10">
        <v>101</v>
      </c>
      <c r="T110" s="10">
        <v>103</v>
      </c>
      <c r="U110" s="10">
        <v>105</v>
      </c>
      <c r="V110" s="10">
        <v>103</v>
      </c>
      <c r="X110">
        <f>AVERAGE(F109:F111)</f>
        <v>11</v>
      </c>
      <c r="Y110">
        <f t="shared" ref="Y110" si="497">AVERAGE(G109:G111)</f>
        <v>16.666666666666668</v>
      </c>
      <c r="Z110">
        <f t="shared" ref="Z110" si="498">AVERAGE(H109:H111)</f>
        <v>23.333333333333332</v>
      </c>
      <c r="AA110">
        <f t="shared" ref="AA110" si="499">AVERAGE(I109:I111)</f>
        <v>34.166666666666664</v>
      </c>
      <c r="AB110">
        <f t="shared" ref="AB110" si="500">AVERAGE(J109:J111)</f>
        <v>43.333333333333336</v>
      </c>
      <c r="AC110">
        <f t="shared" ref="AC110" si="501">AVERAGE(K109:K111)</f>
        <v>51</v>
      </c>
      <c r="AD110">
        <f t="shared" ref="AD110" si="502">AVERAGE(L109:L111)</f>
        <v>58.333333333333336</v>
      </c>
      <c r="AE110">
        <f t="shared" ref="AE110" si="503">AVERAGE(M109:M111)</f>
        <v>68.666666666666671</v>
      </c>
      <c r="AF110">
        <f t="shared" ref="AF110" si="504">AVERAGE(N109:N111)</f>
        <v>74.333333333333329</v>
      </c>
      <c r="AG110">
        <f t="shared" ref="AG110" si="505">AVERAGE(O109:O111)</f>
        <v>86</v>
      </c>
      <c r="AH110">
        <f t="shared" ref="AH110" si="506">AVERAGE(P109:P111)</f>
        <v>94.333333333333329</v>
      </c>
      <c r="AI110">
        <f t="shared" ref="AI110" si="507">AVERAGE(Q109:Q111)</f>
        <v>104.33333333333333</v>
      </c>
      <c r="AJ110">
        <f t="shared" ref="AJ110" si="508">AVERAGE(R109:R111)</f>
        <v>112.33333333333333</v>
      </c>
      <c r="AK110">
        <f t="shared" ref="AK110" si="509">AVERAGE(S109:S111)</f>
        <v>115.66666666666667</v>
      </c>
      <c r="AL110">
        <f t="shared" ref="AL110" si="510">AVERAGE(T109:T111)</f>
        <v>115.33333333333333</v>
      </c>
      <c r="AM110">
        <f t="shared" ref="AM110" si="511">AVERAGE(U109:U111)</f>
        <v>117.66666666666667</v>
      </c>
      <c r="AN110">
        <f t="shared" ref="AN110" si="512">AVERAGE(V109:V111)</f>
        <v>115.33333333333333</v>
      </c>
    </row>
    <row r="111" spans="1:40" ht="19.899999999999999" customHeight="1" thickBot="1" x14ac:dyDescent="0.25">
      <c r="A111" s="43"/>
      <c r="B111" s="17"/>
      <c r="C111" s="19"/>
      <c r="D111" s="21" t="s">
        <v>22</v>
      </c>
      <c r="E111" s="64" t="s">
        <v>33</v>
      </c>
      <c r="F111" s="11">
        <v>11</v>
      </c>
      <c r="G111" s="11">
        <v>17</v>
      </c>
      <c r="H111" s="11">
        <v>24</v>
      </c>
      <c r="I111" s="11">
        <v>29</v>
      </c>
      <c r="J111" s="11">
        <v>45</v>
      </c>
      <c r="K111" s="11">
        <v>54</v>
      </c>
      <c r="L111" s="11">
        <v>59</v>
      </c>
      <c r="M111" s="11">
        <v>74</v>
      </c>
      <c r="N111" s="11">
        <v>79</v>
      </c>
      <c r="O111" s="11">
        <v>90</v>
      </c>
      <c r="P111" s="11">
        <v>99</v>
      </c>
      <c r="Q111" s="11">
        <v>111</v>
      </c>
      <c r="R111" s="11">
        <v>118</v>
      </c>
      <c r="S111" s="11">
        <v>123</v>
      </c>
      <c r="T111" s="11">
        <v>125</v>
      </c>
      <c r="U111" s="11">
        <v>125</v>
      </c>
      <c r="V111" s="11">
        <v>126</v>
      </c>
    </row>
    <row r="112" spans="1:40" ht="19.899999999999999" customHeight="1" x14ac:dyDescent="0.2">
      <c r="A112" s="43"/>
      <c r="B112" s="12" t="s">
        <v>9</v>
      </c>
      <c r="C112" s="18">
        <v>2</v>
      </c>
      <c r="D112" s="16" t="s">
        <v>21</v>
      </c>
      <c r="E112" s="62" t="s">
        <v>47</v>
      </c>
      <c r="F112" s="9">
        <v>11</v>
      </c>
      <c r="G112" s="9">
        <v>18</v>
      </c>
      <c r="H112" s="9">
        <v>23</v>
      </c>
      <c r="I112" s="9">
        <v>37</v>
      </c>
      <c r="J112" s="9">
        <v>42</v>
      </c>
      <c r="K112" s="9">
        <v>52</v>
      </c>
      <c r="L112" s="9">
        <v>65</v>
      </c>
      <c r="M112" s="9">
        <v>75</v>
      </c>
      <c r="N112" s="9">
        <v>87</v>
      </c>
      <c r="O112" s="9">
        <v>115</v>
      </c>
      <c r="P112" s="9">
        <v>116</v>
      </c>
      <c r="Q112" s="9">
        <v>128</v>
      </c>
      <c r="R112" s="9">
        <v>138</v>
      </c>
      <c r="S112" s="9">
        <v>142</v>
      </c>
      <c r="T112" s="9">
        <v>137</v>
      </c>
      <c r="U112" s="9">
        <v>143</v>
      </c>
      <c r="V112" s="9">
        <v>143</v>
      </c>
    </row>
    <row r="113" spans="1:40" ht="19.899999999999999" customHeight="1" x14ac:dyDescent="0.2">
      <c r="A113" s="43"/>
      <c r="B113" s="13"/>
      <c r="C113" s="38"/>
      <c r="D113" s="20" t="s">
        <v>20</v>
      </c>
      <c r="E113" s="63" t="s">
        <v>47</v>
      </c>
      <c r="F113" s="10">
        <v>12</v>
      </c>
      <c r="G113" s="10">
        <v>14</v>
      </c>
      <c r="H113" s="10">
        <v>25</v>
      </c>
      <c r="I113" s="10">
        <v>37</v>
      </c>
      <c r="J113" s="10">
        <v>51</v>
      </c>
      <c r="K113" s="10">
        <v>65</v>
      </c>
      <c r="L113" s="10">
        <v>90</v>
      </c>
      <c r="M113" s="10">
        <v>102</v>
      </c>
      <c r="N113" s="10">
        <v>115</v>
      </c>
      <c r="O113" s="10">
        <v>132</v>
      </c>
      <c r="P113" s="10">
        <v>143</v>
      </c>
      <c r="Q113" s="10">
        <v>158</v>
      </c>
      <c r="R113" s="10">
        <v>163</v>
      </c>
      <c r="S113" s="10">
        <v>174</v>
      </c>
      <c r="T113" s="10">
        <v>183</v>
      </c>
      <c r="U113" s="10">
        <v>176</v>
      </c>
      <c r="V113" s="10">
        <v>179</v>
      </c>
      <c r="X113">
        <f>AVERAGE(F112:F114)</f>
        <v>11.333333333333334</v>
      </c>
      <c r="Y113">
        <f t="shared" ref="Y113" si="513">AVERAGE(G112:G114)</f>
        <v>15.666666666666666</v>
      </c>
      <c r="Z113">
        <f t="shared" ref="Z113" si="514">AVERAGE(H112:H114)</f>
        <v>23.666666666666668</v>
      </c>
      <c r="AA113">
        <f t="shared" ref="AA113" si="515">AVERAGE(I112:I114)</f>
        <v>36.5</v>
      </c>
      <c r="AB113">
        <f t="shared" ref="AB113" si="516">AVERAGE(J112:J114)</f>
        <v>45</v>
      </c>
      <c r="AC113">
        <f t="shared" ref="AC113" si="517">AVERAGE(K112:K114)</f>
        <v>57</v>
      </c>
      <c r="AD113">
        <f t="shared" ref="AD113" si="518">AVERAGE(L112:L114)</f>
        <v>74.333333333333329</v>
      </c>
      <c r="AE113">
        <f t="shared" ref="AE113" si="519">AVERAGE(M112:M114)</f>
        <v>83.333333333333329</v>
      </c>
      <c r="AF113">
        <f t="shared" ref="AF113" si="520">AVERAGE(N112:N114)</f>
        <v>97.666666666666671</v>
      </c>
      <c r="AG113">
        <f t="shared" ref="AG113" si="521">AVERAGE(O112:O114)</f>
        <v>118.66666666666667</v>
      </c>
      <c r="AH113">
        <f t="shared" ref="AH113" si="522">AVERAGE(P112:P114)</f>
        <v>125.66666666666667</v>
      </c>
      <c r="AI113">
        <f t="shared" ref="AI113" si="523">AVERAGE(Q112:Q114)</f>
        <v>138.66666666666666</v>
      </c>
      <c r="AJ113">
        <f t="shared" ref="AJ113" si="524">AVERAGE(R112:R114)</f>
        <v>145</v>
      </c>
      <c r="AK113">
        <f t="shared" ref="AK113" si="525">AVERAGE(S112:S114)</f>
        <v>152.33333333333334</v>
      </c>
      <c r="AL113">
        <f t="shared" ref="AL113" si="526">AVERAGE(T112:T114)</f>
        <v>154.66666666666666</v>
      </c>
      <c r="AM113">
        <f t="shared" ref="AM113" si="527">AVERAGE(U112:U114)</f>
        <v>153.33333333333334</v>
      </c>
      <c r="AN113">
        <f t="shared" ref="AN113" si="528">AVERAGE(V112:V114)</f>
        <v>155.33333333333334</v>
      </c>
    </row>
    <row r="114" spans="1:40" ht="19.899999999999999" customHeight="1" thickBot="1" x14ac:dyDescent="0.25">
      <c r="A114" s="43"/>
      <c r="B114" s="17"/>
      <c r="C114" s="19"/>
      <c r="D114" s="21" t="s">
        <v>22</v>
      </c>
      <c r="E114" s="64" t="s">
        <v>47</v>
      </c>
      <c r="F114" s="11">
        <v>11</v>
      </c>
      <c r="G114" s="11">
        <v>15</v>
      </c>
      <c r="H114" s="11">
        <v>23</v>
      </c>
      <c r="I114" s="11">
        <v>35.5</v>
      </c>
      <c r="J114" s="11">
        <v>42</v>
      </c>
      <c r="K114" s="11">
        <v>54</v>
      </c>
      <c r="L114" s="11">
        <v>68</v>
      </c>
      <c r="M114" s="11">
        <v>73</v>
      </c>
      <c r="N114" s="11">
        <v>91</v>
      </c>
      <c r="O114" s="11">
        <v>109</v>
      </c>
      <c r="P114" s="11">
        <v>118</v>
      </c>
      <c r="Q114" s="11">
        <v>130</v>
      </c>
      <c r="R114" s="11">
        <v>134</v>
      </c>
      <c r="S114" s="11">
        <v>141</v>
      </c>
      <c r="T114" s="11">
        <v>144</v>
      </c>
      <c r="U114" s="11">
        <v>141</v>
      </c>
      <c r="V114" s="11">
        <v>144</v>
      </c>
    </row>
    <row r="115" spans="1:40" ht="19.899999999999999" customHeight="1" x14ac:dyDescent="0.2">
      <c r="A115" s="43"/>
      <c r="B115" s="12" t="s">
        <v>9</v>
      </c>
      <c r="C115" s="18">
        <v>3</v>
      </c>
      <c r="D115" s="16" t="s">
        <v>21</v>
      </c>
      <c r="E115" s="62" t="s">
        <v>36</v>
      </c>
      <c r="F115" s="9">
        <v>9</v>
      </c>
      <c r="G115" s="9">
        <v>16</v>
      </c>
      <c r="H115" s="9">
        <v>21</v>
      </c>
      <c r="I115" s="9">
        <v>29</v>
      </c>
      <c r="J115" s="9">
        <v>39</v>
      </c>
      <c r="K115" s="9">
        <v>43</v>
      </c>
      <c r="L115" s="9">
        <v>51</v>
      </c>
      <c r="M115" s="9">
        <v>51</v>
      </c>
      <c r="N115" s="9">
        <v>60</v>
      </c>
      <c r="O115" s="9">
        <v>62</v>
      </c>
      <c r="P115" s="9">
        <v>70</v>
      </c>
      <c r="Q115" s="9">
        <v>76</v>
      </c>
      <c r="R115" s="9">
        <v>82</v>
      </c>
      <c r="S115" s="9">
        <v>84</v>
      </c>
      <c r="T115" s="9">
        <v>83</v>
      </c>
      <c r="U115" s="9">
        <v>79</v>
      </c>
      <c r="V115" s="9">
        <v>84</v>
      </c>
    </row>
    <row r="116" spans="1:40" ht="19.899999999999999" customHeight="1" x14ac:dyDescent="0.2">
      <c r="A116" s="43"/>
      <c r="B116" s="13"/>
      <c r="C116" s="38"/>
      <c r="D116" s="20" t="s">
        <v>20</v>
      </c>
      <c r="E116" s="63" t="s">
        <v>36</v>
      </c>
      <c r="F116" s="10">
        <v>12</v>
      </c>
      <c r="G116" s="10">
        <v>16</v>
      </c>
      <c r="H116" s="10">
        <v>22</v>
      </c>
      <c r="I116" s="10">
        <v>29</v>
      </c>
      <c r="J116" s="10">
        <v>44</v>
      </c>
      <c r="K116" s="10">
        <v>52</v>
      </c>
      <c r="L116" s="10">
        <v>62</v>
      </c>
      <c r="M116" s="10">
        <v>69</v>
      </c>
      <c r="N116" s="10">
        <v>79</v>
      </c>
      <c r="O116" s="10">
        <v>88</v>
      </c>
      <c r="P116" s="10">
        <v>99</v>
      </c>
      <c r="Q116" s="10">
        <v>108</v>
      </c>
      <c r="R116" s="10">
        <v>104</v>
      </c>
      <c r="S116" s="10">
        <v>108</v>
      </c>
      <c r="T116" s="10">
        <v>112</v>
      </c>
      <c r="U116" s="10">
        <v>108</v>
      </c>
      <c r="V116" s="10">
        <v>117</v>
      </c>
      <c r="X116">
        <f>AVERAGE(F115:F117)</f>
        <v>11</v>
      </c>
      <c r="Y116">
        <f t="shared" ref="Y116" si="529">AVERAGE(G115:G117)</f>
        <v>15</v>
      </c>
      <c r="Z116">
        <f t="shared" ref="Z116" si="530">AVERAGE(H115:H117)</f>
        <v>21.666666666666668</v>
      </c>
      <c r="AA116">
        <f t="shared" ref="AA116" si="531">AVERAGE(I115:I117)</f>
        <v>28.666666666666668</v>
      </c>
      <c r="AB116">
        <f t="shared" ref="AB116" si="532">AVERAGE(J115:J117)</f>
        <v>39.333333333333336</v>
      </c>
      <c r="AC116">
        <f t="shared" ref="AC116" si="533">AVERAGE(K115:K117)</f>
        <v>45.333333333333336</v>
      </c>
      <c r="AD116">
        <f t="shared" ref="AD116" si="534">AVERAGE(L115:L117)</f>
        <v>54</v>
      </c>
      <c r="AE116">
        <f t="shared" ref="AE116" si="535">AVERAGE(M115:M117)</f>
        <v>57.666666666666664</v>
      </c>
      <c r="AF116">
        <f t="shared" ref="AF116" si="536">AVERAGE(N115:N117)</f>
        <v>66.333333333333329</v>
      </c>
      <c r="AG116">
        <f t="shared" ref="AG116" si="537">AVERAGE(O115:O117)</f>
        <v>74.666666666666671</v>
      </c>
      <c r="AH116">
        <f t="shared" ref="AH116" si="538">AVERAGE(P115:P117)</f>
        <v>82</v>
      </c>
      <c r="AI116">
        <f t="shared" ref="AI116" si="539">AVERAGE(Q115:Q117)</f>
        <v>89.333333333333329</v>
      </c>
      <c r="AJ116">
        <f t="shared" ref="AJ116" si="540">AVERAGE(R115:R117)</f>
        <v>91</v>
      </c>
      <c r="AK116">
        <f t="shared" ref="AK116" si="541">AVERAGE(S115:S117)</f>
        <v>93</v>
      </c>
      <c r="AL116">
        <f t="shared" ref="AL116" si="542">AVERAGE(T115:T117)</f>
        <v>96.333333333333329</v>
      </c>
      <c r="AM116">
        <f t="shared" ref="AM116" si="543">AVERAGE(U115:U117)</f>
        <v>94</v>
      </c>
      <c r="AN116">
        <f t="shared" ref="AN116" si="544">AVERAGE(V115:V117)</f>
        <v>96.666666666666671</v>
      </c>
    </row>
    <row r="117" spans="1:40" ht="19.899999999999999" customHeight="1" thickBot="1" x14ac:dyDescent="0.25">
      <c r="A117" s="43"/>
      <c r="B117" s="17"/>
      <c r="C117" s="19"/>
      <c r="D117" s="21" t="s">
        <v>22</v>
      </c>
      <c r="E117" s="64" t="s">
        <v>36</v>
      </c>
      <c r="F117" s="11">
        <v>12</v>
      </c>
      <c r="G117" s="11">
        <v>13</v>
      </c>
      <c r="H117" s="11">
        <v>22</v>
      </c>
      <c r="I117" s="11">
        <v>28</v>
      </c>
      <c r="J117" s="11">
        <v>35</v>
      </c>
      <c r="K117" s="11">
        <v>41</v>
      </c>
      <c r="L117" s="11">
        <v>49</v>
      </c>
      <c r="M117" s="11">
        <v>53</v>
      </c>
      <c r="N117" s="11">
        <v>60</v>
      </c>
      <c r="O117" s="11">
        <v>74</v>
      </c>
      <c r="P117" s="11">
        <v>77</v>
      </c>
      <c r="Q117" s="11">
        <v>84</v>
      </c>
      <c r="R117" s="11">
        <v>87</v>
      </c>
      <c r="S117" s="11">
        <v>87</v>
      </c>
      <c r="T117" s="11">
        <v>94</v>
      </c>
      <c r="U117" s="11">
        <v>95</v>
      </c>
      <c r="V117" s="11">
        <v>89</v>
      </c>
    </row>
    <row r="118" spans="1:40" ht="19.899999999999999" customHeight="1" x14ac:dyDescent="0.2">
      <c r="A118" s="43"/>
      <c r="B118" s="12" t="s">
        <v>9</v>
      </c>
      <c r="C118" s="18">
        <v>4</v>
      </c>
      <c r="D118" s="16" t="s">
        <v>21</v>
      </c>
      <c r="E118" s="62" t="s">
        <v>42</v>
      </c>
      <c r="F118" s="9">
        <v>10</v>
      </c>
      <c r="G118" s="9">
        <v>14</v>
      </c>
      <c r="H118" s="9">
        <v>19</v>
      </c>
      <c r="I118" s="9">
        <v>30</v>
      </c>
      <c r="J118" s="9">
        <v>38</v>
      </c>
      <c r="K118" s="9">
        <v>48</v>
      </c>
      <c r="L118" s="9">
        <v>61</v>
      </c>
      <c r="M118" s="9">
        <v>67</v>
      </c>
      <c r="N118" s="9">
        <v>73</v>
      </c>
      <c r="O118" s="9">
        <v>90</v>
      </c>
      <c r="P118" s="9">
        <v>99</v>
      </c>
      <c r="Q118" s="9">
        <v>105</v>
      </c>
      <c r="R118" s="9">
        <v>102</v>
      </c>
      <c r="S118" s="9">
        <v>107</v>
      </c>
      <c r="T118" s="9">
        <v>100</v>
      </c>
      <c r="U118" s="9">
        <v>106</v>
      </c>
      <c r="V118" s="9">
        <v>99</v>
      </c>
    </row>
    <row r="119" spans="1:40" ht="19.899999999999999" customHeight="1" x14ac:dyDescent="0.2">
      <c r="A119" s="43"/>
      <c r="B119" s="13"/>
      <c r="C119" s="38"/>
      <c r="D119" s="20" t="s">
        <v>20</v>
      </c>
      <c r="E119" s="63" t="s">
        <v>42</v>
      </c>
      <c r="F119" s="10">
        <v>10</v>
      </c>
      <c r="G119" s="10">
        <v>13</v>
      </c>
      <c r="H119" s="10">
        <v>21</v>
      </c>
      <c r="I119" s="10">
        <v>26</v>
      </c>
      <c r="J119" s="10">
        <v>38</v>
      </c>
      <c r="K119" s="10">
        <v>48</v>
      </c>
      <c r="L119" s="10">
        <v>57</v>
      </c>
      <c r="M119" s="10">
        <v>69</v>
      </c>
      <c r="N119" s="10">
        <v>73</v>
      </c>
      <c r="O119" s="10">
        <v>84</v>
      </c>
      <c r="P119" s="10">
        <v>93</v>
      </c>
      <c r="Q119" s="10">
        <v>98</v>
      </c>
      <c r="R119" s="10">
        <v>101</v>
      </c>
      <c r="S119" s="10">
        <v>104</v>
      </c>
      <c r="T119" s="10">
        <v>98</v>
      </c>
      <c r="U119" s="10">
        <v>97</v>
      </c>
      <c r="V119" s="10">
        <v>85</v>
      </c>
      <c r="X119">
        <f>AVERAGE(F118:F120)</f>
        <v>9.6666666666666661</v>
      </c>
      <c r="Y119">
        <f t="shared" ref="Y119" si="545">AVERAGE(G118:G120)</f>
        <v>13</v>
      </c>
      <c r="Z119">
        <f t="shared" ref="Z119" si="546">AVERAGE(H118:H120)</f>
        <v>20.333333333333332</v>
      </c>
      <c r="AA119">
        <f t="shared" ref="AA119" si="547">AVERAGE(I118:I120)</f>
        <v>29.333333333333332</v>
      </c>
      <c r="AB119">
        <f t="shared" ref="AB119" si="548">AVERAGE(J118:J120)</f>
        <v>37.666666666666664</v>
      </c>
      <c r="AC119">
        <f t="shared" ref="AC119" si="549">AVERAGE(K118:K120)</f>
        <v>47.666666666666664</v>
      </c>
      <c r="AD119">
        <f t="shared" ref="AD119" si="550">AVERAGE(L118:L120)</f>
        <v>58.333333333333336</v>
      </c>
      <c r="AE119">
        <f t="shared" ref="AE119" si="551">AVERAGE(M118:M120)</f>
        <v>67.666666666666671</v>
      </c>
      <c r="AF119">
        <f t="shared" ref="AF119" si="552">AVERAGE(N118:N120)</f>
        <v>71.333333333333329</v>
      </c>
      <c r="AG119">
        <f t="shared" ref="AG119" si="553">AVERAGE(O118:O120)</f>
        <v>87.333333333333329</v>
      </c>
      <c r="AH119">
        <f t="shared" ref="AH119" si="554">AVERAGE(P118:P120)</f>
        <v>94.333333333333329</v>
      </c>
      <c r="AI119">
        <f t="shared" ref="AI119" si="555">AVERAGE(Q118:Q120)</f>
        <v>99.333333333333329</v>
      </c>
      <c r="AJ119">
        <f t="shared" ref="AJ119" si="556">AVERAGE(R118:R120)</f>
        <v>100</v>
      </c>
      <c r="AK119">
        <f t="shared" ref="AK119" si="557">AVERAGE(S118:S120)</f>
        <v>102</v>
      </c>
      <c r="AL119">
        <f t="shared" ref="AL119" si="558">AVERAGE(T118:T120)</f>
        <v>97.333333333333329</v>
      </c>
      <c r="AM119">
        <f t="shared" ref="AM119" si="559">AVERAGE(U118:U120)</f>
        <v>98.666666666666671</v>
      </c>
      <c r="AN119">
        <f t="shared" ref="AN119" si="560">AVERAGE(V118:V120)</f>
        <v>90.666666666666671</v>
      </c>
    </row>
    <row r="120" spans="1:40" ht="19.899999999999999" customHeight="1" thickBot="1" x14ac:dyDescent="0.25">
      <c r="A120" s="43"/>
      <c r="B120" s="17"/>
      <c r="C120" s="19"/>
      <c r="D120" s="21" t="s">
        <v>22</v>
      </c>
      <c r="E120" s="64" t="s">
        <v>42</v>
      </c>
      <c r="F120" s="11">
        <v>9</v>
      </c>
      <c r="G120" s="11">
        <v>12</v>
      </c>
      <c r="H120" s="11">
        <v>21</v>
      </c>
      <c r="I120" s="11">
        <v>32</v>
      </c>
      <c r="J120" s="11">
        <v>37</v>
      </c>
      <c r="K120" s="11">
        <v>47</v>
      </c>
      <c r="L120" s="11">
        <v>57</v>
      </c>
      <c r="M120" s="11">
        <v>67</v>
      </c>
      <c r="N120" s="11">
        <v>68</v>
      </c>
      <c r="O120" s="11">
        <v>88</v>
      </c>
      <c r="P120" s="11">
        <v>91</v>
      </c>
      <c r="Q120" s="11">
        <v>95</v>
      </c>
      <c r="R120" s="11">
        <v>97</v>
      </c>
      <c r="S120" s="11">
        <v>95</v>
      </c>
      <c r="T120" s="11">
        <v>94</v>
      </c>
      <c r="U120" s="11">
        <v>93</v>
      </c>
      <c r="V120" s="11">
        <v>88</v>
      </c>
    </row>
    <row r="121" spans="1:40" ht="19.899999999999999" customHeight="1" x14ac:dyDescent="0.2">
      <c r="A121" s="43"/>
      <c r="B121" s="12" t="s">
        <v>0</v>
      </c>
      <c r="C121" s="18">
        <v>4</v>
      </c>
      <c r="D121" s="16" t="s">
        <v>22</v>
      </c>
      <c r="E121" s="62" t="s">
        <v>41</v>
      </c>
      <c r="F121" s="9">
        <v>9</v>
      </c>
      <c r="G121" s="9">
        <v>15</v>
      </c>
      <c r="H121" s="9">
        <v>19</v>
      </c>
      <c r="I121" s="9">
        <v>30</v>
      </c>
      <c r="J121" s="9">
        <v>36</v>
      </c>
      <c r="K121" s="9">
        <v>45</v>
      </c>
      <c r="L121" s="9">
        <v>49</v>
      </c>
      <c r="M121" s="9">
        <v>52</v>
      </c>
      <c r="N121" s="9">
        <v>60</v>
      </c>
      <c r="O121" s="9">
        <v>78</v>
      </c>
      <c r="P121" s="9">
        <v>87</v>
      </c>
      <c r="Q121" s="9">
        <v>108</v>
      </c>
      <c r="R121" s="9">
        <v>120</v>
      </c>
      <c r="S121" s="9">
        <v>132</v>
      </c>
      <c r="T121" s="9">
        <v>137</v>
      </c>
      <c r="U121" s="9">
        <v>138</v>
      </c>
      <c r="V121" s="9">
        <v>140</v>
      </c>
    </row>
    <row r="122" spans="1:40" ht="19.899999999999999" customHeight="1" x14ac:dyDescent="0.2">
      <c r="A122" s="43"/>
      <c r="B122" s="13"/>
      <c r="C122" s="38"/>
      <c r="D122" s="20" t="s">
        <v>20</v>
      </c>
      <c r="E122" s="63" t="s">
        <v>41</v>
      </c>
      <c r="F122" s="10">
        <v>10</v>
      </c>
      <c r="G122" s="10">
        <v>17</v>
      </c>
      <c r="H122" s="10">
        <v>20</v>
      </c>
      <c r="I122" s="10">
        <v>25</v>
      </c>
      <c r="J122" s="10">
        <v>31</v>
      </c>
      <c r="K122" s="10">
        <v>34</v>
      </c>
      <c r="L122" s="10">
        <v>37</v>
      </c>
      <c r="M122" s="10">
        <v>36</v>
      </c>
      <c r="N122" s="10">
        <v>37</v>
      </c>
      <c r="O122" s="10">
        <v>49</v>
      </c>
      <c r="P122" s="10">
        <v>57</v>
      </c>
      <c r="Q122" s="10">
        <v>74</v>
      </c>
      <c r="R122" s="10">
        <v>87</v>
      </c>
      <c r="S122" s="10">
        <v>89</v>
      </c>
      <c r="T122" s="10">
        <v>92</v>
      </c>
      <c r="U122" s="10">
        <v>99</v>
      </c>
      <c r="V122" s="10">
        <v>104</v>
      </c>
      <c r="X122">
        <f>AVERAGE(F121:F123)</f>
        <v>10</v>
      </c>
      <c r="Y122">
        <f t="shared" ref="Y122" si="561">AVERAGE(G121:G123)</f>
        <v>15.666666666666666</v>
      </c>
      <c r="Z122">
        <f t="shared" ref="Z122" si="562">AVERAGE(H121:H123)</f>
        <v>20</v>
      </c>
      <c r="AA122">
        <f t="shared" ref="AA122" si="563">AVERAGE(I121:I123)</f>
        <v>27.833333333333332</v>
      </c>
      <c r="AB122">
        <f t="shared" ref="AB122" si="564">AVERAGE(J121:J123)</f>
        <v>34</v>
      </c>
      <c r="AC122">
        <f t="shared" ref="AC122" si="565">AVERAGE(K121:K123)</f>
        <v>38.666666666666664</v>
      </c>
      <c r="AD122">
        <f t="shared" ref="AD122" si="566">AVERAGE(L121:L123)</f>
        <v>42.333333333333336</v>
      </c>
      <c r="AE122">
        <f t="shared" ref="AE122" si="567">AVERAGE(M121:M123)</f>
        <v>42.333333333333336</v>
      </c>
      <c r="AF122">
        <f t="shared" ref="AF122" si="568">AVERAGE(N121:N123)</f>
        <v>47.333333333333336</v>
      </c>
      <c r="AG122">
        <f t="shared" ref="AG122" si="569">AVERAGE(O121:O123)</f>
        <v>60.333333333333336</v>
      </c>
      <c r="AH122">
        <f t="shared" ref="AH122" si="570">AVERAGE(P121:P123)</f>
        <v>69.666666666666671</v>
      </c>
      <c r="AI122">
        <f t="shared" ref="AI122" si="571">AVERAGE(Q121:Q123)</f>
        <v>90</v>
      </c>
      <c r="AJ122">
        <f t="shared" ref="AJ122" si="572">AVERAGE(R121:R123)</f>
        <v>103.33333333333333</v>
      </c>
      <c r="AK122">
        <f t="shared" ref="AK122" si="573">AVERAGE(S121:S123)</f>
        <v>110.66666666666667</v>
      </c>
      <c r="AL122">
        <f t="shared" ref="AL122" si="574">AVERAGE(T121:T123)</f>
        <v>114</v>
      </c>
      <c r="AM122">
        <f t="shared" ref="AM122" si="575">AVERAGE(U121:U123)</f>
        <v>119</v>
      </c>
      <c r="AN122">
        <f t="shared" ref="AN122" si="576">AVERAGE(V121:V123)</f>
        <v>120.33333333333333</v>
      </c>
    </row>
    <row r="123" spans="1:40" ht="19.899999999999999" customHeight="1" thickBot="1" x14ac:dyDescent="0.25">
      <c r="A123" s="43"/>
      <c r="B123" s="17"/>
      <c r="C123" s="19"/>
      <c r="D123" s="21" t="s">
        <v>21</v>
      </c>
      <c r="E123" s="64" t="s">
        <v>41</v>
      </c>
      <c r="F123" s="11">
        <v>11</v>
      </c>
      <c r="G123" s="11">
        <v>15</v>
      </c>
      <c r="H123" s="11">
        <v>21</v>
      </c>
      <c r="I123" s="11">
        <v>28.5</v>
      </c>
      <c r="J123" s="11">
        <v>35</v>
      </c>
      <c r="K123" s="11">
        <v>37</v>
      </c>
      <c r="L123" s="11">
        <v>41</v>
      </c>
      <c r="M123" s="11">
        <v>39</v>
      </c>
      <c r="N123" s="11">
        <v>45</v>
      </c>
      <c r="O123" s="11">
        <v>54</v>
      </c>
      <c r="P123" s="11">
        <v>65</v>
      </c>
      <c r="Q123" s="11">
        <v>88</v>
      </c>
      <c r="R123" s="11">
        <v>103</v>
      </c>
      <c r="S123" s="11">
        <v>111</v>
      </c>
      <c r="T123" s="11">
        <v>113</v>
      </c>
      <c r="U123" s="11">
        <v>120</v>
      </c>
      <c r="V123" s="11">
        <v>117</v>
      </c>
    </row>
    <row r="124" spans="1:40" ht="19.899999999999999" customHeight="1" x14ac:dyDescent="0.2">
      <c r="A124" s="43"/>
      <c r="B124" s="12" t="s">
        <v>0</v>
      </c>
      <c r="C124" s="18">
        <v>3</v>
      </c>
      <c r="D124" s="16" t="s">
        <v>22</v>
      </c>
      <c r="E124" s="62" t="s">
        <v>37</v>
      </c>
      <c r="F124" s="9">
        <v>10</v>
      </c>
      <c r="G124" s="9">
        <v>16</v>
      </c>
      <c r="H124" s="9">
        <v>19</v>
      </c>
      <c r="I124" s="9">
        <v>33</v>
      </c>
      <c r="J124" s="9">
        <v>33</v>
      </c>
      <c r="K124" s="9">
        <v>36</v>
      </c>
      <c r="L124" s="9">
        <v>44</v>
      </c>
      <c r="M124" s="9">
        <v>44</v>
      </c>
      <c r="N124" s="9">
        <v>52</v>
      </c>
      <c r="O124" s="9">
        <v>61</v>
      </c>
      <c r="P124" s="9">
        <v>70</v>
      </c>
      <c r="Q124" s="9">
        <v>79</v>
      </c>
      <c r="R124" s="9">
        <v>80</v>
      </c>
      <c r="S124" s="9">
        <v>81</v>
      </c>
      <c r="T124" s="9">
        <v>81</v>
      </c>
      <c r="U124" s="9">
        <v>81</v>
      </c>
      <c r="V124" s="9">
        <v>81</v>
      </c>
    </row>
    <row r="125" spans="1:40" ht="19.899999999999999" customHeight="1" x14ac:dyDescent="0.2">
      <c r="A125" s="43"/>
      <c r="B125" s="13"/>
      <c r="C125" s="38"/>
      <c r="D125" s="20" t="s">
        <v>20</v>
      </c>
      <c r="E125" s="63" t="s">
        <v>37</v>
      </c>
      <c r="F125" s="10">
        <v>11</v>
      </c>
      <c r="G125" s="10">
        <v>12</v>
      </c>
      <c r="H125" s="10">
        <v>20</v>
      </c>
      <c r="I125" s="10">
        <v>24</v>
      </c>
      <c r="J125" s="10">
        <v>33</v>
      </c>
      <c r="K125" s="10">
        <v>36</v>
      </c>
      <c r="L125" s="10">
        <v>39</v>
      </c>
      <c r="M125" s="10">
        <v>41</v>
      </c>
      <c r="N125" s="10">
        <v>43</v>
      </c>
      <c r="O125" s="10">
        <v>49</v>
      </c>
      <c r="P125" s="10">
        <v>55</v>
      </c>
      <c r="Q125" s="10">
        <v>64</v>
      </c>
      <c r="R125" s="10">
        <v>67</v>
      </c>
      <c r="S125" s="10">
        <v>72</v>
      </c>
      <c r="T125" s="10">
        <v>74</v>
      </c>
      <c r="U125" s="10">
        <v>74</v>
      </c>
      <c r="V125" s="10">
        <v>76</v>
      </c>
      <c r="X125">
        <f>AVERAGE(F124:F126)</f>
        <v>10.333333333333334</v>
      </c>
      <c r="Y125">
        <f t="shared" ref="Y125" si="577">AVERAGE(G124:G126)</f>
        <v>15</v>
      </c>
      <c r="Z125">
        <f t="shared" ref="Z125" si="578">AVERAGE(H124:H126)</f>
        <v>19.333333333333332</v>
      </c>
      <c r="AA125">
        <f t="shared" ref="AA125" si="579">AVERAGE(I124:I126)</f>
        <v>28.666666666666668</v>
      </c>
      <c r="AB125">
        <f t="shared" ref="AB125" si="580">AVERAGE(J124:J126)</f>
        <v>34.666666666666664</v>
      </c>
      <c r="AC125">
        <f t="shared" ref="AC125" si="581">AVERAGE(K124:K126)</f>
        <v>38.666666666666664</v>
      </c>
      <c r="AD125">
        <f t="shared" ref="AD125" si="582">AVERAGE(L124:L126)</f>
        <v>44.666666666666664</v>
      </c>
      <c r="AE125">
        <f t="shared" ref="AE125" si="583">AVERAGE(M124:M126)</f>
        <v>46.333333333333336</v>
      </c>
      <c r="AF125">
        <f t="shared" ref="AF125" si="584">AVERAGE(N124:N126)</f>
        <v>50</v>
      </c>
      <c r="AG125">
        <f t="shared" ref="AG125" si="585">AVERAGE(O124:O126)</f>
        <v>60</v>
      </c>
      <c r="AH125">
        <f t="shared" ref="AH125" si="586">AVERAGE(P124:P126)</f>
        <v>67.666666666666671</v>
      </c>
      <c r="AI125">
        <f t="shared" ref="AI125" si="587">AVERAGE(Q124:Q126)</f>
        <v>77</v>
      </c>
      <c r="AJ125">
        <f t="shared" ref="AJ125" si="588">AVERAGE(R124:R126)</f>
        <v>81.333333333333329</v>
      </c>
      <c r="AK125">
        <f t="shared" ref="AK125" si="589">AVERAGE(S124:S126)</f>
        <v>83.666666666666671</v>
      </c>
      <c r="AL125">
        <f t="shared" ref="AL125" si="590">AVERAGE(T124:T126)</f>
        <v>85.333333333333329</v>
      </c>
      <c r="AM125">
        <f t="shared" ref="AM125" si="591">AVERAGE(U124:U126)</f>
        <v>85.333333333333329</v>
      </c>
      <c r="AN125">
        <f t="shared" ref="AN125" si="592">AVERAGE(V124:V126)</f>
        <v>84.666666666666671</v>
      </c>
    </row>
    <row r="126" spans="1:40" ht="19.899999999999999" customHeight="1" thickBot="1" x14ac:dyDescent="0.25">
      <c r="A126" s="43"/>
      <c r="B126" s="17"/>
      <c r="C126" s="19"/>
      <c r="D126" s="21" t="s">
        <v>21</v>
      </c>
      <c r="E126" s="64" t="s">
        <v>37</v>
      </c>
      <c r="F126" s="11">
        <v>10</v>
      </c>
      <c r="G126" s="11">
        <v>17</v>
      </c>
      <c r="H126" s="11">
        <v>19</v>
      </c>
      <c r="I126" s="11">
        <v>29</v>
      </c>
      <c r="J126" s="11">
        <v>38</v>
      </c>
      <c r="K126" s="11">
        <v>44</v>
      </c>
      <c r="L126" s="11">
        <v>51</v>
      </c>
      <c r="M126" s="11">
        <v>54</v>
      </c>
      <c r="N126" s="11">
        <v>55</v>
      </c>
      <c r="O126" s="11">
        <v>70</v>
      </c>
      <c r="P126" s="11">
        <v>78</v>
      </c>
      <c r="Q126" s="11">
        <v>88</v>
      </c>
      <c r="R126" s="11">
        <v>97</v>
      </c>
      <c r="S126" s="11">
        <v>98</v>
      </c>
      <c r="T126" s="11">
        <v>101</v>
      </c>
      <c r="U126" s="11">
        <v>101</v>
      </c>
      <c r="V126" s="11">
        <v>97</v>
      </c>
    </row>
    <row r="127" spans="1:40" ht="19.899999999999999" customHeight="1" x14ac:dyDescent="0.2">
      <c r="A127" s="43"/>
      <c r="B127" s="12" t="s">
        <v>0</v>
      </c>
      <c r="C127" s="18">
        <v>2</v>
      </c>
      <c r="D127" s="16" t="s">
        <v>22</v>
      </c>
      <c r="E127" s="62" t="s">
        <v>35</v>
      </c>
      <c r="F127" s="9">
        <v>11</v>
      </c>
      <c r="G127" s="9">
        <v>19</v>
      </c>
      <c r="H127" s="9">
        <v>20</v>
      </c>
      <c r="I127" s="9">
        <v>29</v>
      </c>
      <c r="J127" s="9">
        <v>35</v>
      </c>
      <c r="K127" s="9">
        <v>36</v>
      </c>
      <c r="L127" s="9">
        <v>46</v>
      </c>
      <c r="M127" s="9">
        <v>45</v>
      </c>
      <c r="N127" s="9">
        <v>40</v>
      </c>
      <c r="O127" s="9">
        <v>52</v>
      </c>
      <c r="P127" s="9">
        <v>53</v>
      </c>
      <c r="Q127" s="9">
        <v>59</v>
      </c>
      <c r="R127" s="9">
        <v>63</v>
      </c>
      <c r="S127" s="9">
        <v>71</v>
      </c>
      <c r="T127" s="9">
        <v>98</v>
      </c>
      <c r="U127" s="9">
        <v>79</v>
      </c>
      <c r="V127" s="9">
        <v>74</v>
      </c>
    </row>
    <row r="128" spans="1:40" ht="19.899999999999999" customHeight="1" x14ac:dyDescent="0.2">
      <c r="A128" s="43"/>
      <c r="B128" s="13"/>
      <c r="C128" s="38"/>
      <c r="D128" s="20" t="s">
        <v>20</v>
      </c>
      <c r="E128" s="63" t="s">
        <v>35</v>
      </c>
      <c r="F128" s="10">
        <v>11</v>
      </c>
      <c r="G128" s="10">
        <v>18</v>
      </c>
      <c r="H128" s="10">
        <v>21</v>
      </c>
      <c r="I128" s="10">
        <v>30</v>
      </c>
      <c r="J128" s="10">
        <v>36</v>
      </c>
      <c r="K128" s="10">
        <v>43</v>
      </c>
      <c r="L128" s="10">
        <v>44</v>
      </c>
      <c r="M128" s="10">
        <v>48</v>
      </c>
      <c r="N128" s="10">
        <v>51</v>
      </c>
      <c r="O128" s="10">
        <v>54</v>
      </c>
      <c r="P128" s="10">
        <v>62</v>
      </c>
      <c r="Q128" s="10">
        <v>76</v>
      </c>
      <c r="R128" s="10">
        <v>79</v>
      </c>
      <c r="S128" s="10">
        <v>89</v>
      </c>
      <c r="T128" s="10">
        <v>87</v>
      </c>
      <c r="U128" s="10">
        <v>90</v>
      </c>
      <c r="V128" s="10">
        <v>88</v>
      </c>
      <c r="X128">
        <f>AVERAGE(F127:F129)</f>
        <v>11.333333333333334</v>
      </c>
      <c r="Y128">
        <f t="shared" ref="Y128" si="593">AVERAGE(G127:G129)</f>
        <v>18</v>
      </c>
      <c r="Z128">
        <f t="shared" ref="Z128" si="594">AVERAGE(H127:H129)</f>
        <v>21.333333333333332</v>
      </c>
      <c r="AA128">
        <f t="shared" ref="AA128" si="595">AVERAGE(I127:I129)</f>
        <v>29.333333333333332</v>
      </c>
      <c r="AB128">
        <f t="shared" ref="AB128" si="596">AVERAGE(J127:J129)</f>
        <v>35.666666666666664</v>
      </c>
      <c r="AC128">
        <f t="shared" ref="AC128" si="597">AVERAGE(K127:K129)</f>
        <v>41.333333333333336</v>
      </c>
      <c r="AD128">
        <f t="shared" ref="AD128" si="598">AVERAGE(L127:L129)</f>
        <v>46.333333333333336</v>
      </c>
      <c r="AE128">
        <f t="shared" ref="AE128" si="599">AVERAGE(M127:M129)</f>
        <v>48</v>
      </c>
      <c r="AF128">
        <f t="shared" ref="AF128" si="600">AVERAGE(N127:N129)</f>
        <v>48.333333333333336</v>
      </c>
      <c r="AG128">
        <f t="shared" ref="AG128" si="601">AVERAGE(O127:O129)</f>
        <v>57</v>
      </c>
      <c r="AH128">
        <f t="shared" ref="AH128" si="602">AVERAGE(P127:P129)</f>
        <v>63.333333333333336</v>
      </c>
      <c r="AI128">
        <f t="shared" ref="AI128" si="603">AVERAGE(Q127:Q129)</f>
        <v>76.333333333333329</v>
      </c>
      <c r="AJ128">
        <f t="shared" ref="AJ128" si="604">AVERAGE(R127:R129)</f>
        <v>81.666666666666671</v>
      </c>
      <c r="AK128">
        <f t="shared" ref="AK128" si="605">AVERAGE(S127:S129)</f>
        <v>90.333333333333329</v>
      </c>
      <c r="AL128">
        <f t="shared" ref="AL128" si="606">AVERAGE(T127:T129)</f>
        <v>102.33333333333333</v>
      </c>
      <c r="AM128">
        <f t="shared" ref="AM128" si="607">AVERAGE(U127:U129)</f>
        <v>98</v>
      </c>
      <c r="AN128">
        <f t="shared" ref="AN128" si="608">AVERAGE(V127:V129)</f>
        <v>92.666666666666671</v>
      </c>
    </row>
    <row r="129" spans="1:40" ht="19.899999999999999" customHeight="1" thickBot="1" x14ac:dyDescent="0.25">
      <c r="A129" s="43"/>
      <c r="B129" s="17"/>
      <c r="C129" s="19"/>
      <c r="D129" s="21" t="s">
        <v>21</v>
      </c>
      <c r="E129" s="64" t="s">
        <v>35</v>
      </c>
      <c r="F129" s="11">
        <v>12</v>
      </c>
      <c r="G129" s="11">
        <v>17</v>
      </c>
      <c r="H129" s="11">
        <v>23</v>
      </c>
      <c r="I129" s="11">
        <v>29</v>
      </c>
      <c r="J129" s="11">
        <v>36</v>
      </c>
      <c r="K129" s="11">
        <v>45</v>
      </c>
      <c r="L129" s="11">
        <v>49</v>
      </c>
      <c r="M129" s="11">
        <v>51</v>
      </c>
      <c r="N129" s="11">
        <v>54</v>
      </c>
      <c r="O129" s="11">
        <v>65</v>
      </c>
      <c r="P129" s="11">
        <v>75</v>
      </c>
      <c r="Q129" s="11">
        <v>94</v>
      </c>
      <c r="R129" s="11">
        <v>103</v>
      </c>
      <c r="S129" s="11">
        <v>111</v>
      </c>
      <c r="T129" s="11">
        <v>122</v>
      </c>
      <c r="U129" s="11">
        <v>125</v>
      </c>
      <c r="V129" s="11">
        <v>116</v>
      </c>
    </row>
    <row r="130" spans="1:40" ht="19.899999999999999" customHeight="1" x14ac:dyDescent="0.2">
      <c r="A130" s="43"/>
      <c r="B130" s="12" t="s">
        <v>0</v>
      </c>
      <c r="C130" s="18">
        <v>1</v>
      </c>
      <c r="D130" s="16" t="s">
        <v>22</v>
      </c>
      <c r="E130" s="62" t="s">
        <v>46</v>
      </c>
      <c r="F130" s="9">
        <v>13</v>
      </c>
      <c r="G130" s="9">
        <v>19</v>
      </c>
      <c r="H130" s="9">
        <v>26</v>
      </c>
      <c r="I130" s="9">
        <v>35.5</v>
      </c>
      <c r="J130" s="9">
        <v>44</v>
      </c>
      <c r="K130" s="9">
        <v>51</v>
      </c>
      <c r="L130" s="9">
        <v>63</v>
      </c>
      <c r="M130" s="9">
        <v>72</v>
      </c>
      <c r="N130" s="9">
        <v>83</v>
      </c>
      <c r="O130" s="9">
        <v>91</v>
      </c>
      <c r="P130" s="9">
        <v>104</v>
      </c>
      <c r="Q130" s="9">
        <v>130</v>
      </c>
      <c r="R130" s="9">
        <v>133</v>
      </c>
      <c r="S130" s="9">
        <v>145</v>
      </c>
      <c r="T130" s="9">
        <v>151</v>
      </c>
      <c r="U130" s="9">
        <v>151</v>
      </c>
      <c r="V130" s="9">
        <v>147</v>
      </c>
    </row>
    <row r="131" spans="1:40" ht="19.899999999999999" customHeight="1" x14ac:dyDescent="0.2">
      <c r="A131" s="43"/>
      <c r="B131" s="13"/>
      <c r="C131" s="38"/>
      <c r="D131" s="20" t="s">
        <v>20</v>
      </c>
      <c r="E131" s="63" t="s">
        <v>46</v>
      </c>
      <c r="F131" s="10">
        <v>13</v>
      </c>
      <c r="G131" s="10">
        <v>19</v>
      </c>
      <c r="H131" s="10">
        <v>29</v>
      </c>
      <c r="I131" s="10">
        <v>39</v>
      </c>
      <c r="J131" s="10">
        <v>47</v>
      </c>
      <c r="K131" s="10">
        <v>54</v>
      </c>
      <c r="L131" s="10">
        <v>68</v>
      </c>
      <c r="M131" s="10">
        <v>78</v>
      </c>
      <c r="N131" s="10">
        <v>90</v>
      </c>
      <c r="O131" s="10">
        <v>103</v>
      </c>
      <c r="P131" s="10">
        <v>114</v>
      </c>
      <c r="Q131" s="10">
        <v>128</v>
      </c>
      <c r="R131" s="10">
        <v>137</v>
      </c>
      <c r="S131" s="10">
        <v>147</v>
      </c>
      <c r="T131" s="10">
        <v>148</v>
      </c>
      <c r="U131" s="10">
        <v>151</v>
      </c>
      <c r="V131" s="10">
        <v>149</v>
      </c>
      <c r="X131">
        <f>AVERAGE(F130:F132)</f>
        <v>12</v>
      </c>
      <c r="Y131">
        <f t="shared" ref="Y131" si="609">AVERAGE(G130:G132)</f>
        <v>17.666666666666668</v>
      </c>
      <c r="Z131">
        <f t="shared" ref="Z131" si="610">AVERAGE(H130:H132)</f>
        <v>26.666666666666668</v>
      </c>
      <c r="AA131">
        <f t="shared" ref="AA131" si="611">AVERAGE(I130:I132)</f>
        <v>35.333333333333336</v>
      </c>
      <c r="AB131">
        <f t="shared" ref="AB131" si="612">AVERAGE(J130:J132)</f>
        <v>44.666666666666664</v>
      </c>
      <c r="AC131">
        <f t="shared" ref="AC131" si="613">AVERAGE(K130:K132)</f>
        <v>52.666666666666664</v>
      </c>
      <c r="AD131">
        <f t="shared" ref="AD131" si="614">AVERAGE(L130:L132)</f>
        <v>66</v>
      </c>
      <c r="AE131">
        <f t="shared" ref="AE131" si="615">AVERAGE(M130:M132)</f>
        <v>73.666666666666671</v>
      </c>
      <c r="AF131">
        <f t="shared" ref="AF131" si="616">AVERAGE(N130:N132)</f>
        <v>85.333333333333329</v>
      </c>
      <c r="AG131">
        <f t="shared" ref="AG131" si="617">AVERAGE(O130:O132)</f>
        <v>97.333333333333329</v>
      </c>
      <c r="AH131">
        <f t="shared" ref="AH131" si="618">AVERAGE(P130:P132)</f>
        <v>108.33333333333333</v>
      </c>
      <c r="AI131">
        <f t="shared" ref="AI131" si="619">AVERAGE(Q130:Q132)</f>
        <v>125.66666666666667</v>
      </c>
      <c r="AJ131">
        <f t="shared" ref="AJ131" si="620">AVERAGE(R130:R132)</f>
        <v>134.66666666666666</v>
      </c>
      <c r="AK131">
        <f t="shared" ref="AK131" si="621">AVERAGE(S130:S132)</f>
        <v>144.66666666666666</v>
      </c>
      <c r="AL131">
        <f t="shared" ref="AL131" si="622">AVERAGE(T130:T132)</f>
        <v>147.33333333333334</v>
      </c>
      <c r="AM131">
        <f t="shared" ref="AM131" si="623">AVERAGE(U130:U132)</f>
        <v>148</v>
      </c>
      <c r="AN131">
        <f t="shared" ref="AN131" si="624">AVERAGE(V130:V132)</f>
        <v>144.66666666666666</v>
      </c>
    </row>
    <row r="132" spans="1:40" ht="19.899999999999999" customHeight="1" thickBot="1" x14ac:dyDescent="0.25">
      <c r="A132" s="43"/>
      <c r="B132" s="17"/>
      <c r="C132" s="19"/>
      <c r="D132" s="21" t="s">
        <v>21</v>
      </c>
      <c r="E132" s="64" t="s">
        <v>46</v>
      </c>
      <c r="F132" s="11">
        <v>10</v>
      </c>
      <c r="G132" s="11">
        <v>15</v>
      </c>
      <c r="H132" s="11">
        <v>25</v>
      </c>
      <c r="I132" s="11">
        <v>31.5</v>
      </c>
      <c r="J132" s="11">
        <v>43</v>
      </c>
      <c r="K132" s="11">
        <v>53</v>
      </c>
      <c r="L132" s="11">
        <v>67</v>
      </c>
      <c r="M132" s="11">
        <v>71</v>
      </c>
      <c r="N132" s="11">
        <v>83</v>
      </c>
      <c r="O132" s="11">
        <v>98</v>
      </c>
      <c r="P132" s="11">
        <v>107</v>
      </c>
      <c r="Q132" s="11">
        <v>119</v>
      </c>
      <c r="R132" s="11">
        <v>134</v>
      </c>
      <c r="S132" s="11">
        <v>142</v>
      </c>
      <c r="T132" s="11">
        <v>143</v>
      </c>
      <c r="U132" s="11">
        <v>142</v>
      </c>
      <c r="V132" s="11">
        <v>138</v>
      </c>
    </row>
    <row r="133" spans="1:40" ht="19.899999999999999" customHeight="1" x14ac:dyDescent="0.2">
      <c r="A133" s="43"/>
      <c r="B133" s="12" t="s">
        <v>10</v>
      </c>
      <c r="C133" s="18">
        <v>1</v>
      </c>
      <c r="D133" s="16" t="s">
        <v>21</v>
      </c>
      <c r="E133" s="62" t="s">
        <v>39</v>
      </c>
      <c r="F133" s="9">
        <v>12</v>
      </c>
      <c r="G133" s="9">
        <v>17</v>
      </c>
      <c r="H133" s="9">
        <v>25</v>
      </c>
      <c r="I133" s="9">
        <v>33</v>
      </c>
      <c r="J133" s="9">
        <v>34</v>
      </c>
      <c r="K133" s="9">
        <v>37</v>
      </c>
      <c r="L133" s="9">
        <v>48</v>
      </c>
      <c r="M133" s="9">
        <v>48</v>
      </c>
      <c r="N133" s="9">
        <v>49</v>
      </c>
      <c r="O133" s="9">
        <v>60</v>
      </c>
      <c r="P133" s="9">
        <v>77</v>
      </c>
      <c r="Q133" s="9">
        <v>93</v>
      </c>
      <c r="R133" s="9">
        <v>105</v>
      </c>
      <c r="S133" s="9">
        <v>123</v>
      </c>
      <c r="T133" s="9">
        <v>136</v>
      </c>
      <c r="U133" s="9">
        <v>149</v>
      </c>
      <c r="V133" s="9">
        <v>151</v>
      </c>
    </row>
    <row r="134" spans="1:40" ht="19.899999999999999" customHeight="1" x14ac:dyDescent="0.2">
      <c r="A134" s="43"/>
      <c r="B134" s="13"/>
      <c r="C134" s="38"/>
      <c r="D134" s="20" t="s">
        <v>20</v>
      </c>
      <c r="E134" s="63" t="s">
        <v>39</v>
      </c>
      <c r="F134" s="10">
        <v>12</v>
      </c>
      <c r="G134" s="10">
        <v>20</v>
      </c>
      <c r="H134" s="10">
        <v>23</v>
      </c>
      <c r="I134" s="10">
        <v>39.5</v>
      </c>
      <c r="J134" s="10">
        <v>33</v>
      </c>
      <c r="K134" s="10">
        <v>37</v>
      </c>
      <c r="L134" s="10">
        <v>45</v>
      </c>
      <c r="M134" s="10">
        <v>49</v>
      </c>
      <c r="N134" s="10">
        <v>46</v>
      </c>
      <c r="O134" s="10">
        <v>68</v>
      </c>
      <c r="P134" s="10">
        <v>80</v>
      </c>
      <c r="Q134" s="10">
        <v>91</v>
      </c>
      <c r="R134" s="10">
        <v>109</v>
      </c>
      <c r="S134" s="10">
        <v>111</v>
      </c>
      <c r="T134" s="10">
        <v>126</v>
      </c>
      <c r="U134" s="10">
        <v>141</v>
      </c>
      <c r="V134" s="10">
        <v>141</v>
      </c>
      <c r="X134">
        <f>AVERAGE(F133:F135)</f>
        <v>12.333333333333334</v>
      </c>
      <c r="Y134">
        <f t="shared" ref="Y134" si="625">AVERAGE(G133:G135)</f>
        <v>17.333333333333332</v>
      </c>
      <c r="Z134">
        <f t="shared" ref="Z134" si="626">AVERAGE(H133:H135)</f>
        <v>23.333333333333332</v>
      </c>
      <c r="AA134">
        <f t="shared" ref="AA134" si="627">AVERAGE(I133:I135)</f>
        <v>34.166666666666664</v>
      </c>
      <c r="AB134">
        <f t="shared" ref="AB134" si="628">AVERAGE(J133:J135)</f>
        <v>35.333333333333336</v>
      </c>
      <c r="AC134">
        <f t="shared" ref="AC134" si="629">AVERAGE(K133:K135)</f>
        <v>39.666666666666664</v>
      </c>
      <c r="AD134">
        <f t="shared" ref="AD134" si="630">AVERAGE(L133:L135)</f>
        <v>48.333333333333336</v>
      </c>
      <c r="AE134">
        <f t="shared" ref="AE134" si="631">AVERAGE(M133:M135)</f>
        <v>50.333333333333336</v>
      </c>
      <c r="AF134">
        <f t="shared" ref="AF134" si="632">AVERAGE(N133:N135)</f>
        <v>49.666666666666664</v>
      </c>
      <c r="AG134">
        <f t="shared" ref="AG134" si="633">AVERAGE(O133:O135)</f>
        <v>65.666666666666671</v>
      </c>
      <c r="AH134">
        <f t="shared" ref="AH134" si="634">AVERAGE(P133:P135)</f>
        <v>79</v>
      </c>
      <c r="AI134">
        <f t="shared" ref="AI134" si="635">AVERAGE(Q133:Q135)</f>
        <v>93.666666666666671</v>
      </c>
      <c r="AJ134">
        <f t="shared" ref="AJ134" si="636">AVERAGE(R133:R135)</f>
        <v>108.33333333333333</v>
      </c>
      <c r="AK134">
        <f t="shared" ref="AK134" si="637">AVERAGE(S133:S135)</f>
        <v>119.33333333333333</v>
      </c>
      <c r="AL134">
        <f t="shared" ref="AL134" si="638">AVERAGE(T133:T135)</f>
        <v>133</v>
      </c>
      <c r="AM134">
        <f t="shared" ref="AM134" si="639">AVERAGE(U133:U135)</f>
        <v>145.66666666666666</v>
      </c>
      <c r="AN134">
        <f t="shared" ref="AN134" si="640">AVERAGE(V133:V135)</f>
        <v>148</v>
      </c>
    </row>
    <row r="135" spans="1:40" ht="19.899999999999999" customHeight="1" thickBot="1" x14ac:dyDescent="0.25">
      <c r="A135" s="43"/>
      <c r="B135" s="17"/>
      <c r="C135" s="19"/>
      <c r="D135" s="21" t="s">
        <v>22</v>
      </c>
      <c r="E135" s="64" t="s">
        <v>39</v>
      </c>
      <c r="F135" s="11">
        <v>13</v>
      </c>
      <c r="G135" s="11">
        <v>15</v>
      </c>
      <c r="H135" s="11">
        <v>22</v>
      </c>
      <c r="I135" s="11">
        <v>30</v>
      </c>
      <c r="J135" s="11">
        <v>39</v>
      </c>
      <c r="K135" s="11">
        <v>45</v>
      </c>
      <c r="L135" s="11">
        <v>52</v>
      </c>
      <c r="M135" s="11">
        <v>54</v>
      </c>
      <c r="N135" s="11">
        <v>54</v>
      </c>
      <c r="O135" s="11">
        <v>69</v>
      </c>
      <c r="P135" s="11">
        <v>80</v>
      </c>
      <c r="Q135" s="11">
        <v>97</v>
      </c>
      <c r="R135" s="11">
        <v>111</v>
      </c>
      <c r="S135" s="11">
        <v>124</v>
      </c>
      <c r="T135" s="11">
        <v>137</v>
      </c>
      <c r="U135" s="11">
        <v>147</v>
      </c>
      <c r="V135" s="11">
        <v>152</v>
      </c>
    </row>
    <row r="136" spans="1:40" ht="19.899999999999999" customHeight="1" x14ac:dyDescent="0.2">
      <c r="A136" s="43"/>
      <c r="B136" s="12" t="s">
        <v>10</v>
      </c>
      <c r="C136" s="18">
        <v>2</v>
      </c>
      <c r="D136" s="16" t="s">
        <v>21</v>
      </c>
      <c r="E136" s="62" t="s">
        <v>45</v>
      </c>
      <c r="F136" s="9">
        <v>10</v>
      </c>
      <c r="G136" s="9">
        <v>13</v>
      </c>
      <c r="H136" s="9">
        <v>24</v>
      </c>
      <c r="I136" s="9">
        <v>32.5</v>
      </c>
      <c r="J136" s="9">
        <v>38</v>
      </c>
      <c r="K136" s="9">
        <v>42</v>
      </c>
      <c r="L136" s="9">
        <v>49</v>
      </c>
      <c r="M136" s="9">
        <v>50</v>
      </c>
      <c r="N136" s="9">
        <v>54</v>
      </c>
      <c r="O136" s="9">
        <v>65</v>
      </c>
      <c r="P136" s="9">
        <v>77</v>
      </c>
      <c r="Q136" s="9">
        <v>92</v>
      </c>
      <c r="R136" s="9">
        <v>109</v>
      </c>
      <c r="S136" s="9">
        <v>122</v>
      </c>
      <c r="T136" s="9">
        <v>134</v>
      </c>
      <c r="U136" s="9">
        <v>148</v>
      </c>
      <c r="V136" s="9">
        <v>147</v>
      </c>
    </row>
    <row r="137" spans="1:40" ht="19.899999999999999" customHeight="1" x14ac:dyDescent="0.2">
      <c r="A137" s="43"/>
      <c r="B137" s="13"/>
      <c r="C137" s="38"/>
      <c r="D137" s="20" t="s">
        <v>20</v>
      </c>
      <c r="E137" s="63" t="s">
        <v>45</v>
      </c>
      <c r="F137" s="10">
        <v>13</v>
      </c>
      <c r="G137" s="10">
        <v>17</v>
      </c>
      <c r="H137" s="10">
        <v>25</v>
      </c>
      <c r="I137" s="10">
        <v>32</v>
      </c>
      <c r="J137" s="10">
        <v>39</v>
      </c>
      <c r="K137" s="10">
        <v>49</v>
      </c>
      <c r="L137" s="10">
        <v>58</v>
      </c>
      <c r="M137" s="10">
        <v>65</v>
      </c>
      <c r="N137" s="10">
        <v>73</v>
      </c>
      <c r="O137" s="10">
        <v>85</v>
      </c>
      <c r="P137" s="10">
        <v>92</v>
      </c>
      <c r="Q137" s="10">
        <v>110</v>
      </c>
      <c r="R137" s="10">
        <v>118</v>
      </c>
      <c r="S137" s="10">
        <v>130</v>
      </c>
      <c r="T137" s="10">
        <v>141</v>
      </c>
      <c r="U137" s="10">
        <v>151</v>
      </c>
      <c r="V137" s="10">
        <v>152</v>
      </c>
      <c r="X137">
        <f>AVERAGE(F136:F138)</f>
        <v>11.333333333333334</v>
      </c>
      <c r="Y137">
        <f t="shared" ref="Y137" si="641">AVERAGE(G136:G138)</f>
        <v>13.666666666666666</v>
      </c>
      <c r="Z137">
        <f t="shared" ref="Z137" si="642">AVERAGE(H136:H138)</f>
        <v>25</v>
      </c>
      <c r="AA137">
        <f t="shared" ref="AA137" si="643">AVERAGE(I136:I138)</f>
        <v>31</v>
      </c>
      <c r="AB137">
        <f t="shared" ref="AB137" si="644">AVERAGE(J136:J138)</f>
        <v>39.333333333333336</v>
      </c>
      <c r="AC137">
        <f t="shared" ref="AC137" si="645">AVERAGE(K136:K138)</f>
        <v>46</v>
      </c>
      <c r="AD137">
        <f t="shared" ref="AD137" si="646">AVERAGE(L136:L138)</f>
        <v>55.333333333333336</v>
      </c>
      <c r="AE137">
        <f t="shared" ref="AE137" si="647">AVERAGE(M136:M138)</f>
        <v>62.666666666666664</v>
      </c>
      <c r="AF137">
        <f t="shared" ref="AF137" si="648">AVERAGE(N136:N138)</f>
        <v>67.666666666666671</v>
      </c>
      <c r="AG137">
        <f t="shared" ref="AG137" si="649">AVERAGE(O136:O138)</f>
        <v>77.333333333333329</v>
      </c>
      <c r="AH137">
        <f t="shared" ref="AH137" si="650">AVERAGE(P136:P138)</f>
        <v>87.333333333333329</v>
      </c>
      <c r="AI137">
        <f t="shared" ref="AI137" si="651">AVERAGE(Q136:Q138)</f>
        <v>102</v>
      </c>
      <c r="AJ137">
        <f t="shared" ref="AJ137" si="652">AVERAGE(R136:R138)</f>
        <v>115.66666666666667</v>
      </c>
      <c r="AK137">
        <f t="shared" ref="AK137" si="653">AVERAGE(S136:S138)</f>
        <v>126</v>
      </c>
      <c r="AL137">
        <f t="shared" ref="AL137" si="654">AVERAGE(T136:T138)</f>
        <v>136.33333333333334</v>
      </c>
      <c r="AM137">
        <f t="shared" ref="AM137" si="655">AVERAGE(U136:U138)</f>
        <v>147</v>
      </c>
      <c r="AN137">
        <f t="shared" ref="AN137" si="656">AVERAGE(V136:V138)</f>
        <v>147.33333333333334</v>
      </c>
    </row>
    <row r="138" spans="1:40" ht="19.899999999999999" customHeight="1" thickBot="1" x14ac:dyDescent="0.25">
      <c r="A138" s="43"/>
      <c r="B138" s="17"/>
      <c r="C138" s="19"/>
      <c r="D138" s="21" t="s">
        <v>22</v>
      </c>
      <c r="E138" s="64" t="s">
        <v>45</v>
      </c>
      <c r="F138" s="11">
        <v>11</v>
      </c>
      <c r="G138" s="11">
        <v>11</v>
      </c>
      <c r="H138" s="11">
        <v>26</v>
      </c>
      <c r="I138" s="11">
        <v>28.5</v>
      </c>
      <c r="J138" s="11">
        <v>41</v>
      </c>
      <c r="K138" s="11">
        <v>47</v>
      </c>
      <c r="L138" s="11">
        <v>59</v>
      </c>
      <c r="M138" s="11">
        <v>73</v>
      </c>
      <c r="N138" s="11">
        <v>76</v>
      </c>
      <c r="O138" s="11">
        <v>82</v>
      </c>
      <c r="P138" s="11">
        <v>93</v>
      </c>
      <c r="Q138" s="11">
        <v>104</v>
      </c>
      <c r="R138" s="11">
        <v>120</v>
      </c>
      <c r="S138" s="11">
        <v>126</v>
      </c>
      <c r="T138" s="11">
        <v>134</v>
      </c>
      <c r="U138" s="11">
        <v>142</v>
      </c>
      <c r="V138" s="11">
        <v>143</v>
      </c>
    </row>
    <row r="139" spans="1:40" ht="19.899999999999999" customHeight="1" x14ac:dyDescent="0.2">
      <c r="A139" s="43"/>
      <c r="B139" s="12" t="s">
        <v>10</v>
      </c>
      <c r="C139" s="18">
        <v>3</v>
      </c>
      <c r="D139" s="16" t="s">
        <v>21</v>
      </c>
      <c r="E139" s="62" t="s">
        <v>48</v>
      </c>
      <c r="F139" s="9">
        <v>12</v>
      </c>
      <c r="G139" s="9">
        <v>9</v>
      </c>
      <c r="H139" s="9">
        <v>22</v>
      </c>
      <c r="I139" s="9">
        <v>26</v>
      </c>
      <c r="J139" s="9">
        <v>39</v>
      </c>
      <c r="K139" s="9">
        <v>48</v>
      </c>
      <c r="L139" s="9">
        <v>56</v>
      </c>
      <c r="M139" s="9">
        <v>65</v>
      </c>
      <c r="N139" s="9">
        <v>74</v>
      </c>
      <c r="O139" s="9">
        <v>87</v>
      </c>
      <c r="P139" s="9">
        <v>95</v>
      </c>
      <c r="Q139" s="9">
        <v>110</v>
      </c>
      <c r="R139" s="9">
        <v>111</v>
      </c>
      <c r="S139" s="9">
        <v>120</v>
      </c>
      <c r="T139" s="9">
        <v>107</v>
      </c>
      <c r="U139" s="9">
        <v>119</v>
      </c>
      <c r="V139" s="9">
        <v>112</v>
      </c>
    </row>
    <row r="140" spans="1:40" ht="19.899999999999999" customHeight="1" x14ac:dyDescent="0.2">
      <c r="A140" s="43"/>
      <c r="B140" s="13"/>
      <c r="C140" s="38"/>
      <c r="D140" s="20" t="s">
        <v>20</v>
      </c>
      <c r="E140" s="63" t="s">
        <v>48</v>
      </c>
      <c r="F140" s="10">
        <v>11</v>
      </c>
      <c r="G140" s="10">
        <v>15</v>
      </c>
      <c r="H140" s="10">
        <v>21</v>
      </c>
      <c r="I140" s="10">
        <v>32</v>
      </c>
      <c r="J140" s="10">
        <v>35</v>
      </c>
      <c r="K140" s="10">
        <v>41</v>
      </c>
      <c r="L140" s="10">
        <v>52</v>
      </c>
      <c r="M140" s="10">
        <v>61</v>
      </c>
      <c r="N140" s="10">
        <v>72</v>
      </c>
      <c r="O140" s="10">
        <v>93</v>
      </c>
      <c r="P140" s="10">
        <v>93</v>
      </c>
      <c r="Q140" s="10">
        <v>111</v>
      </c>
      <c r="R140" s="10">
        <v>110</v>
      </c>
      <c r="S140" s="10">
        <v>112</v>
      </c>
      <c r="T140" s="10">
        <v>113</v>
      </c>
      <c r="U140" s="10">
        <v>115</v>
      </c>
      <c r="V140" s="10">
        <v>115</v>
      </c>
      <c r="X140">
        <f>AVERAGE(F139:F141)</f>
        <v>11.666666666666666</v>
      </c>
      <c r="Y140">
        <f t="shared" ref="Y140" si="657">AVERAGE(G139:G141)</f>
        <v>13</v>
      </c>
      <c r="Z140">
        <f t="shared" ref="Z140" si="658">AVERAGE(H139:H141)</f>
        <v>21.666666666666668</v>
      </c>
      <c r="AA140">
        <f t="shared" ref="AA140" si="659">AVERAGE(I139:I141)</f>
        <v>27</v>
      </c>
      <c r="AB140">
        <f t="shared" ref="AB140" si="660">AVERAGE(J139:J141)</f>
        <v>37</v>
      </c>
      <c r="AC140">
        <f t="shared" ref="AC140" si="661">AVERAGE(K139:K141)</f>
        <v>45</v>
      </c>
      <c r="AD140">
        <f t="shared" ref="AD140" si="662">AVERAGE(L139:L141)</f>
        <v>54.333333333333336</v>
      </c>
      <c r="AE140">
        <f t="shared" ref="AE140" si="663">AVERAGE(M139:M141)</f>
        <v>62.666666666666664</v>
      </c>
      <c r="AF140">
        <f t="shared" ref="AF140" si="664">AVERAGE(N139:N141)</f>
        <v>71.333333333333329</v>
      </c>
      <c r="AG140">
        <f t="shared" ref="AG140" si="665">AVERAGE(O139:O141)</f>
        <v>87.666666666666671</v>
      </c>
      <c r="AH140">
        <f t="shared" ref="AH140" si="666">AVERAGE(P139:P141)</f>
        <v>93.333333333333329</v>
      </c>
      <c r="AI140">
        <f t="shared" ref="AI140" si="667">AVERAGE(Q139:Q141)</f>
        <v>110</v>
      </c>
      <c r="AJ140">
        <f t="shared" ref="AJ140" si="668">AVERAGE(R139:R141)</f>
        <v>109.66666666666667</v>
      </c>
      <c r="AK140">
        <f t="shared" ref="AK140" si="669">AVERAGE(S139:S141)</f>
        <v>114.66666666666667</v>
      </c>
      <c r="AL140">
        <f t="shared" ref="AL140" si="670">AVERAGE(T139:T141)</f>
        <v>109.66666666666667</v>
      </c>
      <c r="AM140">
        <f t="shared" ref="AM140" si="671">AVERAGE(U139:U141)</f>
        <v>116.33333333333333</v>
      </c>
      <c r="AN140">
        <f t="shared" ref="AN140" si="672">AVERAGE(V139:V141)</f>
        <v>114</v>
      </c>
    </row>
    <row r="141" spans="1:40" ht="19.899999999999999" customHeight="1" thickBot="1" x14ac:dyDescent="0.25">
      <c r="A141" s="43"/>
      <c r="B141" s="17"/>
      <c r="C141" s="19"/>
      <c r="D141" s="21" t="s">
        <v>22</v>
      </c>
      <c r="E141" s="64" t="s">
        <v>48</v>
      </c>
      <c r="F141" s="11">
        <v>12</v>
      </c>
      <c r="G141" s="11">
        <v>15</v>
      </c>
      <c r="H141" s="11">
        <v>22</v>
      </c>
      <c r="I141" s="11">
        <v>23</v>
      </c>
      <c r="J141" s="11">
        <v>37</v>
      </c>
      <c r="K141" s="11">
        <v>46</v>
      </c>
      <c r="L141" s="11">
        <v>55</v>
      </c>
      <c r="M141" s="11">
        <v>62</v>
      </c>
      <c r="N141" s="11">
        <v>68</v>
      </c>
      <c r="O141" s="11">
        <v>83</v>
      </c>
      <c r="P141" s="11">
        <v>92</v>
      </c>
      <c r="Q141" s="11">
        <v>109</v>
      </c>
      <c r="R141" s="11">
        <v>108</v>
      </c>
      <c r="S141" s="11">
        <v>112</v>
      </c>
      <c r="T141" s="11">
        <v>109</v>
      </c>
      <c r="U141" s="11">
        <v>115</v>
      </c>
      <c r="V141" s="11">
        <v>115</v>
      </c>
    </row>
    <row r="142" spans="1:40" ht="19.899999999999999" customHeight="1" x14ac:dyDescent="0.2">
      <c r="A142" s="43"/>
      <c r="B142" s="12" t="s">
        <v>10</v>
      </c>
      <c r="C142" s="18">
        <v>4</v>
      </c>
      <c r="D142" s="16" t="s">
        <v>21</v>
      </c>
      <c r="E142" s="62" t="s">
        <v>38</v>
      </c>
      <c r="F142" s="9">
        <v>10</v>
      </c>
      <c r="G142" s="9">
        <v>12</v>
      </c>
      <c r="H142" s="9">
        <v>21</v>
      </c>
      <c r="I142" s="9">
        <v>34.5</v>
      </c>
      <c r="J142" s="9">
        <v>41</v>
      </c>
      <c r="K142" s="9">
        <v>54</v>
      </c>
      <c r="L142" s="9">
        <v>67</v>
      </c>
      <c r="M142" s="9">
        <v>82</v>
      </c>
      <c r="N142" s="9">
        <v>94</v>
      </c>
      <c r="O142" s="9">
        <v>109</v>
      </c>
      <c r="P142" s="9">
        <v>118</v>
      </c>
      <c r="Q142" s="9">
        <v>122</v>
      </c>
      <c r="R142" s="9">
        <v>120</v>
      </c>
      <c r="S142" s="9">
        <v>119</v>
      </c>
      <c r="T142" s="9">
        <v>116</v>
      </c>
      <c r="U142" s="9">
        <v>116</v>
      </c>
      <c r="V142" s="9">
        <v>118</v>
      </c>
    </row>
    <row r="143" spans="1:40" ht="19.899999999999999" customHeight="1" x14ac:dyDescent="0.2">
      <c r="A143" s="43"/>
      <c r="B143" s="13"/>
      <c r="C143" s="38"/>
      <c r="D143" s="20" t="s">
        <v>20</v>
      </c>
      <c r="E143" s="63" t="s">
        <v>38</v>
      </c>
      <c r="F143" s="10">
        <v>12</v>
      </c>
      <c r="G143" s="10">
        <v>15</v>
      </c>
      <c r="H143" s="10">
        <v>24</v>
      </c>
      <c r="I143" s="10">
        <v>33.5</v>
      </c>
      <c r="J143" s="10">
        <v>40</v>
      </c>
      <c r="K143" s="10">
        <v>50</v>
      </c>
      <c r="L143" s="10">
        <v>62</v>
      </c>
      <c r="M143" s="10">
        <v>68</v>
      </c>
      <c r="N143" s="10">
        <v>80</v>
      </c>
      <c r="O143" s="10">
        <v>92</v>
      </c>
      <c r="P143" s="10">
        <v>101</v>
      </c>
      <c r="Q143" s="10">
        <v>99</v>
      </c>
      <c r="R143" s="10">
        <v>102</v>
      </c>
      <c r="S143" s="10">
        <v>97</v>
      </c>
      <c r="T143" s="10">
        <v>97</v>
      </c>
      <c r="U143" s="10">
        <v>100</v>
      </c>
      <c r="V143" s="10">
        <v>96</v>
      </c>
      <c r="X143">
        <f>AVERAGE(F142:F144)</f>
        <v>11</v>
      </c>
      <c r="Y143">
        <f t="shared" ref="Y143" si="673">AVERAGE(G142:G144)</f>
        <v>13.333333333333334</v>
      </c>
      <c r="Z143">
        <f t="shared" ref="Z143" si="674">AVERAGE(H142:H144)</f>
        <v>22</v>
      </c>
      <c r="AA143">
        <f t="shared" ref="AA143" si="675">AVERAGE(I142:I144)</f>
        <v>31.333333333333332</v>
      </c>
      <c r="AB143">
        <f t="shared" ref="AB143" si="676">AVERAGE(J142:J144)</f>
        <v>40</v>
      </c>
      <c r="AC143">
        <f t="shared" ref="AC143" si="677">AVERAGE(K142:K144)</f>
        <v>49.666666666666664</v>
      </c>
      <c r="AD143">
        <f t="shared" ref="AD143" si="678">AVERAGE(L142:L144)</f>
        <v>61.666666666666664</v>
      </c>
      <c r="AE143">
        <f t="shared" ref="AE143" si="679">AVERAGE(M142:M144)</f>
        <v>72.666666666666671</v>
      </c>
      <c r="AF143">
        <f t="shared" ref="AF143" si="680">AVERAGE(N142:N144)</f>
        <v>85</v>
      </c>
      <c r="AG143">
        <f t="shared" ref="AG143" si="681">AVERAGE(O142:O144)</f>
        <v>98</v>
      </c>
      <c r="AH143">
        <f t="shared" ref="AH143" si="682">AVERAGE(P142:P144)</f>
        <v>107</v>
      </c>
      <c r="AI143">
        <f t="shared" ref="AI143" si="683">AVERAGE(Q142:Q144)</f>
        <v>108</v>
      </c>
      <c r="AJ143">
        <f t="shared" ref="AJ143" si="684">AVERAGE(R142:R144)</f>
        <v>109</v>
      </c>
      <c r="AK143">
        <f t="shared" ref="AK143" si="685">AVERAGE(S142:S144)</f>
        <v>107.33333333333333</v>
      </c>
      <c r="AL143">
        <f t="shared" ref="AL143" si="686">AVERAGE(T142:T144)</f>
        <v>105</v>
      </c>
      <c r="AM143">
        <f t="shared" ref="AM143" si="687">AVERAGE(U142:U144)</f>
        <v>108.33333333333333</v>
      </c>
      <c r="AN143">
        <f t="shared" ref="AN143" si="688">AVERAGE(V142:V144)</f>
        <v>107</v>
      </c>
    </row>
    <row r="144" spans="1:40" ht="19.899999999999999" customHeight="1" thickBot="1" x14ac:dyDescent="0.25">
      <c r="A144" s="43"/>
      <c r="B144" s="17"/>
      <c r="C144" s="19"/>
      <c r="D144" s="21" t="s">
        <v>22</v>
      </c>
      <c r="E144" s="64" t="s">
        <v>38</v>
      </c>
      <c r="F144" s="11">
        <v>11</v>
      </c>
      <c r="G144" s="11">
        <v>13</v>
      </c>
      <c r="H144" s="11">
        <v>21</v>
      </c>
      <c r="I144" s="11">
        <v>26</v>
      </c>
      <c r="J144" s="11">
        <v>39</v>
      </c>
      <c r="K144" s="11">
        <v>45</v>
      </c>
      <c r="L144" s="11">
        <v>56</v>
      </c>
      <c r="M144" s="11">
        <v>68</v>
      </c>
      <c r="N144" s="11">
        <v>81</v>
      </c>
      <c r="O144" s="11">
        <v>93</v>
      </c>
      <c r="P144" s="11">
        <v>102</v>
      </c>
      <c r="Q144" s="11">
        <v>103</v>
      </c>
      <c r="R144" s="11">
        <v>105</v>
      </c>
      <c r="S144" s="11">
        <v>106</v>
      </c>
      <c r="T144" s="11">
        <v>102</v>
      </c>
      <c r="U144" s="11">
        <v>109</v>
      </c>
      <c r="V144" s="11">
        <v>107</v>
      </c>
    </row>
    <row r="145" spans="1:40" ht="19.899999999999999" customHeight="1" x14ac:dyDescent="0.2">
      <c r="A145" s="43"/>
      <c r="B145" s="12" t="s">
        <v>11</v>
      </c>
      <c r="C145" s="18">
        <v>4</v>
      </c>
      <c r="D145" s="16" t="s">
        <v>22</v>
      </c>
      <c r="E145" s="62" t="s">
        <v>43</v>
      </c>
      <c r="F145" s="9">
        <v>11</v>
      </c>
      <c r="G145" s="9">
        <v>14</v>
      </c>
      <c r="H145" s="9">
        <v>17</v>
      </c>
      <c r="I145" s="9">
        <v>26</v>
      </c>
      <c r="J145" s="9">
        <v>32</v>
      </c>
      <c r="K145" s="9">
        <v>44</v>
      </c>
      <c r="L145" s="9">
        <v>54</v>
      </c>
      <c r="M145" s="9">
        <v>65</v>
      </c>
      <c r="N145" s="9">
        <v>78</v>
      </c>
      <c r="O145" s="9">
        <v>103</v>
      </c>
      <c r="P145" s="9">
        <v>97</v>
      </c>
      <c r="Q145" s="9">
        <v>114</v>
      </c>
      <c r="R145" s="9">
        <v>117</v>
      </c>
      <c r="S145" s="9">
        <v>131</v>
      </c>
      <c r="T145" s="9">
        <v>122</v>
      </c>
      <c r="U145" s="9">
        <v>124</v>
      </c>
      <c r="V145" s="9">
        <v>123</v>
      </c>
    </row>
    <row r="146" spans="1:40" ht="19.899999999999999" customHeight="1" x14ac:dyDescent="0.2">
      <c r="A146" s="43"/>
      <c r="B146" s="13"/>
      <c r="C146" s="38"/>
      <c r="D146" s="20" t="s">
        <v>20</v>
      </c>
      <c r="E146" s="63" t="s">
        <v>43</v>
      </c>
      <c r="F146" s="10">
        <v>12</v>
      </c>
      <c r="G146" s="10">
        <v>13</v>
      </c>
      <c r="H146" s="10">
        <v>22</v>
      </c>
      <c r="I146" s="10">
        <v>29.5</v>
      </c>
      <c r="J146" s="10">
        <v>36</v>
      </c>
      <c r="K146" s="10">
        <v>45</v>
      </c>
      <c r="L146" s="10">
        <v>60</v>
      </c>
      <c r="M146" s="10">
        <v>65</v>
      </c>
      <c r="N146" s="10">
        <v>77</v>
      </c>
      <c r="O146" s="10">
        <v>87</v>
      </c>
      <c r="P146" s="10">
        <v>100</v>
      </c>
      <c r="Q146" s="10">
        <v>114</v>
      </c>
      <c r="R146" s="10">
        <v>122</v>
      </c>
      <c r="S146" s="10">
        <v>132</v>
      </c>
      <c r="T146" s="10">
        <v>131</v>
      </c>
      <c r="U146" s="10">
        <v>134</v>
      </c>
      <c r="V146" s="10">
        <v>133</v>
      </c>
      <c r="X146">
        <f>AVERAGE(F145:F147)</f>
        <v>11.666666666666666</v>
      </c>
      <c r="Y146">
        <f t="shared" ref="Y146" si="689">AVERAGE(G145:G147)</f>
        <v>14.333333333333334</v>
      </c>
      <c r="Z146">
        <f t="shared" ref="Z146" si="690">AVERAGE(H145:H147)</f>
        <v>21</v>
      </c>
      <c r="AA146">
        <f t="shared" ref="AA146" si="691">AVERAGE(I145:I147)</f>
        <v>28.5</v>
      </c>
      <c r="AB146">
        <f t="shared" ref="AB146" si="692">AVERAGE(J145:J147)</f>
        <v>36.666666666666664</v>
      </c>
      <c r="AC146">
        <f t="shared" ref="AC146" si="693">AVERAGE(K145:K147)</f>
        <v>46.666666666666664</v>
      </c>
      <c r="AD146">
        <f t="shared" ref="AD146" si="694">AVERAGE(L145:L147)</f>
        <v>59</v>
      </c>
      <c r="AE146">
        <f t="shared" ref="AE146" si="695">AVERAGE(M145:M147)</f>
        <v>67.333333333333329</v>
      </c>
      <c r="AF146">
        <f t="shared" ref="AF146" si="696">AVERAGE(N145:N147)</f>
        <v>79</v>
      </c>
      <c r="AG146">
        <f t="shared" ref="AG146" si="697">AVERAGE(O145:O147)</f>
        <v>95.333333333333329</v>
      </c>
      <c r="AH146">
        <f t="shared" ref="AH146" si="698">AVERAGE(P145:P147)</f>
        <v>99.333333333333329</v>
      </c>
      <c r="AI146">
        <f t="shared" ref="AI146" si="699">AVERAGE(Q145:Q147)</f>
        <v>113.66666666666667</v>
      </c>
      <c r="AJ146">
        <f t="shared" ref="AJ146" si="700">AVERAGE(R145:R147)</f>
        <v>119</v>
      </c>
      <c r="AK146">
        <f t="shared" ref="AK146" si="701">AVERAGE(S145:S147)</f>
        <v>130</v>
      </c>
      <c r="AL146">
        <f t="shared" ref="AL146" si="702">AVERAGE(T145:T147)</f>
        <v>125</v>
      </c>
      <c r="AM146">
        <f t="shared" ref="AM146" si="703">AVERAGE(U145:U147)</f>
        <v>129.66666666666666</v>
      </c>
      <c r="AN146">
        <f t="shared" ref="AN146" si="704">AVERAGE(V145:V147)</f>
        <v>126</v>
      </c>
    </row>
    <row r="147" spans="1:40" ht="19.899999999999999" customHeight="1" thickBot="1" x14ac:dyDescent="0.25">
      <c r="A147" s="43"/>
      <c r="B147" s="17"/>
      <c r="C147" s="19"/>
      <c r="D147" s="21" t="s">
        <v>21</v>
      </c>
      <c r="E147" s="64" t="s">
        <v>43</v>
      </c>
      <c r="F147" s="11">
        <v>12</v>
      </c>
      <c r="G147" s="11">
        <v>16</v>
      </c>
      <c r="H147" s="11">
        <v>24</v>
      </c>
      <c r="I147" s="11">
        <v>30</v>
      </c>
      <c r="J147" s="11">
        <v>42</v>
      </c>
      <c r="K147" s="11">
        <v>51</v>
      </c>
      <c r="L147" s="11">
        <v>63</v>
      </c>
      <c r="M147" s="11">
        <v>72</v>
      </c>
      <c r="N147" s="11">
        <v>82</v>
      </c>
      <c r="O147" s="11">
        <v>96</v>
      </c>
      <c r="P147" s="11">
        <v>101</v>
      </c>
      <c r="Q147" s="11">
        <v>113</v>
      </c>
      <c r="R147" s="11">
        <v>118</v>
      </c>
      <c r="S147" s="11">
        <v>127</v>
      </c>
      <c r="T147" s="11">
        <v>122</v>
      </c>
      <c r="U147" s="11">
        <v>131</v>
      </c>
      <c r="V147" s="11">
        <v>122</v>
      </c>
    </row>
    <row r="148" spans="1:40" ht="19.899999999999999" customHeight="1" x14ac:dyDescent="0.2">
      <c r="A148" s="43"/>
      <c r="B148" s="12" t="s">
        <v>11</v>
      </c>
      <c r="C148" s="18">
        <v>3</v>
      </c>
      <c r="D148" s="16" t="s">
        <v>22</v>
      </c>
      <c r="E148" s="62" t="s">
        <v>44</v>
      </c>
      <c r="F148" s="9">
        <v>13</v>
      </c>
      <c r="G148" s="9">
        <v>17</v>
      </c>
      <c r="H148" s="9">
        <v>24</v>
      </c>
      <c r="I148" s="9">
        <v>29</v>
      </c>
      <c r="J148" s="9">
        <v>38</v>
      </c>
      <c r="K148" s="9">
        <v>48</v>
      </c>
      <c r="L148" s="9">
        <v>58</v>
      </c>
      <c r="M148" s="9">
        <v>74</v>
      </c>
      <c r="N148" s="9">
        <v>73</v>
      </c>
      <c r="O148" s="9">
        <v>89</v>
      </c>
      <c r="P148" s="9">
        <v>95</v>
      </c>
      <c r="Q148" s="9">
        <v>111</v>
      </c>
      <c r="R148" s="9">
        <v>120</v>
      </c>
      <c r="S148" s="9">
        <v>135</v>
      </c>
      <c r="T148" s="9">
        <v>147</v>
      </c>
      <c r="U148" s="9">
        <v>156</v>
      </c>
      <c r="V148" s="9">
        <v>158</v>
      </c>
    </row>
    <row r="149" spans="1:40" ht="19.899999999999999" customHeight="1" x14ac:dyDescent="0.2">
      <c r="A149" s="43"/>
      <c r="B149" s="13"/>
      <c r="C149" s="38"/>
      <c r="D149" s="20" t="s">
        <v>20</v>
      </c>
      <c r="E149" s="63" t="s">
        <v>44</v>
      </c>
      <c r="F149" s="10">
        <v>13</v>
      </c>
      <c r="G149" s="10">
        <v>18</v>
      </c>
      <c r="H149" s="10">
        <v>23</v>
      </c>
      <c r="I149" s="10">
        <v>30</v>
      </c>
      <c r="J149" s="10">
        <v>35</v>
      </c>
      <c r="K149" s="10">
        <v>41</v>
      </c>
      <c r="L149" s="10">
        <v>50</v>
      </c>
      <c r="M149" s="10">
        <v>55</v>
      </c>
      <c r="N149" s="10">
        <v>65</v>
      </c>
      <c r="O149" s="10">
        <v>75</v>
      </c>
      <c r="P149" s="10">
        <v>83</v>
      </c>
      <c r="Q149" s="10">
        <v>104</v>
      </c>
      <c r="R149" s="10">
        <v>118</v>
      </c>
      <c r="S149" s="10">
        <v>130</v>
      </c>
      <c r="T149" s="10">
        <v>131</v>
      </c>
      <c r="U149" s="10">
        <v>145</v>
      </c>
      <c r="V149" s="10">
        <v>147</v>
      </c>
      <c r="X149">
        <f>AVERAGE(F148:F150)</f>
        <v>12.666666666666666</v>
      </c>
      <c r="Y149">
        <f t="shared" ref="Y149" si="705">AVERAGE(G148:G150)</f>
        <v>17.666666666666668</v>
      </c>
      <c r="Z149">
        <f t="shared" ref="Z149" si="706">AVERAGE(H148:H150)</f>
        <v>23.333333333333332</v>
      </c>
      <c r="AA149">
        <f t="shared" ref="AA149" si="707">AVERAGE(I148:I150)</f>
        <v>30</v>
      </c>
      <c r="AB149">
        <f t="shared" ref="AB149" si="708">AVERAGE(J148:J150)</f>
        <v>37.333333333333336</v>
      </c>
      <c r="AC149">
        <f t="shared" ref="AC149" si="709">AVERAGE(K148:K150)</f>
        <v>46.333333333333336</v>
      </c>
      <c r="AD149">
        <f t="shared" ref="AD149" si="710">AVERAGE(L148:L150)</f>
        <v>57</v>
      </c>
      <c r="AE149">
        <f t="shared" ref="AE149" si="711">AVERAGE(M148:M150)</f>
        <v>67.333333333333329</v>
      </c>
      <c r="AF149">
        <f t="shared" ref="AF149" si="712">AVERAGE(N148:N150)</f>
        <v>73.333333333333329</v>
      </c>
      <c r="AG149">
        <f t="shared" ref="AG149" si="713">AVERAGE(O148:O150)</f>
        <v>88</v>
      </c>
      <c r="AH149">
        <f t="shared" ref="AH149" si="714">AVERAGE(P148:P150)</f>
        <v>96.333333333333329</v>
      </c>
      <c r="AI149">
        <f t="shared" ref="AI149" si="715">AVERAGE(Q148:Q150)</f>
        <v>113.33333333333333</v>
      </c>
      <c r="AJ149">
        <f t="shared" ref="AJ149" si="716">AVERAGE(R148:R150)</f>
        <v>125</v>
      </c>
      <c r="AK149">
        <f t="shared" ref="AK149" si="717">AVERAGE(S148:S150)</f>
        <v>137</v>
      </c>
      <c r="AL149">
        <f t="shared" ref="AL149" si="718">AVERAGE(T148:T150)</f>
        <v>148</v>
      </c>
      <c r="AM149">
        <f t="shared" ref="AM149" si="719">AVERAGE(U148:U150)</f>
        <v>154.66666666666666</v>
      </c>
      <c r="AN149">
        <f t="shared" ref="AN149" si="720">AVERAGE(V148:V150)</f>
        <v>159.66666666666666</v>
      </c>
    </row>
    <row r="150" spans="1:40" ht="19.899999999999999" customHeight="1" thickBot="1" x14ac:dyDescent="0.25">
      <c r="A150" s="43"/>
      <c r="B150" s="17"/>
      <c r="C150" s="19"/>
      <c r="D150" s="21" t="s">
        <v>21</v>
      </c>
      <c r="E150" s="64" t="s">
        <v>44</v>
      </c>
      <c r="F150" s="11">
        <v>12</v>
      </c>
      <c r="G150" s="11">
        <v>18</v>
      </c>
      <c r="H150" s="11">
        <v>23</v>
      </c>
      <c r="I150" s="11">
        <v>31</v>
      </c>
      <c r="J150" s="11">
        <v>39</v>
      </c>
      <c r="K150" s="11">
        <v>50</v>
      </c>
      <c r="L150" s="11">
        <v>63</v>
      </c>
      <c r="M150" s="11">
        <v>73</v>
      </c>
      <c r="N150" s="11">
        <v>82</v>
      </c>
      <c r="O150" s="11">
        <v>100</v>
      </c>
      <c r="P150" s="11">
        <v>111</v>
      </c>
      <c r="Q150" s="11">
        <v>125</v>
      </c>
      <c r="R150" s="11">
        <v>137</v>
      </c>
      <c r="S150" s="11">
        <v>146</v>
      </c>
      <c r="T150" s="11">
        <v>166</v>
      </c>
      <c r="U150" s="11">
        <v>163</v>
      </c>
      <c r="V150" s="11">
        <v>174</v>
      </c>
    </row>
    <row r="151" spans="1:40" ht="19.899999999999999" customHeight="1" x14ac:dyDescent="0.2">
      <c r="A151" s="43"/>
      <c r="B151" s="12" t="s">
        <v>11</v>
      </c>
      <c r="C151" s="18">
        <v>2</v>
      </c>
      <c r="D151" s="16" t="s">
        <v>22</v>
      </c>
      <c r="E151" s="62" t="s">
        <v>34</v>
      </c>
      <c r="F151" s="9">
        <v>12</v>
      </c>
      <c r="G151" s="9">
        <v>17</v>
      </c>
      <c r="H151" s="9">
        <v>20</v>
      </c>
      <c r="I151" s="9">
        <v>29.5</v>
      </c>
      <c r="J151" s="9">
        <v>29</v>
      </c>
      <c r="K151" s="9">
        <v>37</v>
      </c>
      <c r="L151" s="9">
        <v>47</v>
      </c>
      <c r="M151" s="9">
        <v>52</v>
      </c>
      <c r="N151" s="9">
        <v>54</v>
      </c>
      <c r="O151" s="9">
        <v>68</v>
      </c>
      <c r="P151" s="9">
        <v>77</v>
      </c>
      <c r="Q151" s="9">
        <v>88</v>
      </c>
      <c r="R151" s="9">
        <v>102</v>
      </c>
      <c r="S151" s="9">
        <v>113</v>
      </c>
      <c r="T151" s="9">
        <v>122</v>
      </c>
      <c r="U151" s="9">
        <v>129</v>
      </c>
      <c r="V151" s="9">
        <v>131</v>
      </c>
    </row>
    <row r="152" spans="1:40" ht="19.899999999999999" customHeight="1" x14ac:dyDescent="0.2">
      <c r="A152" s="43"/>
      <c r="B152" s="13"/>
      <c r="C152" s="38"/>
      <c r="D152" s="20" t="s">
        <v>20</v>
      </c>
      <c r="E152" s="63" t="s">
        <v>34</v>
      </c>
      <c r="F152" s="10">
        <v>13</v>
      </c>
      <c r="G152" s="10">
        <v>15</v>
      </c>
      <c r="H152" s="10">
        <v>26</v>
      </c>
      <c r="I152" s="10">
        <v>30</v>
      </c>
      <c r="J152" s="10">
        <v>41</v>
      </c>
      <c r="K152" s="10">
        <v>53</v>
      </c>
      <c r="L152" s="10">
        <v>61</v>
      </c>
      <c r="M152" s="10">
        <v>66</v>
      </c>
      <c r="N152" s="10">
        <v>78</v>
      </c>
      <c r="O152" s="10">
        <v>87</v>
      </c>
      <c r="P152" s="10">
        <v>101</v>
      </c>
      <c r="Q152" s="10">
        <v>123</v>
      </c>
      <c r="R152" s="10">
        <v>134</v>
      </c>
      <c r="S152" s="10">
        <v>145</v>
      </c>
      <c r="T152" s="10">
        <v>154</v>
      </c>
      <c r="U152" s="10">
        <v>164</v>
      </c>
      <c r="V152" s="10">
        <v>168</v>
      </c>
      <c r="X152">
        <f>AVERAGE(F151:F153)</f>
        <v>12.333333333333334</v>
      </c>
      <c r="Y152">
        <f t="shared" ref="Y152" si="721">AVERAGE(G151:G153)</f>
        <v>16</v>
      </c>
      <c r="Z152">
        <f t="shared" ref="Z152" si="722">AVERAGE(H151:H153)</f>
        <v>23.333333333333332</v>
      </c>
      <c r="AA152">
        <f t="shared" ref="AA152" si="723">AVERAGE(I151:I153)</f>
        <v>31.5</v>
      </c>
      <c r="AB152">
        <f t="shared" ref="AB152" si="724">AVERAGE(J151:J153)</f>
        <v>37</v>
      </c>
      <c r="AC152">
        <f t="shared" ref="AC152" si="725">AVERAGE(K151:K153)</f>
        <v>48.333333333333336</v>
      </c>
      <c r="AD152">
        <f t="shared" ref="AD152" si="726">AVERAGE(L151:L153)</f>
        <v>61.666666666666664</v>
      </c>
      <c r="AE152">
        <f t="shared" ref="AE152" si="727">AVERAGE(M151:M153)</f>
        <v>70</v>
      </c>
      <c r="AF152">
        <f t="shared" ref="AF152" si="728">AVERAGE(N151:N153)</f>
        <v>79.666666666666671</v>
      </c>
      <c r="AG152">
        <f t="shared" ref="AG152" si="729">AVERAGE(O151:O153)</f>
        <v>90</v>
      </c>
      <c r="AH152">
        <f t="shared" ref="AH152" si="730">AVERAGE(P151:P153)</f>
        <v>100.33333333333333</v>
      </c>
      <c r="AI152">
        <f t="shared" ref="AI152" si="731">AVERAGE(Q151:Q153)</f>
        <v>114</v>
      </c>
      <c r="AJ152">
        <f t="shared" ref="AJ152" si="732">AVERAGE(R151:R153)</f>
        <v>126</v>
      </c>
      <c r="AK152">
        <f t="shared" ref="AK152" si="733">AVERAGE(S151:S153)</f>
        <v>138</v>
      </c>
      <c r="AL152">
        <f t="shared" ref="AL152" si="734">AVERAGE(T151:T153)</f>
        <v>146</v>
      </c>
      <c r="AM152">
        <f t="shared" ref="AM152" si="735">AVERAGE(U151:U153)</f>
        <v>153</v>
      </c>
      <c r="AN152">
        <f t="shared" ref="AN152" si="736">AVERAGE(V151:V153)</f>
        <v>156</v>
      </c>
    </row>
    <row r="153" spans="1:40" ht="19.899999999999999" customHeight="1" thickBot="1" x14ac:dyDescent="0.25">
      <c r="A153" s="43"/>
      <c r="B153" s="17"/>
      <c r="C153" s="19"/>
      <c r="D153" s="21" t="s">
        <v>21</v>
      </c>
      <c r="E153" s="64" t="s">
        <v>34</v>
      </c>
      <c r="F153" s="11">
        <v>12</v>
      </c>
      <c r="G153" s="11">
        <v>16</v>
      </c>
      <c r="H153" s="11">
        <v>24</v>
      </c>
      <c r="I153" s="11">
        <v>35</v>
      </c>
      <c r="J153" s="11">
        <v>41</v>
      </c>
      <c r="K153" s="11">
        <v>55</v>
      </c>
      <c r="L153" s="11">
        <v>77</v>
      </c>
      <c r="M153" s="11">
        <v>92</v>
      </c>
      <c r="N153" s="11">
        <v>107</v>
      </c>
      <c r="O153" s="11">
        <v>115</v>
      </c>
      <c r="P153" s="11">
        <v>123</v>
      </c>
      <c r="Q153" s="11">
        <v>131</v>
      </c>
      <c r="R153" s="11">
        <v>142</v>
      </c>
      <c r="S153" s="11">
        <v>156</v>
      </c>
      <c r="T153" s="11">
        <v>162</v>
      </c>
      <c r="U153" s="11">
        <v>166</v>
      </c>
      <c r="V153" s="11">
        <v>169</v>
      </c>
    </row>
    <row r="154" spans="1:40" ht="19.899999999999999" customHeight="1" x14ac:dyDescent="0.2">
      <c r="A154" s="43"/>
      <c r="B154" s="12" t="s">
        <v>11</v>
      </c>
      <c r="C154" s="18">
        <v>1</v>
      </c>
      <c r="D154" s="16" t="s">
        <v>22</v>
      </c>
      <c r="E154" s="62" t="s">
        <v>40</v>
      </c>
      <c r="F154" s="9">
        <v>11</v>
      </c>
      <c r="G154" s="9">
        <v>12</v>
      </c>
      <c r="H154" s="9">
        <v>19</v>
      </c>
      <c r="I154" s="9">
        <v>27</v>
      </c>
      <c r="J154" s="9">
        <v>38</v>
      </c>
      <c r="K154" s="9">
        <v>44</v>
      </c>
      <c r="L154" s="9">
        <v>57</v>
      </c>
      <c r="M154" s="9">
        <v>69</v>
      </c>
      <c r="N154" s="9">
        <v>65</v>
      </c>
      <c r="O154" s="9">
        <v>74</v>
      </c>
      <c r="P154" s="9">
        <v>91</v>
      </c>
      <c r="Q154" s="9">
        <v>109</v>
      </c>
      <c r="R154" s="9">
        <v>115</v>
      </c>
      <c r="S154" s="9">
        <v>132</v>
      </c>
      <c r="T154" s="9">
        <v>133</v>
      </c>
      <c r="U154" s="9">
        <v>141</v>
      </c>
      <c r="V154" s="9">
        <v>164</v>
      </c>
    </row>
    <row r="155" spans="1:40" ht="19.899999999999999" customHeight="1" x14ac:dyDescent="0.2">
      <c r="A155" s="43"/>
      <c r="B155" s="13"/>
      <c r="C155" s="38"/>
      <c r="D155" s="20" t="s">
        <v>20</v>
      </c>
      <c r="E155" s="63" t="s">
        <v>40</v>
      </c>
      <c r="F155" s="10">
        <v>11</v>
      </c>
      <c r="G155" s="10">
        <v>17</v>
      </c>
      <c r="H155" s="10">
        <v>24</v>
      </c>
      <c r="I155" s="10">
        <v>28</v>
      </c>
      <c r="J155" s="10">
        <v>37</v>
      </c>
      <c r="K155" s="10">
        <v>47</v>
      </c>
      <c r="L155" s="10">
        <v>55</v>
      </c>
      <c r="M155" s="10">
        <v>63</v>
      </c>
      <c r="N155" s="10">
        <v>70</v>
      </c>
      <c r="O155" s="10">
        <v>82</v>
      </c>
      <c r="P155" s="10">
        <v>95</v>
      </c>
      <c r="Q155" s="10">
        <v>111</v>
      </c>
      <c r="R155" s="10">
        <v>128</v>
      </c>
      <c r="S155" s="10">
        <v>134</v>
      </c>
      <c r="T155" s="10">
        <v>124</v>
      </c>
      <c r="U155" s="10">
        <v>139</v>
      </c>
      <c r="V155" s="10">
        <v>139</v>
      </c>
      <c r="X155">
        <f>AVERAGE(F154:F156)</f>
        <v>11.333333333333334</v>
      </c>
      <c r="Y155">
        <f t="shared" ref="Y155" si="737">AVERAGE(G154:G156)</f>
        <v>14.333333333333334</v>
      </c>
      <c r="Z155">
        <f t="shared" ref="Z155" si="738">AVERAGE(H154:H156)</f>
        <v>22</v>
      </c>
      <c r="AA155">
        <f t="shared" ref="AA155" si="739">AVERAGE(I154:I156)</f>
        <v>30</v>
      </c>
      <c r="AB155">
        <f t="shared" ref="AB155" si="740">AVERAGE(J154:J156)</f>
        <v>39</v>
      </c>
      <c r="AC155">
        <f t="shared" ref="AC155" si="741">AVERAGE(K154:K156)</f>
        <v>49.333333333333336</v>
      </c>
      <c r="AD155">
        <f t="shared" ref="AD155" si="742">AVERAGE(L154:L156)</f>
        <v>61</v>
      </c>
      <c r="AE155">
        <f t="shared" ref="AE155" si="743">AVERAGE(M154:M156)</f>
        <v>70.666666666666671</v>
      </c>
      <c r="AF155">
        <f t="shared" ref="AF155" si="744">AVERAGE(N154:N156)</f>
        <v>77.333333333333329</v>
      </c>
      <c r="AG155">
        <f t="shared" ref="AG155" si="745">AVERAGE(O154:O156)</f>
        <v>87.666666666666671</v>
      </c>
      <c r="AH155">
        <f t="shared" ref="AH155" si="746">AVERAGE(P154:P156)</f>
        <v>103.33333333333333</v>
      </c>
      <c r="AI155">
        <f t="shared" ref="AI155" si="747">AVERAGE(Q154:Q156)</f>
        <v>119</v>
      </c>
      <c r="AJ155">
        <f t="shared" ref="AJ155" si="748">AVERAGE(R154:R156)</f>
        <v>132</v>
      </c>
      <c r="AK155">
        <f t="shared" ref="AK155" si="749">AVERAGE(S154:S156)</f>
        <v>142.33333333333334</v>
      </c>
      <c r="AL155">
        <f t="shared" ref="AL155" si="750">AVERAGE(T154:T156)</f>
        <v>143.33333333333334</v>
      </c>
      <c r="AM155">
        <f t="shared" ref="AM155" si="751">AVERAGE(U154:U156)</f>
        <v>153.66666666666666</v>
      </c>
      <c r="AN155">
        <f t="shared" ref="AN155" si="752">AVERAGE(V154:V156)</f>
        <v>163.33333333333334</v>
      </c>
    </row>
    <row r="156" spans="1:40" ht="19.899999999999999" customHeight="1" thickBot="1" x14ac:dyDescent="0.25">
      <c r="A156" s="43"/>
      <c r="B156" s="17"/>
      <c r="C156" s="19"/>
      <c r="D156" s="21" t="s">
        <v>21</v>
      </c>
      <c r="E156" s="64" t="s">
        <v>40</v>
      </c>
      <c r="F156" s="11">
        <v>12</v>
      </c>
      <c r="G156" s="11">
        <v>14</v>
      </c>
      <c r="H156" s="11">
        <v>23</v>
      </c>
      <c r="I156" s="11">
        <v>35</v>
      </c>
      <c r="J156" s="11">
        <v>42</v>
      </c>
      <c r="K156" s="11">
        <v>57</v>
      </c>
      <c r="L156" s="11">
        <v>71</v>
      </c>
      <c r="M156" s="11">
        <v>80</v>
      </c>
      <c r="N156" s="11">
        <v>97</v>
      </c>
      <c r="O156" s="11">
        <v>107</v>
      </c>
      <c r="P156" s="11">
        <v>124</v>
      </c>
      <c r="Q156" s="11">
        <v>137</v>
      </c>
      <c r="R156" s="11">
        <v>153</v>
      </c>
      <c r="S156" s="11">
        <v>161</v>
      </c>
      <c r="T156" s="11">
        <v>173</v>
      </c>
      <c r="U156" s="11">
        <v>181</v>
      </c>
      <c r="V156" s="11">
        <v>187</v>
      </c>
    </row>
    <row r="157" spans="1:40" ht="19.899999999999999" customHeight="1" x14ac:dyDescent="0.2">
      <c r="A157" s="43"/>
      <c r="B157" s="12" t="s">
        <v>12</v>
      </c>
      <c r="C157" s="18">
        <v>1</v>
      </c>
      <c r="D157" s="16" t="s">
        <v>21</v>
      </c>
      <c r="E157" s="62" t="s">
        <v>48</v>
      </c>
      <c r="F157" s="9">
        <v>13</v>
      </c>
      <c r="G157" s="9">
        <v>18</v>
      </c>
      <c r="H157" s="9">
        <v>27</v>
      </c>
      <c r="I157" s="9">
        <v>40</v>
      </c>
      <c r="J157" s="9">
        <v>42</v>
      </c>
      <c r="K157" s="9">
        <v>50</v>
      </c>
      <c r="L157" s="9">
        <v>63</v>
      </c>
      <c r="M157" s="9">
        <v>70</v>
      </c>
      <c r="N157" s="9">
        <v>78</v>
      </c>
      <c r="O157" s="9">
        <v>95</v>
      </c>
      <c r="P157" s="9">
        <v>109</v>
      </c>
      <c r="Q157" s="9">
        <v>119</v>
      </c>
      <c r="R157" s="9">
        <v>126</v>
      </c>
      <c r="S157" s="9">
        <v>132</v>
      </c>
      <c r="T157" s="9">
        <v>137</v>
      </c>
      <c r="U157" s="9">
        <v>138</v>
      </c>
      <c r="V157" s="9">
        <v>136</v>
      </c>
    </row>
    <row r="158" spans="1:40" ht="19.899999999999999" customHeight="1" x14ac:dyDescent="0.2">
      <c r="A158" s="43"/>
      <c r="C158" s="38"/>
      <c r="D158" s="20" t="s">
        <v>20</v>
      </c>
      <c r="E158" s="63" t="s">
        <v>48</v>
      </c>
      <c r="F158" s="10">
        <v>13</v>
      </c>
      <c r="G158" s="10">
        <v>15</v>
      </c>
      <c r="H158" s="10">
        <v>25</v>
      </c>
      <c r="I158" s="10">
        <v>37</v>
      </c>
      <c r="J158" s="10">
        <v>43</v>
      </c>
      <c r="K158" s="10">
        <v>51</v>
      </c>
      <c r="L158" s="10">
        <v>61</v>
      </c>
      <c r="M158" s="10">
        <v>67</v>
      </c>
      <c r="N158" s="10">
        <v>72</v>
      </c>
      <c r="O158" s="10">
        <v>99</v>
      </c>
      <c r="P158" s="10">
        <v>90</v>
      </c>
      <c r="Q158" s="10">
        <v>91</v>
      </c>
      <c r="R158" s="10">
        <v>101</v>
      </c>
      <c r="S158" s="10">
        <v>94</v>
      </c>
      <c r="T158" s="10">
        <v>100</v>
      </c>
      <c r="U158" s="10">
        <v>98</v>
      </c>
      <c r="V158" s="10">
        <v>97</v>
      </c>
      <c r="X158">
        <f>AVERAGE(F157:F159)</f>
        <v>13</v>
      </c>
      <c r="Y158">
        <f t="shared" ref="Y158" si="753">AVERAGE(G157:G159)</f>
        <v>16</v>
      </c>
      <c r="Z158">
        <f t="shared" ref="Z158" si="754">AVERAGE(H157:H159)</f>
        <v>25.666666666666668</v>
      </c>
      <c r="AA158">
        <f t="shared" ref="AA158" si="755">AVERAGE(I157:I159)</f>
        <v>37.333333333333336</v>
      </c>
      <c r="AB158">
        <f t="shared" ref="AB158" si="756">AVERAGE(J157:J159)</f>
        <v>42</v>
      </c>
      <c r="AC158">
        <f t="shared" ref="AC158" si="757">AVERAGE(K157:K159)</f>
        <v>50.333333333333336</v>
      </c>
      <c r="AD158">
        <f t="shared" ref="AD158" si="758">AVERAGE(L157:L159)</f>
        <v>62.333333333333336</v>
      </c>
      <c r="AE158">
        <f t="shared" ref="AE158" si="759">AVERAGE(M157:M159)</f>
        <v>69.666666666666671</v>
      </c>
      <c r="AF158">
        <f t="shared" ref="AF158" si="760">AVERAGE(N157:N159)</f>
        <v>78</v>
      </c>
      <c r="AG158">
        <f t="shared" ref="AG158" si="761">AVERAGE(O157:O159)</f>
        <v>96.666666666666671</v>
      </c>
      <c r="AH158">
        <f t="shared" ref="AH158" si="762">AVERAGE(P157:P159)</f>
        <v>102.33333333333333</v>
      </c>
      <c r="AI158">
        <f t="shared" ref="AI158" si="763">AVERAGE(Q157:Q159)</f>
        <v>109.33333333333333</v>
      </c>
      <c r="AJ158">
        <f t="shared" ref="AJ158" si="764">AVERAGE(R157:R159)</f>
        <v>115.66666666666667</v>
      </c>
      <c r="AK158">
        <f t="shared" ref="AK158" si="765">AVERAGE(S157:S159)</f>
        <v>117.33333333333333</v>
      </c>
      <c r="AL158">
        <f t="shared" ref="AL158" si="766">AVERAGE(T157:T159)</f>
        <v>121.33333333333333</v>
      </c>
      <c r="AM158">
        <f t="shared" ref="AM158" si="767">AVERAGE(U157:U159)</f>
        <v>121</v>
      </c>
      <c r="AN158">
        <f t="shared" ref="AN158" si="768">AVERAGE(V157:V159)</f>
        <v>120</v>
      </c>
    </row>
    <row r="159" spans="1:40" ht="19.899999999999999" customHeight="1" thickBot="1" x14ac:dyDescent="0.25">
      <c r="A159" s="43"/>
      <c r="B159" s="17"/>
      <c r="C159" s="19"/>
      <c r="D159" s="21" t="s">
        <v>22</v>
      </c>
      <c r="E159" s="64" t="s">
        <v>48</v>
      </c>
      <c r="F159" s="11">
        <v>13</v>
      </c>
      <c r="G159" s="11">
        <v>15</v>
      </c>
      <c r="H159" s="11">
        <v>25</v>
      </c>
      <c r="I159" s="11">
        <v>35</v>
      </c>
      <c r="J159" s="11">
        <v>41</v>
      </c>
      <c r="K159" s="11">
        <v>50</v>
      </c>
      <c r="L159" s="11">
        <v>63</v>
      </c>
      <c r="M159" s="11">
        <v>72</v>
      </c>
      <c r="N159" s="11">
        <v>84</v>
      </c>
      <c r="O159" s="11">
        <v>96</v>
      </c>
      <c r="P159" s="11">
        <v>108</v>
      </c>
      <c r="Q159" s="11">
        <v>118</v>
      </c>
      <c r="R159" s="11">
        <v>120</v>
      </c>
      <c r="S159" s="11">
        <v>126</v>
      </c>
      <c r="T159" s="11">
        <v>127</v>
      </c>
      <c r="U159" s="11">
        <v>127</v>
      </c>
      <c r="V159" s="11">
        <v>127</v>
      </c>
    </row>
    <row r="160" spans="1:40" ht="19.899999999999999" customHeight="1" x14ac:dyDescent="0.2">
      <c r="A160" s="43"/>
      <c r="B160" s="12" t="s">
        <v>12</v>
      </c>
      <c r="C160" s="18">
        <v>2</v>
      </c>
      <c r="D160" s="16" t="s">
        <v>21</v>
      </c>
      <c r="E160" s="62" t="s">
        <v>33</v>
      </c>
      <c r="F160" s="9">
        <v>13</v>
      </c>
      <c r="G160" s="9">
        <v>16</v>
      </c>
      <c r="H160" s="9">
        <v>25</v>
      </c>
      <c r="I160" s="9">
        <v>33.5</v>
      </c>
      <c r="J160" s="9">
        <v>38</v>
      </c>
      <c r="K160" s="9">
        <v>45</v>
      </c>
      <c r="L160" s="9">
        <v>54</v>
      </c>
      <c r="M160" s="9">
        <v>59</v>
      </c>
      <c r="N160" s="9">
        <v>68</v>
      </c>
      <c r="O160" s="9">
        <v>89</v>
      </c>
      <c r="P160" s="9">
        <v>86</v>
      </c>
      <c r="Q160" s="9">
        <v>99</v>
      </c>
      <c r="R160" s="9">
        <v>98</v>
      </c>
      <c r="S160" s="9">
        <v>106</v>
      </c>
      <c r="T160" s="9">
        <v>106</v>
      </c>
      <c r="U160" s="9">
        <v>111</v>
      </c>
      <c r="V160" s="9">
        <v>108</v>
      </c>
    </row>
    <row r="161" spans="1:40" ht="19.899999999999999" customHeight="1" x14ac:dyDescent="0.2">
      <c r="A161" s="43"/>
      <c r="B161" s="13"/>
      <c r="C161" s="38"/>
      <c r="D161" s="20" t="s">
        <v>20</v>
      </c>
      <c r="E161" s="63" t="s">
        <v>33</v>
      </c>
      <c r="F161" s="10">
        <v>12</v>
      </c>
      <c r="G161" s="10">
        <v>19</v>
      </c>
      <c r="H161" s="10">
        <v>22</v>
      </c>
      <c r="I161" s="10">
        <v>35.5</v>
      </c>
      <c r="J161" s="10">
        <v>39</v>
      </c>
      <c r="K161" s="10">
        <v>40</v>
      </c>
      <c r="L161" s="10">
        <v>56</v>
      </c>
      <c r="M161" s="10">
        <v>66</v>
      </c>
      <c r="N161" s="10">
        <v>74</v>
      </c>
      <c r="O161" s="10">
        <v>89</v>
      </c>
      <c r="P161" s="10">
        <v>97</v>
      </c>
      <c r="Q161" s="10">
        <v>100</v>
      </c>
      <c r="R161" s="10">
        <v>111</v>
      </c>
      <c r="S161" s="10">
        <v>111</v>
      </c>
      <c r="T161" s="10">
        <v>123</v>
      </c>
      <c r="U161" s="10">
        <v>121</v>
      </c>
      <c r="V161" s="10">
        <v>129</v>
      </c>
      <c r="X161">
        <f>AVERAGE(F160:F162)</f>
        <v>12</v>
      </c>
      <c r="Y161">
        <f t="shared" ref="Y161" si="769">AVERAGE(G160:G162)</f>
        <v>17</v>
      </c>
      <c r="Z161">
        <f t="shared" ref="Z161" si="770">AVERAGE(H160:H162)</f>
        <v>23.333333333333332</v>
      </c>
      <c r="AA161">
        <f t="shared" ref="AA161" si="771">AVERAGE(I160:I162)</f>
        <v>34</v>
      </c>
      <c r="AB161">
        <f t="shared" ref="AB161" si="772">AVERAGE(J160:J162)</f>
        <v>39.333333333333336</v>
      </c>
      <c r="AC161">
        <f t="shared" ref="AC161" si="773">AVERAGE(K160:K162)</f>
        <v>44.666666666666664</v>
      </c>
      <c r="AD161">
        <f t="shared" ref="AD161" si="774">AVERAGE(L160:L162)</f>
        <v>55.666666666666664</v>
      </c>
      <c r="AE161">
        <f t="shared" ref="AE161" si="775">AVERAGE(M160:M162)</f>
        <v>64</v>
      </c>
      <c r="AF161">
        <f t="shared" ref="AF161" si="776">AVERAGE(N160:N162)</f>
        <v>74</v>
      </c>
      <c r="AG161">
        <f t="shared" ref="AG161" si="777">AVERAGE(O160:O162)</f>
        <v>90.666666666666671</v>
      </c>
      <c r="AH161">
        <f t="shared" ref="AH161" si="778">AVERAGE(P160:P162)</f>
        <v>96.333333333333329</v>
      </c>
      <c r="AI161">
        <f t="shared" ref="AI161" si="779">AVERAGE(Q160:Q162)</f>
        <v>107</v>
      </c>
      <c r="AJ161">
        <f t="shared" ref="AJ161" si="780">AVERAGE(R160:R162)</f>
        <v>111.66666666666667</v>
      </c>
      <c r="AK161">
        <f t="shared" ref="AK161" si="781">AVERAGE(S160:S162)</f>
        <v>117</v>
      </c>
      <c r="AL161">
        <f t="shared" ref="AL161" si="782">AVERAGE(T160:T162)</f>
        <v>121.66666666666667</v>
      </c>
      <c r="AM161">
        <f t="shared" ref="AM161" si="783">AVERAGE(U160:U162)</f>
        <v>125</v>
      </c>
      <c r="AN161">
        <f t="shared" ref="AN161" si="784">AVERAGE(V160:V162)</f>
        <v>125</v>
      </c>
    </row>
    <row r="162" spans="1:40" ht="19.899999999999999" customHeight="1" thickBot="1" x14ac:dyDescent="0.25">
      <c r="A162" s="43"/>
      <c r="B162" s="17"/>
      <c r="C162" s="19"/>
      <c r="D162" s="21" t="s">
        <v>22</v>
      </c>
      <c r="E162" s="64" t="s">
        <v>33</v>
      </c>
      <c r="F162" s="11">
        <v>11</v>
      </c>
      <c r="G162" s="11">
        <v>16</v>
      </c>
      <c r="H162" s="11">
        <v>23</v>
      </c>
      <c r="I162" s="11">
        <v>33</v>
      </c>
      <c r="J162" s="11">
        <v>41</v>
      </c>
      <c r="K162" s="11">
        <v>49</v>
      </c>
      <c r="L162" s="11">
        <v>57</v>
      </c>
      <c r="M162" s="11">
        <v>67</v>
      </c>
      <c r="N162" s="11">
        <v>80</v>
      </c>
      <c r="O162" s="11">
        <v>94</v>
      </c>
      <c r="P162" s="11">
        <v>106</v>
      </c>
      <c r="Q162" s="11">
        <v>122</v>
      </c>
      <c r="R162" s="11">
        <v>126</v>
      </c>
      <c r="S162" s="11">
        <v>134</v>
      </c>
      <c r="T162" s="11">
        <v>136</v>
      </c>
      <c r="U162" s="11">
        <v>143</v>
      </c>
      <c r="V162" s="11">
        <v>138</v>
      </c>
    </row>
    <row r="163" spans="1:40" ht="19.899999999999999" customHeight="1" x14ac:dyDescent="0.2">
      <c r="A163" s="43"/>
      <c r="B163" s="12" t="s">
        <v>12</v>
      </c>
      <c r="C163" s="18">
        <v>3</v>
      </c>
      <c r="D163" s="16" t="s">
        <v>21</v>
      </c>
      <c r="E163" s="62" t="s">
        <v>41</v>
      </c>
      <c r="F163" s="9">
        <v>12</v>
      </c>
      <c r="G163" s="9">
        <v>11</v>
      </c>
      <c r="H163" s="9">
        <v>22</v>
      </c>
      <c r="I163" s="9">
        <v>33.5</v>
      </c>
      <c r="J163" s="9">
        <v>36</v>
      </c>
      <c r="K163" s="9">
        <v>38</v>
      </c>
      <c r="L163" s="9">
        <v>44</v>
      </c>
      <c r="M163" s="9">
        <v>46</v>
      </c>
      <c r="N163" s="9">
        <v>49</v>
      </c>
      <c r="O163" s="9">
        <v>65</v>
      </c>
      <c r="P163" s="9">
        <v>70</v>
      </c>
      <c r="Q163" s="9">
        <v>79</v>
      </c>
      <c r="R163" s="9">
        <v>91</v>
      </c>
      <c r="S163" s="9">
        <v>107</v>
      </c>
      <c r="T163" s="9">
        <v>108</v>
      </c>
      <c r="U163" s="9">
        <v>119</v>
      </c>
      <c r="V163" s="9">
        <v>126</v>
      </c>
    </row>
    <row r="164" spans="1:40" ht="19.899999999999999" customHeight="1" x14ac:dyDescent="0.2">
      <c r="A164" s="43"/>
      <c r="B164" s="13"/>
      <c r="C164" s="38"/>
      <c r="D164" s="20" t="s">
        <v>20</v>
      </c>
      <c r="E164" s="63" t="s">
        <v>41</v>
      </c>
      <c r="F164" s="10">
        <v>12</v>
      </c>
      <c r="G164" s="10">
        <v>16</v>
      </c>
      <c r="H164" s="10">
        <v>21</v>
      </c>
      <c r="I164" s="10">
        <v>29</v>
      </c>
      <c r="J164" s="10">
        <v>36</v>
      </c>
      <c r="K164" s="10">
        <v>43</v>
      </c>
      <c r="L164" s="10">
        <v>44</v>
      </c>
      <c r="M164" s="10">
        <v>52</v>
      </c>
      <c r="N164" s="10">
        <v>59</v>
      </c>
      <c r="O164" s="10">
        <v>77</v>
      </c>
      <c r="P164" s="10">
        <v>88</v>
      </c>
      <c r="Q164" s="10">
        <v>108</v>
      </c>
      <c r="R164" s="10">
        <v>119</v>
      </c>
      <c r="S164" s="10">
        <v>132</v>
      </c>
      <c r="T164" s="10">
        <v>146</v>
      </c>
      <c r="U164" s="10">
        <v>152</v>
      </c>
      <c r="V164" s="10">
        <v>157</v>
      </c>
      <c r="X164">
        <f>AVERAGE(F163:F165)</f>
        <v>11.666666666666666</v>
      </c>
      <c r="Y164">
        <f t="shared" ref="Y164" si="785">AVERAGE(G163:G165)</f>
        <v>14.333333333333334</v>
      </c>
      <c r="Z164">
        <f t="shared" ref="Z164" si="786">AVERAGE(H163:H165)</f>
        <v>21.333333333333332</v>
      </c>
      <c r="AA164">
        <f t="shared" ref="AA164" si="787">AVERAGE(I163:I165)</f>
        <v>31.666666666666668</v>
      </c>
      <c r="AB164">
        <f t="shared" ref="AB164" si="788">AVERAGE(J163:J165)</f>
        <v>36.333333333333336</v>
      </c>
      <c r="AC164">
        <f t="shared" ref="AC164" si="789">AVERAGE(K163:K165)</f>
        <v>40.666666666666664</v>
      </c>
      <c r="AD164">
        <f t="shared" ref="AD164" si="790">AVERAGE(L163:L165)</f>
        <v>46</v>
      </c>
      <c r="AE164">
        <f t="shared" ref="AE164" si="791">AVERAGE(M163:M165)</f>
        <v>49.666666666666664</v>
      </c>
      <c r="AF164">
        <f t="shared" ref="AF164" si="792">AVERAGE(N163:N165)</f>
        <v>56.333333333333336</v>
      </c>
      <c r="AG164">
        <f t="shared" ref="AG164" si="793">AVERAGE(O163:O165)</f>
        <v>71.666666666666671</v>
      </c>
      <c r="AH164">
        <f t="shared" ref="AH164" si="794">AVERAGE(P163:P165)</f>
        <v>82</v>
      </c>
      <c r="AI164">
        <f t="shared" ref="AI164" si="795">AVERAGE(Q163:Q165)</f>
        <v>96.333333333333329</v>
      </c>
      <c r="AJ164">
        <f t="shared" ref="AJ164" si="796">AVERAGE(R163:R165)</f>
        <v>107.33333333333333</v>
      </c>
      <c r="AK164">
        <f t="shared" ref="AK164" si="797">AVERAGE(S163:S165)</f>
        <v>121.66666666666667</v>
      </c>
      <c r="AL164">
        <f t="shared" ref="AL164" si="798">AVERAGE(T163:T165)</f>
        <v>130</v>
      </c>
      <c r="AM164">
        <f t="shared" ref="AM164" si="799">AVERAGE(U163:U165)</f>
        <v>137.66666666666666</v>
      </c>
      <c r="AN164">
        <f t="shared" ref="AN164" si="800">AVERAGE(V163:V165)</f>
        <v>141.66666666666666</v>
      </c>
    </row>
    <row r="165" spans="1:40" ht="19.899999999999999" customHeight="1" thickBot="1" x14ac:dyDescent="0.25">
      <c r="A165" s="43"/>
      <c r="B165" s="17"/>
      <c r="C165" s="19"/>
      <c r="D165" s="21" t="s">
        <v>22</v>
      </c>
      <c r="E165" s="64" t="s">
        <v>41</v>
      </c>
      <c r="F165" s="11">
        <v>11</v>
      </c>
      <c r="G165" s="11">
        <v>16</v>
      </c>
      <c r="H165" s="11">
        <v>21</v>
      </c>
      <c r="I165" s="11">
        <v>32.5</v>
      </c>
      <c r="J165" s="11">
        <v>37</v>
      </c>
      <c r="K165" s="11">
        <v>41</v>
      </c>
      <c r="L165" s="11">
        <v>50</v>
      </c>
      <c r="M165" s="11">
        <v>51</v>
      </c>
      <c r="N165" s="11">
        <v>61</v>
      </c>
      <c r="O165" s="11">
        <v>73</v>
      </c>
      <c r="P165" s="11">
        <v>88</v>
      </c>
      <c r="Q165" s="11">
        <v>102</v>
      </c>
      <c r="R165" s="11">
        <v>112</v>
      </c>
      <c r="S165" s="11">
        <v>126</v>
      </c>
      <c r="T165" s="11">
        <v>136</v>
      </c>
      <c r="U165" s="11">
        <v>142</v>
      </c>
      <c r="V165" s="11">
        <v>142</v>
      </c>
    </row>
    <row r="166" spans="1:40" ht="19.899999999999999" customHeight="1" x14ac:dyDescent="0.2">
      <c r="A166" s="43"/>
      <c r="B166" s="12" t="s">
        <v>12</v>
      </c>
      <c r="C166" s="18">
        <v>4</v>
      </c>
      <c r="D166" s="16" t="s">
        <v>21</v>
      </c>
      <c r="E166" s="62" t="s">
        <v>44</v>
      </c>
      <c r="F166" s="9">
        <v>10</v>
      </c>
      <c r="G166" s="9">
        <v>19</v>
      </c>
      <c r="H166" s="9">
        <v>20</v>
      </c>
      <c r="I166" s="9">
        <v>35</v>
      </c>
      <c r="J166" s="9">
        <v>34</v>
      </c>
      <c r="K166" s="9">
        <v>39</v>
      </c>
      <c r="L166" s="9">
        <v>45</v>
      </c>
      <c r="M166" s="9">
        <v>55</v>
      </c>
      <c r="N166" s="9">
        <v>56</v>
      </c>
      <c r="O166" s="9">
        <v>74</v>
      </c>
      <c r="P166" s="9">
        <v>89</v>
      </c>
      <c r="Q166" s="9">
        <v>95</v>
      </c>
      <c r="R166" s="9">
        <v>117</v>
      </c>
      <c r="S166" s="9">
        <v>124</v>
      </c>
      <c r="T166" s="9">
        <v>127</v>
      </c>
      <c r="U166" s="9">
        <v>132</v>
      </c>
      <c r="V166" s="9">
        <v>128</v>
      </c>
    </row>
    <row r="167" spans="1:40" ht="19.899999999999999" customHeight="1" x14ac:dyDescent="0.2">
      <c r="A167" s="43"/>
      <c r="B167" s="13"/>
      <c r="C167" s="38"/>
      <c r="D167" s="20" t="s">
        <v>20</v>
      </c>
      <c r="E167" s="63" t="s">
        <v>44</v>
      </c>
      <c r="F167" s="10">
        <v>13</v>
      </c>
      <c r="G167" s="10">
        <v>9</v>
      </c>
      <c r="H167" s="10">
        <v>24</v>
      </c>
      <c r="I167" s="10">
        <v>34.5</v>
      </c>
      <c r="J167" s="10">
        <v>43</v>
      </c>
      <c r="K167" s="10">
        <v>55</v>
      </c>
      <c r="L167" s="10">
        <v>64</v>
      </c>
      <c r="M167" s="10">
        <v>73</v>
      </c>
      <c r="N167" s="10">
        <v>80</v>
      </c>
      <c r="O167" s="10">
        <v>95</v>
      </c>
      <c r="P167" s="10">
        <v>108</v>
      </c>
      <c r="Q167" s="10">
        <v>118</v>
      </c>
      <c r="R167" s="10">
        <v>122</v>
      </c>
      <c r="S167" s="10">
        <v>128</v>
      </c>
      <c r="T167" s="10">
        <v>132</v>
      </c>
      <c r="U167" s="10">
        <v>136</v>
      </c>
      <c r="V167" s="10">
        <v>141</v>
      </c>
      <c r="X167">
        <f>AVERAGE(F166:F168)</f>
        <v>11.666666666666666</v>
      </c>
      <c r="Y167">
        <f t="shared" ref="Y167" si="801">AVERAGE(G166:G168)</f>
        <v>13.666666666666666</v>
      </c>
      <c r="Z167">
        <f t="shared" ref="Z167" si="802">AVERAGE(H166:H168)</f>
        <v>21.666666666666668</v>
      </c>
      <c r="AA167">
        <f t="shared" ref="AA167" si="803">AVERAGE(I166:I168)</f>
        <v>31.333333333333332</v>
      </c>
      <c r="AB167">
        <f t="shared" ref="AB167" si="804">AVERAGE(J166:J168)</f>
        <v>36</v>
      </c>
      <c r="AC167">
        <f t="shared" ref="AC167" si="805">AVERAGE(K166:K168)</f>
        <v>44</v>
      </c>
      <c r="AD167">
        <f t="shared" ref="AD167" si="806">AVERAGE(L166:L168)</f>
        <v>51</v>
      </c>
      <c r="AE167">
        <f t="shared" ref="AE167" si="807">AVERAGE(M166:M168)</f>
        <v>57.666666666666664</v>
      </c>
      <c r="AF167">
        <f t="shared" ref="AF167" si="808">AVERAGE(N166:N168)</f>
        <v>63.333333333333336</v>
      </c>
      <c r="AG167">
        <f t="shared" ref="AG167" si="809">AVERAGE(O166:O168)</f>
        <v>76.333333333333329</v>
      </c>
      <c r="AH167">
        <f t="shared" ref="AH167" si="810">AVERAGE(P166:P168)</f>
        <v>92.333333333333329</v>
      </c>
      <c r="AI167">
        <f t="shared" ref="AI167" si="811">AVERAGE(Q166:Q168)</f>
        <v>101.66666666666667</v>
      </c>
      <c r="AJ167">
        <f t="shared" ref="AJ167" si="812">AVERAGE(R166:R168)</f>
        <v>109</v>
      </c>
      <c r="AK167">
        <f t="shared" ref="AK167" si="813">AVERAGE(S166:S168)</f>
        <v>118.33333333333333</v>
      </c>
      <c r="AL167">
        <f t="shared" ref="AL167" si="814">AVERAGE(T166:T168)</f>
        <v>121.66666666666667</v>
      </c>
      <c r="AM167">
        <f t="shared" ref="AM167" si="815">AVERAGE(U166:U168)</f>
        <v>125.33333333333333</v>
      </c>
      <c r="AN167">
        <f t="shared" ref="AN167" si="816">AVERAGE(V166:V168)</f>
        <v>126.33333333333333</v>
      </c>
    </row>
    <row r="168" spans="1:40" ht="19.899999999999999" customHeight="1" thickBot="1" x14ac:dyDescent="0.25">
      <c r="A168" s="43"/>
      <c r="B168" s="17"/>
      <c r="C168" s="19"/>
      <c r="D168" s="21" t="s">
        <v>22</v>
      </c>
      <c r="E168" s="64" t="s">
        <v>44</v>
      </c>
      <c r="F168" s="11">
        <v>12</v>
      </c>
      <c r="G168" s="11">
        <v>13</v>
      </c>
      <c r="H168" s="11">
        <v>21</v>
      </c>
      <c r="I168" s="11">
        <v>24.5</v>
      </c>
      <c r="J168" s="11">
        <v>31</v>
      </c>
      <c r="K168" s="11">
        <v>38</v>
      </c>
      <c r="L168" s="11">
        <v>44</v>
      </c>
      <c r="M168" s="11">
        <v>45</v>
      </c>
      <c r="N168" s="11">
        <v>54</v>
      </c>
      <c r="O168" s="11">
        <v>60</v>
      </c>
      <c r="P168" s="11">
        <v>80</v>
      </c>
      <c r="Q168" s="11">
        <v>92</v>
      </c>
      <c r="R168" s="11">
        <v>88</v>
      </c>
      <c r="S168" s="11">
        <v>103</v>
      </c>
      <c r="T168" s="11">
        <v>106</v>
      </c>
      <c r="U168" s="11">
        <v>108</v>
      </c>
      <c r="V168" s="11">
        <v>110</v>
      </c>
    </row>
    <row r="169" spans="1:40" ht="19.899999999999999" customHeight="1" x14ac:dyDescent="0.2">
      <c r="A169" s="43"/>
      <c r="B169" s="12" t="s">
        <v>13</v>
      </c>
      <c r="C169" s="18">
        <v>4</v>
      </c>
      <c r="D169" s="16" t="s">
        <v>22</v>
      </c>
      <c r="E169" s="62" t="s">
        <v>36</v>
      </c>
      <c r="F169" s="9">
        <v>10</v>
      </c>
      <c r="G169" s="9">
        <v>10</v>
      </c>
      <c r="H169" s="9">
        <v>21</v>
      </c>
      <c r="I169" s="9">
        <v>28</v>
      </c>
      <c r="J169" s="9">
        <v>40</v>
      </c>
      <c r="K169" s="9">
        <v>51</v>
      </c>
      <c r="L169" s="9">
        <v>61</v>
      </c>
      <c r="M169" s="9">
        <v>76</v>
      </c>
      <c r="N169" s="9">
        <v>75</v>
      </c>
      <c r="O169" s="9">
        <v>88</v>
      </c>
      <c r="P169" s="9">
        <v>103</v>
      </c>
      <c r="Q169" s="9">
        <v>116</v>
      </c>
      <c r="R169" s="9">
        <v>120</v>
      </c>
      <c r="S169" s="9">
        <v>125</v>
      </c>
      <c r="T169" s="9">
        <v>123</v>
      </c>
      <c r="U169" s="9">
        <v>120</v>
      </c>
      <c r="V169" s="9">
        <v>121</v>
      </c>
    </row>
    <row r="170" spans="1:40" ht="19.899999999999999" customHeight="1" x14ac:dyDescent="0.2">
      <c r="A170" s="43"/>
      <c r="B170" s="13"/>
      <c r="C170" s="38"/>
      <c r="D170" s="20" t="s">
        <v>20</v>
      </c>
      <c r="E170" s="63" t="s">
        <v>36</v>
      </c>
      <c r="F170" s="10">
        <v>10</v>
      </c>
      <c r="G170" s="10">
        <v>16</v>
      </c>
      <c r="H170" s="10">
        <v>20</v>
      </c>
      <c r="I170" s="10">
        <v>28.5</v>
      </c>
      <c r="J170" s="10">
        <v>32</v>
      </c>
      <c r="K170" s="10">
        <v>39</v>
      </c>
      <c r="L170" s="10">
        <v>47</v>
      </c>
      <c r="M170" s="10">
        <v>50</v>
      </c>
      <c r="N170" s="10">
        <v>54</v>
      </c>
      <c r="O170" s="10">
        <v>58</v>
      </c>
      <c r="P170" s="10">
        <v>62</v>
      </c>
      <c r="Q170" s="10">
        <v>70</v>
      </c>
      <c r="R170" s="10">
        <v>75</v>
      </c>
      <c r="S170" s="10">
        <v>72</v>
      </c>
      <c r="T170" s="10">
        <v>74</v>
      </c>
      <c r="U170" s="10">
        <v>68</v>
      </c>
      <c r="V170" s="10">
        <v>75</v>
      </c>
      <c r="X170">
        <f>AVERAGE(F169:F171)</f>
        <v>10</v>
      </c>
      <c r="Y170">
        <f t="shared" ref="Y170" si="817">AVERAGE(G169:G171)</f>
        <v>13</v>
      </c>
      <c r="Z170">
        <f t="shared" ref="Z170" si="818">AVERAGE(H169:H171)</f>
        <v>20.666666666666668</v>
      </c>
      <c r="AA170">
        <f t="shared" ref="AA170" si="819">AVERAGE(I169:I171)</f>
        <v>28.833333333333332</v>
      </c>
      <c r="AB170">
        <f t="shared" ref="AB170" si="820">AVERAGE(J169:J171)</f>
        <v>37.333333333333336</v>
      </c>
      <c r="AC170">
        <f t="shared" ref="AC170" si="821">AVERAGE(K169:K171)</f>
        <v>45.666666666666664</v>
      </c>
      <c r="AD170">
        <f t="shared" ref="AD170" si="822">AVERAGE(L169:L171)</f>
        <v>55.666666666666664</v>
      </c>
      <c r="AE170">
        <f t="shared" ref="AE170" si="823">AVERAGE(M169:M171)</f>
        <v>64</v>
      </c>
      <c r="AF170">
        <f t="shared" ref="AF170" si="824">AVERAGE(N169:N171)</f>
        <v>70.333333333333329</v>
      </c>
      <c r="AG170">
        <f t="shared" ref="AG170" si="825">AVERAGE(O169:O171)</f>
        <v>79</v>
      </c>
      <c r="AH170">
        <f t="shared" ref="AH170" si="826">AVERAGE(P169:P171)</f>
        <v>84</v>
      </c>
      <c r="AI170">
        <f t="shared" ref="AI170" si="827">AVERAGE(Q169:Q171)</f>
        <v>94.333333333333329</v>
      </c>
      <c r="AJ170">
        <f t="shared" ref="AJ170" si="828">AVERAGE(R169:R171)</f>
        <v>100</v>
      </c>
      <c r="AK170">
        <f t="shared" ref="AK170" si="829">AVERAGE(S169:S171)</f>
        <v>98.333333333333329</v>
      </c>
      <c r="AL170">
        <f t="shared" ref="AL170" si="830">AVERAGE(T169:T171)</f>
        <v>99.666666666666671</v>
      </c>
      <c r="AM170">
        <f t="shared" ref="AM170" si="831">AVERAGE(U169:U171)</f>
        <v>96.666666666666671</v>
      </c>
      <c r="AN170">
        <f t="shared" ref="AN170" si="832">AVERAGE(V169:V171)</f>
        <v>98</v>
      </c>
    </row>
    <row r="171" spans="1:40" ht="19.899999999999999" customHeight="1" thickBot="1" x14ac:dyDescent="0.25">
      <c r="A171" s="43"/>
      <c r="B171" s="17"/>
      <c r="C171" s="19"/>
      <c r="D171" s="21" t="s">
        <v>21</v>
      </c>
      <c r="E171" s="64" t="s">
        <v>36</v>
      </c>
      <c r="F171" s="11">
        <v>10</v>
      </c>
      <c r="G171" s="11">
        <v>13</v>
      </c>
      <c r="H171" s="11">
        <v>21</v>
      </c>
      <c r="I171" s="11">
        <v>30</v>
      </c>
      <c r="J171" s="11">
        <v>40</v>
      </c>
      <c r="K171" s="11">
        <v>47</v>
      </c>
      <c r="L171" s="11">
        <v>59</v>
      </c>
      <c r="M171" s="11">
        <v>66</v>
      </c>
      <c r="N171" s="11">
        <v>82</v>
      </c>
      <c r="O171" s="11">
        <v>91</v>
      </c>
      <c r="P171" s="11">
        <v>87</v>
      </c>
      <c r="Q171" s="11">
        <v>97</v>
      </c>
      <c r="R171" s="11">
        <v>105</v>
      </c>
      <c r="S171" s="11">
        <v>98</v>
      </c>
      <c r="T171" s="11">
        <v>102</v>
      </c>
      <c r="U171" s="11">
        <v>102</v>
      </c>
      <c r="V171" s="11">
        <v>98</v>
      </c>
    </row>
    <row r="172" spans="1:40" ht="19.899999999999999" customHeight="1" x14ac:dyDescent="0.2">
      <c r="A172" s="43"/>
      <c r="B172" s="12" t="s">
        <v>13</v>
      </c>
      <c r="C172" s="18">
        <v>3</v>
      </c>
      <c r="D172" s="16" t="s">
        <v>22</v>
      </c>
      <c r="E172" s="62" t="s">
        <v>39</v>
      </c>
      <c r="F172" s="9">
        <v>10</v>
      </c>
      <c r="G172" s="9">
        <v>13</v>
      </c>
      <c r="H172" s="9">
        <v>20</v>
      </c>
      <c r="I172" s="9">
        <v>24.5</v>
      </c>
      <c r="J172" s="9">
        <v>32</v>
      </c>
      <c r="K172" s="9">
        <v>34</v>
      </c>
      <c r="L172" s="9">
        <v>44</v>
      </c>
      <c r="M172" s="9">
        <v>44</v>
      </c>
      <c r="N172" s="9">
        <v>48</v>
      </c>
      <c r="O172" s="9">
        <v>60</v>
      </c>
      <c r="P172" s="9">
        <v>62</v>
      </c>
      <c r="Q172" s="9">
        <v>78</v>
      </c>
      <c r="R172" s="9">
        <v>88</v>
      </c>
      <c r="S172" s="9">
        <v>100</v>
      </c>
      <c r="T172" s="9">
        <v>123</v>
      </c>
      <c r="U172" s="9">
        <v>140</v>
      </c>
      <c r="V172" s="9">
        <v>154</v>
      </c>
    </row>
    <row r="173" spans="1:40" ht="19.899999999999999" customHeight="1" x14ac:dyDescent="0.2">
      <c r="A173" s="43"/>
      <c r="B173" s="13"/>
      <c r="C173" s="38"/>
      <c r="D173" s="20" t="s">
        <v>20</v>
      </c>
      <c r="E173" s="63" t="s">
        <v>39</v>
      </c>
      <c r="F173" s="10">
        <v>12</v>
      </c>
      <c r="G173" s="10">
        <v>12</v>
      </c>
      <c r="H173" s="10">
        <v>23</v>
      </c>
      <c r="I173" s="10">
        <v>29</v>
      </c>
      <c r="J173" s="10">
        <v>39</v>
      </c>
      <c r="K173" s="10">
        <v>41</v>
      </c>
      <c r="L173" s="10">
        <v>48</v>
      </c>
      <c r="M173" s="10">
        <v>54</v>
      </c>
      <c r="N173" s="10">
        <v>60</v>
      </c>
      <c r="O173" s="10">
        <v>68</v>
      </c>
      <c r="P173" s="10">
        <v>82</v>
      </c>
      <c r="Q173" s="10">
        <v>103</v>
      </c>
      <c r="R173" s="10">
        <v>118</v>
      </c>
      <c r="S173" s="10">
        <v>131</v>
      </c>
      <c r="T173" s="10">
        <v>148</v>
      </c>
      <c r="U173" s="10">
        <v>163</v>
      </c>
      <c r="V173" s="10">
        <v>172</v>
      </c>
      <c r="X173">
        <f>AVERAGE(F172:F174)</f>
        <v>10.333333333333334</v>
      </c>
      <c r="Y173">
        <f t="shared" ref="Y173" si="833">AVERAGE(G172:G174)</f>
        <v>12.333333333333334</v>
      </c>
      <c r="Z173">
        <f t="shared" ref="Z173" si="834">AVERAGE(H172:H174)</f>
        <v>21.333333333333332</v>
      </c>
      <c r="AA173">
        <f t="shared" ref="AA173" si="835">AVERAGE(I172:I174)</f>
        <v>26.833333333333332</v>
      </c>
      <c r="AB173">
        <f t="shared" ref="AB173" si="836">AVERAGE(J172:J174)</f>
        <v>35.333333333333336</v>
      </c>
      <c r="AC173">
        <f t="shared" ref="AC173" si="837">AVERAGE(K172:K174)</f>
        <v>38.333333333333336</v>
      </c>
      <c r="AD173">
        <f t="shared" ref="AD173" si="838">AVERAGE(L172:L174)</f>
        <v>48</v>
      </c>
      <c r="AE173">
        <f t="shared" ref="AE173" si="839">AVERAGE(M172:M174)</f>
        <v>51.333333333333336</v>
      </c>
      <c r="AF173">
        <f t="shared" ref="AF173" si="840">AVERAGE(N172:N174)</f>
        <v>56.333333333333336</v>
      </c>
      <c r="AG173">
        <f t="shared" ref="AG173" si="841">AVERAGE(O172:O174)</f>
        <v>69.666666666666671</v>
      </c>
      <c r="AH173">
        <f t="shared" ref="AH173" si="842">AVERAGE(P172:P174)</f>
        <v>78</v>
      </c>
      <c r="AI173">
        <f t="shared" ref="AI173" si="843">AVERAGE(Q172:Q174)</f>
        <v>96.666666666666671</v>
      </c>
      <c r="AJ173">
        <f t="shared" ref="AJ173" si="844">AVERAGE(R172:R174)</f>
        <v>109.33333333333333</v>
      </c>
      <c r="AK173">
        <f t="shared" ref="AK173" si="845">AVERAGE(S172:S174)</f>
        <v>120.66666666666667</v>
      </c>
      <c r="AL173">
        <f t="shared" ref="AL173" si="846">AVERAGE(T172:T174)</f>
        <v>137.33333333333334</v>
      </c>
      <c r="AM173">
        <f t="shared" ref="AM173" si="847">AVERAGE(U172:U174)</f>
        <v>151.33333333333334</v>
      </c>
      <c r="AN173">
        <f t="shared" ref="AN173" si="848">AVERAGE(V172:V174)</f>
        <v>161.33333333333334</v>
      </c>
    </row>
    <row r="174" spans="1:40" ht="19.899999999999999" customHeight="1" thickBot="1" x14ac:dyDescent="0.25">
      <c r="A174" s="43"/>
      <c r="B174" s="17"/>
      <c r="C174" s="19"/>
      <c r="D174" s="21" t="s">
        <v>21</v>
      </c>
      <c r="E174" s="64" t="s">
        <v>39</v>
      </c>
      <c r="F174" s="11">
        <v>9</v>
      </c>
      <c r="G174" s="11">
        <v>12</v>
      </c>
      <c r="H174" s="11">
        <v>21</v>
      </c>
      <c r="I174" s="11">
        <v>27</v>
      </c>
      <c r="J174" s="11">
        <v>35</v>
      </c>
      <c r="K174" s="11">
        <v>40</v>
      </c>
      <c r="L174" s="11">
        <v>52</v>
      </c>
      <c r="M174" s="11">
        <v>56</v>
      </c>
      <c r="N174" s="11">
        <v>61</v>
      </c>
      <c r="O174" s="11">
        <v>81</v>
      </c>
      <c r="P174" s="11">
        <v>90</v>
      </c>
      <c r="Q174" s="11">
        <v>109</v>
      </c>
      <c r="R174" s="11">
        <v>122</v>
      </c>
      <c r="S174" s="11">
        <v>131</v>
      </c>
      <c r="T174" s="11">
        <v>141</v>
      </c>
      <c r="U174" s="11">
        <v>151</v>
      </c>
      <c r="V174" s="11">
        <v>158</v>
      </c>
    </row>
    <row r="175" spans="1:40" ht="19.899999999999999" customHeight="1" x14ac:dyDescent="0.2">
      <c r="A175" s="43"/>
      <c r="B175" s="12" t="s">
        <v>13</v>
      </c>
      <c r="C175" s="18">
        <v>2</v>
      </c>
      <c r="D175" s="16" t="s">
        <v>22</v>
      </c>
      <c r="E175" s="62" t="s">
        <v>43</v>
      </c>
      <c r="F175" s="9">
        <v>8</v>
      </c>
      <c r="G175" s="9">
        <v>13</v>
      </c>
      <c r="H175" s="9">
        <v>23</v>
      </c>
      <c r="I175" s="9">
        <v>29</v>
      </c>
      <c r="J175" s="9">
        <v>43</v>
      </c>
      <c r="K175" s="9">
        <v>53</v>
      </c>
      <c r="L175" s="9">
        <v>61</v>
      </c>
      <c r="M175" s="9">
        <v>71</v>
      </c>
      <c r="N175" s="9">
        <v>84</v>
      </c>
      <c r="O175" s="9">
        <v>97</v>
      </c>
      <c r="P175" s="9">
        <v>109</v>
      </c>
      <c r="Q175" s="9">
        <v>127</v>
      </c>
      <c r="R175" s="9">
        <v>138</v>
      </c>
      <c r="S175" s="9">
        <v>148</v>
      </c>
      <c r="T175" s="9">
        <v>156</v>
      </c>
      <c r="U175" s="9">
        <v>161</v>
      </c>
      <c r="V175" s="9">
        <v>161</v>
      </c>
    </row>
    <row r="176" spans="1:40" ht="19.899999999999999" customHeight="1" x14ac:dyDescent="0.2">
      <c r="A176" s="43"/>
      <c r="B176" s="13"/>
      <c r="C176" s="38"/>
      <c r="D176" s="20" t="s">
        <v>20</v>
      </c>
      <c r="E176" s="63" t="s">
        <v>43</v>
      </c>
      <c r="F176" s="10">
        <v>11</v>
      </c>
      <c r="G176" s="10">
        <v>12</v>
      </c>
      <c r="H176" s="10">
        <v>27</v>
      </c>
      <c r="I176" s="10">
        <v>46</v>
      </c>
      <c r="J176" s="10">
        <v>51</v>
      </c>
      <c r="K176" s="10">
        <v>71</v>
      </c>
      <c r="L176" s="10">
        <v>92</v>
      </c>
      <c r="M176" s="10">
        <v>106</v>
      </c>
      <c r="N176" s="10">
        <v>118</v>
      </c>
      <c r="O176" s="10">
        <v>131</v>
      </c>
      <c r="P176" s="10">
        <v>146</v>
      </c>
      <c r="Q176" s="10">
        <v>164</v>
      </c>
      <c r="R176" s="10">
        <v>176</v>
      </c>
      <c r="S176" s="10">
        <v>189</v>
      </c>
      <c r="T176" s="10">
        <v>196</v>
      </c>
      <c r="U176" s="10">
        <v>196</v>
      </c>
      <c r="V176" s="10">
        <v>198</v>
      </c>
      <c r="X176">
        <f>AVERAGE(F175:F177)</f>
        <v>10</v>
      </c>
      <c r="Y176">
        <f t="shared" ref="Y176" si="849">AVERAGE(G175:G177)</f>
        <v>14</v>
      </c>
      <c r="Z176">
        <f t="shared" ref="Z176" si="850">AVERAGE(H175:H177)</f>
        <v>24.333333333333332</v>
      </c>
      <c r="AA176">
        <f t="shared" ref="AA176" si="851">AVERAGE(I175:I177)</f>
        <v>35</v>
      </c>
      <c r="AB176">
        <f t="shared" ref="AB176" si="852">AVERAGE(J175:J177)</f>
        <v>46</v>
      </c>
      <c r="AC176">
        <f t="shared" ref="AC176" si="853">AVERAGE(K175:K177)</f>
        <v>61.666666666666664</v>
      </c>
      <c r="AD176">
        <f t="shared" ref="AD176" si="854">AVERAGE(L175:L177)</f>
        <v>77.333333333333329</v>
      </c>
      <c r="AE176">
        <f t="shared" ref="AE176" si="855">AVERAGE(M175:M177)</f>
        <v>90.666666666666671</v>
      </c>
      <c r="AF176">
        <f t="shared" ref="AF176" si="856">AVERAGE(N175:N177)</f>
        <v>100.33333333333333</v>
      </c>
      <c r="AG176">
        <f t="shared" ref="AG176" si="857">AVERAGE(O175:O177)</f>
        <v>113</v>
      </c>
      <c r="AH176">
        <f t="shared" ref="AH176" si="858">AVERAGE(P175:P177)</f>
        <v>125.33333333333333</v>
      </c>
      <c r="AI176">
        <f t="shared" ref="AI176" si="859">AVERAGE(Q175:Q177)</f>
        <v>143</v>
      </c>
      <c r="AJ176">
        <f t="shared" ref="AJ176" si="860">AVERAGE(R175:R177)</f>
        <v>154</v>
      </c>
      <c r="AK176">
        <f t="shared" ref="AK176" si="861">AVERAGE(S175:S177)</f>
        <v>166.33333333333334</v>
      </c>
      <c r="AL176">
        <f t="shared" ref="AL176" si="862">AVERAGE(T175:T177)</f>
        <v>172</v>
      </c>
      <c r="AM176">
        <f t="shared" ref="AM176" si="863">AVERAGE(U175:U177)</f>
        <v>174.33333333333334</v>
      </c>
      <c r="AN176">
        <f t="shared" ref="AN176" si="864">AVERAGE(V175:V177)</f>
        <v>175.33333333333334</v>
      </c>
    </row>
    <row r="177" spans="1:40" ht="19.899999999999999" customHeight="1" thickBot="1" x14ac:dyDescent="0.25">
      <c r="A177" s="43"/>
      <c r="B177" s="17"/>
      <c r="C177" s="19"/>
      <c r="D177" s="21" t="s">
        <v>21</v>
      </c>
      <c r="E177" s="64" t="s">
        <v>43</v>
      </c>
      <c r="F177" s="11">
        <v>11</v>
      </c>
      <c r="G177" s="11">
        <v>17</v>
      </c>
      <c r="H177" s="11">
        <v>23</v>
      </c>
      <c r="I177" s="11">
        <v>30</v>
      </c>
      <c r="J177" s="11">
        <v>44</v>
      </c>
      <c r="K177" s="11">
        <v>61</v>
      </c>
      <c r="L177" s="11">
        <v>79</v>
      </c>
      <c r="M177" s="11">
        <v>95</v>
      </c>
      <c r="N177" s="11">
        <v>99</v>
      </c>
      <c r="O177" s="11">
        <v>111</v>
      </c>
      <c r="P177" s="11">
        <v>121</v>
      </c>
      <c r="Q177" s="11">
        <v>138</v>
      </c>
      <c r="R177" s="11">
        <v>148</v>
      </c>
      <c r="S177" s="11">
        <v>162</v>
      </c>
      <c r="T177" s="11">
        <v>164</v>
      </c>
      <c r="U177" s="11">
        <v>166</v>
      </c>
      <c r="V177" s="11">
        <v>167</v>
      </c>
    </row>
    <row r="178" spans="1:40" ht="19.899999999999999" customHeight="1" x14ac:dyDescent="0.2">
      <c r="A178" s="43"/>
      <c r="B178" s="12" t="s">
        <v>13</v>
      </c>
      <c r="C178" s="18">
        <v>1</v>
      </c>
      <c r="D178" s="16" t="s">
        <v>22</v>
      </c>
      <c r="E178" s="62" t="s">
        <v>35</v>
      </c>
      <c r="F178" s="9">
        <v>10</v>
      </c>
      <c r="G178" s="9">
        <v>12</v>
      </c>
      <c r="H178" s="9">
        <v>23</v>
      </c>
      <c r="I178" s="9">
        <v>30.5</v>
      </c>
      <c r="J178" s="9">
        <v>40</v>
      </c>
      <c r="K178" s="9">
        <v>47</v>
      </c>
      <c r="L178" s="9">
        <v>52</v>
      </c>
      <c r="M178" s="9">
        <v>60</v>
      </c>
      <c r="N178" s="9">
        <v>70</v>
      </c>
      <c r="O178" s="9">
        <v>78</v>
      </c>
      <c r="P178" s="9">
        <v>86</v>
      </c>
      <c r="Q178" s="9">
        <v>102</v>
      </c>
      <c r="R178" s="9">
        <v>109</v>
      </c>
      <c r="S178" s="9">
        <v>116</v>
      </c>
      <c r="T178" s="9">
        <v>115</v>
      </c>
      <c r="U178" s="9">
        <v>122</v>
      </c>
      <c r="V178" s="9">
        <v>117</v>
      </c>
    </row>
    <row r="179" spans="1:40" ht="19.899999999999999" customHeight="1" x14ac:dyDescent="0.2">
      <c r="A179" s="43"/>
      <c r="B179" s="13"/>
      <c r="C179" s="38"/>
      <c r="D179" s="20" t="s">
        <v>20</v>
      </c>
      <c r="E179" s="63" t="s">
        <v>35</v>
      </c>
      <c r="F179" s="10">
        <v>11</v>
      </c>
      <c r="G179" s="10">
        <v>11</v>
      </c>
      <c r="H179" s="10">
        <v>24</v>
      </c>
      <c r="I179" s="10">
        <v>30</v>
      </c>
      <c r="J179" s="10">
        <v>36</v>
      </c>
      <c r="K179" s="10">
        <v>41</v>
      </c>
      <c r="L179" s="10">
        <v>48</v>
      </c>
      <c r="M179" s="10">
        <v>51</v>
      </c>
      <c r="N179" s="10">
        <v>52</v>
      </c>
      <c r="O179" s="10">
        <v>65</v>
      </c>
      <c r="P179" s="10">
        <v>75</v>
      </c>
      <c r="Q179" s="10">
        <v>82</v>
      </c>
      <c r="R179" s="10">
        <v>90</v>
      </c>
      <c r="S179" s="10">
        <v>96</v>
      </c>
      <c r="T179" s="10">
        <v>94</v>
      </c>
      <c r="U179" s="10">
        <v>105</v>
      </c>
      <c r="V179" s="10">
        <v>103</v>
      </c>
      <c r="X179">
        <f>AVERAGE(F178:F180)</f>
        <v>10.333333333333334</v>
      </c>
      <c r="Y179">
        <f t="shared" ref="Y179" si="865">AVERAGE(G178:G180)</f>
        <v>11.666666666666666</v>
      </c>
      <c r="Z179">
        <f t="shared" ref="Z179" si="866">AVERAGE(H178:H180)</f>
        <v>23.333333333333332</v>
      </c>
      <c r="AA179">
        <f t="shared" ref="AA179" si="867">AVERAGE(I178:I180)</f>
        <v>28.833333333333332</v>
      </c>
      <c r="AB179">
        <f t="shared" ref="AB179" si="868">AVERAGE(J178:J180)</f>
        <v>37.333333333333336</v>
      </c>
      <c r="AC179">
        <f t="shared" ref="AC179" si="869">AVERAGE(K178:K180)</f>
        <v>41</v>
      </c>
      <c r="AD179">
        <f t="shared" ref="AD179" si="870">AVERAGE(L178:L180)</f>
        <v>47.666666666666664</v>
      </c>
      <c r="AE179">
        <f t="shared" ref="AE179" si="871">AVERAGE(M178:M180)</f>
        <v>51.333333333333336</v>
      </c>
      <c r="AF179">
        <f t="shared" ref="AF179" si="872">AVERAGE(N178:N180)</f>
        <v>55.333333333333336</v>
      </c>
      <c r="AG179">
        <f t="shared" ref="AG179" si="873">AVERAGE(O178:O180)</f>
        <v>65.666666666666671</v>
      </c>
      <c r="AH179">
        <f t="shared" ref="AH179" si="874">AVERAGE(P178:P180)</f>
        <v>73.333333333333329</v>
      </c>
      <c r="AI179">
        <f t="shared" ref="AI179" si="875">AVERAGE(Q178:Q180)</f>
        <v>85.666666666666671</v>
      </c>
      <c r="AJ179">
        <f t="shared" ref="AJ179" si="876">AVERAGE(R178:R180)</f>
        <v>92</v>
      </c>
      <c r="AK179">
        <f t="shared" ref="AK179" si="877">AVERAGE(S178:S180)</f>
        <v>98</v>
      </c>
      <c r="AL179">
        <f t="shared" ref="AL179" si="878">AVERAGE(T178:T180)</f>
        <v>95.666666666666671</v>
      </c>
      <c r="AM179">
        <f t="shared" ref="AM179" si="879">AVERAGE(U178:U180)</f>
        <v>101.66666666666667</v>
      </c>
      <c r="AN179">
        <f t="shared" ref="AN179" si="880">AVERAGE(V178:V180)</f>
        <v>101</v>
      </c>
    </row>
    <row r="180" spans="1:40" ht="19.899999999999999" customHeight="1" thickBot="1" x14ac:dyDescent="0.25">
      <c r="A180" s="43"/>
      <c r="B180" s="17"/>
      <c r="C180" s="19"/>
      <c r="D180" s="21" t="s">
        <v>21</v>
      </c>
      <c r="E180" s="64" t="s">
        <v>35</v>
      </c>
      <c r="F180" s="11">
        <v>10</v>
      </c>
      <c r="G180" s="11">
        <v>12</v>
      </c>
      <c r="H180" s="11">
        <v>23</v>
      </c>
      <c r="I180" s="11">
        <v>26</v>
      </c>
      <c r="J180" s="11">
        <v>36</v>
      </c>
      <c r="K180" s="11">
        <v>35</v>
      </c>
      <c r="L180" s="11">
        <v>43</v>
      </c>
      <c r="M180" s="11">
        <v>43</v>
      </c>
      <c r="N180" s="11">
        <v>44</v>
      </c>
      <c r="O180" s="11">
        <v>54</v>
      </c>
      <c r="P180" s="11">
        <v>59</v>
      </c>
      <c r="Q180" s="11">
        <v>73</v>
      </c>
      <c r="R180" s="11">
        <v>77</v>
      </c>
      <c r="S180" s="11">
        <v>82</v>
      </c>
      <c r="T180" s="11">
        <v>78</v>
      </c>
      <c r="U180" s="11">
        <v>78</v>
      </c>
      <c r="V180" s="11">
        <v>83</v>
      </c>
    </row>
    <row r="181" spans="1:40" ht="19.899999999999999" customHeight="1" x14ac:dyDescent="0.2">
      <c r="A181" s="43"/>
      <c r="B181" s="12" t="s">
        <v>14</v>
      </c>
      <c r="C181" s="18">
        <v>1</v>
      </c>
      <c r="D181" s="16" t="s">
        <v>21</v>
      </c>
      <c r="E181" s="62" t="s">
        <v>42</v>
      </c>
      <c r="F181" s="9">
        <v>12</v>
      </c>
      <c r="G181" s="9">
        <v>13</v>
      </c>
      <c r="H181" s="9">
        <v>24</v>
      </c>
      <c r="I181" s="9">
        <v>35</v>
      </c>
      <c r="J181" s="9">
        <v>43</v>
      </c>
      <c r="K181" s="9">
        <v>53</v>
      </c>
      <c r="L181" s="9">
        <v>62</v>
      </c>
      <c r="M181" s="9">
        <v>77</v>
      </c>
      <c r="N181" s="9">
        <v>86</v>
      </c>
      <c r="O181" s="9">
        <v>94</v>
      </c>
      <c r="P181" s="9">
        <v>104</v>
      </c>
      <c r="Q181" s="9">
        <v>115</v>
      </c>
      <c r="R181" s="9">
        <v>114</v>
      </c>
      <c r="S181" s="9">
        <v>115</v>
      </c>
      <c r="T181" s="9">
        <v>112</v>
      </c>
      <c r="U181" s="9">
        <v>103</v>
      </c>
      <c r="V181" s="9">
        <v>112</v>
      </c>
    </row>
    <row r="182" spans="1:40" ht="19.899999999999999" customHeight="1" x14ac:dyDescent="0.2">
      <c r="A182" s="43"/>
      <c r="B182" s="13"/>
      <c r="C182" s="38"/>
      <c r="D182" s="20" t="s">
        <v>20</v>
      </c>
      <c r="E182" s="63" t="s">
        <v>42</v>
      </c>
      <c r="F182" s="10">
        <v>9</v>
      </c>
      <c r="G182" s="10">
        <v>19</v>
      </c>
      <c r="H182" s="10">
        <v>24</v>
      </c>
      <c r="I182" s="10">
        <v>35</v>
      </c>
      <c r="J182" s="10">
        <v>44</v>
      </c>
      <c r="K182" s="10">
        <v>54</v>
      </c>
      <c r="L182" s="10">
        <v>54</v>
      </c>
      <c r="M182" s="10">
        <v>69</v>
      </c>
      <c r="N182" s="10">
        <v>82</v>
      </c>
      <c r="O182" s="10">
        <v>92</v>
      </c>
      <c r="P182" s="10">
        <v>96</v>
      </c>
      <c r="Q182" s="10">
        <v>96</v>
      </c>
      <c r="R182" s="10">
        <v>100</v>
      </c>
      <c r="S182" s="10">
        <v>102</v>
      </c>
      <c r="T182" s="10">
        <v>101</v>
      </c>
      <c r="U182" s="10">
        <v>101</v>
      </c>
      <c r="V182" s="10">
        <v>106</v>
      </c>
      <c r="X182">
        <f>AVERAGE(F181:F183)</f>
        <v>10.666666666666666</v>
      </c>
      <c r="Y182">
        <f t="shared" ref="Y182" si="881">AVERAGE(G181:G183)</f>
        <v>15.333333333333334</v>
      </c>
      <c r="Z182">
        <f t="shared" ref="Z182" si="882">AVERAGE(H181:H183)</f>
        <v>24</v>
      </c>
      <c r="AA182">
        <f t="shared" ref="AA182" si="883">AVERAGE(I181:I183)</f>
        <v>33.166666666666664</v>
      </c>
      <c r="AB182">
        <f t="shared" ref="AB182" si="884">AVERAGE(J181:J183)</f>
        <v>42</v>
      </c>
      <c r="AC182">
        <f t="shared" ref="AC182" si="885">AVERAGE(K181:K183)</f>
        <v>50.333333333333336</v>
      </c>
      <c r="AD182">
        <f t="shared" ref="AD182" si="886">AVERAGE(L181:L183)</f>
        <v>56.333333333333336</v>
      </c>
      <c r="AE182">
        <f t="shared" ref="AE182" si="887">AVERAGE(M181:M183)</f>
        <v>67</v>
      </c>
      <c r="AF182">
        <f t="shared" ref="AF182" si="888">AVERAGE(N181:N183)</f>
        <v>78</v>
      </c>
      <c r="AG182">
        <f t="shared" ref="AG182" si="889">AVERAGE(O181:O183)</f>
        <v>94</v>
      </c>
      <c r="AH182">
        <f t="shared" ref="AH182" si="890">AVERAGE(P181:P183)</f>
        <v>94.666666666666671</v>
      </c>
      <c r="AI182">
        <f t="shared" ref="AI182" si="891">AVERAGE(Q181:Q183)</f>
        <v>97.666666666666671</v>
      </c>
      <c r="AJ182">
        <f t="shared" ref="AJ182" si="892">AVERAGE(R181:R183)</f>
        <v>100</v>
      </c>
      <c r="AK182">
        <f t="shared" ref="AK182" si="893">AVERAGE(S181:S183)</f>
        <v>100.33333333333333</v>
      </c>
      <c r="AL182">
        <f t="shared" ref="AL182" si="894">AVERAGE(T181:T183)</f>
        <v>99.333333333333329</v>
      </c>
      <c r="AM182">
        <f t="shared" ref="AM182" si="895">AVERAGE(U181:U183)</f>
        <v>96.666666666666671</v>
      </c>
      <c r="AN182">
        <f t="shared" ref="AN182" si="896">AVERAGE(V181:V183)</f>
        <v>101</v>
      </c>
    </row>
    <row r="183" spans="1:40" ht="19.899999999999999" customHeight="1" thickBot="1" x14ac:dyDescent="0.25">
      <c r="A183" s="43"/>
      <c r="B183" s="17"/>
      <c r="C183" s="19"/>
      <c r="D183" s="21" t="s">
        <v>22</v>
      </c>
      <c r="E183" s="64" t="s">
        <v>42</v>
      </c>
      <c r="F183" s="11">
        <v>11</v>
      </c>
      <c r="G183" s="11">
        <v>14</v>
      </c>
      <c r="H183" s="11">
        <v>24</v>
      </c>
      <c r="I183" s="11">
        <v>29.5</v>
      </c>
      <c r="J183" s="11">
        <v>39</v>
      </c>
      <c r="K183" s="11">
        <v>44</v>
      </c>
      <c r="L183" s="11">
        <v>53</v>
      </c>
      <c r="M183" s="11">
        <v>55</v>
      </c>
      <c r="N183" s="11">
        <v>66</v>
      </c>
      <c r="O183" s="11">
        <v>96</v>
      </c>
      <c r="P183" s="11">
        <v>84</v>
      </c>
      <c r="Q183" s="11">
        <v>82</v>
      </c>
      <c r="R183" s="11">
        <v>86</v>
      </c>
      <c r="S183" s="11">
        <v>84</v>
      </c>
      <c r="T183" s="11">
        <v>85</v>
      </c>
      <c r="U183" s="11">
        <v>86</v>
      </c>
      <c r="V183" s="11">
        <v>85</v>
      </c>
    </row>
    <row r="184" spans="1:40" ht="19.899999999999999" customHeight="1" x14ac:dyDescent="0.2">
      <c r="A184" s="43"/>
      <c r="B184" s="12" t="s">
        <v>14</v>
      </c>
      <c r="C184" s="18">
        <v>2</v>
      </c>
      <c r="D184" s="16" t="s">
        <v>21</v>
      </c>
      <c r="E184" s="62" t="s">
        <v>37</v>
      </c>
      <c r="F184" s="9">
        <v>13</v>
      </c>
      <c r="G184" s="9">
        <v>17</v>
      </c>
      <c r="H184" s="9">
        <v>26</v>
      </c>
      <c r="I184" s="9">
        <v>32</v>
      </c>
      <c r="J184" s="9">
        <v>42</v>
      </c>
      <c r="K184" s="9">
        <v>44</v>
      </c>
      <c r="L184" s="9">
        <v>55</v>
      </c>
      <c r="M184" s="9">
        <v>57</v>
      </c>
      <c r="N184" s="9">
        <v>68</v>
      </c>
      <c r="O184" s="9">
        <v>73</v>
      </c>
      <c r="P184" s="9">
        <v>83</v>
      </c>
      <c r="Q184" s="9">
        <v>89</v>
      </c>
      <c r="R184" s="9">
        <v>92</v>
      </c>
      <c r="S184" s="9">
        <v>94</v>
      </c>
      <c r="T184" s="9">
        <v>90</v>
      </c>
      <c r="U184" s="9">
        <v>92</v>
      </c>
      <c r="V184" s="9">
        <v>89</v>
      </c>
    </row>
    <row r="185" spans="1:40" ht="19.899999999999999" customHeight="1" x14ac:dyDescent="0.2">
      <c r="A185" s="43"/>
      <c r="B185" s="13"/>
      <c r="C185" s="38"/>
      <c r="D185" s="20" t="s">
        <v>20</v>
      </c>
      <c r="E185" s="63" t="s">
        <v>37</v>
      </c>
      <c r="F185" s="10">
        <v>12</v>
      </c>
      <c r="G185" s="10">
        <v>16</v>
      </c>
      <c r="H185" s="10">
        <v>27</v>
      </c>
      <c r="I185" s="10">
        <v>25</v>
      </c>
      <c r="J185" s="10">
        <v>37</v>
      </c>
      <c r="K185" s="10">
        <v>43</v>
      </c>
      <c r="L185" s="10">
        <v>48</v>
      </c>
      <c r="M185" s="10">
        <v>52</v>
      </c>
      <c r="N185" s="10">
        <v>57</v>
      </c>
      <c r="O185" s="10">
        <v>56</v>
      </c>
      <c r="P185" s="10">
        <v>73</v>
      </c>
      <c r="Q185" s="10">
        <v>78</v>
      </c>
      <c r="R185" s="10">
        <v>87</v>
      </c>
      <c r="S185" s="10">
        <v>87</v>
      </c>
      <c r="T185" s="10">
        <v>86</v>
      </c>
      <c r="U185" s="10">
        <v>87</v>
      </c>
      <c r="V185" s="10">
        <v>90</v>
      </c>
      <c r="X185">
        <f>AVERAGE(F184:F186)</f>
        <v>12.666666666666666</v>
      </c>
      <c r="Y185">
        <f t="shared" ref="Y185" si="897">AVERAGE(G184:G186)</f>
        <v>16.666666666666668</v>
      </c>
      <c r="Z185">
        <f t="shared" ref="Z185" si="898">AVERAGE(H184:H186)</f>
        <v>25.666666666666668</v>
      </c>
      <c r="AA185">
        <f t="shared" ref="AA185" si="899">AVERAGE(I184:I186)</f>
        <v>29.666666666666668</v>
      </c>
      <c r="AB185">
        <f t="shared" ref="AB185" si="900">AVERAGE(J184:J186)</f>
        <v>38</v>
      </c>
      <c r="AC185">
        <f t="shared" ref="AC185" si="901">AVERAGE(K184:K186)</f>
        <v>42</v>
      </c>
      <c r="AD185">
        <f t="shared" ref="AD185" si="902">AVERAGE(L184:L186)</f>
        <v>50</v>
      </c>
      <c r="AE185">
        <f t="shared" ref="AE185" si="903">AVERAGE(M184:M186)</f>
        <v>53.333333333333336</v>
      </c>
      <c r="AF185">
        <f t="shared" ref="AF185" si="904">AVERAGE(N184:N186)</f>
        <v>59.666666666666664</v>
      </c>
      <c r="AG185">
        <f t="shared" ref="AG185" si="905">AVERAGE(O184:O186)</f>
        <v>65.333333333333329</v>
      </c>
      <c r="AH185">
        <f t="shared" ref="AH185" si="906">AVERAGE(P184:P186)</f>
        <v>76.333333333333329</v>
      </c>
      <c r="AI185">
        <f t="shared" ref="AI185" si="907">AVERAGE(Q184:Q186)</f>
        <v>80</v>
      </c>
      <c r="AJ185">
        <f t="shared" ref="AJ185" si="908">AVERAGE(R184:R186)</f>
        <v>86.666666666666671</v>
      </c>
      <c r="AK185">
        <f t="shared" ref="AK185" si="909">AVERAGE(S184:S186)</f>
        <v>87</v>
      </c>
      <c r="AL185">
        <f t="shared" ref="AL185" si="910">AVERAGE(T184:T186)</f>
        <v>84.666666666666671</v>
      </c>
      <c r="AM185">
        <f t="shared" ref="AM185" si="911">AVERAGE(U184:U186)</f>
        <v>85.666666666666671</v>
      </c>
      <c r="AN185">
        <f t="shared" ref="AN185" si="912">AVERAGE(V184:V186)</f>
        <v>85.666666666666671</v>
      </c>
    </row>
    <row r="186" spans="1:40" ht="19.899999999999999" customHeight="1" thickBot="1" x14ac:dyDescent="0.25">
      <c r="A186" s="43"/>
      <c r="B186" s="17"/>
      <c r="C186" s="19"/>
      <c r="D186" s="21" t="s">
        <v>22</v>
      </c>
      <c r="E186" s="64" t="s">
        <v>37</v>
      </c>
      <c r="F186" s="11">
        <v>13</v>
      </c>
      <c r="G186" s="11">
        <v>17</v>
      </c>
      <c r="H186" s="11">
        <v>24</v>
      </c>
      <c r="I186" s="11">
        <v>32</v>
      </c>
      <c r="J186" s="11">
        <v>35</v>
      </c>
      <c r="K186" s="11">
        <v>39</v>
      </c>
      <c r="L186" s="11">
        <v>47</v>
      </c>
      <c r="M186" s="11">
        <v>51</v>
      </c>
      <c r="N186" s="11">
        <v>54</v>
      </c>
      <c r="O186" s="11">
        <v>67</v>
      </c>
      <c r="P186" s="11">
        <v>73</v>
      </c>
      <c r="Q186" s="11">
        <v>73</v>
      </c>
      <c r="R186" s="11">
        <v>81</v>
      </c>
      <c r="S186" s="11">
        <v>80</v>
      </c>
      <c r="T186" s="11">
        <v>78</v>
      </c>
      <c r="U186" s="11">
        <v>78</v>
      </c>
      <c r="V186" s="11">
        <v>78</v>
      </c>
    </row>
    <row r="187" spans="1:40" ht="19.899999999999999" customHeight="1" x14ac:dyDescent="0.2">
      <c r="A187" s="43"/>
      <c r="B187" s="12" t="s">
        <v>14</v>
      </c>
      <c r="C187" s="18">
        <v>3</v>
      </c>
      <c r="D187" s="16" t="s">
        <v>21</v>
      </c>
      <c r="E187" s="62" t="s">
        <v>38</v>
      </c>
      <c r="F187" s="9">
        <v>11</v>
      </c>
      <c r="G187" s="9">
        <v>17</v>
      </c>
      <c r="H187" s="9">
        <v>23</v>
      </c>
      <c r="I187" s="9">
        <v>32.5</v>
      </c>
      <c r="J187" s="9">
        <v>39</v>
      </c>
      <c r="K187" s="9">
        <v>43</v>
      </c>
      <c r="L187" s="9">
        <v>54</v>
      </c>
      <c r="M187" s="9">
        <v>61</v>
      </c>
      <c r="N187" s="9">
        <v>73</v>
      </c>
      <c r="O187" s="9">
        <v>81</v>
      </c>
      <c r="P187" s="9">
        <v>94</v>
      </c>
      <c r="Q187" s="9">
        <v>95</v>
      </c>
      <c r="R187" s="9">
        <v>101</v>
      </c>
      <c r="S187" s="9">
        <v>100</v>
      </c>
      <c r="T187" s="9">
        <v>100</v>
      </c>
      <c r="U187" s="9">
        <v>96</v>
      </c>
      <c r="V187" s="9">
        <v>96</v>
      </c>
    </row>
    <row r="188" spans="1:40" ht="19.899999999999999" customHeight="1" x14ac:dyDescent="0.2">
      <c r="A188" s="43"/>
      <c r="B188" s="13"/>
      <c r="C188" s="38"/>
      <c r="D188" s="20" t="s">
        <v>20</v>
      </c>
      <c r="E188" s="63" t="s">
        <v>38</v>
      </c>
      <c r="F188" s="10">
        <v>13</v>
      </c>
      <c r="G188" s="10">
        <v>18</v>
      </c>
      <c r="H188" s="10">
        <v>24</v>
      </c>
      <c r="I188" s="10">
        <v>35</v>
      </c>
      <c r="J188" s="10">
        <v>47</v>
      </c>
      <c r="K188" s="10">
        <v>59</v>
      </c>
      <c r="L188" s="10">
        <v>73</v>
      </c>
      <c r="M188" s="10">
        <v>90</v>
      </c>
      <c r="N188" s="10">
        <v>104</v>
      </c>
      <c r="O188" s="10">
        <v>118</v>
      </c>
      <c r="P188" s="10">
        <v>123</v>
      </c>
      <c r="Q188" s="10">
        <v>133</v>
      </c>
      <c r="R188" s="10">
        <v>139</v>
      </c>
      <c r="S188" s="10">
        <v>138</v>
      </c>
      <c r="T188" s="10">
        <v>133</v>
      </c>
      <c r="U188" s="10">
        <v>139</v>
      </c>
      <c r="V188" s="10">
        <v>142</v>
      </c>
      <c r="X188">
        <f>AVERAGE(F187:F189)</f>
        <v>11.666666666666666</v>
      </c>
      <c r="Y188">
        <f t="shared" ref="Y188" si="913">AVERAGE(G187:G189)</f>
        <v>16.666666666666668</v>
      </c>
      <c r="Z188">
        <f t="shared" ref="Z188" si="914">AVERAGE(H187:H189)</f>
        <v>23</v>
      </c>
      <c r="AA188">
        <f t="shared" ref="AA188" si="915">AVERAGE(I187:I189)</f>
        <v>32.166666666666664</v>
      </c>
      <c r="AB188">
        <f t="shared" ref="AB188" si="916">AVERAGE(J187:J189)</f>
        <v>42.333333333333336</v>
      </c>
      <c r="AC188">
        <f t="shared" ref="AC188" si="917">AVERAGE(K187:K189)</f>
        <v>51.333333333333336</v>
      </c>
      <c r="AD188">
        <f t="shared" ref="AD188" si="918">AVERAGE(L187:L189)</f>
        <v>65.333333333333329</v>
      </c>
      <c r="AE188">
        <f t="shared" ref="AE188" si="919">AVERAGE(M187:M189)</f>
        <v>78</v>
      </c>
      <c r="AF188">
        <f t="shared" ref="AF188" si="920">AVERAGE(N187:N189)</f>
        <v>91</v>
      </c>
      <c r="AG188">
        <f t="shared" ref="AG188" si="921">AVERAGE(O187:O189)</f>
        <v>105.33333333333333</v>
      </c>
      <c r="AH188">
        <f t="shared" ref="AH188" si="922">AVERAGE(P187:P189)</f>
        <v>115.33333333333333</v>
      </c>
      <c r="AI188">
        <f t="shared" ref="AI188" si="923">AVERAGE(Q187:Q189)</f>
        <v>122.66666666666667</v>
      </c>
      <c r="AJ188">
        <f t="shared" ref="AJ188" si="924">AVERAGE(R187:R189)</f>
        <v>129.33333333333334</v>
      </c>
      <c r="AK188">
        <f t="shared" ref="AK188" si="925">AVERAGE(S187:S189)</f>
        <v>128</v>
      </c>
      <c r="AL188">
        <f t="shared" ref="AL188" si="926">AVERAGE(T187:T189)</f>
        <v>125.66666666666667</v>
      </c>
      <c r="AM188">
        <f t="shared" ref="AM188" si="927">AVERAGE(U187:U189)</f>
        <v>127</v>
      </c>
      <c r="AN188">
        <f t="shared" ref="AN188" si="928">AVERAGE(V187:V189)</f>
        <v>127.33333333333333</v>
      </c>
    </row>
    <row r="189" spans="1:40" ht="19.899999999999999" customHeight="1" thickBot="1" x14ac:dyDescent="0.25">
      <c r="A189" s="43"/>
      <c r="B189" s="17"/>
      <c r="C189" s="19"/>
      <c r="D189" s="21" t="s">
        <v>22</v>
      </c>
      <c r="E189" s="64" t="s">
        <v>38</v>
      </c>
      <c r="F189" s="11">
        <v>11</v>
      </c>
      <c r="G189" s="11">
        <v>15</v>
      </c>
      <c r="H189" s="11">
        <v>22</v>
      </c>
      <c r="I189" s="11">
        <v>29</v>
      </c>
      <c r="J189" s="11">
        <v>41</v>
      </c>
      <c r="K189" s="11">
        <v>52</v>
      </c>
      <c r="L189" s="11">
        <v>69</v>
      </c>
      <c r="M189" s="11">
        <v>83</v>
      </c>
      <c r="N189" s="11">
        <v>96</v>
      </c>
      <c r="O189" s="11">
        <v>117</v>
      </c>
      <c r="P189" s="11">
        <v>129</v>
      </c>
      <c r="Q189" s="11">
        <v>140</v>
      </c>
      <c r="R189" s="11">
        <v>148</v>
      </c>
      <c r="S189" s="11">
        <v>146</v>
      </c>
      <c r="T189" s="11">
        <v>144</v>
      </c>
      <c r="U189" s="11">
        <v>146</v>
      </c>
      <c r="V189" s="11">
        <v>144</v>
      </c>
    </row>
    <row r="190" spans="1:40" ht="19.899999999999999" customHeight="1" x14ac:dyDescent="0.2">
      <c r="A190" s="43"/>
      <c r="B190" s="12" t="s">
        <v>14</v>
      </c>
      <c r="C190" s="18">
        <v>4</v>
      </c>
      <c r="D190" s="16" t="s">
        <v>21</v>
      </c>
      <c r="E190" s="62" t="s">
        <v>46</v>
      </c>
      <c r="F190" s="9">
        <v>11</v>
      </c>
      <c r="G190" s="9">
        <v>13</v>
      </c>
      <c r="H190" s="9">
        <v>23</v>
      </c>
      <c r="I190" s="9">
        <v>25</v>
      </c>
      <c r="J190" s="9">
        <v>39</v>
      </c>
      <c r="K190" s="9">
        <v>47</v>
      </c>
      <c r="L190" s="9">
        <v>53</v>
      </c>
      <c r="M190" s="9">
        <v>63</v>
      </c>
      <c r="N190" s="9">
        <v>70</v>
      </c>
      <c r="O190" s="9">
        <v>67</v>
      </c>
      <c r="P190" s="9">
        <v>86</v>
      </c>
      <c r="Q190" s="9">
        <v>95</v>
      </c>
      <c r="R190" s="9">
        <v>97</v>
      </c>
      <c r="S190" s="9">
        <v>193</v>
      </c>
      <c r="T190" s="9">
        <v>106</v>
      </c>
      <c r="U190" s="9">
        <v>107</v>
      </c>
      <c r="V190" s="9">
        <v>112</v>
      </c>
    </row>
    <row r="191" spans="1:40" ht="19.899999999999999" customHeight="1" x14ac:dyDescent="0.2">
      <c r="A191" s="43"/>
      <c r="B191" s="13"/>
      <c r="C191" s="38"/>
      <c r="D191" s="20" t="s">
        <v>20</v>
      </c>
      <c r="E191" s="63" t="s">
        <v>46</v>
      </c>
      <c r="F191" s="10">
        <v>11</v>
      </c>
      <c r="G191" s="10">
        <v>14</v>
      </c>
      <c r="H191" s="10">
        <v>22</v>
      </c>
      <c r="I191" s="10">
        <v>31</v>
      </c>
      <c r="J191" s="10">
        <v>42</v>
      </c>
      <c r="K191" s="10">
        <v>56</v>
      </c>
      <c r="L191" s="10">
        <v>72</v>
      </c>
      <c r="M191" s="10">
        <v>86</v>
      </c>
      <c r="N191" s="10">
        <v>93</v>
      </c>
      <c r="O191" s="10">
        <v>104</v>
      </c>
      <c r="P191" s="10">
        <v>114</v>
      </c>
      <c r="Q191" s="10">
        <v>128</v>
      </c>
      <c r="R191" s="10">
        <v>137</v>
      </c>
      <c r="S191" s="10">
        <v>136</v>
      </c>
      <c r="T191" s="10">
        <v>141</v>
      </c>
      <c r="U191" s="10">
        <v>140</v>
      </c>
      <c r="V191" s="10">
        <v>143</v>
      </c>
      <c r="X191">
        <f>AVERAGE(F190:F192)</f>
        <v>10.666666666666666</v>
      </c>
      <c r="Y191">
        <f t="shared" ref="Y191" si="929">AVERAGE(G190:G192)</f>
        <v>15.333333333333334</v>
      </c>
      <c r="Z191">
        <f t="shared" ref="Z191" si="930">AVERAGE(H190:H192)</f>
        <v>22.666666666666668</v>
      </c>
      <c r="AA191">
        <f t="shared" ref="AA191" si="931">AVERAGE(I190:I192)</f>
        <v>30.333333333333332</v>
      </c>
      <c r="AB191">
        <f t="shared" ref="AB191" si="932">AVERAGE(J190:J192)</f>
        <v>42.333333333333336</v>
      </c>
      <c r="AC191">
        <f t="shared" ref="AC191" si="933">AVERAGE(K190:K192)</f>
        <v>54.333333333333336</v>
      </c>
      <c r="AD191">
        <f t="shared" ref="AD191" si="934">AVERAGE(L190:L192)</f>
        <v>67.666666666666671</v>
      </c>
      <c r="AE191">
        <f t="shared" ref="AE191" si="935">AVERAGE(M190:M192)</f>
        <v>81.333333333333329</v>
      </c>
      <c r="AF191">
        <f t="shared" ref="AF191" si="936">AVERAGE(N190:N192)</f>
        <v>90</v>
      </c>
      <c r="AG191">
        <f t="shared" ref="AG191" si="937">AVERAGE(O190:O192)</f>
        <v>98.666666666666671</v>
      </c>
      <c r="AH191">
        <f t="shared" ref="AH191" si="938">AVERAGE(P190:P192)</f>
        <v>111.33333333333333</v>
      </c>
      <c r="AI191">
        <f t="shared" ref="AI191" si="939">AVERAGE(Q190:Q192)</f>
        <v>122.33333333333333</v>
      </c>
      <c r="AJ191">
        <f t="shared" ref="AJ191" si="940">AVERAGE(R190:R192)</f>
        <v>129.33333333333334</v>
      </c>
      <c r="AK191">
        <f t="shared" ref="AK191" si="941">AVERAGE(S190:S192)</f>
        <v>163.66666666666666</v>
      </c>
      <c r="AL191">
        <f t="shared" ref="AL191" si="942">AVERAGE(T190:T192)</f>
        <v>138</v>
      </c>
      <c r="AM191">
        <f t="shared" ref="AM191" si="943">AVERAGE(U190:U192)</f>
        <v>138.33333333333334</v>
      </c>
      <c r="AN191">
        <f t="shared" ref="AN191" si="944">AVERAGE(V190:V192)</f>
        <v>140.66666666666666</v>
      </c>
    </row>
    <row r="192" spans="1:40" ht="19.899999999999999" customHeight="1" thickBot="1" x14ac:dyDescent="0.25">
      <c r="A192" s="43"/>
      <c r="B192" s="17"/>
      <c r="C192" s="19"/>
      <c r="D192" s="21" t="s">
        <v>22</v>
      </c>
      <c r="E192" s="64" t="s">
        <v>46</v>
      </c>
      <c r="F192" s="11">
        <v>10</v>
      </c>
      <c r="G192" s="11">
        <v>19</v>
      </c>
      <c r="H192" s="11">
        <v>23</v>
      </c>
      <c r="I192" s="11">
        <v>35</v>
      </c>
      <c r="J192" s="11">
        <v>46</v>
      </c>
      <c r="K192" s="11">
        <v>60</v>
      </c>
      <c r="L192" s="11">
        <v>78</v>
      </c>
      <c r="M192" s="11">
        <v>95</v>
      </c>
      <c r="N192" s="11">
        <v>107</v>
      </c>
      <c r="O192" s="11">
        <v>125</v>
      </c>
      <c r="P192" s="11">
        <v>134</v>
      </c>
      <c r="Q192" s="11">
        <v>144</v>
      </c>
      <c r="R192" s="11">
        <v>154</v>
      </c>
      <c r="S192" s="11">
        <v>162</v>
      </c>
      <c r="T192" s="11">
        <v>167</v>
      </c>
      <c r="U192" s="11">
        <v>168</v>
      </c>
      <c r="V192" s="11">
        <v>167</v>
      </c>
    </row>
    <row r="193" spans="1:40" ht="19.899999999999999" customHeight="1" x14ac:dyDescent="0.2">
      <c r="A193" s="43"/>
      <c r="B193" s="12" t="s">
        <v>15</v>
      </c>
      <c r="C193" s="18">
        <v>4</v>
      </c>
      <c r="D193" s="16" t="s">
        <v>22</v>
      </c>
      <c r="E193" s="62" t="s">
        <v>34</v>
      </c>
      <c r="F193" s="9">
        <v>9</v>
      </c>
      <c r="G193" s="9">
        <v>14</v>
      </c>
      <c r="H193" s="9">
        <v>21</v>
      </c>
      <c r="I193" s="9">
        <v>29.5</v>
      </c>
      <c r="J193" s="9">
        <v>37</v>
      </c>
      <c r="K193" s="9">
        <v>48</v>
      </c>
      <c r="L193" s="9">
        <v>66</v>
      </c>
      <c r="M193" s="9">
        <v>79</v>
      </c>
      <c r="N193" s="9">
        <v>85</v>
      </c>
      <c r="O193" s="9">
        <v>111</v>
      </c>
      <c r="P193" s="9">
        <v>122</v>
      </c>
      <c r="Q193" s="9">
        <v>133</v>
      </c>
      <c r="R193" s="9">
        <v>146</v>
      </c>
      <c r="S193" s="9">
        <v>159</v>
      </c>
      <c r="T193" s="9">
        <v>168</v>
      </c>
      <c r="U193" s="9">
        <v>177</v>
      </c>
      <c r="V193" s="9">
        <v>166</v>
      </c>
    </row>
    <row r="194" spans="1:40" ht="19.899999999999999" customHeight="1" x14ac:dyDescent="0.2">
      <c r="A194" s="43"/>
      <c r="B194" s="13"/>
      <c r="C194" s="38"/>
      <c r="D194" s="20" t="s">
        <v>20</v>
      </c>
      <c r="E194" s="63" t="s">
        <v>34</v>
      </c>
      <c r="F194" s="10">
        <v>11</v>
      </c>
      <c r="G194" s="10">
        <v>15</v>
      </c>
      <c r="H194" s="10">
        <v>20</v>
      </c>
      <c r="I194" s="10">
        <v>24</v>
      </c>
      <c r="J194" s="10">
        <v>33</v>
      </c>
      <c r="K194" s="10">
        <v>42</v>
      </c>
      <c r="L194" s="10">
        <v>53</v>
      </c>
      <c r="M194" s="10">
        <v>62</v>
      </c>
      <c r="N194" s="10">
        <v>73</v>
      </c>
      <c r="O194" s="10">
        <v>87</v>
      </c>
      <c r="P194" s="10">
        <v>100</v>
      </c>
      <c r="Q194" s="10">
        <v>124</v>
      </c>
      <c r="R194" s="10">
        <v>134</v>
      </c>
      <c r="S194" s="10">
        <v>147</v>
      </c>
      <c r="T194" s="10">
        <v>153</v>
      </c>
      <c r="U194" s="10">
        <v>161</v>
      </c>
      <c r="V194" s="10">
        <v>161</v>
      </c>
      <c r="X194">
        <f>AVERAGE(F193:F195)</f>
        <v>10</v>
      </c>
      <c r="Y194">
        <f t="shared" ref="Y194" si="945">AVERAGE(G193:G195)</f>
        <v>14.333333333333334</v>
      </c>
      <c r="Z194">
        <f t="shared" ref="Z194" si="946">AVERAGE(H193:H195)</f>
        <v>21</v>
      </c>
      <c r="AA194">
        <f t="shared" ref="AA194" si="947">AVERAGE(I193:I195)</f>
        <v>27.166666666666668</v>
      </c>
      <c r="AB194">
        <f t="shared" ref="AB194" si="948">AVERAGE(J193:J195)</f>
        <v>35.666666666666664</v>
      </c>
      <c r="AC194">
        <f t="shared" ref="AC194" si="949">AVERAGE(K193:K195)</f>
        <v>44.666666666666664</v>
      </c>
      <c r="AD194">
        <f t="shared" ref="AD194" si="950">AVERAGE(L193:L195)</f>
        <v>58.333333333333336</v>
      </c>
      <c r="AE194">
        <f t="shared" ref="AE194" si="951">AVERAGE(M193:M195)</f>
        <v>67.666666666666671</v>
      </c>
      <c r="AF194">
        <f t="shared" ref="AF194" si="952">AVERAGE(N193:N195)</f>
        <v>76.666666666666671</v>
      </c>
      <c r="AG194">
        <f t="shared" ref="AG194" si="953">AVERAGE(O193:O195)</f>
        <v>96</v>
      </c>
      <c r="AH194">
        <f t="shared" ref="AH194" si="954">AVERAGE(P193:P195)</f>
        <v>107.33333333333333</v>
      </c>
      <c r="AI194">
        <f t="shared" ref="AI194" si="955">AVERAGE(Q193:Q195)</f>
        <v>124.33333333333333</v>
      </c>
      <c r="AJ194">
        <f t="shared" ref="AJ194" si="956">AVERAGE(R193:R195)</f>
        <v>138</v>
      </c>
      <c r="AK194">
        <f t="shared" ref="AK194" si="957">AVERAGE(S193:S195)</f>
        <v>150.66666666666666</v>
      </c>
      <c r="AL194">
        <f t="shared" ref="AL194" si="958">AVERAGE(T193:T195)</f>
        <v>158</v>
      </c>
      <c r="AM194">
        <f t="shared" ref="AM194" si="959">AVERAGE(U193:U195)</f>
        <v>166.66666666666666</v>
      </c>
      <c r="AN194">
        <f t="shared" ref="AN194" si="960">AVERAGE(V193:V195)</f>
        <v>164.66666666666666</v>
      </c>
    </row>
    <row r="195" spans="1:40" ht="19.899999999999999" customHeight="1" thickBot="1" x14ac:dyDescent="0.25">
      <c r="A195" s="43"/>
      <c r="B195" s="17"/>
      <c r="C195" s="19"/>
      <c r="D195" s="21" t="s">
        <v>21</v>
      </c>
      <c r="E195" s="64" t="s">
        <v>34</v>
      </c>
      <c r="F195" s="11">
        <v>10</v>
      </c>
      <c r="G195" s="11">
        <v>14</v>
      </c>
      <c r="H195" s="11">
        <v>22</v>
      </c>
      <c r="I195" s="11">
        <v>28</v>
      </c>
      <c r="J195" s="11">
        <v>37</v>
      </c>
      <c r="K195" s="11">
        <v>44</v>
      </c>
      <c r="L195" s="11">
        <v>56</v>
      </c>
      <c r="M195" s="11">
        <v>62</v>
      </c>
      <c r="N195" s="11">
        <v>72</v>
      </c>
      <c r="O195" s="11">
        <v>90</v>
      </c>
      <c r="P195" s="11">
        <v>100</v>
      </c>
      <c r="Q195" s="11">
        <v>116</v>
      </c>
      <c r="R195" s="11">
        <v>134</v>
      </c>
      <c r="S195" s="11">
        <v>146</v>
      </c>
      <c r="T195" s="11">
        <v>153</v>
      </c>
      <c r="U195" s="11">
        <v>162</v>
      </c>
      <c r="V195" s="11">
        <v>167</v>
      </c>
    </row>
    <row r="196" spans="1:40" ht="19.899999999999999" customHeight="1" x14ac:dyDescent="0.2">
      <c r="A196" s="43"/>
      <c r="B196" s="12" t="s">
        <v>15</v>
      </c>
      <c r="C196" s="18">
        <v>3</v>
      </c>
      <c r="D196" s="16" t="s">
        <v>22</v>
      </c>
      <c r="E196" s="62" t="s">
        <v>45</v>
      </c>
      <c r="F196" s="9">
        <v>12</v>
      </c>
      <c r="G196" s="9">
        <v>13</v>
      </c>
      <c r="H196" s="9">
        <v>21</v>
      </c>
      <c r="I196" s="9">
        <v>28</v>
      </c>
      <c r="J196" s="9">
        <v>35</v>
      </c>
      <c r="K196" s="9">
        <v>43</v>
      </c>
      <c r="L196" s="9">
        <v>54</v>
      </c>
      <c r="M196" s="9">
        <v>60</v>
      </c>
      <c r="N196" s="9">
        <v>71</v>
      </c>
      <c r="O196" s="9">
        <v>90</v>
      </c>
      <c r="P196" s="9">
        <v>99</v>
      </c>
      <c r="Q196" s="9">
        <v>124</v>
      </c>
      <c r="R196" s="9">
        <v>139</v>
      </c>
      <c r="S196" s="9">
        <v>149</v>
      </c>
      <c r="T196" s="9">
        <v>162</v>
      </c>
      <c r="U196" s="9">
        <v>171</v>
      </c>
      <c r="V196" s="9">
        <v>175</v>
      </c>
    </row>
    <row r="197" spans="1:40" ht="19.899999999999999" customHeight="1" x14ac:dyDescent="0.2">
      <c r="A197" s="43"/>
      <c r="B197" s="13"/>
      <c r="C197" s="38"/>
      <c r="D197" s="20" t="s">
        <v>20</v>
      </c>
      <c r="E197" s="63" t="s">
        <v>45</v>
      </c>
      <c r="F197" s="10">
        <v>12</v>
      </c>
      <c r="G197" s="10">
        <v>17</v>
      </c>
      <c r="H197" s="10">
        <v>24</v>
      </c>
      <c r="I197" s="10">
        <v>30</v>
      </c>
      <c r="J197" s="10">
        <v>40</v>
      </c>
      <c r="K197" s="10">
        <v>50</v>
      </c>
      <c r="L197" s="10">
        <v>63</v>
      </c>
      <c r="M197" s="10">
        <v>73</v>
      </c>
      <c r="N197" s="10">
        <v>84</v>
      </c>
      <c r="O197" s="10">
        <v>100</v>
      </c>
      <c r="P197" s="10">
        <v>111</v>
      </c>
      <c r="Q197" s="10">
        <v>134</v>
      </c>
      <c r="R197" s="10">
        <v>146</v>
      </c>
      <c r="S197" s="10">
        <v>152</v>
      </c>
      <c r="T197" s="10">
        <v>168</v>
      </c>
      <c r="U197" s="10">
        <v>177</v>
      </c>
      <c r="V197" s="10">
        <v>178</v>
      </c>
      <c r="X197">
        <f>AVERAGE(F196:F198)</f>
        <v>11.666666666666666</v>
      </c>
      <c r="Y197">
        <f t="shared" ref="Y197" si="961">AVERAGE(G196:G198)</f>
        <v>15.333333333333334</v>
      </c>
      <c r="Z197">
        <f t="shared" ref="Z197" si="962">AVERAGE(H196:H198)</f>
        <v>22.666666666666668</v>
      </c>
      <c r="AA197">
        <f t="shared" ref="AA197" si="963">AVERAGE(I196:I198)</f>
        <v>28</v>
      </c>
      <c r="AB197">
        <f t="shared" ref="AB197" si="964">AVERAGE(J196:J198)</f>
        <v>36.666666666666664</v>
      </c>
      <c r="AC197">
        <f t="shared" ref="AC197" si="965">AVERAGE(K196:K198)</f>
        <v>44.333333333333336</v>
      </c>
      <c r="AD197">
        <f t="shared" ref="AD197" si="966">AVERAGE(L196:L198)</f>
        <v>54.333333333333336</v>
      </c>
      <c r="AE197">
        <f t="shared" ref="AE197" si="967">AVERAGE(M196:M198)</f>
        <v>61.333333333333336</v>
      </c>
      <c r="AF197">
        <f t="shared" ref="AF197" si="968">AVERAGE(N196:N198)</f>
        <v>71.666666666666671</v>
      </c>
      <c r="AG197">
        <f t="shared" ref="AG197" si="969">AVERAGE(O196:O198)</f>
        <v>88.666666666666671</v>
      </c>
      <c r="AH197">
        <f t="shared" ref="AH197" si="970">AVERAGE(P196:P198)</f>
        <v>98.333333333333329</v>
      </c>
      <c r="AI197">
        <f t="shared" ref="AI197" si="971">AVERAGE(Q196:Q198)</f>
        <v>120</v>
      </c>
      <c r="AJ197">
        <f t="shared" ref="AJ197" si="972">AVERAGE(R196:R198)</f>
        <v>133</v>
      </c>
      <c r="AK197">
        <f t="shared" ref="AK197" si="973">AVERAGE(S196:S198)</f>
        <v>144.33333333333334</v>
      </c>
      <c r="AL197">
        <f t="shared" ref="AL197" si="974">AVERAGE(T196:T198)</f>
        <v>157</v>
      </c>
      <c r="AM197">
        <f t="shared" ref="AM197" si="975">AVERAGE(U196:U198)</f>
        <v>164.33333333333334</v>
      </c>
      <c r="AN197">
        <f t="shared" ref="AN197" si="976">AVERAGE(V196:V198)</f>
        <v>171.33333333333334</v>
      </c>
    </row>
    <row r="198" spans="1:40" ht="19.899999999999999" customHeight="1" thickBot="1" x14ac:dyDescent="0.25">
      <c r="A198" s="43"/>
      <c r="B198" s="17"/>
      <c r="C198" s="19"/>
      <c r="D198" s="21" t="s">
        <v>21</v>
      </c>
      <c r="E198" s="64" t="s">
        <v>45</v>
      </c>
      <c r="F198" s="11">
        <v>11</v>
      </c>
      <c r="G198" s="11">
        <v>16</v>
      </c>
      <c r="H198" s="11">
        <v>23</v>
      </c>
      <c r="I198" s="11">
        <v>26</v>
      </c>
      <c r="J198" s="11">
        <v>35</v>
      </c>
      <c r="K198" s="11">
        <v>40</v>
      </c>
      <c r="L198" s="11">
        <v>46</v>
      </c>
      <c r="M198" s="11">
        <v>51</v>
      </c>
      <c r="N198" s="11">
        <v>60</v>
      </c>
      <c r="O198" s="11">
        <v>76</v>
      </c>
      <c r="P198" s="11">
        <v>85</v>
      </c>
      <c r="Q198" s="11">
        <v>102</v>
      </c>
      <c r="R198" s="11">
        <v>114</v>
      </c>
      <c r="S198" s="11">
        <v>132</v>
      </c>
      <c r="T198" s="11">
        <v>141</v>
      </c>
      <c r="U198" s="11">
        <v>145</v>
      </c>
      <c r="V198" s="11">
        <v>161</v>
      </c>
    </row>
    <row r="199" spans="1:40" ht="19.899999999999999" customHeight="1" x14ac:dyDescent="0.2">
      <c r="A199" s="43"/>
      <c r="B199" s="12" t="s">
        <v>15</v>
      </c>
      <c r="C199" s="18">
        <v>2</v>
      </c>
      <c r="D199" s="16" t="s">
        <v>22</v>
      </c>
      <c r="E199" s="62" t="s">
        <v>40</v>
      </c>
      <c r="F199" s="9">
        <v>12</v>
      </c>
      <c r="G199" s="9">
        <v>15</v>
      </c>
      <c r="H199" s="9">
        <v>21</v>
      </c>
      <c r="I199" s="9">
        <v>26</v>
      </c>
      <c r="J199" s="9">
        <v>40</v>
      </c>
      <c r="K199" s="9">
        <v>51</v>
      </c>
      <c r="L199" s="9">
        <v>67</v>
      </c>
      <c r="M199" s="9">
        <v>78</v>
      </c>
      <c r="N199" s="9">
        <v>89</v>
      </c>
      <c r="O199" s="9">
        <v>106</v>
      </c>
      <c r="P199" s="9">
        <v>122</v>
      </c>
      <c r="Q199" s="9">
        <v>145</v>
      </c>
      <c r="R199" s="9">
        <v>161</v>
      </c>
      <c r="S199" s="9">
        <v>170</v>
      </c>
      <c r="T199" s="9">
        <v>181</v>
      </c>
      <c r="U199" s="9">
        <v>182</v>
      </c>
      <c r="V199" s="9">
        <v>185</v>
      </c>
    </row>
    <row r="200" spans="1:40" ht="19.899999999999999" customHeight="1" x14ac:dyDescent="0.2">
      <c r="A200" s="43"/>
      <c r="B200" s="13"/>
      <c r="C200" s="38"/>
      <c r="D200" s="20" t="s">
        <v>20</v>
      </c>
      <c r="E200" s="63" t="s">
        <v>40</v>
      </c>
      <c r="F200" s="10">
        <v>11</v>
      </c>
      <c r="G200" s="10">
        <v>17</v>
      </c>
      <c r="H200" s="10">
        <v>22</v>
      </c>
      <c r="I200" s="10">
        <v>32.5</v>
      </c>
      <c r="J200" s="10">
        <v>40</v>
      </c>
      <c r="K200" s="10">
        <v>53</v>
      </c>
      <c r="L200" s="10">
        <v>72</v>
      </c>
      <c r="M200" s="10">
        <v>88</v>
      </c>
      <c r="N200" s="10">
        <v>91</v>
      </c>
      <c r="O200" s="10">
        <v>101</v>
      </c>
      <c r="P200" s="10">
        <v>123</v>
      </c>
      <c r="Q200" s="10">
        <v>137</v>
      </c>
      <c r="R200" s="10">
        <v>150</v>
      </c>
      <c r="S200" s="10">
        <v>168</v>
      </c>
      <c r="T200" s="10">
        <v>183</v>
      </c>
      <c r="U200" s="10">
        <v>192</v>
      </c>
      <c r="V200" s="10">
        <v>188</v>
      </c>
      <c r="X200">
        <f>AVERAGE(F199:F201)</f>
        <v>11.666666666666666</v>
      </c>
      <c r="Y200">
        <f t="shared" ref="Y200" si="977">AVERAGE(G199:G201)</f>
        <v>16.333333333333332</v>
      </c>
      <c r="Z200">
        <f t="shared" ref="Z200" si="978">AVERAGE(H199:H201)</f>
        <v>21.666666666666668</v>
      </c>
      <c r="AA200">
        <f t="shared" ref="AA200" si="979">AVERAGE(I199:I201)</f>
        <v>30.166666666666668</v>
      </c>
      <c r="AB200">
        <f t="shared" ref="AB200" si="980">AVERAGE(J199:J201)</f>
        <v>40</v>
      </c>
      <c r="AC200">
        <f t="shared" ref="AC200" si="981">AVERAGE(K199:K201)</f>
        <v>51.333333333333336</v>
      </c>
      <c r="AD200">
        <f t="shared" ref="AD200" si="982">AVERAGE(L199:L201)</f>
        <v>68.333333333333329</v>
      </c>
      <c r="AE200">
        <f t="shared" ref="AE200" si="983">AVERAGE(M199:M201)</f>
        <v>81.333333333333329</v>
      </c>
      <c r="AF200">
        <f t="shared" ref="AF200" si="984">AVERAGE(N199:N201)</f>
        <v>89.666666666666671</v>
      </c>
      <c r="AG200">
        <f t="shared" ref="AG200" si="985">AVERAGE(O199:O201)</f>
        <v>108.33333333333333</v>
      </c>
      <c r="AH200">
        <f t="shared" ref="AH200" si="986">AVERAGE(P199:P201)</f>
        <v>121</v>
      </c>
      <c r="AI200">
        <f t="shared" ref="AI200" si="987">AVERAGE(Q199:Q201)</f>
        <v>139.66666666666666</v>
      </c>
      <c r="AJ200">
        <f t="shared" ref="AJ200" si="988">AVERAGE(R199:R201)</f>
        <v>154</v>
      </c>
      <c r="AK200">
        <f t="shared" ref="AK200" si="989">AVERAGE(S199:S201)</f>
        <v>170</v>
      </c>
      <c r="AL200">
        <f t="shared" ref="AL200" si="990">AVERAGE(T199:T201)</f>
        <v>183.33333333333334</v>
      </c>
      <c r="AM200">
        <f t="shared" ref="AM200" si="991">AVERAGE(U199:U201)</f>
        <v>190</v>
      </c>
      <c r="AN200">
        <f t="shared" ref="AN200" si="992">AVERAGE(V199:V201)</f>
        <v>186.66666666666666</v>
      </c>
    </row>
    <row r="201" spans="1:40" ht="19.899999999999999" customHeight="1" thickBot="1" x14ac:dyDescent="0.25">
      <c r="A201" s="43"/>
      <c r="B201" s="17"/>
      <c r="C201" s="19"/>
      <c r="D201" s="21" t="s">
        <v>21</v>
      </c>
      <c r="E201" s="64" t="s">
        <v>40</v>
      </c>
      <c r="F201" s="11">
        <v>12</v>
      </c>
      <c r="G201" s="11">
        <v>17</v>
      </c>
      <c r="H201" s="11">
        <v>22</v>
      </c>
      <c r="I201" s="11">
        <v>32</v>
      </c>
      <c r="J201" s="11">
        <v>40</v>
      </c>
      <c r="K201" s="11">
        <v>50</v>
      </c>
      <c r="L201" s="11">
        <v>66</v>
      </c>
      <c r="M201" s="11">
        <v>78</v>
      </c>
      <c r="N201" s="11">
        <v>89</v>
      </c>
      <c r="O201" s="11">
        <v>118</v>
      </c>
      <c r="P201" s="11">
        <v>118</v>
      </c>
      <c r="Q201" s="11">
        <v>137</v>
      </c>
      <c r="R201" s="11">
        <v>151</v>
      </c>
      <c r="S201" s="11">
        <v>172</v>
      </c>
      <c r="T201" s="11">
        <v>186</v>
      </c>
      <c r="U201" s="11">
        <v>196</v>
      </c>
      <c r="V201" s="11">
        <v>187</v>
      </c>
    </row>
    <row r="202" spans="1:40" ht="19.899999999999999" customHeight="1" x14ac:dyDescent="0.2">
      <c r="A202" s="43"/>
      <c r="B202" s="12" t="s">
        <v>15</v>
      </c>
      <c r="C202" s="18">
        <v>1</v>
      </c>
      <c r="D202" s="16" t="s">
        <v>22</v>
      </c>
      <c r="E202" s="62" t="s">
        <v>47</v>
      </c>
      <c r="F202" s="9">
        <v>13</v>
      </c>
      <c r="G202" s="9">
        <v>19</v>
      </c>
      <c r="H202" s="9">
        <v>27</v>
      </c>
      <c r="I202" s="9">
        <v>37.5</v>
      </c>
      <c r="J202" s="9">
        <v>52</v>
      </c>
      <c r="K202" s="9">
        <v>64</v>
      </c>
      <c r="L202" s="9">
        <v>87</v>
      </c>
      <c r="M202" s="9">
        <v>97</v>
      </c>
      <c r="N202" s="9">
        <v>111</v>
      </c>
      <c r="O202" s="9">
        <v>126</v>
      </c>
      <c r="P202" s="9">
        <v>132</v>
      </c>
      <c r="Q202" s="9">
        <v>150</v>
      </c>
      <c r="R202" s="9">
        <v>157</v>
      </c>
      <c r="S202" s="9">
        <v>167</v>
      </c>
      <c r="T202" s="9">
        <v>176</v>
      </c>
      <c r="U202" s="9">
        <v>174</v>
      </c>
      <c r="V202" s="9">
        <v>162</v>
      </c>
    </row>
    <row r="203" spans="1:40" ht="19.899999999999999" customHeight="1" x14ac:dyDescent="0.2">
      <c r="A203" s="43"/>
      <c r="B203" s="13"/>
      <c r="C203" s="38"/>
      <c r="D203" s="20" t="s">
        <v>20</v>
      </c>
      <c r="E203" s="63" t="s">
        <v>47</v>
      </c>
      <c r="F203" s="10">
        <v>13</v>
      </c>
      <c r="G203" s="10">
        <v>17</v>
      </c>
      <c r="H203" s="10">
        <v>22</v>
      </c>
      <c r="I203" s="10">
        <v>32</v>
      </c>
      <c r="J203" s="10">
        <v>40</v>
      </c>
      <c r="K203" s="10">
        <v>51</v>
      </c>
      <c r="L203" s="10">
        <v>65</v>
      </c>
      <c r="M203" s="10">
        <v>77</v>
      </c>
      <c r="N203" s="10">
        <v>88</v>
      </c>
      <c r="O203" s="10">
        <v>104</v>
      </c>
      <c r="P203" s="10">
        <v>101</v>
      </c>
      <c r="Q203" s="10">
        <v>112</v>
      </c>
      <c r="R203" s="10">
        <v>124</v>
      </c>
      <c r="S203" s="10">
        <v>123</v>
      </c>
      <c r="T203" s="10">
        <v>126</v>
      </c>
      <c r="U203" s="10">
        <v>124</v>
      </c>
      <c r="V203" s="10">
        <v>130</v>
      </c>
      <c r="X203">
        <f>AVERAGE(F202:F204)</f>
        <v>12.666666666666666</v>
      </c>
      <c r="Y203">
        <f t="shared" ref="Y203" si="993">AVERAGE(G202:G204)</f>
        <v>15.666666666666666</v>
      </c>
      <c r="Z203">
        <f t="shared" ref="Z203" si="994">AVERAGE(H202:H204)</f>
        <v>23</v>
      </c>
      <c r="AA203">
        <f t="shared" ref="AA203" si="995">AVERAGE(I202:I204)</f>
        <v>34.666666666666664</v>
      </c>
      <c r="AB203">
        <f t="shared" ref="AB203" si="996">AVERAGE(J202:J204)</f>
        <v>44</v>
      </c>
      <c r="AC203">
        <f t="shared" ref="AC203" si="997">AVERAGE(K202:K204)</f>
        <v>55.666666666666664</v>
      </c>
      <c r="AD203">
        <f t="shared" ref="AD203" si="998">AVERAGE(L202:L204)</f>
        <v>73.333333333333329</v>
      </c>
      <c r="AE203">
        <f t="shared" ref="AE203" si="999">AVERAGE(M202:M204)</f>
        <v>84.666666666666671</v>
      </c>
      <c r="AF203">
        <f t="shared" ref="AF203" si="1000">AVERAGE(N202:N204)</f>
        <v>96.333333333333329</v>
      </c>
      <c r="AG203">
        <f t="shared" ref="AG203" si="1001">AVERAGE(O202:O204)</f>
        <v>112.66666666666667</v>
      </c>
      <c r="AH203">
        <f t="shared" ref="AH203" si="1002">AVERAGE(P202:P204)</f>
        <v>115.33333333333333</v>
      </c>
      <c r="AI203">
        <f t="shared" ref="AI203" si="1003">AVERAGE(Q202:Q204)</f>
        <v>129.66666666666666</v>
      </c>
      <c r="AJ203">
        <f t="shared" ref="AJ203" si="1004">AVERAGE(R202:R204)</f>
        <v>138.33333333333334</v>
      </c>
      <c r="AK203">
        <f t="shared" ref="AK203" si="1005">AVERAGE(S202:S204)</f>
        <v>141</v>
      </c>
      <c r="AL203">
        <f t="shared" ref="AL203" si="1006">AVERAGE(T202:T204)</f>
        <v>145.66666666666666</v>
      </c>
      <c r="AM203">
        <f t="shared" ref="AM203" si="1007">AVERAGE(U202:U204)</f>
        <v>144.66666666666666</v>
      </c>
      <c r="AN203">
        <f t="shared" ref="AN203" si="1008">AVERAGE(V202:V204)</f>
        <v>141.66666666666666</v>
      </c>
    </row>
    <row r="204" spans="1:40" ht="19.899999999999999" customHeight="1" thickBot="1" x14ac:dyDescent="0.25">
      <c r="A204" s="43"/>
      <c r="B204" s="17"/>
      <c r="C204" s="19"/>
      <c r="D204" s="21" t="s">
        <v>21</v>
      </c>
      <c r="E204" s="64" t="s">
        <v>47</v>
      </c>
      <c r="F204" s="11">
        <v>12</v>
      </c>
      <c r="G204" s="11">
        <v>11</v>
      </c>
      <c r="H204" s="11">
        <v>20</v>
      </c>
      <c r="I204" s="11">
        <v>34.5</v>
      </c>
      <c r="J204" s="11">
        <v>40</v>
      </c>
      <c r="K204" s="11">
        <v>52</v>
      </c>
      <c r="L204" s="11">
        <v>68</v>
      </c>
      <c r="M204" s="11">
        <v>80</v>
      </c>
      <c r="N204" s="11">
        <v>90</v>
      </c>
      <c r="O204" s="11">
        <v>108</v>
      </c>
      <c r="P204" s="11">
        <v>113</v>
      </c>
      <c r="Q204" s="11">
        <v>127</v>
      </c>
      <c r="R204" s="11">
        <v>134</v>
      </c>
      <c r="S204" s="11">
        <v>133</v>
      </c>
      <c r="T204" s="11">
        <v>135</v>
      </c>
      <c r="U204" s="11">
        <v>136</v>
      </c>
      <c r="V204" s="11">
        <v>133</v>
      </c>
    </row>
    <row r="205" spans="1:40" x14ac:dyDescent="0.2">
      <c r="P205" s="72"/>
    </row>
    <row r="211" spans="21:21" x14ac:dyDescent="0.2">
      <c r="U211" s="50"/>
    </row>
    <row r="216" spans="21:21" x14ac:dyDescent="0.2">
      <c r="U216" s="50"/>
    </row>
    <row r="221" spans="21:21" x14ac:dyDescent="0.2">
      <c r="U221" s="50"/>
    </row>
    <row r="226" spans="21:21" x14ac:dyDescent="0.2">
      <c r="U226" s="50"/>
    </row>
  </sheetData>
  <mergeCells count="1">
    <mergeCell ref="B12:C12"/>
  </mergeCells>
  <printOptions verticalCentered="1"/>
  <pageMargins left="0.45" right="0.45" top="1" bottom="0.25" header="0" footer="0"/>
  <pageSetup scale="92" fitToHeight="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5"/>
  <sheetViews>
    <sheetView zoomScaleNormal="100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6.85546875" style="2" customWidth="1"/>
    <col min="6" max="6" width="10.7109375" customWidth="1"/>
    <col min="7" max="8" width="11.140625" customWidth="1"/>
    <col min="9" max="11" width="12.7109375" customWidth="1"/>
    <col min="12" max="22" width="11.140625" customWidth="1"/>
  </cols>
  <sheetData>
    <row r="1" spans="1:22" ht="15.75" x14ac:dyDescent="0.25">
      <c r="A1" s="6" t="s">
        <v>30</v>
      </c>
      <c r="B1" s="40">
        <v>2017</v>
      </c>
      <c r="C1" s="41"/>
      <c r="D1" s="8" t="s">
        <v>58</v>
      </c>
      <c r="E1" s="61"/>
      <c r="F1" s="8" t="s">
        <v>16</v>
      </c>
      <c r="H1" s="75" t="s">
        <v>86</v>
      </c>
    </row>
    <row r="2" spans="1:22" ht="14.45" customHeight="1" x14ac:dyDescent="0.25">
      <c r="A2" s="6"/>
      <c r="B2" s="7"/>
      <c r="C2" s="8"/>
      <c r="D2" s="8"/>
      <c r="E2" s="61"/>
      <c r="H2" s="75" t="s">
        <v>87</v>
      </c>
    </row>
    <row r="3" spans="1:22" ht="15" x14ac:dyDescent="0.25">
      <c r="B3" s="42" t="s">
        <v>31</v>
      </c>
      <c r="E3" s="60"/>
      <c r="H3" s="75"/>
    </row>
    <row r="4" spans="1:22" ht="7.9" customHeight="1" x14ac:dyDescent="0.2">
      <c r="B4" s="5"/>
      <c r="E4" s="60"/>
    </row>
    <row r="5" spans="1:22" x14ac:dyDescent="0.2">
      <c r="B5" s="2" t="s">
        <v>25</v>
      </c>
      <c r="E5" s="60"/>
    </row>
    <row r="6" spans="1:22" x14ac:dyDescent="0.2">
      <c r="B6" s="2" t="s">
        <v>63</v>
      </c>
      <c r="E6" s="60"/>
    </row>
    <row r="7" spans="1:22" x14ac:dyDescent="0.2">
      <c r="A7" s="54"/>
      <c r="B7" s="54"/>
      <c r="C7" s="54"/>
      <c r="D7" s="54"/>
      <c r="E7" s="65"/>
      <c r="F7" s="54"/>
      <c r="G7" s="54"/>
      <c r="H7" s="54"/>
      <c r="N7" s="54"/>
      <c r="O7" s="54"/>
      <c r="P7" s="54"/>
      <c r="Q7" s="54"/>
      <c r="R7" s="54"/>
    </row>
    <row r="8" spans="1:22" x14ac:dyDescent="0.2">
      <c r="B8" s="2"/>
      <c r="D8" s="66" t="s">
        <v>59</v>
      </c>
      <c r="E8" s="65"/>
      <c r="F8" s="54" t="s">
        <v>66</v>
      </c>
      <c r="G8" s="54" t="s">
        <v>68</v>
      </c>
      <c r="H8" s="54" t="s">
        <v>66</v>
      </c>
      <c r="I8" s="54" t="s">
        <v>70</v>
      </c>
      <c r="J8" s="54" t="s">
        <v>66</v>
      </c>
      <c r="K8" s="54" t="s">
        <v>66</v>
      </c>
      <c r="L8" s="54" t="s">
        <v>66</v>
      </c>
      <c r="M8" s="54" t="s">
        <v>66</v>
      </c>
      <c r="N8" s="54" t="s">
        <v>66</v>
      </c>
      <c r="O8" s="54" t="s">
        <v>66</v>
      </c>
      <c r="P8" s="54" t="s">
        <v>66</v>
      </c>
      <c r="Q8" s="54" t="s">
        <v>66</v>
      </c>
      <c r="R8" s="54" t="s">
        <v>66</v>
      </c>
      <c r="S8" s="54" t="s">
        <v>66</v>
      </c>
      <c r="T8" s="54" t="s">
        <v>66</v>
      </c>
      <c r="U8" s="54" t="s">
        <v>66</v>
      </c>
      <c r="V8" s="54" t="s">
        <v>66</v>
      </c>
    </row>
    <row r="9" spans="1:22" x14ac:dyDescent="0.2">
      <c r="B9" s="2"/>
      <c r="D9" s="66" t="s">
        <v>60</v>
      </c>
      <c r="E9" s="65"/>
      <c r="F9" s="32">
        <v>42879</v>
      </c>
      <c r="G9" s="32">
        <v>42886</v>
      </c>
      <c r="H9" s="32">
        <v>42891</v>
      </c>
      <c r="I9" s="32">
        <v>42898</v>
      </c>
      <c r="J9" s="32">
        <v>42905</v>
      </c>
      <c r="K9" s="32">
        <v>42912</v>
      </c>
      <c r="L9" s="32">
        <v>42919</v>
      </c>
      <c r="M9" s="32">
        <v>42926</v>
      </c>
      <c r="N9" s="32">
        <v>42933</v>
      </c>
      <c r="O9" s="32">
        <v>42941</v>
      </c>
      <c r="P9" s="32">
        <v>42947</v>
      </c>
      <c r="Q9" s="32">
        <v>42955</v>
      </c>
      <c r="R9" s="32">
        <v>42962</v>
      </c>
      <c r="S9" s="32">
        <v>42968</v>
      </c>
      <c r="T9" s="32">
        <v>42975</v>
      </c>
      <c r="U9" s="32">
        <v>42983</v>
      </c>
      <c r="V9" s="32">
        <v>42990</v>
      </c>
    </row>
    <row r="10" spans="1:22" ht="15.6" customHeight="1" x14ac:dyDescent="0.2">
      <c r="B10" s="5"/>
      <c r="D10" s="66" t="s">
        <v>62</v>
      </c>
      <c r="E10" s="65"/>
      <c r="F10" s="22">
        <v>144</v>
      </c>
      <c r="G10" s="22">
        <v>151</v>
      </c>
      <c r="H10" s="22">
        <v>156</v>
      </c>
      <c r="I10" s="22">
        <v>163</v>
      </c>
      <c r="J10" s="22">
        <v>170</v>
      </c>
      <c r="K10" s="22">
        <v>177</v>
      </c>
      <c r="L10" s="22">
        <v>184</v>
      </c>
      <c r="M10" s="22">
        <v>191</v>
      </c>
      <c r="N10" s="22">
        <v>198</v>
      </c>
      <c r="O10" s="22">
        <v>206</v>
      </c>
      <c r="P10" s="22">
        <v>212</v>
      </c>
      <c r="Q10" s="22">
        <v>220</v>
      </c>
      <c r="R10" s="22">
        <v>227</v>
      </c>
      <c r="S10" s="22">
        <v>233</v>
      </c>
      <c r="T10" s="22">
        <v>240</v>
      </c>
      <c r="U10" s="22">
        <v>248</v>
      </c>
      <c r="V10" s="22">
        <v>255</v>
      </c>
    </row>
    <row r="11" spans="1:22" ht="12" customHeight="1" x14ac:dyDescent="0.2">
      <c r="B11" s="5"/>
      <c r="D11" s="66" t="s">
        <v>61</v>
      </c>
      <c r="E11" s="65"/>
      <c r="F11" s="31" t="s">
        <v>67</v>
      </c>
      <c r="G11" s="37"/>
      <c r="H11" s="31" t="s">
        <v>69</v>
      </c>
      <c r="I11" s="31" t="s">
        <v>71</v>
      </c>
      <c r="J11" s="31" t="s">
        <v>72</v>
      </c>
      <c r="K11" s="31" t="s">
        <v>75</v>
      </c>
      <c r="L11" s="31" t="s">
        <v>76</v>
      </c>
      <c r="M11" s="31" t="s">
        <v>77</v>
      </c>
      <c r="N11" s="31" t="s">
        <v>78</v>
      </c>
      <c r="O11" s="31" t="s">
        <v>79</v>
      </c>
      <c r="P11" s="31" t="s">
        <v>80</v>
      </c>
      <c r="Q11" s="31" t="s">
        <v>81</v>
      </c>
      <c r="R11" s="31" t="s">
        <v>82</v>
      </c>
      <c r="S11" s="31" t="s">
        <v>80</v>
      </c>
      <c r="T11" s="31" t="s">
        <v>83</v>
      </c>
      <c r="U11" s="31" t="s">
        <v>80</v>
      </c>
      <c r="V11" s="31" t="s">
        <v>84</v>
      </c>
    </row>
    <row r="12" spans="1:22" ht="27.6" customHeight="1" thickBot="1" x14ac:dyDescent="0.25">
      <c r="B12" s="78" t="s">
        <v>17</v>
      </c>
      <c r="C12" s="78"/>
      <c r="D12" s="22" t="s">
        <v>23</v>
      </c>
      <c r="E12" s="61" t="s">
        <v>56</v>
      </c>
      <c r="F12" s="36" t="s">
        <v>28</v>
      </c>
      <c r="G12" s="36" t="s">
        <v>28</v>
      </c>
      <c r="H12" s="36" t="s">
        <v>28</v>
      </c>
      <c r="I12" s="36" t="s">
        <v>28</v>
      </c>
      <c r="J12" s="36" t="s">
        <v>28</v>
      </c>
      <c r="K12" s="36" t="s">
        <v>28</v>
      </c>
      <c r="L12" s="36" t="s">
        <v>28</v>
      </c>
      <c r="M12" s="36" t="s">
        <v>28</v>
      </c>
      <c r="N12" s="36" t="s">
        <v>28</v>
      </c>
      <c r="O12" s="36" t="s">
        <v>28</v>
      </c>
      <c r="P12" s="36" t="s">
        <v>28</v>
      </c>
      <c r="Q12" s="36" t="s">
        <v>28</v>
      </c>
      <c r="R12" s="36" t="s">
        <v>28</v>
      </c>
      <c r="S12" s="36" t="s">
        <v>28</v>
      </c>
      <c r="T12" s="36" t="s">
        <v>28</v>
      </c>
      <c r="U12" s="36" t="s">
        <v>28</v>
      </c>
      <c r="V12" s="36" t="s">
        <v>28</v>
      </c>
    </row>
    <row r="13" spans="1:22" ht="19.899999999999999" customHeight="1" x14ac:dyDescent="0.2">
      <c r="B13" s="12" t="s">
        <v>1</v>
      </c>
      <c r="C13" s="18">
        <v>1</v>
      </c>
      <c r="D13" s="16" t="s">
        <v>21</v>
      </c>
      <c r="E13" s="62" t="s">
        <v>45</v>
      </c>
      <c r="F13" s="33">
        <v>12</v>
      </c>
      <c r="G13" s="33">
        <v>12</v>
      </c>
      <c r="H13" s="33">
        <v>23</v>
      </c>
      <c r="I13" s="33">
        <v>23</v>
      </c>
      <c r="J13" s="33">
        <v>40</v>
      </c>
      <c r="K13" s="33">
        <v>42</v>
      </c>
      <c r="L13" s="33">
        <v>62</v>
      </c>
      <c r="M13" s="56">
        <v>76</v>
      </c>
      <c r="N13" s="56">
        <v>75</v>
      </c>
      <c r="O13" s="56">
        <v>97</v>
      </c>
      <c r="P13" s="56">
        <v>102</v>
      </c>
      <c r="Q13" s="56">
        <v>102</v>
      </c>
      <c r="R13" s="56">
        <v>102</v>
      </c>
      <c r="S13" s="56">
        <v>102</v>
      </c>
      <c r="T13" s="56">
        <v>102</v>
      </c>
      <c r="U13" s="56">
        <v>102</v>
      </c>
      <c r="V13" s="56">
        <v>102</v>
      </c>
    </row>
    <row r="14" spans="1:22" ht="19.899999999999999" customHeight="1" x14ac:dyDescent="0.2">
      <c r="C14" s="38"/>
      <c r="D14" s="20" t="s">
        <v>20</v>
      </c>
      <c r="E14" s="63" t="s">
        <v>45</v>
      </c>
      <c r="F14" s="34">
        <v>13</v>
      </c>
      <c r="G14" s="34">
        <v>17</v>
      </c>
      <c r="H14" s="34">
        <v>25</v>
      </c>
      <c r="I14" s="34">
        <v>30</v>
      </c>
      <c r="J14" s="34">
        <v>40</v>
      </c>
      <c r="K14" s="34">
        <v>44</v>
      </c>
      <c r="L14" s="34">
        <v>57</v>
      </c>
      <c r="M14" s="34">
        <v>65</v>
      </c>
      <c r="N14" s="34">
        <v>59</v>
      </c>
      <c r="O14" s="34">
        <v>80</v>
      </c>
      <c r="P14" s="34">
        <v>90</v>
      </c>
      <c r="Q14" s="34">
        <v>97</v>
      </c>
      <c r="R14" s="57">
        <v>102</v>
      </c>
      <c r="S14" s="57">
        <v>102</v>
      </c>
      <c r="T14" s="57">
        <v>102</v>
      </c>
      <c r="U14" s="57">
        <v>102</v>
      </c>
      <c r="V14" s="57">
        <v>102</v>
      </c>
    </row>
    <row r="15" spans="1:22" ht="19.899999999999999" customHeight="1" thickBot="1" x14ac:dyDescent="0.25">
      <c r="B15" s="17"/>
      <c r="C15" s="19"/>
      <c r="D15" s="21" t="s">
        <v>22</v>
      </c>
      <c r="E15" s="64" t="s">
        <v>45</v>
      </c>
      <c r="F15" s="35">
        <v>9</v>
      </c>
      <c r="G15" s="35">
        <v>15</v>
      </c>
      <c r="H15" s="35">
        <v>22</v>
      </c>
      <c r="I15" s="35">
        <v>21</v>
      </c>
      <c r="J15" s="35">
        <v>29</v>
      </c>
      <c r="K15" s="35">
        <v>33</v>
      </c>
      <c r="L15" s="35">
        <v>39</v>
      </c>
      <c r="M15" s="35">
        <v>40</v>
      </c>
      <c r="N15" s="35">
        <v>59</v>
      </c>
      <c r="O15" s="35">
        <v>53</v>
      </c>
      <c r="P15" s="35">
        <v>49</v>
      </c>
      <c r="Q15" s="35">
        <v>74</v>
      </c>
      <c r="R15" s="55">
        <v>76</v>
      </c>
      <c r="S15" s="55">
        <v>102</v>
      </c>
      <c r="T15" s="55">
        <v>102</v>
      </c>
      <c r="U15" s="55">
        <v>102</v>
      </c>
      <c r="V15" s="55">
        <v>102</v>
      </c>
    </row>
    <row r="16" spans="1:22" ht="19.899999999999999" customHeight="1" x14ac:dyDescent="0.2">
      <c r="B16" s="12" t="s">
        <v>1</v>
      </c>
      <c r="C16" s="18">
        <v>2</v>
      </c>
      <c r="D16" s="16" t="s">
        <v>21</v>
      </c>
      <c r="E16" s="62" t="s">
        <v>46</v>
      </c>
      <c r="F16" s="33">
        <v>11</v>
      </c>
      <c r="G16" s="33">
        <v>18</v>
      </c>
      <c r="H16" s="33">
        <v>25</v>
      </c>
      <c r="I16" s="33">
        <v>28</v>
      </c>
      <c r="J16" s="33">
        <v>42</v>
      </c>
      <c r="K16" s="33">
        <v>52</v>
      </c>
      <c r="L16" s="33">
        <v>61</v>
      </c>
      <c r="M16" s="33">
        <v>67</v>
      </c>
      <c r="N16" s="33">
        <v>60</v>
      </c>
      <c r="O16" s="33">
        <v>91</v>
      </c>
      <c r="P16" s="33">
        <v>100</v>
      </c>
      <c r="Q16" s="56">
        <v>102</v>
      </c>
      <c r="R16" s="56">
        <v>102</v>
      </c>
      <c r="S16" s="56">
        <v>102</v>
      </c>
      <c r="T16" s="56">
        <v>102</v>
      </c>
      <c r="U16" s="56">
        <v>102</v>
      </c>
      <c r="V16" s="56">
        <v>102</v>
      </c>
    </row>
    <row r="17" spans="2:22" ht="19.899999999999999" customHeight="1" x14ac:dyDescent="0.2">
      <c r="B17" s="13"/>
      <c r="C17" s="38"/>
      <c r="D17" s="20" t="s">
        <v>20</v>
      </c>
      <c r="E17" s="63" t="s">
        <v>46</v>
      </c>
      <c r="F17" s="34">
        <v>12</v>
      </c>
      <c r="G17" s="34">
        <v>19</v>
      </c>
      <c r="H17" s="34">
        <v>22</v>
      </c>
      <c r="I17" s="34">
        <v>20</v>
      </c>
      <c r="J17" s="34">
        <v>32</v>
      </c>
      <c r="K17" s="34">
        <v>44</v>
      </c>
      <c r="L17" s="34">
        <v>43</v>
      </c>
      <c r="M17" s="34">
        <v>51</v>
      </c>
      <c r="N17" s="34">
        <v>38</v>
      </c>
      <c r="O17" s="34">
        <v>69</v>
      </c>
      <c r="P17" s="34">
        <v>78</v>
      </c>
      <c r="Q17" s="57">
        <v>102</v>
      </c>
      <c r="R17" s="57">
        <v>102</v>
      </c>
      <c r="S17" s="57">
        <v>102</v>
      </c>
      <c r="T17" s="57">
        <v>102</v>
      </c>
      <c r="U17" s="57">
        <v>102</v>
      </c>
      <c r="V17" s="57">
        <v>102</v>
      </c>
    </row>
    <row r="18" spans="2:22" ht="19.899999999999999" customHeight="1" thickBot="1" x14ac:dyDescent="0.25">
      <c r="B18" s="17"/>
      <c r="C18" s="19"/>
      <c r="D18" s="21" t="s">
        <v>22</v>
      </c>
      <c r="E18" s="64" t="s">
        <v>46</v>
      </c>
      <c r="F18" s="35">
        <v>8</v>
      </c>
      <c r="G18" s="35">
        <v>15</v>
      </c>
      <c r="H18" s="35">
        <v>19</v>
      </c>
      <c r="I18" s="35">
        <v>27</v>
      </c>
      <c r="J18" s="35">
        <v>30</v>
      </c>
      <c r="K18" s="35">
        <v>39</v>
      </c>
      <c r="L18" s="35">
        <v>47</v>
      </c>
      <c r="M18" s="35">
        <v>51</v>
      </c>
      <c r="N18" s="35">
        <v>66</v>
      </c>
      <c r="O18" s="35">
        <v>70</v>
      </c>
      <c r="P18" s="35">
        <v>89</v>
      </c>
      <c r="Q18" s="55">
        <v>102</v>
      </c>
      <c r="R18" s="55">
        <v>102</v>
      </c>
      <c r="S18" s="55">
        <v>102</v>
      </c>
      <c r="T18" s="55">
        <v>102</v>
      </c>
      <c r="U18" s="55">
        <v>102</v>
      </c>
      <c r="V18" s="55">
        <v>102</v>
      </c>
    </row>
    <row r="19" spans="2:22" ht="19.899999999999999" customHeight="1" thickBot="1" x14ac:dyDescent="0.25">
      <c r="B19" s="12" t="s">
        <v>1</v>
      </c>
      <c r="C19" s="18">
        <v>3</v>
      </c>
      <c r="D19" s="16" t="s">
        <v>21</v>
      </c>
      <c r="E19" s="62" t="s">
        <v>44</v>
      </c>
      <c r="F19" s="33">
        <v>12</v>
      </c>
      <c r="G19" s="33">
        <v>15</v>
      </c>
      <c r="H19" s="33">
        <v>24</v>
      </c>
      <c r="I19" s="33">
        <v>16</v>
      </c>
      <c r="J19" s="33">
        <v>39</v>
      </c>
      <c r="K19" s="33">
        <v>43</v>
      </c>
      <c r="L19" s="33">
        <v>50</v>
      </c>
      <c r="M19" s="33">
        <v>62</v>
      </c>
      <c r="N19" s="33">
        <v>65</v>
      </c>
      <c r="O19" s="33">
        <v>79</v>
      </c>
      <c r="P19" s="33">
        <v>77</v>
      </c>
      <c r="Q19" s="33">
        <v>94</v>
      </c>
      <c r="R19" s="56">
        <v>102</v>
      </c>
      <c r="S19" s="56">
        <v>102</v>
      </c>
      <c r="T19" s="56">
        <v>102</v>
      </c>
      <c r="U19" s="56">
        <v>102</v>
      </c>
      <c r="V19" s="56">
        <v>102</v>
      </c>
    </row>
    <row r="20" spans="2:22" ht="19.899999999999999" customHeight="1" thickBot="1" x14ac:dyDescent="0.25">
      <c r="B20" s="13"/>
      <c r="C20" s="38"/>
      <c r="D20" s="20" t="s">
        <v>20</v>
      </c>
      <c r="E20" s="63" t="s">
        <v>44</v>
      </c>
      <c r="F20" s="34">
        <v>8</v>
      </c>
      <c r="G20" s="34">
        <v>13</v>
      </c>
      <c r="H20" s="34">
        <v>22</v>
      </c>
      <c r="I20" s="34">
        <v>19</v>
      </c>
      <c r="J20" s="34">
        <v>33</v>
      </c>
      <c r="K20" s="34">
        <v>39</v>
      </c>
      <c r="L20" s="34">
        <v>47</v>
      </c>
      <c r="M20" s="34">
        <v>58</v>
      </c>
      <c r="N20" s="34">
        <v>75</v>
      </c>
      <c r="O20" s="34">
        <v>74</v>
      </c>
      <c r="P20" s="34">
        <v>85</v>
      </c>
      <c r="Q20" s="34">
        <v>95</v>
      </c>
      <c r="R20" s="56">
        <v>102</v>
      </c>
      <c r="S20" s="56">
        <v>102</v>
      </c>
      <c r="T20" s="56">
        <v>102</v>
      </c>
      <c r="U20" s="56">
        <v>102</v>
      </c>
      <c r="V20" s="56">
        <v>102</v>
      </c>
    </row>
    <row r="21" spans="2:22" ht="19.899999999999999" customHeight="1" thickBot="1" x14ac:dyDescent="0.25">
      <c r="B21" s="17"/>
      <c r="C21" s="19"/>
      <c r="D21" s="21" t="s">
        <v>22</v>
      </c>
      <c r="E21" s="64" t="s">
        <v>44</v>
      </c>
      <c r="F21" s="35">
        <v>11</v>
      </c>
      <c r="G21" s="35">
        <v>12</v>
      </c>
      <c r="H21" s="35">
        <v>21</v>
      </c>
      <c r="I21" s="35">
        <v>17</v>
      </c>
      <c r="J21" s="35">
        <v>31</v>
      </c>
      <c r="K21" s="35">
        <v>45</v>
      </c>
      <c r="L21" s="35">
        <v>56</v>
      </c>
      <c r="M21" s="35">
        <v>63</v>
      </c>
      <c r="N21" s="35">
        <v>72</v>
      </c>
      <c r="O21" s="35">
        <v>76</v>
      </c>
      <c r="P21" s="35">
        <v>90</v>
      </c>
      <c r="Q21" s="35">
        <v>101</v>
      </c>
      <c r="R21" s="56">
        <v>102</v>
      </c>
      <c r="S21" s="56">
        <v>102</v>
      </c>
      <c r="T21" s="56">
        <v>102</v>
      </c>
      <c r="U21" s="56">
        <v>102</v>
      </c>
      <c r="V21" s="56">
        <v>102</v>
      </c>
    </row>
    <row r="22" spans="2:22" ht="19.899999999999999" customHeight="1" x14ac:dyDescent="0.2">
      <c r="B22" s="12" t="s">
        <v>1</v>
      </c>
      <c r="C22" s="18">
        <v>4</v>
      </c>
      <c r="D22" s="16" t="s">
        <v>21</v>
      </c>
      <c r="E22" s="62" t="s">
        <v>37</v>
      </c>
      <c r="F22" s="33">
        <v>7</v>
      </c>
      <c r="G22" s="33">
        <v>10</v>
      </c>
      <c r="H22" s="33">
        <v>22</v>
      </c>
      <c r="I22" s="33">
        <v>15</v>
      </c>
      <c r="J22" s="33">
        <v>30</v>
      </c>
      <c r="K22" s="33">
        <v>32</v>
      </c>
      <c r="L22" s="33">
        <v>37</v>
      </c>
      <c r="M22" s="33">
        <v>38</v>
      </c>
      <c r="N22" s="33">
        <v>74</v>
      </c>
      <c r="O22" s="33">
        <v>53</v>
      </c>
      <c r="P22" s="33">
        <v>56</v>
      </c>
      <c r="Q22" s="33">
        <v>56</v>
      </c>
      <c r="R22" s="56">
        <v>59</v>
      </c>
      <c r="S22" s="56">
        <v>66</v>
      </c>
      <c r="T22" s="56">
        <v>60</v>
      </c>
      <c r="U22" s="56">
        <v>66</v>
      </c>
      <c r="V22" s="56">
        <v>67</v>
      </c>
    </row>
    <row r="23" spans="2:22" ht="19.899999999999999" customHeight="1" x14ac:dyDescent="0.2">
      <c r="B23" s="13"/>
      <c r="C23" s="38"/>
      <c r="D23" s="20" t="s">
        <v>20</v>
      </c>
      <c r="E23" s="63" t="s">
        <v>37</v>
      </c>
      <c r="F23" s="34">
        <v>7</v>
      </c>
      <c r="G23" s="34">
        <v>13</v>
      </c>
      <c r="H23" s="34">
        <v>18</v>
      </c>
      <c r="I23" s="34">
        <v>19</v>
      </c>
      <c r="J23" s="34">
        <v>28</v>
      </c>
      <c r="K23" s="34">
        <v>29</v>
      </c>
      <c r="L23" s="34">
        <v>30</v>
      </c>
      <c r="M23" s="34">
        <v>33</v>
      </c>
      <c r="N23" s="34">
        <v>72</v>
      </c>
      <c r="O23" s="34">
        <v>45</v>
      </c>
      <c r="P23" s="34">
        <v>28</v>
      </c>
      <c r="Q23" s="34">
        <v>26</v>
      </c>
      <c r="R23" s="57">
        <v>28</v>
      </c>
      <c r="S23" s="57">
        <v>26</v>
      </c>
      <c r="T23" s="57">
        <v>27</v>
      </c>
      <c r="U23" s="57">
        <v>32</v>
      </c>
      <c r="V23" s="57">
        <v>30</v>
      </c>
    </row>
    <row r="24" spans="2:22" ht="19.899999999999999" customHeight="1" thickBot="1" x14ac:dyDescent="0.25">
      <c r="B24" s="17"/>
      <c r="C24" s="19"/>
      <c r="D24" s="21" t="s">
        <v>22</v>
      </c>
      <c r="E24" s="64" t="s">
        <v>37</v>
      </c>
      <c r="F24" s="35">
        <v>9</v>
      </c>
      <c r="G24" s="35">
        <v>14</v>
      </c>
      <c r="H24" s="35">
        <v>23</v>
      </c>
      <c r="I24" s="35">
        <v>15</v>
      </c>
      <c r="J24" s="35">
        <v>32</v>
      </c>
      <c r="K24" s="35">
        <v>34</v>
      </c>
      <c r="L24" s="35">
        <v>41</v>
      </c>
      <c r="M24" s="35">
        <v>39</v>
      </c>
      <c r="N24" s="35">
        <v>66</v>
      </c>
      <c r="O24" s="35">
        <v>55</v>
      </c>
      <c r="P24" s="35">
        <v>59</v>
      </c>
      <c r="Q24" s="35">
        <v>54</v>
      </c>
      <c r="R24" s="55">
        <v>68</v>
      </c>
      <c r="S24" s="55">
        <v>69</v>
      </c>
      <c r="T24" s="55">
        <v>65</v>
      </c>
      <c r="U24" s="55">
        <v>67</v>
      </c>
      <c r="V24" s="55">
        <v>71</v>
      </c>
    </row>
    <row r="25" spans="2:22" ht="19.899999999999999" customHeight="1" x14ac:dyDescent="0.2">
      <c r="B25" s="12" t="s">
        <v>2</v>
      </c>
      <c r="C25" s="18">
        <v>4</v>
      </c>
      <c r="D25" s="16" t="s">
        <v>22</v>
      </c>
      <c r="E25" s="62" t="s">
        <v>40</v>
      </c>
      <c r="F25" s="33">
        <v>10</v>
      </c>
      <c r="G25" s="33">
        <v>15</v>
      </c>
      <c r="H25" s="33">
        <v>20</v>
      </c>
      <c r="I25" s="33">
        <v>21</v>
      </c>
      <c r="J25" s="33">
        <v>31</v>
      </c>
      <c r="K25" s="33">
        <v>35</v>
      </c>
      <c r="L25" s="33">
        <v>41</v>
      </c>
      <c r="M25" s="33">
        <v>47</v>
      </c>
      <c r="N25" s="33">
        <v>60</v>
      </c>
      <c r="O25" s="33">
        <v>73</v>
      </c>
      <c r="P25" s="33">
        <v>81</v>
      </c>
      <c r="Q25" s="56">
        <v>102</v>
      </c>
      <c r="R25" s="56">
        <v>102</v>
      </c>
      <c r="S25" s="56">
        <v>102</v>
      </c>
      <c r="T25" s="56">
        <v>102</v>
      </c>
      <c r="U25" s="56">
        <v>102</v>
      </c>
      <c r="V25" s="56">
        <v>102</v>
      </c>
    </row>
    <row r="26" spans="2:22" ht="19.899999999999999" customHeight="1" x14ac:dyDescent="0.2">
      <c r="B26" s="13"/>
      <c r="C26" s="38"/>
      <c r="D26" s="20" t="s">
        <v>20</v>
      </c>
      <c r="E26" s="63" t="s">
        <v>40</v>
      </c>
      <c r="F26" s="34">
        <v>10</v>
      </c>
      <c r="G26" s="34">
        <v>13</v>
      </c>
      <c r="H26" s="34">
        <v>21</v>
      </c>
      <c r="I26" s="34">
        <v>25</v>
      </c>
      <c r="J26" s="34">
        <v>34</v>
      </c>
      <c r="K26" s="34">
        <v>47</v>
      </c>
      <c r="L26" s="34">
        <v>61</v>
      </c>
      <c r="M26" s="34">
        <v>68</v>
      </c>
      <c r="N26" s="34">
        <v>82</v>
      </c>
      <c r="O26" s="34">
        <v>87</v>
      </c>
      <c r="P26" s="34">
        <v>97</v>
      </c>
      <c r="Q26" s="57">
        <v>102</v>
      </c>
      <c r="R26" s="57">
        <v>102</v>
      </c>
      <c r="S26" s="57">
        <v>102</v>
      </c>
      <c r="T26" s="57">
        <v>102</v>
      </c>
      <c r="U26" s="57">
        <v>102</v>
      </c>
      <c r="V26" s="57">
        <v>102</v>
      </c>
    </row>
    <row r="27" spans="2:22" ht="19.899999999999999" customHeight="1" thickBot="1" x14ac:dyDescent="0.25">
      <c r="B27" s="17"/>
      <c r="C27" s="19"/>
      <c r="D27" s="21" t="s">
        <v>21</v>
      </c>
      <c r="E27" s="64" t="s">
        <v>40</v>
      </c>
      <c r="F27" s="35">
        <v>9</v>
      </c>
      <c r="G27" s="35">
        <v>12</v>
      </c>
      <c r="H27" s="35">
        <v>19</v>
      </c>
      <c r="I27" s="35">
        <v>27</v>
      </c>
      <c r="J27" s="35">
        <v>38</v>
      </c>
      <c r="K27" s="35">
        <v>47</v>
      </c>
      <c r="L27" s="35">
        <v>66</v>
      </c>
      <c r="M27" s="35">
        <v>76</v>
      </c>
      <c r="N27" s="35">
        <v>89</v>
      </c>
      <c r="O27" s="35">
        <v>94</v>
      </c>
      <c r="P27" s="55">
        <v>102</v>
      </c>
      <c r="Q27" s="55">
        <v>102</v>
      </c>
      <c r="R27" s="55">
        <v>102</v>
      </c>
      <c r="S27" s="55">
        <v>102</v>
      </c>
      <c r="T27" s="55">
        <v>102</v>
      </c>
      <c r="U27" s="55">
        <v>102</v>
      </c>
      <c r="V27" s="55">
        <v>102</v>
      </c>
    </row>
    <row r="28" spans="2:22" ht="19.899999999999999" customHeight="1" thickBot="1" x14ac:dyDescent="0.25">
      <c r="B28" s="12" t="s">
        <v>2</v>
      </c>
      <c r="C28" s="18">
        <v>3</v>
      </c>
      <c r="D28" s="16" t="s">
        <v>22</v>
      </c>
      <c r="E28" s="62" t="s">
        <v>42</v>
      </c>
      <c r="F28" s="33">
        <v>10</v>
      </c>
      <c r="G28" s="33">
        <v>16</v>
      </c>
      <c r="H28" s="33">
        <v>22</v>
      </c>
      <c r="I28" s="33">
        <v>32</v>
      </c>
      <c r="J28" s="33">
        <v>36</v>
      </c>
      <c r="K28" s="33">
        <v>44</v>
      </c>
      <c r="L28" s="33">
        <v>57</v>
      </c>
      <c r="M28" s="33">
        <v>66</v>
      </c>
      <c r="N28" s="33">
        <v>71</v>
      </c>
      <c r="O28" s="33">
        <v>87</v>
      </c>
      <c r="P28" s="33">
        <v>96</v>
      </c>
      <c r="Q28" s="56">
        <v>102</v>
      </c>
      <c r="R28" s="56">
        <v>102</v>
      </c>
      <c r="S28" s="56">
        <v>102</v>
      </c>
      <c r="T28" s="56">
        <v>102</v>
      </c>
      <c r="U28" s="56">
        <v>102</v>
      </c>
      <c r="V28" s="56">
        <v>102</v>
      </c>
    </row>
    <row r="29" spans="2:22" ht="19.899999999999999" customHeight="1" x14ac:dyDescent="0.2">
      <c r="B29" s="13"/>
      <c r="C29" s="38"/>
      <c r="D29" s="20" t="s">
        <v>20</v>
      </c>
      <c r="E29" s="63" t="s">
        <v>42</v>
      </c>
      <c r="F29" s="34">
        <v>9</v>
      </c>
      <c r="G29" s="34">
        <v>9</v>
      </c>
      <c r="H29" s="34">
        <v>23</v>
      </c>
      <c r="I29" s="34">
        <v>31</v>
      </c>
      <c r="J29" s="34">
        <v>37</v>
      </c>
      <c r="K29" s="34">
        <v>49</v>
      </c>
      <c r="L29" s="34">
        <v>63</v>
      </c>
      <c r="M29" s="34">
        <v>78</v>
      </c>
      <c r="N29" s="34">
        <v>92</v>
      </c>
      <c r="O29" s="34">
        <v>91</v>
      </c>
      <c r="P29" s="34">
        <v>100</v>
      </c>
      <c r="Q29" s="56">
        <v>102</v>
      </c>
      <c r="R29" s="56">
        <v>102</v>
      </c>
      <c r="S29" s="56">
        <v>102</v>
      </c>
      <c r="T29" s="56">
        <v>102</v>
      </c>
      <c r="U29" s="56">
        <v>102</v>
      </c>
      <c r="V29" s="56">
        <v>102</v>
      </c>
    </row>
    <row r="30" spans="2:22" ht="19.899999999999999" customHeight="1" thickBot="1" x14ac:dyDescent="0.25">
      <c r="B30" s="17"/>
      <c r="C30" s="19"/>
      <c r="D30" s="21" t="s">
        <v>21</v>
      </c>
      <c r="E30" s="64" t="s">
        <v>42</v>
      </c>
      <c r="F30" s="35">
        <v>7</v>
      </c>
      <c r="G30" s="35">
        <v>18</v>
      </c>
      <c r="H30" s="35">
        <v>20</v>
      </c>
      <c r="I30" s="35">
        <v>33</v>
      </c>
      <c r="J30" s="35">
        <v>34</v>
      </c>
      <c r="K30" s="35">
        <v>46</v>
      </c>
      <c r="L30" s="35">
        <v>54</v>
      </c>
      <c r="M30" s="35">
        <v>59</v>
      </c>
      <c r="N30" s="35">
        <v>72</v>
      </c>
      <c r="O30" s="35">
        <v>82</v>
      </c>
      <c r="P30" s="35">
        <v>85</v>
      </c>
      <c r="Q30" s="35">
        <v>83</v>
      </c>
      <c r="R30" s="35">
        <v>89</v>
      </c>
      <c r="S30" s="35">
        <v>95</v>
      </c>
      <c r="T30" s="35">
        <v>102</v>
      </c>
      <c r="U30" s="35">
        <v>94</v>
      </c>
      <c r="V30" s="35">
        <v>102</v>
      </c>
    </row>
    <row r="31" spans="2:22" ht="19.899999999999999" customHeight="1" thickBot="1" x14ac:dyDescent="0.25">
      <c r="B31" s="12" t="s">
        <v>2</v>
      </c>
      <c r="C31" s="18">
        <v>2</v>
      </c>
      <c r="D31" s="16" t="s">
        <v>22</v>
      </c>
      <c r="E31" s="62" t="s">
        <v>39</v>
      </c>
      <c r="F31" s="33">
        <v>9</v>
      </c>
      <c r="G31" s="33">
        <v>18</v>
      </c>
      <c r="H31" s="33">
        <v>22</v>
      </c>
      <c r="I31" s="33">
        <v>28</v>
      </c>
      <c r="J31" s="33">
        <v>29</v>
      </c>
      <c r="K31" s="33">
        <v>36</v>
      </c>
      <c r="L31" s="33">
        <v>39</v>
      </c>
      <c r="M31" s="33">
        <v>43</v>
      </c>
      <c r="N31" s="33">
        <v>50</v>
      </c>
      <c r="O31" s="33">
        <v>64</v>
      </c>
      <c r="P31" s="33">
        <v>72</v>
      </c>
      <c r="Q31" s="33">
        <v>96</v>
      </c>
      <c r="R31" s="33">
        <v>95</v>
      </c>
      <c r="S31" s="56">
        <v>102</v>
      </c>
      <c r="T31" s="56">
        <v>102</v>
      </c>
      <c r="U31" s="56">
        <v>102</v>
      </c>
      <c r="V31" s="56">
        <v>102</v>
      </c>
    </row>
    <row r="32" spans="2:22" ht="19.899999999999999" customHeight="1" thickBot="1" x14ac:dyDescent="0.25">
      <c r="B32" s="13"/>
      <c r="C32" s="38"/>
      <c r="D32" s="20" t="s">
        <v>20</v>
      </c>
      <c r="E32" s="63" t="s">
        <v>39</v>
      </c>
      <c r="F32" s="34">
        <v>9</v>
      </c>
      <c r="G32" s="34">
        <v>10</v>
      </c>
      <c r="H32" s="34">
        <v>21</v>
      </c>
      <c r="I32" s="34">
        <v>21</v>
      </c>
      <c r="J32" s="34">
        <v>32</v>
      </c>
      <c r="K32" s="34">
        <v>36</v>
      </c>
      <c r="L32" s="34">
        <v>38</v>
      </c>
      <c r="M32" s="34">
        <v>43</v>
      </c>
      <c r="N32" s="34">
        <v>46</v>
      </c>
      <c r="O32" s="34">
        <v>59</v>
      </c>
      <c r="P32" s="34">
        <v>62</v>
      </c>
      <c r="Q32" s="34">
        <v>91</v>
      </c>
      <c r="R32" s="34">
        <v>96</v>
      </c>
      <c r="S32" s="56">
        <v>102</v>
      </c>
      <c r="T32" s="56">
        <v>102</v>
      </c>
      <c r="U32" s="56">
        <v>102</v>
      </c>
      <c r="V32" s="56">
        <v>102</v>
      </c>
    </row>
    <row r="33" spans="2:22" ht="19.899999999999999" customHeight="1" thickBot="1" x14ac:dyDescent="0.25">
      <c r="B33" s="17"/>
      <c r="C33" s="19"/>
      <c r="D33" s="21" t="s">
        <v>21</v>
      </c>
      <c r="E33" s="64" t="s">
        <v>39</v>
      </c>
      <c r="F33" s="35">
        <v>8</v>
      </c>
      <c r="G33" s="35">
        <v>15</v>
      </c>
      <c r="H33" s="35">
        <v>18</v>
      </c>
      <c r="I33" s="35">
        <v>27.5</v>
      </c>
      <c r="J33" s="35">
        <v>32</v>
      </c>
      <c r="K33" s="35">
        <v>34</v>
      </c>
      <c r="L33" s="55">
        <v>33</v>
      </c>
      <c r="M33" s="35">
        <v>40</v>
      </c>
      <c r="N33" s="35">
        <v>43</v>
      </c>
      <c r="O33" s="35">
        <v>63</v>
      </c>
      <c r="P33" s="35">
        <v>67</v>
      </c>
      <c r="Q33" s="35">
        <v>79</v>
      </c>
      <c r="R33" s="55">
        <v>97</v>
      </c>
      <c r="S33" s="56">
        <v>102</v>
      </c>
      <c r="T33" s="56">
        <v>102</v>
      </c>
      <c r="U33" s="56">
        <v>102</v>
      </c>
      <c r="V33" s="56">
        <v>102</v>
      </c>
    </row>
    <row r="34" spans="2:22" ht="19.899999999999999" customHeight="1" thickBot="1" x14ac:dyDescent="0.25">
      <c r="B34" s="12" t="s">
        <v>2</v>
      </c>
      <c r="C34" s="18">
        <v>1</v>
      </c>
      <c r="D34" s="16" t="s">
        <v>22</v>
      </c>
      <c r="E34" s="62" t="s">
        <v>47</v>
      </c>
      <c r="F34" s="33">
        <v>10</v>
      </c>
      <c r="G34" s="33">
        <v>20</v>
      </c>
      <c r="H34" s="33">
        <v>23</v>
      </c>
      <c r="I34" s="33">
        <v>40</v>
      </c>
      <c r="J34" s="33">
        <v>42</v>
      </c>
      <c r="K34" s="33">
        <v>51</v>
      </c>
      <c r="L34" s="33">
        <v>67</v>
      </c>
      <c r="M34" s="33">
        <v>74</v>
      </c>
      <c r="N34" s="33">
        <v>88</v>
      </c>
      <c r="O34" s="56">
        <v>102</v>
      </c>
      <c r="P34" s="56">
        <v>102</v>
      </c>
      <c r="Q34" s="56">
        <v>102</v>
      </c>
      <c r="R34" s="56">
        <v>102</v>
      </c>
      <c r="S34" s="56">
        <v>102</v>
      </c>
      <c r="T34" s="56">
        <v>102</v>
      </c>
      <c r="U34" s="56">
        <v>102</v>
      </c>
      <c r="V34" s="56">
        <v>102</v>
      </c>
    </row>
    <row r="35" spans="2:22" ht="19.899999999999999" customHeight="1" x14ac:dyDescent="0.2">
      <c r="B35" s="13"/>
      <c r="C35" s="38"/>
      <c r="D35" s="20" t="s">
        <v>20</v>
      </c>
      <c r="E35" s="63" t="s">
        <v>47</v>
      </c>
      <c r="F35" s="34">
        <v>10</v>
      </c>
      <c r="G35" s="34">
        <v>17</v>
      </c>
      <c r="H35" s="34">
        <v>21</v>
      </c>
      <c r="I35" s="34">
        <v>38</v>
      </c>
      <c r="J35" s="34">
        <v>41</v>
      </c>
      <c r="K35" s="34">
        <v>55</v>
      </c>
      <c r="L35" s="34">
        <v>69</v>
      </c>
      <c r="M35" s="34">
        <v>85</v>
      </c>
      <c r="N35" s="34">
        <v>91</v>
      </c>
      <c r="O35" s="56">
        <v>102</v>
      </c>
      <c r="P35" s="56">
        <v>102</v>
      </c>
      <c r="Q35" s="56">
        <v>102</v>
      </c>
      <c r="R35" s="56">
        <v>102</v>
      </c>
      <c r="S35" s="56">
        <v>102</v>
      </c>
      <c r="T35" s="56">
        <v>102</v>
      </c>
      <c r="U35" s="56">
        <v>102</v>
      </c>
      <c r="V35" s="56">
        <v>102</v>
      </c>
    </row>
    <row r="36" spans="2:22" ht="19.899999999999999" customHeight="1" thickBot="1" x14ac:dyDescent="0.25">
      <c r="B36" s="17"/>
      <c r="C36" s="19"/>
      <c r="D36" s="21" t="s">
        <v>21</v>
      </c>
      <c r="E36" s="64" t="s">
        <v>47</v>
      </c>
      <c r="F36" s="35">
        <v>9</v>
      </c>
      <c r="G36" s="35">
        <v>19</v>
      </c>
      <c r="H36" s="35">
        <v>23</v>
      </c>
      <c r="I36" s="35">
        <v>33</v>
      </c>
      <c r="J36" s="35">
        <v>45</v>
      </c>
      <c r="K36" s="35">
        <v>50</v>
      </c>
      <c r="L36" s="35">
        <v>70</v>
      </c>
      <c r="M36" s="35">
        <v>79</v>
      </c>
      <c r="N36" s="35">
        <v>90</v>
      </c>
      <c r="O36" s="35">
        <v>96</v>
      </c>
      <c r="P36" s="55">
        <v>102</v>
      </c>
      <c r="Q36" s="55">
        <v>102</v>
      </c>
      <c r="R36" s="55">
        <v>102</v>
      </c>
      <c r="S36" s="55">
        <v>102</v>
      </c>
      <c r="T36" s="55">
        <v>102</v>
      </c>
      <c r="U36" s="55">
        <v>102</v>
      </c>
      <c r="V36" s="55">
        <v>102</v>
      </c>
    </row>
    <row r="37" spans="2:22" ht="19.899999999999999" customHeight="1" thickBot="1" x14ac:dyDescent="0.25">
      <c r="B37" s="12" t="s">
        <v>3</v>
      </c>
      <c r="C37" s="18">
        <v>1</v>
      </c>
      <c r="D37" s="16" t="s">
        <v>21</v>
      </c>
      <c r="E37" s="62" t="s">
        <v>43</v>
      </c>
      <c r="F37" s="33">
        <v>8</v>
      </c>
      <c r="G37" s="33">
        <v>17</v>
      </c>
      <c r="H37" s="33">
        <v>18</v>
      </c>
      <c r="I37" s="33">
        <v>34</v>
      </c>
      <c r="J37" s="33">
        <v>38</v>
      </c>
      <c r="K37" s="33">
        <v>50</v>
      </c>
      <c r="L37" s="33">
        <v>58</v>
      </c>
      <c r="M37" s="33">
        <v>69</v>
      </c>
      <c r="N37" s="33">
        <v>83</v>
      </c>
      <c r="O37" s="56">
        <v>102</v>
      </c>
      <c r="P37" s="56">
        <v>102</v>
      </c>
      <c r="Q37" s="56">
        <v>102</v>
      </c>
      <c r="R37" s="56">
        <v>102</v>
      </c>
      <c r="S37" s="56">
        <v>102</v>
      </c>
      <c r="T37" s="56">
        <v>102</v>
      </c>
      <c r="U37" s="56">
        <v>102</v>
      </c>
      <c r="V37" s="56">
        <v>102</v>
      </c>
    </row>
    <row r="38" spans="2:22" ht="19.899999999999999" customHeight="1" x14ac:dyDescent="0.2">
      <c r="B38" s="13"/>
      <c r="C38" s="38"/>
      <c r="D38" s="20" t="s">
        <v>20</v>
      </c>
      <c r="E38" s="63" t="s">
        <v>43</v>
      </c>
      <c r="F38" s="34">
        <v>9</v>
      </c>
      <c r="G38" s="34">
        <v>14</v>
      </c>
      <c r="H38" s="34">
        <v>20</v>
      </c>
      <c r="I38" s="34">
        <v>34</v>
      </c>
      <c r="J38" s="34">
        <v>41</v>
      </c>
      <c r="K38" s="34">
        <v>62</v>
      </c>
      <c r="L38" s="34">
        <v>69</v>
      </c>
      <c r="M38" s="34">
        <v>83</v>
      </c>
      <c r="N38" s="34">
        <v>97</v>
      </c>
      <c r="O38" s="56">
        <v>102</v>
      </c>
      <c r="P38" s="56">
        <v>102</v>
      </c>
      <c r="Q38" s="56">
        <v>102</v>
      </c>
      <c r="R38" s="56">
        <v>102</v>
      </c>
      <c r="S38" s="56">
        <v>102</v>
      </c>
      <c r="T38" s="56">
        <v>102</v>
      </c>
      <c r="U38" s="56">
        <v>102</v>
      </c>
      <c r="V38" s="56">
        <v>102</v>
      </c>
    </row>
    <row r="39" spans="2:22" ht="19.899999999999999" customHeight="1" thickBot="1" x14ac:dyDescent="0.25">
      <c r="B39" s="17"/>
      <c r="C39" s="19"/>
      <c r="D39" s="21" t="s">
        <v>22</v>
      </c>
      <c r="E39" s="64" t="s">
        <v>43</v>
      </c>
      <c r="F39" s="35">
        <v>9</v>
      </c>
      <c r="G39" s="35">
        <v>16</v>
      </c>
      <c r="H39" s="35">
        <v>21</v>
      </c>
      <c r="I39" s="35">
        <v>31</v>
      </c>
      <c r="J39" s="35">
        <v>40</v>
      </c>
      <c r="K39" s="35">
        <v>57</v>
      </c>
      <c r="L39" s="35">
        <v>61</v>
      </c>
      <c r="M39" s="35">
        <v>74</v>
      </c>
      <c r="N39" s="35">
        <v>82</v>
      </c>
      <c r="O39" s="35">
        <v>90</v>
      </c>
      <c r="P39" s="55">
        <v>102</v>
      </c>
      <c r="Q39" s="55">
        <v>102</v>
      </c>
      <c r="R39" s="55">
        <v>102</v>
      </c>
      <c r="S39" s="55">
        <v>102</v>
      </c>
      <c r="T39" s="55">
        <v>102</v>
      </c>
      <c r="U39" s="55">
        <v>102</v>
      </c>
      <c r="V39" s="55">
        <v>102</v>
      </c>
    </row>
    <row r="40" spans="2:22" ht="19.899999999999999" customHeight="1" x14ac:dyDescent="0.2">
      <c r="B40" s="12" t="s">
        <v>3</v>
      </c>
      <c r="C40" s="18">
        <v>2</v>
      </c>
      <c r="D40" s="16" t="s">
        <v>21</v>
      </c>
      <c r="E40" s="62" t="s">
        <v>35</v>
      </c>
      <c r="F40" s="33">
        <v>8</v>
      </c>
      <c r="G40" s="33">
        <v>11</v>
      </c>
      <c r="H40" s="33">
        <v>23</v>
      </c>
      <c r="I40" s="33">
        <v>27</v>
      </c>
      <c r="J40" s="33">
        <v>37</v>
      </c>
      <c r="K40" s="33">
        <v>48</v>
      </c>
      <c r="L40" s="33">
        <v>46</v>
      </c>
      <c r="M40" s="33">
        <v>57</v>
      </c>
      <c r="N40" s="33">
        <v>63</v>
      </c>
      <c r="O40" s="33">
        <v>65</v>
      </c>
      <c r="P40" s="33">
        <v>77</v>
      </c>
      <c r="Q40" s="33">
        <v>90</v>
      </c>
      <c r="R40" s="56">
        <v>102</v>
      </c>
      <c r="S40" s="56">
        <v>102</v>
      </c>
      <c r="T40" s="56">
        <v>102</v>
      </c>
      <c r="U40" s="56">
        <v>102</v>
      </c>
      <c r="V40" s="56">
        <v>102</v>
      </c>
    </row>
    <row r="41" spans="2:22" ht="19.899999999999999" customHeight="1" x14ac:dyDescent="0.2">
      <c r="B41" s="13"/>
      <c r="C41" s="38"/>
      <c r="D41" s="20" t="s">
        <v>20</v>
      </c>
      <c r="E41" s="63" t="s">
        <v>35</v>
      </c>
      <c r="F41" s="34">
        <v>10</v>
      </c>
      <c r="G41" s="34">
        <v>24</v>
      </c>
      <c r="H41" s="34">
        <v>25</v>
      </c>
      <c r="I41" s="34">
        <v>34</v>
      </c>
      <c r="J41" s="34">
        <v>33</v>
      </c>
      <c r="K41" s="34">
        <v>37</v>
      </c>
      <c r="L41" s="57">
        <v>41</v>
      </c>
      <c r="M41" s="34">
        <v>42</v>
      </c>
      <c r="N41" s="34">
        <v>42</v>
      </c>
      <c r="O41" s="34">
        <v>49</v>
      </c>
      <c r="P41" s="34">
        <v>76</v>
      </c>
      <c r="Q41" s="34">
        <v>89</v>
      </c>
      <c r="R41" s="57">
        <v>96</v>
      </c>
      <c r="S41" s="57">
        <v>91</v>
      </c>
      <c r="T41" s="57">
        <v>102</v>
      </c>
      <c r="U41" s="57">
        <v>102</v>
      </c>
      <c r="V41" s="57">
        <v>102</v>
      </c>
    </row>
    <row r="42" spans="2:22" ht="19.899999999999999" customHeight="1" thickBot="1" x14ac:dyDescent="0.25">
      <c r="B42" s="17"/>
      <c r="C42" s="19"/>
      <c r="D42" s="21" t="s">
        <v>22</v>
      </c>
      <c r="E42" s="64" t="s">
        <v>35</v>
      </c>
      <c r="F42" s="35">
        <v>11</v>
      </c>
      <c r="G42" s="35">
        <v>15</v>
      </c>
      <c r="H42" s="35">
        <v>22</v>
      </c>
      <c r="I42" s="35">
        <v>31</v>
      </c>
      <c r="J42" s="35">
        <v>30</v>
      </c>
      <c r="K42" s="35">
        <v>37</v>
      </c>
      <c r="L42" s="35">
        <v>40</v>
      </c>
      <c r="M42" s="35">
        <v>39</v>
      </c>
      <c r="N42" s="35">
        <v>37</v>
      </c>
      <c r="O42" s="35">
        <v>46</v>
      </c>
      <c r="P42" s="35">
        <v>54</v>
      </c>
      <c r="Q42" s="35">
        <v>56</v>
      </c>
      <c r="R42" s="55">
        <v>66</v>
      </c>
      <c r="S42" s="55">
        <v>70</v>
      </c>
      <c r="T42" s="55">
        <v>70</v>
      </c>
      <c r="U42" s="55">
        <v>83</v>
      </c>
      <c r="V42" s="55">
        <v>78</v>
      </c>
    </row>
    <row r="43" spans="2:22" ht="19.899999999999999" customHeight="1" x14ac:dyDescent="0.2">
      <c r="B43" s="12" t="s">
        <v>3</v>
      </c>
      <c r="C43" s="18">
        <v>3</v>
      </c>
      <c r="D43" s="16" t="s">
        <v>21</v>
      </c>
      <c r="E43" s="62" t="s">
        <v>41</v>
      </c>
      <c r="F43" s="33">
        <v>8</v>
      </c>
      <c r="G43" s="33">
        <v>13</v>
      </c>
      <c r="H43" s="33">
        <v>20</v>
      </c>
      <c r="I43" s="33">
        <v>32</v>
      </c>
      <c r="J43" s="33">
        <v>30</v>
      </c>
      <c r="K43" s="33">
        <v>33</v>
      </c>
      <c r="L43" s="33">
        <v>38</v>
      </c>
      <c r="M43" s="33">
        <v>39</v>
      </c>
      <c r="N43" s="33">
        <v>40</v>
      </c>
      <c r="O43" s="33">
        <v>61</v>
      </c>
      <c r="P43" s="33">
        <v>64</v>
      </c>
      <c r="Q43" s="33">
        <v>82</v>
      </c>
      <c r="R43" s="56">
        <v>101</v>
      </c>
      <c r="S43" s="56">
        <v>102</v>
      </c>
      <c r="T43" s="56">
        <v>102</v>
      </c>
      <c r="U43" s="56">
        <v>102</v>
      </c>
      <c r="V43" s="56">
        <v>102</v>
      </c>
    </row>
    <row r="44" spans="2:22" ht="19.899999999999999" customHeight="1" x14ac:dyDescent="0.2">
      <c r="B44" s="13"/>
      <c r="C44" s="38"/>
      <c r="D44" s="20" t="s">
        <v>20</v>
      </c>
      <c r="E44" s="63" t="s">
        <v>41</v>
      </c>
      <c r="F44" s="34">
        <v>11</v>
      </c>
      <c r="G44" s="34">
        <v>17</v>
      </c>
      <c r="H44" s="34">
        <v>21</v>
      </c>
      <c r="I44" s="34">
        <v>23.5</v>
      </c>
      <c r="J44" s="34">
        <v>31</v>
      </c>
      <c r="K44" s="34">
        <v>32</v>
      </c>
      <c r="L44" s="34">
        <v>30</v>
      </c>
      <c r="M44" s="34">
        <v>40</v>
      </c>
      <c r="N44" s="34">
        <v>39</v>
      </c>
      <c r="O44" s="34">
        <v>37</v>
      </c>
      <c r="P44" s="34">
        <v>48</v>
      </c>
      <c r="Q44" s="34">
        <v>54</v>
      </c>
      <c r="R44" s="57">
        <v>69</v>
      </c>
      <c r="S44" s="57">
        <v>82</v>
      </c>
      <c r="T44" s="57">
        <v>83</v>
      </c>
      <c r="U44" s="57">
        <v>102</v>
      </c>
      <c r="V44" s="57">
        <v>102</v>
      </c>
    </row>
    <row r="45" spans="2:22" ht="19.899999999999999" customHeight="1" thickBot="1" x14ac:dyDescent="0.25">
      <c r="B45" s="17"/>
      <c r="C45" s="19"/>
      <c r="D45" s="21" t="s">
        <v>22</v>
      </c>
      <c r="E45" s="64" t="s">
        <v>41</v>
      </c>
      <c r="F45" s="35">
        <v>11</v>
      </c>
      <c r="G45" s="35">
        <v>13</v>
      </c>
      <c r="H45" s="35">
        <v>22</v>
      </c>
      <c r="I45" s="35">
        <v>25</v>
      </c>
      <c r="J45" s="35">
        <v>33</v>
      </c>
      <c r="K45" s="35">
        <v>37</v>
      </c>
      <c r="L45" s="35">
        <v>41</v>
      </c>
      <c r="M45" s="35">
        <v>42</v>
      </c>
      <c r="N45" s="35">
        <v>41</v>
      </c>
      <c r="O45" s="35">
        <v>52</v>
      </c>
      <c r="P45" s="35">
        <v>61</v>
      </c>
      <c r="Q45" s="35">
        <v>64</v>
      </c>
      <c r="R45" s="55">
        <v>78</v>
      </c>
      <c r="S45" s="55">
        <v>102</v>
      </c>
      <c r="T45" s="55">
        <v>102</v>
      </c>
      <c r="U45" s="55">
        <v>102</v>
      </c>
      <c r="V45" s="55">
        <v>102</v>
      </c>
    </row>
    <row r="46" spans="2:22" ht="19.899999999999999" customHeight="1" thickBot="1" x14ac:dyDescent="0.25">
      <c r="B46" s="12" t="s">
        <v>3</v>
      </c>
      <c r="C46" s="18">
        <v>4</v>
      </c>
      <c r="D46" s="16" t="s">
        <v>21</v>
      </c>
      <c r="E46" s="62" t="s">
        <v>38</v>
      </c>
      <c r="F46" s="33">
        <v>8</v>
      </c>
      <c r="G46" s="33">
        <v>15</v>
      </c>
      <c r="H46" s="33">
        <v>17</v>
      </c>
      <c r="I46" s="33">
        <v>24</v>
      </c>
      <c r="J46" s="33">
        <v>33</v>
      </c>
      <c r="K46" s="33">
        <v>40</v>
      </c>
      <c r="L46" s="33">
        <v>45</v>
      </c>
      <c r="M46" s="33">
        <v>57</v>
      </c>
      <c r="N46" s="33">
        <v>63</v>
      </c>
      <c r="O46" s="33">
        <v>62</v>
      </c>
      <c r="P46" s="33">
        <v>87</v>
      </c>
      <c r="Q46" s="56">
        <v>102</v>
      </c>
      <c r="R46" s="56">
        <v>102</v>
      </c>
      <c r="S46" s="56">
        <v>102</v>
      </c>
      <c r="T46" s="56">
        <v>102</v>
      </c>
      <c r="U46" s="56">
        <v>102</v>
      </c>
      <c r="V46" s="56">
        <v>102</v>
      </c>
    </row>
    <row r="47" spans="2:22" ht="19.899999999999999" customHeight="1" x14ac:dyDescent="0.2">
      <c r="B47" s="13"/>
      <c r="C47" s="38"/>
      <c r="D47" s="20" t="s">
        <v>20</v>
      </c>
      <c r="E47" s="63" t="s">
        <v>38</v>
      </c>
      <c r="F47" s="34">
        <v>9</v>
      </c>
      <c r="G47" s="34">
        <v>16</v>
      </c>
      <c r="H47" s="34">
        <v>18</v>
      </c>
      <c r="I47" s="34">
        <v>33</v>
      </c>
      <c r="J47" s="34">
        <v>32</v>
      </c>
      <c r="K47" s="34">
        <v>42</v>
      </c>
      <c r="L47" s="34">
        <v>51</v>
      </c>
      <c r="M47" s="34">
        <v>53</v>
      </c>
      <c r="N47" s="34">
        <v>61</v>
      </c>
      <c r="O47" s="34">
        <v>81</v>
      </c>
      <c r="P47" s="34">
        <v>91</v>
      </c>
      <c r="Q47" s="56">
        <v>102</v>
      </c>
      <c r="R47" s="56">
        <v>102</v>
      </c>
      <c r="S47" s="56">
        <v>102</v>
      </c>
      <c r="T47" s="56">
        <v>102</v>
      </c>
      <c r="U47" s="56">
        <v>102</v>
      </c>
      <c r="V47" s="56">
        <v>102</v>
      </c>
    </row>
    <row r="48" spans="2:22" ht="19.899999999999999" customHeight="1" thickBot="1" x14ac:dyDescent="0.25">
      <c r="B48" s="17"/>
      <c r="C48" s="19"/>
      <c r="D48" s="21" t="s">
        <v>22</v>
      </c>
      <c r="E48" s="64" t="s">
        <v>38</v>
      </c>
      <c r="F48" s="35">
        <v>7</v>
      </c>
      <c r="G48" s="35">
        <v>10</v>
      </c>
      <c r="H48" s="35">
        <v>18</v>
      </c>
      <c r="I48" s="35">
        <v>21</v>
      </c>
      <c r="J48" s="35">
        <v>31</v>
      </c>
      <c r="K48" s="35">
        <v>42</v>
      </c>
      <c r="L48" s="35">
        <v>51</v>
      </c>
      <c r="M48" s="35">
        <v>59</v>
      </c>
      <c r="N48" s="35">
        <v>68</v>
      </c>
      <c r="O48" s="35">
        <v>84</v>
      </c>
      <c r="P48" s="35">
        <v>77</v>
      </c>
      <c r="Q48" s="35">
        <v>92</v>
      </c>
      <c r="R48" s="55">
        <v>102</v>
      </c>
      <c r="S48" s="55">
        <v>102</v>
      </c>
      <c r="T48" s="55">
        <v>102</v>
      </c>
      <c r="U48" s="55">
        <v>102</v>
      </c>
      <c r="V48" s="55">
        <v>102</v>
      </c>
    </row>
    <row r="49" spans="1:22" ht="19.899999999999999" customHeight="1" thickBot="1" x14ac:dyDescent="0.25">
      <c r="B49" s="12" t="s">
        <v>4</v>
      </c>
      <c r="C49" s="18">
        <v>4</v>
      </c>
      <c r="D49" s="16" t="s">
        <v>22</v>
      </c>
      <c r="E49" s="62" t="s">
        <v>48</v>
      </c>
      <c r="F49" s="33">
        <v>9</v>
      </c>
      <c r="G49" s="33">
        <v>15</v>
      </c>
      <c r="H49" s="33">
        <v>21</v>
      </c>
      <c r="I49" s="33">
        <v>25</v>
      </c>
      <c r="J49" s="33">
        <v>36</v>
      </c>
      <c r="K49" s="33">
        <v>40</v>
      </c>
      <c r="L49" s="33">
        <v>50</v>
      </c>
      <c r="M49" s="33">
        <v>57</v>
      </c>
      <c r="N49" s="33">
        <v>66</v>
      </c>
      <c r="O49" s="33">
        <v>62</v>
      </c>
      <c r="P49" s="33">
        <v>89</v>
      </c>
      <c r="Q49" s="56">
        <v>102</v>
      </c>
      <c r="R49" s="56">
        <v>102</v>
      </c>
      <c r="S49" s="56">
        <v>102</v>
      </c>
      <c r="T49" s="56">
        <v>102</v>
      </c>
      <c r="U49" s="56">
        <v>102</v>
      </c>
      <c r="V49" s="56">
        <v>102</v>
      </c>
    </row>
    <row r="50" spans="1:22" ht="19.899999999999999" customHeight="1" thickBot="1" x14ac:dyDescent="0.25">
      <c r="B50" s="13"/>
      <c r="C50" s="38"/>
      <c r="D50" s="20" t="s">
        <v>20</v>
      </c>
      <c r="E50" s="63" t="s">
        <v>48</v>
      </c>
      <c r="F50" s="34">
        <v>10</v>
      </c>
      <c r="G50" s="34">
        <v>12</v>
      </c>
      <c r="H50" s="34">
        <v>21</v>
      </c>
      <c r="I50" s="34">
        <v>28</v>
      </c>
      <c r="J50" s="34">
        <v>38</v>
      </c>
      <c r="K50" s="34">
        <v>49</v>
      </c>
      <c r="L50" s="34">
        <v>55</v>
      </c>
      <c r="M50" s="34">
        <v>68</v>
      </c>
      <c r="N50" s="34">
        <v>74</v>
      </c>
      <c r="O50" s="34">
        <v>74</v>
      </c>
      <c r="P50" s="34">
        <v>95</v>
      </c>
      <c r="Q50" s="56">
        <v>102</v>
      </c>
      <c r="R50" s="56">
        <v>102</v>
      </c>
      <c r="S50" s="56">
        <v>102</v>
      </c>
      <c r="T50" s="56">
        <v>102</v>
      </c>
      <c r="U50" s="56">
        <v>102</v>
      </c>
      <c r="V50" s="56">
        <v>102</v>
      </c>
    </row>
    <row r="51" spans="1:22" ht="19.899999999999999" customHeight="1" thickBot="1" x14ac:dyDescent="0.25">
      <c r="B51" s="17"/>
      <c r="C51" s="19"/>
      <c r="D51" s="21" t="s">
        <v>21</v>
      </c>
      <c r="E51" s="64" t="s">
        <v>48</v>
      </c>
      <c r="F51" s="35">
        <v>10</v>
      </c>
      <c r="G51" s="35">
        <v>15</v>
      </c>
      <c r="H51" s="35">
        <v>16</v>
      </c>
      <c r="I51" s="35">
        <v>25</v>
      </c>
      <c r="J51" s="35">
        <v>35</v>
      </c>
      <c r="K51" s="35">
        <v>42</v>
      </c>
      <c r="L51" s="35">
        <v>57</v>
      </c>
      <c r="M51" s="35">
        <v>65</v>
      </c>
      <c r="N51" s="35">
        <v>68</v>
      </c>
      <c r="O51" s="35">
        <v>87</v>
      </c>
      <c r="P51" s="35">
        <v>88</v>
      </c>
      <c r="Q51" s="56">
        <v>102</v>
      </c>
      <c r="R51" s="56">
        <v>102</v>
      </c>
      <c r="S51" s="56">
        <v>102</v>
      </c>
      <c r="T51" s="56">
        <v>102</v>
      </c>
      <c r="U51" s="56">
        <v>102</v>
      </c>
      <c r="V51" s="56">
        <v>102</v>
      </c>
    </row>
    <row r="52" spans="1:22" ht="19.899999999999999" customHeight="1" x14ac:dyDescent="0.2">
      <c r="B52" s="12" t="s">
        <v>4</v>
      </c>
      <c r="C52" s="18">
        <v>3</v>
      </c>
      <c r="D52" s="16" t="s">
        <v>22</v>
      </c>
      <c r="E52" s="62" t="s">
        <v>34</v>
      </c>
      <c r="F52" s="33">
        <v>9</v>
      </c>
      <c r="G52" s="33">
        <v>15</v>
      </c>
      <c r="H52" s="33">
        <v>18</v>
      </c>
      <c r="I52" s="33">
        <v>22</v>
      </c>
      <c r="J52" s="33">
        <v>37</v>
      </c>
      <c r="K52" s="33">
        <v>49</v>
      </c>
      <c r="L52" s="33">
        <v>58</v>
      </c>
      <c r="M52" s="33">
        <v>71</v>
      </c>
      <c r="N52" s="33">
        <v>84</v>
      </c>
      <c r="O52" s="33">
        <v>89</v>
      </c>
      <c r="P52" s="56">
        <v>102</v>
      </c>
      <c r="Q52" s="56">
        <v>102</v>
      </c>
      <c r="R52" s="56">
        <v>102</v>
      </c>
      <c r="S52" s="56">
        <v>102</v>
      </c>
      <c r="T52" s="56">
        <v>102</v>
      </c>
      <c r="U52" s="56">
        <v>102</v>
      </c>
      <c r="V52" s="56">
        <v>102</v>
      </c>
    </row>
    <row r="53" spans="1:22" ht="19.899999999999999" customHeight="1" x14ac:dyDescent="0.2">
      <c r="B53" s="13"/>
      <c r="C53" s="38"/>
      <c r="D53" s="20" t="s">
        <v>20</v>
      </c>
      <c r="E53" s="63" t="s">
        <v>34</v>
      </c>
      <c r="F53" s="34">
        <v>9</v>
      </c>
      <c r="G53" s="34">
        <v>16</v>
      </c>
      <c r="H53" s="34">
        <v>17</v>
      </c>
      <c r="I53" s="34">
        <v>34</v>
      </c>
      <c r="J53" s="34">
        <v>31</v>
      </c>
      <c r="K53" s="34">
        <v>42</v>
      </c>
      <c r="L53" s="34">
        <v>43</v>
      </c>
      <c r="M53" s="34">
        <v>60</v>
      </c>
      <c r="N53" s="34">
        <v>68</v>
      </c>
      <c r="O53" s="34">
        <v>87</v>
      </c>
      <c r="P53" s="34">
        <v>94</v>
      </c>
      <c r="Q53" s="57">
        <v>102</v>
      </c>
      <c r="R53" s="57">
        <v>102</v>
      </c>
      <c r="S53" s="57">
        <v>102</v>
      </c>
      <c r="T53" s="57">
        <v>102</v>
      </c>
      <c r="U53" s="57">
        <v>102</v>
      </c>
      <c r="V53" s="57">
        <v>102</v>
      </c>
    </row>
    <row r="54" spans="1:22" ht="19.899999999999999" customHeight="1" thickBot="1" x14ac:dyDescent="0.25">
      <c r="B54" s="17"/>
      <c r="C54" s="19"/>
      <c r="D54" s="21" t="s">
        <v>21</v>
      </c>
      <c r="E54" s="64" t="s">
        <v>34</v>
      </c>
      <c r="F54" s="35">
        <v>10</v>
      </c>
      <c r="G54" s="35">
        <v>12</v>
      </c>
      <c r="H54" s="35">
        <v>21</v>
      </c>
      <c r="I54" s="35">
        <v>23.5</v>
      </c>
      <c r="J54" s="35">
        <v>38</v>
      </c>
      <c r="K54" s="35">
        <v>46</v>
      </c>
      <c r="L54" s="35">
        <v>51</v>
      </c>
      <c r="M54" s="35">
        <v>59</v>
      </c>
      <c r="N54" s="35">
        <v>66</v>
      </c>
      <c r="O54" s="35">
        <v>62</v>
      </c>
      <c r="P54" s="35">
        <v>79</v>
      </c>
      <c r="Q54" s="35">
        <v>95</v>
      </c>
      <c r="R54" s="55">
        <v>102</v>
      </c>
      <c r="S54" s="55">
        <v>102</v>
      </c>
      <c r="T54" s="55">
        <v>102</v>
      </c>
      <c r="U54" s="55">
        <v>102</v>
      </c>
      <c r="V54" s="55">
        <v>102</v>
      </c>
    </row>
    <row r="55" spans="1:22" ht="19.899999999999999" customHeight="1" x14ac:dyDescent="0.2">
      <c r="B55" s="12" t="s">
        <v>4</v>
      </c>
      <c r="C55" s="18">
        <v>2</v>
      </c>
      <c r="D55" s="16" t="s">
        <v>22</v>
      </c>
      <c r="E55" s="62" t="s">
        <v>36</v>
      </c>
      <c r="F55" s="33">
        <v>10</v>
      </c>
      <c r="G55" s="33">
        <v>14</v>
      </c>
      <c r="H55" s="33">
        <v>23</v>
      </c>
      <c r="I55" s="33">
        <v>33</v>
      </c>
      <c r="J55" s="33">
        <v>36</v>
      </c>
      <c r="K55" s="33">
        <v>41</v>
      </c>
      <c r="L55" s="33">
        <v>43</v>
      </c>
      <c r="M55" s="33">
        <v>54</v>
      </c>
      <c r="N55" s="33">
        <v>48</v>
      </c>
      <c r="O55" s="33">
        <v>68</v>
      </c>
      <c r="P55" s="33">
        <v>76</v>
      </c>
      <c r="Q55" s="33">
        <v>87</v>
      </c>
      <c r="R55" s="33">
        <v>92</v>
      </c>
      <c r="S55" s="56">
        <v>102</v>
      </c>
      <c r="T55" s="56">
        <v>102</v>
      </c>
      <c r="U55" s="56">
        <v>102</v>
      </c>
      <c r="V55" s="56">
        <v>102</v>
      </c>
    </row>
    <row r="56" spans="1:22" ht="19.899999999999999" customHeight="1" x14ac:dyDescent="0.2">
      <c r="B56" s="13"/>
      <c r="C56" s="38"/>
      <c r="D56" s="20" t="s">
        <v>20</v>
      </c>
      <c r="E56" s="63" t="s">
        <v>36</v>
      </c>
      <c r="F56" s="34">
        <v>8</v>
      </c>
      <c r="G56" s="34">
        <v>16</v>
      </c>
      <c r="H56" s="34">
        <v>23</v>
      </c>
      <c r="I56" s="34">
        <v>29</v>
      </c>
      <c r="J56" s="34">
        <v>33</v>
      </c>
      <c r="K56" s="34">
        <v>36</v>
      </c>
      <c r="L56" s="34">
        <v>41</v>
      </c>
      <c r="M56" s="34">
        <v>43</v>
      </c>
      <c r="N56" s="34">
        <v>42</v>
      </c>
      <c r="O56" s="34">
        <v>57</v>
      </c>
      <c r="P56" s="34">
        <v>55</v>
      </c>
      <c r="Q56" s="34">
        <v>45</v>
      </c>
      <c r="R56" s="34">
        <v>50</v>
      </c>
      <c r="S56" s="34">
        <v>48</v>
      </c>
      <c r="T56" s="34">
        <v>51</v>
      </c>
      <c r="U56" s="34">
        <v>46</v>
      </c>
      <c r="V56" s="34">
        <v>54</v>
      </c>
    </row>
    <row r="57" spans="1:22" ht="19.899999999999999" customHeight="1" thickBot="1" x14ac:dyDescent="0.25">
      <c r="B57" s="17"/>
      <c r="C57" s="19"/>
      <c r="D57" s="21" t="s">
        <v>21</v>
      </c>
      <c r="E57" s="64" t="s">
        <v>36</v>
      </c>
      <c r="F57" s="35">
        <v>11</v>
      </c>
      <c r="G57" s="35">
        <v>19</v>
      </c>
      <c r="H57" s="35">
        <v>23</v>
      </c>
      <c r="I57" s="35">
        <v>32.5</v>
      </c>
      <c r="J57" s="35">
        <v>38</v>
      </c>
      <c r="K57" s="35">
        <v>43</v>
      </c>
      <c r="L57" s="35">
        <v>56</v>
      </c>
      <c r="M57" s="35">
        <v>64</v>
      </c>
      <c r="N57" s="35">
        <v>65</v>
      </c>
      <c r="O57" s="35">
        <v>74</v>
      </c>
      <c r="P57" s="35">
        <v>82</v>
      </c>
      <c r="Q57" s="35">
        <v>80</v>
      </c>
      <c r="R57" s="35">
        <v>91</v>
      </c>
      <c r="S57" s="55">
        <v>102</v>
      </c>
      <c r="T57" s="55">
        <v>102</v>
      </c>
      <c r="U57" s="55">
        <v>102</v>
      </c>
      <c r="V57" s="55">
        <v>102</v>
      </c>
    </row>
    <row r="58" spans="1:22" ht="19.899999999999999" customHeight="1" x14ac:dyDescent="0.2">
      <c r="A58" s="1"/>
      <c r="B58" s="12" t="s">
        <v>4</v>
      </c>
      <c r="C58" s="18">
        <v>1</v>
      </c>
      <c r="D58" s="16" t="s">
        <v>22</v>
      </c>
      <c r="E58" s="62" t="s">
        <v>33</v>
      </c>
      <c r="F58" s="33">
        <v>9</v>
      </c>
      <c r="G58" s="33">
        <v>15</v>
      </c>
      <c r="H58" s="33">
        <v>22</v>
      </c>
      <c r="I58" s="33">
        <v>35</v>
      </c>
      <c r="J58" s="33">
        <v>43</v>
      </c>
      <c r="K58" s="33">
        <v>42</v>
      </c>
      <c r="L58" s="33">
        <v>49</v>
      </c>
      <c r="M58" s="33">
        <v>58</v>
      </c>
      <c r="N58" s="33">
        <v>56</v>
      </c>
      <c r="O58" s="33">
        <v>78</v>
      </c>
      <c r="P58" s="33">
        <v>79</v>
      </c>
      <c r="Q58" s="33">
        <v>91</v>
      </c>
      <c r="R58" s="33">
        <v>94</v>
      </c>
      <c r="S58" s="56">
        <v>102</v>
      </c>
      <c r="T58" s="56">
        <v>102</v>
      </c>
      <c r="U58" s="56">
        <v>102</v>
      </c>
      <c r="V58" s="56">
        <v>102</v>
      </c>
    </row>
    <row r="59" spans="1:22" ht="19.899999999999999" customHeight="1" x14ac:dyDescent="0.2">
      <c r="A59" s="1"/>
      <c r="B59" s="13"/>
      <c r="C59" s="38"/>
      <c r="D59" s="20" t="s">
        <v>20</v>
      </c>
      <c r="E59" s="63" t="s">
        <v>33</v>
      </c>
      <c r="F59" s="34">
        <v>10</v>
      </c>
      <c r="G59" s="34">
        <v>17</v>
      </c>
      <c r="H59" s="34">
        <v>22</v>
      </c>
      <c r="I59" s="34">
        <v>28</v>
      </c>
      <c r="J59" s="34">
        <v>34</v>
      </c>
      <c r="K59" s="34">
        <v>41</v>
      </c>
      <c r="L59" s="34">
        <v>49</v>
      </c>
      <c r="M59" s="34">
        <v>59</v>
      </c>
      <c r="N59" s="34">
        <v>64</v>
      </c>
      <c r="O59" s="34">
        <v>71</v>
      </c>
      <c r="P59" s="34">
        <v>85</v>
      </c>
      <c r="Q59" s="34">
        <v>97</v>
      </c>
      <c r="R59" s="57">
        <v>102</v>
      </c>
      <c r="S59" s="57">
        <v>102</v>
      </c>
      <c r="T59" s="57">
        <v>102</v>
      </c>
      <c r="U59" s="57">
        <v>102</v>
      </c>
      <c r="V59" s="57">
        <v>102</v>
      </c>
    </row>
    <row r="60" spans="1:22" ht="19.899999999999999" customHeight="1" thickBot="1" x14ac:dyDescent="0.25">
      <c r="A60" s="1"/>
      <c r="B60" s="17"/>
      <c r="C60" s="19"/>
      <c r="D60" s="21" t="s">
        <v>21</v>
      </c>
      <c r="E60" s="64" t="s">
        <v>33</v>
      </c>
      <c r="F60" s="35">
        <v>9</v>
      </c>
      <c r="G60" s="35">
        <v>17</v>
      </c>
      <c r="H60" s="35">
        <v>26</v>
      </c>
      <c r="I60" s="35">
        <v>35.5</v>
      </c>
      <c r="J60" s="35">
        <v>43</v>
      </c>
      <c r="K60" s="35">
        <v>54</v>
      </c>
      <c r="L60" s="35">
        <v>58</v>
      </c>
      <c r="M60" s="35">
        <v>71</v>
      </c>
      <c r="N60" s="35">
        <v>79</v>
      </c>
      <c r="O60" s="35">
        <v>87</v>
      </c>
      <c r="P60" s="35">
        <v>98</v>
      </c>
      <c r="Q60" s="55">
        <v>102</v>
      </c>
      <c r="R60" s="55">
        <v>102</v>
      </c>
      <c r="S60" s="55">
        <v>102</v>
      </c>
      <c r="T60" s="55">
        <v>102</v>
      </c>
      <c r="U60" s="55">
        <v>102</v>
      </c>
      <c r="V60" s="55">
        <v>102</v>
      </c>
    </row>
    <row r="61" spans="1:22" ht="19.899999999999999" customHeight="1" x14ac:dyDescent="0.2">
      <c r="A61" s="15"/>
      <c r="B61" s="12" t="s">
        <v>5</v>
      </c>
      <c r="C61" s="18">
        <v>1</v>
      </c>
      <c r="D61" s="16" t="s">
        <v>21</v>
      </c>
      <c r="E61" s="62" t="s">
        <v>34</v>
      </c>
      <c r="F61" s="33">
        <v>9</v>
      </c>
      <c r="G61" s="33">
        <v>14</v>
      </c>
      <c r="H61" s="33">
        <v>21</v>
      </c>
      <c r="I61" s="33">
        <v>29</v>
      </c>
      <c r="J61" s="33">
        <v>41</v>
      </c>
      <c r="K61" s="33">
        <v>42</v>
      </c>
      <c r="L61" s="33">
        <v>63</v>
      </c>
      <c r="M61" s="33">
        <v>71</v>
      </c>
      <c r="N61" s="33">
        <v>69</v>
      </c>
      <c r="O61" s="33">
        <v>88</v>
      </c>
      <c r="P61" s="33">
        <v>94</v>
      </c>
      <c r="Q61" s="33">
        <v>94</v>
      </c>
      <c r="R61" s="56">
        <v>102</v>
      </c>
      <c r="S61" s="56">
        <v>102</v>
      </c>
      <c r="T61" s="56">
        <v>102</v>
      </c>
      <c r="U61" s="56">
        <v>102</v>
      </c>
      <c r="V61" s="56">
        <v>102</v>
      </c>
    </row>
    <row r="62" spans="1:22" ht="19.899999999999999" customHeight="1" x14ac:dyDescent="0.2">
      <c r="A62" s="15"/>
      <c r="C62" s="38"/>
      <c r="D62" s="20" t="s">
        <v>20</v>
      </c>
      <c r="E62" s="63" t="s">
        <v>34</v>
      </c>
      <c r="F62" s="34">
        <v>9</v>
      </c>
      <c r="G62" s="34">
        <v>22</v>
      </c>
      <c r="H62" s="34">
        <v>23</v>
      </c>
      <c r="I62" s="34">
        <v>39</v>
      </c>
      <c r="J62" s="34">
        <v>42</v>
      </c>
      <c r="K62" s="34">
        <v>49</v>
      </c>
      <c r="L62" s="34">
        <v>66</v>
      </c>
      <c r="M62" s="34">
        <v>75</v>
      </c>
      <c r="N62" s="34">
        <v>82</v>
      </c>
      <c r="O62" s="34">
        <v>96</v>
      </c>
      <c r="P62" s="34">
        <v>100</v>
      </c>
      <c r="Q62" s="57">
        <v>102</v>
      </c>
      <c r="R62" s="57">
        <v>102</v>
      </c>
      <c r="S62" s="57">
        <v>102</v>
      </c>
      <c r="T62" s="57">
        <v>102</v>
      </c>
      <c r="U62" s="57">
        <v>102</v>
      </c>
      <c r="V62" s="57">
        <v>102</v>
      </c>
    </row>
    <row r="63" spans="1:22" ht="19.899999999999999" customHeight="1" thickBot="1" x14ac:dyDescent="0.25">
      <c r="B63" s="17"/>
      <c r="C63" s="19"/>
      <c r="D63" s="21" t="s">
        <v>22</v>
      </c>
      <c r="E63" s="64" t="s">
        <v>34</v>
      </c>
      <c r="F63" s="35">
        <v>12</v>
      </c>
      <c r="G63" s="35">
        <v>18</v>
      </c>
      <c r="H63" s="35">
        <v>25</v>
      </c>
      <c r="I63" s="35">
        <v>35</v>
      </c>
      <c r="J63" s="35">
        <v>41</v>
      </c>
      <c r="K63" s="35">
        <v>50</v>
      </c>
      <c r="L63" s="35">
        <v>61</v>
      </c>
      <c r="M63" s="35">
        <v>74</v>
      </c>
      <c r="N63" s="35">
        <v>80</v>
      </c>
      <c r="O63" s="35">
        <v>100</v>
      </c>
      <c r="P63" s="55">
        <v>102</v>
      </c>
      <c r="Q63" s="55">
        <v>102</v>
      </c>
      <c r="R63" s="55">
        <v>102</v>
      </c>
      <c r="S63" s="55">
        <v>102</v>
      </c>
      <c r="T63" s="55">
        <v>102</v>
      </c>
      <c r="U63" s="55">
        <v>102</v>
      </c>
      <c r="V63" s="55">
        <v>102</v>
      </c>
    </row>
    <row r="64" spans="1:22" ht="19.899999999999999" customHeight="1" x14ac:dyDescent="0.2">
      <c r="B64" s="12" t="s">
        <v>5</v>
      </c>
      <c r="C64" s="18">
        <v>2</v>
      </c>
      <c r="D64" s="16" t="s">
        <v>21</v>
      </c>
      <c r="E64" s="62" t="s">
        <v>42</v>
      </c>
      <c r="F64" s="33">
        <v>10</v>
      </c>
      <c r="G64" s="33">
        <v>19</v>
      </c>
      <c r="H64" s="33">
        <v>26</v>
      </c>
      <c r="I64" s="33">
        <v>39</v>
      </c>
      <c r="J64" s="33">
        <v>43</v>
      </c>
      <c r="K64" s="33">
        <v>56</v>
      </c>
      <c r="L64" s="33">
        <v>75</v>
      </c>
      <c r="M64" s="33">
        <v>84</v>
      </c>
      <c r="N64" s="33">
        <v>91</v>
      </c>
      <c r="O64" s="56">
        <v>102</v>
      </c>
      <c r="P64" s="56">
        <v>102</v>
      </c>
      <c r="Q64" s="56">
        <v>102</v>
      </c>
      <c r="R64" s="56">
        <v>102</v>
      </c>
      <c r="S64" s="56">
        <v>102</v>
      </c>
      <c r="T64" s="56">
        <v>102</v>
      </c>
      <c r="U64" s="56">
        <v>102</v>
      </c>
      <c r="V64" s="56">
        <v>102</v>
      </c>
    </row>
    <row r="65" spans="2:22" ht="19.899999999999999" customHeight="1" x14ac:dyDescent="0.2">
      <c r="B65" s="13"/>
      <c r="C65" s="38"/>
      <c r="D65" s="20" t="s">
        <v>20</v>
      </c>
      <c r="E65" s="63" t="s">
        <v>42</v>
      </c>
      <c r="F65" s="34">
        <v>10</v>
      </c>
      <c r="G65" s="34">
        <v>12</v>
      </c>
      <c r="H65" s="34">
        <v>23</v>
      </c>
      <c r="I65" s="34">
        <v>34</v>
      </c>
      <c r="J65" s="34">
        <v>42</v>
      </c>
      <c r="K65" s="34">
        <v>54</v>
      </c>
      <c r="L65" s="34">
        <v>64</v>
      </c>
      <c r="M65" s="34">
        <v>73</v>
      </c>
      <c r="N65" s="34">
        <v>86</v>
      </c>
      <c r="O65" s="34">
        <v>92</v>
      </c>
      <c r="P65" s="57">
        <v>102</v>
      </c>
      <c r="Q65" s="57">
        <v>102</v>
      </c>
      <c r="R65" s="57">
        <v>102</v>
      </c>
      <c r="S65" s="57">
        <v>102</v>
      </c>
      <c r="T65" s="57">
        <v>102</v>
      </c>
      <c r="U65" s="57">
        <v>102</v>
      </c>
      <c r="V65" s="57">
        <v>102</v>
      </c>
    </row>
    <row r="66" spans="2:22" ht="19.899999999999999" customHeight="1" thickBot="1" x14ac:dyDescent="0.25">
      <c r="B66" s="17"/>
      <c r="C66" s="19"/>
      <c r="D66" s="21" t="s">
        <v>22</v>
      </c>
      <c r="E66" s="64" t="s">
        <v>42</v>
      </c>
      <c r="F66" s="35">
        <v>10</v>
      </c>
      <c r="G66" s="35">
        <v>16</v>
      </c>
      <c r="H66" s="35">
        <v>22</v>
      </c>
      <c r="I66" s="35">
        <v>27</v>
      </c>
      <c r="J66" s="35">
        <v>36</v>
      </c>
      <c r="K66" s="35">
        <v>45</v>
      </c>
      <c r="L66" s="35">
        <v>57</v>
      </c>
      <c r="M66" s="35">
        <v>53</v>
      </c>
      <c r="N66" s="35">
        <v>62</v>
      </c>
      <c r="O66" s="35">
        <v>68</v>
      </c>
      <c r="P66" s="55">
        <v>74</v>
      </c>
      <c r="Q66" s="35">
        <v>78</v>
      </c>
      <c r="R66" s="55">
        <v>102</v>
      </c>
      <c r="S66" s="55">
        <v>102</v>
      </c>
      <c r="T66" s="55">
        <v>102</v>
      </c>
      <c r="U66" s="55">
        <v>102</v>
      </c>
      <c r="V66" s="55">
        <v>102</v>
      </c>
    </row>
    <row r="67" spans="2:22" ht="19.899999999999999" customHeight="1" x14ac:dyDescent="0.2">
      <c r="B67" s="12" t="s">
        <v>5</v>
      </c>
      <c r="C67" s="18">
        <v>3</v>
      </c>
      <c r="D67" s="16" t="s">
        <v>21</v>
      </c>
      <c r="E67" s="62" t="s">
        <v>43</v>
      </c>
      <c r="F67" s="33">
        <v>8</v>
      </c>
      <c r="G67" s="33">
        <v>10</v>
      </c>
      <c r="H67" s="33">
        <v>20</v>
      </c>
      <c r="I67" s="33">
        <v>33.5</v>
      </c>
      <c r="J67" s="33">
        <v>36</v>
      </c>
      <c r="K67" s="33">
        <v>48</v>
      </c>
      <c r="L67" s="33">
        <v>64</v>
      </c>
      <c r="M67" s="33">
        <v>76</v>
      </c>
      <c r="N67" s="33">
        <v>89</v>
      </c>
      <c r="O67" s="56">
        <v>102</v>
      </c>
      <c r="P67" s="56">
        <v>102</v>
      </c>
      <c r="Q67" s="56">
        <v>102</v>
      </c>
      <c r="R67" s="56">
        <v>102</v>
      </c>
      <c r="S67" s="56">
        <v>102</v>
      </c>
      <c r="T67" s="56">
        <v>102</v>
      </c>
      <c r="U67" s="56">
        <v>102</v>
      </c>
      <c r="V67" s="56">
        <v>102</v>
      </c>
    </row>
    <row r="68" spans="2:22" ht="19.899999999999999" customHeight="1" x14ac:dyDescent="0.2">
      <c r="B68" s="13"/>
      <c r="C68" s="38"/>
      <c r="D68" s="20" t="s">
        <v>20</v>
      </c>
      <c r="E68" s="63" t="s">
        <v>43</v>
      </c>
      <c r="F68" s="34">
        <v>8</v>
      </c>
      <c r="G68" s="34">
        <v>10</v>
      </c>
      <c r="H68" s="34">
        <v>18</v>
      </c>
      <c r="I68" s="34">
        <v>25</v>
      </c>
      <c r="J68" s="34">
        <v>34</v>
      </c>
      <c r="K68" s="34">
        <v>46</v>
      </c>
      <c r="L68" s="34">
        <v>52</v>
      </c>
      <c r="M68" s="34">
        <v>67</v>
      </c>
      <c r="N68" s="34">
        <v>73</v>
      </c>
      <c r="O68" s="34">
        <v>83</v>
      </c>
      <c r="P68" s="57">
        <v>102</v>
      </c>
      <c r="Q68" s="57">
        <v>102</v>
      </c>
      <c r="R68" s="57">
        <v>102</v>
      </c>
      <c r="S68" s="57">
        <v>102</v>
      </c>
      <c r="T68" s="57">
        <v>102</v>
      </c>
      <c r="U68" s="57">
        <v>102</v>
      </c>
      <c r="V68" s="57">
        <v>102</v>
      </c>
    </row>
    <row r="69" spans="2:22" ht="19.899999999999999" customHeight="1" thickBot="1" x14ac:dyDescent="0.25">
      <c r="B69" s="17"/>
      <c r="C69" s="19"/>
      <c r="D69" s="21" t="s">
        <v>22</v>
      </c>
      <c r="E69" s="64" t="s">
        <v>43</v>
      </c>
      <c r="F69" s="35">
        <v>8</v>
      </c>
      <c r="G69" s="35">
        <v>12</v>
      </c>
      <c r="H69" s="35">
        <v>15</v>
      </c>
      <c r="I69" s="35">
        <v>30</v>
      </c>
      <c r="J69" s="35">
        <v>34</v>
      </c>
      <c r="K69" s="35">
        <v>46</v>
      </c>
      <c r="L69" s="35">
        <v>61</v>
      </c>
      <c r="M69" s="35">
        <v>80</v>
      </c>
      <c r="N69" s="35">
        <v>87</v>
      </c>
      <c r="O69" s="55">
        <v>102</v>
      </c>
      <c r="P69" s="55">
        <v>102</v>
      </c>
      <c r="Q69" s="55">
        <v>102</v>
      </c>
      <c r="R69" s="55">
        <v>102</v>
      </c>
      <c r="S69" s="55">
        <v>102</v>
      </c>
      <c r="T69" s="55">
        <v>102</v>
      </c>
      <c r="U69" s="55">
        <v>102</v>
      </c>
      <c r="V69" s="55">
        <v>102</v>
      </c>
    </row>
    <row r="70" spans="2:22" ht="19.899999999999999" customHeight="1" x14ac:dyDescent="0.2">
      <c r="B70" s="12" t="s">
        <v>5</v>
      </c>
      <c r="C70" s="18">
        <v>4</v>
      </c>
      <c r="D70" s="16" t="s">
        <v>21</v>
      </c>
      <c r="E70" s="62" t="s">
        <v>35</v>
      </c>
      <c r="F70" s="33">
        <v>7</v>
      </c>
      <c r="G70" s="33">
        <v>11</v>
      </c>
      <c r="H70" s="33">
        <v>17</v>
      </c>
      <c r="I70" s="33">
        <v>28</v>
      </c>
      <c r="J70" s="33">
        <v>30</v>
      </c>
      <c r="K70" s="33">
        <v>33</v>
      </c>
      <c r="L70" s="33">
        <v>36</v>
      </c>
      <c r="M70" s="33">
        <v>38</v>
      </c>
      <c r="N70" s="33">
        <v>37</v>
      </c>
      <c r="O70" s="33">
        <v>50</v>
      </c>
      <c r="P70" s="33">
        <v>57</v>
      </c>
      <c r="Q70" s="33">
        <v>58</v>
      </c>
      <c r="R70" s="33">
        <v>72</v>
      </c>
      <c r="S70" s="33">
        <v>73</v>
      </c>
      <c r="T70" s="33">
        <v>79</v>
      </c>
      <c r="U70" s="33">
        <v>80</v>
      </c>
      <c r="V70" s="33">
        <v>102</v>
      </c>
    </row>
    <row r="71" spans="2:22" ht="19.899999999999999" customHeight="1" x14ac:dyDescent="0.2">
      <c r="B71" s="13"/>
      <c r="C71" s="38"/>
      <c r="D71" s="20" t="s">
        <v>20</v>
      </c>
      <c r="E71" s="63" t="s">
        <v>35</v>
      </c>
      <c r="F71" s="34">
        <v>8</v>
      </c>
      <c r="G71" s="34">
        <v>15</v>
      </c>
      <c r="H71" s="34">
        <v>14</v>
      </c>
      <c r="I71" s="34">
        <v>22</v>
      </c>
      <c r="J71" s="34">
        <v>24</v>
      </c>
      <c r="K71" s="34">
        <v>27</v>
      </c>
      <c r="L71" s="34">
        <v>29</v>
      </c>
      <c r="M71" s="34">
        <v>28</v>
      </c>
      <c r="N71" s="34">
        <v>30</v>
      </c>
      <c r="O71" s="34">
        <v>25</v>
      </c>
      <c r="P71" s="34">
        <v>34</v>
      </c>
      <c r="Q71" s="34">
        <v>41</v>
      </c>
      <c r="R71" s="34">
        <v>54</v>
      </c>
      <c r="S71" s="34">
        <v>60</v>
      </c>
      <c r="T71" s="34">
        <v>64</v>
      </c>
      <c r="U71" s="34">
        <v>61</v>
      </c>
      <c r="V71" s="34">
        <v>69</v>
      </c>
    </row>
    <row r="72" spans="2:22" ht="19.899999999999999" customHeight="1" thickBot="1" x14ac:dyDescent="0.25">
      <c r="B72" s="17"/>
      <c r="C72" s="19"/>
      <c r="D72" s="21" t="s">
        <v>22</v>
      </c>
      <c r="E72" s="64" t="s">
        <v>35</v>
      </c>
      <c r="F72" s="35">
        <v>8</v>
      </c>
      <c r="G72" s="35">
        <v>14</v>
      </c>
      <c r="H72" s="35">
        <v>15</v>
      </c>
      <c r="I72" s="35">
        <v>22.5</v>
      </c>
      <c r="J72" s="35">
        <v>23</v>
      </c>
      <c r="K72" s="35">
        <v>26</v>
      </c>
      <c r="L72" s="35">
        <v>26</v>
      </c>
      <c r="M72" s="35">
        <v>27</v>
      </c>
      <c r="N72" s="35">
        <v>29</v>
      </c>
      <c r="O72" s="35">
        <v>33</v>
      </c>
      <c r="P72" s="35">
        <v>41</v>
      </c>
      <c r="Q72" s="35">
        <v>50</v>
      </c>
      <c r="R72" s="35">
        <v>63</v>
      </c>
      <c r="S72" s="35">
        <v>66</v>
      </c>
      <c r="T72" s="35">
        <v>77</v>
      </c>
      <c r="U72" s="35">
        <v>77</v>
      </c>
      <c r="V72" s="35">
        <v>83</v>
      </c>
    </row>
    <row r="73" spans="2:22" ht="19.899999999999999" customHeight="1" thickBot="1" x14ac:dyDescent="0.25">
      <c r="B73" s="12" t="s">
        <v>6</v>
      </c>
      <c r="C73" s="18">
        <v>4</v>
      </c>
      <c r="D73" s="16" t="s">
        <v>22</v>
      </c>
      <c r="E73" s="62" t="s">
        <v>41</v>
      </c>
      <c r="F73" s="33">
        <v>8</v>
      </c>
      <c r="G73" s="33">
        <v>15</v>
      </c>
      <c r="H73" s="33">
        <v>18</v>
      </c>
      <c r="I73" s="33">
        <v>28</v>
      </c>
      <c r="J73" s="33">
        <v>27</v>
      </c>
      <c r="K73" s="33">
        <v>34</v>
      </c>
      <c r="L73" s="33">
        <v>38</v>
      </c>
      <c r="M73" s="33">
        <v>38</v>
      </c>
      <c r="N73" s="33">
        <v>37</v>
      </c>
      <c r="O73" s="33">
        <v>46</v>
      </c>
      <c r="P73" s="33">
        <v>60</v>
      </c>
      <c r="Q73" s="33">
        <v>69</v>
      </c>
      <c r="R73" s="33">
        <v>74</v>
      </c>
      <c r="S73" s="33">
        <v>89</v>
      </c>
      <c r="T73" s="33">
        <v>102</v>
      </c>
      <c r="U73" s="33">
        <v>102</v>
      </c>
      <c r="V73" s="33">
        <v>102</v>
      </c>
    </row>
    <row r="74" spans="2:22" ht="19.899999999999999" customHeight="1" thickBot="1" x14ac:dyDescent="0.25">
      <c r="B74" s="13"/>
      <c r="C74" s="38"/>
      <c r="D74" s="20" t="s">
        <v>20</v>
      </c>
      <c r="E74" s="63" t="s">
        <v>41</v>
      </c>
      <c r="F74" s="34">
        <v>8</v>
      </c>
      <c r="G74" s="34">
        <v>15</v>
      </c>
      <c r="H74" s="34">
        <v>17</v>
      </c>
      <c r="I74" s="34">
        <v>25</v>
      </c>
      <c r="J74" s="34">
        <v>28</v>
      </c>
      <c r="K74" s="34">
        <v>37</v>
      </c>
      <c r="L74" s="34">
        <v>37</v>
      </c>
      <c r="M74" s="34">
        <v>42</v>
      </c>
      <c r="N74" s="34">
        <v>39</v>
      </c>
      <c r="O74" s="34">
        <v>59</v>
      </c>
      <c r="P74" s="34">
        <v>70</v>
      </c>
      <c r="Q74" s="34">
        <v>83</v>
      </c>
      <c r="R74" s="34">
        <v>90</v>
      </c>
      <c r="S74" s="34">
        <v>97</v>
      </c>
      <c r="T74" s="33">
        <v>102</v>
      </c>
      <c r="U74" s="33">
        <v>102</v>
      </c>
      <c r="V74" s="33">
        <v>102</v>
      </c>
    </row>
    <row r="75" spans="2:22" ht="19.899999999999999" customHeight="1" thickBot="1" x14ac:dyDescent="0.25">
      <c r="B75" s="17"/>
      <c r="C75" s="19"/>
      <c r="D75" s="21" t="s">
        <v>21</v>
      </c>
      <c r="E75" s="64" t="s">
        <v>41</v>
      </c>
      <c r="F75" s="35">
        <v>9</v>
      </c>
      <c r="G75" s="35">
        <v>11</v>
      </c>
      <c r="H75" s="35">
        <v>18</v>
      </c>
      <c r="I75" s="35">
        <v>26.5</v>
      </c>
      <c r="J75" s="35">
        <v>30</v>
      </c>
      <c r="K75" s="35">
        <v>34</v>
      </c>
      <c r="L75" s="35">
        <v>35</v>
      </c>
      <c r="M75" s="35">
        <v>36</v>
      </c>
      <c r="N75" s="35">
        <v>34</v>
      </c>
      <c r="O75" s="35">
        <v>51</v>
      </c>
      <c r="P75" s="35">
        <v>63</v>
      </c>
      <c r="Q75" s="35">
        <v>80</v>
      </c>
      <c r="R75" s="35">
        <v>88</v>
      </c>
      <c r="S75" s="35">
        <v>97</v>
      </c>
      <c r="T75" s="33">
        <v>102</v>
      </c>
      <c r="U75" s="33">
        <v>102</v>
      </c>
      <c r="V75" s="33">
        <v>102</v>
      </c>
    </row>
    <row r="76" spans="2:22" ht="19.899999999999999" customHeight="1" thickBot="1" x14ac:dyDescent="0.25">
      <c r="B76" s="12" t="s">
        <v>6</v>
      </c>
      <c r="C76" s="18">
        <v>3</v>
      </c>
      <c r="D76" s="16" t="s">
        <v>22</v>
      </c>
      <c r="E76" s="62" t="s">
        <v>39</v>
      </c>
      <c r="F76" s="33">
        <v>8</v>
      </c>
      <c r="G76" s="33">
        <v>14</v>
      </c>
      <c r="H76" s="33">
        <v>23</v>
      </c>
      <c r="I76" s="33">
        <v>25</v>
      </c>
      <c r="J76" s="33">
        <v>30</v>
      </c>
      <c r="K76" s="33">
        <v>35</v>
      </c>
      <c r="L76" s="33">
        <v>36</v>
      </c>
      <c r="M76" s="33">
        <v>38</v>
      </c>
      <c r="N76" s="33">
        <v>37</v>
      </c>
      <c r="O76" s="33">
        <v>46</v>
      </c>
      <c r="P76" s="33">
        <v>70</v>
      </c>
      <c r="Q76" s="33">
        <v>94</v>
      </c>
      <c r="R76" s="33">
        <v>94</v>
      </c>
      <c r="S76" s="56">
        <v>102</v>
      </c>
      <c r="T76" s="56">
        <v>102</v>
      </c>
      <c r="U76" s="56">
        <v>102</v>
      </c>
      <c r="V76" s="56">
        <v>102</v>
      </c>
    </row>
    <row r="77" spans="2:22" ht="19.899999999999999" customHeight="1" thickBot="1" x14ac:dyDescent="0.25">
      <c r="B77" s="13"/>
      <c r="C77" s="38"/>
      <c r="D77" s="20" t="s">
        <v>20</v>
      </c>
      <c r="E77" s="63" t="s">
        <v>39</v>
      </c>
      <c r="F77" s="34">
        <v>8</v>
      </c>
      <c r="G77" s="34">
        <v>18</v>
      </c>
      <c r="H77" s="34">
        <v>22</v>
      </c>
      <c r="I77" s="34">
        <v>35</v>
      </c>
      <c r="J77" s="34">
        <v>30</v>
      </c>
      <c r="K77" s="34">
        <v>38</v>
      </c>
      <c r="L77" s="34">
        <v>39</v>
      </c>
      <c r="M77" s="34">
        <v>48</v>
      </c>
      <c r="N77" s="34">
        <v>46</v>
      </c>
      <c r="O77" s="34">
        <v>73</v>
      </c>
      <c r="P77" s="34">
        <v>76</v>
      </c>
      <c r="Q77" s="34">
        <v>91</v>
      </c>
      <c r="R77" s="34">
        <v>92</v>
      </c>
      <c r="S77" s="56">
        <v>102</v>
      </c>
      <c r="T77" s="56">
        <v>102</v>
      </c>
      <c r="U77" s="56">
        <v>102</v>
      </c>
      <c r="V77" s="56">
        <v>102</v>
      </c>
    </row>
    <row r="78" spans="2:22" ht="19.899999999999999" customHeight="1" thickBot="1" x14ac:dyDescent="0.25">
      <c r="B78" s="17"/>
      <c r="C78" s="19"/>
      <c r="D78" s="21" t="s">
        <v>21</v>
      </c>
      <c r="E78" s="64" t="s">
        <v>39</v>
      </c>
      <c r="F78" s="35">
        <v>8</v>
      </c>
      <c r="G78" s="35">
        <v>19</v>
      </c>
      <c r="H78" s="35">
        <v>22</v>
      </c>
      <c r="I78" s="35">
        <v>29</v>
      </c>
      <c r="J78" s="35">
        <v>31</v>
      </c>
      <c r="K78" s="35">
        <v>40</v>
      </c>
      <c r="L78" s="35">
        <v>40</v>
      </c>
      <c r="M78" s="35">
        <v>48</v>
      </c>
      <c r="N78" s="35">
        <v>47</v>
      </c>
      <c r="O78" s="35">
        <v>51</v>
      </c>
      <c r="P78" s="35">
        <v>65</v>
      </c>
      <c r="Q78" s="35">
        <v>78</v>
      </c>
      <c r="R78" s="35">
        <v>94</v>
      </c>
      <c r="S78" s="56">
        <v>102</v>
      </c>
      <c r="T78" s="56">
        <v>102</v>
      </c>
      <c r="U78" s="56">
        <v>102</v>
      </c>
      <c r="V78" s="56">
        <v>102</v>
      </c>
    </row>
    <row r="79" spans="2:22" ht="19.899999999999999" customHeight="1" x14ac:dyDescent="0.2">
      <c r="B79" s="12" t="s">
        <v>6</v>
      </c>
      <c r="C79" s="18">
        <v>2</v>
      </c>
      <c r="D79" s="16" t="s">
        <v>22</v>
      </c>
      <c r="E79" s="62" t="s">
        <v>37</v>
      </c>
      <c r="F79" s="33">
        <v>9</v>
      </c>
      <c r="G79" s="33">
        <v>19</v>
      </c>
      <c r="H79" s="33">
        <v>18</v>
      </c>
      <c r="I79" s="33">
        <v>30.5</v>
      </c>
      <c r="J79" s="33">
        <v>33</v>
      </c>
      <c r="K79" s="33">
        <v>39</v>
      </c>
      <c r="L79" s="33">
        <v>49</v>
      </c>
      <c r="M79" s="33">
        <v>58</v>
      </c>
      <c r="N79" s="33">
        <v>64</v>
      </c>
      <c r="O79" s="33">
        <v>78</v>
      </c>
      <c r="P79" s="33">
        <v>93</v>
      </c>
      <c r="Q79" s="33">
        <v>98</v>
      </c>
      <c r="R79" s="56">
        <v>102</v>
      </c>
      <c r="S79" s="56">
        <v>102</v>
      </c>
      <c r="T79" s="56">
        <v>102</v>
      </c>
      <c r="U79" s="56">
        <v>102</v>
      </c>
      <c r="V79" s="56">
        <v>102</v>
      </c>
    </row>
    <row r="80" spans="2:22" ht="19.899999999999999" customHeight="1" x14ac:dyDescent="0.2">
      <c r="B80" s="13"/>
      <c r="C80" s="38"/>
      <c r="D80" s="20" t="s">
        <v>20</v>
      </c>
      <c r="E80" s="63" t="s">
        <v>37</v>
      </c>
      <c r="F80" s="34">
        <v>9</v>
      </c>
      <c r="G80" s="34">
        <v>16</v>
      </c>
      <c r="H80" s="34">
        <v>20</v>
      </c>
      <c r="I80" s="34">
        <v>31</v>
      </c>
      <c r="J80" s="34">
        <v>30</v>
      </c>
      <c r="K80" s="34">
        <v>35</v>
      </c>
      <c r="L80" s="34">
        <v>46</v>
      </c>
      <c r="M80" s="34">
        <v>53</v>
      </c>
      <c r="N80" s="34">
        <v>62</v>
      </c>
      <c r="O80" s="34">
        <v>72</v>
      </c>
      <c r="P80" s="34">
        <v>72</v>
      </c>
      <c r="Q80" s="34">
        <v>76</v>
      </c>
      <c r="R80" s="34">
        <v>82</v>
      </c>
      <c r="S80" s="34">
        <v>82</v>
      </c>
      <c r="T80" s="34">
        <v>96</v>
      </c>
      <c r="U80" s="34">
        <v>84</v>
      </c>
      <c r="V80" s="34">
        <v>94</v>
      </c>
    </row>
    <row r="81" spans="2:22" ht="19.899999999999999" customHeight="1" thickBot="1" x14ac:dyDescent="0.25">
      <c r="B81" s="17"/>
      <c r="C81" s="19"/>
      <c r="D81" s="21" t="s">
        <v>21</v>
      </c>
      <c r="E81" s="64" t="s">
        <v>37</v>
      </c>
      <c r="F81" s="35">
        <v>10</v>
      </c>
      <c r="G81" s="35">
        <v>18</v>
      </c>
      <c r="H81" s="35">
        <v>18</v>
      </c>
      <c r="I81" s="35">
        <v>31</v>
      </c>
      <c r="J81" s="35">
        <v>31</v>
      </c>
      <c r="K81" s="35">
        <v>33</v>
      </c>
      <c r="L81" s="35">
        <v>41</v>
      </c>
      <c r="M81" s="35">
        <v>43</v>
      </c>
      <c r="N81" s="35">
        <v>31</v>
      </c>
      <c r="O81" s="35">
        <v>48</v>
      </c>
      <c r="P81" s="35">
        <v>58</v>
      </c>
      <c r="Q81" s="35">
        <v>51</v>
      </c>
      <c r="R81" s="35">
        <v>61</v>
      </c>
      <c r="S81" s="35">
        <v>63</v>
      </c>
      <c r="T81" s="35">
        <v>70</v>
      </c>
      <c r="U81" s="35">
        <v>69</v>
      </c>
      <c r="V81" s="35">
        <v>69</v>
      </c>
    </row>
    <row r="82" spans="2:22" ht="19.899999999999999" customHeight="1" thickBot="1" x14ac:dyDescent="0.25">
      <c r="B82" s="12" t="s">
        <v>6</v>
      </c>
      <c r="C82" s="18">
        <v>1</v>
      </c>
      <c r="D82" s="16" t="s">
        <v>22</v>
      </c>
      <c r="E82" s="62" t="s">
        <v>44</v>
      </c>
      <c r="F82" s="33">
        <v>8</v>
      </c>
      <c r="G82" s="33">
        <v>20</v>
      </c>
      <c r="H82" s="33">
        <v>24</v>
      </c>
      <c r="I82" s="33">
        <v>32.5</v>
      </c>
      <c r="J82" s="33">
        <v>40</v>
      </c>
      <c r="K82" s="33">
        <v>42</v>
      </c>
      <c r="L82" s="33">
        <v>55</v>
      </c>
      <c r="M82" s="33">
        <v>59</v>
      </c>
      <c r="N82" s="33">
        <v>67</v>
      </c>
      <c r="O82" s="33">
        <v>78</v>
      </c>
      <c r="P82" s="33">
        <v>89</v>
      </c>
      <c r="Q82" s="33">
        <v>101</v>
      </c>
      <c r="R82" s="56">
        <v>102</v>
      </c>
      <c r="S82" s="56">
        <v>102</v>
      </c>
      <c r="T82" s="56">
        <v>102</v>
      </c>
      <c r="U82" s="56">
        <v>102</v>
      </c>
      <c r="V82" s="56">
        <v>102</v>
      </c>
    </row>
    <row r="83" spans="2:22" ht="19.899999999999999" customHeight="1" x14ac:dyDescent="0.2">
      <c r="B83" s="13"/>
      <c r="C83" s="38"/>
      <c r="D83" s="20" t="s">
        <v>20</v>
      </c>
      <c r="E83" s="63" t="s">
        <v>44</v>
      </c>
      <c r="F83" s="34">
        <v>9</v>
      </c>
      <c r="G83" s="34">
        <v>11</v>
      </c>
      <c r="H83" s="34">
        <v>23</v>
      </c>
      <c r="I83" s="34">
        <v>37.5</v>
      </c>
      <c r="J83" s="34">
        <v>35</v>
      </c>
      <c r="K83" s="34">
        <v>44</v>
      </c>
      <c r="L83" s="34">
        <v>54</v>
      </c>
      <c r="M83" s="34">
        <v>56</v>
      </c>
      <c r="N83" s="34">
        <v>55</v>
      </c>
      <c r="O83" s="34">
        <v>67</v>
      </c>
      <c r="P83" s="34">
        <v>85</v>
      </c>
      <c r="Q83" s="34">
        <v>97</v>
      </c>
      <c r="R83" s="56">
        <v>102</v>
      </c>
      <c r="S83" s="56">
        <v>102</v>
      </c>
      <c r="T83" s="56">
        <v>102</v>
      </c>
      <c r="U83" s="56">
        <v>102</v>
      </c>
      <c r="V83" s="56">
        <v>102</v>
      </c>
    </row>
    <row r="84" spans="2:22" ht="19.899999999999999" customHeight="1" thickBot="1" x14ac:dyDescent="0.25">
      <c r="B84" s="17"/>
      <c r="C84" s="19"/>
      <c r="D84" s="21" t="s">
        <v>21</v>
      </c>
      <c r="E84" s="64" t="s">
        <v>44</v>
      </c>
      <c r="F84" s="35">
        <v>11</v>
      </c>
      <c r="G84" s="35">
        <v>25</v>
      </c>
      <c r="H84" s="35">
        <v>26</v>
      </c>
      <c r="I84" s="35">
        <v>32</v>
      </c>
      <c r="J84" s="35">
        <v>38</v>
      </c>
      <c r="K84" s="35">
        <v>46</v>
      </c>
      <c r="L84" s="35">
        <v>50</v>
      </c>
      <c r="M84" s="35">
        <v>56</v>
      </c>
      <c r="N84" s="35">
        <v>65</v>
      </c>
      <c r="O84" s="35">
        <v>66</v>
      </c>
      <c r="P84" s="35">
        <v>91</v>
      </c>
      <c r="Q84" s="55">
        <v>102</v>
      </c>
      <c r="R84" s="55">
        <v>102</v>
      </c>
      <c r="S84" s="55">
        <v>102</v>
      </c>
      <c r="T84" s="55">
        <v>102</v>
      </c>
      <c r="U84" s="55">
        <v>102</v>
      </c>
      <c r="V84" s="55">
        <v>102</v>
      </c>
    </row>
    <row r="85" spans="2:22" ht="19.899999999999999" customHeight="1" thickBot="1" x14ac:dyDescent="0.25">
      <c r="B85" s="12" t="s">
        <v>7</v>
      </c>
      <c r="C85" s="18">
        <v>1</v>
      </c>
      <c r="D85" s="16" t="s">
        <v>21</v>
      </c>
      <c r="E85" s="62" t="s">
        <v>38</v>
      </c>
      <c r="F85" s="33">
        <v>9</v>
      </c>
      <c r="G85" s="33">
        <v>18</v>
      </c>
      <c r="H85" s="33">
        <v>25</v>
      </c>
      <c r="I85" s="33">
        <v>38</v>
      </c>
      <c r="J85" s="33">
        <v>39</v>
      </c>
      <c r="K85" s="33">
        <v>50</v>
      </c>
      <c r="L85" s="33">
        <v>68</v>
      </c>
      <c r="M85" s="33">
        <v>80</v>
      </c>
      <c r="N85" s="33">
        <v>97</v>
      </c>
      <c r="O85" s="56">
        <v>102</v>
      </c>
      <c r="P85" s="56">
        <v>102</v>
      </c>
      <c r="Q85" s="56">
        <v>102</v>
      </c>
      <c r="R85" s="56">
        <v>102</v>
      </c>
      <c r="S85" s="56">
        <v>102</v>
      </c>
      <c r="T85" s="56">
        <v>102</v>
      </c>
      <c r="U85" s="56">
        <v>102</v>
      </c>
      <c r="V85" s="56">
        <v>102</v>
      </c>
    </row>
    <row r="86" spans="2:22" ht="19.899999999999999" customHeight="1" x14ac:dyDescent="0.2">
      <c r="B86" s="13"/>
      <c r="C86" s="38"/>
      <c r="D86" s="20" t="s">
        <v>20</v>
      </c>
      <c r="E86" s="63" t="s">
        <v>38</v>
      </c>
      <c r="F86" s="34">
        <v>9</v>
      </c>
      <c r="G86" s="34">
        <v>13</v>
      </c>
      <c r="H86" s="34">
        <v>22</v>
      </c>
      <c r="I86" s="34">
        <v>39</v>
      </c>
      <c r="J86" s="34">
        <v>47</v>
      </c>
      <c r="K86" s="34">
        <v>55</v>
      </c>
      <c r="L86" s="34">
        <v>77</v>
      </c>
      <c r="M86" s="34">
        <v>84</v>
      </c>
      <c r="N86" s="34">
        <v>92</v>
      </c>
      <c r="O86" s="56">
        <v>102</v>
      </c>
      <c r="P86" s="56">
        <v>102</v>
      </c>
      <c r="Q86" s="56">
        <v>102</v>
      </c>
      <c r="R86" s="56">
        <v>102</v>
      </c>
      <c r="S86" s="56">
        <v>102</v>
      </c>
      <c r="T86" s="56">
        <v>102</v>
      </c>
      <c r="U86" s="56">
        <v>102</v>
      </c>
      <c r="V86" s="56">
        <v>102</v>
      </c>
    </row>
    <row r="87" spans="2:22" ht="19.899999999999999" customHeight="1" thickBot="1" x14ac:dyDescent="0.25">
      <c r="B87" s="17"/>
      <c r="C87" s="19"/>
      <c r="D87" s="21" t="s">
        <v>22</v>
      </c>
      <c r="E87" s="64" t="s">
        <v>38</v>
      </c>
      <c r="F87" s="35">
        <v>11</v>
      </c>
      <c r="G87" s="35">
        <v>15</v>
      </c>
      <c r="H87" s="35">
        <v>22</v>
      </c>
      <c r="I87" s="35">
        <v>27.5</v>
      </c>
      <c r="J87" s="35">
        <v>37</v>
      </c>
      <c r="K87" s="35">
        <v>40</v>
      </c>
      <c r="L87" s="35">
        <v>52</v>
      </c>
      <c r="M87" s="35">
        <v>63</v>
      </c>
      <c r="N87" s="35">
        <v>75</v>
      </c>
      <c r="O87" s="35">
        <v>80</v>
      </c>
      <c r="P87" s="35">
        <v>92</v>
      </c>
      <c r="Q87" s="55">
        <v>102</v>
      </c>
      <c r="R87" s="55">
        <v>102</v>
      </c>
      <c r="S87" s="55">
        <v>102</v>
      </c>
      <c r="T87" s="55">
        <v>102</v>
      </c>
      <c r="U87" s="55">
        <v>102</v>
      </c>
      <c r="V87" s="55">
        <v>102</v>
      </c>
    </row>
    <row r="88" spans="2:22" ht="19.899999999999999" customHeight="1" x14ac:dyDescent="0.2">
      <c r="B88" s="12" t="s">
        <v>7</v>
      </c>
      <c r="C88" s="18">
        <v>2</v>
      </c>
      <c r="D88" s="16" t="s">
        <v>21</v>
      </c>
      <c r="E88" s="62" t="s">
        <v>36</v>
      </c>
      <c r="F88" s="33">
        <v>9</v>
      </c>
      <c r="G88" s="33">
        <v>15</v>
      </c>
      <c r="H88" s="33">
        <v>19</v>
      </c>
      <c r="I88" s="33">
        <v>44</v>
      </c>
      <c r="J88" s="33">
        <v>45</v>
      </c>
      <c r="K88" s="33">
        <v>58</v>
      </c>
      <c r="L88" s="33">
        <v>73</v>
      </c>
      <c r="M88" s="33">
        <v>58</v>
      </c>
      <c r="N88" s="33">
        <v>98</v>
      </c>
      <c r="O88" s="56">
        <v>102</v>
      </c>
      <c r="P88" s="56">
        <v>102</v>
      </c>
      <c r="Q88" s="56">
        <v>102</v>
      </c>
      <c r="R88" s="56">
        <v>102</v>
      </c>
      <c r="S88" s="56">
        <v>102</v>
      </c>
      <c r="T88" s="56">
        <v>102</v>
      </c>
      <c r="U88" s="56">
        <v>102</v>
      </c>
      <c r="V88" s="56">
        <v>102</v>
      </c>
    </row>
    <row r="89" spans="2:22" ht="19.899999999999999" customHeight="1" x14ac:dyDescent="0.2">
      <c r="B89" s="13"/>
      <c r="C89" s="38"/>
      <c r="D89" s="20" t="s">
        <v>20</v>
      </c>
      <c r="E89" s="63" t="s">
        <v>36</v>
      </c>
      <c r="F89" s="34">
        <v>10</v>
      </c>
      <c r="G89" s="34">
        <v>16</v>
      </c>
      <c r="H89" s="34">
        <v>22</v>
      </c>
      <c r="I89" s="34">
        <v>22.5</v>
      </c>
      <c r="J89" s="34">
        <v>39</v>
      </c>
      <c r="K89" s="34">
        <v>40</v>
      </c>
      <c r="L89" s="34">
        <v>51</v>
      </c>
      <c r="M89" s="34">
        <v>57</v>
      </c>
      <c r="N89" s="34">
        <v>69</v>
      </c>
      <c r="O89" s="34">
        <v>69</v>
      </c>
      <c r="P89" s="34">
        <v>85</v>
      </c>
      <c r="Q89" s="34">
        <v>94</v>
      </c>
      <c r="R89" s="57">
        <v>102</v>
      </c>
      <c r="S89" s="57">
        <v>102</v>
      </c>
      <c r="T89" s="57">
        <v>102</v>
      </c>
      <c r="U89" s="57">
        <v>102</v>
      </c>
      <c r="V89" s="57">
        <v>102</v>
      </c>
    </row>
    <row r="90" spans="2:22" ht="19.899999999999999" customHeight="1" thickBot="1" x14ac:dyDescent="0.25">
      <c r="B90" s="17"/>
      <c r="C90" s="19"/>
      <c r="D90" s="21" t="s">
        <v>22</v>
      </c>
      <c r="E90" s="64" t="s">
        <v>36</v>
      </c>
      <c r="F90" s="35">
        <v>8</v>
      </c>
      <c r="G90" s="35">
        <v>13</v>
      </c>
      <c r="H90" s="35">
        <v>18</v>
      </c>
      <c r="I90" s="35">
        <v>32</v>
      </c>
      <c r="J90" s="35">
        <v>31</v>
      </c>
      <c r="K90" s="35">
        <v>37</v>
      </c>
      <c r="L90" s="35">
        <v>49</v>
      </c>
      <c r="M90" s="35">
        <v>57</v>
      </c>
      <c r="N90" s="35">
        <v>60</v>
      </c>
      <c r="O90" s="35">
        <v>73</v>
      </c>
      <c r="P90" s="35">
        <v>75</v>
      </c>
      <c r="Q90" s="35">
        <v>85</v>
      </c>
      <c r="R90" s="35">
        <v>91</v>
      </c>
      <c r="S90" s="35">
        <v>93</v>
      </c>
      <c r="T90" s="35">
        <v>102</v>
      </c>
      <c r="U90" s="35">
        <v>102</v>
      </c>
      <c r="V90" s="35">
        <v>102</v>
      </c>
    </row>
    <row r="91" spans="2:22" ht="19.899999999999999" customHeight="1" x14ac:dyDescent="0.2">
      <c r="B91" s="12" t="s">
        <v>7</v>
      </c>
      <c r="C91" s="18">
        <v>3</v>
      </c>
      <c r="D91" s="16" t="s">
        <v>21</v>
      </c>
      <c r="E91" s="62" t="s">
        <v>47</v>
      </c>
      <c r="F91" s="33">
        <v>9</v>
      </c>
      <c r="G91" s="33">
        <v>12</v>
      </c>
      <c r="H91" s="33">
        <v>23</v>
      </c>
      <c r="I91" s="33">
        <v>35.5</v>
      </c>
      <c r="J91" s="33">
        <v>44</v>
      </c>
      <c r="K91" s="33">
        <v>57</v>
      </c>
      <c r="L91" s="33">
        <v>65</v>
      </c>
      <c r="M91" s="33">
        <v>83</v>
      </c>
      <c r="N91" s="33">
        <v>92</v>
      </c>
      <c r="O91" s="56">
        <v>102</v>
      </c>
      <c r="P91" s="56">
        <v>102</v>
      </c>
      <c r="Q91" s="56">
        <v>102</v>
      </c>
      <c r="R91" s="56">
        <v>102</v>
      </c>
      <c r="S91" s="56">
        <v>102</v>
      </c>
      <c r="T91" s="56">
        <v>102</v>
      </c>
      <c r="U91" s="56">
        <v>102</v>
      </c>
      <c r="V91" s="56">
        <v>102</v>
      </c>
    </row>
    <row r="92" spans="2:22" ht="19.899999999999999" customHeight="1" x14ac:dyDescent="0.2">
      <c r="B92" s="13"/>
      <c r="C92" s="38"/>
      <c r="D92" s="20" t="s">
        <v>20</v>
      </c>
      <c r="E92" s="63" t="s">
        <v>47</v>
      </c>
      <c r="F92" s="34">
        <v>9</v>
      </c>
      <c r="G92" s="34">
        <v>11</v>
      </c>
      <c r="H92" s="34">
        <v>19</v>
      </c>
      <c r="I92" s="34">
        <v>26</v>
      </c>
      <c r="J92" s="34">
        <v>36</v>
      </c>
      <c r="K92" s="34">
        <v>45</v>
      </c>
      <c r="L92" s="34">
        <v>57</v>
      </c>
      <c r="M92" s="34">
        <v>63</v>
      </c>
      <c r="N92" s="34">
        <v>78</v>
      </c>
      <c r="O92" s="34">
        <v>89</v>
      </c>
      <c r="P92" s="34">
        <v>98</v>
      </c>
      <c r="Q92" s="57">
        <v>102</v>
      </c>
      <c r="R92" s="57">
        <v>102</v>
      </c>
      <c r="S92" s="57">
        <v>102</v>
      </c>
      <c r="T92" s="57">
        <v>102</v>
      </c>
      <c r="U92" s="57">
        <v>102</v>
      </c>
      <c r="V92" s="57">
        <v>102</v>
      </c>
    </row>
    <row r="93" spans="2:22" ht="19.899999999999999" customHeight="1" thickBot="1" x14ac:dyDescent="0.25">
      <c r="B93" s="17"/>
      <c r="C93" s="19"/>
      <c r="D93" s="21" t="s">
        <v>22</v>
      </c>
      <c r="E93" s="64" t="s">
        <v>47</v>
      </c>
      <c r="F93" s="35">
        <v>7</v>
      </c>
      <c r="G93" s="35">
        <v>12</v>
      </c>
      <c r="H93" s="35">
        <v>18</v>
      </c>
      <c r="I93" s="35">
        <v>26.5</v>
      </c>
      <c r="J93" s="35">
        <v>32</v>
      </c>
      <c r="K93" s="35">
        <v>38</v>
      </c>
      <c r="L93" s="35">
        <v>44</v>
      </c>
      <c r="M93" s="35">
        <v>56</v>
      </c>
      <c r="N93" s="35">
        <v>60</v>
      </c>
      <c r="O93" s="35">
        <v>78</v>
      </c>
      <c r="P93" s="35">
        <v>91</v>
      </c>
      <c r="Q93" s="35">
        <v>96</v>
      </c>
      <c r="R93" s="55">
        <v>102</v>
      </c>
      <c r="S93" s="55">
        <v>102</v>
      </c>
      <c r="T93" s="55">
        <v>102</v>
      </c>
      <c r="U93" s="55">
        <v>102</v>
      </c>
      <c r="V93" s="55">
        <v>102</v>
      </c>
    </row>
    <row r="94" spans="2:22" ht="19.899999999999999" customHeight="1" x14ac:dyDescent="0.2">
      <c r="B94" s="12" t="s">
        <v>7</v>
      </c>
      <c r="C94" s="18">
        <v>4</v>
      </c>
      <c r="D94" s="16" t="s">
        <v>21</v>
      </c>
      <c r="E94" s="62" t="s">
        <v>33</v>
      </c>
      <c r="F94" s="33">
        <v>6</v>
      </c>
      <c r="G94" s="33">
        <v>17</v>
      </c>
      <c r="H94" s="33">
        <v>20</v>
      </c>
      <c r="I94" s="33">
        <v>29</v>
      </c>
      <c r="J94" s="33">
        <v>31</v>
      </c>
      <c r="K94" s="33">
        <v>36</v>
      </c>
      <c r="L94" s="33">
        <v>45</v>
      </c>
      <c r="M94" s="33">
        <v>50</v>
      </c>
      <c r="N94" s="33">
        <v>48</v>
      </c>
      <c r="O94" s="33">
        <v>65</v>
      </c>
      <c r="P94" s="33">
        <v>77</v>
      </c>
      <c r="Q94" s="33">
        <v>89</v>
      </c>
      <c r="R94" s="33">
        <v>99</v>
      </c>
      <c r="S94" s="56">
        <v>102</v>
      </c>
      <c r="T94" s="56">
        <v>102</v>
      </c>
      <c r="U94" s="56">
        <v>102</v>
      </c>
      <c r="V94" s="56">
        <v>102</v>
      </c>
    </row>
    <row r="95" spans="2:22" ht="19.899999999999999" customHeight="1" x14ac:dyDescent="0.2">
      <c r="B95" s="13"/>
      <c r="C95" s="38"/>
      <c r="D95" s="20" t="s">
        <v>20</v>
      </c>
      <c r="E95" s="63" t="s">
        <v>33</v>
      </c>
      <c r="F95" s="34">
        <v>8</v>
      </c>
      <c r="G95" s="34">
        <v>17</v>
      </c>
      <c r="H95" s="34">
        <v>16</v>
      </c>
      <c r="I95" s="34">
        <v>24</v>
      </c>
      <c r="J95" s="34">
        <v>27</v>
      </c>
      <c r="K95" s="34">
        <v>33</v>
      </c>
      <c r="L95" s="34">
        <v>39</v>
      </c>
      <c r="M95" s="34">
        <v>48</v>
      </c>
      <c r="N95" s="34">
        <v>49</v>
      </c>
      <c r="O95" s="34">
        <v>58</v>
      </c>
      <c r="P95" s="34">
        <v>68</v>
      </c>
      <c r="Q95" s="34">
        <v>66</v>
      </c>
      <c r="R95" s="34">
        <v>94</v>
      </c>
      <c r="S95" s="34">
        <v>95</v>
      </c>
      <c r="T95" s="34">
        <v>102</v>
      </c>
      <c r="U95" s="34">
        <v>102</v>
      </c>
      <c r="V95" s="34">
        <v>102</v>
      </c>
    </row>
    <row r="96" spans="2:22" ht="19.899999999999999" customHeight="1" thickBot="1" x14ac:dyDescent="0.25">
      <c r="B96" s="17"/>
      <c r="C96" s="19"/>
      <c r="D96" s="21" t="s">
        <v>22</v>
      </c>
      <c r="E96" s="64" t="s">
        <v>33</v>
      </c>
      <c r="F96" s="35">
        <v>8</v>
      </c>
      <c r="G96" s="35">
        <v>13</v>
      </c>
      <c r="H96" s="35">
        <v>17</v>
      </c>
      <c r="I96" s="35">
        <v>30</v>
      </c>
      <c r="J96" s="35">
        <v>41</v>
      </c>
      <c r="K96" s="35">
        <v>47</v>
      </c>
      <c r="L96" s="35">
        <v>51</v>
      </c>
      <c r="M96" s="35">
        <v>68</v>
      </c>
      <c r="N96" s="35">
        <v>71</v>
      </c>
      <c r="O96" s="35">
        <v>84</v>
      </c>
      <c r="P96" s="35">
        <v>94</v>
      </c>
      <c r="Q96" s="35">
        <v>99</v>
      </c>
      <c r="R96" s="55">
        <v>102</v>
      </c>
      <c r="S96" s="55">
        <v>102</v>
      </c>
      <c r="T96" s="55">
        <v>102</v>
      </c>
      <c r="U96" s="55">
        <v>102</v>
      </c>
      <c r="V96" s="55">
        <v>102</v>
      </c>
    </row>
    <row r="97" spans="2:22" ht="19.899999999999999" customHeight="1" x14ac:dyDescent="0.2">
      <c r="B97" s="12" t="s">
        <v>8</v>
      </c>
      <c r="C97" s="18">
        <v>4</v>
      </c>
      <c r="D97" s="16" t="s">
        <v>22</v>
      </c>
      <c r="E97" s="62" t="s">
        <v>48</v>
      </c>
      <c r="F97" s="33">
        <v>10</v>
      </c>
      <c r="G97" s="33">
        <v>16</v>
      </c>
      <c r="H97" s="33">
        <v>19</v>
      </c>
      <c r="I97" s="33">
        <v>28.5</v>
      </c>
      <c r="J97" s="33">
        <v>38</v>
      </c>
      <c r="K97" s="33">
        <v>50</v>
      </c>
      <c r="L97" s="33">
        <v>53</v>
      </c>
      <c r="M97" s="33">
        <v>73</v>
      </c>
      <c r="N97" s="33">
        <v>80</v>
      </c>
      <c r="O97" s="33">
        <v>92</v>
      </c>
      <c r="P97" s="33">
        <v>99</v>
      </c>
      <c r="Q97" s="56">
        <v>102</v>
      </c>
      <c r="R97" s="56">
        <v>102</v>
      </c>
      <c r="S97" s="56">
        <v>102</v>
      </c>
      <c r="T97" s="56">
        <v>102</v>
      </c>
      <c r="U97" s="56">
        <v>102</v>
      </c>
      <c r="V97" s="56">
        <v>102</v>
      </c>
    </row>
    <row r="98" spans="2:22" ht="19.899999999999999" customHeight="1" x14ac:dyDescent="0.2">
      <c r="B98" s="13"/>
      <c r="C98" s="38"/>
      <c r="D98" s="20" t="s">
        <v>20</v>
      </c>
      <c r="E98" s="63" t="s">
        <v>48</v>
      </c>
      <c r="F98" s="34">
        <v>10</v>
      </c>
      <c r="G98" s="34">
        <v>18</v>
      </c>
      <c r="H98" s="34">
        <v>21</v>
      </c>
      <c r="I98" s="34">
        <v>27</v>
      </c>
      <c r="J98" s="34">
        <v>39</v>
      </c>
      <c r="K98" s="34">
        <v>56</v>
      </c>
      <c r="L98" s="34">
        <v>65</v>
      </c>
      <c r="M98" s="34">
        <v>74</v>
      </c>
      <c r="N98" s="34">
        <v>88</v>
      </c>
      <c r="O98" s="34">
        <v>94</v>
      </c>
      <c r="P98" s="57">
        <v>102</v>
      </c>
      <c r="Q98" s="57">
        <v>102</v>
      </c>
      <c r="R98" s="57">
        <v>102</v>
      </c>
      <c r="S98" s="57">
        <v>102</v>
      </c>
      <c r="T98" s="57">
        <v>102</v>
      </c>
      <c r="U98" s="57">
        <v>102</v>
      </c>
      <c r="V98" s="57">
        <v>102</v>
      </c>
    </row>
    <row r="99" spans="2:22" ht="19.899999999999999" customHeight="1" thickBot="1" x14ac:dyDescent="0.25">
      <c r="B99" s="17"/>
      <c r="C99" s="19"/>
      <c r="D99" s="21" t="s">
        <v>21</v>
      </c>
      <c r="E99" s="64" t="s">
        <v>48</v>
      </c>
      <c r="F99" s="35">
        <v>9</v>
      </c>
      <c r="G99" s="35">
        <v>10</v>
      </c>
      <c r="H99" s="35">
        <v>18</v>
      </c>
      <c r="I99" s="35">
        <v>23</v>
      </c>
      <c r="J99" s="35">
        <v>38</v>
      </c>
      <c r="K99" s="35">
        <v>46</v>
      </c>
      <c r="L99" s="35">
        <v>43</v>
      </c>
      <c r="M99" s="35">
        <v>64</v>
      </c>
      <c r="N99" s="35">
        <v>71</v>
      </c>
      <c r="O99" s="35">
        <v>78</v>
      </c>
      <c r="P99" s="35">
        <v>93</v>
      </c>
      <c r="Q99" s="55">
        <v>102</v>
      </c>
      <c r="R99" s="55">
        <v>102</v>
      </c>
      <c r="S99" s="55">
        <v>102</v>
      </c>
      <c r="T99" s="55">
        <v>102</v>
      </c>
      <c r="U99" s="55">
        <v>102</v>
      </c>
      <c r="V99" s="55">
        <v>102</v>
      </c>
    </row>
    <row r="100" spans="2:22" ht="19.899999999999999" customHeight="1" thickBot="1" x14ac:dyDescent="0.25">
      <c r="B100" s="12" t="s">
        <v>8</v>
      </c>
      <c r="C100" s="18">
        <v>3</v>
      </c>
      <c r="D100" s="16" t="s">
        <v>22</v>
      </c>
      <c r="E100" s="62" t="s">
        <v>46</v>
      </c>
      <c r="F100" s="33">
        <v>10</v>
      </c>
      <c r="G100" s="33">
        <v>16</v>
      </c>
      <c r="H100" s="33">
        <v>19</v>
      </c>
      <c r="I100" s="33">
        <v>29</v>
      </c>
      <c r="J100" s="33">
        <v>40</v>
      </c>
      <c r="K100" s="33">
        <v>54</v>
      </c>
      <c r="L100" s="33">
        <v>69</v>
      </c>
      <c r="M100" s="33">
        <v>77</v>
      </c>
      <c r="N100" s="33">
        <v>93</v>
      </c>
      <c r="O100" s="56">
        <v>102</v>
      </c>
      <c r="P100" s="56">
        <v>102</v>
      </c>
      <c r="Q100" s="56">
        <v>102</v>
      </c>
      <c r="R100" s="56">
        <v>102</v>
      </c>
      <c r="S100" s="56">
        <v>102</v>
      </c>
      <c r="T100" s="56">
        <v>102</v>
      </c>
      <c r="U100" s="56">
        <v>102</v>
      </c>
      <c r="V100" s="56">
        <v>102</v>
      </c>
    </row>
    <row r="101" spans="2:22" ht="19.899999999999999" customHeight="1" thickBot="1" x14ac:dyDescent="0.25">
      <c r="B101" s="13"/>
      <c r="C101" s="38"/>
      <c r="D101" s="20" t="s">
        <v>20</v>
      </c>
      <c r="E101" s="63" t="s">
        <v>46</v>
      </c>
      <c r="F101" s="34">
        <v>11</v>
      </c>
      <c r="G101" s="34">
        <v>18</v>
      </c>
      <c r="H101" s="34">
        <v>20</v>
      </c>
      <c r="I101" s="34">
        <v>28</v>
      </c>
      <c r="J101" s="34">
        <v>37</v>
      </c>
      <c r="K101" s="34">
        <v>47</v>
      </c>
      <c r="L101" s="34">
        <v>58</v>
      </c>
      <c r="M101" s="34">
        <v>70</v>
      </c>
      <c r="N101" s="34">
        <v>78</v>
      </c>
      <c r="O101" s="34">
        <v>98</v>
      </c>
      <c r="P101" s="56">
        <v>102</v>
      </c>
      <c r="Q101" s="56">
        <v>102</v>
      </c>
      <c r="R101" s="56">
        <v>102</v>
      </c>
      <c r="S101" s="56">
        <v>102</v>
      </c>
      <c r="T101" s="56">
        <v>102</v>
      </c>
      <c r="U101" s="56">
        <v>102</v>
      </c>
      <c r="V101" s="56">
        <v>102</v>
      </c>
    </row>
    <row r="102" spans="2:22" ht="19.899999999999999" customHeight="1" thickBot="1" x14ac:dyDescent="0.25">
      <c r="B102" s="17"/>
      <c r="C102" s="19"/>
      <c r="D102" s="21" t="s">
        <v>21</v>
      </c>
      <c r="E102" s="64" t="s">
        <v>46</v>
      </c>
      <c r="F102" s="35">
        <v>10</v>
      </c>
      <c r="G102" s="35">
        <v>11</v>
      </c>
      <c r="H102" s="35">
        <v>20</v>
      </c>
      <c r="I102" s="35">
        <v>27</v>
      </c>
      <c r="J102" s="35">
        <v>33</v>
      </c>
      <c r="K102" s="35">
        <v>40</v>
      </c>
      <c r="L102" s="35">
        <v>56</v>
      </c>
      <c r="M102" s="35">
        <v>59</v>
      </c>
      <c r="N102" s="35">
        <v>69</v>
      </c>
      <c r="O102" s="35">
        <v>88</v>
      </c>
      <c r="P102" s="56">
        <v>102</v>
      </c>
      <c r="Q102" s="56">
        <v>102</v>
      </c>
      <c r="R102" s="56">
        <v>102</v>
      </c>
      <c r="S102" s="56">
        <v>102</v>
      </c>
      <c r="T102" s="56">
        <v>102</v>
      </c>
      <c r="U102" s="56">
        <v>102</v>
      </c>
      <c r="V102" s="56">
        <v>102</v>
      </c>
    </row>
    <row r="103" spans="2:22" ht="19.899999999999999" customHeight="1" x14ac:dyDescent="0.2">
      <c r="B103" s="12" t="s">
        <v>8</v>
      </c>
      <c r="C103" s="18">
        <v>2</v>
      </c>
      <c r="D103" s="16" t="s">
        <v>22</v>
      </c>
      <c r="E103" s="62" t="s">
        <v>40</v>
      </c>
      <c r="F103" s="33">
        <v>12</v>
      </c>
      <c r="G103" s="33">
        <v>20</v>
      </c>
      <c r="H103" s="33">
        <v>23</v>
      </c>
      <c r="I103" s="33">
        <v>36</v>
      </c>
      <c r="J103" s="33">
        <v>39</v>
      </c>
      <c r="K103" s="33">
        <v>46</v>
      </c>
      <c r="L103" s="33">
        <v>65</v>
      </c>
      <c r="M103" s="33">
        <v>65</v>
      </c>
      <c r="N103" s="33">
        <v>74</v>
      </c>
      <c r="O103" s="56">
        <v>102</v>
      </c>
      <c r="P103" s="56">
        <v>102</v>
      </c>
      <c r="Q103" s="56">
        <v>102</v>
      </c>
      <c r="R103" s="56">
        <v>102</v>
      </c>
      <c r="S103" s="56">
        <v>102</v>
      </c>
      <c r="T103" s="56">
        <v>102</v>
      </c>
      <c r="U103" s="56">
        <v>102</v>
      </c>
      <c r="V103" s="56">
        <v>102</v>
      </c>
    </row>
    <row r="104" spans="2:22" ht="19.899999999999999" customHeight="1" x14ac:dyDescent="0.2">
      <c r="B104" s="13"/>
      <c r="C104" s="38"/>
      <c r="D104" s="20" t="s">
        <v>20</v>
      </c>
      <c r="E104" s="63" t="s">
        <v>40</v>
      </c>
      <c r="F104" s="34">
        <v>9</v>
      </c>
      <c r="G104" s="34">
        <v>19</v>
      </c>
      <c r="H104" s="34">
        <v>25</v>
      </c>
      <c r="I104" s="34">
        <v>30</v>
      </c>
      <c r="J104" s="34">
        <v>41</v>
      </c>
      <c r="K104" s="34">
        <v>58</v>
      </c>
      <c r="L104" s="34">
        <v>74</v>
      </c>
      <c r="M104" s="34">
        <v>81</v>
      </c>
      <c r="N104" s="34">
        <v>99</v>
      </c>
      <c r="O104" s="57">
        <v>102</v>
      </c>
      <c r="P104" s="57">
        <v>102</v>
      </c>
      <c r="Q104" s="57">
        <v>102</v>
      </c>
      <c r="R104" s="57">
        <v>102</v>
      </c>
      <c r="S104" s="57">
        <v>102</v>
      </c>
      <c r="T104" s="57">
        <v>102</v>
      </c>
      <c r="U104" s="57">
        <v>102</v>
      </c>
      <c r="V104" s="57">
        <v>102</v>
      </c>
    </row>
    <row r="105" spans="2:22" ht="19.899999999999999" customHeight="1" thickBot="1" x14ac:dyDescent="0.25">
      <c r="B105" s="17"/>
      <c r="C105" s="19"/>
      <c r="D105" s="21" t="s">
        <v>21</v>
      </c>
      <c r="E105" s="64" t="s">
        <v>40</v>
      </c>
      <c r="F105" s="35">
        <v>9</v>
      </c>
      <c r="G105" s="35">
        <v>16</v>
      </c>
      <c r="H105" s="35">
        <v>22</v>
      </c>
      <c r="I105" s="35">
        <v>21</v>
      </c>
      <c r="J105" s="35">
        <v>39</v>
      </c>
      <c r="K105" s="35">
        <v>50</v>
      </c>
      <c r="L105" s="35">
        <v>58</v>
      </c>
      <c r="M105" s="35">
        <v>72</v>
      </c>
      <c r="N105" s="35">
        <v>84</v>
      </c>
      <c r="O105" s="35">
        <v>88</v>
      </c>
      <c r="P105" s="55">
        <v>102</v>
      </c>
      <c r="Q105" s="55">
        <v>102</v>
      </c>
      <c r="R105" s="55">
        <v>102</v>
      </c>
      <c r="S105" s="55">
        <v>102</v>
      </c>
      <c r="T105" s="55">
        <v>102</v>
      </c>
      <c r="U105" s="55">
        <v>102</v>
      </c>
      <c r="V105" s="55">
        <v>102</v>
      </c>
    </row>
    <row r="106" spans="2:22" ht="19.899999999999999" customHeight="1" x14ac:dyDescent="0.2">
      <c r="B106" s="12" t="s">
        <v>8</v>
      </c>
      <c r="C106" s="18">
        <v>1</v>
      </c>
      <c r="D106" s="16" t="s">
        <v>22</v>
      </c>
      <c r="E106" s="62" t="s">
        <v>45</v>
      </c>
      <c r="F106" s="33">
        <v>10</v>
      </c>
      <c r="G106" s="33">
        <v>16</v>
      </c>
      <c r="H106" s="33">
        <v>20</v>
      </c>
      <c r="I106" s="33">
        <v>27</v>
      </c>
      <c r="J106" s="33">
        <v>31</v>
      </c>
      <c r="K106" s="33">
        <v>33</v>
      </c>
      <c r="L106" s="33">
        <v>39</v>
      </c>
      <c r="M106" s="33">
        <v>43</v>
      </c>
      <c r="N106" s="33">
        <v>53</v>
      </c>
      <c r="O106" s="33">
        <v>72</v>
      </c>
      <c r="P106" s="33">
        <v>75</v>
      </c>
      <c r="Q106" s="33">
        <v>86</v>
      </c>
      <c r="R106" s="33">
        <v>95</v>
      </c>
      <c r="S106" s="33">
        <v>99</v>
      </c>
      <c r="T106" s="33">
        <v>102</v>
      </c>
      <c r="U106" s="33">
        <v>102</v>
      </c>
      <c r="V106" s="33">
        <v>102</v>
      </c>
    </row>
    <row r="107" spans="2:22" ht="19.899999999999999" customHeight="1" x14ac:dyDescent="0.2">
      <c r="B107" s="13"/>
      <c r="C107" s="38"/>
      <c r="D107" s="20" t="s">
        <v>20</v>
      </c>
      <c r="E107" s="63" t="s">
        <v>45</v>
      </c>
      <c r="F107" s="34">
        <v>12</v>
      </c>
      <c r="G107" s="34">
        <v>13</v>
      </c>
      <c r="H107" s="34">
        <v>26</v>
      </c>
      <c r="I107" s="34">
        <v>31</v>
      </c>
      <c r="J107" s="34">
        <v>34</v>
      </c>
      <c r="K107" s="34">
        <v>38</v>
      </c>
      <c r="L107" s="34">
        <v>48</v>
      </c>
      <c r="M107" s="34">
        <v>55</v>
      </c>
      <c r="N107" s="34">
        <v>53</v>
      </c>
      <c r="O107" s="34">
        <v>75</v>
      </c>
      <c r="P107" s="34">
        <v>86</v>
      </c>
      <c r="Q107" s="57">
        <v>102</v>
      </c>
      <c r="R107" s="57">
        <v>102</v>
      </c>
      <c r="S107" s="57">
        <v>102</v>
      </c>
      <c r="T107" s="57">
        <v>102</v>
      </c>
      <c r="U107" s="57">
        <v>102</v>
      </c>
      <c r="V107" s="57">
        <v>102</v>
      </c>
    </row>
    <row r="108" spans="2:22" ht="19.899999999999999" customHeight="1" thickBot="1" x14ac:dyDescent="0.25">
      <c r="B108" s="17"/>
      <c r="C108" s="19"/>
      <c r="D108" s="21" t="s">
        <v>21</v>
      </c>
      <c r="E108" s="64" t="s">
        <v>45</v>
      </c>
      <c r="F108" s="35">
        <v>11</v>
      </c>
      <c r="G108" s="35">
        <v>18</v>
      </c>
      <c r="H108" s="35">
        <v>23</v>
      </c>
      <c r="I108" s="35">
        <v>28</v>
      </c>
      <c r="J108" s="35">
        <v>38</v>
      </c>
      <c r="K108" s="35">
        <v>39</v>
      </c>
      <c r="L108" s="35">
        <v>40</v>
      </c>
      <c r="M108" s="35">
        <v>52</v>
      </c>
      <c r="N108" s="35">
        <v>57</v>
      </c>
      <c r="O108" s="35">
        <v>52</v>
      </c>
      <c r="P108" s="35">
        <v>77</v>
      </c>
      <c r="Q108" s="35">
        <v>98</v>
      </c>
      <c r="R108" s="55">
        <v>102</v>
      </c>
      <c r="S108" s="55">
        <v>102</v>
      </c>
      <c r="T108" s="55">
        <v>102</v>
      </c>
      <c r="U108" s="55">
        <v>102</v>
      </c>
      <c r="V108" s="55">
        <v>102</v>
      </c>
    </row>
    <row r="109" spans="2:22" ht="19.899999999999999" customHeight="1" x14ac:dyDescent="0.2">
      <c r="B109" s="12" t="s">
        <v>9</v>
      </c>
      <c r="C109" s="18">
        <v>1</v>
      </c>
      <c r="D109" s="16" t="s">
        <v>21</v>
      </c>
      <c r="E109" s="62" t="s">
        <v>33</v>
      </c>
      <c r="F109" s="33">
        <v>10</v>
      </c>
      <c r="G109" s="33">
        <v>19</v>
      </c>
      <c r="H109" s="33">
        <v>22</v>
      </c>
      <c r="I109" s="33">
        <v>33</v>
      </c>
      <c r="J109" s="33">
        <v>37</v>
      </c>
      <c r="K109" s="33">
        <v>40</v>
      </c>
      <c r="L109" s="33">
        <v>53</v>
      </c>
      <c r="M109" s="33">
        <v>58</v>
      </c>
      <c r="N109" s="33">
        <v>57</v>
      </c>
      <c r="O109" s="33">
        <v>71</v>
      </c>
      <c r="P109" s="33">
        <v>85</v>
      </c>
      <c r="Q109" s="33">
        <v>98</v>
      </c>
      <c r="R109" s="56">
        <v>102</v>
      </c>
      <c r="S109" s="56">
        <v>102</v>
      </c>
      <c r="T109" s="56">
        <v>102</v>
      </c>
      <c r="U109" s="56">
        <v>102</v>
      </c>
      <c r="V109" s="56">
        <v>102</v>
      </c>
    </row>
    <row r="110" spans="2:22" ht="19.899999999999999" customHeight="1" x14ac:dyDescent="0.2">
      <c r="C110" s="38"/>
      <c r="D110" s="20" t="s">
        <v>20</v>
      </c>
      <c r="E110" s="63" t="s">
        <v>33</v>
      </c>
      <c r="F110" s="34">
        <v>9</v>
      </c>
      <c r="G110" s="34">
        <v>15</v>
      </c>
      <c r="H110" s="34">
        <v>23</v>
      </c>
      <c r="I110" s="34">
        <v>39</v>
      </c>
      <c r="J110" s="34">
        <v>40</v>
      </c>
      <c r="K110" s="34">
        <v>46</v>
      </c>
      <c r="L110" s="34">
        <v>53</v>
      </c>
      <c r="M110" s="34">
        <v>57</v>
      </c>
      <c r="N110" s="34">
        <v>63</v>
      </c>
      <c r="O110" s="34">
        <v>74</v>
      </c>
      <c r="P110" s="34">
        <v>81</v>
      </c>
      <c r="Q110" s="34">
        <v>88</v>
      </c>
      <c r="R110" s="57">
        <v>102</v>
      </c>
      <c r="S110" s="57">
        <v>98</v>
      </c>
      <c r="T110" s="57">
        <v>102</v>
      </c>
      <c r="U110" s="57">
        <v>102</v>
      </c>
      <c r="V110" s="57">
        <v>102</v>
      </c>
    </row>
    <row r="111" spans="2:22" ht="19.899999999999999" customHeight="1" thickBot="1" x14ac:dyDescent="0.25">
      <c r="B111" s="17"/>
      <c r="C111" s="19"/>
      <c r="D111" s="21" t="s">
        <v>22</v>
      </c>
      <c r="E111" s="64" t="s">
        <v>33</v>
      </c>
      <c r="F111" s="35">
        <v>9</v>
      </c>
      <c r="G111" s="35">
        <v>18</v>
      </c>
      <c r="H111" s="35">
        <v>22</v>
      </c>
      <c r="I111" s="35">
        <v>26</v>
      </c>
      <c r="J111" s="35">
        <v>39</v>
      </c>
      <c r="K111" s="35">
        <v>46</v>
      </c>
      <c r="L111" s="35">
        <v>57</v>
      </c>
      <c r="M111" s="35">
        <v>66</v>
      </c>
      <c r="N111" s="35">
        <v>73</v>
      </c>
      <c r="O111" s="35">
        <v>84</v>
      </c>
      <c r="P111" s="35">
        <v>93</v>
      </c>
      <c r="Q111" s="55">
        <v>102</v>
      </c>
      <c r="R111" s="55">
        <v>102</v>
      </c>
      <c r="S111" s="55">
        <v>102</v>
      </c>
      <c r="T111" s="55">
        <v>102</v>
      </c>
      <c r="U111" s="55">
        <v>102</v>
      </c>
      <c r="V111" s="55">
        <v>102</v>
      </c>
    </row>
    <row r="112" spans="2:22" ht="19.899999999999999" customHeight="1" thickBot="1" x14ac:dyDescent="0.25">
      <c r="B112" s="12" t="s">
        <v>9</v>
      </c>
      <c r="C112" s="18">
        <v>2</v>
      </c>
      <c r="D112" s="16" t="s">
        <v>21</v>
      </c>
      <c r="E112" s="62" t="s">
        <v>47</v>
      </c>
      <c r="F112" s="33">
        <v>9</v>
      </c>
      <c r="G112" s="33">
        <v>13</v>
      </c>
      <c r="H112" s="33">
        <v>21</v>
      </c>
      <c r="I112" s="33">
        <v>35</v>
      </c>
      <c r="J112" s="33">
        <v>37</v>
      </c>
      <c r="K112" s="33">
        <v>46</v>
      </c>
      <c r="L112" s="33">
        <v>57</v>
      </c>
      <c r="M112" s="33">
        <v>67</v>
      </c>
      <c r="N112" s="33">
        <v>73</v>
      </c>
      <c r="O112" s="33">
        <v>102</v>
      </c>
      <c r="P112" s="33">
        <v>102</v>
      </c>
      <c r="Q112" s="33">
        <v>102</v>
      </c>
      <c r="R112" s="33">
        <v>102</v>
      </c>
      <c r="S112" s="33">
        <v>102</v>
      </c>
      <c r="T112" s="33">
        <v>102</v>
      </c>
      <c r="U112" s="33">
        <v>102</v>
      </c>
      <c r="V112" s="33">
        <v>102</v>
      </c>
    </row>
    <row r="113" spans="2:22" ht="19.899999999999999" customHeight="1" thickBot="1" x14ac:dyDescent="0.25">
      <c r="B113" s="13"/>
      <c r="C113" s="38"/>
      <c r="D113" s="20" t="s">
        <v>20</v>
      </c>
      <c r="E113" s="63" t="s">
        <v>47</v>
      </c>
      <c r="F113" s="34">
        <v>10</v>
      </c>
      <c r="G113" s="34">
        <v>19</v>
      </c>
      <c r="H113" s="34">
        <v>23</v>
      </c>
      <c r="I113" s="34">
        <v>41</v>
      </c>
      <c r="J113" s="34">
        <v>49</v>
      </c>
      <c r="K113" s="34">
        <v>59</v>
      </c>
      <c r="L113" s="34">
        <v>81</v>
      </c>
      <c r="M113" s="34">
        <v>89</v>
      </c>
      <c r="N113" s="34">
        <v>100</v>
      </c>
      <c r="O113" s="33">
        <v>102</v>
      </c>
      <c r="P113" s="33">
        <v>102</v>
      </c>
      <c r="Q113" s="33">
        <v>102</v>
      </c>
      <c r="R113" s="33">
        <v>102</v>
      </c>
      <c r="S113" s="33">
        <v>102</v>
      </c>
      <c r="T113" s="33">
        <v>102</v>
      </c>
      <c r="U113" s="33">
        <v>102</v>
      </c>
      <c r="V113" s="33">
        <v>102</v>
      </c>
    </row>
    <row r="114" spans="2:22" ht="19.899999999999999" customHeight="1" thickBot="1" x14ac:dyDescent="0.25">
      <c r="B114" s="17"/>
      <c r="C114" s="19"/>
      <c r="D114" s="21" t="s">
        <v>22</v>
      </c>
      <c r="E114" s="64" t="s">
        <v>47</v>
      </c>
      <c r="F114" s="35">
        <v>10</v>
      </c>
      <c r="G114" s="35">
        <v>17</v>
      </c>
      <c r="H114" s="35">
        <v>19</v>
      </c>
      <c r="I114" s="35">
        <v>39</v>
      </c>
      <c r="J114" s="35">
        <v>36</v>
      </c>
      <c r="K114" s="35">
        <v>41</v>
      </c>
      <c r="L114" s="35">
        <v>61</v>
      </c>
      <c r="M114" s="35">
        <v>70</v>
      </c>
      <c r="N114" s="35">
        <v>74</v>
      </c>
      <c r="O114" s="33">
        <v>102</v>
      </c>
      <c r="P114" s="33">
        <v>102</v>
      </c>
      <c r="Q114" s="33">
        <v>102</v>
      </c>
      <c r="R114" s="33">
        <v>102</v>
      </c>
      <c r="S114" s="33">
        <v>102</v>
      </c>
      <c r="T114" s="33">
        <v>102</v>
      </c>
      <c r="U114" s="33">
        <v>102</v>
      </c>
      <c r="V114" s="33">
        <v>102</v>
      </c>
    </row>
    <row r="115" spans="2:22" ht="19.899999999999999" customHeight="1" x14ac:dyDescent="0.2">
      <c r="B115" s="12" t="s">
        <v>9</v>
      </c>
      <c r="C115" s="18">
        <v>3</v>
      </c>
      <c r="D115" s="16" t="s">
        <v>21</v>
      </c>
      <c r="E115" s="62" t="s">
        <v>36</v>
      </c>
      <c r="F115" s="33">
        <v>7</v>
      </c>
      <c r="G115" s="33">
        <v>20</v>
      </c>
      <c r="H115" s="33">
        <v>21</v>
      </c>
      <c r="I115" s="33">
        <v>31</v>
      </c>
      <c r="J115" s="33">
        <v>39</v>
      </c>
      <c r="K115" s="33">
        <v>42</v>
      </c>
      <c r="L115" s="33">
        <v>50</v>
      </c>
      <c r="M115" s="33">
        <v>52</v>
      </c>
      <c r="N115" s="33">
        <v>49</v>
      </c>
      <c r="O115" s="33">
        <v>54</v>
      </c>
      <c r="P115" s="33">
        <v>66</v>
      </c>
      <c r="Q115" s="33">
        <v>69</v>
      </c>
      <c r="R115" s="33">
        <v>75</v>
      </c>
      <c r="S115" s="33">
        <v>78</v>
      </c>
      <c r="T115" s="33">
        <v>79</v>
      </c>
      <c r="U115" s="33">
        <v>74</v>
      </c>
      <c r="V115" s="33">
        <v>82</v>
      </c>
    </row>
    <row r="116" spans="2:22" ht="19.899999999999999" customHeight="1" x14ac:dyDescent="0.2">
      <c r="B116" s="13"/>
      <c r="C116" s="38"/>
      <c r="D116" s="20" t="s">
        <v>20</v>
      </c>
      <c r="E116" s="63" t="s">
        <v>36</v>
      </c>
      <c r="F116" s="34">
        <v>10</v>
      </c>
      <c r="G116" s="34">
        <v>16</v>
      </c>
      <c r="H116" s="34">
        <v>18</v>
      </c>
      <c r="I116" s="34">
        <v>34</v>
      </c>
      <c r="J116" s="34">
        <v>37</v>
      </c>
      <c r="K116" s="34">
        <v>46</v>
      </c>
      <c r="L116" s="34">
        <v>54</v>
      </c>
      <c r="M116" s="34">
        <v>60</v>
      </c>
      <c r="N116" s="34">
        <v>72</v>
      </c>
      <c r="O116" s="34">
        <v>79</v>
      </c>
      <c r="P116" s="34">
        <v>93</v>
      </c>
      <c r="Q116" s="34">
        <v>96</v>
      </c>
      <c r="R116" s="34">
        <v>98</v>
      </c>
      <c r="S116" s="57">
        <v>102</v>
      </c>
      <c r="T116" s="57">
        <v>102</v>
      </c>
      <c r="U116" s="57">
        <v>102</v>
      </c>
      <c r="V116" s="57">
        <v>102</v>
      </c>
    </row>
    <row r="117" spans="2:22" ht="19.899999999999999" customHeight="1" thickBot="1" x14ac:dyDescent="0.25">
      <c r="B117" s="17"/>
      <c r="C117" s="19"/>
      <c r="D117" s="21" t="s">
        <v>22</v>
      </c>
      <c r="E117" s="64" t="s">
        <v>36</v>
      </c>
      <c r="F117" s="35">
        <v>9</v>
      </c>
      <c r="G117" s="35">
        <v>13</v>
      </c>
      <c r="H117" s="35">
        <v>19</v>
      </c>
      <c r="I117" s="35">
        <v>31.5</v>
      </c>
      <c r="J117" s="35">
        <v>33</v>
      </c>
      <c r="K117" s="35">
        <v>39</v>
      </c>
      <c r="L117" s="35">
        <v>46</v>
      </c>
      <c r="M117" s="35">
        <v>51</v>
      </c>
      <c r="N117" s="35">
        <v>48</v>
      </c>
      <c r="O117" s="35">
        <v>63</v>
      </c>
      <c r="P117" s="35">
        <v>66</v>
      </c>
      <c r="Q117" s="35">
        <v>70</v>
      </c>
      <c r="R117" s="35">
        <v>86</v>
      </c>
      <c r="S117" s="35">
        <v>81</v>
      </c>
      <c r="T117" s="35">
        <v>83</v>
      </c>
      <c r="U117" s="35">
        <v>80</v>
      </c>
      <c r="V117" s="35">
        <v>90</v>
      </c>
    </row>
    <row r="118" spans="2:22" ht="19.899999999999999" customHeight="1" thickBot="1" x14ac:dyDescent="0.25">
      <c r="B118" s="12" t="s">
        <v>9</v>
      </c>
      <c r="C118" s="18">
        <v>4</v>
      </c>
      <c r="D118" s="16" t="s">
        <v>21</v>
      </c>
      <c r="E118" s="62" t="s">
        <v>42</v>
      </c>
      <c r="F118" s="33">
        <v>9</v>
      </c>
      <c r="G118" s="33">
        <v>13</v>
      </c>
      <c r="H118" s="33">
        <v>18</v>
      </c>
      <c r="I118" s="33">
        <v>31</v>
      </c>
      <c r="J118" s="33">
        <v>37</v>
      </c>
      <c r="K118" s="33">
        <v>43</v>
      </c>
      <c r="L118" s="33">
        <v>49</v>
      </c>
      <c r="M118" s="33">
        <v>55</v>
      </c>
      <c r="N118" s="33">
        <v>55</v>
      </c>
      <c r="O118" s="33">
        <v>75</v>
      </c>
      <c r="P118" s="33">
        <v>86</v>
      </c>
      <c r="Q118" s="33">
        <v>89</v>
      </c>
      <c r="R118" s="33">
        <v>95</v>
      </c>
      <c r="S118" s="56">
        <v>102</v>
      </c>
      <c r="T118" s="56">
        <v>102</v>
      </c>
      <c r="U118" s="33">
        <v>98</v>
      </c>
      <c r="V118" s="56">
        <v>102</v>
      </c>
    </row>
    <row r="119" spans="2:22" ht="19.899999999999999" customHeight="1" thickBot="1" x14ac:dyDescent="0.25">
      <c r="B119" s="13"/>
      <c r="C119" s="38"/>
      <c r="D119" s="20" t="s">
        <v>20</v>
      </c>
      <c r="E119" s="63" t="s">
        <v>42</v>
      </c>
      <c r="F119" s="34">
        <v>8</v>
      </c>
      <c r="G119" s="34">
        <v>12</v>
      </c>
      <c r="H119" s="34">
        <v>20</v>
      </c>
      <c r="I119" s="34">
        <v>35</v>
      </c>
      <c r="J119" s="34">
        <v>37</v>
      </c>
      <c r="K119" s="34">
        <v>46</v>
      </c>
      <c r="L119" s="34">
        <v>54</v>
      </c>
      <c r="M119" s="34">
        <v>63</v>
      </c>
      <c r="N119" s="34">
        <v>68</v>
      </c>
      <c r="O119" s="34">
        <v>73</v>
      </c>
      <c r="P119" s="34">
        <v>90</v>
      </c>
      <c r="Q119" s="34">
        <v>91</v>
      </c>
      <c r="R119" s="34">
        <v>97</v>
      </c>
      <c r="S119" s="57">
        <v>102</v>
      </c>
      <c r="T119" s="34">
        <v>96</v>
      </c>
      <c r="U119" s="34">
        <v>102</v>
      </c>
      <c r="V119" s="56">
        <v>102</v>
      </c>
    </row>
    <row r="120" spans="2:22" ht="19.899999999999999" customHeight="1" thickBot="1" x14ac:dyDescent="0.25">
      <c r="B120" s="17"/>
      <c r="C120" s="19"/>
      <c r="D120" s="21" t="s">
        <v>22</v>
      </c>
      <c r="E120" s="64" t="s">
        <v>42</v>
      </c>
      <c r="F120" s="35">
        <v>8</v>
      </c>
      <c r="G120" s="35">
        <v>13</v>
      </c>
      <c r="H120" s="35">
        <v>20</v>
      </c>
      <c r="I120" s="35">
        <v>31</v>
      </c>
      <c r="J120" s="35">
        <v>34</v>
      </c>
      <c r="K120" s="35">
        <v>40</v>
      </c>
      <c r="L120" s="35">
        <v>49</v>
      </c>
      <c r="M120" s="35">
        <v>57</v>
      </c>
      <c r="N120" s="35">
        <v>66</v>
      </c>
      <c r="O120" s="35">
        <v>70</v>
      </c>
      <c r="P120" s="35">
        <v>81</v>
      </c>
      <c r="Q120" s="35">
        <v>90</v>
      </c>
      <c r="R120" s="35">
        <v>89</v>
      </c>
      <c r="S120" s="35">
        <v>96</v>
      </c>
      <c r="T120" s="35">
        <v>89</v>
      </c>
      <c r="U120" s="35">
        <v>94</v>
      </c>
      <c r="V120" s="56">
        <v>102</v>
      </c>
    </row>
    <row r="121" spans="2:22" ht="19.899999999999999" customHeight="1" thickBot="1" x14ac:dyDescent="0.25">
      <c r="B121" s="12" t="s">
        <v>0</v>
      </c>
      <c r="C121" s="18">
        <v>4</v>
      </c>
      <c r="D121" s="16" t="s">
        <v>22</v>
      </c>
      <c r="E121" s="62" t="s">
        <v>41</v>
      </c>
      <c r="F121" s="33">
        <v>8</v>
      </c>
      <c r="G121" s="33">
        <v>17</v>
      </c>
      <c r="H121" s="33">
        <v>19</v>
      </c>
      <c r="I121" s="33">
        <v>32</v>
      </c>
      <c r="J121" s="33">
        <v>34</v>
      </c>
      <c r="K121" s="33">
        <v>40</v>
      </c>
      <c r="L121" s="33">
        <v>42</v>
      </c>
      <c r="M121" s="33">
        <v>50</v>
      </c>
      <c r="N121" s="33">
        <v>51</v>
      </c>
      <c r="O121" s="33">
        <v>67</v>
      </c>
      <c r="P121" s="33">
        <v>82</v>
      </c>
      <c r="Q121" s="33">
        <v>97</v>
      </c>
      <c r="R121" s="33">
        <v>99</v>
      </c>
      <c r="S121" s="56">
        <v>102</v>
      </c>
      <c r="T121" s="56">
        <v>102</v>
      </c>
      <c r="U121" s="33">
        <v>102</v>
      </c>
      <c r="V121" s="56">
        <v>102</v>
      </c>
    </row>
    <row r="122" spans="2:22" ht="19.899999999999999" customHeight="1" thickBot="1" x14ac:dyDescent="0.25">
      <c r="B122" s="13"/>
      <c r="C122" s="38"/>
      <c r="D122" s="20" t="s">
        <v>20</v>
      </c>
      <c r="E122" s="63" t="s">
        <v>41</v>
      </c>
      <c r="F122" s="34">
        <v>8</v>
      </c>
      <c r="G122" s="34">
        <v>19</v>
      </c>
      <c r="H122" s="34">
        <v>18</v>
      </c>
      <c r="I122" s="34">
        <v>23</v>
      </c>
      <c r="J122" s="34">
        <v>28</v>
      </c>
      <c r="K122" s="34">
        <v>29</v>
      </c>
      <c r="L122" s="34">
        <v>32</v>
      </c>
      <c r="M122" s="34">
        <v>30</v>
      </c>
      <c r="N122" s="34">
        <v>29</v>
      </c>
      <c r="O122" s="34">
        <v>32</v>
      </c>
      <c r="P122" s="34">
        <v>43</v>
      </c>
      <c r="Q122" s="34">
        <v>62</v>
      </c>
      <c r="R122" s="34">
        <v>72</v>
      </c>
      <c r="S122" s="34">
        <v>77</v>
      </c>
      <c r="T122" s="34">
        <v>79</v>
      </c>
      <c r="U122" s="34">
        <v>88</v>
      </c>
      <c r="V122" s="56">
        <v>102</v>
      </c>
    </row>
    <row r="123" spans="2:22" ht="19.899999999999999" customHeight="1" thickBot="1" x14ac:dyDescent="0.25">
      <c r="B123" s="17"/>
      <c r="C123" s="19"/>
      <c r="D123" s="21" t="s">
        <v>21</v>
      </c>
      <c r="E123" s="64" t="s">
        <v>41</v>
      </c>
      <c r="F123" s="35">
        <v>10</v>
      </c>
      <c r="G123" s="35">
        <v>18</v>
      </c>
      <c r="H123" s="35">
        <v>19</v>
      </c>
      <c r="I123" s="35">
        <v>24</v>
      </c>
      <c r="J123" s="35">
        <v>33</v>
      </c>
      <c r="K123" s="35">
        <v>36</v>
      </c>
      <c r="L123" s="35">
        <v>40</v>
      </c>
      <c r="M123" s="35">
        <v>38</v>
      </c>
      <c r="N123" s="35">
        <v>42</v>
      </c>
      <c r="O123" s="35">
        <v>37</v>
      </c>
      <c r="P123" s="35">
        <v>54</v>
      </c>
      <c r="Q123" s="35">
        <v>80</v>
      </c>
      <c r="R123" s="35">
        <v>90</v>
      </c>
      <c r="S123" s="35">
        <v>92</v>
      </c>
      <c r="T123" s="55">
        <v>102</v>
      </c>
      <c r="U123" s="35">
        <v>102</v>
      </c>
      <c r="V123" s="56">
        <v>102</v>
      </c>
    </row>
    <row r="124" spans="2:22" ht="19.899999999999999" customHeight="1" x14ac:dyDescent="0.2">
      <c r="B124" s="12" t="s">
        <v>0</v>
      </c>
      <c r="C124" s="18">
        <v>3</v>
      </c>
      <c r="D124" s="16" t="s">
        <v>22</v>
      </c>
      <c r="E124" s="62" t="s">
        <v>37</v>
      </c>
      <c r="F124" s="33">
        <v>9</v>
      </c>
      <c r="G124" s="33">
        <v>15</v>
      </c>
      <c r="H124" s="33">
        <v>17</v>
      </c>
      <c r="I124" s="33">
        <v>32</v>
      </c>
      <c r="J124" s="33">
        <v>28</v>
      </c>
      <c r="K124" s="33">
        <v>36</v>
      </c>
      <c r="L124" s="33">
        <v>39</v>
      </c>
      <c r="M124" s="33">
        <v>39</v>
      </c>
      <c r="N124" s="33">
        <v>38</v>
      </c>
      <c r="O124" s="33">
        <v>40</v>
      </c>
      <c r="P124" s="33">
        <v>58</v>
      </c>
      <c r="Q124" s="33">
        <v>70</v>
      </c>
      <c r="R124" s="33">
        <v>71</v>
      </c>
      <c r="S124" s="33">
        <v>75</v>
      </c>
      <c r="T124" s="33">
        <v>79</v>
      </c>
      <c r="U124" s="33">
        <v>70</v>
      </c>
      <c r="V124" s="33">
        <v>86</v>
      </c>
    </row>
    <row r="125" spans="2:22" ht="19.899999999999999" customHeight="1" x14ac:dyDescent="0.2">
      <c r="B125" s="13"/>
      <c r="C125" s="38"/>
      <c r="D125" s="20" t="s">
        <v>20</v>
      </c>
      <c r="E125" s="63" t="s">
        <v>37</v>
      </c>
      <c r="F125" s="34">
        <v>10</v>
      </c>
      <c r="G125" s="34">
        <v>15</v>
      </c>
      <c r="H125" s="34">
        <v>19</v>
      </c>
      <c r="I125" s="34">
        <v>25.5</v>
      </c>
      <c r="J125" s="34">
        <v>29</v>
      </c>
      <c r="K125" s="34">
        <v>32</v>
      </c>
      <c r="L125" s="34">
        <v>34</v>
      </c>
      <c r="M125" s="34">
        <v>34</v>
      </c>
      <c r="N125" s="34">
        <v>32</v>
      </c>
      <c r="O125" s="34">
        <v>25</v>
      </c>
      <c r="P125" s="34">
        <v>31</v>
      </c>
      <c r="Q125" s="34">
        <v>49</v>
      </c>
      <c r="R125" s="34">
        <v>54</v>
      </c>
      <c r="S125" s="34">
        <v>63</v>
      </c>
      <c r="T125" s="34">
        <v>60</v>
      </c>
      <c r="U125" s="34">
        <v>65</v>
      </c>
      <c r="V125" s="34">
        <v>70</v>
      </c>
    </row>
    <row r="126" spans="2:22" ht="19.899999999999999" customHeight="1" thickBot="1" x14ac:dyDescent="0.25">
      <c r="B126" s="17"/>
      <c r="C126" s="19"/>
      <c r="D126" s="21" t="s">
        <v>21</v>
      </c>
      <c r="E126" s="64" t="s">
        <v>37</v>
      </c>
      <c r="F126" s="35">
        <v>8</v>
      </c>
      <c r="G126" s="35">
        <v>15</v>
      </c>
      <c r="H126" s="35">
        <v>20</v>
      </c>
      <c r="I126" s="35">
        <v>31</v>
      </c>
      <c r="J126" s="35">
        <v>35</v>
      </c>
      <c r="K126" s="35">
        <v>40</v>
      </c>
      <c r="L126" s="35">
        <v>41</v>
      </c>
      <c r="M126" s="35">
        <v>45</v>
      </c>
      <c r="N126" s="35">
        <v>46</v>
      </c>
      <c r="O126" s="35">
        <v>51</v>
      </c>
      <c r="P126" s="35">
        <v>69</v>
      </c>
      <c r="Q126" s="35">
        <v>79</v>
      </c>
      <c r="R126" s="35">
        <v>91</v>
      </c>
      <c r="S126" s="35">
        <v>89</v>
      </c>
      <c r="T126" s="35">
        <v>92</v>
      </c>
      <c r="U126" s="35">
        <v>93</v>
      </c>
      <c r="V126" s="35">
        <v>96</v>
      </c>
    </row>
    <row r="127" spans="2:22" ht="19.899999999999999" customHeight="1" x14ac:dyDescent="0.2">
      <c r="B127" s="12" t="s">
        <v>0</v>
      </c>
      <c r="C127" s="18">
        <v>2</v>
      </c>
      <c r="D127" s="16" t="s">
        <v>22</v>
      </c>
      <c r="E127" s="62" t="s">
        <v>35</v>
      </c>
      <c r="F127" s="33">
        <v>10</v>
      </c>
      <c r="G127" s="33">
        <v>17</v>
      </c>
      <c r="H127" s="33">
        <v>19</v>
      </c>
      <c r="I127" s="33">
        <v>29</v>
      </c>
      <c r="J127" s="33">
        <v>30</v>
      </c>
      <c r="K127" s="33">
        <v>31</v>
      </c>
      <c r="L127" s="33">
        <v>35</v>
      </c>
      <c r="M127" s="33">
        <v>38</v>
      </c>
      <c r="N127" s="33">
        <v>39</v>
      </c>
      <c r="O127" s="33">
        <v>34</v>
      </c>
      <c r="P127" s="33">
        <v>40</v>
      </c>
      <c r="Q127" s="33">
        <v>47</v>
      </c>
      <c r="R127" s="33">
        <v>52</v>
      </c>
      <c r="S127" s="33">
        <v>63</v>
      </c>
      <c r="T127" s="33">
        <v>71</v>
      </c>
      <c r="U127" s="33">
        <v>79</v>
      </c>
      <c r="V127" s="33">
        <v>102</v>
      </c>
    </row>
    <row r="128" spans="2:22" ht="19.899999999999999" customHeight="1" x14ac:dyDescent="0.2">
      <c r="B128" s="13"/>
      <c r="C128" s="38"/>
      <c r="D128" s="20" t="s">
        <v>20</v>
      </c>
      <c r="E128" s="63" t="s">
        <v>35</v>
      </c>
      <c r="F128" s="34">
        <v>10</v>
      </c>
      <c r="G128" s="34">
        <v>20</v>
      </c>
      <c r="H128" s="34">
        <v>20</v>
      </c>
      <c r="I128" s="34">
        <v>28</v>
      </c>
      <c r="J128" s="34">
        <v>34</v>
      </c>
      <c r="K128" s="34">
        <v>35</v>
      </c>
      <c r="L128" s="34">
        <v>37</v>
      </c>
      <c r="M128" s="34">
        <v>39</v>
      </c>
      <c r="N128" s="34">
        <v>45</v>
      </c>
      <c r="O128" s="34">
        <v>36</v>
      </c>
      <c r="P128" s="34">
        <v>43</v>
      </c>
      <c r="Q128" s="34">
        <v>69</v>
      </c>
      <c r="R128" s="34">
        <v>75</v>
      </c>
      <c r="S128" s="34">
        <v>78</v>
      </c>
      <c r="T128" s="34">
        <v>79</v>
      </c>
      <c r="U128" s="34">
        <v>85</v>
      </c>
      <c r="V128" s="34">
        <v>102</v>
      </c>
    </row>
    <row r="129" spans="2:22" ht="19.899999999999999" customHeight="1" thickBot="1" x14ac:dyDescent="0.25">
      <c r="B129" s="17"/>
      <c r="C129" s="19"/>
      <c r="D129" s="21" t="s">
        <v>21</v>
      </c>
      <c r="E129" s="64" t="s">
        <v>35</v>
      </c>
      <c r="F129" s="35">
        <v>10</v>
      </c>
      <c r="G129" s="35">
        <v>19</v>
      </c>
      <c r="H129" s="35">
        <v>20</v>
      </c>
      <c r="I129" s="35">
        <v>28</v>
      </c>
      <c r="J129" s="35">
        <v>32</v>
      </c>
      <c r="K129" s="35">
        <v>40</v>
      </c>
      <c r="L129" s="35">
        <v>42</v>
      </c>
      <c r="M129" s="35">
        <v>46</v>
      </c>
      <c r="N129" s="35">
        <v>49</v>
      </c>
      <c r="O129" s="35">
        <v>53</v>
      </c>
      <c r="P129" s="35">
        <v>70</v>
      </c>
      <c r="Q129" s="35">
        <v>86</v>
      </c>
      <c r="R129" s="35">
        <v>97</v>
      </c>
      <c r="S129" s="35">
        <v>92</v>
      </c>
      <c r="T129" s="55">
        <v>102</v>
      </c>
      <c r="U129" s="35">
        <v>102</v>
      </c>
      <c r="V129" s="55">
        <v>102</v>
      </c>
    </row>
    <row r="130" spans="2:22" ht="19.899999999999999" customHeight="1" thickBot="1" x14ac:dyDescent="0.25">
      <c r="B130" s="12" t="s">
        <v>0</v>
      </c>
      <c r="C130" s="18">
        <v>1</v>
      </c>
      <c r="D130" s="16" t="s">
        <v>22</v>
      </c>
      <c r="E130" s="62" t="s">
        <v>46</v>
      </c>
      <c r="F130" s="33">
        <v>12</v>
      </c>
      <c r="G130" s="33">
        <v>16</v>
      </c>
      <c r="H130" s="33">
        <v>25</v>
      </c>
      <c r="I130" s="33">
        <v>33</v>
      </c>
      <c r="J130" s="33">
        <v>39</v>
      </c>
      <c r="K130" s="33">
        <v>47</v>
      </c>
      <c r="L130" s="33">
        <v>57</v>
      </c>
      <c r="M130" s="33">
        <v>60</v>
      </c>
      <c r="N130" s="33">
        <v>70</v>
      </c>
      <c r="O130" s="33">
        <v>77</v>
      </c>
      <c r="P130" s="33">
        <v>96</v>
      </c>
      <c r="Q130" s="56">
        <v>102</v>
      </c>
      <c r="R130" s="56">
        <v>102</v>
      </c>
      <c r="S130" s="56">
        <v>102</v>
      </c>
      <c r="T130" s="56">
        <v>102</v>
      </c>
      <c r="U130" s="56">
        <v>102</v>
      </c>
      <c r="V130" s="56">
        <v>102</v>
      </c>
    </row>
    <row r="131" spans="2:22" ht="19.899999999999999" customHeight="1" thickBot="1" x14ac:dyDescent="0.25">
      <c r="B131" s="13"/>
      <c r="C131" s="38"/>
      <c r="D131" s="20" t="s">
        <v>20</v>
      </c>
      <c r="E131" s="63" t="s">
        <v>46</v>
      </c>
      <c r="F131" s="34">
        <v>11</v>
      </c>
      <c r="G131" s="34">
        <v>21</v>
      </c>
      <c r="H131" s="34">
        <v>28</v>
      </c>
      <c r="I131" s="34">
        <v>42</v>
      </c>
      <c r="J131" s="34">
        <v>46</v>
      </c>
      <c r="K131" s="34">
        <v>53</v>
      </c>
      <c r="L131" s="34">
        <v>61</v>
      </c>
      <c r="M131" s="34">
        <v>71</v>
      </c>
      <c r="N131" s="34">
        <v>78</v>
      </c>
      <c r="O131" s="34">
        <v>94</v>
      </c>
      <c r="P131" s="34">
        <v>99</v>
      </c>
      <c r="Q131" s="56">
        <v>102</v>
      </c>
      <c r="R131" s="56">
        <v>102</v>
      </c>
      <c r="S131" s="56">
        <v>102</v>
      </c>
      <c r="T131" s="56">
        <v>102</v>
      </c>
      <c r="U131" s="56">
        <v>102</v>
      </c>
      <c r="V131" s="56">
        <v>102</v>
      </c>
    </row>
    <row r="132" spans="2:22" ht="19.899999999999999" customHeight="1" thickBot="1" x14ac:dyDescent="0.25">
      <c r="B132" s="17"/>
      <c r="C132" s="19"/>
      <c r="D132" s="21" t="s">
        <v>21</v>
      </c>
      <c r="E132" s="64" t="s">
        <v>46</v>
      </c>
      <c r="F132" s="35">
        <v>10</v>
      </c>
      <c r="G132" s="35">
        <v>17</v>
      </c>
      <c r="H132" s="35">
        <v>24</v>
      </c>
      <c r="I132" s="35">
        <v>30.5</v>
      </c>
      <c r="J132" s="35">
        <v>40</v>
      </c>
      <c r="K132" s="35">
        <v>49</v>
      </c>
      <c r="L132" s="35">
        <v>60</v>
      </c>
      <c r="M132" s="35">
        <v>67</v>
      </c>
      <c r="N132" s="35">
        <v>71</v>
      </c>
      <c r="O132" s="35">
        <v>88</v>
      </c>
      <c r="P132" s="35">
        <v>92</v>
      </c>
      <c r="Q132" s="56">
        <v>102</v>
      </c>
      <c r="R132" s="56">
        <v>102</v>
      </c>
      <c r="S132" s="56">
        <v>102</v>
      </c>
      <c r="T132" s="56">
        <v>102</v>
      </c>
      <c r="U132" s="56">
        <v>102</v>
      </c>
      <c r="V132" s="56">
        <v>102</v>
      </c>
    </row>
    <row r="133" spans="2:22" ht="19.899999999999999" customHeight="1" thickBot="1" x14ac:dyDescent="0.25">
      <c r="B133" s="12" t="s">
        <v>10</v>
      </c>
      <c r="C133" s="18">
        <v>1</v>
      </c>
      <c r="D133" s="16" t="s">
        <v>21</v>
      </c>
      <c r="E133" s="62" t="s">
        <v>39</v>
      </c>
      <c r="F133" s="33">
        <v>12</v>
      </c>
      <c r="G133" s="33">
        <v>19</v>
      </c>
      <c r="H133" s="33">
        <v>23</v>
      </c>
      <c r="I133" s="33">
        <v>26</v>
      </c>
      <c r="J133" s="33">
        <v>29</v>
      </c>
      <c r="K133" s="33">
        <v>33</v>
      </c>
      <c r="L133" s="33">
        <v>38</v>
      </c>
      <c r="M133" s="33">
        <v>37</v>
      </c>
      <c r="N133" s="33">
        <v>35</v>
      </c>
      <c r="O133" s="33">
        <v>44</v>
      </c>
      <c r="P133" s="33">
        <v>59</v>
      </c>
      <c r="Q133" s="33">
        <v>80</v>
      </c>
      <c r="R133" s="33">
        <v>95</v>
      </c>
      <c r="S133" s="56">
        <v>102</v>
      </c>
      <c r="T133" s="56">
        <v>102</v>
      </c>
      <c r="U133" s="56">
        <v>102</v>
      </c>
      <c r="V133" s="56">
        <v>102</v>
      </c>
    </row>
    <row r="134" spans="2:22" ht="19.899999999999999" customHeight="1" thickBot="1" x14ac:dyDescent="0.25">
      <c r="B134" s="13"/>
      <c r="C134" s="38"/>
      <c r="D134" s="20" t="s">
        <v>20</v>
      </c>
      <c r="E134" s="63" t="s">
        <v>39</v>
      </c>
      <c r="F134" s="34">
        <v>10</v>
      </c>
      <c r="G134" s="34">
        <v>20</v>
      </c>
      <c r="H134" s="34">
        <v>23</v>
      </c>
      <c r="I134" s="34">
        <v>42</v>
      </c>
      <c r="J134" s="34">
        <v>32</v>
      </c>
      <c r="K134" s="34">
        <v>34</v>
      </c>
      <c r="L134" s="34">
        <v>41</v>
      </c>
      <c r="M134" s="34">
        <v>46</v>
      </c>
      <c r="N134" s="34">
        <v>34</v>
      </c>
      <c r="O134" s="34">
        <v>59</v>
      </c>
      <c r="P134" s="34">
        <v>58</v>
      </c>
      <c r="Q134" s="34">
        <v>84</v>
      </c>
      <c r="R134" s="34">
        <v>98</v>
      </c>
      <c r="S134" s="56">
        <v>102</v>
      </c>
      <c r="T134" s="56">
        <v>102</v>
      </c>
      <c r="U134" s="56">
        <v>102</v>
      </c>
      <c r="V134" s="56">
        <v>102</v>
      </c>
    </row>
    <row r="135" spans="2:22" ht="19.899999999999999" customHeight="1" thickBot="1" x14ac:dyDescent="0.25">
      <c r="B135" s="17"/>
      <c r="C135" s="19"/>
      <c r="D135" s="21" t="s">
        <v>22</v>
      </c>
      <c r="E135" s="64" t="s">
        <v>39</v>
      </c>
      <c r="F135" s="35">
        <v>11</v>
      </c>
      <c r="G135" s="35">
        <v>12</v>
      </c>
      <c r="H135" s="35">
        <v>21</v>
      </c>
      <c r="I135" s="35">
        <v>21</v>
      </c>
      <c r="J135" s="35">
        <v>33</v>
      </c>
      <c r="K135" s="35">
        <v>38</v>
      </c>
      <c r="L135" s="35">
        <v>51</v>
      </c>
      <c r="M135" s="35">
        <v>47</v>
      </c>
      <c r="N135" s="35">
        <v>43</v>
      </c>
      <c r="O135" s="35">
        <v>63</v>
      </c>
      <c r="P135" s="35">
        <v>67</v>
      </c>
      <c r="Q135" s="35">
        <v>92</v>
      </c>
      <c r="R135" s="35">
        <v>94</v>
      </c>
      <c r="S135" s="56">
        <v>102</v>
      </c>
      <c r="T135" s="56">
        <v>102</v>
      </c>
      <c r="U135" s="56">
        <v>102</v>
      </c>
      <c r="V135" s="56">
        <v>102</v>
      </c>
    </row>
    <row r="136" spans="2:22" ht="19.899999999999999" customHeight="1" thickBot="1" x14ac:dyDescent="0.25">
      <c r="B136" s="12" t="s">
        <v>10</v>
      </c>
      <c r="C136" s="18">
        <v>2</v>
      </c>
      <c r="D136" s="16" t="s">
        <v>21</v>
      </c>
      <c r="E136" s="62" t="s">
        <v>45</v>
      </c>
      <c r="F136" s="33">
        <v>10</v>
      </c>
      <c r="G136" s="33">
        <v>12</v>
      </c>
      <c r="H136" s="33">
        <v>23</v>
      </c>
      <c r="I136" s="33">
        <v>28</v>
      </c>
      <c r="J136" s="33">
        <v>32</v>
      </c>
      <c r="K136" s="33">
        <v>35</v>
      </c>
      <c r="L136" s="33">
        <v>36</v>
      </c>
      <c r="M136" s="33">
        <v>43</v>
      </c>
      <c r="N136" s="33">
        <v>51</v>
      </c>
      <c r="O136" s="33">
        <v>54</v>
      </c>
      <c r="P136" s="33">
        <v>69</v>
      </c>
      <c r="Q136" s="33">
        <v>87</v>
      </c>
      <c r="R136" s="56">
        <v>102</v>
      </c>
      <c r="S136" s="56">
        <v>102</v>
      </c>
      <c r="T136" s="56">
        <v>102</v>
      </c>
      <c r="U136" s="56">
        <v>102</v>
      </c>
      <c r="V136" s="56">
        <v>102</v>
      </c>
    </row>
    <row r="137" spans="2:22" ht="19.899999999999999" customHeight="1" thickBot="1" x14ac:dyDescent="0.25">
      <c r="B137" s="13"/>
      <c r="C137" s="38"/>
      <c r="D137" s="20" t="s">
        <v>20</v>
      </c>
      <c r="E137" s="63" t="s">
        <v>45</v>
      </c>
      <c r="F137" s="34">
        <v>11</v>
      </c>
      <c r="G137" s="34">
        <v>17</v>
      </c>
      <c r="H137" s="34">
        <v>24</v>
      </c>
      <c r="I137" s="34">
        <v>27.5</v>
      </c>
      <c r="J137" s="34">
        <v>39</v>
      </c>
      <c r="K137" s="34">
        <v>48</v>
      </c>
      <c r="L137" s="34">
        <v>56</v>
      </c>
      <c r="M137" s="34">
        <v>60</v>
      </c>
      <c r="N137" s="34">
        <v>70</v>
      </c>
      <c r="O137" s="34">
        <v>78</v>
      </c>
      <c r="P137" s="34">
        <v>80</v>
      </c>
      <c r="Q137" s="34">
        <v>100</v>
      </c>
      <c r="R137" s="56">
        <v>102</v>
      </c>
      <c r="S137" s="56">
        <v>102</v>
      </c>
      <c r="T137" s="56">
        <v>102</v>
      </c>
      <c r="U137" s="56">
        <v>102</v>
      </c>
      <c r="V137" s="56">
        <v>102</v>
      </c>
    </row>
    <row r="138" spans="2:22" ht="19.899999999999999" customHeight="1" thickBot="1" x14ac:dyDescent="0.25">
      <c r="B138" s="17"/>
      <c r="C138" s="19"/>
      <c r="D138" s="21" t="s">
        <v>22</v>
      </c>
      <c r="E138" s="64" t="s">
        <v>45</v>
      </c>
      <c r="F138" s="35">
        <v>10</v>
      </c>
      <c r="G138" s="35">
        <v>14</v>
      </c>
      <c r="H138" s="35">
        <v>23</v>
      </c>
      <c r="I138" s="35">
        <v>28</v>
      </c>
      <c r="J138" s="35">
        <v>38</v>
      </c>
      <c r="K138" s="35">
        <v>41</v>
      </c>
      <c r="L138" s="35">
        <v>56</v>
      </c>
      <c r="M138" s="35">
        <v>65</v>
      </c>
      <c r="N138" s="35">
        <v>69</v>
      </c>
      <c r="O138" s="35">
        <v>73</v>
      </c>
      <c r="P138" s="35">
        <v>87</v>
      </c>
      <c r="Q138" s="35">
        <v>99</v>
      </c>
      <c r="R138" s="56">
        <v>102</v>
      </c>
      <c r="S138" s="56">
        <v>102</v>
      </c>
      <c r="T138" s="56">
        <v>102</v>
      </c>
      <c r="U138" s="56">
        <v>102</v>
      </c>
      <c r="V138" s="56">
        <v>102</v>
      </c>
    </row>
    <row r="139" spans="2:22" ht="19.899999999999999" customHeight="1" thickBot="1" x14ac:dyDescent="0.25">
      <c r="B139" s="12" t="s">
        <v>10</v>
      </c>
      <c r="C139" s="18">
        <v>3</v>
      </c>
      <c r="D139" s="16" t="s">
        <v>21</v>
      </c>
      <c r="E139" s="62" t="s">
        <v>48</v>
      </c>
      <c r="F139" s="33">
        <v>10</v>
      </c>
      <c r="G139" s="33">
        <v>11</v>
      </c>
      <c r="H139" s="33">
        <v>19</v>
      </c>
      <c r="I139" s="33">
        <v>24</v>
      </c>
      <c r="J139" s="33">
        <v>36</v>
      </c>
      <c r="K139" s="33">
        <v>46</v>
      </c>
      <c r="L139" s="33">
        <v>49</v>
      </c>
      <c r="M139" s="33">
        <v>57</v>
      </c>
      <c r="N139" s="33">
        <v>67</v>
      </c>
      <c r="O139" s="33">
        <v>76</v>
      </c>
      <c r="P139" s="33">
        <v>88</v>
      </c>
      <c r="Q139" s="56">
        <v>102</v>
      </c>
      <c r="R139" s="56">
        <v>102</v>
      </c>
      <c r="S139" s="56">
        <v>102</v>
      </c>
      <c r="T139" s="56">
        <v>102</v>
      </c>
      <c r="U139" s="56">
        <v>102</v>
      </c>
      <c r="V139" s="56">
        <v>102</v>
      </c>
    </row>
    <row r="140" spans="2:22" ht="19.899999999999999" customHeight="1" thickBot="1" x14ac:dyDescent="0.25">
      <c r="B140" s="13"/>
      <c r="C140" s="38"/>
      <c r="D140" s="20" t="s">
        <v>20</v>
      </c>
      <c r="E140" s="63" t="s">
        <v>48</v>
      </c>
      <c r="F140" s="34">
        <v>10</v>
      </c>
      <c r="G140" s="34">
        <v>17</v>
      </c>
      <c r="H140" s="34">
        <v>20</v>
      </c>
      <c r="I140" s="34">
        <v>32</v>
      </c>
      <c r="J140" s="34">
        <v>34</v>
      </c>
      <c r="K140" s="34">
        <v>43</v>
      </c>
      <c r="L140" s="34">
        <v>53</v>
      </c>
      <c r="M140" s="34">
        <v>62</v>
      </c>
      <c r="N140" s="34">
        <v>66</v>
      </c>
      <c r="O140" s="34">
        <v>82</v>
      </c>
      <c r="P140" s="34">
        <v>88</v>
      </c>
      <c r="Q140" s="56">
        <v>102</v>
      </c>
      <c r="R140" s="56">
        <v>102</v>
      </c>
      <c r="S140" s="56">
        <v>102</v>
      </c>
      <c r="T140" s="56">
        <v>102</v>
      </c>
      <c r="U140" s="56">
        <v>102</v>
      </c>
      <c r="V140" s="56">
        <v>102</v>
      </c>
    </row>
    <row r="141" spans="2:22" ht="19.899999999999999" customHeight="1" thickBot="1" x14ac:dyDescent="0.25">
      <c r="B141" s="17"/>
      <c r="C141" s="19"/>
      <c r="D141" s="21" t="s">
        <v>22</v>
      </c>
      <c r="E141" s="64" t="s">
        <v>48</v>
      </c>
      <c r="F141" s="35">
        <v>10</v>
      </c>
      <c r="G141" s="35">
        <v>17</v>
      </c>
      <c r="H141" s="35">
        <v>22</v>
      </c>
      <c r="I141" s="35">
        <v>25.5</v>
      </c>
      <c r="J141" s="35">
        <v>40</v>
      </c>
      <c r="K141" s="35">
        <v>42</v>
      </c>
      <c r="L141" s="35">
        <v>49</v>
      </c>
      <c r="M141" s="35">
        <v>58</v>
      </c>
      <c r="N141" s="35">
        <v>62</v>
      </c>
      <c r="O141" s="35">
        <v>69</v>
      </c>
      <c r="P141" s="35">
        <v>75</v>
      </c>
      <c r="Q141" s="56">
        <v>102</v>
      </c>
      <c r="R141" s="56">
        <v>102</v>
      </c>
      <c r="S141" s="56">
        <v>102</v>
      </c>
      <c r="T141" s="56">
        <v>102</v>
      </c>
      <c r="U141" s="56">
        <v>102</v>
      </c>
      <c r="V141" s="56">
        <v>102</v>
      </c>
    </row>
    <row r="142" spans="2:22" ht="19.899999999999999" customHeight="1" x14ac:dyDescent="0.2">
      <c r="B142" s="12" t="s">
        <v>10</v>
      </c>
      <c r="C142" s="18">
        <v>4</v>
      </c>
      <c r="D142" s="16" t="s">
        <v>21</v>
      </c>
      <c r="E142" s="62" t="s">
        <v>38</v>
      </c>
      <c r="F142" s="33">
        <v>8</v>
      </c>
      <c r="G142" s="33">
        <v>16</v>
      </c>
      <c r="H142" s="33">
        <v>22</v>
      </c>
      <c r="I142" s="33">
        <v>33</v>
      </c>
      <c r="J142" s="33">
        <v>40</v>
      </c>
      <c r="K142" s="33">
        <v>53</v>
      </c>
      <c r="L142" s="33">
        <v>63</v>
      </c>
      <c r="M142" s="33">
        <v>69</v>
      </c>
      <c r="N142" s="33">
        <v>77</v>
      </c>
      <c r="O142" s="33">
        <v>90</v>
      </c>
      <c r="P142" s="33">
        <v>94</v>
      </c>
      <c r="Q142" s="56">
        <v>102</v>
      </c>
      <c r="R142" s="56">
        <v>102</v>
      </c>
      <c r="S142" s="56">
        <v>102</v>
      </c>
      <c r="T142" s="56">
        <v>102</v>
      </c>
      <c r="U142" s="56">
        <v>102</v>
      </c>
      <c r="V142" s="56">
        <v>102</v>
      </c>
    </row>
    <row r="143" spans="2:22" ht="19.899999999999999" customHeight="1" x14ac:dyDescent="0.2">
      <c r="B143" s="13"/>
      <c r="C143" s="38"/>
      <c r="D143" s="20" t="s">
        <v>20</v>
      </c>
      <c r="E143" s="63" t="s">
        <v>38</v>
      </c>
      <c r="F143" s="34">
        <v>10</v>
      </c>
      <c r="G143" s="34">
        <v>17</v>
      </c>
      <c r="H143" s="34">
        <v>22</v>
      </c>
      <c r="I143" s="34">
        <v>33</v>
      </c>
      <c r="J143" s="34">
        <v>39</v>
      </c>
      <c r="K143" s="34">
        <v>43</v>
      </c>
      <c r="L143" s="34">
        <v>55</v>
      </c>
      <c r="M143" s="34">
        <v>61</v>
      </c>
      <c r="N143" s="34">
        <v>64</v>
      </c>
      <c r="O143" s="34">
        <v>84</v>
      </c>
      <c r="P143" s="34">
        <v>89</v>
      </c>
      <c r="Q143" s="34">
        <v>87</v>
      </c>
      <c r="R143" s="57">
        <v>102</v>
      </c>
      <c r="S143" s="57">
        <v>102</v>
      </c>
      <c r="T143" s="57">
        <v>92</v>
      </c>
      <c r="U143" s="57">
        <v>102</v>
      </c>
      <c r="V143" s="57">
        <v>102</v>
      </c>
    </row>
    <row r="144" spans="2:22" ht="19.899999999999999" customHeight="1" thickBot="1" x14ac:dyDescent="0.25">
      <c r="B144" s="17"/>
      <c r="C144" s="19"/>
      <c r="D144" s="21" t="s">
        <v>22</v>
      </c>
      <c r="E144" s="64" t="s">
        <v>38</v>
      </c>
      <c r="F144" s="35">
        <v>10</v>
      </c>
      <c r="G144" s="35">
        <v>14</v>
      </c>
      <c r="H144" s="35">
        <v>19</v>
      </c>
      <c r="I144" s="35">
        <v>29</v>
      </c>
      <c r="J144" s="35">
        <v>40</v>
      </c>
      <c r="K144" s="35">
        <v>43</v>
      </c>
      <c r="L144" s="35">
        <v>53</v>
      </c>
      <c r="M144" s="35">
        <v>60</v>
      </c>
      <c r="N144" s="35">
        <v>66</v>
      </c>
      <c r="O144" s="35">
        <v>77</v>
      </c>
      <c r="P144" s="35">
        <v>88</v>
      </c>
      <c r="Q144" s="35">
        <v>98</v>
      </c>
      <c r="R144" s="55">
        <v>102</v>
      </c>
      <c r="S144" s="55">
        <v>102</v>
      </c>
      <c r="T144" s="55">
        <v>102</v>
      </c>
      <c r="U144" s="55">
        <v>102</v>
      </c>
      <c r="V144" s="55">
        <v>102</v>
      </c>
    </row>
    <row r="145" spans="2:22" ht="19.899999999999999" customHeight="1" thickBot="1" x14ac:dyDescent="0.25">
      <c r="B145" s="12" t="s">
        <v>11</v>
      </c>
      <c r="C145" s="18">
        <v>4</v>
      </c>
      <c r="D145" s="16" t="s">
        <v>22</v>
      </c>
      <c r="E145" s="62" t="s">
        <v>43</v>
      </c>
      <c r="F145" s="33">
        <v>9</v>
      </c>
      <c r="G145" s="33">
        <v>15</v>
      </c>
      <c r="H145" s="33">
        <v>16</v>
      </c>
      <c r="I145" s="33">
        <v>26</v>
      </c>
      <c r="J145" s="33">
        <v>31</v>
      </c>
      <c r="K145" s="33">
        <v>39</v>
      </c>
      <c r="L145" s="33">
        <v>46</v>
      </c>
      <c r="M145" s="33">
        <v>57</v>
      </c>
      <c r="N145" s="33">
        <v>68</v>
      </c>
      <c r="O145" s="33">
        <v>93</v>
      </c>
      <c r="P145" s="33">
        <v>88</v>
      </c>
      <c r="Q145" s="33">
        <v>97</v>
      </c>
      <c r="R145" s="33">
        <v>99</v>
      </c>
      <c r="S145" s="56">
        <v>102</v>
      </c>
      <c r="T145" s="56">
        <v>102</v>
      </c>
      <c r="U145" s="56">
        <v>102</v>
      </c>
      <c r="V145" s="56">
        <v>102</v>
      </c>
    </row>
    <row r="146" spans="2:22" ht="19.899999999999999" customHeight="1" thickBot="1" x14ac:dyDescent="0.25">
      <c r="B146" s="13"/>
      <c r="C146" s="38"/>
      <c r="D146" s="20" t="s">
        <v>20</v>
      </c>
      <c r="E146" s="63" t="s">
        <v>43</v>
      </c>
      <c r="F146" s="34">
        <v>11</v>
      </c>
      <c r="G146" s="34">
        <v>10</v>
      </c>
      <c r="H146" s="34">
        <v>20</v>
      </c>
      <c r="I146" s="34">
        <v>31</v>
      </c>
      <c r="J146" s="34">
        <v>32</v>
      </c>
      <c r="K146" s="34">
        <v>37</v>
      </c>
      <c r="L146" s="34">
        <v>57</v>
      </c>
      <c r="M146" s="34">
        <v>58</v>
      </c>
      <c r="N146" s="34">
        <v>66</v>
      </c>
      <c r="O146" s="34">
        <v>78</v>
      </c>
      <c r="P146" s="34">
        <v>93</v>
      </c>
      <c r="Q146" s="34">
        <v>94</v>
      </c>
      <c r="R146" s="34">
        <v>101</v>
      </c>
      <c r="S146" s="56">
        <v>102</v>
      </c>
      <c r="T146" s="56">
        <v>102</v>
      </c>
      <c r="U146" s="56">
        <v>102</v>
      </c>
      <c r="V146" s="56">
        <v>102</v>
      </c>
    </row>
    <row r="147" spans="2:22" ht="19.899999999999999" customHeight="1" thickBot="1" x14ac:dyDescent="0.25">
      <c r="B147" s="17"/>
      <c r="C147" s="19"/>
      <c r="D147" s="21" t="s">
        <v>21</v>
      </c>
      <c r="E147" s="64" t="s">
        <v>43</v>
      </c>
      <c r="F147" s="35">
        <v>10</v>
      </c>
      <c r="G147" s="35">
        <v>19</v>
      </c>
      <c r="H147" s="35">
        <v>21</v>
      </c>
      <c r="I147" s="35">
        <v>27</v>
      </c>
      <c r="J147" s="35">
        <v>38</v>
      </c>
      <c r="K147" s="35">
        <v>49</v>
      </c>
      <c r="L147" s="35">
        <v>56</v>
      </c>
      <c r="M147" s="35">
        <v>68</v>
      </c>
      <c r="N147" s="35">
        <v>77</v>
      </c>
      <c r="O147" s="35">
        <v>82</v>
      </c>
      <c r="P147" s="35">
        <v>92</v>
      </c>
      <c r="Q147" s="35">
        <v>96</v>
      </c>
      <c r="R147" s="35">
        <v>99</v>
      </c>
      <c r="S147" s="56">
        <v>102</v>
      </c>
      <c r="T147" s="56">
        <v>102</v>
      </c>
      <c r="U147" s="56">
        <v>102</v>
      </c>
      <c r="V147" s="56">
        <v>102</v>
      </c>
    </row>
    <row r="148" spans="2:22" ht="19.899999999999999" customHeight="1" x14ac:dyDescent="0.2">
      <c r="B148" s="12" t="s">
        <v>11</v>
      </c>
      <c r="C148" s="18">
        <v>3</v>
      </c>
      <c r="D148" s="16" t="s">
        <v>22</v>
      </c>
      <c r="E148" s="62" t="s">
        <v>44</v>
      </c>
      <c r="F148" s="33">
        <v>11</v>
      </c>
      <c r="G148" s="33">
        <v>12</v>
      </c>
      <c r="H148" s="33">
        <v>22</v>
      </c>
      <c r="I148" s="33">
        <v>29</v>
      </c>
      <c r="J148" s="33">
        <v>34</v>
      </c>
      <c r="K148" s="33">
        <v>39</v>
      </c>
      <c r="L148" s="33">
        <v>49</v>
      </c>
      <c r="M148" s="33">
        <v>61</v>
      </c>
      <c r="N148" s="33">
        <v>62</v>
      </c>
      <c r="O148" s="33">
        <v>76</v>
      </c>
      <c r="P148" s="33">
        <v>80</v>
      </c>
      <c r="Q148" s="33">
        <v>91</v>
      </c>
      <c r="R148" s="33">
        <v>98</v>
      </c>
      <c r="S148" s="56">
        <v>102</v>
      </c>
      <c r="T148" s="56">
        <v>102</v>
      </c>
      <c r="U148" s="56">
        <v>102</v>
      </c>
      <c r="V148" s="56">
        <v>102</v>
      </c>
    </row>
    <row r="149" spans="2:22" ht="19.899999999999999" customHeight="1" x14ac:dyDescent="0.2">
      <c r="B149" s="13"/>
      <c r="C149" s="38"/>
      <c r="D149" s="20" t="s">
        <v>20</v>
      </c>
      <c r="E149" s="63" t="s">
        <v>44</v>
      </c>
      <c r="F149" s="34">
        <v>11</v>
      </c>
      <c r="G149" s="34">
        <v>19</v>
      </c>
      <c r="H149" s="34">
        <v>21</v>
      </c>
      <c r="I149" s="34">
        <v>27</v>
      </c>
      <c r="J149" s="34">
        <v>30</v>
      </c>
      <c r="K149" s="34">
        <v>37</v>
      </c>
      <c r="L149" s="34">
        <v>42</v>
      </c>
      <c r="M149" s="34">
        <v>46</v>
      </c>
      <c r="N149" s="34">
        <v>54</v>
      </c>
      <c r="O149" s="34">
        <v>66</v>
      </c>
      <c r="P149" s="34">
        <v>75</v>
      </c>
      <c r="Q149" s="34">
        <v>92</v>
      </c>
      <c r="R149" s="34">
        <v>96</v>
      </c>
      <c r="S149" s="34">
        <v>101</v>
      </c>
      <c r="T149" s="34">
        <v>102</v>
      </c>
      <c r="U149" s="34">
        <v>102</v>
      </c>
      <c r="V149" s="34">
        <v>102</v>
      </c>
    </row>
    <row r="150" spans="2:22" ht="19.899999999999999" customHeight="1" thickBot="1" x14ac:dyDescent="0.25">
      <c r="B150" s="17"/>
      <c r="C150" s="19"/>
      <c r="D150" s="21" t="s">
        <v>21</v>
      </c>
      <c r="E150" s="64" t="s">
        <v>44</v>
      </c>
      <c r="F150" s="35">
        <v>11</v>
      </c>
      <c r="G150" s="35">
        <v>22</v>
      </c>
      <c r="H150" s="35">
        <v>21</v>
      </c>
      <c r="I150" s="35">
        <v>33</v>
      </c>
      <c r="J150" s="35">
        <v>31</v>
      </c>
      <c r="K150" s="35">
        <v>41</v>
      </c>
      <c r="L150" s="35">
        <v>57</v>
      </c>
      <c r="M150" s="35">
        <v>62</v>
      </c>
      <c r="N150" s="35">
        <v>70</v>
      </c>
      <c r="O150" s="35">
        <v>97</v>
      </c>
      <c r="P150" s="35">
        <v>97</v>
      </c>
      <c r="Q150" s="35">
        <v>101</v>
      </c>
      <c r="R150" s="55">
        <v>102</v>
      </c>
      <c r="S150" s="55">
        <v>102</v>
      </c>
      <c r="T150" s="55">
        <v>102</v>
      </c>
      <c r="U150" s="55">
        <v>102</v>
      </c>
      <c r="V150" s="55">
        <v>102</v>
      </c>
    </row>
    <row r="151" spans="2:22" ht="19.899999999999999" customHeight="1" x14ac:dyDescent="0.2">
      <c r="B151" s="12" t="s">
        <v>11</v>
      </c>
      <c r="C151" s="18">
        <v>2</v>
      </c>
      <c r="D151" s="16" t="s">
        <v>22</v>
      </c>
      <c r="E151" s="62" t="s">
        <v>34</v>
      </c>
      <c r="F151" s="33">
        <v>11</v>
      </c>
      <c r="G151" s="33">
        <v>16</v>
      </c>
      <c r="H151" s="33">
        <v>17</v>
      </c>
      <c r="I151" s="33">
        <v>27</v>
      </c>
      <c r="J151" s="33">
        <v>27</v>
      </c>
      <c r="K151" s="33">
        <v>33</v>
      </c>
      <c r="L151" s="33">
        <v>39</v>
      </c>
      <c r="M151" s="33">
        <v>43</v>
      </c>
      <c r="N151" s="33">
        <v>48</v>
      </c>
      <c r="O151" s="33">
        <v>53</v>
      </c>
      <c r="P151" s="33">
        <v>59</v>
      </c>
      <c r="Q151" s="33">
        <v>73</v>
      </c>
      <c r="R151" s="33">
        <v>87</v>
      </c>
      <c r="S151" s="33">
        <v>95</v>
      </c>
      <c r="T151" s="33">
        <v>102</v>
      </c>
      <c r="U151" s="33">
        <v>102</v>
      </c>
      <c r="V151" s="33">
        <v>102</v>
      </c>
    </row>
    <row r="152" spans="2:22" ht="19.899999999999999" customHeight="1" x14ac:dyDescent="0.2">
      <c r="B152" s="13"/>
      <c r="C152" s="38"/>
      <c r="D152" s="20" t="s">
        <v>20</v>
      </c>
      <c r="E152" s="63" t="s">
        <v>34</v>
      </c>
      <c r="F152" s="34">
        <v>11</v>
      </c>
      <c r="G152" s="34">
        <v>16</v>
      </c>
      <c r="H152" s="34">
        <v>23</v>
      </c>
      <c r="I152" s="34">
        <v>26</v>
      </c>
      <c r="J152" s="34">
        <v>37</v>
      </c>
      <c r="K152" s="34">
        <v>50</v>
      </c>
      <c r="L152" s="34">
        <v>58</v>
      </c>
      <c r="M152" s="34">
        <v>64</v>
      </c>
      <c r="N152" s="34">
        <v>68</v>
      </c>
      <c r="O152" s="34">
        <v>79</v>
      </c>
      <c r="P152" s="34">
        <v>90</v>
      </c>
      <c r="Q152" s="57">
        <v>102</v>
      </c>
      <c r="R152" s="57">
        <v>102</v>
      </c>
      <c r="S152" s="57">
        <v>102</v>
      </c>
      <c r="T152" s="57">
        <v>102</v>
      </c>
      <c r="U152" s="57">
        <v>102</v>
      </c>
      <c r="V152" s="57">
        <v>102</v>
      </c>
    </row>
    <row r="153" spans="2:22" ht="19.899999999999999" customHeight="1" thickBot="1" x14ac:dyDescent="0.25">
      <c r="B153" s="17"/>
      <c r="C153" s="19"/>
      <c r="D153" s="21" t="s">
        <v>21</v>
      </c>
      <c r="E153" s="64" t="s">
        <v>34</v>
      </c>
      <c r="F153" s="35">
        <v>10</v>
      </c>
      <c r="G153" s="35">
        <v>17</v>
      </c>
      <c r="H153" s="35">
        <v>23</v>
      </c>
      <c r="I153" s="35">
        <v>41</v>
      </c>
      <c r="J153" s="35">
        <v>35</v>
      </c>
      <c r="K153" s="35">
        <v>52</v>
      </c>
      <c r="L153" s="35">
        <v>76</v>
      </c>
      <c r="M153" s="35">
        <v>80</v>
      </c>
      <c r="N153" s="35">
        <v>92</v>
      </c>
      <c r="O153" s="55">
        <v>102</v>
      </c>
      <c r="P153" s="35">
        <v>98</v>
      </c>
      <c r="Q153" s="57">
        <v>102</v>
      </c>
      <c r="R153" s="57">
        <v>102</v>
      </c>
      <c r="S153" s="57">
        <v>102</v>
      </c>
      <c r="T153" s="57">
        <v>102</v>
      </c>
      <c r="U153" s="57">
        <v>102</v>
      </c>
      <c r="V153" s="57">
        <v>102</v>
      </c>
    </row>
    <row r="154" spans="2:22" ht="19.899999999999999" customHeight="1" x14ac:dyDescent="0.2">
      <c r="B154" s="12" t="s">
        <v>11</v>
      </c>
      <c r="C154" s="18">
        <v>1</v>
      </c>
      <c r="D154" s="16" t="s">
        <v>22</v>
      </c>
      <c r="E154" s="62" t="s">
        <v>40</v>
      </c>
      <c r="F154" s="33">
        <v>8</v>
      </c>
      <c r="G154" s="33">
        <v>13</v>
      </c>
      <c r="H154" s="33">
        <v>17</v>
      </c>
      <c r="I154" s="33">
        <v>25.5</v>
      </c>
      <c r="J154" s="33">
        <v>31</v>
      </c>
      <c r="K154" s="33">
        <v>37</v>
      </c>
      <c r="L154" s="33">
        <v>49</v>
      </c>
      <c r="M154" s="33">
        <v>49</v>
      </c>
      <c r="N154" s="33">
        <v>52</v>
      </c>
      <c r="O154" s="33">
        <v>59</v>
      </c>
      <c r="P154" s="33">
        <v>79</v>
      </c>
      <c r="Q154" s="33">
        <v>91</v>
      </c>
      <c r="R154" s="56">
        <v>102</v>
      </c>
      <c r="S154" s="56">
        <v>102</v>
      </c>
      <c r="T154" s="56">
        <v>102</v>
      </c>
      <c r="U154" s="56">
        <v>102</v>
      </c>
      <c r="V154" s="56">
        <v>102</v>
      </c>
    </row>
    <row r="155" spans="2:22" ht="19.899999999999999" customHeight="1" x14ac:dyDescent="0.2">
      <c r="B155" s="13"/>
      <c r="C155" s="38"/>
      <c r="D155" s="20" t="s">
        <v>20</v>
      </c>
      <c r="E155" s="63" t="s">
        <v>40</v>
      </c>
      <c r="F155" s="34">
        <v>10</v>
      </c>
      <c r="G155" s="34">
        <v>19</v>
      </c>
      <c r="H155" s="34">
        <v>21</v>
      </c>
      <c r="I155" s="34">
        <v>23</v>
      </c>
      <c r="J155" s="34">
        <v>29</v>
      </c>
      <c r="K155" s="34">
        <v>38</v>
      </c>
      <c r="L155" s="34">
        <v>43</v>
      </c>
      <c r="M155" s="34">
        <v>49</v>
      </c>
      <c r="N155" s="34">
        <v>56</v>
      </c>
      <c r="O155" s="34">
        <v>70</v>
      </c>
      <c r="P155" s="34">
        <v>78</v>
      </c>
      <c r="Q155" s="57">
        <v>102</v>
      </c>
      <c r="R155" s="57">
        <v>102</v>
      </c>
      <c r="S155" s="57">
        <v>102</v>
      </c>
      <c r="T155" s="57">
        <v>102</v>
      </c>
      <c r="U155" s="57">
        <v>102</v>
      </c>
      <c r="V155" s="57">
        <v>102</v>
      </c>
    </row>
    <row r="156" spans="2:22" ht="19.899999999999999" customHeight="1" thickBot="1" x14ac:dyDescent="0.25">
      <c r="B156" s="17"/>
      <c r="C156" s="19"/>
      <c r="D156" s="21" t="s">
        <v>21</v>
      </c>
      <c r="E156" s="64" t="s">
        <v>40</v>
      </c>
      <c r="F156" s="35">
        <v>12</v>
      </c>
      <c r="G156" s="35">
        <v>19</v>
      </c>
      <c r="H156" s="35">
        <v>21</v>
      </c>
      <c r="I156" s="35">
        <v>29</v>
      </c>
      <c r="J156" s="35">
        <v>40</v>
      </c>
      <c r="K156" s="35">
        <v>51</v>
      </c>
      <c r="L156" s="35">
        <v>63</v>
      </c>
      <c r="M156" s="35">
        <v>69</v>
      </c>
      <c r="N156" s="35">
        <v>90</v>
      </c>
      <c r="O156" s="35">
        <v>97</v>
      </c>
      <c r="P156" s="35">
        <v>94</v>
      </c>
      <c r="Q156" s="57">
        <v>102</v>
      </c>
      <c r="R156" s="57">
        <v>102</v>
      </c>
      <c r="S156" s="57">
        <v>102</v>
      </c>
      <c r="T156" s="57">
        <v>102</v>
      </c>
      <c r="U156" s="57">
        <v>102</v>
      </c>
      <c r="V156" s="57">
        <v>102</v>
      </c>
    </row>
    <row r="157" spans="2:22" ht="19.899999999999999" customHeight="1" x14ac:dyDescent="0.2">
      <c r="B157" s="12" t="s">
        <v>12</v>
      </c>
      <c r="C157" s="18">
        <v>1</v>
      </c>
      <c r="D157" s="16" t="s">
        <v>21</v>
      </c>
      <c r="E157" s="62" t="s">
        <v>48</v>
      </c>
      <c r="F157" s="33">
        <v>12</v>
      </c>
      <c r="G157" s="33">
        <v>23</v>
      </c>
      <c r="H157" s="33">
        <v>27</v>
      </c>
      <c r="I157" s="33">
        <v>39</v>
      </c>
      <c r="J157" s="33">
        <v>35</v>
      </c>
      <c r="K157" s="33">
        <v>46</v>
      </c>
      <c r="L157" s="33">
        <v>56</v>
      </c>
      <c r="M157" s="33">
        <v>59</v>
      </c>
      <c r="N157" s="33">
        <v>70</v>
      </c>
      <c r="O157" s="33">
        <v>80</v>
      </c>
      <c r="P157" s="56">
        <v>102</v>
      </c>
      <c r="Q157" s="56">
        <v>102</v>
      </c>
      <c r="R157" s="56">
        <v>102</v>
      </c>
      <c r="S157" s="56">
        <v>102</v>
      </c>
      <c r="T157" s="56">
        <v>102</v>
      </c>
      <c r="U157" s="56">
        <v>102</v>
      </c>
      <c r="V157" s="56">
        <v>102</v>
      </c>
    </row>
    <row r="158" spans="2:22" ht="19.899999999999999" customHeight="1" x14ac:dyDescent="0.2">
      <c r="C158" s="38"/>
      <c r="D158" s="20" t="s">
        <v>20</v>
      </c>
      <c r="E158" s="63" t="s">
        <v>48</v>
      </c>
      <c r="F158" s="34">
        <v>12</v>
      </c>
      <c r="G158" s="34">
        <v>18</v>
      </c>
      <c r="H158" s="34">
        <v>23</v>
      </c>
      <c r="I158" s="34">
        <v>26</v>
      </c>
      <c r="J158" s="34">
        <v>37</v>
      </c>
      <c r="K158" s="34">
        <v>41</v>
      </c>
      <c r="L158" s="34">
        <v>51</v>
      </c>
      <c r="M158" s="34">
        <v>59</v>
      </c>
      <c r="N158" s="34">
        <v>60</v>
      </c>
      <c r="O158" s="34">
        <v>84</v>
      </c>
      <c r="P158" s="34">
        <v>81</v>
      </c>
      <c r="Q158" s="34">
        <v>85</v>
      </c>
      <c r="R158" s="34">
        <v>89</v>
      </c>
      <c r="S158" s="34">
        <v>91</v>
      </c>
      <c r="T158" s="34">
        <v>102</v>
      </c>
      <c r="U158" s="34">
        <v>102</v>
      </c>
      <c r="V158" s="34">
        <v>102</v>
      </c>
    </row>
    <row r="159" spans="2:22" ht="19.899999999999999" customHeight="1" thickBot="1" x14ac:dyDescent="0.25">
      <c r="B159" s="17"/>
      <c r="C159" s="19"/>
      <c r="D159" s="21" t="s">
        <v>22</v>
      </c>
      <c r="E159" s="64" t="s">
        <v>48</v>
      </c>
      <c r="F159" s="35">
        <v>13</v>
      </c>
      <c r="G159" s="35">
        <v>15</v>
      </c>
      <c r="H159" s="35">
        <v>23</v>
      </c>
      <c r="I159" s="35">
        <v>32</v>
      </c>
      <c r="J159" s="35">
        <v>36</v>
      </c>
      <c r="K159" s="35">
        <v>45</v>
      </c>
      <c r="L159" s="35">
        <v>56</v>
      </c>
      <c r="M159" s="35">
        <v>65</v>
      </c>
      <c r="N159" s="35">
        <v>64</v>
      </c>
      <c r="O159" s="35">
        <v>81</v>
      </c>
      <c r="P159" s="35">
        <v>94</v>
      </c>
      <c r="Q159" s="55">
        <v>102</v>
      </c>
      <c r="R159" s="55">
        <v>102</v>
      </c>
      <c r="S159" s="55">
        <v>102</v>
      </c>
      <c r="T159" s="55">
        <v>102</v>
      </c>
      <c r="U159" s="55">
        <v>102</v>
      </c>
      <c r="V159" s="55">
        <v>102</v>
      </c>
    </row>
    <row r="160" spans="2:22" ht="19.899999999999999" customHeight="1" thickBot="1" x14ac:dyDescent="0.25">
      <c r="B160" s="12" t="s">
        <v>12</v>
      </c>
      <c r="C160" s="18">
        <v>2</v>
      </c>
      <c r="D160" s="16" t="s">
        <v>21</v>
      </c>
      <c r="E160" s="62" t="s">
        <v>33</v>
      </c>
      <c r="F160" s="33">
        <v>11</v>
      </c>
      <c r="G160" s="33">
        <v>17</v>
      </c>
      <c r="H160" s="33">
        <v>22</v>
      </c>
      <c r="I160" s="33">
        <v>32</v>
      </c>
      <c r="J160" s="33">
        <v>34</v>
      </c>
      <c r="K160" s="33">
        <v>40</v>
      </c>
      <c r="L160" s="33">
        <v>49</v>
      </c>
      <c r="M160" s="33">
        <v>51</v>
      </c>
      <c r="N160" s="33">
        <v>61</v>
      </c>
      <c r="O160" s="33">
        <v>68</v>
      </c>
      <c r="P160" s="33">
        <v>83</v>
      </c>
      <c r="Q160" s="33">
        <v>91</v>
      </c>
      <c r="R160" s="56">
        <v>102</v>
      </c>
      <c r="S160" s="56">
        <v>102</v>
      </c>
      <c r="T160" s="56">
        <v>102</v>
      </c>
      <c r="U160" s="56">
        <v>102</v>
      </c>
      <c r="V160" s="56">
        <v>102</v>
      </c>
    </row>
    <row r="161" spans="2:22" ht="19.899999999999999" customHeight="1" x14ac:dyDescent="0.2">
      <c r="B161" s="13"/>
      <c r="C161" s="38"/>
      <c r="D161" s="20" t="s">
        <v>20</v>
      </c>
      <c r="E161" s="63" t="s">
        <v>33</v>
      </c>
      <c r="F161" s="34">
        <v>10</v>
      </c>
      <c r="G161" s="34">
        <v>19</v>
      </c>
      <c r="H161" s="34">
        <v>22</v>
      </c>
      <c r="I161" s="34">
        <v>32</v>
      </c>
      <c r="J161" s="34">
        <v>35</v>
      </c>
      <c r="K161" s="34">
        <v>38</v>
      </c>
      <c r="L161" s="34">
        <v>51</v>
      </c>
      <c r="M161" s="34">
        <v>58</v>
      </c>
      <c r="N161" s="34">
        <v>68</v>
      </c>
      <c r="O161" s="34">
        <v>83</v>
      </c>
      <c r="P161" s="34">
        <v>92</v>
      </c>
      <c r="Q161" s="34">
        <v>92</v>
      </c>
      <c r="R161" s="56">
        <v>102</v>
      </c>
      <c r="S161" s="56">
        <v>102</v>
      </c>
      <c r="T161" s="56">
        <v>102</v>
      </c>
      <c r="U161" s="56">
        <v>102</v>
      </c>
      <c r="V161" s="56">
        <v>102</v>
      </c>
    </row>
    <row r="162" spans="2:22" ht="19.899999999999999" customHeight="1" thickBot="1" x14ac:dyDescent="0.25">
      <c r="B162" s="17"/>
      <c r="C162" s="19"/>
      <c r="D162" s="21" t="s">
        <v>22</v>
      </c>
      <c r="E162" s="64" t="s">
        <v>33</v>
      </c>
      <c r="F162" s="35">
        <v>10</v>
      </c>
      <c r="G162" s="35">
        <v>17</v>
      </c>
      <c r="H162" s="35">
        <v>22</v>
      </c>
      <c r="I162" s="35">
        <v>23</v>
      </c>
      <c r="J162" s="35">
        <v>34</v>
      </c>
      <c r="K162" s="35">
        <v>45</v>
      </c>
      <c r="L162" s="35">
        <v>56</v>
      </c>
      <c r="M162" s="35">
        <v>65</v>
      </c>
      <c r="N162" s="35">
        <v>71</v>
      </c>
      <c r="O162" s="35">
        <v>79</v>
      </c>
      <c r="P162" s="35">
        <v>95</v>
      </c>
      <c r="Q162" s="55">
        <v>102</v>
      </c>
      <c r="R162" s="55">
        <v>102</v>
      </c>
      <c r="S162" s="55">
        <v>102</v>
      </c>
      <c r="T162" s="55">
        <v>102</v>
      </c>
      <c r="U162" s="55">
        <v>102</v>
      </c>
      <c r="V162" s="55">
        <v>102</v>
      </c>
    </row>
    <row r="163" spans="2:22" ht="19.899999999999999" customHeight="1" x14ac:dyDescent="0.2">
      <c r="B163" s="12" t="s">
        <v>12</v>
      </c>
      <c r="C163" s="18">
        <v>3</v>
      </c>
      <c r="D163" s="16" t="s">
        <v>21</v>
      </c>
      <c r="E163" s="62" t="s">
        <v>41</v>
      </c>
      <c r="F163" s="33">
        <v>11</v>
      </c>
      <c r="G163" s="33">
        <v>15</v>
      </c>
      <c r="H163" s="33">
        <v>19</v>
      </c>
      <c r="I163" s="33">
        <v>29</v>
      </c>
      <c r="J163" s="33">
        <v>34</v>
      </c>
      <c r="K163" s="33">
        <v>33</v>
      </c>
      <c r="L163" s="33">
        <v>40</v>
      </c>
      <c r="M163" s="33">
        <v>41</v>
      </c>
      <c r="N163" s="33">
        <v>40</v>
      </c>
      <c r="O163" s="33">
        <v>48</v>
      </c>
      <c r="P163" s="33">
        <v>70</v>
      </c>
      <c r="Q163" s="33">
        <v>80</v>
      </c>
      <c r="R163" s="33">
        <v>94</v>
      </c>
      <c r="S163" s="33">
        <v>95</v>
      </c>
      <c r="T163" s="33">
        <v>102</v>
      </c>
      <c r="U163" s="33">
        <v>102</v>
      </c>
      <c r="V163" s="33">
        <v>102</v>
      </c>
    </row>
    <row r="164" spans="2:22" ht="19.899999999999999" customHeight="1" x14ac:dyDescent="0.2">
      <c r="B164" s="13"/>
      <c r="C164" s="38"/>
      <c r="D164" s="20" t="s">
        <v>20</v>
      </c>
      <c r="E164" s="63" t="s">
        <v>41</v>
      </c>
      <c r="F164" s="34">
        <v>10</v>
      </c>
      <c r="G164" s="34">
        <v>15</v>
      </c>
      <c r="H164" s="34">
        <v>20</v>
      </c>
      <c r="I164" s="34">
        <v>26</v>
      </c>
      <c r="J164" s="34">
        <v>30</v>
      </c>
      <c r="K164" s="34">
        <v>38</v>
      </c>
      <c r="L164" s="34">
        <v>42</v>
      </c>
      <c r="M164" s="34">
        <v>44</v>
      </c>
      <c r="N164" s="34">
        <v>46</v>
      </c>
      <c r="O164" s="34">
        <v>68</v>
      </c>
      <c r="P164" s="34">
        <v>72</v>
      </c>
      <c r="Q164" s="34">
        <v>97</v>
      </c>
      <c r="R164" s="34">
        <v>100</v>
      </c>
      <c r="S164" s="57">
        <v>102</v>
      </c>
      <c r="T164" s="57">
        <v>102</v>
      </c>
      <c r="U164" s="57">
        <v>102</v>
      </c>
      <c r="V164" s="57">
        <v>102</v>
      </c>
    </row>
    <row r="165" spans="2:22" ht="19.899999999999999" customHeight="1" thickBot="1" x14ac:dyDescent="0.25">
      <c r="B165" s="17"/>
      <c r="C165" s="19"/>
      <c r="D165" s="21" t="s">
        <v>22</v>
      </c>
      <c r="E165" s="64" t="s">
        <v>41</v>
      </c>
      <c r="F165" s="35">
        <v>9</v>
      </c>
      <c r="G165" s="35">
        <v>14</v>
      </c>
      <c r="H165" s="35">
        <v>19</v>
      </c>
      <c r="I165" s="35">
        <v>31</v>
      </c>
      <c r="J165" s="35">
        <v>33</v>
      </c>
      <c r="K165" s="35">
        <v>38</v>
      </c>
      <c r="L165" s="35">
        <v>42</v>
      </c>
      <c r="M165" s="35">
        <v>40</v>
      </c>
      <c r="N165" s="35">
        <v>54</v>
      </c>
      <c r="O165" s="35">
        <v>58</v>
      </c>
      <c r="P165" s="35">
        <v>76</v>
      </c>
      <c r="Q165" s="35">
        <v>91</v>
      </c>
      <c r="R165" s="35">
        <v>97</v>
      </c>
      <c r="S165" s="55">
        <v>102</v>
      </c>
      <c r="T165" s="55">
        <v>102</v>
      </c>
      <c r="U165" s="55">
        <v>102</v>
      </c>
      <c r="V165" s="55">
        <v>102</v>
      </c>
    </row>
    <row r="166" spans="2:22" ht="19.899999999999999" customHeight="1" x14ac:dyDescent="0.2">
      <c r="B166" s="12" t="s">
        <v>12</v>
      </c>
      <c r="C166" s="18">
        <v>4</v>
      </c>
      <c r="D166" s="16" t="s">
        <v>21</v>
      </c>
      <c r="E166" s="62" t="s">
        <v>44</v>
      </c>
      <c r="F166" s="33">
        <v>9</v>
      </c>
      <c r="G166" s="33">
        <v>17</v>
      </c>
      <c r="H166" s="33">
        <v>19</v>
      </c>
      <c r="I166" s="33">
        <v>30</v>
      </c>
      <c r="J166" s="33">
        <v>30</v>
      </c>
      <c r="K166" s="33">
        <v>37</v>
      </c>
      <c r="L166" s="33">
        <v>41</v>
      </c>
      <c r="M166" s="33">
        <v>48</v>
      </c>
      <c r="N166" s="33">
        <v>48</v>
      </c>
      <c r="O166" s="33">
        <v>60</v>
      </c>
      <c r="P166" s="33">
        <v>74</v>
      </c>
      <c r="Q166" s="33">
        <v>84</v>
      </c>
      <c r="R166" s="56">
        <v>102</v>
      </c>
      <c r="S166" s="56">
        <v>102</v>
      </c>
      <c r="T166" s="56">
        <v>102</v>
      </c>
      <c r="U166" s="56">
        <v>102</v>
      </c>
      <c r="V166" s="56">
        <v>102</v>
      </c>
    </row>
    <row r="167" spans="2:22" ht="19.899999999999999" customHeight="1" x14ac:dyDescent="0.2">
      <c r="B167" s="13"/>
      <c r="C167" s="38"/>
      <c r="D167" s="20" t="s">
        <v>20</v>
      </c>
      <c r="E167" s="63" t="s">
        <v>44</v>
      </c>
      <c r="F167" s="34">
        <v>11</v>
      </c>
      <c r="G167" s="34">
        <v>21</v>
      </c>
      <c r="H167" s="34">
        <v>22</v>
      </c>
      <c r="I167" s="34">
        <v>36</v>
      </c>
      <c r="J167" s="34">
        <v>40</v>
      </c>
      <c r="K167" s="34">
        <v>50</v>
      </c>
      <c r="L167" s="34">
        <v>57</v>
      </c>
      <c r="M167" s="34">
        <v>69</v>
      </c>
      <c r="N167" s="34">
        <v>69</v>
      </c>
      <c r="O167" s="34">
        <v>84</v>
      </c>
      <c r="P167" s="34">
        <v>96</v>
      </c>
      <c r="Q167" s="57">
        <v>102</v>
      </c>
      <c r="R167" s="57">
        <v>102</v>
      </c>
      <c r="S167" s="57">
        <v>102</v>
      </c>
      <c r="T167" s="57">
        <v>102</v>
      </c>
      <c r="U167" s="57">
        <v>102</v>
      </c>
      <c r="V167" s="57">
        <v>102</v>
      </c>
    </row>
    <row r="168" spans="2:22" ht="19.899999999999999" customHeight="1" thickBot="1" x14ac:dyDescent="0.25">
      <c r="B168" s="17"/>
      <c r="C168" s="19"/>
      <c r="D168" s="21" t="s">
        <v>22</v>
      </c>
      <c r="E168" s="64" t="s">
        <v>44</v>
      </c>
      <c r="F168" s="35">
        <v>10</v>
      </c>
      <c r="G168" s="35">
        <v>15</v>
      </c>
      <c r="H168" s="35">
        <v>18</v>
      </c>
      <c r="I168" s="35">
        <v>23</v>
      </c>
      <c r="J168" s="35">
        <v>26</v>
      </c>
      <c r="K168" s="35">
        <v>30</v>
      </c>
      <c r="L168" s="35">
        <v>37</v>
      </c>
      <c r="M168" s="35">
        <v>39</v>
      </c>
      <c r="N168" s="35">
        <v>41</v>
      </c>
      <c r="O168" s="35">
        <v>39</v>
      </c>
      <c r="P168" s="35">
        <v>58</v>
      </c>
      <c r="Q168" s="35">
        <v>69</v>
      </c>
      <c r="R168" s="35">
        <v>80</v>
      </c>
      <c r="S168" s="35">
        <v>89</v>
      </c>
      <c r="T168" s="35">
        <v>102</v>
      </c>
      <c r="U168" s="35">
        <v>102</v>
      </c>
      <c r="V168" s="35">
        <v>102</v>
      </c>
    </row>
    <row r="169" spans="2:22" ht="19.899999999999999" customHeight="1" x14ac:dyDescent="0.2">
      <c r="B169" s="12" t="s">
        <v>13</v>
      </c>
      <c r="C169" s="18">
        <v>4</v>
      </c>
      <c r="D169" s="16" t="s">
        <v>22</v>
      </c>
      <c r="E169" s="62" t="s">
        <v>36</v>
      </c>
      <c r="F169" s="33">
        <v>10</v>
      </c>
      <c r="G169" s="33">
        <v>14</v>
      </c>
      <c r="H169" s="33">
        <v>21</v>
      </c>
      <c r="I169" s="33">
        <v>27</v>
      </c>
      <c r="J169" s="33">
        <v>36</v>
      </c>
      <c r="K169" s="33">
        <v>46</v>
      </c>
      <c r="L169" s="33">
        <v>62</v>
      </c>
      <c r="M169" s="33">
        <v>69</v>
      </c>
      <c r="N169" s="33">
        <v>68</v>
      </c>
      <c r="O169" s="33">
        <v>75</v>
      </c>
      <c r="P169" s="33">
        <v>96</v>
      </c>
      <c r="Q169" s="56">
        <v>102</v>
      </c>
      <c r="R169" s="56">
        <v>102</v>
      </c>
      <c r="S169" s="56">
        <v>102</v>
      </c>
      <c r="T169" s="56">
        <v>102</v>
      </c>
      <c r="U169" s="56">
        <v>102</v>
      </c>
      <c r="V169" s="56">
        <v>102</v>
      </c>
    </row>
    <row r="170" spans="2:22" ht="19.899999999999999" customHeight="1" x14ac:dyDescent="0.2">
      <c r="B170" s="13"/>
      <c r="C170" s="38"/>
      <c r="D170" s="20" t="s">
        <v>20</v>
      </c>
      <c r="E170" s="63" t="s">
        <v>36</v>
      </c>
      <c r="F170" s="34">
        <v>9</v>
      </c>
      <c r="G170" s="34">
        <v>18</v>
      </c>
      <c r="H170" s="34">
        <v>18</v>
      </c>
      <c r="I170" s="34">
        <v>33</v>
      </c>
      <c r="J170" s="34">
        <v>24</v>
      </c>
      <c r="K170" s="34">
        <v>32</v>
      </c>
      <c r="L170" s="34">
        <v>36</v>
      </c>
      <c r="M170" s="34">
        <v>38</v>
      </c>
      <c r="N170" s="34">
        <v>37</v>
      </c>
      <c r="O170" s="34">
        <v>48</v>
      </c>
      <c r="P170" s="34">
        <v>49</v>
      </c>
      <c r="Q170" s="34">
        <v>53</v>
      </c>
      <c r="R170" s="34">
        <v>61</v>
      </c>
      <c r="S170" s="34">
        <v>54</v>
      </c>
      <c r="T170" s="34">
        <v>61</v>
      </c>
      <c r="U170" s="34">
        <v>62</v>
      </c>
      <c r="V170" s="34">
        <v>69</v>
      </c>
    </row>
    <row r="171" spans="2:22" ht="19.899999999999999" customHeight="1" thickBot="1" x14ac:dyDescent="0.25">
      <c r="B171" s="17"/>
      <c r="C171" s="19"/>
      <c r="D171" s="21" t="s">
        <v>21</v>
      </c>
      <c r="E171" s="64" t="s">
        <v>36</v>
      </c>
      <c r="F171" s="35">
        <v>8</v>
      </c>
      <c r="G171" s="35">
        <v>15</v>
      </c>
      <c r="H171" s="35">
        <v>20</v>
      </c>
      <c r="I171" s="35">
        <v>30</v>
      </c>
      <c r="J171" s="35">
        <v>38</v>
      </c>
      <c r="K171" s="35">
        <v>45</v>
      </c>
      <c r="L171" s="35">
        <v>57</v>
      </c>
      <c r="M171" s="35">
        <v>58</v>
      </c>
      <c r="N171" s="35">
        <v>68</v>
      </c>
      <c r="O171" s="35">
        <v>74</v>
      </c>
      <c r="P171" s="35">
        <v>84</v>
      </c>
      <c r="Q171" s="35">
        <v>88</v>
      </c>
      <c r="R171" s="55">
        <v>102</v>
      </c>
      <c r="S171" s="55">
        <v>102</v>
      </c>
      <c r="T171" s="55">
        <v>102</v>
      </c>
      <c r="U171" s="55">
        <v>102</v>
      </c>
      <c r="V171" s="55">
        <v>102</v>
      </c>
    </row>
    <row r="172" spans="2:22" ht="19.899999999999999" customHeight="1" x14ac:dyDescent="0.2">
      <c r="B172" s="12" t="s">
        <v>13</v>
      </c>
      <c r="C172" s="18">
        <v>3</v>
      </c>
      <c r="D172" s="16" t="s">
        <v>22</v>
      </c>
      <c r="E172" s="62" t="s">
        <v>39</v>
      </c>
      <c r="F172" s="33">
        <v>8</v>
      </c>
      <c r="G172" s="33">
        <v>18</v>
      </c>
      <c r="H172" s="33">
        <v>17</v>
      </c>
      <c r="I172" s="33">
        <v>30</v>
      </c>
      <c r="J172" s="33">
        <v>27</v>
      </c>
      <c r="K172" s="33">
        <v>31</v>
      </c>
      <c r="L172" s="33">
        <v>33</v>
      </c>
      <c r="M172" s="33">
        <v>38</v>
      </c>
      <c r="N172" s="33">
        <v>36</v>
      </c>
      <c r="O172" s="33">
        <v>36</v>
      </c>
      <c r="P172" s="33">
        <v>49</v>
      </c>
      <c r="Q172" s="33">
        <v>60</v>
      </c>
      <c r="R172" s="33">
        <v>83</v>
      </c>
      <c r="S172" s="33">
        <v>89</v>
      </c>
      <c r="T172" s="33">
        <v>102</v>
      </c>
      <c r="U172" s="33">
        <v>102</v>
      </c>
      <c r="V172" s="33">
        <v>102</v>
      </c>
    </row>
    <row r="173" spans="2:22" ht="19.899999999999999" customHeight="1" x14ac:dyDescent="0.2">
      <c r="B173" s="13"/>
      <c r="C173" s="38"/>
      <c r="D173" s="20" t="s">
        <v>20</v>
      </c>
      <c r="E173" s="63" t="s">
        <v>39</v>
      </c>
      <c r="F173" s="34">
        <v>9</v>
      </c>
      <c r="G173" s="34">
        <v>16</v>
      </c>
      <c r="H173" s="34">
        <v>22</v>
      </c>
      <c r="I173" s="34">
        <v>31</v>
      </c>
      <c r="J173" s="34">
        <v>34</v>
      </c>
      <c r="K173" s="34">
        <v>39</v>
      </c>
      <c r="L173" s="34">
        <v>40</v>
      </c>
      <c r="M173" s="34">
        <v>47</v>
      </c>
      <c r="N173" s="34">
        <v>54</v>
      </c>
      <c r="O173" s="34">
        <v>56</v>
      </c>
      <c r="P173" s="34">
        <v>70</v>
      </c>
      <c r="Q173" s="34">
        <v>92</v>
      </c>
      <c r="R173" s="57">
        <v>102</v>
      </c>
      <c r="S173" s="57">
        <v>102</v>
      </c>
      <c r="T173" s="57">
        <v>102</v>
      </c>
      <c r="U173" s="57">
        <v>102</v>
      </c>
      <c r="V173" s="57">
        <v>102</v>
      </c>
    </row>
    <row r="174" spans="2:22" ht="19.899999999999999" customHeight="1" thickBot="1" x14ac:dyDescent="0.25">
      <c r="B174" s="17"/>
      <c r="C174" s="19"/>
      <c r="D174" s="21" t="s">
        <v>21</v>
      </c>
      <c r="E174" s="64" t="s">
        <v>39</v>
      </c>
      <c r="F174" s="35">
        <v>8</v>
      </c>
      <c r="G174" s="35">
        <v>14</v>
      </c>
      <c r="H174" s="35">
        <v>18</v>
      </c>
      <c r="I174" s="35">
        <v>29</v>
      </c>
      <c r="J174" s="35">
        <v>29</v>
      </c>
      <c r="K174" s="35">
        <v>38</v>
      </c>
      <c r="L174" s="35">
        <v>48</v>
      </c>
      <c r="M174" s="35">
        <v>57</v>
      </c>
      <c r="N174" s="35">
        <v>54</v>
      </c>
      <c r="O174" s="35">
        <v>68</v>
      </c>
      <c r="P174" s="35">
        <v>85</v>
      </c>
      <c r="Q174" s="55">
        <v>102</v>
      </c>
      <c r="R174" s="55">
        <v>102</v>
      </c>
      <c r="S174" s="55">
        <v>102</v>
      </c>
      <c r="T174" s="55">
        <v>102</v>
      </c>
      <c r="U174" s="55">
        <v>102</v>
      </c>
      <c r="V174" s="55">
        <v>102</v>
      </c>
    </row>
    <row r="175" spans="2:22" ht="19.899999999999999" customHeight="1" x14ac:dyDescent="0.2">
      <c r="B175" s="12" t="s">
        <v>13</v>
      </c>
      <c r="C175" s="18">
        <v>2</v>
      </c>
      <c r="D175" s="16" t="s">
        <v>22</v>
      </c>
      <c r="E175" s="62" t="s">
        <v>43</v>
      </c>
      <c r="F175" s="33">
        <v>7</v>
      </c>
      <c r="G175" s="33">
        <v>17</v>
      </c>
      <c r="H175" s="33">
        <v>21</v>
      </c>
      <c r="I175" s="33">
        <v>28.5</v>
      </c>
      <c r="J175" s="33">
        <v>40</v>
      </c>
      <c r="K175" s="33">
        <v>46</v>
      </c>
      <c r="L175" s="33">
        <v>49</v>
      </c>
      <c r="M175" s="33">
        <v>67</v>
      </c>
      <c r="N175" s="33">
        <v>78</v>
      </c>
      <c r="O175" s="33">
        <v>86</v>
      </c>
      <c r="P175" s="56">
        <v>102</v>
      </c>
      <c r="Q175" s="56">
        <v>102</v>
      </c>
      <c r="R175" s="56">
        <v>102</v>
      </c>
      <c r="S175" s="56">
        <v>102</v>
      </c>
      <c r="T175" s="56">
        <v>102</v>
      </c>
      <c r="U175" s="56">
        <v>102</v>
      </c>
      <c r="V175" s="56">
        <v>102</v>
      </c>
    </row>
    <row r="176" spans="2:22" ht="19.899999999999999" customHeight="1" x14ac:dyDescent="0.2">
      <c r="B176" s="13"/>
      <c r="C176" s="38"/>
      <c r="D176" s="20" t="s">
        <v>20</v>
      </c>
      <c r="E176" s="63" t="s">
        <v>43</v>
      </c>
      <c r="F176" s="34">
        <v>10</v>
      </c>
      <c r="G176" s="34">
        <v>9</v>
      </c>
      <c r="H176" s="34">
        <v>27</v>
      </c>
      <c r="I176" s="34">
        <v>43</v>
      </c>
      <c r="J176" s="34">
        <v>45</v>
      </c>
      <c r="K176" s="34">
        <v>59</v>
      </c>
      <c r="L176" s="34">
        <v>77</v>
      </c>
      <c r="M176" s="34">
        <v>85</v>
      </c>
      <c r="N176" s="34">
        <v>96</v>
      </c>
      <c r="O176" s="57">
        <v>102</v>
      </c>
      <c r="P176" s="57">
        <v>102</v>
      </c>
      <c r="Q176" s="57">
        <v>102</v>
      </c>
      <c r="R176" s="57">
        <v>102</v>
      </c>
      <c r="S176" s="57">
        <v>102</v>
      </c>
      <c r="T176" s="57">
        <v>102</v>
      </c>
      <c r="U176" s="57">
        <v>102</v>
      </c>
      <c r="V176" s="57">
        <v>102</v>
      </c>
    </row>
    <row r="177" spans="2:22" ht="19.899999999999999" customHeight="1" thickBot="1" x14ac:dyDescent="0.25">
      <c r="B177" s="17"/>
      <c r="C177" s="19"/>
      <c r="D177" s="21" t="s">
        <v>21</v>
      </c>
      <c r="E177" s="64" t="s">
        <v>43</v>
      </c>
      <c r="F177" s="35">
        <v>9</v>
      </c>
      <c r="G177" s="35">
        <v>17</v>
      </c>
      <c r="H177" s="35">
        <v>22</v>
      </c>
      <c r="I177" s="35">
        <v>36.5</v>
      </c>
      <c r="J177" s="35">
        <v>39</v>
      </c>
      <c r="K177" s="35">
        <v>55</v>
      </c>
      <c r="L177" s="35">
        <v>63</v>
      </c>
      <c r="M177" s="35">
        <v>78</v>
      </c>
      <c r="N177" s="35">
        <v>87</v>
      </c>
      <c r="O177" s="57">
        <v>102</v>
      </c>
      <c r="P177" s="57">
        <v>102</v>
      </c>
      <c r="Q177" s="57">
        <v>102</v>
      </c>
      <c r="R177" s="57">
        <v>102</v>
      </c>
      <c r="S177" s="57">
        <v>102</v>
      </c>
      <c r="T177" s="57">
        <v>102</v>
      </c>
      <c r="U177" s="57">
        <v>102</v>
      </c>
      <c r="V177" s="57">
        <v>102</v>
      </c>
    </row>
    <row r="178" spans="2:22" ht="19.899999999999999" customHeight="1" x14ac:dyDescent="0.2">
      <c r="B178" s="12" t="s">
        <v>13</v>
      </c>
      <c r="C178" s="18">
        <v>1</v>
      </c>
      <c r="D178" s="16" t="s">
        <v>22</v>
      </c>
      <c r="E178" s="62" t="s">
        <v>35</v>
      </c>
      <c r="F178" s="33">
        <v>9</v>
      </c>
      <c r="G178" s="33">
        <v>15</v>
      </c>
      <c r="H178" s="33">
        <v>23</v>
      </c>
      <c r="I178" s="33">
        <v>29</v>
      </c>
      <c r="J178" s="33">
        <v>36</v>
      </c>
      <c r="K178" s="33">
        <v>46</v>
      </c>
      <c r="L178" s="33">
        <v>47</v>
      </c>
      <c r="M178" s="33">
        <v>56</v>
      </c>
      <c r="N178" s="33">
        <v>59</v>
      </c>
      <c r="O178" s="33">
        <v>67</v>
      </c>
      <c r="P178" s="33">
        <v>84</v>
      </c>
      <c r="Q178" s="33">
        <v>96</v>
      </c>
      <c r="R178" s="56">
        <v>102</v>
      </c>
      <c r="S178" s="56">
        <v>102</v>
      </c>
      <c r="T178" s="56">
        <v>102</v>
      </c>
      <c r="U178" s="56">
        <v>102</v>
      </c>
      <c r="V178" s="56">
        <v>102</v>
      </c>
    </row>
    <row r="179" spans="2:22" ht="19.899999999999999" customHeight="1" x14ac:dyDescent="0.2">
      <c r="B179" s="13"/>
      <c r="C179" s="38"/>
      <c r="D179" s="20" t="s">
        <v>20</v>
      </c>
      <c r="E179" s="63" t="s">
        <v>35</v>
      </c>
      <c r="F179" s="34">
        <v>10</v>
      </c>
      <c r="G179" s="34">
        <v>13</v>
      </c>
      <c r="H179" s="34">
        <v>23</v>
      </c>
      <c r="I179" s="34">
        <v>27.5</v>
      </c>
      <c r="J179" s="34">
        <v>30</v>
      </c>
      <c r="K179" s="34">
        <v>37</v>
      </c>
      <c r="L179" s="34">
        <v>37</v>
      </c>
      <c r="M179" s="34">
        <v>41</v>
      </c>
      <c r="N179" s="34">
        <v>47</v>
      </c>
      <c r="O179" s="34">
        <v>49</v>
      </c>
      <c r="P179" s="34">
        <v>63</v>
      </c>
      <c r="Q179" s="34">
        <v>78</v>
      </c>
      <c r="R179" s="34">
        <v>88</v>
      </c>
      <c r="S179" s="34">
        <v>92</v>
      </c>
      <c r="T179" s="34">
        <v>102</v>
      </c>
      <c r="U179" s="34">
        <v>102</v>
      </c>
      <c r="V179" s="34">
        <v>102</v>
      </c>
    </row>
    <row r="180" spans="2:22" ht="19.899999999999999" customHeight="1" thickBot="1" x14ac:dyDescent="0.25">
      <c r="B180" s="17"/>
      <c r="C180" s="19"/>
      <c r="D180" s="21" t="s">
        <v>21</v>
      </c>
      <c r="E180" s="64" t="s">
        <v>35</v>
      </c>
      <c r="F180" s="35">
        <v>9</v>
      </c>
      <c r="G180" s="35">
        <v>17</v>
      </c>
      <c r="H180" s="35">
        <v>22</v>
      </c>
      <c r="I180" s="35">
        <v>28</v>
      </c>
      <c r="J180" s="35">
        <v>34</v>
      </c>
      <c r="K180" s="35">
        <v>33</v>
      </c>
      <c r="L180" s="35">
        <v>34</v>
      </c>
      <c r="M180" s="35">
        <v>33</v>
      </c>
      <c r="N180" s="35">
        <v>32</v>
      </c>
      <c r="O180" s="35">
        <v>30</v>
      </c>
      <c r="P180" s="35">
        <v>50</v>
      </c>
      <c r="Q180" s="35">
        <v>58</v>
      </c>
      <c r="R180" s="35">
        <v>72</v>
      </c>
      <c r="S180" s="35">
        <v>75</v>
      </c>
      <c r="T180" s="35">
        <v>79</v>
      </c>
      <c r="U180" s="35">
        <v>77</v>
      </c>
      <c r="V180" s="35">
        <v>87</v>
      </c>
    </row>
    <row r="181" spans="2:22" ht="19.899999999999999" customHeight="1" x14ac:dyDescent="0.2">
      <c r="B181" s="12" t="s">
        <v>14</v>
      </c>
      <c r="C181" s="18">
        <v>1</v>
      </c>
      <c r="D181" s="16" t="s">
        <v>21</v>
      </c>
      <c r="E181" s="62" t="s">
        <v>42</v>
      </c>
      <c r="F181" s="33">
        <v>12</v>
      </c>
      <c r="G181" s="33">
        <v>16</v>
      </c>
      <c r="H181" s="33">
        <v>23</v>
      </c>
      <c r="I181" s="33">
        <v>31</v>
      </c>
      <c r="J181" s="33">
        <v>42</v>
      </c>
      <c r="K181" s="33">
        <v>54</v>
      </c>
      <c r="L181" s="33">
        <v>57</v>
      </c>
      <c r="M181" s="33">
        <v>68</v>
      </c>
      <c r="N181" s="33">
        <v>77</v>
      </c>
      <c r="O181" s="33">
        <v>87</v>
      </c>
      <c r="P181" s="33">
        <v>97</v>
      </c>
      <c r="Q181" s="56">
        <v>102</v>
      </c>
      <c r="R181" s="56">
        <v>102</v>
      </c>
      <c r="S181" s="56">
        <v>102</v>
      </c>
      <c r="T181" s="56">
        <v>102</v>
      </c>
      <c r="U181" s="56">
        <v>102</v>
      </c>
      <c r="V181" s="56">
        <v>102</v>
      </c>
    </row>
    <row r="182" spans="2:22" ht="19.899999999999999" customHeight="1" x14ac:dyDescent="0.2">
      <c r="B182" s="13"/>
      <c r="C182" s="38"/>
      <c r="D182" s="20" t="s">
        <v>20</v>
      </c>
      <c r="E182" s="63" t="s">
        <v>42</v>
      </c>
      <c r="F182" s="34">
        <v>8</v>
      </c>
      <c r="G182" s="34">
        <v>17</v>
      </c>
      <c r="H182" s="34">
        <v>22</v>
      </c>
      <c r="I182" s="34">
        <v>31</v>
      </c>
      <c r="J182" s="34">
        <v>40</v>
      </c>
      <c r="K182" s="34">
        <v>46</v>
      </c>
      <c r="L182" s="34">
        <v>46</v>
      </c>
      <c r="M182" s="34">
        <v>58</v>
      </c>
      <c r="N182" s="34">
        <v>70</v>
      </c>
      <c r="O182" s="34">
        <v>76</v>
      </c>
      <c r="P182" s="34">
        <v>91</v>
      </c>
      <c r="Q182" s="34">
        <v>90</v>
      </c>
      <c r="R182" s="34">
        <v>94</v>
      </c>
      <c r="S182" s="57">
        <v>102</v>
      </c>
      <c r="T182" s="34">
        <v>102</v>
      </c>
      <c r="U182" s="34">
        <v>97</v>
      </c>
      <c r="V182" s="34">
        <v>102</v>
      </c>
    </row>
    <row r="183" spans="2:22" ht="19.899999999999999" customHeight="1" thickBot="1" x14ac:dyDescent="0.25">
      <c r="B183" s="17"/>
      <c r="C183" s="19"/>
      <c r="D183" s="21" t="s">
        <v>22</v>
      </c>
      <c r="E183" s="64" t="s">
        <v>42</v>
      </c>
      <c r="F183" s="35">
        <v>10</v>
      </c>
      <c r="G183" s="35">
        <v>17</v>
      </c>
      <c r="H183" s="35">
        <v>21</v>
      </c>
      <c r="I183" s="35">
        <v>28</v>
      </c>
      <c r="J183" s="35">
        <v>33</v>
      </c>
      <c r="K183" s="35">
        <v>40</v>
      </c>
      <c r="L183" s="35">
        <v>42</v>
      </c>
      <c r="M183" s="35">
        <v>55</v>
      </c>
      <c r="N183" s="35">
        <v>54</v>
      </c>
      <c r="O183" s="35">
        <v>64</v>
      </c>
      <c r="P183" s="35">
        <v>72</v>
      </c>
      <c r="Q183" s="35">
        <v>75</v>
      </c>
      <c r="R183" s="35">
        <v>82</v>
      </c>
      <c r="S183" s="35">
        <v>83</v>
      </c>
      <c r="T183" s="35">
        <v>102</v>
      </c>
      <c r="U183" s="35">
        <v>90</v>
      </c>
      <c r="V183" s="35">
        <v>96</v>
      </c>
    </row>
    <row r="184" spans="2:22" ht="19.899999999999999" customHeight="1" x14ac:dyDescent="0.2">
      <c r="B184" s="12" t="s">
        <v>14</v>
      </c>
      <c r="C184" s="18">
        <v>2</v>
      </c>
      <c r="D184" s="16" t="s">
        <v>21</v>
      </c>
      <c r="E184" s="62" t="s">
        <v>37</v>
      </c>
      <c r="F184" s="33">
        <v>12</v>
      </c>
      <c r="G184" s="33">
        <v>18</v>
      </c>
      <c r="H184" s="33">
        <v>24</v>
      </c>
      <c r="I184" s="33">
        <v>33.5</v>
      </c>
      <c r="J184" s="33">
        <v>33</v>
      </c>
      <c r="K184" s="33">
        <v>38</v>
      </c>
      <c r="L184" s="33">
        <v>53</v>
      </c>
      <c r="M184" s="33">
        <v>40</v>
      </c>
      <c r="N184" s="33">
        <v>60</v>
      </c>
      <c r="O184" s="33">
        <v>68</v>
      </c>
      <c r="P184" s="33">
        <v>68</v>
      </c>
      <c r="Q184" s="33">
        <v>76</v>
      </c>
      <c r="R184" s="33">
        <v>87</v>
      </c>
      <c r="S184" s="33">
        <v>88</v>
      </c>
      <c r="T184" s="33">
        <v>88</v>
      </c>
      <c r="U184" s="33">
        <v>88</v>
      </c>
      <c r="V184" s="33">
        <v>84</v>
      </c>
    </row>
    <row r="185" spans="2:22" ht="19.899999999999999" customHeight="1" x14ac:dyDescent="0.2">
      <c r="B185" s="13"/>
      <c r="C185" s="38"/>
      <c r="D185" s="20" t="s">
        <v>20</v>
      </c>
      <c r="E185" s="63" t="s">
        <v>37</v>
      </c>
      <c r="F185" s="34">
        <v>11</v>
      </c>
      <c r="G185" s="34">
        <v>18</v>
      </c>
      <c r="H185" s="34">
        <v>24</v>
      </c>
      <c r="I185" s="34">
        <v>30</v>
      </c>
      <c r="J185" s="34">
        <v>32</v>
      </c>
      <c r="K185" s="34">
        <v>40</v>
      </c>
      <c r="L185" s="34">
        <v>46</v>
      </c>
      <c r="M185" s="34">
        <v>48</v>
      </c>
      <c r="N185" s="34">
        <v>54</v>
      </c>
      <c r="O185" s="34">
        <v>42</v>
      </c>
      <c r="P185" s="34">
        <v>68</v>
      </c>
      <c r="Q185" s="34">
        <v>71</v>
      </c>
      <c r="R185" s="34">
        <v>79</v>
      </c>
      <c r="S185" s="34">
        <v>81</v>
      </c>
      <c r="T185" s="34">
        <v>88</v>
      </c>
      <c r="U185" s="34">
        <v>86</v>
      </c>
      <c r="V185" s="34">
        <v>84</v>
      </c>
    </row>
    <row r="186" spans="2:22" ht="19.899999999999999" customHeight="1" thickBot="1" x14ac:dyDescent="0.25">
      <c r="B186" s="17"/>
      <c r="C186" s="19"/>
      <c r="D186" s="21" t="s">
        <v>22</v>
      </c>
      <c r="E186" s="64" t="s">
        <v>37</v>
      </c>
      <c r="F186" s="35">
        <v>10</v>
      </c>
      <c r="G186" s="35">
        <v>19</v>
      </c>
      <c r="H186" s="35">
        <v>20</v>
      </c>
      <c r="I186" s="35">
        <v>33</v>
      </c>
      <c r="J186" s="35">
        <v>30</v>
      </c>
      <c r="K186" s="35">
        <v>34</v>
      </c>
      <c r="L186" s="35">
        <v>40</v>
      </c>
      <c r="M186" s="35">
        <v>39</v>
      </c>
      <c r="N186" s="35">
        <v>41</v>
      </c>
      <c r="O186" s="35">
        <v>49</v>
      </c>
      <c r="P186" s="35">
        <v>58</v>
      </c>
      <c r="Q186" s="35">
        <v>57</v>
      </c>
      <c r="R186" s="35">
        <v>76</v>
      </c>
      <c r="S186" s="35">
        <v>73</v>
      </c>
      <c r="T186" s="35">
        <v>77</v>
      </c>
      <c r="U186" s="35">
        <v>76</v>
      </c>
      <c r="V186" s="35">
        <v>78</v>
      </c>
    </row>
    <row r="187" spans="2:22" ht="19.899999999999999" customHeight="1" x14ac:dyDescent="0.2">
      <c r="B187" s="12" t="s">
        <v>14</v>
      </c>
      <c r="C187" s="18">
        <v>3</v>
      </c>
      <c r="D187" s="16" t="s">
        <v>21</v>
      </c>
      <c r="E187" s="62" t="s">
        <v>38</v>
      </c>
      <c r="F187" s="33">
        <v>10</v>
      </c>
      <c r="G187" s="33">
        <v>15</v>
      </c>
      <c r="H187" s="33">
        <v>22</v>
      </c>
      <c r="I187" s="33">
        <v>28</v>
      </c>
      <c r="J187" s="33">
        <v>34</v>
      </c>
      <c r="K187" s="33">
        <v>39</v>
      </c>
      <c r="L187" s="33">
        <v>51</v>
      </c>
      <c r="M187" s="33">
        <v>49</v>
      </c>
      <c r="N187" s="33">
        <v>57</v>
      </c>
      <c r="O187" s="33">
        <v>68</v>
      </c>
      <c r="P187" s="33">
        <v>76</v>
      </c>
      <c r="Q187" s="33">
        <v>84</v>
      </c>
      <c r="R187" s="33">
        <v>90</v>
      </c>
      <c r="S187" s="56">
        <v>102</v>
      </c>
      <c r="T187" s="56">
        <v>102</v>
      </c>
      <c r="U187" s="56">
        <v>102</v>
      </c>
      <c r="V187" s="56">
        <v>102</v>
      </c>
    </row>
    <row r="188" spans="2:22" ht="19.899999999999999" customHeight="1" x14ac:dyDescent="0.2">
      <c r="B188" s="13"/>
      <c r="C188" s="38"/>
      <c r="D188" s="20" t="s">
        <v>20</v>
      </c>
      <c r="E188" s="63" t="s">
        <v>38</v>
      </c>
      <c r="F188" s="34">
        <v>10</v>
      </c>
      <c r="G188" s="34">
        <v>18</v>
      </c>
      <c r="H188" s="34">
        <v>23</v>
      </c>
      <c r="I188" s="34">
        <v>38</v>
      </c>
      <c r="J188" s="34">
        <v>43</v>
      </c>
      <c r="K188" s="34">
        <v>60</v>
      </c>
      <c r="L188" s="34">
        <v>73</v>
      </c>
      <c r="M188" s="34">
        <v>79</v>
      </c>
      <c r="N188" s="34">
        <v>91</v>
      </c>
      <c r="O188" s="57">
        <v>102</v>
      </c>
      <c r="P188" s="57">
        <v>102</v>
      </c>
      <c r="Q188" s="57">
        <v>102</v>
      </c>
      <c r="R188" s="57">
        <v>102</v>
      </c>
      <c r="S188" s="57">
        <v>102</v>
      </c>
      <c r="T188" s="57">
        <v>102</v>
      </c>
      <c r="U188" s="57">
        <v>102</v>
      </c>
      <c r="V188" s="57">
        <v>102</v>
      </c>
    </row>
    <row r="189" spans="2:22" ht="19.899999999999999" customHeight="1" thickBot="1" x14ac:dyDescent="0.25">
      <c r="B189" s="17"/>
      <c r="C189" s="19"/>
      <c r="D189" s="21" t="s">
        <v>22</v>
      </c>
      <c r="E189" s="64" t="s">
        <v>38</v>
      </c>
      <c r="F189" s="35">
        <v>8</v>
      </c>
      <c r="G189" s="35">
        <v>16</v>
      </c>
      <c r="H189" s="35">
        <v>19</v>
      </c>
      <c r="I189" s="35">
        <v>31</v>
      </c>
      <c r="J189" s="35">
        <v>40</v>
      </c>
      <c r="K189" s="35">
        <v>50</v>
      </c>
      <c r="L189" s="35">
        <v>62</v>
      </c>
      <c r="M189" s="35">
        <v>68</v>
      </c>
      <c r="N189" s="35">
        <v>84</v>
      </c>
      <c r="O189" s="57">
        <v>102</v>
      </c>
      <c r="P189" s="57">
        <v>102</v>
      </c>
      <c r="Q189" s="57">
        <v>102</v>
      </c>
      <c r="R189" s="57">
        <v>102</v>
      </c>
      <c r="S189" s="57">
        <v>102</v>
      </c>
      <c r="T189" s="57">
        <v>102</v>
      </c>
      <c r="U189" s="57">
        <v>102</v>
      </c>
      <c r="V189" s="57">
        <v>102</v>
      </c>
    </row>
    <row r="190" spans="2:22" ht="19.899999999999999" customHeight="1" x14ac:dyDescent="0.2">
      <c r="B190" s="12" t="s">
        <v>14</v>
      </c>
      <c r="C190" s="18">
        <v>4</v>
      </c>
      <c r="D190" s="16" t="s">
        <v>21</v>
      </c>
      <c r="E190" s="62" t="s">
        <v>46</v>
      </c>
      <c r="F190" s="33">
        <v>8</v>
      </c>
      <c r="G190" s="33">
        <v>10</v>
      </c>
      <c r="H190" s="33">
        <v>20</v>
      </c>
      <c r="I190" s="33">
        <v>22</v>
      </c>
      <c r="J190" s="33">
        <v>34</v>
      </c>
      <c r="K190" s="33">
        <v>41</v>
      </c>
      <c r="L190" s="33">
        <v>48</v>
      </c>
      <c r="M190" s="33">
        <v>52</v>
      </c>
      <c r="N190" s="33">
        <v>54</v>
      </c>
      <c r="O190" s="33">
        <v>53</v>
      </c>
      <c r="P190" s="33">
        <v>67</v>
      </c>
      <c r="Q190" s="33">
        <v>78</v>
      </c>
      <c r="R190" s="33">
        <v>86</v>
      </c>
      <c r="S190" s="56">
        <v>102</v>
      </c>
      <c r="T190" s="56">
        <v>102</v>
      </c>
      <c r="U190" s="56">
        <v>102</v>
      </c>
      <c r="V190" s="56">
        <v>102</v>
      </c>
    </row>
    <row r="191" spans="2:22" ht="19.899999999999999" customHeight="1" x14ac:dyDescent="0.2">
      <c r="B191" s="13"/>
      <c r="C191" s="38"/>
      <c r="D191" s="20" t="s">
        <v>20</v>
      </c>
      <c r="E191" s="63" t="s">
        <v>46</v>
      </c>
      <c r="F191" s="34">
        <v>9</v>
      </c>
      <c r="G191" s="34">
        <v>11</v>
      </c>
      <c r="H191" s="34">
        <v>20</v>
      </c>
      <c r="I191" s="34">
        <v>30</v>
      </c>
      <c r="J191" s="34">
        <v>38</v>
      </c>
      <c r="K191" s="34">
        <v>59</v>
      </c>
      <c r="L191" s="34">
        <v>73</v>
      </c>
      <c r="M191" s="34">
        <v>75</v>
      </c>
      <c r="N191" s="34">
        <v>85</v>
      </c>
      <c r="O191" s="34">
        <v>92</v>
      </c>
      <c r="P191" s="34">
        <v>96</v>
      </c>
      <c r="Q191" s="57">
        <v>102</v>
      </c>
      <c r="R191" s="57">
        <v>102</v>
      </c>
      <c r="S191" s="57">
        <v>102</v>
      </c>
      <c r="T191" s="57">
        <v>102</v>
      </c>
      <c r="U191" s="57">
        <v>102</v>
      </c>
      <c r="V191" s="57">
        <v>102</v>
      </c>
    </row>
    <row r="192" spans="2:22" ht="19.899999999999999" customHeight="1" thickBot="1" x14ac:dyDescent="0.25">
      <c r="B192" s="17"/>
      <c r="C192" s="19"/>
      <c r="D192" s="21" t="s">
        <v>22</v>
      </c>
      <c r="E192" s="64" t="s">
        <v>46</v>
      </c>
      <c r="F192" s="35">
        <v>9</v>
      </c>
      <c r="G192" s="35">
        <v>20</v>
      </c>
      <c r="H192" s="35">
        <v>24</v>
      </c>
      <c r="I192" s="35">
        <v>37</v>
      </c>
      <c r="J192" s="35">
        <v>44</v>
      </c>
      <c r="K192" s="35">
        <v>60</v>
      </c>
      <c r="L192" s="35">
        <v>73</v>
      </c>
      <c r="M192" s="35">
        <v>80</v>
      </c>
      <c r="N192" s="35">
        <v>91</v>
      </c>
      <c r="O192" s="55">
        <v>102</v>
      </c>
      <c r="P192" s="55">
        <v>102</v>
      </c>
      <c r="Q192" s="55">
        <v>102</v>
      </c>
      <c r="R192" s="55">
        <v>102</v>
      </c>
      <c r="S192" s="55">
        <v>102</v>
      </c>
      <c r="T192" s="55">
        <v>102</v>
      </c>
      <c r="U192" s="55">
        <v>102</v>
      </c>
      <c r="V192" s="55">
        <v>102</v>
      </c>
    </row>
    <row r="193" spans="2:22" ht="19.899999999999999" customHeight="1" x14ac:dyDescent="0.2">
      <c r="B193" s="12" t="s">
        <v>15</v>
      </c>
      <c r="C193" s="18">
        <v>4</v>
      </c>
      <c r="D193" s="16" t="s">
        <v>22</v>
      </c>
      <c r="E193" s="62" t="s">
        <v>34</v>
      </c>
      <c r="F193" s="33">
        <v>8</v>
      </c>
      <c r="G193" s="33">
        <v>15</v>
      </c>
      <c r="H193" s="33">
        <v>22</v>
      </c>
      <c r="I193" s="33">
        <v>34</v>
      </c>
      <c r="J193" s="33">
        <v>36</v>
      </c>
      <c r="K193" s="33">
        <v>50</v>
      </c>
      <c r="L193" s="33">
        <v>61</v>
      </c>
      <c r="M193" s="33">
        <v>74</v>
      </c>
      <c r="N193" s="33">
        <v>63</v>
      </c>
      <c r="O193" s="33">
        <v>94</v>
      </c>
      <c r="P193" s="56">
        <v>102</v>
      </c>
      <c r="Q193" s="56">
        <v>102</v>
      </c>
      <c r="R193" s="56">
        <v>102</v>
      </c>
      <c r="S193" s="56">
        <v>102</v>
      </c>
      <c r="T193" s="56">
        <v>102</v>
      </c>
      <c r="U193" s="56">
        <v>102</v>
      </c>
      <c r="V193" s="56">
        <v>102</v>
      </c>
    </row>
    <row r="194" spans="2:22" ht="19.899999999999999" customHeight="1" x14ac:dyDescent="0.2">
      <c r="B194" s="13"/>
      <c r="C194" s="38"/>
      <c r="D194" s="20" t="s">
        <v>20</v>
      </c>
      <c r="E194" s="63" t="s">
        <v>34</v>
      </c>
      <c r="F194" s="34">
        <v>9</v>
      </c>
      <c r="G194" s="34">
        <v>11</v>
      </c>
      <c r="H194" s="34">
        <v>19</v>
      </c>
      <c r="I194" s="34">
        <v>25</v>
      </c>
      <c r="J194" s="34">
        <v>30</v>
      </c>
      <c r="K194" s="34">
        <v>38</v>
      </c>
      <c r="L194" s="34">
        <v>46</v>
      </c>
      <c r="M194" s="34">
        <v>59</v>
      </c>
      <c r="N194" s="34">
        <v>57</v>
      </c>
      <c r="O194" s="34">
        <v>73</v>
      </c>
      <c r="P194" s="34">
        <v>82</v>
      </c>
      <c r="Q194" s="57">
        <v>102</v>
      </c>
      <c r="R194" s="57">
        <v>102</v>
      </c>
      <c r="S194" s="57">
        <v>102</v>
      </c>
      <c r="T194" s="57">
        <v>102</v>
      </c>
      <c r="U194" s="57">
        <v>102</v>
      </c>
      <c r="V194" s="57">
        <v>102</v>
      </c>
    </row>
    <row r="195" spans="2:22" ht="19.899999999999999" customHeight="1" thickBot="1" x14ac:dyDescent="0.25">
      <c r="B195" s="17"/>
      <c r="C195" s="19"/>
      <c r="D195" s="21" t="s">
        <v>21</v>
      </c>
      <c r="E195" s="64" t="s">
        <v>34</v>
      </c>
      <c r="F195" s="35">
        <v>9</v>
      </c>
      <c r="G195" s="35">
        <v>16</v>
      </c>
      <c r="H195" s="35">
        <v>20</v>
      </c>
      <c r="I195" s="35">
        <v>30.5</v>
      </c>
      <c r="J195" s="35">
        <v>33</v>
      </c>
      <c r="K195" s="35">
        <v>38</v>
      </c>
      <c r="L195" s="35">
        <v>52</v>
      </c>
      <c r="M195" s="35">
        <v>60</v>
      </c>
      <c r="N195" s="35">
        <v>63</v>
      </c>
      <c r="O195" s="35">
        <v>77</v>
      </c>
      <c r="P195" s="35">
        <v>84</v>
      </c>
      <c r="Q195" s="57">
        <v>102</v>
      </c>
      <c r="R195" s="57">
        <v>102</v>
      </c>
      <c r="S195" s="57">
        <v>102</v>
      </c>
      <c r="T195" s="57">
        <v>102</v>
      </c>
      <c r="U195" s="57">
        <v>102</v>
      </c>
      <c r="V195" s="57">
        <v>102</v>
      </c>
    </row>
    <row r="196" spans="2:22" ht="19.899999999999999" customHeight="1" x14ac:dyDescent="0.2">
      <c r="B196" s="12" t="s">
        <v>15</v>
      </c>
      <c r="C196" s="18">
        <v>3</v>
      </c>
      <c r="D196" s="16" t="s">
        <v>22</v>
      </c>
      <c r="E196" s="62" t="s">
        <v>45</v>
      </c>
      <c r="F196" s="33">
        <v>11</v>
      </c>
      <c r="G196" s="33">
        <v>17</v>
      </c>
      <c r="H196" s="33">
        <v>19</v>
      </c>
      <c r="I196" s="33">
        <v>29</v>
      </c>
      <c r="J196" s="33">
        <v>31</v>
      </c>
      <c r="K196" s="33">
        <v>39</v>
      </c>
      <c r="L196" s="33">
        <v>41</v>
      </c>
      <c r="M196" s="33">
        <v>51</v>
      </c>
      <c r="N196" s="33">
        <v>59</v>
      </c>
      <c r="O196" s="33">
        <v>72</v>
      </c>
      <c r="P196" s="33">
        <v>84</v>
      </c>
      <c r="Q196" s="33">
        <v>94</v>
      </c>
      <c r="R196" s="56">
        <v>102</v>
      </c>
      <c r="S196" s="56">
        <v>102</v>
      </c>
      <c r="T196" s="56">
        <v>102</v>
      </c>
      <c r="U196" s="56">
        <v>102</v>
      </c>
      <c r="V196" s="56">
        <v>102</v>
      </c>
    </row>
    <row r="197" spans="2:22" ht="19.899999999999999" customHeight="1" x14ac:dyDescent="0.2">
      <c r="B197" s="13"/>
      <c r="C197" s="38"/>
      <c r="D197" s="20" t="s">
        <v>20</v>
      </c>
      <c r="E197" s="63" t="s">
        <v>45</v>
      </c>
      <c r="F197" s="34">
        <v>10</v>
      </c>
      <c r="G197" s="34">
        <v>18</v>
      </c>
      <c r="H197" s="34">
        <v>23</v>
      </c>
      <c r="I197" s="34">
        <v>33.5</v>
      </c>
      <c r="J197" s="34">
        <v>36</v>
      </c>
      <c r="K197" s="34">
        <v>43</v>
      </c>
      <c r="L197" s="34">
        <v>56</v>
      </c>
      <c r="M197" s="34">
        <v>67</v>
      </c>
      <c r="N197" s="34">
        <v>75</v>
      </c>
      <c r="O197" s="34">
        <v>91</v>
      </c>
      <c r="P197" s="34">
        <v>100</v>
      </c>
      <c r="Q197" s="57">
        <v>102</v>
      </c>
      <c r="R197" s="57">
        <v>102</v>
      </c>
      <c r="S197" s="57">
        <v>102</v>
      </c>
      <c r="T197" s="57">
        <v>102</v>
      </c>
      <c r="U197" s="57">
        <v>102</v>
      </c>
      <c r="V197" s="57">
        <v>102</v>
      </c>
    </row>
    <row r="198" spans="2:22" ht="19.899999999999999" customHeight="1" thickBot="1" x14ac:dyDescent="0.25">
      <c r="B198" s="17"/>
      <c r="C198" s="19"/>
      <c r="D198" s="21" t="s">
        <v>21</v>
      </c>
      <c r="E198" s="64" t="s">
        <v>45</v>
      </c>
      <c r="F198" s="35">
        <v>10</v>
      </c>
      <c r="G198" s="35">
        <v>10</v>
      </c>
      <c r="H198" s="35">
        <v>22</v>
      </c>
      <c r="I198" s="35">
        <v>24.5</v>
      </c>
      <c r="J198" s="35">
        <v>33</v>
      </c>
      <c r="K198" s="35">
        <v>31</v>
      </c>
      <c r="L198" s="35">
        <v>38</v>
      </c>
      <c r="M198" s="35">
        <v>41</v>
      </c>
      <c r="N198" s="35">
        <v>42</v>
      </c>
      <c r="O198" s="35">
        <v>52</v>
      </c>
      <c r="P198" s="35">
        <v>66</v>
      </c>
      <c r="Q198" s="35">
        <v>90</v>
      </c>
      <c r="R198" s="55">
        <v>102</v>
      </c>
      <c r="S198" s="55">
        <v>102</v>
      </c>
      <c r="T198" s="55">
        <v>102</v>
      </c>
      <c r="U198" s="55">
        <v>102</v>
      </c>
      <c r="V198" s="55">
        <v>102</v>
      </c>
    </row>
    <row r="199" spans="2:22" ht="19.899999999999999" customHeight="1" thickBot="1" x14ac:dyDescent="0.25">
      <c r="B199" s="12" t="s">
        <v>15</v>
      </c>
      <c r="C199" s="18">
        <v>2</v>
      </c>
      <c r="D199" s="16" t="s">
        <v>22</v>
      </c>
      <c r="E199" s="62" t="s">
        <v>40</v>
      </c>
      <c r="F199" s="33">
        <v>8</v>
      </c>
      <c r="G199" s="33">
        <v>13</v>
      </c>
      <c r="H199" s="33">
        <v>19</v>
      </c>
      <c r="I199" s="33">
        <v>27</v>
      </c>
      <c r="J199" s="33">
        <v>36</v>
      </c>
      <c r="K199" s="33">
        <v>48</v>
      </c>
      <c r="L199" s="33">
        <v>58</v>
      </c>
      <c r="M199" s="33">
        <v>67</v>
      </c>
      <c r="N199" s="33">
        <v>74</v>
      </c>
      <c r="O199" s="33">
        <v>96</v>
      </c>
      <c r="P199" s="56">
        <v>102</v>
      </c>
      <c r="Q199" s="56">
        <v>102</v>
      </c>
      <c r="R199" s="56">
        <v>102</v>
      </c>
      <c r="S199" s="56">
        <v>102</v>
      </c>
      <c r="T199" s="56">
        <v>102</v>
      </c>
      <c r="U199" s="56">
        <v>102</v>
      </c>
      <c r="V199" s="56">
        <v>102</v>
      </c>
    </row>
    <row r="200" spans="2:22" ht="19.899999999999999" customHeight="1" thickBot="1" x14ac:dyDescent="0.25">
      <c r="B200" s="13"/>
      <c r="C200" s="38"/>
      <c r="D200" s="20" t="s">
        <v>20</v>
      </c>
      <c r="E200" s="63" t="s">
        <v>40</v>
      </c>
      <c r="F200" s="34">
        <v>9</v>
      </c>
      <c r="G200" s="34">
        <v>19</v>
      </c>
      <c r="H200" s="34">
        <v>20</v>
      </c>
      <c r="I200" s="34">
        <v>37</v>
      </c>
      <c r="J200" s="34">
        <v>35</v>
      </c>
      <c r="K200" s="34">
        <v>50</v>
      </c>
      <c r="L200" s="34">
        <v>64</v>
      </c>
      <c r="M200" s="34">
        <v>73</v>
      </c>
      <c r="N200" s="34">
        <v>79</v>
      </c>
      <c r="O200" s="34">
        <v>91</v>
      </c>
      <c r="P200" s="56">
        <v>102</v>
      </c>
      <c r="Q200" s="56">
        <v>102</v>
      </c>
      <c r="R200" s="56">
        <v>102</v>
      </c>
      <c r="S200" s="56">
        <v>102</v>
      </c>
      <c r="T200" s="56">
        <v>102</v>
      </c>
      <c r="U200" s="56">
        <v>102</v>
      </c>
      <c r="V200" s="56">
        <v>102</v>
      </c>
    </row>
    <row r="201" spans="2:22" ht="19.899999999999999" customHeight="1" thickBot="1" x14ac:dyDescent="0.25">
      <c r="B201" s="17"/>
      <c r="C201" s="19"/>
      <c r="D201" s="21" t="s">
        <v>21</v>
      </c>
      <c r="E201" s="64" t="s">
        <v>40</v>
      </c>
      <c r="F201" s="35">
        <v>11</v>
      </c>
      <c r="G201" s="35">
        <v>18</v>
      </c>
      <c r="H201" s="35">
        <v>20</v>
      </c>
      <c r="I201" s="35">
        <v>32</v>
      </c>
      <c r="J201" s="35">
        <v>35</v>
      </c>
      <c r="K201" s="35">
        <v>39</v>
      </c>
      <c r="L201" s="35">
        <v>59</v>
      </c>
      <c r="M201" s="35">
        <v>60</v>
      </c>
      <c r="N201" s="35">
        <v>74</v>
      </c>
      <c r="O201" s="55">
        <v>102</v>
      </c>
      <c r="P201" s="56">
        <v>102</v>
      </c>
      <c r="Q201" s="56">
        <v>102</v>
      </c>
      <c r="R201" s="56">
        <v>102</v>
      </c>
      <c r="S201" s="56">
        <v>102</v>
      </c>
      <c r="T201" s="56">
        <v>102</v>
      </c>
      <c r="U201" s="56">
        <v>102</v>
      </c>
      <c r="V201" s="56">
        <v>102</v>
      </c>
    </row>
    <row r="202" spans="2:22" ht="19.899999999999999" customHeight="1" thickBot="1" x14ac:dyDescent="0.25">
      <c r="B202" s="12" t="s">
        <v>15</v>
      </c>
      <c r="C202" s="18">
        <v>1</v>
      </c>
      <c r="D202" s="16" t="s">
        <v>22</v>
      </c>
      <c r="E202" s="62" t="s">
        <v>47</v>
      </c>
      <c r="F202" s="33">
        <v>11</v>
      </c>
      <c r="G202" s="33">
        <v>18</v>
      </c>
      <c r="H202" s="33">
        <v>24</v>
      </c>
      <c r="I202" s="33">
        <v>39</v>
      </c>
      <c r="J202" s="33">
        <v>43</v>
      </c>
      <c r="K202" s="33">
        <v>57</v>
      </c>
      <c r="L202" s="33">
        <v>68</v>
      </c>
      <c r="M202" s="33">
        <v>79</v>
      </c>
      <c r="N202" s="33">
        <v>86</v>
      </c>
      <c r="O202" s="56">
        <v>102</v>
      </c>
      <c r="P202" s="56">
        <v>102</v>
      </c>
      <c r="Q202" s="56">
        <v>102</v>
      </c>
      <c r="R202" s="56">
        <v>102</v>
      </c>
      <c r="S202" s="56">
        <v>102</v>
      </c>
      <c r="T202" s="56">
        <v>102</v>
      </c>
      <c r="U202" s="56">
        <v>102</v>
      </c>
      <c r="V202" s="56">
        <v>102</v>
      </c>
    </row>
    <row r="203" spans="2:22" ht="19.899999999999999" customHeight="1" thickBot="1" x14ac:dyDescent="0.25">
      <c r="B203" s="13"/>
      <c r="C203" s="38"/>
      <c r="D203" s="20" t="s">
        <v>20</v>
      </c>
      <c r="E203" s="63" t="s">
        <v>47</v>
      </c>
      <c r="F203" s="34">
        <v>12</v>
      </c>
      <c r="G203" s="34">
        <v>13</v>
      </c>
      <c r="H203" s="34">
        <v>19</v>
      </c>
      <c r="I203" s="34">
        <v>32</v>
      </c>
      <c r="J203" s="34">
        <v>37</v>
      </c>
      <c r="K203" s="34">
        <v>49</v>
      </c>
      <c r="L203" s="34">
        <v>55</v>
      </c>
      <c r="M203" s="34">
        <v>68</v>
      </c>
      <c r="N203" s="34">
        <v>74</v>
      </c>
      <c r="O203" s="34">
        <v>88</v>
      </c>
      <c r="P203" s="56">
        <v>102</v>
      </c>
      <c r="Q203" s="56">
        <v>102</v>
      </c>
      <c r="R203" s="56">
        <v>102</v>
      </c>
      <c r="S203" s="56">
        <v>102</v>
      </c>
      <c r="T203" s="56">
        <v>102</v>
      </c>
      <c r="U203" s="56">
        <v>102</v>
      </c>
      <c r="V203" s="56">
        <v>102</v>
      </c>
    </row>
    <row r="204" spans="2:22" ht="19.899999999999999" customHeight="1" thickBot="1" x14ac:dyDescent="0.25">
      <c r="B204" s="17"/>
      <c r="C204" s="19"/>
      <c r="D204" s="21" t="s">
        <v>21</v>
      </c>
      <c r="E204" s="64" t="s">
        <v>47</v>
      </c>
      <c r="F204" s="35">
        <v>11</v>
      </c>
      <c r="G204" s="35">
        <v>11</v>
      </c>
      <c r="H204" s="35">
        <v>19</v>
      </c>
      <c r="I204" s="35">
        <v>40</v>
      </c>
      <c r="J204" s="35">
        <v>38</v>
      </c>
      <c r="K204" s="35">
        <v>50</v>
      </c>
      <c r="L204" s="35">
        <v>60</v>
      </c>
      <c r="M204" s="35">
        <v>73</v>
      </c>
      <c r="N204" s="35">
        <v>81</v>
      </c>
      <c r="O204" s="35">
        <v>88</v>
      </c>
      <c r="P204" s="56">
        <v>102</v>
      </c>
      <c r="Q204" s="56">
        <v>102</v>
      </c>
      <c r="R204" s="56">
        <v>102</v>
      </c>
      <c r="S204" s="56">
        <v>102</v>
      </c>
      <c r="T204" s="56">
        <v>102</v>
      </c>
      <c r="U204" s="56">
        <v>102</v>
      </c>
      <c r="V204" s="56">
        <v>102</v>
      </c>
    </row>
    <row r="205" spans="2:22" x14ac:dyDescent="0.2">
      <c r="L205" s="58"/>
      <c r="P205" s="73"/>
      <c r="R205" s="74"/>
    </row>
  </sheetData>
  <mergeCells count="1">
    <mergeCell ref="B12:C12"/>
  </mergeCells>
  <printOptions verticalCentered="1"/>
  <pageMargins left="0.45" right="0.45" top="1" bottom="0.25" header="0" footer="0"/>
  <pageSetup scale="92" fitToHeight="4" orientation="portrait" r:id="rId1"/>
  <rowBreaks count="3" manualBreakCount="3">
    <brk id="37" max="13" man="1"/>
    <brk id="61" max="13" man="1"/>
    <brk id="85" max="1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3"/>
  <sheetViews>
    <sheetView zoomScale="85" zoomScaleNormal="85" workbookViewId="0"/>
  </sheetViews>
  <sheetFormatPr defaultRowHeight="12.75" x14ac:dyDescent="0.2"/>
  <cols>
    <col min="4" max="4" width="9" customWidth="1"/>
  </cols>
  <sheetData>
    <row r="1" spans="1:17" ht="15.75" x14ac:dyDescent="0.25">
      <c r="A1" s="6" t="s">
        <v>53</v>
      </c>
    </row>
    <row r="2" spans="1:17" ht="15.75" x14ac:dyDescent="0.25">
      <c r="A2" s="6"/>
      <c r="E2" s="58" t="s">
        <v>73</v>
      </c>
      <c r="M2" s="79" t="s">
        <v>85</v>
      </c>
      <c r="N2" s="80"/>
    </row>
    <row r="3" spans="1:17" ht="18.75" x14ac:dyDescent="0.3">
      <c r="A3" s="6"/>
      <c r="D3" s="53" t="s">
        <v>54</v>
      </c>
      <c r="M3" s="79"/>
      <c r="N3" s="80"/>
    </row>
    <row r="4" spans="1:17" x14ac:dyDescent="0.2">
      <c r="M4" s="79"/>
      <c r="N4" s="80"/>
    </row>
    <row r="5" spans="1:17" s="67" customFormat="1" ht="12" x14ac:dyDescent="0.2">
      <c r="B5" s="68"/>
      <c r="C5" s="69" t="s">
        <v>60</v>
      </c>
      <c r="D5" s="70">
        <f>'Height Summary'!F9</f>
        <v>42879</v>
      </c>
      <c r="E5" s="70">
        <f>'Height Summary'!G9</f>
        <v>42886</v>
      </c>
      <c r="F5" s="70">
        <f>'Height Summary'!H9</f>
        <v>42891</v>
      </c>
      <c r="G5" s="70">
        <f>'Height Summary'!I9</f>
        <v>42898</v>
      </c>
      <c r="H5" s="70">
        <f>'Height Summary'!J9</f>
        <v>42905</v>
      </c>
      <c r="I5" s="70">
        <f>'Height Summary'!K9</f>
        <v>42912</v>
      </c>
      <c r="J5" s="70">
        <f>'Height Summary'!L9</f>
        <v>42919</v>
      </c>
      <c r="K5" s="70">
        <f>'Height Summary'!M9</f>
        <v>42926</v>
      </c>
      <c r="L5" s="70">
        <f>'Height Summary'!N9</f>
        <v>42933</v>
      </c>
      <c r="M5" s="70">
        <f>'Height Summary'!O9</f>
        <v>42941</v>
      </c>
      <c r="N5" s="70">
        <f>'Height Summary'!P9</f>
        <v>42947</v>
      </c>
      <c r="O5" s="70">
        <f>'Height Summary'!Q9</f>
        <v>42955</v>
      </c>
      <c r="P5" s="70">
        <f>'Height Summary'!R9</f>
        <v>42962</v>
      </c>
      <c r="Q5" s="70">
        <f>'Height Summary'!S9</f>
        <v>42968</v>
      </c>
    </row>
    <row r="6" spans="1:17" x14ac:dyDescent="0.2">
      <c r="C6" s="1" t="s">
        <v>62</v>
      </c>
      <c r="D6" s="52">
        <f>'Height Summary'!F10</f>
        <v>144</v>
      </c>
      <c r="E6" s="52">
        <f>'Height Summary'!G10</f>
        <v>151</v>
      </c>
      <c r="F6" s="52">
        <f>'Height Summary'!H10</f>
        <v>156</v>
      </c>
      <c r="G6" s="52">
        <f>'Height Summary'!I10</f>
        <v>163</v>
      </c>
      <c r="H6" s="52">
        <f>'Height Summary'!J10</f>
        <v>170</v>
      </c>
      <c r="I6" s="52">
        <f>'Height Summary'!K10</f>
        <v>177</v>
      </c>
      <c r="J6" s="52">
        <f>'Height Summary'!L10</f>
        <v>184</v>
      </c>
      <c r="K6" s="52">
        <f>'Height Summary'!M10</f>
        <v>191</v>
      </c>
      <c r="L6" s="52">
        <f>'Height Summary'!N10</f>
        <v>198</v>
      </c>
      <c r="M6" s="52">
        <f>'Height Summary'!O10</f>
        <v>206</v>
      </c>
      <c r="N6" s="52">
        <f>'Height Summary'!P10</f>
        <v>212</v>
      </c>
      <c r="O6" s="52">
        <f>'Height Summary'!Q10</f>
        <v>220</v>
      </c>
      <c r="P6" s="52">
        <f>'Height Summary'!R10</f>
        <v>227</v>
      </c>
      <c r="Q6" s="52">
        <f>'Height Summary'!S10</f>
        <v>233</v>
      </c>
    </row>
    <row r="7" spans="1:17" x14ac:dyDescent="0.2">
      <c r="B7" s="4" t="s">
        <v>49</v>
      </c>
      <c r="C7" s="4" t="s">
        <v>37</v>
      </c>
      <c r="D7" s="59">
        <f>AVERAGEIFS('Height Summary'!F$13:F$204,'Height Summary'!$E$13:$E$204, "60-60")</f>
        <v>11</v>
      </c>
      <c r="E7" s="39">
        <f>AVERAGEIFS('Height Summary'!G$13:G$204,'Height Summary'!$E$13:$E$204, "60-60")</f>
        <v>15.916666666666666</v>
      </c>
      <c r="F7" s="39">
        <f>AVERAGEIFS('Height Summary'!H$13:H$204,'Height Summary'!$E$13:$E$204, "60-60")</f>
        <v>22.333333333333332</v>
      </c>
      <c r="G7" s="39">
        <f>AVERAGEIFS('Height Summary'!I$13:I$204,'Height Summary'!$E$13:$E$204, "60-60")</f>
        <v>27.958333333333332</v>
      </c>
      <c r="H7" s="39">
        <f>AVERAGEIFS('Height Summary'!J$13:J$204,'Height Summary'!$E$13:$E$204, "60-60")</f>
        <v>35.25</v>
      </c>
      <c r="I7" s="39">
        <f>AVERAGEIFS('Height Summary'!K$13:K$204,'Height Summary'!$E$13:$E$204, "60-60")</f>
        <v>39.333333333333336</v>
      </c>
      <c r="J7" s="39">
        <f>AVERAGEIFS('Height Summary'!L$13:L$204,'Height Summary'!$E$13:$E$204, "60-60")</f>
        <v>47.416666666666664</v>
      </c>
      <c r="K7" s="39">
        <f>AVERAGEIFS('Height Summary'!M$13:M$204,'Height Summary'!$E$13:$E$204, "60-60")</f>
        <v>50.416666666666664</v>
      </c>
      <c r="L7" s="39">
        <f>AVERAGEIFS('Height Summary'!N$13:N$204,'Height Summary'!$E$13:$E$204, "60-60")</f>
        <v>62.666666666666664</v>
      </c>
      <c r="M7" s="39">
        <f>AVERAGEIFS('Height Summary'!O$13:O$204,'Height Summary'!$E$13:$E$204, "60-60")</f>
        <v>65.666666666666671</v>
      </c>
      <c r="N7" s="39">
        <f>AVERAGEIFS('Height Summary'!P$13:P$204,'Height Summary'!$E$13:$E$204, "60-60")</f>
        <v>70.583333333333329</v>
      </c>
      <c r="O7" s="39">
        <f>AVERAGEIFS('Height Summary'!Q$13:Q$204,'Height Summary'!$E$13:$E$204, "60-60")</f>
        <v>75.416666666666671</v>
      </c>
      <c r="P7" s="39">
        <f>AVERAGEIFS('Height Summary'!R$13:R$204,'Height Summary'!$E$13:$E$204, "60-60")</f>
        <v>80.25</v>
      </c>
      <c r="Q7" s="39">
        <f>AVERAGEIFS('Height Summary'!S$13:S$204,'Height Summary'!$E$13:$E$204, "60-60")</f>
        <v>81.75</v>
      </c>
    </row>
    <row r="8" spans="1:17" x14ac:dyDescent="0.2">
      <c r="C8" s="4" t="s">
        <v>35</v>
      </c>
      <c r="D8" s="39">
        <f>AVERAGEIFS('Height Summary'!F$13:F$204,'Height Summary'!$E$13:$E$204, "60-80")</f>
        <v>10.666666666666666</v>
      </c>
      <c r="E8" s="39">
        <f>AVERAGEIFS('Height Summary'!G$13:G$204,'Height Summary'!$E$13:$E$204, "60-80")</f>
        <v>14.833333333333334</v>
      </c>
      <c r="F8" s="39">
        <f>AVERAGEIFS('Height Summary'!H$13:H$204,'Height Summary'!$E$13:$E$204, "60-80")</f>
        <v>21.5</v>
      </c>
      <c r="G8" s="39">
        <f>AVERAGEIFS('Height Summary'!I$13:I$204,'Height Summary'!$E$13:$E$204, "60-80")</f>
        <v>28.375</v>
      </c>
      <c r="H8" s="39">
        <f>AVERAGEIFS('Height Summary'!J$13:J$204,'Height Summary'!$E$13:$E$204, "60-80")</f>
        <v>34.916666666666664</v>
      </c>
      <c r="I8" s="39">
        <f>AVERAGEIFS('Height Summary'!K$13:K$204,'Height Summary'!$E$13:$E$204, "60-80")</f>
        <v>39.5</v>
      </c>
      <c r="J8" s="39">
        <f>AVERAGEIFS('Height Summary'!L$13:L$204,'Height Summary'!$E$13:$E$204, "60-80")</f>
        <v>44.833333333333336</v>
      </c>
      <c r="K8" s="39">
        <f>AVERAGEIFS('Height Summary'!M$13:M$204,'Height Summary'!$E$13:$E$204, "60-80")</f>
        <v>48.25</v>
      </c>
      <c r="L8" s="39">
        <f>AVERAGEIFS('Height Summary'!N$13:N$204,'Height Summary'!$E$13:$E$204, "60-80")</f>
        <v>51.333333333333336</v>
      </c>
      <c r="M8" s="39">
        <f>AVERAGEIFS('Height Summary'!O$13:O$204,'Height Summary'!$E$13:$E$204, "60-80")</f>
        <v>60.333333333333336</v>
      </c>
      <c r="N8" s="39">
        <f>AVERAGEIFS('Height Summary'!P$13:P$204,'Height Summary'!$E$13:$E$204, "60-80")</f>
        <v>67.916666666666671</v>
      </c>
      <c r="O8" s="39">
        <f>AVERAGEIFS('Height Summary'!Q$13:Q$204,'Height Summary'!$E$13:$E$204, "60-80")</f>
        <v>78.833333333333329</v>
      </c>
      <c r="P8" s="39">
        <f>AVERAGEIFS('Height Summary'!R$13:R$204,'Height Summary'!$E$13:$E$204, "60-80")</f>
        <v>86.833333333333329</v>
      </c>
      <c r="Q8" s="39">
        <f>AVERAGEIFS('Height Summary'!S$13:S$204,'Height Summary'!$E$13:$E$204, "60-80")</f>
        <v>91.583333333333329</v>
      </c>
    </row>
    <row r="9" spans="1:17" x14ac:dyDescent="0.2">
      <c r="C9" s="4" t="s">
        <v>41</v>
      </c>
      <c r="D9" s="39">
        <f>AVERAGEIFS('Height Summary'!F$13:F$204,'Height Summary'!$E$13:$E$204, "60-100")</f>
        <v>10.833333333333334</v>
      </c>
      <c r="E9" s="39">
        <f>AVERAGEIFS('Height Summary'!G$13:G$204,'Height Summary'!$E$13:$E$204, "60-100")</f>
        <v>15.166666666666666</v>
      </c>
      <c r="F9" s="39">
        <f>AVERAGEIFS('Height Summary'!H$13:H$204,'Height Summary'!$E$13:$E$204, "60-100")</f>
        <v>20.833333333333332</v>
      </c>
      <c r="G9" s="39">
        <f>AVERAGEIFS('Height Summary'!I$13:I$204,'Height Summary'!$E$13:$E$204, "60-100")</f>
        <v>28.833333333333332</v>
      </c>
      <c r="H9" s="39">
        <f>AVERAGEIFS('Height Summary'!J$13:J$204,'Height Summary'!$E$13:$E$204, "60-100")</f>
        <v>34.083333333333336</v>
      </c>
      <c r="I9" s="39">
        <f>AVERAGEIFS('Height Summary'!K$13:K$204,'Height Summary'!$E$13:$E$204, "60-100")</f>
        <v>39.083333333333336</v>
      </c>
      <c r="J9" s="39">
        <f>AVERAGEIFS('Height Summary'!L$13:L$204,'Height Summary'!$E$13:$E$204, "60-100")</f>
        <v>44</v>
      </c>
      <c r="K9" s="39">
        <f>AVERAGEIFS('Height Summary'!M$13:M$204,'Height Summary'!$E$13:$E$204, "60-100")</f>
        <v>46.416666666666664</v>
      </c>
      <c r="L9" s="39">
        <f>AVERAGEIFS('Height Summary'!N$13:N$204,'Height Summary'!$E$13:$E$204, "60-100")</f>
        <v>52.583333333333336</v>
      </c>
      <c r="M9" s="39">
        <f>AVERAGEIFS('Height Summary'!O$13:O$204,'Height Summary'!$E$13:$E$204, "60-100")</f>
        <v>65.416666666666671</v>
      </c>
      <c r="N9" s="39">
        <f>AVERAGEIFS('Height Summary'!P$13:P$204,'Height Summary'!$E$13:$E$204, "60-100")</f>
        <v>74.5</v>
      </c>
      <c r="O9" s="39">
        <f>AVERAGEIFS('Height Summary'!Q$13:Q$204,'Height Summary'!$E$13:$E$204, "60-100")</f>
        <v>89.583333333333329</v>
      </c>
      <c r="P9" s="39">
        <f>AVERAGEIFS('Height Summary'!R$13:R$204,'Height Summary'!$E$13:$E$204, "60-100")</f>
        <v>101.58333333333333</v>
      </c>
      <c r="Q9" s="39">
        <f>AVERAGEIFS('Height Summary'!S$13:S$204,'Height Summary'!$E$13:$E$204, "60-100")</f>
        <v>113.33333333333333</v>
      </c>
    </row>
    <row r="10" spans="1:17" x14ac:dyDescent="0.2">
      <c r="C10" s="4" t="s">
        <v>39</v>
      </c>
      <c r="D10" s="39">
        <f>AVERAGEIFS('Height Summary'!F$13:F$204,'Height Summary'!$E$13:$E$204, "60-120")</f>
        <v>10.75</v>
      </c>
      <c r="E10" s="39">
        <f>AVERAGEIFS('Height Summary'!G$13:G$204,'Height Summary'!$E$13:$E$204, "60-120")</f>
        <v>15.25</v>
      </c>
      <c r="F10" s="39">
        <f>AVERAGEIFS('Height Summary'!H$13:H$204,'Height Summary'!$E$13:$E$204, "60-120")</f>
        <v>22.833333333333332</v>
      </c>
      <c r="G10" s="39">
        <f>AVERAGEIFS('Height Summary'!I$13:I$204,'Height Summary'!$E$13:$E$204, "60-120")</f>
        <v>29.916666666666668</v>
      </c>
      <c r="H10" s="39">
        <f>AVERAGEIFS('Height Summary'!J$13:J$204,'Height Summary'!$E$13:$E$204, "60-120")</f>
        <v>35.5</v>
      </c>
      <c r="I10" s="39">
        <f>AVERAGEIFS('Height Summary'!K$13:K$204,'Height Summary'!$E$13:$E$204, "60-120")</f>
        <v>40.833333333333336</v>
      </c>
      <c r="J10" s="39">
        <f>AVERAGEIFS('Height Summary'!L$13:L$204,'Height Summary'!$E$13:$E$204, "60-120")</f>
        <v>47.583333333333336</v>
      </c>
      <c r="K10" s="39">
        <f>AVERAGEIFS('Height Summary'!M$13:M$204,'Height Summary'!$E$13:$E$204, "60-120")</f>
        <v>51.333333333333336</v>
      </c>
      <c r="L10" s="39">
        <f>AVERAGEIFS('Height Summary'!N$13:N$204,'Height Summary'!$E$13:$E$204, "60-120")</f>
        <v>55.5</v>
      </c>
      <c r="M10" s="39">
        <f>AVERAGEIFS('Height Summary'!O$13:O$204,'Height Summary'!$E$13:$E$204, "60-120")</f>
        <v>68.25</v>
      </c>
      <c r="N10" s="39">
        <f>AVERAGEIFS('Height Summary'!P$13:P$204,'Height Summary'!$E$13:$E$204, "60-120")</f>
        <v>78.166666666666671</v>
      </c>
      <c r="O10" s="39">
        <f>AVERAGEIFS('Height Summary'!Q$13:Q$204,'Height Summary'!$E$13:$E$204, "60-120")</f>
        <v>94.583333333333329</v>
      </c>
      <c r="P10" s="39">
        <f>AVERAGEIFS('Height Summary'!R$13:R$204,'Height Summary'!$E$13:$E$204, "60-120")</f>
        <v>110.16666666666667</v>
      </c>
      <c r="Q10" s="39">
        <f>AVERAGEIFS('Height Summary'!S$13:S$204,'Height Summary'!$E$13:$E$204, "60-120")</f>
        <v>118.91666666666667</v>
      </c>
    </row>
    <row r="11" spans="1:17" x14ac:dyDescent="0.2">
      <c r="C11" s="4"/>
      <c r="D11" s="51">
        <f>AVERAGEIFS('Height Summary'!F$13:F$204,'Height Summary'!$E$13:$E$204, "60-*")</f>
        <v>10.8125</v>
      </c>
      <c r="E11" s="51">
        <f>AVERAGEIFS('Height Summary'!G$13:G$204,'Height Summary'!$E$13:$E$204, "60-*")</f>
        <v>15.291666666666666</v>
      </c>
      <c r="F11" s="51">
        <f>AVERAGEIFS('Height Summary'!H$13:H$204,'Height Summary'!$E$13:$E$204, "60-*")</f>
        <v>21.875</v>
      </c>
      <c r="G11" s="51">
        <f>AVERAGEIFS('Height Summary'!I$13:I$204,'Height Summary'!$E$13:$E$204, "60-*")</f>
        <v>28.770833333333332</v>
      </c>
      <c r="H11" s="51">
        <f>AVERAGEIFS('Height Summary'!J$13:J$204,'Height Summary'!$E$13:$E$204, "60-*")</f>
        <v>34.9375</v>
      </c>
      <c r="I11" s="51">
        <f>AVERAGEIFS('Height Summary'!K$13:K$204,'Height Summary'!$E$13:$E$204, "60-*")</f>
        <v>39.6875</v>
      </c>
      <c r="J11" s="51">
        <f>AVERAGEIFS('Height Summary'!L$13:L$204,'Height Summary'!$E$13:$E$204, "60-*")</f>
        <v>45.958333333333336</v>
      </c>
      <c r="K11" s="51">
        <f>AVERAGEIFS('Height Summary'!M$13:M$204,'Height Summary'!$E$13:$E$204, "60-*")</f>
        <v>49.104166666666664</v>
      </c>
      <c r="L11" s="51">
        <f>AVERAGEIFS('Height Summary'!N$13:N$204,'Height Summary'!$E$13:$E$204, "60-*")</f>
        <v>55.520833333333336</v>
      </c>
      <c r="M11" s="51">
        <f>AVERAGEIFS('Height Summary'!O$13:O$204,'Height Summary'!$E$13:$E$204, "60-*")</f>
        <v>64.916666666666671</v>
      </c>
      <c r="N11" s="51">
        <f>AVERAGEIFS('Height Summary'!P$13:P$204,'Height Summary'!$E$13:$E$204, "60-*")</f>
        <v>72.791666666666671</v>
      </c>
      <c r="O11" s="51">
        <f>AVERAGEIFS('Height Summary'!Q$13:Q$204,'Height Summary'!$E$13:$E$204, "60-*")</f>
        <v>84.604166666666671</v>
      </c>
      <c r="P11" s="51">
        <f>AVERAGEIFS('Height Summary'!R$13:R$204,'Height Summary'!$E$13:$E$204, "60-*")</f>
        <v>94.708333333333329</v>
      </c>
      <c r="Q11" s="51">
        <f>AVERAGEIFS('Height Summary'!S$13:S$204,'Height Summary'!$E$13:$E$204, "60-*")</f>
        <v>101.39583333333333</v>
      </c>
    </row>
    <row r="12" spans="1:17" x14ac:dyDescent="0.2">
      <c r="B12" s="4" t="s">
        <v>50</v>
      </c>
      <c r="C12" s="4" t="s">
        <v>36</v>
      </c>
      <c r="D12" s="39">
        <f>AVERAGEIFS('Height Summary'!F$13:F$204,'Height Summary'!$E$13:$E$204, "80-60")</f>
        <v>10.833333333333334</v>
      </c>
      <c r="E12" s="39">
        <f>AVERAGEIFS('Height Summary'!G$13:G$204,'Height Summary'!$E$13:$E$204, "80-60")</f>
        <v>15.25</v>
      </c>
      <c r="F12" s="39">
        <f>AVERAGEIFS('Height Summary'!H$13:H$204,'Height Summary'!$E$13:$E$204, "80-60")</f>
        <v>21.75</v>
      </c>
      <c r="G12" s="39">
        <f>AVERAGEIFS('Height Summary'!I$13:I$204,'Height Summary'!$E$13:$E$204, "80-60")</f>
        <v>30.416666666666668</v>
      </c>
      <c r="H12" s="39">
        <f>AVERAGEIFS('Height Summary'!J$13:J$204,'Height Summary'!$E$13:$E$204, "80-60")</f>
        <v>39.833333333333336</v>
      </c>
      <c r="I12" s="39">
        <f>AVERAGEIFS('Height Summary'!K$13:K$204,'Height Summary'!$E$13:$E$204, "80-60")</f>
        <v>47.166666666666664</v>
      </c>
      <c r="J12" s="39">
        <f>AVERAGEIFS('Height Summary'!L$13:L$204,'Height Summary'!$E$13:$E$204, "80-60")</f>
        <v>56.916666666666664</v>
      </c>
      <c r="K12" s="39">
        <f>AVERAGEIFS('Height Summary'!M$13:M$204,'Height Summary'!$E$13:$E$204, "80-60")</f>
        <v>63.833333333333336</v>
      </c>
      <c r="L12" s="39">
        <f>AVERAGEIFS('Height Summary'!N$13:N$204,'Height Summary'!$E$13:$E$204, "80-60")</f>
        <v>71.5</v>
      </c>
      <c r="M12" s="39">
        <f>AVERAGEIFS('Height Summary'!O$13:O$204,'Height Summary'!$E$13:$E$204, "80-60")</f>
        <v>80.416666666666671</v>
      </c>
      <c r="N12" s="39">
        <f>AVERAGEIFS('Height Summary'!P$13:P$204,'Height Summary'!$E$13:$E$204, "80-60")</f>
        <v>84.083333333333329</v>
      </c>
      <c r="O12" s="39">
        <f>AVERAGEIFS('Height Summary'!Q$13:Q$204,'Height Summary'!$E$13:$E$204, "80-60")</f>
        <v>92.916666666666671</v>
      </c>
      <c r="P12" s="39">
        <f>AVERAGEIFS('Height Summary'!R$13:R$204,'Height Summary'!$E$13:$E$204, "80-60")</f>
        <v>94.833333333333329</v>
      </c>
      <c r="Q12" s="39">
        <f>AVERAGEIFS('Height Summary'!S$13:S$204,'Height Summary'!$E$13:$E$204, "80-60")</f>
        <v>98.416666666666671</v>
      </c>
    </row>
    <row r="13" spans="1:17" x14ac:dyDescent="0.2">
      <c r="C13" s="4" t="s">
        <v>33</v>
      </c>
      <c r="D13" s="39">
        <f>AVERAGEIFS('Height Summary'!F$13:F$204,'Height Summary'!$E$13:$E$204, "80-80")</f>
        <v>10.75</v>
      </c>
      <c r="E13" s="39">
        <f>AVERAGEIFS('Height Summary'!G$13:G$204,'Height Summary'!$E$13:$E$204, "80-80")</f>
        <v>16.5</v>
      </c>
      <c r="F13" s="39">
        <f>AVERAGEIFS('Height Summary'!H$13:H$204,'Height Summary'!$E$13:$E$204, "80-80")</f>
        <v>22.833333333333332</v>
      </c>
      <c r="G13" s="39">
        <f>AVERAGEIFS('Height Summary'!I$13:I$204,'Height Summary'!$E$13:$E$204, "80-80")</f>
        <v>32.333333333333336</v>
      </c>
      <c r="H13" s="39">
        <f>AVERAGEIFS('Height Summary'!J$13:J$204,'Height Summary'!$E$13:$E$204, "80-80")</f>
        <v>39.916666666666664</v>
      </c>
      <c r="I13" s="39">
        <f>AVERAGEIFS('Height Summary'!K$13:K$204,'Height Summary'!$E$13:$E$204, "80-80")</f>
        <v>47.083333333333336</v>
      </c>
      <c r="J13" s="39">
        <f>AVERAGEIFS('Height Summary'!L$13:L$204,'Height Summary'!$E$13:$E$204, "80-80")</f>
        <v>55.416666666666664</v>
      </c>
      <c r="K13" s="39">
        <f>AVERAGEIFS('Height Summary'!M$13:M$204,'Height Summary'!$E$13:$E$204, "80-80")</f>
        <v>64.5</v>
      </c>
      <c r="L13" s="39">
        <f>AVERAGEIFS('Height Summary'!N$13:N$204,'Height Summary'!$E$13:$E$204, "80-80")</f>
        <v>71.666666666666671</v>
      </c>
      <c r="M13" s="39">
        <f>AVERAGEIFS('Height Summary'!O$13:O$204,'Height Summary'!$E$13:$E$204, "80-80")</f>
        <v>85.416666666666671</v>
      </c>
      <c r="N13" s="39">
        <f>AVERAGEIFS('Height Summary'!P$13:P$204,'Height Summary'!$E$13:$E$204, "80-80")</f>
        <v>93.166666666666671</v>
      </c>
      <c r="O13" s="39">
        <f>AVERAGEIFS('Height Summary'!Q$13:Q$204,'Height Summary'!$E$13:$E$204, "80-80")</f>
        <v>103.25</v>
      </c>
      <c r="P13" s="39">
        <f>AVERAGEIFS('Height Summary'!R$13:R$204,'Height Summary'!$E$13:$E$204, "80-80")</f>
        <v>112</v>
      </c>
      <c r="Q13" s="39">
        <f>AVERAGEIFS('Height Summary'!S$13:S$204,'Height Summary'!$E$13:$E$204, "80-80")</f>
        <v>116.91666666666667</v>
      </c>
    </row>
    <row r="14" spans="1:17" x14ac:dyDescent="0.2">
      <c r="C14" s="4" t="s">
        <v>44</v>
      </c>
      <c r="D14" s="39">
        <f>AVERAGEIFS('Height Summary'!F$13:F$204,'Height Summary'!$E$13:$E$204, "80-100")</f>
        <v>11.833333333333334</v>
      </c>
      <c r="E14" s="39">
        <f>AVERAGEIFS('Height Summary'!G$13:G$204,'Height Summary'!$E$13:$E$204, "80-100")</f>
        <v>16.166666666666668</v>
      </c>
      <c r="F14" s="39">
        <f>AVERAGEIFS('Height Summary'!H$13:H$204,'Height Summary'!$E$13:$E$204, "80-100")</f>
        <v>23.5</v>
      </c>
      <c r="G14" s="39">
        <f>AVERAGEIFS('Height Summary'!I$13:I$204,'Height Summary'!$E$13:$E$204, "80-100")</f>
        <v>30.083333333333332</v>
      </c>
      <c r="H14" s="39">
        <f>AVERAGEIFS('Height Summary'!J$13:J$204,'Height Summary'!$E$13:$E$204, "80-100")</f>
        <v>38.333333333333336</v>
      </c>
      <c r="I14" s="39">
        <f>AVERAGEIFS('Height Summary'!K$13:K$204,'Height Summary'!$E$13:$E$204, "80-100")</f>
        <v>47</v>
      </c>
      <c r="J14" s="39">
        <f>AVERAGEIFS('Height Summary'!L$13:L$204,'Height Summary'!$E$13:$E$204, "80-100")</f>
        <v>55.75</v>
      </c>
      <c r="K14" s="39">
        <f>AVERAGEIFS('Height Summary'!M$13:M$204,'Height Summary'!$E$13:$E$204, "80-100")</f>
        <v>65.333333333333329</v>
      </c>
      <c r="L14" s="39">
        <f>AVERAGEIFS('Height Summary'!N$13:N$204,'Height Summary'!$E$13:$E$204, "80-100")</f>
        <v>73.333333333333329</v>
      </c>
      <c r="M14" s="39">
        <f>AVERAGEIFS('Height Summary'!O$13:O$204,'Height Summary'!$E$13:$E$204, "80-100")</f>
        <v>81.583333333333329</v>
      </c>
      <c r="N14" s="39">
        <f>AVERAGEIFS('Height Summary'!P$13:P$204,'Height Summary'!$E$13:$E$204, "80-100")</f>
        <v>93.75</v>
      </c>
      <c r="O14" s="39">
        <f>AVERAGEIFS('Height Summary'!Q$13:Q$204,'Height Summary'!$E$13:$E$204, "80-100")</f>
        <v>108.41666666666667</v>
      </c>
      <c r="P14" s="39">
        <f>AVERAGEIFS('Height Summary'!R$13:R$204,'Height Summary'!$E$13:$E$204, "80-100")</f>
        <v>118.83333333333333</v>
      </c>
      <c r="Q14" s="39">
        <f>AVERAGEIFS('Height Summary'!S$13:S$204,'Height Summary'!$E$13:$E$204, "80-100")</f>
        <v>126.41666666666667</v>
      </c>
    </row>
    <row r="15" spans="1:17" x14ac:dyDescent="0.2">
      <c r="C15" s="4" t="s">
        <v>45</v>
      </c>
      <c r="D15" s="39">
        <f>AVERAGEIFS('Height Summary'!F$13:F$204,'Height Summary'!$E$13:$E$204, "80-120")</f>
        <v>12</v>
      </c>
      <c r="E15" s="39">
        <f>AVERAGEIFS('Height Summary'!G$13:G$204,'Height Summary'!$E$13:$E$204, "80-120")</f>
        <v>15.25</v>
      </c>
      <c r="F15" s="39">
        <f>AVERAGEIFS('Height Summary'!H$13:H$204,'Height Summary'!$E$13:$E$204, "80-120")</f>
        <v>24.416666666666668</v>
      </c>
      <c r="G15" s="39">
        <f>AVERAGEIFS('Height Summary'!I$13:I$204,'Height Summary'!$E$13:$E$204, "80-120")</f>
        <v>29.458333333333332</v>
      </c>
      <c r="H15" s="39">
        <f>AVERAGEIFS('Height Summary'!J$13:J$204,'Height Summary'!$E$13:$E$204, "80-120")</f>
        <v>38.5</v>
      </c>
      <c r="I15" s="39">
        <f>AVERAGEIFS('Height Summary'!K$13:K$204,'Height Summary'!$E$13:$E$204, "80-120")</f>
        <v>45.416666666666664</v>
      </c>
      <c r="J15" s="39">
        <f>AVERAGEIFS('Height Summary'!L$13:L$204,'Height Summary'!$E$13:$E$204, "80-120")</f>
        <v>54.5</v>
      </c>
      <c r="K15" s="39">
        <f>AVERAGEIFS('Height Summary'!M$13:M$204,'Height Summary'!$E$13:$E$204, "80-120")</f>
        <v>62.833333333333336</v>
      </c>
      <c r="L15" s="39">
        <f>AVERAGEIFS('Height Summary'!N$13:N$204,'Height Summary'!$E$13:$E$204, "80-120")</f>
        <v>68.75</v>
      </c>
      <c r="M15" s="39">
        <f>AVERAGEIFS('Height Summary'!O$13:O$204,'Height Summary'!$E$13:$E$204, "80-120")</f>
        <v>83.916666666666671</v>
      </c>
      <c r="N15" s="39">
        <f>AVERAGEIFS('Height Summary'!P$13:P$204,'Height Summary'!$E$13:$E$204, "80-120")</f>
        <v>92.5</v>
      </c>
      <c r="O15" s="39">
        <f>AVERAGEIFS('Height Summary'!Q$13:Q$204,'Height Summary'!$E$13:$E$204, "80-120")</f>
        <v>108.66666666666667</v>
      </c>
      <c r="P15" s="39">
        <f>AVERAGEIFS('Height Summary'!R$13:R$204,'Height Summary'!$E$13:$E$204, "80-120")</f>
        <v>122</v>
      </c>
      <c r="Q15" s="39">
        <f>AVERAGEIFS('Height Summary'!S$13:S$204,'Height Summary'!$E$13:$E$204, "80-120")</f>
        <v>133.25</v>
      </c>
    </row>
    <row r="16" spans="1:17" x14ac:dyDescent="0.2">
      <c r="C16" s="4"/>
      <c r="D16" s="51">
        <f>AVERAGEIFS('Height Summary'!F$13:F$204,'Height Summary'!$E$13:$E$204, "80-*")</f>
        <v>11.354166666666666</v>
      </c>
      <c r="E16" s="51">
        <f>AVERAGEIFS('Height Summary'!G$13:G$204,'Height Summary'!$E$13:$E$204, "80-*")</f>
        <v>15.791666666666666</v>
      </c>
      <c r="F16" s="51">
        <f>AVERAGEIFS('Height Summary'!H$13:H$204,'Height Summary'!$E$13:$E$204, "80-*")</f>
        <v>23.125</v>
      </c>
      <c r="G16" s="51">
        <f>AVERAGEIFS('Height Summary'!I$13:I$204,'Height Summary'!$E$13:$E$204, "80-*")</f>
        <v>30.572916666666668</v>
      </c>
      <c r="H16" s="51">
        <f>AVERAGEIFS('Height Summary'!J$13:J$204,'Height Summary'!$E$13:$E$204, "80-*")</f>
        <v>39.145833333333336</v>
      </c>
      <c r="I16" s="51">
        <f>AVERAGEIFS('Height Summary'!K$13:K$204,'Height Summary'!$E$13:$E$204, "80-*")</f>
        <v>46.666666666666664</v>
      </c>
      <c r="J16" s="51">
        <f>AVERAGEIFS('Height Summary'!L$13:L$204,'Height Summary'!$E$13:$E$204, "80-*")</f>
        <v>55.645833333333336</v>
      </c>
      <c r="K16" s="51">
        <f>AVERAGEIFS('Height Summary'!M$13:M$204,'Height Summary'!$E$13:$E$204, "80-*")</f>
        <v>64.125</v>
      </c>
      <c r="L16" s="51">
        <f>AVERAGEIFS('Height Summary'!N$13:N$204,'Height Summary'!$E$13:$E$204, "80-*")</f>
        <v>71.3125</v>
      </c>
      <c r="M16" s="51">
        <f>AVERAGEIFS('Height Summary'!O$13:O$204,'Height Summary'!$E$13:$E$204, "80-*")</f>
        <v>82.833333333333329</v>
      </c>
      <c r="N16" s="51">
        <f>AVERAGEIFS('Height Summary'!P$13:P$204,'Height Summary'!$E$13:$E$204, "80-*")</f>
        <v>90.875</v>
      </c>
      <c r="O16" s="51">
        <f>AVERAGEIFS('Height Summary'!Q$13:Q$204,'Height Summary'!$E$13:$E$204, "80-*")</f>
        <v>103.3125</v>
      </c>
      <c r="P16" s="51">
        <f>AVERAGEIFS('Height Summary'!R$13:R$204,'Height Summary'!$E$13:$E$204, "80-*")</f>
        <v>111.91666666666667</v>
      </c>
      <c r="Q16" s="51">
        <f>AVERAGEIFS('Height Summary'!S$13:S$204,'Height Summary'!$E$13:$E$204, "80-*")</f>
        <v>118.75</v>
      </c>
    </row>
    <row r="17" spans="1:17" x14ac:dyDescent="0.2">
      <c r="B17" s="4" t="s">
        <v>51</v>
      </c>
      <c r="C17" s="4" t="s">
        <v>42</v>
      </c>
      <c r="D17" s="39">
        <f>AVERAGEIFS('Height Summary'!F$13:F$204,'Height Summary'!$E$13:$E$204, "100-60")</f>
        <v>10.666666666666666</v>
      </c>
      <c r="E17" s="39">
        <f>AVERAGEIFS('Height Summary'!G$13:G$204,'Height Summary'!$E$13:$E$204, "100-60")</f>
        <v>15.416666666666666</v>
      </c>
      <c r="F17" s="39">
        <f>AVERAGEIFS('Height Summary'!H$13:H$204,'Height Summary'!$E$13:$E$204, "100-60")</f>
        <v>23</v>
      </c>
      <c r="G17" s="39">
        <f>AVERAGEIFS('Height Summary'!I$13:I$204,'Height Summary'!$E$13:$E$204, "100-60")</f>
        <v>32.583333333333336</v>
      </c>
      <c r="H17" s="39">
        <f>AVERAGEIFS('Height Summary'!J$13:J$204,'Height Summary'!$E$13:$E$204, "100-60")</f>
        <v>40.916666666666664</v>
      </c>
      <c r="I17" s="39">
        <f>AVERAGEIFS('Height Summary'!K$13:K$204,'Height Summary'!$E$13:$E$204, "100-60")</f>
        <v>51.25</v>
      </c>
      <c r="J17" s="39">
        <f>AVERAGEIFS('Height Summary'!L$13:L$204,'Height Summary'!$E$13:$E$204, "100-60")</f>
        <v>63.5</v>
      </c>
      <c r="K17" s="39">
        <f>AVERAGEIFS('Height Summary'!M$13:M$204,'Height Summary'!$E$13:$E$204, "100-60")</f>
        <v>72.75</v>
      </c>
      <c r="L17" s="39">
        <f>AVERAGEIFS('Height Summary'!N$13:N$204,'Height Summary'!$E$13:$E$204, "100-60")</f>
        <v>81.083333333333329</v>
      </c>
      <c r="M17" s="39">
        <f>AVERAGEIFS('Height Summary'!O$13:O$204,'Height Summary'!$E$13:$E$204, "100-60")</f>
        <v>95.25</v>
      </c>
      <c r="N17" s="39">
        <f>AVERAGEIFS('Height Summary'!P$13:P$204,'Height Summary'!$E$13:$E$204, "100-60")</f>
        <v>101.33333333333333</v>
      </c>
      <c r="O17" s="39">
        <f>AVERAGEIFS('Height Summary'!Q$13:Q$204,'Height Summary'!$E$13:$E$204, "100-60")</f>
        <v>105.5</v>
      </c>
      <c r="P17" s="39">
        <f>AVERAGEIFS('Height Summary'!R$13:R$204,'Height Summary'!$E$13:$E$204, "100-60")</f>
        <v>108.83333333333333</v>
      </c>
      <c r="Q17" s="39">
        <f>AVERAGEIFS('Height Summary'!S$13:S$204,'Height Summary'!$E$13:$E$204, "100-60")</f>
        <v>108</v>
      </c>
    </row>
    <row r="18" spans="1:17" x14ac:dyDescent="0.2">
      <c r="C18" s="4" t="s">
        <v>48</v>
      </c>
      <c r="D18" s="39">
        <f>AVERAGEIFS('Height Summary'!F$13:F$204,'Height Summary'!$E$13:$E$204, "100-80")</f>
        <v>11.583333333333334</v>
      </c>
      <c r="E18" s="39">
        <f>AVERAGEIFS('Height Summary'!G$13:G$204,'Height Summary'!$E$13:$E$204, "100-80")</f>
        <v>14.416666666666666</v>
      </c>
      <c r="F18" s="39">
        <f>AVERAGEIFS('Height Summary'!H$13:H$204,'Height Summary'!$E$13:$E$204, "100-80")</f>
        <v>22.333333333333332</v>
      </c>
      <c r="G18" s="39">
        <f>AVERAGEIFS('Height Summary'!I$13:I$204,'Height Summary'!$E$13:$E$204, "100-80")</f>
        <v>30.25</v>
      </c>
      <c r="H18" s="39">
        <f>AVERAGEIFS('Height Summary'!J$13:J$204,'Height Summary'!$E$13:$E$204, "100-80")</f>
        <v>40.5</v>
      </c>
      <c r="I18" s="39">
        <f>AVERAGEIFS('Height Summary'!K$13:K$204,'Height Summary'!$E$13:$E$204, "100-80")</f>
        <v>49.416666666666664</v>
      </c>
      <c r="J18" s="39">
        <f>AVERAGEIFS('Height Summary'!L$13:L$204,'Height Summary'!$E$13:$E$204, "100-80")</f>
        <v>58.916666666666664</v>
      </c>
      <c r="K18" s="39">
        <f>AVERAGEIFS('Height Summary'!M$13:M$204,'Height Summary'!$E$13:$E$204, "100-80")</f>
        <v>70.333333333333329</v>
      </c>
      <c r="L18" s="39">
        <f>AVERAGEIFS('Height Summary'!N$13:N$204,'Height Summary'!$E$13:$E$204, "100-80")</f>
        <v>79.5</v>
      </c>
      <c r="M18" s="39">
        <f>AVERAGEIFS('Height Summary'!O$13:O$204,'Height Summary'!$E$13:$E$204, "100-80")</f>
        <v>91.75</v>
      </c>
      <c r="N18" s="39">
        <f>AVERAGEIFS('Height Summary'!P$13:P$204,'Height Summary'!$E$13:$E$204, "100-80")</f>
        <v>102.16666666666667</v>
      </c>
      <c r="O18" s="39">
        <f>AVERAGEIFS('Height Summary'!Q$13:Q$204,'Height Summary'!$E$13:$E$204, "100-80")</f>
        <v>114.16666666666667</v>
      </c>
      <c r="P18" s="39">
        <f>AVERAGEIFS('Height Summary'!R$13:R$204,'Height Summary'!$E$13:$E$204, "100-80")</f>
        <v>120.08333333333333</v>
      </c>
      <c r="Q18" s="39">
        <f>AVERAGEIFS('Height Summary'!S$13:S$204,'Height Summary'!$E$13:$E$204, "100-80")</f>
        <v>121.25</v>
      </c>
    </row>
    <row r="19" spans="1:17" x14ac:dyDescent="0.2">
      <c r="C19" s="4" t="s">
        <v>46</v>
      </c>
      <c r="D19" s="39">
        <f>AVERAGEIFS('Height Summary'!F$13:F$204,'Height Summary'!$E$13:$E$204, "100-100")</f>
        <v>11.333333333333334</v>
      </c>
      <c r="E19" s="39">
        <f>AVERAGEIFS('Height Summary'!G$13:G$204,'Height Summary'!$E$13:$E$204, "100-100")</f>
        <v>16.916666666666668</v>
      </c>
      <c r="F19" s="39">
        <f>AVERAGEIFS('Height Summary'!H$13:H$204,'Height Summary'!$E$13:$E$204, "100-100")</f>
        <v>24.083333333333332</v>
      </c>
      <c r="G19" s="39">
        <f>AVERAGEIFS('Height Summary'!I$13:I$204,'Height Summary'!$E$13:$E$204, "100-100")</f>
        <v>31.375</v>
      </c>
      <c r="H19" s="39">
        <f>AVERAGEIFS('Height Summary'!J$13:J$204,'Height Summary'!$E$13:$E$204, "100-100")</f>
        <v>42.416666666666664</v>
      </c>
      <c r="I19" s="39">
        <f>AVERAGEIFS('Height Summary'!K$13:K$204,'Height Summary'!$E$13:$E$204, "100-100")</f>
        <v>52.5</v>
      </c>
      <c r="J19" s="39">
        <f>AVERAGEIFS('Height Summary'!L$13:L$204,'Height Summary'!$E$13:$E$204, "100-100")</f>
        <v>65.416666666666671</v>
      </c>
      <c r="K19" s="39">
        <f>AVERAGEIFS('Height Summary'!M$13:M$204,'Height Summary'!$E$13:$E$204, "100-100")</f>
        <v>75.5</v>
      </c>
      <c r="L19" s="39">
        <f>AVERAGEIFS('Height Summary'!N$13:N$204,'Height Summary'!$E$13:$E$204, "100-100")</f>
        <v>84.166666666666671</v>
      </c>
      <c r="M19" s="39">
        <f>AVERAGEIFS('Height Summary'!O$13:O$204,'Height Summary'!$E$13:$E$204, "100-100")</f>
        <v>99.5</v>
      </c>
      <c r="N19" s="39">
        <f>AVERAGEIFS('Height Summary'!P$13:P$204,'Height Summary'!$E$13:$E$204, "100-100")</f>
        <v>111</v>
      </c>
      <c r="O19" s="39">
        <f>AVERAGEIFS('Height Summary'!Q$13:Q$204,'Height Summary'!$E$13:$E$204, "100-100")</f>
        <v>125.66666666666667</v>
      </c>
      <c r="P19" s="39">
        <f>AVERAGEIFS('Height Summary'!R$13:R$204,'Height Summary'!$E$13:$E$204, "100-100")</f>
        <v>134.33333333333334</v>
      </c>
      <c r="Q19" s="39">
        <f>AVERAGEIFS('Height Summary'!S$13:S$204,'Height Summary'!$E$13:$E$204, "100-100")</f>
        <v>150.08333333333334</v>
      </c>
    </row>
    <row r="20" spans="1:17" x14ac:dyDescent="0.2">
      <c r="C20" s="4" t="s">
        <v>34</v>
      </c>
      <c r="D20" s="39">
        <f>AVERAGEIFS('Height Summary'!F$13:F$204,'Height Summary'!$E$13:$E$204, "100-120")</f>
        <v>11.166666666666666</v>
      </c>
      <c r="E20" s="39">
        <f>AVERAGEIFS('Height Summary'!G$13:G$204,'Height Summary'!$E$13:$E$204, "100-120")</f>
        <v>14.75</v>
      </c>
      <c r="F20" s="39">
        <f>AVERAGEIFS('Height Summary'!H$13:H$204,'Height Summary'!$E$13:$E$204, "100-120")</f>
        <v>22.333333333333332</v>
      </c>
      <c r="G20" s="39">
        <f>AVERAGEIFS('Height Summary'!I$13:I$204,'Height Summary'!$E$13:$E$204, "100-120")</f>
        <v>28.75</v>
      </c>
      <c r="H20" s="39">
        <f>AVERAGEIFS('Height Summary'!J$13:J$204,'Height Summary'!$E$13:$E$204, "100-120")</f>
        <v>38.166666666666664</v>
      </c>
      <c r="I20" s="39">
        <f>AVERAGEIFS('Height Summary'!K$13:K$204,'Height Summary'!$E$13:$E$204, "100-120")</f>
        <v>47.25</v>
      </c>
      <c r="J20" s="39">
        <f>AVERAGEIFS('Height Summary'!L$13:L$204,'Height Summary'!$E$13:$E$204, "100-120")</f>
        <v>60.916666666666664</v>
      </c>
      <c r="K20" s="39">
        <f>AVERAGEIFS('Height Summary'!M$13:M$204,'Height Summary'!$E$13:$E$204, "100-120")</f>
        <v>72.666666666666671</v>
      </c>
      <c r="L20" s="39">
        <f>AVERAGEIFS('Height Summary'!N$13:N$204,'Height Summary'!$E$13:$E$204, "100-120")</f>
        <v>81.083333333333329</v>
      </c>
      <c r="M20" s="39">
        <f>AVERAGEIFS('Height Summary'!O$13:O$204,'Height Summary'!$E$13:$E$204, "100-120")</f>
        <v>95.416666666666671</v>
      </c>
      <c r="N20" s="39">
        <f>AVERAGEIFS('Height Summary'!P$13:P$204,'Height Summary'!$E$13:$E$204, "100-120")</f>
        <v>106.5</v>
      </c>
      <c r="O20" s="39">
        <f>AVERAGEIFS('Height Summary'!Q$13:Q$204,'Height Summary'!$E$13:$E$204, "100-120")</f>
        <v>120.41666666666667</v>
      </c>
      <c r="P20" s="39">
        <f>AVERAGEIFS('Height Summary'!R$13:R$204,'Height Summary'!$E$13:$E$204, "100-120")</f>
        <v>132.25</v>
      </c>
      <c r="Q20" s="39">
        <f>AVERAGEIFS('Height Summary'!S$13:S$204,'Height Summary'!$E$13:$E$204, "100-120")</f>
        <v>142.16666666666666</v>
      </c>
    </row>
    <row r="21" spans="1:17" x14ac:dyDescent="0.2">
      <c r="C21" s="4"/>
      <c r="D21" s="51">
        <f>AVERAGEIFS('Height Summary'!F$13:F$204,'Height Summary'!$E$13:$E$204, "100-*")</f>
        <v>11.1875</v>
      </c>
      <c r="E21" s="51">
        <f>AVERAGEIFS('Height Summary'!G$13:G$204,'Height Summary'!$E$13:$E$204, "100-*")</f>
        <v>15.375</v>
      </c>
      <c r="F21" s="51">
        <f>AVERAGEIFS('Height Summary'!H$13:H$204,'Height Summary'!$E$13:$E$204, "100-*")</f>
        <v>22.9375</v>
      </c>
      <c r="G21" s="51">
        <f>AVERAGEIFS('Height Summary'!I$13:I$204,'Height Summary'!$E$13:$E$204, "100-*")</f>
        <v>30.739583333333332</v>
      </c>
      <c r="H21" s="51">
        <f>AVERAGEIFS('Height Summary'!J$13:J$204,'Height Summary'!$E$13:$E$204, "100-*")</f>
        <v>40.5</v>
      </c>
      <c r="I21" s="51">
        <f>AVERAGEIFS('Height Summary'!K$13:K$204,'Height Summary'!$E$13:$E$204, "100-*")</f>
        <v>50.104166666666664</v>
      </c>
      <c r="J21" s="51">
        <f>AVERAGEIFS('Height Summary'!L$13:L$204,'Height Summary'!$E$13:$E$204, "100-*")</f>
        <v>62.1875</v>
      </c>
      <c r="K21" s="51">
        <f>AVERAGEIFS('Height Summary'!M$13:M$204,'Height Summary'!$E$13:$E$204, "100-*")</f>
        <v>72.8125</v>
      </c>
      <c r="L21" s="51">
        <f>AVERAGEIFS('Height Summary'!N$13:N$204,'Height Summary'!$E$13:$E$204, "100-*")</f>
        <v>81.458333333333329</v>
      </c>
      <c r="M21" s="51">
        <f>AVERAGEIFS('Height Summary'!O$13:O$204,'Height Summary'!$E$13:$E$204, "100-*")</f>
        <v>95.479166666666671</v>
      </c>
      <c r="N21" s="51">
        <f>AVERAGEIFS('Height Summary'!P$13:P$204,'Height Summary'!$E$13:$E$204, "100-*")</f>
        <v>105.25</v>
      </c>
      <c r="O21" s="51">
        <f>AVERAGEIFS('Height Summary'!Q$13:Q$204,'Height Summary'!$E$13:$E$204, "100-*")</f>
        <v>116.4375</v>
      </c>
      <c r="P21" s="51">
        <f>AVERAGEIFS('Height Summary'!R$13:R$204,'Height Summary'!$E$13:$E$204, "100-*")</f>
        <v>123.875</v>
      </c>
      <c r="Q21" s="51">
        <f>AVERAGEIFS('Height Summary'!S$13:S$204,'Height Summary'!$E$13:$E$204, "100-*")</f>
        <v>130.375</v>
      </c>
    </row>
    <row r="22" spans="1:17" x14ac:dyDescent="0.2">
      <c r="B22" s="4" t="s">
        <v>52</v>
      </c>
      <c r="C22" s="4" t="s">
        <v>38</v>
      </c>
      <c r="D22" s="39">
        <f>AVERAGEIFS('Height Summary'!F$13:F$204,'Height Summary'!$E$13:$E$204, "120-60")</f>
        <v>10.833333333333334</v>
      </c>
      <c r="E22" s="39">
        <f>AVERAGEIFS('Height Summary'!G$13:G$204,'Height Summary'!$E$13:$E$204, "120-60")</f>
        <v>15.166666666666666</v>
      </c>
      <c r="F22" s="39">
        <f>AVERAGEIFS('Height Summary'!H$13:H$204,'Height Summary'!$E$13:$E$204, "120-60")</f>
        <v>22.166666666666668</v>
      </c>
      <c r="G22" s="39">
        <f>AVERAGEIFS('Height Summary'!I$13:I$204,'Height Summary'!$E$13:$E$204, "120-60")</f>
        <v>29.375</v>
      </c>
      <c r="H22" s="39">
        <f>AVERAGEIFS('Height Summary'!J$13:J$204,'Height Summary'!$E$13:$E$204, "120-60")</f>
        <v>40.75</v>
      </c>
      <c r="I22" s="39">
        <f>AVERAGEIFS('Height Summary'!K$13:K$204,'Height Summary'!$E$13:$E$204, "120-60")</f>
        <v>50.583333333333336</v>
      </c>
      <c r="J22" s="39">
        <f>AVERAGEIFS('Height Summary'!L$13:L$204,'Height Summary'!$E$13:$E$204, "120-60")</f>
        <v>63.5</v>
      </c>
      <c r="K22" s="39">
        <f>AVERAGEIFS('Height Summary'!M$13:M$204,'Height Summary'!$E$13:$E$204, "120-60")</f>
        <v>75.416666666666671</v>
      </c>
      <c r="L22" s="39">
        <f>AVERAGEIFS('Height Summary'!N$13:N$204,'Height Summary'!$E$13:$E$204, "120-60")</f>
        <v>87.416666666666671</v>
      </c>
      <c r="M22" s="39">
        <f>AVERAGEIFS('Height Summary'!O$13:O$204,'Height Summary'!$E$13:$E$204, "120-60")</f>
        <v>100.75</v>
      </c>
      <c r="N22" s="39">
        <f>AVERAGEIFS('Height Summary'!P$13:P$204,'Height Summary'!$E$13:$E$204, "120-60")</f>
        <v>109.58333333333333</v>
      </c>
      <c r="O22" s="39">
        <f>AVERAGEIFS('Height Summary'!Q$13:Q$204,'Height Summary'!$E$13:$E$204, "120-60")</f>
        <v>115.33333333333333</v>
      </c>
      <c r="P22" s="39">
        <f>AVERAGEIFS('Height Summary'!R$13:R$204,'Height Summary'!$E$13:$E$204, "120-60")</f>
        <v>119.33333333333333</v>
      </c>
      <c r="Q22" s="39">
        <f>AVERAGEIFS('Height Summary'!S$13:S$204,'Height Summary'!$E$13:$E$204, "120-60")</f>
        <v>120</v>
      </c>
    </row>
    <row r="23" spans="1:17" x14ac:dyDescent="0.2">
      <c r="B23" s="39"/>
      <c r="C23" s="4" t="s">
        <v>47</v>
      </c>
      <c r="D23" s="39">
        <f>AVERAGEIFS('Height Summary'!F$13:F$204,'Height Summary'!$E$13:$E$204, "120-80")</f>
        <v>11.083333333333334</v>
      </c>
      <c r="E23" s="39">
        <f>AVERAGEIFS('Height Summary'!G$13:G$204,'Height Summary'!$E$13:$E$204, "120-80")</f>
        <v>15.666666666666666</v>
      </c>
      <c r="F23" s="39">
        <f>AVERAGEIFS('Height Summary'!H$13:H$204,'Height Summary'!$E$13:$E$204, "120-80")</f>
        <v>22.833333333333332</v>
      </c>
      <c r="G23" s="39">
        <f>AVERAGEIFS('Height Summary'!I$13:I$204,'Height Summary'!$E$13:$E$204, "120-80")</f>
        <v>33.625</v>
      </c>
      <c r="H23" s="39">
        <f>AVERAGEIFS('Height Summary'!J$13:J$204,'Height Summary'!$E$13:$E$204, "120-80")</f>
        <v>43.083333333333336</v>
      </c>
      <c r="I23" s="39">
        <f>AVERAGEIFS('Height Summary'!K$13:K$204,'Height Summary'!$E$13:$E$204, "120-80")</f>
        <v>55.166666666666664</v>
      </c>
      <c r="J23" s="39">
        <f>AVERAGEIFS('Height Summary'!L$13:L$204,'Height Summary'!$E$13:$E$204, "120-80")</f>
        <v>70.666666666666671</v>
      </c>
      <c r="K23" s="39">
        <f>AVERAGEIFS('Height Summary'!M$13:M$204,'Height Summary'!$E$13:$E$204, "120-80")</f>
        <v>83.833333333333329</v>
      </c>
      <c r="L23" s="39">
        <f>AVERAGEIFS('Height Summary'!N$13:N$204,'Height Summary'!$E$13:$E$204, "120-80")</f>
        <v>95.833333333333329</v>
      </c>
      <c r="M23" s="39">
        <f>AVERAGEIFS('Height Summary'!O$13:O$204,'Height Summary'!$E$13:$E$204, "120-80")</f>
        <v>114.75</v>
      </c>
      <c r="N23" s="39">
        <f>AVERAGEIFS('Height Summary'!P$13:P$204,'Height Summary'!$E$13:$E$204, "120-80")</f>
        <v>118.91666666666667</v>
      </c>
      <c r="O23" s="39">
        <f>AVERAGEIFS('Height Summary'!Q$13:Q$204,'Height Summary'!$E$13:$E$204, "120-80")</f>
        <v>128.5</v>
      </c>
      <c r="P23" s="39">
        <f>AVERAGEIFS('Height Summary'!R$13:R$204,'Height Summary'!$E$13:$E$204, "120-80")</f>
        <v>136.16666666666666</v>
      </c>
      <c r="Q23" s="39">
        <f>AVERAGEIFS('Height Summary'!S$13:S$204,'Height Summary'!$E$13:$E$204, "120-80")</f>
        <v>139.66666666666666</v>
      </c>
    </row>
    <row r="24" spans="1:17" x14ac:dyDescent="0.2">
      <c r="B24" s="39"/>
      <c r="C24" s="4" t="s">
        <v>43</v>
      </c>
      <c r="D24" s="39">
        <f>AVERAGEIFS('Height Summary'!F$13:F$204,'Height Summary'!$E$13:$E$204, "120-100")</f>
        <v>10.333333333333334</v>
      </c>
      <c r="E24" s="39">
        <f>AVERAGEIFS('Height Summary'!G$13:G$204,'Height Summary'!$E$13:$E$204, "120-100")</f>
        <v>14.166666666666666</v>
      </c>
      <c r="F24" s="39">
        <f>AVERAGEIFS('Height Summary'!H$13:H$204,'Height Summary'!$E$13:$E$204, "120-100")</f>
        <v>21.75</v>
      </c>
      <c r="G24" s="39">
        <f>AVERAGEIFS('Height Summary'!I$13:I$204,'Height Summary'!$E$13:$E$204, "120-100")</f>
        <v>31.166666666666668</v>
      </c>
      <c r="H24" s="39">
        <f>AVERAGEIFS('Height Summary'!J$13:J$204,'Height Summary'!$E$13:$E$204, "120-100")</f>
        <v>41.416666666666664</v>
      </c>
      <c r="I24" s="39">
        <f>AVERAGEIFS('Height Summary'!K$13:K$204,'Height Summary'!$E$13:$E$204, "120-100")</f>
        <v>55.25</v>
      </c>
      <c r="J24" s="39">
        <f>AVERAGEIFS('Height Summary'!L$13:L$204,'Height Summary'!$E$13:$E$204, "120-100")</f>
        <v>67.5</v>
      </c>
      <c r="K24" s="39">
        <f>AVERAGEIFS('Height Summary'!M$13:M$204,'Height Summary'!$E$13:$E$204, "120-100")</f>
        <v>81</v>
      </c>
      <c r="L24" s="39">
        <f>AVERAGEIFS('Height Summary'!N$13:N$204,'Height Summary'!$E$13:$E$204, "120-100")</f>
        <v>93.166666666666671</v>
      </c>
      <c r="M24" s="39">
        <f>AVERAGEIFS('Height Summary'!O$13:O$204,'Height Summary'!$E$13:$E$204, "120-100")</f>
        <v>108.25</v>
      </c>
      <c r="N24" s="39">
        <f>AVERAGEIFS('Height Summary'!P$13:P$204,'Height Summary'!$E$13:$E$204, "120-100")</f>
        <v>118.41666666666667</v>
      </c>
      <c r="O24" s="39">
        <f>AVERAGEIFS('Height Summary'!Q$13:Q$204,'Height Summary'!$E$13:$E$204, "120-100")</f>
        <v>132.5</v>
      </c>
      <c r="P24" s="39">
        <f>AVERAGEIFS('Height Summary'!R$13:R$204,'Height Summary'!$E$13:$E$204, "120-100")</f>
        <v>140.66666666666666</v>
      </c>
      <c r="Q24" s="39">
        <f>AVERAGEIFS('Height Summary'!S$13:S$204,'Height Summary'!$E$13:$E$204, "120-100")</f>
        <v>150.33333333333334</v>
      </c>
    </row>
    <row r="25" spans="1:17" ht="15.75" x14ac:dyDescent="0.25">
      <c r="A25" s="6"/>
      <c r="C25" s="4" t="s">
        <v>40</v>
      </c>
      <c r="D25" s="39">
        <f>AVERAGEIFS('Height Summary'!F$13:F$204,'Height Summary'!$E$13:$E$204, "120-120")</f>
        <v>11.25</v>
      </c>
      <c r="E25" s="39">
        <f>AVERAGEIFS('Height Summary'!G$13:G$204,'Height Summary'!$E$13:$E$204, "120-120")</f>
        <v>15.166666666666666</v>
      </c>
      <c r="F25" s="39">
        <f>AVERAGEIFS('Height Summary'!H$13:H$204,'Height Summary'!$E$13:$E$204, "120-120")</f>
        <v>22.583333333333332</v>
      </c>
      <c r="G25" s="39">
        <f>AVERAGEIFS('Height Summary'!I$13:I$204,'Height Summary'!$E$13:$E$204, "120-120")</f>
        <v>28.5</v>
      </c>
      <c r="H25" s="39">
        <f>AVERAGEIFS('Height Summary'!J$13:J$204,'Height Summary'!$E$13:$E$204, "120-120")</f>
        <v>40.083333333333336</v>
      </c>
      <c r="I25" s="39">
        <f>AVERAGEIFS('Height Summary'!K$13:K$204,'Height Summary'!$E$13:$E$204, "120-120")</f>
        <v>51.5</v>
      </c>
      <c r="J25" s="39">
        <f>AVERAGEIFS('Height Summary'!L$13:L$204,'Height Summary'!$E$13:$E$204, "120-120")</f>
        <v>66.916666666666671</v>
      </c>
      <c r="K25" s="39">
        <f>AVERAGEIFS('Height Summary'!M$13:M$204,'Height Summary'!$E$13:$E$204, "120-120")</f>
        <v>78.5</v>
      </c>
      <c r="L25" s="39">
        <f>AVERAGEIFS('Height Summary'!N$13:N$204,'Height Summary'!$E$13:$E$204, "120-120")</f>
        <v>88.416666666666671</v>
      </c>
      <c r="M25" s="39">
        <f>AVERAGEIFS('Height Summary'!O$13:O$204,'Height Summary'!$E$13:$E$204, "120-120")</f>
        <v>104</v>
      </c>
      <c r="N25" s="39">
        <f>AVERAGEIFS('Height Summary'!P$13:P$204,'Height Summary'!$E$13:$E$204, "120-120")</f>
        <v>116.08333333333333</v>
      </c>
      <c r="O25" s="39">
        <f>AVERAGEIFS('Height Summary'!Q$13:Q$204,'Height Summary'!$E$13:$E$204, "120-120")</f>
        <v>132.16666666666666</v>
      </c>
      <c r="P25" s="39">
        <f>AVERAGEIFS('Height Summary'!R$13:R$204,'Height Summary'!$E$13:$E$204, "120-120")</f>
        <v>144.58333333333334</v>
      </c>
      <c r="Q25" s="39">
        <f>AVERAGEIFS('Height Summary'!S$13:S$204,'Height Summary'!$E$13:$E$204, "120-120")</f>
        <v>153.66666666666666</v>
      </c>
    </row>
    <row r="26" spans="1:17" x14ac:dyDescent="0.2">
      <c r="D26" s="51">
        <f>AVERAGEIFS('Height Summary'!F$13:F$204,'Height Summary'!$E$13:$E$204, "120-*")</f>
        <v>10.875</v>
      </c>
      <c r="E26" s="51">
        <f>AVERAGEIFS('Height Summary'!G$13:G$204,'Height Summary'!$E$13:$E$204, "120-*")</f>
        <v>15.041666666666666</v>
      </c>
      <c r="F26" s="51">
        <f>AVERAGEIFS('Height Summary'!H$13:H$204,'Height Summary'!$E$13:$E$204, "120-*")</f>
        <v>22.333333333333332</v>
      </c>
      <c r="G26" s="51">
        <f>AVERAGEIFS('Height Summary'!I$13:I$204,'Height Summary'!$E$13:$E$204, "120-*")</f>
        <v>30.666666666666668</v>
      </c>
      <c r="H26" s="51">
        <f>AVERAGEIFS('Height Summary'!J$13:J$204,'Height Summary'!$E$13:$E$204, "120-*")</f>
        <v>41.333333333333336</v>
      </c>
      <c r="I26" s="51">
        <f>AVERAGEIFS('Height Summary'!K$13:K$204,'Height Summary'!$E$13:$E$204, "120-*")</f>
        <v>53.125</v>
      </c>
      <c r="J26" s="51">
        <f>AVERAGEIFS('Height Summary'!L$13:L$204,'Height Summary'!$E$13:$E$204, "120-*")</f>
        <v>67.145833333333329</v>
      </c>
      <c r="K26" s="51">
        <f>AVERAGEIFS('Height Summary'!M$13:M$204,'Height Summary'!$E$13:$E$204, "120-*")</f>
        <v>79.6875</v>
      </c>
      <c r="L26" s="51">
        <f>AVERAGEIFS('Height Summary'!N$13:N$204,'Height Summary'!$E$13:$E$204, "120-*")</f>
        <v>91.208333333333329</v>
      </c>
      <c r="M26" s="51">
        <f>AVERAGEIFS('Height Summary'!O$13:O$204,'Height Summary'!$E$13:$E$204, "120-*")</f>
        <v>106.9375</v>
      </c>
      <c r="N26" s="51">
        <f>AVERAGEIFS('Height Summary'!P$13:P$204,'Height Summary'!$E$13:$E$204, "120-*")</f>
        <v>115.75</v>
      </c>
      <c r="O26" s="51">
        <f>AVERAGEIFS('Height Summary'!Q$13:Q$204,'Height Summary'!$E$13:$E$204, "120-*")</f>
        <v>127.125</v>
      </c>
      <c r="P26" s="51">
        <f>AVERAGEIFS('Height Summary'!R$13:R$204,'Height Summary'!$E$13:$E$204, "120-*")</f>
        <v>135.1875</v>
      </c>
      <c r="Q26" s="51">
        <f>AVERAGEIFS('Height Summary'!S$13:S$204,'Height Summary'!$E$13:$E$204, "120-*")</f>
        <v>140.91666666666666</v>
      </c>
    </row>
    <row r="27" spans="1:17" x14ac:dyDescent="0.2">
      <c r="B27" s="3"/>
      <c r="C27" s="39"/>
      <c r="D27" s="39"/>
    </row>
    <row r="28" spans="1:17" x14ac:dyDescent="0.2">
      <c r="C28" s="39"/>
      <c r="D28" s="39"/>
      <c r="M28" s="79" t="s">
        <v>85</v>
      </c>
      <c r="N28" s="80"/>
    </row>
    <row r="29" spans="1:17" ht="18.75" x14ac:dyDescent="0.3">
      <c r="D29" s="53" t="s">
        <v>55</v>
      </c>
      <c r="M29" s="79"/>
      <c r="N29" s="80"/>
    </row>
    <row r="30" spans="1:17" x14ac:dyDescent="0.2">
      <c r="M30" s="79"/>
      <c r="N30" s="80"/>
    </row>
    <row r="31" spans="1:17" s="67" customFormat="1" ht="12" x14ac:dyDescent="0.2">
      <c r="C31" s="69" t="s">
        <v>60</v>
      </c>
      <c r="D31" s="70">
        <f>'Cover Summary'!F9</f>
        <v>42879</v>
      </c>
      <c r="E31" s="70">
        <f>'Cover Summary'!G9</f>
        <v>42886</v>
      </c>
      <c r="F31" s="70">
        <f>'Cover Summary'!H9</f>
        <v>42891</v>
      </c>
      <c r="G31" s="70">
        <f>'Cover Summary'!I9</f>
        <v>42898</v>
      </c>
      <c r="H31" s="70">
        <f>'Cover Summary'!J9</f>
        <v>42905</v>
      </c>
      <c r="I31" s="70">
        <f>'Cover Summary'!K9</f>
        <v>42912</v>
      </c>
      <c r="J31" s="70">
        <f>'Cover Summary'!L9</f>
        <v>42919</v>
      </c>
      <c r="K31" s="70">
        <f>'Cover Summary'!M9</f>
        <v>42926</v>
      </c>
      <c r="L31" s="70">
        <f>'Cover Summary'!N9</f>
        <v>42933</v>
      </c>
      <c r="M31" s="70">
        <f>'Cover Summary'!O9</f>
        <v>42941</v>
      </c>
      <c r="N31" s="70">
        <f>'Cover Summary'!P9</f>
        <v>42947</v>
      </c>
      <c r="O31" s="70">
        <f>'Cover Summary'!Q9</f>
        <v>42955</v>
      </c>
      <c r="P31" s="70">
        <f>'Cover Summary'!R9</f>
        <v>42962</v>
      </c>
      <c r="Q31" s="70">
        <f>'Cover Summary'!S9</f>
        <v>42968</v>
      </c>
    </row>
    <row r="32" spans="1:17" s="67" customFormat="1" ht="12" x14ac:dyDescent="0.2">
      <c r="C32" s="69" t="s">
        <v>62</v>
      </c>
      <c r="D32" s="71">
        <f>'Cover Summary'!F10</f>
        <v>144</v>
      </c>
      <c r="E32" s="71">
        <f>'Cover Summary'!G10</f>
        <v>151</v>
      </c>
      <c r="F32" s="71">
        <f>'Cover Summary'!H10</f>
        <v>156</v>
      </c>
      <c r="G32" s="71">
        <f>'Cover Summary'!I10</f>
        <v>163</v>
      </c>
      <c r="H32" s="71">
        <f>'Cover Summary'!J10</f>
        <v>170</v>
      </c>
      <c r="I32" s="71">
        <f>'Cover Summary'!K10</f>
        <v>177</v>
      </c>
      <c r="J32" s="71">
        <f>'Cover Summary'!L10</f>
        <v>184</v>
      </c>
      <c r="K32" s="71">
        <f>'Cover Summary'!M10</f>
        <v>191</v>
      </c>
      <c r="L32" s="71">
        <f>'Cover Summary'!N10</f>
        <v>198</v>
      </c>
      <c r="M32" s="71">
        <f>'Cover Summary'!O10</f>
        <v>206</v>
      </c>
      <c r="N32" s="71">
        <f>'Cover Summary'!P10</f>
        <v>212</v>
      </c>
      <c r="O32" s="71">
        <f>'Cover Summary'!Q10</f>
        <v>220</v>
      </c>
      <c r="P32" s="71">
        <f>'Cover Summary'!R10</f>
        <v>227</v>
      </c>
      <c r="Q32" s="71">
        <f>'Cover Summary'!S10</f>
        <v>233</v>
      </c>
    </row>
    <row r="33" spans="2:17" x14ac:dyDescent="0.2">
      <c r="B33" s="4" t="s">
        <v>49</v>
      </c>
      <c r="C33" s="4" t="s">
        <v>37</v>
      </c>
      <c r="D33" s="39">
        <f>AVERAGEIFS('Cover Summary'!F$13:F$204,'Cover Summary'!$E$13:$E$204, "60-60")</f>
        <v>9.25</v>
      </c>
      <c r="E33" s="39">
        <f>AVERAGEIFS('Cover Summary'!G$13:G$204,'Cover Summary'!$E$13:$E$204, "60-60")</f>
        <v>15.833333333333334</v>
      </c>
      <c r="F33" s="39">
        <f>AVERAGEIFS('Cover Summary'!H$13:H$204,'Cover Summary'!$E$13:$E$204, "60-60")</f>
        <v>20.25</v>
      </c>
      <c r="G33" s="39">
        <f>AVERAGEIFS('Cover Summary'!I$13:I$204,'Cover Summary'!$E$13:$E$204, "60-60")</f>
        <v>27.208333333333332</v>
      </c>
      <c r="H33" s="39">
        <f>AVERAGEIFS('Cover Summary'!J$13:J$204,'Cover Summary'!$E$13:$E$204, "60-60")</f>
        <v>30.916666666666668</v>
      </c>
      <c r="I33" s="39">
        <f>AVERAGEIFS('Cover Summary'!K$13:K$204,'Cover Summary'!$E$13:$E$204, "60-60")</f>
        <v>35.166666666666664</v>
      </c>
      <c r="J33" s="39">
        <f>AVERAGEIFS('Cover Summary'!L$13:L$204,'Cover Summary'!$E$13:$E$204, "60-60")</f>
        <v>41.416666666666664</v>
      </c>
      <c r="K33" s="39">
        <f>AVERAGEIFS('Cover Summary'!M$13:M$204,'Cover Summary'!$E$13:$E$204, "60-60")</f>
        <v>42.416666666666664</v>
      </c>
      <c r="L33" s="39">
        <f>AVERAGEIFS('Cover Summary'!N$13:N$204,'Cover Summary'!$E$13:$E$204, "60-60")</f>
        <v>53.333333333333336</v>
      </c>
      <c r="M33" s="39">
        <f>AVERAGEIFS('Cover Summary'!O$13:O$204,'Cover Summary'!$E$13:$E$204, "60-60")</f>
        <v>52.166666666666664</v>
      </c>
      <c r="N33" s="39">
        <f>AVERAGEIFS('Cover Summary'!P$13:P$204,'Cover Summary'!$E$13:$E$204, "60-60")</f>
        <v>59.833333333333336</v>
      </c>
      <c r="O33" s="39">
        <f>AVERAGEIFS('Cover Summary'!Q$13:Q$204,'Cover Summary'!$E$13:$E$204, "60-60")</f>
        <v>63.583333333333336</v>
      </c>
      <c r="P33" s="39">
        <f>AVERAGEIFS('Cover Summary'!R$13:R$204,'Cover Summary'!$E$13:$E$204, "60-60")</f>
        <v>71.5</v>
      </c>
      <c r="Q33" s="39">
        <f>AVERAGEIFS('Cover Summary'!S$13:S$204,'Cover Summary'!$E$13:$E$204, "60-60")</f>
        <v>73.083333333333329</v>
      </c>
    </row>
    <row r="34" spans="2:17" x14ac:dyDescent="0.2">
      <c r="C34" s="4" t="s">
        <v>35</v>
      </c>
      <c r="D34" s="39">
        <f>AVERAGEIFS('Cover Summary'!F$13:F$204,'Cover Summary'!$E$13:$E$204, "60-80")</f>
        <v>9.1666666666666661</v>
      </c>
      <c r="E34" s="39">
        <f>AVERAGEIFS('Cover Summary'!G$13:G$204,'Cover Summary'!$E$13:$E$204, "60-80")</f>
        <v>15.916666666666666</v>
      </c>
      <c r="F34" s="39">
        <f>AVERAGEIFS('Cover Summary'!H$13:H$204,'Cover Summary'!$E$13:$E$204, "60-80")</f>
        <v>20.25</v>
      </c>
      <c r="G34" s="39">
        <f>AVERAGEIFS('Cover Summary'!I$13:I$204,'Cover Summary'!$E$13:$E$204, "60-80")</f>
        <v>27.833333333333332</v>
      </c>
      <c r="H34" s="39">
        <f>AVERAGEIFS('Cover Summary'!J$13:J$204,'Cover Summary'!$E$13:$E$204, "60-80")</f>
        <v>31.083333333333332</v>
      </c>
      <c r="I34" s="39">
        <f>AVERAGEIFS('Cover Summary'!K$13:K$204,'Cover Summary'!$E$13:$E$204, "60-80")</f>
        <v>35.833333333333336</v>
      </c>
      <c r="J34" s="39">
        <f>AVERAGEIFS('Cover Summary'!L$13:L$204,'Cover Summary'!$E$13:$E$204, "60-80")</f>
        <v>37.5</v>
      </c>
      <c r="K34" s="39">
        <f>AVERAGEIFS('Cover Summary'!M$13:M$204,'Cover Summary'!$E$13:$E$204, "60-80")</f>
        <v>40.333333333333336</v>
      </c>
      <c r="L34" s="39">
        <f>AVERAGEIFS('Cover Summary'!N$13:N$204,'Cover Summary'!$E$13:$E$204, "60-80")</f>
        <v>42.416666666666664</v>
      </c>
      <c r="M34" s="39">
        <f>AVERAGEIFS('Cover Summary'!O$13:O$204,'Cover Summary'!$E$13:$E$204, "60-80")</f>
        <v>44.75</v>
      </c>
      <c r="N34" s="39">
        <f>AVERAGEIFS('Cover Summary'!P$13:P$204,'Cover Summary'!$E$13:$E$204, "60-80")</f>
        <v>57.416666666666664</v>
      </c>
      <c r="O34" s="39">
        <f>AVERAGEIFS('Cover Summary'!Q$13:Q$204,'Cover Summary'!$E$13:$E$204, "60-80")</f>
        <v>68.166666666666671</v>
      </c>
      <c r="P34" s="39">
        <f>AVERAGEIFS('Cover Summary'!R$13:R$204,'Cover Summary'!$E$13:$E$204, "60-80")</f>
        <v>78.25</v>
      </c>
      <c r="Q34" s="39">
        <f>AVERAGEIFS('Cover Summary'!S$13:S$204,'Cover Summary'!$E$13:$E$204, "60-80")</f>
        <v>80.333333333333329</v>
      </c>
    </row>
    <row r="35" spans="2:17" x14ac:dyDescent="0.2">
      <c r="C35" s="4" t="s">
        <v>41</v>
      </c>
      <c r="D35" s="39">
        <f>AVERAGEIFS('Cover Summary'!F$13:F$204,'Cover Summary'!$E$13:$E$204, "60-100")</f>
        <v>9.25</v>
      </c>
      <c r="E35" s="39">
        <f>AVERAGEIFS('Cover Summary'!G$13:G$204,'Cover Summary'!$E$13:$E$204, "60-100")</f>
        <v>15.166666666666666</v>
      </c>
      <c r="F35" s="39">
        <f>AVERAGEIFS('Cover Summary'!H$13:H$204,'Cover Summary'!$E$13:$E$204, "60-100")</f>
        <v>19.166666666666668</v>
      </c>
      <c r="G35" s="39">
        <f>AVERAGEIFS('Cover Summary'!I$13:I$204,'Cover Summary'!$E$13:$E$204, "60-100")</f>
        <v>27.083333333333332</v>
      </c>
      <c r="H35" s="39">
        <f>AVERAGEIFS('Cover Summary'!J$13:J$204,'Cover Summary'!$E$13:$E$204, "60-100")</f>
        <v>30.916666666666668</v>
      </c>
      <c r="I35" s="39">
        <f>AVERAGEIFS('Cover Summary'!K$13:K$204,'Cover Summary'!$E$13:$E$204, "60-100")</f>
        <v>35.083333333333336</v>
      </c>
      <c r="J35" s="39">
        <f>AVERAGEIFS('Cover Summary'!L$13:L$204,'Cover Summary'!$E$13:$E$204, "60-100")</f>
        <v>38.083333333333336</v>
      </c>
      <c r="K35" s="39">
        <f>AVERAGEIFS('Cover Summary'!M$13:M$204,'Cover Summary'!$E$13:$E$204, "60-100")</f>
        <v>40</v>
      </c>
      <c r="L35" s="39">
        <f>AVERAGEIFS('Cover Summary'!N$13:N$204,'Cover Summary'!$E$13:$E$204, "60-100")</f>
        <v>41</v>
      </c>
      <c r="M35" s="39">
        <f>AVERAGEIFS('Cover Summary'!O$13:O$204,'Cover Summary'!$E$13:$E$204, "60-100")</f>
        <v>51.333333333333336</v>
      </c>
      <c r="N35" s="39">
        <f>AVERAGEIFS('Cover Summary'!P$13:P$204,'Cover Summary'!$E$13:$E$204, "60-100")</f>
        <v>63.583333333333336</v>
      </c>
      <c r="O35" s="39">
        <f>AVERAGEIFS('Cover Summary'!Q$13:Q$204,'Cover Summary'!$E$13:$E$204, "60-100")</f>
        <v>78.25</v>
      </c>
      <c r="P35" s="39">
        <f>AVERAGEIFS('Cover Summary'!R$13:R$204,'Cover Summary'!$E$13:$E$204, "60-100")</f>
        <v>87.666666666666671</v>
      </c>
      <c r="Q35" s="39">
        <f>AVERAGEIFS('Cover Summary'!S$13:S$204,'Cover Summary'!$E$13:$E$204, "60-100")</f>
        <v>94.916666666666671</v>
      </c>
    </row>
    <row r="36" spans="2:17" x14ac:dyDescent="0.2">
      <c r="C36" s="4" t="s">
        <v>39</v>
      </c>
      <c r="D36" s="39">
        <f>AVERAGEIFS('Cover Summary'!F$13:F$204,'Cover Summary'!$E$13:$E$204, "60-120")</f>
        <v>9</v>
      </c>
      <c r="E36" s="39">
        <f>AVERAGEIFS('Cover Summary'!G$13:G$204,'Cover Summary'!$E$13:$E$204, "60-120")</f>
        <v>16.083333333333332</v>
      </c>
      <c r="F36" s="39">
        <f>AVERAGEIFS('Cover Summary'!H$13:H$204,'Cover Summary'!$E$13:$E$204, "60-120")</f>
        <v>21</v>
      </c>
      <c r="G36" s="39">
        <f>AVERAGEIFS('Cover Summary'!I$13:I$204,'Cover Summary'!$E$13:$E$204, "60-120")</f>
        <v>28.708333333333332</v>
      </c>
      <c r="H36" s="39">
        <f>AVERAGEIFS('Cover Summary'!J$13:J$204,'Cover Summary'!$E$13:$E$204, "60-120")</f>
        <v>30.666666666666668</v>
      </c>
      <c r="I36" s="39">
        <f>AVERAGEIFS('Cover Summary'!K$13:K$204,'Cover Summary'!$E$13:$E$204, "60-120")</f>
        <v>36</v>
      </c>
      <c r="J36" s="39">
        <f>AVERAGEIFS('Cover Summary'!L$13:L$204,'Cover Summary'!$E$13:$E$204, "60-120")</f>
        <v>39.666666666666664</v>
      </c>
      <c r="K36" s="39">
        <f>AVERAGEIFS('Cover Summary'!M$13:M$204,'Cover Summary'!$E$13:$E$204, "60-120")</f>
        <v>44.333333333333336</v>
      </c>
      <c r="L36" s="39">
        <f>AVERAGEIFS('Cover Summary'!N$13:N$204,'Cover Summary'!$E$13:$E$204, "60-120")</f>
        <v>43.75</v>
      </c>
      <c r="M36" s="39">
        <f>AVERAGEIFS('Cover Summary'!O$13:O$204,'Cover Summary'!$E$13:$E$204, "60-120")</f>
        <v>56.833333333333336</v>
      </c>
      <c r="N36" s="39">
        <f>AVERAGEIFS('Cover Summary'!P$13:P$204,'Cover Summary'!$E$13:$E$204, "60-120")</f>
        <v>66.666666666666671</v>
      </c>
      <c r="O36" s="39">
        <f>AVERAGEIFS('Cover Summary'!Q$13:Q$204,'Cover Summary'!$E$13:$E$204, "60-120")</f>
        <v>86.583333333333329</v>
      </c>
      <c r="P36" s="39">
        <f>AVERAGEIFS('Cover Summary'!R$13:R$204,'Cover Summary'!$E$13:$E$204, "60-120")</f>
        <v>95.166666666666671</v>
      </c>
      <c r="Q36" s="39">
        <f>AVERAGEIFS('Cover Summary'!S$13:S$204,'Cover Summary'!$E$13:$E$204, "60-120")</f>
        <v>100.91666666666667</v>
      </c>
    </row>
    <row r="37" spans="2:17" x14ac:dyDescent="0.2">
      <c r="C37" s="4"/>
      <c r="D37" s="51">
        <f>AVERAGEIFS('Cover Summary'!F$13:F$204,'Cover Summary'!$E$13:$E$204, "60-*")</f>
        <v>9.1666666666666661</v>
      </c>
      <c r="E37" s="51">
        <f>AVERAGEIFS('Cover Summary'!G$13:G$204,'Cover Summary'!$E$13:$E$204, "60-*")</f>
        <v>15.75</v>
      </c>
      <c r="F37" s="51">
        <f>AVERAGEIFS('Cover Summary'!H$13:H$204,'Cover Summary'!$E$13:$E$204, "60-*")</f>
        <v>20.166666666666668</v>
      </c>
      <c r="G37" s="51">
        <f>AVERAGEIFS('Cover Summary'!I$13:I$204,'Cover Summary'!$E$13:$E$204, "60-*")</f>
        <v>27.708333333333332</v>
      </c>
      <c r="H37" s="51">
        <f>AVERAGEIFS('Cover Summary'!J$13:J$204,'Cover Summary'!$E$13:$E$204, "60-*")</f>
        <v>30.895833333333332</v>
      </c>
      <c r="I37" s="51">
        <f>AVERAGEIFS('Cover Summary'!K$13:K$204,'Cover Summary'!$E$13:$E$204, "60-*")</f>
        <v>35.520833333333336</v>
      </c>
      <c r="J37" s="51">
        <f>AVERAGEIFS('Cover Summary'!L$13:L$204,'Cover Summary'!$E$13:$E$204, "60-*")</f>
        <v>39.166666666666664</v>
      </c>
      <c r="K37" s="51">
        <f>AVERAGEIFS('Cover Summary'!M$13:M$204,'Cover Summary'!$E$13:$E$204, "60-*")</f>
        <v>41.770833333333336</v>
      </c>
      <c r="L37" s="51">
        <f>AVERAGEIFS('Cover Summary'!N$13:N$204,'Cover Summary'!$E$13:$E$204, "60-*")</f>
        <v>45.125</v>
      </c>
      <c r="M37" s="51">
        <f>AVERAGEIFS('Cover Summary'!O$13:O$204,'Cover Summary'!$E$13:$E$204, "60-*")</f>
        <v>51.270833333333336</v>
      </c>
      <c r="N37" s="51">
        <f>AVERAGEIFS('Cover Summary'!P$13:P$204,'Cover Summary'!$E$13:$E$204, "60-*")</f>
        <v>61.875</v>
      </c>
      <c r="O37" s="51">
        <f>AVERAGEIFS('Cover Summary'!Q$13:Q$204,'Cover Summary'!$E$13:$E$204, "60-*")</f>
        <v>74.145833333333329</v>
      </c>
      <c r="P37" s="51">
        <f>AVERAGEIFS('Cover Summary'!R$13:R$204,'Cover Summary'!$E$13:$E$204, "60-*")</f>
        <v>83.145833333333329</v>
      </c>
      <c r="Q37" s="51">
        <f>AVERAGEIFS('Cover Summary'!S$13:S$204,'Cover Summary'!$E$13:$E$204, "60-*")</f>
        <v>87.3125</v>
      </c>
    </row>
    <row r="38" spans="2:17" x14ac:dyDescent="0.2">
      <c r="B38" s="4" t="s">
        <v>50</v>
      </c>
      <c r="C38" s="4" t="s">
        <v>36</v>
      </c>
      <c r="D38" s="39">
        <f>AVERAGEIFS('Cover Summary'!F$13:F$204,'Cover Summary'!$E$13:$E$204, "80-60")</f>
        <v>9.0833333333333339</v>
      </c>
      <c r="E38" s="39">
        <f>AVERAGEIFS('Cover Summary'!G$13:G$204,'Cover Summary'!$E$13:$E$204, "80-60")</f>
        <v>15.75</v>
      </c>
      <c r="F38" s="39">
        <f>AVERAGEIFS('Cover Summary'!H$13:H$204,'Cover Summary'!$E$13:$E$204, "80-60")</f>
        <v>20.416666666666668</v>
      </c>
      <c r="G38" s="39">
        <f>AVERAGEIFS('Cover Summary'!I$13:I$204,'Cover Summary'!$E$13:$E$204, "80-60")</f>
        <v>31.625</v>
      </c>
      <c r="H38" s="39">
        <f>AVERAGEIFS('Cover Summary'!J$13:J$204,'Cover Summary'!$E$13:$E$204, "80-60")</f>
        <v>35.75</v>
      </c>
      <c r="I38" s="39">
        <f>AVERAGEIFS('Cover Summary'!K$13:K$204,'Cover Summary'!$E$13:$E$204, "80-60")</f>
        <v>42.083333333333336</v>
      </c>
      <c r="J38" s="39">
        <f>AVERAGEIFS('Cover Summary'!L$13:L$204,'Cover Summary'!$E$13:$E$204, "80-60")</f>
        <v>51.5</v>
      </c>
      <c r="K38" s="39">
        <f>AVERAGEIFS('Cover Summary'!M$13:M$204,'Cover Summary'!$E$13:$E$204, "80-60")</f>
        <v>55.083333333333336</v>
      </c>
      <c r="L38" s="39">
        <f>AVERAGEIFS('Cover Summary'!N$13:N$204,'Cover Summary'!$E$13:$E$204, "80-60")</f>
        <v>60.333333333333336</v>
      </c>
      <c r="M38" s="39">
        <f>AVERAGEIFS('Cover Summary'!O$13:O$204,'Cover Summary'!$E$13:$E$204, "80-60")</f>
        <v>69.666666666666671</v>
      </c>
      <c r="N38" s="39">
        <f>AVERAGEIFS('Cover Summary'!P$13:P$204,'Cover Summary'!$E$13:$E$204, "80-60")</f>
        <v>77.416666666666671</v>
      </c>
      <c r="O38" s="39">
        <f>AVERAGEIFS('Cover Summary'!Q$13:Q$204,'Cover Summary'!$E$13:$E$204, "80-60")</f>
        <v>80.916666666666671</v>
      </c>
      <c r="P38" s="39">
        <f>AVERAGEIFS('Cover Summary'!R$13:R$204,'Cover Summary'!$E$13:$E$204, "80-60")</f>
        <v>87.666666666666671</v>
      </c>
      <c r="Q38" s="39">
        <f>AVERAGEIFS('Cover Summary'!S$13:S$204,'Cover Summary'!$E$13:$E$204, "80-60")</f>
        <v>89</v>
      </c>
    </row>
    <row r="39" spans="2:17" x14ac:dyDescent="0.2">
      <c r="C39" s="4" t="s">
        <v>33</v>
      </c>
      <c r="D39" s="39">
        <f>AVERAGEIFS('Cover Summary'!F$13:F$204,'Cover Summary'!$E$13:$E$204, "80-80")</f>
        <v>9.0833333333333339</v>
      </c>
      <c r="E39" s="39">
        <f>AVERAGEIFS('Cover Summary'!G$13:G$204,'Cover Summary'!$E$13:$E$204, "80-80")</f>
        <v>16.75</v>
      </c>
      <c r="F39" s="39">
        <f>AVERAGEIFS('Cover Summary'!H$13:H$204,'Cover Summary'!$E$13:$E$204, "80-80")</f>
        <v>21.333333333333332</v>
      </c>
      <c r="G39" s="39">
        <f>AVERAGEIFS('Cover Summary'!I$13:I$204,'Cover Summary'!$E$13:$E$204, "80-80")</f>
        <v>30.541666666666668</v>
      </c>
      <c r="H39" s="39">
        <f>AVERAGEIFS('Cover Summary'!J$13:J$204,'Cover Summary'!$E$13:$E$204, "80-80")</f>
        <v>36.5</v>
      </c>
      <c r="I39" s="39">
        <f>AVERAGEIFS('Cover Summary'!K$13:K$204,'Cover Summary'!$E$13:$E$204, "80-80")</f>
        <v>42.333333333333336</v>
      </c>
      <c r="J39" s="39">
        <f>AVERAGEIFS('Cover Summary'!L$13:L$204,'Cover Summary'!$E$13:$E$204, "80-80")</f>
        <v>50.833333333333336</v>
      </c>
      <c r="K39" s="39">
        <f>AVERAGEIFS('Cover Summary'!M$13:M$204,'Cover Summary'!$E$13:$E$204, "80-80")</f>
        <v>59.083333333333336</v>
      </c>
      <c r="L39" s="39">
        <f>AVERAGEIFS('Cover Summary'!N$13:N$204,'Cover Summary'!$E$13:$E$204, "80-80")</f>
        <v>63.333333333333336</v>
      </c>
      <c r="M39" s="39">
        <f>AVERAGEIFS('Cover Summary'!O$13:O$204,'Cover Summary'!$E$13:$E$204, "80-80")</f>
        <v>75.166666666666671</v>
      </c>
      <c r="N39" s="39">
        <f>AVERAGEIFS('Cover Summary'!P$13:P$204,'Cover Summary'!$E$13:$E$204, "80-80")</f>
        <v>85.833333333333329</v>
      </c>
      <c r="O39" s="39">
        <f>AVERAGEIFS('Cover Summary'!Q$13:Q$204,'Cover Summary'!$E$13:$E$204, "80-80")</f>
        <v>93.083333333333329</v>
      </c>
      <c r="P39" s="39">
        <f>AVERAGEIFS('Cover Summary'!R$13:R$204,'Cover Summary'!$E$13:$E$204, "80-80")</f>
        <v>100.41666666666667</v>
      </c>
      <c r="Q39" s="39">
        <f>AVERAGEIFS('Cover Summary'!S$13:S$204,'Cover Summary'!$E$13:$E$204, "80-80")</f>
        <v>101.08333333333333</v>
      </c>
    </row>
    <row r="40" spans="2:17" x14ac:dyDescent="0.2">
      <c r="C40" s="4" t="s">
        <v>44</v>
      </c>
      <c r="D40" s="39">
        <f>AVERAGEIFS('Cover Summary'!F$13:F$204,'Cover Summary'!$E$13:$E$204, "80-100")</f>
        <v>10.166666666666666</v>
      </c>
      <c r="E40" s="39">
        <f>AVERAGEIFS('Cover Summary'!G$13:G$204,'Cover Summary'!$E$13:$E$204, "80-100")</f>
        <v>16.833333333333332</v>
      </c>
      <c r="F40" s="39">
        <f>AVERAGEIFS('Cover Summary'!H$13:H$204,'Cover Summary'!$E$13:$E$204, "80-100")</f>
        <v>21.916666666666668</v>
      </c>
      <c r="G40" s="39">
        <f>AVERAGEIFS('Cover Summary'!I$13:I$204,'Cover Summary'!$E$13:$E$204, "80-100")</f>
        <v>27.666666666666668</v>
      </c>
      <c r="H40" s="39">
        <f>AVERAGEIFS('Cover Summary'!J$13:J$204,'Cover Summary'!$E$13:$E$204, "80-100")</f>
        <v>33.916666666666664</v>
      </c>
      <c r="I40" s="39">
        <f>AVERAGEIFS('Cover Summary'!K$13:K$204,'Cover Summary'!$E$13:$E$204, "80-100")</f>
        <v>41.083333333333336</v>
      </c>
      <c r="J40" s="39">
        <f>AVERAGEIFS('Cover Summary'!L$13:L$204,'Cover Summary'!$E$13:$E$204, "80-100")</f>
        <v>49.583333333333336</v>
      </c>
      <c r="K40" s="39">
        <f>AVERAGEIFS('Cover Summary'!M$13:M$204,'Cover Summary'!$E$13:$E$204, "80-100")</f>
        <v>56.583333333333336</v>
      </c>
      <c r="L40" s="39">
        <f>AVERAGEIFS('Cover Summary'!N$13:N$204,'Cover Summary'!$E$13:$E$204, "80-100")</f>
        <v>61.916666666666664</v>
      </c>
      <c r="M40" s="39">
        <f>AVERAGEIFS('Cover Summary'!O$13:O$204,'Cover Summary'!$E$13:$E$204, "80-100")</f>
        <v>71.833333333333329</v>
      </c>
      <c r="N40" s="39">
        <f>AVERAGEIFS('Cover Summary'!P$13:P$204,'Cover Summary'!$E$13:$E$204, "80-100")</f>
        <v>83.083333333333329</v>
      </c>
      <c r="O40" s="39">
        <f>AVERAGEIFS('Cover Summary'!Q$13:Q$204,'Cover Summary'!$E$13:$E$204, "80-100")</f>
        <v>94.083333333333329</v>
      </c>
      <c r="P40" s="39">
        <f>AVERAGEIFS('Cover Summary'!R$13:R$204,'Cover Summary'!$E$13:$E$204, "80-100")</f>
        <v>99.333333333333329</v>
      </c>
      <c r="Q40" s="39">
        <f>AVERAGEIFS('Cover Summary'!S$13:S$204,'Cover Summary'!$E$13:$E$204, "80-100")</f>
        <v>100.83333333333333</v>
      </c>
    </row>
    <row r="41" spans="2:17" x14ac:dyDescent="0.2">
      <c r="C41" s="4" t="s">
        <v>45</v>
      </c>
      <c r="D41" s="39">
        <f>AVERAGEIFS('Cover Summary'!F$13:F$204,'Cover Summary'!$E$13:$E$204, "80-120")</f>
        <v>10.75</v>
      </c>
      <c r="E41" s="39">
        <f>AVERAGEIFS('Cover Summary'!G$13:G$204,'Cover Summary'!$E$13:$E$204, "80-120")</f>
        <v>14.916666666666666</v>
      </c>
      <c r="F41" s="39">
        <f>AVERAGEIFS('Cover Summary'!H$13:H$204,'Cover Summary'!$E$13:$E$204, "80-120")</f>
        <v>22.75</v>
      </c>
      <c r="G41" s="39">
        <f>AVERAGEIFS('Cover Summary'!I$13:I$204,'Cover Summary'!$E$13:$E$204, "80-120")</f>
        <v>27.541666666666668</v>
      </c>
      <c r="H41" s="39">
        <f>AVERAGEIFS('Cover Summary'!J$13:J$204,'Cover Summary'!$E$13:$E$204, "80-120")</f>
        <v>35.083333333333336</v>
      </c>
      <c r="I41" s="39">
        <f>AVERAGEIFS('Cover Summary'!K$13:K$204,'Cover Summary'!$E$13:$E$204, "80-120")</f>
        <v>38.833333333333336</v>
      </c>
      <c r="J41" s="39">
        <f>AVERAGEIFS('Cover Summary'!L$13:L$204,'Cover Summary'!$E$13:$E$204, "80-120")</f>
        <v>47.333333333333336</v>
      </c>
      <c r="K41" s="39">
        <f>AVERAGEIFS('Cover Summary'!M$13:M$204,'Cover Summary'!$E$13:$E$204, "80-120")</f>
        <v>54.833333333333336</v>
      </c>
      <c r="L41" s="39">
        <f>AVERAGEIFS('Cover Summary'!N$13:N$204,'Cover Summary'!$E$13:$E$204, "80-120")</f>
        <v>60.166666666666664</v>
      </c>
      <c r="M41" s="39">
        <f>AVERAGEIFS('Cover Summary'!O$13:O$204,'Cover Summary'!$E$13:$E$204, "80-120")</f>
        <v>70.75</v>
      </c>
      <c r="N41" s="39">
        <f>AVERAGEIFS('Cover Summary'!P$13:P$204,'Cover Summary'!$E$13:$E$204, "80-120")</f>
        <v>80.416666666666671</v>
      </c>
      <c r="O41" s="39">
        <f>AVERAGEIFS('Cover Summary'!Q$13:Q$204,'Cover Summary'!$E$13:$E$204, "80-120")</f>
        <v>94.25</v>
      </c>
      <c r="P41" s="39">
        <f>AVERAGEIFS('Cover Summary'!R$13:R$204,'Cover Summary'!$E$13:$E$204, "80-120")</f>
        <v>99.25</v>
      </c>
      <c r="Q41" s="39">
        <f>AVERAGEIFS('Cover Summary'!S$13:S$204,'Cover Summary'!$E$13:$E$204, "80-120")</f>
        <v>101.75</v>
      </c>
    </row>
    <row r="42" spans="2:17" x14ac:dyDescent="0.2">
      <c r="C42" s="4"/>
      <c r="D42" s="51">
        <f>AVERAGEIFS('Cover Summary'!F$13:F$204,'Cover Summary'!$E$13:$E$204, "80-*")</f>
        <v>9.7708333333333339</v>
      </c>
      <c r="E42" s="51">
        <f>AVERAGEIFS('Cover Summary'!G$13:G$204,'Cover Summary'!$E$13:$E$204, "80-*")</f>
        <v>16.0625</v>
      </c>
      <c r="F42" s="51">
        <f>AVERAGEIFS('Cover Summary'!H$13:H$204,'Cover Summary'!$E$13:$E$204, "80-*")</f>
        <v>21.604166666666668</v>
      </c>
      <c r="G42" s="51">
        <f>AVERAGEIFS('Cover Summary'!I$13:I$204,'Cover Summary'!$E$13:$E$204, "80-*")</f>
        <v>29.34375</v>
      </c>
      <c r="H42" s="51">
        <f>AVERAGEIFS('Cover Summary'!J$13:J$204,'Cover Summary'!$E$13:$E$204, "80-*")</f>
        <v>35.3125</v>
      </c>
      <c r="I42" s="51">
        <f>AVERAGEIFS('Cover Summary'!K$13:K$204,'Cover Summary'!$E$13:$E$204, "80-*")</f>
        <v>41.083333333333336</v>
      </c>
      <c r="J42" s="51">
        <f>AVERAGEIFS('Cover Summary'!L$13:L$204,'Cover Summary'!$E$13:$E$204, "80-*")</f>
        <v>49.8125</v>
      </c>
      <c r="K42" s="51">
        <f>AVERAGEIFS('Cover Summary'!M$13:M$204,'Cover Summary'!$E$13:$E$204, "80-*")</f>
        <v>56.395833333333336</v>
      </c>
      <c r="L42" s="51">
        <f>AVERAGEIFS('Cover Summary'!N$13:N$204,'Cover Summary'!$E$13:$E$204, "80-*")</f>
        <v>61.4375</v>
      </c>
      <c r="M42" s="51">
        <f>AVERAGEIFS('Cover Summary'!O$13:O$204,'Cover Summary'!$E$13:$E$204, "80-*")</f>
        <v>71.854166666666671</v>
      </c>
      <c r="N42" s="51">
        <f>AVERAGEIFS('Cover Summary'!P$13:P$204,'Cover Summary'!$E$13:$E$204, "80-*")</f>
        <v>81.6875</v>
      </c>
      <c r="O42" s="51">
        <f>AVERAGEIFS('Cover Summary'!Q$13:Q$204,'Cover Summary'!$E$13:$E$204, "80-*")</f>
        <v>90.583333333333329</v>
      </c>
      <c r="P42" s="51">
        <f>AVERAGEIFS('Cover Summary'!R$13:R$204,'Cover Summary'!$E$13:$E$204, "80-*")</f>
        <v>96.666666666666671</v>
      </c>
      <c r="Q42" s="51">
        <f>AVERAGEIFS('Cover Summary'!S$13:S$204,'Cover Summary'!$E$13:$E$204, "80-*")</f>
        <v>98.166666666666671</v>
      </c>
    </row>
    <row r="43" spans="2:17" x14ac:dyDescent="0.2">
      <c r="B43" s="4" t="s">
        <v>51</v>
      </c>
      <c r="C43" s="4" t="s">
        <v>42</v>
      </c>
      <c r="D43" s="39">
        <f>AVERAGEIFS('Cover Summary'!F$13:F$204,'Cover Summary'!$E$13:$E$204, "100-60")</f>
        <v>9.25</v>
      </c>
      <c r="E43" s="39">
        <f>AVERAGEIFS('Cover Summary'!G$13:G$204,'Cover Summary'!$E$13:$E$204, "100-60")</f>
        <v>14.833333333333334</v>
      </c>
      <c r="F43" s="39">
        <f>AVERAGEIFS('Cover Summary'!H$13:H$204,'Cover Summary'!$E$13:$E$204, "100-60")</f>
        <v>21.666666666666668</v>
      </c>
      <c r="G43" s="39">
        <f>AVERAGEIFS('Cover Summary'!I$13:I$204,'Cover Summary'!$E$13:$E$204, "100-60")</f>
        <v>31.916666666666668</v>
      </c>
      <c r="H43" s="39">
        <f>AVERAGEIFS('Cover Summary'!J$13:J$204,'Cover Summary'!$E$13:$E$204, "100-60")</f>
        <v>37.583333333333336</v>
      </c>
      <c r="I43" s="39">
        <f>AVERAGEIFS('Cover Summary'!K$13:K$204,'Cover Summary'!$E$13:$E$204, "100-60")</f>
        <v>46.916666666666664</v>
      </c>
      <c r="J43" s="39">
        <f>AVERAGEIFS('Cover Summary'!L$13:L$204,'Cover Summary'!$E$13:$E$204, "100-60")</f>
        <v>55.583333333333336</v>
      </c>
      <c r="K43" s="39">
        <f>AVERAGEIFS('Cover Summary'!M$13:M$204,'Cover Summary'!$E$13:$E$204, "100-60")</f>
        <v>64.083333333333329</v>
      </c>
      <c r="L43" s="39">
        <f>AVERAGEIFS('Cover Summary'!N$13:N$204,'Cover Summary'!$E$13:$E$204, "100-60")</f>
        <v>72</v>
      </c>
      <c r="M43" s="39">
        <f>AVERAGEIFS('Cover Summary'!O$13:O$204,'Cover Summary'!$E$13:$E$204, "100-60")</f>
        <v>80.583333333333329</v>
      </c>
      <c r="N43" s="39">
        <f>AVERAGEIFS('Cover Summary'!P$13:P$204,'Cover Summary'!$E$13:$E$204, "100-60")</f>
        <v>89.666666666666671</v>
      </c>
      <c r="O43" s="39">
        <f>AVERAGEIFS('Cover Summary'!Q$13:Q$204,'Cover Summary'!$E$13:$E$204, "100-60")</f>
        <v>92.166666666666671</v>
      </c>
      <c r="P43" s="39">
        <f>AVERAGEIFS('Cover Summary'!R$13:R$204,'Cover Summary'!$E$13:$E$204, "100-60")</f>
        <v>96.5</v>
      </c>
      <c r="Q43" s="39">
        <f>AVERAGEIFS('Cover Summary'!S$13:S$204,'Cover Summary'!$E$13:$E$204, "100-60")</f>
        <v>99.333333333333329</v>
      </c>
    </row>
    <row r="44" spans="2:17" x14ac:dyDescent="0.2">
      <c r="C44" s="4" t="s">
        <v>48</v>
      </c>
      <c r="D44" s="39">
        <f>AVERAGEIFS('Cover Summary'!F$13:F$204,'Cover Summary'!$E$13:$E$204, "100-80")</f>
        <v>10.416666666666666</v>
      </c>
      <c r="E44" s="39">
        <f>AVERAGEIFS('Cover Summary'!G$13:G$204,'Cover Summary'!$E$13:$E$204, "100-80")</f>
        <v>15.583333333333334</v>
      </c>
      <c r="F44" s="39">
        <f>AVERAGEIFS('Cover Summary'!H$13:H$204,'Cover Summary'!$E$13:$E$204, "100-80")</f>
        <v>20.833333333333332</v>
      </c>
      <c r="G44" s="39">
        <f>AVERAGEIFS('Cover Summary'!I$13:I$204,'Cover Summary'!$E$13:$E$204, "100-80")</f>
        <v>27.916666666666668</v>
      </c>
      <c r="H44" s="39">
        <f>AVERAGEIFS('Cover Summary'!J$13:J$204,'Cover Summary'!$E$13:$E$204, "100-80")</f>
        <v>36.833333333333336</v>
      </c>
      <c r="I44" s="39">
        <f>AVERAGEIFS('Cover Summary'!K$13:K$204,'Cover Summary'!$E$13:$E$204, "100-80")</f>
        <v>45.5</v>
      </c>
      <c r="J44" s="39">
        <f>AVERAGEIFS('Cover Summary'!L$13:L$204,'Cover Summary'!$E$13:$E$204, "100-80")</f>
        <v>53.083333333333336</v>
      </c>
      <c r="K44" s="39">
        <f>AVERAGEIFS('Cover Summary'!M$13:M$204,'Cover Summary'!$E$13:$E$204, "100-80")</f>
        <v>63.416666666666664</v>
      </c>
      <c r="L44" s="39">
        <f>AVERAGEIFS('Cover Summary'!N$13:N$204,'Cover Summary'!$E$13:$E$204, "100-80")</f>
        <v>69.666666666666671</v>
      </c>
      <c r="M44" s="39">
        <f>AVERAGEIFS('Cover Summary'!O$13:O$204,'Cover Summary'!$E$13:$E$204, "100-80")</f>
        <v>79.916666666666671</v>
      </c>
      <c r="N44" s="39">
        <f>AVERAGEIFS('Cover Summary'!P$13:P$204,'Cover Summary'!$E$13:$E$204, "100-80")</f>
        <v>91.166666666666671</v>
      </c>
      <c r="O44" s="39">
        <f>AVERAGEIFS('Cover Summary'!Q$13:Q$204,'Cover Summary'!$E$13:$E$204, "100-80")</f>
        <v>100.58333333333333</v>
      </c>
      <c r="P44" s="39">
        <f>AVERAGEIFS('Cover Summary'!R$13:R$204,'Cover Summary'!$E$13:$E$204, "100-80")</f>
        <v>100.91666666666667</v>
      </c>
      <c r="Q44" s="39">
        <f>AVERAGEIFS('Cover Summary'!S$13:S$204,'Cover Summary'!$E$13:$E$204, "100-80")</f>
        <v>101.08333333333333</v>
      </c>
    </row>
    <row r="45" spans="2:17" x14ac:dyDescent="0.2">
      <c r="C45" s="4" t="s">
        <v>46</v>
      </c>
      <c r="D45" s="39">
        <f>AVERAGEIFS('Cover Summary'!F$13:F$204,'Cover Summary'!$E$13:$E$204, "100-100")</f>
        <v>10.083333333333334</v>
      </c>
      <c r="E45" s="39">
        <f>AVERAGEIFS('Cover Summary'!G$13:G$204,'Cover Summary'!$E$13:$E$204, "100-100")</f>
        <v>16</v>
      </c>
      <c r="F45" s="39">
        <f>AVERAGEIFS('Cover Summary'!H$13:H$204,'Cover Summary'!$E$13:$E$204, "100-100")</f>
        <v>22.166666666666668</v>
      </c>
      <c r="G45" s="39">
        <f>AVERAGEIFS('Cover Summary'!I$13:I$204,'Cover Summary'!$E$13:$E$204, "100-100")</f>
        <v>29.458333333333332</v>
      </c>
      <c r="H45" s="39">
        <f>AVERAGEIFS('Cover Summary'!J$13:J$204,'Cover Summary'!$E$13:$E$204, "100-100")</f>
        <v>37.916666666666664</v>
      </c>
      <c r="I45" s="39">
        <f>AVERAGEIFS('Cover Summary'!K$13:K$204,'Cover Summary'!$E$13:$E$204, "100-100")</f>
        <v>48.75</v>
      </c>
      <c r="J45" s="39">
        <f>AVERAGEIFS('Cover Summary'!L$13:L$204,'Cover Summary'!$E$13:$E$204, "100-100")</f>
        <v>58.833333333333336</v>
      </c>
      <c r="K45" s="39">
        <f>AVERAGEIFS('Cover Summary'!M$13:M$204,'Cover Summary'!$E$13:$E$204, "100-100")</f>
        <v>65</v>
      </c>
      <c r="L45" s="39">
        <f>AVERAGEIFS('Cover Summary'!N$13:N$204,'Cover Summary'!$E$13:$E$204, "100-100")</f>
        <v>71.083333333333329</v>
      </c>
      <c r="M45" s="39">
        <f>AVERAGEIFS('Cover Summary'!O$13:O$204,'Cover Summary'!$E$13:$E$204, "100-100")</f>
        <v>85.333333333333329</v>
      </c>
      <c r="N45" s="39">
        <f>AVERAGEIFS('Cover Summary'!P$13:P$204,'Cover Summary'!$E$13:$E$204, "100-100")</f>
        <v>93.75</v>
      </c>
      <c r="O45" s="39">
        <f>AVERAGEIFS('Cover Summary'!Q$13:Q$204,'Cover Summary'!$E$13:$E$204, "100-100")</f>
        <v>100</v>
      </c>
      <c r="P45" s="39">
        <f>AVERAGEIFS('Cover Summary'!R$13:R$204,'Cover Summary'!$E$13:$E$204, "100-100")</f>
        <v>100.66666666666667</v>
      </c>
      <c r="Q45" s="39">
        <f>AVERAGEIFS('Cover Summary'!S$13:S$204,'Cover Summary'!$E$13:$E$204, "100-100")</f>
        <v>102</v>
      </c>
    </row>
    <row r="46" spans="2:17" x14ac:dyDescent="0.2">
      <c r="C46" s="4" t="s">
        <v>34</v>
      </c>
      <c r="D46" s="39">
        <f>AVERAGEIFS('Cover Summary'!F$13:F$204,'Cover Summary'!$E$13:$E$204, "100-120")</f>
        <v>9.6666666666666661</v>
      </c>
      <c r="E46" s="39">
        <f>AVERAGEIFS('Cover Summary'!G$13:G$204,'Cover Summary'!$E$13:$E$204, "100-120")</f>
        <v>15.666666666666666</v>
      </c>
      <c r="F46" s="39">
        <f>AVERAGEIFS('Cover Summary'!H$13:H$204,'Cover Summary'!$E$13:$E$204, "100-120")</f>
        <v>20.75</v>
      </c>
      <c r="G46" s="39">
        <f>AVERAGEIFS('Cover Summary'!I$13:I$204,'Cover Summary'!$E$13:$E$204, "100-120")</f>
        <v>30.5</v>
      </c>
      <c r="H46" s="39">
        <f>AVERAGEIFS('Cover Summary'!J$13:J$204,'Cover Summary'!$E$13:$E$204, "100-120")</f>
        <v>35.666666666666664</v>
      </c>
      <c r="I46" s="39">
        <f>AVERAGEIFS('Cover Summary'!K$13:K$204,'Cover Summary'!$E$13:$E$204, "100-120")</f>
        <v>44.916666666666664</v>
      </c>
      <c r="J46" s="39">
        <f>AVERAGEIFS('Cover Summary'!L$13:L$204,'Cover Summary'!$E$13:$E$204, "100-120")</f>
        <v>56.166666666666664</v>
      </c>
      <c r="K46" s="39">
        <f>AVERAGEIFS('Cover Summary'!M$13:M$204,'Cover Summary'!$E$13:$E$204, "100-120")</f>
        <v>65.833333333333329</v>
      </c>
      <c r="L46" s="39">
        <f>AVERAGEIFS('Cover Summary'!N$13:N$204,'Cover Summary'!$E$13:$E$204, "100-120")</f>
        <v>70</v>
      </c>
      <c r="M46" s="39">
        <f>AVERAGEIFS('Cover Summary'!O$13:O$204,'Cover Summary'!$E$13:$E$204, "100-120")</f>
        <v>83.333333333333329</v>
      </c>
      <c r="N46" s="39">
        <f>AVERAGEIFS('Cover Summary'!P$13:P$204,'Cover Summary'!$E$13:$E$204, "100-120")</f>
        <v>90.5</v>
      </c>
      <c r="O46" s="39">
        <f>AVERAGEIFS('Cover Summary'!Q$13:Q$204,'Cover Summary'!$E$13:$E$204, "100-120")</f>
        <v>98.333333333333329</v>
      </c>
      <c r="P46" s="39">
        <f>AVERAGEIFS('Cover Summary'!R$13:R$204,'Cover Summary'!$E$13:$E$204, "100-120")</f>
        <v>100.75</v>
      </c>
      <c r="Q46" s="39">
        <f>AVERAGEIFS('Cover Summary'!S$13:S$204,'Cover Summary'!$E$13:$E$204, "100-120")</f>
        <v>101.41666666666667</v>
      </c>
    </row>
    <row r="47" spans="2:17" x14ac:dyDescent="0.2">
      <c r="C47" s="4"/>
      <c r="D47" s="51">
        <f>AVERAGEIFS('Cover Summary'!F$13:F$204,'Cover Summary'!$E$13:$E$204, "100-*")</f>
        <v>9.8541666666666661</v>
      </c>
      <c r="E47" s="51">
        <f>AVERAGEIFS('Cover Summary'!G$13:G$204,'Cover Summary'!$E$13:$E$204, "100-*")</f>
        <v>15.520833333333334</v>
      </c>
      <c r="F47" s="51">
        <f>AVERAGEIFS('Cover Summary'!H$13:H$204,'Cover Summary'!$E$13:$E$204, "100-*")</f>
        <v>21.354166666666668</v>
      </c>
      <c r="G47" s="51">
        <f>AVERAGEIFS('Cover Summary'!I$13:I$204,'Cover Summary'!$E$13:$E$204, "100-*")</f>
        <v>29.947916666666668</v>
      </c>
      <c r="H47" s="51">
        <f>AVERAGEIFS('Cover Summary'!J$13:J$204,'Cover Summary'!$E$13:$E$204, "100-*")</f>
        <v>37</v>
      </c>
      <c r="I47" s="51">
        <f>AVERAGEIFS('Cover Summary'!K$13:K$204,'Cover Summary'!$E$13:$E$204, "100-*")</f>
        <v>46.520833333333336</v>
      </c>
      <c r="J47" s="51">
        <f>AVERAGEIFS('Cover Summary'!L$13:L$204,'Cover Summary'!$E$13:$E$204, "100-*")</f>
        <v>55.916666666666664</v>
      </c>
      <c r="K47" s="51">
        <f>AVERAGEIFS('Cover Summary'!M$13:M$204,'Cover Summary'!$E$13:$E$204, "100-*")</f>
        <v>64.583333333333329</v>
      </c>
      <c r="L47" s="51">
        <f>AVERAGEIFS('Cover Summary'!N$13:N$204,'Cover Summary'!$E$13:$E$204, "100-*")</f>
        <v>70.6875</v>
      </c>
      <c r="M47" s="51">
        <f>AVERAGEIFS('Cover Summary'!O$13:O$204,'Cover Summary'!$E$13:$E$204, "100-*")</f>
        <v>82.291666666666671</v>
      </c>
      <c r="N47" s="51">
        <f>AVERAGEIFS('Cover Summary'!P$13:P$204,'Cover Summary'!$E$13:$E$204, "100-*")</f>
        <v>91.270833333333329</v>
      </c>
      <c r="O47" s="51">
        <f>AVERAGEIFS('Cover Summary'!Q$13:Q$204,'Cover Summary'!$E$13:$E$204, "100-*")</f>
        <v>97.770833333333329</v>
      </c>
      <c r="P47" s="51">
        <f>AVERAGEIFS('Cover Summary'!R$13:R$204,'Cover Summary'!$E$13:$E$204, "100-*")</f>
        <v>99.708333333333329</v>
      </c>
      <c r="Q47" s="51">
        <f>AVERAGEIFS('Cover Summary'!S$13:S$204,'Cover Summary'!$E$13:$E$204, "100-*")</f>
        <v>100.95833333333333</v>
      </c>
    </row>
    <row r="48" spans="2:17" x14ac:dyDescent="0.2">
      <c r="B48" s="4" t="s">
        <v>52</v>
      </c>
      <c r="C48" s="4" t="s">
        <v>38</v>
      </c>
      <c r="D48" s="39">
        <f>AVERAGEIFS('Cover Summary'!F$13:F$204,'Cover Summary'!$E$13:$E$204, "120-60")</f>
        <v>9.0833333333333339</v>
      </c>
      <c r="E48" s="39">
        <f>AVERAGEIFS('Cover Summary'!G$13:G$204,'Cover Summary'!$E$13:$E$204, "120-60")</f>
        <v>15.25</v>
      </c>
      <c r="F48" s="39">
        <f>AVERAGEIFS('Cover Summary'!H$13:H$204,'Cover Summary'!$E$13:$E$204, "120-60")</f>
        <v>20.75</v>
      </c>
      <c r="G48" s="39">
        <f>AVERAGEIFS('Cover Summary'!I$13:I$204,'Cover Summary'!$E$13:$E$204, "120-60")</f>
        <v>31.208333333333332</v>
      </c>
      <c r="H48" s="39">
        <f>AVERAGEIFS('Cover Summary'!J$13:J$204,'Cover Summary'!$E$13:$E$204, "120-60")</f>
        <v>37.916666666666664</v>
      </c>
      <c r="I48" s="39">
        <f>AVERAGEIFS('Cover Summary'!K$13:K$204,'Cover Summary'!$E$13:$E$204, "120-60")</f>
        <v>46.416666666666664</v>
      </c>
      <c r="J48" s="39">
        <f>AVERAGEIFS('Cover Summary'!L$13:L$204,'Cover Summary'!$E$13:$E$204, "120-60")</f>
        <v>58.416666666666664</v>
      </c>
      <c r="K48" s="39">
        <f>AVERAGEIFS('Cover Summary'!M$13:M$204,'Cover Summary'!$E$13:$E$204, "120-60")</f>
        <v>65.166666666666671</v>
      </c>
      <c r="L48" s="39">
        <f>AVERAGEIFS('Cover Summary'!N$13:N$204,'Cover Summary'!$E$13:$E$204, "120-60")</f>
        <v>74.583333333333329</v>
      </c>
      <c r="M48" s="39">
        <f>AVERAGEIFS('Cover Summary'!O$13:O$204,'Cover Summary'!$E$13:$E$204, "120-60")</f>
        <v>86.166666666666671</v>
      </c>
      <c r="N48" s="39">
        <f>AVERAGEIFS('Cover Summary'!P$13:P$204,'Cover Summary'!$E$13:$E$204, "120-60")</f>
        <v>91.833333333333329</v>
      </c>
      <c r="O48" s="39">
        <f>AVERAGEIFS('Cover Summary'!Q$13:Q$204,'Cover Summary'!$E$13:$E$204, "120-60")</f>
        <v>98.083333333333329</v>
      </c>
      <c r="P48" s="39">
        <f>AVERAGEIFS('Cover Summary'!R$13:R$204,'Cover Summary'!$E$13:$E$204, "120-60")</f>
        <v>101</v>
      </c>
      <c r="Q48" s="39">
        <f>AVERAGEIFS('Cover Summary'!S$13:S$204,'Cover Summary'!$E$13:$E$204, "120-60")</f>
        <v>102</v>
      </c>
    </row>
    <row r="49" spans="2:17" x14ac:dyDescent="0.2">
      <c r="B49" s="39"/>
      <c r="C49" s="4" t="s">
        <v>47</v>
      </c>
      <c r="D49" s="39">
        <f>AVERAGEIFS('Cover Summary'!F$13:F$204,'Cover Summary'!$E$13:$E$204, "120-80")</f>
        <v>9.75</v>
      </c>
      <c r="E49" s="39">
        <f>AVERAGEIFS('Cover Summary'!G$13:G$204,'Cover Summary'!$E$13:$E$204, "120-80")</f>
        <v>15.166666666666666</v>
      </c>
      <c r="F49" s="39">
        <f>AVERAGEIFS('Cover Summary'!H$13:H$204,'Cover Summary'!$E$13:$E$204, "120-80")</f>
        <v>21</v>
      </c>
      <c r="G49" s="39">
        <f>AVERAGEIFS('Cover Summary'!I$13:I$204,'Cover Summary'!$E$13:$E$204, "120-80")</f>
        <v>35.416666666666664</v>
      </c>
      <c r="H49" s="39">
        <f>AVERAGEIFS('Cover Summary'!J$13:J$204,'Cover Summary'!$E$13:$E$204, "120-80")</f>
        <v>40</v>
      </c>
      <c r="I49" s="39">
        <f>AVERAGEIFS('Cover Summary'!K$13:K$204,'Cover Summary'!$E$13:$E$204, "120-80")</f>
        <v>49.833333333333336</v>
      </c>
      <c r="J49" s="39">
        <f>AVERAGEIFS('Cover Summary'!L$13:L$204,'Cover Summary'!$E$13:$E$204, "120-80")</f>
        <v>62.833333333333336</v>
      </c>
      <c r="K49" s="39">
        <f>AVERAGEIFS('Cover Summary'!M$13:M$204,'Cover Summary'!$E$13:$E$204, "120-80")</f>
        <v>73.833333333333329</v>
      </c>
      <c r="L49" s="39">
        <f>AVERAGEIFS('Cover Summary'!N$13:N$204,'Cover Summary'!$E$13:$E$204, "120-80")</f>
        <v>82.25</v>
      </c>
      <c r="M49" s="39">
        <f>AVERAGEIFS('Cover Summary'!O$13:O$204,'Cover Summary'!$E$13:$E$204, "120-80")</f>
        <v>96.083333333333329</v>
      </c>
      <c r="N49" s="39">
        <f>AVERAGEIFS('Cover Summary'!P$13:P$204,'Cover Summary'!$E$13:$E$204, "120-80")</f>
        <v>100.75</v>
      </c>
      <c r="O49" s="39">
        <f>AVERAGEIFS('Cover Summary'!Q$13:Q$204,'Cover Summary'!$E$13:$E$204, "120-80")</f>
        <v>101.5</v>
      </c>
      <c r="P49" s="39">
        <f>AVERAGEIFS('Cover Summary'!R$13:R$204,'Cover Summary'!$E$13:$E$204, "120-80")</f>
        <v>102</v>
      </c>
      <c r="Q49" s="39">
        <f>AVERAGEIFS('Cover Summary'!S$13:S$204,'Cover Summary'!$E$13:$E$204, "120-80")</f>
        <v>102</v>
      </c>
    </row>
    <row r="50" spans="2:17" x14ac:dyDescent="0.2">
      <c r="B50" s="39"/>
      <c r="C50" s="4" t="s">
        <v>43</v>
      </c>
      <c r="D50" s="39">
        <f>AVERAGEIFS('Cover Summary'!F$13:F$204,'Cover Summary'!$E$13:$E$204, "120-100")</f>
        <v>8.8333333333333339</v>
      </c>
      <c r="E50" s="39">
        <f>AVERAGEIFS('Cover Summary'!G$13:G$204,'Cover Summary'!$E$13:$E$204, "120-100")</f>
        <v>13.833333333333334</v>
      </c>
      <c r="F50" s="39">
        <f>AVERAGEIFS('Cover Summary'!H$13:H$204,'Cover Summary'!$E$13:$E$204, "120-100")</f>
        <v>19.916666666666668</v>
      </c>
      <c r="G50" s="39">
        <f>AVERAGEIFS('Cover Summary'!I$13:I$204,'Cover Summary'!$E$13:$E$204, "120-100")</f>
        <v>31.625</v>
      </c>
      <c r="H50" s="39">
        <f>AVERAGEIFS('Cover Summary'!J$13:J$204,'Cover Summary'!$E$13:$E$204, "120-100")</f>
        <v>37.333333333333336</v>
      </c>
      <c r="I50" s="39">
        <f>AVERAGEIFS('Cover Summary'!K$13:K$204,'Cover Summary'!$E$13:$E$204, "120-100")</f>
        <v>49.5</v>
      </c>
      <c r="J50" s="39">
        <f>AVERAGEIFS('Cover Summary'!L$13:L$204,'Cover Summary'!$E$13:$E$204, "120-100")</f>
        <v>59.416666666666664</v>
      </c>
      <c r="K50" s="39">
        <f>AVERAGEIFS('Cover Summary'!M$13:M$204,'Cover Summary'!$E$13:$E$204, "120-100")</f>
        <v>71.833333333333329</v>
      </c>
      <c r="L50" s="39">
        <f>AVERAGEIFS('Cover Summary'!N$13:N$204,'Cover Summary'!$E$13:$E$204, "120-100")</f>
        <v>81.916666666666671</v>
      </c>
      <c r="M50" s="39">
        <f>AVERAGEIFS('Cover Summary'!O$13:O$204,'Cover Summary'!$E$13:$E$204, "120-100")</f>
        <v>93.666666666666671</v>
      </c>
      <c r="N50" s="39">
        <f>AVERAGEIFS('Cover Summary'!P$13:P$204,'Cover Summary'!$E$13:$E$204, "120-100")</f>
        <v>99.25</v>
      </c>
      <c r="O50" s="39">
        <f>AVERAGEIFS('Cover Summary'!Q$13:Q$204,'Cover Summary'!$E$13:$E$204, "120-100")</f>
        <v>100.41666666666667</v>
      </c>
      <c r="P50" s="39">
        <f>AVERAGEIFS('Cover Summary'!R$13:R$204,'Cover Summary'!$E$13:$E$204, "120-100")</f>
        <v>101.41666666666667</v>
      </c>
      <c r="Q50" s="39">
        <f>AVERAGEIFS('Cover Summary'!S$13:S$204,'Cover Summary'!$E$13:$E$204, "120-100")</f>
        <v>102</v>
      </c>
    </row>
    <row r="51" spans="2:17" x14ac:dyDescent="0.2">
      <c r="B51" s="39"/>
      <c r="C51" s="4" t="s">
        <v>40</v>
      </c>
      <c r="D51" s="39">
        <f>AVERAGEIFS('Cover Summary'!F$13:F$204,'Cover Summary'!$E$13:$E$204, "120-120")</f>
        <v>9.75</v>
      </c>
      <c r="E51" s="39">
        <f>AVERAGEIFS('Cover Summary'!G$13:G$204,'Cover Summary'!$E$13:$E$204, "120-120")</f>
        <v>16.333333333333332</v>
      </c>
      <c r="F51" s="39">
        <f>AVERAGEIFS('Cover Summary'!H$13:H$204,'Cover Summary'!$E$13:$E$204, "120-120")</f>
        <v>20.666666666666668</v>
      </c>
      <c r="G51" s="39">
        <f>AVERAGEIFS('Cover Summary'!I$13:I$204,'Cover Summary'!$E$13:$E$204, "120-120")</f>
        <v>27.791666666666668</v>
      </c>
      <c r="H51" s="39">
        <f>AVERAGEIFS('Cover Summary'!J$13:J$204,'Cover Summary'!$E$13:$E$204, "120-120")</f>
        <v>35.666666666666664</v>
      </c>
      <c r="I51" s="39">
        <f>AVERAGEIFS('Cover Summary'!K$13:K$204,'Cover Summary'!$E$13:$E$204, "120-120")</f>
        <v>45.5</v>
      </c>
      <c r="J51" s="39">
        <f>AVERAGEIFS('Cover Summary'!L$13:L$204,'Cover Summary'!$E$13:$E$204, "120-120")</f>
        <v>58.416666666666664</v>
      </c>
      <c r="K51" s="39">
        <f>AVERAGEIFS('Cover Summary'!M$13:M$204,'Cover Summary'!$E$13:$E$204, "120-120")</f>
        <v>64.666666666666671</v>
      </c>
      <c r="L51" s="39">
        <f>AVERAGEIFS('Cover Summary'!N$13:N$204,'Cover Summary'!$E$13:$E$204, "120-120")</f>
        <v>76.083333333333329</v>
      </c>
      <c r="M51" s="39">
        <f>AVERAGEIFS('Cover Summary'!O$13:O$204,'Cover Summary'!$E$13:$E$204, "120-120")</f>
        <v>88.416666666666671</v>
      </c>
      <c r="N51" s="39">
        <f>AVERAGEIFS('Cover Summary'!P$13:P$204,'Cover Summary'!$E$13:$E$204, "120-120")</f>
        <v>95.25</v>
      </c>
      <c r="O51" s="39">
        <f>AVERAGEIFS('Cover Summary'!Q$13:Q$204,'Cover Summary'!$E$13:$E$204, "120-120")</f>
        <v>101.08333333333333</v>
      </c>
      <c r="P51" s="39">
        <f>AVERAGEIFS('Cover Summary'!R$13:R$204,'Cover Summary'!$E$13:$E$204, "120-120")</f>
        <v>102</v>
      </c>
      <c r="Q51" s="39">
        <f>AVERAGEIFS('Cover Summary'!S$13:S$204,'Cover Summary'!$E$13:$E$204, "120-120")</f>
        <v>102</v>
      </c>
    </row>
    <row r="52" spans="2:17" x14ac:dyDescent="0.2">
      <c r="B52" s="39"/>
      <c r="D52" s="51">
        <f>AVERAGEIFS('Cover Summary'!F$13:F$204,'Cover Summary'!$E$13:$E$204, "120-*")</f>
        <v>9.3541666666666661</v>
      </c>
      <c r="E52" s="51">
        <f>AVERAGEIFS('Cover Summary'!G$13:G$204,'Cover Summary'!$E$13:$E$204, "120-*")</f>
        <v>15.145833333333334</v>
      </c>
      <c r="F52" s="51">
        <f>AVERAGEIFS('Cover Summary'!H$13:H$204,'Cover Summary'!$E$13:$E$204, "120-*")</f>
        <v>20.583333333333332</v>
      </c>
      <c r="G52" s="51">
        <f>AVERAGEIFS('Cover Summary'!I$13:I$204,'Cover Summary'!$E$13:$E$204, "120-*")</f>
        <v>31.510416666666668</v>
      </c>
      <c r="H52" s="51">
        <f>AVERAGEIFS('Cover Summary'!J$13:J$204,'Cover Summary'!$E$13:$E$204, "120-*")</f>
        <v>37.729166666666664</v>
      </c>
      <c r="I52" s="51">
        <f>AVERAGEIFS('Cover Summary'!K$13:K$204,'Cover Summary'!$E$13:$E$204, "120-*")</f>
        <v>47.8125</v>
      </c>
      <c r="J52" s="51">
        <f>AVERAGEIFS('Cover Summary'!L$13:L$204,'Cover Summary'!$E$13:$E$204, "120-*")</f>
        <v>59.770833333333336</v>
      </c>
      <c r="K52" s="51">
        <f>AVERAGEIFS('Cover Summary'!M$13:M$204,'Cover Summary'!$E$13:$E$204, "120-*")</f>
        <v>68.875</v>
      </c>
      <c r="L52" s="51">
        <f>AVERAGEIFS('Cover Summary'!N$13:N$204,'Cover Summary'!$E$13:$E$204, "120-*")</f>
        <v>78.708333333333329</v>
      </c>
      <c r="M52" s="51">
        <f>AVERAGEIFS('Cover Summary'!O$13:O$204,'Cover Summary'!$E$13:$E$204, "120-*")</f>
        <v>91.083333333333329</v>
      </c>
      <c r="N52" s="51">
        <f>AVERAGEIFS('Cover Summary'!P$13:P$204,'Cover Summary'!$E$13:$E$204, "120-*")</f>
        <v>96.770833333333329</v>
      </c>
      <c r="O52" s="51">
        <f>AVERAGEIFS('Cover Summary'!Q$13:Q$204,'Cover Summary'!$E$13:$E$204, "120-*")</f>
        <v>100.27083333333333</v>
      </c>
      <c r="P52" s="51">
        <f>AVERAGEIFS('Cover Summary'!R$13:R$204,'Cover Summary'!$E$13:$E$204, "120-*")</f>
        <v>101.60416666666667</v>
      </c>
      <c r="Q52" s="51">
        <f>AVERAGEIFS('Cover Summary'!S$13:S$204,'Cover Summary'!$E$13:$E$204, "120-*")</f>
        <v>102</v>
      </c>
    </row>
    <row r="53" spans="2:17" x14ac:dyDescent="0.2">
      <c r="B53" s="39"/>
      <c r="C53" s="39"/>
      <c r="D53" s="39"/>
    </row>
    <row r="54" spans="2:17" x14ac:dyDescent="0.2">
      <c r="B54" s="39"/>
      <c r="C54" s="39"/>
      <c r="D54" s="39"/>
    </row>
    <row r="55" spans="2:17" x14ac:dyDescent="0.2">
      <c r="B55" s="39"/>
      <c r="C55" s="39"/>
      <c r="D55" s="39"/>
    </row>
    <row r="56" spans="2:17" x14ac:dyDescent="0.2">
      <c r="B56" s="39"/>
      <c r="C56" s="39"/>
      <c r="D56" s="39"/>
    </row>
    <row r="57" spans="2:17" x14ac:dyDescent="0.2">
      <c r="B57" s="39"/>
      <c r="C57" s="39"/>
      <c r="D57" s="39"/>
    </row>
    <row r="58" spans="2:17" x14ac:dyDescent="0.2">
      <c r="B58" s="39"/>
      <c r="C58" s="39"/>
      <c r="D58" s="39"/>
    </row>
    <row r="59" spans="2:17" x14ac:dyDescent="0.2">
      <c r="B59" s="39"/>
      <c r="C59" s="39"/>
      <c r="D59" s="39"/>
    </row>
    <row r="60" spans="2:17" x14ac:dyDescent="0.2">
      <c r="B60" s="39"/>
      <c r="C60" s="39"/>
      <c r="D60" s="39"/>
    </row>
    <row r="61" spans="2:17" x14ac:dyDescent="0.2">
      <c r="B61" s="39"/>
      <c r="C61" s="39"/>
      <c r="D61" s="39"/>
    </row>
    <row r="62" spans="2:17" x14ac:dyDescent="0.2">
      <c r="B62" s="39"/>
      <c r="C62" s="39"/>
      <c r="D62" s="39"/>
    </row>
    <row r="63" spans="2:17" x14ac:dyDescent="0.2">
      <c r="B63" s="39"/>
      <c r="C63" s="39"/>
      <c r="D63" s="39"/>
    </row>
    <row r="64" spans="2:17" x14ac:dyDescent="0.2">
      <c r="B64" s="39"/>
      <c r="C64" s="39"/>
      <c r="D64" s="39"/>
    </row>
    <row r="65" spans="2:4" x14ac:dyDescent="0.2">
      <c r="B65" s="39"/>
      <c r="C65" s="39"/>
      <c r="D65" s="39"/>
    </row>
    <row r="66" spans="2:4" x14ac:dyDescent="0.2">
      <c r="B66" s="39"/>
      <c r="C66" s="39"/>
      <c r="D66" s="39"/>
    </row>
    <row r="67" spans="2:4" x14ac:dyDescent="0.2">
      <c r="B67" s="39"/>
      <c r="C67" s="39"/>
      <c r="D67" s="39"/>
    </row>
    <row r="68" spans="2:4" x14ac:dyDescent="0.2">
      <c r="B68" s="39"/>
      <c r="C68" s="39"/>
      <c r="D68" s="39"/>
    </row>
    <row r="69" spans="2:4" x14ac:dyDescent="0.2">
      <c r="B69" s="39"/>
      <c r="C69" s="39"/>
      <c r="D69" s="39"/>
    </row>
    <row r="70" spans="2:4" x14ac:dyDescent="0.2">
      <c r="C70" s="39"/>
      <c r="D70" s="39"/>
    </row>
    <row r="71" spans="2:4" x14ac:dyDescent="0.2">
      <c r="C71" s="39"/>
      <c r="D71" s="39"/>
    </row>
    <row r="72" spans="2:4" x14ac:dyDescent="0.2">
      <c r="C72" s="39"/>
      <c r="D72" s="39"/>
    </row>
    <row r="73" spans="2:4" x14ac:dyDescent="0.2">
      <c r="C73" s="39"/>
      <c r="D73" s="39"/>
    </row>
  </sheetData>
  <mergeCells count="2">
    <mergeCell ref="M2:N4"/>
    <mergeCell ref="M28:N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Height</vt:lpstr>
      <vt:lpstr>Width</vt:lpstr>
      <vt:lpstr>Ordering</vt:lpstr>
      <vt:lpstr>Blank Data Sheet</vt:lpstr>
      <vt:lpstr>Height Summary</vt:lpstr>
      <vt:lpstr>Cover Summary</vt:lpstr>
      <vt:lpstr>Averages</vt:lpstr>
      <vt:lpstr>'Blank Data Sheet'!Print_Area</vt:lpstr>
      <vt:lpstr>'Cover Summary'!Print_Area</vt:lpstr>
      <vt:lpstr>'Height Summary'!Print_Area</vt:lpstr>
      <vt:lpstr>'Blank Data Sheet'!Print_Titles</vt:lpstr>
      <vt:lpstr>'Cover Summary'!Print_Titles</vt:lpstr>
      <vt:lpstr>'Height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Maneely, Suzette</dc:creator>
  <cp:lastModifiedBy>Reviewer</cp:lastModifiedBy>
  <cp:lastPrinted>2017-06-30T16:14:37Z</cp:lastPrinted>
  <dcterms:created xsi:type="dcterms:W3CDTF">2016-05-31T16:53:28Z</dcterms:created>
  <dcterms:modified xsi:type="dcterms:W3CDTF">2024-09-24T13:26:25Z</dcterms:modified>
</cp:coreProperties>
</file>