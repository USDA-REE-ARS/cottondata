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1_{67408896-D727-46A8-B0A6-4947925E3006}" xr6:coauthVersionLast="47" xr6:coauthVersionMax="47" xr10:uidLastSave="{00000000-0000-0000-0000-000000000000}"/>
  <bookViews>
    <workbookView xWindow="-1380" yWindow="-25680" windowWidth="17715" windowHeight="25185" xr2:uid="{00000000-000D-0000-FFFF-FFFF00000000}"/>
  </bookViews>
  <sheets>
    <sheet name="SoilDF" sheetId="3" r:id="rId1"/>
    <sheet name="F13 Mar 2017 1st R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8" i="1"/>
  <c r="F54" i="1" l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53" i="1"/>
  <c r="F9" i="1"/>
  <c r="K210" i="1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8" i="1"/>
  <c r="K200" i="1"/>
  <c r="J200" i="1"/>
  <c r="E200" i="1"/>
  <c r="D200" i="1"/>
  <c r="K199" i="1"/>
  <c r="J199" i="1"/>
  <c r="E199" i="1"/>
  <c r="D199" i="1"/>
  <c r="K198" i="1"/>
  <c r="J198" i="1"/>
  <c r="E198" i="1"/>
  <c r="D198" i="1"/>
  <c r="K197" i="1"/>
  <c r="J197" i="1"/>
  <c r="E197" i="1"/>
  <c r="D197" i="1"/>
  <c r="K196" i="1"/>
  <c r="J196" i="1"/>
  <c r="E196" i="1"/>
  <c r="D196" i="1"/>
  <c r="K195" i="1"/>
  <c r="J195" i="1"/>
  <c r="E195" i="1"/>
  <c r="D195" i="1"/>
  <c r="K194" i="1"/>
  <c r="J194" i="1"/>
  <c r="E194" i="1"/>
  <c r="D194" i="1"/>
  <c r="K193" i="1"/>
  <c r="J193" i="1"/>
  <c r="E193" i="1"/>
  <c r="D193" i="1"/>
  <c r="K192" i="1"/>
  <c r="J192" i="1"/>
  <c r="E192" i="1"/>
  <c r="D192" i="1"/>
  <c r="K191" i="1"/>
  <c r="J191" i="1"/>
  <c r="E191" i="1"/>
  <c r="D191" i="1"/>
  <c r="K190" i="1"/>
  <c r="J190" i="1"/>
  <c r="E190" i="1"/>
  <c r="D190" i="1"/>
  <c r="K189" i="1"/>
  <c r="J189" i="1"/>
  <c r="E189" i="1"/>
  <c r="D189" i="1"/>
  <c r="K188" i="1"/>
  <c r="J188" i="1"/>
  <c r="E188" i="1"/>
  <c r="D188" i="1"/>
  <c r="K187" i="1"/>
  <c r="J187" i="1"/>
  <c r="E187" i="1"/>
  <c r="D187" i="1"/>
  <c r="K186" i="1"/>
  <c r="J186" i="1"/>
  <c r="E186" i="1"/>
  <c r="D186" i="1"/>
  <c r="K185" i="1"/>
  <c r="J185" i="1"/>
  <c r="E185" i="1"/>
  <c r="D185" i="1"/>
  <c r="K184" i="1"/>
  <c r="J184" i="1"/>
  <c r="E184" i="1"/>
  <c r="D184" i="1"/>
  <c r="K183" i="1"/>
  <c r="J183" i="1"/>
  <c r="E183" i="1"/>
  <c r="D183" i="1"/>
  <c r="K182" i="1"/>
  <c r="J182" i="1"/>
  <c r="E182" i="1"/>
  <c r="D182" i="1"/>
  <c r="K181" i="1"/>
  <c r="J181" i="1"/>
  <c r="E181" i="1"/>
  <c r="D181" i="1"/>
  <c r="K180" i="1"/>
  <c r="J180" i="1"/>
  <c r="E180" i="1"/>
  <c r="D180" i="1"/>
  <c r="K179" i="1"/>
  <c r="J179" i="1"/>
  <c r="E179" i="1"/>
  <c r="D179" i="1"/>
  <c r="K178" i="1"/>
  <c r="J178" i="1"/>
  <c r="E178" i="1"/>
  <c r="D178" i="1"/>
  <c r="K177" i="1"/>
  <c r="J177" i="1"/>
  <c r="E177" i="1"/>
  <c r="D177" i="1"/>
  <c r="K176" i="1"/>
  <c r="J176" i="1"/>
  <c r="E176" i="1"/>
  <c r="D176" i="1"/>
  <c r="K175" i="1"/>
  <c r="J175" i="1"/>
  <c r="E175" i="1"/>
  <c r="D175" i="1"/>
  <c r="K174" i="1"/>
  <c r="J174" i="1"/>
  <c r="E174" i="1"/>
  <c r="D174" i="1"/>
  <c r="K173" i="1"/>
  <c r="J173" i="1"/>
  <c r="E173" i="1"/>
  <c r="D173" i="1"/>
  <c r="K172" i="1"/>
  <c r="J172" i="1"/>
  <c r="E172" i="1"/>
  <c r="D172" i="1"/>
  <c r="K171" i="1"/>
  <c r="J171" i="1"/>
  <c r="E171" i="1"/>
  <c r="D171" i="1"/>
  <c r="K170" i="1"/>
  <c r="J170" i="1"/>
  <c r="E170" i="1"/>
  <c r="D170" i="1"/>
  <c r="K169" i="1"/>
  <c r="J169" i="1"/>
  <c r="E169" i="1"/>
  <c r="D169" i="1"/>
  <c r="K168" i="1"/>
  <c r="J168" i="1"/>
  <c r="E168" i="1"/>
  <c r="D168" i="1"/>
  <c r="K167" i="1"/>
  <c r="J167" i="1"/>
  <c r="E167" i="1"/>
  <c r="D167" i="1"/>
  <c r="K166" i="1"/>
  <c r="J166" i="1"/>
  <c r="E166" i="1"/>
  <c r="D166" i="1"/>
  <c r="K165" i="1"/>
  <c r="J165" i="1"/>
  <c r="E165" i="1"/>
  <c r="D165" i="1"/>
  <c r="K164" i="1"/>
  <c r="J164" i="1"/>
  <c r="E164" i="1"/>
  <c r="D164" i="1"/>
  <c r="K163" i="1"/>
  <c r="J163" i="1"/>
  <c r="E163" i="1"/>
  <c r="D163" i="1"/>
  <c r="K162" i="1"/>
  <c r="J162" i="1"/>
  <c r="E162" i="1"/>
  <c r="D162" i="1"/>
  <c r="K161" i="1"/>
  <c r="J161" i="1"/>
  <c r="E161" i="1"/>
  <c r="D161" i="1"/>
  <c r="K160" i="1"/>
  <c r="J160" i="1"/>
  <c r="E160" i="1"/>
  <c r="D160" i="1"/>
  <c r="K159" i="1"/>
  <c r="J159" i="1"/>
  <c r="E159" i="1"/>
  <c r="D159" i="1"/>
  <c r="K158" i="1"/>
  <c r="J158" i="1"/>
  <c r="E158" i="1"/>
  <c r="D158" i="1"/>
  <c r="K157" i="1"/>
  <c r="J157" i="1"/>
  <c r="E157" i="1"/>
  <c r="D157" i="1"/>
  <c r="K156" i="1"/>
  <c r="J156" i="1"/>
  <c r="E156" i="1"/>
  <c r="D156" i="1"/>
  <c r="K155" i="1"/>
  <c r="J155" i="1"/>
  <c r="E155" i="1"/>
  <c r="D155" i="1"/>
  <c r="K154" i="1"/>
  <c r="J154" i="1"/>
  <c r="E154" i="1"/>
  <c r="D154" i="1"/>
  <c r="K153" i="1"/>
  <c r="J153" i="1"/>
  <c r="E153" i="1"/>
  <c r="D153" i="1"/>
  <c r="K152" i="1"/>
  <c r="J152" i="1"/>
  <c r="E152" i="1"/>
  <c r="D152" i="1"/>
  <c r="K151" i="1"/>
  <c r="J151" i="1"/>
  <c r="E151" i="1"/>
  <c r="D151" i="1"/>
  <c r="K150" i="1"/>
  <c r="J150" i="1"/>
  <c r="E150" i="1"/>
  <c r="D150" i="1"/>
  <c r="K149" i="1"/>
  <c r="J149" i="1"/>
  <c r="E149" i="1"/>
  <c r="D149" i="1"/>
  <c r="K148" i="1"/>
  <c r="J148" i="1"/>
  <c r="E148" i="1"/>
  <c r="D148" i="1"/>
  <c r="K147" i="1"/>
  <c r="J147" i="1"/>
  <c r="E147" i="1"/>
  <c r="D147" i="1"/>
  <c r="K146" i="1"/>
  <c r="J146" i="1"/>
  <c r="E146" i="1"/>
  <c r="D146" i="1"/>
  <c r="K145" i="1"/>
  <c r="J145" i="1"/>
  <c r="E145" i="1"/>
  <c r="D145" i="1"/>
  <c r="K144" i="1"/>
  <c r="J144" i="1"/>
  <c r="E144" i="1"/>
  <c r="D144" i="1"/>
  <c r="K143" i="1"/>
  <c r="J143" i="1"/>
  <c r="E143" i="1"/>
  <c r="D143" i="1"/>
  <c r="K142" i="1"/>
  <c r="J142" i="1"/>
  <c r="E142" i="1"/>
  <c r="D142" i="1"/>
  <c r="K141" i="1"/>
  <c r="J141" i="1"/>
  <c r="E141" i="1"/>
  <c r="D141" i="1"/>
  <c r="K140" i="1"/>
  <c r="J140" i="1"/>
  <c r="E140" i="1"/>
  <c r="D140" i="1"/>
  <c r="K139" i="1"/>
  <c r="J139" i="1"/>
  <c r="E139" i="1"/>
  <c r="D139" i="1"/>
  <c r="K138" i="1"/>
  <c r="J138" i="1"/>
  <c r="E138" i="1"/>
  <c r="D138" i="1"/>
  <c r="K137" i="1"/>
  <c r="J137" i="1"/>
  <c r="E137" i="1"/>
  <c r="D137" i="1"/>
  <c r="K136" i="1"/>
  <c r="J136" i="1"/>
  <c r="E136" i="1"/>
  <c r="D136" i="1"/>
  <c r="K135" i="1"/>
  <c r="J135" i="1"/>
  <c r="E135" i="1"/>
  <c r="D135" i="1"/>
  <c r="K134" i="1"/>
  <c r="J134" i="1"/>
  <c r="E134" i="1"/>
  <c r="D134" i="1"/>
  <c r="K133" i="1"/>
  <c r="J133" i="1"/>
  <c r="E133" i="1"/>
  <c r="D133" i="1"/>
  <c r="K132" i="1"/>
  <c r="J132" i="1"/>
  <c r="E132" i="1"/>
  <c r="D132" i="1"/>
  <c r="K131" i="1"/>
  <c r="J131" i="1"/>
  <c r="E131" i="1"/>
  <c r="D131" i="1"/>
  <c r="K130" i="1"/>
  <c r="J130" i="1"/>
  <c r="E130" i="1"/>
  <c r="D130" i="1"/>
  <c r="K129" i="1"/>
  <c r="J129" i="1"/>
  <c r="E129" i="1"/>
  <c r="D129" i="1"/>
  <c r="K128" i="1"/>
  <c r="J128" i="1"/>
  <c r="E128" i="1"/>
  <c r="D128" i="1"/>
  <c r="K127" i="1"/>
  <c r="J127" i="1"/>
  <c r="E127" i="1"/>
  <c r="D127" i="1"/>
  <c r="K126" i="1"/>
  <c r="J126" i="1"/>
  <c r="E126" i="1"/>
  <c r="D126" i="1"/>
  <c r="K125" i="1"/>
  <c r="J125" i="1"/>
  <c r="E125" i="1"/>
  <c r="D125" i="1"/>
  <c r="K124" i="1"/>
  <c r="J124" i="1"/>
  <c r="E124" i="1"/>
  <c r="D124" i="1"/>
  <c r="K123" i="1"/>
  <c r="J123" i="1"/>
  <c r="E123" i="1"/>
  <c r="D123" i="1"/>
  <c r="K122" i="1"/>
  <c r="J122" i="1"/>
  <c r="E122" i="1"/>
  <c r="D122" i="1"/>
  <c r="K121" i="1"/>
  <c r="J121" i="1"/>
  <c r="E121" i="1"/>
  <c r="D121" i="1"/>
  <c r="K120" i="1"/>
  <c r="J120" i="1"/>
  <c r="E120" i="1"/>
  <c r="D120" i="1"/>
  <c r="K119" i="1"/>
  <c r="J119" i="1"/>
  <c r="E119" i="1"/>
  <c r="D119" i="1"/>
  <c r="K118" i="1"/>
  <c r="J118" i="1"/>
  <c r="E118" i="1"/>
  <c r="D118" i="1"/>
  <c r="K117" i="1"/>
  <c r="J117" i="1"/>
  <c r="E117" i="1"/>
  <c r="D117" i="1"/>
  <c r="K116" i="1"/>
  <c r="J116" i="1"/>
  <c r="E116" i="1"/>
  <c r="D116" i="1"/>
  <c r="K115" i="1"/>
  <c r="J115" i="1"/>
  <c r="E115" i="1"/>
  <c r="D115" i="1"/>
  <c r="K114" i="1"/>
  <c r="J114" i="1"/>
  <c r="E114" i="1"/>
  <c r="D114" i="1"/>
  <c r="K113" i="1"/>
  <c r="J113" i="1"/>
  <c r="E113" i="1"/>
  <c r="D113" i="1"/>
  <c r="K112" i="1"/>
  <c r="J112" i="1"/>
  <c r="E112" i="1"/>
  <c r="D112" i="1"/>
  <c r="K111" i="1"/>
  <c r="J111" i="1"/>
  <c r="E111" i="1"/>
  <c r="D111" i="1"/>
  <c r="K110" i="1"/>
  <c r="J110" i="1"/>
  <c r="E110" i="1"/>
  <c r="D110" i="1"/>
  <c r="K109" i="1"/>
  <c r="J109" i="1"/>
  <c r="E109" i="1"/>
  <c r="D109" i="1"/>
  <c r="K108" i="1"/>
  <c r="J108" i="1"/>
  <c r="E108" i="1"/>
  <c r="D108" i="1"/>
  <c r="K107" i="1"/>
  <c r="J107" i="1"/>
  <c r="E107" i="1"/>
  <c r="D107" i="1"/>
  <c r="K106" i="1"/>
  <c r="J106" i="1"/>
  <c r="E106" i="1"/>
  <c r="D106" i="1"/>
  <c r="K105" i="1"/>
  <c r="J105" i="1"/>
  <c r="E105" i="1"/>
  <c r="D105" i="1"/>
  <c r="K104" i="1"/>
  <c r="J104" i="1"/>
  <c r="E104" i="1"/>
  <c r="D104" i="1"/>
  <c r="K103" i="1"/>
  <c r="J103" i="1"/>
  <c r="E103" i="1"/>
  <c r="D103" i="1"/>
  <c r="K102" i="1"/>
  <c r="J102" i="1"/>
  <c r="E102" i="1"/>
  <c r="D102" i="1"/>
  <c r="K101" i="1"/>
  <c r="J101" i="1"/>
  <c r="E101" i="1"/>
  <c r="D101" i="1"/>
  <c r="K100" i="1"/>
  <c r="J100" i="1"/>
  <c r="E100" i="1"/>
  <c r="D100" i="1"/>
  <c r="K99" i="1"/>
  <c r="J99" i="1"/>
  <c r="E99" i="1"/>
  <c r="D99" i="1"/>
  <c r="K98" i="1"/>
  <c r="J98" i="1"/>
  <c r="E98" i="1"/>
  <c r="D98" i="1"/>
  <c r="K97" i="1"/>
  <c r="J97" i="1"/>
  <c r="E97" i="1"/>
  <c r="D97" i="1"/>
  <c r="K96" i="1"/>
  <c r="J96" i="1"/>
  <c r="E96" i="1"/>
  <c r="D96" i="1"/>
  <c r="K95" i="1"/>
  <c r="J95" i="1"/>
  <c r="E95" i="1"/>
  <c r="D95" i="1"/>
  <c r="K94" i="1"/>
  <c r="J94" i="1"/>
  <c r="E94" i="1"/>
  <c r="D94" i="1"/>
  <c r="K93" i="1"/>
  <c r="J93" i="1"/>
  <c r="E93" i="1"/>
  <c r="D93" i="1"/>
  <c r="K92" i="1"/>
  <c r="J92" i="1"/>
  <c r="E92" i="1"/>
  <c r="D92" i="1"/>
  <c r="K91" i="1"/>
  <c r="J91" i="1"/>
  <c r="E91" i="1"/>
  <c r="D91" i="1"/>
  <c r="K90" i="1"/>
  <c r="J90" i="1"/>
  <c r="E90" i="1"/>
  <c r="D90" i="1"/>
  <c r="K89" i="1"/>
  <c r="J89" i="1"/>
  <c r="E89" i="1"/>
  <c r="D89" i="1"/>
  <c r="K88" i="1"/>
  <c r="J88" i="1"/>
  <c r="E88" i="1"/>
  <c r="D88" i="1"/>
  <c r="K87" i="1"/>
  <c r="J87" i="1"/>
  <c r="E87" i="1"/>
  <c r="D87" i="1"/>
  <c r="K86" i="1"/>
  <c r="J86" i="1"/>
  <c r="E86" i="1"/>
  <c r="D86" i="1"/>
  <c r="K85" i="1"/>
  <c r="J85" i="1"/>
  <c r="E85" i="1"/>
  <c r="D85" i="1"/>
  <c r="K84" i="1"/>
  <c r="J84" i="1"/>
  <c r="E84" i="1"/>
  <c r="D84" i="1"/>
  <c r="K83" i="1"/>
  <c r="J83" i="1"/>
  <c r="E83" i="1"/>
  <c r="D83" i="1"/>
  <c r="K82" i="1"/>
  <c r="J82" i="1"/>
  <c r="E82" i="1"/>
  <c r="D82" i="1"/>
  <c r="K81" i="1"/>
  <c r="J81" i="1"/>
  <c r="E81" i="1"/>
  <c r="D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K204" i="1" s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K202" i="1" s="1"/>
  <c r="J8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211" i="1" l="1"/>
  <c r="H216" i="1" s="1"/>
  <c r="K207" i="1"/>
  <c r="N209" i="1" s="1"/>
  <c r="E205" i="1"/>
  <c r="K211" i="1"/>
  <c r="N216" i="1" s="1"/>
  <c r="K205" i="1"/>
  <c r="K209" i="1"/>
  <c r="N213" i="1" s="1"/>
  <c r="E210" i="1"/>
  <c r="E209" i="1"/>
  <c r="H213" i="1" s="1"/>
  <c r="E208" i="1"/>
  <c r="E207" i="1"/>
  <c r="K208" i="1"/>
  <c r="N212" i="1" s="1"/>
  <c r="H215" i="1"/>
  <c r="H212" i="1"/>
  <c r="E202" i="1"/>
  <c r="H211" i="1"/>
  <c r="N214" i="1"/>
  <c r="N207" i="1"/>
  <c r="N208" i="1"/>
  <c r="N210" i="1"/>
  <c r="E204" i="1"/>
  <c r="N211" i="1"/>
  <c r="H214" i="1"/>
  <c r="N215" i="1" l="1"/>
  <c r="H208" i="1"/>
  <c r="H207" i="1"/>
  <c r="H209" i="1"/>
  <c r="H210" i="1"/>
</calcChain>
</file>

<file path=xl/sharedStrings.xml><?xml version="1.0" encoding="utf-8"?>
<sst xmlns="http://schemas.openxmlformats.org/spreadsheetml/2006/main" count="635" uniqueCount="265">
  <si>
    <t>nit amm</t>
  </si>
  <si>
    <t>1A</t>
  </si>
  <si>
    <t>1B</t>
  </si>
  <si>
    <t>1C</t>
  </si>
  <si>
    <t>1D</t>
  </si>
  <si>
    <t>1E</t>
  </si>
  <si>
    <t>2A</t>
  </si>
  <si>
    <t>2B</t>
  </si>
  <si>
    <t>2C</t>
  </si>
  <si>
    <t>2D</t>
  </si>
  <si>
    <t>2E</t>
  </si>
  <si>
    <t>3A</t>
  </si>
  <si>
    <t>3B</t>
  </si>
  <si>
    <t>3C</t>
  </si>
  <si>
    <t>3D</t>
  </si>
  <si>
    <t>3E</t>
  </si>
  <si>
    <t>4A</t>
  </si>
  <si>
    <t>4B</t>
  </si>
  <si>
    <t>4C</t>
  </si>
  <si>
    <t>4D</t>
  </si>
  <si>
    <t>4E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</si>
  <si>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</si>
  <si>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</si>
  <si>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</si>
  <si>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</si>
  <si>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</si>
  <si>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</si>
  <si>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</si>
  <si>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</si>
  <si>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</si>
  <si>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6E</t>
  </si>
  <si>
    <t>7A</t>
  </si>
  <si>
    <t>7B</t>
  </si>
  <si>
    <t>7C</t>
  </si>
  <si>
    <t>7D</t>
  </si>
  <si>
    <t>7E</t>
  </si>
  <si>
    <t>8A</t>
  </si>
  <si>
    <t>8B</t>
  </si>
  <si>
    <t>8C</t>
  </si>
  <si>
    <t>8D</t>
  </si>
  <si>
    <t>8E</t>
  </si>
  <si>
    <t>9A</t>
  </si>
  <si>
    <t>9B</t>
  </si>
  <si>
    <t>9C</t>
  </si>
  <si>
    <t>9D</t>
  </si>
  <si>
    <t>9E</t>
  </si>
  <si>
    <t>10A</t>
  </si>
  <si>
    <t>10B</t>
  </si>
  <si>
    <t>10C</t>
  </si>
  <si>
    <t>10D</t>
  </si>
  <si>
    <t>10E</t>
  </si>
  <si>
    <t>11A</t>
  </si>
  <si>
    <t>11B</t>
  </si>
  <si>
    <t>11C</t>
  </si>
  <si>
    <t>11D</t>
  </si>
  <si>
    <t>11E</t>
  </si>
  <si>
    <t>12A</t>
  </si>
  <si>
    <t>12B</t>
  </si>
  <si>
    <t>12C</t>
  </si>
  <si>
    <t>12D</t>
  </si>
  <si>
    <t>12E</t>
  </si>
  <si>
    <t>13A</t>
  </si>
  <si>
    <t>13B</t>
  </si>
  <si>
    <t>13C</t>
  </si>
  <si>
    <t>14A</t>
  </si>
  <si>
    <t>14B</t>
  </si>
  <si>
    <t>14C</t>
  </si>
  <si>
    <t>14D</t>
  </si>
  <si>
    <t>14E</t>
  </si>
  <si>
    <t>15A</t>
  </si>
  <si>
    <t>15B</t>
  </si>
  <si>
    <t>15C</t>
  </si>
  <si>
    <t>15D</t>
  </si>
  <si>
    <t>15E</t>
  </si>
  <si>
    <t>NO3</t>
  </si>
  <si>
    <t>NH4</t>
  </si>
  <si>
    <t>NO3 N</t>
  </si>
  <si>
    <t>dry soil</t>
  </si>
  <si>
    <t>kg N per</t>
  </si>
  <si>
    <t>mg N per</t>
  </si>
  <si>
    <t>NH4 N</t>
  </si>
  <si>
    <t>site</t>
  </si>
  <si>
    <t>ppm in extract</t>
  </si>
  <si>
    <t>wt. gms.</t>
  </si>
  <si>
    <t>hectare</t>
  </si>
  <si>
    <t>kg dry soil</t>
  </si>
  <si>
    <t>16A</t>
  </si>
  <si>
    <t>16B</t>
  </si>
  <si>
    <t>16C</t>
  </si>
  <si>
    <t>16D</t>
  </si>
  <si>
    <t>16E</t>
  </si>
  <si>
    <t>17A</t>
  </si>
  <si>
    <t>17B</t>
  </si>
  <si>
    <t>17C</t>
  </si>
  <si>
    <t>17D</t>
  </si>
  <si>
    <t>18A</t>
  </si>
  <si>
    <t>18B</t>
  </si>
  <si>
    <t>18C</t>
  </si>
  <si>
    <t>18D</t>
  </si>
  <si>
    <t>18E</t>
  </si>
  <si>
    <t>19A</t>
  </si>
  <si>
    <t>19B</t>
  </si>
  <si>
    <t>19C</t>
  </si>
  <si>
    <t>19D</t>
  </si>
  <si>
    <t>19E</t>
  </si>
  <si>
    <t>20A</t>
  </si>
  <si>
    <t>20B</t>
  </si>
  <si>
    <t>20C</t>
  </si>
  <si>
    <t>20D</t>
  </si>
  <si>
    <t>20E</t>
  </si>
  <si>
    <t>21A</t>
  </si>
  <si>
    <t>21B</t>
  </si>
  <si>
    <t>21C</t>
  </si>
  <si>
    <t>21D</t>
  </si>
  <si>
    <t>21E</t>
  </si>
  <si>
    <t>22A</t>
  </si>
  <si>
    <t>22B</t>
  </si>
  <si>
    <t>22C</t>
  </si>
  <si>
    <t>22D</t>
  </si>
  <si>
    <t>22E</t>
  </si>
  <si>
    <t>23A</t>
  </si>
  <si>
    <t>23B</t>
  </si>
  <si>
    <t>23C</t>
  </si>
  <si>
    <t>24A</t>
  </si>
  <si>
    <t>24B</t>
  </si>
  <si>
    <t>24C</t>
  </si>
  <si>
    <t>24D</t>
  </si>
  <si>
    <t>25A</t>
  </si>
  <si>
    <t>25B</t>
  </si>
  <si>
    <t>25C</t>
  </si>
  <si>
    <t>25D</t>
  </si>
  <si>
    <t>25E</t>
  </si>
  <si>
    <t>26A</t>
  </si>
  <si>
    <t>26B</t>
  </si>
  <si>
    <t>26C</t>
  </si>
  <si>
    <t>26D</t>
  </si>
  <si>
    <t>26E</t>
  </si>
  <si>
    <t>27A</t>
  </si>
  <si>
    <t>27B</t>
  </si>
  <si>
    <t>27C</t>
  </si>
  <si>
    <t>27D</t>
  </si>
  <si>
    <t>27E</t>
  </si>
  <si>
    <t>F13 Mar 2017 soil combined data</t>
  </si>
  <si>
    <t>ran on Seal April 2017</t>
  </si>
  <si>
    <t>28A</t>
  </si>
  <si>
    <t>28B</t>
  </si>
  <si>
    <t>28C</t>
  </si>
  <si>
    <t>28D</t>
  </si>
  <si>
    <t>29A</t>
  </si>
  <si>
    <t>29B</t>
  </si>
  <si>
    <t>29C</t>
  </si>
  <si>
    <t>29D</t>
  </si>
  <si>
    <t>29E</t>
  </si>
  <si>
    <t>30A</t>
  </si>
  <si>
    <t>30B</t>
  </si>
  <si>
    <t>30C</t>
  </si>
  <si>
    <t>30D</t>
  </si>
  <si>
    <t>30E</t>
  </si>
  <si>
    <t>31A</t>
  </si>
  <si>
    <t>31B</t>
  </si>
  <si>
    <t>31C</t>
  </si>
  <si>
    <t>31D</t>
  </si>
  <si>
    <t>31E</t>
  </si>
  <si>
    <t>32A</t>
  </si>
  <si>
    <t>32B</t>
  </si>
  <si>
    <t>32C</t>
  </si>
  <si>
    <t>32D</t>
  </si>
  <si>
    <t>32E</t>
  </si>
  <si>
    <t>33A</t>
  </si>
  <si>
    <t>33B</t>
  </si>
  <si>
    <t>33C</t>
  </si>
  <si>
    <t>33D</t>
  </si>
  <si>
    <t>33E</t>
  </si>
  <si>
    <t>34A</t>
  </si>
  <si>
    <t>34B</t>
  </si>
  <si>
    <t>34C</t>
  </si>
  <si>
    <t>34D</t>
  </si>
  <si>
    <t>34E</t>
  </si>
  <si>
    <t>35A</t>
  </si>
  <si>
    <t>35B</t>
  </si>
  <si>
    <t>35C</t>
  </si>
  <si>
    <t>35D</t>
  </si>
  <si>
    <t>35E</t>
  </si>
  <si>
    <t>36A</t>
  </si>
  <si>
    <t>36B</t>
  </si>
  <si>
    <t>36C</t>
  </si>
  <si>
    <t>36D</t>
  </si>
  <si>
    <t>36E</t>
  </si>
  <si>
    <t>37A</t>
  </si>
  <si>
    <t>37B</t>
  </si>
  <si>
    <t>37C</t>
  </si>
  <si>
    <t>37D</t>
  </si>
  <si>
    <t>37E</t>
  </si>
  <si>
    <t>38A</t>
  </si>
  <si>
    <t>38B</t>
  </si>
  <si>
    <t>38C</t>
  </si>
  <si>
    <t>38D</t>
  </si>
  <si>
    <t>38E</t>
  </si>
  <si>
    <t>39A</t>
  </si>
  <si>
    <t>39B</t>
  </si>
  <si>
    <t>39C</t>
  </si>
  <si>
    <t>39D</t>
  </si>
  <si>
    <t>39E</t>
  </si>
  <si>
    <t>40A</t>
  </si>
  <si>
    <t>40B</t>
  </si>
  <si>
    <t>40C</t>
  </si>
  <si>
    <t>40D</t>
  </si>
  <si>
    <t>40E</t>
  </si>
  <si>
    <t>A</t>
  </si>
  <si>
    <t>B</t>
  </si>
  <si>
    <t>C</t>
  </si>
  <si>
    <t>D</t>
  </si>
  <si>
    <t>E</t>
  </si>
  <si>
    <t>0-40cm</t>
  </si>
  <si>
    <t>40-80cm</t>
  </si>
  <si>
    <t>80-120cm</t>
  </si>
  <si>
    <t>120-160cm</t>
  </si>
  <si>
    <t>160-200cm</t>
  </si>
  <si>
    <t>Year</t>
  </si>
  <si>
    <t>DOY</t>
  </si>
  <si>
    <t>SOIL_DATE</t>
  </si>
  <si>
    <t>Depth</t>
  </si>
  <si>
    <t>SNO3</t>
  </si>
  <si>
    <t>Sample</t>
  </si>
  <si>
    <t>SNH4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</si>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</sst>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7" formatCode="mm/dd/yyyy"/>
    <numFmt numFmtId="168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16" fillId="0" borderId="0" xfId="0" applyFon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F439-F5DC-4ACE-B6FD-38D75BF1D944}">
  <dimension ref="A1:G201"/>
  <sheetViews>
    <sheetView tabSelected="1" topLeftCell="A136" workbookViewId="0">
      <selection activeCell="D201" sqref="D201"/>
    </sheetView>
  </sheetViews>
  <sheetFormatPr defaultRowHeight="15" x14ac:dyDescent="0.25"/>
  <cols>
    <col min="3" max="3" width="10.7109375" bestFit="1" customWidth="1"/>
  </cols>
  <sheetData>
    <row r="1" spans="1:7" x14ac:dyDescent="0.25">
      <c r="A1" t="s">
        <v>218</v>
      </c>
      <c r="B1" t="s">
        <v>219</v>
      </c>
      <c r="C1" t="s">
        <v>220</v>
      </c>
      <c r="D1" t="s">
        <v>223</v>
      </c>
      <c r="E1" t="s">
        <v>221</v>
      </c>
      <c r="F1" t="s">
        <v>222</v>
      </c>
      <c r="G1" t="s">
        <v>224</v>
      </c>
    </row>
    <row r="2" spans="1:7" x14ac:dyDescent="0.25">
      <c r="A2">
        <v>2017</v>
      </c>
      <c r="B2">
        <v>75</v>
      </c>
      <c r="C2" s="9">
        <v>42810</v>
      </c>
      <c r="D2" t="s">
        <v>225</v>
      </c>
      <c r="E2">
        <v>20</v>
      </c>
      <c r="F2" s="10">
        <v>4.9800796812749008E-2</v>
      </c>
      <c r="G2" s="10">
        <v>2.7689243027888448</v>
      </c>
    </row>
    <row r="3" spans="1:7" x14ac:dyDescent="0.25">
      <c r="A3">
        <v>2017</v>
      </c>
      <c r="B3">
        <v>75</v>
      </c>
      <c r="C3" s="9">
        <v>42810</v>
      </c>
      <c r="D3" t="s">
        <v>225</v>
      </c>
      <c r="E3">
        <v>60</v>
      </c>
      <c r="F3" s="10">
        <v>0.34294234592445333</v>
      </c>
      <c r="G3" s="10">
        <v>1.5854870775347913</v>
      </c>
    </row>
    <row r="4" spans="1:7" x14ac:dyDescent="0.25">
      <c r="A4">
        <v>2017</v>
      </c>
      <c r="B4">
        <v>75</v>
      </c>
      <c r="C4" s="9">
        <v>42810</v>
      </c>
      <c r="D4" t="s">
        <v>225</v>
      </c>
      <c r="E4">
        <v>100</v>
      </c>
      <c r="F4" s="10">
        <v>1.6233766233766236</v>
      </c>
      <c r="G4" s="10">
        <v>0.76423576423576434</v>
      </c>
    </row>
    <row r="5" spans="1:7" x14ac:dyDescent="0.25">
      <c r="A5">
        <v>2017</v>
      </c>
      <c r="B5">
        <v>75</v>
      </c>
      <c r="C5" s="9">
        <v>42810</v>
      </c>
      <c r="D5" t="s">
        <v>225</v>
      </c>
      <c r="E5">
        <v>140</v>
      </c>
      <c r="F5" s="10">
        <v>5.4369414101290969</v>
      </c>
      <c r="G5" s="10">
        <v>0.33763654419066541</v>
      </c>
    </row>
    <row r="6" spans="1:7" x14ac:dyDescent="0.25">
      <c r="A6">
        <v>2017</v>
      </c>
      <c r="B6">
        <v>75</v>
      </c>
      <c r="C6" s="9">
        <v>42810</v>
      </c>
      <c r="D6" t="s">
        <v>225</v>
      </c>
      <c r="E6">
        <v>180</v>
      </c>
      <c r="F6" s="10">
        <v>7.68660405338606</v>
      </c>
      <c r="G6" s="10">
        <v>0.76124567474048432</v>
      </c>
    </row>
    <row r="7" spans="1:7" x14ac:dyDescent="0.25">
      <c r="A7">
        <v>2017</v>
      </c>
      <c r="B7">
        <v>75</v>
      </c>
      <c r="C7" s="9">
        <v>42810</v>
      </c>
      <c r="D7" t="s">
        <v>226</v>
      </c>
      <c r="E7">
        <v>20</v>
      </c>
      <c r="F7" s="10">
        <v>0.87171867261020286</v>
      </c>
      <c r="G7" s="10">
        <v>3.4720158494304103</v>
      </c>
    </row>
    <row r="8" spans="1:7" x14ac:dyDescent="0.25">
      <c r="A8">
        <v>2017</v>
      </c>
      <c r="B8">
        <v>75</v>
      </c>
      <c r="C8" s="9">
        <v>42810</v>
      </c>
      <c r="D8" t="s">
        <v>226</v>
      </c>
      <c r="E8">
        <v>60</v>
      </c>
      <c r="F8" s="10">
        <v>12.243781094527364</v>
      </c>
      <c r="G8" s="10">
        <v>2.0000000000000004</v>
      </c>
    </row>
    <row r="9" spans="1:7" x14ac:dyDescent="0.25">
      <c r="A9">
        <v>2017</v>
      </c>
      <c r="B9">
        <v>75</v>
      </c>
      <c r="C9" s="9">
        <v>42810</v>
      </c>
      <c r="D9" t="s">
        <v>226</v>
      </c>
      <c r="E9">
        <v>100</v>
      </c>
      <c r="F9" s="10">
        <v>8.156452416542102</v>
      </c>
      <c r="G9" s="10">
        <v>0.92675635276532131</v>
      </c>
    </row>
    <row r="10" spans="1:7" x14ac:dyDescent="0.25">
      <c r="A10">
        <v>2017</v>
      </c>
      <c r="B10">
        <v>75</v>
      </c>
      <c r="C10" s="9">
        <v>42810</v>
      </c>
      <c r="D10" t="s">
        <v>226</v>
      </c>
      <c r="E10">
        <v>140</v>
      </c>
      <c r="F10" s="10">
        <v>4.6873461349089114</v>
      </c>
      <c r="G10" s="10">
        <v>0.50221565731166906</v>
      </c>
    </row>
    <row r="11" spans="1:7" x14ac:dyDescent="0.25">
      <c r="A11">
        <v>2017</v>
      </c>
      <c r="B11">
        <v>75</v>
      </c>
      <c r="C11" s="9">
        <v>42810</v>
      </c>
      <c r="D11" t="s">
        <v>226</v>
      </c>
      <c r="E11">
        <v>180</v>
      </c>
      <c r="F11" s="10">
        <v>3.1712158808933002</v>
      </c>
      <c r="G11" s="10">
        <v>0.72456575682382129</v>
      </c>
    </row>
    <row r="12" spans="1:7" x14ac:dyDescent="0.25">
      <c r="A12">
        <v>2017</v>
      </c>
      <c r="B12">
        <v>75</v>
      </c>
      <c r="C12" s="9">
        <v>42810</v>
      </c>
      <c r="D12" t="s">
        <v>227</v>
      </c>
      <c r="E12">
        <v>20</v>
      </c>
      <c r="F12" s="10">
        <v>3.8838818901558532</v>
      </c>
      <c r="G12" s="10">
        <v>3.8490265398595827</v>
      </c>
    </row>
    <row r="13" spans="1:7" x14ac:dyDescent="0.25">
      <c r="A13">
        <v>2017</v>
      </c>
      <c r="B13">
        <v>75</v>
      </c>
      <c r="C13" s="9">
        <v>42810</v>
      </c>
      <c r="D13" t="s">
        <v>227</v>
      </c>
      <c r="E13">
        <v>60</v>
      </c>
      <c r="F13" s="10">
        <v>14.657281214118118</v>
      </c>
      <c r="G13" s="10">
        <v>1.7922220558134894</v>
      </c>
    </row>
    <row r="14" spans="1:7" x14ac:dyDescent="0.25">
      <c r="A14">
        <v>2017</v>
      </c>
      <c r="B14">
        <v>75</v>
      </c>
      <c r="C14" s="9">
        <v>42810</v>
      </c>
      <c r="D14" t="s">
        <v>227</v>
      </c>
      <c r="E14">
        <v>100</v>
      </c>
      <c r="F14" s="10">
        <v>8.7510024057738569</v>
      </c>
      <c r="G14" s="10">
        <v>0.87710505212510004</v>
      </c>
    </row>
    <row r="15" spans="1:7" x14ac:dyDescent="0.25">
      <c r="A15">
        <v>2017</v>
      </c>
      <c r="B15">
        <v>75</v>
      </c>
      <c r="C15" s="9">
        <v>42810</v>
      </c>
      <c r="D15" t="s">
        <v>227</v>
      </c>
      <c r="E15">
        <v>140</v>
      </c>
      <c r="F15" s="10">
        <v>3.7482461415113253</v>
      </c>
      <c r="G15" s="10">
        <v>0.63640008017638805</v>
      </c>
    </row>
    <row r="16" spans="1:7" x14ac:dyDescent="0.25">
      <c r="A16">
        <v>2017</v>
      </c>
      <c r="B16">
        <v>75</v>
      </c>
      <c r="C16" s="9">
        <v>42810</v>
      </c>
      <c r="D16" t="s">
        <v>227</v>
      </c>
      <c r="E16">
        <v>180</v>
      </c>
      <c r="F16" s="10">
        <v>3.4048297585120744</v>
      </c>
      <c r="G16" s="10">
        <v>1.0199490025498723</v>
      </c>
    </row>
    <row r="17" spans="1:7" x14ac:dyDescent="0.25">
      <c r="A17">
        <v>2017</v>
      </c>
      <c r="B17">
        <v>75</v>
      </c>
      <c r="C17" s="9">
        <v>42810</v>
      </c>
      <c r="D17" t="s">
        <v>228</v>
      </c>
      <c r="E17">
        <v>20</v>
      </c>
      <c r="F17" s="10">
        <v>0.3293413173652695</v>
      </c>
      <c r="G17" s="10">
        <v>3.8522954091816373</v>
      </c>
    </row>
    <row r="18" spans="1:7" x14ac:dyDescent="0.25">
      <c r="A18">
        <v>2017</v>
      </c>
      <c r="B18">
        <v>75</v>
      </c>
      <c r="C18" s="9">
        <v>42810</v>
      </c>
      <c r="D18" t="s">
        <v>228</v>
      </c>
      <c r="E18">
        <v>60</v>
      </c>
      <c r="F18" s="10">
        <v>3.9773292234264686E-2</v>
      </c>
      <c r="G18" s="10">
        <v>2.14278611912101</v>
      </c>
    </row>
    <row r="19" spans="1:7" x14ac:dyDescent="0.25">
      <c r="A19">
        <v>2017</v>
      </c>
      <c r="B19">
        <v>75</v>
      </c>
      <c r="C19" s="9">
        <v>42810</v>
      </c>
      <c r="D19" t="s">
        <v>228</v>
      </c>
      <c r="E19">
        <v>100</v>
      </c>
      <c r="F19" s="10">
        <v>0</v>
      </c>
      <c r="G19" s="10">
        <v>1.1406844106463878</v>
      </c>
    </row>
    <row r="20" spans="1:7" x14ac:dyDescent="0.25">
      <c r="A20">
        <v>2017</v>
      </c>
      <c r="B20">
        <v>75</v>
      </c>
      <c r="C20" s="9">
        <v>42810</v>
      </c>
      <c r="D20" t="s">
        <v>228</v>
      </c>
      <c r="E20">
        <v>140</v>
      </c>
      <c r="F20" s="10">
        <v>1.04</v>
      </c>
      <c r="G20" s="10">
        <v>0.86499999999999999</v>
      </c>
    </row>
    <row r="21" spans="1:7" x14ac:dyDescent="0.25">
      <c r="A21">
        <v>2017</v>
      </c>
      <c r="B21">
        <v>75</v>
      </c>
      <c r="C21" s="9">
        <v>42810</v>
      </c>
      <c r="D21" t="s">
        <v>228</v>
      </c>
      <c r="E21">
        <v>180</v>
      </c>
      <c r="F21" s="10">
        <v>2.0187887267639417</v>
      </c>
      <c r="G21" s="10">
        <v>0.75454727163701785</v>
      </c>
    </row>
    <row r="22" spans="1:7" x14ac:dyDescent="0.25">
      <c r="A22">
        <v>2017</v>
      </c>
      <c r="B22">
        <v>75</v>
      </c>
      <c r="C22" s="9">
        <v>42810</v>
      </c>
      <c r="D22" t="s">
        <v>229</v>
      </c>
      <c r="E22">
        <v>20</v>
      </c>
      <c r="F22" s="10">
        <v>3.0135610246107482E-2</v>
      </c>
      <c r="G22" s="10">
        <v>3.9075841285786033</v>
      </c>
    </row>
    <row r="23" spans="1:7" x14ac:dyDescent="0.25">
      <c r="A23">
        <v>2017</v>
      </c>
      <c r="B23">
        <v>75</v>
      </c>
      <c r="C23" s="9">
        <v>42810</v>
      </c>
      <c r="D23" t="s">
        <v>229</v>
      </c>
      <c r="E23">
        <v>60</v>
      </c>
      <c r="F23" s="10">
        <v>0.28910377828730932</v>
      </c>
      <c r="G23" s="10">
        <v>2.0137573522081547</v>
      </c>
    </row>
    <row r="24" spans="1:7" x14ac:dyDescent="0.25">
      <c r="A24">
        <v>2017</v>
      </c>
      <c r="B24">
        <v>75</v>
      </c>
      <c r="C24" s="9">
        <v>42810</v>
      </c>
      <c r="D24" t="s">
        <v>229</v>
      </c>
      <c r="E24">
        <v>100</v>
      </c>
      <c r="F24" s="10">
        <v>1.5553888472118029</v>
      </c>
      <c r="G24" s="10">
        <v>0.89522380595148787</v>
      </c>
    </row>
    <row r="25" spans="1:7" x14ac:dyDescent="0.25">
      <c r="A25">
        <v>2017</v>
      </c>
      <c r="B25">
        <v>75</v>
      </c>
      <c r="C25" s="9">
        <v>42810</v>
      </c>
      <c r="D25" t="s">
        <v>229</v>
      </c>
      <c r="E25">
        <v>140</v>
      </c>
      <c r="F25" s="10">
        <v>3.6852092280035946</v>
      </c>
      <c r="G25" s="10">
        <v>1.0736043143912912</v>
      </c>
    </row>
    <row r="26" spans="1:7" x14ac:dyDescent="0.25">
      <c r="A26">
        <v>2017</v>
      </c>
      <c r="B26">
        <v>75</v>
      </c>
      <c r="C26" s="9">
        <v>42810</v>
      </c>
      <c r="D26" t="s">
        <v>229</v>
      </c>
      <c r="E26">
        <v>180</v>
      </c>
      <c r="F26" s="10">
        <v>3.4000099270362836</v>
      </c>
      <c r="G26" s="10">
        <v>1.0522658460316672</v>
      </c>
    </row>
    <row r="27" spans="1:7" x14ac:dyDescent="0.25">
      <c r="A27">
        <v>2017</v>
      </c>
      <c r="B27">
        <v>75</v>
      </c>
      <c r="C27" s="9">
        <v>42810</v>
      </c>
      <c r="D27" t="s">
        <v>230</v>
      </c>
      <c r="E27">
        <v>20</v>
      </c>
      <c r="F27" s="10">
        <v>0.61346633416458851</v>
      </c>
      <c r="G27" s="10">
        <v>3.7157107231920201</v>
      </c>
    </row>
    <row r="28" spans="1:7" x14ac:dyDescent="0.25">
      <c r="A28">
        <v>2017</v>
      </c>
      <c r="B28">
        <v>75</v>
      </c>
      <c r="C28" s="9">
        <v>42810</v>
      </c>
      <c r="D28" t="s">
        <v>230</v>
      </c>
      <c r="E28">
        <v>60</v>
      </c>
      <c r="F28" s="10">
        <v>0.375</v>
      </c>
      <c r="G28" s="10">
        <v>2.23</v>
      </c>
    </row>
    <row r="29" spans="1:7" x14ac:dyDescent="0.25">
      <c r="A29">
        <v>2017</v>
      </c>
      <c r="B29">
        <v>75</v>
      </c>
      <c r="C29" s="9">
        <v>42810</v>
      </c>
      <c r="D29" t="s">
        <v>230</v>
      </c>
      <c r="E29">
        <v>100</v>
      </c>
      <c r="F29" s="10">
        <v>0.60030015007503745</v>
      </c>
      <c r="G29" s="10">
        <v>1.1555777888944472</v>
      </c>
    </row>
    <row r="30" spans="1:7" x14ac:dyDescent="0.25">
      <c r="A30">
        <v>2017</v>
      </c>
      <c r="B30">
        <v>75</v>
      </c>
      <c r="C30" s="9">
        <v>42810</v>
      </c>
      <c r="D30" t="s">
        <v>230</v>
      </c>
      <c r="E30">
        <v>140</v>
      </c>
      <c r="F30" s="10">
        <v>3.7905236907730675</v>
      </c>
      <c r="G30" s="10">
        <v>0.70324189526184533</v>
      </c>
    </row>
    <row r="31" spans="1:7" x14ac:dyDescent="0.25">
      <c r="A31">
        <v>2017</v>
      </c>
      <c r="B31">
        <v>75</v>
      </c>
      <c r="C31" s="9">
        <v>42810</v>
      </c>
      <c r="D31" t="s">
        <v>230</v>
      </c>
      <c r="E31">
        <v>180</v>
      </c>
      <c r="F31" s="10">
        <v>7.1919489445262652</v>
      </c>
      <c r="G31" s="10">
        <v>0.6921944035346097</v>
      </c>
    </row>
    <row r="32" spans="1:7" x14ac:dyDescent="0.25">
      <c r="A32">
        <v>2017</v>
      </c>
      <c r="B32">
        <v>75</v>
      </c>
      <c r="C32" s="9">
        <v>42810</v>
      </c>
      <c r="D32" t="s">
        <v>231</v>
      </c>
      <c r="E32">
        <v>20</v>
      </c>
      <c r="F32" s="10">
        <v>2.3201174743024962</v>
      </c>
      <c r="G32" s="10">
        <v>3.597650513950073</v>
      </c>
    </row>
    <row r="33" spans="1:7" x14ac:dyDescent="0.25">
      <c r="A33">
        <v>2017</v>
      </c>
      <c r="B33">
        <v>75</v>
      </c>
      <c r="C33" s="9">
        <v>42810</v>
      </c>
      <c r="D33" t="s">
        <v>231</v>
      </c>
      <c r="E33">
        <v>60</v>
      </c>
      <c r="F33" s="10">
        <v>0.80677290836653393</v>
      </c>
      <c r="G33" s="10">
        <v>1.797808764940239</v>
      </c>
    </row>
    <row r="34" spans="1:7" x14ac:dyDescent="0.25">
      <c r="A34">
        <v>2017</v>
      </c>
      <c r="B34">
        <v>75</v>
      </c>
      <c r="C34" s="9">
        <v>42810</v>
      </c>
      <c r="D34" t="s">
        <v>231</v>
      </c>
      <c r="E34">
        <v>100</v>
      </c>
      <c r="F34" s="10">
        <v>2.5499001996007986</v>
      </c>
      <c r="G34" s="10">
        <v>0.63872255489021967</v>
      </c>
    </row>
    <row r="35" spans="1:7" x14ac:dyDescent="0.25">
      <c r="A35">
        <v>2017</v>
      </c>
      <c r="B35">
        <v>75</v>
      </c>
      <c r="C35" s="9">
        <v>42810</v>
      </c>
      <c r="D35" t="s">
        <v>231</v>
      </c>
      <c r="E35">
        <v>140</v>
      </c>
      <c r="F35" s="10">
        <v>3.2223310479921654</v>
      </c>
      <c r="G35" s="10">
        <v>0.49461312438785515</v>
      </c>
    </row>
    <row r="36" spans="1:7" x14ac:dyDescent="0.25">
      <c r="A36">
        <v>2017</v>
      </c>
      <c r="B36">
        <v>75</v>
      </c>
      <c r="C36" s="9">
        <v>42810</v>
      </c>
      <c r="D36" t="s">
        <v>231</v>
      </c>
      <c r="E36">
        <v>180</v>
      </c>
      <c r="F36" s="10">
        <v>4.071394114809455</v>
      </c>
      <c r="G36" s="10">
        <v>0.61746261456825857</v>
      </c>
    </row>
    <row r="37" spans="1:7" x14ac:dyDescent="0.25">
      <c r="A37">
        <v>2017</v>
      </c>
      <c r="B37">
        <v>75</v>
      </c>
      <c r="C37" s="9">
        <v>42810</v>
      </c>
      <c r="D37" t="s">
        <v>232</v>
      </c>
      <c r="E37">
        <v>20</v>
      </c>
      <c r="F37" s="10">
        <v>1.9512195121951223E-2</v>
      </c>
      <c r="G37" s="10">
        <v>3.0829268292682932</v>
      </c>
    </row>
    <row r="38" spans="1:7" x14ac:dyDescent="0.25">
      <c r="A38">
        <v>2017</v>
      </c>
      <c r="B38">
        <v>75</v>
      </c>
      <c r="C38" s="9">
        <v>42810</v>
      </c>
      <c r="D38" t="s">
        <v>232</v>
      </c>
      <c r="E38">
        <v>60</v>
      </c>
      <c r="F38" s="10">
        <v>0</v>
      </c>
      <c r="G38" s="10">
        <v>1.2718204488778055</v>
      </c>
    </row>
    <row r="39" spans="1:7" x14ac:dyDescent="0.25">
      <c r="A39">
        <v>2017</v>
      </c>
      <c r="B39">
        <v>75</v>
      </c>
      <c r="C39" s="9">
        <v>42810</v>
      </c>
      <c r="D39" t="s">
        <v>232</v>
      </c>
      <c r="E39">
        <v>100</v>
      </c>
      <c r="F39" s="10">
        <v>0.19512195121951223</v>
      </c>
      <c r="G39" s="10">
        <v>0.9902439024390246</v>
      </c>
    </row>
    <row r="40" spans="1:7" x14ac:dyDescent="0.25">
      <c r="A40">
        <v>2017</v>
      </c>
      <c r="B40">
        <v>75</v>
      </c>
      <c r="C40" s="9">
        <v>42810</v>
      </c>
      <c r="D40" t="s">
        <v>232</v>
      </c>
      <c r="E40">
        <v>140</v>
      </c>
      <c r="F40" s="10">
        <v>1.6658378915962209</v>
      </c>
      <c r="G40" s="10">
        <v>1.163600198906017</v>
      </c>
    </row>
    <row r="41" spans="1:7" x14ac:dyDescent="0.25">
      <c r="A41">
        <v>2017</v>
      </c>
      <c r="B41">
        <v>75</v>
      </c>
      <c r="C41" s="9">
        <v>42810</v>
      </c>
      <c r="D41" t="s">
        <v>232</v>
      </c>
      <c r="E41">
        <v>180</v>
      </c>
      <c r="F41" s="10">
        <v>1.4285714285714284</v>
      </c>
      <c r="G41" s="10">
        <v>0.78148332503733198</v>
      </c>
    </row>
    <row r="42" spans="1:7" x14ac:dyDescent="0.25">
      <c r="A42">
        <v>2017</v>
      </c>
      <c r="B42">
        <v>75</v>
      </c>
      <c r="C42" s="9">
        <v>42810</v>
      </c>
      <c r="D42" t="s">
        <v>233</v>
      </c>
      <c r="E42">
        <v>20</v>
      </c>
      <c r="F42" s="10">
        <v>0.41307742682988263</v>
      </c>
      <c r="G42" s="10">
        <v>4.4179134552415498</v>
      </c>
    </row>
    <row r="43" spans="1:7" x14ac:dyDescent="0.25">
      <c r="A43">
        <v>2017</v>
      </c>
      <c r="B43">
        <v>75</v>
      </c>
      <c r="C43" s="9">
        <v>42810</v>
      </c>
      <c r="D43" t="s">
        <v>233</v>
      </c>
      <c r="E43">
        <v>60</v>
      </c>
      <c r="F43" s="10">
        <v>6.9117942535664048</v>
      </c>
      <c r="G43" s="10">
        <v>2.9334940727345789</v>
      </c>
    </row>
    <row r="44" spans="1:7" x14ac:dyDescent="0.25">
      <c r="A44">
        <v>2017</v>
      </c>
      <c r="B44">
        <v>75</v>
      </c>
      <c r="C44" s="9">
        <v>42810</v>
      </c>
      <c r="D44" t="s">
        <v>233</v>
      </c>
      <c r="E44">
        <v>100</v>
      </c>
      <c r="F44" s="10">
        <v>6.697192311562846</v>
      </c>
      <c r="G44" s="10">
        <v>0.72959645768340542</v>
      </c>
    </row>
    <row r="45" spans="1:7" x14ac:dyDescent="0.25">
      <c r="A45">
        <v>2017</v>
      </c>
      <c r="B45">
        <v>75</v>
      </c>
      <c r="C45" s="9">
        <v>42810</v>
      </c>
      <c r="D45" t="s">
        <v>233</v>
      </c>
      <c r="E45">
        <v>140</v>
      </c>
      <c r="F45" s="10">
        <v>6.1386435095074123</v>
      </c>
      <c r="G45" s="10">
        <v>1.2526825373059842</v>
      </c>
    </row>
    <row r="46" spans="1:7" x14ac:dyDescent="0.25">
      <c r="A46">
        <v>2017</v>
      </c>
      <c r="B46">
        <v>75</v>
      </c>
      <c r="C46" s="9">
        <v>42810</v>
      </c>
      <c r="D46" t="s">
        <v>233</v>
      </c>
      <c r="E46">
        <v>180</v>
      </c>
      <c r="F46" s="10">
        <v>5.0215928492517827</v>
      </c>
      <c r="G46" s="10">
        <v>0.58752636336245856</v>
      </c>
    </row>
    <row r="47" spans="1:7" x14ac:dyDescent="0.25">
      <c r="A47">
        <v>2017</v>
      </c>
      <c r="B47">
        <v>75</v>
      </c>
      <c r="C47" s="9">
        <v>42810</v>
      </c>
      <c r="D47" t="s">
        <v>234</v>
      </c>
      <c r="E47">
        <v>20</v>
      </c>
      <c r="F47" s="10">
        <v>1.0959179569676252</v>
      </c>
      <c r="G47" s="10">
        <v>3.8558214357530667</v>
      </c>
    </row>
    <row r="48" spans="1:7" x14ac:dyDescent="0.25">
      <c r="A48">
        <v>2017</v>
      </c>
      <c r="B48">
        <v>75</v>
      </c>
      <c r="C48" s="9">
        <v>42810</v>
      </c>
      <c r="D48" t="s">
        <v>234</v>
      </c>
      <c r="E48">
        <v>60</v>
      </c>
      <c r="F48" s="10">
        <v>0.62299035369774924</v>
      </c>
      <c r="G48" s="10">
        <v>1.7333199356913183</v>
      </c>
    </row>
    <row r="49" spans="1:7" x14ac:dyDescent="0.25">
      <c r="A49">
        <v>2017</v>
      </c>
      <c r="B49">
        <v>75</v>
      </c>
      <c r="C49" s="9">
        <v>42810</v>
      </c>
      <c r="D49" t="s">
        <v>234</v>
      </c>
      <c r="E49">
        <v>100</v>
      </c>
      <c r="F49" s="10">
        <v>0.93166137885884071</v>
      </c>
      <c r="G49" s="10">
        <v>1.3143979453089591</v>
      </c>
    </row>
    <row r="50" spans="1:7" x14ac:dyDescent="0.25">
      <c r="A50">
        <v>2017</v>
      </c>
      <c r="B50">
        <v>75</v>
      </c>
      <c r="C50" s="9">
        <v>42810</v>
      </c>
      <c r="D50" t="s">
        <v>234</v>
      </c>
      <c r="E50">
        <v>140</v>
      </c>
      <c r="F50" s="10">
        <v>1.4015874610670152</v>
      </c>
      <c r="G50" s="10">
        <v>0.73344720184868883</v>
      </c>
    </row>
    <row r="51" spans="1:7" x14ac:dyDescent="0.25">
      <c r="A51">
        <v>2017</v>
      </c>
      <c r="B51">
        <v>75</v>
      </c>
      <c r="C51" s="9">
        <v>42810</v>
      </c>
      <c r="D51" t="s">
        <v>234</v>
      </c>
      <c r="E51">
        <v>180</v>
      </c>
      <c r="F51" s="10">
        <v>2.8228652081863093</v>
      </c>
      <c r="G51" s="10">
        <v>0.60489968746849476</v>
      </c>
    </row>
    <row r="52" spans="1:7" x14ac:dyDescent="0.25">
      <c r="A52">
        <v>2017</v>
      </c>
      <c r="B52">
        <v>75</v>
      </c>
      <c r="C52" s="9">
        <v>42810</v>
      </c>
      <c r="D52" t="s">
        <v>235</v>
      </c>
      <c r="E52">
        <v>20</v>
      </c>
      <c r="F52" s="10">
        <v>0.68030638984075797</v>
      </c>
      <c r="G52" s="10">
        <v>3.5325539205805279</v>
      </c>
    </row>
    <row r="53" spans="1:7" x14ac:dyDescent="0.25">
      <c r="A53">
        <v>2017</v>
      </c>
      <c r="B53">
        <v>75</v>
      </c>
      <c r="C53" s="9">
        <v>42810</v>
      </c>
      <c r="D53" t="s">
        <v>235</v>
      </c>
      <c r="E53">
        <v>60</v>
      </c>
      <c r="F53" s="10">
        <v>-5.0436273768094016E-3</v>
      </c>
      <c r="G53" s="10">
        <v>1.8207494830281938</v>
      </c>
    </row>
    <row r="54" spans="1:7" x14ac:dyDescent="0.25">
      <c r="A54">
        <v>2017</v>
      </c>
      <c r="B54">
        <v>75</v>
      </c>
      <c r="C54" s="9">
        <v>42810</v>
      </c>
      <c r="D54" t="s">
        <v>235</v>
      </c>
      <c r="E54">
        <v>100</v>
      </c>
      <c r="F54" s="10">
        <v>0</v>
      </c>
      <c r="G54" s="10">
        <v>1.3937631605334404</v>
      </c>
    </row>
    <row r="55" spans="1:7" x14ac:dyDescent="0.25">
      <c r="A55">
        <v>2017</v>
      </c>
      <c r="B55">
        <v>75</v>
      </c>
      <c r="C55" s="9">
        <v>42810</v>
      </c>
      <c r="D55" t="s">
        <v>235</v>
      </c>
      <c r="E55">
        <v>140</v>
      </c>
      <c r="F55" s="10">
        <v>0.75308765940355449</v>
      </c>
      <c r="G55" s="10">
        <v>0.80831408775981517</v>
      </c>
    </row>
    <row r="56" spans="1:7" x14ac:dyDescent="0.25">
      <c r="A56">
        <v>2017</v>
      </c>
      <c r="B56">
        <v>75</v>
      </c>
      <c r="C56" s="9">
        <v>42810</v>
      </c>
      <c r="D56" t="s">
        <v>235</v>
      </c>
      <c r="E56">
        <v>180</v>
      </c>
      <c r="F56" s="10">
        <v>1.1588069326884323</v>
      </c>
      <c r="G56" s="10">
        <v>0.58444175735590498</v>
      </c>
    </row>
    <row r="57" spans="1:7" x14ac:dyDescent="0.25">
      <c r="A57">
        <v>2017</v>
      </c>
      <c r="B57">
        <v>75</v>
      </c>
      <c r="C57" s="9">
        <v>42810</v>
      </c>
      <c r="D57" t="s">
        <v>236</v>
      </c>
      <c r="E57">
        <v>20</v>
      </c>
      <c r="F57" s="10">
        <v>0.94268286535262391</v>
      </c>
      <c r="G57" s="10">
        <v>3.0498563290820182</v>
      </c>
    </row>
    <row r="58" spans="1:7" x14ac:dyDescent="0.25">
      <c r="A58">
        <v>2017</v>
      </c>
      <c r="B58">
        <v>75</v>
      </c>
      <c r="C58" s="9">
        <v>42810</v>
      </c>
      <c r="D58" t="s">
        <v>236</v>
      </c>
      <c r="E58">
        <v>60</v>
      </c>
      <c r="F58" s="10">
        <v>0</v>
      </c>
      <c r="G58" s="10">
        <v>1.0057471264367817</v>
      </c>
    </row>
    <row r="59" spans="1:7" x14ac:dyDescent="0.25">
      <c r="A59">
        <v>2017</v>
      </c>
      <c r="B59">
        <v>75</v>
      </c>
      <c r="C59" s="9">
        <v>42810</v>
      </c>
      <c r="D59" t="s">
        <v>236</v>
      </c>
      <c r="E59">
        <v>100</v>
      </c>
      <c r="F59" s="10">
        <v>0</v>
      </c>
      <c r="G59" s="10">
        <v>0.80896392322379662</v>
      </c>
    </row>
    <row r="60" spans="1:7" x14ac:dyDescent="0.25">
      <c r="A60">
        <v>2017</v>
      </c>
      <c r="B60">
        <v>75</v>
      </c>
      <c r="C60" s="9">
        <v>42810</v>
      </c>
      <c r="D60" t="s">
        <v>236</v>
      </c>
      <c r="E60">
        <v>140</v>
      </c>
      <c r="F60" s="10">
        <v>6.0271220492214964E-2</v>
      </c>
      <c r="G60" s="10">
        <v>0.7584128578603716</v>
      </c>
    </row>
    <row r="61" spans="1:7" x14ac:dyDescent="0.25">
      <c r="A61">
        <v>2017</v>
      </c>
      <c r="B61">
        <v>75</v>
      </c>
      <c r="C61" s="9">
        <v>42810</v>
      </c>
      <c r="D61" t="s">
        <v>236</v>
      </c>
      <c r="E61">
        <v>180</v>
      </c>
      <c r="F61" s="10">
        <v>0.49283379431732466</v>
      </c>
      <c r="G61" s="10">
        <v>1.0309278350515463</v>
      </c>
    </row>
    <row r="62" spans="1:7" x14ac:dyDescent="0.25">
      <c r="A62">
        <v>2017</v>
      </c>
      <c r="B62">
        <v>75</v>
      </c>
      <c r="C62" s="9">
        <v>42810</v>
      </c>
      <c r="D62" t="s">
        <v>237</v>
      </c>
      <c r="E62">
        <v>20</v>
      </c>
      <c r="F62" s="10">
        <v>0.76985005534869677</v>
      </c>
      <c r="G62" s="10">
        <v>3.7435845828720944</v>
      </c>
    </row>
    <row r="63" spans="1:7" x14ac:dyDescent="0.25">
      <c r="A63">
        <v>2017</v>
      </c>
      <c r="B63">
        <v>75</v>
      </c>
      <c r="C63" s="9">
        <v>42810</v>
      </c>
      <c r="D63" t="s">
        <v>237</v>
      </c>
      <c r="E63">
        <v>60</v>
      </c>
      <c r="F63" s="10">
        <v>0.22890127388535034</v>
      </c>
      <c r="G63" s="10">
        <v>1.8759952229299364</v>
      </c>
    </row>
    <row r="64" spans="1:7" x14ac:dyDescent="0.25">
      <c r="A64">
        <v>2017</v>
      </c>
      <c r="B64">
        <v>75</v>
      </c>
      <c r="C64" s="9">
        <v>42810</v>
      </c>
      <c r="D64" t="s">
        <v>237</v>
      </c>
      <c r="E64">
        <v>100</v>
      </c>
      <c r="F64" s="10">
        <v>0.57006890398056809</v>
      </c>
      <c r="G64" s="10">
        <v>1.3780796113617211</v>
      </c>
    </row>
    <row r="65" spans="1:7" x14ac:dyDescent="0.25">
      <c r="A65">
        <v>2017</v>
      </c>
      <c r="B65">
        <v>75</v>
      </c>
      <c r="C65" s="9">
        <v>42810</v>
      </c>
      <c r="D65" t="s">
        <v>237</v>
      </c>
      <c r="E65">
        <v>140</v>
      </c>
      <c r="F65" s="10"/>
      <c r="G65" s="10"/>
    </row>
    <row r="66" spans="1:7" x14ac:dyDescent="0.25">
      <c r="A66">
        <v>2017</v>
      </c>
      <c r="B66">
        <v>75</v>
      </c>
      <c r="C66" s="9">
        <v>42810</v>
      </c>
      <c r="D66" t="s">
        <v>237</v>
      </c>
      <c r="E66">
        <v>180</v>
      </c>
      <c r="F66" s="10"/>
      <c r="G66" s="10"/>
    </row>
    <row r="67" spans="1:7" x14ac:dyDescent="0.25">
      <c r="A67">
        <v>2017</v>
      </c>
      <c r="B67">
        <v>75</v>
      </c>
      <c r="C67" s="9">
        <v>42810</v>
      </c>
      <c r="D67" t="s">
        <v>238</v>
      </c>
      <c r="E67">
        <v>20</v>
      </c>
      <c r="F67" s="10">
        <v>0.2261874842925358</v>
      </c>
      <c r="G67" s="10">
        <v>3.6039205830610705</v>
      </c>
    </row>
    <row r="68" spans="1:7" x14ac:dyDescent="0.25">
      <c r="A68">
        <v>2017</v>
      </c>
      <c r="B68">
        <v>75</v>
      </c>
      <c r="C68" s="9">
        <v>42810</v>
      </c>
      <c r="D68" t="s">
        <v>238</v>
      </c>
      <c r="E68">
        <v>60</v>
      </c>
      <c r="F68" s="10">
        <v>1.1804892751293514</v>
      </c>
      <c r="G68" s="10">
        <v>1.7581755161500978</v>
      </c>
    </row>
    <row r="69" spans="1:7" x14ac:dyDescent="0.25">
      <c r="A69">
        <v>2017</v>
      </c>
      <c r="B69">
        <v>75</v>
      </c>
      <c r="C69" s="9">
        <v>42810</v>
      </c>
      <c r="D69" t="s">
        <v>238</v>
      </c>
      <c r="E69">
        <v>100</v>
      </c>
      <c r="F69" s="10">
        <v>5.2891147903980666</v>
      </c>
      <c r="G69" s="10">
        <v>0.7498364450707059</v>
      </c>
    </row>
    <row r="70" spans="1:7" x14ac:dyDescent="0.25">
      <c r="A70">
        <v>2017</v>
      </c>
      <c r="B70">
        <v>75</v>
      </c>
      <c r="C70" s="9">
        <v>42810</v>
      </c>
      <c r="D70" t="s">
        <v>238</v>
      </c>
      <c r="E70">
        <v>140</v>
      </c>
      <c r="F70" s="10">
        <v>4.227047084189941</v>
      </c>
      <c r="G70" s="10">
        <v>0.59670059670059661</v>
      </c>
    </row>
    <row r="71" spans="1:7" x14ac:dyDescent="0.25">
      <c r="A71">
        <v>2017</v>
      </c>
      <c r="B71">
        <v>75</v>
      </c>
      <c r="C71" s="9">
        <v>42810</v>
      </c>
      <c r="D71" t="s">
        <v>238</v>
      </c>
      <c r="E71">
        <v>180</v>
      </c>
      <c r="F71" s="10">
        <v>1.4378109452736318</v>
      </c>
      <c r="G71" s="10">
        <v>0.61194029850746279</v>
      </c>
    </row>
    <row r="72" spans="1:7" x14ac:dyDescent="0.25">
      <c r="A72">
        <v>2017</v>
      </c>
      <c r="B72">
        <v>75</v>
      </c>
      <c r="C72" s="9">
        <v>42810</v>
      </c>
      <c r="D72" t="s">
        <v>239</v>
      </c>
      <c r="E72">
        <v>20</v>
      </c>
      <c r="F72" s="10">
        <v>0.70797348865233967</v>
      </c>
      <c r="G72" s="10">
        <v>3.2637075718015662</v>
      </c>
    </row>
    <row r="73" spans="1:7" x14ac:dyDescent="0.25">
      <c r="A73">
        <v>2017</v>
      </c>
      <c r="B73">
        <v>75</v>
      </c>
      <c r="C73" s="9">
        <v>42810</v>
      </c>
      <c r="D73" t="s">
        <v>239</v>
      </c>
      <c r="E73">
        <v>60</v>
      </c>
      <c r="F73" s="10">
        <v>1.8221976808393152</v>
      </c>
      <c r="G73" s="10">
        <v>1.3151950203303049</v>
      </c>
    </row>
    <row r="74" spans="1:7" x14ac:dyDescent="0.25">
      <c r="A74">
        <v>2017</v>
      </c>
      <c r="B74">
        <v>75</v>
      </c>
      <c r="C74" s="9">
        <v>42810</v>
      </c>
      <c r="D74" t="s">
        <v>239</v>
      </c>
      <c r="E74">
        <v>100</v>
      </c>
      <c r="F74" s="10">
        <v>3.6611913714624982</v>
      </c>
      <c r="G74" s="10">
        <v>1.0785671878092224</v>
      </c>
    </row>
    <row r="75" spans="1:7" x14ac:dyDescent="0.25">
      <c r="A75">
        <v>2017</v>
      </c>
      <c r="B75">
        <v>75</v>
      </c>
      <c r="C75" s="9">
        <v>42810</v>
      </c>
      <c r="D75" t="s">
        <v>239</v>
      </c>
      <c r="E75">
        <v>140</v>
      </c>
      <c r="F75" s="10">
        <v>2.6469560005993111</v>
      </c>
      <c r="G75" s="10">
        <v>0.77410977376017587</v>
      </c>
    </row>
    <row r="76" spans="1:7" x14ac:dyDescent="0.25">
      <c r="A76">
        <v>2017</v>
      </c>
      <c r="B76">
        <v>75</v>
      </c>
      <c r="C76" s="9">
        <v>42810</v>
      </c>
      <c r="D76" t="s">
        <v>239</v>
      </c>
      <c r="E76">
        <v>180</v>
      </c>
      <c r="F76" s="10">
        <v>2.0449593979005742</v>
      </c>
      <c r="G76" s="10">
        <v>0.82194493959199844</v>
      </c>
    </row>
    <row r="77" spans="1:7" x14ac:dyDescent="0.25">
      <c r="A77">
        <v>2017</v>
      </c>
      <c r="B77">
        <v>75</v>
      </c>
      <c r="C77" s="9">
        <v>42810</v>
      </c>
      <c r="D77" t="s">
        <v>240</v>
      </c>
      <c r="E77">
        <v>20</v>
      </c>
      <c r="F77" s="10">
        <v>0.36751749483965157</v>
      </c>
      <c r="G77" s="10">
        <v>3.3932437194784271</v>
      </c>
    </row>
    <row r="78" spans="1:7" x14ac:dyDescent="0.25">
      <c r="A78">
        <v>2017</v>
      </c>
      <c r="B78">
        <v>75</v>
      </c>
      <c r="C78" s="9">
        <v>42810</v>
      </c>
      <c r="D78" t="s">
        <v>240</v>
      </c>
      <c r="E78">
        <v>60</v>
      </c>
      <c r="F78" s="10">
        <v>0.17637573069945578</v>
      </c>
      <c r="G78" s="10">
        <v>1.1842370489820599</v>
      </c>
    </row>
    <row r="79" spans="1:7" x14ac:dyDescent="0.25">
      <c r="A79">
        <v>2017</v>
      </c>
      <c r="B79">
        <v>75</v>
      </c>
      <c r="C79" s="9">
        <v>42810</v>
      </c>
      <c r="D79" t="s">
        <v>240</v>
      </c>
      <c r="E79">
        <v>100</v>
      </c>
      <c r="F79" s="10">
        <v>1.4562378021318119</v>
      </c>
      <c r="G79" s="10">
        <v>1.436220787669519</v>
      </c>
    </row>
    <row r="80" spans="1:7" x14ac:dyDescent="0.25">
      <c r="A80">
        <v>2017</v>
      </c>
      <c r="B80">
        <v>75</v>
      </c>
      <c r="C80" s="9">
        <v>42810</v>
      </c>
      <c r="D80" t="s">
        <v>240</v>
      </c>
      <c r="E80">
        <v>140</v>
      </c>
      <c r="F80" s="10">
        <v>0.85172865638544504</v>
      </c>
      <c r="G80" s="10">
        <v>1.829452676141518</v>
      </c>
    </row>
    <row r="81" spans="1:7" x14ac:dyDescent="0.25">
      <c r="A81">
        <v>2017</v>
      </c>
      <c r="B81">
        <v>75</v>
      </c>
      <c r="C81" s="9">
        <v>42810</v>
      </c>
      <c r="D81" t="s">
        <v>240</v>
      </c>
      <c r="E81">
        <v>180</v>
      </c>
      <c r="F81" s="10">
        <v>0.4681365146481426</v>
      </c>
      <c r="G81" s="10">
        <v>1.2735326688815061</v>
      </c>
    </row>
    <row r="82" spans="1:7" x14ac:dyDescent="0.25">
      <c r="A82">
        <v>2017</v>
      </c>
      <c r="B82">
        <v>75</v>
      </c>
      <c r="C82" s="9">
        <v>42810</v>
      </c>
      <c r="D82" t="s">
        <v>241</v>
      </c>
      <c r="E82">
        <v>20</v>
      </c>
      <c r="F82" s="10">
        <v>0.26533166458072588</v>
      </c>
      <c r="G82" s="10">
        <v>4.7259073842302879</v>
      </c>
    </row>
    <row r="83" spans="1:7" x14ac:dyDescent="0.25">
      <c r="A83">
        <v>2017</v>
      </c>
      <c r="B83">
        <v>75</v>
      </c>
      <c r="C83" s="9">
        <v>42810</v>
      </c>
      <c r="D83" t="s">
        <v>241</v>
      </c>
      <c r="E83">
        <v>60</v>
      </c>
      <c r="F83" s="10">
        <v>0.12495001999200323</v>
      </c>
      <c r="G83" s="10">
        <v>1.4394242303078768</v>
      </c>
    </row>
    <row r="84" spans="1:7" x14ac:dyDescent="0.25">
      <c r="A84">
        <v>2017</v>
      </c>
      <c r="B84">
        <v>75</v>
      </c>
      <c r="C84" s="9">
        <v>42810</v>
      </c>
      <c r="D84" t="s">
        <v>241</v>
      </c>
      <c r="E84">
        <v>100</v>
      </c>
      <c r="F84" s="10">
        <v>0.14037902336308034</v>
      </c>
      <c r="G84" s="10">
        <v>1.1731675523914571</v>
      </c>
    </row>
    <row r="85" spans="1:7" x14ac:dyDescent="0.25">
      <c r="A85">
        <v>2017</v>
      </c>
      <c r="B85">
        <v>75</v>
      </c>
      <c r="C85" s="9">
        <v>42810</v>
      </c>
      <c r="D85" t="s">
        <v>241</v>
      </c>
      <c r="E85">
        <v>140</v>
      </c>
      <c r="F85" s="10">
        <v>0.84487326900964843</v>
      </c>
      <c r="G85" s="10">
        <v>1.9047142928560714</v>
      </c>
    </row>
    <row r="86" spans="1:7" x14ac:dyDescent="0.25">
      <c r="A86">
        <v>2017</v>
      </c>
      <c r="B86">
        <v>75</v>
      </c>
      <c r="C86" s="9">
        <v>42810</v>
      </c>
      <c r="D86" t="s">
        <v>241</v>
      </c>
      <c r="E86">
        <v>180</v>
      </c>
      <c r="F86" s="10"/>
      <c r="G86" s="10"/>
    </row>
    <row r="87" spans="1:7" x14ac:dyDescent="0.25">
      <c r="A87">
        <v>2017</v>
      </c>
      <c r="B87">
        <v>75</v>
      </c>
      <c r="C87" s="9">
        <v>42810</v>
      </c>
      <c r="D87" t="s">
        <v>242</v>
      </c>
      <c r="E87">
        <v>20</v>
      </c>
      <c r="F87" s="10">
        <v>0.55976618615940954</v>
      </c>
      <c r="G87" s="10">
        <v>4.5722494674790708</v>
      </c>
    </row>
    <row r="88" spans="1:7" x14ac:dyDescent="0.25">
      <c r="A88">
        <v>2017</v>
      </c>
      <c r="B88">
        <v>75</v>
      </c>
      <c r="C88" s="9">
        <v>42810</v>
      </c>
      <c r="D88" t="s">
        <v>242</v>
      </c>
      <c r="E88">
        <v>60</v>
      </c>
      <c r="F88" s="10">
        <v>0.29416163932791545</v>
      </c>
      <c r="G88" s="10">
        <v>2.1887620282195743</v>
      </c>
    </row>
    <row r="89" spans="1:7" x14ac:dyDescent="0.25">
      <c r="A89">
        <v>2017</v>
      </c>
      <c r="B89">
        <v>75</v>
      </c>
      <c r="C89" s="9">
        <v>42810</v>
      </c>
      <c r="D89" t="s">
        <v>242</v>
      </c>
      <c r="E89">
        <v>100</v>
      </c>
      <c r="F89" s="10">
        <v>-5.0112753695815589E-3</v>
      </c>
      <c r="G89" s="10">
        <v>1.8190929591581058</v>
      </c>
    </row>
    <row r="90" spans="1:7" x14ac:dyDescent="0.25">
      <c r="A90">
        <v>2017</v>
      </c>
      <c r="B90">
        <v>75</v>
      </c>
      <c r="C90" s="9">
        <v>42810</v>
      </c>
      <c r="D90" t="s">
        <v>242</v>
      </c>
      <c r="E90">
        <v>140</v>
      </c>
      <c r="F90" s="10">
        <v>1.3013460487756419</v>
      </c>
      <c r="G90" s="10">
        <v>1.2268415039984104</v>
      </c>
    </row>
    <row r="91" spans="1:7" x14ac:dyDescent="0.25">
      <c r="A91">
        <v>2017</v>
      </c>
      <c r="B91">
        <v>75</v>
      </c>
      <c r="C91" s="9">
        <v>42810</v>
      </c>
      <c r="D91" t="s">
        <v>242</v>
      </c>
      <c r="E91">
        <v>180</v>
      </c>
      <c r="F91" s="10">
        <v>3.6630587292042494</v>
      </c>
      <c r="G91" s="10">
        <v>1.1024253357386251</v>
      </c>
    </row>
    <row r="92" spans="1:7" x14ac:dyDescent="0.25">
      <c r="A92">
        <v>2017</v>
      </c>
      <c r="B92">
        <v>75</v>
      </c>
      <c r="C92" s="9">
        <v>42810</v>
      </c>
      <c r="D92" t="s">
        <v>243</v>
      </c>
      <c r="E92">
        <v>20</v>
      </c>
      <c r="F92" s="10">
        <v>0.48900988102440007</v>
      </c>
      <c r="G92" s="10">
        <v>3.6095987094172211</v>
      </c>
    </row>
    <row r="93" spans="1:7" x14ac:dyDescent="0.25">
      <c r="A93">
        <v>2017</v>
      </c>
      <c r="B93">
        <v>75</v>
      </c>
      <c r="C93" s="9">
        <v>42810</v>
      </c>
      <c r="D93" t="s">
        <v>243</v>
      </c>
      <c r="E93">
        <v>60</v>
      </c>
      <c r="F93" s="10">
        <v>0</v>
      </c>
      <c r="G93" s="10">
        <v>2.0323163388197512</v>
      </c>
    </row>
    <row r="94" spans="1:7" x14ac:dyDescent="0.25">
      <c r="A94">
        <v>2017</v>
      </c>
      <c r="B94">
        <v>75</v>
      </c>
      <c r="C94" s="9">
        <v>42810</v>
      </c>
      <c r="D94" t="s">
        <v>243</v>
      </c>
      <c r="E94">
        <v>100</v>
      </c>
      <c r="F94" s="10">
        <v>0.89814350225790252</v>
      </c>
      <c r="G94" s="10">
        <v>0.88309081786251875</v>
      </c>
    </row>
    <row r="95" spans="1:7" x14ac:dyDescent="0.25">
      <c r="A95">
        <v>2017</v>
      </c>
      <c r="B95">
        <v>75</v>
      </c>
      <c r="C95" s="9">
        <v>42810</v>
      </c>
      <c r="D95" t="s">
        <v>243</v>
      </c>
      <c r="E95">
        <v>140</v>
      </c>
      <c r="F95" s="10">
        <v>2.4838175523107031</v>
      </c>
      <c r="G95" s="10">
        <v>0.82292137086657635</v>
      </c>
    </row>
    <row r="96" spans="1:7" x14ac:dyDescent="0.25">
      <c r="A96">
        <v>2017</v>
      </c>
      <c r="B96">
        <v>75</v>
      </c>
      <c r="C96" s="9">
        <v>42810</v>
      </c>
      <c r="D96" t="s">
        <v>243</v>
      </c>
      <c r="E96">
        <v>180</v>
      </c>
      <c r="F96" s="10">
        <v>3.4084689257103049</v>
      </c>
      <c r="G96" s="10">
        <v>1.0051251430561776</v>
      </c>
    </row>
    <row r="97" spans="1:7" x14ac:dyDescent="0.25">
      <c r="A97">
        <v>2017</v>
      </c>
      <c r="B97">
        <v>75</v>
      </c>
      <c r="C97" s="9">
        <v>42810</v>
      </c>
      <c r="D97" t="s">
        <v>244</v>
      </c>
      <c r="E97">
        <v>20</v>
      </c>
      <c r="F97" s="10">
        <v>0.5930542292807961</v>
      </c>
      <c r="G97" s="10">
        <v>3.2115394280544809</v>
      </c>
    </row>
    <row r="98" spans="1:7" x14ac:dyDescent="0.25">
      <c r="A98">
        <v>2017</v>
      </c>
      <c r="B98">
        <v>75</v>
      </c>
      <c r="C98" s="9">
        <v>42810</v>
      </c>
      <c r="D98" t="s">
        <v>244</v>
      </c>
      <c r="E98">
        <v>60</v>
      </c>
      <c r="F98" s="10">
        <v>0.39131089148647968</v>
      </c>
      <c r="G98" s="10">
        <v>2.598705663974314</v>
      </c>
    </row>
    <row r="99" spans="1:7" x14ac:dyDescent="0.25">
      <c r="A99">
        <v>2017</v>
      </c>
      <c r="B99">
        <v>75</v>
      </c>
      <c r="C99" s="9">
        <v>42810</v>
      </c>
      <c r="D99" t="s">
        <v>244</v>
      </c>
      <c r="E99">
        <v>100</v>
      </c>
      <c r="F99" s="10">
        <v>1.8355065195586759</v>
      </c>
      <c r="G99" s="10">
        <v>1.1634904714142427</v>
      </c>
    </row>
    <row r="100" spans="1:7" x14ac:dyDescent="0.25">
      <c r="A100">
        <v>2017</v>
      </c>
      <c r="B100">
        <v>75</v>
      </c>
      <c r="C100" s="9">
        <v>42810</v>
      </c>
      <c r="D100" t="s">
        <v>244</v>
      </c>
      <c r="E100">
        <v>140</v>
      </c>
      <c r="F100" s="10">
        <v>2.8073862783365864</v>
      </c>
      <c r="G100" s="10">
        <v>1.3611569834359205</v>
      </c>
    </row>
    <row r="101" spans="1:7" x14ac:dyDescent="0.25">
      <c r="A101">
        <v>2017</v>
      </c>
      <c r="B101">
        <v>75</v>
      </c>
      <c r="C101" s="9">
        <v>42810</v>
      </c>
      <c r="D101" t="s">
        <v>244</v>
      </c>
      <c r="E101">
        <v>180</v>
      </c>
      <c r="F101" s="10">
        <v>2.3962301985161423</v>
      </c>
      <c r="G101" s="10">
        <v>1.1179065570483258</v>
      </c>
    </row>
    <row r="102" spans="1:7" x14ac:dyDescent="0.25">
      <c r="A102">
        <v>2017</v>
      </c>
      <c r="B102">
        <v>75</v>
      </c>
      <c r="C102" s="9">
        <v>42810</v>
      </c>
      <c r="D102" t="s">
        <v>245</v>
      </c>
      <c r="E102">
        <v>20</v>
      </c>
      <c r="F102" s="10">
        <v>0.14542172299669043</v>
      </c>
      <c r="G102" s="10">
        <v>2.9184635442784073</v>
      </c>
    </row>
    <row r="103" spans="1:7" x14ac:dyDescent="0.25">
      <c r="A103">
        <v>2017</v>
      </c>
      <c r="B103">
        <v>75</v>
      </c>
      <c r="C103" s="9">
        <v>42810</v>
      </c>
      <c r="D103" t="s">
        <v>245</v>
      </c>
      <c r="E103">
        <v>60</v>
      </c>
      <c r="F103" s="10">
        <v>0</v>
      </c>
      <c r="G103" s="10">
        <v>1.6759776536312849</v>
      </c>
    </row>
    <row r="104" spans="1:7" x14ac:dyDescent="0.25">
      <c r="A104">
        <v>2017</v>
      </c>
      <c r="B104">
        <v>75</v>
      </c>
      <c r="C104" s="9">
        <v>42810</v>
      </c>
      <c r="D104" t="s">
        <v>245</v>
      </c>
      <c r="E104">
        <v>100</v>
      </c>
      <c r="F104" s="10">
        <v>3.3494266747133374</v>
      </c>
      <c r="G104" s="10">
        <v>0.73425870046268349</v>
      </c>
    </row>
    <row r="105" spans="1:7" x14ac:dyDescent="0.25">
      <c r="A105">
        <v>2017</v>
      </c>
      <c r="B105">
        <v>75</v>
      </c>
      <c r="C105" s="9">
        <v>42810</v>
      </c>
      <c r="D105" t="s">
        <v>245</v>
      </c>
      <c r="E105">
        <v>140</v>
      </c>
      <c r="F105" s="10">
        <v>5.217829262150592</v>
      </c>
      <c r="G105" s="10">
        <v>0.73533115084361622</v>
      </c>
    </row>
    <row r="106" spans="1:7" x14ac:dyDescent="0.25">
      <c r="A106">
        <v>2017</v>
      </c>
      <c r="B106">
        <v>75</v>
      </c>
      <c r="C106" s="9">
        <v>42810</v>
      </c>
      <c r="D106" t="s">
        <v>245</v>
      </c>
      <c r="E106">
        <v>180</v>
      </c>
      <c r="F106" s="10">
        <v>3.9951756369666822</v>
      </c>
      <c r="G106" s="10">
        <v>0.91964420322629281</v>
      </c>
    </row>
    <row r="107" spans="1:7" x14ac:dyDescent="0.25">
      <c r="A107">
        <v>2017</v>
      </c>
      <c r="B107">
        <v>75</v>
      </c>
      <c r="C107" s="9">
        <v>42810</v>
      </c>
      <c r="D107" t="s">
        <v>246</v>
      </c>
      <c r="E107">
        <v>20</v>
      </c>
      <c r="F107" s="10">
        <v>2.9952076677316294E-2</v>
      </c>
      <c r="G107" s="10">
        <v>3.0351437699680508</v>
      </c>
    </row>
    <row r="108" spans="1:7" x14ac:dyDescent="0.25">
      <c r="A108">
        <v>2017</v>
      </c>
      <c r="B108">
        <v>75</v>
      </c>
      <c r="C108" s="9">
        <v>42810</v>
      </c>
      <c r="D108" t="s">
        <v>246</v>
      </c>
      <c r="E108">
        <v>60</v>
      </c>
      <c r="F108" s="10">
        <v>5.497800879648141E-2</v>
      </c>
      <c r="G108" s="10">
        <v>1.6793282686925233</v>
      </c>
    </row>
    <row r="109" spans="1:7" x14ac:dyDescent="0.25">
      <c r="A109">
        <v>2017</v>
      </c>
      <c r="B109">
        <v>75</v>
      </c>
      <c r="C109" s="9">
        <v>42810</v>
      </c>
      <c r="D109" t="s">
        <v>246</v>
      </c>
      <c r="E109">
        <v>100</v>
      </c>
      <c r="F109" s="10">
        <v>3.2085296305479787</v>
      </c>
      <c r="G109" s="10">
        <v>1.1207537813042399</v>
      </c>
    </row>
    <row r="110" spans="1:7" x14ac:dyDescent="0.25">
      <c r="A110">
        <v>2017</v>
      </c>
      <c r="B110">
        <v>75</v>
      </c>
      <c r="C110" s="9">
        <v>42810</v>
      </c>
      <c r="D110" t="s">
        <v>246</v>
      </c>
      <c r="E110">
        <v>140</v>
      </c>
      <c r="F110" s="10">
        <v>14.922171223308723</v>
      </c>
      <c r="G110" s="10">
        <v>0.8980243464378368</v>
      </c>
    </row>
    <row r="111" spans="1:7" x14ac:dyDescent="0.25">
      <c r="A111">
        <v>2017</v>
      </c>
      <c r="B111">
        <v>75</v>
      </c>
      <c r="C111" s="9">
        <v>42810</v>
      </c>
      <c r="D111" t="s">
        <v>246</v>
      </c>
      <c r="E111">
        <v>180</v>
      </c>
      <c r="F111" s="10">
        <v>7.1334946561806811</v>
      </c>
      <c r="G111" s="10">
        <v>0.78644888082274644</v>
      </c>
    </row>
    <row r="112" spans="1:7" x14ac:dyDescent="0.25">
      <c r="A112">
        <v>2017</v>
      </c>
      <c r="B112">
        <v>75</v>
      </c>
      <c r="C112" s="9">
        <v>42810</v>
      </c>
      <c r="D112" t="s">
        <v>247</v>
      </c>
      <c r="E112">
        <v>20</v>
      </c>
      <c r="F112" s="10">
        <v>0.17478152309612985</v>
      </c>
      <c r="G112" s="10">
        <v>3.6204744069912604</v>
      </c>
    </row>
    <row r="113" spans="1:7" x14ac:dyDescent="0.25">
      <c r="A113">
        <v>2017</v>
      </c>
      <c r="B113">
        <v>75</v>
      </c>
      <c r="C113" s="9">
        <v>42810</v>
      </c>
      <c r="D113" t="s">
        <v>247</v>
      </c>
      <c r="E113">
        <v>60</v>
      </c>
      <c r="F113" s="10">
        <v>5.9698522461569072E-2</v>
      </c>
      <c r="G113" s="10">
        <v>1.3929655241032786</v>
      </c>
    </row>
    <row r="114" spans="1:7" x14ac:dyDescent="0.25">
      <c r="A114">
        <v>2017</v>
      </c>
      <c r="B114">
        <v>75</v>
      </c>
      <c r="C114" s="9">
        <v>42810</v>
      </c>
      <c r="D114" t="s">
        <v>247</v>
      </c>
      <c r="E114">
        <v>100</v>
      </c>
      <c r="F114" s="10">
        <v>0.14094432699083864</v>
      </c>
      <c r="G114" s="10">
        <v>1.2231954092419208</v>
      </c>
    </row>
    <row r="115" spans="1:7" x14ac:dyDescent="0.25">
      <c r="A115">
        <v>2017</v>
      </c>
      <c r="B115">
        <v>75</v>
      </c>
      <c r="C115" s="9">
        <v>42810</v>
      </c>
      <c r="D115" t="s">
        <v>247</v>
      </c>
      <c r="E115">
        <v>140</v>
      </c>
      <c r="F115" s="10"/>
      <c r="G115" s="10"/>
    </row>
    <row r="116" spans="1:7" x14ac:dyDescent="0.25">
      <c r="A116">
        <v>2017</v>
      </c>
      <c r="B116">
        <v>75</v>
      </c>
      <c r="C116" s="9">
        <v>42810</v>
      </c>
      <c r="D116" t="s">
        <v>247</v>
      </c>
      <c r="E116">
        <v>180</v>
      </c>
      <c r="F116" s="10"/>
      <c r="G116" s="10"/>
    </row>
    <row r="117" spans="1:7" x14ac:dyDescent="0.25">
      <c r="A117">
        <v>2017</v>
      </c>
      <c r="B117">
        <v>75</v>
      </c>
      <c r="C117" s="9">
        <v>42810</v>
      </c>
      <c r="D117" t="s">
        <v>248</v>
      </c>
      <c r="E117">
        <v>20</v>
      </c>
      <c r="F117" s="10">
        <v>0.26181964654347717</v>
      </c>
      <c r="G117" s="10">
        <v>2.7843512411258251</v>
      </c>
    </row>
    <row r="118" spans="1:7" x14ac:dyDescent="0.25">
      <c r="A118">
        <v>2017</v>
      </c>
      <c r="B118">
        <v>75</v>
      </c>
      <c r="C118" s="9">
        <v>42810</v>
      </c>
      <c r="D118" t="s">
        <v>248</v>
      </c>
      <c r="E118">
        <v>60</v>
      </c>
      <c r="F118" s="10">
        <v>0</v>
      </c>
      <c r="G118" s="10">
        <v>0.84029385126295675</v>
      </c>
    </row>
    <row r="119" spans="1:7" x14ac:dyDescent="0.25">
      <c r="A119">
        <v>2017</v>
      </c>
      <c r="B119">
        <v>75</v>
      </c>
      <c r="C119" s="9">
        <v>42810</v>
      </c>
      <c r="D119" t="s">
        <v>248</v>
      </c>
      <c r="E119">
        <v>100</v>
      </c>
      <c r="F119" s="10">
        <v>0.47465158553827513</v>
      </c>
      <c r="G119" s="10">
        <v>0.62108664916178558</v>
      </c>
    </row>
    <row r="120" spans="1:7" x14ac:dyDescent="0.25">
      <c r="A120">
        <v>2017</v>
      </c>
      <c r="B120">
        <v>75</v>
      </c>
      <c r="C120" s="9">
        <v>42810</v>
      </c>
      <c r="D120" t="s">
        <v>248</v>
      </c>
      <c r="E120">
        <v>140</v>
      </c>
      <c r="F120" s="10">
        <v>0.47371869173008119</v>
      </c>
      <c r="G120" s="10">
        <v>0.5997077054880815</v>
      </c>
    </row>
    <row r="121" spans="1:7" x14ac:dyDescent="0.25">
      <c r="A121">
        <v>2017</v>
      </c>
      <c r="B121">
        <v>75</v>
      </c>
      <c r="C121" s="9">
        <v>42810</v>
      </c>
      <c r="D121" t="s">
        <v>248</v>
      </c>
      <c r="E121">
        <v>180</v>
      </c>
      <c r="F121" s="10"/>
      <c r="G121" s="10"/>
    </row>
    <row r="122" spans="1:7" x14ac:dyDescent="0.25">
      <c r="A122">
        <v>2017</v>
      </c>
      <c r="B122">
        <v>75</v>
      </c>
      <c r="C122" s="9">
        <v>42810</v>
      </c>
      <c r="D122" t="s">
        <v>249</v>
      </c>
      <c r="E122">
        <v>20</v>
      </c>
      <c r="F122" s="10">
        <v>0.82923680421073542</v>
      </c>
      <c r="G122" s="10">
        <v>4.5036992899349517</v>
      </c>
    </row>
    <row r="123" spans="1:7" x14ac:dyDescent="0.25">
      <c r="A123">
        <v>2017</v>
      </c>
      <c r="B123">
        <v>75</v>
      </c>
      <c r="C123" s="9">
        <v>42810</v>
      </c>
      <c r="D123" t="s">
        <v>249</v>
      </c>
      <c r="E123">
        <v>60</v>
      </c>
      <c r="F123" s="10">
        <v>0</v>
      </c>
      <c r="G123" s="10">
        <v>1.6410614525139666</v>
      </c>
    </row>
    <row r="124" spans="1:7" x14ac:dyDescent="0.25">
      <c r="A124">
        <v>2017</v>
      </c>
      <c r="B124">
        <v>75</v>
      </c>
      <c r="C124" s="9">
        <v>42810</v>
      </c>
      <c r="D124" t="s">
        <v>249</v>
      </c>
      <c r="E124">
        <v>100</v>
      </c>
      <c r="F124" s="10">
        <v>0</v>
      </c>
      <c r="G124" s="10">
        <v>0.9567243345065185</v>
      </c>
    </row>
    <row r="125" spans="1:7" x14ac:dyDescent="0.25">
      <c r="A125">
        <v>2017</v>
      </c>
      <c r="B125">
        <v>75</v>
      </c>
      <c r="C125" s="9">
        <v>42810</v>
      </c>
      <c r="D125" t="s">
        <v>249</v>
      </c>
      <c r="E125">
        <v>140</v>
      </c>
      <c r="F125" s="10">
        <v>0.18614479046133722</v>
      </c>
      <c r="G125" s="10">
        <v>0.95587865372038039</v>
      </c>
    </row>
    <row r="126" spans="1:7" x14ac:dyDescent="0.25">
      <c r="A126">
        <v>2017</v>
      </c>
      <c r="B126">
        <v>75</v>
      </c>
      <c r="C126" s="9">
        <v>42810</v>
      </c>
      <c r="D126" t="s">
        <v>249</v>
      </c>
      <c r="E126">
        <v>180</v>
      </c>
      <c r="F126" s="10">
        <v>0.77519379844961245</v>
      </c>
      <c r="G126" s="10">
        <v>1.2522361359570664</v>
      </c>
    </row>
    <row r="127" spans="1:7" x14ac:dyDescent="0.25">
      <c r="A127">
        <v>2017</v>
      </c>
      <c r="B127">
        <v>75</v>
      </c>
      <c r="C127" s="9">
        <v>42810</v>
      </c>
      <c r="D127" t="s">
        <v>250</v>
      </c>
      <c r="E127">
        <v>20</v>
      </c>
      <c r="F127" s="10">
        <v>0.62974165716269148</v>
      </c>
      <c r="G127" s="10">
        <v>4.0660484950661973</v>
      </c>
    </row>
    <row r="128" spans="1:7" x14ac:dyDescent="0.25">
      <c r="A128">
        <v>2017</v>
      </c>
      <c r="B128">
        <v>75</v>
      </c>
      <c r="C128" s="9">
        <v>42810</v>
      </c>
      <c r="D128" t="s">
        <v>250</v>
      </c>
      <c r="E128">
        <v>60</v>
      </c>
      <c r="F128" s="10">
        <v>0.93100498213476912</v>
      </c>
      <c r="G128" s="10">
        <v>1.6607115897539126</v>
      </c>
    </row>
    <row r="129" spans="1:7" x14ac:dyDescent="0.25">
      <c r="A129">
        <v>2017</v>
      </c>
      <c r="B129">
        <v>75</v>
      </c>
      <c r="C129" s="9">
        <v>42810</v>
      </c>
      <c r="D129" t="s">
        <v>250</v>
      </c>
      <c r="E129">
        <v>100</v>
      </c>
      <c r="F129" s="10">
        <v>2.2070707070707067</v>
      </c>
      <c r="G129" s="10">
        <v>1.0202020202020201</v>
      </c>
    </row>
    <row r="130" spans="1:7" x14ac:dyDescent="0.25">
      <c r="A130">
        <v>2017</v>
      </c>
      <c r="B130">
        <v>75</v>
      </c>
      <c r="C130" s="9">
        <v>42810</v>
      </c>
      <c r="D130" t="s">
        <v>250</v>
      </c>
      <c r="E130">
        <v>140</v>
      </c>
      <c r="F130" s="10">
        <v>3.3669697272454795</v>
      </c>
      <c r="G130" s="10">
        <v>0.60945149365570983</v>
      </c>
    </row>
    <row r="131" spans="1:7" x14ac:dyDescent="0.25">
      <c r="A131">
        <v>2017</v>
      </c>
      <c r="B131">
        <v>75</v>
      </c>
      <c r="C131" s="9">
        <v>42810</v>
      </c>
      <c r="D131" t="s">
        <v>250</v>
      </c>
      <c r="E131">
        <v>180</v>
      </c>
      <c r="F131" s="10">
        <v>1.6863406408094437</v>
      </c>
      <c r="G131" s="10">
        <v>0.71421485963694076</v>
      </c>
    </row>
    <row r="132" spans="1:7" x14ac:dyDescent="0.25">
      <c r="A132">
        <v>2017</v>
      </c>
      <c r="B132">
        <v>75</v>
      </c>
      <c r="C132" s="9">
        <v>42810</v>
      </c>
      <c r="D132" t="s">
        <v>251</v>
      </c>
      <c r="E132">
        <v>20</v>
      </c>
      <c r="F132" s="10">
        <v>0.26112282816109267</v>
      </c>
      <c r="G132" s="10">
        <v>2.6815305815004522</v>
      </c>
    </row>
    <row r="133" spans="1:7" x14ac:dyDescent="0.25">
      <c r="A133">
        <v>2017</v>
      </c>
      <c r="B133">
        <v>75</v>
      </c>
      <c r="C133" s="9">
        <v>42810</v>
      </c>
      <c r="D133" t="s">
        <v>251</v>
      </c>
      <c r="E133">
        <v>60</v>
      </c>
      <c r="F133" s="10">
        <v>1.5013512160944853E-2</v>
      </c>
      <c r="G133" s="10">
        <v>0.95586027424682218</v>
      </c>
    </row>
    <row r="134" spans="1:7" x14ac:dyDescent="0.25">
      <c r="A134">
        <v>2017</v>
      </c>
      <c r="B134">
        <v>75</v>
      </c>
      <c r="C134" s="9">
        <v>42810</v>
      </c>
      <c r="D134" t="s">
        <v>251</v>
      </c>
      <c r="E134">
        <v>100</v>
      </c>
      <c r="F134" s="10">
        <v>1.6540975364504777</v>
      </c>
      <c r="G134" s="10">
        <v>0.98039215686274517</v>
      </c>
    </row>
    <row r="135" spans="1:7" x14ac:dyDescent="0.25">
      <c r="A135">
        <v>2017</v>
      </c>
      <c r="B135">
        <v>75</v>
      </c>
      <c r="C135" s="9">
        <v>42810</v>
      </c>
      <c r="D135" t="s">
        <v>251</v>
      </c>
      <c r="E135">
        <v>140</v>
      </c>
      <c r="F135" s="10">
        <v>1.6956693691912201</v>
      </c>
      <c r="G135" s="10">
        <v>0.84536286335772193</v>
      </c>
    </row>
    <row r="136" spans="1:7" x14ac:dyDescent="0.25">
      <c r="A136">
        <v>2017</v>
      </c>
      <c r="B136">
        <v>75</v>
      </c>
      <c r="C136" s="9">
        <v>42810</v>
      </c>
      <c r="D136" t="s">
        <v>251</v>
      </c>
      <c r="E136">
        <v>180</v>
      </c>
      <c r="F136" s="10">
        <v>1.1343103794418792</v>
      </c>
      <c r="G136" s="10">
        <v>0.69765107408150984</v>
      </c>
    </row>
    <row r="137" spans="1:7" x14ac:dyDescent="0.25">
      <c r="A137">
        <v>2017</v>
      </c>
      <c r="B137">
        <v>75</v>
      </c>
      <c r="C137" s="9">
        <v>42810</v>
      </c>
      <c r="D137" t="s">
        <v>252</v>
      </c>
      <c r="E137">
        <v>20</v>
      </c>
      <c r="F137" s="10">
        <v>0.17486011191047166</v>
      </c>
      <c r="G137" s="10">
        <v>2.323141486810552</v>
      </c>
    </row>
    <row r="138" spans="1:7" x14ac:dyDescent="0.25">
      <c r="A138">
        <v>2017</v>
      </c>
      <c r="B138">
        <v>75</v>
      </c>
      <c r="C138" s="9">
        <v>42810</v>
      </c>
      <c r="D138" t="s">
        <v>252</v>
      </c>
      <c r="E138">
        <v>60</v>
      </c>
      <c r="F138" s="10">
        <v>0</v>
      </c>
      <c r="G138" s="10">
        <v>1.1885060929742741</v>
      </c>
    </row>
    <row r="139" spans="1:7" x14ac:dyDescent="0.25">
      <c r="A139">
        <v>2017</v>
      </c>
      <c r="B139">
        <v>75</v>
      </c>
      <c r="C139" s="9">
        <v>42810</v>
      </c>
      <c r="D139" t="s">
        <v>252</v>
      </c>
      <c r="E139">
        <v>100</v>
      </c>
      <c r="F139" s="10">
        <v>0.78629032258064513</v>
      </c>
      <c r="G139" s="10">
        <v>1.0534274193548385</v>
      </c>
    </row>
    <row r="140" spans="1:7" x14ac:dyDescent="0.25">
      <c r="A140">
        <v>2017</v>
      </c>
      <c r="B140">
        <v>75</v>
      </c>
      <c r="C140" s="9">
        <v>42810</v>
      </c>
      <c r="D140" t="s">
        <v>252</v>
      </c>
      <c r="E140">
        <v>140</v>
      </c>
      <c r="F140" s="10">
        <v>1.7638606748253478</v>
      </c>
      <c r="G140" s="10">
        <v>0.85220234851112309</v>
      </c>
    </row>
    <row r="141" spans="1:7" x14ac:dyDescent="0.25">
      <c r="A141">
        <v>2017</v>
      </c>
      <c r="B141">
        <v>75</v>
      </c>
      <c r="C141" s="9">
        <v>42810</v>
      </c>
      <c r="D141" t="s">
        <v>252</v>
      </c>
      <c r="E141">
        <v>180</v>
      </c>
      <c r="F141" s="10"/>
      <c r="G141" s="10"/>
    </row>
    <row r="142" spans="1:7" x14ac:dyDescent="0.25">
      <c r="A142">
        <v>2017</v>
      </c>
      <c r="B142">
        <v>75</v>
      </c>
      <c r="C142" s="9">
        <v>42810</v>
      </c>
      <c r="D142" t="s">
        <v>253</v>
      </c>
      <c r="E142">
        <v>20</v>
      </c>
      <c r="F142" s="10">
        <v>0.56553229487052292</v>
      </c>
      <c r="G142" s="10">
        <v>3.8942355392400043</v>
      </c>
    </row>
    <row r="143" spans="1:7" x14ac:dyDescent="0.25">
      <c r="A143">
        <v>2017</v>
      </c>
      <c r="B143">
        <v>75</v>
      </c>
      <c r="C143" s="9">
        <v>42810</v>
      </c>
      <c r="D143" t="s">
        <v>253</v>
      </c>
      <c r="E143">
        <v>60</v>
      </c>
      <c r="F143" s="10">
        <v>0</v>
      </c>
      <c r="G143" s="10">
        <v>0.94657872211872518</v>
      </c>
    </row>
    <row r="144" spans="1:7" x14ac:dyDescent="0.25">
      <c r="A144">
        <v>2017</v>
      </c>
      <c r="B144">
        <v>75</v>
      </c>
      <c r="C144" s="9">
        <v>42810</v>
      </c>
      <c r="D144" t="s">
        <v>253</v>
      </c>
      <c r="E144">
        <v>100</v>
      </c>
      <c r="F144" s="10">
        <v>-3.526803708182185E-2</v>
      </c>
      <c r="G144" s="10">
        <v>0.73559048770656998</v>
      </c>
    </row>
    <row r="145" spans="1:7" x14ac:dyDescent="0.25">
      <c r="A145">
        <v>2017</v>
      </c>
      <c r="B145">
        <v>75</v>
      </c>
      <c r="C145" s="9">
        <v>42810</v>
      </c>
      <c r="D145" t="s">
        <v>253</v>
      </c>
      <c r="E145">
        <v>140</v>
      </c>
      <c r="F145" s="10">
        <v>1.4812575574365177</v>
      </c>
      <c r="G145" s="10">
        <v>1.0630794034663442</v>
      </c>
    </row>
    <row r="146" spans="1:7" x14ac:dyDescent="0.25">
      <c r="A146">
        <v>2017</v>
      </c>
      <c r="B146">
        <v>75</v>
      </c>
      <c r="C146" s="9">
        <v>42810</v>
      </c>
      <c r="D146" t="s">
        <v>253</v>
      </c>
      <c r="E146">
        <v>180</v>
      </c>
      <c r="F146" s="10">
        <v>2.1205468516116155</v>
      </c>
      <c r="G146" s="10">
        <v>1.486877557130027</v>
      </c>
    </row>
    <row r="147" spans="1:7" x14ac:dyDescent="0.25">
      <c r="A147">
        <v>2017</v>
      </c>
      <c r="B147">
        <v>75</v>
      </c>
      <c r="C147" s="9">
        <v>42810</v>
      </c>
      <c r="D147" t="s">
        <v>254</v>
      </c>
      <c r="E147">
        <v>20</v>
      </c>
      <c r="F147" s="10">
        <v>7.4891407459184184E-2</v>
      </c>
      <c r="G147" s="10">
        <v>3.5398671925707723</v>
      </c>
    </row>
    <row r="148" spans="1:7" x14ac:dyDescent="0.25">
      <c r="A148">
        <v>2017</v>
      </c>
      <c r="B148">
        <v>75</v>
      </c>
      <c r="C148" s="9">
        <v>42810</v>
      </c>
      <c r="D148" t="s">
        <v>254</v>
      </c>
      <c r="E148">
        <v>60</v>
      </c>
      <c r="F148" s="10">
        <v>1.5578968392669896</v>
      </c>
      <c r="G148" s="10">
        <v>1.4031058071603337</v>
      </c>
    </row>
    <row r="149" spans="1:7" x14ac:dyDescent="0.25">
      <c r="A149">
        <v>2017</v>
      </c>
      <c r="B149">
        <v>75</v>
      </c>
      <c r="C149" s="9">
        <v>42810</v>
      </c>
      <c r="D149" t="s">
        <v>254</v>
      </c>
      <c r="E149">
        <v>100</v>
      </c>
      <c r="F149" s="10">
        <v>3.715541350379544</v>
      </c>
      <c r="G149" s="10">
        <v>1.2085497403116259</v>
      </c>
    </row>
    <row r="150" spans="1:7" x14ac:dyDescent="0.25">
      <c r="A150">
        <v>2017</v>
      </c>
      <c r="B150">
        <v>75</v>
      </c>
      <c r="C150" s="9">
        <v>42810</v>
      </c>
      <c r="D150" t="s">
        <v>254</v>
      </c>
      <c r="E150">
        <v>140</v>
      </c>
      <c r="F150" s="10">
        <v>7.4782695573983418</v>
      </c>
      <c r="G150" s="10">
        <v>0.64442002198021786</v>
      </c>
    </row>
    <row r="151" spans="1:7" x14ac:dyDescent="0.25">
      <c r="A151">
        <v>2017</v>
      </c>
      <c r="B151">
        <v>75</v>
      </c>
      <c r="C151" s="9">
        <v>42810</v>
      </c>
      <c r="D151" t="s">
        <v>254</v>
      </c>
      <c r="E151">
        <v>180</v>
      </c>
      <c r="F151" s="10">
        <v>4.4805907594052492</v>
      </c>
      <c r="G151" s="10">
        <v>1.2174433689252571</v>
      </c>
    </row>
    <row r="152" spans="1:7" x14ac:dyDescent="0.25">
      <c r="A152">
        <v>2017</v>
      </c>
      <c r="B152">
        <v>75</v>
      </c>
      <c r="C152" s="9">
        <v>42810</v>
      </c>
      <c r="D152" t="s">
        <v>255</v>
      </c>
      <c r="E152">
        <v>20</v>
      </c>
      <c r="F152" s="10">
        <v>0.67760879385634698</v>
      </c>
      <c r="G152" s="10">
        <v>2.2486573307232844</v>
      </c>
    </row>
    <row r="153" spans="1:7" x14ac:dyDescent="0.25">
      <c r="A153">
        <v>2017</v>
      </c>
      <c r="B153">
        <v>75</v>
      </c>
      <c r="C153" s="9">
        <v>42810</v>
      </c>
      <c r="D153" t="s">
        <v>255</v>
      </c>
      <c r="E153">
        <v>60</v>
      </c>
      <c r="F153" s="10">
        <v>0.12065151819827066</v>
      </c>
      <c r="G153" s="10">
        <v>1.4779810979288155</v>
      </c>
    </row>
    <row r="154" spans="1:7" x14ac:dyDescent="0.25">
      <c r="A154">
        <v>2017</v>
      </c>
      <c r="B154">
        <v>75</v>
      </c>
      <c r="C154" s="9">
        <v>42810</v>
      </c>
      <c r="D154" t="s">
        <v>255</v>
      </c>
      <c r="E154">
        <v>100</v>
      </c>
      <c r="F154" s="10">
        <v>1.4726578206674708</v>
      </c>
      <c r="G154" s="10">
        <v>0.88962605548854035</v>
      </c>
    </row>
    <row r="155" spans="1:7" x14ac:dyDescent="0.25">
      <c r="A155">
        <v>2017</v>
      </c>
      <c r="B155">
        <v>75</v>
      </c>
      <c r="C155" s="9">
        <v>42810</v>
      </c>
      <c r="D155" t="s">
        <v>255</v>
      </c>
      <c r="E155">
        <v>140</v>
      </c>
      <c r="F155" s="10">
        <v>1.7360237508176921</v>
      </c>
      <c r="G155" s="10">
        <v>0.76485684093996864</v>
      </c>
    </row>
    <row r="156" spans="1:7" x14ac:dyDescent="0.25">
      <c r="A156">
        <v>2017</v>
      </c>
      <c r="B156">
        <v>75</v>
      </c>
      <c r="C156" s="9">
        <v>42810</v>
      </c>
      <c r="D156" t="s">
        <v>255</v>
      </c>
      <c r="E156">
        <v>180</v>
      </c>
      <c r="F156" s="10">
        <v>5.8577194752774986</v>
      </c>
      <c r="G156" s="10">
        <v>1.2966700302724523</v>
      </c>
    </row>
    <row r="157" spans="1:7" x14ac:dyDescent="0.25">
      <c r="A157">
        <v>2017</v>
      </c>
      <c r="B157">
        <v>75</v>
      </c>
      <c r="C157" s="9">
        <v>42810</v>
      </c>
      <c r="D157" t="s">
        <v>256</v>
      </c>
      <c r="E157">
        <v>20</v>
      </c>
      <c r="F157" s="10">
        <v>0.64577492991589902</v>
      </c>
      <c r="G157" s="10">
        <v>5.8820584701641963</v>
      </c>
    </row>
    <row r="158" spans="1:7" x14ac:dyDescent="0.25">
      <c r="A158">
        <v>2017</v>
      </c>
      <c r="B158">
        <v>75</v>
      </c>
      <c r="C158" s="9">
        <v>42810</v>
      </c>
      <c r="D158" t="s">
        <v>256</v>
      </c>
      <c r="E158">
        <v>60</v>
      </c>
      <c r="F158" s="10">
        <v>-2.514964036014285E-2</v>
      </c>
      <c r="G158" s="10">
        <v>1.1920929530707709</v>
      </c>
    </row>
    <row r="159" spans="1:7" x14ac:dyDescent="0.25">
      <c r="A159">
        <v>2017</v>
      </c>
      <c r="B159">
        <v>75</v>
      </c>
      <c r="C159" s="9">
        <v>42810</v>
      </c>
      <c r="D159" t="s">
        <v>256</v>
      </c>
      <c r="E159">
        <v>100</v>
      </c>
      <c r="F159" s="10">
        <v>0.24137584230111639</v>
      </c>
      <c r="G159" s="10">
        <v>1.1063059438801168</v>
      </c>
    </row>
    <row r="160" spans="1:7" x14ac:dyDescent="0.25">
      <c r="A160">
        <v>2017</v>
      </c>
      <c r="B160">
        <v>75</v>
      </c>
      <c r="C160" s="9">
        <v>42810</v>
      </c>
      <c r="D160" t="s">
        <v>256</v>
      </c>
      <c r="E160">
        <v>140</v>
      </c>
      <c r="F160" s="10">
        <v>1.3317979272017222</v>
      </c>
      <c r="G160" s="10">
        <v>0.88619636509287525</v>
      </c>
    </row>
    <row r="161" spans="1:7" x14ac:dyDescent="0.25">
      <c r="A161">
        <v>2017</v>
      </c>
      <c r="B161">
        <v>75</v>
      </c>
      <c r="C161" s="9">
        <v>42810</v>
      </c>
      <c r="D161" t="s">
        <v>256</v>
      </c>
      <c r="E161">
        <v>180</v>
      </c>
      <c r="F161" s="10">
        <v>2.3311179446483483</v>
      </c>
      <c r="G161" s="10">
        <v>0.71917468505108617</v>
      </c>
    </row>
    <row r="162" spans="1:7" x14ac:dyDescent="0.25">
      <c r="A162">
        <v>2017</v>
      </c>
      <c r="B162">
        <v>75</v>
      </c>
      <c r="C162" s="9">
        <v>42810</v>
      </c>
      <c r="D162" t="s">
        <v>257</v>
      </c>
      <c r="E162">
        <v>20</v>
      </c>
      <c r="F162" s="10">
        <v>0.41028720104072852</v>
      </c>
      <c r="G162" s="10">
        <v>4.0028019613729615</v>
      </c>
    </row>
    <row r="163" spans="1:7" x14ac:dyDescent="0.25">
      <c r="A163">
        <v>2017</v>
      </c>
      <c r="B163">
        <v>75</v>
      </c>
      <c r="C163" s="9">
        <v>42810</v>
      </c>
      <c r="D163" t="s">
        <v>257</v>
      </c>
      <c r="E163">
        <v>60</v>
      </c>
      <c r="F163" s="10">
        <v>0</v>
      </c>
      <c r="G163" s="10">
        <v>1.3387544625148753</v>
      </c>
    </row>
    <row r="164" spans="1:7" x14ac:dyDescent="0.25">
      <c r="A164">
        <v>2017</v>
      </c>
      <c r="B164">
        <v>75</v>
      </c>
      <c r="C164" s="9">
        <v>42810</v>
      </c>
      <c r="D164" t="s">
        <v>257</v>
      </c>
      <c r="E164">
        <v>100</v>
      </c>
      <c r="F164" s="10">
        <v>0</v>
      </c>
      <c r="G164" s="10">
        <v>1.4542386341076035</v>
      </c>
    </row>
    <row r="165" spans="1:7" x14ac:dyDescent="0.25">
      <c r="A165">
        <v>2017</v>
      </c>
      <c r="B165">
        <v>75</v>
      </c>
      <c r="C165" s="9">
        <v>42810</v>
      </c>
      <c r="D165" t="s">
        <v>257</v>
      </c>
      <c r="E165">
        <v>140</v>
      </c>
      <c r="F165" s="10">
        <v>3.4874451972897569E-2</v>
      </c>
      <c r="G165" s="10">
        <v>0.84196891191709855</v>
      </c>
    </row>
    <row r="166" spans="1:7" x14ac:dyDescent="0.25">
      <c r="A166">
        <v>2017</v>
      </c>
      <c r="B166">
        <v>75</v>
      </c>
      <c r="C166" s="9">
        <v>42810</v>
      </c>
      <c r="D166" t="s">
        <v>257</v>
      </c>
      <c r="E166">
        <v>180</v>
      </c>
      <c r="F166" s="10">
        <v>1.1139674378748929</v>
      </c>
      <c r="G166" s="10">
        <v>1.5625787590100308</v>
      </c>
    </row>
    <row r="167" spans="1:7" x14ac:dyDescent="0.25">
      <c r="A167">
        <v>2017</v>
      </c>
      <c r="B167">
        <v>75</v>
      </c>
      <c r="C167" s="9">
        <v>42810</v>
      </c>
      <c r="D167" t="s">
        <v>258</v>
      </c>
      <c r="E167">
        <v>20</v>
      </c>
      <c r="F167" s="10">
        <v>5.5217500628614538</v>
      </c>
      <c r="G167" s="10">
        <v>3.4397787276841845</v>
      </c>
    </row>
    <row r="168" spans="1:7" x14ac:dyDescent="0.25">
      <c r="A168">
        <v>2017</v>
      </c>
      <c r="B168">
        <v>75</v>
      </c>
      <c r="C168" s="9">
        <v>42810</v>
      </c>
      <c r="D168" t="s">
        <v>258</v>
      </c>
      <c r="E168">
        <v>60</v>
      </c>
      <c r="F168" s="10">
        <v>6.9897856999799721</v>
      </c>
      <c r="G168" s="10">
        <v>1.3218505908271581</v>
      </c>
    </row>
    <row r="169" spans="1:7" x14ac:dyDescent="0.25">
      <c r="A169">
        <v>2017</v>
      </c>
      <c r="B169">
        <v>75</v>
      </c>
      <c r="C169" s="9">
        <v>42810</v>
      </c>
      <c r="D169" t="s">
        <v>258</v>
      </c>
      <c r="E169">
        <v>100</v>
      </c>
      <c r="F169" s="10">
        <v>3.2191746477460761</v>
      </c>
      <c r="G169" s="10">
        <v>0.98280098280098283</v>
      </c>
    </row>
    <row r="170" spans="1:7" x14ac:dyDescent="0.25">
      <c r="A170">
        <v>2017</v>
      </c>
      <c r="B170">
        <v>75</v>
      </c>
      <c r="C170" s="9">
        <v>42810</v>
      </c>
      <c r="D170" t="s">
        <v>258</v>
      </c>
      <c r="E170">
        <v>140</v>
      </c>
      <c r="F170" s="10">
        <v>2.4461937026703864</v>
      </c>
      <c r="G170" s="10">
        <v>0.67756078118772423</v>
      </c>
    </row>
    <row r="171" spans="1:7" x14ac:dyDescent="0.25">
      <c r="A171">
        <v>2017</v>
      </c>
      <c r="B171">
        <v>75</v>
      </c>
      <c r="C171" s="9">
        <v>42810</v>
      </c>
      <c r="D171" t="s">
        <v>258</v>
      </c>
      <c r="E171">
        <v>180</v>
      </c>
      <c r="F171" s="10">
        <v>5.6712383621984186</v>
      </c>
      <c r="G171" s="10">
        <v>1.4065472019221146</v>
      </c>
    </row>
    <row r="172" spans="1:7" x14ac:dyDescent="0.25">
      <c r="A172">
        <v>2017</v>
      </c>
      <c r="B172">
        <v>75</v>
      </c>
      <c r="C172" s="9">
        <v>42810</v>
      </c>
      <c r="D172" t="s">
        <v>259</v>
      </c>
      <c r="E172">
        <v>20</v>
      </c>
      <c r="F172" s="10">
        <v>1.7858929464732363</v>
      </c>
      <c r="G172" s="10">
        <v>3.236618309154577</v>
      </c>
    </row>
    <row r="173" spans="1:7" x14ac:dyDescent="0.25">
      <c r="A173">
        <v>2017</v>
      </c>
      <c r="B173">
        <v>75</v>
      </c>
      <c r="C173" s="9">
        <v>42810</v>
      </c>
      <c r="D173" t="s">
        <v>259</v>
      </c>
      <c r="E173">
        <v>60</v>
      </c>
      <c r="F173" s="10">
        <v>2.1806387225548902</v>
      </c>
      <c r="G173" s="10">
        <v>1.4520958083832336</v>
      </c>
    </row>
    <row r="174" spans="1:7" x14ac:dyDescent="0.25">
      <c r="A174">
        <v>2017</v>
      </c>
      <c r="B174">
        <v>75</v>
      </c>
      <c r="C174" s="9">
        <v>42810</v>
      </c>
      <c r="D174" t="s">
        <v>259</v>
      </c>
      <c r="E174">
        <v>100</v>
      </c>
      <c r="F174" s="10">
        <v>0.84821428571428581</v>
      </c>
      <c r="G174" s="10">
        <v>1.0615079365079365</v>
      </c>
    </row>
    <row r="175" spans="1:7" x14ac:dyDescent="0.25">
      <c r="A175">
        <v>2017</v>
      </c>
      <c r="B175">
        <v>75</v>
      </c>
      <c r="C175" s="9">
        <v>42810</v>
      </c>
      <c r="D175" t="s">
        <v>259</v>
      </c>
      <c r="E175">
        <v>140</v>
      </c>
      <c r="F175" s="10">
        <v>0.42351768809167917</v>
      </c>
      <c r="G175" s="10">
        <v>1.2057797708021922</v>
      </c>
    </row>
    <row r="176" spans="1:7" x14ac:dyDescent="0.25">
      <c r="A176">
        <v>2017</v>
      </c>
      <c r="B176">
        <v>75</v>
      </c>
      <c r="C176" s="9">
        <v>42810</v>
      </c>
      <c r="D176" t="s">
        <v>259</v>
      </c>
      <c r="E176">
        <v>180</v>
      </c>
      <c r="F176" s="10">
        <v>0.69223107569721121</v>
      </c>
      <c r="G176" s="10">
        <v>1.1005976095617529</v>
      </c>
    </row>
    <row r="177" spans="1:7" x14ac:dyDescent="0.25">
      <c r="A177">
        <v>2017</v>
      </c>
      <c r="B177">
        <v>75</v>
      </c>
      <c r="C177" s="9">
        <v>42810</v>
      </c>
      <c r="D177" t="s">
        <v>260</v>
      </c>
      <c r="E177">
        <v>20</v>
      </c>
      <c r="F177" s="10">
        <v>0.55888223552894212</v>
      </c>
      <c r="G177" s="10">
        <v>4.7904191616766472</v>
      </c>
    </row>
    <row r="178" spans="1:7" x14ac:dyDescent="0.25">
      <c r="A178">
        <v>2017</v>
      </c>
      <c r="B178">
        <v>75</v>
      </c>
      <c r="C178" s="9">
        <v>42810</v>
      </c>
      <c r="D178" t="s">
        <v>260</v>
      </c>
      <c r="E178">
        <v>60</v>
      </c>
      <c r="F178" s="10">
        <v>0.11482775836245632</v>
      </c>
      <c r="G178" s="10">
        <v>1.2880678981527709</v>
      </c>
    </row>
    <row r="179" spans="1:7" x14ac:dyDescent="0.25">
      <c r="A179">
        <v>2017</v>
      </c>
      <c r="B179">
        <v>75</v>
      </c>
      <c r="C179" s="9">
        <v>42810</v>
      </c>
      <c r="D179" t="s">
        <v>260</v>
      </c>
      <c r="E179">
        <v>100</v>
      </c>
      <c r="F179" s="10">
        <v>0.28755577590480913</v>
      </c>
      <c r="G179" s="10">
        <v>0.95686663361427871</v>
      </c>
    </row>
    <row r="180" spans="1:7" x14ac:dyDescent="0.25">
      <c r="A180">
        <v>2017</v>
      </c>
      <c r="B180">
        <v>75</v>
      </c>
      <c r="C180" s="9">
        <v>42810</v>
      </c>
      <c r="D180" t="s">
        <v>260</v>
      </c>
      <c r="E180">
        <v>140</v>
      </c>
      <c r="F180" s="10">
        <v>1.6143497757847534</v>
      </c>
      <c r="G180" s="10">
        <v>0.85700049825610358</v>
      </c>
    </row>
    <row r="181" spans="1:7" x14ac:dyDescent="0.25">
      <c r="A181">
        <v>2017</v>
      </c>
      <c r="B181">
        <v>75</v>
      </c>
      <c r="C181" s="9">
        <v>42810</v>
      </c>
      <c r="D181" t="s">
        <v>260</v>
      </c>
      <c r="E181">
        <v>180</v>
      </c>
      <c r="F181" s="10">
        <v>1.5275049115913555</v>
      </c>
      <c r="G181" s="10">
        <v>1.1100196463654224</v>
      </c>
    </row>
    <row r="182" spans="1:7" x14ac:dyDescent="0.25">
      <c r="A182">
        <v>2017</v>
      </c>
      <c r="B182">
        <v>75</v>
      </c>
      <c r="C182" s="9">
        <v>42810</v>
      </c>
      <c r="D182" t="s">
        <v>261</v>
      </c>
      <c r="E182">
        <v>20</v>
      </c>
      <c r="F182" s="10">
        <v>0.12462612163509473</v>
      </c>
      <c r="G182" s="10">
        <v>3.53938185443669</v>
      </c>
    </row>
    <row r="183" spans="1:7" x14ac:dyDescent="0.25">
      <c r="A183">
        <v>2017</v>
      </c>
      <c r="B183">
        <v>75</v>
      </c>
      <c r="C183" s="9">
        <v>42810</v>
      </c>
      <c r="D183" t="s">
        <v>261</v>
      </c>
      <c r="E183">
        <v>60</v>
      </c>
      <c r="F183" s="10">
        <v>8.4493041749502992E-2</v>
      </c>
      <c r="G183" s="10">
        <v>3.5089463220675943</v>
      </c>
    </row>
    <row r="184" spans="1:7" x14ac:dyDescent="0.25">
      <c r="A184">
        <v>2017</v>
      </c>
      <c r="B184">
        <v>75</v>
      </c>
      <c r="C184" s="9">
        <v>42810</v>
      </c>
      <c r="D184" t="s">
        <v>261</v>
      </c>
      <c r="E184">
        <v>100</v>
      </c>
      <c r="F184" s="10">
        <v>3.7567968363816111</v>
      </c>
      <c r="G184" s="10">
        <v>1.7597627286208599</v>
      </c>
    </row>
    <row r="185" spans="1:7" x14ac:dyDescent="0.25">
      <c r="A185">
        <v>2017</v>
      </c>
      <c r="B185">
        <v>75</v>
      </c>
      <c r="C185" s="9">
        <v>42810</v>
      </c>
      <c r="D185" t="s">
        <v>261</v>
      </c>
      <c r="E185">
        <v>140</v>
      </c>
      <c r="F185" s="10">
        <v>4.6593734460467431</v>
      </c>
      <c r="G185" s="10">
        <v>0.94480358030830425</v>
      </c>
    </row>
    <row r="186" spans="1:7" x14ac:dyDescent="0.25">
      <c r="A186">
        <v>2017</v>
      </c>
      <c r="B186">
        <v>75</v>
      </c>
      <c r="C186" s="9">
        <v>42810</v>
      </c>
      <c r="D186" t="s">
        <v>261</v>
      </c>
      <c r="E186">
        <v>180</v>
      </c>
      <c r="F186" s="10">
        <v>1.3786213786213788</v>
      </c>
      <c r="G186" s="10">
        <v>1.3736263736263739</v>
      </c>
    </row>
    <row r="187" spans="1:7" x14ac:dyDescent="0.25">
      <c r="A187">
        <v>2017</v>
      </c>
      <c r="B187">
        <v>75</v>
      </c>
      <c r="C187" s="9">
        <v>42810</v>
      </c>
      <c r="D187" t="s">
        <v>262</v>
      </c>
      <c r="E187">
        <v>20</v>
      </c>
      <c r="F187" s="10">
        <v>2.3084479371316302</v>
      </c>
      <c r="G187" s="10">
        <v>3.0697445972495085</v>
      </c>
    </row>
    <row r="188" spans="1:7" x14ac:dyDescent="0.25">
      <c r="A188">
        <v>2017</v>
      </c>
      <c r="B188">
        <v>75</v>
      </c>
      <c r="C188" s="9">
        <v>42810</v>
      </c>
      <c r="D188" t="s">
        <v>262</v>
      </c>
      <c r="E188">
        <v>60</v>
      </c>
      <c r="F188" s="10">
        <v>2.645</v>
      </c>
      <c r="G188" s="10">
        <v>1.2749999999999999</v>
      </c>
    </row>
    <row r="189" spans="1:7" x14ac:dyDescent="0.25">
      <c r="A189">
        <v>2017</v>
      </c>
      <c r="B189">
        <v>75</v>
      </c>
      <c r="C189" s="9">
        <v>42810</v>
      </c>
      <c r="D189" t="s">
        <v>262</v>
      </c>
      <c r="E189">
        <v>100</v>
      </c>
      <c r="F189" s="10">
        <v>1.19</v>
      </c>
      <c r="G189" s="10">
        <v>1.145</v>
      </c>
    </row>
    <row r="190" spans="1:7" x14ac:dyDescent="0.25">
      <c r="A190">
        <v>2017</v>
      </c>
      <c r="B190">
        <v>75</v>
      </c>
      <c r="C190" s="9">
        <v>42810</v>
      </c>
      <c r="D190" t="s">
        <v>262</v>
      </c>
      <c r="E190">
        <v>140</v>
      </c>
      <c r="F190" s="10">
        <v>1.0204081632653061</v>
      </c>
      <c r="G190" s="10">
        <v>0.87605774016923843</v>
      </c>
    </row>
    <row r="191" spans="1:7" x14ac:dyDescent="0.25">
      <c r="A191">
        <v>2017</v>
      </c>
      <c r="B191">
        <v>75</v>
      </c>
      <c r="C191" s="9">
        <v>42810</v>
      </c>
      <c r="D191" t="s">
        <v>262</v>
      </c>
      <c r="E191">
        <v>180</v>
      </c>
      <c r="F191" s="10">
        <v>0.71</v>
      </c>
      <c r="G191" s="10">
        <v>1.2</v>
      </c>
    </row>
    <row r="192" spans="1:7" x14ac:dyDescent="0.25">
      <c r="A192">
        <v>2017</v>
      </c>
      <c r="B192">
        <v>75</v>
      </c>
      <c r="C192" s="9">
        <v>42810</v>
      </c>
      <c r="D192" t="s">
        <v>263</v>
      </c>
      <c r="E192">
        <v>20</v>
      </c>
      <c r="F192" s="10">
        <v>0.74962518740629691</v>
      </c>
      <c r="G192" s="10">
        <v>3.643178410794603</v>
      </c>
    </row>
    <row r="193" spans="1:7" x14ac:dyDescent="0.25">
      <c r="A193">
        <v>2017</v>
      </c>
      <c r="B193">
        <v>75</v>
      </c>
      <c r="C193" s="9">
        <v>42810</v>
      </c>
      <c r="D193" t="s">
        <v>263</v>
      </c>
      <c r="E193">
        <v>60</v>
      </c>
      <c r="F193" s="10">
        <v>6.8905472636815928</v>
      </c>
      <c r="G193" s="10">
        <v>2.0945273631840795</v>
      </c>
    </row>
    <row r="194" spans="1:7" x14ac:dyDescent="0.25">
      <c r="A194">
        <v>2017</v>
      </c>
      <c r="B194">
        <v>75</v>
      </c>
      <c r="C194" s="9">
        <v>42810</v>
      </c>
      <c r="D194" t="s">
        <v>263</v>
      </c>
      <c r="E194">
        <v>100</v>
      </c>
      <c r="F194" s="10">
        <v>2.1222493887530565</v>
      </c>
      <c r="G194" s="10">
        <v>1.2860635696821516</v>
      </c>
    </row>
    <row r="195" spans="1:7" x14ac:dyDescent="0.25">
      <c r="A195">
        <v>2017</v>
      </c>
      <c r="B195">
        <v>75</v>
      </c>
      <c r="C195" s="9">
        <v>42810</v>
      </c>
      <c r="D195" t="s">
        <v>263</v>
      </c>
      <c r="E195">
        <v>140</v>
      </c>
      <c r="F195" s="10">
        <v>2.7946295375435106</v>
      </c>
      <c r="G195" s="10">
        <v>1.5216310293386375</v>
      </c>
    </row>
    <row r="196" spans="1:7" x14ac:dyDescent="0.25">
      <c r="A196">
        <v>2017</v>
      </c>
      <c r="B196">
        <v>75</v>
      </c>
      <c r="C196" s="9">
        <v>42810</v>
      </c>
      <c r="D196" t="s">
        <v>263</v>
      </c>
      <c r="E196">
        <v>180</v>
      </c>
      <c r="F196" s="10">
        <v>3.5962301587301586</v>
      </c>
      <c r="G196" s="10">
        <v>2.3214285714285716</v>
      </c>
    </row>
    <row r="197" spans="1:7" x14ac:dyDescent="0.25">
      <c r="A197">
        <v>2017</v>
      </c>
      <c r="B197">
        <v>75</v>
      </c>
      <c r="C197" s="9">
        <v>42810</v>
      </c>
      <c r="D197" t="s">
        <v>264</v>
      </c>
      <c r="E197">
        <v>20</v>
      </c>
      <c r="F197" s="10">
        <v>0.41563582384957948</v>
      </c>
      <c r="G197" s="10">
        <v>4.0821375556655122</v>
      </c>
    </row>
    <row r="198" spans="1:7" x14ac:dyDescent="0.25">
      <c r="A198">
        <v>2017</v>
      </c>
      <c r="B198">
        <v>75</v>
      </c>
      <c r="C198" s="9">
        <v>42810</v>
      </c>
      <c r="D198" t="s">
        <v>264</v>
      </c>
      <c r="E198">
        <v>60</v>
      </c>
      <c r="F198" s="10">
        <v>0.45094152626362732</v>
      </c>
      <c r="G198" s="10">
        <v>1.8582755203171457</v>
      </c>
    </row>
    <row r="199" spans="1:7" x14ac:dyDescent="0.25">
      <c r="A199">
        <v>2017</v>
      </c>
      <c r="B199">
        <v>75</v>
      </c>
      <c r="C199" s="9">
        <v>42810</v>
      </c>
      <c r="D199" t="s">
        <v>264</v>
      </c>
      <c r="E199">
        <v>100</v>
      </c>
      <c r="F199" s="10">
        <v>1.5595880333496812</v>
      </c>
      <c r="G199" s="10">
        <v>1.2996566944580676</v>
      </c>
    </row>
    <row r="200" spans="1:7" x14ac:dyDescent="0.25">
      <c r="A200">
        <v>2017</v>
      </c>
      <c r="B200">
        <v>75</v>
      </c>
      <c r="C200" s="9">
        <v>42810</v>
      </c>
      <c r="D200" t="s">
        <v>264</v>
      </c>
      <c r="E200">
        <v>140</v>
      </c>
      <c r="F200" s="10">
        <v>3.7288977159880838</v>
      </c>
      <c r="G200" s="10">
        <v>1.1717974180734856</v>
      </c>
    </row>
    <row r="201" spans="1:7" x14ac:dyDescent="0.25">
      <c r="A201">
        <v>2017</v>
      </c>
      <c r="B201">
        <v>75</v>
      </c>
      <c r="C201" s="9">
        <v>42810</v>
      </c>
      <c r="D201" t="s">
        <v>264</v>
      </c>
      <c r="E201">
        <v>180</v>
      </c>
      <c r="F201" s="10">
        <v>6.6065162907268169</v>
      </c>
      <c r="G201" s="10">
        <v>1.1578947368421053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6"/>
  <sheetViews>
    <sheetView topLeftCell="A4" workbookViewId="0">
      <selection activeCell="N200" sqref="N8:N200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142</v>
      </c>
    </row>
    <row r="3" spans="1:15" x14ac:dyDescent="0.25">
      <c r="A3" t="s">
        <v>143</v>
      </c>
    </row>
    <row r="5" spans="1:15" x14ac:dyDescent="0.25">
      <c r="B5" s="1"/>
      <c r="C5" s="2"/>
      <c r="D5" s="3" t="s">
        <v>74</v>
      </c>
      <c r="E5" s="4" t="s">
        <v>74</v>
      </c>
      <c r="F5" s="1"/>
      <c r="G5" s="1"/>
      <c r="H5" s="1"/>
      <c r="I5" s="5"/>
      <c r="J5" s="4" t="s">
        <v>75</v>
      </c>
      <c r="K5" s="4" t="s">
        <v>75</v>
      </c>
    </row>
    <row r="6" spans="1:15" x14ac:dyDescent="0.25">
      <c r="B6" s="6" t="s">
        <v>76</v>
      </c>
      <c r="C6" s="2" t="s">
        <v>77</v>
      </c>
      <c r="D6" s="3" t="s">
        <v>78</v>
      </c>
      <c r="E6" s="4" t="s">
        <v>79</v>
      </c>
      <c r="F6" s="4"/>
      <c r="G6" s="4"/>
      <c r="H6" s="4" t="s">
        <v>80</v>
      </c>
      <c r="I6" s="5" t="s">
        <v>77</v>
      </c>
      <c r="J6" s="4" t="s">
        <v>78</v>
      </c>
      <c r="K6" s="4" t="s">
        <v>79</v>
      </c>
    </row>
    <row r="7" spans="1:15" x14ac:dyDescent="0.25">
      <c r="A7" s="7" t="s">
        <v>81</v>
      </c>
      <c r="B7" s="6" t="s">
        <v>82</v>
      </c>
      <c r="C7" s="2" t="s">
        <v>83</v>
      </c>
      <c r="D7" s="3" t="s">
        <v>84</v>
      </c>
      <c r="E7" s="4" t="s">
        <v>85</v>
      </c>
      <c r="F7" s="4"/>
      <c r="G7" s="4"/>
      <c r="H7" s="4" t="s">
        <v>82</v>
      </c>
      <c r="I7" s="5" t="s">
        <v>83</v>
      </c>
      <c r="J7" s="4" t="s">
        <v>84</v>
      </c>
      <c r="K7" s="4" t="s">
        <v>85</v>
      </c>
      <c r="L7" t="s">
        <v>81</v>
      </c>
    </row>
    <row r="8" spans="1:15" x14ac:dyDescent="0.25">
      <c r="A8" t="s">
        <v>1</v>
      </c>
      <c r="B8">
        <v>0.01</v>
      </c>
      <c r="C8">
        <v>2.008</v>
      </c>
      <c r="D8">
        <f t="shared" ref="D8:D71" si="0">B8*(10/C8)*1.6*30*(1/1000000000)*(10000)*(10000)</f>
        <v>0.23904382470119531</v>
      </c>
      <c r="E8">
        <f t="shared" ref="E8:E71" si="1">(10/C8)*B8</f>
        <v>4.9800796812749008E-2</v>
      </c>
      <c r="F8" t="str">
        <f>MID(A8,2,1)</f>
        <v>A</v>
      </c>
      <c r="H8">
        <v>0.55600000000000005</v>
      </c>
      <c r="I8">
        <v>2.008</v>
      </c>
      <c r="J8">
        <f t="shared" ref="J8:J71" si="2">H8*(10/I8)*1.6*30*(1/1000000000)*(10000)*(10000)</f>
        <v>13.290836653386455</v>
      </c>
      <c r="K8">
        <f t="shared" ref="K8:K71" si="3">(10/I8)*H8</f>
        <v>2.7689243027888448</v>
      </c>
      <c r="L8" t="s">
        <v>1</v>
      </c>
      <c r="M8">
        <v>1</v>
      </c>
      <c r="N8">
        <v>20</v>
      </c>
      <c r="O8" t="str">
        <f>_xlfn.CONCAT("N",M8)</f>
        <v>N1</v>
      </c>
    </row>
    <row r="9" spans="1:15" x14ac:dyDescent="0.25">
      <c r="A9" t="s">
        <v>2</v>
      </c>
      <c r="B9">
        <v>6.9000000000000006E-2</v>
      </c>
      <c r="C9">
        <v>2.012</v>
      </c>
      <c r="D9">
        <f t="shared" si="0"/>
        <v>1.6461232604373763</v>
      </c>
      <c r="E9">
        <f t="shared" si="1"/>
        <v>0.34294234592445333</v>
      </c>
      <c r="F9" t="str">
        <f t="shared" ref="F9:F52" si="4">MID(A9,2,1)</f>
        <v>B</v>
      </c>
      <c r="H9">
        <v>0.31900000000000001</v>
      </c>
      <c r="I9">
        <v>2.012</v>
      </c>
      <c r="J9">
        <f t="shared" si="2"/>
        <v>7.6103379721669988</v>
      </c>
      <c r="K9">
        <f t="shared" si="3"/>
        <v>1.5854870775347913</v>
      </c>
      <c r="L9" t="s">
        <v>2</v>
      </c>
      <c r="M9">
        <v>1</v>
      </c>
      <c r="N9">
        <v>60</v>
      </c>
      <c r="O9" t="str">
        <f t="shared" ref="O9:O72" si="5">_xlfn.CONCAT("N",M9)</f>
        <v>N1</v>
      </c>
    </row>
    <row r="10" spans="1:15" x14ac:dyDescent="0.25">
      <c r="A10" t="s">
        <v>3</v>
      </c>
      <c r="B10">
        <v>0.32500000000000001</v>
      </c>
      <c r="C10">
        <v>2.0019999999999998</v>
      </c>
      <c r="D10">
        <f t="shared" si="0"/>
        <v>7.792207792207793</v>
      </c>
      <c r="E10">
        <f t="shared" si="1"/>
        <v>1.6233766233766236</v>
      </c>
      <c r="F10" t="str">
        <f t="shared" si="4"/>
        <v>C</v>
      </c>
      <c r="H10">
        <v>0.153</v>
      </c>
      <c r="I10">
        <v>2.0019999999999998</v>
      </c>
      <c r="J10">
        <f t="shared" si="2"/>
        <v>3.6683316683316693</v>
      </c>
      <c r="K10">
        <f t="shared" si="3"/>
        <v>0.76423576423576434</v>
      </c>
      <c r="L10" t="s">
        <v>3</v>
      </c>
      <c r="M10">
        <v>1</v>
      </c>
      <c r="N10">
        <v>100</v>
      </c>
      <c r="O10" t="str">
        <f t="shared" si="5"/>
        <v>N1</v>
      </c>
    </row>
    <row r="11" spans="1:15" x14ac:dyDescent="0.25">
      <c r="A11" t="s">
        <v>4</v>
      </c>
      <c r="B11">
        <v>1.095</v>
      </c>
      <c r="C11">
        <v>2.0139999999999998</v>
      </c>
      <c r="D11">
        <f t="shared" si="0"/>
        <v>26.097318768619665</v>
      </c>
      <c r="E11">
        <f t="shared" si="1"/>
        <v>5.4369414101290969</v>
      </c>
      <c r="F11" t="str">
        <f t="shared" si="4"/>
        <v>D</v>
      </c>
      <c r="H11">
        <v>6.8000000000000005E-2</v>
      </c>
      <c r="I11">
        <v>2.0139999999999998</v>
      </c>
      <c r="J11">
        <f t="shared" si="2"/>
        <v>1.6206554121151939</v>
      </c>
      <c r="K11">
        <f t="shared" si="3"/>
        <v>0.33763654419066541</v>
      </c>
      <c r="L11" t="s">
        <v>4</v>
      </c>
      <c r="M11">
        <v>1</v>
      </c>
      <c r="N11">
        <v>140</v>
      </c>
      <c r="O11" t="str">
        <f t="shared" si="5"/>
        <v>N1</v>
      </c>
    </row>
    <row r="12" spans="1:15" x14ac:dyDescent="0.25">
      <c r="A12" t="s">
        <v>5</v>
      </c>
      <c r="B12">
        <v>1.5549999999999999</v>
      </c>
      <c r="C12">
        <v>2.0230000000000001</v>
      </c>
      <c r="D12">
        <f t="shared" si="0"/>
        <v>36.895699456253091</v>
      </c>
      <c r="E12">
        <f t="shared" si="1"/>
        <v>7.68660405338606</v>
      </c>
      <c r="F12" t="str">
        <f t="shared" si="4"/>
        <v>E</v>
      </c>
      <c r="H12">
        <v>0.154</v>
      </c>
      <c r="I12">
        <v>2.0230000000000001</v>
      </c>
      <c r="J12">
        <f t="shared" si="2"/>
        <v>3.6539792387543248</v>
      </c>
      <c r="K12">
        <f t="shared" si="3"/>
        <v>0.76124567474048432</v>
      </c>
      <c r="L12" t="s">
        <v>5</v>
      </c>
      <c r="M12">
        <v>1</v>
      </c>
      <c r="N12">
        <v>180</v>
      </c>
      <c r="O12" t="str">
        <f t="shared" si="5"/>
        <v>N1</v>
      </c>
    </row>
    <row r="13" spans="1:15" x14ac:dyDescent="0.25">
      <c r="A13" t="s">
        <v>6</v>
      </c>
      <c r="B13">
        <v>0.17599999999999999</v>
      </c>
      <c r="C13">
        <v>2.0190000000000001</v>
      </c>
      <c r="D13">
        <f t="shared" si="0"/>
        <v>4.1842496285289741</v>
      </c>
      <c r="E13">
        <f t="shared" si="1"/>
        <v>0.87171867261020286</v>
      </c>
      <c r="F13" t="str">
        <f t="shared" si="4"/>
        <v>A</v>
      </c>
      <c r="H13">
        <v>0.70099999999999996</v>
      </c>
      <c r="I13">
        <v>2.0190000000000001</v>
      </c>
      <c r="J13">
        <f t="shared" si="2"/>
        <v>16.665676077265971</v>
      </c>
      <c r="K13">
        <f t="shared" si="3"/>
        <v>3.4720158494304103</v>
      </c>
      <c r="L13" t="s">
        <v>6</v>
      </c>
      <c r="M13">
        <v>2</v>
      </c>
      <c r="N13">
        <v>20</v>
      </c>
      <c r="O13" t="str">
        <f t="shared" si="5"/>
        <v>N2</v>
      </c>
    </row>
    <row r="14" spans="1:15" x14ac:dyDescent="0.25">
      <c r="A14" t="s">
        <v>7</v>
      </c>
      <c r="B14">
        <v>2.4609999999999999</v>
      </c>
      <c r="C14">
        <v>2.0099999999999998</v>
      </c>
      <c r="D14">
        <f t="shared" si="0"/>
        <v>58.770149253731347</v>
      </c>
      <c r="E14">
        <f t="shared" si="1"/>
        <v>12.243781094527364</v>
      </c>
      <c r="F14" t="str">
        <f t="shared" si="4"/>
        <v>B</v>
      </c>
      <c r="H14">
        <v>0.40200000000000002</v>
      </c>
      <c r="I14">
        <v>2.0099999999999998</v>
      </c>
      <c r="J14">
        <f t="shared" si="2"/>
        <v>9.6000000000000032</v>
      </c>
      <c r="K14">
        <f t="shared" si="3"/>
        <v>2.0000000000000004</v>
      </c>
      <c r="L14" t="s">
        <v>7</v>
      </c>
      <c r="M14">
        <v>2</v>
      </c>
      <c r="N14">
        <v>60</v>
      </c>
      <c r="O14" t="str">
        <f t="shared" si="5"/>
        <v>N2</v>
      </c>
    </row>
    <row r="15" spans="1:15" x14ac:dyDescent="0.25">
      <c r="A15" t="s">
        <v>8</v>
      </c>
      <c r="B15">
        <v>1.637</v>
      </c>
      <c r="C15">
        <v>2.0070000000000001</v>
      </c>
      <c r="D15">
        <f t="shared" si="0"/>
        <v>39.150971599402098</v>
      </c>
      <c r="E15">
        <f t="shared" si="1"/>
        <v>8.156452416542102</v>
      </c>
      <c r="F15" t="str">
        <f t="shared" si="4"/>
        <v>C</v>
      </c>
      <c r="H15">
        <v>0.186</v>
      </c>
      <c r="I15">
        <v>2.0070000000000001</v>
      </c>
      <c r="J15">
        <f t="shared" si="2"/>
        <v>4.448430493273543</v>
      </c>
      <c r="K15">
        <f t="shared" si="3"/>
        <v>0.92675635276532131</v>
      </c>
      <c r="L15" t="s">
        <v>8</v>
      </c>
      <c r="M15">
        <v>2</v>
      </c>
      <c r="N15">
        <v>100</v>
      </c>
      <c r="O15" t="str">
        <f t="shared" si="5"/>
        <v>N2</v>
      </c>
    </row>
    <row r="16" spans="1:15" x14ac:dyDescent="0.25">
      <c r="A16" t="s">
        <v>9</v>
      </c>
      <c r="B16">
        <v>0.95199999999999996</v>
      </c>
      <c r="C16">
        <v>2.0310000000000001</v>
      </c>
      <c r="D16">
        <f t="shared" si="0"/>
        <v>22.49926144756278</v>
      </c>
      <c r="E16">
        <f t="shared" si="1"/>
        <v>4.6873461349089114</v>
      </c>
      <c r="F16" t="str">
        <f t="shared" si="4"/>
        <v>D</v>
      </c>
      <c r="H16">
        <v>0.10199999999999999</v>
      </c>
      <c r="I16">
        <v>2.0310000000000001</v>
      </c>
      <c r="J16">
        <f t="shared" si="2"/>
        <v>2.4106351550960117</v>
      </c>
      <c r="K16">
        <f t="shared" si="3"/>
        <v>0.50221565731166906</v>
      </c>
      <c r="L16" t="s">
        <v>9</v>
      </c>
      <c r="M16">
        <v>2</v>
      </c>
      <c r="N16">
        <v>140</v>
      </c>
      <c r="O16" t="str">
        <f t="shared" si="5"/>
        <v>N2</v>
      </c>
    </row>
    <row r="17" spans="1:15" x14ac:dyDescent="0.25">
      <c r="A17" t="s">
        <v>10</v>
      </c>
      <c r="B17">
        <v>0.63900000000000001</v>
      </c>
      <c r="C17">
        <v>2.0150000000000001</v>
      </c>
      <c r="D17">
        <f t="shared" si="0"/>
        <v>15.22183622828784</v>
      </c>
      <c r="E17">
        <f t="shared" si="1"/>
        <v>3.1712158808933002</v>
      </c>
      <c r="F17" t="str">
        <f t="shared" si="4"/>
        <v>E</v>
      </c>
      <c r="H17">
        <v>0.14599999999999999</v>
      </c>
      <c r="I17">
        <v>2.0150000000000001</v>
      </c>
      <c r="J17">
        <f t="shared" si="2"/>
        <v>3.4779156327543426</v>
      </c>
      <c r="K17">
        <f t="shared" si="3"/>
        <v>0.72456575682382129</v>
      </c>
      <c r="L17" t="s">
        <v>10</v>
      </c>
      <c r="M17">
        <v>2</v>
      </c>
      <c r="N17">
        <v>180</v>
      </c>
      <c r="O17" t="str">
        <f t="shared" si="5"/>
        <v>N2</v>
      </c>
    </row>
    <row r="18" spans="1:15" x14ac:dyDescent="0.25">
      <c r="A18" t="s">
        <v>11</v>
      </c>
      <c r="B18">
        <v>0.78</v>
      </c>
      <c r="C18">
        <v>2.0083000000000002</v>
      </c>
      <c r="D18">
        <f t="shared" si="0"/>
        <v>18.642633072748097</v>
      </c>
      <c r="E18">
        <f t="shared" si="1"/>
        <v>3.8838818901558532</v>
      </c>
      <c r="F18" t="str">
        <f t="shared" si="4"/>
        <v>A</v>
      </c>
      <c r="H18">
        <v>0.77300000000000002</v>
      </c>
      <c r="I18">
        <v>2.0083000000000002</v>
      </c>
      <c r="J18">
        <f t="shared" si="2"/>
        <v>18.475327391326001</v>
      </c>
      <c r="K18">
        <f t="shared" si="3"/>
        <v>3.8490265398595827</v>
      </c>
      <c r="L18" t="s">
        <v>11</v>
      </c>
      <c r="M18">
        <v>3</v>
      </c>
      <c r="N18">
        <v>20</v>
      </c>
      <c r="O18" t="str">
        <f t="shared" si="5"/>
        <v>N3</v>
      </c>
    </row>
    <row r="19" spans="1:15" x14ac:dyDescent="0.25">
      <c r="A19" t="s">
        <v>12</v>
      </c>
      <c r="B19">
        <v>2.9359999999999999</v>
      </c>
      <c r="C19">
        <v>2.0030999999999999</v>
      </c>
      <c r="D19">
        <f t="shared" si="0"/>
        <v>70.354949827766973</v>
      </c>
      <c r="E19">
        <f t="shared" si="1"/>
        <v>14.657281214118118</v>
      </c>
      <c r="F19" t="str">
        <f t="shared" si="4"/>
        <v>B</v>
      </c>
      <c r="H19">
        <v>0.35899999999999999</v>
      </c>
      <c r="I19">
        <v>2.0030999999999999</v>
      </c>
      <c r="J19">
        <f t="shared" si="2"/>
        <v>8.602665867904749</v>
      </c>
      <c r="K19">
        <f t="shared" si="3"/>
        <v>1.7922220558134894</v>
      </c>
      <c r="L19" t="s">
        <v>12</v>
      </c>
      <c r="M19">
        <v>3</v>
      </c>
      <c r="N19">
        <v>60</v>
      </c>
      <c r="O19" t="str">
        <f t="shared" si="5"/>
        <v>N3</v>
      </c>
    </row>
    <row r="20" spans="1:15" x14ac:dyDescent="0.25">
      <c r="A20" t="s">
        <v>13</v>
      </c>
      <c r="B20">
        <v>1.746</v>
      </c>
      <c r="C20">
        <v>1.9952000000000001</v>
      </c>
      <c r="D20">
        <f t="shared" si="0"/>
        <v>42.004811547714517</v>
      </c>
      <c r="E20">
        <f t="shared" si="1"/>
        <v>8.7510024057738569</v>
      </c>
      <c r="F20" t="str">
        <f t="shared" si="4"/>
        <v>C</v>
      </c>
      <c r="H20">
        <v>0.17499999999999999</v>
      </c>
      <c r="I20">
        <v>1.9952000000000001</v>
      </c>
      <c r="J20">
        <f t="shared" si="2"/>
        <v>4.2101042502004802</v>
      </c>
      <c r="K20">
        <f t="shared" si="3"/>
        <v>0.87710505212510004</v>
      </c>
      <c r="L20" t="s">
        <v>13</v>
      </c>
      <c r="M20">
        <v>3</v>
      </c>
      <c r="N20">
        <v>100</v>
      </c>
      <c r="O20" t="str">
        <f t="shared" si="5"/>
        <v>N3</v>
      </c>
    </row>
    <row r="21" spans="1:15" x14ac:dyDescent="0.25">
      <c r="A21" t="s">
        <v>14</v>
      </c>
      <c r="B21">
        <v>0.748</v>
      </c>
      <c r="C21">
        <v>1.9956</v>
      </c>
      <c r="D21">
        <f t="shared" si="0"/>
        <v>17.991581479254364</v>
      </c>
      <c r="E21">
        <f t="shared" si="1"/>
        <v>3.7482461415113253</v>
      </c>
      <c r="F21" t="str">
        <f t="shared" si="4"/>
        <v>D</v>
      </c>
      <c r="H21">
        <v>0.127</v>
      </c>
      <c r="I21">
        <v>1.9956</v>
      </c>
      <c r="J21">
        <f t="shared" si="2"/>
        <v>3.0547203848466631</v>
      </c>
      <c r="K21">
        <f t="shared" si="3"/>
        <v>0.63640008017638805</v>
      </c>
      <c r="L21" t="s">
        <v>14</v>
      </c>
      <c r="M21">
        <v>3</v>
      </c>
      <c r="N21">
        <v>140</v>
      </c>
      <c r="O21" t="str">
        <f t="shared" si="5"/>
        <v>N3</v>
      </c>
    </row>
    <row r="22" spans="1:15" x14ac:dyDescent="0.25">
      <c r="A22" t="s">
        <v>15</v>
      </c>
      <c r="B22">
        <v>0.68100000000000005</v>
      </c>
      <c r="C22">
        <v>2.0001000000000002</v>
      </c>
      <c r="D22">
        <f t="shared" si="0"/>
        <v>16.34318284085796</v>
      </c>
      <c r="E22">
        <f t="shared" si="1"/>
        <v>3.4048297585120744</v>
      </c>
      <c r="F22" t="str">
        <f t="shared" si="4"/>
        <v>E</v>
      </c>
      <c r="H22">
        <v>0.20399999999999999</v>
      </c>
      <c r="I22">
        <v>2.0001000000000002</v>
      </c>
      <c r="J22">
        <f t="shared" si="2"/>
        <v>4.8957552122393881</v>
      </c>
      <c r="K22">
        <f t="shared" si="3"/>
        <v>1.0199490025498723</v>
      </c>
      <c r="L22" t="s">
        <v>15</v>
      </c>
      <c r="M22">
        <v>3</v>
      </c>
      <c r="N22">
        <v>180</v>
      </c>
      <c r="O22" t="str">
        <f t="shared" si="5"/>
        <v>N3</v>
      </c>
    </row>
    <row r="23" spans="1:15" x14ac:dyDescent="0.25">
      <c r="A23" t="s">
        <v>16</v>
      </c>
      <c r="B23">
        <v>6.6000000000000003E-2</v>
      </c>
      <c r="C23">
        <v>2.004</v>
      </c>
      <c r="D23">
        <f t="shared" si="0"/>
        <v>1.5808383233532937</v>
      </c>
      <c r="E23">
        <f t="shared" si="1"/>
        <v>0.3293413173652695</v>
      </c>
      <c r="F23" t="str">
        <f t="shared" si="4"/>
        <v>A</v>
      </c>
      <c r="H23">
        <v>0.77200000000000002</v>
      </c>
      <c r="I23">
        <v>2.004</v>
      </c>
      <c r="J23">
        <f t="shared" si="2"/>
        <v>18.491017964071862</v>
      </c>
      <c r="K23">
        <f t="shared" si="3"/>
        <v>3.8522954091816373</v>
      </c>
      <c r="L23" t="s">
        <v>16</v>
      </c>
      <c r="M23">
        <v>4</v>
      </c>
      <c r="N23">
        <v>20</v>
      </c>
      <c r="O23" t="str">
        <f t="shared" si="5"/>
        <v>N4</v>
      </c>
    </row>
    <row r="24" spans="1:15" x14ac:dyDescent="0.25">
      <c r="A24" t="s">
        <v>17</v>
      </c>
      <c r="B24">
        <v>8.0000000000000002E-3</v>
      </c>
      <c r="C24">
        <v>2.0114000000000001</v>
      </c>
      <c r="D24">
        <f t="shared" si="0"/>
        <v>0.19091180272447056</v>
      </c>
      <c r="E24">
        <f t="shared" si="1"/>
        <v>3.9773292234264686E-2</v>
      </c>
      <c r="F24" t="str">
        <f t="shared" si="4"/>
        <v>B</v>
      </c>
      <c r="H24">
        <v>0.43099999999999999</v>
      </c>
      <c r="I24">
        <v>2.0114000000000001</v>
      </c>
      <c r="J24">
        <f t="shared" si="2"/>
        <v>10.28537337178085</v>
      </c>
      <c r="K24">
        <f t="shared" si="3"/>
        <v>2.14278611912101</v>
      </c>
      <c r="L24" t="s">
        <v>17</v>
      </c>
      <c r="M24">
        <v>4</v>
      </c>
      <c r="N24">
        <v>60</v>
      </c>
      <c r="O24" t="str">
        <f t="shared" si="5"/>
        <v>N4</v>
      </c>
    </row>
    <row r="25" spans="1:15" x14ac:dyDescent="0.25">
      <c r="A25" t="s">
        <v>18</v>
      </c>
      <c r="B25">
        <v>-2.7E-2</v>
      </c>
      <c r="C25">
        <v>1.9987999999999999</v>
      </c>
      <c r="D25">
        <f t="shared" si="0"/>
        <v>-0.64838903342005205</v>
      </c>
      <c r="E25">
        <f t="shared" si="1"/>
        <v>-0.1350810486291775</v>
      </c>
      <c r="F25" t="str">
        <f t="shared" si="4"/>
        <v>C</v>
      </c>
      <c r="H25">
        <v>0.22800000000000001</v>
      </c>
      <c r="I25">
        <v>1.9987999999999999</v>
      </c>
      <c r="J25">
        <f t="shared" si="2"/>
        <v>5.4752851711026622</v>
      </c>
      <c r="K25">
        <f t="shared" si="3"/>
        <v>1.1406844106463878</v>
      </c>
      <c r="L25" t="s">
        <v>18</v>
      </c>
      <c r="M25">
        <v>4</v>
      </c>
      <c r="N25">
        <v>100</v>
      </c>
      <c r="O25" t="str">
        <f t="shared" si="5"/>
        <v>N4</v>
      </c>
    </row>
    <row r="26" spans="1:15" x14ac:dyDescent="0.25">
      <c r="A26" t="s">
        <v>19</v>
      </c>
      <c r="B26">
        <v>0.20799999999999999</v>
      </c>
      <c r="C26">
        <v>2</v>
      </c>
      <c r="D26">
        <f t="shared" si="0"/>
        <v>4.9920000000000009</v>
      </c>
      <c r="E26">
        <f t="shared" si="1"/>
        <v>1.04</v>
      </c>
      <c r="F26" t="str">
        <f t="shared" si="4"/>
        <v>D</v>
      </c>
      <c r="H26">
        <v>0.17299999999999999</v>
      </c>
      <c r="I26">
        <v>2</v>
      </c>
      <c r="J26">
        <f t="shared" si="2"/>
        <v>4.152000000000001</v>
      </c>
      <c r="K26">
        <f t="shared" si="3"/>
        <v>0.86499999999999999</v>
      </c>
      <c r="L26" t="s">
        <v>19</v>
      </c>
      <c r="M26">
        <v>4</v>
      </c>
      <c r="N26">
        <v>140</v>
      </c>
      <c r="O26" t="str">
        <f t="shared" si="5"/>
        <v>N4</v>
      </c>
    </row>
    <row r="27" spans="1:15" x14ac:dyDescent="0.25">
      <c r="A27" t="s">
        <v>20</v>
      </c>
      <c r="B27">
        <v>0.40400000000000003</v>
      </c>
      <c r="C27">
        <v>2.0011999999999999</v>
      </c>
      <c r="D27">
        <f t="shared" si="0"/>
        <v>9.6901858884669227</v>
      </c>
      <c r="E27">
        <f t="shared" si="1"/>
        <v>2.0187887267639417</v>
      </c>
      <c r="F27" t="str">
        <f t="shared" si="4"/>
        <v>E</v>
      </c>
      <c r="H27">
        <v>0.151</v>
      </c>
      <c r="I27">
        <v>2.0011999999999999</v>
      </c>
      <c r="J27">
        <f t="shared" si="2"/>
        <v>3.6218269038576865</v>
      </c>
      <c r="K27">
        <f t="shared" si="3"/>
        <v>0.75454727163701785</v>
      </c>
      <c r="L27" t="s">
        <v>20</v>
      </c>
      <c r="M27">
        <v>4</v>
      </c>
      <c r="N27">
        <v>180</v>
      </c>
      <c r="O27" t="str">
        <f t="shared" si="5"/>
        <v>N4</v>
      </c>
    </row>
    <row r="28" spans="1:15" x14ac:dyDescent="0.25">
      <c r="A28" t="s">
        <v>21</v>
      </c>
      <c r="B28">
        <v>6.0000000000000001E-3</v>
      </c>
      <c r="C28">
        <v>1.9910000000000001</v>
      </c>
      <c r="D28">
        <f t="shared" si="0"/>
        <v>0.14465092918131592</v>
      </c>
      <c r="E28">
        <f t="shared" si="1"/>
        <v>3.0135610246107482E-2</v>
      </c>
      <c r="F28" t="str">
        <f t="shared" si="4"/>
        <v>A</v>
      </c>
      <c r="H28">
        <v>0.77800000000000002</v>
      </c>
      <c r="I28">
        <v>1.9910000000000001</v>
      </c>
      <c r="J28">
        <f t="shared" si="2"/>
        <v>18.756403817177297</v>
      </c>
      <c r="K28">
        <f t="shared" si="3"/>
        <v>3.9075841285786033</v>
      </c>
      <c r="L28" t="s">
        <v>21</v>
      </c>
      <c r="M28">
        <v>5</v>
      </c>
      <c r="N28">
        <v>20</v>
      </c>
      <c r="O28" t="str">
        <f t="shared" si="5"/>
        <v>N5</v>
      </c>
    </row>
    <row r="29" spans="1:15" x14ac:dyDescent="0.25">
      <c r="A29" t="s">
        <v>22</v>
      </c>
      <c r="B29">
        <v>5.8000000000000003E-2</v>
      </c>
      <c r="C29">
        <v>2.0062000000000002</v>
      </c>
      <c r="D29">
        <f t="shared" si="0"/>
        <v>1.3876981357790847</v>
      </c>
      <c r="E29">
        <f t="shared" si="1"/>
        <v>0.28910377828730932</v>
      </c>
      <c r="F29" t="str">
        <f t="shared" si="4"/>
        <v>B</v>
      </c>
      <c r="H29">
        <v>0.40400000000000003</v>
      </c>
      <c r="I29">
        <v>2.0062000000000002</v>
      </c>
      <c r="J29">
        <f t="shared" si="2"/>
        <v>9.6660352905991438</v>
      </c>
      <c r="K29">
        <f t="shared" si="3"/>
        <v>2.0137573522081547</v>
      </c>
      <c r="L29" t="s">
        <v>22</v>
      </c>
      <c r="M29">
        <v>5</v>
      </c>
      <c r="N29">
        <v>60</v>
      </c>
      <c r="O29" t="str">
        <f t="shared" si="5"/>
        <v>N5</v>
      </c>
    </row>
    <row r="30" spans="1:15" x14ac:dyDescent="0.25">
      <c r="A30" t="s">
        <v>23</v>
      </c>
      <c r="B30">
        <v>0.311</v>
      </c>
      <c r="C30">
        <v>1.9995000000000001</v>
      </c>
      <c r="D30">
        <f t="shared" si="0"/>
        <v>7.4658664666166557</v>
      </c>
      <c r="E30">
        <f t="shared" si="1"/>
        <v>1.5553888472118029</v>
      </c>
      <c r="F30" t="str">
        <f t="shared" si="4"/>
        <v>C</v>
      </c>
      <c r="H30">
        <v>0.17899999999999999</v>
      </c>
      <c r="I30">
        <v>1.9995000000000001</v>
      </c>
      <c r="J30">
        <f t="shared" si="2"/>
        <v>4.2970742685671421</v>
      </c>
      <c r="K30">
        <f t="shared" si="3"/>
        <v>0.89522380595148787</v>
      </c>
      <c r="L30" t="s">
        <v>23</v>
      </c>
      <c r="M30">
        <v>5</v>
      </c>
      <c r="N30">
        <v>100</v>
      </c>
      <c r="O30" t="str">
        <f t="shared" si="5"/>
        <v>N5</v>
      </c>
    </row>
    <row r="31" spans="1:15" x14ac:dyDescent="0.25">
      <c r="A31" t="s">
        <v>24</v>
      </c>
      <c r="B31">
        <v>0.73799999999999999</v>
      </c>
      <c r="C31">
        <v>2.0026000000000002</v>
      </c>
      <c r="D31">
        <f t="shared" si="0"/>
        <v>17.689004294417256</v>
      </c>
      <c r="E31">
        <f t="shared" si="1"/>
        <v>3.6852092280035946</v>
      </c>
      <c r="F31" t="str">
        <f t="shared" si="4"/>
        <v>D</v>
      </c>
      <c r="H31">
        <v>0.215</v>
      </c>
      <c r="I31">
        <v>2.0026000000000002</v>
      </c>
      <c r="J31">
        <f t="shared" si="2"/>
        <v>5.1533007090781977</v>
      </c>
      <c r="K31">
        <f t="shared" si="3"/>
        <v>1.0736043143912912</v>
      </c>
      <c r="L31" t="s">
        <v>24</v>
      </c>
      <c r="M31">
        <v>5</v>
      </c>
      <c r="N31">
        <v>140</v>
      </c>
      <c r="O31" t="str">
        <f t="shared" si="5"/>
        <v>N5</v>
      </c>
    </row>
    <row r="32" spans="1:15" x14ac:dyDescent="0.25">
      <c r="A32" t="s">
        <v>25</v>
      </c>
      <c r="B32">
        <v>0.68500000000000005</v>
      </c>
      <c r="C32">
        <v>2.0146999999999999</v>
      </c>
      <c r="D32">
        <f t="shared" si="0"/>
        <v>16.320047649774164</v>
      </c>
      <c r="E32">
        <f t="shared" si="1"/>
        <v>3.4000099270362836</v>
      </c>
      <c r="F32" t="str">
        <f t="shared" si="4"/>
        <v>E</v>
      </c>
      <c r="H32">
        <v>0.21199999999999999</v>
      </c>
      <c r="I32">
        <v>2.0146999999999999</v>
      </c>
      <c r="J32">
        <f t="shared" si="2"/>
        <v>5.0508760609520031</v>
      </c>
      <c r="K32">
        <f t="shared" si="3"/>
        <v>1.0522658460316672</v>
      </c>
      <c r="L32" t="s">
        <v>25</v>
      </c>
      <c r="M32">
        <v>5</v>
      </c>
      <c r="N32">
        <v>180</v>
      </c>
      <c r="O32" t="str">
        <f t="shared" si="5"/>
        <v>N5</v>
      </c>
    </row>
    <row r="33" spans="1:15" x14ac:dyDescent="0.25">
      <c r="A33" t="s">
        <v>26</v>
      </c>
      <c r="B33">
        <v>0.123</v>
      </c>
      <c r="C33">
        <v>2.0049999999999999</v>
      </c>
      <c r="D33">
        <f t="shared" si="0"/>
        <v>2.9446384039900249</v>
      </c>
      <c r="E33">
        <f t="shared" si="1"/>
        <v>0.61346633416458851</v>
      </c>
      <c r="F33" t="str">
        <f t="shared" si="4"/>
        <v>A</v>
      </c>
      <c r="H33">
        <v>0.745</v>
      </c>
      <c r="I33">
        <v>2.0049999999999999</v>
      </c>
      <c r="J33">
        <f t="shared" si="2"/>
        <v>17.835411471321699</v>
      </c>
      <c r="K33">
        <f t="shared" si="3"/>
        <v>3.7157107231920201</v>
      </c>
      <c r="L33" t="s">
        <v>26</v>
      </c>
      <c r="M33">
        <v>6</v>
      </c>
      <c r="N33">
        <v>20</v>
      </c>
      <c r="O33" t="str">
        <f t="shared" si="5"/>
        <v>N6</v>
      </c>
    </row>
    <row r="34" spans="1:15" x14ac:dyDescent="0.25">
      <c r="A34" t="s">
        <v>27</v>
      </c>
      <c r="B34">
        <v>7.4999999999999997E-2</v>
      </c>
      <c r="C34">
        <v>2</v>
      </c>
      <c r="D34">
        <f t="shared" si="0"/>
        <v>1.8000000000000007</v>
      </c>
      <c r="E34">
        <f t="shared" si="1"/>
        <v>0.375</v>
      </c>
      <c r="F34" t="str">
        <f t="shared" si="4"/>
        <v>B</v>
      </c>
      <c r="H34">
        <v>0.44600000000000001</v>
      </c>
      <c r="I34">
        <v>2</v>
      </c>
      <c r="J34">
        <f t="shared" si="2"/>
        <v>10.704000000000002</v>
      </c>
      <c r="K34">
        <f t="shared" si="3"/>
        <v>2.23</v>
      </c>
      <c r="L34" t="s">
        <v>27</v>
      </c>
      <c r="M34">
        <v>6</v>
      </c>
      <c r="N34">
        <v>60</v>
      </c>
      <c r="O34" t="str">
        <f t="shared" si="5"/>
        <v>N6</v>
      </c>
    </row>
    <row r="35" spans="1:15" x14ac:dyDescent="0.25">
      <c r="A35" t="s">
        <v>28</v>
      </c>
      <c r="B35">
        <v>0.12</v>
      </c>
      <c r="C35">
        <v>1.9990000000000001</v>
      </c>
      <c r="D35">
        <f t="shared" si="0"/>
        <v>2.8814407203601804</v>
      </c>
      <c r="E35">
        <f t="shared" si="1"/>
        <v>0.60030015007503745</v>
      </c>
      <c r="F35" t="str">
        <f t="shared" si="4"/>
        <v>C</v>
      </c>
      <c r="H35">
        <v>0.23100000000000001</v>
      </c>
      <c r="I35">
        <v>1.9990000000000001</v>
      </c>
      <c r="J35">
        <f t="shared" si="2"/>
        <v>5.5467733866933475</v>
      </c>
      <c r="K35">
        <f t="shared" si="3"/>
        <v>1.1555777888944472</v>
      </c>
      <c r="L35" t="s">
        <v>28</v>
      </c>
      <c r="M35">
        <v>6</v>
      </c>
      <c r="N35">
        <v>100</v>
      </c>
      <c r="O35" t="str">
        <f t="shared" si="5"/>
        <v>N6</v>
      </c>
    </row>
    <row r="36" spans="1:15" x14ac:dyDescent="0.25">
      <c r="A36" t="s">
        <v>29</v>
      </c>
      <c r="B36">
        <v>0.76</v>
      </c>
      <c r="C36">
        <v>2.0049999999999999</v>
      </c>
      <c r="D36">
        <f t="shared" si="0"/>
        <v>18.194513715710723</v>
      </c>
      <c r="E36">
        <f t="shared" si="1"/>
        <v>3.7905236907730675</v>
      </c>
      <c r="F36" t="str">
        <f t="shared" si="4"/>
        <v>D</v>
      </c>
      <c r="H36">
        <v>0.14099999999999999</v>
      </c>
      <c r="I36">
        <v>2.0049999999999999</v>
      </c>
      <c r="J36">
        <f t="shared" si="2"/>
        <v>3.3755610972568584</v>
      </c>
      <c r="K36">
        <f t="shared" si="3"/>
        <v>0.70324189526184533</v>
      </c>
      <c r="L36" t="s">
        <v>29</v>
      </c>
      <c r="M36">
        <v>6</v>
      </c>
      <c r="N36">
        <v>140</v>
      </c>
      <c r="O36" t="str">
        <f t="shared" si="5"/>
        <v>N6</v>
      </c>
    </row>
    <row r="37" spans="1:15" x14ac:dyDescent="0.25">
      <c r="A37" t="s">
        <v>30</v>
      </c>
      <c r="B37">
        <v>1.4650000000000001</v>
      </c>
      <c r="C37">
        <v>2.0369999999999999</v>
      </c>
      <c r="D37">
        <f t="shared" si="0"/>
        <v>34.521354933726073</v>
      </c>
      <c r="E37">
        <f t="shared" si="1"/>
        <v>7.1919489445262652</v>
      </c>
      <c r="F37" t="str">
        <f t="shared" si="4"/>
        <v>E</v>
      </c>
      <c r="H37">
        <v>0.14099999999999999</v>
      </c>
      <c r="I37">
        <v>2.0369999999999999</v>
      </c>
      <c r="J37">
        <f t="shared" si="2"/>
        <v>3.3225331369661268</v>
      </c>
      <c r="K37">
        <f t="shared" si="3"/>
        <v>0.6921944035346097</v>
      </c>
      <c r="L37" t="s">
        <v>30</v>
      </c>
      <c r="M37">
        <v>6</v>
      </c>
      <c r="N37">
        <v>180</v>
      </c>
      <c r="O37" t="str">
        <f t="shared" si="5"/>
        <v>N6</v>
      </c>
    </row>
    <row r="38" spans="1:15" x14ac:dyDescent="0.25">
      <c r="A38" t="s">
        <v>31</v>
      </c>
      <c r="B38">
        <v>0.47399999999999998</v>
      </c>
      <c r="C38">
        <v>2.0430000000000001</v>
      </c>
      <c r="D38">
        <f t="shared" si="0"/>
        <v>11.136563876651984</v>
      </c>
      <c r="E38">
        <f t="shared" si="1"/>
        <v>2.3201174743024962</v>
      </c>
      <c r="F38" t="str">
        <f t="shared" si="4"/>
        <v>A</v>
      </c>
      <c r="H38">
        <v>0.73499999999999999</v>
      </c>
      <c r="I38">
        <v>2.0430000000000001</v>
      </c>
      <c r="J38">
        <f t="shared" si="2"/>
        <v>17.268722466960352</v>
      </c>
      <c r="K38">
        <f t="shared" si="3"/>
        <v>3.597650513950073</v>
      </c>
      <c r="L38" t="s">
        <v>31</v>
      </c>
      <c r="M38">
        <v>7</v>
      </c>
      <c r="N38">
        <v>20</v>
      </c>
      <c r="O38" t="str">
        <f t="shared" si="5"/>
        <v>N7</v>
      </c>
    </row>
    <row r="39" spans="1:15" x14ac:dyDescent="0.25">
      <c r="A39" t="s">
        <v>32</v>
      </c>
      <c r="B39">
        <v>0.16200000000000001</v>
      </c>
      <c r="C39">
        <v>2.008</v>
      </c>
      <c r="D39">
        <f t="shared" si="0"/>
        <v>3.8725099601593636</v>
      </c>
      <c r="E39">
        <f t="shared" si="1"/>
        <v>0.80677290836653393</v>
      </c>
      <c r="F39" t="str">
        <f t="shared" si="4"/>
        <v>B</v>
      </c>
      <c r="H39">
        <v>0.36099999999999999</v>
      </c>
      <c r="I39">
        <v>2.008</v>
      </c>
      <c r="J39">
        <f t="shared" si="2"/>
        <v>8.6294820717131469</v>
      </c>
      <c r="K39">
        <f t="shared" si="3"/>
        <v>1.797808764940239</v>
      </c>
      <c r="L39" t="s">
        <v>32</v>
      </c>
      <c r="M39">
        <v>7</v>
      </c>
      <c r="N39">
        <v>60</v>
      </c>
      <c r="O39" t="str">
        <f t="shared" si="5"/>
        <v>N7</v>
      </c>
    </row>
    <row r="40" spans="1:15" x14ac:dyDescent="0.25">
      <c r="A40" t="s">
        <v>33</v>
      </c>
      <c r="B40">
        <v>0.51100000000000001</v>
      </c>
      <c r="C40">
        <v>2.004</v>
      </c>
      <c r="D40">
        <f t="shared" si="0"/>
        <v>12.239520958083833</v>
      </c>
      <c r="E40">
        <f t="shared" si="1"/>
        <v>2.5499001996007986</v>
      </c>
      <c r="F40" t="str">
        <f t="shared" si="4"/>
        <v>C</v>
      </c>
      <c r="H40">
        <v>0.128</v>
      </c>
      <c r="I40">
        <v>2.004</v>
      </c>
      <c r="J40">
        <f t="shared" si="2"/>
        <v>3.0658682634730545</v>
      </c>
      <c r="K40">
        <f t="shared" si="3"/>
        <v>0.63872255489021967</v>
      </c>
      <c r="L40" t="s">
        <v>33</v>
      </c>
      <c r="M40">
        <v>7</v>
      </c>
      <c r="N40">
        <v>100</v>
      </c>
      <c r="O40" t="str">
        <f t="shared" si="5"/>
        <v>N7</v>
      </c>
    </row>
    <row r="41" spans="1:15" x14ac:dyDescent="0.25">
      <c r="A41" t="s">
        <v>34</v>
      </c>
      <c r="B41">
        <v>0.65800000000000003</v>
      </c>
      <c r="C41">
        <v>2.0419999999999998</v>
      </c>
      <c r="D41">
        <f t="shared" si="0"/>
        <v>15.467189030362398</v>
      </c>
      <c r="E41">
        <f t="shared" si="1"/>
        <v>3.2223310479921654</v>
      </c>
      <c r="F41" t="str">
        <f t="shared" si="4"/>
        <v>D</v>
      </c>
      <c r="H41">
        <v>0.10100000000000001</v>
      </c>
      <c r="I41">
        <v>2.0419999999999998</v>
      </c>
      <c r="J41">
        <f t="shared" si="2"/>
        <v>2.3741429970617052</v>
      </c>
      <c r="K41">
        <f t="shared" si="3"/>
        <v>0.49461312438785515</v>
      </c>
      <c r="L41" t="s">
        <v>34</v>
      </c>
      <c r="M41">
        <v>7</v>
      </c>
      <c r="N41">
        <v>140</v>
      </c>
      <c r="O41" t="str">
        <f t="shared" si="5"/>
        <v>N7</v>
      </c>
    </row>
    <row r="42" spans="1:15" x14ac:dyDescent="0.25">
      <c r="A42" t="s">
        <v>35</v>
      </c>
      <c r="B42">
        <v>0.84399999999999997</v>
      </c>
      <c r="C42">
        <v>2.073</v>
      </c>
      <c r="D42">
        <f t="shared" si="0"/>
        <v>19.542691751085385</v>
      </c>
      <c r="E42">
        <f t="shared" si="1"/>
        <v>4.071394114809455</v>
      </c>
      <c r="F42" t="str">
        <f t="shared" si="4"/>
        <v>E</v>
      </c>
      <c r="H42">
        <v>0.128</v>
      </c>
      <c r="I42">
        <v>2.073</v>
      </c>
      <c r="J42">
        <f t="shared" si="2"/>
        <v>2.9638205499276413</v>
      </c>
      <c r="K42">
        <f t="shared" si="3"/>
        <v>0.61746261456825857</v>
      </c>
      <c r="L42" t="s">
        <v>35</v>
      </c>
      <c r="M42">
        <v>7</v>
      </c>
      <c r="N42">
        <v>180</v>
      </c>
      <c r="O42" t="str">
        <f t="shared" si="5"/>
        <v>N7</v>
      </c>
    </row>
    <row r="43" spans="1:15" x14ac:dyDescent="0.25">
      <c r="A43" t="s">
        <v>36</v>
      </c>
      <c r="B43">
        <v>4.0000000000000001E-3</v>
      </c>
      <c r="C43">
        <v>2.0499999999999998</v>
      </c>
      <c r="D43">
        <f t="shared" si="0"/>
        <v>9.3658536585365881E-2</v>
      </c>
      <c r="E43">
        <f t="shared" si="1"/>
        <v>1.9512195121951223E-2</v>
      </c>
      <c r="F43" t="str">
        <f t="shared" si="4"/>
        <v>A</v>
      </c>
      <c r="H43">
        <v>0.63200000000000001</v>
      </c>
      <c r="I43">
        <v>2.0499999999999998</v>
      </c>
      <c r="J43">
        <f t="shared" si="2"/>
        <v>14.798048780487807</v>
      </c>
      <c r="K43">
        <f t="shared" si="3"/>
        <v>3.0829268292682932</v>
      </c>
      <c r="L43" t="s">
        <v>36</v>
      </c>
      <c r="M43">
        <v>8</v>
      </c>
      <c r="N43">
        <v>20</v>
      </c>
      <c r="O43" t="str">
        <f t="shared" si="5"/>
        <v>N8</v>
      </c>
    </row>
    <row r="44" spans="1:15" x14ac:dyDescent="0.25">
      <c r="A44" t="s">
        <v>37</v>
      </c>
      <c r="B44">
        <v>-2.5999999999999999E-2</v>
      </c>
      <c r="C44">
        <v>2.0049999999999999</v>
      </c>
      <c r="D44">
        <f t="shared" si="0"/>
        <v>-0.62244389027431424</v>
      </c>
      <c r="E44">
        <f t="shared" si="1"/>
        <v>-0.12967581047381546</v>
      </c>
      <c r="F44" t="str">
        <f t="shared" si="4"/>
        <v>B</v>
      </c>
      <c r="H44">
        <v>0.255</v>
      </c>
      <c r="I44">
        <v>2.0049999999999999</v>
      </c>
      <c r="J44">
        <f t="shared" si="2"/>
        <v>6.104738154613468</v>
      </c>
      <c r="K44">
        <f t="shared" si="3"/>
        <v>1.2718204488778055</v>
      </c>
      <c r="L44" t="s">
        <v>37</v>
      </c>
      <c r="M44">
        <v>8</v>
      </c>
      <c r="N44">
        <v>60</v>
      </c>
      <c r="O44" t="str">
        <f t="shared" si="5"/>
        <v>N8</v>
      </c>
    </row>
    <row r="45" spans="1:15" x14ac:dyDescent="0.25">
      <c r="A45" t="s">
        <v>38</v>
      </c>
      <c r="B45">
        <v>0.04</v>
      </c>
      <c r="C45">
        <v>2.0499999999999998</v>
      </c>
      <c r="D45">
        <f t="shared" si="0"/>
        <v>0.9365853658536587</v>
      </c>
      <c r="E45">
        <f t="shared" si="1"/>
        <v>0.19512195121951223</v>
      </c>
      <c r="F45" t="str">
        <f t="shared" si="4"/>
        <v>C</v>
      </c>
      <c r="H45">
        <v>0.20300000000000001</v>
      </c>
      <c r="I45">
        <v>2.0499999999999998</v>
      </c>
      <c r="J45">
        <f t="shared" si="2"/>
        <v>4.7531707317073186</v>
      </c>
      <c r="K45">
        <f t="shared" si="3"/>
        <v>0.9902439024390246</v>
      </c>
      <c r="L45" t="s">
        <v>38</v>
      </c>
      <c r="M45">
        <v>8</v>
      </c>
      <c r="N45">
        <v>100</v>
      </c>
      <c r="O45" t="str">
        <f t="shared" si="5"/>
        <v>N8</v>
      </c>
    </row>
    <row r="46" spans="1:15" x14ac:dyDescent="0.25">
      <c r="A46" t="s">
        <v>39</v>
      </c>
      <c r="B46">
        <v>0.33500000000000002</v>
      </c>
      <c r="C46">
        <v>2.0110000000000001</v>
      </c>
      <c r="D46">
        <f t="shared" si="0"/>
        <v>7.9960218796618605</v>
      </c>
      <c r="E46">
        <f t="shared" si="1"/>
        <v>1.6658378915962209</v>
      </c>
      <c r="F46" t="str">
        <f t="shared" si="4"/>
        <v>D</v>
      </c>
      <c r="H46">
        <v>0.23400000000000001</v>
      </c>
      <c r="I46">
        <v>2.0110000000000001</v>
      </c>
      <c r="J46">
        <f t="shared" si="2"/>
        <v>5.5852809547488826</v>
      </c>
      <c r="K46">
        <f t="shared" si="3"/>
        <v>1.163600198906017</v>
      </c>
      <c r="L46" t="s">
        <v>39</v>
      </c>
      <c r="M46">
        <v>8</v>
      </c>
      <c r="N46">
        <v>140</v>
      </c>
      <c r="O46" t="str">
        <f t="shared" si="5"/>
        <v>N8</v>
      </c>
    </row>
    <row r="47" spans="1:15" x14ac:dyDescent="0.25">
      <c r="A47" t="s">
        <v>40</v>
      </c>
      <c r="B47">
        <v>0.28699999999999998</v>
      </c>
      <c r="C47">
        <v>2.0089999999999999</v>
      </c>
      <c r="D47">
        <f t="shared" si="0"/>
        <v>6.8571428571428568</v>
      </c>
      <c r="E47">
        <f t="shared" si="1"/>
        <v>1.4285714285714284</v>
      </c>
      <c r="F47" t="str">
        <f t="shared" si="4"/>
        <v>E</v>
      </c>
      <c r="H47">
        <v>0.157</v>
      </c>
      <c r="I47">
        <v>2.0089999999999999</v>
      </c>
      <c r="J47">
        <f t="shared" si="2"/>
        <v>3.7511199601791949</v>
      </c>
      <c r="K47">
        <f t="shared" si="3"/>
        <v>0.78148332503733198</v>
      </c>
      <c r="L47" t="s">
        <v>40</v>
      </c>
      <c r="M47">
        <v>8</v>
      </c>
      <c r="N47">
        <v>180</v>
      </c>
      <c r="O47" t="str">
        <f t="shared" si="5"/>
        <v>N8</v>
      </c>
    </row>
    <row r="48" spans="1:15" x14ac:dyDescent="0.25">
      <c r="A48" t="s">
        <v>41</v>
      </c>
      <c r="B48">
        <v>8.2000000000000003E-2</v>
      </c>
      <c r="C48">
        <v>1.9851000000000001</v>
      </c>
      <c r="D48">
        <f t="shared" si="0"/>
        <v>1.9827716487834368</v>
      </c>
      <c r="E48">
        <f t="shared" si="1"/>
        <v>0.41307742682988263</v>
      </c>
      <c r="F48" t="str">
        <f t="shared" si="4"/>
        <v>A</v>
      </c>
      <c r="H48">
        <v>0.877</v>
      </c>
      <c r="I48">
        <v>1.9851000000000001</v>
      </c>
      <c r="J48">
        <f t="shared" si="2"/>
        <v>21.205984585159438</v>
      </c>
      <c r="K48">
        <f t="shared" si="3"/>
        <v>4.4179134552415498</v>
      </c>
      <c r="L48" t="s">
        <v>41</v>
      </c>
      <c r="M48">
        <v>9</v>
      </c>
      <c r="N48">
        <v>20</v>
      </c>
      <c r="O48" t="str">
        <f t="shared" si="5"/>
        <v>N9</v>
      </c>
    </row>
    <row r="49" spans="1:15" x14ac:dyDescent="0.25">
      <c r="A49" t="s">
        <v>42</v>
      </c>
      <c r="B49">
        <v>1.3759999999999999</v>
      </c>
      <c r="C49">
        <v>1.9907999999999999</v>
      </c>
      <c r="D49">
        <f t="shared" si="0"/>
        <v>33.176612417118754</v>
      </c>
      <c r="E49">
        <f t="shared" si="1"/>
        <v>6.9117942535664048</v>
      </c>
      <c r="F49" t="str">
        <f t="shared" si="4"/>
        <v>B</v>
      </c>
      <c r="H49">
        <v>0.58399999999999996</v>
      </c>
      <c r="I49">
        <v>1.9907999999999999</v>
      </c>
      <c r="J49">
        <f t="shared" si="2"/>
        <v>14.080771549125979</v>
      </c>
      <c r="K49">
        <f t="shared" si="3"/>
        <v>2.9334940727345789</v>
      </c>
      <c r="L49" t="s">
        <v>42</v>
      </c>
      <c r="M49">
        <v>9</v>
      </c>
      <c r="N49">
        <v>60</v>
      </c>
      <c r="O49" t="str">
        <f t="shared" si="5"/>
        <v>N9</v>
      </c>
    </row>
    <row r="50" spans="1:15" x14ac:dyDescent="0.25">
      <c r="A50" t="s">
        <v>43</v>
      </c>
      <c r="B50">
        <v>1.331</v>
      </c>
      <c r="C50">
        <v>1.9874000000000001</v>
      </c>
      <c r="D50">
        <f t="shared" si="0"/>
        <v>32.146523095501664</v>
      </c>
      <c r="E50">
        <f t="shared" si="1"/>
        <v>6.697192311562846</v>
      </c>
      <c r="F50" t="str">
        <f t="shared" si="4"/>
        <v>C</v>
      </c>
      <c r="H50">
        <v>0.14499999999999999</v>
      </c>
      <c r="I50">
        <v>1.9874000000000001</v>
      </c>
      <c r="J50">
        <f t="shared" si="2"/>
        <v>3.5020629968803467</v>
      </c>
      <c r="K50">
        <f t="shared" si="3"/>
        <v>0.72959645768340542</v>
      </c>
      <c r="L50" t="s">
        <v>43</v>
      </c>
      <c r="M50">
        <v>9</v>
      </c>
      <c r="N50">
        <v>100</v>
      </c>
      <c r="O50" t="str">
        <f t="shared" si="5"/>
        <v>N9</v>
      </c>
    </row>
    <row r="51" spans="1:15" x14ac:dyDescent="0.25">
      <c r="A51" t="s">
        <v>44</v>
      </c>
      <c r="B51">
        <v>1.23</v>
      </c>
      <c r="C51">
        <v>2.0036999999999998</v>
      </c>
      <c r="D51">
        <f t="shared" si="0"/>
        <v>29.465488845635583</v>
      </c>
      <c r="E51">
        <f t="shared" si="1"/>
        <v>6.1386435095074123</v>
      </c>
      <c r="F51" t="str">
        <f t="shared" si="4"/>
        <v>D</v>
      </c>
      <c r="H51">
        <v>0.251</v>
      </c>
      <c r="I51">
        <v>2.0036999999999998</v>
      </c>
      <c r="J51">
        <f t="shared" si="2"/>
        <v>6.0128761790687264</v>
      </c>
      <c r="K51">
        <f t="shared" si="3"/>
        <v>1.2526825373059842</v>
      </c>
      <c r="L51" t="s">
        <v>44</v>
      </c>
      <c r="M51">
        <v>9</v>
      </c>
      <c r="N51">
        <v>140</v>
      </c>
      <c r="O51" t="str">
        <f t="shared" si="5"/>
        <v>N9</v>
      </c>
    </row>
    <row r="52" spans="1:15" x14ac:dyDescent="0.25">
      <c r="A52" t="s">
        <v>45</v>
      </c>
      <c r="B52">
        <v>1</v>
      </c>
      <c r="C52">
        <v>1.9914000000000001</v>
      </c>
      <c r="D52">
        <f t="shared" si="0"/>
        <v>24.103645676408558</v>
      </c>
      <c r="E52">
        <f t="shared" si="1"/>
        <v>5.0215928492517827</v>
      </c>
      <c r="F52" t="str">
        <f t="shared" si="4"/>
        <v>E</v>
      </c>
      <c r="H52">
        <v>0.11700000000000001</v>
      </c>
      <c r="I52">
        <v>1.9914000000000001</v>
      </c>
      <c r="J52">
        <f t="shared" si="2"/>
        <v>2.8201265441398014</v>
      </c>
      <c r="K52">
        <f t="shared" si="3"/>
        <v>0.58752636336245856</v>
      </c>
      <c r="L52" t="s">
        <v>45</v>
      </c>
      <c r="M52">
        <v>9</v>
      </c>
      <c r="N52">
        <v>180</v>
      </c>
      <c r="O52" t="str">
        <f t="shared" si="5"/>
        <v>N9</v>
      </c>
    </row>
    <row r="53" spans="1:15" x14ac:dyDescent="0.25">
      <c r="A53" t="s">
        <v>46</v>
      </c>
      <c r="B53">
        <v>0.218</v>
      </c>
      <c r="C53">
        <v>1.9892000000000001</v>
      </c>
      <c r="D53">
        <f t="shared" si="0"/>
        <v>5.2604061934446023</v>
      </c>
      <c r="E53">
        <f t="shared" si="1"/>
        <v>1.0959179569676252</v>
      </c>
      <c r="F53" t="str">
        <f>MID(A53,3,1)</f>
        <v>A</v>
      </c>
      <c r="H53">
        <v>0.76700000000000002</v>
      </c>
      <c r="I53">
        <v>1.9892000000000001</v>
      </c>
      <c r="J53">
        <f t="shared" si="2"/>
        <v>18.507942891614722</v>
      </c>
      <c r="K53">
        <f t="shared" si="3"/>
        <v>3.8558214357530667</v>
      </c>
      <c r="L53" t="s">
        <v>46</v>
      </c>
      <c r="M53">
        <v>10</v>
      </c>
      <c r="N53">
        <v>20</v>
      </c>
      <c r="O53" t="str">
        <f t="shared" si="5"/>
        <v>N10</v>
      </c>
    </row>
    <row r="54" spans="1:15" x14ac:dyDescent="0.25">
      <c r="A54" t="s">
        <v>47</v>
      </c>
      <c r="B54">
        <v>0.124</v>
      </c>
      <c r="C54">
        <v>1.9903999999999999</v>
      </c>
      <c r="D54">
        <f t="shared" si="0"/>
        <v>2.9903536977491969</v>
      </c>
      <c r="E54">
        <f t="shared" si="1"/>
        <v>0.62299035369774924</v>
      </c>
      <c r="F54" t="str">
        <f t="shared" ref="F54:F117" si="6">MID(A54,3,1)</f>
        <v>B</v>
      </c>
      <c r="H54">
        <v>0.34499999999999997</v>
      </c>
      <c r="I54">
        <v>1.9903999999999999</v>
      </c>
      <c r="J54">
        <f t="shared" si="2"/>
        <v>8.319935691318328</v>
      </c>
      <c r="K54">
        <f t="shared" si="3"/>
        <v>1.7333199356913183</v>
      </c>
      <c r="L54" t="s">
        <v>47</v>
      </c>
      <c r="M54">
        <v>10</v>
      </c>
      <c r="N54">
        <v>60</v>
      </c>
      <c r="O54" t="str">
        <f t="shared" si="5"/>
        <v>N10</v>
      </c>
    </row>
    <row r="55" spans="1:15" x14ac:dyDescent="0.25">
      <c r="A55" t="s">
        <v>48</v>
      </c>
      <c r="B55">
        <v>0.185</v>
      </c>
      <c r="C55">
        <v>1.9857</v>
      </c>
      <c r="D55">
        <f t="shared" si="0"/>
        <v>4.4719746185224354</v>
      </c>
      <c r="E55">
        <f t="shared" si="1"/>
        <v>0.93166137885884071</v>
      </c>
      <c r="F55" t="str">
        <f t="shared" si="6"/>
        <v>C</v>
      </c>
      <c r="H55">
        <v>0.26100000000000001</v>
      </c>
      <c r="I55">
        <v>1.9857</v>
      </c>
      <c r="J55">
        <f t="shared" si="2"/>
        <v>6.3091101374830041</v>
      </c>
      <c r="K55">
        <f t="shared" si="3"/>
        <v>1.3143979453089591</v>
      </c>
      <c r="L55" t="s">
        <v>48</v>
      </c>
      <c r="M55">
        <v>10</v>
      </c>
      <c r="N55">
        <v>100</v>
      </c>
      <c r="O55" t="str">
        <f t="shared" si="5"/>
        <v>N10</v>
      </c>
    </row>
    <row r="56" spans="1:15" x14ac:dyDescent="0.25">
      <c r="A56" t="s">
        <v>49</v>
      </c>
      <c r="B56">
        <v>0.27900000000000003</v>
      </c>
      <c r="C56">
        <v>1.9905999999999999</v>
      </c>
      <c r="D56">
        <f t="shared" si="0"/>
        <v>6.7276198131216738</v>
      </c>
      <c r="E56">
        <f t="shared" si="1"/>
        <v>1.4015874610670152</v>
      </c>
      <c r="F56" t="str">
        <f t="shared" si="6"/>
        <v>D</v>
      </c>
      <c r="H56">
        <v>0.14599999999999999</v>
      </c>
      <c r="I56">
        <v>1.9905999999999999</v>
      </c>
      <c r="J56">
        <f t="shared" si="2"/>
        <v>3.5205465688737063</v>
      </c>
      <c r="K56">
        <f t="shared" si="3"/>
        <v>0.73344720184868883</v>
      </c>
      <c r="L56" t="s">
        <v>49</v>
      </c>
      <c r="M56">
        <v>10</v>
      </c>
      <c r="N56">
        <v>140</v>
      </c>
      <c r="O56" t="str">
        <f t="shared" si="5"/>
        <v>N10</v>
      </c>
    </row>
    <row r="57" spans="1:15" x14ac:dyDescent="0.25">
      <c r="A57" t="s">
        <v>50</v>
      </c>
      <c r="B57">
        <v>0.56000000000000005</v>
      </c>
      <c r="C57">
        <v>1.9838</v>
      </c>
      <c r="D57">
        <f t="shared" si="0"/>
        <v>13.549752999294283</v>
      </c>
      <c r="E57">
        <f t="shared" si="1"/>
        <v>2.8228652081863093</v>
      </c>
      <c r="F57" t="str">
        <f t="shared" si="6"/>
        <v>E</v>
      </c>
      <c r="H57">
        <v>0.12</v>
      </c>
      <c r="I57">
        <v>1.9838</v>
      </c>
      <c r="J57">
        <f t="shared" si="2"/>
        <v>2.9035184998487753</v>
      </c>
      <c r="K57">
        <f t="shared" si="3"/>
        <v>0.60489968746849476</v>
      </c>
      <c r="L57" t="s">
        <v>50</v>
      </c>
      <c r="M57">
        <v>10</v>
      </c>
      <c r="N57">
        <v>180</v>
      </c>
      <c r="O57" t="str">
        <f t="shared" si="5"/>
        <v>N10</v>
      </c>
    </row>
    <row r="58" spans="1:15" x14ac:dyDescent="0.25">
      <c r="A58" t="s">
        <v>51</v>
      </c>
      <c r="B58">
        <v>0.13500000000000001</v>
      </c>
      <c r="C58">
        <v>1.9843999999999999</v>
      </c>
      <c r="D58">
        <f t="shared" si="0"/>
        <v>3.2654706712356387</v>
      </c>
      <c r="E58">
        <f t="shared" si="1"/>
        <v>0.68030638984075797</v>
      </c>
      <c r="F58" t="str">
        <f t="shared" si="6"/>
        <v>A</v>
      </c>
      <c r="H58">
        <v>0.70099999999999996</v>
      </c>
      <c r="I58">
        <v>1.9843999999999999</v>
      </c>
      <c r="J58">
        <f t="shared" si="2"/>
        <v>16.956258818786534</v>
      </c>
      <c r="K58">
        <f t="shared" si="3"/>
        <v>3.5325539205805279</v>
      </c>
      <c r="L58" t="s">
        <v>51</v>
      </c>
      <c r="M58">
        <v>11</v>
      </c>
      <c r="N58">
        <v>20</v>
      </c>
      <c r="O58" t="str">
        <f t="shared" si="5"/>
        <v>N11</v>
      </c>
    </row>
    <row r="59" spans="1:15" x14ac:dyDescent="0.25">
      <c r="A59" t="s">
        <v>52</v>
      </c>
      <c r="B59">
        <v>-1E-3</v>
      </c>
      <c r="C59">
        <v>1.9826999999999999</v>
      </c>
      <c r="D59">
        <f t="shared" si="0"/>
        <v>-2.4209411408685131E-2</v>
      </c>
      <c r="E59">
        <f t="shared" si="1"/>
        <v>-5.0436273768094016E-3</v>
      </c>
      <c r="F59" t="str">
        <f t="shared" si="6"/>
        <v>B</v>
      </c>
      <c r="H59">
        <v>0.36099999999999999</v>
      </c>
      <c r="I59">
        <v>1.9826999999999999</v>
      </c>
      <c r="J59">
        <f t="shared" si="2"/>
        <v>8.7395975185353318</v>
      </c>
      <c r="K59">
        <f t="shared" si="3"/>
        <v>1.8207494830281938</v>
      </c>
      <c r="L59" t="s">
        <v>52</v>
      </c>
      <c r="M59">
        <v>11</v>
      </c>
      <c r="N59">
        <v>60</v>
      </c>
      <c r="O59" t="str">
        <f t="shared" si="5"/>
        <v>N11</v>
      </c>
    </row>
    <row r="60" spans="1:15" x14ac:dyDescent="0.25">
      <c r="A60" t="s">
        <v>53</v>
      </c>
      <c r="B60">
        <v>0</v>
      </c>
      <c r="C60">
        <v>1.9945999999999999</v>
      </c>
      <c r="D60">
        <f t="shared" si="0"/>
        <v>0</v>
      </c>
      <c r="E60">
        <f t="shared" si="1"/>
        <v>0</v>
      </c>
      <c r="F60" t="str">
        <f t="shared" si="6"/>
        <v>C</v>
      </c>
      <c r="H60">
        <v>0.27800000000000002</v>
      </c>
      <c r="I60">
        <v>1.9945999999999999</v>
      </c>
      <c r="J60">
        <f t="shared" si="2"/>
        <v>6.6900631705605154</v>
      </c>
      <c r="K60">
        <f t="shared" si="3"/>
        <v>1.3937631605334404</v>
      </c>
      <c r="L60" t="s">
        <v>53</v>
      </c>
      <c r="M60">
        <v>11</v>
      </c>
      <c r="N60">
        <v>100</v>
      </c>
      <c r="O60" t="str">
        <f t="shared" si="5"/>
        <v>N11</v>
      </c>
    </row>
    <row r="61" spans="1:15" x14ac:dyDescent="0.25">
      <c r="A61" t="s">
        <v>54</v>
      </c>
      <c r="B61">
        <v>0.15</v>
      </c>
      <c r="C61">
        <v>1.9918</v>
      </c>
      <c r="D61">
        <f t="shared" si="0"/>
        <v>3.6148207651370621</v>
      </c>
      <c r="E61">
        <f t="shared" si="1"/>
        <v>0.75308765940355449</v>
      </c>
      <c r="F61" t="str">
        <f t="shared" si="6"/>
        <v>D</v>
      </c>
      <c r="H61">
        <v>0.161</v>
      </c>
      <c r="I61">
        <v>1.9918</v>
      </c>
      <c r="J61">
        <f t="shared" si="2"/>
        <v>3.8799076212471126</v>
      </c>
      <c r="K61">
        <f t="shared" si="3"/>
        <v>0.80831408775981517</v>
      </c>
      <c r="L61" t="s">
        <v>54</v>
      </c>
      <c r="M61">
        <v>11</v>
      </c>
      <c r="N61">
        <v>140</v>
      </c>
      <c r="O61" t="str">
        <f t="shared" si="5"/>
        <v>N11</v>
      </c>
    </row>
    <row r="62" spans="1:15" x14ac:dyDescent="0.25">
      <c r="A62" t="s">
        <v>55</v>
      </c>
      <c r="B62">
        <v>0.23</v>
      </c>
      <c r="C62">
        <v>1.9847999999999999</v>
      </c>
      <c r="D62">
        <f t="shared" si="0"/>
        <v>5.5622732769044756</v>
      </c>
      <c r="E62">
        <f t="shared" si="1"/>
        <v>1.1588069326884323</v>
      </c>
      <c r="F62" t="str">
        <f t="shared" si="6"/>
        <v>E</v>
      </c>
      <c r="H62">
        <v>0.11600000000000001</v>
      </c>
      <c r="I62">
        <v>1.9847999999999999</v>
      </c>
      <c r="J62">
        <f t="shared" si="2"/>
        <v>2.8053204353083445</v>
      </c>
      <c r="K62">
        <f t="shared" si="3"/>
        <v>0.58444175735590498</v>
      </c>
      <c r="L62" t="s">
        <v>55</v>
      </c>
      <c r="M62">
        <v>11</v>
      </c>
      <c r="N62">
        <v>180</v>
      </c>
      <c r="O62" t="str">
        <f t="shared" si="5"/>
        <v>N11</v>
      </c>
    </row>
    <row r="63" spans="1:15" x14ac:dyDescent="0.25">
      <c r="A63" t="s">
        <v>56</v>
      </c>
      <c r="B63">
        <v>0.187</v>
      </c>
      <c r="C63">
        <v>1.9837</v>
      </c>
      <c r="D63">
        <f t="shared" si="0"/>
        <v>4.5248777536925955</v>
      </c>
      <c r="E63">
        <f t="shared" si="1"/>
        <v>0.94268286535262391</v>
      </c>
      <c r="F63" t="str">
        <f t="shared" si="6"/>
        <v>A</v>
      </c>
      <c r="H63">
        <v>0.60499999999999998</v>
      </c>
      <c r="I63">
        <v>1.9837</v>
      </c>
      <c r="J63">
        <f t="shared" si="2"/>
        <v>14.63931037959369</v>
      </c>
      <c r="K63">
        <f t="shared" si="3"/>
        <v>3.0498563290820182</v>
      </c>
      <c r="L63" t="s">
        <v>56</v>
      </c>
      <c r="M63">
        <v>12</v>
      </c>
      <c r="N63">
        <v>20</v>
      </c>
      <c r="O63" t="str">
        <f t="shared" si="5"/>
        <v>N12</v>
      </c>
    </row>
    <row r="64" spans="1:15" x14ac:dyDescent="0.25">
      <c r="A64" t="s">
        <v>57</v>
      </c>
      <c r="B64">
        <v>-2.8000000000000001E-2</v>
      </c>
      <c r="C64">
        <v>2.0184000000000002</v>
      </c>
      <c r="D64">
        <f t="shared" si="0"/>
        <v>-0.66587395957193807</v>
      </c>
      <c r="E64">
        <f t="shared" si="1"/>
        <v>-0.1387237415774871</v>
      </c>
      <c r="F64" t="str">
        <f t="shared" si="6"/>
        <v>B</v>
      </c>
      <c r="H64">
        <v>0.20300000000000001</v>
      </c>
      <c r="I64">
        <v>2.0184000000000002</v>
      </c>
      <c r="J64">
        <f t="shared" si="2"/>
        <v>4.8275862068965525</v>
      </c>
      <c r="K64">
        <f t="shared" si="3"/>
        <v>1.0057471264367817</v>
      </c>
      <c r="L64" t="s">
        <v>57</v>
      </c>
      <c r="M64">
        <v>12</v>
      </c>
      <c r="N64">
        <v>60</v>
      </c>
      <c r="O64" t="str">
        <f t="shared" si="5"/>
        <v>N12</v>
      </c>
    </row>
    <row r="65" spans="1:15" x14ac:dyDescent="0.25">
      <c r="A65" t="s">
        <v>58</v>
      </c>
      <c r="B65">
        <v>-5.6000000000000001E-2</v>
      </c>
      <c r="C65">
        <v>1.9902</v>
      </c>
      <c r="D65">
        <f t="shared" si="0"/>
        <v>-1.3506180283388605</v>
      </c>
      <c r="E65">
        <f t="shared" si="1"/>
        <v>-0.28137875590392925</v>
      </c>
      <c r="F65" t="str">
        <f t="shared" si="6"/>
        <v>C</v>
      </c>
      <c r="H65">
        <v>0.161</v>
      </c>
      <c r="I65">
        <v>1.9902</v>
      </c>
      <c r="J65">
        <f t="shared" si="2"/>
        <v>3.8830268314742247</v>
      </c>
      <c r="K65">
        <f t="shared" si="3"/>
        <v>0.80896392322379662</v>
      </c>
      <c r="L65" t="s">
        <v>58</v>
      </c>
      <c r="M65">
        <v>12</v>
      </c>
      <c r="N65">
        <v>100</v>
      </c>
      <c r="O65" t="str">
        <f t="shared" si="5"/>
        <v>N12</v>
      </c>
    </row>
    <row r="66" spans="1:15" x14ac:dyDescent="0.25">
      <c r="A66" t="s">
        <v>59</v>
      </c>
      <c r="B66">
        <v>1.2E-2</v>
      </c>
      <c r="C66">
        <v>1.9910000000000001</v>
      </c>
      <c r="D66">
        <f t="shared" si="0"/>
        <v>0.28930185836263184</v>
      </c>
      <c r="E66">
        <f t="shared" si="1"/>
        <v>6.0271220492214964E-2</v>
      </c>
      <c r="F66" t="str">
        <f t="shared" si="6"/>
        <v>D</v>
      </c>
      <c r="H66">
        <v>0.151</v>
      </c>
      <c r="I66">
        <v>1.9910000000000001</v>
      </c>
      <c r="J66">
        <f t="shared" si="2"/>
        <v>3.6403817177297846</v>
      </c>
      <c r="K66">
        <f t="shared" si="3"/>
        <v>0.7584128578603716</v>
      </c>
      <c r="L66" t="s">
        <v>59</v>
      </c>
      <c r="M66">
        <v>12</v>
      </c>
      <c r="N66">
        <v>140</v>
      </c>
      <c r="O66" t="str">
        <f t="shared" si="5"/>
        <v>N12</v>
      </c>
    </row>
    <row r="67" spans="1:15" x14ac:dyDescent="0.25">
      <c r="A67" t="s">
        <v>60</v>
      </c>
      <c r="B67">
        <v>9.8000000000000004E-2</v>
      </c>
      <c r="C67">
        <v>1.9884999999999999</v>
      </c>
      <c r="D67">
        <f t="shared" si="0"/>
        <v>2.3656022127231591</v>
      </c>
      <c r="E67">
        <f t="shared" si="1"/>
        <v>0.49283379431732466</v>
      </c>
      <c r="F67" t="str">
        <f t="shared" si="6"/>
        <v>E</v>
      </c>
      <c r="H67">
        <v>0.20499999999999999</v>
      </c>
      <c r="I67">
        <v>1.9884999999999999</v>
      </c>
      <c r="J67">
        <f t="shared" si="2"/>
        <v>4.948453608247422</v>
      </c>
      <c r="K67">
        <f t="shared" si="3"/>
        <v>1.0309278350515463</v>
      </c>
      <c r="L67" t="s">
        <v>60</v>
      </c>
      <c r="M67">
        <v>12</v>
      </c>
      <c r="N67">
        <v>180</v>
      </c>
      <c r="O67" t="str">
        <f t="shared" si="5"/>
        <v>N12</v>
      </c>
    </row>
    <row r="68" spans="1:15" x14ac:dyDescent="0.25">
      <c r="A68" t="s">
        <v>61</v>
      </c>
      <c r="B68">
        <v>0.153</v>
      </c>
      <c r="C68">
        <v>1.9874000000000001</v>
      </c>
      <c r="D68">
        <f t="shared" si="0"/>
        <v>3.6952802656737447</v>
      </c>
      <c r="E68">
        <f t="shared" si="1"/>
        <v>0.76985005534869677</v>
      </c>
      <c r="F68" t="str">
        <f t="shared" si="6"/>
        <v>A</v>
      </c>
      <c r="H68">
        <v>0.74399999999999999</v>
      </c>
      <c r="I68">
        <v>1.9874000000000001</v>
      </c>
      <c r="J68">
        <f t="shared" si="2"/>
        <v>17.969205997786055</v>
      </c>
      <c r="K68">
        <f t="shared" si="3"/>
        <v>3.7435845828720944</v>
      </c>
      <c r="L68" t="s">
        <v>61</v>
      </c>
      <c r="M68">
        <v>13</v>
      </c>
      <c r="N68">
        <v>20</v>
      </c>
      <c r="O68" t="str">
        <f t="shared" si="5"/>
        <v>N13</v>
      </c>
    </row>
    <row r="69" spans="1:15" x14ac:dyDescent="0.25">
      <c r="A69" t="s">
        <v>62</v>
      </c>
      <c r="B69">
        <v>4.5999999999999999E-2</v>
      </c>
      <c r="C69">
        <v>2.0095999999999998</v>
      </c>
      <c r="D69">
        <f t="shared" si="0"/>
        <v>1.0987261146496818</v>
      </c>
      <c r="E69">
        <f t="shared" si="1"/>
        <v>0.22890127388535034</v>
      </c>
      <c r="F69" t="str">
        <f t="shared" si="6"/>
        <v>B</v>
      </c>
      <c r="H69">
        <v>0.377</v>
      </c>
      <c r="I69">
        <v>2.0095999999999998</v>
      </c>
      <c r="J69">
        <f t="shared" si="2"/>
        <v>9.0047770700636942</v>
      </c>
      <c r="K69">
        <f t="shared" si="3"/>
        <v>1.8759952229299364</v>
      </c>
      <c r="L69" t="s">
        <v>62</v>
      </c>
      <c r="M69">
        <v>13</v>
      </c>
      <c r="N69">
        <v>60</v>
      </c>
      <c r="O69" t="str">
        <f t="shared" si="5"/>
        <v>N13</v>
      </c>
    </row>
    <row r="70" spans="1:15" x14ac:dyDescent="0.25">
      <c r="A70" t="s">
        <v>63</v>
      </c>
      <c r="B70">
        <v>0.115</v>
      </c>
      <c r="C70">
        <v>2.0173000000000001</v>
      </c>
      <c r="D70">
        <f t="shared" si="0"/>
        <v>2.7363307391067266</v>
      </c>
      <c r="E70">
        <f t="shared" si="1"/>
        <v>0.57006890398056809</v>
      </c>
      <c r="F70" t="str">
        <f t="shared" si="6"/>
        <v>C</v>
      </c>
      <c r="H70">
        <v>0.27800000000000002</v>
      </c>
      <c r="I70">
        <v>2.0173000000000001</v>
      </c>
      <c r="J70">
        <f t="shared" si="2"/>
        <v>6.6147821345362612</v>
      </c>
      <c r="K70">
        <f t="shared" si="3"/>
        <v>1.3780796113617211</v>
      </c>
      <c r="L70" t="s">
        <v>63</v>
      </c>
      <c r="M70">
        <v>13</v>
      </c>
      <c r="N70">
        <v>100</v>
      </c>
      <c r="O70" t="str">
        <f t="shared" si="5"/>
        <v>N13</v>
      </c>
    </row>
    <row r="71" spans="1:15" x14ac:dyDescent="0.25">
      <c r="A71" t="s">
        <v>64</v>
      </c>
      <c r="B71">
        <v>4.4999999999999998E-2</v>
      </c>
      <c r="C71">
        <v>1.9895</v>
      </c>
      <c r="D71">
        <f t="shared" si="0"/>
        <v>1.0856999246041719</v>
      </c>
      <c r="E71">
        <f t="shared" si="1"/>
        <v>0.2261874842925358</v>
      </c>
      <c r="F71" t="str">
        <f t="shared" si="6"/>
        <v>A</v>
      </c>
      <c r="H71">
        <v>0.71699999999999997</v>
      </c>
      <c r="I71">
        <v>1.9895</v>
      </c>
      <c r="J71">
        <f t="shared" si="2"/>
        <v>17.298818798693141</v>
      </c>
      <c r="K71">
        <f t="shared" si="3"/>
        <v>3.6039205830610705</v>
      </c>
      <c r="L71" t="s">
        <v>64</v>
      </c>
      <c r="M71">
        <v>14</v>
      </c>
      <c r="N71">
        <v>20</v>
      </c>
      <c r="O71" t="str">
        <f t="shared" si="5"/>
        <v>N14</v>
      </c>
    </row>
    <row r="72" spans="1:15" x14ac:dyDescent="0.25">
      <c r="A72" t="s">
        <v>65</v>
      </c>
      <c r="B72">
        <v>0.23499999999999999</v>
      </c>
      <c r="C72">
        <v>1.9906999999999999</v>
      </c>
      <c r="D72">
        <f t="shared" ref="D72:D80" si="7">B72*(10/C72)*1.6*30*(1/1000000000)*(10000)*(10000)</f>
        <v>5.6663485206208888</v>
      </c>
      <c r="E72">
        <f t="shared" ref="E72:E80" si="8">(10/C72)*B72</f>
        <v>1.1804892751293514</v>
      </c>
      <c r="F72" t="str">
        <f t="shared" si="6"/>
        <v>B</v>
      </c>
      <c r="H72">
        <v>0.35</v>
      </c>
      <c r="I72">
        <v>1.9906999999999999</v>
      </c>
      <c r="J72">
        <f t="shared" ref="J72:J135" si="9">H72*(10/I72)*1.6*30*(1/1000000000)*(10000)*(10000)</f>
        <v>8.4392424775204695</v>
      </c>
      <c r="K72">
        <f t="shared" ref="K72:K135" si="10">(10/I72)*H72</f>
        <v>1.7581755161500978</v>
      </c>
      <c r="L72" t="s">
        <v>65</v>
      </c>
      <c r="M72">
        <v>14</v>
      </c>
      <c r="N72">
        <v>60</v>
      </c>
      <c r="O72" t="str">
        <f t="shared" si="5"/>
        <v>N14</v>
      </c>
    </row>
    <row r="73" spans="1:15" x14ac:dyDescent="0.25">
      <c r="A73" t="s">
        <v>66</v>
      </c>
      <c r="B73">
        <v>1.0509999999999999</v>
      </c>
      <c r="C73">
        <v>1.9871000000000001</v>
      </c>
      <c r="D73">
        <f t="shared" si="7"/>
        <v>25.387750993910721</v>
      </c>
      <c r="E73">
        <f t="shared" si="8"/>
        <v>5.2891147903980666</v>
      </c>
      <c r="F73" t="str">
        <f t="shared" si="6"/>
        <v>C</v>
      </c>
      <c r="H73">
        <v>0.14899999999999999</v>
      </c>
      <c r="I73">
        <v>1.9871000000000001</v>
      </c>
      <c r="J73">
        <f t="shared" si="9"/>
        <v>3.5992149363393886</v>
      </c>
      <c r="K73">
        <f t="shared" si="10"/>
        <v>0.7498364450707059</v>
      </c>
      <c r="L73" t="s">
        <v>66</v>
      </c>
      <c r="M73">
        <v>14</v>
      </c>
      <c r="N73">
        <v>100</v>
      </c>
      <c r="O73" t="str">
        <f t="shared" ref="O73:O136" si="11">_xlfn.CONCAT("N",M73)</f>
        <v>N14</v>
      </c>
    </row>
    <row r="74" spans="1:15" x14ac:dyDescent="0.25">
      <c r="A74" t="s">
        <v>67</v>
      </c>
      <c r="B74">
        <v>0.84299999999999997</v>
      </c>
      <c r="C74">
        <v>1.9943</v>
      </c>
      <c r="D74">
        <f t="shared" si="7"/>
        <v>20.28982600411172</v>
      </c>
      <c r="E74">
        <f t="shared" si="8"/>
        <v>4.227047084189941</v>
      </c>
      <c r="F74" t="str">
        <f t="shared" si="6"/>
        <v>D</v>
      </c>
      <c r="H74">
        <v>0.11899999999999999</v>
      </c>
      <c r="I74">
        <v>1.9943</v>
      </c>
      <c r="J74">
        <f t="shared" si="9"/>
        <v>2.8641628641628643</v>
      </c>
      <c r="K74">
        <f t="shared" si="10"/>
        <v>0.59670059670059661</v>
      </c>
      <c r="L74" t="s">
        <v>67</v>
      </c>
      <c r="M74">
        <v>14</v>
      </c>
      <c r="N74">
        <v>140</v>
      </c>
      <c r="O74" t="str">
        <f t="shared" si="11"/>
        <v>N14</v>
      </c>
    </row>
    <row r="75" spans="1:15" x14ac:dyDescent="0.25">
      <c r="A75" t="s">
        <v>68</v>
      </c>
      <c r="B75">
        <v>0.28899999999999998</v>
      </c>
      <c r="C75">
        <v>2.0099999999999998</v>
      </c>
      <c r="D75">
        <f t="shared" si="7"/>
        <v>6.9014925373134339</v>
      </c>
      <c r="E75">
        <f t="shared" si="8"/>
        <v>1.4378109452736318</v>
      </c>
      <c r="F75" t="str">
        <f t="shared" si="6"/>
        <v>E</v>
      </c>
      <c r="H75">
        <v>0.123</v>
      </c>
      <c r="I75">
        <v>2.0099999999999998</v>
      </c>
      <c r="J75">
        <f t="shared" si="9"/>
        <v>2.9373134328358219</v>
      </c>
      <c r="K75">
        <f t="shared" si="10"/>
        <v>0.61194029850746279</v>
      </c>
      <c r="L75" t="s">
        <v>68</v>
      </c>
      <c r="M75">
        <v>14</v>
      </c>
      <c r="N75">
        <v>180</v>
      </c>
      <c r="O75" t="str">
        <f t="shared" si="11"/>
        <v>N14</v>
      </c>
    </row>
    <row r="76" spans="1:15" x14ac:dyDescent="0.25">
      <c r="A76" t="s">
        <v>69</v>
      </c>
      <c r="B76">
        <v>0.14099999999999999</v>
      </c>
      <c r="C76">
        <v>1.9916</v>
      </c>
      <c r="D76">
        <f t="shared" si="7"/>
        <v>3.3982727455312296</v>
      </c>
      <c r="E76">
        <f t="shared" si="8"/>
        <v>0.70797348865233967</v>
      </c>
      <c r="F76" t="str">
        <f t="shared" si="6"/>
        <v>A</v>
      </c>
      <c r="H76">
        <v>0.65</v>
      </c>
      <c r="I76">
        <v>1.9916</v>
      </c>
      <c r="J76">
        <f t="shared" si="9"/>
        <v>15.66579634464752</v>
      </c>
      <c r="K76">
        <f t="shared" si="10"/>
        <v>3.2637075718015662</v>
      </c>
      <c r="L76" t="s">
        <v>69</v>
      </c>
      <c r="M76">
        <v>15</v>
      </c>
      <c r="N76">
        <v>20</v>
      </c>
      <c r="O76" t="str">
        <f t="shared" si="11"/>
        <v>N15</v>
      </c>
    </row>
    <row r="77" spans="1:15" x14ac:dyDescent="0.25">
      <c r="A77" t="s">
        <v>70</v>
      </c>
      <c r="B77">
        <v>0.36299999999999999</v>
      </c>
      <c r="C77">
        <v>1.9921</v>
      </c>
      <c r="D77">
        <f t="shared" si="7"/>
        <v>8.7465488680287145</v>
      </c>
      <c r="E77">
        <f t="shared" si="8"/>
        <v>1.8221976808393152</v>
      </c>
      <c r="F77" t="str">
        <f t="shared" si="6"/>
        <v>B</v>
      </c>
      <c r="H77">
        <v>0.26200000000000001</v>
      </c>
      <c r="I77">
        <v>1.9921</v>
      </c>
      <c r="J77">
        <f t="shared" si="9"/>
        <v>6.3129360975854647</v>
      </c>
      <c r="K77">
        <f t="shared" si="10"/>
        <v>1.3151950203303049</v>
      </c>
      <c r="L77" t="s">
        <v>70</v>
      </c>
      <c r="M77">
        <v>15</v>
      </c>
      <c r="N77">
        <v>60</v>
      </c>
      <c r="O77" t="str">
        <f t="shared" si="11"/>
        <v>N15</v>
      </c>
    </row>
    <row r="78" spans="1:15" x14ac:dyDescent="0.25">
      <c r="A78" t="s">
        <v>71</v>
      </c>
      <c r="B78">
        <v>0.74</v>
      </c>
      <c r="C78">
        <v>2.0211999999999999</v>
      </c>
      <c r="D78">
        <f t="shared" si="7"/>
        <v>17.573718583019993</v>
      </c>
      <c r="E78">
        <f t="shared" si="8"/>
        <v>3.6611913714624982</v>
      </c>
      <c r="F78" t="str">
        <f t="shared" si="6"/>
        <v>C</v>
      </c>
      <c r="H78">
        <v>0.218</v>
      </c>
      <c r="I78">
        <v>2.0211999999999999</v>
      </c>
      <c r="J78">
        <f t="shared" si="9"/>
        <v>5.1771225014842681</v>
      </c>
      <c r="K78">
        <f t="shared" si="10"/>
        <v>1.0785671878092224</v>
      </c>
      <c r="L78" t="s">
        <v>71</v>
      </c>
      <c r="M78">
        <v>15</v>
      </c>
      <c r="N78">
        <v>100</v>
      </c>
      <c r="O78" t="str">
        <f t="shared" si="11"/>
        <v>N15</v>
      </c>
    </row>
    <row r="79" spans="1:15" x14ac:dyDescent="0.25">
      <c r="A79" t="s">
        <v>72</v>
      </c>
      <c r="B79">
        <v>0.53</v>
      </c>
      <c r="C79">
        <v>2.0023</v>
      </c>
      <c r="D79">
        <f t="shared" si="7"/>
        <v>12.705388802876694</v>
      </c>
      <c r="E79">
        <f t="shared" si="8"/>
        <v>2.6469560005993111</v>
      </c>
      <c r="F79" t="str">
        <f t="shared" si="6"/>
        <v>D</v>
      </c>
      <c r="H79">
        <v>0.155</v>
      </c>
      <c r="I79">
        <v>2.0023</v>
      </c>
      <c r="J79">
        <f t="shared" si="9"/>
        <v>3.7157269140488447</v>
      </c>
      <c r="K79">
        <f t="shared" si="10"/>
        <v>0.77410977376017587</v>
      </c>
      <c r="L79" t="s">
        <v>72</v>
      </c>
      <c r="M79">
        <v>15</v>
      </c>
      <c r="N79">
        <v>140</v>
      </c>
      <c r="O79" t="str">
        <f t="shared" si="11"/>
        <v>N15</v>
      </c>
    </row>
    <row r="80" spans="1:15" x14ac:dyDescent="0.25">
      <c r="A80" t="s">
        <v>73</v>
      </c>
      <c r="B80">
        <v>0.41299999999999998</v>
      </c>
      <c r="C80">
        <v>2.0196000000000001</v>
      </c>
      <c r="D80">
        <f t="shared" si="7"/>
        <v>9.8158051099227581</v>
      </c>
      <c r="E80">
        <f t="shared" si="8"/>
        <v>2.0449593979005742</v>
      </c>
      <c r="F80" t="str">
        <f t="shared" si="6"/>
        <v>E</v>
      </c>
      <c r="H80">
        <v>0.16600000000000001</v>
      </c>
      <c r="I80">
        <v>2.0196000000000001</v>
      </c>
      <c r="J80">
        <f t="shared" si="9"/>
        <v>3.9453357100415931</v>
      </c>
      <c r="K80">
        <f t="shared" si="10"/>
        <v>0.82194493959199844</v>
      </c>
      <c r="L80" t="s">
        <v>73</v>
      </c>
      <c r="M80">
        <v>15</v>
      </c>
      <c r="N80">
        <v>180</v>
      </c>
      <c r="O80" t="str">
        <f t="shared" si="11"/>
        <v>N15</v>
      </c>
    </row>
    <row r="81" spans="1:15" x14ac:dyDescent="0.25">
      <c r="A81" t="s">
        <v>86</v>
      </c>
      <c r="B81">
        <v>7.2999999999999995E-2</v>
      </c>
      <c r="C81">
        <v>1.9863</v>
      </c>
      <c r="D81">
        <f>B81*(10/C81)*1.6*30*(1/1000000000)*(10000)*(10000)</f>
        <v>1.7640839752303277</v>
      </c>
      <c r="E81">
        <f>(10/C81)*B81</f>
        <v>0.36751749483965157</v>
      </c>
      <c r="F81" t="str">
        <f t="shared" si="6"/>
        <v>A</v>
      </c>
      <c r="H81">
        <v>0.67400000000000004</v>
      </c>
      <c r="I81">
        <v>1.9863</v>
      </c>
      <c r="J81">
        <f t="shared" si="9"/>
        <v>16.28756985349645</v>
      </c>
      <c r="K81">
        <f t="shared" si="10"/>
        <v>3.3932437194784271</v>
      </c>
      <c r="L81" t="s">
        <v>86</v>
      </c>
      <c r="M81">
        <v>16</v>
      </c>
      <c r="N81">
        <v>20</v>
      </c>
      <c r="O81" t="str">
        <f t="shared" si="11"/>
        <v>N16</v>
      </c>
    </row>
    <row r="82" spans="1:15" x14ac:dyDescent="0.25">
      <c r="A82" t="s">
        <v>87</v>
      </c>
      <c r="B82">
        <v>3.5000000000000003E-2</v>
      </c>
      <c r="C82">
        <v>1.9843999999999999</v>
      </c>
      <c r="D82">
        <f t="shared" ref="D82:D145" si="12">B82*(10/C82)*1.6*30*(1/1000000000)*(10000)*(10000)</f>
        <v>0.84660350735738787</v>
      </c>
      <c r="E82">
        <f t="shared" ref="E82:E145" si="13">(10/C82)*B82</f>
        <v>0.17637573069945578</v>
      </c>
      <c r="F82" t="str">
        <f t="shared" si="6"/>
        <v>B</v>
      </c>
      <c r="H82">
        <v>0.23499999999999999</v>
      </c>
      <c r="I82">
        <v>1.9843999999999999</v>
      </c>
      <c r="J82">
        <f t="shared" si="9"/>
        <v>5.6843378351138885</v>
      </c>
      <c r="K82">
        <f t="shared" si="10"/>
        <v>1.1842370489820599</v>
      </c>
      <c r="L82" t="s">
        <v>87</v>
      </c>
      <c r="M82">
        <v>16</v>
      </c>
      <c r="N82">
        <v>60</v>
      </c>
      <c r="O82" t="str">
        <f t="shared" si="11"/>
        <v>N16</v>
      </c>
    </row>
    <row r="83" spans="1:15" x14ac:dyDescent="0.25">
      <c r="A83" t="s">
        <v>88</v>
      </c>
      <c r="B83">
        <v>0.29099999999999998</v>
      </c>
      <c r="C83">
        <v>1.9983</v>
      </c>
      <c r="D83">
        <f t="shared" si="12"/>
        <v>6.9899414502326973</v>
      </c>
      <c r="E83">
        <f t="shared" si="13"/>
        <v>1.4562378021318119</v>
      </c>
      <c r="F83" t="str">
        <f t="shared" si="6"/>
        <v>C</v>
      </c>
      <c r="H83">
        <v>0.28699999999999998</v>
      </c>
      <c r="I83">
        <v>1.9983</v>
      </c>
      <c r="J83">
        <f t="shared" si="9"/>
        <v>6.8938597808136928</v>
      </c>
      <c r="K83">
        <f t="shared" si="10"/>
        <v>1.436220787669519</v>
      </c>
      <c r="L83" t="s">
        <v>88</v>
      </c>
      <c r="M83">
        <v>16</v>
      </c>
      <c r="N83">
        <v>100</v>
      </c>
      <c r="O83" t="str">
        <f t="shared" si="11"/>
        <v>N16</v>
      </c>
    </row>
    <row r="84" spans="1:15" x14ac:dyDescent="0.25">
      <c r="A84" t="s">
        <v>89</v>
      </c>
      <c r="B84">
        <v>0.16900000000000001</v>
      </c>
      <c r="C84">
        <v>1.9842</v>
      </c>
      <c r="D84">
        <f t="shared" si="12"/>
        <v>4.0882975506501369</v>
      </c>
      <c r="E84">
        <f t="shared" si="13"/>
        <v>0.85172865638544504</v>
      </c>
      <c r="F84" t="str">
        <f t="shared" si="6"/>
        <v>D</v>
      </c>
      <c r="H84">
        <v>0.36299999999999999</v>
      </c>
      <c r="I84">
        <v>1.9842</v>
      </c>
      <c r="J84">
        <f t="shared" si="9"/>
        <v>8.7813728454792876</v>
      </c>
      <c r="K84">
        <f t="shared" si="10"/>
        <v>1.829452676141518</v>
      </c>
      <c r="L84" t="s">
        <v>89</v>
      </c>
      <c r="M84">
        <v>16</v>
      </c>
      <c r="N84">
        <v>140</v>
      </c>
      <c r="O84" t="str">
        <f t="shared" si="11"/>
        <v>N16</v>
      </c>
    </row>
    <row r="85" spans="1:15" x14ac:dyDescent="0.25">
      <c r="A85" t="s">
        <v>90</v>
      </c>
      <c r="B85">
        <v>9.2999999999999999E-2</v>
      </c>
      <c r="C85">
        <v>1.9865999999999999</v>
      </c>
      <c r="D85">
        <f t="shared" si="12"/>
        <v>2.2470552703110847</v>
      </c>
      <c r="E85">
        <f t="shared" si="13"/>
        <v>0.4681365146481426</v>
      </c>
      <c r="F85" t="str">
        <f t="shared" si="6"/>
        <v>E</v>
      </c>
      <c r="H85">
        <v>0.253</v>
      </c>
      <c r="I85">
        <v>1.9865999999999999</v>
      </c>
      <c r="J85">
        <f t="shared" si="9"/>
        <v>6.1129568106312302</v>
      </c>
      <c r="K85">
        <f t="shared" si="10"/>
        <v>1.2735326688815061</v>
      </c>
      <c r="L85" t="s">
        <v>90</v>
      </c>
      <c r="M85">
        <v>16</v>
      </c>
      <c r="N85">
        <v>180</v>
      </c>
      <c r="O85" t="str">
        <f t="shared" si="11"/>
        <v>N16</v>
      </c>
    </row>
    <row r="86" spans="1:15" x14ac:dyDescent="0.25">
      <c r="A86" t="s">
        <v>91</v>
      </c>
      <c r="B86">
        <v>5.2999999999999999E-2</v>
      </c>
      <c r="C86">
        <v>1.9975000000000001</v>
      </c>
      <c r="D86">
        <f t="shared" si="12"/>
        <v>1.2735919899874846</v>
      </c>
      <c r="E86">
        <f t="shared" si="13"/>
        <v>0.26533166458072588</v>
      </c>
      <c r="F86" t="str">
        <f t="shared" si="6"/>
        <v>A</v>
      </c>
      <c r="H86">
        <v>0.94399999999999995</v>
      </c>
      <c r="I86">
        <v>1.9975000000000001</v>
      </c>
      <c r="J86">
        <f t="shared" si="9"/>
        <v>22.684355444305385</v>
      </c>
      <c r="K86">
        <f t="shared" si="10"/>
        <v>4.7259073842302879</v>
      </c>
      <c r="L86" t="s">
        <v>91</v>
      </c>
      <c r="M86">
        <v>17</v>
      </c>
      <c r="N86">
        <v>20</v>
      </c>
      <c r="O86" t="str">
        <f t="shared" si="11"/>
        <v>N17</v>
      </c>
    </row>
    <row r="87" spans="1:15" x14ac:dyDescent="0.25">
      <c r="A87" t="s">
        <v>92</v>
      </c>
      <c r="B87">
        <v>2.5000000000000001E-2</v>
      </c>
      <c r="C87">
        <v>2.0007999999999999</v>
      </c>
      <c r="D87">
        <f t="shared" si="12"/>
        <v>0.59976009596161561</v>
      </c>
      <c r="E87">
        <f t="shared" si="13"/>
        <v>0.12495001999200323</v>
      </c>
      <c r="F87" t="str">
        <f t="shared" si="6"/>
        <v>B</v>
      </c>
      <c r="H87">
        <v>0.28799999999999998</v>
      </c>
      <c r="I87">
        <v>2.0007999999999999</v>
      </c>
      <c r="J87">
        <f t="shared" si="9"/>
        <v>6.9092363054778092</v>
      </c>
      <c r="K87">
        <f t="shared" si="10"/>
        <v>1.4394242303078768</v>
      </c>
      <c r="L87" t="s">
        <v>92</v>
      </c>
      <c r="M87">
        <v>17</v>
      </c>
      <c r="N87">
        <v>60</v>
      </c>
      <c r="O87" t="str">
        <f t="shared" si="11"/>
        <v>N17</v>
      </c>
    </row>
    <row r="88" spans="1:15" x14ac:dyDescent="0.25">
      <c r="A88" t="s">
        <v>93</v>
      </c>
      <c r="B88">
        <v>2.8000000000000001E-2</v>
      </c>
      <c r="C88">
        <v>1.9945999999999999</v>
      </c>
      <c r="D88">
        <f t="shared" si="12"/>
        <v>0.67381931214278579</v>
      </c>
      <c r="E88">
        <f t="shared" si="13"/>
        <v>0.14037902336308034</v>
      </c>
      <c r="F88" t="str">
        <f t="shared" si="6"/>
        <v>C</v>
      </c>
      <c r="H88">
        <v>0.23400000000000001</v>
      </c>
      <c r="I88">
        <v>1.9945999999999999</v>
      </c>
      <c r="J88">
        <f t="shared" si="9"/>
        <v>5.6312042514789953</v>
      </c>
      <c r="K88">
        <f t="shared" si="10"/>
        <v>1.1731675523914571</v>
      </c>
      <c r="L88" t="s">
        <v>93</v>
      </c>
      <c r="M88">
        <v>17</v>
      </c>
      <c r="N88">
        <v>100</v>
      </c>
      <c r="O88" t="str">
        <f t="shared" si="11"/>
        <v>N17</v>
      </c>
    </row>
    <row r="89" spans="1:15" x14ac:dyDescent="0.25">
      <c r="A89" t="s">
        <v>94</v>
      </c>
      <c r="B89">
        <v>0.16900000000000001</v>
      </c>
      <c r="C89">
        <v>2.0003000000000002</v>
      </c>
      <c r="D89">
        <f t="shared" si="12"/>
        <v>4.0553916912463128</v>
      </c>
      <c r="E89">
        <f t="shared" si="13"/>
        <v>0.84487326900964843</v>
      </c>
      <c r="F89" t="str">
        <f t="shared" si="6"/>
        <v>D</v>
      </c>
      <c r="H89">
        <v>0.38100000000000001</v>
      </c>
      <c r="I89">
        <v>2.0003000000000002</v>
      </c>
      <c r="J89">
        <f t="shared" si="9"/>
        <v>9.1426286057091453</v>
      </c>
      <c r="K89">
        <f t="shared" si="10"/>
        <v>1.9047142928560714</v>
      </c>
      <c r="L89" t="s">
        <v>94</v>
      </c>
      <c r="M89">
        <v>17</v>
      </c>
      <c r="N89">
        <v>140</v>
      </c>
      <c r="O89" t="str">
        <f t="shared" si="11"/>
        <v>N17</v>
      </c>
    </row>
    <row r="90" spans="1:15" x14ac:dyDescent="0.25">
      <c r="A90" t="s">
        <v>95</v>
      </c>
      <c r="B90">
        <v>0.113</v>
      </c>
      <c r="C90">
        <v>2.0186999999999999</v>
      </c>
      <c r="D90">
        <f t="shared" si="12"/>
        <v>2.6868776935651661</v>
      </c>
      <c r="E90">
        <f t="shared" si="13"/>
        <v>0.55976618615940954</v>
      </c>
      <c r="F90" t="str">
        <f t="shared" si="6"/>
        <v>A</v>
      </c>
      <c r="H90">
        <v>0.92300000000000004</v>
      </c>
      <c r="I90">
        <v>2.0186999999999999</v>
      </c>
      <c r="J90">
        <f t="shared" si="9"/>
        <v>21.946797443899545</v>
      </c>
      <c r="K90">
        <f t="shared" si="10"/>
        <v>4.5722494674790708</v>
      </c>
      <c r="L90" t="s">
        <v>95</v>
      </c>
      <c r="M90">
        <v>18</v>
      </c>
      <c r="N90">
        <v>20</v>
      </c>
      <c r="O90" t="str">
        <f t="shared" si="11"/>
        <v>N18</v>
      </c>
    </row>
    <row r="91" spans="1:15" x14ac:dyDescent="0.25">
      <c r="A91" t="s">
        <v>96</v>
      </c>
      <c r="B91">
        <v>5.8999999999999997E-2</v>
      </c>
      <c r="C91">
        <v>2.0057</v>
      </c>
      <c r="D91">
        <f t="shared" si="12"/>
        <v>1.4119758687739943</v>
      </c>
      <c r="E91">
        <f t="shared" si="13"/>
        <v>0.29416163932791545</v>
      </c>
      <c r="F91" t="str">
        <f t="shared" si="6"/>
        <v>B</v>
      </c>
      <c r="H91">
        <v>0.439</v>
      </c>
      <c r="I91">
        <v>2.0057</v>
      </c>
      <c r="J91">
        <f t="shared" si="9"/>
        <v>10.506057735453957</v>
      </c>
      <c r="K91">
        <f t="shared" si="10"/>
        <v>2.1887620282195743</v>
      </c>
      <c r="L91" t="s">
        <v>96</v>
      </c>
      <c r="M91">
        <v>18</v>
      </c>
      <c r="N91">
        <v>60</v>
      </c>
      <c r="O91" t="str">
        <f t="shared" si="11"/>
        <v>N18</v>
      </c>
    </row>
    <row r="92" spans="1:15" x14ac:dyDescent="0.25">
      <c r="A92" t="s">
        <v>97</v>
      </c>
      <c r="B92">
        <v>-1E-3</v>
      </c>
      <c r="C92">
        <v>1.9955000000000001</v>
      </c>
      <c r="D92">
        <f t="shared" si="12"/>
        <v>-2.405412177399148E-2</v>
      </c>
      <c r="E92">
        <f t="shared" si="13"/>
        <v>-5.0112753695815589E-3</v>
      </c>
      <c r="F92" t="str">
        <f t="shared" si="6"/>
        <v>C</v>
      </c>
      <c r="H92">
        <v>0.36299999999999999</v>
      </c>
      <c r="I92">
        <v>1.9955000000000001</v>
      </c>
      <c r="J92">
        <f t="shared" si="9"/>
        <v>8.731646203958908</v>
      </c>
      <c r="K92">
        <f t="shared" si="10"/>
        <v>1.8190929591581058</v>
      </c>
      <c r="L92" t="s">
        <v>97</v>
      </c>
      <c r="M92">
        <v>18</v>
      </c>
      <c r="N92">
        <v>100</v>
      </c>
      <c r="O92" t="str">
        <f t="shared" si="11"/>
        <v>N18</v>
      </c>
    </row>
    <row r="93" spans="1:15" x14ac:dyDescent="0.25">
      <c r="A93" t="s">
        <v>98</v>
      </c>
      <c r="B93">
        <v>0.26200000000000001</v>
      </c>
      <c r="C93">
        <v>2.0133000000000001</v>
      </c>
      <c r="D93">
        <f t="shared" si="12"/>
        <v>6.2464610341230822</v>
      </c>
      <c r="E93">
        <f t="shared" si="13"/>
        <v>1.3013460487756419</v>
      </c>
      <c r="F93" t="str">
        <f t="shared" si="6"/>
        <v>D</v>
      </c>
      <c r="H93">
        <v>0.247</v>
      </c>
      <c r="I93">
        <v>2.0133000000000001</v>
      </c>
      <c r="J93">
        <f t="shared" si="9"/>
        <v>5.88883921919237</v>
      </c>
      <c r="K93">
        <f t="shared" si="10"/>
        <v>1.2268415039984104</v>
      </c>
      <c r="L93" t="s">
        <v>98</v>
      </c>
      <c r="M93">
        <v>18</v>
      </c>
      <c r="N93">
        <v>140</v>
      </c>
      <c r="O93" t="str">
        <f t="shared" si="11"/>
        <v>N18</v>
      </c>
    </row>
    <row r="94" spans="1:15" x14ac:dyDescent="0.25">
      <c r="A94" t="s">
        <v>99</v>
      </c>
      <c r="B94">
        <v>0.73099999999999998</v>
      </c>
      <c r="C94">
        <v>1.9956</v>
      </c>
      <c r="D94">
        <f t="shared" si="12"/>
        <v>17.5826819001804</v>
      </c>
      <c r="E94">
        <f t="shared" si="13"/>
        <v>3.6630587292042494</v>
      </c>
      <c r="F94" t="str">
        <f t="shared" si="6"/>
        <v>E</v>
      </c>
      <c r="H94">
        <v>0.22</v>
      </c>
      <c r="I94">
        <v>1.9956</v>
      </c>
      <c r="J94">
        <f t="shared" si="9"/>
        <v>5.2916416115454004</v>
      </c>
      <c r="K94">
        <f t="shared" si="10"/>
        <v>1.1024253357386251</v>
      </c>
      <c r="L94" t="s">
        <v>99</v>
      </c>
      <c r="M94">
        <v>18</v>
      </c>
      <c r="N94">
        <v>180</v>
      </c>
      <c r="O94" t="str">
        <f t="shared" si="11"/>
        <v>N18</v>
      </c>
    </row>
    <row r="95" spans="1:15" x14ac:dyDescent="0.25">
      <c r="A95" t="s">
        <v>100</v>
      </c>
      <c r="B95">
        <v>9.7000000000000003E-2</v>
      </c>
      <c r="C95">
        <v>1.9836</v>
      </c>
      <c r="D95">
        <f t="shared" si="12"/>
        <v>2.3472474289171203</v>
      </c>
      <c r="E95">
        <f t="shared" si="13"/>
        <v>0.48900988102440007</v>
      </c>
      <c r="F95" t="str">
        <f t="shared" si="6"/>
        <v>A</v>
      </c>
      <c r="H95">
        <v>0.71599999999999997</v>
      </c>
      <c r="I95">
        <v>1.9836</v>
      </c>
      <c r="J95">
        <f t="shared" si="9"/>
        <v>17.326073805202661</v>
      </c>
      <c r="K95">
        <f t="shared" si="10"/>
        <v>3.6095987094172211</v>
      </c>
      <c r="L95" t="s">
        <v>100</v>
      </c>
      <c r="M95">
        <v>19</v>
      </c>
      <c r="N95">
        <v>20</v>
      </c>
      <c r="O95" t="str">
        <f t="shared" si="11"/>
        <v>N19</v>
      </c>
    </row>
    <row r="96" spans="1:15" x14ac:dyDescent="0.25">
      <c r="A96" t="s">
        <v>101</v>
      </c>
      <c r="B96">
        <v>-4.5999999999999999E-2</v>
      </c>
      <c r="C96">
        <v>1.9927999999999999</v>
      </c>
      <c r="D96">
        <f t="shared" si="12"/>
        <v>-1.1079887595343239</v>
      </c>
      <c r="E96">
        <f t="shared" si="13"/>
        <v>-0.23083099156965076</v>
      </c>
      <c r="F96" t="str">
        <f t="shared" si="6"/>
        <v>B</v>
      </c>
      <c r="H96">
        <v>0.40500000000000003</v>
      </c>
      <c r="I96">
        <v>1.9927999999999999</v>
      </c>
      <c r="J96">
        <f t="shared" si="9"/>
        <v>9.755118426334807</v>
      </c>
      <c r="K96">
        <f t="shared" si="10"/>
        <v>2.0323163388197512</v>
      </c>
      <c r="L96" t="s">
        <v>101</v>
      </c>
      <c r="M96">
        <v>19</v>
      </c>
      <c r="N96">
        <v>60</v>
      </c>
      <c r="O96" t="str">
        <f t="shared" si="11"/>
        <v>N19</v>
      </c>
    </row>
    <row r="97" spans="1:15" x14ac:dyDescent="0.25">
      <c r="A97" t="s">
        <v>102</v>
      </c>
      <c r="B97">
        <v>0.17899999999999999</v>
      </c>
      <c r="C97">
        <v>1.9930000000000001</v>
      </c>
      <c r="D97">
        <f t="shared" si="12"/>
        <v>4.3110888108379335</v>
      </c>
      <c r="E97">
        <f t="shared" si="13"/>
        <v>0.89814350225790252</v>
      </c>
      <c r="F97" t="str">
        <f t="shared" si="6"/>
        <v>C</v>
      </c>
      <c r="H97">
        <v>0.17599999999999999</v>
      </c>
      <c r="I97">
        <v>1.9930000000000001</v>
      </c>
      <c r="J97">
        <f t="shared" si="9"/>
        <v>4.2388359257400907</v>
      </c>
      <c r="K97">
        <f t="shared" si="10"/>
        <v>0.88309081786251875</v>
      </c>
      <c r="L97" t="s">
        <v>102</v>
      </c>
      <c r="M97">
        <v>19</v>
      </c>
      <c r="N97">
        <v>100</v>
      </c>
      <c r="O97" t="str">
        <f t="shared" si="11"/>
        <v>N19</v>
      </c>
    </row>
    <row r="98" spans="1:15" x14ac:dyDescent="0.25">
      <c r="A98" t="s">
        <v>103</v>
      </c>
      <c r="B98">
        <v>0.495</v>
      </c>
      <c r="C98">
        <v>1.9928999999999999</v>
      </c>
      <c r="D98">
        <f t="shared" si="12"/>
        <v>11.922324251091377</v>
      </c>
      <c r="E98">
        <f t="shared" si="13"/>
        <v>2.4838175523107031</v>
      </c>
      <c r="F98" t="str">
        <f t="shared" si="6"/>
        <v>D</v>
      </c>
      <c r="H98">
        <v>0.16400000000000001</v>
      </c>
      <c r="I98">
        <v>1.9928999999999999</v>
      </c>
      <c r="J98">
        <f t="shared" si="9"/>
        <v>3.9500225801595668</v>
      </c>
      <c r="K98">
        <f t="shared" si="10"/>
        <v>0.82292137086657635</v>
      </c>
      <c r="L98" t="s">
        <v>103</v>
      </c>
      <c r="M98">
        <v>19</v>
      </c>
      <c r="N98">
        <v>140</v>
      </c>
      <c r="O98" t="str">
        <f t="shared" si="11"/>
        <v>N19</v>
      </c>
    </row>
    <row r="99" spans="1:15" x14ac:dyDescent="0.25">
      <c r="A99" t="s">
        <v>104</v>
      </c>
      <c r="B99">
        <v>0.68500000000000005</v>
      </c>
      <c r="C99">
        <v>2.0097</v>
      </c>
      <c r="D99">
        <f t="shared" si="12"/>
        <v>16.360650843409466</v>
      </c>
      <c r="E99">
        <f t="shared" si="13"/>
        <v>3.4084689257103049</v>
      </c>
      <c r="F99" t="str">
        <f t="shared" si="6"/>
        <v>E</v>
      </c>
      <c r="H99">
        <v>0.20200000000000001</v>
      </c>
      <c r="I99">
        <v>2.0097</v>
      </c>
      <c r="J99">
        <f t="shared" si="9"/>
        <v>4.8246006866696529</v>
      </c>
      <c r="K99">
        <f t="shared" si="10"/>
        <v>1.0051251430561776</v>
      </c>
      <c r="L99" t="s">
        <v>104</v>
      </c>
      <c r="M99">
        <v>19</v>
      </c>
      <c r="N99">
        <v>180</v>
      </c>
      <c r="O99" t="str">
        <f t="shared" si="11"/>
        <v>N19</v>
      </c>
    </row>
    <row r="100" spans="1:15" x14ac:dyDescent="0.25">
      <c r="A100" t="s">
        <v>105</v>
      </c>
      <c r="B100">
        <v>0.11799999999999999</v>
      </c>
      <c r="C100">
        <v>1.9897</v>
      </c>
      <c r="D100">
        <f t="shared" si="12"/>
        <v>2.8466603005478217</v>
      </c>
      <c r="E100">
        <f t="shared" si="13"/>
        <v>0.5930542292807961</v>
      </c>
      <c r="F100" t="str">
        <f t="shared" si="6"/>
        <v>A</v>
      </c>
      <c r="H100">
        <v>0.63900000000000001</v>
      </c>
      <c r="I100">
        <v>1.9897</v>
      </c>
      <c r="J100">
        <f t="shared" si="9"/>
        <v>15.415389254661513</v>
      </c>
      <c r="K100">
        <f t="shared" si="10"/>
        <v>3.2115394280544809</v>
      </c>
      <c r="L100" t="s">
        <v>105</v>
      </c>
      <c r="M100">
        <v>20</v>
      </c>
      <c r="N100">
        <v>20</v>
      </c>
      <c r="O100" t="str">
        <f t="shared" si="11"/>
        <v>N20</v>
      </c>
    </row>
    <row r="101" spans="1:15" x14ac:dyDescent="0.25">
      <c r="A101" t="s">
        <v>106</v>
      </c>
      <c r="B101">
        <v>7.8E-2</v>
      </c>
      <c r="C101">
        <v>1.9933000000000001</v>
      </c>
      <c r="D101">
        <f t="shared" si="12"/>
        <v>1.8782922791351029</v>
      </c>
      <c r="E101">
        <f t="shared" si="13"/>
        <v>0.39131089148647968</v>
      </c>
      <c r="F101" t="str">
        <f t="shared" si="6"/>
        <v>B</v>
      </c>
      <c r="H101">
        <v>0.51800000000000002</v>
      </c>
      <c r="I101">
        <v>1.9933000000000001</v>
      </c>
      <c r="J101">
        <f t="shared" si="9"/>
        <v>12.473787187076708</v>
      </c>
      <c r="K101">
        <f t="shared" si="10"/>
        <v>2.598705663974314</v>
      </c>
      <c r="L101" t="s">
        <v>106</v>
      </c>
      <c r="M101">
        <v>20</v>
      </c>
      <c r="N101">
        <v>60</v>
      </c>
      <c r="O101" t="str">
        <f t="shared" si="11"/>
        <v>N20</v>
      </c>
    </row>
    <row r="102" spans="1:15" x14ac:dyDescent="0.25">
      <c r="A102" t="s">
        <v>107</v>
      </c>
      <c r="B102">
        <v>0.36599999999999999</v>
      </c>
      <c r="C102">
        <v>1.994</v>
      </c>
      <c r="D102">
        <f t="shared" si="12"/>
        <v>8.8104312938816474</v>
      </c>
      <c r="E102">
        <f t="shared" si="13"/>
        <v>1.8355065195586759</v>
      </c>
      <c r="F102" t="str">
        <f t="shared" si="6"/>
        <v>C</v>
      </c>
      <c r="H102">
        <v>0.23200000000000001</v>
      </c>
      <c r="I102">
        <v>1.994</v>
      </c>
      <c r="J102">
        <f t="shared" si="9"/>
        <v>5.5847542627883646</v>
      </c>
      <c r="K102">
        <f t="shared" si="10"/>
        <v>1.1634904714142427</v>
      </c>
      <c r="L102" t="s">
        <v>107</v>
      </c>
      <c r="M102">
        <v>20</v>
      </c>
      <c r="N102">
        <v>100</v>
      </c>
      <c r="O102" t="str">
        <f t="shared" si="11"/>
        <v>N20</v>
      </c>
    </row>
    <row r="103" spans="1:15" x14ac:dyDescent="0.25">
      <c r="A103" t="s">
        <v>108</v>
      </c>
      <c r="B103">
        <v>0.56100000000000005</v>
      </c>
      <c r="C103">
        <v>1.9983</v>
      </c>
      <c r="D103">
        <f t="shared" si="12"/>
        <v>13.475454136015617</v>
      </c>
      <c r="E103">
        <f t="shared" si="13"/>
        <v>2.8073862783365864</v>
      </c>
      <c r="F103" t="str">
        <f t="shared" si="6"/>
        <v>D</v>
      </c>
      <c r="H103">
        <v>0.27200000000000002</v>
      </c>
      <c r="I103">
        <v>1.9983</v>
      </c>
      <c r="J103">
        <f t="shared" si="9"/>
        <v>6.5335535204924193</v>
      </c>
      <c r="K103">
        <f t="shared" si="10"/>
        <v>1.3611569834359205</v>
      </c>
      <c r="L103" t="s">
        <v>108</v>
      </c>
      <c r="M103">
        <v>20</v>
      </c>
      <c r="N103">
        <v>140</v>
      </c>
      <c r="O103" t="str">
        <f t="shared" si="11"/>
        <v>N20</v>
      </c>
    </row>
    <row r="104" spans="1:15" x14ac:dyDescent="0.25">
      <c r="A104" t="s">
        <v>109</v>
      </c>
      <c r="B104">
        <v>0.47799999999999998</v>
      </c>
      <c r="C104">
        <v>1.9947999999999999</v>
      </c>
      <c r="D104">
        <f t="shared" si="12"/>
        <v>11.501904952877485</v>
      </c>
      <c r="E104">
        <f t="shared" si="13"/>
        <v>2.3962301985161423</v>
      </c>
      <c r="F104" t="str">
        <f t="shared" si="6"/>
        <v>E</v>
      </c>
      <c r="H104">
        <v>0.223</v>
      </c>
      <c r="I104">
        <v>1.9947999999999999</v>
      </c>
      <c r="J104">
        <f t="shared" si="9"/>
        <v>5.3659514738319638</v>
      </c>
      <c r="K104">
        <f t="shared" si="10"/>
        <v>1.1179065570483258</v>
      </c>
      <c r="L104" t="s">
        <v>109</v>
      </c>
      <c r="M104">
        <v>20</v>
      </c>
      <c r="N104">
        <v>180</v>
      </c>
      <c r="O104" t="str">
        <f t="shared" si="11"/>
        <v>N20</v>
      </c>
    </row>
    <row r="105" spans="1:15" x14ac:dyDescent="0.25">
      <c r="A105" t="s">
        <v>110</v>
      </c>
      <c r="B105">
        <v>2.9000000000000001E-2</v>
      </c>
      <c r="C105">
        <v>1.9942</v>
      </c>
      <c r="D105">
        <f t="shared" si="12"/>
        <v>0.69802427038411419</v>
      </c>
      <c r="E105">
        <f t="shared" si="13"/>
        <v>0.14542172299669043</v>
      </c>
      <c r="F105" t="str">
        <f t="shared" si="6"/>
        <v>A</v>
      </c>
      <c r="H105">
        <v>0.58199999999999996</v>
      </c>
      <c r="I105">
        <v>1.9942</v>
      </c>
      <c r="J105">
        <f t="shared" si="9"/>
        <v>14.00862501253636</v>
      </c>
      <c r="K105">
        <f t="shared" si="10"/>
        <v>2.9184635442784073</v>
      </c>
      <c r="L105" t="s">
        <v>110</v>
      </c>
      <c r="M105">
        <v>21</v>
      </c>
      <c r="N105">
        <v>20</v>
      </c>
      <c r="O105" t="str">
        <f t="shared" si="11"/>
        <v>N21</v>
      </c>
    </row>
    <row r="106" spans="1:15" x14ac:dyDescent="0.25">
      <c r="A106" t="s">
        <v>111</v>
      </c>
      <c r="B106">
        <v>-1.0999999999999999E-2</v>
      </c>
      <c r="C106">
        <v>2.0047999999999999</v>
      </c>
      <c r="D106">
        <f t="shared" si="12"/>
        <v>-0.26336791699920192</v>
      </c>
      <c r="E106">
        <f t="shared" si="13"/>
        <v>-5.4868316041500394E-2</v>
      </c>
      <c r="F106" t="str">
        <f t="shared" si="6"/>
        <v>B</v>
      </c>
      <c r="H106">
        <v>0.33600000000000002</v>
      </c>
      <c r="I106">
        <v>2.0047999999999999</v>
      </c>
      <c r="J106">
        <f t="shared" si="9"/>
        <v>8.044692737430168</v>
      </c>
      <c r="K106">
        <f t="shared" si="10"/>
        <v>1.6759776536312849</v>
      </c>
      <c r="L106" t="s">
        <v>111</v>
      </c>
      <c r="M106">
        <v>21</v>
      </c>
      <c r="N106">
        <v>60</v>
      </c>
      <c r="O106" t="str">
        <f t="shared" si="11"/>
        <v>N21</v>
      </c>
    </row>
    <row r="107" spans="1:15" x14ac:dyDescent="0.25">
      <c r="A107" t="s">
        <v>112</v>
      </c>
      <c r="B107">
        <v>0.66600000000000004</v>
      </c>
      <c r="C107">
        <v>1.9883999999999999</v>
      </c>
      <c r="D107">
        <f t="shared" si="12"/>
        <v>16.077248038624024</v>
      </c>
      <c r="E107">
        <f t="shared" si="13"/>
        <v>3.3494266747133374</v>
      </c>
      <c r="F107" t="str">
        <f t="shared" si="6"/>
        <v>C</v>
      </c>
      <c r="H107">
        <v>0.14599999999999999</v>
      </c>
      <c r="I107">
        <v>1.9883999999999999</v>
      </c>
      <c r="J107">
        <f t="shared" si="9"/>
        <v>3.5244417622208806</v>
      </c>
      <c r="K107">
        <f t="shared" si="10"/>
        <v>0.73425870046268349</v>
      </c>
      <c r="L107" t="s">
        <v>112</v>
      </c>
      <c r="M107">
        <v>21</v>
      </c>
      <c r="N107">
        <v>100</v>
      </c>
      <c r="O107" t="str">
        <f t="shared" si="11"/>
        <v>N21</v>
      </c>
    </row>
    <row r="108" spans="1:15" x14ac:dyDescent="0.25">
      <c r="A108" t="s">
        <v>113</v>
      </c>
      <c r="B108">
        <v>1.036</v>
      </c>
      <c r="C108">
        <v>1.9855</v>
      </c>
      <c r="D108">
        <f t="shared" si="12"/>
        <v>25.045580458322842</v>
      </c>
      <c r="E108">
        <f t="shared" si="13"/>
        <v>5.217829262150592</v>
      </c>
      <c r="F108" t="str">
        <f t="shared" si="6"/>
        <v>D</v>
      </c>
      <c r="H108">
        <v>0.14599999999999999</v>
      </c>
      <c r="I108">
        <v>1.9855</v>
      </c>
      <c r="J108">
        <f t="shared" si="9"/>
        <v>3.5295895240493578</v>
      </c>
      <c r="K108">
        <f t="shared" si="10"/>
        <v>0.73533115084361622</v>
      </c>
      <c r="L108" t="s">
        <v>113</v>
      </c>
      <c r="M108">
        <v>21</v>
      </c>
      <c r="N108">
        <v>140</v>
      </c>
      <c r="O108" t="str">
        <f t="shared" si="11"/>
        <v>N21</v>
      </c>
    </row>
    <row r="109" spans="1:15" x14ac:dyDescent="0.25">
      <c r="A109" t="s">
        <v>114</v>
      </c>
      <c r="B109">
        <v>0.79500000000000004</v>
      </c>
      <c r="C109">
        <v>1.9899</v>
      </c>
      <c r="D109">
        <f t="shared" si="12"/>
        <v>19.176843057440077</v>
      </c>
      <c r="E109">
        <f t="shared" si="13"/>
        <v>3.9951756369666822</v>
      </c>
      <c r="F109" t="str">
        <f t="shared" si="6"/>
        <v>E</v>
      </c>
      <c r="H109">
        <v>0.183</v>
      </c>
      <c r="I109">
        <v>1.9899</v>
      </c>
      <c r="J109">
        <f t="shared" si="9"/>
        <v>4.4142921754862066</v>
      </c>
      <c r="K109">
        <f t="shared" si="10"/>
        <v>0.91964420322629281</v>
      </c>
      <c r="L109" t="s">
        <v>114</v>
      </c>
      <c r="M109">
        <v>21</v>
      </c>
      <c r="N109">
        <v>180</v>
      </c>
      <c r="O109" t="str">
        <f t="shared" si="11"/>
        <v>N21</v>
      </c>
    </row>
    <row r="110" spans="1:15" x14ac:dyDescent="0.25">
      <c r="A110" t="s">
        <v>115</v>
      </c>
      <c r="B110">
        <v>6.0000000000000001E-3</v>
      </c>
      <c r="C110">
        <v>2.0032000000000001</v>
      </c>
      <c r="D110">
        <f t="shared" si="12"/>
        <v>0.14376996805111825</v>
      </c>
      <c r="E110">
        <f t="shared" si="13"/>
        <v>2.9952076677316294E-2</v>
      </c>
      <c r="F110" t="str">
        <f t="shared" si="6"/>
        <v>A</v>
      </c>
      <c r="H110">
        <v>0.60799999999999998</v>
      </c>
      <c r="I110">
        <v>2.0032000000000001</v>
      </c>
      <c r="J110">
        <f t="shared" si="9"/>
        <v>14.568690095846646</v>
      </c>
      <c r="K110">
        <f t="shared" si="10"/>
        <v>3.0351437699680508</v>
      </c>
      <c r="L110" t="s">
        <v>115</v>
      </c>
      <c r="M110">
        <v>22</v>
      </c>
      <c r="N110">
        <v>20</v>
      </c>
      <c r="O110" t="str">
        <f t="shared" si="11"/>
        <v>N22</v>
      </c>
    </row>
    <row r="111" spans="1:15" x14ac:dyDescent="0.25">
      <c r="A111" t="s">
        <v>116</v>
      </c>
      <c r="B111">
        <v>1.0999999999999999E-2</v>
      </c>
      <c r="C111">
        <v>2.0007999999999999</v>
      </c>
      <c r="D111">
        <f t="shared" si="12"/>
        <v>0.26389444222311076</v>
      </c>
      <c r="E111">
        <f t="shared" si="13"/>
        <v>5.497800879648141E-2</v>
      </c>
      <c r="F111" t="str">
        <f t="shared" si="6"/>
        <v>B</v>
      </c>
      <c r="H111">
        <v>0.33600000000000002</v>
      </c>
      <c r="I111">
        <v>2.0007999999999999</v>
      </c>
      <c r="J111">
        <f t="shared" si="9"/>
        <v>8.0607756897241138</v>
      </c>
      <c r="K111">
        <f t="shared" si="10"/>
        <v>1.6793282686925233</v>
      </c>
      <c r="L111" t="s">
        <v>116</v>
      </c>
      <c r="M111">
        <v>22</v>
      </c>
      <c r="N111">
        <v>60</v>
      </c>
      <c r="O111" t="str">
        <f t="shared" si="11"/>
        <v>N22</v>
      </c>
    </row>
    <row r="112" spans="1:15" x14ac:dyDescent="0.25">
      <c r="A112" t="s">
        <v>117</v>
      </c>
      <c r="B112">
        <v>0.64700000000000002</v>
      </c>
      <c r="C112">
        <v>2.0165000000000002</v>
      </c>
      <c r="D112">
        <f t="shared" si="12"/>
        <v>15.400942226630299</v>
      </c>
      <c r="E112">
        <f t="shared" si="13"/>
        <v>3.2085296305479787</v>
      </c>
      <c r="F112" t="str">
        <f t="shared" si="6"/>
        <v>C</v>
      </c>
      <c r="H112">
        <v>0.22600000000000001</v>
      </c>
      <c r="I112">
        <v>2.0165000000000002</v>
      </c>
      <c r="J112">
        <f t="shared" si="9"/>
        <v>5.3796181502603515</v>
      </c>
      <c r="K112">
        <f t="shared" si="10"/>
        <v>1.1207537813042399</v>
      </c>
      <c r="L112" t="s">
        <v>117</v>
      </c>
      <c r="M112">
        <v>22</v>
      </c>
      <c r="N112">
        <v>100</v>
      </c>
      <c r="O112" t="str">
        <f t="shared" si="11"/>
        <v>N22</v>
      </c>
    </row>
    <row r="113" spans="1:15" x14ac:dyDescent="0.25">
      <c r="A113" t="s">
        <v>118</v>
      </c>
      <c r="B113">
        <v>2.9910000000000001</v>
      </c>
      <c r="C113">
        <v>2.0044</v>
      </c>
      <c r="D113">
        <f t="shared" si="12"/>
        <v>71.626421871881888</v>
      </c>
      <c r="E113">
        <f t="shared" si="13"/>
        <v>14.922171223308723</v>
      </c>
      <c r="F113" t="str">
        <f t="shared" si="6"/>
        <v>D</v>
      </c>
      <c r="H113">
        <v>0.18</v>
      </c>
      <c r="I113">
        <v>2.0044</v>
      </c>
      <c r="J113">
        <f t="shared" si="9"/>
        <v>4.3105168629016166</v>
      </c>
      <c r="K113">
        <f t="shared" si="10"/>
        <v>0.8980243464378368</v>
      </c>
      <c r="L113" t="s">
        <v>118</v>
      </c>
      <c r="M113">
        <v>22</v>
      </c>
      <c r="N113">
        <v>140</v>
      </c>
      <c r="O113" t="str">
        <f t="shared" si="11"/>
        <v>N22</v>
      </c>
    </row>
    <row r="114" spans="1:15" x14ac:dyDescent="0.25">
      <c r="A114" t="s">
        <v>119</v>
      </c>
      <c r="B114">
        <v>1.415</v>
      </c>
      <c r="C114">
        <v>1.9836</v>
      </c>
      <c r="D114">
        <f t="shared" si="12"/>
        <v>34.240774349667277</v>
      </c>
      <c r="E114">
        <f t="shared" si="13"/>
        <v>7.1334946561806811</v>
      </c>
      <c r="F114" t="str">
        <f t="shared" si="6"/>
        <v>E</v>
      </c>
      <c r="H114">
        <v>0.156</v>
      </c>
      <c r="I114">
        <v>1.9836</v>
      </c>
      <c r="J114">
        <f t="shared" si="9"/>
        <v>3.7749546279491843</v>
      </c>
      <c r="K114">
        <f t="shared" si="10"/>
        <v>0.78644888082274644</v>
      </c>
      <c r="L114" t="s">
        <v>119</v>
      </c>
      <c r="M114">
        <v>22</v>
      </c>
      <c r="N114">
        <v>180</v>
      </c>
      <c r="O114" t="str">
        <f t="shared" si="11"/>
        <v>N22</v>
      </c>
    </row>
    <row r="115" spans="1:15" x14ac:dyDescent="0.25">
      <c r="A115" t="s">
        <v>120</v>
      </c>
      <c r="B115">
        <v>3.5000000000000003E-2</v>
      </c>
      <c r="C115">
        <v>2.0024999999999999</v>
      </c>
      <c r="D115">
        <f t="shared" si="12"/>
        <v>0.83895131086142338</v>
      </c>
      <c r="E115">
        <f t="shared" si="13"/>
        <v>0.17478152309612985</v>
      </c>
      <c r="F115" t="str">
        <f t="shared" si="6"/>
        <v>A</v>
      </c>
      <c r="H115">
        <v>0.72499999999999998</v>
      </c>
      <c r="I115">
        <v>2.0024999999999999</v>
      </c>
      <c r="J115">
        <f t="shared" si="9"/>
        <v>17.378277153558056</v>
      </c>
      <c r="K115">
        <f t="shared" si="10"/>
        <v>3.6204744069912604</v>
      </c>
      <c r="L115" t="s">
        <v>120</v>
      </c>
      <c r="M115">
        <v>23</v>
      </c>
      <c r="N115">
        <v>20</v>
      </c>
      <c r="O115" t="str">
        <f t="shared" si="11"/>
        <v>N23</v>
      </c>
    </row>
    <row r="116" spans="1:15" x14ac:dyDescent="0.25">
      <c r="A116" t="s">
        <v>121</v>
      </c>
      <c r="B116">
        <v>1.2E-2</v>
      </c>
      <c r="C116">
        <v>2.0101</v>
      </c>
      <c r="D116">
        <f t="shared" si="12"/>
        <v>0.28655290781553161</v>
      </c>
      <c r="E116">
        <f t="shared" si="13"/>
        <v>5.9698522461569072E-2</v>
      </c>
      <c r="F116" t="str">
        <f t="shared" si="6"/>
        <v>B</v>
      </c>
      <c r="H116">
        <v>0.28000000000000003</v>
      </c>
      <c r="I116">
        <v>2.0101</v>
      </c>
      <c r="J116">
        <f t="shared" si="9"/>
        <v>6.6862345156957375</v>
      </c>
      <c r="K116">
        <f t="shared" si="10"/>
        <v>1.3929655241032786</v>
      </c>
      <c r="L116" t="s">
        <v>121</v>
      </c>
      <c r="M116">
        <v>23</v>
      </c>
      <c r="N116">
        <v>60</v>
      </c>
      <c r="O116" t="str">
        <f t="shared" si="11"/>
        <v>N23</v>
      </c>
    </row>
    <row r="117" spans="1:15" x14ac:dyDescent="0.25">
      <c r="A117" t="s">
        <v>122</v>
      </c>
      <c r="B117">
        <v>2.8000000000000001E-2</v>
      </c>
      <c r="C117">
        <v>1.9865999999999999</v>
      </c>
      <c r="D117">
        <f t="shared" si="12"/>
        <v>0.67653276955602548</v>
      </c>
      <c r="E117">
        <f t="shared" si="13"/>
        <v>0.14094432699083864</v>
      </c>
      <c r="F117" t="str">
        <f t="shared" si="6"/>
        <v>C</v>
      </c>
      <c r="H117">
        <v>0.24299999999999999</v>
      </c>
      <c r="I117">
        <v>1.9865999999999999</v>
      </c>
      <c r="J117">
        <f t="shared" si="9"/>
        <v>5.8713379643612198</v>
      </c>
      <c r="K117">
        <f t="shared" si="10"/>
        <v>1.2231954092419208</v>
      </c>
      <c r="L117" t="s">
        <v>122</v>
      </c>
      <c r="M117">
        <v>23</v>
      </c>
      <c r="N117">
        <v>100</v>
      </c>
      <c r="O117" t="str">
        <f t="shared" si="11"/>
        <v>N23</v>
      </c>
    </row>
    <row r="118" spans="1:15" x14ac:dyDescent="0.25">
      <c r="A118" t="s">
        <v>123</v>
      </c>
      <c r="B118">
        <v>5.1999999999999998E-2</v>
      </c>
      <c r="C118">
        <v>1.9861</v>
      </c>
      <c r="D118">
        <f t="shared" si="12"/>
        <v>1.2567343034086906</v>
      </c>
      <c r="E118">
        <f t="shared" si="13"/>
        <v>0.26181964654347717</v>
      </c>
      <c r="F118" t="str">
        <f t="shared" ref="F118:F181" si="14">MID(A118,3,1)</f>
        <v>A</v>
      </c>
      <c r="H118">
        <v>0.55300000000000005</v>
      </c>
      <c r="I118">
        <v>1.9861</v>
      </c>
      <c r="J118">
        <f t="shared" si="9"/>
        <v>13.364885957403963</v>
      </c>
      <c r="K118">
        <f t="shared" si="10"/>
        <v>2.7843512411258251</v>
      </c>
      <c r="L118" t="s">
        <v>123</v>
      </c>
      <c r="M118">
        <v>24</v>
      </c>
      <c r="N118">
        <v>20</v>
      </c>
      <c r="O118" t="str">
        <f t="shared" si="11"/>
        <v>N24</v>
      </c>
    </row>
    <row r="119" spans="1:15" x14ac:dyDescent="0.25">
      <c r="A119" t="s">
        <v>124</v>
      </c>
      <c r="B119">
        <v>-1.4E-2</v>
      </c>
      <c r="C119">
        <v>1.9874000000000001</v>
      </c>
      <c r="D119">
        <f t="shared" si="12"/>
        <v>-0.33813022038844731</v>
      </c>
      <c r="E119">
        <f t="shared" si="13"/>
        <v>-7.0443795914259838E-2</v>
      </c>
      <c r="F119" t="str">
        <f t="shared" si="14"/>
        <v>B</v>
      </c>
      <c r="H119">
        <v>0.16700000000000001</v>
      </c>
      <c r="I119">
        <v>1.9874000000000001</v>
      </c>
      <c r="J119">
        <f t="shared" si="9"/>
        <v>4.0334104860621931</v>
      </c>
      <c r="K119">
        <f t="shared" si="10"/>
        <v>0.84029385126295675</v>
      </c>
      <c r="L119" t="s">
        <v>124</v>
      </c>
      <c r="M119">
        <v>24</v>
      </c>
      <c r="N119">
        <v>60</v>
      </c>
      <c r="O119" t="str">
        <f t="shared" si="11"/>
        <v>N24</v>
      </c>
    </row>
    <row r="120" spans="1:15" x14ac:dyDescent="0.25">
      <c r="A120" t="s">
        <v>125</v>
      </c>
      <c r="B120">
        <v>9.4E-2</v>
      </c>
      <c r="C120">
        <v>1.9803999999999999</v>
      </c>
      <c r="D120">
        <f t="shared" si="12"/>
        <v>2.2783276105837209</v>
      </c>
      <c r="E120">
        <f t="shared" si="13"/>
        <v>0.47465158553827513</v>
      </c>
      <c r="F120" t="str">
        <f t="shared" si="14"/>
        <v>C</v>
      </c>
      <c r="H120">
        <v>0.123</v>
      </c>
      <c r="I120">
        <v>1.9803999999999999</v>
      </c>
      <c r="J120">
        <f t="shared" si="9"/>
        <v>2.9812159159765708</v>
      </c>
      <c r="K120">
        <f t="shared" si="10"/>
        <v>0.62108664916178558</v>
      </c>
      <c r="L120" t="s">
        <v>125</v>
      </c>
      <c r="M120">
        <v>24</v>
      </c>
      <c r="N120">
        <v>100</v>
      </c>
      <c r="O120" t="str">
        <f t="shared" si="11"/>
        <v>N24</v>
      </c>
    </row>
    <row r="121" spans="1:15" x14ac:dyDescent="0.25">
      <c r="A121" t="s">
        <v>126</v>
      </c>
      <c r="B121">
        <v>9.4E-2</v>
      </c>
      <c r="C121">
        <v>1.9843</v>
      </c>
      <c r="D121">
        <f t="shared" si="12"/>
        <v>2.2738497203043901</v>
      </c>
      <c r="E121">
        <f t="shared" si="13"/>
        <v>0.47371869173008119</v>
      </c>
      <c r="F121" t="str">
        <f t="shared" si="14"/>
        <v>D</v>
      </c>
      <c r="H121">
        <v>0.11899999999999999</v>
      </c>
      <c r="I121">
        <v>1.9843</v>
      </c>
      <c r="J121">
        <f t="shared" si="9"/>
        <v>2.8785969863427914</v>
      </c>
      <c r="K121">
        <f t="shared" si="10"/>
        <v>0.5997077054880815</v>
      </c>
      <c r="L121" t="s">
        <v>126</v>
      </c>
      <c r="M121">
        <v>24</v>
      </c>
      <c r="N121">
        <v>140</v>
      </c>
      <c r="O121" t="str">
        <f t="shared" si="11"/>
        <v>N24</v>
      </c>
    </row>
    <row r="122" spans="1:15" x14ac:dyDescent="0.25">
      <c r="A122" t="s">
        <v>127</v>
      </c>
      <c r="B122">
        <v>0.16700000000000001</v>
      </c>
      <c r="C122">
        <v>2.0139</v>
      </c>
      <c r="D122">
        <f t="shared" si="12"/>
        <v>3.9803366602115311</v>
      </c>
      <c r="E122">
        <f t="shared" si="13"/>
        <v>0.82923680421073542</v>
      </c>
      <c r="F122" t="str">
        <f t="shared" si="14"/>
        <v>A</v>
      </c>
      <c r="H122">
        <v>0.90700000000000003</v>
      </c>
      <c r="I122">
        <v>2.0139</v>
      </c>
      <c r="J122">
        <f t="shared" si="9"/>
        <v>21.617756591687773</v>
      </c>
      <c r="K122">
        <f t="shared" si="10"/>
        <v>4.5036992899349517</v>
      </c>
      <c r="L122" t="s">
        <v>127</v>
      </c>
      <c r="M122">
        <v>25</v>
      </c>
      <c r="N122">
        <v>20</v>
      </c>
      <c r="O122" t="str">
        <f t="shared" si="11"/>
        <v>N25</v>
      </c>
    </row>
    <row r="123" spans="1:15" x14ac:dyDescent="0.25">
      <c r="A123" t="s">
        <v>128</v>
      </c>
      <c r="B123">
        <v>-2.1000000000000001E-2</v>
      </c>
      <c r="C123">
        <v>2.0047999999999999</v>
      </c>
      <c r="D123">
        <f t="shared" si="12"/>
        <v>-0.5027932960893855</v>
      </c>
      <c r="E123">
        <f t="shared" si="13"/>
        <v>-0.10474860335195531</v>
      </c>
      <c r="F123" t="str">
        <f t="shared" si="14"/>
        <v>B</v>
      </c>
      <c r="H123">
        <v>0.32900000000000001</v>
      </c>
      <c r="I123">
        <v>2.0047999999999999</v>
      </c>
      <c r="J123">
        <f t="shared" si="9"/>
        <v>7.8770949720670416</v>
      </c>
      <c r="K123">
        <f t="shared" si="10"/>
        <v>1.6410614525139666</v>
      </c>
      <c r="L123" t="s">
        <v>128</v>
      </c>
      <c r="M123">
        <v>25</v>
      </c>
      <c r="N123">
        <v>60</v>
      </c>
      <c r="O123" t="str">
        <f t="shared" si="11"/>
        <v>N25</v>
      </c>
    </row>
    <row r="124" spans="1:15" x14ac:dyDescent="0.25">
      <c r="A124" t="s">
        <v>129</v>
      </c>
      <c r="B124">
        <v>-2.3E-2</v>
      </c>
      <c r="C124">
        <v>2.0173000000000001</v>
      </c>
      <c r="D124">
        <f t="shared" si="12"/>
        <v>-0.54726614782134531</v>
      </c>
      <c r="E124">
        <f t="shared" si="13"/>
        <v>-0.1140137807961136</v>
      </c>
      <c r="F124" t="str">
        <f t="shared" si="14"/>
        <v>C</v>
      </c>
      <c r="H124">
        <v>0.193</v>
      </c>
      <c r="I124">
        <v>2.0173000000000001</v>
      </c>
      <c r="J124">
        <f t="shared" si="9"/>
        <v>4.5922768056312897</v>
      </c>
      <c r="K124">
        <f t="shared" si="10"/>
        <v>0.9567243345065185</v>
      </c>
      <c r="L124" t="s">
        <v>129</v>
      </c>
      <c r="M124">
        <v>25</v>
      </c>
      <c r="N124">
        <v>100</v>
      </c>
      <c r="O124" t="str">
        <f t="shared" si="11"/>
        <v>N25</v>
      </c>
    </row>
    <row r="125" spans="1:15" x14ac:dyDescent="0.25">
      <c r="A125" t="s">
        <v>130</v>
      </c>
      <c r="B125">
        <v>3.6999999999999998E-2</v>
      </c>
      <c r="C125">
        <v>1.9877</v>
      </c>
      <c r="D125">
        <f t="shared" si="12"/>
        <v>0.89349499421441869</v>
      </c>
      <c r="E125">
        <f t="shared" si="13"/>
        <v>0.18614479046133722</v>
      </c>
      <c r="F125" t="str">
        <f t="shared" si="14"/>
        <v>D</v>
      </c>
      <c r="H125">
        <v>0.19</v>
      </c>
      <c r="I125">
        <v>1.9877</v>
      </c>
      <c r="J125">
        <f t="shared" si="9"/>
        <v>4.588217537857826</v>
      </c>
      <c r="K125">
        <f t="shared" si="10"/>
        <v>0.95587865372038039</v>
      </c>
      <c r="L125" t="s">
        <v>130</v>
      </c>
      <c r="M125">
        <v>25</v>
      </c>
      <c r="N125">
        <v>140</v>
      </c>
      <c r="O125" t="str">
        <f t="shared" si="11"/>
        <v>N25</v>
      </c>
    </row>
    <row r="126" spans="1:15" x14ac:dyDescent="0.25">
      <c r="A126" t="s">
        <v>131</v>
      </c>
      <c r="B126">
        <v>0.156</v>
      </c>
      <c r="C126">
        <v>2.0124</v>
      </c>
      <c r="D126">
        <f t="shared" si="12"/>
        <v>3.7209302325581408</v>
      </c>
      <c r="E126">
        <f t="shared" si="13"/>
        <v>0.77519379844961245</v>
      </c>
      <c r="F126" t="str">
        <f t="shared" si="14"/>
        <v>E</v>
      </c>
      <c r="H126">
        <v>0.252</v>
      </c>
      <c r="I126">
        <v>2.0124</v>
      </c>
      <c r="J126">
        <f t="shared" si="9"/>
        <v>6.0107334525939189</v>
      </c>
      <c r="K126">
        <f t="shared" si="10"/>
        <v>1.2522361359570664</v>
      </c>
      <c r="L126" t="s">
        <v>131</v>
      </c>
      <c r="M126">
        <v>25</v>
      </c>
      <c r="N126">
        <v>180</v>
      </c>
      <c r="O126" t="str">
        <f t="shared" si="11"/>
        <v>N25</v>
      </c>
    </row>
    <row r="127" spans="1:15" x14ac:dyDescent="0.25">
      <c r="A127" t="s">
        <v>132</v>
      </c>
      <c r="B127">
        <v>0.127</v>
      </c>
      <c r="C127">
        <v>2.0167000000000002</v>
      </c>
      <c r="D127">
        <f t="shared" si="12"/>
        <v>3.0227599543809194</v>
      </c>
      <c r="E127">
        <f t="shared" si="13"/>
        <v>0.62974165716269148</v>
      </c>
      <c r="F127" t="str">
        <f t="shared" si="14"/>
        <v>A</v>
      </c>
      <c r="H127">
        <v>0.82</v>
      </c>
      <c r="I127">
        <v>2.0167000000000002</v>
      </c>
      <c r="J127">
        <f t="shared" si="9"/>
        <v>19.517032776317748</v>
      </c>
      <c r="K127">
        <f t="shared" si="10"/>
        <v>4.0660484950661973</v>
      </c>
      <c r="L127" t="s">
        <v>132</v>
      </c>
      <c r="M127">
        <v>26</v>
      </c>
      <c r="N127">
        <v>20</v>
      </c>
      <c r="O127" t="str">
        <f t="shared" si="11"/>
        <v>N26</v>
      </c>
    </row>
    <row r="128" spans="1:15" x14ac:dyDescent="0.25">
      <c r="A128" t="s">
        <v>133</v>
      </c>
      <c r="B128">
        <v>0.185</v>
      </c>
      <c r="C128">
        <v>1.9871000000000001</v>
      </c>
      <c r="D128">
        <f t="shared" si="12"/>
        <v>4.4688239142468928</v>
      </c>
      <c r="E128">
        <f t="shared" si="13"/>
        <v>0.93100498213476912</v>
      </c>
      <c r="F128" t="str">
        <f t="shared" si="14"/>
        <v>B</v>
      </c>
      <c r="H128">
        <v>0.33</v>
      </c>
      <c r="I128">
        <v>1.9871000000000001</v>
      </c>
      <c r="J128">
        <f t="shared" si="9"/>
        <v>7.9714156308187825</v>
      </c>
      <c r="K128">
        <f t="shared" si="10"/>
        <v>1.6607115897539126</v>
      </c>
      <c r="L128" t="s">
        <v>133</v>
      </c>
      <c r="M128">
        <v>26</v>
      </c>
      <c r="N128">
        <v>60</v>
      </c>
      <c r="O128" t="str">
        <f t="shared" si="11"/>
        <v>N26</v>
      </c>
    </row>
    <row r="129" spans="1:15" x14ac:dyDescent="0.25">
      <c r="A129" t="s">
        <v>134</v>
      </c>
      <c r="B129">
        <v>0.437</v>
      </c>
      <c r="C129">
        <v>1.98</v>
      </c>
      <c r="D129">
        <f t="shared" si="12"/>
        <v>10.593939393939392</v>
      </c>
      <c r="E129">
        <f t="shared" si="13"/>
        <v>2.2070707070707067</v>
      </c>
      <c r="F129" t="str">
        <f t="shared" si="14"/>
        <v>C</v>
      </c>
      <c r="H129">
        <v>0.20200000000000001</v>
      </c>
      <c r="I129">
        <v>1.98</v>
      </c>
      <c r="J129">
        <f t="shared" si="9"/>
        <v>4.8969696969696974</v>
      </c>
      <c r="K129">
        <f t="shared" si="10"/>
        <v>1.0202020202020201</v>
      </c>
      <c r="L129" t="s">
        <v>134</v>
      </c>
      <c r="M129">
        <v>26</v>
      </c>
      <c r="N129">
        <v>100</v>
      </c>
      <c r="O129" t="str">
        <f t="shared" si="11"/>
        <v>N26</v>
      </c>
    </row>
    <row r="130" spans="1:15" x14ac:dyDescent="0.25">
      <c r="A130" t="s">
        <v>135</v>
      </c>
      <c r="B130">
        <v>0.67400000000000004</v>
      </c>
      <c r="C130">
        <v>2.0017999999999998</v>
      </c>
      <c r="D130">
        <f t="shared" si="12"/>
        <v>16.161454690778303</v>
      </c>
      <c r="E130">
        <f t="shared" si="13"/>
        <v>3.3669697272454795</v>
      </c>
      <c r="F130" t="str">
        <f t="shared" si="14"/>
        <v>D</v>
      </c>
      <c r="H130">
        <v>0.122</v>
      </c>
      <c r="I130">
        <v>2.0017999999999998</v>
      </c>
      <c r="J130">
        <f t="shared" si="9"/>
        <v>2.9253671695474077</v>
      </c>
      <c r="K130">
        <f t="shared" si="10"/>
        <v>0.60945149365570983</v>
      </c>
      <c r="L130" t="s">
        <v>135</v>
      </c>
      <c r="M130">
        <v>26</v>
      </c>
      <c r="N130">
        <v>140</v>
      </c>
      <c r="O130" t="str">
        <f t="shared" si="11"/>
        <v>N26</v>
      </c>
    </row>
    <row r="131" spans="1:15" x14ac:dyDescent="0.25">
      <c r="A131" t="s">
        <v>136</v>
      </c>
      <c r="B131">
        <v>0.34</v>
      </c>
      <c r="C131">
        <v>2.0162</v>
      </c>
      <c r="D131">
        <f t="shared" si="12"/>
        <v>8.0944350758853307</v>
      </c>
      <c r="E131">
        <f t="shared" si="13"/>
        <v>1.6863406408094437</v>
      </c>
      <c r="F131" t="str">
        <f t="shared" si="14"/>
        <v>E</v>
      </c>
      <c r="H131">
        <v>0.14399999999999999</v>
      </c>
      <c r="I131">
        <v>2.0162</v>
      </c>
      <c r="J131">
        <f t="shared" si="9"/>
        <v>3.4282313262573161</v>
      </c>
      <c r="K131">
        <f t="shared" si="10"/>
        <v>0.71421485963694076</v>
      </c>
      <c r="L131" t="s">
        <v>136</v>
      </c>
      <c r="M131">
        <v>26</v>
      </c>
      <c r="N131">
        <v>180</v>
      </c>
      <c r="O131" t="str">
        <f t="shared" si="11"/>
        <v>N26</v>
      </c>
    </row>
    <row r="132" spans="1:15" x14ac:dyDescent="0.25">
      <c r="A132" t="s">
        <v>137</v>
      </c>
      <c r="B132">
        <v>5.1999999999999998E-2</v>
      </c>
      <c r="C132">
        <v>1.9914000000000001</v>
      </c>
      <c r="D132">
        <f t="shared" si="12"/>
        <v>1.2533895751732451</v>
      </c>
      <c r="E132">
        <f t="shared" si="13"/>
        <v>0.26112282816109267</v>
      </c>
      <c r="F132" t="str">
        <f t="shared" si="14"/>
        <v>A</v>
      </c>
      <c r="H132">
        <v>0.53400000000000003</v>
      </c>
      <c r="I132">
        <v>1.9914000000000001</v>
      </c>
      <c r="J132">
        <f t="shared" si="9"/>
        <v>12.871346791202175</v>
      </c>
      <c r="K132">
        <f t="shared" si="10"/>
        <v>2.6815305815004522</v>
      </c>
      <c r="L132" t="s">
        <v>137</v>
      </c>
      <c r="M132">
        <v>27</v>
      </c>
      <c r="N132">
        <v>20</v>
      </c>
      <c r="O132" t="str">
        <f t="shared" si="11"/>
        <v>N27</v>
      </c>
    </row>
    <row r="133" spans="1:15" x14ac:dyDescent="0.25">
      <c r="A133" t="s">
        <v>138</v>
      </c>
      <c r="B133">
        <v>3.0000000000000001E-3</v>
      </c>
      <c r="C133">
        <v>1.9982</v>
      </c>
      <c r="D133">
        <f t="shared" si="12"/>
        <v>7.2064858372535304E-2</v>
      </c>
      <c r="E133">
        <f t="shared" si="13"/>
        <v>1.5013512160944853E-2</v>
      </c>
      <c r="F133" t="str">
        <f t="shared" si="14"/>
        <v>B</v>
      </c>
      <c r="H133">
        <v>0.191</v>
      </c>
      <c r="I133">
        <v>1.9982</v>
      </c>
      <c r="J133">
        <f t="shared" si="9"/>
        <v>4.5881293163847472</v>
      </c>
      <c r="K133">
        <f t="shared" si="10"/>
        <v>0.95586027424682218</v>
      </c>
      <c r="L133" t="s">
        <v>138</v>
      </c>
      <c r="M133">
        <v>27</v>
      </c>
      <c r="N133">
        <v>60</v>
      </c>
      <c r="O133" t="str">
        <f t="shared" si="11"/>
        <v>N27</v>
      </c>
    </row>
    <row r="134" spans="1:15" x14ac:dyDescent="0.25">
      <c r="A134" t="s">
        <v>139</v>
      </c>
      <c r="B134">
        <v>0.32900000000000001</v>
      </c>
      <c r="C134">
        <v>1.9890000000000001</v>
      </c>
      <c r="D134">
        <f t="shared" si="12"/>
        <v>7.9396681749622946</v>
      </c>
      <c r="E134">
        <f t="shared" si="13"/>
        <v>1.6540975364504777</v>
      </c>
      <c r="F134" t="str">
        <f t="shared" si="14"/>
        <v>C</v>
      </c>
      <c r="H134">
        <v>0.19500000000000001</v>
      </c>
      <c r="I134">
        <v>1.9890000000000001</v>
      </c>
      <c r="J134">
        <f t="shared" si="9"/>
        <v>4.7058823529411775</v>
      </c>
      <c r="K134">
        <f t="shared" si="10"/>
        <v>0.98039215686274517</v>
      </c>
      <c r="L134" t="s">
        <v>139</v>
      </c>
      <c r="M134">
        <v>27</v>
      </c>
      <c r="N134">
        <v>100</v>
      </c>
      <c r="O134" t="str">
        <f t="shared" si="11"/>
        <v>N27</v>
      </c>
    </row>
    <row r="135" spans="1:15" x14ac:dyDescent="0.25">
      <c r="A135" t="s">
        <v>140</v>
      </c>
      <c r="B135">
        <v>0.34300000000000003</v>
      </c>
      <c r="C135">
        <v>2.0228000000000002</v>
      </c>
      <c r="D135">
        <f t="shared" si="12"/>
        <v>8.139212972117857</v>
      </c>
      <c r="E135">
        <f t="shared" si="13"/>
        <v>1.6956693691912201</v>
      </c>
      <c r="F135" t="str">
        <f t="shared" si="14"/>
        <v>D</v>
      </c>
      <c r="H135">
        <v>0.17100000000000001</v>
      </c>
      <c r="I135">
        <v>2.0228000000000002</v>
      </c>
      <c r="J135">
        <f t="shared" si="9"/>
        <v>4.0577417441170658</v>
      </c>
      <c r="K135">
        <f t="shared" si="10"/>
        <v>0.84536286335772193</v>
      </c>
      <c r="L135" t="s">
        <v>140</v>
      </c>
      <c r="M135">
        <v>27</v>
      </c>
      <c r="N135">
        <v>140</v>
      </c>
      <c r="O135" t="str">
        <f t="shared" si="11"/>
        <v>N27</v>
      </c>
    </row>
    <row r="136" spans="1:15" x14ac:dyDescent="0.25">
      <c r="A136" t="s">
        <v>141</v>
      </c>
      <c r="B136">
        <v>0.22600000000000001</v>
      </c>
      <c r="C136">
        <v>1.9923999999999999</v>
      </c>
      <c r="D136">
        <f t="shared" si="12"/>
        <v>5.4446898213210213</v>
      </c>
      <c r="E136">
        <f t="shared" si="13"/>
        <v>1.1343103794418792</v>
      </c>
      <c r="F136" t="str">
        <f t="shared" si="14"/>
        <v>E</v>
      </c>
      <c r="H136">
        <v>0.13900000000000001</v>
      </c>
      <c r="I136">
        <v>1.9923999999999999</v>
      </c>
      <c r="J136">
        <f t="shared" ref="J136:J199" si="15">H136*(10/I136)*1.6*30*(1/1000000000)*(10000)*(10000)</f>
        <v>3.3487251555912478</v>
      </c>
      <c r="K136">
        <f t="shared" ref="K136:K199" si="16">(10/I136)*H136</f>
        <v>0.69765107408150984</v>
      </c>
      <c r="L136" t="s">
        <v>141</v>
      </c>
      <c r="M136">
        <v>27</v>
      </c>
      <c r="N136">
        <v>180</v>
      </c>
      <c r="O136" t="str">
        <f t="shared" si="11"/>
        <v>N27</v>
      </c>
    </row>
    <row r="137" spans="1:15" x14ac:dyDescent="0.25">
      <c r="A137" t="s">
        <v>144</v>
      </c>
      <c r="B137">
        <v>3.5000000000000003E-2</v>
      </c>
      <c r="C137">
        <v>2.0015999999999998</v>
      </c>
      <c r="D137">
        <f t="shared" si="12"/>
        <v>0.83932853717026412</v>
      </c>
      <c r="E137">
        <f t="shared" si="13"/>
        <v>0.17486011191047166</v>
      </c>
      <c r="F137" t="str">
        <f t="shared" si="14"/>
        <v>A</v>
      </c>
      <c r="H137">
        <v>0.46500000000000002</v>
      </c>
      <c r="I137">
        <v>2.0015999999999998</v>
      </c>
      <c r="J137">
        <f t="shared" si="15"/>
        <v>11.151079136690651</v>
      </c>
      <c r="K137">
        <f t="shared" si="16"/>
        <v>2.323141486810552</v>
      </c>
      <c r="L137" t="s">
        <v>144</v>
      </c>
      <c r="M137">
        <v>28</v>
      </c>
      <c r="N137">
        <v>20</v>
      </c>
      <c r="O137" t="str">
        <f t="shared" ref="O137:O200" si="17">_xlfn.CONCAT("N",M137)</f>
        <v>N28</v>
      </c>
    </row>
    <row r="138" spans="1:15" x14ac:dyDescent="0.25">
      <c r="A138" t="s">
        <v>145</v>
      </c>
      <c r="B138">
        <v>0</v>
      </c>
      <c r="C138">
        <v>1.9941</v>
      </c>
      <c r="D138">
        <f t="shared" si="12"/>
        <v>0</v>
      </c>
      <c r="E138">
        <f t="shared" si="13"/>
        <v>0</v>
      </c>
      <c r="F138" t="str">
        <f t="shared" si="14"/>
        <v>B</v>
      </c>
      <c r="H138">
        <v>0.23699999999999999</v>
      </c>
      <c r="I138">
        <v>1.9941</v>
      </c>
      <c r="J138">
        <f t="shared" si="15"/>
        <v>5.7048292462765167</v>
      </c>
      <c r="K138">
        <f t="shared" si="16"/>
        <v>1.1885060929742741</v>
      </c>
      <c r="L138" t="s">
        <v>145</v>
      </c>
      <c r="M138">
        <v>28</v>
      </c>
      <c r="N138">
        <v>60</v>
      </c>
      <c r="O138" t="str">
        <f t="shared" si="17"/>
        <v>N28</v>
      </c>
    </row>
    <row r="139" spans="1:15" x14ac:dyDescent="0.25">
      <c r="A139" t="s">
        <v>146</v>
      </c>
      <c r="B139">
        <v>0.156</v>
      </c>
      <c r="C139">
        <v>1.984</v>
      </c>
      <c r="D139">
        <f t="shared" si="12"/>
        <v>3.7741935483870965</v>
      </c>
      <c r="E139">
        <f t="shared" si="13"/>
        <v>0.78629032258064513</v>
      </c>
      <c r="F139" t="str">
        <f t="shared" si="14"/>
        <v>C</v>
      </c>
      <c r="H139">
        <v>0.20899999999999999</v>
      </c>
      <c r="I139">
        <v>1.984</v>
      </c>
      <c r="J139">
        <f t="shared" si="15"/>
        <v>5.0564516129032269</v>
      </c>
      <c r="K139">
        <f t="shared" si="16"/>
        <v>1.0534274193548385</v>
      </c>
      <c r="L139" t="s">
        <v>146</v>
      </c>
      <c r="M139">
        <v>28</v>
      </c>
      <c r="N139">
        <v>100</v>
      </c>
      <c r="O139" t="str">
        <f t="shared" si="17"/>
        <v>N28</v>
      </c>
    </row>
    <row r="140" spans="1:15" x14ac:dyDescent="0.25">
      <c r="A140" t="s">
        <v>147</v>
      </c>
      <c r="B140">
        <v>0.35599999999999998</v>
      </c>
      <c r="C140">
        <v>2.0183</v>
      </c>
      <c r="D140">
        <f t="shared" si="12"/>
        <v>8.4665312391616716</v>
      </c>
      <c r="E140">
        <f t="shared" si="13"/>
        <v>1.7638606748253478</v>
      </c>
      <c r="F140" t="str">
        <f t="shared" si="14"/>
        <v>D</v>
      </c>
      <c r="H140">
        <v>0.17199999999999999</v>
      </c>
      <c r="I140">
        <v>2.0183</v>
      </c>
      <c r="J140">
        <f t="shared" si="15"/>
        <v>4.0905712728533903</v>
      </c>
      <c r="K140">
        <f t="shared" si="16"/>
        <v>0.85220234851112309</v>
      </c>
      <c r="L140" t="s">
        <v>147</v>
      </c>
      <c r="M140">
        <v>28</v>
      </c>
      <c r="N140">
        <v>140</v>
      </c>
      <c r="O140" t="str">
        <f t="shared" si="17"/>
        <v>N28</v>
      </c>
    </row>
    <row r="141" spans="1:15" x14ac:dyDescent="0.25">
      <c r="A141" t="s">
        <v>148</v>
      </c>
      <c r="B141">
        <v>0.114</v>
      </c>
      <c r="C141">
        <v>2.0158</v>
      </c>
      <c r="D141">
        <f t="shared" si="12"/>
        <v>2.7145550153785107</v>
      </c>
      <c r="E141">
        <f t="shared" si="13"/>
        <v>0.56553229487052292</v>
      </c>
      <c r="F141" t="str">
        <f t="shared" si="14"/>
        <v>A</v>
      </c>
      <c r="H141">
        <v>0.78500000000000003</v>
      </c>
      <c r="I141">
        <v>2.0158</v>
      </c>
      <c r="J141">
        <f t="shared" si="15"/>
        <v>18.692330588352021</v>
      </c>
      <c r="K141">
        <f t="shared" si="16"/>
        <v>3.8942355392400043</v>
      </c>
      <c r="L141" t="s">
        <v>148</v>
      </c>
      <c r="M141">
        <v>29</v>
      </c>
      <c r="N141">
        <v>20</v>
      </c>
      <c r="O141" t="str">
        <f t="shared" si="17"/>
        <v>N29</v>
      </c>
    </row>
    <row r="142" spans="1:15" x14ac:dyDescent="0.25">
      <c r="A142" t="s">
        <v>149</v>
      </c>
      <c r="B142">
        <v>-3.5999999999999997E-2</v>
      </c>
      <c r="C142">
        <v>1.9861</v>
      </c>
      <c r="D142">
        <f t="shared" si="12"/>
        <v>-0.87004682543678558</v>
      </c>
      <c r="E142">
        <f t="shared" si="13"/>
        <v>-0.18125975529933033</v>
      </c>
      <c r="F142" t="str">
        <f t="shared" si="14"/>
        <v>B</v>
      </c>
      <c r="H142">
        <v>0.188</v>
      </c>
      <c r="I142">
        <v>1.9861</v>
      </c>
      <c r="J142">
        <f t="shared" si="15"/>
        <v>4.5435778661698816</v>
      </c>
      <c r="K142">
        <f t="shared" si="16"/>
        <v>0.94657872211872518</v>
      </c>
      <c r="L142" t="s">
        <v>149</v>
      </c>
      <c r="M142">
        <v>29</v>
      </c>
      <c r="N142">
        <v>60</v>
      </c>
      <c r="O142" t="str">
        <f t="shared" si="17"/>
        <v>N29</v>
      </c>
    </row>
    <row r="143" spans="1:15" x14ac:dyDescent="0.25">
      <c r="A143" t="s">
        <v>150</v>
      </c>
      <c r="B143">
        <v>-7.0000000000000001E-3</v>
      </c>
      <c r="C143">
        <v>1.9847999999999999</v>
      </c>
      <c r="D143">
        <f t="shared" si="12"/>
        <v>-0.16928657799274488</v>
      </c>
      <c r="E143">
        <f t="shared" si="13"/>
        <v>-3.526803708182185E-2</v>
      </c>
      <c r="F143" t="str">
        <f t="shared" si="14"/>
        <v>C</v>
      </c>
      <c r="H143">
        <v>0.14599999999999999</v>
      </c>
      <c r="I143">
        <v>1.9847999999999999</v>
      </c>
      <c r="J143">
        <f t="shared" si="15"/>
        <v>3.5308343409915364</v>
      </c>
      <c r="K143">
        <f t="shared" si="16"/>
        <v>0.73559048770656998</v>
      </c>
      <c r="L143" t="s">
        <v>150</v>
      </c>
      <c r="M143">
        <v>29</v>
      </c>
      <c r="N143">
        <v>100</v>
      </c>
      <c r="O143" t="str">
        <f t="shared" si="17"/>
        <v>N29</v>
      </c>
    </row>
    <row r="144" spans="1:15" x14ac:dyDescent="0.25">
      <c r="A144" t="s">
        <v>151</v>
      </c>
      <c r="B144">
        <v>0.29399999999999998</v>
      </c>
      <c r="C144">
        <v>1.9847999999999999</v>
      </c>
      <c r="D144">
        <f t="shared" si="12"/>
        <v>7.1100362756952853</v>
      </c>
      <c r="E144">
        <f t="shared" si="13"/>
        <v>1.4812575574365177</v>
      </c>
      <c r="F144" t="str">
        <f t="shared" si="14"/>
        <v>D</v>
      </c>
      <c r="H144">
        <v>0.21099999999999999</v>
      </c>
      <c r="I144">
        <v>1.9847999999999999</v>
      </c>
      <c r="J144">
        <f t="shared" si="15"/>
        <v>5.1027811366384519</v>
      </c>
      <c r="K144">
        <f t="shared" si="16"/>
        <v>1.0630794034663442</v>
      </c>
      <c r="L144" t="s">
        <v>151</v>
      </c>
      <c r="M144">
        <v>29</v>
      </c>
      <c r="N144">
        <v>140</v>
      </c>
      <c r="O144" t="str">
        <f t="shared" si="17"/>
        <v>N29</v>
      </c>
    </row>
    <row r="145" spans="1:15" x14ac:dyDescent="0.25">
      <c r="A145" t="s">
        <v>152</v>
      </c>
      <c r="B145">
        <v>0.42499999999999999</v>
      </c>
      <c r="C145">
        <v>2.0042</v>
      </c>
      <c r="D145">
        <f t="shared" si="12"/>
        <v>10.178624887735754</v>
      </c>
      <c r="E145">
        <f t="shared" si="13"/>
        <v>2.1205468516116155</v>
      </c>
      <c r="F145" t="str">
        <f t="shared" si="14"/>
        <v>E</v>
      </c>
      <c r="H145">
        <v>0.29799999999999999</v>
      </c>
      <c r="I145">
        <v>2.0042</v>
      </c>
      <c r="J145">
        <f t="shared" si="15"/>
        <v>7.1370122742241309</v>
      </c>
      <c r="K145">
        <f t="shared" si="16"/>
        <v>1.486877557130027</v>
      </c>
      <c r="L145" t="s">
        <v>152</v>
      </c>
      <c r="M145">
        <v>29</v>
      </c>
      <c r="N145">
        <v>180</v>
      </c>
      <c r="O145" t="str">
        <f t="shared" si="17"/>
        <v>N29</v>
      </c>
    </row>
    <row r="146" spans="1:15" x14ac:dyDescent="0.25">
      <c r="A146" t="s">
        <v>153</v>
      </c>
      <c r="B146">
        <v>1.4999999999999999E-2</v>
      </c>
      <c r="C146">
        <v>2.0028999999999999</v>
      </c>
      <c r="D146">
        <f t="shared" ref="D146:D200" si="18">B146*(10/C146)*1.6*30*(1/1000000000)*(10000)*(10000)</f>
        <v>0.35947875580408417</v>
      </c>
      <c r="E146">
        <f t="shared" ref="E146:E200" si="19">(10/C146)*B146</f>
        <v>7.4891407459184184E-2</v>
      </c>
      <c r="F146" t="str">
        <f t="shared" si="14"/>
        <v>A</v>
      </c>
      <c r="H146">
        <v>0.70899999999999996</v>
      </c>
      <c r="I146">
        <v>2.0028999999999999</v>
      </c>
      <c r="J146">
        <f t="shared" si="15"/>
        <v>16.99136252433971</v>
      </c>
      <c r="K146">
        <f t="shared" si="16"/>
        <v>3.5398671925707723</v>
      </c>
      <c r="L146" t="s">
        <v>153</v>
      </c>
      <c r="M146">
        <v>30</v>
      </c>
      <c r="N146">
        <v>20</v>
      </c>
      <c r="O146" t="str">
        <f t="shared" si="17"/>
        <v>N30</v>
      </c>
    </row>
    <row r="147" spans="1:15" x14ac:dyDescent="0.25">
      <c r="A147" t="s">
        <v>154</v>
      </c>
      <c r="B147">
        <v>0.312</v>
      </c>
      <c r="C147">
        <v>2.0026999999999999</v>
      </c>
      <c r="D147">
        <f t="shared" si="18"/>
        <v>7.4779048284815515</v>
      </c>
      <c r="E147">
        <f t="shared" si="19"/>
        <v>1.5578968392669896</v>
      </c>
      <c r="F147" t="str">
        <f t="shared" si="14"/>
        <v>B</v>
      </c>
      <c r="H147">
        <v>0.28100000000000003</v>
      </c>
      <c r="I147">
        <v>2.0026999999999999</v>
      </c>
      <c r="J147">
        <f t="shared" si="15"/>
        <v>6.734907874369604</v>
      </c>
      <c r="K147">
        <f t="shared" si="16"/>
        <v>1.4031058071603337</v>
      </c>
      <c r="L147" t="s">
        <v>154</v>
      </c>
      <c r="M147">
        <v>30</v>
      </c>
      <c r="N147">
        <v>60</v>
      </c>
      <c r="O147" t="str">
        <f t="shared" si="17"/>
        <v>N30</v>
      </c>
    </row>
    <row r="148" spans="1:15" x14ac:dyDescent="0.25">
      <c r="A148" t="s">
        <v>155</v>
      </c>
      <c r="B148">
        <v>0.74399999999999999</v>
      </c>
      <c r="C148">
        <v>2.0024000000000002</v>
      </c>
      <c r="D148">
        <f t="shared" si="18"/>
        <v>17.834598481821811</v>
      </c>
      <c r="E148">
        <f t="shared" si="19"/>
        <v>3.715541350379544</v>
      </c>
      <c r="F148" t="str">
        <f t="shared" si="14"/>
        <v>C</v>
      </c>
      <c r="H148">
        <v>0.24199999999999999</v>
      </c>
      <c r="I148">
        <v>2.0024000000000002</v>
      </c>
      <c r="J148">
        <f t="shared" si="15"/>
        <v>5.8010387534958046</v>
      </c>
      <c r="K148">
        <f t="shared" si="16"/>
        <v>1.2085497403116259</v>
      </c>
      <c r="L148" t="s">
        <v>155</v>
      </c>
      <c r="M148">
        <v>30</v>
      </c>
      <c r="N148">
        <v>100</v>
      </c>
      <c r="O148" t="str">
        <f t="shared" si="17"/>
        <v>N30</v>
      </c>
    </row>
    <row r="149" spans="1:15" x14ac:dyDescent="0.25">
      <c r="A149" t="s">
        <v>156</v>
      </c>
      <c r="B149">
        <v>1.4970000000000001</v>
      </c>
      <c r="C149">
        <v>2.0017999999999998</v>
      </c>
      <c r="D149">
        <f t="shared" si="18"/>
        <v>35.895693875512052</v>
      </c>
      <c r="E149">
        <f t="shared" si="19"/>
        <v>7.4782695573983418</v>
      </c>
      <c r="F149" t="str">
        <f t="shared" si="14"/>
        <v>D</v>
      </c>
      <c r="H149">
        <v>0.129</v>
      </c>
      <c r="I149">
        <v>2.0017999999999998</v>
      </c>
      <c r="J149">
        <f t="shared" si="15"/>
        <v>3.093216105505046</v>
      </c>
      <c r="K149">
        <f t="shared" si="16"/>
        <v>0.64442002198021786</v>
      </c>
      <c r="L149" t="s">
        <v>156</v>
      </c>
      <c r="M149">
        <v>30</v>
      </c>
      <c r="N149">
        <v>140</v>
      </c>
      <c r="O149" t="str">
        <f t="shared" si="17"/>
        <v>N30</v>
      </c>
    </row>
    <row r="150" spans="1:15" x14ac:dyDescent="0.25">
      <c r="A150" t="s">
        <v>157</v>
      </c>
      <c r="B150">
        <v>0.89800000000000002</v>
      </c>
      <c r="C150">
        <v>2.0042</v>
      </c>
      <c r="D150">
        <f t="shared" si="18"/>
        <v>21.506835645145202</v>
      </c>
      <c r="E150">
        <f t="shared" si="19"/>
        <v>4.4805907594052492</v>
      </c>
      <c r="F150" t="str">
        <f t="shared" si="14"/>
        <v>E</v>
      </c>
      <c r="H150">
        <v>0.24399999999999999</v>
      </c>
      <c r="I150">
        <v>2.0042</v>
      </c>
      <c r="J150">
        <f t="shared" si="15"/>
        <v>5.8437281708412341</v>
      </c>
      <c r="K150">
        <f t="shared" si="16"/>
        <v>1.2174433689252571</v>
      </c>
      <c r="L150" t="s">
        <v>157</v>
      </c>
      <c r="M150">
        <v>30</v>
      </c>
      <c r="N150">
        <v>180</v>
      </c>
      <c r="O150" t="str">
        <f t="shared" si="17"/>
        <v>N30</v>
      </c>
    </row>
    <row r="151" spans="1:15" x14ac:dyDescent="0.25">
      <c r="A151" t="s">
        <v>158</v>
      </c>
      <c r="B151">
        <v>0.13500000000000001</v>
      </c>
      <c r="C151">
        <v>1.9923</v>
      </c>
      <c r="D151">
        <f t="shared" si="18"/>
        <v>3.252522210510465</v>
      </c>
      <c r="E151">
        <f t="shared" si="19"/>
        <v>0.67760879385634698</v>
      </c>
      <c r="F151" t="str">
        <f t="shared" si="14"/>
        <v>A</v>
      </c>
      <c r="H151">
        <v>0.44800000000000001</v>
      </c>
      <c r="I151">
        <v>1.9923</v>
      </c>
      <c r="J151">
        <f t="shared" si="15"/>
        <v>10.793555187471767</v>
      </c>
      <c r="K151">
        <f t="shared" si="16"/>
        <v>2.2486573307232844</v>
      </c>
      <c r="L151" t="s">
        <v>158</v>
      </c>
      <c r="M151">
        <v>31</v>
      </c>
      <c r="N151">
        <v>20</v>
      </c>
      <c r="O151" t="str">
        <f t="shared" si="17"/>
        <v>N31</v>
      </c>
    </row>
    <row r="152" spans="1:15" x14ac:dyDescent="0.25">
      <c r="A152" t="s">
        <v>159</v>
      </c>
      <c r="B152">
        <v>2.4E-2</v>
      </c>
      <c r="C152">
        <v>1.9892000000000001</v>
      </c>
      <c r="D152">
        <f t="shared" si="18"/>
        <v>0.57912728735169927</v>
      </c>
      <c r="E152">
        <f t="shared" si="19"/>
        <v>0.12065151819827066</v>
      </c>
      <c r="F152" t="str">
        <f t="shared" si="14"/>
        <v>B</v>
      </c>
      <c r="H152">
        <v>0.29399999999999998</v>
      </c>
      <c r="I152">
        <v>1.9892000000000001</v>
      </c>
      <c r="J152">
        <f t="shared" si="15"/>
        <v>7.0943092700583152</v>
      </c>
      <c r="K152">
        <f t="shared" si="16"/>
        <v>1.4779810979288155</v>
      </c>
      <c r="L152" t="s">
        <v>159</v>
      </c>
      <c r="M152">
        <v>31</v>
      </c>
      <c r="N152">
        <v>60</v>
      </c>
      <c r="O152" t="str">
        <f t="shared" si="17"/>
        <v>N31</v>
      </c>
    </row>
    <row r="153" spans="1:15" x14ac:dyDescent="0.25">
      <c r="A153" t="s">
        <v>160</v>
      </c>
      <c r="B153">
        <v>0.29299999999999998</v>
      </c>
      <c r="C153">
        <v>1.9896</v>
      </c>
      <c r="D153">
        <f t="shared" si="18"/>
        <v>7.0687575392038609</v>
      </c>
      <c r="E153">
        <f t="shared" si="19"/>
        <v>1.4726578206674708</v>
      </c>
      <c r="F153" t="str">
        <f t="shared" si="14"/>
        <v>C</v>
      </c>
      <c r="H153">
        <v>0.17699999999999999</v>
      </c>
      <c r="I153">
        <v>1.9896</v>
      </c>
      <c r="J153">
        <f t="shared" si="15"/>
        <v>4.2702050663449942</v>
      </c>
      <c r="K153">
        <f t="shared" si="16"/>
        <v>0.88962605548854035</v>
      </c>
      <c r="L153" t="s">
        <v>160</v>
      </c>
      <c r="M153">
        <v>31</v>
      </c>
      <c r="N153">
        <v>100</v>
      </c>
      <c r="O153" t="str">
        <f t="shared" si="17"/>
        <v>N31</v>
      </c>
    </row>
    <row r="154" spans="1:15" x14ac:dyDescent="0.25">
      <c r="A154" t="s">
        <v>161</v>
      </c>
      <c r="B154">
        <v>0.34499999999999997</v>
      </c>
      <c r="C154">
        <v>1.9873000000000001</v>
      </c>
      <c r="D154">
        <f t="shared" si="18"/>
        <v>8.3329140039249232</v>
      </c>
      <c r="E154">
        <f t="shared" si="19"/>
        <v>1.7360237508176921</v>
      </c>
      <c r="F154" t="str">
        <f t="shared" si="14"/>
        <v>D</v>
      </c>
      <c r="H154">
        <v>0.152</v>
      </c>
      <c r="I154">
        <v>1.9873000000000001</v>
      </c>
      <c r="J154">
        <f t="shared" si="15"/>
        <v>3.6713128365118495</v>
      </c>
      <c r="K154">
        <f t="shared" si="16"/>
        <v>0.76485684093996864</v>
      </c>
      <c r="L154" t="s">
        <v>161</v>
      </c>
      <c r="M154">
        <v>31</v>
      </c>
      <c r="N154">
        <v>140</v>
      </c>
      <c r="O154" t="str">
        <f t="shared" si="17"/>
        <v>N31</v>
      </c>
    </row>
    <row r="155" spans="1:15" x14ac:dyDescent="0.25">
      <c r="A155" t="s">
        <v>162</v>
      </c>
      <c r="B155">
        <v>1.161</v>
      </c>
      <c r="C155">
        <v>1.982</v>
      </c>
      <c r="D155">
        <f t="shared" si="18"/>
        <v>28.117053481331993</v>
      </c>
      <c r="E155">
        <f t="shared" si="19"/>
        <v>5.8577194752774986</v>
      </c>
      <c r="F155" t="str">
        <f t="shared" si="14"/>
        <v>E</v>
      </c>
      <c r="H155">
        <v>0.25700000000000001</v>
      </c>
      <c r="I155">
        <v>1.982</v>
      </c>
      <c r="J155">
        <f t="shared" si="15"/>
        <v>6.2240161453077727</v>
      </c>
      <c r="K155">
        <f t="shared" si="16"/>
        <v>1.2966700302724523</v>
      </c>
      <c r="L155" t="s">
        <v>162</v>
      </c>
      <c r="M155">
        <v>31</v>
      </c>
      <c r="N155">
        <v>180</v>
      </c>
      <c r="O155" t="str">
        <f t="shared" si="17"/>
        <v>N31</v>
      </c>
    </row>
    <row r="156" spans="1:15" x14ac:dyDescent="0.25">
      <c r="A156" t="s">
        <v>163</v>
      </c>
      <c r="B156">
        <v>0.129</v>
      </c>
      <c r="C156">
        <v>1.9976</v>
      </c>
      <c r="D156">
        <f t="shared" si="18"/>
        <v>3.0997196635963156</v>
      </c>
      <c r="E156">
        <f t="shared" si="19"/>
        <v>0.64577492991589902</v>
      </c>
      <c r="F156" t="str">
        <f t="shared" si="14"/>
        <v>A</v>
      </c>
      <c r="H156">
        <v>1.175</v>
      </c>
      <c r="I156">
        <v>1.9976</v>
      </c>
      <c r="J156">
        <f t="shared" si="15"/>
        <v>28.233880656788141</v>
      </c>
      <c r="K156">
        <f t="shared" si="16"/>
        <v>5.8820584701641963</v>
      </c>
      <c r="L156" t="s">
        <v>163</v>
      </c>
      <c r="M156">
        <v>32</v>
      </c>
      <c r="N156">
        <v>20</v>
      </c>
      <c r="O156" t="str">
        <f t="shared" si="17"/>
        <v>N32</v>
      </c>
    </row>
    <row r="157" spans="1:15" x14ac:dyDescent="0.25">
      <c r="A157" t="s">
        <v>164</v>
      </c>
      <c r="B157">
        <v>-5.0000000000000001E-3</v>
      </c>
      <c r="C157">
        <v>1.9881</v>
      </c>
      <c r="D157">
        <f t="shared" si="18"/>
        <v>-0.12071827372868568</v>
      </c>
      <c r="E157">
        <f t="shared" si="19"/>
        <v>-2.514964036014285E-2</v>
      </c>
      <c r="F157" t="str">
        <f t="shared" si="14"/>
        <v>B</v>
      </c>
      <c r="H157">
        <v>0.23699999999999999</v>
      </c>
      <c r="I157">
        <v>1.9881</v>
      </c>
      <c r="J157">
        <f t="shared" si="15"/>
        <v>5.7220461747397007</v>
      </c>
      <c r="K157">
        <f t="shared" si="16"/>
        <v>1.1920929530707709</v>
      </c>
      <c r="L157" t="s">
        <v>164</v>
      </c>
      <c r="M157">
        <v>32</v>
      </c>
      <c r="N157">
        <v>60</v>
      </c>
      <c r="O157" t="str">
        <f t="shared" si="17"/>
        <v>N32</v>
      </c>
    </row>
    <row r="158" spans="1:15" x14ac:dyDescent="0.25">
      <c r="A158" t="s">
        <v>165</v>
      </c>
      <c r="B158">
        <v>4.8000000000000001E-2</v>
      </c>
      <c r="C158">
        <v>1.9885999999999999</v>
      </c>
      <c r="D158">
        <f t="shared" si="18"/>
        <v>1.1586040430453588</v>
      </c>
      <c r="E158">
        <f t="shared" si="19"/>
        <v>0.24137584230111639</v>
      </c>
      <c r="F158" t="str">
        <f t="shared" si="14"/>
        <v>C</v>
      </c>
      <c r="H158">
        <v>0.22</v>
      </c>
      <c r="I158">
        <v>1.9885999999999999</v>
      </c>
      <c r="J158">
        <f t="shared" si="15"/>
        <v>5.3102685306245618</v>
      </c>
      <c r="K158">
        <f t="shared" si="16"/>
        <v>1.1063059438801168</v>
      </c>
      <c r="L158" t="s">
        <v>165</v>
      </c>
      <c r="M158">
        <v>32</v>
      </c>
      <c r="N158">
        <v>100</v>
      </c>
      <c r="O158" t="str">
        <f t="shared" si="17"/>
        <v>N32</v>
      </c>
    </row>
    <row r="159" spans="1:15" x14ac:dyDescent="0.25">
      <c r="A159" t="s">
        <v>166</v>
      </c>
      <c r="B159">
        <v>0.26600000000000001</v>
      </c>
      <c r="C159">
        <v>1.9973000000000001</v>
      </c>
      <c r="D159">
        <f t="shared" si="18"/>
        <v>6.3926300505682665</v>
      </c>
      <c r="E159">
        <f t="shared" si="19"/>
        <v>1.3317979272017222</v>
      </c>
      <c r="F159" t="str">
        <f t="shared" si="14"/>
        <v>D</v>
      </c>
      <c r="H159">
        <v>0.17699999999999999</v>
      </c>
      <c r="I159">
        <v>1.9973000000000001</v>
      </c>
      <c r="J159">
        <f t="shared" si="15"/>
        <v>4.2537425524458019</v>
      </c>
      <c r="K159">
        <f t="shared" si="16"/>
        <v>0.88619636509287525</v>
      </c>
      <c r="L159" t="s">
        <v>166</v>
      </c>
      <c r="M159">
        <v>32</v>
      </c>
      <c r="N159">
        <v>140</v>
      </c>
      <c r="O159" t="str">
        <f t="shared" si="17"/>
        <v>N32</v>
      </c>
    </row>
    <row r="160" spans="1:15" x14ac:dyDescent="0.25">
      <c r="A160" t="s">
        <v>167</v>
      </c>
      <c r="B160">
        <v>0.47</v>
      </c>
      <c r="C160">
        <v>2.0162</v>
      </c>
      <c r="D160">
        <f t="shared" si="18"/>
        <v>11.189366134312074</v>
      </c>
      <c r="E160">
        <f t="shared" si="19"/>
        <v>2.3311179446483483</v>
      </c>
      <c r="F160" t="str">
        <f t="shared" si="14"/>
        <v>E</v>
      </c>
      <c r="H160">
        <v>0.14499999999999999</v>
      </c>
      <c r="I160">
        <v>2.0162</v>
      </c>
      <c r="J160">
        <f t="shared" si="15"/>
        <v>3.452038488245214</v>
      </c>
      <c r="K160">
        <f t="shared" si="16"/>
        <v>0.71917468505108617</v>
      </c>
      <c r="L160" t="s">
        <v>167</v>
      </c>
      <c r="M160">
        <v>32</v>
      </c>
      <c r="N160">
        <v>180</v>
      </c>
      <c r="O160" t="str">
        <f t="shared" si="17"/>
        <v>N32</v>
      </c>
    </row>
    <row r="161" spans="1:15" x14ac:dyDescent="0.25">
      <c r="A161" t="s">
        <v>168</v>
      </c>
      <c r="B161">
        <v>8.2000000000000003E-2</v>
      </c>
      <c r="C161">
        <v>1.9985999999999999</v>
      </c>
      <c r="D161">
        <f t="shared" si="18"/>
        <v>1.9693785649954967</v>
      </c>
      <c r="E161">
        <f t="shared" si="19"/>
        <v>0.41028720104072852</v>
      </c>
      <c r="F161" t="str">
        <f t="shared" si="14"/>
        <v>A</v>
      </c>
      <c r="H161">
        <v>0.8</v>
      </c>
      <c r="I161">
        <v>1.9985999999999999</v>
      </c>
      <c r="J161">
        <f t="shared" si="15"/>
        <v>19.213449414590219</v>
      </c>
      <c r="K161">
        <f t="shared" si="16"/>
        <v>4.0028019613729615</v>
      </c>
      <c r="L161" t="s">
        <v>168</v>
      </c>
      <c r="M161">
        <v>33</v>
      </c>
      <c r="N161">
        <v>20</v>
      </c>
      <c r="O161" t="str">
        <f t="shared" si="17"/>
        <v>N33</v>
      </c>
    </row>
    <row r="162" spans="1:15" x14ac:dyDescent="0.25">
      <c r="A162" t="s">
        <v>169</v>
      </c>
      <c r="B162">
        <v>-0.04</v>
      </c>
      <c r="C162">
        <v>2.0167999999999999</v>
      </c>
      <c r="D162">
        <f t="shared" si="18"/>
        <v>-0.95200317334391138</v>
      </c>
      <c r="E162">
        <f t="shared" si="19"/>
        <v>-0.19833399444664818</v>
      </c>
      <c r="F162" t="str">
        <f t="shared" si="14"/>
        <v>B</v>
      </c>
      <c r="H162">
        <v>0.27</v>
      </c>
      <c r="I162">
        <v>2.0167999999999999</v>
      </c>
      <c r="J162">
        <f t="shared" si="15"/>
        <v>6.4260214200714012</v>
      </c>
      <c r="K162">
        <f t="shared" si="16"/>
        <v>1.3387544625148753</v>
      </c>
      <c r="L162" t="s">
        <v>169</v>
      </c>
      <c r="M162">
        <v>33</v>
      </c>
      <c r="N162">
        <v>60</v>
      </c>
      <c r="O162" t="str">
        <f t="shared" si="17"/>
        <v>N33</v>
      </c>
    </row>
    <row r="163" spans="1:15" x14ac:dyDescent="0.25">
      <c r="A163" t="s">
        <v>170</v>
      </c>
      <c r="B163">
        <v>-1.4999999999999999E-2</v>
      </c>
      <c r="C163">
        <v>2.0148000000000001</v>
      </c>
      <c r="D163">
        <f t="shared" si="18"/>
        <v>-0.35735556879094699</v>
      </c>
      <c r="E163">
        <f t="shared" si="19"/>
        <v>-7.4449076831447289E-2</v>
      </c>
      <c r="F163" t="str">
        <f t="shared" si="14"/>
        <v>C</v>
      </c>
      <c r="H163">
        <v>0.29299999999999998</v>
      </c>
      <c r="I163">
        <v>2.0148000000000001</v>
      </c>
      <c r="J163">
        <f t="shared" si="15"/>
        <v>6.980345443716498</v>
      </c>
      <c r="K163">
        <f t="shared" si="16"/>
        <v>1.4542386341076035</v>
      </c>
      <c r="L163" t="s">
        <v>170</v>
      </c>
      <c r="M163">
        <v>33</v>
      </c>
      <c r="N163">
        <v>100</v>
      </c>
      <c r="O163" t="str">
        <f t="shared" si="17"/>
        <v>N33</v>
      </c>
    </row>
    <row r="164" spans="1:15" x14ac:dyDescent="0.25">
      <c r="A164" t="s">
        <v>171</v>
      </c>
      <c r="B164">
        <v>7.0000000000000001E-3</v>
      </c>
      <c r="C164">
        <v>2.0072000000000001</v>
      </c>
      <c r="D164">
        <f t="shared" si="18"/>
        <v>0.16739736946990835</v>
      </c>
      <c r="E164">
        <f t="shared" si="19"/>
        <v>3.4874451972897569E-2</v>
      </c>
      <c r="F164" t="str">
        <f t="shared" si="14"/>
        <v>D</v>
      </c>
      <c r="H164">
        <v>0.16900000000000001</v>
      </c>
      <c r="I164">
        <v>2.0072000000000001</v>
      </c>
      <c r="J164">
        <f t="shared" si="15"/>
        <v>4.0414507772020736</v>
      </c>
      <c r="K164">
        <f t="shared" si="16"/>
        <v>0.84196891191709855</v>
      </c>
      <c r="L164" t="s">
        <v>171</v>
      </c>
      <c r="M164">
        <v>33</v>
      </c>
      <c r="N164">
        <v>140</v>
      </c>
      <c r="O164" t="str">
        <f t="shared" si="17"/>
        <v>N33</v>
      </c>
    </row>
    <row r="165" spans="1:15" x14ac:dyDescent="0.25">
      <c r="A165" t="s">
        <v>172</v>
      </c>
      <c r="B165">
        <v>0.221</v>
      </c>
      <c r="C165">
        <v>1.9839</v>
      </c>
      <c r="D165">
        <f t="shared" si="18"/>
        <v>5.3470437017994863</v>
      </c>
      <c r="E165">
        <f t="shared" si="19"/>
        <v>1.1139674378748929</v>
      </c>
      <c r="F165" t="str">
        <f t="shared" si="14"/>
        <v>E</v>
      </c>
      <c r="H165">
        <v>0.31</v>
      </c>
      <c r="I165">
        <v>1.9839</v>
      </c>
      <c r="J165">
        <f t="shared" si="15"/>
        <v>7.5003780432481495</v>
      </c>
      <c r="K165">
        <f t="shared" si="16"/>
        <v>1.5625787590100308</v>
      </c>
      <c r="L165" t="s">
        <v>172</v>
      </c>
      <c r="M165">
        <v>33</v>
      </c>
      <c r="N165">
        <v>180</v>
      </c>
      <c r="O165" t="str">
        <f t="shared" si="17"/>
        <v>N33</v>
      </c>
    </row>
    <row r="166" spans="1:15" x14ac:dyDescent="0.25">
      <c r="A166" t="s">
        <v>173</v>
      </c>
      <c r="B166">
        <v>1.0980000000000001</v>
      </c>
      <c r="C166">
        <v>1.9884999999999999</v>
      </c>
      <c r="D166">
        <f t="shared" si="18"/>
        <v>26.504400301734979</v>
      </c>
      <c r="E166">
        <f t="shared" si="19"/>
        <v>5.5217500628614538</v>
      </c>
      <c r="F166" t="str">
        <f t="shared" si="14"/>
        <v>A</v>
      </c>
      <c r="H166">
        <v>0.68400000000000005</v>
      </c>
      <c r="I166">
        <v>1.9884999999999999</v>
      </c>
      <c r="J166">
        <f t="shared" si="15"/>
        <v>16.510937892884087</v>
      </c>
      <c r="K166">
        <f t="shared" si="16"/>
        <v>3.4397787276841845</v>
      </c>
      <c r="L166" t="s">
        <v>173</v>
      </c>
      <c r="M166">
        <v>34</v>
      </c>
      <c r="N166">
        <v>20</v>
      </c>
      <c r="O166" t="str">
        <f t="shared" si="17"/>
        <v>N34</v>
      </c>
    </row>
    <row r="167" spans="1:15" x14ac:dyDescent="0.25">
      <c r="A167" t="s">
        <v>174</v>
      </c>
      <c r="B167">
        <v>1.3959999999999999</v>
      </c>
      <c r="C167">
        <v>1.9972000000000001</v>
      </c>
      <c r="D167">
        <f t="shared" si="18"/>
        <v>33.550971359903869</v>
      </c>
      <c r="E167">
        <f t="shared" si="19"/>
        <v>6.9897856999799721</v>
      </c>
      <c r="F167" t="str">
        <f t="shared" si="14"/>
        <v>B</v>
      </c>
      <c r="H167">
        <v>0.26400000000000001</v>
      </c>
      <c r="I167">
        <v>1.9972000000000001</v>
      </c>
      <c r="J167">
        <f t="shared" si="15"/>
        <v>6.3448828359703597</v>
      </c>
      <c r="K167">
        <f t="shared" si="16"/>
        <v>1.3218505908271581</v>
      </c>
      <c r="L167" t="s">
        <v>174</v>
      </c>
      <c r="M167">
        <v>34</v>
      </c>
      <c r="N167">
        <v>60</v>
      </c>
      <c r="O167" t="str">
        <f t="shared" si="17"/>
        <v>N34</v>
      </c>
    </row>
    <row r="168" spans="1:15" x14ac:dyDescent="0.25">
      <c r="A168" t="s">
        <v>175</v>
      </c>
      <c r="B168">
        <v>0.64200000000000002</v>
      </c>
      <c r="C168">
        <v>1.9943</v>
      </c>
      <c r="D168">
        <f t="shared" si="18"/>
        <v>15.452038309181171</v>
      </c>
      <c r="E168">
        <f t="shared" si="19"/>
        <v>3.2191746477460761</v>
      </c>
      <c r="F168" t="str">
        <f t="shared" si="14"/>
        <v>C</v>
      </c>
      <c r="H168">
        <v>0.19600000000000001</v>
      </c>
      <c r="I168">
        <v>1.9943</v>
      </c>
      <c r="J168">
        <f t="shared" si="15"/>
        <v>4.7174447174447183</v>
      </c>
      <c r="K168">
        <f t="shared" si="16"/>
        <v>0.98280098280098283</v>
      </c>
      <c r="L168" t="s">
        <v>175</v>
      </c>
      <c r="M168">
        <v>34</v>
      </c>
      <c r="N168">
        <v>100</v>
      </c>
      <c r="O168" t="str">
        <f t="shared" si="17"/>
        <v>N34</v>
      </c>
    </row>
    <row r="169" spans="1:15" x14ac:dyDescent="0.25">
      <c r="A169" t="s">
        <v>176</v>
      </c>
      <c r="B169">
        <v>0.49099999999999999</v>
      </c>
      <c r="C169">
        <v>2.0072000000000001</v>
      </c>
      <c r="D169">
        <f t="shared" si="18"/>
        <v>11.741729772817857</v>
      </c>
      <c r="E169">
        <f t="shared" si="19"/>
        <v>2.4461937026703864</v>
      </c>
      <c r="F169" t="str">
        <f t="shared" si="14"/>
        <v>D</v>
      </c>
      <c r="H169">
        <v>0.13600000000000001</v>
      </c>
      <c r="I169">
        <v>2.0072000000000001</v>
      </c>
      <c r="J169">
        <f t="shared" si="15"/>
        <v>3.2522917497010759</v>
      </c>
      <c r="K169">
        <f t="shared" si="16"/>
        <v>0.67756078118772423</v>
      </c>
      <c r="L169" t="s">
        <v>176</v>
      </c>
      <c r="M169">
        <v>34</v>
      </c>
      <c r="N169">
        <v>140</v>
      </c>
      <c r="O169" t="str">
        <f t="shared" si="17"/>
        <v>N34</v>
      </c>
    </row>
    <row r="170" spans="1:15" x14ac:dyDescent="0.25">
      <c r="A170" t="s">
        <v>177</v>
      </c>
      <c r="B170">
        <v>1.133</v>
      </c>
      <c r="C170">
        <v>1.9978</v>
      </c>
      <c r="D170">
        <f t="shared" si="18"/>
        <v>27.221944138552413</v>
      </c>
      <c r="E170">
        <f t="shared" si="19"/>
        <v>5.6712383621984186</v>
      </c>
      <c r="F170" t="str">
        <f t="shared" si="14"/>
        <v>E</v>
      </c>
      <c r="H170">
        <v>0.28100000000000003</v>
      </c>
      <c r="I170">
        <v>1.9978</v>
      </c>
      <c r="J170">
        <f t="shared" si="15"/>
        <v>6.7514265692261519</v>
      </c>
      <c r="K170">
        <f t="shared" si="16"/>
        <v>1.4065472019221146</v>
      </c>
      <c r="L170" t="s">
        <v>177</v>
      </c>
      <c r="M170">
        <v>34</v>
      </c>
      <c r="N170">
        <v>180</v>
      </c>
      <c r="O170" t="str">
        <f t="shared" si="17"/>
        <v>N34</v>
      </c>
    </row>
    <row r="171" spans="1:15" x14ac:dyDescent="0.25">
      <c r="A171" t="s">
        <v>178</v>
      </c>
      <c r="B171">
        <v>0.35699999999999998</v>
      </c>
      <c r="C171">
        <v>1.9990000000000001</v>
      </c>
      <c r="D171">
        <f t="shared" si="18"/>
        <v>8.5722861430715351</v>
      </c>
      <c r="E171">
        <f t="shared" si="19"/>
        <v>1.7858929464732363</v>
      </c>
      <c r="F171" t="str">
        <f t="shared" si="14"/>
        <v>A</v>
      </c>
      <c r="H171">
        <v>0.64700000000000002</v>
      </c>
      <c r="I171">
        <v>1.9990000000000001</v>
      </c>
      <c r="J171">
        <f t="shared" si="15"/>
        <v>15.535767883941974</v>
      </c>
      <c r="K171">
        <f t="shared" si="16"/>
        <v>3.236618309154577</v>
      </c>
      <c r="L171" t="s">
        <v>178</v>
      </c>
      <c r="M171">
        <v>35</v>
      </c>
      <c r="N171">
        <v>20</v>
      </c>
      <c r="O171" t="str">
        <f t="shared" si="17"/>
        <v>N35</v>
      </c>
    </row>
    <row r="172" spans="1:15" x14ac:dyDescent="0.25">
      <c r="A172" t="s">
        <v>179</v>
      </c>
      <c r="B172">
        <v>0.437</v>
      </c>
      <c r="C172">
        <v>2.004</v>
      </c>
      <c r="D172">
        <f t="shared" si="18"/>
        <v>10.467065868263473</v>
      </c>
      <c r="E172">
        <f t="shared" si="19"/>
        <v>2.1806387225548902</v>
      </c>
      <c r="F172" t="str">
        <f t="shared" si="14"/>
        <v>B</v>
      </c>
      <c r="H172">
        <v>0.29099999999999998</v>
      </c>
      <c r="I172">
        <v>2.004</v>
      </c>
      <c r="J172">
        <f t="shared" si="15"/>
        <v>6.9700598802395204</v>
      </c>
      <c r="K172">
        <f t="shared" si="16"/>
        <v>1.4520958083832336</v>
      </c>
      <c r="L172" t="s">
        <v>179</v>
      </c>
      <c r="M172">
        <v>35</v>
      </c>
      <c r="N172">
        <v>60</v>
      </c>
      <c r="O172" t="str">
        <f t="shared" si="17"/>
        <v>N35</v>
      </c>
    </row>
    <row r="173" spans="1:15" x14ac:dyDescent="0.25">
      <c r="A173" t="s">
        <v>180</v>
      </c>
      <c r="B173">
        <v>0.17100000000000001</v>
      </c>
      <c r="C173">
        <v>2.016</v>
      </c>
      <c r="D173">
        <f t="shared" si="18"/>
        <v>4.0714285714285721</v>
      </c>
      <c r="E173">
        <f t="shared" si="19"/>
        <v>0.84821428571428581</v>
      </c>
      <c r="F173" t="str">
        <f t="shared" si="14"/>
        <v>C</v>
      </c>
      <c r="H173">
        <v>0.214</v>
      </c>
      <c r="I173">
        <v>2.016</v>
      </c>
      <c r="J173">
        <f t="shared" si="15"/>
        <v>5.0952380952380958</v>
      </c>
      <c r="K173">
        <f t="shared" si="16"/>
        <v>1.0615079365079365</v>
      </c>
      <c r="L173" t="s">
        <v>180</v>
      </c>
      <c r="M173">
        <v>35</v>
      </c>
      <c r="N173">
        <v>100</v>
      </c>
      <c r="O173" t="str">
        <f t="shared" si="17"/>
        <v>N35</v>
      </c>
    </row>
    <row r="174" spans="1:15" x14ac:dyDescent="0.25">
      <c r="A174" t="s">
        <v>181</v>
      </c>
      <c r="B174">
        <v>8.5000000000000006E-2</v>
      </c>
      <c r="C174">
        <v>2.0070000000000001</v>
      </c>
      <c r="D174">
        <f t="shared" si="18"/>
        <v>2.0328849028400602</v>
      </c>
      <c r="E174">
        <f t="shared" si="19"/>
        <v>0.42351768809167917</v>
      </c>
      <c r="F174" t="str">
        <f t="shared" si="14"/>
        <v>D</v>
      </c>
      <c r="H174">
        <v>0.24199999999999999</v>
      </c>
      <c r="I174">
        <v>2.0070000000000001</v>
      </c>
      <c r="J174">
        <f t="shared" si="15"/>
        <v>5.7877428998505227</v>
      </c>
      <c r="K174">
        <f t="shared" si="16"/>
        <v>1.2057797708021922</v>
      </c>
      <c r="L174" t="s">
        <v>181</v>
      </c>
      <c r="M174">
        <v>35</v>
      </c>
      <c r="N174">
        <v>140</v>
      </c>
      <c r="O174" t="str">
        <f t="shared" si="17"/>
        <v>N35</v>
      </c>
    </row>
    <row r="175" spans="1:15" x14ac:dyDescent="0.25">
      <c r="A175" t="s">
        <v>182</v>
      </c>
      <c r="B175">
        <v>0.13900000000000001</v>
      </c>
      <c r="C175">
        <v>2.008</v>
      </c>
      <c r="D175">
        <f t="shared" si="18"/>
        <v>3.3227091633466137</v>
      </c>
      <c r="E175">
        <f t="shared" si="19"/>
        <v>0.69223107569721121</v>
      </c>
      <c r="F175" t="str">
        <f t="shared" si="14"/>
        <v>E</v>
      </c>
      <c r="H175">
        <v>0.221</v>
      </c>
      <c r="I175">
        <v>2.008</v>
      </c>
      <c r="J175">
        <f t="shared" si="15"/>
        <v>5.282868525896415</v>
      </c>
      <c r="K175">
        <f t="shared" si="16"/>
        <v>1.1005976095617529</v>
      </c>
      <c r="L175" t="s">
        <v>182</v>
      </c>
      <c r="M175">
        <v>35</v>
      </c>
      <c r="N175">
        <v>180</v>
      </c>
      <c r="O175" t="str">
        <f t="shared" si="17"/>
        <v>N35</v>
      </c>
    </row>
    <row r="176" spans="1:15" x14ac:dyDescent="0.25">
      <c r="A176" t="s">
        <v>183</v>
      </c>
      <c r="B176">
        <v>0.112</v>
      </c>
      <c r="C176">
        <v>2.004</v>
      </c>
      <c r="D176">
        <f t="shared" si="18"/>
        <v>2.6826347305389224</v>
      </c>
      <c r="E176">
        <f t="shared" si="19"/>
        <v>0.55888223552894212</v>
      </c>
      <c r="F176" t="str">
        <f t="shared" si="14"/>
        <v>A</v>
      </c>
      <c r="H176">
        <v>0.96</v>
      </c>
      <c r="I176">
        <v>2.004</v>
      </c>
      <c r="J176">
        <f t="shared" si="15"/>
        <v>22.994011976047911</v>
      </c>
      <c r="K176">
        <f t="shared" si="16"/>
        <v>4.7904191616766472</v>
      </c>
      <c r="L176" t="s">
        <v>183</v>
      </c>
      <c r="M176">
        <v>36</v>
      </c>
      <c r="N176">
        <v>20</v>
      </c>
      <c r="O176" t="str">
        <f t="shared" si="17"/>
        <v>N36</v>
      </c>
    </row>
    <row r="177" spans="1:15" x14ac:dyDescent="0.25">
      <c r="A177" t="s">
        <v>184</v>
      </c>
      <c r="B177">
        <v>2.3E-2</v>
      </c>
      <c r="C177">
        <v>2.0030000000000001</v>
      </c>
      <c r="D177">
        <f t="shared" si="18"/>
        <v>0.55117324013979041</v>
      </c>
      <c r="E177">
        <f t="shared" si="19"/>
        <v>0.11482775836245632</v>
      </c>
      <c r="F177" t="str">
        <f t="shared" si="14"/>
        <v>B</v>
      </c>
      <c r="H177">
        <v>0.25800000000000001</v>
      </c>
      <c r="I177">
        <v>2.0030000000000001</v>
      </c>
      <c r="J177">
        <f t="shared" si="15"/>
        <v>6.1827259111333008</v>
      </c>
      <c r="K177">
        <f t="shared" si="16"/>
        <v>1.2880678981527709</v>
      </c>
      <c r="L177" t="s">
        <v>184</v>
      </c>
      <c r="M177">
        <v>36</v>
      </c>
      <c r="N177">
        <v>60</v>
      </c>
      <c r="O177" t="str">
        <f t="shared" si="17"/>
        <v>N36</v>
      </c>
    </row>
    <row r="178" spans="1:15" x14ac:dyDescent="0.25">
      <c r="A178" t="s">
        <v>185</v>
      </c>
      <c r="B178">
        <v>5.8000000000000003E-2</v>
      </c>
      <c r="C178">
        <v>2.0169999999999999</v>
      </c>
      <c r="D178">
        <f t="shared" si="18"/>
        <v>1.3802677243430841</v>
      </c>
      <c r="E178">
        <f t="shared" si="19"/>
        <v>0.28755577590480913</v>
      </c>
      <c r="F178" t="str">
        <f t="shared" si="14"/>
        <v>C</v>
      </c>
      <c r="H178">
        <v>0.193</v>
      </c>
      <c r="I178">
        <v>2.0169999999999999</v>
      </c>
      <c r="J178">
        <f t="shared" si="15"/>
        <v>4.592959841348538</v>
      </c>
      <c r="K178">
        <f t="shared" si="16"/>
        <v>0.95686663361427871</v>
      </c>
      <c r="L178" t="s">
        <v>185</v>
      </c>
      <c r="M178">
        <v>36</v>
      </c>
      <c r="N178">
        <v>100</v>
      </c>
      <c r="O178" t="str">
        <f t="shared" si="17"/>
        <v>N36</v>
      </c>
    </row>
    <row r="179" spans="1:15" x14ac:dyDescent="0.25">
      <c r="A179" t="s">
        <v>186</v>
      </c>
      <c r="B179">
        <v>0.32400000000000001</v>
      </c>
      <c r="C179">
        <v>2.0070000000000001</v>
      </c>
      <c r="D179">
        <f t="shared" si="18"/>
        <v>7.7488789237668181</v>
      </c>
      <c r="E179">
        <f t="shared" si="19"/>
        <v>1.6143497757847534</v>
      </c>
      <c r="F179" t="str">
        <f t="shared" si="14"/>
        <v>D</v>
      </c>
      <c r="H179">
        <v>0.17199999999999999</v>
      </c>
      <c r="I179">
        <v>2.0070000000000001</v>
      </c>
      <c r="J179">
        <f t="shared" si="15"/>
        <v>4.1136023916292972</v>
      </c>
      <c r="K179">
        <f t="shared" si="16"/>
        <v>0.85700049825610358</v>
      </c>
      <c r="L179" t="s">
        <v>186</v>
      </c>
      <c r="M179">
        <v>36</v>
      </c>
      <c r="N179">
        <v>140</v>
      </c>
      <c r="O179" t="str">
        <f t="shared" si="17"/>
        <v>N36</v>
      </c>
    </row>
    <row r="180" spans="1:15" x14ac:dyDescent="0.25">
      <c r="A180" t="s">
        <v>187</v>
      </c>
      <c r="B180">
        <v>0.311</v>
      </c>
      <c r="C180">
        <v>2.036</v>
      </c>
      <c r="D180">
        <f t="shared" si="18"/>
        <v>7.3320235756385053</v>
      </c>
      <c r="E180">
        <f t="shared" si="19"/>
        <v>1.5275049115913555</v>
      </c>
      <c r="F180" t="str">
        <f t="shared" si="14"/>
        <v>E</v>
      </c>
      <c r="H180">
        <v>0.22600000000000001</v>
      </c>
      <c r="I180">
        <v>2.036</v>
      </c>
      <c r="J180">
        <f t="shared" si="15"/>
        <v>5.3280943025540282</v>
      </c>
      <c r="K180">
        <f t="shared" si="16"/>
        <v>1.1100196463654224</v>
      </c>
      <c r="L180" t="s">
        <v>187</v>
      </c>
      <c r="M180">
        <v>36</v>
      </c>
      <c r="N180">
        <v>180</v>
      </c>
      <c r="O180" t="str">
        <f t="shared" si="17"/>
        <v>N36</v>
      </c>
    </row>
    <row r="181" spans="1:15" x14ac:dyDescent="0.25">
      <c r="A181" t="s">
        <v>188</v>
      </c>
      <c r="B181">
        <v>2.5000000000000001E-2</v>
      </c>
      <c r="C181">
        <v>2.0059999999999998</v>
      </c>
      <c r="D181">
        <f t="shared" si="18"/>
        <v>0.59820538384845479</v>
      </c>
      <c r="E181">
        <f t="shared" si="19"/>
        <v>0.12462612163509473</v>
      </c>
      <c r="F181" t="str">
        <f t="shared" si="14"/>
        <v>A</v>
      </c>
      <c r="H181">
        <v>0.71</v>
      </c>
      <c r="I181">
        <v>2.0059999999999998</v>
      </c>
      <c r="J181">
        <f t="shared" si="15"/>
        <v>16.989032901296113</v>
      </c>
      <c r="K181">
        <f t="shared" si="16"/>
        <v>3.53938185443669</v>
      </c>
      <c r="L181" t="s">
        <v>188</v>
      </c>
      <c r="M181">
        <v>37</v>
      </c>
      <c r="N181">
        <v>20</v>
      </c>
      <c r="O181" t="str">
        <f t="shared" si="17"/>
        <v>N37</v>
      </c>
    </row>
    <row r="182" spans="1:15" x14ac:dyDescent="0.25">
      <c r="A182" t="s">
        <v>189</v>
      </c>
      <c r="B182">
        <v>1.7000000000000001E-2</v>
      </c>
      <c r="C182">
        <v>2.012</v>
      </c>
      <c r="D182">
        <f t="shared" si="18"/>
        <v>0.40556660039761444</v>
      </c>
      <c r="E182">
        <f t="shared" si="19"/>
        <v>8.4493041749502992E-2</v>
      </c>
      <c r="F182" t="str">
        <f t="shared" ref="F182:F200" si="20">MID(A182,3,1)</f>
        <v>B</v>
      </c>
      <c r="H182">
        <v>0.70599999999999996</v>
      </c>
      <c r="I182">
        <v>2.012</v>
      </c>
      <c r="J182">
        <f t="shared" si="15"/>
        <v>16.842942345924452</v>
      </c>
      <c r="K182">
        <f t="shared" si="16"/>
        <v>3.5089463220675943</v>
      </c>
      <c r="L182" t="s">
        <v>189</v>
      </c>
      <c r="M182">
        <v>37</v>
      </c>
      <c r="N182">
        <v>60</v>
      </c>
      <c r="O182" t="str">
        <f t="shared" si="17"/>
        <v>N37</v>
      </c>
    </row>
    <row r="183" spans="1:15" x14ac:dyDescent="0.25">
      <c r="A183" t="s">
        <v>190</v>
      </c>
      <c r="B183">
        <v>0.76</v>
      </c>
      <c r="C183">
        <v>2.0230000000000001</v>
      </c>
      <c r="D183">
        <f t="shared" si="18"/>
        <v>18.032624814631735</v>
      </c>
      <c r="E183">
        <f t="shared" si="19"/>
        <v>3.7567968363816111</v>
      </c>
      <c r="F183" t="str">
        <f t="shared" si="20"/>
        <v>C</v>
      </c>
      <c r="H183">
        <v>0.35599999999999998</v>
      </c>
      <c r="I183">
        <v>2.0230000000000001</v>
      </c>
      <c r="J183">
        <f t="shared" si="15"/>
        <v>8.4468610973801272</v>
      </c>
      <c r="K183">
        <f t="shared" si="16"/>
        <v>1.7597627286208599</v>
      </c>
      <c r="L183" t="s">
        <v>190</v>
      </c>
      <c r="M183">
        <v>37</v>
      </c>
      <c r="N183">
        <v>100</v>
      </c>
      <c r="O183" t="str">
        <f t="shared" si="17"/>
        <v>N37</v>
      </c>
    </row>
    <row r="184" spans="1:15" x14ac:dyDescent="0.25">
      <c r="A184" t="s">
        <v>191</v>
      </c>
      <c r="B184">
        <v>0.93700000000000006</v>
      </c>
      <c r="C184">
        <v>2.0110000000000001</v>
      </c>
      <c r="D184">
        <f t="shared" si="18"/>
        <v>22.364992541024375</v>
      </c>
      <c r="E184">
        <f t="shared" si="19"/>
        <v>4.6593734460467431</v>
      </c>
      <c r="F184" t="str">
        <f t="shared" si="20"/>
        <v>D</v>
      </c>
      <c r="H184">
        <v>0.19</v>
      </c>
      <c r="I184">
        <v>2.0110000000000001</v>
      </c>
      <c r="J184">
        <f t="shared" si="15"/>
        <v>4.5350571854798609</v>
      </c>
      <c r="K184">
        <f t="shared" si="16"/>
        <v>0.94480358030830425</v>
      </c>
      <c r="L184" t="s">
        <v>191</v>
      </c>
      <c r="M184">
        <v>37</v>
      </c>
      <c r="N184">
        <v>140</v>
      </c>
      <c r="O184" t="str">
        <f t="shared" si="17"/>
        <v>N37</v>
      </c>
    </row>
    <row r="185" spans="1:15" x14ac:dyDescent="0.25">
      <c r="A185" t="s">
        <v>192</v>
      </c>
      <c r="B185">
        <v>0.27600000000000002</v>
      </c>
      <c r="C185">
        <v>2.0019999999999998</v>
      </c>
      <c r="D185">
        <f t="shared" si="18"/>
        <v>6.6173826173826198</v>
      </c>
      <c r="E185">
        <f t="shared" si="19"/>
        <v>1.3786213786213788</v>
      </c>
      <c r="F185" t="str">
        <f t="shared" si="20"/>
        <v>E</v>
      </c>
      <c r="H185">
        <v>0.27500000000000002</v>
      </c>
      <c r="I185">
        <v>2.0019999999999998</v>
      </c>
      <c r="J185">
        <f t="shared" si="15"/>
        <v>6.5934065934065966</v>
      </c>
      <c r="K185">
        <f t="shared" si="16"/>
        <v>1.3736263736263739</v>
      </c>
      <c r="L185" t="s">
        <v>192</v>
      </c>
      <c r="M185">
        <v>37</v>
      </c>
      <c r="N185">
        <v>180</v>
      </c>
      <c r="O185" t="str">
        <f t="shared" si="17"/>
        <v>N37</v>
      </c>
    </row>
    <row r="186" spans="1:15" x14ac:dyDescent="0.25">
      <c r="A186" t="s">
        <v>193</v>
      </c>
      <c r="B186">
        <v>0.47</v>
      </c>
      <c r="C186">
        <v>2.036</v>
      </c>
      <c r="D186">
        <f t="shared" si="18"/>
        <v>11.080550098231825</v>
      </c>
      <c r="E186">
        <f t="shared" si="19"/>
        <v>2.3084479371316302</v>
      </c>
      <c r="F186" t="str">
        <f t="shared" si="20"/>
        <v>A</v>
      </c>
      <c r="H186">
        <v>0.625</v>
      </c>
      <c r="I186">
        <v>2.036</v>
      </c>
      <c r="J186">
        <f t="shared" si="15"/>
        <v>14.734774066797643</v>
      </c>
      <c r="K186">
        <f t="shared" si="16"/>
        <v>3.0697445972495085</v>
      </c>
      <c r="L186" t="s">
        <v>193</v>
      </c>
      <c r="M186">
        <v>38</v>
      </c>
      <c r="N186">
        <v>20</v>
      </c>
      <c r="O186" t="str">
        <f t="shared" si="17"/>
        <v>N38</v>
      </c>
    </row>
    <row r="187" spans="1:15" x14ac:dyDescent="0.25">
      <c r="A187" t="s">
        <v>194</v>
      </c>
      <c r="B187">
        <v>0.52900000000000003</v>
      </c>
      <c r="C187">
        <v>2</v>
      </c>
      <c r="D187">
        <f t="shared" si="18"/>
        <v>12.696000000000003</v>
      </c>
      <c r="E187">
        <f t="shared" si="19"/>
        <v>2.645</v>
      </c>
      <c r="F187" t="str">
        <f t="shared" si="20"/>
        <v>B</v>
      </c>
      <c r="H187">
        <v>0.255</v>
      </c>
      <c r="I187">
        <v>2</v>
      </c>
      <c r="J187">
        <f t="shared" si="15"/>
        <v>6.12</v>
      </c>
      <c r="K187">
        <f t="shared" si="16"/>
        <v>1.2749999999999999</v>
      </c>
      <c r="L187" t="s">
        <v>194</v>
      </c>
      <c r="M187">
        <v>38</v>
      </c>
      <c r="N187">
        <v>60</v>
      </c>
      <c r="O187" t="str">
        <f t="shared" si="17"/>
        <v>N38</v>
      </c>
    </row>
    <row r="188" spans="1:15" x14ac:dyDescent="0.25">
      <c r="A188" t="s">
        <v>195</v>
      </c>
      <c r="B188">
        <v>0.23799999999999999</v>
      </c>
      <c r="C188">
        <v>2</v>
      </c>
      <c r="D188">
        <f t="shared" si="18"/>
        <v>5.7119999999999997</v>
      </c>
      <c r="E188">
        <f t="shared" si="19"/>
        <v>1.19</v>
      </c>
      <c r="F188" t="str">
        <f t="shared" si="20"/>
        <v>C</v>
      </c>
      <c r="H188">
        <v>0.22900000000000001</v>
      </c>
      <c r="I188">
        <v>2</v>
      </c>
      <c r="J188">
        <f t="shared" si="15"/>
        <v>5.4960000000000004</v>
      </c>
      <c r="K188">
        <f t="shared" si="16"/>
        <v>1.145</v>
      </c>
      <c r="L188" t="s">
        <v>195</v>
      </c>
      <c r="M188">
        <v>38</v>
      </c>
      <c r="N188">
        <v>100</v>
      </c>
      <c r="O188" t="str">
        <f t="shared" si="17"/>
        <v>N38</v>
      </c>
    </row>
    <row r="189" spans="1:15" x14ac:dyDescent="0.25">
      <c r="A189" t="s">
        <v>196</v>
      </c>
      <c r="B189">
        <v>0.20499999999999999</v>
      </c>
      <c r="C189">
        <v>2.0089999999999999</v>
      </c>
      <c r="D189">
        <f t="shared" si="18"/>
        <v>4.8979591836734704</v>
      </c>
      <c r="E189">
        <f t="shared" si="19"/>
        <v>1.0204081632653061</v>
      </c>
      <c r="F189" t="str">
        <f t="shared" si="20"/>
        <v>D</v>
      </c>
      <c r="H189">
        <v>0.17599999999999999</v>
      </c>
      <c r="I189">
        <v>2.0089999999999999</v>
      </c>
      <c r="J189">
        <f t="shared" si="15"/>
        <v>4.2050771528123452</v>
      </c>
      <c r="K189">
        <f t="shared" si="16"/>
        <v>0.87605774016923843</v>
      </c>
      <c r="L189" t="s">
        <v>196</v>
      </c>
      <c r="M189">
        <v>38</v>
      </c>
      <c r="N189">
        <v>140</v>
      </c>
      <c r="O189" t="str">
        <f t="shared" si="17"/>
        <v>N38</v>
      </c>
    </row>
    <row r="190" spans="1:15" x14ac:dyDescent="0.25">
      <c r="A190" t="s">
        <v>197</v>
      </c>
      <c r="B190">
        <v>0.14199999999999999</v>
      </c>
      <c r="C190">
        <v>2</v>
      </c>
      <c r="D190">
        <f t="shared" si="18"/>
        <v>3.4079999999999999</v>
      </c>
      <c r="E190">
        <f t="shared" si="19"/>
        <v>0.71</v>
      </c>
      <c r="F190" t="str">
        <f t="shared" si="20"/>
        <v>E</v>
      </c>
      <c r="H190">
        <v>0.24</v>
      </c>
      <c r="I190">
        <v>2</v>
      </c>
      <c r="J190">
        <f t="shared" si="15"/>
        <v>5.76</v>
      </c>
      <c r="K190">
        <f t="shared" si="16"/>
        <v>1.2</v>
      </c>
      <c r="L190" t="s">
        <v>197</v>
      </c>
      <c r="M190">
        <v>38</v>
      </c>
      <c r="N190">
        <v>180</v>
      </c>
      <c r="O190" t="str">
        <f t="shared" si="17"/>
        <v>N38</v>
      </c>
    </row>
    <row r="191" spans="1:15" x14ac:dyDescent="0.25">
      <c r="A191" t="s">
        <v>198</v>
      </c>
      <c r="B191">
        <v>0.15</v>
      </c>
      <c r="C191">
        <v>2.0009999999999999</v>
      </c>
      <c r="D191">
        <f t="shared" si="18"/>
        <v>3.5982008995502262</v>
      </c>
      <c r="E191">
        <f t="shared" si="19"/>
        <v>0.74962518740629691</v>
      </c>
      <c r="F191" t="str">
        <f t="shared" si="20"/>
        <v>A</v>
      </c>
      <c r="H191">
        <v>0.72899999999999998</v>
      </c>
      <c r="I191">
        <v>2.0009999999999999</v>
      </c>
      <c r="J191">
        <f t="shared" si="15"/>
        <v>17.487256371814098</v>
      </c>
      <c r="K191">
        <f t="shared" si="16"/>
        <v>3.643178410794603</v>
      </c>
      <c r="L191" t="s">
        <v>198</v>
      </c>
      <c r="M191">
        <v>39</v>
      </c>
      <c r="N191">
        <v>20</v>
      </c>
      <c r="O191" t="str">
        <f t="shared" si="17"/>
        <v>N39</v>
      </c>
    </row>
    <row r="192" spans="1:15" x14ac:dyDescent="0.25">
      <c r="A192" t="s">
        <v>199</v>
      </c>
      <c r="B192">
        <v>1.385</v>
      </c>
      <c r="C192">
        <v>2.0099999999999998</v>
      </c>
      <c r="D192">
        <f t="shared" si="18"/>
        <v>33.074626865671654</v>
      </c>
      <c r="E192">
        <f t="shared" si="19"/>
        <v>6.8905472636815928</v>
      </c>
      <c r="F192" t="str">
        <f t="shared" si="20"/>
        <v>B</v>
      </c>
      <c r="H192">
        <v>0.42099999999999999</v>
      </c>
      <c r="I192">
        <v>2.0099999999999998</v>
      </c>
      <c r="J192">
        <f t="shared" si="15"/>
        <v>10.053731343283586</v>
      </c>
      <c r="K192">
        <f t="shared" si="16"/>
        <v>2.0945273631840795</v>
      </c>
      <c r="L192" t="s">
        <v>199</v>
      </c>
      <c r="M192">
        <v>39</v>
      </c>
      <c r="N192">
        <v>60</v>
      </c>
      <c r="O192" t="str">
        <f t="shared" si="17"/>
        <v>N39</v>
      </c>
    </row>
    <row r="193" spans="1:15" x14ac:dyDescent="0.25">
      <c r="A193" t="s">
        <v>200</v>
      </c>
      <c r="B193">
        <v>0.434</v>
      </c>
      <c r="C193">
        <v>2.0449999999999999</v>
      </c>
      <c r="D193">
        <f t="shared" si="18"/>
        <v>10.186797066014671</v>
      </c>
      <c r="E193">
        <f t="shared" si="19"/>
        <v>2.1222493887530565</v>
      </c>
      <c r="F193" t="str">
        <f t="shared" si="20"/>
        <v>C</v>
      </c>
      <c r="H193">
        <v>0.26300000000000001</v>
      </c>
      <c r="I193">
        <v>2.0449999999999999</v>
      </c>
      <c r="J193">
        <f t="shared" si="15"/>
        <v>6.1731051344743291</v>
      </c>
      <c r="K193">
        <f t="shared" si="16"/>
        <v>1.2860635696821516</v>
      </c>
      <c r="L193" t="s">
        <v>200</v>
      </c>
      <c r="M193">
        <v>39</v>
      </c>
      <c r="N193">
        <v>100</v>
      </c>
      <c r="O193" t="str">
        <f t="shared" si="17"/>
        <v>N39</v>
      </c>
    </row>
    <row r="194" spans="1:15" x14ac:dyDescent="0.25">
      <c r="A194" t="s">
        <v>201</v>
      </c>
      <c r="B194">
        <v>0.56200000000000006</v>
      </c>
      <c r="C194">
        <v>2.0110000000000001</v>
      </c>
      <c r="D194">
        <f t="shared" si="18"/>
        <v>13.414221780208855</v>
      </c>
      <c r="E194">
        <f t="shared" si="19"/>
        <v>2.7946295375435106</v>
      </c>
      <c r="F194" t="str">
        <f t="shared" si="20"/>
        <v>D</v>
      </c>
      <c r="H194">
        <v>0.30599999999999999</v>
      </c>
      <c r="I194">
        <v>2.0110000000000001</v>
      </c>
      <c r="J194">
        <f t="shared" si="15"/>
        <v>7.3038289408254604</v>
      </c>
      <c r="K194">
        <f t="shared" si="16"/>
        <v>1.5216310293386375</v>
      </c>
      <c r="L194" t="s">
        <v>201</v>
      </c>
      <c r="M194">
        <v>39</v>
      </c>
      <c r="N194">
        <v>140</v>
      </c>
      <c r="O194" t="str">
        <f t="shared" si="17"/>
        <v>N39</v>
      </c>
    </row>
    <row r="195" spans="1:15" x14ac:dyDescent="0.25">
      <c r="A195" t="s">
        <v>202</v>
      </c>
      <c r="B195">
        <v>0.72499999999999998</v>
      </c>
      <c r="C195">
        <v>2.016</v>
      </c>
      <c r="D195">
        <f t="shared" si="18"/>
        <v>17.261904761904763</v>
      </c>
      <c r="E195">
        <f t="shared" si="19"/>
        <v>3.5962301587301586</v>
      </c>
      <c r="F195" t="str">
        <f t="shared" si="20"/>
        <v>E</v>
      </c>
      <c r="H195">
        <v>0.46800000000000003</v>
      </c>
      <c r="I195">
        <v>2.016</v>
      </c>
      <c r="J195">
        <f t="shared" si="15"/>
        <v>11.142857142857146</v>
      </c>
      <c r="K195">
        <f t="shared" si="16"/>
        <v>2.3214285714285716</v>
      </c>
      <c r="L195" t="s">
        <v>202</v>
      </c>
      <c r="M195">
        <v>39</v>
      </c>
      <c r="N195">
        <v>180</v>
      </c>
      <c r="O195" t="str">
        <f t="shared" si="17"/>
        <v>N39</v>
      </c>
    </row>
    <row r="196" spans="1:15" x14ac:dyDescent="0.25">
      <c r="A196" t="s">
        <v>203</v>
      </c>
      <c r="B196">
        <v>8.4000000000000005E-2</v>
      </c>
      <c r="C196">
        <v>2.0209999999999999</v>
      </c>
      <c r="D196">
        <f t="shared" si="18"/>
        <v>1.9950519544779819</v>
      </c>
      <c r="E196">
        <f t="shared" si="19"/>
        <v>0.41563582384957948</v>
      </c>
      <c r="F196" t="str">
        <f t="shared" si="20"/>
        <v>A</v>
      </c>
      <c r="H196">
        <v>0.82499999999999996</v>
      </c>
      <c r="I196">
        <v>2.0209999999999999</v>
      </c>
      <c r="J196">
        <f t="shared" si="15"/>
        <v>19.594260267194461</v>
      </c>
      <c r="K196">
        <f t="shared" si="16"/>
        <v>4.0821375556655122</v>
      </c>
      <c r="L196" t="s">
        <v>203</v>
      </c>
      <c r="M196">
        <v>40</v>
      </c>
      <c r="N196">
        <v>20</v>
      </c>
      <c r="O196" t="str">
        <f t="shared" si="17"/>
        <v>N40</v>
      </c>
    </row>
    <row r="197" spans="1:15" x14ac:dyDescent="0.25">
      <c r="A197" t="s">
        <v>204</v>
      </c>
      <c r="B197">
        <v>9.0999999999999998E-2</v>
      </c>
      <c r="C197">
        <v>2.0179999999999998</v>
      </c>
      <c r="D197">
        <f t="shared" si="18"/>
        <v>2.1645193260654119</v>
      </c>
      <c r="E197">
        <f t="shared" si="19"/>
        <v>0.45094152626362732</v>
      </c>
      <c r="F197" t="str">
        <f t="shared" si="20"/>
        <v>B</v>
      </c>
      <c r="H197">
        <v>0.375</v>
      </c>
      <c r="I197">
        <v>2.0179999999999998</v>
      </c>
      <c r="J197">
        <f t="shared" si="15"/>
        <v>8.9197224975222991</v>
      </c>
      <c r="K197">
        <f t="shared" si="16"/>
        <v>1.8582755203171457</v>
      </c>
      <c r="L197" t="s">
        <v>204</v>
      </c>
      <c r="M197">
        <v>40</v>
      </c>
      <c r="N197">
        <v>60</v>
      </c>
      <c r="O197" t="str">
        <f t="shared" si="17"/>
        <v>N40</v>
      </c>
    </row>
    <row r="198" spans="1:15" x14ac:dyDescent="0.25">
      <c r="A198" t="s">
        <v>205</v>
      </c>
      <c r="B198">
        <v>0.318</v>
      </c>
      <c r="C198">
        <v>2.0390000000000001</v>
      </c>
      <c r="D198">
        <f t="shared" si="18"/>
        <v>7.4860225600784709</v>
      </c>
      <c r="E198">
        <f t="shared" si="19"/>
        <v>1.5595880333496812</v>
      </c>
      <c r="F198" t="str">
        <f t="shared" si="20"/>
        <v>C</v>
      </c>
      <c r="H198">
        <v>0.26500000000000001</v>
      </c>
      <c r="I198">
        <v>2.0390000000000001</v>
      </c>
      <c r="J198">
        <f t="shared" si="15"/>
        <v>6.2383521333987257</v>
      </c>
      <c r="K198">
        <f t="shared" si="16"/>
        <v>1.2996566944580676</v>
      </c>
      <c r="L198" t="s">
        <v>205</v>
      </c>
      <c r="M198">
        <v>40</v>
      </c>
      <c r="N198">
        <v>100</v>
      </c>
      <c r="O198" t="str">
        <f t="shared" si="17"/>
        <v>N40</v>
      </c>
    </row>
    <row r="199" spans="1:15" x14ac:dyDescent="0.25">
      <c r="A199" t="s">
        <v>206</v>
      </c>
      <c r="B199">
        <v>0.751</v>
      </c>
      <c r="C199">
        <v>2.0139999999999998</v>
      </c>
      <c r="D199">
        <f t="shared" si="18"/>
        <v>17.898709036742805</v>
      </c>
      <c r="E199">
        <f t="shared" si="19"/>
        <v>3.7288977159880838</v>
      </c>
      <c r="F199" t="str">
        <f t="shared" si="20"/>
        <v>D</v>
      </c>
      <c r="H199">
        <v>0.23599999999999999</v>
      </c>
      <c r="I199">
        <v>2.0139999999999998</v>
      </c>
      <c r="J199">
        <f t="shared" si="15"/>
        <v>5.624627606752731</v>
      </c>
      <c r="K199">
        <f t="shared" si="16"/>
        <v>1.1717974180734856</v>
      </c>
      <c r="L199" t="s">
        <v>206</v>
      </c>
      <c r="M199">
        <v>40</v>
      </c>
      <c r="N199">
        <v>140</v>
      </c>
      <c r="O199" t="str">
        <f t="shared" si="17"/>
        <v>N40</v>
      </c>
    </row>
    <row r="200" spans="1:15" x14ac:dyDescent="0.25">
      <c r="A200" t="s">
        <v>207</v>
      </c>
      <c r="B200">
        <v>1.3180000000000001</v>
      </c>
      <c r="C200">
        <v>1.9950000000000001</v>
      </c>
      <c r="D200">
        <f t="shared" si="18"/>
        <v>31.711278195488724</v>
      </c>
      <c r="E200">
        <f t="shared" si="19"/>
        <v>6.6065162907268169</v>
      </c>
      <c r="F200" t="str">
        <f t="shared" si="20"/>
        <v>E</v>
      </c>
      <c r="H200">
        <v>0.23100000000000001</v>
      </c>
      <c r="I200">
        <v>1.9950000000000001</v>
      </c>
      <c r="J200">
        <f>H200*(10/I200)*1.6*30*(1/1000000000)*(10000)*(10000)</f>
        <v>5.5578947368421066</v>
      </c>
      <c r="K200">
        <f>(10/I200)*H200</f>
        <v>1.1578947368421053</v>
      </c>
      <c r="L200" t="s">
        <v>207</v>
      </c>
      <c r="M200">
        <v>40</v>
      </c>
      <c r="N200">
        <v>180</v>
      </c>
      <c r="O200" t="str">
        <f t="shared" si="17"/>
        <v>N40</v>
      </c>
    </row>
    <row r="202" spans="1:15" x14ac:dyDescent="0.25">
      <c r="E202">
        <f>AVERAGE(E8:E200)</f>
        <v>1.9730923832767806</v>
      </c>
      <c r="K202">
        <f>AVERAGE(K8:K200)</f>
        <v>1.6819491668081665</v>
      </c>
    </row>
    <row r="204" spans="1:15" x14ac:dyDescent="0.25">
      <c r="E204">
        <f>MAX(E8:E200)</f>
        <v>14.922171223308723</v>
      </c>
      <c r="K204">
        <f>MAX(K8:K200)</f>
        <v>5.8820584701641963</v>
      </c>
    </row>
    <row r="205" spans="1:15" x14ac:dyDescent="0.25">
      <c r="E205">
        <f>MIN(E8:E200)</f>
        <v>-0.28137875590392925</v>
      </c>
      <c r="K205">
        <f>MIN(K8:K200)</f>
        <v>0.33763654419066541</v>
      </c>
    </row>
    <row r="206" spans="1:15" x14ac:dyDescent="0.25">
      <c r="H206" t="s">
        <v>74</v>
      </c>
      <c r="N206" t="s">
        <v>75</v>
      </c>
    </row>
    <row r="207" spans="1:15" x14ac:dyDescent="0.25">
      <c r="C207" t="s">
        <v>213</v>
      </c>
      <c r="D207" t="s">
        <v>208</v>
      </c>
      <c r="E207" s="8">
        <f>AVERAGEIFS($E$8:$E$200,$F$8:$F$200,D207)</f>
        <v>0.78936351816840467</v>
      </c>
      <c r="G207">
        <v>5</v>
      </c>
      <c r="H207" s="8">
        <f>E207</f>
        <v>0.78936351816840467</v>
      </c>
      <c r="J207" t="s">
        <v>208</v>
      </c>
      <c r="K207" s="8">
        <f>AVERAGEIFS($K$8:$K$200,$F$8:$F$200,J207)</f>
        <v>3.6131940702427379</v>
      </c>
      <c r="M207">
        <v>5</v>
      </c>
      <c r="N207" s="8">
        <f>K207</f>
        <v>3.6131940702427379</v>
      </c>
    </row>
    <row r="208" spans="1:15" x14ac:dyDescent="0.25">
      <c r="C208" t="s">
        <v>214</v>
      </c>
      <c r="D208" t="s">
        <v>209</v>
      </c>
      <c r="E208" s="8">
        <f>AVERAGEIFS($E$8:$E$200,$F$8:$F$200,D208)</f>
        <v>1.5366056217820385</v>
      </c>
      <c r="G208">
        <v>15</v>
      </c>
      <c r="H208" s="8">
        <f>E207</f>
        <v>0.78936351816840467</v>
      </c>
      <c r="J208" t="s">
        <v>209</v>
      </c>
      <c r="K208" s="8">
        <f>AVERAGEIFS($K$8:$K$200,$F$8:$F$200,J208)</f>
        <v>1.6727996189751206</v>
      </c>
      <c r="M208">
        <v>15</v>
      </c>
      <c r="N208" s="8">
        <f>K207</f>
        <v>3.6131940702427379</v>
      </c>
    </row>
    <row r="209" spans="3:14" x14ac:dyDescent="0.25">
      <c r="C209" t="s">
        <v>215</v>
      </c>
      <c r="D209" t="s">
        <v>210</v>
      </c>
      <c r="E209" s="8">
        <f>AVERAGEIFS($E$8:$E$200,$F$8:$F$200,D209)</f>
        <v>1.8625000246962968</v>
      </c>
      <c r="G209">
        <v>30</v>
      </c>
      <c r="H209" s="8">
        <f>E207</f>
        <v>0.78936351816840467</v>
      </c>
      <c r="J209" t="s">
        <v>210</v>
      </c>
      <c r="K209" s="8">
        <f>AVERAGEIFS($K$8:$K$200,$F$8:$F$200,J209)</f>
        <v>1.0728206707427581</v>
      </c>
      <c r="M209">
        <v>30</v>
      </c>
      <c r="N209" s="8">
        <f>K207</f>
        <v>3.6131940702427379</v>
      </c>
    </row>
    <row r="210" spans="3:14" x14ac:dyDescent="0.25">
      <c r="C210" t="s">
        <v>216</v>
      </c>
      <c r="D210" t="s">
        <v>211</v>
      </c>
      <c r="E210" s="8">
        <f>AVERAGEIFS($E$8:$E$200,$F$8:$F$200,D210)</f>
        <v>2.8202404552137441</v>
      </c>
      <c r="G210">
        <v>45</v>
      </c>
      <c r="H210" s="8">
        <f>(5*E208+10*E207)/15</f>
        <v>1.0384442193729493</v>
      </c>
      <c r="J210" t="s">
        <v>211</v>
      </c>
      <c r="K210" s="8">
        <f>AVERAGEIFS($K$8:$K$200,$F$8:$F$200,J210)</f>
        <v>0.9156888584396452</v>
      </c>
      <c r="M210">
        <v>45</v>
      </c>
      <c r="N210" s="8">
        <f>(5*K208+10*K207)/15</f>
        <v>2.966395919820199</v>
      </c>
    </row>
    <row r="211" spans="3:14" x14ac:dyDescent="0.25">
      <c r="C211" t="s">
        <v>217</v>
      </c>
      <c r="D211" t="s">
        <v>212</v>
      </c>
      <c r="E211" s="8">
        <f>AVERAGEIFS($E$8:$E$200,$F$8:$F$200,D211)</f>
        <v>3.0313978882407699</v>
      </c>
      <c r="G211">
        <v>60</v>
      </c>
      <c r="H211" s="8">
        <f>E208</f>
        <v>1.5366056217820385</v>
      </c>
      <c r="J211" t="s">
        <v>212</v>
      </c>
      <c r="K211" s="8">
        <f>AVERAGEIFS($K$8:$K$200,$F$8:$F$200,J211)</f>
        <v>1.0133553764241516</v>
      </c>
      <c r="M211">
        <v>60</v>
      </c>
      <c r="N211" s="8">
        <f>K208</f>
        <v>1.6727996189751206</v>
      </c>
    </row>
    <row r="212" spans="3:14" x14ac:dyDescent="0.25">
      <c r="G212">
        <v>90</v>
      </c>
      <c r="H212" s="8">
        <f>(20*E208+10*E209)/30</f>
        <v>1.6452370894201247</v>
      </c>
      <c r="M212">
        <v>90</v>
      </c>
      <c r="N212" s="8">
        <f>(20*K208+10*K209)/30</f>
        <v>1.4728066362309997</v>
      </c>
    </row>
    <row r="213" spans="3:14" x14ac:dyDescent="0.25">
      <c r="G213">
        <v>120</v>
      </c>
      <c r="H213" s="8">
        <f>E209</f>
        <v>1.8625000246962968</v>
      </c>
      <c r="M213">
        <v>120</v>
      </c>
      <c r="N213" s="8">
        <f>K209</f>
        <v>1.0728206707427581</v>
      </c>
    </row>
    <row r="214" spans="3:14" x14ac:dyDescent="0.25">
      <c r="G214">
        <v>150</v>
      </c>
      <c r="H214" s="8">
        <f>E210</f>
        <v>2.8202404552137441</v>
      </c>
      <c r="M214">
        <v>150</v>
      </c>
      <c r="N214" s="8">
        <f>K210</f>
        <v>0.9156888584396452</v>
      </c>
    </row>
    <row r="215" spans="3:14" x14ac:dyDescent="0.25">
      <c r="G215">
        <v>180</v>
      </c>
      <c r="H215" s="8">
        <f>(10*E210+20*E211)/30</f>
        <v>2.9610120772317616</v>
      </c>
      <c r="M215">
        <v>180</v>
      </c>
      <c r="N215" s="8">
        <f>(10*K210+20*K211)/30</f>
        <v>0.98079987042931605</v>
      </c>
    </row>
    <row r="216" spans="3:14" x14ac:dyDescent="0.25">
      <c r="G216">
        <v>210</v>
      </c>
      <c r="H216" s="8">
        <f>E211</f>
        <v>3.0313978882407699</v>
      </c>
      <c r="M216">
        <v>210</v>
      </c>
      <c r="N216" s="8">
        <f>K211</f>
        <v>1.0133553764241516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SoilDF</vt:lpstr>
      <vt:lpstr>F13 Mar 2017 1st 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Lab</dc:creator>
  <cp:lastModifiedBy>Reviewer</cp:lastModifiedBy>
  <dcterms:created xsi:type="dcterms:W3CDTF">2017-04-24T21:03:33Z</dcterms:created>
  <dcterms:modified xsi:type="dcterms:W3CDTF">2025-05-21T22:01:30Z</dcterms:modified>
</cp:coreProperties>
</file>