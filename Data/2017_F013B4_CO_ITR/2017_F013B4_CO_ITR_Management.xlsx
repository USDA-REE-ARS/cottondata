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3223D3A7-AC9E-41CF-8EF7-F6A75E8A09DC}" xr6:coauthVersionLast="47" xr6:coauthVersionMax="47" xr10:uidLastSave="{00000000-0000-0000-0000-000000000000}"/>
  <bookViews>
    <workbookView xWindow="-1515" yWindow="-28020" windowWidth="17850" windowHeight="19275" tabRatio="756" xr2:uid="{00000000-000D-0000-FFFF-FFFF00000000}"/>
  </bookViews>
  <sheets>
    <sheet name="Irrigation" sheetId="4" r:id="rId1"/>
    <sheet name="Other" sheetId="2" r:id="rId2"/>
    <sheet name="IrrigationDF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3" i="4" l="1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6" i="4"/>
  <c r="AK45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6" i="4"/>
  <c r="AI45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6" i="4"/>
  <c r="AH45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6" i="4"/>
  <c r="AJ45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6" i="4"/>
  <c r="AG45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6" i="4"/>
  <c r="AF45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6" i="4"/>
  <c r="AE45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6" i="4"/>
  <c r="AD45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90" i="4" s="1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90" i="4" s="1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S63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90" i="4" s="1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6" i="4"/>
  <c r="AB45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6" i="4"/>
  <c r="AA45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6" i="4"/>
  <c r="Z45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6" i="4"/>
  <c r="Y45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6" i="4"/>
  <c r="T45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6" i="4"/>
  <c r="S45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6" i="4"/>
  <c r="R45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6" i="4"/>
  <c r="P45" i="4"/>
  <c r="P89" i="4" s="1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6" i="4"/>
  <c r="O45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6" i="4"/>
  <c r="N45" i="4"/>
  <c r="N89" i="4" s="1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6" i="4"/>
  <c r="Q45" i="4"/>
  <c r="M62" i="4"/>
  <c r="M61" i="4"/>
  <c r="M60" i="4"/>
  <c r="M58" i="4"/>
  <c r="M59" i="4"/>
  <c r="M57" i="4"/>
  <c r="M56" i="4"/>
  <c r="M55" i="4"/>
  <c r="M54" i="4"/>
  <c r="M53" i="4"/>
  <c r="M52" i="4"/>
  <c r="M51" i="4"/>
  <c r="M50" i="4"/>
  <c r="M49" i="4"/>
  <c r="M48" i="4"/>
  <c r="M46" i="4"/>
  <c r="M45" i="4"/>
  <c r="M89" i="4" s="1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6" i="4"/>
  <c r="X45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6" i="4"/>
  <c r="W45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6" i="4"/>
  <c r="V45" i="4"/>
  <c r="V89" i="4" s="1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6" i="4"/>
  <c r="U45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G57" i="4"/>
  <c r="E57" i="4"/>
  <c r="G51" i="4"/>
  <c r="E51" i="4"/>
  <c r="N90" i="4" l="1"/>
  <c r="W90" i="4"/>
  <c r="S89" i="4"/>
  <c r="Y89" i="4"/>
  <c r="O90" i="4"/>
  <c r="R89" i="4"/>
  <c r="S90" i="4"/>
  <c r="X90" i="4"/>
  <c r="P90" i="4"/>
  <c r="T90" i="4"/>
  <c r="T89" i="4"/>
  <c r="Z89" i="4"/>
  <c r="X89" i="4"/>
  <c r="AB89" i="4"/>
  <c r="AA89" i="4"/>
  <c r="Y90" i="4"/>
  <c r="AA90" i="4"/>
  <c r="Q90" i="4"/>
  <c r="M90" i="4"/>
  <c r="U89" i="4"/>
  <c r="U90" i="4"/>
  <c r="Q89" i="4"/>
  <c r="O89" i="4"/>
  <c r="W89" i="4"/>
  <c r="AB90" i="4"/>
  <c r="M85" i="4"/>
  <c r="T85" i="4"/>
  <c r="T86" i="4" s="1"/>
  <c r="AE85" i="4"/>
  <c r="R85" i="4"/>
  <c r="R86" i="4" s="1"/>
  <c r="AF85" i="4"/>
  <c r="S85" i="4"/>
  <c r="S86" i="4" s="1"/>
  <c r="AH85" i="4"/>
  <c r="Y85" i="4"/>
  <c r="Y86" i="4" s="1"/>
  <c r="AK85" i="4"/>
  <c r="Q85" i="4"/>
  <c r="Q86" i="4" s="1"/>
  <c r="Z85" i="4"/>
  <c r="Z86" i="4" s="1"/>
  <c r="AD85" i="4"/>
  <c r="AJ85" i="4"/>
  <c r="U85" i="4"/>
  <c r="U86" i="4" s="1"/>
  <c r="X85" i="4"/>
  <c r="X86" i="4" s="1"/>
  <c r="N85" i="4"/>
  <c r="N86" i="4" s="1"/>
  <c r="AA85" i="4"/>
  <c r="AA86" i="4" s="1"/>
  <c r="V85" i="4"/>
  <c r="V86" i="4" s="1"/>
  <c r="O85" i="4"/>
  <c r="O86" i="4" s="1"/>
  <c r="AB85" i="4"/>
  <c r="AB86" i="4" s="1"/>
  <c r="AG85" i="4"/>
  <c r="AI85" i="4"/>
  <c r="W85" i="4"/>
  <c r="W86" i="4" s="1"/>
  <c r="P85" i="4"/>
  <c r="P86" i="4" s="1"/>
  <c r="H93" i="4"/>
  <c r="M86" i="4" l="1"/>
  <c r="G83" i="4"/>
  <c r="H83" i="4" s="1"/>
  <c r="E83" i="4"/>
  <c r="F83" i="4" s="1"/>
  <c r="G82" i="4"/>
  <c r="H82" i="4" s="1"/>
  <c r="E82" i="4"/>
  <c r="F82" i="4" s="1"/>
  <c r="G81" i="4"/>
  <c r="H81" i="4" s="1"/>
  <c r="E81" i="4"/>
  <c r="F81" i="4" s="1"/>
  <c r="G78" i="4" l="1"/>
  <c r="H78" i="4" s="1"/>
  <c r="G79" i="4"/>
  <c r="H79" i="4" s="1"/>
  <c r="G80" i="4"/>
  <c r="H80" i="4" s="1"/>
  <c r="E78" i="4"/>
  <c r="F78" i="4" s="1"/>
  <c r="E79" i="4"/>
  <c r="F79" i="4" s="1"/>
  <c r="E80" i="4"/>
  <c r="F80" i="4" s="1"/>
  <c r="G76" i="4" l="1"/>
  <c r="E76" i="4"/>
  <c r="G75" i="4"/>
  <c r="E75" i="4"/>
  <c r="F75" i="4" l="1"/>
  <c r="H75" i="4"/>
  <c r="F76" i="4"/>
  <c r="H76" i="4"/>
  <c r="E77" i="4"/>
  <c r="F77" i="4" s="1"/>
  <c r="G77" i="4"/>
  <c r="H77" i="4" s="1"/>
  <c r="G74" i="4" l="1"/>
  <c r="H74" i="4" s="1"/>
  <c r="G73" i="4"/>
  <c r="H73" i="4" s="1"/>
  <c r="E74" i="4"/>
  <c r="F74" i="4" s="1"/>
  <c r="E73" i="4"/>
  <c r="F73" i="4" s="1"/>
  <c r="K80" i="4"/>
  <c r="G72" i="4" l="1"/>
  <c r="E72" i="4"/>
  <c r="G71" i="4"/>
  <c r="E71" i="4"/>
  <c r="H72" i="4" l="1"/>
  <c r="H71" i="4"/>
  <c r="F71" i="4"/>
  <c r="F72" i="4"/>
  <c r="G69" i="4" l="1"/>
  <c r="H69" i="4" s="1"/>
  <c r="G70" i="4"/>
  <c r="H70" i="4" s="1"/>
  <c r="G68" i="4"/>
  <c r="H68" i="4" s="1"/>
  <c r="E68" i="4"/>
  <c r="F68" i="4" s="1"/>
  <c r="E69" i="4"/>
  <c r="F69" i="4" s="1"/>
  <c r="E70" i="4"/>
  <c r="F70" i="4" s="1"/>
  <c r="E28" i="4" l="1"/>
  <c r="G67" i="4" l="1"/>
  <c r="E67" i="4"/>
  <c r="G66" i="4" l="1"/>
  <c r="H66" i="4" s="1"/>
  <c r="H67" i="4"/>
  <c r="E66" i="4"/>
  <c r="F66" i="4" s="1"/>
  <c r="F67" i="4"/>
  <c r="K76" i="4" l="1"/>
  <c r="K75" i="4"/>
  <c r="K81" i="4" l="1"/>
  <c r="G65" i="4"/>
  <c r="H65" i="4" s="1"/>
  <c r="G64" i="4"/>
  <c r="H64" i="4" s="1"/>
  <c r="G63" i="4"/>
  <c r="H63" i="4" s="1"/>
  <c r="E65" i="4"/>
  <c r="F65" i="4" s="1"/>
  <c r="E64" i="4"/>
  <c r="F64" i="4" s="1"/>
  <c r="E63" i="4"/>
  <c r="F63" i="4" s="1"/>
  <c r="G62" i="4" l="1"/>
  <c r="H62" i="4" s="1"/>
  <c r="G61" i="4"/>
  <c r="H61" i="4" s="1"/>
  <c r="G60" i="4"/>
  <c r="H60" i="4" s="1"/>
  <c r="E60" i="4" l="1"/>
  <c r="F60" i="4" s="1"/>
  <c r="E61" i="4"/>
  <c r="F61" i="4" s="1"/>
  <c r="E62" i="4"/>
  <c r="F62" i="4" s="1"/>
  <c r="G59" i="4" l="1"/>
  <c r="G58" i="4"/>
  <c r="E59" i="4"/>
  <c r="E58" i="4"/>
  <c r="H59" i="4" l="1"/>
  <c r="H58" i="4"/>
  <c r="H57" i="4"/>
  <c r="F57" i="4"/>
  <c r="F58" i="4"/>
  <c r="F59" i="4"/>
  <c r="G56" i="4" l="1"/>
  <c r="H56" i="4" s="1"/>
  <c r="G55" i="4"/>
  <c r="H55" i="4" s="1"/>
  <c r="G54" i="4"/>
  <c r="H54" i="4" s="1"/>
  <c r="E55" i="4"/>
  <c r="F55" i="4" s="1"/>
  <c r="E54" i="4"/>
  <c r="F54" i="4" s="1"/>
  <c r="E56" i="4"/>
  <c r="F56" i="4" s="1"/>
  <c r="G52" i="4" l="1"/>
  <c r="E52" i="4"/>
  <c r="F51" i="4" l="1"/>
  <c r="G53" i="4"/>
  <c r="H53" i="4" s="1"/>
  <c r="E53" i="4"/>
  <c r="F53" i="4" s="1"/>
  <c r="F52" i="4"/>
  <c r="H52" i="4"/>
  <c r="H51" i="4"/>
  <c r="G50" i="4" l="1"/>
  <c r="E50" i="4"/>
  <c r="G49" i="4"/>
  <c r="E49" i="4"/>
  <c r="H49" i="4" l="1"/>
  <c r="H50" i="4"/>
  <c r="F49" i="4"/>
  <c r="F50" i="4"/>
  <c r="E48" i="4" l="1"/>
  <c r="F48" i="4" s="1"/>
  <c r="H48" i="4"/>
  <c r="H47" i="4"/>
  <c r="F47" i="4"/>
  <c r="G46" i="4" l="1"/>
  <c r="G45" i="4"/>
  <c r="E46" i="4"/>
  <c r="E45" i="4"/>
  <c r="E84" i="4" s="1"/>
  <c r="G84" i="4" l="1"/>
  <c r="H46" i="4"/>
  <c r="H45" i="4"/>
  <c r="H44" i="4"/>
  <c r="H84" i="4" l="1"/>
  <c r="F45" i="4" l="1"/>
  <c r="F46" i="4"/>
  <c r="F44" i="4" l="1"/>
  <c r="F84" i="4" s="1"/>
  <c r="G41" i="4" l="1"/>
  <c r="H41" i="4" s="1"/>
  <c r="G39" i="4" l="1"/>
  <c r="H39" i="4" l="1"/>
  <c r="H40" i="4"/>
  <c r="F39" i="4"/>
  <c r="F41" i="4"/>
  <c r="F40" i="4"/>
  <c r="G37" i="4" l="1"/>
  <c r="H37" i="4" s="1"/>
  <c r="G38" i="4"/>
  <c r="H38" i="4" s="1"/>
  <c r="F37" i="4"/>
  <c r="F38" i="4"/>
  <c r="E36" i="4" l="1"/>
  <c r="F36" i="4" s="1"/>
  <c r="G36" i="4"/>
  <c r="H36" i="4" s="1"/>
  <c r="E35" i="4" l="1"/>
  <c r="F35" i="4" s="1"/>
  <c r="G35" i="4"/>
  <c r="H35" i="4" s="1"/>
  <c r="G34" i="4" l="1"/>
  <c r="H34" i="4" s="1"/>
  <c r="E34" i="4"/>
  <c r="F34" i="4" s="1"/>
  <c r="G33" i="4" l="1"/>
  <c r="H33" i="4" s="1"/>
  <c r="E33" i="4"/>
  <c r="F33" i="4" s="1"/>
  <c r="E32" i="4" l="1"/>
  <c r="F32" i="4" s="1"/>
  <c r="G32" i="4"/>
  <c r="H32" i="4" s="1"/>
  <c r="G31" i="4" l="1"/>
  <c r="E31" i="4"/>
  <c r="E42" i="4" l="1"/>
  <c r="J36" i="4"/>
  <c r="H31" i="4"/>
  <c r="H42" i="4" s="1"/>
  <c r="G42" i="4"/>
  <c r="F31" i="4"/>
  <c r="F42" i="4" s="1"/>
  <c r="N88" i="4" l="1"/>
  <c r="P88" i="4"/>
  <c r="Q88" i="4"/>
  <c r="S88" i="4"/>
  <c r="U88" i="4"/>
  <c r="V88" i="4"/>
  <c r="W88" i="4"/>
  <c r="X88" i="4"/>
  <c r="Y88" i="4"/>
  <c r="Z88" i="4"/>
  <c r="AA88" i="4"/>
  <c r="AB88" i="4"/>
  <c r="M88" i="4"/>
  <c r="O88" i="4"/>
  <c r="R88" i="4"/>
  <c r="T88" i="4"/>
  <c r="G28" i="4" l="1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l="1"/>
  <c r="H85" i="4" s="1"/>
  <c r="G85" i="4"/>
  <c r="G29" i="4"/>
  <c r="E27" i="4"/>
  <c r="H29" i="4" l="1"/>
  <c r="E26" i="4"/>
  <c r="E25" i="4"/>
  <c r="E24" i="4" l="1"/>
  <c r="E23" i="4" l="1"/>
  <c r="E22" i="4" l="1"/>
  <c r="F28" i="4" l="1"/>
  <c r="F26" i="4"/>
  <c r="F27" i="4"/>
  <c r="F24" i="4"/>
  <c r="F25" i="4"/>
  <c r="F23" i="4"/>
  <c r="F22" i="4"/>
  <c r="E21" i="4"/>
  <c r="E89" i="4" l="1"/>
  <c r="E85" i="4"/>
  <c r="E87" i="4" s="1"/>
  <c r="E91" i="4" s="1"/>
  <c r="F21" i="4"/>
  <c r="E29" i="4"/>
  <c r="H15" i="4"/>
  <c r="H16" i="4"/>
  <c r="H17" i="4"/>
  <c r="H18" i="4"/>
  <c r="G10" i="4"/>
  <c r="G19" i="4" s="1"/>
  <c r="F18" i="4"/>
  <c r="F17" i="4"/>
  <c r="F16" i="4"/>
  <c r="Y87" i="4" l="1"/>
  <c r="Y92" i="4" s="1"/>
  <c r="AB87" i="4"/>
  <c r="AB92" i="4" s="1"/>
  <c r="N87" i="4"/>
  <c r="N92" i="4" s="1"/>
  <c r="O87" i="4"/>
  <c r="O92" i="4" s="1"/>
  <c r="P87" i="4"/>
  <c r="P92" i="4" s="1"/>
  <c r="Q87" i="4"/>
  <c r="Q92" i="4" s="1"/>
  <c r="R87" i="4"/>
  <c r="R92" i="4" s="1"/>
  <c r="S87" i="4"/>
  <c r="S92" i="4" s="1"/>
  <c r="T87" i="4"/>
  <c r="T92" i="4" s="1"/>
  <c r="U87" i="4"/>
  <c r="U92" i="4" s="1"/>
  <c r="V87" i="4"/>
  <c r="V92" i="4" s="1"/>
  <c r="W87" i="4"/>
  <c r="W92" i="4" s="1"/>
  <c r="X87" i="4"/>
  <c r="X92" i="4" s="1"/>
  <c r="Z87" i="4"/>
  <c r="Z92" i="4" s="1"/>
  <c r="AA87" i="4"/>
  <c r="AA92" i="4" s="1"/>
  <c r="M87" i="4"/>
  <c r="M92" i="4" s="1"/>
  <c r="F29" i="4"/>
  <c r="F85" i="4"/>
  <c r="E10" i="4" l="1"/>
  <c r="E19" i="4" s="1"/>
  <c r="H14" i="4" l="1"/>
  <c r="H13" i="4"/>
  <c r="H12" i="4"/>
  <c r="H11" i="4"/>
  <c r="H10" i="4" l="1"/>
  <c r="H19" i="4" s="1"/>
  <c r="F5" i="4" l="1"/>
  <c r="F4" i="4"/>
  <c r="F3" i="4"/>
  <c r="C4" i="4" l="1"/>
  <c r="C5" i="4"/>
  <c r="C3" i="4"/>
  <c r="F15" i="4" l="1"/>
  <c r="F14" i="4"/>
  <c r="F13" i="4"/>
  <c r="F12" i="4"/>
  <c r="F11" i="4"/>
  <c r="F10" i="4" l="1"/>
  <c r="F19" i="4" s="1"/>
</calcChain>
</file>

<file path=xl/sharedStrings.xml><?xml version="1.0" encoding="utf-8"?>
<sst xmlns="http://schemas.openxmlformats.org/spreadsheetml/2006/main" count="275" uniqueCount="113">
  <si>
    <t>Test strip till rig</t>
  </si>
  <si>
    <t>Deep rip</t>
  </si>
  <si>
    <t>Double disc</t>
  </si>
  <si>
    <t>Speed</t>
  </si>
  <si>
    <t>Depth</t>
  </si>
  <si>
    <t>Date</t>
  </si>
  <si>
    <t>DOY</t>
  </si>
  <si>
    <t>mm</t>
  </si>
  <si>
    <t>Linear</t>
  </si>
  <si>
    <t>inch</t>
  </si>
  <si>
    <t>Depth (mm)</t>
  </si>
  <si>
    <t>Depth (in)</t>
  </si>
  <si>
    <t>100%+100%</t>
  </si>
  <si>
    <t>Pre-water</t>
  </si>
  <si>
    <t>50%+50%</t>
  </si>
  <si>
    <t>#11</t>
  </si>
  <si>
    <t>#12</t>
  </si>
  <si>
    <t>Emergence</t>
  </si>
  <si>
    <t>Planting1</t>
  </si>
  <si>
    <t>Planting2</t>
  </si>
  <si>
    <t xml:space="preserve">Emergence </t>
  </si>
  <si>
    <t>Cotton</t>
  </si>
  <si>
    <t xml:space="preserve">Cotton </t>
  </si>
  <si>
    <t>Aerial apply Sulfoxaflor, Surfactant for Lygus</t>
  </si>
  <si>
    <t>Aerial apply Pyriproxyfen, Surfactant for white fly</t>
  </si>
  <si>
    <t>Chop stalks</t>
  </si>
  <si>
    <t>Dig around neutron tubes</t>
  </si>
  <si>
    <t>Pull neutron tubes</t>
  </si>
  <si>
    <t>Land plane</t>
  </si>
  <si>
    <t>Moldboard plow</t>
  </si>
  <si>
    <t>25%+50%</t>
  </si>
  <si>
    <t>50%+100%</t>
  </si>
  <si>
    <t>Barley Cover</t>
  </si>
  <si>
    <t>25%+100%</t>
  </si>
  <si>
    <t>Round-up barley cover crop</t>
  </si>
  <si>
    <t>Mow down cover</t>
  </si>
  <si>
    <t>3/16-17/2017</t>
  </si>
  <si>
    <t>Soil samples for nitrogen analysis and texture at 40 locations</t>
  </si>
  <si>
    <t>Run linear dry for tracks and Sundance berms</t>
  </si>
  <si>
    <t>Install one neutron tube and start pre-water</t>
  </si>
  <si>
    <t>100%*2</t>
  </si>
  <si>
    <t>100%*9</t>
  </si>
  <si>
    <t>100%*10</t>
  </si>
  <si>
    <t>100%*8</t>
  </si>
  <si>
    <t>Finished pre-watering the field</t>
  </si>
  <si>
    <t>S-tine the Prowl pre-emergent herbicide</t>
  </si>
  <si>
    <t>Field cultivation</t>
  </si>
  <si>
    <t>Plant Deltapine 1549 B2XF in Span 2-6</t>
  </si>
  <si>
    <t>Plant Alison's first planting in Span 1-2, 7</t>
  </si>
  <si>
    <t>100%*4</t>
  </si>
  <si>
    <t>Plant Alison's second planting in Span 1</t>
  </si>
  <si>
    <t>100%*3</t>
  </si>
  <si>
    <t>5/4,5,8/2017</t>
  </si>
  <si>
    <t>Install 64 neutron tubes in Span 2-6</t>
  </si>
  <si>
    <t>Fertigate - 37 kg/ha</t>
  </si>
  <si>
    <t>Started VRI treatments (P1 rates at each speed are now 83.33% less for 100% rate treatment)</t>
  </si>
  <si>
    <t>100%*6</t>
  </si>
  <si>
    <t>Glyphosate applied to Span 3-6</t>
  </si>
  <si>
    <t>MAC well blew a pipe…reroute from SE pond</t>
  </si>
  <si>
    <t>Adjusted the model parameterization based on updated Sobol for following week schedule.</t>
  </si>
  <si>
    <t>25% + 100%*5</t>
  </si>
  <si>
    <t>Fertigation - 37 kg/ha</t>
  </si>
  <si>
    <t>100%*1+25*1</t>
  </si>
  <si>
    <t>Canal flooded span 1 after yesterday's irrigation.</t>
  </si>
  <si>
    <t>Fertigation - 37 kg/ha; Pond pump washed out/broke the canal</t>
  </si>
  <si>
    <t>F13 Gauge</t>
  </si>
  <si>
    <t>Apply aerial Flonicamid and Sufactant for Lygus</t>
  </si>
  <si>
    <t>Apply diuron, thidiazuron, paraquat dichloride to defoliate (tractor-based)</t>
  </si>
  <si>
    <t>Apply diuron, thidiazuron, ethephon, urea sulfate (tractor-based)</t>
  </si>
  <si>
    <t>Harvest with 2-row picker</t>
  </si>
  <si>
    <t>Harvest Alison's remaining plots with 1-row picker</t>
  </si>
  <si>
    <t>Harvest remaining with 4-row picker</t>
  </si>
  <si>
    <t>11/14-16/2017</t>
  </si>
  <si>
    <t>Ginning on MAC large gin</t>
  </si>
  <si>
    <t>Root pull</t>
  </si>
  <si>
    <t>Laser level</t>
  </si>
  <si>
    <t>60-60</t>
  </si>
  <si>
    <t>60-80</t>
  </si>
  <si>
    <t>60-100</t>
  </si>
  <si>
    <t>60-120</t>
  </si>
  <si>
    <t>80-60</t>
  </si>
  <si>
    <t>80-80</t>
  </si>
  <si>
    <t>80-100</t>
  </si>
  <si>
    <t>80-120</t>
  </si>
  <si>
    <t>100-60</t>
  </si>
  <si>
    <t>100-80</t>
  </si>
  <si>
    <t>100-100</t>
  </si>
  <si>
    <t>100-120</t>
  </si>
  <si>
    <t>120-60</t>
  </si>
  <si>
    <t>120-80</t>
  </si>
  <si>
    <t>120-100</t>
  </si>
  <si>
    <t>120-120</t>
  </si>
  <si>
    <t>P1-060</t>
  </si>
  <si>
    <t>P1-080</t>
  </si>
  <si>
    <t>P1-100</t>
  </si>
  <si>
    <t>P1-120</t>
  </si>
  <si>
    <t>P2-060</t>
  </si>
  <si>
    <t>P2-080</t>
  </si>
  <si>
    <t>P2-100</t>
  </si>
  <si>
    <t>P2-120</t>
  </si>
  <si>
    <t>Switched to T2 VRI rates</t>
  </si>
  <si>
    <t>Total</t>
  </si>
  <si>
    <t>Neutron</t>
  </si>
  <si>
    <t>Time1</t>
  </si>
  <si>
    <t>Time2</t>
  </si>
  <si>
    <t>Time3</t>
  </si>
  <si>
    <t>Time4</t>
  </si>
  <si>
    <t>Preplant</t>
  </si>
  <si>
    <t>&lt;480GDD</t>
  </si>
  <si>
    <t>480-1155</t>
  </si>
  <si>
    <t>&gt;1155</t>
  </si>
  <si>
    <t>Field Rain Gauge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</si>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</sst>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164" fontId="0" fillId="2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3"/>
  <sheetViews>
    <sheetView tabSelected="1" zoomScaleNormal="100" workbookViewId="0"/>
  </sheetViews>
  <sheetFormatPr defaultRowHeight="15" x14ac:dyDescent="0.25"/>
  <cols>
    <col min="1" max="1" width="10.85546875" bestFit="1" customWidth="1"/>
    <col min="2" max="2" width="10.7109375" bestFit="1" customWidth="1"/>
    <col min="4" max="4" width="12" customWidth="1"/>
    <col min="10" max="10" width="9.7109375" bestFit="1" customWidth="1"/>
  </cols>
  <sheetData>
    <row r="1" spans="1:8" x14ac:dyDescent="0.25">
      <c r="A1" t="s">
        <v>3</v>
      </c>
      <c r="B1" t="s">
        <v>10</v>
      </c>
      <c r="C1" t="s">
        <v>11</v>
      </c>
      <c r="E1" t="s">
        <v>10</v>
      </c>
      <c r="F1" t="s">
        <v>11</v>
      </c>
    </row>
    <row r="2" spans="1:8" x14ac:dyDescent="0.25">
      <c r="B2" t="s">
        <v>15</v>
      </c>
      <c r="C2" t="s">
        <v>15</v>
      </c>
      <c r="E2" t="s">
        <v>16</v>
      </c>
      <c r="F2" t="s">
        <v>16</v>
      </c>
    </row>
    <row r="3" spans="1:8" x14ac:dyDescent="0.25">
      <c r="A3" s="3">
        <v>1</v>
      </c>
      <c r="B3">
        <v>3.4</v>
      </c>
      <c r="C3" s="4">
        <f>B3/25.4</f>
        <v>0.13385826771653545</v>
      </c>
      <c r="E3" s="5">
        <v>4</v>
      </c>
      <c r="F3" s="4">
        <f>E3/25.4</f>
        <v>0.15748031496062992</v>
      </c>
    </row>
    <row r="4" spans="1:8" x14ac:dyDescent="0.25">
      <c r="A4" s="3">
        <v>0.5</v>
      </c>
      <c r="B4">
        <v>6.7</v>
      </c>
      <c r="C4" s="4">
        <f>B4/25.4</f>
        <v>0.26377952755905515</v>
      </c>
      <c r="E4" s="5">
        <v>8</v>
      </c>
      <c r="F4" s="4">
        <f>E4/25.4</f>
        <v>0.31496062992125984</v>
      </c>
    </row>
    <row r="5" spans="1:8" x14ac:dyDescent="0.25">
      <c r="A5" s="3">
        <v>0.25</v>
      </c>
      <c r="B5">
        <v>13.3</v>
      </c>
      <c r="C5" s="4">
        <f>B5/25.4</f>
        <v>0.52362204724409456</v>
      </c>
      <c r="E5" s="5">
        <v>15.9</v>
      </c>
      <c r="F5" s="4">
        <f>E5/25.4</f>
        <v>0.62598425196850394</v>
      </c>
    </row>
    <row r="7" spans="1:8" x14ac:dyDescent="0.25">
      <c r="E7" t="s">
        <v>18</v>
      </c>
      <c r="F7" t="s">
        <v>18</v>
      </c>
      <c r="G7" t="s">
        <v>19</v>
      </c>
      <c r="H7" t="s">
        <v>19</v>
      </c>
    </row>
    <row r="8" spans="1:8" x14ac:dyDescent="0.25">
      <c r="D8" t="s">
        <v>8</v>
      </c>
      <c r="E8" t="s">
        <v>4</v>
      </c>
      <c r="F8" t="s">
        <v>4</v>
      </c>
      <c r="G8" t="s">
        <v>4</v>
      </c>
      <c r="H8" t="s">
        <v>4</v>
      </c>
    </row>
    <row r="9" spans="1:8" x14ac:dyDescent="0.25">
      <c r="B9" t="s">
        <v>5</v>
      </c>
      <c r="C9" t="s">
        <v>6</v>
      </c>
      <c r="D9" t="s">
        <v>3</v>
      </c>
      <c r="E9" t="s">
        <v>7</v>
      </c>
      <c r="F9" t="s">
        <v>9</v>
      </c>
      <c r="G9" t="s">
        <v>7</v>
      </c>
      <c r="H9" t="s">
        <v>9</v>
      </c>
    </row>
    <row r="10" spans="1:8" x14ac:dyDescent="0.25">
      <c r="A10" t="s">
        <v>32</v>
      </c>
      <c r="B10" s="2">
        <v>42724</v>
      </c>
      <c r="C10">
        <v>355</v>
      </c>
      <c r="D10" s="6" t="s">
        <v>30</v>
      </c>
      <c r="E10" s="5">
        <f>15.9+8</f>
        <v>23.9</v>
      </c>
      <c r="F10" s="5">
        <f>E10/25.4</f>
        <v>0.94094488188976377</v>
      </c>
      <c r="G10" s="5">
        <f>15.9+8</f>
        <v>23.9</v>
      </c>
      <c r="H10" s="5">
        <f>G10/25.4</f>
        <v>0.94094488188976377</v>
      </c>
    </row>
    <row r="11" spans="1:8" x14ac:dyDescent="0.25">
      <c r="A11" t="s">
        <v>32</v>
      </c>
      <c r="B11" s="2">
        <v>42734</v>
      </c>
      <c r="C11">
        <v>365</v>
      </c>
      <c r="D11" s="6">
        <v>0.5</v>
      </c>
      <c r="E11" s="5">
        <v>8</v>
      </c>
      <c r="F11" s="5">
        <f t="shared" ref="F11:F18" si="0">E11/25.4</f>
        <v>0.31496062992125984</v>
      </c>
      <c r="G11" s="5">
        <v>8</v>
      </c>
      <c r="H11" s="5">
        <f t="shared" ref="H11:H18" si="1">G11/25.4</f>
        <v>0.31496062992125984</v>
      </c>
    </row>
    <row r="12" spans="1:8" x14ac:dyDescent="0.25">
      <c r="A12" t="s">
        <v>32</v>
      </c>
      <c r="B12" s="2">
        <v>42741</v>
      </c>
      <c r="C12">
        <v>6</v>
      </c>
      <c r="D12" s="3">
        <v>0.25</v>
      </c>
      <c r="E12" s="5">
        <v>15.9</v>
      </c>
      <c r="F12" s="5">
        <f t="shared" si="0"/>
        <v>0.62598425196850394</v>
      </c>
      <c r="G12" s="5">
        <v>15.9</v>
      </c>
      <c r="H12" s="5">
        <f t="shared" si="1"/>
        <v>0.62598425196850394</v>
      </c>
    </row>
    <row r="13" spans="1:8" x14ac:dyDescent="0.25">
      <c r="A13" t="s">
        <v>32</v>
      </c>
      <c r="B13" s="2">
        <v>42748</v>
      </c>
      <c r="C13">
        <v>13</v>
      </c>
      <c r="D13" s="3" t="s">
        <v>31</v>
      </c>
      <c r="E13" s="5">
        <v>12</v>
      </c>
      <c r="F13" s="5">
        <f t="shared" si="0"/>
        <v>0.47244094488188981</v>
      </c>
      <c r="G13" s="5">
        <v>12</v>
      </c>
      <c r="H13" s="5">
        <f t="shared" si="1"/>
        <v>0.47244094488188981</v>
      </c>
    </row>
    <row r="14" spans="1:8" x14ac:dyDescent="0.25">
      <c r="A14" t="s">
        <v>32</v>
      </c>
      <c r="B14" s="2">
        <v>42755</v>
      </c>
      <c r="C14">
        <v>20</v>
      </c>
      <c r="D14" s="3" t="s">
        <v>12</v>
      </c>
      <c r="E14" s="5">
        <v>8</v>
      </c>
      <c r="F14" s="5">
        <f t="shared" si="0"/>
        <v>0.31496062992125984</v>
      </c>
      <c r="G14" s="5">
        <v>8</v>
      </c>
      <c r="H14" s="5">
        <f t="shared" si="1"/>
        <v>0.31496062992125984</v>
      </c>
    </row>
    <row r="15" spans="1:8" x14ac:dyDescent="0.25">
      <c r="A15" t="s">
        <v>32</v>
      </c>
      <c r="B15" s="2">
        <v>42762</v>
      </c>
      <c r="C15">
        <v>27</v>
      </c>
      <c r="D15" t="s">
        <v>14</v>
      </c>
      <c r="E15" s="5">
        <v>16</v>
      </c>
      <c r="F15" s="5">
        <f t="shared" si="0"/>
        <v>0.62992125984251968</v>
      </c>
      <c r="G15" s="5">
        <v>16</v>
      </c>
      <c r="H15" s="5">
        <f t="shared" si="1"/>
        <v>0.62992125984251968</v>
      </c>
    </row>
    <row r="16" spans="1:8" x14ac:dyDescent="0.25">
      <c r="A16" t="s">
        <v>32</v>
      </c>
      <c r="B16" s="2">
        <v>42769</v>
      </c>
      <c r="C16">
        <v>34</v>
      </c>
      <c r="D16" t="s">
        <v>14</v>
      </c>
      <c r="E16" s="5">
        <v>16</v>
      </c>
      <c r="F16" s="5">
        <f t="shared" si="0"/>
        <v>0.62992125984251968</v>
      </c>
      <c r="G16" s="5">
        <v>16</v>
      </c>
      <c r="H16" s="5">
        <f t="shared" si="1"/>
        <v>0.62992125984251968</v>
      </c>
    </row>
    <row r="17" spans="1:12" x14ac:dyDescent="0.25">
      <c r="A17" t="s">
        <v>32</v>
      </c>
      <c r="B17" s="2">
        <v>42776</v>
      </c>
      <c r="C17">
        <v>41</v>
      </c>
      <c r="D17" s="3" t="s">
        <v>33</v>
      </c>
      <c r="E17" s="5">
        <v>19.899999999999999</v>
      </c>
      <c r="F17" s="5">
        <f t="shared" si="0"/>
        <v>0.7834645669291338</v>
      </c>
      <c r="G17" s="5">
        <v>19.899999999999999</v>
      </c>
      <c r="H17" s="5">
        <f t="shared" si="1"/>
        <v>0.7834645669291338</v>
      </c>
    </row>
    <row r="18" spans="1:12" x14ac:dyDescent="0.25">
      <c r="A18" t="s">
        <v>32</v>
      </c>
      <c r="B18" s="2">
        <v>42783</v>
      </c>
      <c r="C18">
        <v>48</v>
      </c>
      <c r="D18" s="3" t="s">
        <v>14</v>
      </c>
      <c r="E18" s="5">
        <v>16</v>
      </c>
      <c r="F18" s="5">
        <f t="shared" si="0"/>
        <v>0.62992125984251968</v>
      </c>
      <c r="G18" s="5">
        <v>16</v>
      </c>
      <c r="H18" s="5">
        <f t="shared" si="1"/>
        <v>0.62992125984251968</v>
      </c>
    </row>
    <row r="19" spans="1:12" x14ac:dyDescent="0.25">
      <c r="B19" s="2"/>
      <c r="E19" s="5">
        <f>SUM(E10:E18)</f>
        <v>135.69999999999999</v>
      </c>
      <c r="F19" s="5">
        <f>SUM(F10:F18)</f>
        <v>5.3425196850393695</v>
      </c>
      <c r="G19" s="5">
        <f>SUM(G10:G18)</f>
        <v>135.69999999999999</v>
      </c>
      <c r="H19" s="5">
        <f>SUM(H10:H18)</f>
        <v>5.3425196850393695</v>
      </c>
    </row>
    <row r="20" spans="1:12" x14ac:dyDescent="0.25">
      <c r="B20" s="2"/>
      <c r="E20" s="5"/>
      <c r="F20" s="5"/>
      <c r="G20" s="5"/>
      <c r="H20" s="5"/>
    </row>
    <row r="21" spans="1:12" x14ac:dyDescent="0.25">
      <c r="A21" t="s">
        <v>13</v>
      </c>
      <c r="B21" s="2">
        <v>42816</v>
      </c>
      <c r="C21" s="8">
        <v>81</v>
      </c>
      <c r="D21" s="3" t="s">
        <v>40</v>
      </c>
      <c r="E21" s="5">
        <f>4*2</f>
        <v>8</v>
      </c>
      <c r="F21" s="5">
        <f t="shared" ref="F21:F28" si="2">E21/25.4</f>
        <v>0.31496062992125984</v>
      </c>
      <c r="G21" s="5">
        <f>4*2</f>
        <v>8</v>
      </c>
      <c r="H21" s="5">
        <f t="shared" ref="H21:H28" si="3">G21/25.4</f>
        <v>0.31496062992125984</v>
      </c>
    </row>
    <row r="22" spans="1:12" x14ac:dyDescent="0.25">
      <c r="A22" t="s">
        <v>13</v>
      </c>
      <c r="B22" s="2">
        <v>42817</v>
      </c>
      <c r="C22" s="8">
        <v>82</v>
      </c>
      <c r="D22" s="3" t="s">
        <v>41</v>
      </c>
      <c r="E22" s="5">
        <f>4*9</f>
        <v>36</v>
      </c>
      <c r="F22" s="5">
        <f t="shared" si="2"/>
        <v>1.4173228346456694</v>
      </c>
      <c r="G22" s="5">
        <f>4*9</f>
        <v>36</v>
      </c>
      <c r="H22" s="5">
        <f t="shared" si="3"/>
        <v>1.4173228346456694</v>
      </c>
    </row>
    <row r="23" spans="1:12" x14ac:dyDescent="0.25">
      <c r="A23" t="s">
        <v>13</v>
      </c>
      <c r="B23" s="2">
        <v>42818</v>
      </c>
      <c r="C23" s="8">
        <v>83</v>
      </c>
      <c r="D23" s="3" t="s">
        <v>42</v>
      </c>
      <c r="E23" s="5">
        <f>4*10</f>
        <v>40</v>
      </c>
      <c r="F23" s="5">
        <f t="shared" si="2"/>
        <v>1.5748031496062993</v>
      </c>
      <c r="G23" s="5">
        <f>4*10</f>
        <v>40</v>
      </c>
      <c r="H23" s="5">
        <f t="shared" si="3"/>
        <v>1.5748031496062993</v>
      </c>
    </row>
    <row r="24" spans="1:12" x14ac:dyDescent="0.25">
      <c r="A24" t="s">
        <v>13</v>
      </c>
      <c r="B24" s="2">
        <v>42821</v>
      </c>
      <c r="C24" s="8">
        <v>86</v>
      </c>
      <c r="D24" s="3" t="s">
        <v>43</v>
      </c>
      <c r="E24" s="5">
        <f>4*8</f>
        <v>32</v>
      </c>
      <c r="F24" s="5">
        <f t="shared" si="2"/>
        <v>1.2598425196850394</v>
      </c>
      <c r="G24" s="5">
        <f>4*8</f>
        <v>32</v>
      </c>
      <c r="H24" s="5">
        <f t="shared" si="3"/>
        <v>1.2598425196850394</v>
      </c>
    </row>
    <row r="25" spans="1:12" x14ac:dyDescent="0.25">
      <c r="A25" t="s">
        <v>13</v>
      </c>
      <c r="B25" s="2">
        <v>42822</v>
      </c>
      <c r="C25" s="8">
        <v>87</v>
      </c>
      <c r="D25" s="3" t="s">
        <v>42</v>
      </c>
      <c r="E25" s="5">
        <f>4*10</f>
        <v>40</v>
      </c>
      <c r="F25" s="5">
        <f t="shared" si="2"/>
        <v>1.5748031496062993</v>
      </c>
      <c r="G25" s="5">
        <f>4*10</f>
        <v>40</v>
      </c>
      <c r="H25" s="5">
        <f t="shared" si="3"/>
        <v>1.5748031496062993</v>
      </c>
    </row>
    <row r="26" spans="1:12" x14ac:dyDescent="0.25">
      <c r="A26" t="s">
        <v>13</v>
      </c>
      <c r="B26" s="2">
        <v>42823</v>
      </c>
      <c r="C26" s="8">
        <v>88</v>
      </c>
      <c r="D26" s="3" t="s">
        <v>42</v>
      </c>
      <c r="E26" s="5">
        <f>4*10</f>
        <v>40</v>
      </c>
      <c r="F26" s="5">
        <f t="shared" si="2"/>
        <v>1.5748031496062993</v>
      </c>
      <c r="G26" s="5">
        <f>4*10</f>
        <v>40</v>
      </c>
      <c r="H26" s="5">
        <f t="shared" si="3"/>
        <v>1.5748031496062993</v>
      </c>
    </row>
    <row r="27" spans="1:12" x14ac:dyDescent="0.25">
      <c r="A27" t="s">
        <v>13</v>
      </c>
      <c r="B27" s="2">
        <v>42824</v>
      </c>
      <c r="C27" s="8">
        <v>89</v>
      </c>
      <c r="D27" s="3" t="s">
        <v>41</v>
      </c>
      <c r="E27" s="5">
        <f>4*9</f>
        <v>36</v>
      </c>
      <c r="F27" s="5">
        <f t="shared" si="2"/>
        <v>1.4173228346456694</v>
      </c>
      <c r="G27" s="5">
        <f>4*9</f>
        <v>36</v>
      </c>
      <c r="H27" s="5">
        <f t="shared" si="3"/>
        <v>1.4173228346456694</v>
      </c>
    </row>
    <row r="28" spans="1:12" x14ac:dyDescent="0.25">
      <c r="A28" t="s">
        <v>13</v>
      </c>
      <c r="B28" s="2">
        <v>42825</v>
      </c>
      <c r="C28" s="8">
        <v>90</v>
      </c>
      <c r="D28" s="3" t="s">
        <v>43</v>
      </c>
      <c r="E28" s="5">
        <f>4*8</f>
        <v>32</v>
      </c>
      <c r="F28" s="5">
        <f t="shared" si="2"/>
        <v>1.2598425196850394</v>
      </c>
      <c r="G28" s="5">
        <f>4*8</f>
        <v>32</v>
      </c>
      <c r="H28" s="5">
        <f t="shared" si="3"/>
        <v>1.2598425196850394</v>
      </c>
    </row>
    <row r="29" spans="1:12" x14ac:dyDescent="0.25">
      <c r="E29" s="5">
        <f>SUM(E21:E28)</f>
        <v>264</v>
      </c>
      <c r="F29" s="5">
        <f>SUM(F21:F28)</f>
        <v>10.393700787401576</v>
      </c>
      <c r="G29" s="5">
        <f>SUM(G21:G28)</f>
        <v>264</v>
      </c>
      <c r="H29" s="5">
        <f>SUM(H21:H28)</f>
        <v>10.393700787401576</v>
      </c>
      <c r="L29" s="5"/>
    </row>
    <row r="30" spans="1:12" x14ac:dyDescent="0.25">
      <c r="E30" s="5"/>
      <c r="F30" s="5"/>
      <c r="G30" s="5"/>
      <c r="H30" s="5"/>
      <c r="L30" s="5"/>
    </row>
    <row r="31" spans="1:12" x14ac:dyDescent="0.25">
      <c r="A31" t="s">
        <v>17</v>
      </c>
      <c r="B31" s="2">
        <v>42845</v>
      </c>
      <c r="C31">
        <v>110</v>
      </c>
      <c r="D31" s="3" t="s">
        <v>49</v>
      </c>
      <c r="E31" s="5">
        <f>4*4</f>
        <v>16</v>
      </c>
      <c r="F31" s="5">
        <f t="shared" ref="F31:F39" si="4">E31/25.4</f>
        <v>0.62992125984251968</v>
      </c>
      <c r="G31" s="5">
        <f>4*4</f>
        <v>16</v>
      </c>
      <c r="H31" s="5">
        <f t="shared" ref="H31:H40" si="5">G31/25.4</f>
        <v>0.62992125984251968</v>
      </c>
      <c r="L31" s="5"/>
    </row>
    <row r="32" spans="1:12" x14ac:dyDescent="0.25">
      <c r="A32" t="s">
        <v>17</v>
      </c>
      <c r="B32" s="2">
        <v>42846</v>
      </c>
      <c r="C32">
        <v>111</v>
      </c>
      <c r="D32" s="3" t="s">
        <v>49</v>
      </c>
      <c r="E32" s="5">
        <f>4*4</f>
        <v>16</v>
      </c>
      <c r="F32" s="5">
        <f t="shared" si="4"/>
        <v>0.62992125984251968</v>
      </c>
      <c r="G32" s="5">
        <f>4*4</f>
        <v>16</v>
      </c>
      <c r="H32" s="5">
        <f t="shared" si="5"/>
        <v>0.62992125984251968</v>
      </c>
      <c r="L32" s="5"/>
    </row>
    <row r="33" spans="1:37" x14ac:dyDescent="0.25">
      <c r="A33" t="s">
        <v>17</v>
      </c>
      <c r="B33" s="2">
        <v>42849</v>
      </c>
      <c r="C33">
        <v>114</v>
      </c>
      <c r="D33" s="3" t="s">
        <v>40</v>
      </c>
      <c r="E33" s="5">
        <f>4*2</f>
        <v>8</v>
      </c>
      <c r="F33" s="5">
        <f t="shared" si="4"/>
        <v>0.31496062992125984</v>
      </c>
      <c r="G33" s="5">
        <f>4*2</f>
        <v>8</v>
      </c>
      <c r="H33" s="5">
        <f t="shared" si="5"/>
        <v>0.31496062992125984</v>
      </c>
      <c r="L33" s="5"/>
    </row>
    <row r="34" spans="1:37" x14ac:dyDescent="0.25">
      <c r="A34" t="s">
        <v>17</v>
      </c>
      <c r="B34" s="2">
        <v>42851</v>
      </c>
      <c r="C34">
        <v>116</v>
      </c>
      <c r="D34" s="3" t="s">
        <v>49</v>
      </c>
      <c r="E34" s="5">
        <f>4*4</f>
        <v>16</v>
      </c>
      <c r="F34" s="5">
        <f t="shared" si="4"/>
        <v>0.62992125984251968</v>
      </c>
      <c r="G34" s="5">
        <f>4*4</f>
        <v>16</v>
      </c>
      <c r="H34" s="5">
        <f t="shared" si="5"/>
        <v>0.62992125984251968</v>
      </c>
      <c r="L34" s="5"/>
    </row>
    <row r="35" spans="1:37" x14ac:dyDescent="0.25">
      <c r="A35" t="s">
        <v>17</v>
      </c>
      <c r="B35" s="2">
        <v>42853</v>
      </c>
      <c r="C35">
        <v>118</v>
      </c>
      <c r="D35" s="3" t="s">
        <v>49</v>
      </c>
      <c r="E35" s="5">
        <f>4*4</f>
        <v>16</v>
      </c>
      <c r="F35" s="5">
        <f t="shared" si="4"/>
        <v>0.62992125984251968</v>
      </c>
      <c r="G35" s="5">
        <f>4*4</f>
        <v>16</v>
      </c>
      <c r="H35" s="5">
        <f t="shared" si="5"/>
        <v>0.62992125984251968</v>
      </c>
      <c r="L35" s="5"/>
    </row>
    <row r="36" spans="1:37" x14ac:dyDescent="0.25">
      <c r="A36" t="s">
        <v>17</v>
      </c>
      <c r="B36" s="2">
        <v>42856</v>
      </c>
      <c r="C36">
        <v>121</v>
      </c>
      <c r="D36" s="3" t="s">
        <v>49</v>
      </c>
      <c r="E36" s="5">
        <f>4*4</f>
        <v>16</v>
      </c>
      <c r="F36" s="5">
        <f t="shared" si="4"/>
        <v>0.62992125984251968</v>
      </c>
      <c r="G36" s="5">
        <f>4*4</f>
        <v>16</v>
      </c>
      <c r="H36" s="5">
        <f t="shared" si="5"/>
        <v>0.62992125984251968</v>
      </c>
      <c r="J36" s="5">
        <f>SUM(E31:E36)</f>
        <v>88</v>
      </c>
      <c r="L36" s="5"/>
    </row>
    <row r="37" spans="1:37" x14ac:dyDescent="0.25">
      <c r="A37" t="s">
        <v>17</v>
      </c>
      <c r="B37" s="2">
        <v>42866</v>
      </c>
      <c r="C37">
        <v>131</v>
      </c>
      <c r="D37" s="3" t="s">
        <v>49</v>
      </c>
      <c r="E37" s="5">
        <v>0</v>
      </c>
      <c r="F37" s="5">
        <f t="shared" si="4"/>
        <v>0</v>
      </c>
      <c r="G37" s="5">
        <f>4*4</f>
        <v>16</v>
      </c>
      <c r="H37" s="5">
        <f t="shared" si="5"/>
        <v>0.62992125984251968</v>
      </c>
      <c r="L37" s="5"/>
      <c r="M37" s="5"/>
    </row>
    <row r="38" spans="1:37" x14ac:dyDescent="0.25">
      <c r="A38" t="s">
        <v>17</v>
      </c>
      <c r="B38" s="2">
        <v>42867</v>
      </c>
      <c r="C38">
        <v>132</v>
      </c>
      <c r="D38" s="3" t="s">
        <v>49</v>
      </c>
      <c r="E38" s="5">
        <v>16</v>
      </c>
      <c r="F38" s="5">
        <f t="shared" si="4"/>
        <v>0.62992125984251968</v>
      </c>
      <c r="G38" s="5">
        <f>4*4</f>
        <v>16</v>
      </c>
      <c r="H38" s="5">
        <f t="shared" si="5"/>
        <v>0.62992125984251968</v>
      </c>
      <c r="K38" s="5"/>
      <c r="L38" s="5"/>
      <c r="M38" s="5"/>
    </row>
    <row r="39" spans="1:37" x14ac:dyDescent="0.25">
      <c r="A39" t="s">
        <v>20</v>
      </c>
      <c r="B39" s="2">
        <v>42870</v>
      </c>
      <c r="C39">
        <v>135</v>
      </c>
      <c r="D39" s="3" t="s">
        <v>51</v>
      </c>
      <c r="E39" s="5">
        <v>0</v>
      </c>
      <c r="F39" s="5">
        <f t="shared" si="4"/>
        <v>0</v>
      </c>
      <c r="G39" s="5">
        <f>4*3</f>
        <v>12</v>
      </c>
      <c r="H39" s="5">
        <f t="shared" si="5"/>
        <v>0.47244094488188981</v>
      </c>
      <c r="L39" s="5"/>
    </row>
    <row r="40" spans="1:37" x14ac:dyDescent="0.25">
      <c r="A40" t="s">
        <v>20</v>
      </c>
      <c r="B40" s="2">
        <v>42872</v>
      </c>
      <c r="C40">
        <v>137</v>
      </c>
      <c r="D40" s="3">
        <v>0.25</v>
      </c>
      <c r="E40" s="5">
        <v>15.9</v>
      </c>
      <c r="F40" s="5">
        <f t="shared" ref="F40:F41" si="6">E40/25.4</f>
        <v>0.62598425196850394</v>
      </c>
      <c r="G40" s="5">
        <v>15.9</v>
      </c>
      <c r="H40" s="5">
        <f t="shared" si="5"/>
        <v>0.62598425196850394</v>
      </c>
      <c r="I40" t="s">
        <v>54</v>
      </c>
      <c r="L40" s="5"/>
    </row>
    <row r="41" spans="1:37" x14ac:dyDescent="0.25">
      <c r="A41" t="s">
        <v>20</v>
      </c>
      <c r="B41" s="2">
        <v>42874</v>
      </c>
      <c r="C41">
        <v>139</v>
      </c>
      <c r="D41" s="3" t="s">
        <v>49</v>
      </c>
      <c r="E41" s="5">
        <v>0</v>
      </c>
      <c r="F41" s="5">
        <f t="shared" si="6"/>
        <v>0</v>
      </c>
      <c r="G41" s="5">
        <f>4*4</f>
        <v>16</v>
      </c>
      <c r="H41" s="5">
        <f t="shared" ref="H41" si="7">G41/25.4</f>
        <v>0.62992125984251968</v>
      </c>
      <c r="L41" s="5"/>
      <c r="M41" s="5"/>
    </row>
    <row r="42" spans="1:37" x14ac:dyDescent="0.25">
      <c r="E42" s="5">
        <f>SUM(E31:E41)</f>
        <v>119.9</v>
      </c>
      <c r="F42" s="5">
        <f>SUM(F31:F41)</f>
        <v>4.7204724409448806</v>
      </c>
      <c r="G42" s="5">
        <f>SUM(G31:G41)</f>
        <v>163.9</v>
      </c>
      <c r="H42" s="5">
        <f>SUM(H31:H41)</f>
        <v>6.4527559055118093</v>
      </c>
      <c r="L42" s="5"/>
      <c r="M42" s="5"/>
    </row>
    <row r="43" spans="1:37" x14ac:dyDescent="0.25">
      <c r="E43" s="5"/>
      <c r="L43" s="5"/>
      <c r="M43" s="9" t="s">
        <v>76</v>
      </c>
      <c r="N43" s="9" t="s">
        <v>77</v>
      </c>
      <c r="O43" s="1" t="s">
        <v>78</v>
      </c>
      <c r="P43" s="1" t="s">
        <v>79</v>
      </c>
      <c r="Q43" s="1" t="s">
        <v>80</v>
      </c>
      <c r="R43" s="1" t="s">
        <v>81</v>
      </c>
      <c r="S43" s="1" t="s">
        <v>82</v>
      </c>
      <c r="T43" s="1" t="s">
        <v>83</v>
      </c>
      <c r="U43" s="1" t="s">
        <v>84</v>
      </c>
      <c r="V43" s="1" t="s">
        <v>85</v>
      </c>
      <c r="W43" s="1" t="s">
        <v>86</v>
      </c>
      <c r="X43" s="1" t="s">
        <v>87</v>
      </c>
      <c r="Y43" s="1" t="s">
        <v>88</v>
      </c>
      <c r="Z43" s="1" t="s">
        <v>89</v>
      </c>
      <c r="AA43" s="1" t="s">
        <v>90</v>
      </c>
      <c r="AB43" s="1" t="s">
        <v>91</v>
      </c>
      <c r="AD43" t="s">
        <v>92</v>
      </c>
      <c r="AE43" t="s">
        <v>93</v>
      </c>
      <c r="AF43" t="s">
        <v>94</v>
      </c>
      <c r="AG43" t="s">
        <v>95</v>
      </c>
      <c r="AH43" t="s">
        <v>96</v>
      </c>
      <c r="AI43" t="s">
        <v>97</v>
      </c>
      <c r="AJ43" t="s">
        <v>98</v>
      </c>
      <c r="AK43" t="s">
        <v>99</v>
      </c>
    </row>
    <row r="44" spans="1:37" x14ac:dyDescent="0.25">
      <c r="A44" t="s">
        <v>21</v>
      </c>
      <c r="B44" s="2">
        <v>42880</v>
      </c>
      <c r="C44">
        <v>145</v>
      </c>
      <c r="D44" s="3" t="s">
        <v>49</v>
      </c>
      <c r="E44" s="5">
        <v>16</v>
      </c>
      <c r="F44" s="5">
        <f t="shared" ref="F44" si="8">E44/25.4</f>
        <v>0.62992125984251968</v>
      </c>
      <c r="G44" s="5">
        <v>0</v>
      </c>
      <c r="H44" s="5">
        <f t="shared" ref="H44:H47" si="9">G44/25.4</f>
        <v>0</v>
      </c>
      <c r="L44" s="5"/>
      <c r="M44" s="9">
        <v>16</v>
      </c>
      <c r="N44" s="9">
        <v>16</v>
      </c>
      <c r="O44" s="9">
        <v>16</v>
      </c>
      <c r="P44" s="9">
        <v>16</v>
      </c>
      <c r="Q44" s="9">
        <v>16</v>
      </c>
      <c r="R44" s="9">
        <v>16</v>
      </c>
      <c r="S44" s="9">
        <v>16</v>
      </c>
      <c r="T44" s="9">
        <v>16</v>
      </c>
      <c r="U44" s="9">
        <v>16</v>
      </c>
      <c r="V44" s="9">
        <v>16</v>
      </c>
      <c r="W44" s="9">
        <v>16</v>
      </c>
      <c r="X44" s="9">
        <v>16</v>
      </c>
      <c r="Y44" s="9">
        <v>16</v>
      </c>
      <c r="Z44" s="9">
        <v>16</v>
      </c>
      <c r="AA44" s="9">
        <v>16</v>
      </c>
      <c r="AB44" s="9">
        <v>16</v>
      </c>
      <c r="AD44" s="5">
        <v>16</v>
      </c>
      <c r="AE44" s="5">
        <v>16</v>
      </c>
      <c r="AF44" s="5">
        <v>16</v>
      </c>
      <c r="AG44" s="5">
        <v>16</v>
      </c>
      <c r="AH44" s="5">
        <v>0</v>
      </c>
      <c r="AI44" s="5">
        <v>0</v>
      </c>
      <c r="AJ44" s="5">
        <v>0</v>
      </c>
      <c r="AK44" s="5">
        <v>0</v>
      </c>
    </row>
    <row r="45" spans="1:37" x14ac:dyDescent="0.25">
      <c r="A45" t="s">
        <v>21</v>
      </c>
      <c r="B45" s="2">
        <v>42887</v>
      </c>
      <c r="C45">
        <v>152</v>
      </c>
      <c r="D45" s="3" t="s">
        <v>49</v>
      </c>
      <c r="E45" s="5">
        <f>(4*4)*0.8333</f>
        <v>13.332800000000001</v>
      </c>
      <c r="F45" s="5">
        <f t="shared" ref="F45:F47" si="10">E45/25.4</f>
        <v>0.52491338582677172</v>
      </c>
      <c r="G45" s="5">
        <f>(4*4)*0.4167</f>
        <v>6.6672000000000002</v>
      </c>
      <c r="H45" s="5">
        <f t="shared" si="9"/>
        <v>0.26248818897637799</v>
      </c>
      <c r="I45" t="s">
        <v>55</v>
      </c>
      <c r="L45" s="5"/>
      <c r="M45" s="9">
        <f>(4*4)*0.5</f>
        <v>8</v>
      </c>
      <c r="N45" s="9">
        <f>(4*4)*0.5</f>
        <v>8</v>
      </c>
      <c r="O45" s="9">
        <f>(4*4)*0.5</f>
        <v>8</v>
      </c>
      <c r="P45" s="9">
        <f>(4*4)*0.5</f>
        <v>8</v>
      </c>
      <c r="Q45" s="9">
        <f>(4*4)*0.6667</f>
        <v>10.667199999999999</v>
      </c>
      <c r="R45" s="9">
        <f>(4*4)*0.6667</f>
        <v>10.667199999999999</v>
      </c>
      <c r="S45" s="9">
        <f>(4*4)*0.6667</f>
        <v>10.667199999999999</v>
      </c>
      <c r="T45" s="9">
        <f>(4*4)*0.6667</f>
        <v>10.667199999999999</v>
      </c>
      <c r="U45" s="9">
        <f>(4*4)*0.8333</f>
        <v>13.332800000000001</v>
      </c>
      <c r="V45" s="9">
        <f>(4*4)*0.8333</f>
        <v>13.332800000000001</v>
      </c>
      <c r="W45" s="9">
        <f>(4*4)*0.8333</f>
        <v>13.332800000000001</v>
      </c>
      <c r="X45" s="9">
        <f>(4*4)*0.8333</f>
        <v>13.332800000000001</v>
      </c>
      <c r="Y45" s="9">
        <f>(4*4)*1</f>
        <v>16</v>
      </c>
      <c r="Z45" s="9">
        <f>(4*4)*1</f>
        <v>16</v>
      </c>
      <c r="AA45" s="9">
        <f>(4*4)*1</f>
        <v>16</v>
      </c>
      <c r="AB45" s="9">
        <f>(4*4)*1</f>
        <v>16</v>
      </c>
      <c r="AD45" s="5">
        <f>(4*4)*0.5</f>
        <v>8</v>
      </c>
      <c r="AE45" s="5">
        <f>(4*4)*0.6667</f>
        <v>10.667199999999999</v>
      </c>
      <c r="AF45" s="5">
        <f>(4*4)*0.8333</f>
        <v>13.332800000000001</v>
      </c>
      <c r="AG45" s="5">
        <f>(4*4)*1</f>
        <v>16</v>
      </c>
      <c r="AH45" s="5">
        <f>(4*4)*0.4167*0.6</f>
        <v>4.0003200000000003</v>
      </c>
      <c r="AI45" s="5">
        <f>(4*4)*0.4167*0.8</f>
        <v>5.3337600000000007</v>
      </c>
      <c r="AJ45" s="5">
        <f>(4*4)*0.4167</f>
        <v>6.6672000000000002</v>
      </c>
      <c r="AK45" s="5">
        <f>(4*4)*0.4167*1.2</f>
        <v>8.0006400000000006</v>
      </c>
    </row>
    <row r="46" spans="1:37" x14ac:dyDescent="0.25">
      <c r="A46" t="s">
        <v>21</v>
      </c>
      <c r="B46" s="2">
        <v>42888</v>
      </c>
      <c r="C46">
        <v>153</v>
      </c>
      <c r="D46" s="3" t="s">
        <v>56</v>
      </c>
      <c r="E46" s="5">
        <f>(4*6)*0.8333</f>
        <v>19.999200000000002</v>
      </c>
      <c r="F46" s="5">
        <f t="shared" si="10"/>
        <v>0.78737007874015763</v>
      </c>
      <c r="G46" s="5">
        <f>(4*6)*0.4167</f>
        <v>10.0008</v>
      </c>
      <c r="H46" s="5">
        <f t="shared" si="9"/>
        <v>0.39373228346456696</v>
      </c>
      <c r="L46" s="5"/>
      <c r="M46" s="9">
        <f>(4*6)*0.5</f>
        <v>12</v>
      </c>
      <c r="N46" s="9">
        <f>(4*6)*0.5</f>
        <v>12</v>
      </c>
      <c r="O46" s="9">
        <f>(4*6)*0.5</f>
        <v>12</v>
      </c>
      <c r="P46" s="9">
        <f>(4*6)*0.5</f>
        <v>12</v>
      </c>
      <c r="Q46" s="9">
        <f>(4*6)*0.6667</f>
        <v>16.000799999999998</v>
      </c>
      <c r="R46" s="9">
        <f>(4*6)*0.6667</f>
        <v>16.000799999999998</v>
      </c>
      <c r="S46" s="9">
        <f>(4*6)*0.6667</f>
        <v>16.000799999999998</v>
      </c>
      <c r="T46" s="9">
        <f>(4*6)*0.6667</f>
        <v>16.000799999999998</v>
      </c>
      <c r="U46" s="9">
        <f>(4*6)*0.8333</f>
        <v>19.999200000000002</v>
      </c>
      <c r="V46" s="9">
        <f>(4*6)*0.8333</f>
        <v>19.999200000000002</v>
      </c>
      <c r="W46" s="9">
        <f>(4*6)*0.8333</f>
        <v>19.999200000000002</v>
      </c>
      <c r="X46" s="9">
        <f>(4*6)*0.8333</f>
        <v>19.999200000000002</v>
      </c>
      <c r="Y46" s="9">
        <f>(4*6)*1</f>
        <v>24</v>
      </c>
      <c r="Z46" s="9">
        <f>(4*6)*1</f>
        <v>24</v>
      </c>
      <c r="AA46" s="9">
        <f>(4*6)*1</f>
        <v>24</v>
      </c>
      <c r="AB46" s="9">
        <f>(4*6)*1</f>
        <v>24</v>
      </c>
      <c r="AD46" s="5">
        <f>(4*6)*0.5</f>
        <v>12</v>
      </c>
      <c r="AE46" s="5">
        <f>(4*6)*0.6667</f>
        <v>16.000799999999998</v>
      </c>
      <c r="AF46" s="5">
        <f>(4*6)*0.8333</f>
        <v>19.999200000000002</v>
      </c>
      <c r="AG46" s="5">
        <f>(4*6)*1</f>
        <v>24</v>
      </c>
      <c r="AH46" s="5">
        <f>(4*6)*0.4167*0.6</f>
        <v>6.0004799999999996</v>
      </c>
      <c r="AI46" s="5">
        <f>(4*6)*0.4167*0.8</f>
        <v>8.0006400000000006</v>
      </c>
      <c r="AJ46" s="5">
        <f>(4*6)*0.4167</f>
        <v>10.0008</v>
      </c>
      <c r="AK46" s="5">
        <f>(4*6)*0.4167*1.2</f>
        <v>12.000959999999999</v>
      </c>
    </row>
    <row r="47" spans="1:37" x14ac:dyDescent="0.25">
      <c r="A47" t="s">
        <v>22</v>
      </c>
      <c r="B47" s="2">
        <v>42894</v>
      </c>
      <c r="C47">
        <v>159</v>
      </c>
      <c r="D47" s="3">
        <v>0.25</v>
      </c>
      <c r="E47" s="5">
        <v>15.9</v>
      </c>
      <c r="F47" s="5">
        <f t="shared" si="10"/>
        <v>0.62598425196850394</v>
      </c>
      <c r="G47" s="5">
        <v>15.9</v>
      </c>
      <c r="H47" s="5">
        <f t="shared" si="9"/>
        <v>0.62598425196850394</v>
      </c>
      <c r="I47" t="s">
        <v>54</v>
      </c>
      <c r="M47" s="9">
        <v>15.9</v>
      </c>
      <c r="N47" s="9">
        <v>15.9</v>
      </c>
      <c r="O47" s="9">
        <v>15.9</v>
      </c>
      <c r="P47" s="9">
        <v>15.9</v>
      </c>
      <c r="Q47" s="9">
        <v>15.9</v>
      </c>
      <c r="R47" s="9">
        <v>15.9</v>
      </c>
      <c r="S47" s="9">
        <v>15.9</v>
      </c>
      <c r="T47" s="9">
        <v>15.9</v>
      </c>
      <c r="U47" s="9">
        <v>15.9</v>
      </c>
      <c r="V47" s="9">
        <v>15.9</v>
      </c>
      <c r="W47" s="9">
        <v>15.9</v>
      </c>
      <c r="X47" s="9">
        <v>15.9</v>
      </c>
      <c r="Y47" s="9">
        <v>15.9</v>
      </c>
      <c r="Z47" s="9">
        <v>15.9</v>
      </c>
      <c r="AA47" s="9">
        <v>15.9</v>
      </c>
      <c r="AB47" s="9">
        <v>15.9</v>
      </c>
      <c r="AD47" s="5">
        <v>15.9</v>
      </c>
      <c r="AE47" s="5">
        <v>15.9</v>
      </c>
      <c r="AF47" s="5">
        <v>15.9</v>
      </c>
      <c r="AG47" s="5">
        <v>15.9</v>
      </c>
      <c r="AH47" s="5">
        <v>15.9</v>
      </c>
      <c r="AI47" s="5">
        <v>15.9</v>
      </c>
      <c r="AJ47" s="5">
        <v>15.9</v>
      </c>
      <c r="AK47" s="5">
        <v>15.9</v>
      </c>
    </row>
    <row r="48" spans="1:37" x14ac:dyDescent="0.25">
      <c r="A48" t="s">
        <v>22</v>
      </c>
      <c r="B48" s="2">
        <v>42895</v>
      </c>
      <c r="C48">
        <v>160</v>
      </c>
      <c r="D48" s="3" t="s">
        <v>56</v>
      </c>
      <c r="E48" s="5">
        <f>(4*6)*0.8333</f>
        <v>19.999200000000002</v>
      </c>
      <c r="F48" s="5">
        <f t="shared" ref="F48:F50" si="11">E48/25.4</f>
        <v>0.78737007874015763</v>
      </c>
      <c r="G48" s="5">
        <v>0</v>
      </c>
      <c r="H48" s="5">
        <f t="shared" ref="H48:H50" si="12">G48/25.4</f>
        <v>0</v>
      </c>
      <c r="M48" s="9">
        <f t="shared" ref="M48:P49" si="13">(4*6)*0.5</f>
        <v>12</v>
      </c>
      <c r="N48" s="9">
        <f t="shared" si="13"/>
        <v>12</v>
      </c>
      <c r="O48" s="9">
        <f t="shared" si="13"/>
        <v>12</v>
      </c>
      <c r="P48" s="9">
        <f t="shared" si="13"/>
        <v>12</v>
      </c>
      <c r="Q48" s="9">
        <f t="shared" ref="Q48:T49" si="14">(4*6)*0.6667</f>
        <v>16.000799999999998</v>
      </c>
      <c r="R48" s="9">
        <f t="shared" si="14"/>
        <v>16.000799999999998</v>
      </c>
      <c r="S48" s="9">
        <f t="shared" si="14"/>
        <v>16.000799999999998</v>
      </c>
      <c r="T48" s="9">
        <f t="shared" si="14"/>
        <v>16.000799999999998</v>
      </c>
      <c r="U48" s="9">
        <f t="shared" ref="U48:X49" si="15">(4*6)*0.8333</f>
        <v>19.999200000000002</v>
      </c>
      <c r="V48" s="9">
        <f t="shared" si="15"/>
        <v>19.999200000000002</v>
      </c>
      <c r="W48" s="9">
        <f t="shared" si="15"/>
        <v>19.999200000000002</v>
      </c>
      <c r="X48" s="9">
        <f t="shared" si="15"/>
        <v>19.999200000000002</v>
      </c>
      <c r="Y48" s="9">
        <f t="shared" ref="Y48:AB49" si="16">(4*6)*1</f>
        <v>24</v>
      </c>
      <c r="Z48" s="9">
        <f t="shared" si="16"/>
        <v>24</v>
      </c>
      <c r="AA48" s="9">
        <f t="shared" si="16"/>
        <v>24</v>
      </c>
      <c r="AB48" s="9">
        <f t="shared" si="16"/>
        <v>24</v>
      </c>
      <c r="AD48" s="5">
        <f>(4*6)*0.5</f>
        <v>12</v>
      </c>
      <c r="AE48" s="5">
        <f>(4*6)*0.6667</f>
        <v>16.000799999999998</v>
      </c>
      <c r="AF48" s="5">
        <f>(4*6)*0.8333</f>
        <v>19.999200000000002</v>
      </c>
      <c r="AG48" s="5">
        <f>(4*6)*1</f>
        <v>24</v>
      </c>
      <c r="AH48" s="5">
        <v>0</v>
      </c>
      <c r="AI48" s="5">
        <v>0</v>
      </c>
      <c r="AJ48" s="5">
        <v>0</v>
      </c>
      <c r="AK48" s="5">
        <v>0</v>
      </c>
    </row>
    <row r="49" spans="1:37" x14ac:dyDescent="0.25">
      <c r="A49" t="s">
        <v>22</v>
      </c>
      <c r="B49" s="2">
        <v>42901</v>
      </c>
      <c r="C49">
        <v>166</v>
      </c>
      <c r="D49" s="3" t="s">
        <v>56</v>
      </c>
      <c r="E49" s="5">
        <f>(4*6)*0.8333</f>
        <v>19.999200000000002</v>
      </c>
      <c r="F49" s="5">
        <f t="shared" si="11"/>
        <v>0.78737007874015763</v>
      </c>
      <c r="G49" s="5">
        <f>(4*6)*0.4167</f>
        <v>10.0008</v>
      </c>
      <c r="H49" s="5">
        <f t="shared" si="12"/>
        <v>0.39373228346456696</v>
      </c>
      <c r="I49" t="s">
        <v>58</v>
      </c>
      <c r="M49" s="9">
        <f t="shared" si="13"/>
        <v>12</v>
      </c>
      <c r="N49" s="9">
        <f t="shared" si="13"/>
        <v>12</v>
      </c>
      <c r="O49" s="9">
        <f t="shared" si="13"/>
        <v>12</v>
      </c>
      <c r="P49" s="9">
        <f t="shared" si="13"/>
        <v>12</v>
      </c>
      <c r="Q49" s="9">
        <f t="shared" si="14"/>
        <v>16.000799999999998</v>
      </c>
      <c r="R49" s="9">
        <f t="shared" si="14"/>
        <v>16.000799999999998</v>
      </c>
      <c r="S49" s="9">
        <f t="shared" si="14"/>
        <v>16.000799999999998</v>
      </c>
      <c r="T49" s="9">
        <f t="shared" si="14"/>
        <v>16.000799999999998</v>
      </c>
      <c r="U49" s="9">
        <f t="shared" si="15"/>
        <v>19.999200000000002</v>
      </c>
      <c r="V49" s="9">
        <f t="shared" si="15"/>
        <v>19.999200000000002</v>
      </c>
      <c r="W49" s="9">
        <f t="shared" si="15"/>
        <v>19.999200000000002</v>
      </c>
      <c r="X49" s="9">
        <f t="shared" si="15"/>
        <v>19.999200000000002</v>
      </c>
      <c r="Y49" s="9">
        <f t="shared" si="16"/>
        <v>24</v>
      </c>
      <c r="Z49" s="9">
        <f t="shared" si="16"/>
        <v>24</v>
      </c>
      <c r="AA49" s="9">
        <f t="shared" si="16"/>
        <v>24</v>
      </c>
      <c r="AB49" s="9">
        <f t="shared" si="16"/>
        <v>24</v>
      </c>
      <c r="AD49" s="5">
        <f>(4*6)*0.5</f>
        <v>12</v>
      </c>
      <c r="AE49" s="5">
        <f>(4*6)*0.6667</f>
        <v>16.000799999999998</v>
      </c>
      <c r="AF49" s="5">
        <f>(4*6)*0.8333</f>
        <v>19.999200000000002</v>
      </c>
      <c r="AG49" s="5">
        <f>(4*6)*1</f>
        <v>24</v>
      </c>
      <c r="AH49" s="5">
        <f>(4*6)*0.4167*0.6</f>
        <v>6.0004799999999996</v>
      </c>
      <c r="AI49" s="5">
        <f>(4*6)*0.4167*0.8</f>
        <v>8.0006400000000006</v>
      </c>
      <c r="AJ49" s="5">
        <f>(4*6)*0.4167</f>
        <v>10.0008</v>
      </c>
      <c r="AK49" s="5">
        <f>(4*6)*0.4167*1.2</f>
        <v>12.000959999999999</v>
      </c>
    </row>
    <row r="50" spans="1:37" x14ac:dyDescent="0.25">
      <c r="A50" t="s">
        <v>22</v>
      </c>
      <c r="B50" s="2">
        <v>42902</v>
      </c>
      <c r="C50">
        <v>167</v>
      </c>
      <c r="D50" s="3" t="s">
        <v>43</v>
      </c>
      <c r="E50" s="5">
        <f>(4*8)*0.8333</f>
        <v>26.665600000000001</v>
      </c>
      <c r="F50" s="5">
        <f t="shared" si="11"/>
        <v>1.0498267716535434</v>
      </c>
      <c r="G50" s="5">
        <f>(4*8)*0.4167</f>
        <v>13.3344</v>
      </c>
      <c r="H50" s="5">
        <f t="shared" si="12"/>
        <v>0.52497637795275598</v>
      </c>
      <c r="I50" t="s">
        <v>59</v>
      </c>
      <c r="M50" s="9">
        <f>(4*8)*0.5</f>
        <v>16</v>
      </c>
      <c r="N50" s="9">
        <f>(4*8)*0.5</f>
        <v>16</v>
      </c>
      <c r="O50" s="9">
        <f>(4*8)*0.5</f>
        <v>16</v>
      </c>
      <c r="P50" s="9">
        <f>(4*8)*0.5</f>
        <v>16</v>
      </c>
      <c r="Q50" s="9">
        <f>(4*8)*0.6667</f>
        <v>21.334399999999999</v>
      </c>
      <c r="R50" s="9">
        <f>(4*8)*0.6667</f>
        <v>21.334399999999999</v>
      </c>
      <c r="S50" s="9">
        <f>(4*8)*0.6667</f>
        <v>21.334399999999999</v>
      </c>
      <c r="T50" s="9">
        <f>(4*8)*0.6667</f>
        <v>21.334399999999999</v>
      </c>
      <c r="U50" s="9">
        <f>(4*8)*0.8333</f>
        <v>26.665600000000001</v>
      </c>
      <c r="V50" s="9">
        <f>(4*8)*0.8333</f>
        <v>26.665600000000001</v>
      </c>
      <c r="W50" s="9">
        <f>(4*8)*0.8333</f>
        <v>26.665600000000001</v>
      </c>
      <c r="X50" s="9">
        <f>(4*8)*0.8333</f>
        <v>26.665600000000001</v>
      </c>
      <c r="Y50" s="9">
        <f>(4*8)*1</f>
        <v>32</v>
      </c>
      <c r="Z50" s="9">
        <f>(4*8)*1</f>
        <v>32</v>
      </c>
      <c r="AA50" s="9">
        <f>(4*8)*1</f>
        <v>32</v>
      </c>
      <c r="AB50" s="9">
        <f>(4*8)*1</f>
        <v>32</v>
      </c>
      <c r="AD50" s="5">
        <f>(4*8)*0.5</f>
        <v>16</v>
      </c>
      <c r="AE50" s="5">
        <f>(4*8)*0.6667</f>
        <v>21.334399999999999</v>
      </c>
      <c r="AF50" s="5">
        <f>(4*8)*0.8333</f>
        <v>26.665600000000001</v>
      </c>
      <c r="AG50" s="5">
        <f>(4*8)*1</f>
        <v>32</v>
      </c>
      <c r="AH50" s="5">
        <f>(4*8)*0.4167*0.6</f>
        <v>8.0006400000000006</v>
      </c>
      <c r="AI50" s="5">
        <f>(4*8)*0.4167*0.8</f>
        <v>10.667520000000001</v>
      </c>
      <c r="AJ50" s="5">
        <f>(4*8)*0.4167</f>
        <v>13.3344</v>
      </c>
      <c r="AK50" s="5">
        <f>(4*8)*0.4167*1.2</f>
        <v>16.001280000000001</v>
      </c>
    </row>
    <row r="51" spans="1:37" x14ac:dyDescent="0.25">
      <c r="A51" t="s">
        <v>22</v>
      </c>
      <c r="B51" s="2">
        <v>42907</v>
      </c>
      <c r="C51">
        <v>172</v>
      </c>
      <c r="D51" s="3" t="s">
        <v>60</v>
      </c>
      <c r="E51" s="5">
        <f>15.9+(4*5)*0.8333</f>
        <v>32.566000000000003</v>
      </c>
      <c r="F51" s="5">
        <f t="shared" ref="F51" si="17">E51/25.4</f>
        <v>1.2821259842519688</v>
      </c>
      <c r="G51" s="5">
        <f>15.9+(4*5)*0.5556</f>
        <v>27.012</v>
      </c>
      <c r="H51" s="5">
        <f t="shared" ref="H51" si="18">G51/25.4</f>
        <v>1.0634645669291338</v>
      </c>
      <c r="I51" t="s">
        <v>61</v>
      </c>
      <c r="M51" s="9">
        <f>15.9+(4*5)*0.5</f>
        <v>25.9</v>
      </c>
      <c r="N51" s="9">
        <f>15.9+(4*5)*0.5</f>
        <v>25.9</v>
      </c>
      <c r="O51" s="9">
        <f>15.9+(4*5)*0.5</f>
        <v>25.9</v>
      </c>
      <c r="P51" s="9">
        <f>15.9+(4*5)*0.5</f>
        <v>25.9</v>
      </c>
      <c r="Q51" s="9">
        <f>15.9+(4*5)*0.6667</f>
        <v>29.234000000000002</v>
      </c>
      <c r="R51" s="9">
        <f>15.9+(4*5)*0.6667</f>
        <v>29.234000000000002</v>
      </c>
      <c r="S51" s="9">
        <f>15.9+(4*5)*0.6667</f>
        <v>29.234000000000002</v>
      </c>
      <c r="T51" s="9">
        <f>15.9+(4*5)*0.6667</f>
        <v>29.234000000000002</v>
      </c>
      <c r="U51" s="9">
        <f>15.9+(4*5)*0.8333</f>
        <v>32.566000000000003</v>
      </c>
      <c r="V51" s="9">
        <f>15.9+(4*5)*0.8333</f>
        <v>32.566000000000003</v>
      </c>
      <c r="W51" s="9">
        <f>15.9+(4*5)*0.8333</f>
        <v>32.566000000000003</v>
      </c>
      <c r="X51" s="9">
        <f>15.9+(4*5)*0.8333</f>
        <v>32.566000000000003</v>
      </c>
      <c r="Y51" s="9">
        <f>15.9+(4*5)*1</f>
        <v>35.9</v>
      </c>
      <c r="Z51" s="9">
        <f>15.9+(4*5)*1</f>
        <v>35.9</v>
      </c>
      <c r="AA51" s="9">
        <f>15.9+(4*5)*1</f>
        <v>35.9</v>
      </c>
      <c r="AB51" s="9">
        <f>15.9+(4*5)*1</f>
        <v>35.9</v>
      </c>
      <c r="AD51" s="5">
        <f>15.9+(4*5)*0.5</f>
        <v>25.9</v>
      </c>
      <c r="AE51" s="5">
        <f>15.9+(4*5)*0.6667</f>
        <v>29.234000000000002</v>
      </c>
      <c r="AF51" s="5">
        <f>15.9+(4*5)*0.8333</f>
        <v>32.566000000000003</v>
      </c>
      <c r="AG51" s="5">
        <f>15.9+(4*5)*1</f>
        <v>35.9</v>
      </c>
      <c r="AH51" s="5">
        <f>15.9+(4*5)*0.5556*0.6</f>
        <v>22.5672</v>
      </c>
      <c r="AI51" s="5">
        <f>15.9+(4*5)*0.5556*0.8</f>
        <v>24.7896</v>
      </c>
      <c r="AJ51" s="5">
        <f>15.9+(4*5)*0.5556</f>
        <v>27.012</v>
      </c>
      <c r="AK51" s="5">
        <f>15.9+(4*5)*0.5556*1.2</f>
        <v>29.234400000000001</v>
      </c>
    </row>
    <row r="52" spans="1:37" x14ac:dyDescent="0.25">
      <c r="A52" t="s">
        <v>21</v>
      </c>
      <c r="B52" s="2">
        <v>42908</v>
      </c>
      <c r="C52">
        <v>173</v>
      </c>
      <c r="D52" s="3" t="s">
        <v>56</v>
      </c>
      <c r="E52" s="5">
        <f>(4*6)*0.8333</f>
        <v>19.999200000000002</v>
      </c>
      <c r="F52" s="5">
        <f t="shared" ref="F52" si="19">E52/25.4</f>
        <v>0.78737007874015763</v>
      </c>
      <c r="G52" s="5">
        <f>(4*6)*0.5556</f>
        <v>13.334399999999999</v>
      </c>
      <c r="H52" s="5">
        <f t="shared" ref="H52" si="20">G52/25.4</f>
        <v>0.52497637795275587</v>
      </c>
      <c r="M52" s="9">
        <f t="shared" ref="M52:P53" si="21">(4*6)*0.5</f>
        <v>12</v>
      </c>
      <c r="N52" s="9">
        <f t="shared" si="21"/>
        <v>12</v>
      </c>
      <c r="O52" s="9">
        <f t="shared" si="21"/>
        <v>12</v>
      </c>
      <c r="P52" s="9">
        <f t="shared" si="21"/>
        <v>12</v>
      </c>
      <c r="Q52" s="9">
        <f t="shared" ref="Q52:T53" si="22">(4*6)*0.6667</f>
        <v>16.000799999999998</v>
      </c>
      <c r="R52" s="9">
        <f t="shared" si="22"/>
        <v>16.000799999999998</v>
      </c>
      <c r="S52" s="9">
        <f t="shared" si="22"/>
        <v>16.000799999999998</v>
      </c>
      <c r="T52" s="9">
        <f t="shared" si="22"/>
        <v>16.000799999999998</v>
      </c>
      <c r="U52" s="9">
        <f t="shared" ref="U52:X53" si="23">(4*6)*0.8333</f>
        <v>19.999200000000002</v>
      </c>
      <c r="V52" s="9">
        <f t="shared" si="23"/>
        <v>19.999200000000002</v>
      </c>
      <c r="W52" s="9">
        <f t="shared" si="23"/>
        <v>19.999200000000002</v>
      </c>
      <c r="X52" s="9">
        <f t="shared" si="23"/>
        <v>19.999200000000002</v>
      </c>
      <c r="Y52" s="9">
        <f t="shared" ref="Y52:AB53" si="24">(4*6)*1</f>
        <v>24</v>
      </c>
      <c r="Z52" s="9">
        <f t="shared" si="24"/>
        <v>24</v>
      </c>
      <c r="AA52" s="9">
        <f t="shared" si="24"/>
        <v>24</v>
      </c>
      <c r="AB52" s="9">
        <f t="shared" si="24"/>
        <v>24</v>
      </c>
      <c r="AD52" s="5">
        <f>(4*6)*0.5</f>
        <v>12</v>
      </c>
      <c r="AE52" s="5">
        <f>(4*6)*0.6667</f>
        <v>16.000799999999998</v>
      </c>
      <c r="AF52" s="5">
        <f>(4*6)*0.8333</f>
        <v>19.999200000000002</v>
      </c>
      <c r="AG52" s="5">
        <f>(4*6)*1</f>
        <v>24</v>
      </c>
      <c r="AH52" s="5">
        <f>(4*6)*0.5556*0.6</f>
        <v>8.0006399999999989</v>
      </c>
      <c r="AI52" s="5">
        <f>(4*6)*0.5556*0.8</f>
        <v>10.66752</v>
      </c>
      <c r="AJ52" s="5">
        <f>(4*6)*0.5556</f>
        <v>13.334399999999999</v>
      </c>
      <c r="AK52" s="5">
        <f>(4*6)*0.5556*1.2</f>
        <v>16.001279999999998</v>
      </c>
    </row>
    <row r="53" spans="1:37" x14ac:dyDescent="0.25">
      <c r="A53" t="s">
        <v>21</v>
      </c>
      <c r="B53" s="2">
        <v>42909</v>
      </c>
      <c r="C53">
        <v>174</v>
      </c>
      <c r="D53" s="3" t="s">
        <v>56</v>
      </c>
      <c r="E53" s="5">
        <f>(4*6)*0.8333</f>
        <v>19.999200000000002</v>
      </c>
      <c r="F53" s="5">
        <f t="shared" ref="F53:F65" si="25">E53/25.4</f>
        <v>0.78737007874015763</v>
      </c>
      <c r="G53" s="5">
        <f>(4*6)*0.5556</f>
        <v>13.334399999999999</v>
      </c>
      <c r="H53" s="5">
        <f t="shared" ref="H53:H65" si="26">G53/25.4</f>
        <v>0.52497637795275587</v>
      </c>
      <c r="M53" s="9">
        <f t="shared" si="21"/>
        <v>12</v>
      </c>
      <c r="N53" s="9">
        <f t="shared" si="21"/>
        <v>12</v>
      </c>
      <c r="O53" s="9">
        <f t="shared" si="21"/>
        <v>12</v>
      </c>
      <c r="P53" s="9">
        <f t="shared" si="21"/>
        <v>12</v>
      </c>
      <c r="Q53" s="9">
        <f t="shared" si="22"/>
        <v>16.000799999999998</v>
      </c>
      <c r="R53" s="9">
        <f t="shared" si="22"/>
        <v>16.000799999999998</v>
      </c>
      <c r="S53" s="9">
        <f t="shared" si="22"/>
        <v>16.000799999999998</v>
      </c>
      <c r="T53" s="9">
        <f t="shared" si="22"/>
        <v>16.000799999999998</v>
      </c>
      <c r="U53" s="9">
        <f t="shared" si="23"/>
        <v>19.999200000000002</v>
      </c>
      <c r="V53" s="9">
        <f t="shared" si="23"/>
        <v>19.999200000000002</v>
      </c>
      <c r="W53" s="9">
        <f t="shared" si="23"/>
        <v>19.999200000000002</v>
      </c>
      <c r="X53" s="9">
        <f t="shared" si="23"/>
        <v>19.999200000000002</v>
      </c>
      <c r="Y53" s="9">
        <f t="shared" si="24"/>
        <v>24</v>
      </c>
      <c r="Z53" s="9">
        <f t="shared" si="24"/>
        <v>24</v>
      </c>
      <c r="AA53" s="9">
        <f t="shared" si="24"/>
        <v>24</v>
      </c>
      <c r="AB53" s="9">
        <f t="shared" si="24"/>
        <v>24</v>
      </c>
      <c r="AD53" s="5">
        <f>(4*6)*0.5</f>
        <v>12</v>
      </c>
      <c r="AE53" s="5">
        <f>(4*6)*0.6667</f>
        <v>16.000799999999998</v>
      </c>
      <c r="AF53" s="5">
        <f>(4*6)*0.8333</f>
        <v>19.999200000000002</v>
      </c>
      <c r="AG53" s="5">
        <f>(4*6)*1</f>
        <v>24</v>
      </c>
      <c r="AH53" s="5">
        <f>(4*6)*0.5556*0.6</f>
        <v>8.0006399999999989</v>
      </c>
      <c r="AI53" s="5">
        <f>(4*6)*0.5556*0.8</f>
        <v>10.66752</v>
      </c>
      <c r="AJ53" s="5">
        <f>(4*6)*0.5556</f>
        <v>13.334399999999999</v>
      </c>
      <c r="AK53" s="5">
        <f>(4*6)*0.5556*1.2</f>
        <v>16.001279999999998</v>
      </c>
    </row>
    <row r="54" spans="1:37" x14ac:dyDescent="0.25">
      <c r="A54" t="s">
        <v>21</v>
      </c>
      <c r="B54" s="2">
        <v>42914</v>
      </c>
      <c r="C54">
        <v>179</v>
      </c>
      <c r="D54" s="3" t="s">
        <v>43</v>
      </c>
      <c r="E54" s="5">
        <f>(4*8)*0.8333</f>
        <v>26.665600000000001</v>
      </c>
      <c r="F54" s="5">
        <f t="shared" si="25"/>
        <v>1.0498267716535434</v>
      </c>
      <c r="G54" s="5">
        <f>(4*8)*0.7407</f>
        <v>23.702400000000001</v>
      </c>
      <c r="H54" s="5">
        <f t="shared" si="26"/>
        <v>0.9331653543307088</v>
      </c>
      <c r="M54" s="9">
        <f t="shared" ref="M54:P55" si="27">(4*8)*0.5</f>
        <v>16</v>
      </c>
      <c r="N54" s="9">
        <f t="shared" si="27"/>
        <v>16</v>
      </c>
      <c r="O54" s="9">
        <f t="shared" si="27"/>
        <v>16</v>
      </c>
      <c r="P54" s="9">
        <f t="shared" si="27"/>
        <v>16</v>
      </c>
      <c r="Q54" s="9">
        <f t="shared" ref="Q54:T55" si="28">(4*8)*0.6667</f>
        <v>21.334399999999999</v>
      </c>
      <c r="R54" s="9">
        <f t="shared" si="28"/>
        <v>21.334399999999999</v>
      </c>
      <c r="S54" s="9">
        <f t="shared" si="28"/>
        <v>21.334399999999999</v>
      </c>
      <c r="T54" s="9">
        <f t="shared" si="28"/>
        <v>21.334399999999999</v>
      </c>
      <c r="U54" s="9">
        <f t="shared" ref="U54:X55" si="29">(4*8)*0.8333</f>
        <v>26.665600000000001</v>
      </c>
      <c r="V54" s="9">
        <f t="shared" si="29"/>
        <v>26.665600000000001</v>
      </c>
      <c r="W54" s="9">
        <f t="shared" si="29"/>
        <v>26.665600000000001</v>
      </c>
      <c r="X54" s="9">
        <f t="shared" si="29"/>
        <v>26.665600000000001</v>
      </c>
      <c r="Y54" s="9">
        <f t="shared" ref="Y54:AB55" si="30">(4*8)*1</f>
        <v>32</v>
      </c>
      <c r="Z54" s="9">
        <f t="shared" si="30"/>
        <v>32</v>
      </c>
      <c r="AA54" s="9">
        <f t="shared" si="30"/>
        <v>32</v>
      </c>
      <c r="AB54" s="9">
        <f t="shared" si="30"/>
        <v>32</v>
      </c>
      <c r="AD54" s="5">
        <f>(4*8)*0.5</f>
        <v>16</v>
      </c>
      <c r="AE54" s="5">
        <f>(4*8)*0.6667</f>
        <v>21.334399999999999</v>
      </c>
      <c r="AF54" s="5">
        <f>(4*8)*0.8333</f>
        <v>26.665600000000001</v>
      </c>
      <c r="AG54" s="5">
        <f>(4*8)*1</f>
        <v>32</v>
      </c>
      <c r="AH54" s="5">
        <f>(4*8)*0.7407*0.6</f>
        <v>14.221439999999999</v>
      </c>
      <c r="AI54" s="5">
        <f>(4*8)*0.7407*0.8</f>
        <v>18.961920000000003</v>
      </c>
      <c r="AJ54" s="5">
        <f>(4*8)*0.7407</f>
        <v>23.702400000000001</v>
      </c>
      <c r="AK54" s="5">
        <f>(4*8)*0.7407*1.2</f>
        <v>28.442879999999999</v>
      </c>
    </row>
    <row r="55" spans="1:37" x14ac:dyDescent="0.25">
      <c r="A55" t="s">
        <v>21</v>
      </c>
      <c r="B55" s="2">
        <v>42915</v>
      </c>
      <c r="C55">
        <v>180</v>
      </c>
      <c r="D55" s="3" t="s">
        <v>43</v>
      </c>
      <c r="E55" s="5">
        <f>(4*8)*0.8333</f>
        <v>26.665600000000001</v>
      </c>
      <c r="F55" s="5">
        <f t="shared" si="25"/>
        <v>1.0498267716535434</v>
      </c>
      <c r="G55" s="5">
        <f>(4*8)*0.7407</f>
        <v>23.702400000000001</v>
      </c>
      <c r="H55" s="5">
        <f t="shared" si="26"/>
        <v>0.9331653543307088</v>
      </c>
      <c r="M55" s="9">
        <f t="shared" si="27"/>
        <v>16</v>
      </c>
      <c r="N55" s="9">
        <f t="shared" si="27"/>
        <v>16</v>
      </c>
      <c r="O55" s="9">
        <f t="shared" si="27"/>
        <v>16</v>
      </c>
      <c r="P55" s="9">
        <f t="shared" si="27"/>
        <v>16</v>
      </c>
      <c r="Q55" s="9">
        <f t="shared" si="28"/>
        <v>21.334399999999999</v>
      </c>
      <c r="R55" s="9">
        <f t="shared" si="28"/>
        <v>21.334399999999999</v>
      </c>
      <c r="S55" s="9">
        <f t="shared" si="28"/>
        <v>21.334399999999999</v>
      </c>
      <c r="T55" s="9">
        <f t="shared" si="28"/>
        <v>21.334399999999999</v>
      </c>
      <c r="U55" s="9">
        <f t="shared" si="29"/>
        <v>26.665600000000001</v>
      </c>
      <c r="V55" s="9">
        <f t="shared" si="29"/>
        <v>26.665600000000001</v>
      </c>
      <c r="W55" s="9">
        <f t="shared" si="29"/>
        <v>26.665600000000001</v>
      </c>
      <c r="X55" s="9">
        <f t="shared" si="29"/>
        <v>26.665600000000001</v>
      </c>
      <c r="Y55" s="9">
        <f t="shared" si="30"/>
        <v>32</v>
      </c>
      <c r="Z55" s="9">
        <f t="shared" si="30"/>
        <v>32</v>
      </c>
      <c r="AA55" s="9">
        <f t="shared" si="30"/>
        <v>32</v>
      </c>
      <c r="AB55" s="9">
        <f t="shared" si="30"/>
        <v>32</v>
      </c>
      <c r="AD55" s="5">
        <f>(4*8)*0.5</f>
        <v>16</v>
      </c>
      <c r="AE55" s="5">
        <f>(4*8)*0.6667</f>
        <v>21.334399999999999</v>
      </c>
      <c r="AF55" s="5">
        <f>(4*8)*0.8333</f>
        <v>26.665600000000001</v>
      </c>
      <c r="AG55" s="5">
        <f>(4*8)*1</f>
        <v>32</v>
      </c>
      <c r="AH55" s="5">
        <f>(4*8)*0.7407*0.6</f>
        <v>14.221439999999999</v>
      </c>
      <c r="AI55" s="5">
        <f>(4*8)*0.7407*0.8</f>
        <v>18.961920000000003</v>
      </c>
      <c r="AJ55" s="5">
        <f>(4*8)*0.7407</f>
        <v>23.702400000000001</v>
      </c>
      <c r="AK55" s="5">
        <f>(4*8)*0.7407*1.2</f>
        <v>28.442879999999999</v>
      </c>
    </row>
    <row r="56" spans="1:37" x14ac:dyDescent="0.25">
      <c r="A56" t="s">
        <v>21</v>
      </c>
      <c r="B56" s="2">
        <v>42916</v>
      </c>
      <c r="C56">
        <v>181</v>
      </c>
      <c r="D56" s="3" t="s">
        <v>56</v>
      </c>
      <c r="E56" s="5">
        <f t="shared" ref="E56" si="31">(4*6)*0.8333</f>
        <v>19.999200000000002</v>
      </c>
      <c r="F56" s="5">
        <f t="shared" si="25"/>
        <v>0.78737007874015763</v>
      </c>
      <c r="G56" s="5">
        <f>(4*6)*0.7407</f>
        <v>17.776800000000001</v>
      </c>
      <c r="H56" s="5">
        <f t="shared" si="26"/>
        <v>0.69987401574803154</v>
      </c>
      <c r="M56" s="9">
        <f>(4*6)*0.5</f>
        <v>12</v>
      </c>
      <c r="N56" s="9">
        <f>(4*6)*0.5</f>
        <v>12</v>
      </c>
      <c r="O56" s="9">
        <f>(4*6)*0.5</f>
        <v>12</v>
      </c>
      <c r="P56" s="9">
        <f>(4*6)*0.5</f>
        <v>12</v>
      </c>
      <c r="Q56" s="9">
        <f>(4*6)*0.6667</f>
        <v>16.000799999999998</v>
      </c>
      <c r="R56" s="9">
        <f>(4*6)*0.6667</f>
        <v>16.000799999999998</v>
      </c>
      <c r="S56" s="9">
        <f>(4*6)*0.6667</f>
        <v>16.000799999999998</v>
      </c>
      <c r="T56" s="9">
        <f>(4*6)*0.6667</f>
        <v>16.000799999999998</v>
      </c>
      <c r="U56" s="9">
        <f t="shared" ref="U56:X56" si="32">(4*6)*0.8333</f>
        <v>19.999200000000002</v>
      </c>
      <c r="V56" s="9">
        <f t="shared" si="32"/>
        <v>19.999200000000002</v>
      </c>
      <c r="W56" s="9">
        <f t="shared" si="32"/>
        <v>19.999200000000002</v>
      </c>
      <c r="X56" s="9">
        <f t="shared" si="32"/>
        <v>19.999200000000002</v>
      </c>
      <c r="Y56" s="9">
        <f>(4*6)*1</f>
        <v>24</v>
      </c>
      <c r="Z56" s="9">
        <f>(4*6)*1</f>
        <v>24</v>
      </c>
      <c r="AA56" s="9">
        <f>(4*6)*1</f>
        <v>24</v>
      </c>
      <c r="AB56" s="9">
        <f>(4*6)*1</f>
        <v>24</v>
      </c>
      <c r="AD56" s="5">
        <f>(4*6)*0.5</f>
        <v>12</v>
      </c>
      <c r="AE56" s="5">
        <f>(4*6)*0.6667</f>
        <v>16.000799999999998</v>
      </c>
      <c r="AF56" s="5">
        <f t="shared" ref="AF56" si="33">(4*6)*0.8333</f>
        <v>19.999200000000002</v>
      </c>
      <c r="AG56" s="5">
        <f>(4*6)*1</f>
        <v>24</v>
      </c>
      <c r="AH56" s="5">
        <f>(4*6)*0.7407*0.6</f>
        <v>10.666080000000001</v>
      </c>
      <c r="AI56" s="5">
        <f>(4*6)*0.7407*0.8</f>
        <v>14.221440000000001</v>
      </c>
      <c r="AJ56" s="5">
        <f>(4*6)*0.7407</f>
        <v>17.776800000000001</v>
      </c>
      <c r="AK56" s="5">
        <f>(4*6)*0.7407*1.2</f>
        <v>21.332160000000002</v>
      </c>
    </row>
    <row r="57" spans="1:37" x14ac:dyDescent="0.25">
      <c r="A57" t="s">
        <v>21</v>
      </c>
      <c r="B57" s="2">
        <v>42921</v>
      </c>
      <c r="C57">
        <v>186</v>
      </c>
      <c r="D57" s="3" t="s">
        <v>62</v>
      </c>
      <c r="E57" s="5">
        <f>15.9+(4*1)*0.8333</f>
        <v>19.2332</v>
      </c>
      <c r="F57" s="5">
        <f t="shared" si="25"/>
        <v>0.75721259842519695</v>
      </c>
      <c r="G57" s="5">
        <f>15.9+(4*1)*0.8333</f>
        <v>19.2332</v>
      </c>
      <c r="H57" s="5">
        <f t="shared" si="26"/>
        <v>0.75721259842519695</v>
      </c>
      <c r="I57" t="s">
        <v>64</v>
      </c>
      <c r="M57" s="9">
        <f>15.9+(4*1)*0.5</f>
        <v>17.899999999999999</v>
      </c>
      <c r="N57" s="9">
        <f>15.9+(4*1)*0.5</f>
        <v>17.899999999999999</v>
      </c>
      <c r="O57" s="9">
        <f>15.9+(4*1)*0.5</f>
        <v>17.899999999999999</v>
      </c>
      <c r="P57" s="9">
        <f>15.9+(4*1)*0.5</f>
        <v>17.899999999999999</v>
      </c>
      <c r="Q57" s="9">
        <f>15.9+(4*1)*0.6667</f>
        <v>18.566800000000001</v>
      </c>
      <c r="R57" s="9">
        <f>15.9+(4*1)*0.6667</f>
        <v>18.566800000000001</v>
      </c>
      <c r="S57" s="9">
        <f>15.9+(4*1)*0.6667</f>
        <v>18.566800000000001</v>
      </c>
      <c r="T57" s="9">
        <f>15.9+(4*1)*0.6667</f>
        <v>18.566800000000001</v>
      </c>
      <c r="U57" s="9">
        <f>15.9+(4*1)*0.8333</f>
        <v>19.2332</v>
      </c>
      <c r="V57" s="9">
        <f>15.9+(4*1)*0.8333</f>
        <v>19.2332</v>
      </c>
      <c r="W57" s="9">
        <f>15.9+(4*1)*0.8333</f>
        <v>19.2332</v>
      </c>
      <c r="X57" s="9">
        <f>15.9+(4*1)*0.8333</f>
        <v>19.2332</v>
      </c>
      <c r="Y57" s="9">
        <f>15.9+(4*1)*1</f>
        <v>19.899999999999999</v>
      </c>
      <c r="Z57" s="9">
        <f>15.9+(4*1)*1</f>
        <v>19.899999999999999</v>
      </c>
      <c r="AA57" s="9">
        <f>15.9+(4*1)*1</f>
        <v>19.899999999999999</v>
      </c>
      <c r="AB57" s="9">
        <f>15.9+(4*1)*1</f>
        <v>19.899999999999999</v>
      </c>
      <c r="AD57" s="5">
        <f>15.9+(4*1)*0.5</f>
        <v>17.899999999999999</v>
      </c>
      <c r="AE57" s="5">
        <f>15.9+(4*1)*0.6667</f>
        <v>18.566800000000001</v>
      </c>
      <c r="AF57" s="5">
        <f>15.9+(4*1)*0.8333</f>
        <v>19.2332</v>
      </c>
      <c r="AG57" s="5">
        <f>15.9+(4*1)*1</f>
        <v>19.899999999999999</v>
      </c>
      <c r="AH57" s="5">
        <f>15.9+(4*1)*0.8333*0.6</f>
        <v>17.899920000000002</v>
      </c>
      <c r="AI57" s="5">
        <f>15.9+(4*1)*0.8333*0.8</f>
        <v>18.566560000000003</v>
      </c>
      <c r="AJ57" s="5">
        <f>15.9+(4*1)*0.8333</f>
        <v>19.2332</v>
      </c>
      <c r="AK57" s="5">
        <f>15.9+(4*1)*0.8333*1.2</f>
        <v>19.899840000000001</v>
      </c>
    </row>
    <row r="58" spans="1:37" x14ac:dyDescent="0.25">
      <c r="A58" t="s">
        <v>21</v>
      </c>
      <c r="B58" s="2">
        <v>42922</v>
      </c>
      <c r="C58">
        <v>187</v>
      </c>
      <c r="D58" s="3" t="s">
        <v>56</v>
      </c>
      <c r="E58" s="5">
        <f>(4*6)*0.8333</f>
        <v>19.999200000000002</v>
      </c>
      <c r="F58" s="5">
        <f t="shared" si="25"/>
        <v>0.78737007874015763</v>
      </c>
      <c r="G58" s="5">
        <f>(4*6)*0.8333</f>
        <v>19.999200000000002</v>
      </c>
      <c r="H58" s="5">
        <f t="shared" si="26"/>
        <v>0.78737007874015763</v>
      </c>
      <c r="I58" t="s">
        <v>63</v>
      </c>
      <c r="M58" s="9">
        <f>(4*6)*0.5</f>
        <v>12</v>
      </c>
      <c r="N58" s="9">
        <f>(4*6)*0.5</f>
        <v>12</v>
      </c>
      <c r="O58" s="9">
        <f>(4*6)*0.5</f>
        <v>12</v>
      </c>
      <c r="P58" s="9">
        <f>(4*6)*0.5</f>
        <v>12</v>
      </c>
      <c r="Q58" s="9">
        <f>(4*6)*0.6667</f>
        <v>16.000799999999998</v>
      </c>
      <c r="R58" s="9">
        <f>(4*6)*0.6667</f>
        <v>16.000799999999998</v>
      </c>
      <c r="S58" s="9">
        <f>(4*6)*0.6667</f>
        <v>16.000799999999998</v>
      </c>
      <c r="T58" s="9">
        <f>(4*6)*0.6667</f>
        <v>16.000799999999998</v>
      </c>
      <c r="U58" s="9">
        <f>(4*6)*0.8333</f>
        <v>19.999200000000002</v>
      </c>
      <c r="V58" s="9">
        <f>(4*6)*0.8333</f>
        <v>19.999200000000002</v>
      </c>
      <c r="W58" s="9">
        <f>(4*6)*0.8333</f>
        <v>19.999200000000002</v>
      </c>
      <c r="X58" s="9">
        <f>(4*6)*0.8333</f>
        <v>19.999200000000002</v>
      </c>
      <c r="Y58" s="9">
        <f>(4*6)*1</f>
        <v>24</v>
      </c>
      <c r="Z58" s="9">
        <f>(4*6)*1</f>
        <v>24</v>
      </c>
      <c r="AA58" s="9">
        <f>(4*6)*1</f>
        <v>24</v>
      </c>
      <c r="AB58" s="9">
        <f>(4*6)*1</f>
        <v>24</v>
      </c>
      <c r="AD58" s="5">
        <f>(4*6)*0.5</f>
        <v>12</v>
      </c>
      <c r="AE58" s="5">
        <f>(4*6)*0.6667</f>
        <v>16.000799999999998</v>
      </c>
      <c r="AF58" s="5">
        <f>(4*6)*0.8333</f>
        <v>19.999200000000002</v>
      </c>
      <c r="AG58" s="5">
        <f>(4*6)*1</f>
        <v>24</v>
      </c>
      <c r="AH58" s="5">
        <f>(4*6)*0.8333*0.6</f>
        <v>11.99952</v>
      </c>
      <c r="AI58" s="5">
        <f>(4*6)*0.8333*0.8</f>
        <v>15.999360000000003</v>
      </c>
      <c r="AJ58" s="5">
        <f>(4*6)*0.8333</f>
        <v>19.999200000000002</v>
      </c>
      <c r="AK58" s="5">
        <f>(4*6)*0.8333*1.2</f>
        <v>23.999040000000001</v>
      </c>
    </row>
    <row r="59" spans="1:37" x14ac:dyDescent="0.25">
      <c r="A59" t="s">
        <v>21</v>
      </c>
      <c r="B59" s="2">
        <v>42923</v>
      </c>
      <c r="C59">
        <v>188</v>
      </c>
      <c r="D59" s="3" t="s">
        <v>43</v>
      </c>
      <c r="E59" s="5">
        <f>(4*8)*0.8333</f>
        <v>26.665600000000001</v>
      </c>
      <c r="F59" s="5">
        <f t="shared" si="25"/>
        <v>1.0498267716535434</v>
      </c>
      <c r="G59" s="5">
        <f>(4*8)*0.8333</f>
        <v>26.665600000000001</v>
      </c>
      <c r="H59" s="5">
        <f t="shared" si="26"/>
        <v>1.0498267716535434</v>
      </c>
      <c r="M59" s="9">
        <f>(4*8)*0.5</f>
        <v>16</v>
      </c>
      <c r="N59" s="9">
        <f>(4*8)*0.5</f>
        <v>16</v>
      </c>
      <c r="O59" s="9">
        <f>(4*8)*0.5</f>
        <v>16</v>
      </c>
      <c r="P59" s="9">
        <f>(4*8)*0.5</f>
        <v>16</v>
      </c>
      <c r="Q59" s="9">
        <f>(4*8)*0.6667</f>
        <v>21.334399999999999</v>
      </c>
      <c r="R59" s="9">
        <f>(4*8)*0.6667</f>
        <v>21.334399999999999</v>
      </c>
      <c r="S59" s="9">
        <f>(4*8)*0.6667</f>
        <v>21.334399999999999</v>
      </c>
      <c r="T59" s="9">
        <f>(4*8)*0.6667</f>
        <v>21.334399999999999</v>
      </c>
      <c r="U59" s="9">
        <f>(4*8)*0.8333</f>
        <v>26.665600000000001</v>
      </c>
      <c r="V59" s="9">
        <f>(4*8)*0.8333</f>
        <v>26.665600000000001</v>
      </c>
      <c r="W59" s="9">
        <f>(4*8)*0.8333</f>
        <v>26.665600000000001</v>
      </c>
      <c r="X59" s="9">
        <f>(4*8)*0.8333</f>
        <v>26.665600000000001</v>
      </c>
      <c r="Y59" s="9">
        <f>(4*8)*1</f>
        <v>32</v>
      </c>
      <c r="Z59" s="9">
        <f>(4*8)*1</f>
        <v>32</v>
      </c>
      <c r="AA59" s="9">
        <f>(4*8)*1</f>
        <v>32</v>
      </c>
      <c r="AB59" s="9">
        <f>(4*8)*1</f>
        <v>32</v>
      </c>
      <c r="AD59" s="5">
        <f>(4*8)*0.5</f>
        <v>16</v>
      </c>
      <c r="AE59" s="5">
        <f>(4*8)*0.6667</f>
        <v>21.334399999999999</v>
      </c>
      <c r="AF59" s="5">
        <f>(4*8)*0.8333</f>
        <v>26.665600000000001</v>
      </c>
      <c r="AG59" s="5">
        <f>(4*8)*1</f>
        <v>32</v>
      </c>
      <c r="AH59" s="5">
        <f>(4*8)*0.8333*0.6</f>
        <v>15.999359999999999</v>
      </c>
      <c r="AI59" s="5">
        <f>(4*8)*0.8333*0.8</f>
        <v>21.332480000000004</v>
      </c>
      <c r="AJ59" s="5">
        <f>(4*8)*0.8333</f>
        <v>26.665600000000001</v>
      </c>
      <c r="AK59" s="5">
        <f>(4*8)*0.8333*1.2</f>
        <v>31.998719999999999</v>
      </c>
    </row>
    <row r="60" spans="1:37" x14ac:dyDescent="0.25">
      <c r="A60" t="s">
        <v>21</v>
      </c>
      <c r="B60" s="2">
        <v>42928</v>
      </c>
      <c r="C60">
        <v>193</v>
      </c>
      <c r="D60" s="3" t="s">
        <v>56</v>
      </c>
      <c r="E60" s="5">
        <f>(4*6)*0.8333</f>
        <v>19.999200000000002</v>
      </c>
      <c r="F60" s="5">
        <f t="shared" si="25"/>
        <v>0.78737007874015763</v>
      </c>
      <c r="G60" s="5">
        <f>(4*6)*0.8333</f>
        <v>19.999200000000002</v>
      </c>
      <c r="H60" s="5">
        <f t="shared" si="26"/>
        <v>0.78737007874015763</v>
      </c>
      <c r="M60" s="9">
        <f>(4*6)*0.5</f>
        <v>12</v>
      </c>
      <c r="N60" s="9">
        <f>(4*6)*0.5</f>
        <v>12</v>
      </c>
      <c r="O60" s="9">
        <f>(4*6)*0.5</f>
        <v>12</v>
      </c>
      <c r="P60" s="9">
        <f>(4*6)*0.5</f>
        <v>12</v>
      </c>
      <c r="Q60" s="9">
        <f>(4*6)*0.6667</f>
        <v>16.000799999999998</v>
      </c>
      <c r="R60" s="9">
        <f>(4*6)*0.6667</f>
        <v>16.000799999999998</v>
      </c>
      <c r="S60" s="9">
        <f>(4*6)*0.6667</f>
        <v>16.000799999999998</v>
      </c>
      <c r="T60" s="9">
        <f>(4*6)*0.6667</f>
        <v>16.000799999999998</v>
      </c>
      <c r="U60" s="9">
        <f>(4*6)*0.8333</f>
        <v>19.999200000000002</v>
      </c>
      <c r="V60" s="9">
        <f>(4*6)*0.8333</f>
        <v>19.999200000000002</v>
      </c>
      <c r="W60" s="9">
        <f>(4*6)*0.8333</f>
        <v>19.999200000000002</v>
      </c>
      <c r="X60" s="9">
        <f>(4*6)*0.8333</f>
        <v>19.999200000000002</v>
      </c>
      <c r="Y60" s="9">
        <f>(4*6)*1</f>
        <v>24</v>
      </c>
      <c r="Z60" s="9">
        <f>(4*6)*1</f>
        <v>24</v>
      </c>
      <c r="AA60" s="9">
        <f>(4*6)*1</f>
        <v>24</v>
      </c>
      <c r="AB60" s="9">
        <f>(4*6)*1</f>
        <v>24</v>
      </c>
      <c r="AD60" s="5">
        <f>(4*6)*0.5</f>
        <v>12</v>
      </c>
      <c r="AE60" s="5">
        <f>(4*6)*0.6667</f>
        <v>16.000799999999998</v>
      </c>
      <c r="AF60" s="5">
        <f>(4*6)*0.8333</f>
        <v>19.999200000000002</v>
      </c>
      <c r="AG60" s="5">
        <f>(4*6)*1</f>
        <v>24</v>
      </c>
      <c r="AH60" s="5">
        <f>(4*6)*0.8333*0.6</f>
        <v>11.99952</v>
      </c>
      <c r="AI60" s="5">
        <f>(4*6)*0.8333*0.8</f>
        <v>15.999360000000003</v>
      </c>
      <c r="AJ60" s="5">
        <f>(4*6)*0.8333</f>
        <v>19.999200000000002</v>
      </c>
      <c r="AK60" s="5">
        <f>(4*6)*0.8333*1.2</f>
        <v>23.999040000000001</v>
      </c>
    </row>
    <row r="61" spans="1:37" x14ac:dyDescent="0.25">
      <c r="A61" t="s">
        <v>21</v>
      </c>
      <c r="B61" s="2">
        <v>42929</v>
      </c>
      <c r="C61">
        <v>194</v>
      </c>
      <c r="D61" s="3" t="s">
        <v>43</v>
      </c>
      <c r="E61" s="5">
        <f t="shared" ref="E61:G62" si="34">(4*8)*0.8333</f>
        <v>26.665600000000001</v>
      </c>
      <c r="F61" s="5">
        <f t="shared" si="25"/>
        <v>1.0498267716535434</v>
      </c>
      <c r="G61" s="5">
        <f t="shared" si="34"/>
        <v>26.665600000000001</v>
      </c>
      <c r="H61" s="5">
        <f t="shared" si="26"/>
        <v>1.0498267716535434</v>
      </c>
      <c r="M61" s="9">
        <f t="shared" ref="M61:P62" si="35">(4*8)*0.5</f>
        <v>16</v>
      </c>
      <c r="N61" s="9">
        <f t="shared" si="35"/>
        <v>16</v>
      </c>
      <c r="O61" s="9">
        <f t="shared" si="35"/>
        <v>16</v>
      </c>
      <c r="P61" s="9">
        <f t="shared" si="35"/>
        <v>16</v>
      </c>
      <c r="Q61" s="9">
        <f t="shared" ref="Q61:T62" si="36">(4*8)*0.6667</f>
        <v>21.334399999999999</v>
      </c>
      <c r="R61" s="9">
        <f t="shared" si="36"/>
        <v>21.334399999999999</v>
      </c>
      <c r="S61" s="9">
        <f t="shared" si="36"/>
        <v>21.334399999999999</v>
      </c>
      <c r="T61" s="9">
        <f t="shared" si="36"/>
        <v>21.334399999999999</v>
      </c>
      <c r="U61" s="9">
        <f t="shared" ref="U61:X62" si="37">(4*8)*0.8333</f>
        <v>26.665600000000001</v>
      </c>
      <c r="V61" s="9">
        <f t="shared" si="37"/>
        <v>26.665600000000001</v>
      </c>
      <c r="W61" s="9">
        <f t="shared" si="37"/>
        <v>26.665600000000001</v>
      </c>
      <c r="X61" s="9">
        <f t="shared" si="37"/>
        <v>26.665600000000001</v>
      </c>
      <c r="Y61" s="9">
        <f t="shared" ref="Y61:AB62" si="38">(4*8)*1</f>
        <v>32</v>
      </c>
      <c r="Z61" s="9">
        <f t="shared" si="38"/>
        <v>32</v>
      </c>
      <c r="AA61" s="9">
        <f t="shared" si="38"/>
        <v>32</v>
      </c>
      <c r="AB61" s="9">
        <f t="shared" si="38"/>
        <v>32</v>
      </c>
      <c r="AD61" s="5">
        <f>(4*8)*0.5</f>
        <v>16</v>
      </c>
      <c r="AE61" s="5">
        <f>(4*8)*0.6667</f>
        <v>21.334399999999999</v>
      </c>
      <c r="AF61" s="5">
        <f t="shared" ref="AF61:AF62" si="39">(4*8)*0.8333</f>
        <v>26.665600000000001</v>
      </c>
      <c r="AG61" s="5">
        <f>(4*8)*1</f>
        <v>32</v>
      </c>
      <c r="AH61" s="5">
        <f>(4*8)*0.8333*0.6</f>
        <v>15.999359999999999</v>
      </c>
      <c r="AI61" s="5">
        <f>(4*8)*0.8333*0.8</f>
        <v>21.332480000000004</v>
      </c>
      <c r="AJ61" s="5">
        <f t="shared" ref="AJ61:AJ62" si="40">(4*8)*0.8333</f>
        <v>26.665600000000001</v>
      </c>
      <c r="AK61" s="5">
        <f>(4*8)*0.8333*1.2</f>
        <v>31.998719999999999</v>
      </c>
    </row>
    <row r="62" spans="1:37" x14ac:dyDescent="0.25">
      <c r="A62" t="s">
        <v>22</v>
      </c>
      <c r="B62" s="2">
        <v>42930</v>
      </c>
      <c r="C62">
        <v>195</v>
      </c>
      <c r="D62" s="3" t="s">
        <v>43</v>
      </c>
      <c r="E62" s="5">
        <f t="shared" si="34"/>
        <v>26.665600000000001</v>
      </c>
      <c r="F62" s="5">
        <f t="shared" si="25"/>
        <v>1.0498267716535434</v>
      </c>
      <c r="G62" s="5">
        <f t="shared" si="34"/>
        <v>26.665600000000001</v>
      </c>
      <c r="H62" s="5">
        <f t="shared" si="26"/>
        <v>1.0498267716535434</v>
      </c>
      <c r="M62" s="9">
        <f t="shared" si="35"/>
        <v>16</v>
      </c>
      <c r="N62" s="9">
        <f t="shared" si="35"/>
        <v>16</v>
      </c>
      <c r="O62" s="9">
        <f t="shared" si="35"/>
        <v>16</v>
      </c>
      <c r="P62" s="9">
        <f t="shared" si="35"/>
        <v>16</v>
      </c>
      <c r="Q62" s="9">
        <f t="shared" si="36"/>
        <v>21.334399999999999</v>
      </c>
      <c r="R62" s="9">
        <f t="shared" si="36"/>
        <v>21.334399999999999</v>
      </c>
      <c r="S62" s="9">
        <f t="shared" si="36"/>
        <v>21.334399999999999</v>
      </c>
      <c r="T62" s="9">
        <f t="shared" si="36"/>
        <v>21.334399999999999</v>
      </c>
      <c r="U62" s="9">
        <f t="shared" si="37"/>
        <v>26.665600000000001</v>
      </c>
      <c r="V62" s="9">
        <f t="shared" si="37"/>
        <v>26.665600000000001</v>
      </c>
      <c r="W62" s="9">
        <f t="shared" si="37"/>
        <v>26.665600000000001</v>
      </c>
      <c r="X62" s="9">
        <f t="shared" si="37"/>
        <v>26.665600000000001</v>
      </c>
      <c r="Y62" s="9">
        <f t="shared" si="38"/>
        <v>32</v>
      </c>
      <c r="Z62" s="9">
        <f t="shared" si="38"/>
        <v>32</v>
      </c>
      <c r="AA62" s="9">
        <f t="shared" si="38"/>
        <v>32</v>
      </c>
      <c r="AB62" s="9">
        <f t="shared" si="38"/>
        <v>32</v>
      </c>
      <c r="AD62" s="5">
        <f>(4*8)*0.5</f>
        <v>16</v>
      </c>
      <c r="AE62" s="5">
        <f>(4*8)*0.6667</f>
        <v>21.334399999999999</v>
      </c>
      <c r="AF62" s="5">
        <f t="shared" si="39"/>
        <v>26.665600000000001</v>
      </c>
      <c r="AG62" s="5">
        <f>(4*8)*1</f>
        <v>32</v>
      </c>
      <c r="AH62" s="5">
        <f>(4*8)*0.8333*0.6</f>
        <v>15.999359999999999</v>
      </c>
      <c r="AI62" s="5">
        <f>(4*8)*0.8333*0.8</f>
        <v>21.332480000000004</v>
      </c>
      <c r="AJ62" s="5">
        <f t="shared" si="40"/>
        <v>26.665600000000001</v>
      </c>
      <c r="AK62" s="5">
        <f>(4*8)*0.8333*1.2</f>
        <v>31.998719999999999</v>
      </c>
    </row>
    <row r="63" spans="1:37" x14ac:dyDescent="0.25">
      <c r="A63" t="s">
        <v>22</v>
      </c>
      <c r="B63" s="2">
        <v>42935</v>
      </c>
      <c r="C63">
        <v>200</v>
      </c>
      <c r="D63" s="3" t="s">
        <v>56</v>
      </c>
      <c r="E63" s="5">
        <f>(4*6)*0.8333</f>
        <v>19.999200000000002</v>
      </c>
      <c r="F63" s="5">
        <f t="shared" si="25"/>
        <v>0.78737007874015763</v>
      </c>
      <c r="G63" s="5">
        <f>(4*6)*0.8333</f>
        <v>19.999200000000002</v>
      </c>
      <c r="H63" s="5">
        <f t="shared" si="26"/>
        <v>0.78737007874015763</v>
      </c>
      <c r="I63" t="s">
        <v>100</v>
      </c>
      <c r="M63" s="9">
        <f>(4*6)*0.5</f>
        <v>12</v>
      </c>
      <c r="N63" s="9">
        <f>(4*6)*0.6667</f>
        <v>16.000799999999998</v>
      </c>
      <c r="O63" s="9">
        <f>(4*6)*0.8333</f>
        <v>19.999200000000002</v>
      </c>
      <c r="P63" s="9">
        <f>(4*6)*1</f>
        <v>24</v>
      </c>
      <c r="Q63" s="9">
        <f>(4*6)*0.5</f>
        <v>12</v>
      </c>
      <c r="R63" s="9">
        <f>(4*6)*0.6667</f>
        <v>16.000799999999998</v>
      </c>
      <c r="S63" s="9">
        <f>(4*6)*0.8333</f>
        <v>19.999200000000002</v>
      </c>
      <c r="T63" s="9">
        <f>(4*6)*1</f>
        <v>24</v>
      </c>
      <c r="U63" s="9">
        <f>(4*6)*0.5</f>
        <v>12</v>
      </c>
      <c r="V63" s="9">
        <f>(4*6)*0.6667</f>
        <v>16.000799999999998</v>
      </c>
      <c r="W63" s="9">
        <f>(4*6)*0.8333</f>
        <v>19.999200000000002</v>
      </c>
      <c r="X63" s="9">
        <f>(4*6)*1</f>
        <v>24</v>
      </c>
      <c r="Y63" s="9">
        <f>(4*6)*0.5</f>
        <v>12</v>
      </c>
      <c r="Z63" s="9">
        <f>(4*6)*0.6667</f>
        <v>16.000799999999998</v>
      </c>
      <c r="AA63" s="9">
        <f>(4*6)*0.8333</f>
        <v>19.999200000000002</v>
      </c>
      <c r="AB63" s="9">
        <f>(4*6)*1</f>
        <v>24</v>
      </c>
      <c r="AD63" s="5">
        <f>(4*6)*0.5</f>
        <v>12</v>
      </c>
      <c r="AE63" s="5">
        <f>(4*6)*0.6667</f>
        <v>16.000799999999998</v>
      </c>
      <c r="AF63" s="5">
        <f>(4*6)*0.8333</f>
        <v>19.999200000000002</v>
      </c>
      <c r="AG63" s="5">
        <f>(4*6)*1</f>
        <v>24</v>
      </c>
      <c r="AH63" s="5">
        <f>(4*6)*0.8333*0.6</f>
        <v>11.99952</v>
      </c>
      <c r="AI63" s="5">
        <f>(4*6)*0.8333*0.8</f>
        <v>15.999360000000003</v>
      </c>
      <c r="AJ63" s="5">
        <f>(4*6)*0.8333</f>
        <v>19.999200000000002</v>
      </c>
      <c r="AK63" s="5">
        <f>(4*6)*0.8333*1.2</f>
        <v>23.999040000000001</v>
      </c>
    </row>
    <row r="64" spans="1:37" x14ac:dyDescent="0.25">
      <c r="A64" t="s">
        <v>22</v>
      </c>
      <c r="B64" s="2">
        <v>42936</v>
      </c>
      <c r="C64">
        <v>201</v>
      </c>
      <c r="D64" s="3" t="s">
        <v>43</v>
      </c>
      <c r="E64" s="5">
        <f>(4*8)*0.8333</f>
        <v>26.665600000000001</v>
      </c>
      <c r="F64" s="5">
        <f t="shared" si="25"/>
        <v>1.0498267716535434</v>
      </c>
      <c r="G64" s="5">
        <f>(4*8)*0.8333</f>
        <v>26.665600000000001</v>
      </c>
      <c r="H64" s="5">
        <f t="shared" si="26"/>
        <v>1.0498267716535434</v>
      </c>
      <c r="M64" s="9">
        <f>(4*8)*0.5</f>
        <v>16</v>
      </c>
      <c r="N64" s="9">
        <f>(4*8)*0.6667</f>
        <v>21.334399999999999</v>
      </c>
      <c r="O64" s="9">
        <f>(4*8)*0.8333</f>
        <v>26.665600000000001</v>
      </c>
      <c r="P64" s="9">
        <f>(4*8)*1</f>
        <v>32</v>
      </c>
      <c r="Q64" s="9">
        <f>(4*8)*0.5</f>
        <v>16</v>
      </c>
      <c r="R64" s="9">
        <f>(4*8)*0.6667</f>
        <v>21.334399999999999</v>
      </c>
      <c r="S64" s="9">
        <f>(4*8)*0.8333</f>
        <v>26.665600000000001</v>
      </c>
      <c r="T64" s="9">
        <f>(4*8)*1</f>
        <v>32</v>
      </c>
      <c r="U64" s="9">
        <f>(4*8)*0.5</f>
        <v>16</v>
      </c>
      <c r="V64" s="9">
        <f>(4*8)*0.6667</f>
        <v>21.334399999999999</v>
      </c>
      <c r="W64" s="9">
        <f>(4*8)*0.8333</f>
        <v>26.665600000000001</v>
      </c>
      <c r="X64" s="9">
        <f>(4*8)*1</f>
        <v>32</v>
      </c>
      <c r="Y64" s="9">
        <f>(4*8)*0.5</f>
        <v>16</v>
      </c>
      <c r="Z64" s="9">
        <f>(4*8)*0.6667</f>
        <v>21.334399999999999</v>
      </c>
      <c r="AA64" s="9">
        <f>(4*8)*0.8333</f>
        <v>26.665600000000001</v>
      </c>
      <c r="AB64" s="9">
        <f>(4*8)*1</f>
        <v>32</v>
      </c>
      <c r="AD64" s="5">
        <f>(4*8)*0.5</f>
        <v>16</v>
      </c>
      <c r="AE64" s="5">
        <f>(4*8)*0.6667</f>
        <v>21.334399999999999</v>
      </c>
      <c r="AF64" s="5">
        <f>(4*8)*0.8333</f>
        <v>26.665600000000001</v>
      </c>
      <c r="AG64" s="5">
        <f>(4*8)*1</f>
        <v>32</v>
      </c>
      <c r="AH64" s="5">
        <f>(4*8)*0.8333*0.6</f>
        <v>15.999359999999999</v>
      </c>
      <c r="AI64" s="5">
        <f>(4*8)*0.8333*0.8</f>
        <v>21.332480000000004</v>
      </c>
      <c r="AJ64" s="5">
        <f>(4*8)*0.8333</f>
        <v>26.665600000000001</v>
      </c>
      <c r="AK64" s="5">
        <f>(4*8)*0.8333*1.2</f>
        <v>31.998719999999999</v>
      </c>
    </row>
    <row r="65" spans="1:37" x14ac:dyDescent="0.25">
      <c r="A65" t="s">
        <v>22</v>
      </c>
      <c r="B65" s="2">
        <v>42937</v>
      </c>
      <c r="C65">
        <v>202</v>
      </c>
      <c r="D65" s="3" t="s">
        <v>56</v>
      </c>
      <c r="E65" s="5">
        <f>(4*6)*0.8333</f>
        <v>19.999200000000002</v>
      </c>
      <c r="F65" s="5">
        <f t="shared" si="25"/>
        <v>0.78737007874015763</v>
      </c>
      <c r="G65" s="5">
        <f>(4*6)*0.8333</f>
        <v>19.999200000000002</v>
      </c>
      <c r="H65" s="5">
        <f t="shared" si="26"/>
        <v>0.78737007874015763</v>
      </c>
      <c r="M65" s="9">
        <f>(4*6)*0.5</f>
        <v>12</v>
      </c>
      <c r="N65" s="9">
        <f>(4*6)*0.6667</f>
        <v>16.000799999999998</v>
      </c>
      <c r="O65" s="9">
        <f>(4*6)*0.8333</f>
        <v>19.999200000000002</v>
      </c>
      <c r="P65" s="9">
        <f>(4*6)*1</f>
        <v>24</v>
      </c>
      <c r="Q65" s="9">
        <f>(4*6)*0.5</f>
        <v>12</v>
      </c>
      <c r="R65" s="9">
        <f>(4*6)*0.6667</f>
        <v>16.000799999999998</v>
      </c>
      <c r="S65" s="9">
        <f>(4*6)*0.8333</f>
        <v>19.999200000000002</v>
      </c>
      <c r="T65" s="9">
        <f>(4*6)*1</f>
        <v>24</v>
      </c>
      <c r="U65" s="9">
        <f>(4*6)*0.5</f>
        <v>12</v>
      </c>
      <c r="V65" s="9">
        <f>(4*6)*0.6667</f>
        <v>16.000799999999998</v>
      </c>
      <c r="W65" s="9">
        <f>(4*6)*0.8333</f>
        <v>19.999200000000002</v>
      </c>
      <c r="X65" s="9">
        <f>(4*6)*1</f>
        <v>24</v>
      </c>
      <c r="Y65" s="9">
        <f>(4*6)*0.5</f>
        <v>12</v>
      </c>
      <c r="Z65" s="9">
        <f>(4*6)*0.6667</f>
        <v>16.000799999999998</v>
      </c>
      <c r="AA65" s="9">
        <f>(4*6)*0.8333</f>
        <v>19.999200000000002</v>
      </c>
      <c r="AB65" s="9">
        <f>(4*6)*1</f>
        <v>24</v>
      </c>
      <c r="AD65" s="5">
        <f>(4*6)*0.5</f>
        <v>12</v>
      </c>
      <c r="AE65" s="5">
        <f>(4*6)*0.6667</f>
        <v>16.000799999999998</v>
      </c>
      <c r="AF65" s="5">
        <f>(4*6)*0.8333</f>
        <v>19.999200000000002</v>
      </c>
      <c r="AG65" s="5">
        <f>(4*6)*1</f>
        <v>24</v>
      </c>
      <c r="AH65" s="5">
        <f>(4*6)*0.8333*0.6</f>
        <v>11.99952</v>
      </c>
      <c r="AI65" s="5">
        <f>(4*6)*0.8333*0.8</f>
        <v>15.999360000000003</v>
      </c>
      <c r="AJ65" s="5">
        <f>(4*6)*0.8333</f>
        <v>19.999200000000002</v>
      </c>
      <c r="AK65" s="5">
        <f>(4*6)*0.8333*1.2</f>
        <v>23.999040000000001</v>
      </c>
    </row>
    <row r="66" spans="1:37" x14ac:dyDescent="0.25">
      <c r="A66" t="s">
        <v>22</v>
      </c>
      <c r="B66" s="2">
        <v>42943</v>
      </c>
      <c r="C66">
        <v>208</v>
      </c>
      <c r="D66" s="3" t="s">
        <v>43</v>
      </c>
      <c r="E66" s="5">
        <f>(4*8)*0.8333</f>
        <v>26.665600000000001</v>
      </c>
      <c r="F66" s="5">
        <f t="shared" ref="F66:H74" si="41">E66/25.4</f>
        <v>1.0498267716535434</v>
      </c>
      <c r="G66" s="5">
        <f>(4*8)*0.641</f>
        <v>20.512</v>
      </c>
      <c r="H66" s="5">
        <f t="shared" ref="H66:H67" si="42">G66/25.4</f>
        <v>0.80755905511811032</v>
      </c>
      <c r="M66" s="9">
        <f>(4*8)*0.5</f>
        <v>16</v>
      </c>
      <c r="N66" s="9">
        <f>(4*8)*0.6667</f>
        <v>21.334399999999999</v>
      </c>
      <c r="O66" s="9">
        <f>(4*8)*0.8333</f>
        <v>26.665600000000001</v>
      </c>
      <c r="P66" s="9">
        <f>(4*8)*1</f>
        <v>32</v>
      </c>
      <c r="Q66" s="9">
        <f>(4*8)*0.5</f>
        <v>16</v>
      </c>
      <c r="R66" s="9">
        <f>(4*8)*0.6667</f>
        <v>21.334399999999999</v>
      </c>
      <c r="S66" s="9">
        <f>(4*8)*0.8333</f>
        <v>26.665600000000001</v>
      </c>
      <c r="T66" s="9">
        <f>(4*8)*1</f>
        <v>32</v>
      </c>
      <c r="U66" s="9">
        <f>(4*8)*0.5</f>
        <v>16</v>
      </c>
      <c r="V66" s="9">
        <f>(4*8)*0.6667</f>
        <v>21.334399999999999</v>
      </c>
      <c r="W66" s="9">
        <f>(4*8)*0.8333</f>
        <v>26.665600000000001</v>
      </c>
      <c r="X66" s="9">
        <f>(4*8)*1</f>
        <v>32</v>
      </c>
      <c r="Y66" s="9">
        <f>(4*8)*0.5</f>
        <v>16</v>
      </c>
      <c r="Z66" s="9">
        <f>(4*8)*0.6667</f>
        <v>21.334399999999999</v>
      </c>
      <c r="AA66" s="9">
        <f>(4*8)*0.8333</f>
        <v>26.665600000000001</v>
      </c>
      <c r="AB66" s="9">
        <f>(4*8)*1</f>
        <v>32</v>
      </c>
      <c r="AD66" s="5">
        <f>(4*8)*0.5</f>
        <v>16</v>
      </c>
      <c r="AE66" s="5">
        <f>(4*8)*0.6667</f>
        <v>21.334399999999999</v>
      </c>
      <c r="AF66" s="5">
        <f>(4*8)*0.8333</f>
        <v>26.665600000000001</v>
      </c>
      <c r="AG66" s="5">
        <f>(4*8)*1</f>
        <v>32</v>
      </c>
      <c r="AH66" s="5">
        <f>(4*8)*0.641*0.6</f>
        <v>12.3072</v>
      </c>
      <c r="AI66" s="5">
        <f>(4*8)*0.641*0.8</f>
        <v>16.409600000000001</v>
      </c>
      <c r="AJ66" s="5">
        <f>(4*8)*0.641</f>
        <v>20.512</v>
      </c>
      <c r="AK66" s="5">
        <f>(4*8)*0.641*1.2</f>
        <v>24.6144</v>
      </c>
    </row>
    <row r="67" spans="1:37" x14ac:dyDescent="0.25">
      <c r="A67" t="s">
        <v>21</v>
      </c>
      <c r="B67" s="2">
        <v>42944</v>
      </c>
      <c r="C67">
        <v>209</v>
      </c>
      <c r="D67" s="3" t="s">
        <v>56</v>
      </c>
      <c r="E67" s="5">
        <f>(4*6)*0.8333</f>
        <v>19.999200000000002</v>
      </c>
      <c r="F67" s="5">
        <f t="shared" si="41"/>
        <v>0.78737007874015763</v>
      </c>
      <c r="G67" s="5">
        <f>(4*6)*0.641</f>
        <v>15.384</v>
      </c>
      <c r="H67" s="5">
        <f t="shared" si="42"/>
        <v>0.60566929133858272</v>
      </c>
      <c r="M67" s="9">
        <f>(4*6)*0.5</f>
        <v>12</v>
      </c>
      <c r="N67" s="9">
        <f>(4*6)*0.6667</f>
        <v>16.000799999999998</v>
      </c>
      <c r="O67" s="9">
        <f>(4*6)*0.8333</f>
        <v>19.999200000000002</v>
      </c>
      <c r="P67" s="9">
        <f>(4*6)*1</f>
        <v>24</v>
      </c>
      <c r="Q67" s="9">
        <f>(4*6)*0.5</f>
        <v>12</v>
      </c>
      <c r="R67" s="9">
        <f>(4*6)*0.6667</f>
        <v>16.000799999999998</v>
      </c>
      <c r="S67" s="9">
        <f>(4*6)*0.8333</f>
        <v>19.999200000000002</v>
      </c>
      <c r="T67" s="9">
        <f>(4*6)*1</f>
        <v>24</v>
      </c>
      <c r="U67" s="9">
        <f>(4*6)*0.5</f>
        <v>12</v>
      </c>
      <c r="V67" s="9">
        <f>(4*6)*0.6667</f>
        <v>16.000799999999998</v>
      </c>
      <c r="W67" s="9">
        <f>(4*6)*0.8333</f>
        <v>19.999200000000002</v>
      </c>
      <c r="X67" s="9">
        <f>(4*6)*1</f>
        <v>24</v>
      </c>
      <c r="Y67" s="9">
        <f>(4*6)*0.5</f>
        <v>12</v>
      </c>
      <c r="Z67" s="9">
        <f>(4*6)*0.6667</f>
        <v>16.000799999999998</v>
      </c>
      <c r="AA67" s="9">
        <f>(4*6)*0.8333</f>
        <v>19.999200000000002</v>
      </c>
      <c r="AB67" s="9">
        <f>(4*6)*1</f>
        <v>24</v>
      </c>
      <c r="AD67" s="5">
        <f>(4*6)*0.5</f>
        <v>12</v>
      </c>
      <c r="AE67" s="5">
        <f>(4*6)*0.6667</f>
        <v>16.000799999999998</v>
      </c>
      <c r="AF67" s="5">
        <f>(4*6)*0.8333</f>
        <v>19.999200000000002</v>
      </c>
      <c r="AG67" s="5">
        <f>(4*6)*1</f>
        <v>24</v>
      </c>
      <c r="AH67" s="5">
        <f>(4*6)*0.641*0.6</f>
        <v>9.2303999999999995</v>
      </c>
      <c r="AI67" s="5">
        <f>(4*6)*0.641*0.8</f>
        <v>12.307200000000002</v>
      </c>
      <c r="AJ67" s="5">
        <f>(4*6)*0.641</f>
        <v>15.384</v>
      </c>
      <c r="AK67" s="5">
        <f>(4*6)*0.641*1.2</f>
        <v>18.460799999999999</v>
      </c>
    </row>
    <row r="68" spans="1:37" x14ac:dyDescent="0.25">
      <c r="A68" t="s">
        <v>21</v>
      </c>
      <c r="B68" s="2">
        <v>42949</v>
      </c>
      <c r="C68">
        <v>214</v>
      </c>
      <c r="D68" s="3" t="s">
        <v>56</v>
      </c>
      <c r="E68" s="5">
        <f t="shared" ref="E68:E70" si="43">(4*6)*0.8333</f>
        <v>19.999200000000002</v>
      </c>
      <c r="F68" s="5">
        <f t="shared" si="41"/>
        <v>0.78737007874015763</v>
      </c>
      <c r="G68" s="5">
        <f>(4*6)*0.7222</f>
        <v>17.332799999999999</v>
      </c>
      <c r="H68" s="5">
        <f>G68/25.4</f>
        <v>0.68239370078740158</v>
      </c>
      <c r="M68" s="9">
        <f>(4*6)*0.5</f>
        <v>12</v>
      </c>
      <c r="N68" s="9">
        <f>(4*6)*0.6667</f>
        <v>16.000799999999998</v>
      </c>
      <c r="O68" s="9">
        <f t="shared" ref="O68:AA70" si="44">(4*6)*0.8333</f>
        <v>19.999200000000002</v>
      </c>
      <c r="P68" s="9">
        <f>(4*6)*1</f>
        <v>24</v>
      </c>
      <c r="Q68" s="9">
        <f>(4*6)*0.5</f>
        <v>12</v>
      </c>
      <c r="R68" s="9">
        <f>(4*6)*0.6667</f>
        <v>16.000799999999998</v>
      </c>
      <c r="S68" s="9">
        <f t="shared" si="44"/>
        <v>19.999200000000002</v>
      </c>
      <c r="T68" s="9">
        <f>(4*6)*1</f>
        <v>24</v>
      </c>
      <c r="U68" s="9">
        <f>(4*6)*0.5</f>
        <v>12</v>
      </c>
      <c r="V68" s="9">
        <f>(4*6)*0.6667</f>
        <v>16.000799999999998</v>
      </c>
      <c r="W68" s="9">
        <f t="shared" si="44"/>
        <v>19.999200000000002</v>
      </c>
      <c r="X68" s="9">
        <f>(4*6)*1</f>
        <v>24</v>
      </c>
      <c r="Y68" s="9">
        <f>(4*6)*0.5</f>
        <v>12</v>
      </c>
      <c r="Z68" s="9">
        <f>(4*6)*0.6667</f>
        <v>16.000799999999998</v>
      </c>
      <c r="AA68" s="9">
        <f t="shared" si="44"/>
        <v>19.999200000000002</v>
      </c>
      <c r="AB68" s="9">
        <f>(4*6)*1</f>
        <v>24</v>
      </c>
      <c r="AD68" s="5">
        <f>(4*6)*0.5</f>
        <v>12</v>
      </c>
      <c r="AE68" s="5">
        <f>(4*6)*0.6667</f>
        <v>16.000799999999998</v>
      </c>
      <c r="AF68" s="5">
        <f t="shared" ref="AF68:AF70" si="45">(4*6)*0.8333</f>
        <v>19.999200000000002</v>
      </c>
      <c r="AG68" s="5">
        <f>(4*6)*1</f>
        <v>24</v>
      </c>
      <c r="AH68" s="5">
        <f>(4*6)*0.7222*0.6</f>
        <v>10.399679999999998</v>
      </c>
      <c r="AI68" s="5">
        <f>(4*6)*0.7222*0.8</f>
        <v>13.866239999999999</v>
      </c>
      <c r="AJ68" s="5">
        <f>(4*6)*0.7222</f>
        <v>17.332799999999999</v>
      </c>
      <c r="AK68" s="5">
        <f>(4*6)*0.7222*1.2</f>
        <v>20.799359999999997</v>
      </c>
    </row>
    <row r="69" spans="1:37" x14ac:dyDescent="0.25">
      <c r="A69" t="s">
        <v>21</v>
      </c>
      <c r="B69" s="2">
        <v>42950</v>
      </c>
      <c r="C69">
        <v>215</v>
      </c>
      <c r="D69" s="3" t="s">
        <v>56</v>
      </c>
      <c r="E69" s="5">
        <f t="shared" si="43"/>
        <v>19.999200000000002</v>
      </c>
      <c r="F69" s="5">
        <f t="shared" si="41"/>
        <v>0.78737007874015763</v>
      </c>
      <c r="G69" s="5">
        <f t="shared" ref="G69:G70" si="46">(4*6)*0.7222</f>
        <v>17.332799999999999</v>
      </c>
      <c r="H69" s="5">
        <f t="shared" si="41"/>
        <v>0.68239370078740158</v>
      </c>
      <c r="M69" s="9">
        <f>(4*6)*0.5</f>
        <v>12</v>
      </c>
      <c r="N69" s="9">
        <f>(4*6)*0.6667</f>
        <v>16.000799999999998</v>
      </c>
      <c r="O69" s="9">
        <f t="shared" si="44"/>
        <v>19.999200000000002</v>
      </c>
      <c r="P69" s="9">
        <f>(4*6)*1</f>
        <v>24</v>
      </c>
      <c r="Q69" s="9">
        <f>(4*6)*0.5</f>
        <v>12</v>
      </c>
      <c r="R69" s="9">
        <f>(4*6)*0.6667</f>
        <v>16.000799999999998</v>
      </c>
      <c r="S69" s="9">
        <f t="shared" si="44"/>
        <v>19.999200000000002</v>
      </c>
      <c r="T69" s="9">
        <f>(4*6)*1</f>
        <v>24</v>
      </c>
      <c r="U69" s="9">
        <f>(4*6)*0.5</f>
        <v>12</v>
      </c>
      <c r="V69" s="9">
        <f>(4*6)*0.6667</f>
        <v>16.000799999999998</v>
      </c>
      <c r="W69" s="9">
        <f t="shared" si="44"/>
        <v>19.999200000000002</v>
      </c>
      <c r="X69" s="9">
        <f>(4*6)*1</f>
        <v>24</v>
      </c>
      <c r="Y69" s="9">
        <f>(4*6)*0.5</f>
        <v>12</v>
      </c>
      <c r="Z69" s="9">
        <f>(4*6)*0.6667</f>
        <v>16.000799999999998</v>
      </c>
      <c r="AA69" s="9">
        <f t="shared" si="44"/>
        <v>19.999200000000002</v>
      </c>
      <c r="AB69" s="9">
        <f>(4*6)*1</f>
        <v>24</v>
      </c>
      <c r="AD69" s="5">
        <f>(4*6)*0.5</f>
        <v>12</v>
      </c>
      <c r="AE69" s="5">
        <f>(4*6)*0.6667</f>
        <v>16.000799999999998</v>
      </c>
      <c r="AF69" s="5">
        <f t="shared" si="45"/>
        <v>19.999200000000002</v>
      </c>
      <c r="AG69" s="5">
        <f>(4*6)*1</f>
        <v>24</v>
      </c>
      <c r="AH69" s="5">
        <f>(4*6)*0.7222*0.6</f>
        <v>10.399679999999998</v>
      </c>
      <c r="AI69" s="5">
        <f>(4*6)*0.7222*0.8</f>
        <v>13.866239999999999</v>
      </c>
      <c r="AJ69" s="5">
        <f t="shared" ref="AJ69:AJ70" si="47">(4*6)*0.7222</f>
        <v>17.332799999999999</v>
      </c>
      <c r="AK69" s="5">
        <f>(4*6)*0.7222*1.2</f>
        <v>20.799359999999997</v>
      </c>
    </row>
    <row r="70" spans="1:37" x14ac:dyDescent="0.25">
      <c r="A70" t="s">
        <v>21</v>
      </c>
      <c r="B70" s="2">
        <v>42951</v>
      </c>
      <c r="C70">
        <v>216</v>
      </c>
      <c r="D70" s="3" t="s">
        <v>56</v>
      </c>
      <c r="E70" s="5">
        <f t="shared" si="43"/>
        <v>19.999200000000002</v>
      </c>
      <c r="F70" s="5">
        <f t="shared" si="41"/>
        <v>0.78737007874015763</v>
      </c>
      <c r="G70" s="5">
        <f t="shared" si="46"/>
        <v>17.332799999999999</v>
      </c>
      <c r="H70" s="5">
        <f t="shared" si="41"/>
        <v>0.68239370078740158</v>
      </c>
      <c r="M70" s="9">
        <f>(4*6)*0.5</f>
        <v>12</v>
      </c>
      <c r="N70" s="9">
        <f>(4*6)*0.6667</f>
        <v>16.000799999999998</v>
      </c>
      <c r="O70" s="9">
        <f t="shared" si="44"/>
        <v>19.999200000000002</v>
      </c>
      <c r="P70" s="9">
        <f>(4*6)*1</f>
        <v>24</v>
      </c>
      <c r="Q70" s="9">
        <f>(4*6)*0.5</f>
        <v>12</v>
      </c>
      <c r="R70" s="9">
        <f>(4*6)*0.6667</f>
        <v>16.000799999999998</v>
      </c>
      <c r="S70" s="9">
        <f t="shared" si="44"/>
        <v>19.999200000000002</v>
      </c>
      <c r="T70" s="9">
        <f>(4*6)*1</f>
        <v>24</v>
      </c>
      <c r="U70" s="9">
        <f>(4*6)*0.5</f>
        <v>12</v>
      </c>
      <c r="V70" s="9">
        <f>(4*6)*0.6667</f>
        <v>16.000799999999998</v>
      </c>
      <c r="W70" s="9">
        <f t="shared" si="44"/>
        <v>19.999200000000002</v>
      </c>
      <c r="X70" s="9">
        <f>(4*6)*1</f>
        <v>24</v>
      </c>
      <c r="Y70" s="9">
        <f>(4*6)*0.5</f>
        <v>12</v>
      </c>
      <c r="Z70" s="9">
        <f>(4*6)*0.6667</f>
        <v>16.000799999999998</v>
      </c>
      <c r="AA70" s="9">
        <f t="shared" si="44"/>
        <v>19.999200000000002</v>
      </c>
      <c r="AB70" s="9">
        <f>(4*6)*1</f>
        <v>24</v>
      </c>
      <c r="AD70" s="5">
        <f>(4*6)*0.5</f>
        <v>12</v>
      </c>
      <c r="AE70" s="5">
        <f>(4*6)*0.6667</f>
        <v>16.000799999999998</v>
      </c>
      <c r="AF70" s="5">
        <f t="shared" si="45"/>
        <v>19.999200000000002</v>
      </c>
      <c r="AG70" s="5">
        <f>(4*6)*1</f>
        <v>24</v>
      </c>
      <c r="AH70" s="5">
        <f>(4*6)*0.7222*0.6</f>
        <v>10.399679999999998</v>
      </c>
      <c r="AI70" s="5">
        <f>(4*6)*0.7222*0.8</f>
        <v>13.866239999999999</v>
      </c>
      <c r="AJ70" s="5">
        <f t="shared" si="47"/>
        <v>17.332799999999999</v>
      </c>
      <c r="AK70" s="5">
        <f>(4*6)*0.7222*1.2</f>
        <v>20.799359999999997</v>
      </c>
    </row>
    <row r="71" spans="1:37" x14ac:dyDescent="0.25">
      <c r="A71" t="s">
        <v>21</v>
      </c>
      <c r="B71" s="2">
        <v>42956</v>
      </c>
      <c r="C71">
        <v>221</v>
      </c>
      <c r="D71" s="3" t="s">
        <v>41</v>
      </c>
      <c r="E71" s="5">
        <f>(4*9)*0.8333</f>
        <v>29.998800000000003</v>
      </c>
      <c r="F71" s="5">
        <f t="shared" si="41"/>
        <v>1.1810551181102364</v>
      </c>
      <c r="G71" s="5">
        <f>(4*9)*0.7778</f>
        <v>28.000800000000002</v>
      </c>
      <c r="H71" s="5">
        <f t="shared" ref="H71:H74" si="48">G71/25.4</f>
        <v>1.1023937007874016</v>
      </c>
      <c r="M71" s="9">
        <f>(4*9)*0.5</f>
        <v>18</v>
      </c>
      <c r="N71" s="9">
        <f>(4*9)*0.6667</f>
        <v>24.001199999999997</v>
      </c>
      <c r="O71" s="9">
        <f>(4*9)*0.8333</f>
        <v>29.998800000000003</v>
      </c>
      <c r="P71" s="9">
        <f>(4*9)*1</f>
        <v>36</v>
      </c>
      <c r="Q71" s="9">
        <f>(4*9)*0.5</f>
        <v>18</v>
      </c>
      <c r="R71" s="9">
        <f>(4*9)*0.6667</f>
        <v>24.001199999999997</v>
      </c>
      <c r="S71" s="9">
        <f>(4*9)*0.8333</f>
        <v>29.998800000000003</v>
      </c>
      <c r="T71" s="9">
        <f>(4*9)*1</f>
        <v>36</v>
      </c>
      <c r="U71" s="9">
        <f>(4*9)*0.5</f>
        <v>18</v>
      </c>
      <c r="V71" s="9">
        <f>(4*9)*0.6667</f>
        <v>24.001199999999997</v>
      </c>
      <c r="W71" s="9">
        <f>(4*9)*0.8333</f>
        <v>29.998800000000003</v>
      </c>
      <c r="X71" s="9">
        <f>(4*9)*1</f>
        <v>36</v>
      </c>
      <c r="Y71" s="9">
        <f>(4*9)*0.5</f>
        <v>18</v>
      </c>
      <c r="Z71" s="9">
        <f>(4*9)*0.6667</f>
        <v>24.001199999999997</v>
      </c>
      <c r="AA71" s="9">
        <f>(4*9)*0.8333</f>
        <v>29.998800000000003</v>
      </c>
      <c r="AB71" s="9">
        <f>(4*9)*1</f>
        <v>36</v>
      </c>
      <c r="AD71" s="5">
        <f>(4*9)*0.5</f>
        <v>18</v>
      </c>
      <c r="AE71" s="5">
        <f>(4*9)*0.6667</f>
        <v>24.001199999999997</v>
      </c>
      <c r="AF71" s="5">
        <f>(4*9)*0.8333</f>
        <v>29.998800000000003</v>
      </c>
      <c r="AG71" s="5">
        <f>(4*9)*1</f>
        <v>36</v>
      </c>
      <c r="AH71" s="5">
        <f>(4*9)*0.7778*0.6</f>
        <v>16.80048</v>
      </c>
      <c r="AI71" s="5">
        <f>(4*9)*0.7778*0.8</f>
        <v>22.400640000000003</v>
      </c>
      <c r="AJ71" s="5">
        <f>(4*9)*0.7778</f>
        <v>28.000800000000002</v>
      </c>
      <c r="AK71" s="5">
        <f>(4*9)*0.7778*1.2</f>
        <v>33.600960000000001</v>
      </c>
    </row>
    <row r="72" spans="1:37" x14ac:dyDescent="0.25">
      <c r="A72" t="s">
        <v>21</v>
      </c>
      <c r="B72" s="2">
        <v>42957</v>
      </c>
      <c r="C72">
        <v>222</v>
      </c>
      <c r="D72" s="3" t="s">
        <v>41</v>
      </c>
      <c r="E72" s="5">
        <f>(4*9)*0.8333</f>
        <v>29.998800000000003</v>
      </c>
      <c r="F72" s="5">
        <f t="shared" si="41"/>
        <v>1.1810551181102364</v>
      </c>
      <c r="G72" s="5">
        <f>(4*9)*0.7778</f>
        <v>28.000800000000002</v>
      </c>
      <c r="H72" s="5">
        <f t="shared" si="48"/>
        <v>1.1023937007874016</v>
      </c>
      <c r="M72" s="9">
        <f>(4*9)*0.5</f>
        <v>18</v>
      </c>
      <c r="N72" s="9">
        <f>(4*9)*0.6667</f>
        <v>24.001199999999997</v>
      </c>
      <c r="O72" s="9">
        <f>(4*9)*0.8333</f>
        <v>29.998800000000003</v>
      </c>
      <c r="P72" s="9">
        <f>(4*9)*1</f>
        <v>36</v>
      </c>
      <c r="Q72" s="9">
        <f>(4*9)*0.5</f>
        <v>18</v>
      </c>
      <c r="R72" s="9">
        <f>(4*9)*0.6667</f>
        <v>24.001199999999997</v>
      </c>
      <c r="S72" s="9">
        <f>(4*9)*0.8333</f>
        <v>29.998800000000003</v>
      </c>
      <c r="T72" s="9">
        <f>(4*9)*1</f>
        <v>36</v>
      </c>
      <c r="U72" s="9">
        <f>(4*9)*0.5</f>
        <v>18</v>
      </c>
      <c r="V72" s="9">
        <f>(4*9)*0.6667</f>
        <v>24.001199999999997</v>
      </c>
      <c r="W72" s="9">
        <f>(4*9)*0.8333</f>
        <v>29.998800000000003</v>
      </c>
      <c r="X72" s="9">
        <f>(4*9)*1</f>
        <v>36</v>
      </c>
      <c r="Y72" s="9">
        <f>(4*9)*0.5</f>
        <v>18</v>
      </c>
      <c r="Z72" s="9">
        <f>(4*9)*0.6667</f>
        <v>24.001199999999997</v>
      </c>
      <c r="AA72" s="9">
        <f>(4*9)*0.8333</f>
        <v>29.998800000000003</v>
      </c>
      <c r="AB72" s="9">
        <f>(4*9)*1</f>
        <v>36</v>
      </c>
      <c r="AD72" s="5">
        <f>(4*9)*0.5</f>
        <v>18</v>
      </c>
      <c r="AE72" s="5">
        <f>(4*9)*0.6667</f>
        <v>24.001199999999997</v>
      </c>
      <c r="AF72" s="5">
        <f>(4*9)*0.8333</f>
        <v>29.998800000000003</v>
      </c>
      <c r="AG72" s="5">
        <f>(4*9)*1</f>
        <v>36</v>
      </c>
      <c r="AH72" s="5">
        <f>(4*9)*0.7778*0.6</f>
        <v>16.80048</v>
      </c>
      <c r="AI72" s="5">
        <f>(4*9)*0.7778*0.8</f>
        <v>22.400640000000003</v>
      </c>
      <c r="AJ72" s="5">
        <f>(4*9)*0.7778</f>
        <v>28.000800000000002</v>
      </c>
      <c r="AK72" s="5">
        <f>(4*9)*0.7778*1.2</f>
        <v>33.600960000000001</v>
      </c>
    </row>
    <row r="73" spans="1:37" x14ac:dyDescent="0.25">
      <c r="A73" t="s">
        <v>21</v>
      </c>
      <c r="B73" s="2">
        <v>42963</v>
      </c>
      <c r="C73">
        <v>228</v>
      </c>
      <c r="D73" s="3" t="s">
        <v>56</v>
      </c>
      <c r="E73" s="5">
        <f t="shared" ref="E73:G83" si="49">(4*6)*0.8333</f>
        <v>19.999200000000002</v>
      </c>
      <c r="F73" s="5">
        <f t="shared" si="41"/>
        <v>0.78737007874015763</v>
      </c>
      <c r="G73" s="5">
        <f t="shared" si="49"/>
        <v>19.999200000000002</v>
      </c>
      <c r="H73" s="5">
        <f t="shared" si="48"/>
        <v>0.78737007874015763</v>
      </c>
      <c r="J73" t="s">
        <v>111</v>
      </c>
      <c r="M73" s="9">
        <f>(4*6)*0.5</f>
        <v>12</v>
      </c>
      <c r="N73" s="9">
        <f>(4*6)*0.6667</f>
        <v>16.000799999999998</v>
      </c>
      <c r="O73" s="9">
        <f t="shared" ref="O73:AA83" si="50">(4*6)*0.8333</f>
        <v>19.999200000000002</v>
      </c>
      <c r="P73" s="9">
        <f>(4*6)*1</f>
        <v>24</v>
      </c>
      <c r="Q73" s="9">
        <f>(4*6)*0.5</f>
        <v>12</v>
      </c>
      <c r="R73" s="9">
        <f>(4*6)*0.6667</f>
        <v>16.000799999999998</v>
      </c>
      <c r="S73" s="9">
        <f t="shared" si="50"/>
        <v>19.999200000000002</v>
      </c>
      <c r="T73" s="9">
        <f>(4*6)*1</f>
        <v>24</v>
      </c>
      <c r="U73" s="9">
        <f>(4*6)*0.5</f>
        <v>12</v>
      </c>
      <c r="V73" s="9">
        <f>(4*6)*0.6667</f>
        <v>16.000799999999998</v>
      </c>
      <c r="W73" s="9">
        <f t="shared" si="50"/>
        <v>19.999200000000002</v>
      </c>
      <c r="X73" s="9">
        <f>(4*6)*1</f>
        <v>24</v>
      </c>
      <c r="Y73" s="9">
        <f>(4*6)*0.5</f>
        <v>12</v>
      </c>
      <c r="Z73" s="9">
        <f>(4*6)*0.6667</f>
        <v>16.000799999999998</v>
      </c>
      <c r="AA73" s="9">
        <f t="shared" si="50"/>
        <v>19.999200000000002</v>
      </c>
      <c r="AB73" s="9">
        <f>(4*6)*1</f>
        <v>24</v>
      </c>
      <c r="AD73" s="5">
        <f>(4*6)*0.5</f>
        <v>12</v>
      </c>
      <c r="AE73" s="5">
        <f>(4*6)*0.6667</f>
        <v>16.000799999999998</v>
      </c>
      <c r="AF73" s="5">
        <f t="shared" ref="AF73:AF83" si="51">(4*6)*0.8333</f>
        <v>19.999200000000002</v>
      </c>
      <c r="AG73" s="5">
        <f>(4*6)*1</f>
        <v>24</v>
      </c>
      <c r="AH73" s="5">
        <f>(4*6)*0.8333*0.6</f>
        <v>11.99952</v>
      </c>
      <c r="AI73" s="5">
        <f>(4*6)*0.8333*0.8</f>
        <v>15.999360000000003</v>
      </c>
      <c r="AJ73" s="5">
        <f t="shared" ref="AJ73:AJ83" si="52">(4*6)*0.8333</f>
        <v>19.999200000000002</v>
      </c>
      <c r="AK73" s="5">
        <f>(4*6)*0.8333*1.2</f>
        <v>23.999040000000001</v>
      </c>
    </row>
    <row r="74" spans="1:37" x14ac:dyDescent="0.25">
      <c r="A74" t="s">
        <v>21</v>
      </c>
      <c r="B74" s="2">
        <v>42964</v>
      </c>
      <c r="C74">
        <v>229</v>
      </c>
      <c r="D74" s="3" t="s">
        <v>56</v>
      </c>
      <c r="E74" s="5">
        <f t="shared" si="49"/>
        <v>19.999200000000002</v>
      </c>
      <c r="F74" s="5">
        <f t="shared" si="41"/>
        <v>0.78737007874015763</v>
      </c>
      <c r="G74" s="5">
        <f t="shared" si="49"/>
        <v>19.999200000000002</v>
      </c>
      <c r="H74" s="5">
        <f t="shared" si="48"/>
        <v>0.78737007874015763</v>
      </c>
      <c r="J74" t="s">
        <v>6</v>
      </c>
      <c r="K74" t="s">
        <v>65</v>
      </c>
      <c r="M74" s="9">
        <f>(4*6)*0.5</f>
        <v>12</v>
      </c>
      <c r="N74" s="9">
        <f>(4*6)*0.6667</f>
        <v>16.000799999999998</v>
      </c>
      <c r="O74" s="9">
        <f t="shared" si="50"/>
        <v>19.999200000000002</v>
      </c>
      <c r="P74" s="9">
        <f>(4*6)*1</f>
        <v>24</v>
      </c>
      <c r="Q74" s="9">
        <f>(4*6)*0.5</f>
        <v>12</v>
      </c>
      <c r="R74" s="9">
        <f>(4*6)*0.6667</f>
        <v>16.000799999999998</v>
      </c>
      <c r="S74" s="9">
        <f t="shared" si="50"/>
        <v>19.999200000000002</v>
      </c>
      <c r="T74" s="9">
        <f>(4*6)*1</f>
        <v>24</v>
      </c>
      <c r="U74" s="9">
        <f>(4*6)*0.5</f>
        <v>12</v>
      </c>
      <c r="V74" s="9">
        <f>(4*6)*0.6667</f>
        <v>16.000799999999998</v>
      </c>
      <c r="W74" s="9">
        <f t="shared" si="50"/>
        <v>19.999200000000002</v>
      </c>
      <c r="X74" s="9">
        <f>(4*6)*1</f>
        <v>24</v>
      </c>
      <c r="Y74" s="9">
        <f>(4*6)*0.5</f>
        <v>12</v>
      </c>
      <c r="Z74" s="9">
        <f>(4*6)*0.6667</f>
        <v>16.000799999999998</v>
      </c>
      <c r="AA74" s="9">
        <f t="shared" si="50"/>
        <v>19.999200000000002</v>
      </c>
      <c r="AB74" s="9">
        <f>(4*6)*1</f>
        <v>24</v>
      </c>
      <c r="AD74" s="5">
        <f>(4*6)*0.5</f>
        <v>12</v>
      </c>
      <c r="AE74" s="5">
        <f>(4*6)*0.6667</f>
        <v>16.000799999999998</v>
      </c>
      <c r="AF74" s="5">
        <f t="shared" si="51"/>
        <v>19.999200000000002</v>
      </c>
      <c r="AG74" s="5">
        <f>(4*6)*1</f>
        <v>24</v>
      </c>
      <c r="AH74" s="5">
        <f>(4*6)*0.8333*0.6</f>
        <v>11.99952</v>
      </c>
      <c r="AI74" s="5">
        <f>(4*6)*0.8333*0.8</f>
        <v>15.999360000000003</v>
      </c>
      <c r="AJ74" s="5">
        <f t="shared" si="52"/>
        <v>19.999200000000002</v>
      </c>
      <c r="AK74" s="5">
        <f>(4*6)*0.8333*1.2</f>
        <v>23.999040000000001</v>
      </c>
    </row>
    <row r="75" spans="1:37" x14ac:dyDescent="0.25">
      <c r="A75" t="s">
        <v>21</v>
      </c>
      <c r="B75" s="2">
        <v>42970</v>
      </c>
      <c r="C75">
        <v>235</v>
      </c>
      <c r="D75" s="3" t="s">
        <v>49</v>
      </c>
      <c r="E75" s="5">
        <f>(4*4)*0.8333</f>
        <v>13.332800000000001</v>
      </c>
      <c r="F75" s="5">
        <f t="shared" ref="F75:F80" si="53">E75/25.4</f>
        <v>0.52491338582677172</v>
      </c>
      <c r="G75" s="5">
        <f>(4*4)*0.8333</f>
        <v>13.332800000000001</v>
      </c>
      <c r="H75" s="5">
        <f t="shared" ref="H75:H80" si="54">G75/25.4</f>
        <v>0.52491338582677172</v>
      </c>
      <c r="J75">
        <v>198</v>
      </c>
      <c r="K75">
        <f>0.09*25.4</f>
        <v>2.2859999999999996</v>
      </c>
      <c r="M75" s="9">
        <f>(4*4)*0.5</f>
        <v>8</v>
      </c>
      <c r="N75" s="9">
        <f>(4*4)*0.6667</f>
        <v>10.667199999999999</v>
      </c>
      <c r="O75" s="9">
        <f>(4*4)*0.8333</f>
        <v>13.332800000000001</v>
      </c>
      <c r="P75" s="9">
        <f>(4*4)*1</f>
        <v>16</v>
      </c>
      <c r="Q75" s="9">
        <f>(4*4)*0.5</f>
        <v>8</v>
      </c>
      <c r="R75" s="9">
        <f>(4*4)*0.6667</f>
        <v>10.667199999999999</v>
      </c>
      <c r="S75" s="9">
        <f>(4*4)*0.8333</f>
        <v>13.332800000000001</v>
      </c>
      <c r="T75" s="9">
        <f>(4*4)*1</f>
        <v>16</v>
      </c>
      <c r="U75" s="9">
        <f>(4*4)*0.5</f>
        <v>8</v>
      </c>
      <c r="V75" s="9">
        <f>(4*4)*0.6667</f>
        <v>10.667199999999999</v>
      </c>
      <c r="W75" s="9">
        <f>(4*4)*0.8333</f>
        <v>13.332800000000001</v>
      </c>
      <c r="X75" s="9">
        <f>(4*4)*1</f>
        <v>16</v>
      </c>
      <c r="Y75" s="9">
        <f>(4*4)*0.5</f>
        <v>8</v>
      </c>
      <c r="Z75" s="9">
        <f>(4*4)*0.6667</f>
        <v>10.667199999999999</v>
      </c>
      <c r="AA75" s="9">
        <f>(4*4)*0.8333</f>
        <v>13.332800000000001</v>
      </c>
      <c r="AB75" s="9">
        <f>(4*4)*1</f>
        <v>16</v>
      </c>
      <c r="AD75" s="5">
        <f>(4*4)*0.5</f>
        <v>8</v>
      </c>
      <c r="AE75" s="5">
        <f>(4*4)*0.6667</f>
        <v>10.667199999999999</v>
      </c>
      <c r="AF75" s="5">
        <f>(4*4)*0.8333</f>
        <v>13.332800000000001</v>
      </c>
      <c r="AG75" s="5">
        <f>(4*4)*1</f>
        <v>16</v>
      </c>
      <c r="AH75" s="5">
        <f>(4*4)*0.8333*0.6</f>
        <v>7.9996799999999997</v>
      </c>
      <c r="AI75" s="5">
        <f>(4*4)*0.8333*0.8</f>
        <v>10.666240000000002</v>
      </c>
      <c r="AJ75" s="5">
        <f>(4*4)*0.8333</f>
        <v>13.332800000000001</v>
      </c>
      <c r="AK75" s="5">
        <f>(4*4)*0.8333*1.2</f>
        <v>15.999359999999999</v>
      </c>
    </row>
    <row r="76" spans="1:37" x14ac:dyDescent="0.25">
      <c r="A76" t="s">
        <v>21</v>
      </c>
      <c r="B76" s="2">
        <v>42971</v>
      </c>
      <c r="C76">
        <v>236</v>
      </c>
      <c r="D76" s="3" t="s">
        <v>43</v>
      </c>
      <c r="E76" s="5">
        <f>(4*8)*0.8333</f>
        <v>26.665600000000001</v>
      </c>
      <c r="F76" s="5">
        <f t="shared" si="53"/>
        <v>1.0498267716535434</v>
      </c>
      <c r="G76" s="5">
        <f>(4*8)*0.8333</f>
        <v>26.665600000000001</v>
      </c>
      <c r="H76" s="5">
        <f t="shared" si="54"/>
        <v>1.0498267716535434</v>
      </c>
      <c r="J76">
        <v>199</v>
      </c>
      <c r="K76">
        <f>0.07*25.4</f>
        <v>1.778</v>
      </c>
      <c r="M76" s="9">
        <f>(4*8)*0.5</f>
        <v>16</v>
      </c>
      <c r="N76" s="9">
        <f>(4*8)*0.6667</f>
        <v>21.334399999999999</v>
      </c>
      <c r="O76" s="9">
        <f>(4*8)*0.8333</f>
        <v>26.665600000000001</v>
      </c>
      <c r="P76" s="9">
        <f>(4*8)*1</f>
        <v>32</v>
      </c>
      <c r="Q76" s="9">
        <f>(4*8)*0.5</f>
        <v>16</v>
      </c>
      <c r="R76" s="9">
        <f>(4*8)*0.6667</f>
        <v>21.334399999999999</v>
      </c>
      <c r="S76" s="9">
        <f>(4*8)*0.8333</f>
        <v>26.665600000000001</v>
      </c>
      <c r="T76" s="9">
        <f>(4*8)*1</f>
        <v>32</v>
      </c>
      <c r="U76" s="9">
        <f>(4*8)*0.5</f>
        <v>16</v>
      </c>
      <c r="V76" s="9">
        <f>(4*8)*0.6667</f>
        <v>21.334399999999999</v>
      </c>
      <c r="W76" s="9">
        <f>(4*8)*0.8333</f>
        <v>26.665600000000001</v>
      </c>
      <c r="X76" s="9">
        <f>(4*8)*1</f>
        <v>32</v>
      </c>
      <c r="Y76" s="9">
        <f>(4*8)*0.5</f>
        <v>16</v>
      </c>
      <c r="Z76" s="9">
        <f>(4*8)*0.6667</f>
        <v>21.334399999999999</v>
      </c>
      <c r="AA76" s="9">
        <f>(4*8)*0.8333</f>
        <v>26.665600000000001</v>
      </c>
      <c r="AB76" s="9">
        <f>(4*8)*1</f>
        <v>32</v>
      </c>
      <c r="AD76" s="5">
        <f>(4*8)*0.5</f>
        <v>16</v>
      </c>
      <c r="AE76" s="5">
        <f>(4*8)*0.6667</f>
        <v>21.334399999999999</v>
      </c>
      <c r="AF76" s="5">
        <f>(4*8)*0.8333</f>
        <v>26.665600000000001</v>
      </c>
      <c r="AG76" s="5">
        <f>(4*8)*1</f>
        <v>32</v>
      </c>
      <c r="AH76" s="5">
        <f>(4*8)*0.8333*0.6</f>
        <v>15.999359999999999</v>
      </c>
      <c r="AI76" s="5">
        <f>(4*8)*0.8333*0.8</f>
        <v>21.332480000000004</v>
      </c>
      <c r="AJ76" s="5">
        <f>(4*8)*0.8333</f>
        <v>26.665600000000001</v>
      </c>
      <c r="AK76" s="5">
        <f>(4*8)*0.8333*1.2</f>
        <v>31.998719999999999</v>
      </c>
    </row>
    <row r="77" spans="1:37" x14ac:dyDescent="0.25">
      <c r="A77" t="s">
        <v>21</v>
      </c>
      <c r="B77" s="2">
        <v>42972</v>
      </c>
      <c r="C77">
        <v>237</v>
      </c>
      <c r="D77" s="3" t="s">
        <v>56</v>
      </c>
      <c r="E77" s="5">
        <f t="shared" si="49"/>
        <v>19.999200000000002</v>
      </c>
      <c r="F77" s="5">
        <f t="shared" si="53"/>
        <v>0.78737007874015763</v>
      </c>
      <c r="G77" s="5">
        <f t="shared" si="49"/>
        <v>19.999200000000002</v>
      </c>
      <c r="H77" s="5">
        <f t="shared" si="54"/>
        <v>0.78737007874015763</v>
      </c>
      <c r="J77">
        <v>204</v>
      </c>
      <c r="K77">
        <v>28.2</v>
      </c>
      <c r="M77" s="9">
        <f t="shared" ref="M77:M83" si="55">(4*6)*0.5</f>
        <v>12</v>
      </c>
      <c r="N77" s="9">
        <f t="shared" ref="N77:N83" si="56">(4*6)*0.6667</f>
        <v>16.000799999999998</v>
      </c>
      <c r="O77" s="9">
        <f t="shared" si="50"/>
        <v>19.999200000000002</v>
      </c>
      <c r="P77" s="9">
        <f t="shared" ref="P77:P83" si="57">(4*6)*1</f>
        <v>24</v>
      </c>
      <c r="Q77" s="9">
        <f t="shared" ref="Q77:Q83" si="58">(4*6)*0.5</f>
        <v>12</v>
      </c>
      <c r="R77" s="9">
        <f t="shared" ref="R77:R83" si="59">(4*6)*0.6667</f>
        <v>16.000799999999998</v>
      </c>
      <c r="S77" s="9">
        <f t="shared" si="50"/>
        <v>19.999200000000002</v>
      </c>
      <c r="T77" s="9">
        <f t="shared" ref="T77:T83" si="60">(4*6)*1</f>
        <v>24</v>
      </c>
      <c r="U77" s="9">
        <f t="shared" ref="U77:U83" si="61">(4*6)*0.5</f>
        <v>12</v>
      </c>
      <c r="V77" s="9">
        <f t="shared" ref="V77:V83" si="62">(4*6)*0.6667</f>
        <v>16.000799999999998</v>
      </c>
      <c r="W77" s="9">
        <f t="shared" si="50"/>
        <v>19.999200000000002</v>
      </c>
      <c r="X77" s="9">
        <f t="shared" ref="X77:X83" si="63">(4*6)*1</f>
        <v>24</v>
      </c>
      <c r="Y77" s="9">
        <f t="shared" ref="Y77:Y83" si="64">(4*6)*0.5</f>
        <v>12</v>
      </c>
      <c r="Z77" s="9">
        <f t="shared" ref="Z77:Z83" si="65">(4*6)*0.6667</f>
        <v>16.000799999999998</v>
      </c>
      <c r="AA77" s="9">
        <f t="shared" si="50"/>
        <v>19.999200000000002</v>
      </c>
      <c r="AB77" s="9">
        <f t="shared" ref="AB77:AB83" si="66">(4*6)*1</f>
        <v>24</v>
      </c>
      <c r="AD77" s="5">
        <f t="shared" ref="AD77:AD83" si="67">(4*6)*0.5</f>
        <v>12</v>
      </c>
      <c r="AE77" s="5">
        <f t="shared" ref="AE77:AE83" si="68">(4*6)*0.6667</f>
        <v>16.000799999999998</v>
      </c>
      <c r="AF77" s="5">
        <f t="shared" si="51"/>
        <v>19.999200000000002</v>
      </c>
      <c r="AG77" s="5">
        <f t="shared" ref="AG77:AG83" si="69">(4*6)*1</f>
        <v>24</v>
      </c>
      <c r="AH77" s="5">
        <f t="shared" ref="AH77:AH83" si="70">(4*6)*0.8333*0.6</f>
        <v>11.99952</v>
      </c>
      <c r="AI77" s="5">
        <f t="shared" ref="AI77:AI83" si="71">(4*6)*0.8333*0.8</f>
        <v>15.999360000000003</v>
      </c>
      <c r="AJ77" s="5">
        <f t="shared" si="52"/>
        <v>19.999200000000002</v>
      </c>
      <c r="AK77" s="5">
        <f t="shared" ref="AK77:AK83" si="72">(4*6)*0.8333*1.2</f>
        <v>23.999040000000001</v>
      </c>
    </row>
    <row r="78" spans="1:37" x14ac:dyDescent="0.25">
      <c r="A78" t="s">
        <v>21</v>
      </c>
      <c r="B78" s="2">
        <v>42977</v>
      </c>
      <c r="C78">
        <v>242</v>
      </c>
      <c r="D78" s="3" t="s">
        <v>56</v>
      </c>
      <c r="E78" s="5">
        <f t="shared" si="49"/>
        <v>19.999200000000002</v>
      </c>
      <c r="F78" s="5">
        <f t="shared" si="53"/>
        <v>0.78737007874015763</v>
      </c>
      <c r="G78" s="5">
        <f t="shared" si="49"/>
        <v>19.999200000000002</v>
      </c>
      <c r="H78" s="5">
        <f t="shared" si="54"/>
        <v>0.78737007874015763</v>
      </c>
      <c r="J78">
        <v>205</v>
      </c>
      <c r="K78">
        <v>11.4</v>
      </c>
      <c r="M78" s="9">
        <f t="shared" si="55"/>
        <v>12</v>
      </c>
      <c r="N78" s="9">
        <f t="shared" si="56"/>
        <v>16.000799999999998</v>
      </c>
      <c r="O78" s="9">
        <f t="shared" si="50"/>
        <v>19.999200000000002</v>
      </c>
      <c r="P78" s="9">
        <f t="shared" si="57"/>
        <v>24</v>
      </c>
      <c r="Q78" s="9">
        <f t="shared" si="58"/>
        <v>12</v>
      </c>
      <c r="R78" s="9">
        <f t="shared" si="59"/>
        <v>16.000799999999998</v>
      </c>
      <c r="S78" s="9">
        <f t="shared" si="50"/>
        <v>19.999200000000002</v>
      </c>
      <c r="T78" s="9">
        <f t="shared" si="60"/>
        <v>24</v>
      </c>
      <c r="U78" s="9">
        <f t="shared" si="61"/>
        <v>12</v>
      </c>
      <c r="V78" s="9">
        <f t="shared" si="62"/>
        <v>16.000799999999998</v>
      </c>
      <c r="W78" s="9">
        <f t="shared" si="50"/>
        <v>19.999200000000002</v>
      </c>
      <c r="X78" s="9">
        <f t="shared" si="63"/>
        <v>24</v>
      </c>
      <c r="Y78" s="9">
        <f t="shared" si="64"/>
        <v>12</v>
      </c>
      <c r="Z78" s="9">
        <f t="shared" si="65"/>
        <v>16.000799999999998</v>
      </c>
      <c r="AA78" s="9">
        <f t="shared" si="50"/>
        <v>19.999200000000002</v>
      </c>
      <c r="AB78" s="9">
        <f t="shared" si="66"/>
        <v>24</v>
      </c>
      <c r="AD78" s="5">
        <f t="shared" si="67"/>
        <v>12</v>
      </c>
      <c r="AE78" s="5">
        <f t="shared" si="68"/>
        <v>16.000799999999998</v>
      </c>
      <c r="AF78" s="5">
        <f t="shared" si="51"/>
        <v>19.999200000000002</v>
      </c>
      <c r="AG78" s="5">
        <f t="shared" si="69"/>
        <v>24</v>
      </c>
      <c r="AH78" s="5">
        <f t="shared" si="70"/>
        <v>11.99952</v>
      </c>
      <c r="AI78" s="5">
        <f t="shared" si="71"/>
        <v>15.999360000000003</v>
      </c>
      <c r="AJ78" s="5">
        <f t="shared" si="52"/>
        <v>19.999200000000002</v>
      </c>
      <c r="AK78" s="5">
        <f t="shared" si="72"/>
        <v>23.999040000000001</v>
      </c>
    </row>
    <row r="79" spans="1:37" x14ac:dyDescent="0.25">
      <c r="A79" t="s">
        <v>21</v>
      </c>
      <c r="B79" s="2">
        <v>42978</v>
      </c>
      <c r="C79">
        <v>243</v>
      </c>
      <c r="D79" s="3" t="s">
        <v>56</v>
      </c>
      <c r="E79" s="5">
        <f t="shared" si="49"/>
        <v>19.999200000000002</v>
      </c>
      <c r="F79" s="5">
        <f t="shared" si="53"/>
        <v>0.78737007874015763</v>
      </c>
      <c r="G79" s="5">
        <f t="shared" si="49"/>
        <v>19.999200000000002</v>
      </c>
      <c r="H79" s="5">
        <f t="shared" si="54"/>
        <v>0.78737007874015763</v>
      </c>
      <c r="J79">
        <v>213</v>
      </c>
      <c r="K79">
        <v>0.5</v>
      </c>
      <c r="M79" s="9">
        <f t="shared" si="55"/>
        <v>12</v>
      </c>
      <c r="N79" s="9">
        <f t="shared" si="56"/>
        <v>16.000799999999998</v>
      </c>
      <c r="O79" s="9">
        <f t="shared" si="50"/>
        <v>19.999200000000002</v>
      </c>
      <c r="P79" s="9">
        <f t="shared" si="57"/>
        <v>24</v>
      </c>
      <c r="Q79" s="9">
        <f t="shared" si="58"/>
        <v>12</v>
      </c>
      <c r="R79" s="9">
        <f t="shared" si="59"/>
        <v>16.000799999999998</v>
      </c>
      <c r="S79" s="9">
        <f t="shared" si="50"/>
        <v>19.999200000000002</v>
      </c>
      <c r="T79" s="9">
        <f t="shared" si="60"/>
        <v>24</v>
      </c>
      <c r="U79" s="9">
        <f t="shared" si="61"/>
        <v>12</v>
      </c>
      <c r="V79" s="9">
        <f t="shared" si="62"/>
        <v>16.000799999999998</v>
      </c>
      <c r="W79" s="9">
        <f t="shared" si="50"/>
        <v>19.999200000000002</v>
      </c>
      <c r="X79" s="9">
        <f t="shared" si="63"/>
        <v>24</v>
      </c>
      <c r="Y79" s="9">
        <f t="shared" si="64"/>
        <v>12</v>
      </c>
      <c r="Z79" s="9">
        <f t="shared" si="65"/>
        <v>16.000799999999998</v>
      </c>
      <c r="AA79" s="9">
        <f t="shared" si="50"/>
        <v>19.999200000000002</v>
      </c>
      <c r="AB79" s="9">
        <f t="shared" si="66"/>
        <v>24</v>
      </c>
      <c r="AD79" s="5">
        <f t="shared" si="67"/>
        <v>12</v>
      </c>
      <c r="AE79" s="5">
        <f t="shared" si="68"/>
        <v>16.000799999999998</v>
      </c>
      <c r="AF79" s="5">
        <f t="shared" si="51"/>
        <v>19.999200000000002</v>
      </c>
      <c r="AG79" s="5">
        <f t="shared" si="69"/>
        <v>24</v>
      </c>
      <c r="AH79" s="5">
        <f t="shared" si="70"/>
        <v>11.99952</v>
      </c>
      <c r="AI79" s="5">
        <f t="shared" si="71"/>
        <v>15.999360000000003</v>
      </c>
      <c r="AJ79" s="5">
        <f t="shared" si="52"/>
        <v>19.999200000000002</v>
      </c>
      <c r="AK79" s="5">
        <f t="shared" si="72"/>
        <v>23.999040000000001</v>
      </c>
    </row>
    <row r="80" spans="1:37" x14ac:dyDescent="0.25">
      <c r="A80" t="s">
        <v>21</v>
      </c>
      <c r="B80" s="2">
        <v>42979</v>
      </c>
      <c r="C80">
        <v>244</v>
      </c>
      <c r="D80" s="3" t="s">
        <v>56</v>
      </c>
      <c r="E80" s="5">
        <f t="shared" si="49"/>
        <v>19.999200000000002</v>
      </c>
      <c r="F80" s="5">
        <f t="shared" si="53"/>
        <v>0.78737007874015763</v>
      </c>
      <c r="G80" s="5">
        <f t="shared" si="49"/>
        <v>19.999200000000002</v>
      </c>
      <c r="H80" s="5">
        <f t="shared" si="54"/>
        <v>0.78737007874015763</v>
      </c>
      <c r="J80">
        <v>224</v>
      </c>
      <c r="K80" s="7">
        <f>8.6+7</f>
        <v>15.6</v>
      </c>
      <c r="M80" s="9">
        <f t="shared" si="55"/>
        <v>12</v>
      </c>
      <c r="N80" s="9">
        <f t="shared" si="56"/>
        <v>16.000799999999998</v>
      </c>
      <c r="O80" s="9">
        <f t="shared" si="50"/>
        <v>19.999200000000002</v>
      </c>
      <c r="P80" s="9">
        <f t="shared" si="57"/>
        <v>24</v>
      </c>
      <c r="Q80" s="9">
        <f t="shared" si="58"/>
        <v>12</v>
      </c>
      <c r="R80" s="9">
        <f t="shared" si="59"/>
        <v>16.000799999999998</v>
      </c>
      <c r="S80" s="9">
        <f t="shared" si="50"/>
        <v>19.999200000000002</v>
      </c>
      <c r="T80" s="9">
        <f t="shared" si="60"/>
        <v>24</v>
      </c>
      <c r="U80" s="9">
        <f t="shared" si="61"/>
        <v>12</v>
      </c>
      <c r="V80" s="9">
        <f t="shared" si="62"/>
        <v>16.000799999999998</v>
      </c>
      <c r="W80" s="9">
        <f t="shared" si="50"/>
        <v>19.999200000000002</v>
      </c>
      <c r="X80" s="9">
        <f t="shared" si="63"/>
        <v>24</v>
      </c>
      <c r="Y80" s="9">
        <f t="shared" si="64"/>
        <v>12</v>
      </c>
      <c r="Z80" s="9">
        <f t="shared" si="65"/>
        <v>16.000799999999998</v>
      </c>
      <c r="AA80" s="9">
        <f t="shared" si="50"/>
        <v>19.999200000000002</v>
      </c>
      <c r="AB80" s="9">
        <f t="shared" si="66"/>
        <v>24</v>
      </c>
      <c r="AD80" s="5">
        <f t="shared" si="67"/>
        <v>12</v>
      </c>
      <c r="AE80" s="5">
        <f t="shared" si="68"/>
        <v>16.000799999999998</v>
      </c>
      <c r="AF80" s="5">
        <f t="shared" si="51"/>
        <v>19.999200000000002</v>
      </c>
      <c r="AG80" s="5">
        <f t="shared" si="69"/>
        <v>24</v>
      </c>
      <c r="AH80" s="5">
        <f t="shared" si="70"/>
        <v>11.99952</v>
      </c>
      <c r="AI80" s="5">
        <f t="shared" si="71"/>
        <v>15.999360000000003</v>
      </c>
      <c r="AJ80" s="5">
        <f t="shared" si="52"/>
        <v>19.999200000000002</v>
      </c>
      <c r="AK80" s="5">
        <f t="shared" si="72"/>
        <v>23.999040000000001</v>
      </c>
    </row>
    <row r="81" spans="1:37" x14ac:dyDescent="0.25">
      <c r="A81" t="s">
        <v>21</v>
      </c>
      <c r="B81" s="2">
        <v>42984</v>
      </c>
      <c r="C81">
        <v>249</v>
      </c>
      <c r="D81" s="3" t="s">
        <v>56</v>
      </c>
      <c r="E81" s="5">
        <f t="shared" si="49"/>
        <v>19.999200000000002</v>
      </c>
      <c r="F81" s="5">
        <f t="shared" ref="F81:F83" si="73">E81/25.4</f>
        <v>0.78737007874015763</v>
      </c>
      <c r="G81" s="5">
        <f t="shared" si="49"/>
        <v>19.999200000000002</v>
      </c>
      <c r="H81" s="5">
        <f t="shared" ref="H81:H83" si="74">G81/25.4</f>
        <v>0.78737007874015763</v>
      </c>
      <c r="J81" s="2"/>
      <c r="K81" s="7">
        <f>SUM(K75:K80)</f>
        <v>59.763999999999996</v>
      </c>
      <c r="M81" s="9">
        <f t="shared" si="55"/>
        <v>12</v>
      </c>
      <c r="N81" s="9">
        <f t="shared" si="56"/>
        <v>16.000799999999998</v>
      </c>
      <c r="O81" s="9">
        <f t="shared" si="50"/>
        <v>19.999200000000002</v>
      </c>
      <c r="P81" s="9">
        <f t="shared" si="57"/>
        <v>24</v>
      </c>
      <c r="Q81" s="9">
        <f t="shared" si="58"/>
        <v>12</v>
      </c>
      <c r="R81" s="9">
        <f t="shared" si="59"/>
        <v>16.000799999999998</v>
      </c>
      <c r="S81" s="9">
        <f t="shared" si="50"/>
        <v>19.999200000000002</v>
      </c>
      <c r="T81" s="9">
        <f t="shared" si="60"/>
        <v>24</v>
      </c>
      <c r="U81" s="9">
        <f t="shared" si="61"/>
        <v>12</v>
      </c>
      <c r="V81" s="9">
        <f t="shared" si="62"/>
        <v>16.000799999999998</v>
      </c>
      <c r="W81" s="9">
        <f t="shared" si="50"/>
        <v>19.999200000000002</v>
      </c>
      <c r="X81" s="9">
        <f t="shared" si="63"/>
        <v>24</v>
      </c>
      <c r="Y81" s="9">
        <f t="shared" si="64"/>
        <v>12</v>
      </c>
      <c r="Z81" s="9">
        <f t="shared" si="65"/>
        <v>16.000799999999998</v>
      </c>
      <c r="AA81" s="9">
        <f t="shared" si="50"/>
        <v>19.999200000000002</v>
      </c>
      <c r="AB81" s="9">
        <f t="shared" si="66"/>
        <v>24</v>
      </c>
      <c r="AD81" s="5">
        <f t="shared" si="67"/>
        <v>12</v>
      </c>
      <c r="AE81" s="5">
        <f t="shared" si="68"/>
        <v>16.000799999999998</v>
      </c>
      <c r="AF81" s="5">
        <f t="shared" si="51"/>
        <v>19.999200000000002</v>
      </c>
      <c r="AG81" s="5">
        <f t="shared" si="69"/>
        <v>24</v>
      </c>
      <c r="AH81" s="5">
        <f t="shared" si="70"/>
        <v>11.99952</v>
      </c>
      <c r="AI81" s="5">
        <f t="shared" si="71"/>
        <v>15.999360000000003</v>
      </c>
      <c r="AJ81" s="5">
        <f t="shared" si="52"/>
        <v>19.999200000000002</v>
      </c>
      <c r="AK81" s="5">
        <f t="shared" si="72"/>
        <v>23.999040000000001</v>
      </c>
    </row>
    <row r="82" spans="1:37" x14ac:dyDescent="0.25">
      <c r="A82" t="s">
        <v>21</v>
      </c>
      <c r="B82" s="2">
        <v>42985</v>
      </c>
      <c r="C82">
        <v>250</v>
      </c>
      <c r="D82" s="3" t="s">
        <v>56</v>
      </c>
      <c r="E82" s="5">
        <f t="shared" si="49"/>
        <v>19.999200000000002</v>
      </c>
      <c r="F82" s="5">
        <f t="shared" si="73"/>
        <v>0.78737007874015763</v>
      </c>
      <c r="G82" s="5">
        <f t="shared" si="49"/>
        <v>19.999200000000002</v>
      </c>
      <c r="H82" s="5">
        <f t="shared" si="74"/>
        <v>0.78737007874015763</v>
      </c>
      <c r="J82" s="2"/>
      <c r="K82" s="7"/>
      <c r="M82" s="9">
        <f t="shared" si="55"/>
        <v>12</v>
      </c>
      <c r="N82" s="9">
        <f t="shared" si="56"/>
        <v>16.000799999999998</v>
      </c>
      <c r="O82" s="9">
        <f t="shared" si="50"/>
        <v>19.999200000000002</v>
      </c>
      <c r="P82" s="9">
        <f t="shared" si="57"/>
        <v>24</v>
      </c>
      <c r="Q82" s="9">
        <f t="shared" si="58"/>
        <v>12</v>
      </c>
      <c r="R82" s="9">
        <f t="shared" si="59"/>
        <v>16.000799999999998</v>
      </c>
      <c r="S82" s="9">
        <f t="shared" si="50"/>
        <v>19.999200000000002</v>
      </c>
      <c r="T82" s="9">
        <f t="shared" si="60"/>
        <v>24</v>
      </c>
      <c r="U82" s="9">
        <f t="shared" si="61"/>
        <v>12</v>
      </c>
      <c r="V82" s="9">
        <f t="shared" si="62"/>
        <v>16.000799999999998</v>
      </c>
      <c r="W82" s="9">
        <f t="shared" si="50"/>
        <v>19.999200000000002</v>
      </c>
      <c r="X82" s="9">
        <f t="shared" si="63"/>
        <v>24</v>
      </c>
      <c r="Y82" s="9">
        <f t="shared" si="64"/>
        <v>12</v>
      </c>
      <c r="Z82" s="9">
        <f t="shared" si="65"/>
        <v>16.000799999999998</v>
      </c>
      <c r="AA82" s="9">
        <f t="shared" si="50"/>
        <v>19.999200000000002</v>
      </c>
      <c r="AB82" s="9">
        <f t="shared" si="66"/>
        <v>24</v>
      </c>
      <c r="AD82" s="5">
        <f t="shared" si="67"/>
        <v>12</v>
      </c>
      <c r="AE82" s="5">
        <f t="shared" si="68"/>
        <v>16.000799999999998</v>
      </c>
      <c r="AF82" s="5">
        <f t="shared" si="51"/>
        <v>19.999200000000002</v>
      </c>
      <c r="AG82" s="5">
        <f t="shared" si="69"/>
        <v>24</v>
      </c>
      <c r="AH82" s="5">
        <f t="shared" si="70"/>
        <v>11.99952</v>
      </c>
      <c r="AI82" s="5">
        <f t="shared" si="71"/>
        <v>15.999360000000003</v>
      </c>
      <c r="AJ82" s="5">
        <f t="shared" si="52"/>
        <v>19.999200000000002</v>
      </c>
      <c r="AK82" s="5">
        <f t="shared" si="72"/>
        <v>23.999040000000001</v>
      </c>
    </row>
    <row r="83" spans="1:37" x14ac:dyDescent="0.25">
      <c r="A83" t="s">
        <v>21</v>
      </c>
      <c r="B83" s="2">
        <v>42986</v>
      </c>
      <c r="C83">
        <v>251</v>
      </c>
      <c r="D83" s="3" t="s">
        <v>56</v>
      </c>
      <c r="E83" s="5">
        <f t="shared" si="49"/>
        <v>19.999200000000002</v>
      </c>
      <c r="F83" s="5">
        <f t="shared" si="73"/>
        <v>0.78737007874015763</v>
      </c>
      <c r="G83" s="5">
        <f t="shared" si="49"/>
        <v>19.999200000000002</v>
      </c>
      <c r="H83" s="5">
        <f t="shared" si="74"/>
        <v>0.78737007874015763</v>
      </c>
      <c r="J83" s="2"/>
      <c r="K83" s="7"/>
      <c r="M83" s="9">
        <f t="shared" si="55"/>
        <v>12</v>
      </c>
      <c r="N83" s="9">
        <f t="shared" si="56"/>
        <v>16.000799999999998</v>
      </c>
      <c r="O83" s="9">
        <f t="shared" si="50"/>
        <v>19.999200000000002</v>
      </c>
      <c r="P83" s="9">
        <f t="shared" si="57"/>
        <v>24</v>
      </c>
      <c r="Q83" s="9">
        <f t="shared" si="58"/>
        <v>12</v>
      </c>
      <c r="R83" s="9">
        <f t="shared" si="59"/>
        <v>16.000799999999998</v>
      </c>
      <c r="S83" s="9">
        <f t="shared" si="50"/>
        <v>19.999200000000002</v>
      </c>
      <c r="T83" s="9">
        <f t="shared" si="60"/>
        <v>24</v>
      </c>
      <c r="U83" s="9">
        <f t="shared" si="61"/>
        <v>12</v>
      </c>
      <c r="V83" s="9">
        <f t="shared" si="62"/>
        <v>16.000799999999998</v>
      </c>
      <c r="W83" s="9">
        <f t="shared" si="50"/>
        <v>19.999200000000002</v>
      </c>
      <c r="X83" s="9">
        <f t="shared" si="63"/>
        <v>24</v>
      </c>
      <c r="Y83" s="9">
        <f t="shared" si="64"/>
        <v>12</v>
      </c>
      <c r="Z83" s="9">
        <f t="shared" si="65"/>
        <v>16.000799999999998</v>
      </c>
      <c r="AA83" s="9">
        <f t="shared" si="50"/>
        <v>19.999200000000002</v>
      </c>
      <c r="AB83" s="9">
        <f t="shared" si="66"/>
        <v>24</v>
      </c>
      <c r="AD83" s="5">
        <f t="shared" si="67"/>
        <v>12</v>
      </c>
      <c r="AE83" s="5">
        <f t="shared" si="68"/>
        <v>16.000799999999998</v>
      </c>
      <c r="AF83" s="5">
        <f t="shared" si="51"/>
        <v>19.999200000000002</v>
      </c>
      <c r="AG83" s="5">
        <f t="shared" si="69"/>
        <v>24</v>
      </c>
      <c r="AH83" s="5">
        <f t="shared" si="70"/>
        <v>11.99952</v>
      </c>
      <c r="AI83" s="5">
        <f t="shared" si="71"/>
        <v>15.999360000000003</v>
      </c>
      <c r="AJ83" s="5">
        <f t="shared" si="52"/>
        <v>19.999200000000002</v>
      </c>
      <c r="AK83" s="5">
        <f t="shared" si="72"/>
        <v>23.999040000000001</v>
      </c>
    </row>
    <row r="84" spans="1:37" x14ac:dyDescent="0.25">
      <c r="B84" s="2"/>
      <c r="E84" s="5">
        <f>SUM(E44:E83)</f>
        <v>870.33439999999962</v>
      </c>
      <c r="F84" s="5">
        <f t="shared" ref="F84:H84" si="75">SUM(F44:F83)</f>
        <v>34.265133858267717</v>
      </c>
      <c r="G84" s="5">
        <f t="shared" si="75"/>
        <v>744.54519999999991</v>
      </c>
      <c r="H84" s="5">
        <f t="shared" si="75"/>
        <v>29.312803149606296</v>
      </c>
      <c r="J84" s="2"/>
      <c r="K84" s="7"/>
    </row>
    <row r="85" spans="1:37" x14ac:dyDescent="0.25">
      <c r="E85" s="5">
        <f>SUM(E21:E28,E31:E41,E44:E83)</f>
        <v>1254.2343999999996</v>
      </c>
      <c r="F85" s="5">
        <f t="shared" ref="F85:H85" si="76">SUM(F21:F28,F31:F41,F44:F83)</f>
        <v>49.379307086614205</v>
      </c>
      <c r="G85" s="5">
        <f t="shared" si="76"/>
        <v>1172.4451999999999</v>
      </c>
      <c r="H85" s="5">
        <f t="shared" si="76"/>
        <v>46.159259842519702</v>
      </c>
      <c r="J85" s="2"/>
      <c r="K85" s="7"/>
      <c r="L85" t="s">
        <v>21</v>
      </c>
      <c r="M85" s="5">
        <f>SUM(M44:M83)</f>
        <v>547.70000000000005</v>
      </c>
      <c r="N85" s="5">
        <f t="shared" ref="N85:AK85" si="77">SUM(N44:N83)</f>
        <v>638.38480000000027</v>
      </c>
      <c r="O85" s="5">
        <f t="shared" si="77"/>
        <v>729.01519999999982</v>
      </c>
      <c r="P85" s="5">
        <f t="shared" si="77"/>
        <v>819.7</v>
      </c>
      <c r="Q85" s="5">
        <f t="shared" si="77"/>
        <v>618.38080000000002</v>
      </c>
      <c r="R85" s="5">
        <f t="shared" si="77"/>
        <v>709.06560000000025</v>
      </c>
      <c r="S85" s="5">
        <f t="shared" si="77"/>
        <v>799.69599999999969</v>
      </c>
      <c r="T85" s="5">
        <f t="shared" si="77"/>
        <v>890.38080000000002</v>
      </c>
      <c r="U85" s="5">
        <f t="shared" si="77"/>
        <v>689.01919999999996</v>
      </c>
      <c r="V85" s="5">
        <f t="shared" si="77"/>
        <v>779.70400000000029</v>
      </c>
      <c r="W85" s="5">
        <f t="shared" si="77"/>
        <v>870.33439999999962</v>
      </c>
      <c r="X85" s="5">
        <f t="shared" si="77"/>
        <v>961.01919999999996</v>
      </c>
      <c r="Y85" s="5">
        <f t="shared" si="77"/>
        <v>759.7</v>
      </c>
      <c r="Z85" s="5">
        <f t="shared" si="77"/>
        <v>850.38480000000027</v>
      </c>
      <c r="AA85" s="5">
        <f t="shared" si="77"/>
        <v>941.01519999999971</v>
      </c>
      <c r="AB85" s="5">
        <f t="shared" si="77"/>
        <v>1031.7</v>
      </c>
      <c r="AC85" s="5"/>
      <c r="AD85" s="5">
        <f t="shared" si="77"/>
        <v>547.70000000000005</v>
      </c>
      <c r="AE85" s="5">
        <f t="shared" si="77"/>
        <v>709.06560000000025</v>
      </c>
      <c r="AF85" s="5">
        <f t="shared" si="77"/>
        <v>870.33439999999962</v>
      </c>
      <c r="AG85" s="5">
        <f t="shared" si="77"/>
        <v>1031.7</v>
      </c>
      <c r="AH85" s="5">
        <f t="shared" si="77"/>
        <v>465.80712000000011</v>
      </c>
      <c r="AI85" s="5">
        <f t="shared" si="77"/>
        <v>605.17616000000032</v>
      </c>
      <c r="AJ85" s="5">
        <f t="shared" si="77"/>
        <v>744.54519999999991</v>
      </c>
      <c r="AK85" s="5">
        <f t="shared" si="77"/>
        <v>883.91424000000029</v>
      </c>
    </row>
    <row r="86" spans="1:37" x14ac:dyDescent="0.25">
      <c r="J86" s="2"/>
      <c r="K86" s="7"/>
      <c r="L86" t="s">
        <v>102</v>
      </c>
      <c r="M86" s="5">
        <f>M85+$E$40+$E$38</f>
        <v>579.6</v>
      </c>
      <c r="N86" s="5">
        <f t="shared" ref="N86:AB86" si="78">N85+$E$40+$E$38</f>
        <v>670.28480000000025</v>
      </c>
      <c r="O86" s="5">
        <f t="shared" si="78"/>
        <v>760.9151999999998</v>
      </c>
      <c r="P86" s="5">
        <f t="shared" si="78"/>
        <v>851.6</v>
      </c>
      <c r="Q86" s="5">
        <f t="shared" si="78"/>
        <v>650.2808</v>
      </c>
      <c r="R86" s="5">
        <f t="shared" si="78"/>
        <v>740.96560000000022</v>
      </c>
      <c r="S86" s="5">
        <f t="shared" si="78"/>
        <v>831.59599999999966</v>
      </c>
      <c r="T86" s="5">
        <f t="shared" si="78"/>
        <v>922.2808</v>
      </c>
      <c r="U86" s="5">
        <f t="shared" si="78"/>
        <v>720.91919999999993</v>
      </c>
      <c r="V86" s="5">
        <f t="shared" si="78"/>
        <v>811.60400000000027</v>
      </c>
      <c r="W86" s="5">
        <f t="shared" si="78"/>
        <v>902.2343999999996</v>
      </c>
      <c r="X86" s="5">
        <f t="shared" si="78"/>
        <v>992.91919999999993</v>
      </c>
      <c r="Y86" s="5">
        <f t="shared" si="78"/>
        <v>791.6</v>
      </c>
      <c r="Z86" s="5">
        <f t="shared" si="78"/>
        <v>882.28480000000025</v>
      </c>
      <c r="AA86" s="5">
        <f t="shared" si="78"/>
        <v>972.91519999999969</v>
      </c>
      <c r="AB86" s="5">
        <f t="shared" si="78"/>
        <v>1063.6000000000001</v>
      </c>
    </row>
    <row r="87" spans="1:37" x14ac:dyDescent="0.25">
      <c r="E87" s="5">
        <f>SUM(E85+K81)</f>
        <v>1313.9983999999995</v>
      </c>
      <c r="K87" t="s">
        <v>107</v>
      </c>
      <c r="L87" t="s">
        <v>103</v>
      </c>
      <c r="M87" s="5">
        <f>$E$29</f>
        <v>264</v>
      </c>
      <c r="N87" s="5">
        <f t="shared" ref="N87:AB87" si="79">$E$29</f>
        <v>264</v>
      </c>
      <c r="O87" s="5">
        <f t="shared" si="79"/>
        <v>264</v>
      </c>
      <c r="P87" s="5">
        <f t="shared" si="79"/>
        <v>264</v>
      </c>
      <c r="Q87" s="5">
        <f t="shared" si="79"/>
        <v>264</v>
      </c>
      <c r="R87" s="5">
        <f t="shared" si="79"/>
        <v>264</v>
      </c>
      <c r="S87" s="5">
        <f t="shared" si="79"/>
        <v>264</v>
      </c>
      <c r="T87" s="5">
        <f t="shared" si="79"/>
        <v>264</v>
      </c>
      <c r="U87" s="5">
        <f t="shared" si="79"/>
        <v>264</v>
      </c>
      <c r="V87" s="5">
        <f t="shared" si="79"/>
        <v>264</v>
      </c>
      <c r="W87" s="5">
        <f t="shared" si="79"/>
        <v>264</v>
      </c>
      <c r="X87" s="5">
        <f t="shared" si="79"/>
        <v>264</v>
      </c>
      <c r="Y87" s="5">
        <f t="shared" si="79"/>
        <v>264</v>
      </c>
      <c r="Z87" s="5">
        <f t="shared" si="79"/>
        <v>264</v>
      </c>
      <c r="AA87" s="5">
        <f t="shared" si="79"/>
        <v>264</v>
      </c>
      <c r="AB87" s="5">
        <f t="shared" si="79"/>
        <v>264</v>
      </c>
      <c r="AC87" s="5"/>
      <c r="AD87" s="5"/>
      <c r="AE87" s="5"/>
      <c r="AF87" s="5"/>
      <c r="AG87" s="5"/>
      <c r="AH87" s="5"/>
      <c r="AI87" s="5"/>
      <c r="AJ87" s="5"/>
      <c r="AK87" s="5"/>
    </row>
    <row r="88" spans="1:37" x14ac:dyDescent="0.25">
      <c r="K88" t="s">
        <v>108</v>
      </c>
      <c r="L88" t="s">
        <v>104</v>
      </c>
      <c r="M88" s="5">
        <f>$E$42+M44</f>
        <v>135.9</v>
      </c>
      <c r="N88" s="5">
        <f t="shared" ref="N88:AB88" si="80">$E$42+N44</f>
        <v>135.9</v>
      </c>
      <c r="O88" s="5">
        <f t="shared" si="80"/>
        <v>135.9</v>
      </c>
      <c r="P88" s="5">
        <f t="shared" si="80"/>
        <v>135.9</v>
      </c>
      <c r="Q88" s="5">
        <f t="shared" si="80"/>
        <v>135.9</v>
      </c>
      <c r="R88" s="5">
        <f t="shared" si="80"/>
        <v>135.9</v>
      </c>
      <c r="S88" s="5">
        <f t="shared" si="80"/>
        <v>135.9</v>
      </c>
      <c r="T88" s="5">
        <f t="shared" si="80"/>
        <v>135.9</v>
      </c>
      <c r="U88" s="5">
        <f t="shared" si="80"/>
        <v>135.9</v>
      </c>
      <c r="V88" s="5">
        <f t="shared" si="80"/>
        <v>135.9</v>
      </c>
      <c r="W88" s="5">
        <f t="shared" si="80"/>
        <v>135.9</v>
      </c>
      <c r="X88" s="5">
        <f t="shared" si="80"/>
        <v>135.9</v>
      </c>
      <c r="Y88" s="5">
        <f t="shared" si="80"/>
        <v>135.9</v>
      </c>
      <c r="Z88" s="5">
        <f t="shared" si="80"/>
        <v>135.9</v>
      </c>
      <c r="AA88" s="5">
        <f t="shared" si="80"/>
        <v>135.9</v>
      </c>
      <c r="AB88" s="5">
        <f t="shared" si="80"/>
        <v>135.9</v>
      </c>
    </row>
    <row r="89" spans="1:37" x14ac:dyDescent="0.25">
      <c r="E89" s="5">
        <f>SUM(E21:E28,E31:E41,E44:E56)</f>
        <v>661.69079999999997</v>
      </c>
      <c r="K89" t="s">
        <v>109</v>
      </c>
      <c r="L89" t="s">
        <v>105</v>
      </c>
      <c r="M89" s="5">
        <f>SUM(M45:M62)</f>
        <v>259.70000000000005</v>
      </c>
      <c r="N89" s="5">
        <f t="shared" ref="N89:AB89" si="81">SUM(N45:N62)</f>
        <v>259.70000000000005</v>
      </c>
      <c r="O89" s="5">
        <f t="shared" si="81"/>
        <v>259.70000000000005</v>
      </c>
      <c r="P89" s="5">
        <f t="shared" si="81"/>
        <v>259.70000000000005</v>
      </c>
      <c r="Q89" s="5">
        <f t="shared" si="81"/>
        <v>330.38080000000002</v>
      </c>
      <c r="R89" s="5">
        <f t="shared" si="81"/>
        <v>330.38080000000002</v>
      </c>
      <c r="S89" s="5">
        <f t="shared" si="81"/>
        <v>330.38080000000002</v>
      </c>
      <c r="T89" s="5">
        <f t="shared" si="81"/>
        <v>330.38080000000002</v>
      </c>
      <c r="U89" s="5">
        <f t="shared" si="81"/>
        <v>401.01919999999996</v>
      </c>
      <c r="V89" s="5">
        <f t="shared" si="81"/>
        <v>401.01919999999996</v>
      </c>
      <c r="W89" s="5">
        <f t="shared" si="81"/>
        <v>401.01919999999996</v>
      </c>
      <c r="X89" s="5">
        <f t="shared" si="81"/>
        <v>401.01919999999996</v>
      </c>
      <c r="Y89" s="5">
        <f t="shared" si="81"/>
        <v>471.7</v>
      </c>
      <c r="Z89" s="5">
        <f t="shared" si="81"/>
        <v>471.7</v>
      </c>
      <c r="AA89" s="5">
        <f t="shared" si="81"/>
        <v>471.7</v>
      </c>
      <c r="AB89" s="5">
        <f t="shared" si="81"/>
        <v>471.7</v>
      </c>
    </row>
    <row r="90" spans="1:37" x14ac:dyDescent="0.25">
      <c r="K90" t="s">
        <v>110</v>
      </c>
      <c r="L90" t="s">
        <v>106</v>
      </c>
      <c r="M90" s="5">
        <f>SUM(M63:M83)</f>
        <v>272</v>
      </c>
      <c r="N90" s="5">
        <f t="shared" ref="N90:AB90" si="82">SUM(N63:N83)</f>
        <v>362.68480000000011</v>
      </c>
      <c r="O90" s="5">
        <f t="shared" si="82"/>
        <v>453.31519999999989</v>
      </c>
      <c r="P90" s="5">
        <f t="shared" si="82"/>
        <v>544</v>
      </c>
      <c r="Q90" s="5">
        <f t="shared" si="82"/>
        <v>272</v>
      </c>
      <c r="R90" s="5">
        <f t="shared" si="82"/>
        <v>362.68480000000011</v>
      </c>
      <c r="S90" s="5">
        <f t="shared" si="82"/>
        <v>453.31519999999989</v>
      </c>
      <c r="T90" s="5">
        <f t="shared" si="82"/>
        <v>544</v>
      </c>
      <c r="U90" s="5">
        <f t="shared" si="82"/>
        <v>272</v>
      </c>
      <c r="V90" s="5">
        <f t="shared" si="82"/>
        <v>362.68480000000011</v>
      </c>
      <c r="W90" s="5">
        <f t="shared" si="82"/>
        <v>453.31519999999989</v>
      </c>
      <c r="X90" s="5">
        <f t="shared" si="82"/>
        <v>544</v>
      </c>
      <c r="Y90" s="5">
        <f t="shared" si="82"/>
        <v>272</v>
      </c>
      <c r="Z90" s="5">
        <f t="shared" si="82"/>
        <v>362.68480000000011</v>
      </c>
      <c r="AA90" s="5">
        <f t="shared" si="82"/>
        <v>453.31519999999989</v>
      </c>
      <c r="AB90" s="5">
        <f t="shared" si="82"/>
        <v>544</v>
      </c>
    </row>
    <row r="91" spans="1:37" x14ac:dyDescent="0.25">
      <c r="E91">
        <f>E87/25.4</f>
        <v>51.732220472440929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37" x14ac:dyDescent="0.25">
      <c r="L92" t="s">
        <v>101</v>
      </c>
      <c r="M92" s="5">
        <f>SUM(M87:M90)</f>
        <v>931.6</v>
      </c>
      <c r="N92" s="5">
        <f t="shared" ref="N92:AB92" si="83">SUM(N87:N90)</f>
        <v>1022.2848000000001</v>
      </c>
      <c r="O92" s="5">
        <f t="shared" si="83"/>
        <v>1112.9151999999999</v>
      </c>
      <c r="P92" s="5">
        <f t="shared" si="83"/>
        <v>1203.5999999999999</v>
      </c>
      <c r="Q92" s="5">
        <f t="shared" si="83"/>
        <v>1002.2808</v>
      </c>
      <c r="R92" s="5">
        <f t="shared" si="83"/>
        <v>1092.9656</v>
      </c>
      <c r="S92" s="5">
        <f t="shared" si="83"/>
        <v>1183.596</v>
      </c>
      <c r="T92" s="5">
        <f t="shared" si="83"/>
        <v>1274.2808</v>
      </c>
      <c r="U92" s="5">
        <f t="shared" si="83"/>
        <v>1072.9191999999998</v>
      </c>
      <c r="V92" s="5">
        <f t="shared" si="83"/>
        <v>1163.604</v>
      </c>
      <c r="W92" s="5">
        <f t="shared" si="83"/>
        <v>1254.2343999999998</v>
      </c>
      <c r="X92" s="5">
        <f t="shared" si="83"/>
        <v>1344.9191999999998</v>
      </c>
      <c r="Y92" s="5">
        <f t="shared" si="83"/>
        <v>1143.5999999999999</v>
      </c>
      <c r="Z92" s="5">
        <f t="shared" si="83"/>
        <v>1234.2847999999999</v>
      </c>
      <c r="AA92" s="5">
        <f t="shared" si="83"/>
        <v>1324.9151999999999</v>
      </c>
      <c r="AB92" s="5">
        <f t="shared" si="83"/>
        <v>1415.6</v>
      </c>
    </row>
    <row r="93" spans="1:37" x14ac:dyDescent="0.25">
      <c r="H93">
        <f>10*25.4</f>
        <v>254</v>
      </c>
      <c r="M93" s="5" t="s">
        <v>76</v>
      </c>
      <c r="N93" s="5" t="s">
        <v>77</v>
      </c>
      <c r="O93" t="s">
        <v>78</v>
      </c>
      <c r="P93" t="s">
        <v>79</v>
      </c>
      <c r="Q93" t="s">
        <v>80</v>
      </c>
      <c r="R93" t="s">
        <v>81</v>
      </c>
      <c r="S93" t="s">
        <v>82</v>
      </c>
      <c r="T93" t="s">
        <v>83</v>
      </c>
      <c r="U93" t="s">
        <v>84</v>
      </c>
      <c r="V93" t="s">
        <v>85</v>
      </c>
      <c r="W93" t="s">
        <v>86</v>
      </c>
      <c r="X93" t="s">
        <v>87</v>
      </c>
      <c r="Y93" t="s">
        <v>88</v>
      </c>
      <c r="Z93" t="s">
        <v>89</v>
      </c>
      <c r="AA93" t="s">
        <v>90</v>
      </c>
      <c r="AB93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10.7109375" bestFit="1" customWidth="1"/>
  </cols>
  <sheetData>
    <row r="1" spans="1:2" x14ac:dyDescent="0.25">
      <c r="A1">
        <v>2017</v>
      </c>
    </row>
    <row r="3" spans="1:2" x14ac:dyDescent="0.25">
      <c r="A3" s="2">
        <v>42797</v>
      </c>
      <c r="B3" t="s">
        <v>34</v>
      </c>
    </row>
    <row r="4" spans="1:2" x14ac:dyDescent="0.25">
      <c r="A4" s="2">
        <v>42809</v>
      </c>
      <c r="B4" t="s">
        <v>0</v>
      </c>
    </row>
    <row r="5" spans="1:2" x14ac:dyDescent="0.25">
      <c r="A5" s="2">
        <v>42810</v>
      </c>
      <c r="B5" t="s">
        <v>35</v>
      </c>
    </row>
    <row r="6" spans="1:2" x14ac:dyDescent="0.25">
      <c r="A6" t="s">
        <v>36</v>
      </c>
      <c r="B6" t="s">
        <v>37</v>
      </c>
    </row>
    <row r="7" spans="1:2" x14ac:dyDescent="0.25">
      <c r="A7" s="2">
        <v>42812</v>
      </c>
      <c r="B7" t="s">
        <v>2</v>
      </c>
    </row>
    <row r="8" spans="1:2" x14ac:dyDescent="0.25">
      <c r="A8" s="2">
        <v>42814</v>
      </c>
      <c r="B8" t="s">
        <v>28</v>
      </c>
    </row>
    <row r="9" spans="1:2" x14ac:dyDescent="0.25">
      <c r="A9" s="2">
        <v>42815</v>
      </c>
      <c r="B9" t="s">
        <v>38</v>
      </c>
    </row>
    <row r="10" spans="1:2" x14ac:dyDescent="0.25">
      <c r="A10" s="2">
        <v>42816</v>
      </c>
      <c r="B10" t="s">
        <v>39</v>
      </c>
    </row>
    <row r="11" spans="1:2" x14ac:dyDescent="0.25">
      <c r="A11" s="2">
        <v>42825</v>
      </c>
      <c r="B11" t="s">
        <v>44</v>
      </c>
    </row>
    <row r="12" spans="1:2" x14ac:dyDescent="0.25">
      <c r="A12" s="2">
        <v>42839</v>
      </c>
      <c r="B12" t="s">
        <v>46</v>
      </c>
    </row>
    <row r="13" spans="1:2" x14ac:dyDescent="0.25">
      <c r="A13" s="2">
        <v>42842</v>
      </c>
      <c r="B13" t="s">
        <v>45</v>
      </c>
    </row>
    <row r="14" spans="1:2" x14ac:dyDescent="0.25">
      <c r="A14" s="2">
        <v>42843</v>
      </c>
      <c r="B14" t="s">
        <v>47</v>
      </c>
    </row>
    <row r="15" spans="1:2" x14ac:dyDescent="0.25">
      <c r="A15" s="2">
        <v>42844</v>
      </c>
      <c r="B15" t="s">
        <v>48</v>
      </c>
    </row>
    <row r="16" spans="1:2" x14ac:dyDescent="0.25">
      <c r="A16" s="2" t="s">
        <v>52</v>
      </c>
      <c r="B16" t="s">
        <v>53</v>
      </c>
    </row>
    <row r="17" spans="1:2" x14ac:dyDescent="0.25">
      <c r="A17" s="2">
        <v>42865</v>
      </c>
      <c r="B17" t="s">
        <v>50</v>
      </c>
    </row>
    <row r="18" spans="1:2" x14ac:dyDescent="0.25">
      <c r="A18" s="2">
        <v>42893</v>
      </c>
      <c r="B18" t="s">
        <v>57</v>
      </c>
    </row>
    <row r="19" spans="1:2" x14ac:dyDescent="0.25">
      <c r="A19" s="2">
        <v>42957</v>
      </c>
      <c r="B19" t="s">
        <v>23</v>
      </c>
    </row>
    <row r="20" spans="1:2" x14ac:dyDescent="0.25">
      <c r="A20" s="2">
        <v>42957</v>
      </c>
      <c r="B20" t="s">
        <v>24</v>
      </c>
    </row>
    <row r="21" spans="1:2" x14ac:dyDescent="0.25">
      <c r="A21" s="2">
        <v>42965</v>
      </c>
      <c r="B21" t="s">
        <v>66</v>
      </c>
    </row>
    <row r="22" spans="1:2" x14ac:dyDescent="0.25">
      <c r="A22" s="2">
        <v>43011</v>
      </c>
      <c r="B22" t="s">
        <v>67</v>
      </c>
    </row>
    <row r="23" spans="1:2" x14ac:dyDescent="0.25">
      <c r="A23" s="2">
        <v>43028</v>
      </c>
      <c r="B23" t="s">
        <v>68</v>
      </c>
    </row>
    <row r="24" spans="1:2" x14ac:dyDescent="0.25">
      <c r="A24" s="2">
        <v>43047</v>
      </c>
      <c r="B24" t="s">
        <v>69</v>
      </c>
    </row>
    <row r="25" spans="1:2" x14ac:dyDescent="0.25">
      <c r="A25" s="2">
        <v>43048</v>
      </c>
      <c r="B25" t="s">
        <v>70</v>
      </c>
    </row>
    <row r="26" spans="1:2" x14ac:dyDescent="0.25">
      <c r="A26" s="2" t="s">
        <v>72</v>
      </c>
      <c r="B26" t="s">
        <v>73</v>
      </c>
    </row>
    <row r="27" spans="1:2" x14ac:dyDescent="0.25">
      <c r="A27" s="2">
        <v>43056</v>
      </c>
      <c r="B27" t="s">
        <v>71</v>
      </c>
    </row>
    <row r="28" spans="1:2" x14ac:dyDescent="0.25">
      <c r="A28" s="2">
        <v>43066</v>
      </c>
      <c r="B28" t="s">
        <v>25</v>
      </c>
    </row>
    <row r="29" spans="1:2" x14ac:dyDescent="0.25">
      <c r="A29" s="2">
        <v>43068</v>
      </c>
      <c r="B29" t="s">
        <v>26</v>
      </c>
    </row>
    <row r="30" spans="1:2" x14ac:dyDescent="0.25">
      <c r="A30" s="2">
        <v>43070</v>
      </c>
      <c r="B30" t="s">
        <v>27</v>
      </c>
    </row>
    <row r="31" spans="1:2" x14ac:dyDescent="0.25">
      <c r="A31" s="2">
        <v>43074</v>
      </c>
      <c r="B31" t="s">
        <v>74</v>
      </c>
    </row>
    <row r="32" spans="1:2" x14ac:dyDescent="0.25">
      <c r="A32" s="2">
        <v>43074</v>
      </c>
      <c r="B32" t="s">
        <v>2</v>
      </c>
    </row>
    <row r="33" spans="1:2" x14ac:dyDescent="0.25">
      <c r="A33" s="2">
        <v>43076</v>
      </c>
      <c r="B33" t="s">
        <v>1</v>
      </c>
    </row>
    <row r="34" spans="1:2" x14ac:dyDescent="0.25">
      <c r="A34" s="2">
        <v>43080</v>
      </c>
      <c r="B34" t="s">
        <v>29</v>
      </c>
    </row>
    <row r="35" spans="1:2" x14ac:dyDescent="0.25">
      <c r="A35" s="2">
        <v>43081</v>
      </c>
      <c r="B35" t="s">
        <v>2</v>
      </c>
    </row>
    <row r="36" spans="1:2" x14ac:dyDescent="0.25">
      <c r="A36" s="2">
        <v>43083</v>
      </c>
      <c r="B3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25D4-96E9-427D-AAFF-DFA03771B410}">
  <dimension ref="A1:R57"/>
  <sheetViews>
    <sheetView workbookViewId="0"/>
  </sheetViews>
  <sheetFormatPr defaultRowHeight="15" x14ac:dyDescent="0.25"/>
  <sheetData>
    <row r="1" spans="1:18" x14ac:dyDescent="0.25">
      <c r="A1" t="s">
        <v>112</v>
      </c>
      <c r="B1" t="s">
        <v>6</v>
      </c>
      <c r="C1" s="5" t="s">
        <v>76</v>
      </c>
      <c r="D1" s="5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</row>
    <row r="2" spans="1:18" x14ac:dyDescent="0.25">
      <c r="A2">
        <v>2017</v>
      </c>
      <c r="B2" s="8">
        <v>81</v>
      </c>
      <c r="C2" s="5">
        <v>8</v>
      </c>
      <c r="D2" s="5">
        <v>8</v>
      </c>
      <c r="E2" s="5">
        <v>8</v>
      </c>
      <c r="F2" s="5">
        <v>8</v>
      </c>
      <c r="G2" s="5">
        <v>8</v>
      </c>
      <c r="H2" s="5">
        <v>8</v>
      </c>
      <c r="I2" s="5">
        <v>8</v>
      </c>
      <c r="J2" s="5">
        <v>8</v>
      </c>
      <c r="K2" s="5">
        <v>8</v>
      </c>
      <c r="L2" s="5">
        <v>8</v>
      </c>
      <c r="M2" s="5">
        <v>8</v>
      </c>
      <c r="N2" s="5">
        <v>8</v>
      </c>
      <c r="O2" s="5">
        <v>8</v>
      </c>
      <c r="P2" s="5">
        <v>8</v>
      </c>
      <c r="Q2" s="5">
        <v>8</v>
      </c>
      <c r="R2" s="5">
        <v>8</v>
      </c>
    </row>
    <row r="3" spans="1:18" x14ac:dyDescent="0.25">
      <c r="A3">
        <v>2017</v>
      </c>
      <c r="B3" s="8">
        <v>82</v>
      </c>
      <c r="C3" s="5">
        <v>36</v>
      </c>
      <c r="D3" s="5">
        <v>36</v>
      </c>
      <c r="E3" s="5">
        <v>36</v>
      </c>
      <c r="F3" s="5">
        <v>36</v>
      </c>
      <c r="G3" s="5">
        <v>36</v>
      </c>
      <c r="H3" s="5">
        <v>36</v>
      </c>
      <c r="I3" s="5">
        <v>36</v>
      </c>
      <c r="J3" s="5">
        <v>36</v>
      </c>
      <c r="K3" s="5">
        <v>36</v>
      </c>
      <c r="L3" s="5">
        <v>36</v>
      </c>
      <c r="M3" s="5">
        <v>36</v>
      </c>
      <c r="N3" s="5">
        <v>36</v>
      </c>
      <c r="O3" s="5">
        <v>36</v>
      </c>
      <c r="P3" s="5">
        <v>36</v>
      </c>
      <c r="Q3" s="5">
        <v>36</v>
      </c>
      <c r="R3" s="5">
        <v>36</v>
      </c>
    </row>
    <row r="4" spans="1:18" x14ac:dyDescent="0.25">
      <c r="A4">
        <v>2017</v>
      </c>
      <c r="B4" s="8">
        <v>83</v>
      </c>
      <c r="C4" s="5">
        <v>40</v>
      </c>
      <c r="D4" s="5">
        <v>40</v>
      </c>
      <c r="E4" s="5">
        <v>40</v>
      </c>
      <c r="F4" s="5">
        <v>40</v>
      </c>
      <c r="G4" s="5">
        <v>40</v>
      </c>
      <c r="H4" s="5">
        <v>40</v>
      </c>
      <c r="I4" s="5">
        <v>40</v>
      </c>
      <c r="J4" s="5">
        <v>40</v>
      </c>
      <c r="K4" s="5">
        <v>40</v>
      </c>
      <c r="L4" s="5">
        <v>40</v>
      </c>
      <c r="M4" s="5">
        <v>40</v>
      </c>
      <c r="N4" s="5">
        <v>40</v>
      </c>
      <c r="O4" s="5">
        <v>40</v>
      </c>
      <c r="P4" s="5">
        <v>40</v>
      </c>
      <c r="Q4" s="5">
        <v>40</v>
      </c>
      <c r="R4" s="5">
        <v>40</v>
      </c>
    </row>
    <row r="5" spans="1:18" x14ac:dyDescent="0.25">
      <c r="A5">
        <v>2017</v>
      </c>
      <c r="B5" s="8">
        <v>86</v>
      </c>
      <c r="C5" s="5">
        <v>32</v>
      </c>
      <c r="D5" s="5">
        <v>32</v>
      </c>
      <c r="E5" s="5">
        <v>32</v>
      </c>
      <c r="F5" s="5">
        <v>32</v>
      </c>
      <c r="G5" s="5">
        <v>32</v>
      </c>
      <c r="H5" s="5">
        <v>32</v>
      </c>
      <c r="I5" s="5">
        <v>32</v>
      </c>
      <c r="J5" s="5">
        <v>32</v>
      </c>
      <c r="K5" s="5">
        <v>32</v>
      </c>
      <c r="L5" s="5">
        <v>32</v>
      </c>
      <c r="M5" s="5">
        <v>32</v>
      </c>
      <c r="N5" s="5">
        <v>32</v>
      </c>
      <c r="O5" s="5">
        <v>32</v>
      </c>
      <c r="P5" s="5">
        <v>32</v>
      </c>
      <c r="Q5" s="5">
        <v>32</v>
      </c>
      <c r="R5" s="5">
        <v>32</v>
      </c>
    </row>
    <row r="6" spans="1:18" x14ac:dyDescent="0.25">
      <c r="A6">
        <v>2017</v>
      </c>
      <c r="B6" s="8">
        <v>87</v>
      </c>
      <c r="C6" s="5">
        <v>40</v>
      </c>
      <c r="D6" s="5">
        <v>40</v>
      </c>
      <c r="E6" s="5">
        <v>40</v>
      </c>
      <c r="F6" s="5">
        <v>40</v>
      </c>
      <c r="G6" s="5">
        <v>40</v>
      </c>
      <c r="H6" s="5">
        <v>40</v>
      </c>
      <c r="I6" s="5">
        <v>40</v>
      </c>
      <c r="J6" s="5">
        <v>40</v>
      </c>
      <c r="K6" s="5">
        <v>40</v>
      </c>
      <c r="L6" s="5">
        <v>40</v>
      </c>
      <c r="M6" s="5">
        <v>40</v>
      </c>
      <c r="N6" s="5">
        <v>40</v>
      </c>
      <c r="O6" s="5">
        <v>40</v>
      </c>
      <c r="P6" s="5">
        <v>40</v>
      </c>
      <c r="Q6" s="5">
        <v>40</v>
      </c>
      <c r="R6" s="5">
        <v>40</v>
      </c>
    </row>
    <row r="7" spans="1:18" x14ac:dyDescent="0.25">
      <c r="A7">
        <v>2017</v>
      </c>
      <c r="B7" s="8">
        <v>88</v>
      </c>
      <c r="C7" s="5">
        <v>40</v>
      </c>
      <c r="D7" s="5">
        <v>40</v>
      </c>
      <c r="E7" s="5">
        <v>40</v>
      </c>
      <c r="F7" s="5">
        <v>40</v>
      </c>
      <c r="G7" s="5">
        <v>40</v>
      </c>
      <c r="H7" s="5">
        <v>40</v>
      </c>
      <c r="I7" s="5">
        <v>40</v>
      </c>
      <c r="J7" s="5">
        <v>40</v>
      </c>
      <c r="K7" s="5">
        <v>40</v>
      </c>
      <c r="L7" s="5">
        <v>40</v>
      </c>
      <c r="M7" s="5">
        <v>40</v>
      </c>
      <c r="N7" s="5">
        <v>40</v>
      </c>
      <c r="O7" s="5">
        <v>40</v>
      </c>
      <c r="P7" s="5">
        <v>40</v>
      </c>
      <c r="Q7" s="5">
        <v>40</v>
      </c>
      <c r="R7" s="5">
        <v>40</v>
      </c>
    </row>
    <row r="8" spans="1:18" x14ac:dyDescent="0.25">
      <c r="A8">
        <v>2017</v>
      </c>
      <c r="B8" s="8">
        <v>89</v>
      </c>
      <c r="C8" s="5">
        <v>36</v>
      </c>
      <c r="D8" s="5">
        <v>36</v>
      </c>
      <c r="E8" s="5">
        <v>36</v>
      </c>
      <c r="F8" s="5">
        <v>36</v>
      </c>
      <c r="G8" s="5">
        <v>36</v>
      </c>
      <c r="H8" s="5">
        <v>36</v>
      </c>
      <c r="I8" s="5">
        <v>36</v>
      </c>
      <c r="J8" s="5">
        <v>36</v>
      </c>
      <c r="K8" s="5">
        <v>36</v>
      </c>
      <c r="L8" s="5">
        <v>36</v>
      </c>
      <c r="M8" s="5">
        <v>36</v>
      </c>
      <c r="N8" s="5">
        <v>36</v>
      </c>
      <c r="O8" s="5">
        <v>36</v>
      </c>
      <c r="P8" s="5">
        <v>36</v>
      </c>
      <c r="Q8" s="5">
        <v>36</v>
      </c>
      <c r="R8" s="5">
        <v>36</v>
      </c>
    </row>
    <row r="9" spans="1:18" x14ac:dyDescent="0.25">
      <c r="A9">
        <v>2017</v>
      </c>
      <c r="B9" s="8">
        <v>90</v>
      </c>
      <c r="C9" s="5">
        <v>32</v>
      </c>
      <c r="D9" s="5">
        <v>32</v>
      </c>
      <c r="E9" s="5">
        <v>32</v>
      </c>
      <c r="F9" s="5">
        <v>32</v>
      </c>
      <c r="G9" s="5">
        <v>32</v>
      </c>
      <c r="H9" s="5">
        <v>32</v>
      </c>
      <c r="I9" s="5">
        <v>32</v>
      </c>
      <c r="J9" s="5">
        <v>32</v>
      </c>
      <c r="K9" s="5">
        <v>32</v>
      </c>
      <c r="L9" s="5">
        <v>32</v>
      </c>
      <c r="M9" s="5">
        <v>32</v>
      </c>
      <c r="N9" s="5">
        <v>32</v>
      </c>
      <c r="O9" s="5">
        <v>32</v>
      </c>
      <c r="P9" s="5">
        <v>32</v>
      </c>
      <c r="Q9" s="5">
        <v>32</v>
      </c>
      <c r="R9" s="5">
        <v>32</v>
      </c>
    </row>
    <row r="10" spans="1:18" x14ac:dyDescent="0.25">
      <c r="A10">
        <v>2017</v>
      </c>
      <c r="B10">
        <v>110</v>
      </c>
      <c r="C10" s="5">
        <v>16</v>
      </c>
      <c r="D10" s="5">
        <v>16</v>
      </c>
      <c r="E10" s="5">
        <v>16</v>
      </c>
      <c r="F10" s="5">
        <v>16</v>
      </c>
      <c r="G10" s="5">
        <v>16</v>
      </c>
      <c r="H10" s="5">
        <v>16</v>
      </c>
      <c r="I10" s="5">
        <v>16</v>
      </c>
      <c r="J10" s="5">
        <v>16</v>
      </c>
      <c r="K10" s="5">
        <v>16</v>
      </c>
      <c r="L10" s="5">
        <v>16</v>
      </c>
      <c r="M10" s="5">
        <v>16</v>
      </c>
      <c r="N10" s="5">
        <v>16</v>
      </c>
      <c r="O10" s="5">
        <v>16</v>
      </c>
      <c r="P10" s="5">
        <v>16</v>
      </c>
      <c r="Q10" s="5">
        <v>16</v>
      </c>
      <c r="R10" s="5">
        <v>16</v>
      </c>
    </row>
    <row r="11" spans="1:18" x14ac:dyDescent="0.25">
      <c r="A11">
        <v>2017</v>
      </c>
      <c r="B11">
        <v>111</v>
      </c>
      <c r="C11" s="5">
        <v>16</v>
      </c>
      <c r="D11" s="5">
        <v>16</v>
      </c>
      <c r="E11" s="5">
        <v>16</v>
      </c>
      <c r="F11" s="5">
        <v>16</v>
      </c>
      <c r="G11" s="5">
        <v>16</v>
      </c>
      <c r="H11" s="5">
        <v>16</v>
      </c>
      <c r="I11" s="5">
        <v>16</v>
      </c>
      <c r="J11" s="5">
        <v>16</v>
      </c>
      <c r="K11" s="5">
        <v>16</v>
      </c>
      <c r="L11" s="5">
        <v>16</v>
      </c>
      <c r="M11" s="5">
        <v>16</v>
      </c>
      <c r="N11" s="5">
        <v>16</v>
      </c>
      <c r="O11" s="5">
        <v>16</v>
      </c>
      <c r="P11" s="5">
        <v>16</v>
      </c>
      <c r="Q11" s="5">
        <v>16</v>
      </c>
      <c r="R11" s="5">
        <v>16</v>
      </c>
    </row>
    <row r="12" spans="1:18" x14ac:dyDescent="0.25">
      <c r="A12">
        <v>2017</v>
      </c>
      <c r="B12">
        <v>114</v>
      </c>
      <c r="C12" s="5">
        <v>8</v>
      </c>
      <c r="D12" s="5">
        <v>8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  <c r="N12" s="5">
        <v>8</v>
      </c>
      <c r="O12" s="5">
        <v>8</v>
      </c>
      <c r="P12" s="5">
        <v>8</v>
      </c>
      <c r="Q12" s="5">
        <v>8</v>
      </c>
      <c r="R12" s="5">
        <v>8</v>
      </c>
    </row>
    <row r="13" spans="1:18" x14ac:dyDescent="0.25">
      <c r="A13">
        <v>2017</v>
      </c>
      <c r="B13">
        <v>116</v>
      </c>
      <c r="C13" s="5">
        <v>16</v>
      </c>
      <c r="D13" s="5">
        <v>16</v>
      </c>
      <c r="E13" s="5">
        <v>16</v>
      </c>
      <c r="F13" s="5">
        <v>16</v>
      </c>
      <c r="G13" s="5">
        <v>16</v>
      </c>
      <c r="H13" s="5">
        <v>16</v>
      </c>
      <c r="I13" s="5">
        <v>16</v>
      </c>
      <c r="J13" s="5">
        <v>16</v>
      </c>
      <c r="K13" s="5">
        <v>16</v>
      </c>
      <c r="L13" s="5">
        <v>16</v>
      </c>
      <c r="M13" s="5">
        <v>16</v>
      </c>
      <c r="N13" s="5">
        <v>16</v>
      </c>
      <c r="O13" s="5">
        <v>16</v>
      </c>
      <c r="P13" s="5">
        <v>16</v>
      </c>
      <c r="Q13" s="5">
        <v>16</v>
      </c>
      <c r="R13" s="5">
        <v>16</v>
      </c>
    </row>
    <row r="14" spans="1:18" x14ac:dyDescent="0.25">
      <c r="A14">
        <v>2017</v>
      </c>
      <c r="B14">
        <v>118</v>
      </c>
      <c r="C14" s="5">
        <v>16</v>
      </c>
      <c r="D14" s="5">
        <v>16</v>
      </c>
      <c r="E14" s="5">
        <v>16</v>
      </c>
      <c r="F14" s="5">
        <v>16</v>
      </c>
      <c r="G14" s="5">
        <v>16</v>
      </c>
      <c r="H14" s="5">
        <v>16</v>
      </c>
      <c r="I14" s="5">
        <v>16</v>
      </c>
      <c r="J14" s="5">
        <v>16</v>
      </c>
      <c r="K14" s="5">
        <v>16</v>
      </c>
      <c r="L14" s="5">
        <v>16</v>
      </c>
      <c r="M14" s="5">
        <v>16</v>
      </c>
      <c r="N14" s="5">
        <v>16</v>
      </c>
      <c r="O14" s="5">
        <v>16</v>
      </c>
      <c r="P14" s="5">
        <v>16</v>
      </c>
      <c r="Q14" s="5">
        <v>16</v>
      </c>
      <c r="R14" s="5">
        <v>16</v>
      </c>
    </row>
    <row r="15" spans="1:18" x14ac:dyDescent="0.25">
      <c r="A15">
        <v>2017</v>
      </c>
      <c r="B15">
        <v>121</v>
      </c>
      <c r="C15" s="5">
        <v>16</v>
      </c>
      <c r="D15" s="5">
        <v>16</v>
      </c>
      <c r="E15" s="5">
        <v>16</v>
      </c>
      <c r="F15" s="5">
        <v>16</v>
      </c>
      <c r="G15" s="5">
        <v>16</v>
      </c>
      <c r="H15" s="5">
        <v>16</v>
      </c>
      <c r="I15" s="5">
        <v>16</v>
      </c>
      <c r="J15" s="5">
        <v>16</v>
      </c>
      <c r="K15" s="5">
        <v>16</v>
      </c>
      <c r="L15" s="5">
        <v>16</v>
      </c>
      <c r="M15" s="5">
        <v>16</v>
      </c>
      <c r="N15" s="5">
        <v>16</v>
      </c>
      <c r="O15" s="5">
        <v>16</v>
      </c>
      <c r="P15" s="5">
        <v>16</v>
      </c>
      <c r="Q15" s="5">
        <v>16</v>
      </c>
      <c r="R15" s="5">
        <v>16</v>
      </c>
    </row>
    <row r="16" spans="1:18" x14ac:dyDescent="0.25">
      <c r="A16">
        <v>2017</v>
      </c>
      <c r="B16">
        <v>132</v>
      </c>
      <c r="C16" s="5">
        <v>16</v>
      </c>
      <c r="D16" s="5">
        <v>16</v>
      </c>
      <c r="E16" s="5">
        <v>16</v>
      </c>
      <c r="F16" s="5">
        <v>16</v>
      </c>
      <c r="G16" s="5">
        <v>16</v>
      </c>
      <c r="H16" s="5">
        <v>16</v>
      </c>
      <c r="I16" s="5">
        <v>16</v>
      </c>
      <c r="J16" s="5">
        <v>16</v>
      </c>
      <c r="K16" s="5">
        <v>16</v>
      </c>
      <c r="L16" s="5">
        <v>16</v>
      </c>
      <c r="M16" s="5">
        <v>16</v>
      </c>
      <c r="N16" s="5">
        <v>16</v>
      </c>
      <c r="O16" s="5">
        <v>16</v>
      </c>
      <c r="P16" s="5">
        <v>16</v>
      </c>
      <c r="Q16" s="5">
        <v>16</v>
      </c>
      <c r="R16" s="5">
        <v>16</v>
      </c>
    </row>
    <row r="17" spans="1:18" x14ac:dyDescent="0.25">
      <c r="A17">
        <v>2017</v>
      </c>
      <c r="B17">
        <v>137</v>
      </c>
      <c r="C17" s="5">
        <v>15.9</v>
      </c>
      <c r="D17" s="5">
        <v>15.9</v>
      </c>
      <c r="E17" s="5">
        <v>15.9</v>
      </c>
      <c r="F17" s="5">
        <v>15.9</v>
      </c>
      <c r="G17" s="5">
        <v>15.9</v>
      </c>
      <c r="H17" s="5">
        <v>15.9</v>
      </c>
      <c r="I17" s="5">
        <v>15.9</v>
      </c>
      <c r="J17" s="5">
        <v>15.9</v>
      </c>
      <c r="K17" s="5">
        <v>15.9</v>
      </c>
      <c r="L17" s="5">
        <v>15.9</v>
      </c>
      <c r="M17" s="5">
        <v>15.9</v>
      </c>
      <c r="N17" s="5">
        <v>15.9</v>
      </c>
      <c r="O17" s="5">
        <v>15.9</v>
      </c>
      <c r="P17" s="5">
        <v>15.9</v>
      </c>
      <c r="Q17" s="5">
        <v>15.9</v>
      </c>
      <c r="R17" s="5">
        <v>15.9</v>
      </c>
    </row>
    <row r="18" spans="1:18" x14ac:dyDescent="0.25">
      <c r="A18">
        <v>2017</v>
      </c>
      <c r="B18">
        <v>145</v>
      </c>
      <c r="C18" s="5">
        <v>16</v>
      </c>
      <c r="D18" s="5">
        <v>16</v>
      </c>
      <c r="E18" s="5">
        <v>16</v>
      </c>
      <c r="F18" s="5">
        <v>16</v>
      </c>
      <c r="G18" s="5">
        <v>16</v>
      </c>
      <c r="H18" s="5">
        <v>16</v>
      </c>
      <c r="I18" s="5">
        <v>16</v>
      </c>
      <c r="J18" s="5">
        <v>16</v>
      </c>
      <c r="K18" s="5">
        <v>16</v>
      </c>
      <c r="L18" s="5">
        <v>16</v>
      </c>
      <c r="M18" s="5">
        <v>16</v>
      </c>
      <c r="N18" s="5">
        <v>16</v>
      </c>
      <c r="O18" s="5">
        <v>16</v>
      </c>
      <c r="P18" s="5">
        <v>16</v>
      </c>
      <c r="Q18" s="5">
        <v>16</v>
      </c>
      <c r="R18" s="5">
        <v>16</v>
      </c>
    </row>
    <row r="19" spans="1:18" x14ac:dyDescent="0.25">
      <c r="A19">
        <v>2017</v>
      </c>
      <c r="B19">
        <v>152</v>
      </c>
      <c r="C19" s="5">
        <v>8</v>
      </c>
      <c r="D19" s="5">
        <v>8</v>
      </c>
      <c r="E19" s="5">
        <v>8</v>
      </c>
      <c r="F19" s="5">
        <v>8</v>
      </c>
      <c r="G19" s="5">
        <v>10.667199999999999</v>
      </c>
      <c r="H19" s="5">
        <v>10.667199999999999</v>
      </c>
      <c r="I19" s="5">
        <v>10.667199999999999</v>
      </c>
      <c r="J19" s="5">
        <v>10.667199999999999</v>
      </c>
      <c r="K19" s="5">
        <v>13.332800000000001</v>
      </c>
      <c r="L19" s="5">
        <v>13.332800000000001</v>
      </c>
      <c r="M19" s="5">
        <v>13.332800000000001</v>
      </c>
      <c r="N19" s="5">
        <v>13.332800000000001</v>
      </c>
      <c r="O19" s="5">
        <v>16</v>
      </c>
      <c r="P19" s="5">
        <v>16</v>
      </c>
      <c r="Q19" s="5">
        <v>16</v>
      </c>
      <c r="R19" s="5">
        <v>16</v>
      </c>
    </row>
    <row r="20" spans="1:18" x14ac:dyDescent="0.25">
      <c r="A20">
        <v>2017</v>
      </c>
      <c r="B20">
        <v>153</v>
      </c>
      <c r="C20" s="5">
        <v>12</v>
      </c>
      <c r="D20" s="5">
        <v>12</v>
      </c>
      <c r="E20" s="5">
        <v>12</v>
      </c>
      <c r="F20" s="5">
        <v>12</v>
      </c>
      <c r="G20" s="5">
        <v>16.000799999999998</v>
      </c>
      <c r="H20" s="5">
        <v>16.000799999999998</v>
      </c>
      <c r="I20" s="5">
        <v>16.000799999999998</v>
      </c>
      <c r="J20" s="5">
        <v>16.000799999999998</v>
      </c>
      <c r="K20" s="5">
        <v>19.999200000000002</v>
      </c>
      <c r="L20" s="5">
        <v>19.999200000000002</v>
      </c>
      <c r="M20" s="5">
        <v>19.999200000000002</v>
      </c>
      <c r="N20" s="5">
        <v>19.999200000000002</v>
      </c>
      <c r="O20" s="5">
        <v>24</v>
      </c>
      <c r="P20" s="5">
        <v>24</v>
      </c>
      <c r="Q20" s="5">
        <v>24</v>
      </c>
      <c r="R20" s="5">
        <v>24</v>
      </c>
    </row>
    <row r="21" spans="1:18" x14ac:dyDescent="0.25">
      <c r="A21">
        <v>2017</v>
      </c>
      <c r="B21">
        <v>159</v>
      </c>
      <c r="C21" s="5">
        <v>15.9</v>
      </c>
      <c r="D21" s="5">
        <v>15.9</v>
      </c>
      <c r="E21" s="5">
        <v>15.9</v>
      </c>
      <c r="F21" s="5">
        <v>15.9</v>
      </c>
      <c r="G21" s="5">
        <v>15.9</v>
      </c>
      <c r="H21" s="5">
        <v>15.9</v>
      </c>
      <c r="I21" s="5">
        <v>15.9</v>
      </c>
      <c r="J21" s="5">
        <v>15.9</v>
      </c>
      <c r="K21" s="5">
        <v>15.9</v>
      </c>
      <c r="L21" s="5">
        <v>15.9</v>
      </c>
      <c r="M21" s="5">
        <v>15.9</v>
      </c>
      <c r="N21" s="5">
        <v>15.9</v>
      </c>
      <c r="O21" s="5">
        <v>15.9</v>
      </c>
      <c r="P21" s="5">
        <v>15.9</v>
      </c>
      <c r="Q21" s="5">
        <v>15.9</v>
      </c>
      <c r="R21" s="5">
        <v>15.9</v>
      </c>
    </row>
    <row r="22" spans="1:18" x14ac:dyDescent="0.25">
      <c r="A22">
        <v>2017</v>
      </c>
      <c r="B22">
        <v>160</v>
      </c>
      <c r="C22" s="5">
        <v>12</v>
      </c>
      <c r="D22" s="5">
        <v>12</v>
      </c>
      <c r="E22" s="5">
        <v>12</v>
      </c>
      <c r="F22" s="5">
        <v>12</v>
      </c>
      <c r="G22" s="5">
        <v>16.000799999999998</v>
      </c>
      <c r="H22" s="5">
        <v>16.000799999999998</v>
      </c>
      <c r="I22" s="5">
        <v>16.000799999999998</v>
      </c>
      <c r="J22" s="5">
        <v>16.000799999999998</v>
      </c>
      <c r="K22" s="5">
        <v>19.999200000000002</v>
      </c>
      <c r="L22" s="5">
        <v>19.999200000000002</v>
      </c>
      <c r="M22" s="5">
        <v>19.999200000000002</v>
      </c>
      <c r="N22" s="5">
        <v>19.999200000000002</v>
      </c>
      <c r="O22" s="5">
        <v>24</v>
      </c>
      <c r="P22" s="5">
        <v>24</v>
      </c>
      <c r="Q22" s="5">
        <v>24</v>
      </c>
      <c r="R22" s="5">
        <v>24</v>
      </c>
    </row>
    <row r="23" spans="1:18" x14ac:dyDescent="0.25">
      <c r="A23">
        <v>2017</v>
      </c>
      <c r="B23">
        <v>166</v>
      </c>
      <c r="C23" s="5">
        <v>12</v>
      </c>
      <c r="D23" s="5">
        <v>12</v>
      </c>
      <c r="E23" s="5">
        <v>12</v>
      </c>
      <c r="F23" s="5">
        <v>12</v>
      </c>
      <c r="G23" s="5">
        <v>16.000799999999998</v>
      </c>
      <c r="H23" s="5">
        <v>16.000799999999998</v>
      </c>
      <c r="I23" s="5">
        <v>16.000799999999998</v>
      </c>
      <c r="J23" s="5">
        <v>16.000799999999998</v>
      </c>
      <c r="K23" s="5">
        <v>19.999200000000002</v>
      </c>
      <c r="L23" s="5">
        <v>19.999200000000002</v>
      </c>
      <c r="M23" s="5">
        <v>19.999200000000002</v>
      </c>
      <c r="N23" s="5">
        <v>19.999200000000002</v>
      </c>
      <c r="O23" s="5">
        <v>24</v>
      </c>
      <c r="P23" s="5">
        <v>24</v>
      </c>
      <c r="Q23" s="5">
        <v>24</v>
      </c>
      <c r="R23" s="5">
        <v>24</v>
      </c>
    </row>
    <row r="24" spans="1:18" x14ac:dyDescent="0.25">
      <c r="A24">
        <v>2017</v>
      </c>
      <c r="B24">
        <v>167</v>
      </c>
      <c r="C24" s="5">
        <v>16</v>
      </c>
      <c r="D24" s="5">
        <v>16</v>
      </c>
      <c r="E24" s="5">
        <v>16</v>
      </c>
      <c r="F24" s="5">
        <v>16</v>
      </c>
      <c r="G24" s="5">
        <v>21.334399999999999</v>
      </c>
      <c r="H24" s="5">
        <v>21.334399999999999</v>
      </c>
      <c r="I24" s="5">
        <v>21.334399999999999</v>
      </c>
      <c r="J24" s="5">
        <v>21.334399999999999</v>
      </c>
      <c r="K24" s="5">
        <v>26.665600000000001</v>
      </c>
      <c r="L24" s="5">
        <v>26.665600000000001</v>
      </c>
      <c r="M24" s="5">
        <v>26.665600000000001</v>
      </c>
      <c r="N24" s="5">
        <v>26.665600000000001</v>
      </c>
      <c r="O24" s="5">
        <v>32</v>
      </c>
      <c r="P24" s="5">
        <v>32</v>
      </c>
      <c r="Q24" s="5">
        <v>32</v>
      </c>
      <c r="R24" s="5">
        <v>32</v>
      </c>
    </row>
    <row r="25" spans="1:18" x14ac:dyDescent="0.25">
      <c r="A25">
        <v>2017</v>
      </c>
      <c r="B25">
        <v>172</v>
      </c>
      <c r="C25" s="5">
        <v>25.9</v>
      </c>
      <c r="D25" s="5">
        <v>25.9</v>
      </c>
      <c r="E25" s="5">
        <v>25.9</v>
      </c>
      <c r="F25" s="5">
        <v>25.9</v>
      </c>
      <c r="G25" s="5">
        <v>29.234000000000002</v>
      </c>
      <c r="H25" s="5">
        <v>29.234000000000002</v>
      </c>
      <c r="I25" s="5">
        <v>29.234000000000002</v>
      </c>
      <c r="J25" s="5">
        <v>29.234000000000002</v>
      </c>
      <c r="K25" s="5">
        <v>32.566000000000003</v>
      </c>
      <c r="L25" s="5">
        <v>32.566000000000003</v>
      </c>
      <c r="M25" s="5">
        <v>32.566000000000003</v>
      </c>
      <c r="N25" s="5">
        <v>32.566000000000003</v>
      </c>
      <c r="O25" s="5">
        <v>35.9</v>
      </c>
      <c r="P25" s="5">
        <v>35.9</v>
      </c>
      <c r="Q25" s="5">
        <v>35.9</v>
      </c>
      <c r="R25" s="5">
        <v>35.9</v>
      </c>
    </row>
    <row r="26" spans="1:18" x14ac:dyDescent="0.25">
      <c r="A26">
        <v>2017</v>
      </c>
      <c r="B26">
        <v>173</v>
      </c>
      <c r="C26" s="5">
        <v>12</v>
      </c>
      <c r="D26" s="5">
        <v>12</v>
      </c>
      <c r="E26" s="5">
        <v>12</v>
      </c>
      <c r="F26" s="5">
        <v>12</v>
      </c>
      <c r="G26" s="5">
        <v>16.000799999999998</v>
      </c>
      <c r="H26" s="5">
        <v>16.000799999999998</v>
      </c>
      <c r="I26" s="5">
        <v>16.000799999999998</v>
      </c>
      <c r="J26" s="5">
        <v>16.000799999999998</v>
      </c>
      <c r="K26" s="5">
        <v>19.999200000000002</v>
      </c>
      <c r="L26" s="5">
        <v>19.999200000000002</v>
      </c>
      <c r="M26" s="5">
        <v>19.999200000000002</v>
      </c>
      <c r="N26" s="5">
        <v>19.999200000000002</v>
      </c>
      <c r="O26" s="5">
        <v>24</v>
      </c>
      <c r="P26" s="5">
        <v>24</v>
      </c>
      <c r="Q26" s="5">
        <v>24</v>
      </c>
      <c r="R26" s="5">
        <v>24</v>
      </c>
    </row>
    <row r="27" spans="1:18" x14ac:dyDescent="0.25">
      <c r="A27">
        <v>2017</v>
      </c>
      <c r="B27">
        <v>174</v>
      </c>
      <c r="C27" s="5">
        <v>12</v>
      </c>
      <c r="D27" s="5">
        <v>12</v>
      </c>
      <c r="E27" s="5">
        <v>12</v>
      </c>
      <c r="F27" s="5">
        <v>12</v>
      </c>
      <c r="G27" s="5">
        <v>16.000799999999998</v>
      </c>
      <c r="H27" s="5">
        <v>16.000799999999998</v>
      </c>
      <c r="I27" s="5">
        <v>16.000799999999998</v>
      </c>
      <c r="J27" s="5">
        <v>16.000799999999998</v>
      </c>
      <c r="K27" s="5">
        <v>19.999200000000002</v>
      </c>
      <c r="L27" s="5">
        <v>19.999200000000002</v>
      </c>
      <c r="M27" s="5">
        <v>19.999200000000002</v>
      </c>
      <c r="N27" s="5">
        <v>19.999200000000002</v>
      </c>
      <c r="O27" s="5">
        <v>24</v>
      </c>
      <c r="P27" s="5">
        <v>24</v>
      </c>
      <c r="Q27" s="5">
        <v>24</v>
      </c>
      <c r="R27" s="5">
        <v>24</v>
      </c>
    </row>
    <row r="28" spans="1:18" x14ac:dyDescent="0.25">
      <c r="A28">
        <v>2017</v>
      </c>
      <c r="B28">
        <v>179</v>
      </c>
      <c r="C28" s="5">
        <v>16</v>
      </c>
      <c r="D28" s="5">
        <v>16</v>
      </c>
      <c r="E28" s="5">
        <v>16</v>
      </c>
      <c r="F28" s="5">
        <v>16</v>
      </c>
      <c r="G28" s="5">
        <v>21.334399999999999</v>
      </c>
      <c r="H28" s="5">
        <v>21.334399999999999</v>
      </c>
      <c r="I28" s="5">
        <v>21.334399999999999</v>
      </c>
      <c r="J28" s="5">
        <v>21.334399999999999</v>
      </c>
      <c r="K28" s="5">
        <v>26.665600000000001</v>
      </c>
      <c r="L28" s="5">
        <v>26.665600000000001</v>
      </c>
      <c r="M28" s="5">
        <v>26.665600000000001</v>
      </c>
      <c r="N28" s="5">
        <v>26.665600000000001</v>
      </c>
      <c r="O28" s="5">
        <v>32</v>
      </c>
      <c r="P28" s="5">
        <v>32</v>
      </c>
      <c r="Q28" s="5">
        <v>32</v>
      </c>
      <c r="R28" s="5">
        <v>32</v>
      </c>
    </row>
    <row r="29" spans="1:18" x14ac:dyDescent="0.25">
      <c r="A29">
        <v>2017</v>
      </c>
      <c r="B29">
        <v>180</v>
      </c>
      <c r="C29" s="5">
        <v>16</v>
      </c>
      <c r="D29" s="5">
        <v>16</v>
      </c>
      <c r="E29" s="5">
        <v>16</v>
      </c>
      <c r="F29" s="5">
        <v>16</v>
      </c>
      <c r="G29" s="5">
        <v>21.334399999999999</v>
      </c>
      <c r="H29" s="5">
        <v>21.334399999999999</v>
      </c>
      <c r="I29" s="5">
        <v>21.334399999999999</v>
      </c>
      <c r="J29" s="5">
        <v>21.334399999999999</v>
      </c>
      <c r="K29" s="5">
        <v>26.665600000000001</v>
      </c>
      <c r="L29" s="5">
        <v>26.665600000000001</v>
      </c>
      <c r="M29" s="5">
        <v>26.665600000000001</v>
      </c>
      <c r="N29" s="5">
        <v>26.665600000000001</v>
      </c>
      <c r="O29" s="5">
        <v>32</v>
      </c>
      <c r="P29" s="5">
        <v>32</v>
      </c>
      <c r="Q29" s="5">
        <v>32</v>
      </c>
      <c r="R29" s="5">
        <v>32</v>
      </c>
    </row>
    <row r="30" spans="1:18" x14ac:dyDescent="0.25">
      <c r="A30">
        <v>2017</v>
      </c>
      <c r="B30">
        <v>181</v>
      </c>
      <c r="C30" s="5">
        <v>12</v>
      </c>
      <c r="D30" s="5">
        <v>12</v>
      </c>
      <c r="E30" s="5">
        <v>12</v>
      </c>
      <c r="F30" s="5">
        <v>12</v>
      </c>
      <c r="G30" s="5">
        <v>16.000799999999998</v>
      </c>
      <c r="H30" s="5">
        <v>16.000799999999998</v>
      </c>
      <c r="I30" s="5">
        <v>16.000799999999998</v>
      </c>
      <c r="J30" s="5">
        <v>16.000799999999998</v>
      </c>
      <c r="K30" s="5">
        <v>19.999200000000002</v>
      </c>
      <c r="L30" s="5">
        <v>19.999200000000002</v>
      </c>
      <c r="M30" s="5">
        <v>19.999200000000002</v>
      </c>
      <c r="N30" s="5">
        <v>19.999200000000002</v>
      </c>
      <c r="O30" s="5">
        <v>24</v>
      </c>
      <c r="P30" s="5">
        <v>24</v>
      </c>
      <c r="Q30" s="5">
        <v>24</v>
      </c>
      <c r="R30" s="5">
        <v>24</v>
      </c>
    </row>
    <row r="31" spans="1:18" x14ac:dyDescent="0.25">
      <c r="A31">
        <v>2017</v>
      </c>
      <c r="B31">
        <v>186</v>
      </c>
      <c r="C31" s="5">
        <v>17.899999999999999</v>
      </c>
      <c r="D31" s="5">
        <v>17.899999999999999</v>
      </c>
      <c r="E31" s="5">
        <v>17.899999999999999</v>
      </c>
      <c r="F31" s="5">
        <v>17.899999999999999</v>
      </c>
      <c r="G31" s="5">
        <v>18.566800000000001</v>
      </c>
      <c r="H31" s="5">
        <v>18.566800000000001</v>
      </c>
      <c r="I31" s="5">
        <v>18.566800000000001</v>
      </c>
      <c r="J31" s="5">
        <v>18.566800000000001</v>
      </c>
      <c r="K31" s="5">
        <v>19.2332</v>
      </c>
      <c r="L31" s="5">
        <v>19.2332</v>
      </c>
      <c r="M31" s="5">
        <v>19.2332</v>
      </c>
      <c r="N31" s="5">
        <v>19.2332</v>
      </c>
      <c r="O31" s="5">
        <v>19.899999999999999</v>
      </c>
      <c r="P31" s="5">
        <v>19.899999999999999</v>
      </c>
      <c r="Q31" s="5">
        <v>19.899999999999999</v>
      </c>
      <c r="R31" s="5">
        <v>19.899999999999999</v>
      </c>
    </row>
    <row r="32" spans="1:18" x14ac:dyDescent="0.25">
      <c r="A32">
        <v>2017</v>
      </c>
      <c r="B32">
        <v>187</v>
      </c>
      <c r="C32" s="5">
        <v>12</v>
      </c>
      <c r="D32" s="5">
        <v>12</v>
      </c>
      <c r="E32" s="5">
        <v>12</v>
      </c>
      <c r="F32" s="5">
        <v>12</v>
      </c>
      <c r="G32" s="5">
        <v>16.000799999999998</v>
      </c>
      <c r="H32" s="5">
        <v>16.000799999999998</v>
      </c>
      <c r="I32" s="5">
        <v>16.000799999999998</v>
      </c>
      <c r="J32" s="5">
        <v>16.000799999999998</v>
      </c>
      <c r="K32" s="5">
        <v>19.999200000000002</v>
      </c>
      <c r="L32" s="5">
        <v>19.999200000000002</v>
      </c>
      <c r="M32" s="5">
        <v>19.999200000000002</v>
      </c>
      <c r="N32" s="5">
        <v>19.999200000000002</v>
      </c>
      <c r="O32" s="5">
        <v>24</v>
      </c>
      <c r="P32" s="5">
        <v>24</v>
      </c>
      <c r="Q32" s="5">
        <v>24</v>
      </c>
      <c r="R32" s="5">
        <v>24</v>
      </c>
    </row>
    <row r="33" spans="1:18" x14ac:dyDescent="0.25">
      <c r="A33">
        <v>2017</v>
      </c>
      <c r="B33">
        <v>188</v>
      </c>
      <c r="C33" s="5">
        <v>16</v>
      </c>
      <c r="D33" s="5">
        <v>16</v>
      </c>
      <c r="E33" s="5">
        <v>16</v>
      </c>
      <c r="F33" s="5">
        <v>16</v>
      </c>
      <c r="G33" s="5">
        <v>21.334399999999999</v>
      </c>
      <c r="H33" s="5">
        <v>21.334399999999999</v>
      </c>
      <c r="I33" s="5">
        <v>21.334399999999999</v>
      </c>
      <c r="J33" s="5">
        <v>21.334399999999999</v>
      </c>
      <c r="K33" s="5">
        <v>26.665600000000001</v>
      </c>
      <c r="L33" s="5">
        <v>26.665600000000001</v>
      </c>
      <c r="M33" s="5">
        <v>26.665600000000001</v>
      </c>
      <c r="N33" s="5">
        <v>26.665600000000001</v>
      </c>
      <c r="O33" s="5">
        <v>32</v>
      </c>
      <c r="P33" s="5">
        <v>32</v>
      </c>
      <c r="Q33" s="5">
        <v>32</v>
      </c>
      <c r="R33" s="5">
        <v>32</v>
      </c>
    </row>
    <row r="34" spans="1:18" x14ac:dyDescent="0.25">
      <c r="A34">
        <v>2017</v>
      </c>
      <c r="B34">
        <v>193</v>
      </c>
      <c r="C34" s="5">
        <v>12</v>
      </c>
      <c r="D34" s="5">
        <v>12</v>
      </c>
      <c r="E34" s="5">
        <v>12</v>
      </c>
      <c r="F34" s="5">
        <v>12</v>
      </c>
      <c r="G34" s="5">
        <v>16.000799999999998</v>
      </c>
      <c r="H34" s="5">
        <v>16.000799999999998</v>
      </c>
      <c r="I34" s="5">
        <v>16.000799999999998</v>
      </c>
      <c r="J34" s="5">
        <v>16.000799999999998</v>
      </c>
      <c r="K34" s="5">
        <v>19.999200000000002</v>
      </c>
      <c r="L34" s="5">
        <v>19.999200000000002</v>
      </c>
      <c r="M34" s="5">
        <v>19.999200000000002</v>
      </c>
      <c r="N34" s="5">
        <v>19.999200000000002</v>
      </c>
      <c r="O34" s="5">
        <v>24</v>
      </c>
      <c r="P34" s="5">
        <v>24</v>
      </c>
      <c r="Q34" s="5">
        <v>24</v>
      </c>
      <c r="R34" s="5">
        <v>24</v>
      </c>
    </row>
    <row r="35" spans="1:18" x14ac:dyDescent="0.25">
      <c r="A35">
        <v>2017</v>
      </c>
      <c r="B35">
        <v>194</v>
      </c>
      <c r="C35" s="5">
        <v>16</v>
      </c>
      <c r="D35" s="5">
        <v>16</v>
      </c>
      <c r="E35" s="5">
        <v>16</v>
      </c>
      <c r="F35" s="5">
        <v>16</v>
      </c>
      <c r="G35" s="5">
        <v>21.334399999999999</v>
      </c>
      <c r="H35" s="5">
        <v>21.334399999999999</v>
      </c>
      <c r="I35" s="5">
        <v>21.334399999999999</v>
      </c>
      <c r="J35" s="5">
        <v>21.334399999999999</v>
      </c>
      <c r="K35" s="5">
        <v>26.665600000000001</v>
      </c>
      <c r="L35" s="5">
        <v>26.665600000000001</v>
      </c>
      <c r="M35" s="5">
        <v>26.665600000000001</v>
      </c>
      <c r="N35" s="5">
        <v>26.665600000000001</v>
      </c>
      <c r="O35" s="5">
        <v>32</v>
      </c>
      <c r="P35" s="5">
        <v>32</v>
      </c>
      <c r="Q35" s="5">
        <v>32</v>
      </c>
      <c r="R35" s="5">
        <v>32</v>
      </c>
    </row>
    <row r="36" spans="1:18" x14ac:dyDescent="0.25">
      <c r="A36">
        <v>2017</v>
      </c>
      <c r="B36">
        <v>195</v>
      </c>
      <c r="C36" s="5">
        <v>16</v>
      </c>
      <c r="D36" s="5">
        <v>16</v>
      </c>
      <c r="E36" s="5">
        <v>16</v>
      </c>
      <c r="F36" s="5">
        <v>16</v>
      </c>
      <c r="G36" s="5">
        <v>21.334399999999999</v>
      </c>
      <c r="H36" s="5">
        <v>21.334399999999999</v>
      </c>
      <c r="I36" s="5">
        <v>21.334399999999999</v>
      </c>
      <c r="J36" s="5">
        <v>21.334399999999999</v>
      </c>
      <c r="K36" s="5">
        <v>26.665600000000001</v>
      </c>
      <c r="L36" s="5">
        <v>26.665600000000001</v>
      </c>
      <c r="M36" s="5">
        <v>26.665600000000001</v>
      </c>
      <c r="N36" s="5">
        <v>26.665600000000001</v>
      </c>
      <c r="O36" s="5">
        <v>32</v>
      </c>
      <c r="P36" s="5">
        <v>32</v>
      </c>
      <c r="Q36" s="5">
        <v>32</v>
      </c>
      <c r="R36" s="5">
        <v>32</v>
      </c>
    </row>
    <row r="37" spans="1:18" x14ac:dyDescent="0.25">
      <c r="A37">
        <v>2017</v>
      </c>
      <c r="B37">
        <v>200</v>
      </c>
      <c r="C37" s="5">
        <v>12</v>
      </c>
      <c r="D37" s="5">
        <v>16.000799999999998</v>
      </c>
      <c r="E37" s="5">
        <v>19.999200000000002</v>
      </c>
      <c r="F37" s="5">
        <v>24</v>
      </c>
      <c r="G37" s="5">
        <v>12</v>
      </c>
      <c r="H37" s="5">
        <v>16.000799999999998</v>
      </c>
      <c r="I37" s="5">
        <v>19.999200000000002</v>
      </c>
      <c r="J37" s="5">
        <v>24</v>
      </c>
      <c r="K37" s="5">
        <v>12</v>
      </c>
      <c r="L37" s="5">
        <v>16.000799999999998</v>
      </c>
      <c r="M37" s="5">
        <v>19.999200000000002</v>
      </c>
      <c r="N37" s="5">
        <v>24</v>
      </c>
      <c r="O37" s="5">
        <v>12</v>
      </c>
      <c r="P37" s="5">
        <v>16.000799999999998</v>
      </c>
      <c r="Q37" s="5">
        <v>19.999200000000002</v>
      </c>
      <c r="R37" s="5">
        <v>24</v>
      </c>
    </row>
    <row r="38" spans="1:18" x14ac:dyDescent="0.25">
      <c r="A38">
        <v>2017</v>
      </c>
      <c r="B38">
        <v>201</v>
      </c>
      <c r="C38" s="5">
        <v>16</v>
      </c>
      <c r="D38" s="5">
        <v>21.334399999999999</v>
      </c>
      <c r="E38" s="5">
        <v>26.665600000000001</v>
      </c>
      <c r="F38" s="5">
        <v>32</v>
      </c>
      <c r="G38" s="5">
        <v>16</v>
      </c>
      <c r="H38" s="5">
        <v>21.334399999999999</v>
      </c>
      <c r="I38" s="5">
        <v>26.665600000000001</v>
      </c>
      <c r="J38" s="5">
        <v>32</v>
      </c>
      <c r="K38" s="5">
        <v>16</v>
      </c>
      <c r="L38" s="5">
        <v>21.334399999999999</v>
      </c>
      <c r="M38" s="5">
        <v>26.665600000000001</v>
      </c>
      <c r="N38" s="5">
        <v>32</v>
      </c>
      <c r="O38" s="5">
        <v>16</v>
      </c>
      <c r="P38" s="5">
        <v>21.334399999999999</v>
      </c>
      <c r="Q38" s="5">
        <v>26.665600000000001</v>
      </c>
      <c r="R38" s="5">
        <v>32</v>
      </c>
    </row>
    <row r="39" spans="1:18" x14ac:dyDescent="0.25">
      <c r="A39">
        <v>2017</v>
      </c>
      <c r="B39">
        <v>202</v>
      </c>
      <c r="C39" s="5">
        <v>12</v>
      </c>
      <c r="D39" s="5">
        <v>16.000799999999998</v>
      </c>
      <c r="E39" s="5">
        <v>19.999200000000002</v>
      </c>
      <c r="F39" s="5">
        <v>24</v>
      </c>
      <c r="G39" s="5">
        <v>12</v>
      </c>
      <c r="H39" s="5">
        <v>16.000799999999998</v>
      </c>
      <c r="I39" s="5">
        <v>19.999200000000002</v>
      </c>
      <c r="J39" s="5">
        <v>24</v>
      </c>
      <c r="K39" s="5">
        <v>12</v>
      </c>
      <c r="L39" s="5">
        <v>16.000799999999998</v>
      </c>
      <c r="M39" s="5">
        <v>19.999200000000002</v>
      </c>
      <c r="N39" s="5">
        <v>24</v>
      </c>
      <c r="O39" s="5">
        <v>12</v>
      </c>
      <c r="P39" s="5">
        <v>16.000799999999998</v>
      </c>
      <c r="Q39" s="5">
        <v>19.999200000000002</v>
      </c>
      <c r="R39" s="5">
        <v>24</v>
      </c>
    </row>
    <row r="40" spans="1:18" x14ac:dyDescent="0.25">
      <c r="A40">
        <v>2017</v>
      </c>
      <c r="B40">
        <v>208</v>
      </c>
      <c r="C40" s="5">
        <v>16</v>
      </c>
      <c r="D40" s="5">
        <v>21.334399999999999</v>
      </c>
      <c r="E40" s="5">
        <v>26.665600000000001</v>
      </c>
      <c r="F40" s="5">
        <v>32</v>
      </c>
      <c r="G40" s="5">
        <v>16</v>
      </c>
      <c r="H40" s="5">
        <v>21.334399999999999</v>
      </c>
      <c r="I40" s="5">
        <v>26.665600000000001</v>
      </c>
      <c r="J40" s="5">
        <v>32</v>
      </c>
      <c r="K40" s="5">
        <v>16</v>
      </c>
      <c r="L40" s="5">
        <v>21.334399999999999</v>
      </c>
      <c r="M40" s="5">
        <v>26.665600000000001</v>
      </c>
      <c r="N40" s="5">
        <v>32</v>
      </c>
      <c r="O40" s="5">
        <v>16</v>
      </c>
      <c r="P40" s="5">
        <v>21.334399999999999</v>
      </c>
      <c r="Q40" s="5">
        <v>26.665600000000001</v>
      </c>
      <c r="R40" s="5">
        <v>32</v>
      </c>
    </row>
    <row r="41" spans="1:18" x14ac:dyDescent="0.25">
      <c r="A41">
        <v>2017</v>
      </c>
      <c r="B41">
        <v>209</v>
      </c>
      <c r="C41" s="5">
        <v>12</v>
      </c>
      <c r="D41" s="5">
        <v>16.000799999999998</v>
      </c>
      <c r="E41" s="5">
        <v>19.999200000000002</v>
      </c>
      <c r="F41" s="5">
        <v>24</v>
      </c>
      <c r="G41" s="5">
        <v>12</v>
      </c>
      <c r="H41" s="5">
        <v>16.000799999999998</v>
      </c>
      <c r="I41" s="5">
        <v>19.999200000000002</v>
      </c>
      <c r="J41" s="5">
        <v>24</v>
      </c>
      <c r="K41" s="5">
        <v>12</v>
      </c>
      <c r="L41" s="5">
        <v>16.000799999999998</v>
      </c>
      <c r="M41" s="5">
        <v>19.999200000000002</v>
      </c>
      <c r="N41" s="5">
        <v>24</v>
      </c>
      <c r="O41" s="5">
        <v>12</v>
      </c>
      <c r="P41" s="5">
        <v>16.000799999999998</v>
      </c>
      <c r="Q41" s="5">
        <v>19.999200000000002</v>
      </c>
      <c r="R41" s="5">
        <v>24</v>
      </c>
    </row>
    <row r="42" spans="1:18" x14ac:dyDescent="0.25">
      <c r="A42">
        <v>2017</v>
      </c>
      <c r="B42">
        <v>214</v>
      </c>
      <c r="C42" s="5">
        <v>12</v>
      </c>
      <c r="D42" s="5">
        <v>16.000799999999998</v>
      </c>
      <c r="E42" s="5">
        <v>19.999200000000002</v>
      </c>
      <c r="F42" s="5">
        <v>24</v>
      </c>
      <c r="G42" s="5">
        <v>12</v>
      </c>
      <c r="H42" s="5">
        <v>16.000799999999998</v>
      </c>
      <c r="I42" s="5">
        <v>19.999200000000002</v>
      </c>
      <c r="J42" s="5">
        <v>24</v>
      </c>
      <c r="K42" s="5">
        <v>12</v>
      </c>
      <c r="L42" s="5">
        <v>16.000799999999998</v>
      </c>
      <c r="M42" s="5">
        <v>19.999200000000002</v>
      </c>
      <c r="N42" s="5">
        <v>24</v>
      </c>
      <c r="O42" s="5">
        <v>12</v>
      </c>
      <c r="P42" s="5">
        <v>16.000799999999998</v>
      </c>
      <c r="Q42" s="5">
        <v>19.999200000000002</v>
      </c>
      <c r="R42" s="5">
        <v>24</v>
      </c>
    </row>
    <row r="43" spans="1:18" x14ac:dyDescent="0.25">
      <c r="A43">
        <v>2017</v>
      </c>
      <c r="B43">
        <v>215</v>
      </c>
      <c r="C43" s="5">
        <v>12</v>
      </c>
      <c r="D43" s="5">
        <v>16.000799999999998</v>
      </c>
      <c r="E43" s="5">
        <v>19.999200000000002</v>
      </c>
      <c r="F43" s="5">
        <v>24</v>
      </c>
      <c r="G43" s="5">
        <v>12</v>
      </c>
      <c r="H43" s="5">
        <v>16.000799999999998</v>
      </c>
      <c r="I43" s="5">
        <v>19.999200000000002</v>
      </c>
      <c r="J43" s="5">
        <v>24</v>
      </c>
      <c r="K43" s="5">
        <v>12</v>
      </c>
      <c r="L43" s="5">
        <v>16.000799999999998</v>
      </c>
      <c r="M43" s="5">
        <v>19.999200000000002</v>
      </c>
      <c r="N43" s="5">
        <v>24</v>
      </c>
      <c r="O43" s="5">
        <v>12</v>
      </c>
      <c r="P43" s="5">
        <v>16.000799999999998</v>
      </c>
      <c r="Q43" s="5">
        <v>19.999200000000002</v>
      </c>
      <c r="R43" s="5">
        <v>24</v>
      </c>
    </row>
    <row r="44" spans="1:18" x14ac:dyDescent="0.25">
      <c r="A44">
        <v>2017</v>
      </c>
      <c r="B44">
        <v>216</v>
      </c>
      <c r="C44" s="5">
        <v>12</v>
      </c>
      <c r="D44" s="5">
        <v>16.000799999999998</v>
      </c>
      <c r="E44" s="5">
        <v>19.999200000000002</v>
      </c>
      <c r="F44" s="5">
        <v>24</v>
      </c>
      <c r="G44" s="5">
        <v>12</v>
      </c>
      <c r="H44" s="5">
        <v>16.000799999999998</v>
      </c>
      <c r="I44" s="5">
        <v>19.999200000000002</v>
      </c>
      <c r="J44" s="5">
        <v>24</v>
      </c>
      <c r="K44" s="5">
        <v>12</v>
      </c>
      <c r="L44" s="5">
        <v>16.000799999999998</v>
      </c>
      <c r="M44" s="5">
        <v>19.999200000000002</v>
      </c>
      <c r="N44" s="5">
        <v>24</v>
      </c>
      <c r="O44" s="5">
        <v>12</v>
      </c>
      <c r="P44" s="5">
        <v>16.000799999999998</v>
      </c>
      <c r="Q44" s="5">
        <v>19.999200000000002</v>
      </c>
      <c r="R44" s="5">
        <v>24</v>
      </c>
    </row>
    <row r="45" spans="1:18" x14ac:dyDescent="0.25">
      <c r="A45">
        <v>2017</v>
      </c>
      <c r="B45">
        <v>221</v>
      </c>
      <c r="C45" s="5">
        <v>18</v>
      </c>
      <c r="D45" s="5">
        <v>24.001199999999997</v>
      </c>
      <c r="E45" s="5">
        <v>29.998800000000003</v>
      </c>
      <c r="F45" s="5">
        <v>36</v>
      </c>
      <c r="G45" s="5">
        <v>18</v>
      </c>
      <c r="H45" s="5">
        <v>24.001199999999997</v>
      </c>
      <c r="I45" s="5">
        <v>29.998800000000003</v>
      </c>
      <c r="J45" s="5">
        <v>36</v>
      </c>
      <c r="K45" s="5">
        <v>18</v>
      </c>
      <c r="L45" s="5">
        <v>24.001199999999997</v>
      </c>
      <c r="M45" s="5">
        <v>29.998800000000003</v>
      </c>
      <c r="N45" s="5">
        <v>36</v>
      </c>
      <c r="O45" s="5">
        <v>18</v>
      </c>
      <c r="P45" s="5">
        <v>24.001199999999997</v>
      </c>
      <c r="Q45" s="5">
        <v>29.998800000000003</v>
      </c>
      <c r="R45" s="5">
        <v>36</v>
      </c>
    </row>
    <row r="46" spans="1:18" x14ac:dyDescent="0.25">
      <c r="A46">
        <v>2017</v>
      </c>
      <c r="B46">
        <v>222</v>
      </c>
      <c r="C46" s="5">
        <v>18</v>
      </c>
      <c r="D46" s="5">
        <v>24.001199999999997</v>
      </c>
      <c r="E46" s="5">
        <v>29.998800000000003</v>
      </c>
      <c r="F46" s="5">
        <v>36</v>
      </c>
      <c r="G46" s="5">
        <v>18</v>
      </c>
      <c r="H46" s="5">
        <v>24.001199999999997</v>
      </c>
      <c r="I46" s="5">
        <v>29.998800000000003</v>
      </c>
      <c r="J46" s="5">
        <v>36</v>
      </c>
      <c r="K46" s="5">
        <v>18</v>
      </c>
      <c r="L46" s="5">
        <v>24.001199999999997</v>
      </c>
      <c r="M46" s="5">
        <v>29.998800000000003</v>
      </c>
      <c r="N46" s="5">
        <v>36</v>
      </c>
      <c r="O46" s="5">
        <v>18</v>
      </c>
      <c r="P46" s="5">
        <v>24.001199999999997</v>
      </c>
      <c r="Q46" s="5">
        <v>29.998800000000003</v>
      </c>
      <c r="R46" s="5">
        <v>36</v>
      </c>
    </row>
    <row r="47" spans="1:18" x14ac:dyDescent="0.25">
      <c r="A47">
        <v>2017</v>
      </c>
      <c r="B47">
        <v>228</v>
      </c>
      <c r="C47" s="5">
        <v>12</v>
      </c>
      <c r="D47" s="5">
        <v>16.000799999999998</v>
      </c>
      <c r="E47" s="5">
        <v>19.999200000000002</v>
      </c>
      <c r="F47" s="5">
        <v>24</v>
      </c>
      <c r="G47" s="5">
        <v>12</v>
      </c>
      <c r="H47" s="5">
        <v>16.000799999999998</v>
      </c>
      <c r="I47" s="5">
        <v>19.999200000000002</v>
      </c>
      <c r="J47" s="5">
        <v>24</v>
      </c>
      <c r="K47" s="5">
        <v>12</v>
      </c>
      <c r="L47" s="5">
        <v>16.000799999999998</v>
      </c>
      <c r="M47" s="5">
        <v>19.999200000000002</v>
      </c>
      <c r="N47" s="5">
        <v>24</v>
      </c>
      <c r="O47" s="5">
        <v>12</v>
      </c>
      <c r="P47" s="5">
        <v>16.000799999999998</v>
      </c>
      <c r="Q47" s="5">
        <v>19.999200000000002</v>
      </c>
      <c r="R47" s="5">
        <v>24</v>
      </c>
    </row>
    <row r="48" spans="1:18" x14ac:dyDescent="0.25">
      <c r="A48">
        <v>2017</v>
      </c>
      <c r="B48">
        <v>229</v>
      </c>
      <c r="C48" s="5">
        <v>12</v>
      </c>
      <c r="D48" s="5">
        <v>16.000799999999998</v>
      </c>
      <c r="E48" s="5">
        <v>19.999200000000002</v>
      </c>
      <c r="F48" s="5">
        <v>24</v>
      </c>
      <c r="G48" s="5">
        <v>12</v>
      </c>
      <c r="H48" s="5">
        <v>16.000799999999998</v>
      </c>
      <c r="I48" s="5">
        <v>19.999200000000002</v>
      </c>
      <c r="J48" s="5">
        <v>24</v>
      </c>
      <c r="K48" s="5">
        <v>12</v>
      </c>
      <c r="L48" s="5">
        <v>16.000799999999998</v>
      </c>
      <c r="M48" s="5">
        <v>19.999200000000002</v>
      </c>
      <c r="N48" s="5">
        <v>24</v>
      </c>
      <c r="O48" s="5">
        <v>12</v>
      </c>
      <c r="P48" s="5">
        <v>16.000799999999998</v>
      </c>
      <c r="Q48" s="5">
        <v>19.999200000000002</v>
      </c>
      <c r="R48" s="5">
        <v>24</v>
      </c>
    </row>
    <row r="49" spans="1:18" x14ac:dyDescent="0.25">
      <c r="A49">
        <v>2017</v>
      </c>
      <c r="B49">
        <v>235</v>
      </c>
      <c r="C49" s="5">
        <v>8</v>
      </c>
      <c r="D49" s="5">
        <v>10.667199999999999</v>
      </c>
      <c r="E49" s="5">
        <v>13.332800000000001</v>
      </c>
      <c r="F49" s="5">
        <v>16</v>
      </c>
      <c r="G49" s="5">
        <v>8</v>
      </c>
      <c r="H49" s="5">
        <v>10.667199999999999</v>
      </c>
      <c r="I49" s="5">
        <v>13.332800000000001</v>
      </c>
      <c r="J49" s="5">
        <v>16</v>
      </c>
      <c r="K49" s="5">
        <v>8</v>
      </c>
      <c r="L49" s="5">
        <v>10.667199999999999</v>
      </c>
      <c r="M49" s="5">
        <v>13.332800000000001</v>
      </c>
      <c r="N49" s="5">
        <v>16</v>
      </c>
      <c r="O49" s="5">
        <v>8</v>
      </c>
      <c r="P49" s="5">
        <v>10.667199999999999</v>
      </c>
      <c r="Q49" s="5">
        <v>13.332800000000001</v>
      </c>
      <c r="R49" s="5">
        <v>16</v>
      </c>
    </row>
    <row r="50" spans="1:18" x14ac:dyDescent="0.25">
      <c r="A50">
        <v>2017</v>
      </c>
      <c r="B50">
        <v>236</v>
      </c>
      <c r="C50" s="5">
        <v>16</v>
      </c>
      <c r="D50" s="5">
        <v>21.334399999999999</v>
      </c>
      <c r="E50" s="5">
        <v>26.665600000000001</v>
      </c>
      <c r="F50" s="5">
        <v>32</v>
      </c>
      <c r="G50" s="5">
        <v>16</v>
      </c>
      <c r="H50" s="5">
        <v>21.334399999999999</v>
      </c>
      <c r="I50" s="5">
        <v>26.665600000000001</v>
      </c>
      <c r="J50" s="5">
        <v>32</v>
      </c>
      <c r="K50" s="5">
        <v>16</v>
      </c>
      <c r="L50" s="5">
        <v>21.334399999999999</v>
      </c>
      <c r="M50" s="5">
        <v>26.665600000000001</v>
      </c>
      <c r="N50" s="5">
        <v>32</v>
      </c>
      <c r="O50" s="5">
        <v>16</v>
      </c>
      <c r="P50" s="5">
        <v>21.334399999999999</v>
      </c>
      <c r="Q50" s="5">
        <v>26.665600000000001</v>
      </c>
      <c r="R50" s="5">
        <v>32</v>
      </c>
    </row>
    <row r="51" spans="1:18" x14ac:dyDescent="0.25">
      <c r="A51">
        <v>2017</v>
      </c>
      <c r="B51">
        <v>237</v>
      </c>
      <c r="C51" s="5">
        <v>12</v>
      </c>
      <c r="D51" s="5">
        <v>16.000799999999998</v>
      </c>
      <c r="E51" s="5">
        <v>19.999200000000002</v>
      </c>
      <c r="F51" s="5">
        <v>24</v>
      </c>
      <c r="G51" s="5">
        <v>12</v>
      </c>
      <c r="H51" s="5">
        <v>16.000799999999998</v>
      </c>
      <c r="I51" s="5">
        <v>19.999200000000002</v>
      </c>
      <c r="J51" s="5">
        <v>24</v>
      </c>
      <c r="K51" s="5">
        <v>12</v>
      </c>
      <c r="L51" s="5">
        <v>16.000799999999998</v>
      </c>
      <c r="M51" s="5">
        <v>19.999200000000002</v>
      </c>
      <c r="N51" s="5">
        <v>24</v>
      </c>
      <c r="O51" s="5">
        <v>12</v>
      </c>
      <c r="P51" s="5">
        <v>16.000799999999998</v>
      </c>
      <c r="Q51" s="5">
        <v>19.999200000000002</v>
      </c>
      <c r="R51" s="5">
        <v>24</v>
      </c>
    </row>
    <row r="52" spans="1:18" x14ac:dyDescent="0.25">
      <c r="A52">
        <v>2017</v>
      </c>
      <c r="B52">
        <v>242</v>
      </c>
      <c r="C52" s="5">
        <v>12</v>
      </c>
      <c r="D52" s="5">
        <v>16.000799999999998</v>
      </c>
      <c r="E52" s="5">
        <v>19.999200000000002</v>
      </c>
      <c r="F52" s="5">
        <v>24</v>
      </c>
      <c r="G52" s="5">
        <v>12</v>
      </c>
      <c r="H52" s="5">
        <v>16.000799999999998</v>
      </c>
      <c r="I52" s="5">
        <v>19.999200000000002</v>
      </c>
      <c r="J52" s="5">
        <v>24</v>
      </c>
      <c r="K52" s="5">
        <v>12</v>
      </c>
      <c r="L52" s="5">
        <v>16.000799999999998</v>
      </c>
      <c r="M52" s="5">
        <v>19.999200000000002</v>
      </c>
      <c r="N52" s="5">
        <v>24</v>
      </c>
      <c r="O52" s="5">
        <v>12</v>
      </c>
      <c r="P52" s="5">
        <v>16.000799999999998</v>
      </c>
      <c r="Q52" s="5">
        <v>19.999200000000002</v>
      </c>
      <c r="R52" s="5">
        <v>24</v>
      </c>
    </row>
    <row r="53" spans="1:18" x14ac:dyDescent="0.25">
      <c r="A53">
        <v>2017</v>
      </c>
      <c r="B53">
        <v>243</v>
      </c>
      <c r="C53" s="5">
        <v>12</v>
      </c>
      <c r="D53" s="5">
        <v>16.000799999999998</v>
      </c>
      <c r="E53" s="5">
        <v>19.999200000000002</v>
      </c>
      <c r="F53" s="5">
        <v>24</v>
      </c>
      <c r="G53" s="5">
        <v>12</v>
      </c>
      <c r="H53" s="5">
        <v>16.000799999999998</v>
      </c>
      <c r="I53" s="5">
        <v>19.999200000000002</v>
      </c>
      <c r="J53" s="5">
        <v>24</v>
      </c>
      <c r="K53" s="5">
        <v>12</v>
      </c>
      <c r="L53" s="5">
        <v>16.000799999999998</v>
      </c>
      <c r="M53" s="5">
        <v>19.999200000000002</v>
      </c>
      <c r="N53" s="5">
        <v>24</v>
      </c>
      <c r="O53" s="5">
        <v>12</v>
      </c>
      <c r="P53" s="5">
        <v>16.000799999999998</v>
      </c>
      <c r="Q53" s="5">
        <v>19.999200000000002</v>
      </c>
      <c r="R53" s="5">
        <v>24</v>
      </c>
    </row>
    <row r="54" spans="1:18" x14ac:dyDescent="0.25">
      <c r="A54">
        <v>2017</v>
      </c>
      <c r="B54">
        <v>244</v>
      </c>
      <c r="C54" s="5">
        <v>12</v>
      </c>
      <c r="D54" s="5">
        <v>16.000799999999998</v>
      </c>
      <c r="E54" s="5">
        <v>19.999200000000002</v>
      </c>
      <c r="F54" s="5">
        <v>24</v>
      </c>
      <c r="G54" s="5">
        <v>12</v>
      </c>
      <c r="H54" s="5">
        <v>16.000799999999998</v>
      </c>
      <c r="I54" s="5">
        <v>19.999200000000002</v>
      </c>
      <c r="J54" s="5">
        <v>24</v>
      </c>
      <c r="K54" s="5">
        <v>12</v>
      </c>
      <c r="L54" s="5">
        <v>16.000799999999998</v>
      </c>
      <c r="M54" s="5">
        <v>19.999200000000002</v>
      </c>
      <c r="N54" s="5">
        <v>24</v>
      </c>
      <c r="O54" s="5">
        <v>12</v>
      </c>
      <c r="P54" s="5">
        <v>16.000799999999998</v>
      </c>
      <c r="Q54" s="5">
        <v>19.999200000000002</v>
      </c>
      <c r="R54" s="5">
        <v>24</v>
      </c>
    </row>
    <row r="55" spans="1:18" x14ac:dyDescent="0.25">
      <c r="A55">
        <v>2017</v>
      </c>
      <c r="B55">
        <v>249</v>
      </c>
      <c r="C55" s="5">
        <v>12</v>
      </c>
      <c r="D55" s="5">
        <v>16.000799999999998</v>
      </c>
      <c r="E55" s="5">
        <v>19.999200000000002</v>
      </c>
      <c r="F55" s="5">
        <v>24</v>
      </c>
      <c r="G55" s="5">
        <v>12</v>
      </c>
      <c r="H55" s="5">
        <v>16.000799999999998</v>
      </c>
      <c r="I55" s="5">
        <v>19.999200000000002</v>
      </c>
      <c r="J55" s="5">
        <v>24</v>
      </c>
      <c r="K55" s="5">
        <v>12</v>
      </c>
      <c r="L55" s="5">
        <v>16.000799999999998</v>
      </c>
      <c r="M55" s="5">
        <v>19.999200000000002</v>
      </c>
      <c r="N55" s="5">
        <v>24</v>
      </c>
      <c r="O55" s="5">
        <v>12</v>
      </c>
      <c r="P55" s="5">
        <v>16.000799999999998</v>
      </c>
      <c r="Q55" s="5">
        <v>19.999200000000002</v>
      </c>
      <c r="R55" s="5">
        <v>24</v>
      </c>
    </row>
    <row r="56" spans="1:18" x14ac:dyDescent="0.25">
      <c r="A56">
        <v>2017</v>
      </c>
      <c r="B56">
        <v>250</v>
      </c>
      <c r="C56" s="5">
        <v>12</v>
      </c>
      <c r="D56" s="5">
        <v>16.000799999999998</v>
      </c>
      <c r="E56" s="5">
        <v>19.999200000000002</v>
      </c>
      <c r="F56" s="5">
        <v>24</v>
      </c>
      <c r="G56" s="5">
        <v>12</v>
      </c>
      <c r="H56" s="5">
        <v>16.000799999999998</v>
      </c>
      <c r="I56" s="5">
        <v>19.999200000000002</v>
      </c>
      <c r="J56" s="5">
        <v>24</v>
      </c>
      <c r="K56" s="5">
        <v>12</v>
      </c>
      <c r="L56" s="5">
        <v>16.000799999999998</v>
      </c>
      <c r="M56" s="5">
        <v>19.999200000000002</v>
      </c>
      <c r="N56" s="5">
        <v>24</v>
      </c>
      <c r="O56" s="5">
        <v>12</v>
      </c>
      <c r="P56" s="5">
        <v>16.000799999999998</v>
      </c>
      <c r="Q56" s="5">
        <v>19.999200000000002</v>
      </c>
      <c r="R56" s="5">
        <v>24</v>
      </c>
    </row>
    <row r="57" spans="1:18" x14ac:dyDescent="0.25">
      <c r="A57">
        <v>2017</v>
      </c>
      <c r="B57">
        <v>251</v>
      </c>
      <c r="C57" s="5">
        <v>12</v>
      </c>
      <c r="D57" s="5">
        <v>16.000799999999998</v>
      </c>
      <c r="E57" s="5">
        <v>19.999200000000002</v>
      </c>
      <c r="F57" s="5">
        <v>24</v>
      </c>
      <c r="G57" s="5">
        <v>12</v>
      </c>
      <c r="H57" s="5">
        <v>16.000799999999998</v>
      </c>
      <c r="I57" s="5">
        <v>19.999200000000002</v>
      </c>
      <c r="J57" s="5">
        <v>24</v>
      </c>
      <c r="K57" s="5">
        <v>12</v>
      </c>
      <c r="L57" s="5">
        <v>16.000799999999998</v>
      </c>
      <c r="M57" s="5">
        <v>19.999200000000002</v>
      </c>
      <c r="N57" s="5">
        <v>24</v>
      </c>
      <c r="O57" s="5">
        <v>12</v>
      </c>
      <c r="P57" s="5">
        <v>16.000799999999998</v>
      </c>
      <c r="Q57" s="5">
        <v>19.999200000000002</v>
      </c>
      <c r="R57" s="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Irrigation</vt:lpstr>
      <vt:lpstr>Other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cp:lastPrinted>2017-02-02T14:58:09Z</cp:lastPrinted>
  <dcterms:created xsi:type="dcterms:W3CDTF">2016-01-29T00:15:18Z</dcterms:created>
  <dcterms:modified xsi:type="dcterms:W3CDTF">2024-12-20T13:31:22Z</dcterms:modified>
</cp:coreProperties>
</file>